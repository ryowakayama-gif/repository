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WBS・進捗管理" sheetId="1" state="visible" r:id="rId1"/>
    <sheet name="村への確認事項" sheetId="2" state="visible" r:id="rId2"/>
    <sheet name="仕様書対照" sheetId="3" state="visible" r:id="rId3"/>
    <sheet name="受領資料・データ管理" sheetId="4" state="visible" r:id="rId4"/>
    <sheet name="凡例・集計" sheetId="5" state="visible" r:id="rId5"/>
  </sheets>
  <definedNames>
    <definedName name="_xlnm._FilterDatabase" localSheetId="0" hidden="1">'WBS・進捗管理'!$A$4:$P$118</definedName>
    <definedName name="_xlnm._FilterDatabase" localSheetId="1" hidden="1">'村への確認事項'!$A$4:$H$166</definedName>
    <definedName name="_xlnm._FilterDatabase" localSheetId="2" hidden="1">'仕様書対照'!$A$4:$H$103</definedName>
    <definedName name="_xlnm._FilterDatabase" localSheetId="3" hidden="1">'受領資料・データ管理'!$A$4:$F$43</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2">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9"/>
    </font>
    <font>
      <name val="游ゴシック"/>
      <b val="1"/>
      <sz val="8"/>
    </font>
    <font>
      <name val="游ゴシック"/>
      <sz val="8"/>
    </font>
    <font>
      <name val="游ゴシック"/>
      <b val="1"/>
      <color rgb="00FFFFFF"/>
      <sz val="13"/>
    </font>
    <font>
      <name val="游ゴシック"/>
      <b val="1"/>
      <color rgb="001F3864"/>
      <sz val="12"/>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4">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4" fillId="6" borderId="1" applyAlignment="1" pivotButton="0" quotePrefix="0" xfId="0">
      <alignment horizontal="left"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5" fillId="7" borderId="1" applyAlignment="1" pivotButton="0" quotePrefix="0" xfId="0">
      <alignment horizontal="center" vertical="top"/>
    </xf>
    <xf numFmtId="0" fontId="5" fillId="0" borderId="1" applyAlignment="1" pivotButton="0" quotePrefix="0" xfId="0">
      <alignment horizontal="center" vertical="top"/>
    </xf>
    <xf numFmtId="0" fontId="4" fillId="0"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0" fontId="7" fillId="4" borderId="1" applyAlignment="1" pivotButton="0" quotePrefix="0" xfId="0">
      <alignment horizontal="center"/>
    </xf>
    <xf numFmtId="0" fontId="0" fillId="13" borderId="1" pivotButton="0" quotePrefix="0" xfId="0"/>
    <xf numFmtId="0" fontId="8" fillId="0" borderId="0" pivotButton="0" quotePrefix="0" xfId="0"/>
    <xf numFmtId="0" fontId="9" fillId="0" borderId="0" pivotButton="0" quotePrefix="0" xfId="0"/>
    <xf numFmtId="165" fontId="2" fillId="5" borderId="1" applyAlignment="1" pivotButton="0" quotePrefix="0" xfId="0">
      <alignment horizontal="center" vertical="top"/>
    </xf>
    <xf numFmtId="0" fontId="10"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11" fillId="14" borderId="1" applyAlignment="1" pivotButton="0" quotePrefix="0" xfId="0">
      <alignment horizontal="center"/>
    </xf>
    <xf numFmtId="1" fontId="11" fillId="14" borderId="1" applyAlignment="1" pivotButton="0" quotePrefix="0" xfId="0">
      <alignment horizontal="center"/>
    </xf>
    <xf numFmtId="0" fontId="7"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18"/>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別紙）を作業レベルに分解（対応は「仕様書対照」シート）　｜　進捗基準日：令和8年9月25日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0.8</v>
      </c>
      <c r="O10" s="16" t="inlineStr">
        <is>
          <t>着手</t>
        </is>
      </c>
      <c r="P10" s="13" t="inlineStr">
        <is>
          <t>見える化出力データ19,591レコードを受領済（doc02）。ID自体の授受は要確認。</t>
        </is>
      </c>
    </row>
    <row r="11" ht="30" customHeight="1">
      <c r="A11" s="11" t="inlineStr">
        <is>
          <t>Ⅰ-07</t>
        </is>
      </c>
      <c r="B11" s="17" t="inlineStr">
        <is>
          <t>Ⅰ ニーズ調査</t>
        </is>
      </c>
      <c r="C11" s="12" t="inlineStr">
        <is>
          <t>Ⅰ-1 調査設計</t>
        </is>
      </c>
      <c r="D11" s="13" t="inlineStr">
        <is>
          <t>調査手法の決定（在宅：手法Ⅰ〜Ⅳ）</t>
        </is>
      </c>
      <c r="E11" s="11" t="inlineStr">
        <is>
          <t>手引き／確認</t>
        </is>
      </c>
      <c r="F11" s="11" t="inlineStr">
        <is>
          <t>双方</t>
        </is>
      </c>
      <c r="G11" s="13" t="inlineStr">
        <is>
          <t>調査手法決定メモ</t>
        </is>
      </c>
      <c r="H11" s="13" t="inlineStr">
        <is>
          <t>手法Ⅲは自動集計ソフトなし。仕様書Ⅰ(5)との整合を要確認</t>
        </is>
      </c>
      <c r="I11" s="11" t="inlineStr">
        <is>
          <t>R8.9上</t>
        </is>
      </c>
      <c r="J11" s="14" t="n"/>
      <c r="K11" s="14" t="n"/>
      <c r="L11" s="14" t="n">
        <v>46259</v>
      </c>
      <c r="M11" s="14" t="n"/>
      <c r="N11" s="15" t="n">
        <v>0.6</v>
      </c>
      <c r="O11" s="16" t="inlineStr">
        <is>
          <t>確認中</t>
        </is>
      </c>
      <c r="P11" s="13" t="inlineStr">
        <is>
          <t>★議事録に記載なし。手法Ⅲか手法Ⅳ（新版 在宅生活改善調査）を加えるかが未決着。9/3の第1稿提出時に併せて提起する（doc22 A-1）。</t>
        </is>
      </c>
    </row>
    <row r="12" ht="30" customHeight="1">
      <c r="A12" s="11" t="inlineStr">
        <is>
          <t>Ⅰ-08</t>
        </is>
      </c>
      <c r="B12" s="12" t="inlineStr">
        <is>
          <t>Ⅰ ニーズ調査</t>
        </is>
      </c>
      <c r="C12" s="12" t="inlineStr">
        <is>
          <t>Ⅰ-1 調査設計</t>
        </is>
      </c>
      <c r="D12" s="13" t="inlineStr">
        <is>
          <t>調査対象者の抽出条件の確定</t>
        </is>
      </c>
      <c r="E12" s="11" t="inlineStr">
        <is>
          <t>仕様書4Ⅰ(1)</t>
        </is>
      </c>
      <c r="F12" s="11" t="inlineStr">
        <is>
          <t>双方</t>
        </is>
      </c>
      <c r="G12" s="13" t="inlineStr">
        <is>
          <t>抽出条件メモ</t>
        </is>
      </c>
      <c r="H12" s="13" t="inlineStr">
        <is>
          <t>①要支援を含むか②更新・区分変更に限るか③サ高住等を含むか</t>
        </is>
      </c>
      <c r="I12" s="11" t="inlineStr">
        <is>
          <t>R8.9上</t>
        </is>
      </c>
      <c r="J12" s="14" t="n"/>
      <c r="K12" s="14" t="n"/>
      <c r="L12" s="14" t="n">
        <v>46259</v>
      </c>
      <c r="M12" s="14" t="n"/>
      <c r="N12" s="15" t="n">
        <v>0.6</v>
      </c>
      <c r="O12" s="16" t="inlineStr">
        <is>
          <t>確認中</t>
        </is>
      </c>
      <c r="P12" s="13" t="inlineStr">
        <is>
          <t>★在宅介護実態調査は「要支援1・2および要介護1〜5の在宅生活者等」150件で決着（議事録）。基準日は令和8年9月1日。ニーズ調査約850件の抽出基準（要支援を含むか）は未決着。</t>
        </is>
      </c>
    </row>
    <row r="13" ht="30" customHeight="1">
      <c r="A13" s="11" t="inlineStr">
        <is>
          <t>Ⅰ-09</t>
        </is>
      </c>
      <c r="B13" s="12" t="inlineStr">
        <is>
          <t>Ⅰ ニーズ調査</t>
        </is>
      </c>
      <c r="C13" s="12" t="inlineStr">
        <is>
          <t>Ⅰ-1 調査設計</t>
        </is>
      </c>
      <c r="D13" s="13" t="inlineStr">
        <is>
          <t>調査票の設計（ニーズ調査）</t>
        </is>
      </c>
      <c r="E13" s="11" t="inlineStr">
        <is>
          <t>仕様書4Ⅰ(2)</t>
        </is>
      </c>
      <c r="F13" s="11" t="inlineStr">
        <is>
          <t>受託者</t>
        </is>
      </c>
      <c r="G13" s="13" t="inlineStr">
        <is>
          <t>調査票案</t>
        </is>
      </c>
      <c r="H13" s="13" t="inlineStr">
        <is>
          <t>厚労省令和7年8月版様式を基礎</t>
        </is>
      </c>
      <c r="I13" s="11" t="inlineStr">
        <is>
          <t>R8.9上</t>
        </is>
      </c>
      <c r="J13" s="14" t="n"/>
      <c r="K13" s="14" t="n"/>
      <c r="L13" s="14" t="n">
        <v>46269</v>
      </c>
      <c r="M13" s="14" t="n"/>
      <c r="N13" s="15" t="n">
        <v>0.95</v>
      </c>
      <c r="O13" s="16" t="inlineStr">
        <is>
          <t>着手</t>
        </is>
      </c>
      <c r="P13" s="13"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t>
        </is>
      </c>
    </row>
    <row r="14" ht="30" customHeight="1">
      <c r="A14" s="11" t="inlineStr">
        <is>
          <t>Ⅰ-10</t>
        </is>
      </c>
      <c r="B14" s="12" t="inlineStr">
        <is>
          <t>Ⅰ ニーズ調査</t>
        </is>
      </c>
      <c r="C14" s="12" t="inlineStr">
        <is>
          <t>Ⅰ-1 調査設計</t>
        </is>
      </c>
      <c r="D14" s="13" t="inlineStr">
        <is>
          <t>調査票の設計（在宅介護実態調査）</t>
        </is>
      </c>
      <c r="E14" s="11" t="inlineStr">
        <is>
          <t>仕様書4Ⅰ(2)</t>
        </is>
      </c>
      <c r="F14" s="11" t="inlineStr">
        <is>
          <t>受託者</t>
        </is>
      </c>
      <c r="G14" s="13" t="inlineStr">
        <is>
          <t>調査票案</t>
        </is>
      </c>
      <c r="H14" s="13" t="inlineStr">
        <is>
          <t>調査手法の決定が前提</t>
        </is>
      </c>
      <c r="I14" s="11" t="inlineStr">
        <is>
          <t>R8.9上</t>
        </is>
      </c>
      <c r="J14" s="14" t="n"/>
      <c r="K14" s="14" t="n"/>
      <c r="L14" s="14" t="n">
        <v>46269</v>
      </c>
      <c r="M14" s="14" t="n"/>
      <c r="N14" s="15" t="n">
        <v>0.95</v>
      </c>
      <c r="O14" s="16" t="inlineStr">
        <is>
          <t>着手</t>
        </is>
      </c>
      <c r="P14" s="13"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11" t="inlineStr">
        <is>
          <t>Ⅰ-12</t>
        </is>
      </c>
      <c r="B16" s="12" t="inlineStr">
        <is>
          <t>Ⅰ ニーズ調査</t>
        </is>
      </c>
      <c r="C16" s="12" t="inlineStr">
        <is>
          <t>Ⅰ-1 調査設計</t>
        </is>
      </c>
      <c r="D16" s="13" t="inlineStr">
        <is>
          <t>オプション項目の採否決定</t>
        </is>
      </c>
      <c r="E16" s="11" t="inlineStr">
        <is>
          <t>仕様書4Ⅰ(2)</t>
        </is>
      </c>
      <c r="F16" s="11" t="inlineStr">
        <is>
          <t>双方</t>
        </is>
      </c>
      <c r="G16" s="13" t="inlineStr">
        <is>
          <t>採否一覧</t>
        </is>
      </c>
      <c r="H16" s="13" t="inlineStr">
        <is>
          <t>「問6 就労について」の採否を含む</t>
        </is>
      </c>
      <c r="I16" s="11" t="inlineStr">
        <is>
          <t>R8.9上</t>
        </is>
      </c>
      <c r="J16" s="14" t="n"/>
      <c r="K16" s="14" t="n"/>
      <c r="L16" s="14" t="n">
        <v>46261</v>
      </c>
      <c r="M16" s="14" t="n"/>
      <c r="N16" s="15" t="n">
        <v>0.7</v>
      </c>
      <c r="O16" s="16" t="inlineStr">
        <is>
          <t>確認中</t>
        </is>
      </c>
      <c r="P16" s="13"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t>
        </is>
      </c>
    </row>
    <row r="17" ht="30" customHeight="1">
      <c r="A17" s="11" t="inlineStr">
        <is>
          <t>Ⅰ-13</t>
        </is>
      </c>
      <c r="B17" s="12" t="inlineStr">
        <is>
          <t>Ⅰ ニーズ調査</t>
        </is>
      </c>
      <c r="C17" s="12" t="inlineStr">
        <is>
          <t>Ⅰ-1 調査設計</t>
        </is>
      </c>
      <c r="D17" s="13" t="inlineStr">
        <is>
          <t>村独自設問の設定</t>
        </is>
      </c>
      <c r="E17" s="11" t="inlineStr">
        <is>
          <t>仕様書4Ⅰ(2)</t>
        </is>
      </c>
      <c r="F17" s="11" t="inlineStr">
        <is>
          <t>双方</t>
        </is>
      </c>
      <c r="G17" s="13" t="inlineStr">
        <is>
          <t>設問一覧</t>
        </is>
      </c>
      <c r="H17" s="13" t="inlineStr">
        <is>
          <t>除雪・在宅医療・成年後見・歯科受診・服薬ほか</t>
        </is>
      </c>
      <c r="I17" s="11" t="inlineStr">
        <is>
          <t>R8.9上</t>
        </is>
      </c>
      <c r="J17" s="14" t="n"/>
      <c r="K17" s="14" t="n"/>
      <c r="L17" s="14" t="n">
        <v>46267</v>
      </c>
      <c r="M17" s="14" t="n"/>
      <c r="N17" s="15" t="n">
        <v>0.75</v>
      </c>
      <c r="O17" s="16" t="inlineStr">
        <is>
          <t>着手</t>
        </is>
      </c>
      <c r="P17" s="13"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t>
        </is>
      </c>
    </row>
    <row r="18" ht="30" customHeight="1">
      <c r="A18" s="18" t="inlineStr">
        <is>
          <t>Ⅰ-14</t>
        </is>
      </c>
      <c r="B18" s="19" t="inlineStr">
        <is>
          <t>Ⅰ ニーズ調査</t>
        </is>
      </c>
      <c r="C18" s="19" t="inlineStr">
        <is>
          <t>Ⅰ-1 調査設計</t>
        </is>
      </c>
      <c r="D18" s="20" t="inlineStr">
        <is>
          <t>依頼状（表紙）の作成</t>
        </is>
      </c>
      <c r="E18" s="18" t="inlineStr">
        <is>
          <t>仕様書4Ⅰ(2)</t>
        </is>
      </c>
      <c r="F18" s="18" t="inlineStr">
        <is>
          <t>受託者</t>
        </is>
      </c>
      <c r="G18" s="20" t="inlineStr">
        <is>
          <t>依頼状</t>
        </is>
      </c>
      <c r="H18" s="20" t="inlineStr">
        <is>
          <t>村長名・担当課・問合せ先・基準日・回答期限</t>
        </is>
      </c>
      <c r="I18" s="18" t="inlineStr">
        <is>
          <t>R8.9上</t>
        </is>
      </c>
      <c r="J18" s="21" t="n"/>
      <c r="K18" s="21" t="n"/>
      <c r="L18" s="21" t="n"/>
      <c r="M18" s="21" t="n"/>
      <c r="N18" s="22" t="n">
        <v>0</v>
      </c>
      <c r="O18" s="18" t="inlineStr">
        <is>
          <t>未着手</t>
        </is>
      </c>
      <c r="P18" s="20" t="inlineStr"/>
    </row>
    <row r="19" ht="30" customHeight="1">
      <c r="A19" s="11" t="inlineStr">
        <is>
          <t>Ⅰ-15</t>
        </is>
      </c>
      <c r="B19" s="12" t="inlineStr">
        <is>
          <t>Ⅰ ニーズ調査</t>
        </is>
      </c>
      <c r="C19" s="12" t="inlineStr">
        <is>
          <t>Ⅰ-1 調査設計</t>
        </is>
      </c>
      <c r="D19" s="13" t="inlineStr">
        <is>
          <t>調査票の村協議・確定</t>
        </is>
      </c>
      <c r="E19" s="11" t="inlineStr">
        <is>
          <t>仕様書4Ⅰ(2)</t>
        </is>
      </c>
      <c r="F19" s="11" t="inlineStr">
        <is>
          <t>双方</t>
        </is>
      </c>
      <c r="G19" s="13" t="inlineStr">
        <is>
          <t>確定版調査票</t>
        </is>
      </c>
      <c r="H19" s="13" t="inlineStr">
        <is>
          <t>以降の全工程の起点</t>
        </is>
      </c>
      <c r="I19" s="11" t="inlineStr">
        <is>
          <t>R8.9上</t>
        </is>
      </c>
      <c r="J19" s="14" t="n"/>
      <c r="K19" s="14" t="n"/>
      <c r="L19" s="14" t="n">
        <v>46269</v>
      </c>
      <c r="M19" s="14" t="n"/>
      <c r="N19" s="15" t="n">
        <v>0.8</v>
      </c>
      <c r="O19" s="16" t="inlineStr">
        <is>
          <t>着手</t>
        </is>
      </c>
      <c r="P19" s="13"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t>
        </is>
      </c>
    </row>
    <row r="20" ht="30" customHeight="1">
      <c r="A20" s="11" t="inlineStr">
        <is>
          <t>Ⅰ-16</t>
        </is>
      </c>
      <c r="B20" s="12" t="inlineStr">
        <is>
          <t>Ⅰ ニーズ調査</t>
        </is>
      </c>
      <c r="C20" s="12" t="inlineStr">
        <is>
          <t>Ⅰ-1 調査設計</t>
        </is>
      </c>
      <c r="D20" s="13" t="inlineStr">
        <is>
          <t>ウェブ回答フォームの作成</t>
        </is>
      </c>
      <c r="E20" s="11" t="inlineStr">
        <is>
          <t>仕様書4Ⅰ(2)</t>
        </is>
      </c>
      <c r="F20" s="11" t="inlineStr">
        <is>
          <t>受託者</t>
        </is>
      </c>
      <c r="G20" s="13" t="inlineStr">
        <is>
          <t>ウェブフォーム</t>
        </is>
      </c>
      <c r="H20" s="13" t="inlineStr">
        <is>
          <t>通信の暗号化・公開期間の設定</t>
        </is>
      </c>
      <c r="I20" s="11" t="inlineStr">
        <is>
          <t>R8.9上</t>
        </is>
      </c>
      <c r="J20" s="14" t="n"/>
      <c r="K20" s="14" t="n"/>
      <c r="L20" s="14" t="n">
        <v>46267</v>
      </c>
      <c r="M20" s="14" t="n"/>
      <c r="N20" s="15" t="n">
        <v>0.2</v>
      </c>
      <c r="O20" s="16" t="inlineStr">
        <is>
          <t>確認中</t>
        </is>
      </c>
      <c r="P20" s="13" t="inlineStr">
        <is>
          <t>★QRコード併用は議事録で決着。実装方法（Googleフォームの可否）が未決着で、不可の場合は代替の構築期間が必要となり9/9校了に影響する（doc22 A-2）。</t>
        </is>
      </c>
    </row>
    <row r="21" ht="30" customHeight="1">
      <c r="A21" s="23" t="inlineStr">
        <is>
          <t>Ⅰ-17</t>
        </is>
      </c>
      <c r="B21" s="24" t="inlineStr">
        <is>
          <t>Ⅰ ニーズ調査</t>
        </is>
      </c>
      <c r="C21" s="24" t="inlineStr">
        <is>
          <t>Ⅰ-1 調査設計</t>
        </is>
      </c>
      <c r="D21" s="25" t="inlineStr">
        <is>
          <t>二次元コードの作成・調査票／依頼状への印字</t>
        </is>
      </c>
      <c r="E21" s="23" t="inlineStr">
        <is>
          <t>仕様書4Ⅰ(2)</t>
        </is>
      </c>
      <c r="F21" s="23" t="inlineStr">
        <is>
          <t>受託者</t>
        </is>
      </c>
      <c r="G21" s="25" t="inlineStr">
        <is>
          <t>二次元コード</t>
        </is>
      </c>
      <c r="H21" s="25" t="inlineStr">
        <is>
          <t>URLの確定が前提</t>
        </is>
      </c>
      <c r="I21" s="23" t="inlineStr">
        <is>
          <t>R8.9上</t>
        </is>
      </c>
      <c r="J21" s="26" t="n"/>
      <c r="K21" s="26" t="n"/>
      <c r="L21" s="26" t="n"/>
      <c r="M21" s="26" t="n"/>
      <c r="N21" s="27" t="n">
        <v>0</v>
      </c>
      <c r="O21" s="23" t="inlineStr">
        <is>
          <t>未着手</t>
        </is>
      </c>
      <c r="P21" s="25" t="inlineStr"/>
    </row>
    <row r="22" ht="30" customHeight="1">
      <c r="A22" s="11" t="inlineStr">
        <is>
          <t>Ⅰ-18</t>
        </is>
      </c>
      <c r="B22" s="12" t="inlineStr">
        <is>
          <t>Ⅰ ニーズ調査</t>
        </is>
      </c>
      <c r="C22" s="12" t="inlineStr">
        <is>
          <t>Ⅰ-1 調査設計</t>
        </is>
      </c>
      <c r="D22" s="13" t="inlineStr">
        <is>
          <t>重複回答の管理方法の設計（管理番号）</t>
        </is>
      </c>
      <c r="E22" s="11" t="inlineStr">
        <is>
          <t>仕様書4Ⅰ(2)</t>
        </is>
      </c>
      <c r="F22" s="11" t="inlineStr">
        <is>
          <t>受託者</t>
        </is>
      </c>
      <c r="G22" s="13" t="inlineStr">
        <is>
          <t>管理番号設計書</t>
        </is>
      </c>
      <c r="H22" s="13" t="inlineStr">
        <is>
          <t>紙・ウェブの重複を排除</t>
        </is>
      </c>
      <c r="I22" s="11" t="inlineStr">
        <is>
          <t>R8.9上</t>
        </is>
      </c>
      <c r="J22" s="14" t="n"/>
      <c r="K22" s="14" t="n"/>
      <c r="L22" s="14" t="n">
        <v>46261</v>
      </c>
      <c r="M22" s="14" t="n"/>
      <c r="N22" s="15" t="n">
        <v>0.6</v>
      </c>
      <c r="O22" s="16" t="inlineStr">
        <is>
          <t>着手</t>
        </is>
      </c>
      <c r="P22" s="13" t="inlineStr">
        <is>
          <t>★議事録で方針決着。氏名は記載せず管理番号を付与し被保険者番号と紐付ける。具体的な番号形式は村のラベル作成仕様と一体で要調整。</t>
        </is>
      </c>
    </row>
    <row r="23" ht="30" customHeight="1">
      <c r="A23" s="23" t="inlineStr">
        <is>
          <t>Ⅰ-101</t>
        </is>
      </c>
      <c r="B23" s="24" t="inlineStr">
        <is>
          <t>Ⅰ ニーズ調査</t>
        </is>
      </c>
      <c r="C23" s="24" t="inlineStr">
        <is>
          <t>Ⅰ-1 調査設計</t>
        </is>
      </c>
      <c r="D23" s="25" t="inlineStr">
        <is>
          <t>ウェブ回答フォームの公開・稼働確認・受付停止</t>
        </is>
      </c>
      <c r="E23" s="23" t="inlineStr">
        <is>
          <t>仕様書4Ⅰ(2)</t>
        </is>
      </c>
      <c r="F23" s="23" t="inlineStr">
        <is>
          <t>受託者</t>
        </is>
      </c>
      <c r="G23" s="25" t="inlineStr">
        <is>
          <t>稼働確認記録</t>
        </is>
      </c>
      <c r="H23" s="25" t="inlineStr">
        <is>
          <t>二次元コードの印字前に実機で回答→保存まで通す。回収期限の到来で受付を停止し、以後の紙回答との重複を断つ</t>
        </is>
      </c>
      <c r="I23" s="23" t="inlineStr">
        <is>
          <t>R8.9中〜10下</t>
        </is>
      </c>
      <c r="J23" s="26" t="n"/>
      <c r="K23" s="26" t="n"/>
      <c r="L23" s="26" t="n"/>
      <c r="M23" s="26" t="n"/>
      <c r="N23" s="27" t="n">
        <v>0</v>
      </c>
      <c r="O23" s="23" t="inlineStr">
        <is>
          <t>未着手</t>
        </is>
      </c>
      <c r="P23" s="25" t="inlineStr">
        <is>
          <t>★仕様書Ⅰ(2)は「作成し」としか書いていないが、紙とウェブの併用を成り立たせるには公開・稼働確認・受付停止が要る。二次元コードの印字前に実機で回答→保存まで通す必要があり、印刷の校了（Ⅰ-102）と同時期の律速。Webフォームの実装方法が未決のため着手できていない。</t>
        </is>
      </c>
    </row>
    <row r="24" ht="30" customHeight="1">
      <c r="A24" s="11" t="inlineStr">
        <is>
          <t>Ⅰ-19</t>
        </is>
      </c>
      <c r="B24" s="12" t="inlineStr">
        <is>
          <t>Ⅰ ニーズ調査</t>
        </is>
      </c>
      <c r="C24" s="12" t="inlineStr">
        <is>
          <t>Ⅰ-1 調査設計</t>
        </is>
      </c>
      <c r="D24" s="13" t="inlineStr">
        <is>
          <t>被保険者番号と照合可能な管理番号の設計</t>
        </is>
      </c>
      <c r="E24" s="11" t="inlineStr">
        <is>
          <t>手引き</t>
        </is>
      </c>
      <c r="F24" s="11" t="inlineStr">
        <is>
          <t>双方</t>
        </is>
      </c>
      <c r="G24" s="13" t="inlineStr">
        <is>
          <t>管理番号設計書</t>
        </is>
      </c>
      <c r="H24" s="13" t="inlineStr">
        <is>
          <t>第10期の新規要件。村のラベル作成仕様と一体</t>
        </is>
      </c>
      <c r="I24" s="11" t="inlineStr">
        <is>
          <t>R8.9上</t>
        </is>
      </c>
      <c r="J24" s="14" t="n"/>
      <c r="K24" s="14" t="n"/>
      <c r="L24" s="14" t="n">
        <v>46261</v>
      </c>
      <c r="M24" s="14" t="n"/>
      <c r="N24" s="15" t="n">
        <v>0.6</v>
      </c>
      <c r="O24" s="16" t="inlineStr">
        <is>
          <t>着手</t>
        </is>
      </c>
      <c r="P24" s="13" t="inlineStr">
        <is>
          <t>★議事録で方針決着（同上）。見える化システムへの登録を見据えた設計とする。</t>
        </is>
      </c>
    </row>
    <row r="25" ht="30" customHeight="1">
      <c r="A25" s="11" t="inlineStr">
        <is>
          <t>Ⅰ-20</t>
        </is>
      </c>
      <c r="B25" s="12" t="inlineStr">
        <is>
          <t>Ⅰ ニーズ調査</t>
        </is>
      </c>
      <c r="C25" s="12" t="inlineStr">
        <is>
          <t>Ⅰ-2 印刷・発送準備</t>
        </is>
      </c>
      <c r="D25" s="13" t="inlineStr">
        <is>
          <t>入稿データの作成</t>
        </is>
      </c>
      <c r="E25" s="11" t="inlineStr">
        <is>
          <t>仕様書4Ⅰ(3)</t>
        </is>
      </c>
      <c r="F25" s="11" t="inlineStr">
        <is>
          <t>受託者</t>
        </is>
      </c>
      <c r="G25" s="13" t="inlineStr">
        <is>
          <t>入稿データ</t>
        </is>
      </c>
      <c r="H25" s="13" t="inlineStr">
        <is>
          <t>調査票の確定が前提</t>
        </is>
      </c>
      <c r="I25" s="11" t="inlineStr">
        <is>
          <t>R8.9中</t>
        </is>
      </c>
      <c r="J25" s="14" t="n"/>
      <c r="K25" s="14" t="n"/>
      <c r="L25" s="14" t="n">
        <v>46279</v>
      </c>
      <c r="M25" s="14" t="n"/>
      <c r="N25" s="15" t="n">
        <v>0.1</v>
      </c>
      <c r="O25" s="16" t="inlineStr">
        <is>
          <t>確認中</t>
        </is>
      </c>
      <c r="P25" s="13" t="inlineStr">
        <is>
          <t>★9/9頃の校了・印刷依頼が目標（議事録）。9/3の第1稿提出→修正・確認を経て確定する。</t>
        </is>
      </c>
    </row>
    <row r="26" ht="30" customHeight="1">
      <c r="A26" s="11" t="inlineStr">
        <is>
          <t>Ⅰ-102</t>
        </is>
      </c>
      <c r="B26" s="12" t="inlineStr">
        <is>
          <t>Ⅰ ニーズ調査</t>
        </is>
      </c>
      <c r="C26" s="12" t="inlineStr">
        <is>
          <t>Ⅰ-2 印刷・発送準備</t>
        </is>
      </c>
      <c r="D26" s="13" t="inlineStr">
        <is>
          <t>印刷の校正・校了</t>
        </is>
      </c>
      <c r="E26" s="11" t="inlineStr">
        <is>
          <t>仕様書4Ⅰ(3)</t>
        </is>
      </c>
      <c r="F26" s="11" t="inlineStr">
        <is>
          <t>双方</t>
        </is>
      </c>
      <c r="G26" s="13" t="inlineStr">
        <is>
          <t>校正紙・校了の記録</t>
        </is>
      </c>
      <c r="H26" s="13" t="inlineStr">
        <is>
          <t>仕様書(3)の「印刷」には校了の判断が含まれる。印刷後は取り返しがつかない</t>
        </is>
      </c>
      <c r="I26" s="11" t="inlineStr">
        <is>
          <t>R8.9中</t>
        </is>
      </c>
      <c r="J26" s="14" t="n"/>
      <c r="K26" s="14" t="n"/>
      <c r="L26" s="14" t="n">
        <v>46274</v>
      </c>
      <c r="M26" s="14" t="n"/>
      <c r="N26" s="15" t="n">
        <v>0.6</v>
      </c>
      <c r="O26" s="16" t="inlineStr">
        <is>
          <t>確認中</t>
        </is>
      </c>
      <c r="P26" s="13" t="inlineStr">
        <is>
          <t>★0909校正版の校正紙を受領し、印刷前に決着が必要な6件を整理した（doc34）。9/16時点で6件とも未回答で、本業務で現時点の最大のリスク。とくに問4(15)(16)の削除はR09（社会的役割の低下）が算出できなくなり、R99が10領域→9領域となって第9期との比較が成立しない。返信用封筒の差出有効期間が回収期限と同日である点も未決。</t>
        </is>
      </c>
    </row>
    <row r="27" ht="30" customHeight="1">
      <c r="A27" s="11" t="inlineStr">
        <is>
          <t>Ⅰ-103</t>
        </is>
      </c>
      <c r="B27" s="12" t="inlineStr">
        <is>
          <t>Ⅰ ニーズ調査</t>
        </is>
      </c>
      <c r="C27" s="12" t="inlineStr">
        <is>
          <t>Ⅰ-2 印刷・発送準備</t>
        </is>
      </c>
      <c r="D27" s="13" t="inlineStr">
        <is>
          <t>印刷部数の確定（予備を含む）</t>
        </is>
      </c>
      <c r="E27" s="11" t="inlineStr">
        <is>
          <t>仕様書4Ⅰ(3)</t>
        </is>
      </c>
      <c r="F27" s="11" t="inlineStr">
        <is>
          <t>双方</t>
        </is>
      </c>
      <c r="G27" s="13" t="inlineStr">
        <is>
          <t>部数内訳</t>
        </is>
      </c>
      <c r="H27" s="13" t="inlineStr">
        <is>
          <t>対象者はニーズ882人・在宅118人。仕様書の「約850人／約150人」との差を部数に反映</t>
        </is>
      </c>
      <c r="I27" s="11" t="inlineStr">
        <is>
          <t>R8.9中</t>
        </is>
      </c>
      <c r="J27" s="14" t="n"/>
      <c r="K27" s="14" t="n"/>
      <c r="L27" s="14" t="n">
        <v>46279</v>
      </c>
      <c r="M27" s="14" t="n"/>
      <c r="N27" s="15" t="n">
        <v>0.5</v>
      </c>
      <c r="O27" s="16" t="inlineStr">
        <is>
          <t>確認中</t>
        </is>
      </c>
      <c r="P27" s="13" t="inlineStr">
        <is>
          <t>★対象者リストによりニーズ882人・在宅118人と判明。★9/24：村の回答により在宅118人で決着（仕様書の「約150人」との差異は解消）。残るのは予備を含めた部数の確定と、回収70〜80件を前提とした集計設計（要介護度3区分を2区分に束ねるか）の判断。</t>
        </is>
      </c>
    </row>
    <row r="28" ht="30" customHeight="1">
      <c r="A28" s="18" t="inlineStr">
        <is>
          <t>Ⅰ-21</t>
        </is>
      </c>
      <c r="B28" s="19" t="inlineStr">
        <is>
          <t>Ⅰ ニーズ調査</t>
        </is>
      </c>
      <c r="C28" s="19" t="inlineStr">
        <is>
          <t>Ⅰ-2 印刷・発送準備</t>
        </is>
      </c>
      <c r="D28" s="20" t="inlineStr">
        <is>
          <t>調査票の印刷（ニーズ調査 A4約12頁・黒1色）</t>
        </is>
      </c>
      <c r="E28" s="18" t="inlineStr">
        <is>
          <t>仕様書4Ⅰ(3)</t>
        </is>
      </c>
      <c r="F28" s="18" t="inlineStr">
        <is>
          <t>受託者</t>
        </is>
      </c>
      <c r="G28" s="20" t="inlineStr">
        <is>
          <t>印刷物 約850部</t>
        </is>
      </c>
      <c r="H28" s="20" t="inlineStr">
        <is>
          <t>頁数は村と要協議</t>
        </is>
      </c>
      <c r="I28" s="18" t="inlineStr">
        <is>
          <t>R8.9中</t>
        </is>
      </c>
      <c r="J28" s="21" t="n"/>
      <c r="K28" s="21" t="n"/>
      <c r="L28" s="21" t="n"/>
      <c r="M28" s="21" t="n"/>
      <c r="N28" s="22" t="n">
        <v>0</v>
      </c>
      <c r="O28" s="18" t="inlineStr">
        <is>
          <t>未着手</t>
        </is>
      </c>
      <c r="P28" s="20" t="inlineStr"/>
    </row>
    <row r="29" ht="30" customHeight="1">
      <c r="A29" s="23" t="inlineStr">
        <is>
          <t>Ⅰ-22</t>
        </is>
      </c>
      <c r="B29" s="24" t="inlineStr">
        <is>
          <t>Ⅰ ニーズ調査</t>
        </is>
      </c>
      <c r="C29" s="24" t="inlineStr">
        <is>
          <t>Ⅰ-2 印刷・発送準備</t>
        </is>
      </c>
      <c r="D29" s="25" t="inlineStr">
        <is>
          <t>調査票の印刷（在宅調査 A4約8頁・黒1色）</t>
        </is>
      </c>
      <c r="E29" s="23" t="inlineStr">
        <is>
          <t>仕様書4Ⅰ(3)</t>
        </is>
      </c>
      <c r="F29" s="23" t="inlineStr">
        <is>
          <t>受託者</t>
        </is>
      </c>
      <c r="G29" s="25" t="inlineStr">
        <is>
          <t>印刷物 約150部</t>
        </is>
      </c>
      <c r="H29" s="25" t="inlineStr"/>
      <c r="I29" s="23" t="inlineStr">
        <is>
          <t>R8.9中</t>
        </is>
      </c>
      <c r="J29" s="26" t="n"/>
      <c r="K29" s="26" t="n"/>
      <c r="L29" s="26" t="n"/>
      <c r="M29" s="26" t="n"/>
      <c r="N29" s="27" t="n">
        <v>0</v>
      </c>
      <c r="O29" s="23" t="inlineStr">
        <is>
          <t>未着手</t>
        </is>
      </c>
      <c r="P29" s="25" t="inlineStr"/>
    </row>
    <row r="30" ht="30" customHeight="1">
      <c r="A30" s="11" t="inlineStr">
        <is>
          <t>Ⅰ-23</t>
        </is>
      </c>
      <c r="B30" s="12" t="inlineStr">
        <is>
          <t>Ⅰ ニーズ調査</t>
        </is>
      </c>
      <c r="C30" s="12" t="inlineStr">
        <is>
          <t>Ⅰ-2 印刷・発送準備</t>
        </is>
      </c>
      <c r="D30" s="13" t="inlineStr">
        <is>
          <t>返信用封筒の印刷</t>
        </is>
      </c>
      <c r="E30" s="11" t="inlineStr">
        <is>
          <t>仕様書4Ⅰ(3)</t>
        </is>
      </c>
      <c r="F30" s="11" t="inlineStr">
        <is>
          <t>受託者</t>
        </is>
      </c>
      <c r="G30" s="13" t="inlineStr">
        <is>
          <t>返信用封筒</t>
        </is>
      </c>
      <c r="H30" s="13" t="inlineStr"/>
      <c r="I30" s="11" t="inlineStr">
        <is>
          <t>R8.9中</t>
        </is>
      </c>
      <c r="J30" s="14" t="n"/>
      <c r="K30" s="14" t="n"/>
      <c r="L30" s="14" t="n">
        <v>46274</v>
      </c>
      <c r="M30" s="14" t="n"/>
      <c r="N30" s="15" t="n">
        <v>0.6</v>
      </c>
      <c r="O30" s="16" t="inlineStr">
        <is>
          <t>確認中</t>
        </is>
      </c>
      <c r="P30" s="13" t="inlineStr">
        <is>
          <t>★版下を受領済（doc34）。★9/24：配布用封筒は村が用意し費用は村側で請求処理することが決着したため、受託者が印刷するのは返信用（回収用）のみで確定（仕様書4Ⅰ(3)の「封筒（配布用・回収用）」との差異は解消）。差出有効期間が回収期限と同日（2026年10月16日）である点は未決で、期限翌日以降に投函された回答が届かない。</t>
        </is>
      </c>
    </row>
    <row r="31" ht="30" customHeight="1">
      <c r="A31" s="11" t="inlineStr">
        <is>
          <t>Ⅰ-24</t>
        </is>
      </c>
      <c r="B31" s="12" t="inlineStr">
        <is>
          <t>Ⅰ ニーズ調査</t>
        </is>
      </c>
      <c r="C31" s="12" t="inlineStr">
        <is>
          <t>Ⅰ-2 印刷・発送準備</t>
        </is>
      </c>
      <c r="D31" s="13" t="inlineStr">
        <is>
          <t>調査対象者の抽出</t>
        </is>
      </c>
      <c r="E31" s="11" t="inlineStr">
        <is>
          <t>仕様書4Ⅰ(1)</t>
        </is>
      </c>
      <c r="F31" s="11" t="inlineStr">
        <is>
          <t>北塩原村</t>
        </is>
      </c>
      <c r="G31" s="13" t="inlineStr">
        <is>
          <t>対象者リスト</t>
        </is>
      </c>
      <c r="H31" s="13" t="inlineStr">
        <is>
          <t>ニーズ約850人／在宅約150人</t>
        </is>
      </c>
      <c r="I31" s="11" t="inlineStr">
        <is>
          <t>R8.9中</t>
        </is>
      </c>
      <c r="J31" s="14" t="n"/>
      <c r="K31" s="14" t="n"/>
      <c r="L31" s="14" t="n"/>
      <c r="M31" s="14" t="n"/>
      <c r="N31" s="15" t="n">
        <v>0</v>
      </c>
      <c r="O31" s="11" t="inlineStr">
        <is>
          <t>未着手</t>
        </is>
      </c>
      <c r="P31" s="13" t="inlineStr"/>
    </row>
    <row r="32" ht="30" customHeight="1">
      <c r="A32" s="11" t="inlineStr">
        <is>
          <t>Ⅰ-25</t>
        </is>
      </c>
      <c r="B32" s="12" t="inlineStr">
        <is>
          <t>Ⅰ ニーズ調査</t>
        </is>
      </c>
      <c r="C32" s="12" t="inlineStr">
        <is>
          <t>Ⅰ-2 印刷・発送準備</t>
        </is>
      </c>
      <c r="D32" s="13" t="inlineStr">
        <is>
          <t>宛名ラベルシールの作成・提供</t>
        </is>
      </c>
      <c r="E32" s="11" t="inlineStr">
        <is>
          <t>仕様書4Ⅰ(1)</t>
        </is>
      </c>
      <c r="F32" s="11" t="inlineStr">
        <is>
          <t>北塩原村</t>
        </is>
      </c>
      <c r="G32" s="13" t="inlineStr">
        <is>
          <t>宛名ラベルシール</t>
        </is>
      </c>
      <c r="H32" s="13" t="inlineStr">
        <is>
          <t>被保険者番号との照合可能な形式</t>
        </is>
      </c>
      <c r="I32" s="11" t="inlineStr">
        <is>
          <t>R8.9中</t>
        </is>
      </c>
      <c r="J32" s="14" t="n"/>
      <c r="K32" s="14" t="n"/>
      <c r="L32" s="14" t="n"/>
      <c r="M32" s="14" t="n"/>
      <c r="N32" s="15" t="n">
        <v>0</v>
      </c>
      <c r="O32" s="11" t="inlineStr">
        <is>
          <t>未着手</t>
        </is>
      </c>
      <c r="P32" s="13" t="inlineStr"/>
    </row>
    <row r="33" ht="30" customHeight="1">
      <c r="A33" s="11" t="inlineStr">
        <is>
          <t>Ⅰ-26</t>
        </is>
      </c>
      <c r="B33" s="12" t="inlineStr">
        <is>
          <t>Ⅰ ニーズ調査</t>
        </is>
      </c>
      <c r="C33" s="12" t="inlineStr">
        <is>
          <t>Ⅰ-2 印刷・発送準備</t>
        </is>
      </c>
      <c r="D33" s="13" t="inlineStr">
        <is>
          <t>配布用封筒の提供</t>
        </is>
      </c>
      <c r="E33" s="11" t="inlineStr">
        <is>
          <t>仕様書4Ⅰ(4)</t>
        </is>
      </c>
      <c r="F33" s="11" t="inlineStr">
        <is>
          <t>北塩原村</t>
        </is>
      </c>
      <c r="G33" s="13" t="inlineStr">
        <is>
          <t>配布用封筒</t>
        </is>
      </c>
      <c r="H33" s="13" t="inlineStr"/>
      <c r="I33" s="11" t="inlineStr">
        <is>
          <t>R8.9中</t>
        </is>
      </c>
      <c r="J33" s="14" t="n"/>
      <c r="K33" s="14" t="n"/>
      <c r="L33" s="14" t="n">
        <v>46266</v>
      </c>
      <c r="M33" s="14" t="n"/>
      <c r="N33" s="15" t="n">
        <v>0.5</v>
      </c>
      <c r="O33" s="16" t="inlineStr">
        <is>
          <t>確認中</t>
        </is>
      </c>
      <c r="P33" s="13" t="inlineStr">
        <is>
          <t>★キックオフ会議で村が用意すると決着。★9/24：費用は村側で請求処理することを確認。提供期限は9/14（9/11への前倒しを要請中）。</t>
        </is>
      </c>
    </row>
    <row r="34" ht="30" customHeight="1">
      <c r="A34" s="18" t="inlineStr">
        <is>
          <t>Ⅰ-27</t>
        </is>
      </c>
      <c r="B34" s="19" t="inlineStr">
        <is>
          <t>Ⅰ ニーズ調査</t>
        </is>
      </c>
      <c r="C34" s="19" t="inlineStr">
        <is>
          <t>Ⅰ-2 印刷・発送準備</t>
        </is>
      </c>
      <c r="D34" s="20" t="inlineStr">
        <is>
          <t>宛名ラベルの貼付</t>
        </is>
      </c>
      <c r="E34" s="18" t="inlineStr">
        <is>
          <t>仕様書4Ⅰ(4)</t>
        </is>
      </c>
      <c r="F34" s="18" t="inlineStr">
        <is>
          <t>受託者</t>
        </is>
      </c>
      <c r="G34" s="20" t="inlineStr">
        <is>
          <t>―</t>
        </is>
      </c>
      <c r="H34" s="20" t="inlineStr">
        <is>
          <t>村からの提供が前提</t>
        </is>
      </c>
      <c r="I34" s="18" t="inlineStr">
        <is>
          <t>R8.9中</t>
        </is>
      </c>
      <c r="J34" s="21" t="n"/>
      <c r="K34" s="21" t="n"/>
      <c r="L34" s="21" t="n"/>
      <c r="M34" s="21" t="n"/>
      <c r="N34" s="22" t="n">
        <v>0</v>
      </c>
      <c r="O34" s="18" t="inlineStr">
        <is>
          <t>未着手</t>
        </is>
      </c>
      <c r="P34" s="20" t="inlineStr"/>
    </row>
    <row r="35" ht="30" customHeight="1">
      <c r="A35" s="23" t="inlineStr">
        <is>
          <t>Ⅰ-28</t>
        </is>
      </c>
      <c r="B35" s="24" t="inlineStr">
        <is>
          <t>Ⅰ ニーズ調査</t>
        </is>
      </c>
      <c r="C35" s="24" t="inlineStr">
        <is>
          <t>Ⅰ-2 印刷・発送準備</t>
        </is>
      </c>
      <c r="D35" s="25" t="inlineStr">
        <is>
          <t>封入・封緘</t>
        </is>
      </c>
      <c r="E35" s="23" t="inlineStr">
        <is>
          <t>仕様書4Ⅰ(4)</t>
        </is>
      </c>
      <c r="F35" s="23" t="inlineStr">
        <is>
          <t>受託者</t>
        </is>
      </c>
      <c r="G35" s="25" t="inlineStr">
        <is>
          <t>発送物</t>
        </is>
      </c>
      <c r="H35" s="25" t="inlineStr"/>
      <c r="I35" s="23" t="inlineStr">
        <is>
          <t>R8.9中</t>
        </is>
      </c>
      <c r="J35" s="26" t="n"/>
      <c r="K35" s="26" t="n"/>
      <c r="L35" s="26" t="n"/>
      <c r="M35" s="26" t="n"/>
      <c r="N35" s="27" t="n">
        <v>0</v>
      </c>
      <c r="O35" s="23" t="inlineStr">
        <is>
          <t>未着手</t>
        </is>
      </c>
      <c r="P35" s="25" t="inlineStr"/>
    </row>
    <row r="36" ht="30" customHeight="1">
      <c r="A36" s="18" t="inlineStr">
        <is>
          <t>Ⅰ-29</t>
        </is>
      </c>
      <c r="B36" s="19" t="inlineStr">
        <is>
          <t>Ⅰ ニーズ調査</t>
        </is>
      </c>
      <c r="C36" s="19" t="inlineStr">
        <is>
          <t>Ⅰ-3 発送・回収</t>
        </is>
      </c>
      <c r="D36" s="20" t="inlineStr">
        <is>
          <t>発送（郵送費は受託者負担）</t>
        </is>
      </c>
      <c r="E36" s="18" t="inlineStr">
        <is>
          <t>仕様書4Ⅰ(4)</t>
        </is>
      </c>
      <c r="F36" s="18" t="inlineStr">
        <is>
          <t>受託者</t>
        </is>
      </c>
      <c r="G36" s="20" t="inlineStr">
        <is>
          <t>発送完了報告</t>
        </is>
      </c>
      <c r="H36" s="20" t="inlineStr">
        <is>
          <t>5連休（9/19〜9/23）の影響を考慮</t>
        </is>
      </c>
      <c r="I36" s="18" t="inlineStr">
        <is>
          <t>R8.9下</t>
        </is>
      </c>
      <c r="J36" s="21" t="n"/>
      <c r="K36" s="21" t="n"/>
      <c r="L36" s="21" t="n"/>
      <c r="M36" s="21" t="n"/>
      <c r="N36" s="22" t="n">
        <v>0</v>
      </c>
      <c r="O36" s="18" t="inlineStr">
        <is>
          <t>未着手</t>
        </is>
      </c>
      <c r="P36" s="20" t="inlineStr"/>
    </row>
    <row r="37" ht="30" customHeight="1">
      <c r="A37" s="23" t="inlineStr">
        <is>
          <t>Ⅰ-30</t>
        </is>
      </c>
      <c r="B37" s="24" t="inlineStr">
        <is>
          <t>Ⅰ ニーズ調査</t>
        </is>
      </c>
      <c r="C37" s="24" t="inlineStr">
        <is>
          <t>Ⅰ-3 発送・回収</t>
        </is>
      </c>
      <c r="D37" s="25" t="inlineStr">
        <is>
          <t>回収状況の管理</t>
        </is>
      </c>
      <c r="E37" s="23" t="inlineStr">
        <is>
          <t>仕様書4Ⅰ(4)</t>
        </is>
      </c>
      <c r="F37" s="23" t="inlineStr">
        <is>
          <t>双方</t>
        </is>
      </c>
      <c r="G37" s="25" t="inlineStr">
        <is>
          <t>回収状況表</t>
        </is>
      </c>
      <c r="H37" s="25" t="inlineStr">
        <is>
          <t>★議事録により、村で100件程度集まるごとに随時受託者へ小分け送付する運用と確定</t>
        </is>
      </c>
      <c r="I37" s="23" t="inlineStr">
        <is>
          <t>R8.9下〜10</t>
        </is>
      </c>
      <c r="J37" s="26" t="n"/>
      <c r="K37" s="26" t="n"/>
      <c r="L37" s="26" t="n"/>
      <c r="M37" s="26" t="n"/>
      <c r="N37" s="27" t="n">
        <v>0</v>
      </c>
      <c r="O37" s="23" t="inlineStr">
        <is>
          <t>未着手</t>
        </is>
      </c>
      <c r="P37" s="25" t="inlineStr">
        <is>
          <t>★小分け送付の運用に合わせ、村側の送付単位と受託者側の入力進捗を突き合わせる管理表が必要。</t>
        </is>
      </c>
    </row>
    <row r="38" ht="30" customHeight="1">
      <c r="A38" s="18" t="inlineStr">
        <is>
          <t>Ⅰ-31</t>
        </is>
      </c>
      <c r="B38" s="19" t="inlineStr">
        <is>
          <t>Ⅰ ニーズ調査</t>
        </is>
      </c>
      <c r="C38" s="19" t="inlineStr">
        <is>
          <t>Ⅰ-3 発送・回収</t>
        </is>
      </c>
      <c r="D38" s="20" t="inlineStr">
        <is>
          <t>督促（リマインド）の実施</t>
        </is>
      </c>
      <c r="E38" s="18" t="inlineStr">
        <is>
          <t>確認</t>
        </is>
      </c>
      <c r="F38" s="18" t="inlineStr">
        <is>
          <t>受託者</t>
        </is>
      </c>
      <c r="G38" s="20" t="inlineStr">
        <is>
          <t>督促文書</t>
        </is>
      </c>
      <c r="H38" s="20" t="inlineStr">
        <is>
          <t>第9期の在宅調査回収率45.8%を踏まえ実施要否を判断</t>
        </is>
      </c>
      <c r="I38" s="18" t="inlineStr">
        <is>
          <t>R8.10上</t>
        </is>
      </c>
      <c r="J38" s="21" t="n"/>
      <c r="K38" s="21" t="n"/>
      <c r="L38" s="21" t="n"/>
      <c r="M38" s="21" t="n"/>
      <c r="N38" s="22" t="n">
        <v>0</v>
      </c>
      <c r="O38" s="18" t="inlineStr">
        <is>
          <t>未着手</t>
        </is>
      </c>
      <c r="P38" s="20" t="inlineStr"/>
    </row>
    <row r="39" ht="30" customHeight="1">
      <c r="A39" s="23" t="inlineStr">
        <is>
          <t>Ⅰ-32</t>
        </is>
      </c>
      <c r="B39" s="24" t="inlineStr">
        <is>
          <t>Ⅰ ニーズ調査</t>
        </is>
      </c>
      <c r="C39" s="24" t="inlineStr">
        <is>
          <t>Ⅰ-3 発送・回収</t>
        </is>
      </c>
      <c r="D39" s="25" t="inlineStr">
        <is>
          <t>回収期限の管理・締切</t>
        </is>
      </c>
      <c r="E39" s="23" t="inlineStr">
        <is>
          <t>仕様書4Ⅰ(4)</t>
        </is>
      </c>
      <c r="F39" s="23" t="inlineStr">
        <is>
          <t>受託者</t>
        </is>
      </c>
      <c r="G39" s="25" t="inlineStr">
        <is>
          <t>―</t>
        </is>
      </c>
      <c r="H39" s="25" t="inlineStr"/>
      <c r="I39" s="23" t="inlineStr">
        <is>
          <t>R8.10</t>
        </is>
      </c>
      <c r="J39" s="26" t="n"/>
      <c r="K39" s="26" t="n"/>
      <c r="L39" s="26" t="n"/>
      <c r="M39" s="26" t="n"/>
      <c r="N39" s="27" t="n">
        <v>0</v>
      </c>
      <c r="O39" s="23" t="inlineStr">
        <is>
          <t>未着手</t>
        </is>
      </c>
      <c r="P39" s="25" t="inlineStr"/>
    </row>
    <row r="40" ht="30" customHeight="1">
      <c r="A40" s="18" t="inlineStr">
        <is>
          <t>Ⅰ-33</t>
        </is>
      </c>
      <c r="B40" s="19" t="inlineStr">
        <is>
          <t>Ⅰ ニーズ調査</t>
        </is>
      </c>
      <c r="C40" s="19" t="inlineStr">
        <is>
          <t>Ⅰ-3 発送・回収</t>
        </is>
      </c>
      <c r="D40" s="20" t="inlineStr">
        <is>
          <t>開封確認</t>
        </is>
      </c>
      <c r="E40" s="18" t="inlineStr">
        <is>
          <t>仕様書4Ⅰ(4)</t>
        </is>
      </c>
      <c r="F40" s="18" t="inlineStr">
        <is>
          <t>受託者</t>
        </is>
      </c>
      <c r="G40" s="20" t="inlineStr">
        <is>
          <t>―</t>
        </is>
      </c>
      <c r="H40" s="20" t="inlineStr"/>
      <c r="I40" s="18" t="inlineStr">
        <is>
          <t>R8.10</t>
        </is>
      </c>
      <c r="J40" s="21" t="n"/>
      <c r="K40" s="21" t="n"/>
      <c r="L40" s="21" t="n"/>
      <c r="M40" s="21" t="n"/>
      <c r="N40" s="22" t="n">
        <v>0</v>
      </c>
      <c r="O40" s="18" t="inlineStr">
        <is>
          <t>未着手</t>
        </is>
      </c>
      <c r="P40" s="20" t="inlineStr"/>
    </row>
    <row r="41" ht="30" customHeight="1">
      <c r="A41" s="23" t="inlineStr">
        <is>
          <t>Ⅰ-94</t>
        </is>
      </c>
      <c r="B41" s="24" t="inlineStr">
        <is>
          <t>Ⅰ ニーズ調査</t>
        </is>
      </c>
      <c r="C41" s="24" t="inlineStr">
        <is>
          <t>Ⅰ-3 発送・回収</t>
        </is>
      </c>
      <c r="D41" s="25" t="inlineStr">
        <is>
          <t>調査票の受渡し記録の作成・運用</t>
        </is>
      </c>
      <c r="E41" s="23" t="inlineStr">
        <is>
          <t>確認</t>
        </is>
      </c>
      <c r="F41" s="23" t="inlineStr">
        <is>
          <t>双方</t>
        </is>
      </c>
      <c r="G41" s="25" t="inlineStr">
        <is>
          <t>受渡し記録</t>
        </is>
      </c>
      <c r="H41" s="25" t="inlineStr">
        <is>
          <t>★小分け送付の運用に対応。日付・数量・受渡者・受領者を記録。doc16に追記</t>
        </is>
      </c>
      <c r="I41" s="23" t="inlineStr">
        <is>
          <t>R8.9下〜11</t>
        </is>
      </c>
      <c r="J41" s="26" t="n"/>
      <c r="K41" s="26" t="n"/>
      <c r="L41" s="26" t="n"/>
      <c r="M41" s="26" t="n"/>
      <c r="N41" s="27" t="n">
        <v>0</v>
      </c>
      <c r="O41" s="23" t="inlineStr">
        <is>
          <t>未着手</t>
        </is>
      </c>
      <c r="P41" s="25" t="inlineStr">
        <is>
          <t>★議事録により村が100件程度ごとに随時送付する運用と確定。個人情報の授受が複数回に分かれるため受渡し記録の様式を用意し doc16 に追記する。</t>
        </is>
      </c>
    </row>
    <row r="42" ht="30" customHeight="1">
      <c r="A42" s="11" t="inlineStr">
        <is>
          <t>Ⅰ-34</t>
        </is>
      </c>
      <c r="B42" s="12" t="inlineStr">
        <is>
          <t>Ⅰ ニーズ調査</t>
        </is>
      </c>
      <c r="C42" s="12" t="inlineStr">
        <is>
          <t>Ⅰ-4 データ入力</t>
        </is>
      </c>
      <c r="D42" s="13" t="inlineStr">
        <is>
          <t>用紙回答のデータ入力</t>
        </is>
      </c>
      <c r="E42" s="11" t="inlineStr">
        <is>
          <t>仕様書4Ⅰ(5)</t>
        </is>
      </c>
      <c r="F42" s="11" t="inlineStr">
        <is>
          <t>受託者</t>
        </is>
      </c>
      <c r="G42" s="13" t="inlineStr">
        <is>
          <t>入力データ</t>
        </is>
      </c>
      <c r="H42" s="13" t="inlineStr">
        <is>
          <t>厚労省提示の集計ファイル様式</t>
        </is>
      </c>
      <c r="I42" s="11" t="inlineStr">
        <is>
          <t>R8.10</t>
        </is>
      </c>
      <c r="J42" s="14" t="n"/>
      <c r="K42" s="14" t="n"/>
      <c r="L42" s="14" t="n">
        <v>46268</v>
      </c>
      <c r="M42" s="14" t="n"/>
      <c r="N42" s="15" t="n">
        <v>0.2</v>
      </c>
      <c r="O42" s="16" t="inlineStr">
        <is>
          <t>着手</t>
        </is>
      </c>
      <c r="P42" s="13" t="inlineStr">
        <is>
          <t>★doc25§6-2で入力上の留意点6件を確定（複数回答は選択肢ごとに0-1の横持ち／自由記述は原文保持／小分け送付に対応した受付日・ロット番号の記録 ほか）。入力体制は村と要協議（K-93）。</t>
        </is>
      </c>
    </row>
    <row r="43" ht="30" customHeight="1">
      <c r="A43" s="11" t="inlineStr">
        <is>
          <t>Ⅰ-35</t>
        </is>
      </c>
      <c r="B43" s="12" t="inlineStr">
        <is>
          <t>Ⅰ ニーズ調査</t>
        </is>
      </c>
      <c r="C43" s="12" t="inlineStr">
        <is>
          <t>Ⅰ-4 データ入力</t>
        </is>
      </c>
      <c r="D43" s="13" t="inlineStr">
        <is>
          <t>ウェブ回答データの取込</t>
        </is>
      </c>
      <c r="E43" s="11" t="inlineStr">
        <is>
          <t>仕様書4Ⅰ(5)</t>
        </is>
      </c>
      <c r="F43" s="11" t="inlineStr">
        <is>
          <t>受託者</t>
        </is>
      </c>
      <c r="G43" s="13" t="inlineStr">
        <is>
          <t>入力データ</t>
        </is>
      </c>
      <c r="H43" s="13" t="inlineStr"/>
      <c r="I43" s="11" t="inlineStr">
        <is>
          <t>R8.10</t>
        </is>
      </c>
      <c r="J43" s="14" t="n"/>
      <c r="K43" s="14" t="n"/>
      <c r="L43" s="14" t="n">
        <v>46268</v>
      </c>
      <c r="M43" s="14" t="n"/>
      <c r="N43" s="15" t="n">
        <v>0.2</v>
      </c>
      <c r="O43" s="16" t="inlineStr">
        <is>
          <t>着手</t>
        </is>
      </c>
      <c r="P43"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t>
        </is>
      </c>
    </row>
    <row r="44" ht="30" customHeight="1">
      <c r="A44" s="18" t="inlineStr">
        <is>
          <t>Ⅰ-36</t>
        </is>
      </c>
      <c r="B44" s="19" t="inlineStr">
        <is>
          <t>Ⅰ ニーズ調査</t>
        </is>
      </c>
      <c r="C44" s="19" t="inlineStr">
        <is>
          <t>Ⅰ-4 データ入力</t>
        </is>
      </c>
      <c r="D44" s="20" t="inlineStr">
        <is>
          <t>重複回答の排除</t>
        </is>
      </c>
      <c r="E44" s="18" t="inlineStr">
        <is>
          <t>仕様書4Ⅰ(2)</t>
        </is>
      </c>
      <c r="F44" s="18" t="inlineStr">
        <is>
          <t>受託者</t>
        </is>
      </c>
      <c r="G44" s="20" t="inlineStr">
        <is>
          <t>―</t>
        </is>
      </c>
      <c r="H44" s="20" t="inlineStr">
        <is>
          <t>管理番号で管理</t>
        </is>
      </c>
      <c r="I44" s="18" t="inlineStr">
        <is>
          <t>R8.10</t>
        </is>
      </c>
      <c r="J44" s="21" t="n"/>
      <c r="K44" s="21" t="n"/>
      <c r="L44" s="21" t="n"/>
      <c r="M44" s="21" t="n"/>
      <c r="N44" s="22" t="n">
        <v>0</v>
      </c>
      <c r="O44" s="18" t="inlineStr">
        <is>
          <t>未着手</t>
        </is>
      </c>
      <c r="P44" s="20" t="inlineStr"/>
    </row>
    <row r="45" ht="30" customHeight="1">
      <c r="A45" s="11" t="inlineStr">
        <is>
          <t>Ⅰ-37</t>
        </is>
      </c>
      <c r="B45" s="12" t="inlineStr">
        <is>
          <t>Ⅰ ニーズ調査</t>
        </is>
      </c>
      <c r="C45" s="12" t="inlineStr">
        <is>
          <t>Ⅰ-4 データ入力</t>
        </is>
      </c>
      <c r="D45" s="13" t="inlineStr">
        <is>
          <t>要介護認定データの受領</t>
        </is>
      </c>
      <c r="E45" s="11" t="inlineStr">
        <is>
          <t>仕様書4Ⅰ(5)</t>
        </is>
      </c>
      <c r="F45" s="11" t="inlineStr">
        <is>
          <t>北塩原村</t>
        </is>
      </c>
      <c r="G45" s="13" t="inlineStr">
        <is>
          <t>認定データ</t>
        </is>
      </c>
      <c r="H45" s="13" t="inlineStr">
        <is>
          <t>手法Ⅰ・Ⅱの場合。目的外利用の手続きに留意</t>
        </is>
      </c>
      <c r="I45" s="11" t="inlineStr">
        <is>
          <t>R8.10</t>
        </is>
      </c>
      <c r="J45" s="14" t="n"/>
      <c r="K45" s="14" t="n"/>
      <c r="L45" s="14" t="n"/>
      <c r="M45" s="14" t="n"/>
      <c r="N45" s="15" t="n">
        <v>0</v>
      </c>
      <c r="O45" s="11" t="inlineStr">
        <is>
          <t>未着手</t>
        </is>
      </c>
      <c r="P45" s="13" t="inlineStr"/>
    </row>
    <row r="46" ht="30" customHeight="1">
      <c r="A46" s="18" t="inlineStr">
        <is>
          <t>Ⅰ-38</t>
        </is>
      </c>
      <c r="B46" s="19" t="inlineStr">
        <is>
          <t>Ⅰ ニーズ調査</t>
        </is>
      </c>
      <c r="C46" s="19" t="inlineStr">
        <is>
          <t>Ⅰ-4 データ入力</t>
        </is>
      </c>
      <c r="D46" s="20" t="inlineStr">
        <is>
          <t>認定データとの関連付け（自動プログラム）</t>
        </is>
      </c>
      <c r="E46" s="18" t="inlineStr">
        <is>
          <t>仕様書4Ⅰ(5)</t>
        </is>
      </c>
      <c r="F46" s="18" t="inlineStr">
        <is>
          <t>受託者</t>
        </is>
      </c>
      <c r="G46" s="20" t="inlineStr">
        <is>
          <t>関連付け済データ</t>
        </is>
      </c>
      <c r="H46" s="20" t="inlineStr">
        <is>
          <t>手法Ⅲでは自動集計ソフトなし</t>
        </is>
      </c>
      <c r="I46" s="18" t="inlineStr">
        <is>
          <t>R8.10</t>
        </is>
      </c>
      <c r="J46" s="21" t="n"/>
      <c r="K46" s="21" t="n"/>
      <c r="L46" s="21" t="n"/>
      <c r="M46" s="21" t="n"/>
      <c r="N46" s="22" t="n">
        <v>0</v>
      </c>
      <c r="O46" s="18" t="inlineStr">
        <is>
          <t>未着手</t>
        </is>
      </c>
      <c r="P46" s="20" t="inlineStr"/>
    </row>
    <row r="47" ht="30" customHeight="1">
      <c r="A47" s="23" t="inlineStr">
        <is>
          <t>Ⅰ-104</t>
        </is>
      </c>
      <c r="B47" s="24" t="inlineStr">
        <is>
          <t>Ⅰ ニーズ調査</t>
        </is>
      </c>
      <c r="C47" s="24" t="inlineStr">
        <is>
          <t>Ⅰ-4 データ入力</t>
        </is>
      </c>
      <c r="D47" s="25" t="inlineStr">
        <is>
          <t>入力データの精度管理（論理チェック・ベリファイ）</t>
        </is>
      </c>
      <c r="E47" s="23" t="inlineStr">
        <is>
          <t>仕様書4Ⅰ(5)</t>
        </is>
      </c>
      <c r="F47" s="23" t="inlineStr">
        <is>
          <t>受託者</t>
        </is>
      </c>
      <c r="G47" s="25" t="inlineStr">
        <is>
          <t>チェック結果</t>
        </is>
      </c>
      <c r="H47" s="25" t="inlineStr">
        <is>
          <t>仕様書(5)の条項名は「入力管理」。単一回答の複数選択・排他条件・分岐の不整合・数値の範囲外を点検する</t>
        </is>
      </c>
      <c r="I47" s="23" t="inlineStr">
        <is>
          <t>R8.10〜11</t>
        </is>
      </c>
      <c r="J47" s="26" t="n"/>
      <c r="K47" s="26" t="n"/>
      <c r="L47" s="26" t="n"/>
      <c r="M47" s="26" t="n"/>
      <c r="N47" s="27" t="n">
        <v>0</v>
      </c>
      <c r="O47" s="23" t="inlineStr">
        <is>
          <t>未着手</t>
        </is>
      </c>
      <c r="P47" s="25" t="inlineStr">
        <is>
          <t>仕様書Ⅰ(5)の条項名は「入力管理」であり、入力そのものだけでなく入力後の精度の確認を含む。集計仕様書（doc25）で派生変数と排他条件を定義済みのため、その定義を論理チェックの規則に転用する。回収データの到着待ち。</t>
        </is>
      </c>
    </row>
    <row r="48" ht="30" customHeight="1">
      <c r="A48" s="11" t="inlineStr">
        <is>
          <t>Ⅰ-39</t>
        </is>
      </c>
      <c r="B48" s="12" t="inlineStr">
        <is>
          <t>Ⅰ ニーズ調査</t>
        </is>
      </c>
      <c r="C48" s="12" t="inlineStr">
        <is>
          <t>Ⅰ-5 集計・分析</t>
        </is>
      </c>
      <c r="D48" s="13" t="inlineStr">
        <is>
          <t>単純集計</t>
        </is>
      </c>
      <c r="E48" s="11" t="inlineStr">
        <is>
          <t>仕様書4Ⅰ(6)</t>
        </is>
      </c>
      <c r="F48" s="11" t="inlineStr">
        <is>
          <t>受託者</t>
        </is>
      </c>
      <c r="G48" s="13" t="inlineStr">
        <is>
          <t>集計表</t>
        </is>
      </c>
      <c r="H48" s="13" t="inlineStr"/>
      <c r="I48" s="11" t="inlineStr">
        <is>
          <t>R8.10〜11</t>
        </is>
      </c>
      <c r="J48" s="14" t="n"/>
      <c r="K48" s="14" t="n"/>
      <c r="L48" s="14" t="n">
        <v>46268</v>
      </c>
      <c r="M48" s="14" t="n"/>
      <c r="N48" s="15" t="n">
        <v>0.7</v>
      </c>
      <c r="O48" s="16" t="inlineStr">
        <is>
          <t>着手</t>
        </is>
      </c>
      <c r="P48"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9" ht="30" customHeight="1">
      <c r="A49" s="11" t="inlineStr">
        <is>
          <t>Ⅰ-40</t>
        </is>
      </c>
      <c r="B49" s="12" t="inlineStr">
        <is>
          <t>Ⅰ ニーズ調査</t>
        </is>
      </c>
      <c r="C49" s="12" t="inlineStr">
        <is>
          <t>Ⅰ-5 集計・分析</t>
        </is>
      </c>
      <c r="D49" s="13" t="inlineStr">
        <is>
          <t>基本属性別クロス集計（地区・性別・年齢）</t>
        </is>
      </c>
      <c r="E49" s="11" t="inlineStr">
        <is>
          <t>仕様書4Ⅰ(6)</t>
        </is>
      </c>
      <c r="F49" s="11" t="inlineStr">
        <is>
          <t>受託者</t>
        </is>
      </c>
      <c r="G49" s="13" t="inlineStr">
        <is>
          <t>集計表</t>
        </is>
      </c>
      <c r="H49" s="13" t="inlineStr"/>
      <c r="I49" s="11" t="inlineStr">
        <is>
          <t>R8.10〜11</t>
        </is>
      </c>
      <c r="J49" s="14" t="n"/>
      <c r="K49" s="14" t="n"/>
      <c r="L49" s="14" t="n">
        <v>46268</v>
      </c>
      <c r="M49" s="14" t="n"/>
      <c r="N49" s="15" t="n">
        <v>0.7</v>
      </c>
      <c r="O49" s="16" t="inlineStr">
        <is>
          <t>着手</t>
        </is>
      </c>
      <c r="P49"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50" ht="30" customHeight="1">
      <c r="A50" s="11" t="inlineStr">
        <is>
          <t>Ⅰ-41</t>
        </is>
      </c>
      <c r="B50" s="12" t="inlineStr">
        <is>
          <t>Ⅰ ニーズ調査</t>
        </is>
      </c>
      <c r="C50" s="12" t="inlineStr">
        <is>
          <t>Ⅰ-5 集計・分析</t>
        </is>
      </c>
      <c r="D50" s="13" t="inlineStr">
        <is>
          <t>時系列比較（第8期・第9期との対比）</t>
        </is>
      </c>
      <c r="E50" s="11" t="inlineStr">
        <is>
          <t>仕様書4Ⅰ(6)</t>
        </is>
      </c>
      <c r="F50" s="11" t="inlineStr">
        <is>
          <t>受託者</t>
        </is>
      </c>
      <c r="G50" s="13" t="inlineStr">
        <is>
          <t>比較表</t>
        </is>
      </c>
      <c r="H50" s="13" t="inlineStr">
        <is>
          <t>村と協議のうえ範囲を決定</t>
        </is>
      </c>
      <c r="I50" s="11" t="inlineStr">
        <is>
          <t>R8.10〜11</t>
        </is>
      </c>
      <c r="J50" s="14" t="n"/>
      <c r="K50" s="14" t="n"/>
      <c r="L50" s="14" t="n">
        <v>46268</v>
      </c>
      <c r="M50" s="14" t="n"/>
      <c r="N50" s="15" t="n">
        <v>0.2</v>
      </c>
      <c r="O50" s="16" t="inlineStr">
        <is>
          <t>確認中</t>
        </is>
      </c>
      <c r="P50" s="13" t="inlineStr">
        <is>
          <t>★令和4年8月版と令和7年8月版で設問文・選択肢が変わった設問は単純比較できない。doc05の逐条突合に基づき比較可能な設問を抽出済。対象範囲は村と協議（doc24 K-86）。</t>
        </is>
      </c>
    </row>
    <row r="51" ht="30" customHeight="1">
      <c r="A51" s="11" t="inlineStr">
        <is>
          <t>Ⅰ-42</t>
        </is>
      </c>
      <c r="B51" s="12" t="inlineStr">
        <is>
          <t>Ⅰ ニーズ調査</t>
        </is>
      </c>
      <c r="C51" s="12" t="inlineStr">
        <is>
          <t>Ⅰ-5 集計・分析</t>
        </is>
      </c>
      <c r="D51" s="13" t="inlineStr">
        <is>
          <t>設問間クロス集計</t>
        </is>
      </c>
      <c r="E51" s="11" t="inlineStr">
        <is>
          <t>仕様書4Ⅰ(6)</t>
        </is>
      </c>
      <c r="F51" s="11" t="inlineStr">
        <is>
          <t>受託者</t>
        </is>
      </c>
      <c r="G51" s="13" t="inlineStr">
        <is>
          <t>集計表</t>
        </is>
      </c>
      <c r="H51" s="13" t="inlineStr">
        <is>
          <t>村と協議のうえ設計</t>
        </is>
      </c>
      <c r="I51" s="11" t="inlineStr">
        <is>
          <t>R8.10〜11</t>
        </is>
      </c>
      <c r="J51" s="14" t="n"/>
      <c r="K51" s="14" t="n"/>
      <c r="L51" s="14" t="n">
        <v>46268</v>
      </c>
      <c r="M51" s="14" t="n"/>
      <c r="N51" s="15" t="n">
        <v>0.65</v>
      </c>
      <c r="O51" s="16" t="inlineStr">
        <is>
          <t>着手</t>
        </is>
      </c>
      <c r="P51"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t>
        </is>
      </c>
    </row>
    <row r="52" ht="30" customHeight="1">
      <c r="A52" s="11" t="inlineStr">
        <is>
          <t>Ⅰ-43</t>
        </is>
      </c>
      <c r="B52" s="12" t="inlineStr">
        <is>
          <t>Ⅰ ニーズ調査</t>
        </is>
      </c>
      <c r="C52" s="12" t="inlineStr">
        <is>
          <t>Ⅰ-5 集計・分析</t>
        </is>
      </c>
      <c r="D52" s="13" t="inlineStr">
        <is>
          <t>リスク判定11種の算出</t>
        </is>
      </c>
      <c r="E52" s="11" t="inlineStr">
        <is>
          <t>手引き</t>
        </is>
      </c>
      <c r="F52" s="11" t="inlineStr">
        <is>
          <t>受託者</t>
        </is>
      </c>
      <c r="G52" s="13" t="inlineStr">
        <is>
          <t>リスク判定結果</t>
        </is>
      </c>
      <c r="H52" s="13" t="inlineStr">
        <is>
          <t>運動器・転倒・閉じこもり・低栄養・口腔・認知・うつ・IADL等</t>
        </is>
      </c>
      <c r="I52" s="11" t="inlineStr">
        <is>
          <t>R8.10〜11</t>
        </is>
      </c>
      <c r="J52" s="14" t="n"/>
      <c r="K52" s="14" t="n"/>
      <c r="L52" s="14" t="n">
        <v>46268</v>
      </c>
      <c r="M52" s="14" t="n"/>
      <c r="N52" s="15" t="n">
        <v>0.7</v>
      </c>
      <c r="O52" s="16" t="inlineStr">
        <is>
          <t>着手</t>
        </is>
      </c>
      <c r="P52"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53" ht="30" customHeight="1">
      <c r="A53" s="11" t="inlineStr">
        <is>
          <t>Ⅰ-44</t>
        </is>
      </c>
      <c r="B53" s="12" t="inlineStr">
        <is>
          <t>Ⅰ ニーズ調査</t>
        </is>
      </c>
      <c r="C53" s="12" t="inlineStr">
        <is>
          <t>Ⅰ-5 集計・分析</t>
        </is>
      </c>
      <c r="D53" s="13" t="inlineStr">
        <is>
          <t>自由記述の整理</t>
        </is>
      </c>
      <c r="E53" s="11" t="inlineStr">
        <is>
          <t>仕様書4Ⅰ(6)</t>
        </is>
      </c>
      <c r="F53" s="11" t="inlineStr">
        <is>
          <t>受託者</t>
        </is>
      </c>
      <c r="G53" s="13" t="inlineStr">
        <is>
          <t>自由意見一覧</t>
        </is>
      </c>
      <c r="H53" s="13" t="inlineStr"/>
      <c r="I53" s="11" t="inlineStr">
        <is>
          <t>R8.10〜11</t>
        </is>
      </c>
      <c r="J53" s="14" t="n"/>
      <c r="K53" s="14" t="n"/>
      <c r="L53" s="14" t="n">
        <v>46268</v>
      </c>
      <c r="M53" s="14" t="n"/>
      <c r="N53" s="15" t="n">
        <v>0.1</v>
      </c>
      <c r="O53" s="16" t="inlineStr">
        <is>
          <t>着手</t>
        </is>
      </c>
      <c r="P53" s="13" t="inlineStr">
        <is>
          <t>★doc24§9で対象設問を確定（問3(9)利用先・問7(9)利用先・問11その他・問4(17)(18)趣味生きがい ほか）。人口2,300人規模では記述から個人が推定され得るため匿名化の方針を村と協議（doc24 K-89）。</t>
        </is>
      </c>
    </row>
    <row r="54" ht="30" customHeight="1">
      <c r="A54" s="11" t="inlineStr">
        <is>
          <t>Ⅰ-45</t>
        </is>
      </c>
      <c r="B54" s="12" t="inlineStr">
        <is>
          <t>Ⅰ ニーズ調査</t>
        </is>
      </c>
      <c r="C54" s="12" t="inlineStr">
        <is>
          <t>Ⅰ-5 集計・分析</t>
        </is>
      </c>
      <c r="D54" s="13" t="inlineStr">
        <is>
          <t>在宅調査の要介護度別・介護者就労状況別分析</t>
        </is>
      </c>
      <c r="E54" s="11" t="inlineStr">
        <is>
          <t>仕様書4Ⅰ(6)</t>
        </is>
      </c>
      <c r="F54" s="11" t="inlineStr">
        <is>
          <t>受託者</t>
        </is>
      </c>
      <c r="G54" s="13" t="inlineStr">
        <is>
          <t>分析結果</t>
        </is>
      </c>
      <c r="H54" s="13" t="inlineStr"/>
      <c r="I54" s="11" t="inlineStr">
        <is>
          <t>R8.10〜11</t>
        </is>
      </c>
      <c r="J54" s="14" t="n"/>
      <c r="K54" s="14" t="n"/>
      <c r="L54" s="14" t="n">
        <v>46268</v>
      </c>
      <c r="M54" s="14" t="n"/>
      <c r="N54" s="15" t="n">
        <v>0.65</v>
      </c>
      <c r="O54" s="16" t="inlineStr">
        <is>
          <t>着手</t>
        </is>
      </c>
      <c r="P54"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5" ht="30" customHeight="1">
      <c r="A55" s="11" t="inlineStr">
        <is>
          <t>Ⅰ-46</t>
        </is>
      </c>
      <c r="B55" s="12" t="inlineStr">
        <is>
          <t>Ⅰ ニーズ調査</t>
        </is>
      </c>
      <c r="C55" s="12" t="inlineStr">
        <is>
          <t>Ⅰ-5 集計・分析</t>
        </is>
      </c>
      <c r="D55" s="13" t="inlineStr">
        <is>
          <t>見える化システム登録用データの作成</t>
        </is>
      </c>
      <c r="E55" s="11" t="inlineStr">
        <is>
          <t>手引き</t>
        </is>
      </c>
      <c r="F55" s="11" t="inlineStr">
        <is>
          <t>受託者</t>
        </is>
      </c>
      <c r="G55" s="13" t="inlineStr">
        <is>
          <t>登録用データ</t>
        </is>
      </c>
      <c r="H55" s="13" t="inlineStr">
        <is>
          <t>標準様式の項目順に並べ替えが必要</t>
        </is>
      </c>
      <c r="I55" s="11" t="inlineStr">
        <is>
          <t>R8.11</t>
        </is>
      </c>
      <c r="J55" s="14" t="n"/>
      <c r="K55" s="14" t="n"/>
      <c r="L55" s="14" t="n">
        <v>46268</v>
      </c>
      <c r="M55" s="14" t="n"/>
      <c r="N55" s="15" t="n">
        <v>0.3</v>
      </c>
      <c r="O55" s="16" t="inlineStr">
        <is>
          <t>着手</t>
        </is>
      </c>
      <c r="P55" s="13" t="inlineStr">
        <is>
          <t>★doc25§6-3で方針を確定。村独自設問14問を除外し標準様式の設問順に並べ替えた別ファイルとして作成する。並べ替え表は集計プログラムに組み込む。登録作業の分担は村と要協議（K-94）。</t>
        </is>
      </c>
    </row>
    <row r="56" ht="30" customHeight="1">
      <c r="A56" s="11" t="inlineStr">
        <is>
          <t>Ⅰ-95</t>
        </is>
      </c>
      <c r="B56" s="12" t="inlineStr">
        <is>
          <t>Ⅰ ニーズ調査</t>
        </is>
      </c>
      <c r="C56" s="12" t="inlineStr">
        <is>
          <t>Ⅰ-5 集計・分析</t>
        </is>
      </c>
      <c r="D56" s="13" t="inlineStr">
        <is>
          <t>ICFの構成要素に基づくクロス分析の設計</t>
        </is>
      </c>
      <c r="E56" s="11" t="inlineStr">
        <is>
          <t>確認</t>
        </is>
      </c>
      <c r="F56" s="11" t="inlineStr">
        <is>
          <t>受託者</t>
        </is>
      </c>
      <c r="G56" s="13" t="inlineStr">
        <is>
          <t>分析設計書</t>
        </is>
      </c>
      <c r="H56" s="13" t="inlineStr">
        <is>
          <t>★議事録で新規要件。単純なリスク分析ではなくICFの健康度指標で「元気な高齢者」×「地域のニーズ」を分析。調査票設計段階で軸の確保が必要</t>
        </is>
      </c>
      <c r="I56" s="11" t="inlineStr">
        <is>
          <t>R8.9上</t>
        </is>
      </c>
      <c r="J56" s="14" t="n"/>
      <c r="K56" s="14" t="n"/>
      <c r="L56" s="14" t="n">
        <v>46268</v>
      </c>
      <c r="M56" s="14" t="n"/>
      <c r="N56" s="15" t="n">
        <v>0.8</v>
      </c>
      <c r="O56" s="16" t="inlineStr">
        <is>
          <t>着手</t>
        </is>
      </c>
      <c r="P56"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57" ht="30" customHeight="1">
      <c r="A57" s="23" t="inlineStr">
        <is>
          <t>Ⅰ-47</t>
        </is>
      </c>
      <c r="B57" s="24" t="inlineStr">
        <is>
          <t>Ⅰ ニーズ調査</t>
        </is>
      </c>
      <c r="C57" s="24" t="inlineStr">
        <is>
          <t>Ⅰ-6 報告書</t>
        </is>
      </c>
      <c r="D57" s="25" t="inlineStr">
        <is>
          <t>設問ごとのグラフ作成</t>
        </is>
      </c>
      <c r="E57" s="23" t="inlineStr">
        <is>
          <t>仕様書4Ⅰ(7)</t>
        </is>
      </c>
      <c r="F57" s="23" t="inlineStr">
        <is>
          <t>受託者</t>
        </is>
      </c>
      <c r="G57" s="25" t="inlineStr">
        <is>
          <t>グラフ</t>
        </is>
      </c>
      <c r="H57" s="25" t="inlineStr"/>
      <c r="I57" s="23" t="inlineStr">
        <is>
          <t>R8.11</t>
        </is>
      </c>
      <c r="J57" s="26" t="n"/>
      <c r="K57" s="26" t="n"/>
      <c r="L57" s="26" t="n"/>
      <c r="M57" s="26" t="n"/>
      <c r="N57" s="27" t="n">
        <v>0</v>
      </c>
      <c r="O57" s="23" t="inlineStr">
        <is>
          <t>未着手</t>
        </is>
      </c>
      <c r="P57" s="25" t="inlineStr">
        <is>
          <t>★9/25：案Bの採用により1頁2設問を維持できることとなった（案Aでは1頁3設問に詰める必要があった）。ただし第9期は1頁0.9設問＝実質1設問1頁であり約1.9倍の密度になる。計画書と同じく明度差・線種・ハッチングで識別し、凡例を図の近くに置く。集計結果の確定待ち。</t>
        </is>
      </c>
    </row>
    <row r="58" ht="30" customHeight="1">
      <c r="A58" s="11" t="inlineStr">
        <is>
          <t>Ⅰ-48</t>
        </is>
      </c>
      <c r="B58" s="12" t="inlineStr">
        <is>
          <t>Ⅰ ニーズ調査</t>
        </is>
      </c>
      <c r="C58" s="12" t="inlineStr">
        <is>
          <t>Ⅰ-6 報告書</t>
        </is>
      </c>
      <c r="D58" s="13" t="inlineStr">
        <is>
          <t>調査結果報告書の執筆・レイアウト</t>
        </is>
      </c>
      <c r="E58" s="11" t="inlineStr">
        <is>
          <t>仕様書4Ⅰ(7)</t>
        </is>
      </c>
      <c r="F58" s="11" t="inlineStr">
        <is>
          <t>受託者</t>
        </is>
      </c>
      <c r="G58" s="13" t="inlineStr">
        <is>
          <t>報告書案</t>
        </is>
      </c>
      <c r="H58" s="13" t="inlineStr">
        <is>
          <t>A4両面約100頁</t>
        </is>
      </c>
      <c r="I58" s="11" t="inlineStr">
        <is>
          <t>R8.11</t>
        </is>
      </c>
      <c r="J58" s="14" t="n"/>
      <c r="K58" s="14" t="n"/>
      <c r="L58" s="14" t="n">
        <v>46268</v>
      </c>
      <c r="M58" s="14" t="n"/>
      <c r="N58" s="15" t="n">
        <v>0.3</v>
      </c>
      <c r="O58" s="16" t="inlineStr">
        <is>
          <t>着手</t>
        </is>
      </c>
      <c r="P58" s="13" t="inlineStr">
        <is>
          <t>★doc24として骨子案を作成（2部構成・第Ⅰ部 単純集計編／第Ⅱ部 ICF分析編）。★9/24：村の指示により仕様書どおり約100頁に統一することが決着（当初案118頁）。★9/25：圧縮の当て方を案Bで確定。調査票2種・単純集計表・自由記述の全文を電子媒体に移し資料編を25→6頁とし、浮いた頁を集計編に戻して第3章42頁・第4章21頁（計63頁）とした。1頁1.7設問で当初案118頁と同じ密度を100頁の枠内に収めた。第Ⅱ部25頁は計画の施策の根拠のため維持。設問数は削らない（仕様書4Ⅰ(7)が設問ごとのグラフを求めるため）。第9期は1頁0.9設問＝実質1設問1頁であり、採用案でも密度は約1.9倍になるためモノクロ印刷での可読性に注意を要する。本文の執筆は調査の回収・集計待ち。</t>
        </is>
      </c>
    </row>
    <row r="59" ht="30" customHeight="1">
      <c r="A59" s="23" t="inlineStr">
        <is>
          <t>Ⅰ-49</t>
        </is>
      </c>
      <c r="B59" s="24" t="inlineStr">
        <is>
          <t>Ⅰ ニーズ調査</t>
        </is>
      </c>
      <c r="C59" s="24" t="inlineStr">
        <is>
          <t>Ⅰ-6 報告書</t>
        </is>
      </c>
      <c r="D59" s="25" t="inlineStr">
        <is>
          <t>報告書の村確認・修正</t>
        </is>
      </c>
      <c r="E59" s="23" t="inlineStr">
        <is>
          <t>仕様書4Ⅰ(7)</t>
        </is>
      </c>
      <c r="F59" s="23" t="inlineStr">
        <is>
          <t>双方</t>
        </is>
      </c>
      <c r="G59" s="25" t="inlineStr">
        <is>
          <t>報告書（確定）</t>
        </is>
      </c>
      <c r="H59" s="25" t="inlineStr"/>
      <c r="I59" s="23" t="inlineStr">
        <is>
          <t>R8.11〜12</t>
        </is>
      </c>
      <c r="J59" s="26" t="n"/>
      <c r="K59" s="26" t="n"/>
      <c r="L59" s="26" t="n"/>
      <c r="M59" s="26" t="n"/>
      <c r="N59" s="27" t="n">
        <v>0</v>
      </c>
      <c r="O59" s="23" t="inlineStr">
        <is>
          <t>未着手</t>
        </is>
      </c>
      <c r="P59" s="25" t="inlineStr"/>
    </row>
    <row r="60" ht="30" customHeight="1">
      <c r="A60" s="11" t="inlineStr">
        <is>
          <t>Ⅱ-50</t>
        </is>
      </c>
      <c r="B60" s="17" t="inlineStr">
        <is>
          <t>Ⅱ 計画策定</t>
        </is>
      </c>
      <c r="C60" s="12" t="inlineStr">
        <is>
          <t>Ⅱ-1 基礎調査</t>
        </is>
      </c>
      <c r="D60" s="13" t="inlineStr">
        <is>
          <t>制度改正動向の資料収集・整理</t>
        </is>
      </c>
      <c r="E60" s="11" t="inlineStr">
        <is>
          <t>仕様書4Ⅱ(1)</t>
        </is>
      </c>
      <c r="F60" s="11" t="inlineStr">
        <is>
          <t>受託者</t>
        </is>
      </c>
      <c r="G60" s="13" t="inlineStr">
        <is>
          <t>論点整理メモ</t>
        </is>
      </c>
      <c r="H60" s="13" t="inlineStr"/>
      <c r="I60" s="11" t="inlineStr">
        <is>
          <t>R8.9〜11</t>
        </is>
      </c>
      <c r="J60" s="14" t="n"/>
      <c r="K60" s="14" t="n"/>
      <c r="L60" s="14" t="n">
        <v>46259</v>
      </c>
      <c r="M60" s="14" t="n"/>
      <c r="N60" s="15" t="n">
        <v>0.95</v>
      </c>
      <c r="O60" s="16" t="inlineStr">
        <is>
          <t>着手</t>
        </is>
      </c>
      <c r="P60" s="13" t="inlineStr">
        <is>
          <t>交付金の令和8年度配点表を入手し評価指標の改定を確認（doc20）。★議事録により令和9年度の介護報酬改定への対応方針（現行単価で試算→単価確定後に補正）が決着。第10期の国の基本指針は告示待ち。★9/12：社会福祉法等の一部を改正する法律（令和8年法律第51号）の7件を素案1-8に新設して反映。あわせて中山間・人口減少地域（特定地域）の指定基準を整理し、本村は75歳以上人口526人・密度5人/km²未満により基準②に該当する見込みと判定。村内に事業所がないサービスへの対応手段になるため、指定を受ける意向を依頼書45-1として確認する。</t>
        </is>
      </c>
    </row>
    <row r="61" ht="30" customHeight="1">
      <c r="A61" s="23" t="inlineStr">
        <is>
          <t>Ⅱ-51</t>
        </is>
      </c>
      <c r="B61" s="24" t="inlineStr">
        <is>
          <t>Ⅱ 計画策定</t>
        </is>
      </c>
      <c r="C61" s="24" t="inlineStr">
        <is>
          <t>Ⅱ-1 基礎調査</t>
        </is>
      </c>
      <c r="D61" s="25" t="inlineStr">
        <is>
          <t>第10期国の基本指針の確認・反映</t>
        </is>
      </c>
      <c r="E61" s="23" t="inlineStr">
        <is>
          <t>仕様書4Ⅱ(1)</t>
        </is>
      </c>
      <c r="F61" s="23" t="inlineStr">
        <is>
          <t>受託者</t>
        </is>
      </c>
      <c r="G61" s="25" t="inlineStr">
        <is>
          <t>基本指針対応表</t>
        </is>
      </c>
      <c r="H61" s="25" t="inlineStr">
        <is>
          <t>令和8年内告示予定。遅延時は暫定版で作業</t>
        </is>
      </c>
      <c r="I61" s="23" t="inlineStr">
        <is>
          <t>R8.11〜</t>
        </is>
      </c>
      <c r="J61" s="26" t="n"/>
      <c r="K61" s="26" t="n"/>
      <c r="L61" s="26" t="n"/>
      <c r="M61" s="26" t="n"/>
      <c r="N61" s="27" t="n">
        <v>0</v>
      </c>
      <c r="O61" s="23" t="inlineStr">
        <is>
          <t>未着手</t>
        </is>
      </c>
      <c r="P61" s="25" t="inlineStr">
        <is>
          <t>国の基本指針が未告示のため着手不可。告示後ただちに反映。</t>
        </is>
      </c>
    </row>
    <row r="62" ht="30" customHeight="1">
      <c r="A62" s="4" t="inlineStr">
        <is>
          <t>Ⅱ-52</t>
        </is>
      </c>
      <c r="B62" s="6" t="inlineStr">
        <is>
          <t>Ⅱ 計画策定</t>
        </is>
      </c>
      <c r="C62" s="6" t="inlineStr">
        <is>
          <t>Ⅱ-1 基礎調査</t>
        </is>
      </c>
      <c r="D62" s="7" t="inlineStr">
        <is>
          <t>前提条件と基本的課題の明確化</t>
        </is>
      </c>
      <c r="E62" s="4" t="inlineStr">
        <is>
          <t>仕様書4Ⅱ(1)</t>
        </is>
      </c>
      <c r="F62" s="4" t="inlineStr">
        <is>
          <t>受託者</t>
        </is>
      </c>
      <c r="G62" s="7" t="inlineStr">
        <is>
          <t>課題整理メモ</t>
        </is>
      </c>
      <c r="H62" s="7" t="inlineStr"/>
      <c r="I62" s="4" t="inlineStr">
        <is>
          <t>R8.11</t>
        </is>
      </c>
      <c r="J62" s="8" t="n"/>
      <c r="K62" s="8" t="n"/>
      <c r="L62" s="8" t="n">
        <v>46265</v>
      </c>
      <c r="M62" s="8" t="n">
        <v>46265</v>
      </c>
      <c r="N62" s="9" t="n">
        <v>1</v>
      </c>
      <c r="O62" s="10" t="inlineStr">
        <is>
          <t>完了</t>
        </is>
      </c>
      <c r="P62" s="7" t="inlineStr">
        <is>
          <t>doc11として整理完了。前提条件4区分＋基本的課題5本。国の基本指針は未告示のため告示後に追記。</t>
        </is>
      </c>
    </row>
    <row r="63" ht="30" customHeight="1">
      <c r="A63" s="11" t="inlineStr">
        <is>
          <t>Ⅱ-53</t>
        </is>
      </c>
      <c r="B63" s="12" t="inlineStr">
        <is>
          <t>Ⅱ 計画策定</t>
        </is>
      </c>
      <c r="C63" s="12" t="inlineStr">
        <is>
          <t>Ⅱ-2 現行計画の評価</t>
        </is>
      </c>
      <c r="D63" s="13" t="inlineStr">
        <is>
          <t>高齢者福祉事業等の実績資料の受領</t>
        </is>
      </c>
      <c r="E63" s="11" t="inlineStr">
        <is>
          <t>仕様書4Ⅱ(2)①</t>
        </is>
      </c>
      <c r="F63" s="11" t="inlineStr">
        <is>
          <t>北塩原村</t>
        </is>
      </c>
      <c r="G63" s="13" t="inlineStr">
        <is>
          <t>実績資料</t>
        </is>
      </c>
      <c r="H63" s="13" t="inlineStr">
        <is>
          <t>R6年度実績、可能であればR7年度</t>
        </is>
      </c>
      <c r="I63" s="11" t="inlineStr">
        <is>
          <t>R8.10〜11</t>
        </is>
      </c>
      <c r="J63" s="14" t="n"/>
      <c r="K63" s="14" t="n"/>
      <c r="L63" s="14" t="n">
        <v>46272</v>
      </c>
      <c r="M63" s="14" t="n"/>
      <c r="N63" s="15" t="n">
        <v>0.55</v>
      </c>
      <c r="O63" s="16" t="inlineStr">
        <is>
          <t>着手</t>
        </is>
      </c>
      <c r="P63"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64" ht="30" customHeight="1">
      <c r="A64" s="11" t="inlineStr">
        <is>
          <t>Ⅱ-54</t>
        </is>
      </c>
      <c r="B64" s="12" t="inlineStr">
        <is>
          <t>Ⅱ 計画策定</t>
        </is>
      </c>
      <c r="C64" s="12" t="inlineStr">
        <is>
          <t>Ⅱ-2 現行計画の評価</t>
        </is>
      </c>
      <c r="D64" s="13" t="inlineStr">
        <is>
          <t>高齢者福祉事業等の実施状況の把握と課題整理</t>
        </is>
      </c>
      <c r="E64" s="11" t="inlineStr">
        <is>
          <t>仕様書4Ⅱ(2)①</t>
        </is>
      </c>
      <c r="F64" s="11" t="inlineStr">
        <is>
          <t>受託者</t>
        </is>
      </c>
      <c r="G64" s="13" t="inlineStr">
        <is>
          <t>評価シート</t>
        </is>
      </c>
      <c r="H64" s="13" t="inlineStr"/>
      <c r="I64" s="11" t="inlineStr">
        <is>
          <t>R8.11</t>
        </is>
      </c>
      <c r="J64" s="14" t="n"/>
      <c r="K64" s="14" t="n"/>
      <c r="L64" s="14" t="n">
        <v>46267</v>
      </c>
      <c r="M64" s="14" t="n"/>
      <c r="N64" s="15" t="n">
        <v>0.85</v>
      </c>
      <c r="O64" s="16" t="inlineStr">
        <is>
          <t>着手</t>
        </is>
      </c>
      <c r="P64"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t>
        </is>
      </c>
    </row>
    <row r="65" ht="30" customHeight="1">
      <c r="A65" s="11" t="inlineStr">
        <is>
          <t>Ⅱ-55</t>
        </is>
      </c>
      <c r="B65" s="12" t="inlineStr">
        <is>
          <t>Ⅱ 計画策定</t>
        </is>
      </c>
      <c r="C65" s="12" t="inlineStr">
        <is>
          <t>Ⅱ-2 現行計画の評価</t>
        </is>
      </c>
      <c r="D65" s="13" t="inlineStr">
        <is>
          <t>介護保険給付統計の取りまとめ</t>
        </is>
      </c>
      <c r="E65" s="11" t="inlineStr">
        <is>
          <t>仕様書4Ⅱ(2)②</t>
        </is>
      </c>
      <c r="F65" s="11" t="inlineStr">
        <is>
          <t>受託者</t>
        </is>
      </c>
      <c r="G65" s="13" t="inlineStr">
        <is>
          <t>統計表</t>
        </is>
      </c>
      <c r="H65" s="13" t="inlineStr"/>
      <c r="I65" s="11" t="inlineStr">
        <is>
          <t>R8.11</t>
        </is>
      </c>
      <c r="J65" s="14" t="n"/>
      <c r="K65" s="14" t="n"/>
      <c r="L65" s="14" t="n">
        <v>46265</v>
      </c>
      <c r="M65" s="14" t="n"/>
      <c r="N65" s="15" t="n">
        <v>0.85</v>
      </c>
      <c r="O65" s="16" t="inlineStr">
        <is>
          <t>着手</t>
        </is>
      </c>
      <c r="P65" s="13" t="inlineStr">
        <is>
          <t>D系給付費・K系施設数・D47/D48特別会計決算まで整理済（doc02）。令和6年度決算が未入手。★9/24：介護サービス自給率（δ2・δ2-a〜e）が取得済みでありながら未使用であったため素案2-5に投入した（doc38§A-1）。村外利用の割合を測る最も直接的な指標であり、短期入所系0%は村内に事業所がないことの裏づけになる。</t>
        </is>
      </c>
    </row>
    <row r="66" ht="30" customHeight="1">
      <c r="A66" s="11" t="inlineStr">
        <is>
          <t>Ⅱ-56</t>
        </is>
      </c>
      <c r="B66" s="12" t="inlineStr">
        <is>
          <t>Ⅱ 計画策定</t>
        </is>
      </c>
      <c r="C66" s="12" t="inlineStr">
        <is>
          <t>Ⅱ-2 現行計画の評価</t>
        </is>
      </c>
      <c r="D66" s="13" t="inlineStr">
        <is>
          <t>計画数値の評価（計画値と実績の乖離分析）</t>
        </is>
      </c>
      <c r="E66" s="11" t="inlineStr">
        <is>
          <t>仕様書4Ⅱ(2)②</t>
        </is>
      </c>
      <c r="F66" s="11" t="inlineStr">
        <is>
          <t>受託者</t>
        </is>
      </c>
      <c r="G66" s="13" t="inlineStr">
        <is>
          <t>乖離分析表</t>
        </is>
      </c>
      <c r="H66" s="13" t="inlineStr">
        <is>
          <t>第9期は第1号被保険者数を過小推計（-5.6〜-6.8%）</t>
        </is>
      </c>
      <c r="I66" s="11" t="inlineStr">
        <is>
          <t>R8.11</t>
        </is>
      </c>
      <c r="J66" s="14" t="n"/>
      <c r="K66" s="14" t="n"/>
      <c r="L66" s="14" t="n">
        <v>46265</v>
      </c>
      <c r="M66" s="14" t="n"/>
      <c r="N66" s="15" t="n">
        <v>0.9</v>
      </c>
      <c r="O66" s="16" t="inlineStr">
        <is>
          <t>着手</t>
        </is>
      </c>
      <c r="P66" s="13" t="inlineStr">
        <is>
          <t>doc12として計画書掲載様式（表2-16〜2-19）に整理完了。令和6年度決算と地域支援事業費の集計範囲の確認で確定。</t>
        </is>
      </c>
    </row>
    <row r="67" ht="30" customHeight="1">
      <c r="A67" s="4" t="inlineStr">
        <is>
          <t>Ⅱ-57</t>
        </is>
      </c>
      <c r="B67" s="6" t="inlineStr">
        <is>
          <t>Ⅱ 計画策定</t>
        </is>
      </c>
      <c r="C67" s="6" t="inlineStr">
        <is>
          <t>Ⅱ-2 現行計画の評価</t>
        </is>
      </c>
      <c r="D67" s="7" t="inlineStr">
        <is>
          <t>課題の整理</t>
        </is>
      </c>
      <c r="E67" s="4" t="inlineStr">
        <is>
          <t>仕様書4Ⅱ(2)</t>
        </is>
      </c>
      <c r="F67" s="4" t="inlineStr">
        <is>
          <t>受託者</t>
        </is>
      </c>
      <c r="G67" s="7" t="inlineStr">
        <is>
          <t>課題一覧</t>
        </is>
      </c>
      <c r="H67" s="7" t="inlineStr"/>
      <c r="I67" s="4" t="inlineStr">
        <is>
          <t>R8.11</t>
        </is>
      </c>
      <c r="J67" s="8" t="n"/>
      <c r="K67" s="8" t="n"/>
      <c r="L67" s="8" t="n">
        <v>46265</v>
      </c>
      <c r="M67" s="8" t="n">
        <v>46265</v>
      </c>
      <c r="N67" s="9" t="n">
        <v>1</v>
      </c>
      <c r="O67" s="10" t="inlineStr">
        <is>
          <t>完了</t>
        </is>
      </c>
      <c r="P67" s="7" t="inlineStr">
        <is>
          <t>doc11で基本的課題5本に集約完了。各課題を交付金評価指標と対応づけ。</t>
        </is>
      </c>
    </row>
    <row r="68" ht="30" customHeight="1">
      <c r="A68" s="4" t="inlineStr">
        <is>
          <t>Ⅱ-58</t>
        </is>
      </c>
      <c r="B68" s="6" t="inlineStr">
        <is>
          <t>Ⅱ 計画策定</t>
        </is>
      </c>
      <c r="C68" s="6" t="inlineStr">
        <is>
          <t>Ⅱ-3 見込量・保険料</t>
        </is>
      </c>
      <c r="D68" s="7" t="inlineStr">
        <is>
          <t>将来人口の整理（2040年度含む中長期）</t>
        </is>
      </c>
      <c r="E68" s="4" t="inlineStr">
        <is>
          <t>仕様書4Ⅱ(3)</t>
        </is>
      </c>
      <c r="F68" s="4" t="inlineStr">
        <is>
          <t>受託者</t>
        </is>
      </c>
      <c r="G68" s="7" t="inlineStr">
        <is>
          <t>人口推計表</t>
        </is>
      </c>
      <c r="H68" s="7" t="inlineStr">
        <is>
          <t>社人研の新推計（2050年まで）に差し替え</t>
        </is>
      </c>
      <c r="I68" s="4" t="inlineStr">
        <is>
          <t>R8.11〜12</t>
        </is>
      </c>
      <c r="J68" s="8" t="n"/>
      <c r="K68" s="8" t="n"/>
      <c r="L68" s="8" t="n">
        <v>46265</v>
      </c>
      <c r="M68" s="8" t="n">
        <v>46272</v>
      </c>
      <c r="N68" s="9" t="n">
        <v>1</v>
      </c>
      <c r="O68" s="10" t="inlineStr">
        <is>
          <t>完了</t>
        </is>
      </c>
      <c r="P68" s="7" t="inlineStr">
        <is>
          <t>★doc13で整理。9/7に厚労省配布の第10期将来推計用人口推計（住基ベース・令和22年まで）を受領し確定。福島県では社人研の市町村別推計が公表されておらず、国が住基ベース推計を配布していることが判明（doc28§1-1）。</t>
        </is>
      </c>
    </row>
    <row r="69" ht="30" customHeight="1">
      <c r="A69" s="11" t="inlineStr">
        <is>
          <t>Ⅱ-59</t>
        </is>
      </c>
      <c r="B69" s="12" t="inlineStr">
        <is>
          <t>Ⅱ 計画策定</t>
        </is>
      </c>
      <c r="C69" s="12" t="inlineStr">
        <is>
          <t>Ⅱ-3 見込量・保険料</t>
        </is>
      </c>
      <c r="D69" s="13" t="inlineStr">
        <is>
          <t>第1号被保険者数の推計</t>
        </is>
      </c>
      <c r="E69" s="11" t="inlineStr">
        <is>
          <t>仕様書4Ⅱ(3)①</t>
        </is>
      </c>
      <c r="F69" s="11" t="inlineStr">
        <is>
          <t>受託者</t>
        </is>
      </c>
      <c r="G69" s="13" t="inlineStr">
        <is>
          <t>推計表</t>
        </is>
      </c>
      <c r="H69" s="13" t="inlineStr">
        <is>
          <t>第9期の過小推計を直近実績で補正</t>
        </is>
      </c>
      <c r="I69" s="11" t="inlineStr">
        <is>
          <t>R8.11〜12</t>
        </is>
      </c>
      <c r="J69" s="14" t="n"/>
      <c r="K69" s="14" t="n"/>
      <c r="L69" s="14" t="n">
        <v>46265</v>
      </c>
      <c r="M69" s="14" t="n"/>
      <c r="N69" s="15" t="n">
        <v>0.92</v>
      </c>
      <c r="O69" s="16" t="inlineStr">
        <is>
          <t>着手</t>
        </is>
      </c>
      <c r="P69"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t>
        </is>
      </c>
    </row>
    <row r="70" ht="30" customHeight="1">
      <c r="A70" s="11" t="inlineStr">
        <is>
          <t>Ⅱ-60</t>
        </is>
      </c>
      <c r="B70" s="12" t="inlineStr">
        <is>
          <t>Ⅱ 計画策定</t>
        </is>
      </c>
      <c r="C70" s="12" t="inlineStr">
        <is>
          <t>Ⅱ-3 見込量・保険料</t>
        </is>
      </c>
      <c r="D70" s="13" t="inlineStr">
        <is>
          <t>要介護者数の推計</t>
        </is>
      </c>
      <c r="E70" s="11" t="inlineStr">
        <is>
          <t>仕様書4Ⅱ(3)①</t>
        </is>
      </c>
      <c r="F70" s="11" t="inlineStr">
        <is>
          <t>受託者</t>
        </is>
      </c>
      <c r="G70" s="13" t="inlineStr">
        <is>
          <t>推計表</t>
        </is>
      </c>
      <c r="H70" s="13" t="inlineStr">
        <is>
          <t>要支援1の急増（39→51人）を反映</t>
        </is>
      </c>
      <c r="I70" s="11" t="inlineStr">
        <is>
          <t>R8.11〜12</t>
        </is>
      </c>
      <c r="J70" s="14" t="n"/>
      <c r="K70" s="14" t="n"/>
      <c r="L70" s="14" t="n">
        <v>46265</v>
      </c>
      <c r="M70" s="14" t="n"/>
      <c r="N70" s="15" t="n">
        <v>0.9</v>
      </c>
      <c r="O70" s="16" t="inlineStr">
        <is>
          <t>着手</t>
        </is>
      </c>
      <c r="P70"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t>
        </is>
      </c>
    </row>
    <row r="71" ht="30" customHeight="1">
      <c r="A71" s="11" t="inlineStr">
        <is>
          <t>Ⅱ-61</t>
        </is>
      </c>
      <c r="B71" s="12" t="inlineStr">
        <is>
          <t>Ⅱ 計画策定</t>
        </is>
      </c>
      <c r="C71" s="12" t="inlineStr">
        <is>
          <t>Ⅱ-3 見込量・保険料</t>
        </is>
      </c>
      <c r="D71" s="13" t="inlineStr">
        <is>
          <t>各介護保険サービス見込量の推計</t>
        </is>
      </c>
      <c r="E71" s="11" t="inlineStr">
        <is>
          <t>仕様書4Ⅱ(3)②</t>
        </is>
      </c>
      <c r="F71" s="11" t="inlineStr">
        <is>
          <t>受託者</t>
        </is>
      </c>
      <c r="G71" s="13" t="inlineStr">
        <is>
          <t>見込量表</t>
        </is>
      </c>
      <c r="H71" s="13" t="inlineStr">
        <is>
          <t>居宅・施設・地域密着型・総合事業。村外利用を考慮</t>
        </is>
      </c>
      <c r="I71" s="11" t="inlineStr">
        <is>
          <t>R8.12</t>
        </is>
      </c>
      <c r="J71" s="14" t="n"/>
      <c r="K71" s="14" t="n"/>
      <c r="L71" s="14" t="n">
        <v>46272</v>
      </c>
      <c r="M71" s="14" t="n"/>
      <c r="N71" s="15" t="n">
        <v>0.95</v>
      </c>
      <c r="O71" s="16" t="inlineStr">
        <is>
          <t>着手</t>
        </is>
      </c>
      <c r="P71"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9/24：他案件（大雪・川崎）のブランチを確認し、大雪の点検から5点を採った（doc37）。(1)利用率の分母を実データで検算（verify_bunbo.py）。見える化のサービス利用率の分母は要介護度別認定者数であり本村の算定と整合、直すところはなかった。ただし国の将来推計が在宅の分母を「認定者数−施設・居住系」とする場合要介護1で58.8%→86.1%、要介護2で107.7%（100%超）に変わるため、ワークシート受領時に確認を要する。要介護2の3区分合計が101.5%で、年度途中の在宅→施設の移行による重複1.5%が判明。(2)単価の趨勢と介護報酬改定率の二重計上を防ぐ断りを5-4(10)①に追加。趨勢は改定を含む実測値のため両者は択一。(3)供給の制約（村内定員の到達率）を算定（estimate_supply.py）。GH令和11年度90.7%・通所介護83.6%で超過なし。年報は施設の所在地を問わないため到達率は上限ではないことを明記。5-4(5)として新設。</t>
        </is>
      </c>
    </row>
    <row r="72" ht="30" customHeight="1">
      <c r="A72" s="11" t="inlineStr">
        <is>
          <t>Ⅱ-105</t>
        </is>
      </c>
      <c r="B72" s="12" t="inlineStr">
        <is>
          <t>Ⅱ 計画策定</t>
        </is>
      </c>
      <c r="C72" s="12" t="inlineStr">
        <is>
          <t>Ⅱ-3 見込量・保険料</t>
        </is>
      </c>
      <c r="D72" s="13" t="inlineStr">
        <is>
          <t>地域密着型サービスの必要利用定員総数の設定</t>
        </is>
      </c>
      <c r="E72" s="11" t="inlineStr">
        <is>
          <t>仕様書4Ⅱ(3)②</t>
        </is>
      </c>
      <c r="F72" s="11" t="inlineStr">
        <is>
          <t>受託者</t>
        </is>
      </c>
      <c r="G72" s="13" t="inlineStr">
        <is>
          <t>定員総数表</t>
        </is>
      </c>
      <c r="H72" s="13" t="inlineStr">
        <is>
          <t>介護保険法117条2項1号（義務）。本村に関係するのは認知症対応型共同生活介護のみ</t>
        </is>
      </c>
      <c r="I72" s="11" t="inlineStr">
        <is>
          <t>R8.12</t>
        </is>
      </c>
      <c r="J72" s="14" t="n"/>
      <c r="K72" s="14" t="n"/>
      <c r="L72" s="14" t="n">
        <v>46275</v>
      </c>
      <c r="M72" s="14" t="n"/>
      <c r="N72" s="15" t="n">
        <v>0.7</v>
      </c>
      <c r="O72" s="16" t="inlineStr">
        <is>
          <t>着手</t>
        </is>
      </c>
      <c r="P72" s="13" t="inlineStr">
        <is>
          <t>★介護保険法117条2項1号の義務的記載事項。doc32で欠落を検出し素案5-4(6)に新設した。本村に関係するのは認知症対応型共同生活介護のみで27人を仮置き。稼働率93%・第10期は居住系が増加見込みで村内に余地がないため、増床・村外対応・在宅対応のいずれを取るかは村の判断を要する（確認事項 優先度B）。</t>
        </is>
      </c>
    </row>
    <row r="73" ht="30" customHeight="1">
      <c r="A73" s="11" t="inlineStr">
        <is>
          <t>Ⅱ-106</t>
        </is>
      </c>
      <c r="B73" s="12" t="inlineStr">
        <is>
          <t>Ⅱ 計画策定</t>
        </is>
      </c>
      <c r="C73" s="12" t="inlineStr">
        <is>
          <t>Ⅱ-3 見込量・保険料</t>
        </is>
      </c>
      <c r="D73" s="13" t="inlineStr">
        <is>
          <t>地域支援事業の量の見込みと事業費の算定</t>
        </is>
      </c>
      <c r="E73" s="11" t="inlineStr">
        <is>
          <t>仕様書4Ⅱ(3)②</t>
        </is>
      </c>
      <c r="F73" s="11" t="inlineStr">
        <is>
          <t>受託者</t>
        </is>
      </c>
      <c r="G73" s="13" t="inlineStr">
        <is>
          <t>地域支援事業費表</t>
        </is>
      </c>
      <c r="H73" s="13" t="inlineStr">
        <is>
          <t>介護保険法117条2項2号（義務）。総合事業・包括的支援事業・任意事業。保険料の構成要素でもある</t>
        </is>
      </c>
      <c r="I73" s="11" t="inlineStr">
        <is>
          <t>R8.12</t>
        </is>
      </c>
      <c r="J73" s="14" t="n"/>
      <c r="K73" s="14" t="n"/>
      <c r="L73" s="14" t="n">
        <v>46280</v>
      </c>
      <c r="M73" s="14" t="n"/>
      <c r="N73" s="15" t="n">
        <v>0.8</v>
      </c>
      <c r="O73" s="16" t="inlineStr">
        <is>
          <t>着手</t>
        </is>
      </c>
      <c r="P73" s="13" t="inlineStr">
        <is>
          <t>★介護保険法117条2項2号の義務的記載事項。estimate_chiiki_shien.py により第10期3か年122,737千円を算定し素案5-5に投入（保険料月額+22円）。認定者数と第1号被保険者数の両方に連動させる方式。事業別の内訳（総合事業・包括的支援事業・任意事業）は村の実績が未受領のため空欄が残る。</t>
        </is>
      </c>
    </row>
    <row r="74" ht="30" customHeight="1">
      <c r="A74" s="11" t="inlineStr">
        <is>
          <t>Ⅱ-62</t>
        </is>
      </c>
      <c r="B74" s="12" t="inlineStr">
        <is>
          <t>Ⅱ 計画策定</t>
        </is>
      </c>
      <c r="C74" s="12" t="inlineStr">
        <is>
          <t>Ⅱ-3 見込量・保険料</t>
        </is>
      </c>
      <c r="D74" s="13" t="inlineStr">
        <is>
          <t>給付費の試算</t>
        </is>
      </c>
      <c r="E74" s="11" t="inlineStr">
        <is>
          <t>仕様書4Ⅱ(3)③</t>
        </is>
      </c>
      <c r="F74" s="11" t="inlineStr">
        <is>
          <t>受託者</t>
        </is>
      </c>
      <c r="G74" s="13" t="inlineStr">
        <is>
          <t>給付費試算表</t>
        </is>
      </c>
      <c r="H74" s="13" t="inlineStr">
        <is>
          <t>R9年度報酬改定は現行単価で仮試算→確定後に精緻化</t>
        </is>
      </c>
      <c r="I74" s="11" t="inlineStr">
        <is>
          <t>R8.12</t>
        </is>
      </c>
      <c r="J74" s="14" t="n"/>
      <c r="K74" s="14" t="n"/>
      <c r="L74" s="14" t="n">
        <v>46265</v>
      </c>
      <c r="M74" s="14" t="n"/>
      <c r="N74" s="15" t="n">
        <v>0.85</v>
      </c>
      <c r="O74" s="16" t="inlineStr">
        <is>
          <t>着手</t>
        </is>
      </c>
      <c r="P74"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t>
        </is>
      </c>
    </row>
    <row r="75" ht="30" customHeight="1">
      <c r="A75" s="11" t="inlineStr">
        <is>
          <t>Ⅱ-63</t>
        </is>
      </c>
      <c r="B75" s="12" t="inlineStr">
        <is>
          <t>Ⅱ 計画策定</t>
        </is>
      </c>
      <c r="C75" s="12" t="inlineStr">
        <is>
          <t>Ⅱ-3 見込量・保険料</t>
        </is>
      </c>
      <c r="D75" s="13" t="inlineStr">
        <is>
          <t>介護保険準備基金の残高・取崩方針の確認</t>
        </is>
      </c>
      <c r="E75" s="11" t="inlineStr">
        <is>
          <t>確認</t>
        </is>
      </c>
      <c r="F75" s="11" t="inlineStr">
        <is>
          <t>北塩原村</t>
        </is>
      </c>
      <c r="G75" s="13" t="inlineStr">
        <is>
          <t>基金残高資料</t>
        </is>
      </c>
      <c r="H75" s="13" t="inlineStr">
        <is>
          <t>第9期は設定額が必要額を上回る（R6+709円/R7+199円）</t>
        </is>
      </c>
      <c r="I75" s="11" t="inlineStr">
        <is>
          <t>R8.12</t>
        </is>
      </c>
      <c r="J75" s="14" t="n"/>
      <c r="K75" s="14" t="n"/>
      <c r="L75" s="14" t="n">
        <v>46267</v>
      </c>
      <c r="M75" s="14" t="n"/>
      <c r="N75" s="15" t="n">
        <v>0.3</v>
      </c>
      <c r="O75" s="16" t="inlineStr">
        <is>
          <t>確認中</t>
        </is>
      </c>
      <c r="P75"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t>
        </is>
      </c>
    </row>
    <row r="76" ht="30" customHeight="1">
      <c r="A76" s="11" t="inlineStr">
        <is>
          <t>Ⅱ-64</t>
        </is>
      </c>
      <c r="B76" s="12" t="inlineStr">
        <is>
          <t>Ⅱ 計画策定</t>
        </is>
      </c>
      <c r="C76" s="12" t="inlineStr">
        <is>
          <t>Ⅱ-3 見込量・保険料</t>
        </is>
      </c>
      <c r="D76" s="13" t="inlineStr">
        <is>
          <t>介護保険料の試算（複数案の比較）</t>
        </is>
      </c>
      <c r="E76" s="11" t="inlineStr">
        <is>
          <t>仕様書4Ⅱ(3)③</t>
        </is>
      </c>
      <c r="F76" s="11" t="inlineStr">
        <is>
          <t>受託者</t>
        </is>
      </c>
      <c r="G76" s="13" t="inlineStr">
        <is>
          <t>保険料試算表</t>
        </is>
      </c>
      <c r="H76" s="13" t="inlineStr">
        <is>
          <t>所得段階・基金活用・上限の設定を反映</t>
        </is>
      </c>
      <c r="I76" s="11" t="inlineStr">
        <is>
          <t>R8.12〜R9.1</t>
        </is>
      </c>
      <c r="J76" s="14" t="n"/>
      <c r="K76" s="14" t="n"/>
      <c r="L76" s="14" t="n">
        <v>46272</v>
      </c>
      <c r="M76" s="14" t="n"/>
      <c r="N76" s="15" t="n">
        <v>0.85</v>
      </c>
      <c r="O76" s="16" t="inlineStr">
        <is>
          <t>着手</t>
        </is>
      </c>
      <c r="P76"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9/24：年度別の保険料収納必要額を算定し素案5-7に新設（doc37§6）。令和9年度6,704円→令和11年度6,799円で95円上がる。給付費が横ばいで第1号被保険者数が1.7%減るため。3か年平均6,756円との差は令和9年度+596千円（余り）・令和10年度▲109千円・令和11年度▲486千円。第10期末の基金残高を見込むには期首残高が必要（未受領）。年度別の過不足は給付費が1%振れるだけで逆転する程度（年間約680千円）であり、基金の役割は年度間の均衡よりも推計の誤差（絶対値平均11.9%）の吸収にある。</t>
        </is>
      </c>
    </row>
    <row r="77" ht="30" customHeight="1">
      <c r="A77" s="11" t="inlineStr">
        <is>
          <t>Ⅱ-107</t>
        </is>
      </c>
      <c r="B77" s="12" t="inlineStr">
        <is>
          <t>Ⅱ 計画策定</t>
        </is>
      </c>
      <c r="C77" s="12" t="inlineStr">
        <is>
          <t>Ⅱ-3 見込量・保険料</t>
        </is>
      </c>
      <c r="D77" s="13" t="inlineStr">
        <is>
          <t>所得段階の設定（段階数・保険料率・低所得者軽減）</t>
        </is>
      </c>
      <c r="E77" s="11" t="inlineStr">
        <is>
          <t>仕様書4Ⅱ(3)③</t>
        </is>
      </c>
      <c r="F77" s="11" t="inlineStr">
        <is>
          <t>受託者</t>
        </is>
      </c>
      <c r="G77" s="13" t="inlineStr">
        <is>
          <t>段階別保険料表</t>
        </is>
      </c>
      <c r="H77" s="13" t="inlineStr">
        <is>
          <t>第9期は13段階。令和8年度合計所得金額分布調査（13段階・1,015人）を用いる</t>
        </is>
      </c>
      <c r="I77" s="11" t="inlineStr">
        <is>
          <t>R8.12〜R9.1</t>
        </is>
      </c>
      <c r="J77" s="14" t="n"/>
      <c r="K77" s="14" t="n"/>
      <c r="L77" s="14" t="n">
        <v>46272</v>
      </c>
      <c r="M77" s="14" t="n"/>
      <c r="N77" s="15" t="n">
        <v>0.6</v>
      </c>
      <c r="O77" s="16" t="inlineStr">
        <is>
          <t>着手</t>
        </is>
      </c>
      <c r="P77" s="13" t="inlineStr">
        <is>
          <t>★令和8年度合計所得金額分布調査（13段階・1,015人・10万円刻み）を受領済（doc28§2）。第9期の13段階を踏襲するか区切りを見直すかは未決で、見直す場合の影響試算に同データを用いる。素案5-7に13段階の枠を作成済。</t>
        </is>
      </c>
    </row>
    <row r="78" ht="30" customHeight="1">
      <c r="A78" s="4" t="inlineStr">
        <is>
          <t>Ⅱ-108</t>
        </is>
      </c>
      <c r="B78" s="6" t="inlineStr">
        <is>
          <t>Ⅱ 計画策定</t>
        </is>
      </c>
      <c r="C78" s="6" t="inlineStr">
        <is>
          <t>Ⅱ-3 見込量・保険料</t>
        </is>
      </c>
      <c r="D78" s="7" t="inlineStr">
        <is>
          <t>中長期（令和17・22年度）の保険料見通しの算定</t>
        </is>
      </c>
      <c r="E78" s="4" t="inlineStr">
        <is>
          <t>仕様書4Ⅱ(3)③</t>
        </is>
      </c>
      <c r="F78" s="4" t="inlineStr">
        <is>
          <t>受託者</t>
        </is>
      </c>
      <c r="G78" s="7" t="inlineStr">
        <is>
          <t>中長期見通し表</t>
        </is>
      </c>
      <c r="H78" s="7" t="inlineStr">
        <is>
          <t>国の基本指針が2040年度・2050年度を見据えた推計を求める</t>
        </is>
      </c>
      <c r="I78" s="4" t="inlineStr">
        <is>
          <t>R8.12〜R9.1</t>
        </is>
      </c>
      <c r="J78" s="8" t="n"/>
      <c r="K78" s="8" t="n"/>
      <c r="L78" s="8" t="n">
        <v>46280</v>
      </c>
      <c r="M78" s="8" t="n">
        <v>46280</v>
      </c>
      <c r="N78" s="9" t="n">
        <v>1</v>
      </c>
      <c r="O78" s="10" t="inlineStr">
        <is>
          <t>完了</t>
        </is>
      </c>
      <c r="P78" s="7" t="inlineStr">
        <is>
          <t>★estimate_longterm.py により算定し素案5-11の【要確認】を解消。第1号負担割合αを23%に据え置くと令和22年度6,883円、3年ごとに1ポイント上がると8,379円。補助給付等は令和11年度に令和5年度決算を置きサービス諸費に比例させた。</t>
        </is>
      </c>
    </row>
    <row r="79" ht="30" customHeight="1">
      <c r="A79" s="11" t="inlineStr">
        <is>
          <t>Ⅱ-65</t>
        </is>
      </c>
      <c r="B79" s="12" t="inlineStr">
        <is>
          <t>Ⅱ 計画策定</t>
        </is>
      </c>
      <c r="C79" s="12" t="inlineStr">
        <is>
          <t>Ⅱ-3 見込量・保険料</t>
        </is>
      </c>
      <c r="D79" s="13" t="inlineStr">
        <is>
          <t>成果目標及び活動指標の設定</t>
        </is>
      </c>
      <c r="E79" s="11" t="inlineStr">
        <is>
          <t>仕様書4Ⅱ(3)④</t>
        </is>
      </c>
      <c r="F79" s="11" t="inlineStr">
        <is>
          <t>受託者</t>
        </is>
      </c>
      <c r="G79" s="13" t="inlineStr">
        <is>
          <t>指標一覧</t>
        </is>
      </c>
      <c r="H79" s="13" t="inlineStr">
        <is>
          <t>第9期実績との接続。達成可能性の検証を併せて実施</t>
        </is>
      </c>
      <c r="I79" s="11" t="inlineStr">
        <is>
          <t>R8.12〜R9.1</t>
        </is>
      </c>
      <c r="J79" s="14" t="n"/>
      <c r="K79" s="14" t="n"/>
      <c r="L79" s="14" t="n">
        <v>46268</v>
      </c>
      <c r="M79" s="14" t="n"/>
      <c r="N79" s="15" t="n">
        <v>0.85</v>
      </c>
      <c r="O79" s="16" t="inlineStr">
        <is>
          <t>着手</t>
        </is>
      </c>
      <c r="P79" s="13" t="inlineStr">
        <is>
          <t>★交付金の配点表・全国集計3か年の受領により、満点・全国平均・県平均・全国順位が判明（doc20）。★9/3：資料7として成果目標6指標・活動指標13指標を設定し、うち11指標の現状値を確定（通いの場23か所281人・参加率12.2%、多様なサービス事業費割合0.0%、サポーター約237人、ステップアップ講座0人、縦覧点検4帳票、給付費通知300件/年、地域ケア会議年6回、SC参加割合50.0%、認定率21.1%、要支援1が51人 ほか）。目標値は調査結果の確定後に設定。交付金の得点は数値目標に置かず進捗管理の仕組みを書く方針。★9/15：令和8年度の交付金評価指標で検算し、素案6-3に本村の得点と全国平均を併記。全国平均を上回る6指標は「維持」、下回る5指標は「引上げ」に整理した。引上げを要するのは要介護3〜5の状態の変化（0点／40点・20点）、総合事業の多様なサービス（0点／13点）、認知症サポーターのステップアップ講座（0点／12点）。目標値は第2回策定委員会で設定する。</t>
        </is>
      </c>
    </row>
    <row r="80" ht="30" customHeight="1">
      <c r="A80" s="11" t="inlineStr">
        <is>
          <t>Ⅱ-109</t>
        </is>
      </c>
      <c r="B80" s="12" t="inlineStr">
        <is>
          <t>Ⅱ 計画策定</t>
        </is>
      </c>
      <c r="C80" s="12" t="inlineStr">
        <is>
          <t>Ⅱ-3 見込量・保険料</t>
        </is>
      </c>
      <c r="D80" s="13" t="inlineStr">
        <is>
          <t>給付適正化に係る取組内容と目標の設定</t>
        </is>
      </c>
      <c r="E80" s="11" t="inlineStr">
        <is>
          <t>仕様書4Ⅱ(3)④</t>
        </is>
      </c>
      <c r="F80" s="11" t="inlineStr">
        <is>
          <t>受託者</t>
        </is>
      </c>
      <c r="G80" s="13" t="inlineStr">
        <is>
          <t>給付適正化計画</t>
        </is>
      </c>
      <c r="H80" s="13" t="inlineStr">
        <is>
          <t>介護保険法117条2項3号・4号（義務）。主要3事業（要介護認定の適正化・ケアプラン点検・医療情報との突合）</t>
        </is>
      </c>
      <c r="I80" s="11" t="inlineStr">
        <is>
          <t>R8.12〜R9.1</t>
        </is>
      </c>
      <c r="J80" s="14" t="n"/>
      <c r="K80" s="14" t="n"/>
      <c r="L80" s="14" t="n">
        <v>46273</v>
      </c>
      <c r="M80" s="14" t="n"/>
      <c r="N80" s="15" t="n">
        <v>0.7</v>
      </c>
      <c r="O80" s="16" t="inlineStr">
        <is>
          <t>着手</t>
        </is>
      </c>
      <c r="P80" s="13" t="inlineStr">
        <is>
          <t>★介護保険法117条2項3号・4号の義務的記載事項（努力義務ではない）。素案を施策3-5（取組内容）と第5章5-8（計画としての目標）の二本立てに整理し、第9期は第5章にのみ置かれ施策体系の中に見えなかった課題（doc17 B-5）を解消した。根拠条項を117条3項5号・6号としていた誤りは訂正済。目標値は村の実績が未受領のため一部空欄。</t>
        </is>
      </c>
    </row>
    <row r="81" ht="30" customHeight="1">
      <c r="A81" s="4" t="inlineStr">
        <is>
          <t>Ⅱ-66</t>
        </is>
      </c>
      <c r="B81" s="6" t="inlineStr">
        <is>
          <t>Ⅱ 計画策定</t>
        </is>
      </c>
      <c r="C81" s="6" t="inlineStr">
        <is>
          <t>Ⅱ-4 高齢者福祉施策</t>
        </is>
      </c>
      <c r="D81" s="7" t="inlineStr">
        <is>
          <t>現行計画の成果と課題の整理</t>
        </is>
      </c>
      <c r="E81" s="4" t="inlineStr">
        <is>
          <t>仕様書4Ⅱ(4)</t>
        </is>
      </c>
      <c r="F81" s="4" t="inlineStr">
        <is>
          <t>受託者</t>
        </is>
      </c>
      <c r="G81" s="7" t="inlineStr">
        <is>
          <t>整理メモ</t>
        </is>
      </c>
      <c r="H81" s="7" t="inlineStr"/>
      <c r="I81" s="4" t="inlineStr">
        <is>
          <t>R8.11〜12</t>
        </is>
      </c>
      <c r="J81" s="8" t="n"/>
      <c r="K81" s="8" t="n"/>
      <c r="L81" s="8" t="n">
        <v>46265</v>
      </c>
      <c r="M81" s="8" t="n">
        <v>46265</v>
      </c>
      <c r="N81" s="9" t="n">
        <v>1</v>
      </c>
      <c r="O81" s="10" t="inlineStr">
        <is>
          <t>完了</t>
        </is>
      </c>
      <c r="P81" s="7" t="inlineStr">
        <is>
          <t>doc14として第9期の施策19本を4段階（◎○△✗）で評価完了。</t>
        </is>
      </c>
    </row>
    <row r="82" ht="30" customHeight="1">
      <c r="A82" s="11" t="inlineStr">
        <is>
          <t>Ⅱ-67</t>
        </is>
      </c>
      <c r="B82" s="12" t="inlineStr">
        <is>
          <t>Ⅱ 計画策定</t>
        </is>
      </c>
      <c r="C82" s="12" t="inlineStr">
        <is>
          <t>Ⅱ-4 高齢者福祉施策</t>
        </is>
      </c>
      <c r="D82" s="13" t="inlineStr">
        <is>
          <t>次期計画に盛り込む施策の検討</t>
        </is>
      </c>
      <c r="E82" s="11" t="inlineStr">
        <is>
          <t>仕様書4Ⅱ(4)</t>
        </is>
      </c>
      <c r="F82" s="11" t="inlineStr">
        <is>
          <t>受託者</t>
        </is>
      </c>
      <c r="G82" s="13" t="inlineStr">
        <is>
          <t>施策案</t>
        </is>
      </c>
      <c r="H82" s="13" t="inlineStr">
        <is>
          <t>環境整備・支援体制の構築等</t>
        </is>
      </c>
      <c r="I82" s="11" t="inlineStr">
        <is>
          <t>R8.11〜12</t>
        </is>
      </c>
      <c r="J82" s="14" t="n"/>
      <c r="K82" s="14" t="n"/>
      <c r="L82" s="14" t="n">
        <v>46265</v>
      </c>
      <c r="M82" s="14" t="n"/>
      <c r="N82" s="15" t="n">
        <v>0.85</v>
      </c>
      <c r="O82" s="16" t="inlineStr">
        <is>
          <t>着手</t>
        </is>
      </c>
      <c r="P82"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83" ht="30" customHeight="1">
      <c r="A83" s="11" t="inlineStr">
        <is>
          <t>Ⅱ-110</t>
        </is>
      </c>
      <c r="B83" s="12" t="inlineStr">
        <is>
          <t>Ⅱ 計画策定</t>
        </is>
      </c>
      <c r="C83" s="12" t="inlineStr">
        <is>
          <t>Ⅱ-4 高齢者福祉施策</t>
        </is>
      </c>
      <c r="D83" s="13" t="inlineStr">
        <is>
          <t>老人福祉事業の量の目標の設定</t>
        </is>
      </c>
      <c r="E83" s="11" t="inlineStr">
        <is>
          <t>仕様書4Ⅱ(4)</t>
        </is>
      </c>
      <c r="F83" s="11" t="inlineStr">
        <is>
          <t>受託者</t>
        </is>
      </c>
      <c r="G83" s="13" t="inlineStr">
        <is>
          <t>量の目標表</t>
        </is>
      </c>
      <c r="H83" s="13" t="inlineStr">
        <is>
          <t>老人福祉法20条の8第2項（義務）。村単独事業の目標量を年度別に置く</t>
        </is>
      </c>
      <c r="I83" s="11" t="inlineStr">
        <is>
          <t>R8.12</t>
        </is>
      </c>
      <c r="J83" s="14" t="n"/>
      <c r="K83" s="14" t="n"/>
      <c r="L83" s="14" t="n">
        <v>46275</v>
      </c>
      <c r="M83" s="14" t="n"/>
      <c r="N83" s="15" t="n">
        <v>0.5</v>
      </c>
      <c r="O83" s="16" t="inlineStr">
        <is>
          <t>着手</t>
        </is>
      </c>
      <c r="P83" s="13" t="inlineStr">
        <is>
          <t>★老人福祉法20条の8第2項の義務的記載事項。doc32で欠落を検出し第4章4-6として新設した。村単独事業（除雪サービス・緊急通報・生活支援ハウス・配食等）の年度別目標量を置く枠までを作成。実績数値が未受領のため一部空欄。</t>
        </is>
      </c>
    </row>
    <row r="84" ht="30" customHeight="1">
      <c r="A84" s="11" t="inlineStr">
        <is>
          <t>Ⅱ-68</t>
        </is>
      </c>
      <c r="B84" s="12" t="inlineStr">
        <is>
          <t>Ⅱ 計画策定</t>
        </is>
      </c>
      <c r="C84" s="12" t="inlineStr">
        <is>
          <t>Ⅱ-5 成年後見</t>
        </is>
      </c>
      <c r="D84" s="13" t="inlineStr">
        <is>
          <t>制度の利用実態・考え方の情報提供</t>
        </is>
      </c>
      <c r="E84" s="11" t="inlineStr">
        <is>
          <t>仕様書4Ⅱ(5)</t>
        </is>
      </c>
      <c r="F84" s="11" t="inlineStr">
        <is>
          <t>北塩原村</t>
        </is>
      </c>
      <c r="G84" s="13" t="inlineStr">
        <is>
          <t>情報提供資料</t>
        </is>
      </c>
      <c r="H84" s="13" t="inlineStr">
        <is>
          <t>村長申立の運用、中核機関の状況</t>
        </is>
      </c>
      <c r="I84" s="11" t="inlineStr">
        <is>
          <t>R8.11</t>
        </is>
      </c>
      <c r="J84" s="14" t="n"/>
      <c r="K84" s="14" t="n"/>
      <c r="L84" s="14" t="n">
        <v>46272</v>
      </c>
      <c r="M84" s="14" t="n"/>
      <c r="N84" s="15" t="n">
        <v>0.7</v>
      </c>
      <c r="O84" s="16" t="inlineStr">
        <is>
          <t>着手</t>
        </is>
      </c>
      <c r="P84"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85" ht="30" customHeight="1">
      <c r="A85" s="11" t="inlineStr">
        <is>
          <t>Ⅱ-69</t>
        </is>
      </c>
      <c r="B85" s="12" t="inlineStr">
        <is>
          <t>Ⅱ 計画策定</t>
        </is>
      </c>
      <c r="C85" s="12" t="inlineStr">
        <is>
          <t>Ⅱ-5 成年後見</t>
        </is>
      </c>
      <c r="D85" s="13" t="inlineStr">
        <is>
          <t>利用促進の方向性・計画案の提示</t>
        </is>
      </c>
      <c r="E85" s="11" t="inlineStr">
        <is>
          <t>仕様書4Ⅱ(5)</t>
        </is>
      </c>
      <c r="F85" s="11" t="inlineStr">
        <is>
          <t>受託者</t>
        </is>
      </c>
      <c r="G85" s="13" t="inlineStr">
        <is>
          <t>計画案</t>
        </is>
      </c>
      <c r="H85" s="13" t="inlineStr">
        <is>
          <t>広域調整・関係機関協議は村が実施</t>
        </is>
      </c>
      <c r="I85" s="11" t="inlineStr">
        <is>
          <t>R8.12</t>
        </is>
      </c>
      <c r="J85" s="14" t="n"/>
      <c r="K85" s="14" t="n"/>
      <c r="L85" s="14" t="n">
        <v>46272</v>
      </c>
      <c r="M85" s="14" t="n"/>
      <c r="N85" s="15" t="n">
        <v>0.4</v>
      </c>
      <c r="O85" s="16" t="inlineStr">
        <is>
          <t>着手</t>
        </is>
      </c>
      <c r="P85"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86" ht="30" customHeight="1">
      <c r="A86" s="4" t="inlineStr">
        <is>
          <t>Ⅱ-70</t>
        </is>
      </c>
      <c r="B86" s="6" t="inlineStr">
        <is>
          <t>Ⅱ 計画策定</t>
        </is>
      </c>
      <c r="C86" s="6" t="inlineStr">
        <is>
          <t>Ⅱ-6 計画案の検討</t>
        </is>
      </c>
      <c r="D86" s="7" t="inlineStr">
        <is>
          <t>第10期の課題の整理</t>
        </is>
      </c>
      <c r="E86" s="4" t="inlineStr">
        <is>
          <t>仕様書4Ⅱ(6)</t>
        </is>
      </c>
      <c r="F86" s="4" t="inlineStr">
        <is>
          <t>受託者</t>
        </is>
      </c>
      <c r="G86" s="7" t="inlineStr">
        <is>
          <t>課題整理</t>
        </is>
      </c>
      <c r="H86" s="7" t="inlineStr"/>
      <c r="I86" s="4" t="inlineStr">
        <is>
          <t>R8.12</t>
        </is>
      </c>
      <c r="J86" s="8" t="n"/>
      <c r="K86" s="8" t="n"/>
      <c r="L86" s="8" t="n">
        <v>46265</v>
      </c>
      <c r="M86" s="8" t="n">
        <v>46265</v>
      </c>
      <c r="N86" s="9" t="n">
        <v>1</v>
      </c>
      <c r="O86" s="10" t="inlineStr">
        <is>
          <t>完了</t>
        </is>
      </c>
      <c r="P86" s="7" t="inlineStr">
        <is>
          <t>doc11で基本的課題5本、doc17で第9期計画の課題20件（重大度A 13件）を洗い出し完了。</t>
        </is>
      </c>
    </row>
    <row r="87" ht="30" customHeight="1">
      <c r="A87" s="11" t="inlineStr">
        <is>
          <t>Ⅱ-71</t>
        </is>
      </c>
      <c r="B87" s="12" t="inlineStr">
        <is>
          <t>Ⅱ 計画策定</t>
        </is>
      </c>
      <c r="C87" s="12" t="inlineStr">
        <is>
          <t>Ⅱ-6 計画案の検討</t>
        </is>
      </c>
      <c r="D87" s="13" t="inlineStr">
        <is>
          <t>施策体系の整理</t>
        </is>
      </c>
      <c r="E87" s="11" t="inlineStr">
        <is>
          <t>仕様書4Ⅱ(6)</t>
        </is>
      </c>
      <c r="F87" s="11" t="inlineStr">
        <is>
          <t>受託者</t>
        </is>
      </c>
      <c r="G87" s="13" t="inlineStr">
        <is>
          <t>施策体系図</t>
        </is>
      </c>
      <c r="H87" s="13" t="inlineStr"/>
      <c r="I87" s="11" t="inlineStr">
        <is>
          <t>R8.12</t>
        </is>
      </c>
      <c r="J87" s="14" t="n"/>
      <c r="K87" s="14" t="n"/>
      <c r="L87" s="14" t="n">
        <v>46269</v>
      </c>
      <c r="M87" s="14" t="n"/>
      <c r="N87" s="15" t="n">
        <v>0.95</v>
      </c>
      <c r="O87" s="16" t="inlineStr">
        <is>
          <t>着手</t>
        </is>
      </c>
      <c r="P87"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t>
        </is>
      </c>
    </row>
    <row r="88" ht="30" customHeight="1">
      <c r="A88" s="11" t="inlineStr">
        <is>
          <t>Ⅱ-72</t>
        </is>
      </c>
      <c r="B88" s="12" t="inlineStr">
        <is>
          <t>Ⅱ 計画策定</t>
        </is>
      </c>
      <c r="C88" s="12" t="inlineStr">
        <is>
          <t>Ⅱ-6 計画案の検討</t>
        </is>
      </c>
      <c r="D88" s="13" t="inlineStr">
        <is>
          <t>関連計画との整合確認</t>
        </is>
      </c>
      <c r="E88" s="11" t="inlineStr">
        <is>
          <t>仕様書4Ⅱ(6)</t>
        </is>
      </c>
      <c r="F88" s="11" t="inlineStr">
        <is>
          <t>受託者</t>
        </is>
      </c>
      <c r="G88" s="13" t="inlineStr">
        <is>
          <t>整合確認表</t>
        </is>
      </c>
      <c r="H88" s="13" t="inlineStr">
        <is>
          <t>第5次総合振興計画／第3次健康21・グッドヘルスプラン</t>
        </is>
      </c>
      <c r="I88" s="11" t="inlineStr">
        <is>
          <t>R8.12</t>
        </is>
      </c>
      <c r="J88" s="14" t="n"/>
      <c r="K88" s="14" t="n"/>
      <c r="L88" s="14" t="n">
        <v>46267</v>
      </c>
      <c r="M88" s="14" t="n"/>
      <c r="N88" s="15" t="n">
        <v>0.4</v>
      </c>
      <c r="O88" s="16" t="inlineStr">
        <is>
          <t>着手</t>
        </is>
      </c>
      <c r="P88" s="13" t="inlineStr">
        <is>
          <t>★議事録で整合対象が確定（障がい福祉計画・地域福祉計画・グッドヘルスプラン・生涯学習計画）。第四次生涯学習推進計画は受領・確認済（doc21）。他は未受領。</t>
        </is>
      </c>
    </row>
    <row r="89" ht="30" customHeight="1">
      <c r="A89" s="11" t="inlineStr">
        <is>
          <t>Ⅱ-111</t>
        </is>
      </c>
      <c r="B89" s="12" t="inlineStr">
        <is>
          <t>Ⅱ 計画策定</t>
        </is>
      </c>
      <c r="C89" s="12" t="inlineStr">
        <is>
          <t>Ⅱ-6 計画案の検討</t>
        </is>
      </c>
      <c r="D89" s="13" t="inlineStr">
        <is>
          <t>計画の名称・計画期間の表記の統一</t>
        </is>
      </c>
      <c r="E89" s="11" t="inlineStr">
        <is>
          <t>仕様書1</t>
        </is>
      </c>
      <c r="F89" s="11" t="inlineStr">
        <is>
          <t>双方</t>
        </is>
      </c>
      <c r="G89" s="13" t="inlineStr">
        <is>
          <t>表記ルール</t>
        </is>
      </c>
      <c r="H89" s="13" t="inlineStr">
        <is>
          <t>委託名は「第10期北塩原村高齢者福祉計画・第10期北塩原村介護保険事業計画」。表紙・奥付・本文・図表で統一する</t>
        </is>
      </c>
      <c r="I89" s="11" t="inlineStr">
        <is>
          <t>R8.12</t>
        </is>
      </c>
      <c r="J89" s="14" t="n"/>
      <c r="K89" s="14" t="n"/>
      <c r="L89" s="14" t="n">
        <v>46273</v>
      </c>
      <c r="M89" s="14" t="n"/>
      <c r="N89" s="15" t="n">
        <v>0.8</v>
      </c>
      <c r="O89" s="16" t="inlineStr">
        <is>
          <t>着手</t>
        </is>
      </c>
      <c r="P89" s="13" t="inlineStr">
        <is>
          <t>委託名は「第10期北塩原村高齢者福祉計画・第10期北塩原村介護保険事業計画」。素案の表紙・第1章・図表の表記をこれに揃えた。奥付とパブリックコメント・委員名簿は確定後に記入する。</t>
        </is>
      </c>
    </row>
    <row r="90" ht="30" customHeight="1">
      <c r="A90" s="11" t="inlineStr">
        <is>
          <t>Ⅱ-73</t>
        </is>
      </c>
      <c r="B90" s="12" t="inlineStr">
        <is>
          <t>Ⅱ 計画策定</t>
        </is>
      </c>
      <c r="C90" s="12" t="inlineStr">
        <is>
          <t>Ⅱ-6 計画案の検討</t>
        </is>
      </c>
      <c r="D90" s="13" t="inlineStr">
        <is>
          <t>一体的策定の範囲の確認</t>
        </is>
      </c>
      <c r="E90" s="11" t="inlineStr">
        <is>
          <t>確認</t>
        </is>
      </c>
      <c r="F90" s="11" t="inlineStr">
        <is>
          <t>双方</t>
        </is>
      </c>
      <c r="G90" s="13" t="inlineStr">
        <is>
          <t>確認メモ</t>
        </is>
      </c>
      <c r="H90" s="13" t="inlineStr">
        <is>
          <t>成年後見制度利用促進基本計画・認知症施策推進計画の継続可否</t>
        </is>
      </c>
      <c r="I90" s="11" t="inlineStr">
        <is>
          <t>R8.11</t>
        </is>
      </c>
      <c r="J90" s="14" t="n"/>
      <c r="K90" s="14" t="n"/>
      <c r="L90" s="14" t="n">
        <v>46267</v>
      </c>
      <c r="M90" s="14" t="n"/>
      <c r="N90" s="15" t="n">
        <v>0.6</v>
      </c>
      <c r="O90" s="16" t="inlineStr">
        <is>
          <t>着手</t>
        </is>
      </c>
      <c r="P90" s="13" t="inlineStr">
        <is>
          <t>★議事録により整合対象が確定：国の基本方針・総合計画・障がい福祉計画・地域福祉計画・グッドヘルスプラン（21計画）・生涯学習計画。生涯学習計画は受領済（doc21）。</t>
        </is>
      </c>
    </row>
    <row r="91" ht="30" customHeight="1">
      <c r="A91" s="4" t="inlineStr">
        <is>
          <t>Ⅱ-74</t>
        </is>
      </c>
      <c r="B91" s="6" t="inlineStr">
        <is>
          <t>Ⅱ 計画策定</t>
        </is>
      </c>
      <c r="C91" s="6" t="inlineStr">
        <is>
          <t>Ⅱ-7 計画書の作成</t>
        </is>
      </c>
      <c r="D91" s="7" t="inlineStr">
        <is>
          <t>骨子案の作成</t>
        </is>
      </c>
      <c r="E91" s="4" t="inlineStr">
        <is>
          <t>仕様書4Ⅱ(7)</t>
        </is>
      </c>
      <c r="F91" s="4" t="inlineStr">
        <is>
          <t>受託者</t>
        </is>
      </c>
      <c r="G91" s="7" t="inlineStr">
        <is>
          <t>骨子案</t>
        </is>
      </c>
      <c r="H91" s="7" t="inlineStr"/>
      <c r="I91" s="4" t="inlineStr">
        <is>
          <t>R8.11〜12</t>
        </is>
      </c>
      <c r="J91" s="8" t="n"/>
      <c r="K91" s="8" t="n"/>
      <c r="L91" s="8" t="n">
        <v>46265</v>
      </c>
      <c r="M91" s="8" t="n">
        <v>46265</v>
      </c>
      <c r="N91" s="9" t="n">
        <v>1</v>
      </c>
      <c r="O91" s="10" t="inlineStr">
        <is>
          <t>完了</t>
        </is>
      </c>
      <c r="P91" s="7" t="inlineStr">
        <is>
          <t>doc15として全6章の章構成・節構成・想定頁数を確定。素案の作成に移行。</t>
        </is>
      </c>
    </row>
    <row r="92" ht="30" customHeight="1">
      <c r="A92" s="11" t="inlineStr">
        <is>
          <t>Ⅱ-75</t>
        </is>
      </c>
      <c r="B92" s="12" t="inlineStr">
        <is>
          <t>Ⅱ 計画策定</t>
        </is>
      </c>
      <c r="C92" s="12" t="inlineStr">
        <is>
          <t>Ⅱ-7 計画書の作成</t>
        </is>
      </c>
      <c r="D92" s="13" t="inlineStr">
        <is>
          <t>素案の作成</t>
        </is>
      </c>
      <c r="E92" s="11" t="inlineStr">
        <is>
          <t>仕様書4Ⅱ(7)</t>
        </is>
      </c>
      <c r="F92" s="11" t="inlineStr">
        <is>
          <t>受託者</t>
        </is>
      </c>
      <c r="G92" s="13" t="inlineStr">
        <is>
          <t>素案</t>
        </is>
      </c>
      <c r="H92" s="13" t="inlineStr"/>
      <c r="I92" s="11" t="inlineStr">
        <is>
          <t>R8.12〜R9.1</t>
        </is>
      </c>
      <c r="J92" s="14" t="n"/>
      <c r="K92" s="14" t="n"/>
      <c r="L92" s="14" t="n">
        <v>46267</v>
      </c>
      <c r="M92" s="14" t="n"/>
      <c r="N92" s="15" t="n">
        <v>0.9</v>
      </c>
      <c r="O92" s="16" t="inlineStr">
        <is>
          <t>着手</t>
        </is>
      </c>
      <c r="P92" s="13" t="inlineStr">
        <is>
          <t>doc18／output/06_計画素案.docx として全6章・65節・73表・図20点を作成。第2章の図はモノクロ印刷を前提に明度差＋線種＋マーカー＋ハッチングで識別。施策2-6「冬期の生活支援（除雪）」を新設し施策26本。サービス区分別分析（訪問系−50.8%）を追加。★9/8：第5章5-4・5-5・5-6にサービス見込量と給付費の暫定推計値を投入（doc30）。あわせて資料編（策定経過・委員名簿・アンケート調査の概要・パブリックコメント・用語の解説69語）を新設。★9/8：第5章の章題を仕様書・第9期の構成に合わせ「介護保険料の設定」に変更し、5-8介護給付適正化計画・5-9保険者機能強化推進交付金等の活用の2節を新設（第9期の並びに沿わせた）。★9/10：法定記載事項をチェックし（doc32）、欠落5件を反映——地域密着型サービスの必要利用定員総数（介保法117条2項1号・義務）、老人福祉事業の量の目標（老福法20条の8第2項・義務、第4章4-6を新設）、地域支援事業の量の見込み（同117条2項2号・義務）、医療計画との整合（同117条5項）、高齢者虐待の防止・BCP・避難確保計画（基本指針）。あわせて給付適正化の根拠を「117条3項5号6号（努力義務）」から「117条2項3号4号（義務）」に訂正。全6章＋資料編・約115頁。残る空欄は地域支援事業費の事業別内訳、交付金の交付見込額、および確定後に記入する日付・名簿。★9/15：見込量算定の第1次概算を反映（doc35）。あわせて素案の記述を令和8年度の交付金評価指標で検算し、複数の訂正を行った。(1)中長期の保険料を算定し5-11の【要確認】を解消（αを23%据え置くと令和22年度6,883円、3年ごとに1ポイント上がると8,379円）。(2)標準給付費の様式を埋め5-6を確定（3か年854,014千円）。5-7と完全に一致。(3)交付金の評価指標を令和8年度で検算したところ、素案の記述の多くが令和6年度または令和4年度の評価に基づいており実態と食い違っていた。通いの場への参加率は0→8点満点（最上位の段階は全国で約10%）、参加促進のアウトリーチは9点満点、地域リハビリテーションの推進は0→7点満点、計画の進捗管理（目標Ⅰの3項目）は0→48点満点。一方、要介護3〜5の状態の変化は2指標とも0点（35点減）、認知症サポーター数は12点中0点、難聴は20点中0点。施策1-1を「通いの場の再構築と参加率の向上」から「通いの場の開催頻度の向上と地区差の是正」に改称し、課題3の見出しも改めた。(4)6-3の成果目標・活動指標に令和8年度の得点と全国平均を併記し、維持6指標・引上げ5指標に整理。(5)認知症基本法13条1項・成年後見促進法14条1項を確認し1-2の【要確認】を解消。素案は2,197行→2,341行。★9/15：3次にわたり修正。(1)見込量算定の第1次概算を反映（doc35）。(2)令和8年度の交付金評価指標で全記述を検算し、施策1-1の名称と課題3の見出しを改めた。(3)推計の系列を統一し、介護給付費と予防給付費を分離、見込量の自己点検を実施。5-12（据え置き項目31件）を新設。素案は約115頁→2,449行（段落約4,400・表約125・図20）。残る空欄は交付金の交付見込額、高齢者福祉サービスの量の目標の一部、委員名簿・パブコメなど確定後に記入するもの。★9/16：交付金の目標別に全国平均と対比したところ、素案2-8の「認知症総合支援が全国平均を下回る唯一の目標」が誤りと判明（上回るのは3目標、下回るのは5目標。認知症総合支援は差が最大の▲19.1点）。2-8に目標別の対比表を新設し関係箇所を訂正した。あわせて薄い節を埋めた（1-5日常生活圏域・4-2〜4-4基本目標の導入・5-10低所得者）。6-4に乖離の検証の見直しの目安（±5%以内／±5〜12%／±12%超）を、6-5に計画期間中に確定する5項目を新設。±12%は推計の誤差の絶対値の平均11.9%（保険料月額約700円）によるもので、この幅を超える乖離は基金の取崩しでは吸収できない。素案は2,449行→2,509行。★9/16：認知症施策推進計画としての検討（doc36）。本計画は認知症基本法第13条第1項の市町村計画を兼ねるが、認知症施策は施策4-4の1本のみで基本法の基本的施策との対応が示されていなかった。第4章に4-7「認知症施策推進計画としての位置づけ」を新設し、3つの基本的な考え方（新しい認知症観・本人および家族等の参画・共生社会）、基本法第14〜23条の10項目と本計画の施策との対応表、本村の状況、本人・家族の参画の方法、指標8件を掲載した。2-3に認知症高齢者の状況（自立度Ⅱ以上161人・2年間で22.0%増・認定者に占める割合63.6%）を新設。あわせて第4章の施策番号に「施策」を冠し、基本目標の節番号との衝突（4-4が基本目標4と施策4-4の両方を指す状態）を解消した。素案は2,509行→2,633行。★9/16（第2次）：認知症基本法の条文（令和5年法律第65号）と厚生労働省の概要資料を受領し、素案4-7を検算した。3件の誤りを訂正——(1)市町村が計画に位置づけるのは第14〜23条の10項目ではなく第14〜21条の8項目（第22条以降は主語が「国は」）、(2)意見聴取の根拠は第13条第3項ではなく「第13条第3項において準用する第12条第3項」、(3)第15条バリアフリー化の対応施策は住まい・除雪ではなく移動・見守り（条文の例示による）。あわせて条文から新たに4件を素案に追加——第13条第3項が準用する第12条第4〜7項（計画の公表・実施状況の評価と公表・5年ごとの検討・評価結果の取りまとめ時の意見聴取）、第9条（認知症の日9月21日・認知症月間9月）、第7条（公共交通・金融機関・小売業者等の合理的配慮）、第16条第2項（若年性認知症の雇用継続）。4-7を全面改訂し8つの見出しに再構成した。素案は2,633行→2,677行。★9/24：素案の自己点検16件を新設（verify_soan.py）。全件適合で終了コード0、不適合なら1。素案の数値は算定スクリプトの出力を手書きで書き写しているため、算定を改めたときの乖離を検出する。大雪は素案の生成が算定をrunpyで直接読む形に改めたが、本村は構造を変える工数が大きいため点検で代替する。点検項目は人口・認定者数・区分別受給者数・標準給付費の内部整合・給付費の分離・地域支援事業費・年度別保険料・中長期保険料・定員到達率・利用率の分母・二重計上の注記・乖離の目安・認知症基本法の条項・節番号の重複・据え置き一覧の16件。素案は2,715行→2,758行。★9/24（第2次）：未解決の確認事項46件を見える化での確認可否により4分類し（doc38）、取得済みでありながら素案で使っていなかった2件を投入した。(1)介護サービス自給率（δ2系）を2-5に新設。全体46.5%・訪問系41.1%・通所系79.3%・短期入所系0%・施設居住系41.3%（令和7年度）。訪問系は令和3年度62.7%から21.6pt低下しており村内の供給力の低下が疑われる。施設居住系は給付の58.7%が村外。(2)居宅介護支援・介護予防支援の受給者数を5-4(9)に投入。見える化の2系列から逆算し（D13-r×B1÷D17-l）、令和3〜7年度の値が在宅サービス受給者数と0.1人以内で一致することを確認した。従前は全て空欄であった。素案は2,758行→2,787行。</t>
        </is>
      </c>
    </row>
    <row r="93" ht="30" customHeight="1">
      <c r="A93" s="23" t="inlineStr">
        <is>
          <t>Ⅱ-112</t>
        </is>
      </c>
      <c r="B93" s="24" t="inlineStr">
        <is>
          <t>Ⅱ 計画策定</t>
        </is>
      </c>
      <c r="C93" s="24" t="inlineStr">
        <is>
          <t>Ⅱ-7 計画書の作成</t>
        </is>
      </c>
      <c r="D93" s="25" t="inlineStr">
        <is>
          <t>策定委員会の審議意見の反映</t>
        </is>
      </c>
      <c r="E93" s="23" t="inlineStr">
        <is>
          <t>仕様書4Ⅱ(7)</t>
        </is>
      </c>
      <c r="F93" s="23" t="inlineStr">
        <is>
          <t>受託者</t>
        </is>
      </c>
      <c r="G93" s="25" t="inlineStr">
        <is>
          <t>対応表</t>
        </is>
      </c>
      <c r="H93" s="25" t="inlineStr">
        <is>
          <t>仕様書(7)は策定委員会の審議とパブリックコメントの双方の意見の反映を求める。従来はパブコメ側のみ計上していた</t>
        </is>
      </c>
      <c r="I93" s="23" t="inlineStr">
        <is>
          <t>R8.11〜R9.2</t>
        </is>
      </c>
      <c r="J93" s="26" t="n"/>
      <c r="K93" s="26" t="n"/>
      <c r="L93" s="26" t="n"/>
      <c r="M93" s="26" t="n"/>
      <c r="N93" s="27" t="n">
        <v>0</v>
      </c>
      <c r="O93" s="23" t="inlineStr">
        <is>
          <t>未着手</t>
        </is>
      </c>
      <c r="P93" s="25" t="inlineStr">
        <is>
          <t>★仕様書Ⅱ(7)は策定委員会の審議とパブリックコメントの双方の意見の反映を求めるが、従来はパブコメ側のみを作業として計上していた。第2回（11月）の審議結果を素案に反映する工程が必要。第2回の資料は doc26 で構成を確定済。</t>
        </is>
      </c>
    </row>
    <row r="94" ht="30" customHeight="1">
      <c r="A94" s="11" t="inlineStr">
        <is>
          <t>Ⅱ-76</t>
        </is>
      </c>
      <c r="B94" s="12" t="inlineStr">
        <is>
          <t>Ⅱ 計画策定</t>
        </is>
      </c>
      <c r="C94" s="12" t="inlineStr">
        <is>
          <t>Ⅱ-7 計画書の作成</t>
        </is>
      </c>
      <c r="D94" s="13" t="inlineStr">
        <is>
          <t>パブリックコメントの実施</t>
        </is>
      </c>
      <c r="E94" s="11" t="inlineStr">
        <is>
          <t>仕様書4Ⅱ(7)</t>
        </is>
      </c>
      <c r="F94" s="11" t="inlineStr">
        <is>
          <t>北塩原村</t>
        </is>
      </c>
      <c r="G94" s="13" t="inlineStr">
        <is>
          <t>パブコメ資料・意見</t>
        </is>
      </c>
      <c r="H94" s="13" t="inlineStr">
        <is>
          <t>★議事録により第2回委員会（11月）の後に実施と確定。方向性や説明文を追記した上で実施</t>
        </is>
      </c>
      <c r="I94" s="11" t="inlineStr">
        <is>
          <t>R8.11〜12</t>
        </is>
      </c>
      <c r="J94" s="14" t="n"/>
      <c r="K94" s="14" t="n"/>
      <c r="L94" s="14" t="n"/>
      <c r="M94" s="14" t="n"/>
      <c r="N94" s="15" t="n">
        <v>0</v>
      </c>
      <c r="O94" s="11" t="inlineStr">
        <is>
          <t>未着手</t>
        </is>
      </c>
      <c r="P94" s="13" t="inlineStr"/>
    </row>
    <row r="95" ht="30" customHeight="1">
      <c r="A95" s="23" t="inlineStr">
        <is>
          <t>Ⅱ-77</t>
        </is>
      </c>
      <c r="B95" s="24" t="inlineStr">
        <is>
          <t>Ⅱ 計画策定</t>
        </is>
      </c>
      <c r="C95" s="24" t="inlineStr">
        <is>
          <t>Ⅱ-7 計画書の作成</t>
        </is>
      </c>
      <c r="D95" s="25" t="inlineStr">
        <is>
          <t>パブリックコメント意見の反映</t>
        </is>
      </c>
      <c r="E95" s="23" t="inlineStr">
        <is>
          <t>仕様書4Ⅱ(7)</t>
        </is>
      </c>
      <c r="F95" s="23" t="inlineStr">
        <is>
          <t>受託者</t>
        </is>
      </c>
      <c r="G95" s="25" t="inlineStr">
        <is>
          <t>対応表</t>
        </is>
      </c>
      <c r="H95" s="25" t="inlineStr">
        <is>
          <t>第3回委員会（1月下旬〜2月上旬）で報告</t>
        </is>
      </c>
      <c r="I95" s="23" t="inlineStr">
        <is>
          <t>R8.12〜R9.1</t>
        </is>
      </c>
      <c r="J95" s="26" t="n"/>
      <c r="K95" s="26" t="n"/>
      <c r="L95" s="26" t="n"/>
      <c r="M95" s="26" t="n"/>
      <c r="N95" s="27" t="n">
        <v>0</v>
      </c>
      <c r="O95" s="23" t="inlineStr">
        <is>
          <t>未着手</t>
        </is>
      </c>
      <c r="P95" s="25" t="inlineStr"/>
    </row>
    <row r="96" ht="30" customHeight="1">
      <c r="A96" s="18" t="inlineStr">
        <is>
          <t>Ⅱ-78</t>
        </is>
      </c>
      <c r="B96" s="19" t="inlineStr">
        <is>
          <t>Ⅱ 計画策定</t>
        </is>
      </c>
      <c r="C96" s="19" t="inlineStr">
        <is>
          <t>Ⅱ-7 計画書の作成</t>
        </is>
      </c>
      <c r="D96" s="20" t="inlineStr">
        <is>
          <t>原案の作成</t>
        </is>
      </c>
      <c r="E96" s="18" t="inlineStr">
        <is>
          <t>仕様書4Ⅱ(7)</t>
        </is>
      </c>
      <c r="F96" s="18" t="inlineStr">
        <is>
          <t>受託者</t>
        </is>
      </c>
      <c r="G96" s="20" t="inlineStr">
        <is>
          <t>原案</t>
        </is>
      </c>
      <c r="H96" s="20" t="inlineStr"/>
      <c r="I96" s="18" t="inlineStr">
        <is>
          <t>R9.1〜2</t>
        </is>
      </c>
      <c r="J96" s="21" t="n"/>
      <c r="K96" s="21" t="n"/>
      <c r="L96" s="21" t="n"/>
      <c r="M96" s="21" t="n"/>
      <c r="N96" s="22" t="n">
        <v>0</v>
      </c>
      <c r="O96" s="18" t="inlineStr">
        <is>
          <t>未着手</t>
        </is>
      </c>
      <c r="P96" s="20" t="inlineStr"/>
    </row>
    <row r="97" ht="30" customHeight="1">
      <c r="A97" s="23" t="inlineStr">
        <is>
          <t>Ⅱ-79</t>
        </is>
      </c>
      <c r="B97" s="24" t="inlineStr">
        <is>
          <t>Ⅱ 計画策定</t>
        </is>
      </c>
      <c r="C97" s="24" t="inlineStr">
        <is>
          <t>Ⅱ-7 計画書の作成</t>
        </is>
      </c>
      <c r="D97" s="25" t="inlineStr">
        <is>
          <t>計画書の最終取りまとめ</t>
        </is>
      </c>
      <c r="E97" s="23" t="inlineStr">
        <is>
          <t>仕様書4Ⅱ(7)</t>
        </is>
      </c>
      <c r="F97" s="23" t="inlineStr">
        <is>
          <t>受託者</t>
        </is>
      </c>
      <c r="G97" s="25" t="inlineStr">
        <is>
          <t>計画書（確定）</t>
        </is>
      </c>
      <c r="H97" s="25" t="inlineStr"/>
      <c r="I97" s="23" t="inlineStr">
        <is>
          <t>R9.2〜3</t>
        </is>
      </c>
      <c r="J97" s="26" t="n"/>
      <c r="K97" s="26" t="n"/>
      <c r="L97" s="26" t="n"/>
      <c r="M97" s="26" t="n"/>
      <c r="N97" s="27" t="n">
        <v>0</v>
      </c>
      <c r="O97" s="23" t="inlineStr">
        <is>
          <t>未着手</t>
        </is>
      </c>
      <c r="P97" s="25" t="inlineStr"/>
    </row>
    <row r="98" ht="30" customHeight="1">
      <c r="A98" s="18" t="inlineStr">
        <is>
          <t>Ⅱ-113</t>
        </is>
      </c>
      <c r="B98" s="19" t="inlineStr">
        <is>
          <t>Ⅱ 計画策定</t>
        </is>
      </c>
      <c r="C98" s="19" t="inlineStr">
        <is>
          <t>Ⅱ-7 計画書の作成</t>
        </is>
      </c>
      <c r="D98" s="20" t="inlineStr">
        <is>
          <t>計画書のレイアウト・校正</t>
        </is>
      </c>
      <c r="E98" s="18" t="inlineStr">
        <is>
          <t>仕様書4Ⅱ(7)</t>
        </is>
      </c>
      <c r="F98" s="18" t="inlineStr">
        <is>
          <t>受託者</t>
        </is>
      </c>
      <c r="G98" s="20" t="inlineStr">
        <is>
          <t>校正紙</t>
        </is>
      </c>
      <c r="H98" s="20" t="inlineStr">
        <is>
          <t>判型・表紙デザインの踏襲可否は村と要協議。印刷入稿の前提</t>
        </is>
      </c>
      <c r="I98" s="18" t="inlineStr">
        <is>
          <t>R9.2〜3</t>
        </is>
      </c>
      <c r="J98" s="21" t="n"/>
      <c r="K98" s="21" t="n"/>
      <c r="L98" s="21" t="n"/>
      <c r="M98" s="21" t="n"/>
      <c r="N98" s="22" t="n">
        <v>0</v>
      </c>
      <c r="O98" s="18" t="inlineStr">
        <is>
          <t>未着手</t>
        </is>
      </c>
      <c r="P98" s="20" t="inlineStr">
        <is>
          <t>判型・表紙デザインの踏襲可否は村と要協議（確認事項 優先度C）。当方の環境では docx から PDF への変換ができずレイアウトの目視確認ができないため、校正の工程では村側での確認を前提に組む。</t>
        </is>
      </c>
    </row>
    <row r="99" ht="30" customHeight="1">
      <c r="A99" s="11" t="inlineStr">
        <is>
          <t>Ⅱ-80</t>
        </is>
      </c>
      <c r="B99" s="12" t="inlineStr">
        <is>
          <t>Ⅱ 計画策定</t>
        </is>
      </c>
      <c r="C99" s="12" t="inlineStr">
        <is>
          <t>Ⅱ-8 策定委員会支援</t>
        </is>
      </c>
      <c r="D99" s="13" t="inlineStr">
        <is>
          <t>委員の改選・委嘱</t>
        </is>
      </c>
      <c r="E99" s="11" t="inlineStr">
        <is>
          <t>確認</t>
        </is>
      </c>
      <c r="F99" s="11" t="inlineStr">
        <is>
          <t>北塩原村</t>
        </is>
      </c>
      <c r="G99" s="13" t="inlineStr">
        <is>
          <t>委員名簿</t>
        </is>
      </c>
      <c r="H99" s="13" t="inlineStr">
        <is>
          <t>★現委員の任期は令和8年9月30日満了。議事録では触れられておらず改選の要否が未確認。第2回（11月）の前提</t>
        </is>
      </c>
      <c r="I99" s="11" t="inlineStr">
        <is>
          <t>R8.9〜10</t>
        </is>
      </c>
      <c r="J99" s="14" t="n"/>
      <c r="K99" s="14" t="n"/>
      <c r="L99" s="14" t="n"/>
      <c r="M99" s="14" t="n"/>
      <c r="N99" s="15" t="n">
        <v>0</v>
      </c>
      <c r="O99" s="11" t="inlineStr">
        <is>
          <t>未着手</t>
        </is>
      </c>
      <c r="P99" s="13" t="inlineStr">
        <is>
          <t>★現委員の任期が令和8年9月30日で満了（doc19 追-C）。第1回策定委員会を11月に開催するには10月中の改選・委嘱が必要。手続きの所要期間を村に確認し逆算する必要がある。</t>
        </is>
      </c>
    </row>
    <row r="100" ht="30" customHeight="1">
      <c r="A100" s="18" t="inlineStr">
        <is>
          <t>Ⅱ-81</t>
        </is>
      </c>
      <c r="B100" s="19" t="inlineStr">
        <is>
          <t>Ⅱ 計画策定</t>
        </is>
      </c>
      <c r="C100" s="19" t="inlineStr">
        <is>
          <t>Ⅱ-8 策定委員会支援</t>
        </is>
      </c>
      <c r="D100" s="20" t="inlineStr">
        <is>
          <t>第1回 会議資料の作成</t>
        </is>
      </c>
      <c r="E100" s="18" t="inlineStr">
        <is>
          <t>仕様書4Ⅱ(8)</t>
        </is>
      </c>
      <c r="F100" s="18" t="inlineStr">
        <is>
          <t>受託者</t>
        </is>
      </c>
      <c r="G100" s="20" t="inlineStr">
        <is>
          <t>会議資料</t>
        </is>
      </c>
      <c r="H100" s="20" t="inlineStr">
        <is>
          <t>★議事録により第1回は受託前に開催済みと確定。本業務の対象外</t>
        </is>
      </c>
      <c r="I100" s="18" t="inlineStr">
        <is>
          <t>開催済</t>
        </is>
      </c>
      <c r="J100" s="21" t="n"/>
      <c r="K100" s="21" t="n"/>
      <c r="L100" s="21" t="n"/>
      <c r="M100" s="21" t="n"/>
      <c r="N100" s="22" t="n">
        <v>1</v>
      </c>
      <c r="O100" s="28" t="inlineStr">
        <is>
          <t>対象外</t>
        </is>
      </c>
      <c r="P100" s="20" t="inlineStr">
        <is>
          <t>★議事録により第1回策定委員会は受託前に開催済みと確定。本業務の対象外。</t>
        </is>
      </c>
    </row>
    <row r="101" ht="30" customHeight="1">
      <c r="A101" s="23" t="inlineStr">
        <is>
          <t>Ⅱ-82</t>
        </is>
      </c>
      <c r="B101" s="24" t="inlineStr">
        <is>
          <t>Ⅱ 計画策定</t>
        </is>
      </c>
      <c r="C101" s="24" t="inlineStr">
        <is>
          <t>Ⅱ-8 策定委員会支援</t>
        </is>
      </c>
      <c r="D101" s="25" t="inlineStr">
        <is>
          <t>第1回 会議出席・会議記録（要旨）の作成</t>
        </is>
      </c>
      <c r="E101" s="23" t="inlineStr">
        <is>
          <t>仕様書4Ⅱ(8)</t>
        </is>
      </c>
      <c r="F101" s="23" t="inlineStr">
        <is>
          <t>受託者</t>
        </is>
      </c>
      <c r="G101" s="25" t="inlineStr">
        <is>
          <t>会議記録</t>
        </is>
      </c>
      <c r="H101" s="25" t="inlineStr">
        <is>
          <t>★同上。開催済のため対象外</t>
        </is>
      </c>
      <c r="I101" s="23" t="inlineStr">
        <is>
          <t>開催済</t>
        </is>
      </c>
      <c r="J101" s="26" t="n"/>
      <c r="K101" s="26" t="n"/>
      <c r="L101" s="26" t="n"/>
      <c r="M101" s="26" t="n"/>
      <c r="N101" s="27" t="n">
        <v>1</v>
      </c>
      <c r="O101" s="29" t="inlineStr">
        <is>
          <t>対象外</t>
        </is>
      </c>
      <c r="P101" s="25" t="inlineStr">
        <is>
          <t>★同上。対象外。</t>
        </is>
      </c>
    </row>
    <row r="102" ht="30" customHeight="1">
      <c r="A102" s="11" t="inlineStr">
        <is>
          <t>Ⅱ-83</t>
        </is>
      </c>
      <c r="B102" s="12" t="inlineStr">
        <is>
          <t>Ⅱ 計画策定</t>
        </is>
      </c>
      <c r="C102" s="12" t="inlineStr">
        <is>
          <t>Ⅱ-8 策定委員会支援</t>
        </is>
      </c>
      <c r="D102" s="13" t="inlineStr">
        <is>
          <t>第2回 会議資料の作成</t>
        </is>
      </c>
      <c r="E102" s="11" t="inlineStr">
        <is>
          <t>仕様書4Ⅱ(8)</t>
        </is>
      </c>
      <c r="F102" s="11" t="inlineStr">
        <is>
          <t>受託者</t>
        </is>
      </c>
      <c r="G102" s="13" t="inlineStr">
        <is>
          <t>会議資料</t>
        </is>
      </c>
      <c r="H102" s="13" t="inlineStr">
        <is>
          <t>★アンケート分析結果・第9期の効果検証（R7実績まで）・骨子・施策体系・見込量・保険料概算・素案（完成度7割）</t>
        </is>
      </c>
      <c r="I102" s="11" t="inlineStr">
        <is>
          <t>R8.11</t>
        </is>
      </c>
      <c r="J102" s="14" t="n"/>
      <c r="K102" s="14" t="n"/>
      <c r="L102" s="14" t="n">
        <v>46269</v>
      </c>
      <c r="M102" s="14" t="n"/>
      <c r="N102" s="15" t="n">
        <v>0.82</v>
      </c>
      <c r="O102" s="16" t="inlineStr">
        <is>
          <t>着手</t>
        </is>
      </c>
      <c r="P102" s="13" t="inlineStr">
        <is>
          <t>★doc26で資料構成を確定（資料1〜8・約53頁＋素案別冊）。合意を得たい事項5点を先頭に置く構成。★9/3：output/08_第2回策定委員会資料.docx として資料2（本体完成）・資料5（骨格）・資料6（骨格）・資料7（本体完成）を作成。★9/4：資料4（第10期の基本理念・基本目標・施策体系）を追加し本体完成（全体で39表・A4約40頁）。基本理念は2案併記、基本目標5本、施策28本（新規10）。残るは資料3（調査結果速報）のみで、調査結果の確定後に作成。資料4に差し込む住民ニーズの数値も資料3から供給する。LibreOfficeが動作しないためレイアウトの目視確認は未実施。★9/16：資料5を骨格から本体に引き上げ（8頁→14頁）。5-3にサービス種類別の見込量と給付費の分離を、5-4に推計の幅（単価の趨勢+314円・伸びの偏りのバックテスト・推計誤差±約700円・自己点検の4件）を、5-5に令和9年4月の新設区分を新設した。資料6も本体に引き上げ（6頁→10頁）。6-3に算定の5式と感応度9項目、6-3bに12パターン（5,936〜7,341円）、6-5に中長期の保険料（αの2案）を投入。資料7に7-3bとして令和8年度の得点と全国平均の対比（維持6指標・引上げ5指標）を追加。算定の進展により委員の判断を要する論点が4つ増えたため、合意事項を5点→8点に改訂し、当日の進行案（2時間）を doc26§12 に作成した。資料は26表→43表・約65頁。残る律速は委員の改選・基金残高・調査の回収集計の3つ。</t>
        </is>
      </c>
    </row>
    <row r="103" ht="30" customHeight="1">
      <c r="A103" s="23" t="inlineStr">
        <is>
          <t>Ⅱ-84</t>
        </is>
      </c>
      <c r="B103" s="24" t="inlineStr">
        <is>
          <t>Ⅱ 計画策定</t>
        </is>
      </c>
      <c r="C103" s="24" t="inlineStr">
        <is>
          <t>Ⅱ-8 策定委員会支援</t>
        </is>
      </c>
      <c r="D103" s="25" t="inlineStr">
        <is>
          <t>第2回 会議出席・会議記録（要旨）の作成</t>
        </is>
      </c>
      <c r="E103" s="23" t="inlineStr">
        <is>
          <t>仕様書4Ⅱ(8)</t>
        </is>
      </c>
      <c r="F103" s="23" t="inlineStr">
        <is>
          <t>受託者</t>
        </is>
      </c>
      <c r="G103" s="25" t="inlineStr">
        <is>
          <t>会議記録</t>
        </is>
      </c>
      <c r="H103" s="25" t="inlineStr"/>
      <c r="I103" s="23" t="inlineStr">
        <is>
          <t>R8.11</t>
        </is>
      </c>
      <c r="J103" s="26" t="n"/>
      <c r="K103" s="26" t="n"/>
      <c r="L103" s="26" t="n"/>
      <c r="M103" s="26" t="n"/>
      <c r="N103" s="27" t="n">
        <v>0</v>
      </c>
      <c r="O103" s="23" t="inlineStr">
        <is>
          <t>未着手</t>
        </is>
      </c>
      <c r="P103" s="25" t="inlineStr"/>
    </row>
    <row r="104" ht="30" customHeight="1">
      <c r="A104" s="18" t="inlineStr">
        <is>
          <t>Ⅱ-85</t>
        </is>
      </c>
      <c r="B104" s="19" t="inlineStr">
        <is>
          <t>Ⅱ 計画策定</t>
        </is>
      </c>
      <c r="C104" s="19" t="inlineStr">
        <is>
          <t>Ⅱ-8 策定委員会支援</t>
        </is>
      </c>
      <c r="D104" s="20" t="inlineStr">
        <is>
          <t>第3回 会議資料の作成</t>
        </is>
      </c>
      <c r="E104" s="18" t="inlineStr">
        <is>
          <t>仕様書4Ⅱ(8)</t>
        </is>
      </c>
      <c r="F104" s="18" t="inlineStr">
        <is>
          <t>受託者</t>
        </is>
      </c>
      <c r="G104" s="20" t="inlineStr">
        <is>
          <t>会議資料</t>
        </is>
      </c>
      <c r="H104" s="20" t="inlineStr">
        <is>
          <t>パブコメ結果と反映内容の報告。ほぼ完成版の素案として最終合意</t>
        </is>
      </c>
      <c r="I104" s="18" t="inlineStr">
        <is>
          <t>R9.1下〜2上</t>
        </is>
      </c>
      <c r="J104" s="21" t="n"/>
      <c r="K104" s="21" t="n"/>
      <c r="L104" s="21" t="n"/>
      <c r="M104" s="21" t="n"/>
      <c r="N104" s="22" t="n">
        <v>0</v>
      </c>
      <c r="O104" s="18" t="inlineStr">
        <is>
          <t>未着手</t>
        </is>
      </c>
      <c r="P104" s="20" t="inlineStr"/>
    </row>
    <row r="105" ht="30" customHeight="1">
      <c r="A105" s="23" t="inlineStr">
        <is>
          <t>Ⅱ-86</t>
        </is>
      </c>
      <c r="B105" s="24" t="inlineStr">
        <is>
          <t>Ⅱ 計画策定</t>
        </is>
      </c>
      <c r="C105" s="24" t="inlineStr">
        <is>
          <t>Ⅱ-8 策定委員会支援</t>
        </is>
      </c>
      <c r="D105" s="25" t="inlineStr">
        <is>
          <t>第3回 会議出席・会議記録（要旨）の作成</t>
        </is>
      </c>
      <c r="E105" s="23" t="inlineStr">
        <is>
          <t>仕様書4Ⅱ(8)</t>
        </is>
      </c>
      <c r="F105" s="23" t="inlineStr">
        <is>
          <t>受託者</t>
        </is>
      </c>
      <c r="G105" s="25" t="inlineStr">
        <is>
          <t>会議記録</t>
        </is>
      </c>
      <c r="H105" s="25" t="inlineStr"/>
      <c r="I105" s="23" t="inlineStr">
        <is>
          <t>R9.1下〜2上</t>
        </is>
      </c>
      <c r="J105" s="26" t="n"/>
      <c r="K105" s="26" t="n"/>
      <c r="L105" s="26" t="n"/>
      <c r="M105" s="26" t="n"/>
      <c r="N105" s="27" t="n">
        <v>0</v>
      </c>
      <c r="O105" s="23" t="inlineStr">
        <is>
          <t>未着手</t>
        </is>
      </c>
      <c r="P105" s="25" t="inlineStr"/>
    </row>
    <row r="106" ht="30" customHeight="1">
      <c r="A106" s="18" t="inlineStr">
        <is>
          <t>Ⅱ-93</t>
        </is>
      </c>
      <c r="B106" s="19" t="inlineStr">
        <is>
          <t>Ⅱ 計画策定</t>
        </is>
      </c>
      <c r="C106" s="19" t="inlineStr">
        <is>
          <t>Ⅱ-8 策定委員会支援</t>
        </is>
      </c>
      <c r="D106" s="20" t="inlineStr">
        <is>
          <t>議会全員協議会 説明資料の作成</t>
        </is>
      </c>
      <c r="E106" s="18" t="inlineStr">
        <is>
          <t>確認</t>
        </is>
      </c>
      <c r="F106" s="18" t="inlineStr">
        <is>
          <t>受託者</t>
        </is>
      </c>
      <c r="G106" s="20" t="inlineStr">
        <is>
          <t>説明資料</t>
        </is>
      </c>
      <c r="H106" s="20" t="inlineStr">
        <is>
          <t>★議事録で新設。概要版を用いて次期計画を説明。受託者の関与範囲（資料のみか出席を含むか）は要確認</t>
        </is>
      </c>
      <c r="I106" s="18" t="inlineStr">
        <is>
          <t>R9.2末</t>
        </is>
      </c>
      <c r="J106" s="21" t="n"/>
      <c r="K106" s="21" t="n"/>
      <c r="L106" s="21" t="n"/>
      <c r="M106" s="21" t="n"/>
      <c r="N106" s="22" t="n">
        <v>0</v>
      </c>
      <c r="O106" s="18" t="inlineStr">
        <is>
          <t>未着手</t>
        </is>
      </c>
      <c r="P106" s="20" t="inlineStr">
        <is>
          <t>★議事録で新設。令和9年2月末頃に概要版を用いて次期計画を説明。受託者の関与範囲（資料作成のみか出席・説明を含むか）が未確認（doc22 K-80）。</t>
        </is>
      </c>
    </row>
    <row r="107" ht="30" customHeight="1">
      <c r="A107" s="11" t="inlineStr">
        <is>
          <t>Ⅲ-87</t>
        </is>
      </c>
      <c r="B107" s="17" t="inlineStr">
        <is>
          <t>Ⅲ 打合せ等</t>
        </is>
      </c>
      <c r="C107" s="12" t="inlineStr">
        <is>
          <t>Ⅲ-1 打合せ</t>
        </is>
      </c>
      <c r="D107" s="13" t="inlineStr">
        <is>
          <t>定例打合せの実施（電話・オンライン・対面）</t>
        </is>
      </c>
      <c r="E107" s="11" t="inlineStr">
        <is>
          <t>仕様書4Ⅲ</t>
        </is>
      </c>
      <c r="F107" s="11" t="inlineStr">
        <is>
          <t>双方</t>
        </is>
      </c>
      <c r="G107" s="13" t="inlineStr">
        <is>
          <t>打合せ記録</t>
        </is>
      </c>
      <c r="H107" s="13" t="inlineStr">
        <is>
          <t>必要に応じて随時</t>
        </is>
      </c>
      <c r="I107" s="11" t="inlineStr">
        <is>
          <t>通期</t>
        </is>
      </c>
      <c r="J107" s="14" t="n"/>
      <c r="K107" s="14" t="n"/>
      <c r="L107" s="14" t="n">
        <v>46259</v>
      </c>
      <c r="M107" s="14" t="n"/>
      <c r="N107" s="15" t="n">
        <v>0.1</v>
      </c>
      <c r="O107" s="16" t="inlineStr">
        <is>
          <t>着手</t>
        </is>
      </c>
      <c r="P107" s="13" t="inlineStr">
        <is>
          <t>通期。開催頻度・形式は未確定。</t>
        </is>
      </c>
    </row>
    <row r="108" ht="30" customHeight="1">
      <c r="A108" s="11" t="inlineStr">
        <is>
          <t>Ⅲ-88</t>
        </is>
      </c>
      <c r="B108" s="12" t="inlineStr">
        <is>
          <t>Ⅲ 打合せ等</t>
        </is>
      </c>
      <c r="C108" s="12" t="inlineStr">
        <is>
          <t>Ⅲ-1 打合せ</t>
        </is>
      </c>
      <c r="D108" s="13" t="inlineStr">
        <is>
          <t>資料授受の管理</t>
        </is>
      </c>
      <c r="E108" s="11" t="inlineStr">
        <is>
          <t>仕様書4Ⅲ</t>
        </is>
      </c>
      <c r="F108" s="11" t="inlineStr">
        <is>
          <t>双方</t>
        </is>
      </c>
      <c r="G108" s="13" t="inlineStr">
        <is>
          <t>資料授受記録</t>
        </is>
      </c>
      <c r="H108" s="13" t="inlineStr"/>
      <c r="I108" s="11" t="inlineStr">
        <is>
          <t>通期</t>
        </is>
      </c>
      <c r="J108" s="14" t="n"/>
      <c r="K108" s="14" t="n"/>
      <c r="L108" s="14" t="n">
        <v>46259</v>
      </c>
      <c r="M108" s="14" t="n"/>
      <c r="N108" s="15" t="n">
        <v>0.35</v>
      </c>
      <c r="O108" s="16" t="inlineStr">
        <is>
          <t>着手</t>
        </is>
      </c>
      <c r="P108" s="13" t="inlineStr">
        <is>
          <t>受領資料は「受領資料・データ管理」シートで管理（28件）。7z分割書庫の全4分割が揃い展開完了。</t>
        </is>
      </c>
    </row>
    <row r="109" ht="30" customHeight="1">
      <c r="A109" s="23" t="inlineStr">
        <is>
          <t>Ⅳ-89</t>
        </is>
      </c>
      <c r="B109" s="30" t="inlineStr">
        <is>
          <t>Ⅳ 成果品・納品</t>
        </is>
      </c>
      <c r="C109" s="24" t="inlineStr">
        <is>
          <t>Ⅳ-1 成果品</t>
        </is>
      </c>
      <c r="D109" s="25" t="inlineStr">
        <is>
          <t>計画書の印刷・製本（A4両面約100頁・くるみ製本）</t>
        </is>
      </c>
      <c r="E109" s="23" t="inlineStr">
        <is>
          <t>仕様書5①</t>
        </is>
      </c>
      <c r="F109" s="23" t="inlineStr">
        <is>
          <t>受託者</t>
        </is>
      </c>
      <c r="G109" s="25" t="inlineStr">
        <is>
          <t>計画書 50部</t>
        </is>
      </c>
      <c r="H109" s="25" t="inlineStr">
        <is>
          <t>モノクロ印刷</t>
        </is>
      </c>
      <c r="I109" s="23" t="inlineStr">
        <is>
          <t>R9.3</t>
        </is>
      </c>
      <c r="J109" s="26" t="n"/>
      <c r="K109" s="26" t="n"/>
      <c r="L109" s="26" t="n"/>
      <c r="M109" s="26" t="n"/>
      <c r="N109" s="27" t="n">
        <v>0</v>
      </c>
      <c r="O109" s="23" t="inlineStr">
        <is>
          <t>未着手</t>
        </is>
      </c>
      <c r="P109" s="25" t="inlineStr"/>
    </row>
    <row r="110" ht="30" customHeight="1">
      <c r="A110" s="18" t="inlineStr">
        <is>
          <t>Ⅳ-90</t>
        </is>
      </c>
      <c r="B110" s="19" t="inlineStr">
        <is>
          <t>Ⅳ 成果品・納品</t>
        </is>
      </c>
      <c r="C110" s="19" t="inlineStr">
        <is>
          <t>Ⅳ-1 成果品</t>
        </is>
      </c>
      <c r="D110" s="20" t="inlineStr">
        <is>
          <t>アンケート調査報告書の印刷・製本（ホチキス製本）</t>
        </is>
      </c>
      <c r="E110" s="18" t="inlineStr">
        <is>
          <t>仕様書5②</t>
        </is>
      </c>
      <c r="F110" s="18" t="inlineStr">
        <is>
          <t>受託者</t>
        </is>
      </c>
      <c r="G110" s="20" t="inlineStr">
        <is>
          <t>報告書 10部</t>
        </is>
      </c>
      <c r="H110" s="20" t="inlineStr">
        <is>
          <t>A4両面約100頁・モノクロ</t>
        </is>
      </c>
      <c r="I110" s="18" t="inlineStr">
        <is>
          <t>R9.3</t>
        </is>
      </c>
      <c r="J110" s="21" t="n"/>
      <c r="K110" s="21" t="n"/>
      <c r="L110" s="21" t="n"/>
      <c r="M110" s="21" t="n"/>
      <c r="N110" s="22" t="n">
        <v>0</v>
      </c>
      <c r="O110" s="18" t="inlineStr">
        <is>
          <t>未着手</t>
        </is>
      </c>
      <c r="P110" s="20" t="inlineStr">
        <is>
          <t>★9/24：仕様書どおりA4判両面約100頁・モノクロ・ホチキス製本・10部で確定。両面100頁＝紙50枚でホチキス製本の上限に近く、当初案の118頁（59枚）は製本の面でも無理があった。</t>
        </is>
      </c>
    </row>
    <row r="111" ht="30" customHeight="1">
      <c r="A111" s="11" t="inlineStr">
        <is>
          <t>Ⅳ-91</t>
        </is>
      </c>
      <c r="B111" s="12" t="inlineStr">
        <is>
          <t>Ⅳ 成果品・納品</t>
        </is>
      </c>
      <c r="C111" s="12" t="inlineStr">
        <is>
          <t>Ⅳ-1 成果品</t>
        </is>
      </c>
      <c r="D111" s="13" t="inlineStr">
        <is>
          <t>電子媒体の作成（Word/Excel/PowerPoint/PDF）</t>
        </is>
      </c>
      <c r="E111" s="11" t="inlineStr">
        <is>
          <t>仕様書5③</t>
        </is>
      </c>
      <c r="F111" s="11" t="inlineStr">
        <is>
          <t>受託者</t>
        </is>
      </c>
      <c r="G111" s="13" t="inlineStr">
        <is>
          <t>CD-R等一式</t>
        </is>
      </c>
      <c r="H111" s="13" t="inlineStr">
        <is>
          <t>関連データを含む</t>
        </is>
      </c>
      <c r="I111" s="11" t="inlineStr">
        <is>
          <t>R9.3</t>
        </is>
      </c>
      <c r="J111" s="14" t="n"/>
      <c r="K111" s="14" t="n"/>
      <c r="L111" s="14" t="n">
        <v>46290</v>
      </c>
      <c r="M111" s="14" t="n"/>
      <c r="N111" s="15" t="n">
        <v>0.2</v>
      </c>
      <c r="O111" s="16" t="inlineStr">
        <is>
          <t>着手</t>
        </is>
      </c>
      <c r="P111" s="13" t="inlineStr">
        <is>
          <t>★案Bの採用により、報告書の紙から外した調査票2種（PDF）・単純集計表（Excel）・自由記述の全文（匿名化済み・Excel）・見える化システム登録用データ（Excel）を収録することが確定した（doc24§9-2）。仕様書5③の「関連データ」の主要部分がこれで埋まる。収録一覧は報告書の資料3として紙にも載せる。回答原票と管理番号対応表を含めるかは未決。</t>
        </is>
      </c>
    </row>
    <row r="112" ht="30" customHeight="1">
      <c r="A112" s="18" t="inlineStr">
        <is>
          <t>Ⅳ-114</t>
        </is>
      </c>
      <c r="B112" s="19" t="inlineStr">
        <is>
          <t>Ⅳ 成果品・納品</t>
        </is>
      </c>
      <c r="C112" s="19" t="inlineStr">
        <is>
          <t>Ⅳ-1 成果品</t>
        </is>
      </c>
      <c r="D112" s="20" t="inlineStr">
        <is>
          <t>納品物に収録する範囲の確定（個人情報の非収録）</t>
        </is>
      </c>
      <c r="E112" s="18" t="inlineStr">
        <is>
          <t>仕様書5③</t>
        </is>
      </c>
      <c r="F112" s="18" t="inlineStr">
        <is>
          <t>双方</t>
        </is>
      </c>
      <c r="G112" s="20" t="inlineStr">
        <is>
          <t>収録内容一覧</t>
        </is>
      </c>
      <c r="H112" s="20" t="inlineStr">
        <is>
          <t>「関連データ」に回答原票・管理番号対応表を含めるかは村の指示による。仕様書6(1)と一体</t>
        </is>
      </c>
      <c r="I112" s="18" t="inlineStr">
        <is>
          <t>R9.3</t>
        </is>
      </c>
      <c r="J112" s="21" t="n"/>
      <c r="K112" s="21" t="n"/>
      <c r="L112" s="21" t="n"/>
      <c r="M112" s="21" t="n"/>
      <c r="N112" s="22" t="n">
        <v>0</v>
      </c>
      <c r="O112" s="18" t="inlineStr">
        <is>
          <t>未着手</t>
        </is>
      </c>
      <c r="P112" s="20" t="inlineStr">
        <is>
          <t>★9/25：案Bの採用により収録対象が確定した部分がある。調査票2種（PDF・発送した現物の版）・単純集計表（全設問・Excel）・自由記述の全文（匿名化済みのみ）・見える化システム登録用データを収録する（doc24§9-2）。報告書の紙の資料編はリスク判定の判定方法2頁・自由記述の分類と主要意見3頁・電子媒体の収録一覧1頁の6頁とした。未決は回答原票と管理番号対応表を含めるかで、含めない場合は原票は仕様書6(1)に従い消去する。</t>
        </is>
      </c>
    </row>
    <row r="113" ht="30" customHeight="1">
      <c r="A113" s="23" t="inlineStr">
        <is>
          <t>Ⅳ-92</t>
        </is>
      </c>
      <c r="B113" s="24" t="inlineStr">
        <is>
          <t>Ⅳ 成果品・納品</t>
        </is>
      </c>
      <c r="C113" s="24" t="inlineStr">
        <is>
          <t>Ⅳ-1 成果品</t>
        </is>
      </c>
      <c r="D113" s="25" t="inlineStr">
        <is>
          <t>概要版の作成</t>
        </is>
      </c>
      <c r="E113" s="23" t="inlineStr">
        <is>
          <t>確認</t>
        </is>
      </c>
      <c r="F113" s="23" t="inlineStr">
        <is>
          <t>双方</t>
        </is>
      </c>
      <c r="G113" s="25" t="inlineStr">
        <is>
          <t>概要版 A3両面程度</t>
        </is>
      </c>
      <c r="H113" s="25" t="inlineStr">
        <is>
          <t>★議事録で作成が合意（理念・体系図・推移データを記載）。2月末の議会全員協議会で使用。仕様の範囲内か追加対応かは要確認</t>
        </is>
      </c>
      <c r="I113" s="23" t="inlineStr">
        <is>
          <t>R9.1〜2</t>
        </is>
      </c>
      <c r="J113" s="26" t="n"/>
      <c r="K113" s="26" t="n"/>
      <c r="L113" s="26" t="n"/>
      <c r="M113" s="26" t="n"/>
      <c r="N113" s="27" t="n">
        <v>0</v>
      </c>
      <c r="O113" s="23" t="inlineStr">
        <is>
          <t>未着手</t>
        </is>
      </c>
      <c r="P113" s="25" t="inlineStr">
        <is>
          <t>★議事録でA3両面程度（理念・体系図・推移データ）と決着。第9期はA4 2ページ。仕様の範囲内か追加対応かは要確認（doc22 K-79）。</t>
        </is>
      </c>
    </row>
    <row r="114" ht="30" customHeight="1">
      <c r="A114" s="18" t="inlineStr">
        <is>
          <t>Ⅳ-96</t>
        </is>
      </c>
      <c r="B114" s="19" t="inlineStr">
        <is>
          <t>Ⅳ 成果品・納品</t>
        </is>
      </c>
      <c r="C114" s="19" t="inlineStr">
        <is>
          <t>Ⅳ-2 納品</t>
        </is>
      </c>
      <c r="D114" s="20" t="inlineStr">
        <is>
          <t>納品・検収</t>
        </is>
      </c>
      <c r="E114" s="18" t="inlineStr">
        <is>
          <t>仕様書3</t>
        </is>
      </c>
      <c r="F114" s="18" t="inlineStr">
        <is>
          <t>双方</t>
        </is>
      </c>
      <c r="G114" s="20" t="inlineStr">
        <is>
          <t>検収書</t>
        </is>
      </c>
      <c r="H114" s="20" t="inlineStr">
        <is>
          <t>履行期限 令和9年3月31日</t>
        </is>
      </c>
      <c r="I114" s="18" t="inlineStr">
        <is>
          <t>R9.3</t>
        </is>
      </c>
      <c r="J114" s="21" t="n"/>
      <c r="K114" s="21" t="n"/>
      <c r="L114" s="21" t="n"/>
      <c r="M114" s="21" t="n"/>
      <c r="N114" s="22" t="n">
        <v>0</v>
      </c>
      <c r="O114" s="18" t="inlineStr">
        <is>
          <t>未着手</t>
        </is>
      </c>
      <c r="P114" s="20" t="inlineStr"/>
    </row>
    <row r="115" ht="30" customHeight="1">
      <c r="A115" s="11" t="inlineStr">
        <is>
          <t>Ⅴ-97</t>
        </is>
      </c>
      <c r="B115" s="17" t="inlineStr">
        <is>
          <t>Ⅴ 管理</t>
        </is>
      </c>
      <c r="C115" s="12" t="inlineStr">
        <is>
          <t>Ⅴ-1 情報管理</t>
        </is>
      </c>
      <c r="D115" s="13" t="inlineStr">
        <is>
          <t>個人情報の適正管理（アクセス制限・保管ルール）</t>
        </is>
      </c>
      <c r="E115" s="11" t="inlineStr">
        <is>
          <t>仕様書6(1)</t>
        </is>
      </c>
      <c r="F115" s="11" t="inlineStr">
        <is>
          <t>受託者</t>
        </is>
      </c>
      <c r="G115" s="13" t="inlineStr">
        <is>
          <t>管理記録</t>
        </is>
      </c>
      <c r="H115" s="13" t="inlineStr">
        <is>
          <t>契約終了後・解除後も同様</t>
        </is>
      </c>
      <c r="I115" s="11" t="inlineStr">
        <is>
          <t>通期</t>
        </is>
      </c>
      <c r="J115" s="14" t="n"/>
      <c r="K115" s="14" t="n"/>
      <c r="L115" s="14" t="n">
        <v>46259</v>
      </c>
      <c r="M115" s="14" t="n"/>
      <c r="N115" s="15" t="n">
        <v>0.6</v>
      </c>
      <c r="O115" s="16" t="inlineStr">
        <is>
          <t>着手</t>
        </is>
      </c>
      <c r="P115" s="13" t="inlineStr">
        <is>
          <t>doc16として管理ルールを文書化完了（10項目のチェックリスト付）。村との合意・従事者名簿・誓約書は未実施。</t>
        </is>
      </c>
    </row>
    <row r="116" ht="30" customHeight="1">
      <c r="A116" s="18" t="inlineStr">
        <is>
          <t>Ⅴ-98</t>
        </is>
      </c>
      <c r="B116" s="19" t="inlineStr">
        <is>
          <t>Ⅴ 管理</t>
        </is>
      </c>
      <c r="C116" s="19" t="inlineStr">
        <is>
          <t>Ⅴ-1 情報管理</t>
        </is>
      </c>
      <c r="D116" s="20" t="inlineStr">
        <is>
          <t>業務完了後の情報の返還・消去</t>
        </is>
      </c>
      <c r="E116" s="18" t="inlineStr">
        <is>
          <t>仕様書6(1)</t>
        </is>
      </c>
      <c r="F116" s="18" t="inlineStr">
        <is>
          <t>受託者</t>
        </is>
      </c>
      <c r="G116" s="20" t="inlineStr">
        <is>
          <t>消去証明</t>
        </is>
      </c>
      <c r="H116" s="20" t="inlineStr">
        <is>
          <t>村の指示に従う</t>
        </is>
      </c>
      <c r="I116" s="18" t="inlineStr">
        <is>
          <t>R9.3</t>
        </is>
      </c>
      <c r="J116" s="21" t="n"/>
      <c r="K116" s="21" t="n"/>
      <c r="L116" s="21" t="n"/>
      <c r="M116" s="21" t="n"/>
      <c r="N116" s="22" t="n">
        <v>0</v>
      </c>
      <c r="O116" s="18" t="inlineStr">
        <is>
          <t>未着手</t>
        </is>
      </c>
      <c r="P116" s="20" t="inlineStr"/>
    </row>
    <row r="117" ht="30" customHeight="1">
      <c r="A117" s="23" t="inlineStr">
        <is>
          <t>Ⅴ-99</t>
        </is>
      </c>
      <c r="B117" s="24" t="inlineStr">
        <is>
          <t>Ⅴ 管理</t>
        </is>
      </c>
      <c r="C117" s="24" t="inlineStr">
        <is>
          <t>Ⅴ-2 再委託</t>
        </is>
      </c>
      <c r="D117" s="25" t="inlineStr">
        <is>
          <t>再委託の書面承諾の取得</t>
        </is>
      </c>
      <c r="E117" s="23" t="inlineStr">
        <is>
          <t>仕様書6(2)</t>
        </is>
      </c>
      <c r="F117" s="23" t="inlineStr">
        <is>
          <t>双方</t>
        </is>
      </c>
      <c r="G117" s="25" t="inlineStr">
        <is>
          <t>承諾書</t>
        </is>
      </c>
      <c r="H117" s="25" t="inlineStr">
        <is>
          <t>印刷・データ入力・ウェブフォーム構築等を外注する場合</t>
        </is>
      </c>
      <c r="I117" s="23" t="inlineStr">
        <is>
          <t>随時</t>
        </is>
      </c>
      <c r="J117" s="26" t="n"/>
      <c r="K117" s="26" t="n"/>
      <c r="L117" s="26" t="n"/>
      <c r="M117" s="26" t="n"/>
      <c r="N117" s="27" t="n">
        <v>0</v>
      </c>
      <c r="O117" s="23" t="inlineStr">
        <is>
          <t>未着手</t>
        </is>
      </c>
      <c r="P117" s="25" t="inlineStr"/>
    </row>
    <row r="118" ht="30" customHeight="1">
      <c r="A118" s="11" t="inlineStr">
        <is>
          <t>Ⅴ-100</t>
        </is>
      </c>
      <c r="B118" s="12" t="inlineStr">
        <is>
          <t>Ⅴ 管理</t>
        </is>
      </c>
      <c r="C118" s="12" t="inlineStr">
        <is>
          <t>Ⅴ-3 進捗管理</t>
        </is>
      </c>
      <c r="D118" s="13" t="inlineStr">
        <is>
          <t>進捗管理・課題管理</t>
        </is>
      </c>
      <c r="E118" s="11" t="inlineStr">
        <is>
          <t>仕様書6(4)</t>
        </is>
      </c>
      <c r="F118" s="11" t="inlineStr">
        <is>
          <t>受託者</t>
        </is>
      </c>
      <c r="G118" s="13" t="inlineStr">
        <is>
          <t>本進捗管理表</t>
        </is>
      </c>
      <c r="H118" s="13" t="inlineStr"/>
      <c r="I118" s="11" t="inlineStr">
        <is>
          <t>通期</t>
        </is>
      </c>
      <c r="J118" s="14" t="n"/>
      <c r="K118" s="14" t="n"/>
      <c r="L118" s="14" t="n">
        <v>46265</v>
      </c>
      <c r="M118" s="14" t="n"/>
      <c r="N118" s="15" t="n">
        <v>0.35</v>
      </c>
      <c r="O118" s="16" t="inlineStr">
        <is>
          <t>着手</t>
        </is>
      </c>
      <c r="P118" s="13" t="inlineStr">
        <is>
          <t>本表で管理。基準日 令和8年9月2日。村への確認事項71件（解決済6件）。</t>
        </is>
      </c>
    </row>
  </sheetData>
  <autoFilter ref="A4:P118"/>
  <mergeCells count="2">
    <mergeCell ref="A1:P1"/>
    <mergeCell ref="A2:P2"/>
  </mergeCells>
  <dataValidations count="2">
    <dataValidation sqref="O5:O118" showDropDown="0" showInputMessage="0" showErrorMessage="0" allowBlank="1" type="list">
      <formula1>"未着手,着手,確認中,完了,保留,対象外"</formula1>
    </dataValidation>
    <dataValidation sqref="F5:F118"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90"/>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6" customWidth="1" min="3" max="3"/>
    <col width="56" customWidth="1" min="4" max="4"/>
    <col width="14" customWidth="1" min="5" max="5"/>
    <col width="16" customWidth="1" min="6" max="6"/>
    <col width="10" customWidth="1" min="7" max="7"/>
    <col width="30" customWidth="1" min="8" max="8"/>
  </cols>
  <sheetData>
    <row r="1" ht="30" customHeight="1">
      <c r="A1" s="1" t="inlineStr">
        <is>
          <t>北塩原村への確認事項　一覧（基準日：令和8年9月25日）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出所の doc番号は docs/北塩原村_第10期/ 配下の分析資料に対応します</t>
        </is>
      </c>
    </row>
    <row r="4" ht="34" customHeight="1">
      <c r="A4" s="3" t="inlineStr">
        <is>
          <t>優先度</t>
        </is>
      </c>
      <c r="B4" s="3" t="inlineStr">
        <is>
          <t>区分</t>
        </is>
      </c>
      <c r="C4" s="3" t="inlineStr">
        <is>
          <t>確認事項</t>
        </is>
      </c>
      <c r="D4" s="3" t="inlineStr">
        <is>
          <t>なぜ必要か／影響</t>
        </is>
      </c>
      <c r="E4" s="3" t="inlineStr">
        <is>
          <t>関連WBS No.</t>
        </is>
      </c>
      <c r="F4" s="3" t="inlineStr">
        <is>
          <t>出所</t>
        </is>
      </c>
      <c r="G4" s="3" t="inlineStr">
        <is>
          <t>状況</t>
        </is>
      </c>
      <c r="H4" s="3" t="inlineStr">
        <is>
          <t>回答内容・回答日</t>
        </is>
      </c>
    </row>
    <row r="5" ht="34" customHeight="1">
      <c r="A5" s="31" t="inlineStr">
        <is>
          <t>S</t>
        </is>
      </c>
      <c r="B5" s="32" t="inlineStr">
        <is>
          <t>スケジュール</t>
        </is>
      </c>
      <c r="C5" s="33" t="inlineStr">
        <is>
          <t>対象者抽出・宛名ラベル・配布用封筒の提供時期</t>
        </is>
      </c>
      <c r="D5" s="33" t="inlineStr">
        <is>
          <t>村作業が遅れると発送が連鎖的に遅れる。9/19〜23が5連休。</t>
        </is>
      </c>
      <c r="E5" s="34" t="inlineStr">
        <is>
          <t>Ⅰ-24,Ⅰ-25,Ⅰ-26</t>
        </is>
      </c>
      <c r="F5" s="34" t="inlineStr">
        <is>
          <t>doc01-4</t>
        </is>
      </c>
      <c r="G5" s="34" t="inlineStr">
        <is>
          <t>未依頼</t>
        </is>
      </c>
      <c r="H5" s="33" t="inlineStr"/>
    </row>
    <row r="6" ht="34" customHeight="1">
      <c r="A6" s="31" t="inlineStr">
        <is>
          <t>S</t>
        </is>
      </c>
      <c r="B6" s="32" t="inlineStr">
        <is>
          <t>スケジュール</t>
        </is>
      </c>
      <c r="C6" s="33" t="inlineStr">
        <is>
          <t>宛名ラベル・配布用封筒の提供期限の前倒し可否（9/14→9/11）</t>
        </is>
      </c>
      <c r="D6" s="33" t="inlineStr">
        <is>
          <t>★提供が1日遅れると発送が5連休に食い込む。村作業の遅延に対する余裕がない。</t>
        </is>
      </c>
      <c r="E6" s="34" t="inlineStr">
        <is>
          <t>Ⅰ-25,Ⅰ-26</t>
        </is>
      </c>
      <c r="F6" s="34" t="inlineStr">
        <is>
          <t>doc19 指-2</t>
        </is>
      </c>
      <c r="G6" s="34" t="inlineStr">
        <is>
          <t>未依頼</t>
        </is>
      </c>
      <c r="H6" s="33" t="inlineStr"/>
    </row>
    <row r="7" ht="34" customHeight="1">
      <c r="A7" s="31" t="inlineStr">
        <is>
          <t>S</t>
        </is>
      </c>
      <c r="B7" s="32" t="inlineStr">
        <is>
          <t>スケジュール</t>
        </is>
      </c>
      <c r="C7" s="33" t="inlineStr">
        <is>
          <t>★策定委員会 現委員の任期満了（令和8年9月30日）と改選手続きの所要期間</t>
        </is>
      </c>
      <c r="D7" s="33" t="inlineStr">
        <is>
          <t>★議事録で触れられていない。第2回を11月に開催するには10月中の改選・委嘱が必要。</t>
        </is>
      </c>
      <c r="E7" s="34" t="inlineStr">
        <is>
          <t>Ⅱ-80</t>
        </is>
      </c>
      <c r="F7" s="34" t="inlineStr">
        <is>
          <t>doc22 K-76</t>
        </is>
      </c>
      <c r="G7" s="34" t="inlineStr">
        <is>
          <t>未依頼</t>
        </is>
      </c>
      <c r="H7" s="33" t="inlineStr"/>
    </row>
    <row r="8" ht="34" customHeight="1">
      <c r="A8" s="31" t="inlineStr">
        <is>
          <t>S</t>
        </is>
      </c>
      <c r="B8" s="32" t="inlineStr">
        <is>
          <t>データ</t>
        </is>
      </c>
      <c r="C8" s="33" t="inlineStr">
        <is>
          <t>★返信用封筒の差出有効期間の延長</t>
        </is>
      </c>
      <c r="D8" s="33" t="inlineStr">
        <is>
          <t>★★印刷前に要対応。版下は「差出有効期間 2026年10月16日まで」で回収期限（10月16日）と同日。期限翌日以降に投函された回答は料金受取人払が効かず届かない。通常は回収期限＋2週間程度。回収率に直結する。</t>
        </is>
      </c>
      <c r="E8" s="34" t="inlineStr">
        <is>
          <t>Ⅰ-23,Ⅰ-102</t>
        </is>
      </c>
      <c r="F8" s="34" t="inlineStr">
        <is>
          <t>doc34§1-2</t>
        </is>
      </c>
      <c r="G8" s="34" t="inlineStr">
        <is>
          <t>未依頼</t>
        </is>
      </c>
      <c r="H8" s="33" t="inlineStr"/>
    </row>
    <row r="9" ht="34" customHeight="1">
      <c r="A9" s="31" t="inlineStr">
        <is>
          <t>S</t>
        </is>
      </c>
      <c r="B9" s="32" t="inlineStr">
        <is>
          <t>データ</t>
        </is>
      </c>
      <c r="C9" s="33" t="inlineStr">
        <is>
          <t>★在宅調査票の管理番号の印字形式（N付きか数字のみか）</t>
        </is>
      </c>
      <c r="D9" s="33" t="inlineStr">
        <is>
          <t>★対象者リストはニーズが1〜882の数字、在宅がN1〜N118。調査票の印字見本はどちらも「1」。食い違うと回収後に名簿と回答を突き合わせられない。</t>
        </is>
      </c>
      <c r="E9" s="34" t="inlineStr">
        <is>
          <t>Ⅰ-18,Ⅰ-20</t>
        </is>
      </c>
      <c r="F9" s="34" t="inlineStr">
        <is>
          <t>doc34§5-3</t>
        </is>
      </c>
      <c r="G9" s="34" t="inlineStr">
        <is>
          <t>未依頼</t>
        </is>
      </c>
      <c r="H9" s="33" t="inlineStr"/>
    </row>
    <row r="10" ht="34" customHeight="1">
      <c r="A10" s="31" t="inlineStr">
        <is>
          <t>S</t>
        </is>
      </c>
      <c r="B10" s="32" t="inlineStr">
        <is>
          <t>分析</t>
        </is>
      </c>
      <c r="C10" s="33" t="inlineStr">
        <is>
          <t>★ICFを用いたクロス分析の具体的な期待像（軸・アウトプットのイメージ）</t>
        </is>
      </c>
      <c r="D10" s="33" t="inlineStr">
        <is>
          <t>★議事録の新規要件。「元気な高齢者」×「地域のニーズ」で共助・互助の必要性を示す分析。調査票の設計段階でクロス軸を確保しないと後から分析できない。9/3の第1稿に影響。</t>
        </is>
      </c>
      <c r="E10" s="34" t="inlineStr">
        <is>
          <t>Ⅰ-95</t>
        </is>
      </c>
      <c r="F10" s="34" t="inlineStr">
        <is>
          <t>doc22 K-77</t>
        </is>
      </c>
      <c r="G10" s="34" t="inlineStr">
        <is>
          <t>未依頼</t>
        </is>
      </c>
      <c r="H10" s="33" t="inlineStr"/>
    </row>
    <row r="11" ht="34" customHeight="1">
      <c r="A11" s="31" t="inlineStr">
        <is>
          <t>S</t>
        </is>
      </c>
      <c r="B11" s="32" t="inlineStr">
        <is>
          <t>方針</t>
        </is>
      </c>
      <c r="C11" s="33" t="inlineStr">
        <is>
          <t>★ニーズ調査 問4(15)(16)（社会的役割）を削除するかどうか</t>
        </is>
      </c>
      <c r="D11" s="33"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E11" s="34" t="inlineStr">
        <is>
          <t>Ⅰ-15,Ⅰ-102</t>
        </is>
      </c>
      <c r="F11" s="34" t="inlineStr">
        <is>
          <t>doc34§1-1</t>
        </is>
      </c>
      <c r="G11" s="34" t="inlineStr">
        <is>
          <t>未依頼</t>
        </is>
      </c>
      <c r="H11" s="33" t="inlineStr"/>
    </row>
    <row r="12" ht="34" customHeight="1">
      <c r="A12" s="31" t="inlineStr">
        <is>
          <t>S</t>
        </is>
      </c>
      <c r="B12" s="32" t="inlineStr">
        <is>
          <t>方針</t>
        </is>
      </c>
      <c r="C12" s="33" t="inlineStr">
        <is>
          <t>★基金取崩額の確認（第9期計画の24,000,000円と議事録の「800万円程度」の関係。年額か期間合計か）</t>
        </is>
      </c>
      <c r="D12" s="33" t="inlineStr">
        <is>
          <t>★保険料試算の前提が3倍変わる。議事録で基金取崩を視野に入れる方針が示されたため、正確な残高と取崩実績の確認が必須。</t>
        </is>
      </c>
      <c r="E12" s="34" t="inlineStr">
        <is>
          <t>Ⅱ-63,Ⅱ-64</t>
        </is>
      </c>
      <c r="F12" s="34" t="inlineStr">
        <is>
          <t>doc22 K-74</t>
        </is>
      </c>
      <c r="G12" s="34" t="inlineStr">
        <is>
          <t>未依頼</t>
        </is>
      </c>
      <c r="H12" s="33" t="inlineStr"/>
    </row>
    <row r="13" ht="34" customHeight="1">
      <c r="A13" s="31" t="inlineStr">
        <is>
          <t>S</t>
        </is>
      </c>
      <c r="B13" s="32" t="inlineStr">
        <is>
          <t>方針</t>
        </is>
      </c>
      <c r="C13" s="33" t="inlineStr">
        <is>
          <t>★第9期計画の第1号被保険者数の推計に用いたデータ（国配布の住基ベース推計か別の推計か）</t>
        </is>
      </c>
      <c r="D13" s="33" t="inlineStr">
        <is>
          <t>★国の事務連絡により、福島県では社人研の市町村別推計が公表されておらず第9期でも住基ベース推計が配布されていたことが判明。当方が示してきた「社人研推計をそのまま用いたため6.6%ずれた」という説明の前提が崩れた。第10期の説明の組み立てに影響する。</t>
        </is>
      </c>
      <c r="E13" s="34" t="inlineStr">
        <is>
          <t>Ⅱ-59</t>
        </is>
      </c>
      <c r="F13" s="34" t="inlineStr">
        <is>
          <t>doc28§1-1 K-105</t>
        </is>
      </c>
      <c r="G13" s="34" t="inlineStr">
        <is>
          <t>未依頼</t>
        </is>
      </c>
      <c r="H13" s="33" t="inlineStr"/>
    </row>
    <row r="14" ht="34" customHeight="1">
      <c r="A14" s="31" t="inlineStr">
        <is>
          <t>S</t>
        </is>
      </c>
      <c r="B14" s="32" t="inlineStr">
        <is>
          <t>方針</t>
        </is>
      </c>
      <c r="C14" s="33" t="inlineStr">
        <is>
          <t>★第10期の第1号被保険者数をA案（配布データ）とB案（令和8年実績にリベース）のどちらで置くか</t>
        </is>
      </c>
      <c r="D14" s="33" t="inlineStr">
        <is>
          <t>★配布データの推計値（令和8年954人）が実績（1,012人）を58人・5.7%下回っており、そのまま用いると第9期と同じ過少推計になる。第10期を通じて約57人・6%の差が生じ、保険料の基準額に直接影響する。県通知は「参考として適切に設定願います」としており配布データの使用を義務づけていない。</t>
        </is>
      </c>
      <c r="E14" s="34" t="inlineStr">
        <is>
          <t>Ⅱ-59,Ⅱ-64</t>
        </is>
      </c>
      <c r="F14" s="34" t="inlineStr">
        <is>
          <t>doc28§1-4 K-106</t>
        </is>
      </c>
      <c r="G14" s="34" t="inlineStr">
        <is>
          <t>未依頼</t>
        </is>
      </c>
      <c r="H14" s="33" t="inlineStr"/>
    </row>
    <row r="15" ht="34" customHeight="1">
      <c r="A15" s="31" t="inlineStr">
        <is>
          <t>S</t>
        </is>
      </c>
      <c r="B15" s="32" t="inlineStr">
        <is>
          <t>疑義</t>
        </is>
      </c>
      <c r="C15" s="33" t="inlineStr">
        <is>
          <t>★調査票の印刷前修正5件（p2投函期限の空欄・問7-1の「問6」・問10の記号K L・A票問15の分岐・URLとQRコード）</t>
        </is>
      </c>
      <c r="D15" s="33" t="inlineStr">
        <is>
          <t>★いずれも0909校正版で残っている。問7-1の参照先の誤りは分析編の中核クロス（X-15）に、A票問15の分岐はB票の回答対象者の確定に関わる。</t>
        </is>
      </c>
      <c r="E15" s="34" t="inlineStr">
        <is>
          <t>Ⅰ-15,Ⅰ-102</t>
        </is>
      </c>
      <c r="F15" s="34" t="inlineStr">
        <is>
          <t>doc34§1</t>
        </is>
      </c>
      <c r="G15" s="34" t="inlineStr">
        <is>
          <t>未依頼</t>
        </is>
      </c>
      <c r="H15" s="33" t="inlineStr"/>
    </row>
    <row r="16" ht="34" customHeight="1">
      <c r="A16" s="31" t="inlineStr">
        <is>
          <t>S</t>
        </is>
      </c>
      <c r="B16" s="32" t="inlineStr">
        <is>
          <t>調査設計</t>
        </is>
      </c>
      <c r="C16" s="33" t="inlineStr">
        <is>
          <t>在宅介護実態調査の手法（手法Ⅲか、手法Ⅳ〈新版 在宅生活改善調査〉を加えるか）</t>
        </is>
      </c>
      <c r="D16" s="33" t="inlineStr">
        <is>
          <t>調査票の設計・印刷頁数・集計方法がすべて決まる。第10期の新設手法。</t>
        </is>
      </c>
      <c r="E16" s="34" t="inlineStr">
        <is>
          <t>Ⅰ-07,Ⅰ-10</t>
        </is>
      </c>
      <c r="F16" s="34" t="inlineStr">
        <is>
          <t>doc03/doc05</t>
        </is>
      </c>
      <c r="G16" s="34" t="inlineStr">
        <is>
          <t>未依頼</t>
        </is>
      </c>
      <c r="H16" s="33" t="inlineStr"/>
    </row>
    <row r="17" ht="34" customHeight="1">
      <c r="A17" s="31" t="inlineStr">
        <is>
          <t>S</t>
        </is>
      </c>
      <c r="B17" s="32" t="inlineStr">
        <is>
          <t>調査設計</t>
        </is>
      </c>
      <c r="C17" s="33" t="inlineStr">
        <is>
          <t>ニーズ調査 約850人の抽出基準（要支援認定者を含むか／第9期との対比）</t>
        </is>
      </c>
      <c r="D17" s="33" t="inlineStr">
        <is>
          <t>議事録で在宅150件は「要支援1・2および要介護1〜5の在宅生活者等」と決着。ニーズ約850件の抽出基準（要支援を含むか）は未決着のため残置。</t>
        </is>
      </c>
      <c r="E17" s="34" t="inlineStr">
        <is>
          <t>Ⅰ-08,Ⅰ-24</t>
        </is>
      </c>
      <c r="F17" s="34" t="inlineStr">
        <is>
          <t>doc01-2,3／doc22</t>
        </is>
      </c>
      <c r="G17" s="34" t="inlineStr">
        <is>
          <t>一部回答</t>
        </is>
      </c>
      <c r="H17" s="33" t="inlineStr"/>
    </row>
    <row r="18" ht="34" customHeight="1">
      <c r="A18" s="31" t="inlineStr">
        <is>
          <t>S</t>
        </is>
      </c>
      <c r="B18" s="32" t="inlineStr">
        <is>
          <t>調査設計</t>
        </is>
      </c>
      <c r="C18" s="33" t="inlineStr">
        <is>
          <t>オプション項目の採否（「問6 就労について」ほか）</t>
        </is>
      </c>
      <c r="D18" s="33" t="inlineStr">
        <is>
          <t>令和7年8月版で就労はオプションと確定。採否で頁数が変わる。</t>
        </is>
      </c>
      <c r="E18" s="34" t="inlineStr">
        <is>
          <t>Ⅰ-12</t>
        </is>
      </c>
      <c r="F18" s="34" t="inlineStr">
        <is>
          <t>doc05</t>
        </is>
      </c>
      <c r="G18" s="34" t="inlineStr">
        <is>
          <t>未依頼</t>
        </is>
      </c>
      <c r="H18" s="33" t="inlineStr"/>
    </row>
    <row r="19" ht="34" customHeight="1">
      <c r="A19" s="31" t="inlineStr">
        <is>
          <t>S</t>
        </is>
      </c>
      <c r="B19" s="32" t="inlineStr">
        <is>
          <t>調査設計</t>
        </is>
      </c>
      <c r="C19" s="33" t="inlineStr">
        <is>
          <t>村独自設問の採否（除雪・在宅医療・成年後見・歯科受診・服薬ほか）</t>
        </is>
      </c>
      <c r="D19" s="33" t="inlineStr">
        <is>
          <t>第9期との時系列比較を優先するか、新規論点を入れるかの判断。</t>
        </is>
      </c>
      <c r="E19" s="34" t="inlineStr">
        <is>
          <t>Ⅰ-13</t>
        </is>
      </c>
      <c r="F19" s="34" t="inlineStr">
        <is>
          <t>doc03</t>
        </is>
      </c>
      <c r="G19" s="34" t="inlineStr">
        <is>
          <t>未依頼</t>
        </is>
      </c>
      <c r="H19" s="33" t="inlineStr"/>
    </row>
    <row r="20" ht="34" customHeight="1">
      <c r="A20" s="31" t="inlineStr">
        <is>
          <t>S</t>
        </is>
      </c>
      <c r="B20" s="32" t="inlineStr">
        <is>
          <t>調査設計</t>
        </is>
      </c>
      <c r="C20" s="33" t="inlineStr">
        <is>
          <t>ウェブ回答フォームの仕様（回答期限・村HP掲載の有無・二次元コード印字位置）</t>
        </is>
      </c>
      <c r="D20" s="33" t="inlineStr">
        <is>
          <t>入稿データ作成の前提。</t>
        </is>
      </c>
      <c r="E20" s="34" t="inlineStr">
        <is>
          <t>Ⅰ-16,Ⅰ-17</t>
        </is>
      </c>
      <c r="F20" s="34" t="inlineStr">
        <is>
          <t>doc01-8</t>
        </is>
      </c>
      <c r="G20" s="34" t="inlineStr">
        <is>
          <t>未依頼</t>
        </is>
      </c>
      <c r="H20" s="33" t="inlineStr"/>
    </row>
    <row r="21" ht="34" customHeight="1">
      <c r="A21" s="31" t="inlineStr">
        <is>
          <t>S</t>
        </is>
      </c>
      <c r="B21" s="32" t="inlineStr">
        <is>
          <t>調査設計</t>
        </is>
      </c>
      <c r="C21" s="33" t="inlineStr">
        <is>
          <t>★発送日の確定（9/17前倒し／9/18のまま／9/24後ろ倒し）と回収期限</t>
        </is>
      </c>
      <c r="D21" s="33" t="inlineStr">
        <is>
          <t>★議事録は「9月18日頃」とするのみで、5連休の論点に触れていない。9/17（木）への前倒し可否と回収期限を9/3の第1稿提出時に併せて提起する。</t>
        </is>
      </c>
      <c r="E21" s="34" t="inlineStr">
        <is>
          <t>Ⅰ-29,Ⅰ-32</t>
        </is>
      </c>
      <c r="F21" s="34" t="inlineStr">
        <is>
          <t>doc19 指-1／doc22 A-4</t>
        </is>
      </c>
      <c r="G21" s="34" t="inlineStr">
        <is>
          <t>再提起</t>
        </is>
      </c>
      <c r="H21" s="33" t="inlineStr"/>
    </row>
    <row r="22" ht="34" customHeight="1">
      <c r="A22" s="31" t="inlineStr">
        <is>
          <t>S</t>
        </is>
      </c>
      <c r="B22" s="32" t="inlineStr">
        <is>
          <t>調査設計</t>
        </is>
      </c>
      <c r="C22" s="33" t="inlineStr">
        <is>
          <t>★ウェブ回答フォームにGoogleフォームを用いることの可否</t>
        </is>
      </c>
      <c r="D22" s="33" t="inlineStr">
        <is>
          <t>★通信の暗号化とデータの保存先は別の論点。回答データが村外サーバに保存される。個人情報保護条例上の取扱いと、重複排除の実装・エクスポート後の元データ削除・公開期間管理の確認が必要。</t>
        </is>
      </c>
      <c r="E22" s="34" t="inlineStr">
        <is>
          <t>Ⅰ-16,Ⅰ-18</t>
        </is>
      </c>
      <c r="F22" s="34" t="inlineStr">
        <is>
          <t>doc19 追-3</t>
        </is>
      </c>
      <c r="G22" s="34" t="inlineStr">
        <is>
          <t>未依頼</t>
        </is>
      </c>
      <c r="H22" s="33" t="inlineStr"/>
    </row>
    <row r="23" ht="34" customHeight="1">
      <c r="A23" s="31" t="inlineStr">
        <is>
          <t>S</t>
        </is>
      </c>
      <c r="B23" s="32" t="inlineStr">
        <is>
          <t>調査設計</t>
        </is>
      </c>
      <c r="C23" s="33" t="inlineStr">
        <is>
          <t>調査票の印刷頁数の調整方針（仕様書はニーズ約12頁／在宅約8頁）</t>
        </is>
      </c>
      <c r="D23" s="33" t="inlineStr">
        <is>
          <t>現在の調査票案は設問数が多く、レイアウト調整か設問の絞り込みが必要になる可能性。オプション項目の採否と一体。</t>
        </is>
      </c>
      <c r="E23" s="34" t="inlineStr">
        <is>
          <t>Ⅰ-20,Ⅰ-21</t>
        </is>
      </c>
      <c r="F23" s="34" t="inlineStr">
        <is>
          <t>doc19 S-5</t>
        </is>
      </c>
      <c r="G23" s="34" t="inlineStr">
        <is>
          <t>未依頼</t>
        </is>
      </c>
      <c r="H23" s="33" t="inlineStr"/>
    </row>
    <row r="24" ht="34" customHeight="1">
      <c r="A24" s="31" t="inlineStr">
        <is>
          <t>S</t>
        </is>
      </c>
      <c r="B24" s="32" t="inlineStr">
        <is>
          <t>調査設計</t>
        </is>
      </c>
      <c r="C24" s="33" t="inlineStr">
        <is>
          <t>依頼状の差出人名義（村名義／村長名）</t>
        </is>
      </c>
      <c r="D24" s="33" t="inlineStr">
        <is>
          <t>★第1稿は「北塩原村長　遠藤　和夫」と村長名で作成済み。名義の可否と、あわせて現職の村長名が正しいかの確認が必要（当方が保有する平成30年の資料では別の方が村長）。</t>
        </is>
      </c>
      <c r="E24" s="34" t="inlineStr">
        <is>
          <t>Ⅰ-14</t>
        </is>
      </c>
      <c r="F24" s="34" t="inlineStr">
        <is>
          <t>doc19 追-4／doc23§5</t>
        </is>
      </c>
      <c r="G24" s="34" t="inlineStr">
        <is>
          <t>一部回答</t>
        </is>
      </c>
      <c r="H24" s="33" t="inlineStr"/>
    </row>
    <row r="25" ht="34" customHeight="1">
      <c r="A25" s="31" t="inlineStr">
        <is>
          <t>S</t>
        </is>
      </c>
      <c r="B25" s="32" t="inlineStr">
        <is>
          <t>調査設計</t>
        </is>
      </c>
      <c r="C25" s="33" t="inlineStr">
        <is>
          <t>調査票の印刷部数（予備を何部見込むか）</t>
        </is>
      </c>
      <c r="D25" s="33" t="inlineStr">
        <is>
          <t>約1,000部＋予備。発送後の追加印刷は工程上困難。</t>
        </is>
      </c>
      <c r="E25" s="34" t="inlineStr">
        <is>
          <t>Ⅰ-21,Ⅰ-22</t>
        </is>
      </c>
      <c r="F25" s="34" t="inlineStr">
        <is>
          <t>doc19 追-5</t>
        </is>
      </c>
      <c r="G25" s="34" t="inlineStr">
        <is>
          <t>未依頼</t>
        </is>
      </c>
      <c r="H25" s="33" t="inlineStr"/>
    </row>
    <row r="26" ht="34" customHeight="1">
      <c r="A26" s="31" t="inlineStr">
        <is>
          <t>S</t>
        </is>
      </c>
      <c r="B26" s="32" t="inlineStr">
        <is>
          <t>調査設計</t>
        </is>
      </c>
      <c r="C26" s="33" t="inlineStr">
        <is>
          <t>在宅介護実態調査 問8・問9の基準月</t>
        </is>
      </c>
      <c r="D26" s="33" t="inlineStr">
        <is>
          <t>発送月の前月が通常。発送日の確定とセット。</t>
        </is>
      </c>
      <c r="E26" s="34" t="inlineStr">
        <is>
          <t>Ⅰ-10</t>
        </is>
      </c>
      <c r="F26" s="34" t="inlineStr">
        <is>
          <t>doc19 追-2</t>
        </is>
      </c>
      <c r="G26" s="34" t="inlineStr">
        <is>
          <t>未依頼</t>
        </is>
      </c>
      <c r="H26" s="33" t="inlineStr"/>
    </row>
    <row r="27" ht="34" customHeight="1">
      <c r="A27" s="31" t="inlineStr">
        <is>
          <t>S</t>
        </is>
      </c>
      <c r="B27" s="32" t="inlineStr">
        <is>
          <t>調査設計</t>
        </is>
      </c>
      <c r="C27" s="33" t="inlineStr">
        <is>
          <t>★ニーズ調査 問7(7)「この1か月間に会った友人・知人の人数」の採用可否</t>
        </is>
      </c>
      <c r="D27" s="33" t="inlineStr">
        <is>
          <t>★第1稿では不採用のうえ以降の番号を繰り上げているため、見える化への入力時に設問の対応が崩れる。採用すれば番号ずれが解消し、かつICF分析の「参加」の量的指標としてそのまま使える。</t>
        </is>
      </c>
      <c r="E27" s="34" t="inlineStr">
        <is>
          <t>Ⅰ-09</t>
        </is>
      </c>
      <c r="F27" s="34" t="inlineStr">
        <is>
          <t>doc23§1-2</t>
        </is>
      </c>
      <c r="G27" s="34" t="inlineStr">
        <is>
          <t>未依頼</t>
        </is>
      </c>
      <c r="H27" s="33" t="inlineStr"/>
    </row>
    <row r="28" ht="34" customHeight="1">
      <c r="A28" s="31" t="inlineStr">
        <is>
          <t>S</t>
        </is>
      </c>
      <c r="B28" s="32" t="inlineStr">
        <is>
          <t>調査設計</t>
        </is>
      </c>
      <c r="C28" s="33" t="inlineStr">
        <is>
          <t>★ニーズ調査 村独自設問14問の採否と頁数（問3(10)の削除・問7(9)の簡素化）</t>
        </is>
      </c>
      <c r="D28" s="33"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E28" s="34" t="inlineStr">
        <is>
          <t>Ⅰ-12,Ⅰ-13</t>
        </is>
      </c>
      <c r="F28" s="34" t="inlineStr">
        <is>
          <t>doc23§4</t>
        </is>
      </c>
      <c r="G28" s="34" t="inlineStr">
        <is>
          <t>未依頼</t>
        </is>
      </c>
      <c r="H28" s="33" t="inlineStr"/>
    </row>
    <row r="29" ht="34" customHeight="1">
      <c r="A29" s="31" t="inlineStr">
        <is>
          <t>S</t>
        </is>
      </c>
      <c r="B29" s="32" t="inlineStr">
        <is>
          <t>調査設計</t>
        </is>
      </c>
      <c r="C29" s="33" t="inlineStr">
        <is>
          <t>★現職の村長名・所管課・役場の住所の確認</t>
        </is>
      </c>
      <c r="D29" s="33" t="inlineStr">
        <is>
          <t>★第1稿の依頼状に「北塩原村長 遠藤 和夫」「保健福祉課 福祉係」「大字北山字姥ヶ作3151番地」と記載。当方では現職の村長名を確認できない。所管課は住民課との別が未確認のまま（doc01 確認事項1）。</t>
        </is>
      </c>
      <c r="E29" s="34" t="inlineStr">
        <is>
          <t>Ⅰ-14</t>
        </is>
      </c>
      <c r="F29" s="34" t="inlineStr">
        <is>
          <t>doc23§5</t>
        </is>
      </c>
      <c r="G29" s="34" t="inlineStr">
        <is>
          <t>未依頼</t>
        </is>
      </c>
      <c r="H29" s="33" t="inlineStr"/>
    </row>
    <row r="30" ht="34" customHeight="1">
      <c r="A30" s="31" t="inlineStr">
        <is>
          <t>S</t>
        </is>
      </c>
      <c r="B30" s="32" t="inlineStr">
        <is>
          <t>調査設計</t>
        </is>
      </c>
      <c r="C30" s="33" t="inlineStr">
        <is>
          <t>★【必須】在宅A票 訪問診療の設問を問13に直す（問12が重複し問13が欠番）</t>
        </is>
      </c>
      <c r="D30" s="33" t="inlineStr">
        <is>
          <t>★第2稿で訪問診療が復活したが番号が問12となり、今後必要と感じる支援（問12）と重複している。回答者が混乱し集計時に設問を特定できない。9/9の校了までに必ず修正。</t>
        </is>
      </c>
      <c r="E30" s="34" t="inlineStr">
        <is>
          <t>Ⅰ-10</t>
        </is>
      </c>
      <c r="F30" s="34" t="inlineStr">
        <is>
          <t>doc27§3-1</t>
        </is>
      </c>
      <c r="G30" s="34" t="inlineStr">
        <is>
          <t>未依頼</t>
        </is>
      </c>
      <c r="H30" s="33" t="inlineStr"/>
    </row>
    <row r="31" ht="34" customHeight="1">
      <c r="A31" s="31" t="inlineStr">
        <is>
          <t>S</t>
        </is>
      </c>
      <c r="B31" s="32" t="inlineStr">
        <is>
          <t>調査設計</t>
        </is>
      </c>
      <c r="C31" s="33" t="inlineStr">
        <is>
          <t>★【必須】在宅A票 問9の基準月を「令和8年8月」に修正</t>
        </is>
      </c>
      <c r="D31" s="33" t="inlineStr">
        <is>
          <t>★問8は修正されたが問9が「令和●年●月」のまま。</t>
        </is>
      </c>
      <c r="E31" s="34" t="inlineStr">
        <is>
          <t>Ⅰ-10</t>
        </is>
      </c>
      <c r="F31" s="34" t="inlineStr">
        <is>
          <t>doc27§3-2</t>
        </is>
      </c>
      <c r="G31" s="34" t="inlineStr">
        <is>
          <t>未依頼</t>
        </is>
      </c>
      <c r="H31" s="33" t="inlineStr"/>
    </row>
    <row r="32" ht="34" customHeight="1">
      <c r="A32" s="31" t="inlineStr">
        <is>
          <t>S</t>
        </is>
      </c>
      <c r="B32" s="32" t="inlineStr">
        <is>
          <t>調査設計</t>
        </is>
      </c>
      <c r="C32" s="33" t="inlineStr">
        <is>
          <t>★【必須】ニーズ 問1(2)① 選択肢14・15を「14．その他／15．不明」に修正</t>
        </is>
      </c>
      <c r="D32" s="33" t="inlineStr">
        <is>
          <t>★選択肢の順序の修正7か所のうち、この1か所のみ修正漏れ。標準は13．高齢による衰弱／14．その他（　）／15．不明。</t>
        </is>
      </c>
      <c r="E32" s="34" t="inlineStr">
        <is>
          <t>Ⅰ-09</t>
        </is>
      </c>
      <c r="F32" s="34" t="inlineStr">
        <is>
          <t>doc27§2-1</t>
        </is>
      </c>
      <c r="G32" s="34" t="inlineStr">
        <is>
          <t>未依頼</t>
        </is>
      </c>
      <c r="H32" s="33" t="inlineStr"/>
    </row>
    <row r="33" ht="34" customHeight="1">
      <c r="A33" s="35" t="inlineStr">
        <is>
          <t>A</t>
        </is>
      </c>
      <c r="B33" s="32" t="inlineStr">
        <is>
          <t>スケジュール</t>
        </is>
      </c>
      <c r="C33" s="33" t="inlineStr">
        <is>
          <t>★第2回策定委員会の開催日（11月のいつか）</t>
        </is>
      </c>
      <c r="D33" s="33" t="inlineStr">
        <is>
          <t>★資料の事前送付の期限が決まる。素案約90頁を当日配付では読めないため事前送付が前提。</t>
        </is>
      </c>
      <c r="E33" s="34" t="inlineStr">
        <is>
          <t>Ⅱ-83</t>
        </is>
      </c>
      <c r="F33" s="34" t="inlineStr">
        <is>
          <t>doc26§10 K-95</t>
        </is>
      </c>
      <c r="G33" s="34" t="inlineStr">
        <is>
          <t>未依頼</t>
        </is>
      </c>
      <c r="H33" s="33" t="inlineStr"/>
    </row>
    <row r="34" ht="34" customHeight="1">
      <c r="A34" s="35" t="inlineStr">
        <is>
          <t>A</t>
        </is>
      </c>
      <c r="B34" s="32" t="inlineStr">
        <is>
          <t>データ</t>
        </is>
      </c>
      <c r="C34" s="33" t="inlineStr">
        <is>
          <t>通いの場の参加者281人は実人数か延べ人数か（基準値の置き方）</t>
        </is>
      </c>
      <c r="D34" s="33"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E34" s="34" t="inlineStr">
        <is>
          <t>Ⅱ-65</t>
        </is>
      </c>
      <c r="F34" s="34" t="inlineStr">
        <is>
          <t>doc35§2</t>
        </is>
      </c>
      <c r="G34" s="34" t="inlineStr">
        <is>
          <t>未依頼</t>
        </is>
      </c>
      <c r="H34" s="33" t="inlineStr"/>
    </row>
    <row r="35" ht="34" customHeight="1">
      <c r="A35" s="35" t="inlineStr">
        <is>
          <t>A</t>
        </is>
      </c>
      <c r="B35" s="32" t="inlineStr">
        <is>
          <t>データ</t>
        </is>
      </c>
      <c r="C35" s="33" t="inlineStr">
        <is>
          <t>国の介護保険事業計画作成支援ツール（将来推計総括表）の出力一式</t>
        </is>
      </c>
      <c r="D35" s="33" t="inlineStr">
        <is>
          <t>★★最優先。他案件（川崎町・金ケ崎町・大雪）はいずれも保険者が操作したツールの出力を受領し検証する立場にあるが、本村は見える化から独自算定しており国の様式との検算ができていない。他案件では令和8年度が実績でなく推計値、主要項目が未入力のまま保険料だけ数値が入る等の事例が実際に見つかっている。</t>
        </is>
      </c>
      <c r="E35" s="34" t="inlineStr">
        <is>
          <t>Ⅱ-55,Ⅱ-56,Ⅱ-64</t>
        </is>
      </c>
      <c r="F35" s="34" t="inlineStr">
        <is>
          <t>doc33§5-1</t>
        </is>
      </c>
      <c r="G35" s="34" t="inlineStr">
        <is>
          <t>未依頼</t>
        </is>
      </c>
      <c r="H35" s="33" t="inlineStr"/>
    </row>
    <row r="36" ht="34" customHeight="1">
      <c r="A36" s="35" t="inlineStr">
        <is>
          <t>A</t>
        </is>
      </c>
      <c r="B36" s="32" t="inlineStr">
        <is>
          <t>データ</t>
        </is>
      </c>
      <c r="C36" s="33" t="inlineStr">
        <is>
          <t>第9期計画の本文（サービス別見込量の表を含む全体）</t>
        </is>
      </c>
      <c r="D36" s="33"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t>
        </is>
      </c>
      <c r="E36" s="34" t="inlineStr">
        <is>
          <t>Ⅱ-53,Ⅱ-55</t>
        </is>
      </c>
      <c r="F36" s="34" t="inlineStr">
        <is>
          <t>doc33§5-2</t>
        </is>
      </c>
      <c r="G36" s="34" t="inlineStr">
        <is>
          <t>未依頼</t>
        </is>
      </c>
      <c r="H36" s="33" t="inlineStr"/>
    </row>
    <row r="37" ht="34" customHeight="1">
      <c r="A37" s="35" t="inlineStr">
        <is>
          <t>A</t>
        </is>
      </c>
      <c r="B37" s="32" t="inlineStr">
        <is>
          <t>データ</t>
        </is>
      </c>
      <c r="C37" s="33" t="inlineStr">
        <is>
          <t>★給付費適正化「主要3事業の全て実施」が令和7年度6点→令和8年度0点に低下した理由</t>
        </is>
      </c>
      <c r="D37" s="33" t="inlineStr">
        <is>
          <t>★全国該当率96.9%の指標。縦覧点検は4帳票満点のため、①要介護認定の適正化 か ②ケアプラン等の点検 のいずれかが実施されなくなった可能性。取組の後退か調査票の記載漏れかで対応が変わる。</t>
        </is>
      </c>
      <c r="E37" s="34" t="inlineStr">
        <is>
          <t>Ⅱ-65</t>
        </is>
      </c>
      <c r="F37" s="34" t="inlineStr">
        <is>
          <t>doc20§8-2 K-61</t>
        </is>
      </c>
      <c r="G37" s="34" t="inlineStr">
        <is>
          <t>未依頼</t>
        </is>
      </c>
      <c r="H37" s="33" t="inlineStr"/>
    </row>
    <row r="38" ht="34" customHeight="1">
      <c r="A38" s="35" t="inlineStr">
        <is>
          <t>A</t>
        </is>
      </c>
      <c r="B38" s="32" t="inlineStr">
        <is>
          <t>データ</t>
        </is>
      </c>
      <c r="C38" s="33" t="inlineStr">
        <is>
          <t>★福祉用具購入費・住宅改修費へのリハビリ専門職の関与（配点8点）が令和7年度8点→令和8年度0点に低下した理由</t>
        </is>
      </c>
      <c r="D38" s="33" t="inlineStr">
        <is>
          <t>★アと合わせ14点が1年で失われている。仕組みが失われたのか調査票の記載によるものかを確認。</t>
        </is>
      </c>
      <c r="E38" s="34" t="inlineStr">
        <is>
          <t>Ⅱ-65</t>
        </is>
      </c>
      <c r="F38" s="34" t="inlineStr">
        <is>
          <t>doc20§8-2 K-61b</t>
        </is>
      </c>
      <c r="G38" s="34" t="inlineStr">
        <is>
          <t>未依頼</t>
        </is>
      </c>
      <c r="H38" s="33" t="inlineStr"/>
    </row>
    <row r="39" ht="34" customHeight="1">
      <c r="A39" s="35" t="inlineStr">
        <is>
          <t>A</t>
        </is>
      </c>
      <c r="B39" s="32" t="inlineStr">
        <is>
          <t>データ</t>
        </is>
      </c>
      <c r="C39" s="33" t="inlineStr">
        <is>
          <t>認知症サポーター養成数・認知症地域支援推進員の配置と活動内容・チームオレンジの整備予定</t>
        </is>
      </c>
      <c r="D39" s="33" t="inlineStr">
        <is>
          <t>★支援交付金目標Ⅱ（認知症総合支援）は32/100点で全国平均51.1点を19点下回る唯一の目標。3か年で唯一低下局面があった。</t>
        </is>
      </c>
      <c r="E39" s="34" t="inlineStr">
        <is>
          <t>Ⅱ-68</t>
        </is>
      </c>
      <c r="F39" s="34" t="inlineStr">
        <is>
          <t>doc20§6-2 K-62</t>
        </is>
      </c>
      <c r="G39" s="34" t="inlineStr">
        <is>
          <t>未依頼</t>
        </is>
      </c>
      <c r="H39" s="33" t="inlineStr"/>
    </row>
    <row r="40" ht="34" customHeight="1">
      <c r="A40" s="35" t="inlineStr">
        <is>
          <t>A</t>
        </is>
      </c>
      <c r="B40" s="32" t="inlineStr">
        <is>
          <t>データ</t>
        </is>
      </c>
      <c r="C40" s="33" t="inlineStr">
        <is>
          <t>難聴高齢者の早期発見・早期介入の取組（健診での聴力チェック等）の有無</t>
        </is>
      </c>
      <c r="D40" s="33" t="inlineStr">
        <is>
          <t>令和8年度評価で配点10点が0点（全国該当率48.8〜68.9%）。保健事業との連携で取得可能。</t>
        </is>
      </c>
      <c r="E40" s="34" t="inlineStr">
        <is>
          <t>Ⅱ-68</t>
        </is>
      </c>
      <c r="F40" s="34" t="inlineStr">
        <is>
          <t>doc20§6-2 K-63</t>
        </is>
      </c>
      <c r="G40" s="34" t="inlineStr">
        <is>
          <t>未依頼</t>
        </is>
      </c>
      <c r="H40" s="33" t="inlineStr"/>
    </row>
    <row r="41" ht="34" customHeight="1">
      <c r="A41" s="35" t="inlineStr">
        <is>
          <t>A</t>
        </is>
      </c>
      <c r="B41" s="32" t="inlineStr">
        <is>
          <t>データ</t>
        </is>
      </c>
      <c r="C41" s="33" t="inlineStr">
        <is>
          <t>在宅医療・介護連携推進事業の実施体制（村単独か会津圏域か）と課題・対応策の検討の場</t>
        </is>
      </c>
      <c r="D41" s="33" t="inlineStr">
        <is>
          <t>支援交付金目標Ⅲの「課題・対応策の検討」ア・エが0点（配点計10点、全国該当率57〜72%）。</t>
        </is>
      </c>
      <c r="E41" s="34" t="inlineStr">
        <is>
          <t>Ⅱ-54</t>
        </is>
      </c>
      <c r="F41" s="34" t="inlineStr">
        <is>
          <t>doc20§6-2 K-64</t>
        </is>
      </c>
      <c r="G41" s="34" t="inlineStr">
        <is>
          <t>未依頼</t>
        </is>
      </c>
      <c r="H41" s="33" t="inlineStr"/>
    </row>
    <row r="42" ht="34" customHeight="1">
      <c r="A42" s="35" t="inlineStr">
        <is>
          <t>A</t>
        </is>
      </c>
      <c r="B42" s="32" t="inlineStr">
        <is>
          <t>データ</t>
        </is>
      </c>
      <c r="C42" s="33" t="inlineStr">
        <is>
          <t>★施設サービスが伸びない要因「重度化による病院への転院」の裏づけデータ</t>
        </is>
      </c>
      <c r="D42" s="33" t="inlineStr">
        <is>
          <t>★議事録で示された村の見解。当方は村内施設ゼロ・村外施設依存の文脈で解釈していたため、素案の記述を修正する必要がある。KDB・給付実績で確認したい。</t>
        </is>
      </c>
      <c r="E42" s="34" t="inlineStr">
        <is>
          <t>Ⅱ-55</t>
        </is>
      </c>
      <c r="F42" s="34" t="inlineStr">
        <is>
          <t>doc22 K-75</t>
        </is>
      </c>
      <c r="G42" s="34" t="inlineStr">
        <is>
          <t>未依頼</t>
        </is>
      </c>
      <c r="H42" s="33" t="inlineStr"/>
    </row>
    <row r="43" ht="34" customHeight="1">
      <c r="A43" s="35" t="inlineStr">
        <is>
          <t>A</t>
        </is>
      </c>
      <c r="B43" s="32" t="inlineStr">
        <is>
          <t>データ</t>
        </is>
      </c>
      <c r="C43" s="33" t="inlineStr">
        <is>
          <t>★要介護認定データの提供時期と項目（要介護度・認定日・サービス利用状況）</t>
        </is>
      </c>
      <c r="D43" s="33" t="inlineStr">
        <is>
          <t>★仕様書4Ⅰ(5)。ICF分析の「認定状況×生活機能リスク」表と在宅調査のクロスに必須。目的外利用の手続きの確認を含む。議事録の「元気な軽度者が総合事業を利用している」の検証はこの紐付けでしかできない。</t>
        </is>
      </c>
      <c r="E43" s="34" t="inlineStr">
        <is>
          <t>Ⅰ-37</t>
        </is>
      </c>
      <c r="F43" s="34" t="inlineStr">
        <is>
          <t>doc24§12 K-87</t>
        </is>
      </c>
      <c r="G43" s="34" t="inlineStr">
        <is>
          <t>未依頼</t>
        </is>
      </c>
      <c r="H43" s="33" t="inlineStr"/>
    </row>
    <row r="44" ht="34" customHeight="1">
      <c r="A44" s="35" t="inlineStr">
        <is>
          <t>A</t>
        </is>
      </c>
      <c r="B44" s="32" t="inlineStr">
        <is>
          <t>データ</t>
        </is>
      </c>
      <c r="C44" s="33" t="inlineStr">
        <is>
          <t>★会津権利擁護・成年後見センターへの相談が1年で件数−43%・時間−55%と減少した要因</t>
        </is>
      </c>
      <c r="D44" s="33" t="inlineStr">
        <is>
          <t>★令和6年度134件・1,625分→令和7年度76件・729分。圏域13市町村の総計は増加しているなかで本村のみ大きく減少。施策評価に必要。</t>
        </is>
      </c>
      <c r="E44" s="34" t="inlineStr">
        <is>
          <t>Ⅱ-68</t>
        </is>
      </c>
      <c r="F44" s="34" t="inlineStr">
        <is>
          <t>doc28§3-3 K-108</t>
        </is>
      </c>
      <c r="G44" s="34" t="inlineStr">
        <is>
          <t>未依頼</t>
        </is>
      </c>
      <c r="H44" s="33" t="inlineStr"/>
    </row>
    <row r="45" ht="34" customHeight="1">
      <c r="A45" s="35" t="inlineStr">
        <is>
          <t>A</t>
        </is>
      </c>
      <c r="B45" s="32" t="inlineStr">
        <is>
          <t>データ</t>
        </is>
      </c>
      <c r="C45" s="33" t="inlineStr">
        <is>
          <t>養護老人ホーム措置・軽費老人ホーム・老人クラブの実績は見える化に系列が一切ない</t>
        </is>
      </c>
      <c r="D45" s="33" t="inlineStr">
        <is>
          <t>★老人福祉法第20条の8第2項が計画への記載を義務づける「老人福祉事業の量の目標」（素案4-6）の基礎。見える化に該当する系列がないため、村資料の受領が必須。代替手段はない。</t>
        </is>
      </c>
      <c r="E45" s="34" t="inlineStr">
        <is>
          <t>Ⅱ-53,Ⅱ-54</t>
        </is>
      </c>
      <c r="F45" s="34" t="inlineStr">
        <is>
          <t>doc38§D</t>
        </is>
      </c>
      <c r="G45" s="34" t="inlineStr">
        <is>
          <t>未依頼</t>
        </is>
      </c>
      <c r="H45" s="33" t="inlineStr"/>
    </row>
    <row r="46" ht="34" customHeight="1">
      <c r="A46" s="35" t="inlineStr">
        <is>
          <t>A</t>
        </is>
      </c>
      <c r="B46" s="32" t="inlineStr">
        <is>
          <t>データ</t>
        </is>
      </c>
      <c r="C46" s="33" t="inlineStr">
        <is>
          <t>国の推計ワークシートが求める在宅サービス利用率の分母</t>
        </is>
      </c>
      <c r="D46" s="33" t="inlineStr">
        <is>
          <t>★★他案件（大雪）の点検で「見込量の利用率の分母は認定者数であって第1号被保険者数ではない」ことが指摘された。本村の見える化のサービス利用率の分母は要介護度別認定者数であることを実データで確認済み（51件中21件が±0.6pt以内で一致、第1号被保険者数では0件）。ただし国の将来推計が在宅の分母を「認定者数−施設・居住系利用者数」とする場合、本村の率は要介護1で58.8%→86.1%、要介護4で26.8%→70.1%に変わり、要介護2では107.7%と100%を超える。分母の取り違えは見込量を数割動かす。</t>
        </is>
      </c>
      <c r="E46" s="34" t="inlineStr">
        <is>
          <t>Ⅱ-56</t>
        </is>
      </c>
      <c r="F46" s="34" t="inlineStr">
        <is>
          <t>doc37§3,doc18 5-4</t>
        </is>
      </c>
      <c r="G46" s="34" t="inlineStr">
        <is>
          <t>未依頼</t>
        </is>
      </c>
      <c r="H46" s="33" t="inlineStr"/>
    </row>
    <row r="47" ht="34" customHeight="1">
      <c r="A47" s="35" t="inlineStr">
        <is>
          <t>A</t>
        </is>
      </c>
      <c r="B47" s="32" t="inlineStr">
        <is>
          <t>データ</t>
        </is>
      </c>
      <c r="C47" s="33" t="inlineStr">
        <is>
          <t>認知症対応型共同生活介護（村内27人分）の待機者数と、村外のグループホームを利用している方の人数</t>
        </is>
      </c>
      <c r="D47" s="33" t="inlineStr">
        <is>
          <t>★施策3-2・5-4(7)の必要利用定員総数の判断に必須。認知症高齢者（自立度Ⅱ以上）は2年間で132人→161人と22.0%増えた一方、定員は平成28年度以降27人のまま。稼働率93%。増床の要否は待機と村外利用の実態がなければ判断できない。</t>
        </is>
      </c>
      <c r="E47" s="34" t="inlineStr">
        <is>
          <t>Ⅱ-56,Ⅱ-67</t>
        </is>
      </c>
      <c r="F47" s="34" t="inlineStr">
        <is>
          <t>doc36§3,doc18 5-4(7)</t>
        </is>
      </c>
      <c r="G47" s="34" t="inlineStr">
        <is>
          <t>未依頼</t>
        </is>
      </c>
      <c r="H47" s="33" t="inlineStr"/>
    </row>
    <row r="48" ht="34" customHeight="1">
      <c r="A48" s="35" t="inlineStr">
        <is>
          <t>A</t>
        </is>
      </c>
      <c r="B48" s="32" t="inlineStr">
        <is>
          <t>データ</t>
        </is>
      </c>
      <c r="C48" s="33" t="inlineStr">
        <is>
          <t>認知症関連事業の実績（認知症カフェの箇所数、認知症初期集中支援推進事業の対象者数、認知症地域支援推進員の活動実績）</t>
        </is>
      </c>
      <c r="D48" s="33" t="inlineStr">
        <is>
          <t>★素案5-5(1)の地域支援事業の量に認知症総合支援事業の行を新設したが、いずれも実績が未受領。国の様式では認知症総合支援事業の量を定めることが求められる。</t>
        </is>
      </c>
      <c r="E48" s="34" t="inlineStr">
        <is>
          <t>Ⅱ-53,Ⅱ-68</t>
        </is>
      </c>
      <c r="F48" s="34" t="inlineStr">
        <is>
          <t>doc36§4,doc18 5-5(1)</t>
        </is>
      </c>
      <c r="G48" s="34" t="inlineStr">
        <is>
          <t>未依頼</t>
        </is>
      </c>
      <c r="H48" s="33" t="inlineStr"/>
    </row>
    <row r="49" ht="34" customHeight="1">
      <c r="A49" s="35" t="inlineStr">
        <is>
          <t>A</t>
        </is>
      </c>
      <c r="B49" s="32" t="inlineStr">
        <is>
          <t>データ</t>
        </is>
      </c>
      <c r="C49" s="33" t="inlineStr">
        <is>
          <t>認知症サポーター約237人が国の評価指標で0点となっている理由</t>
        </is>
      </c>
      <c r="D49" s="33"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E49" s="34" t="inlineStr">
        <is>
          <t>Ⅱ-65,Ⅱ-68</t>
        </is>
      </c>
      <c r="F49" s="34" t="inlineStr">
        <is>
          <t>doc35§7-2(6)</t>
        </is>
      </c>
      <c r="G49" s="34" t="inlineStr">
        <is>
          <t>未依頼</t>
        </is>
      </c>
      <c r="H49" s="33" t="inlineStr"/>
    </row>
    <row r="50" ht="34" customHeight="1">
      <c r="A50" s="35" t="inlineStr">
        <is>
          <t>A</t>
        </is>
      </c>
      <c r="B50" s="32" t="inlineStr">
        <is>
          <t>データ</t>
        </is>
      </c>
      <c r="C50" s="33" t="inlineStr">
        <is>
          <t>要介護3〜5の方の状態の変化が令和8年度に2指標とも0点となった実態</t>
        </is>
      </c>
      <c r="D50" s="33"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E50" s="34" t="inlineStr">
        <is>
          <t>Ⅱ-65</t>
        </is>
      </c>
      <c r="F50" s="34" t="inlineStr">
        <is>
          <t>doc35§7-2(3)</t>
        </is>
      </c>
      <c r="G50" s="34" t="inlineStr">
        <is>
          <t>未依頼</t>
        </is>
      </c>
      <c r="H50" s="33" t="inlineStr"/>
    </row>
    <row r="51" ht="34" customHeight="1">
      <c r="A51" s="35" t="inlineStr">
        <is>
          <t>A</t>
        </is>
      </c>
      <c r="B51" s="32" t="inlineStr">
        <is>
          <t>体制</t>
        </is>
      </c>
      <c r="C51" s="33" t="inlineStr">
        <is>
          <t>契約締結日・契約書の取り交わし状況</t>
        </is>
      </c>
      <c r="D51" s="33" t="inlineStr">
        <is>
          <t>業務開始日の確定。</t>
        </is>
      </c>
      <c r="E51" s="34" t="inlineStr">
        <is>
          <t>０-02</t>
        </is>
      </c>
      <c r="F51" s="34" t="inlineStr">
        <is>
          <t>―</t>
        </is>
      </c>
      <c r="G51" s="34" t="inlineStr">
        <is>
          <t>未依頼</t>
        </is>
      </c>
      <c r="H51" s="33" t="inlineStr"/>
    </row>
    <row r="52" ht="34" customHeight="1">
      <c r="A52" s="35" t="inlineStr">
        <is>
          <t>A</t>
        </is>
      </c>
      <c r="B52" s="32" t="inlineStr">
        <is>
          <t>体制</t>
        </is>
      </c>
      <c r="C52" s="33" t="inlineStr">
        <is>
          <t>★見える化システムのアカウント（障がい福祉計画分の継続利用可否）と秘密保持契約の要否</t>
        </is>
      </c>
      <c r="D52" s="33" t="inlineStr">
        <is>
          <t>★すでに19,591レコードを受領して分析に着手している。遡って手続きが必要な場合はその整理も要する。</t>
        </is>
      </c>
      <c r="E52" s="34" t="inlineStr">
        <is>
          <t>０-06</t>
        </is>
      </c>
      <c r="F52" s="34" t="inlineStr">
        <is>
          <t>doc19 追-12</t>
        </is>
      </c>
      <c r="G52" s="34" t="inlineStr">
        <is>
          <t>未依頼</t>
        </is>
      </c>
      <c r="H52" s="33" t="inlineStr"/>
    </row>
    <row r="53" ht="34" customHeight="1">
      <c r="A53" s="35" t="inlineStr">
        <is>
          <t>A</t>
        </is>
      </c>
      <c r="B53" s="32" t="inlineStr">
        <is>
          <t>体制</t>
        </is>
      </c>
      <c r="C53" s="33" t="inlineStr">
        <is>
          <t>★調査票の受渡し記録の様式（村が100件程度ごとに随時送付する運用に対応）</t>
        </is>
      </c>
      <c r="D53" s="33" t="inlineStr">
        <is>
          <t>★個人情報を含む調査票の授受が複数回に分かれるため、日付・数量・受渡者・受領者の記録が必要。doc16に追記する。</t>
        </is>
      </c>
      <c r="E53" s="34" t="inlineStr">
        <is>
          <t>Ⅰ-94</t>
        </is>
      </c>
      <c r="F53" s="34" t="inlineStr">
        <is>
          <t>doc22 K-78</t>
        </is>
      </c>
      <c r="G53" s="34" t="inlineStr">
        <is>
          <t>未依頼</t>
        </is>
      </c>
      <c r="H53" s="33" t="inlineStr"/>
    </row>
    <row r="54" ht="34" customHeight="1">
      <c r="A54" s="35" t="inlineStr">
        <is>
          <t>A</t>
        </is>
      </c>
      <c r="B54" s="32" t="inlineStr">
        <is>
          <t>体制</t>
        </is>
      </c>
      <c r="C54" s="33" t="inlineStr">
        <is>
          <t>自由記述の匿名化の方針（削除・置換の範囲）</t>
        </is>
      </c>
      <c r="D54" s="33" t="inlineStr">
        <is>
          <t>★人口2,300人規模では記述内容から個人が推定され得る。固有名詞・事業所名・具体的な住所の扱いを決め、doc16の個人情報取扱管理ルールに追記する。★9/25：案Bの採用により自由記述の全文を電子媒体に収録することとなったため、匿名化の対象は紙の「分類と主要意見」（資料2）と電子媒体の全文の双方に及ぶ。電子媒体に回しても匿名化は免除されない。</t>
        </is>
      </c>
      <c r="E54" s="34" t="inlineStr">
        <is>
          <t>Ⅰ-44</t>
        </is>
      </c>
      <c r="F54" s="34" t="inlineStr">
        <is>
          <t>doc24§12 K-89</t>
        </is>
      </c>
      <c r="G54" s="34" t="inlineStr">
        <is>
          <t>未依頼</t>
        </is>
      </c>
      <c r="H54" s="33" t="inlineStr"/>
    </row>
    <row r="55" ht="34" customHeight="1">
      <c r="A55" s="35" t="inlineStr">
        <is>
          <t>A</t>
        </is>
      </c>
      <c r="B55" s="32" t="inlineStr">
        <is>
          <t>体制</t>
        </is>
      </c>
      <c r="C55" s="33" t="inlineStr">
        <is>
          <t>第2回策定委員会の資料の事前送付の可否と時期</t>
        </is>
      </c>
      <c r="D55" s="33" t="inlineStr">
        <is>
          <t>素案（完成度7割・約90頁）は別冊として事前送付する前提で資料を設計している。</t>
        </is>
      </c>
      <c r="E55" s="34" t="inlineStr">
        <is>
          <t>Ⅱ-83</t>
        </is>
      </c>
      <c r="F55" s="34" t="inlineStr">
        <is>
          <t>doc26§10 K-97</t>
        </is>
      </c>
      <c r="G55" s="34" t="inlineStr">
        <is>
          <t>未依頼</t>
        </is>
      </c>
      <c r="H55" s="33" t="inlineStr"/>
    </row>
    <row r="56" ht="34" customHeight="1">
      <c r="A56" s="35" t="inlineStr">
        <is>
          <t>A</t>
        </is>
      </c>
      <c r="B56" s="32" t="inlineStr">
        <is>
          <t>体制</t>
        </is>
      </c>
      <c r="C56" s="33" t="inlineStr">
        <is>
          <t>★見える化の「将来推計」メニューで在宅サービス利用率の分母を確認する</t>
        </is>
      </c>
      <c r="D56" s="33" t="inlineStr">
        <is>
          <t>★★見込量が数割変わる論点（要介護1で58.8%→86.1%、要介護2で107.7%と100%超）。村への依頼ではなく、当方が見える化にログインして推計方法の設定画面を開けば確かめられる見込み。他案件（大雪）は「画面の設定順からの推定［要確認］」としている。最優先で確認する。</t>
        </is>
      </c>
      <c r="E56" s="34" t="inlineStr">
        <is>
          <t>Ⅱ-56</t>
        </is>
      </c>
      <c r="F56" s="34" t="inlineStr">
        <is>
          <t>doc38§C-1</t>
        </is>
      </c>
      <c r="G56" s="34" t="inlineStr">
        <is>
          <t>社内対応</t>
        </is>
      </c>
      <c r="H56" s="33" t="inlineStr"/>
    </row>
    <row r="57" ht="34" customHeight="1">
      <c r="A57" s="35" t="inlineStr">
        <is>
          <t>A</t>
        </is>
      </c>
      <c r="B57" s="32" t="inlineStr">
        <is>
          <t>分析</t>
        </is>
      </c>
      <c r="C57" s="33" t="inlineStr">
        <is>
          <t>在宅介護実態調査の集計設計（要介護度3区分×介護者勤務形態3区分のセル数）</t>
        </is>
      </c>
      <c r="D57" s="33" t="inlineStr">
        <is>
          <t>★対象が118人（仕様書の想定150人）であることは村の了解を得て決着。残るのは集計設計の判断で、回収は70〜80件程度の見込み。要介護度3区分×介護者勤務形態3区分のクロス（X-16・X-17）は9セルで1セル平均8件前後になる。要介護度を2区分に束ねるか、比率を付さず実数で示すかを当方で決める。</t>
        </is>
      </c>
      <c r="E57" s="34" t="inlineStr">
        <is>
          <t>Ⅰ-45</t>
        </is>
      </c>
      <c r="F57" s="34" t="inlineStr">
        <is>
          <t>doc34§5-2</t>
        </is>
      </c>
      <c r="G57" s="34" t="inlineStr">
        <is>
          <t>未依頼</t>
        </is>
      </c>
      <c r="H57" s="33" t="inlineStr"/>
    </row>
    <row r="58" ht="34" customHeight="1">
      <c r="A58" s="35" t="inlineStr">
        <is>
          <t>A</t>
        </is>
      </c>
      <c r="B58" s="32" t="inlineStr">
        <is>
          <t>分析</t>
        </is>
      </c>
      <c r="C58" s="33" t="inlineStr">
        <is>
          <t>ICF分析は標準設問のみで完結することの確認</t>
        </is>
      </c>
      <c r="D58" s="33" t="inlineStr">
        <is>
          <t>★ICFの5領域（健康状態・心身機能・活動・参加・環境因子）はすべて標準の必須＋オプション項目で埋まる。分析のための独自設問の追加は不要。推奨対応は問7(7)の採用の1件のみ。</t>
        </is>
      </c>
      <c r="E58" s="34" t="inlineStr">
        <is>
          <t>Ⅰ-95</t>
        </is>
      </c>
      <c r="F58" s="34" t="inlineStr">
        <is>
          <t>doc23§3-4</t>
        </is>
      </c>
      <c r="G58" s="34" t="inlineStr">
        <is>
          <t>未依頼</t>
        </is>
      </c>
      <c r="H58" s="33" t="inlineStr"/>
    </row>
    <row r="59" ht="34" customHeight="1">
      <c r="A59" s="35" t="inlineStr">
        <is>
          <t>A</t>
        </is>
      </c>
      <c r="B59" s="32" t="inlineStr">
        <is>
          <t>分析</t>
        </is>
      </c>
      <c r="C59" s="33" t="inlineStr">
        <is>
          <t>★時系列比較（第8期・第9期との対比）の対象とする設問の範囲</t>
        </is>
      </c>
      <c r="D59" s="33" t="inlineStr">
        <is>
          <t>★令和4年8月版と令和7年8月版で設問文・選択肢が変わった設問は単純比較できない。doc05の逐条突合に基づき比較可能な設問のみを対象とするが、どこまで遡るかは村の判断。</t>
        </is>
      </c>
      <c r="E59" s="34" t="inlineStr">
        <is>
          <t>Ⅰ-42</t>
        </is>
      </c>
      <c r="F59" s="34" t="inlineStr">
        <is>
          <t>doc24§12 K-86</t>
        </is>
      </c>
      <c r="G59" s="34" t="inlineStr">
        <is>
          <t>未依頼</t>
        </is>
      </c>
      <c r="H59" s="33" t="inlineStr"/>
    </row>
    <row r="60" ht="34" customHeight="1">
      <c r="A60" s="35" t="inlineStr">
        <is>
          <t>A</t>
        </is>
      </c>
      <c r="B60" s="32" t="inlineStr">
        <is>
          <t>分析</t>
        </is>
      </c>
      <c r="C60" s="33" t="inlineStr">
        <is>
          <t>★リスク判定10種の該当基準（見える化システムの算出方法との突合）</t>
        </is>
      </c>
      <c r="D60" s="33"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t>
        </is>
      </c>
      <c r="E60" s="34" t="inlineStr">
        <is>
          <t>Ⅰ-46</t>
        </is>
      </c>
      <c r="F60" s="34" t="inlineStr">
        <is>
          <t>doc25§4-2 K-91</t>
        </is>
      </c>
      <c r="G60" s="34" t="inlineStr">
        <is>
          <t>未依頼</t>
        </is>
      </c>
      <c r="H60" s="33" t="inlineStr"/>
    </row>
    <row r="61" ht="34" customHeight="1">
      <c r="A61" s="35" t="inlineStr">
        <is>
          <t>A</t>
        </is>
      </c>
      <c r="B61" s="32" t="inlineStr">
        <is>
          <t>取組</t>
        </is>
      </c>
      <c r="C61" s="33" t="inlineStr">
        <is>
          <t>計画の進捗管理（目標Ⅰの3項目）が令和7年度0点から令和8年度48点満点になった根拠</t>
        </is>
      </c>
      <c r="D61" s="33"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E61" s="34" t="inlineStr">
        <is>
          <t>Ⅱ-70,Ⅱ-71</t>
        </is>
      </c>
      <c r="F61" s="34" t="inlineStr">
        <is>
          <t>doc35§7-2(3)</t>
        </is>
      </c>
      <c r="G61" s="34" t="inlineStr">
        <is>
          <t>未依頼</t>
        </is>
      </c>
      <c r="H61" s="33" t="inlineStr"/>
    </row>
    <row r="62" ht="34" customHeight="1">
      <c r="A62" s="35" t="inlineStr">
        <is>
          <t>A</t>
        </is>
      </c>
      <c r="B62" s="32" t="inlineStr">
        <is>
          <t>委員会</t>
        </is>
      </c>
      <c r="C62" s="33" t="inlineStr">
        <is>
          <t>策定委員会の委員改選手続きの所要期間と第1回開催希望時期・開催形式</t>
        </is>
      </c>
      <c r="D62" s="33" t="inlineStr">
        <is>
          <t>★現委員の任期は令和8年9月30日満了。第1回を11月に開くには10月中の委嘱が必要。</t>
        </is>
      </c>
      <c r="E62" s="34" t="inlineStr">
        <is>
          <t>Ⅱ-80,Ⅱ-81</t>
        </is>
      </c>
      <c r="F62" s="34" t="inlineStr">
        <is>
          <t>doc01-6,doc19 追-15</t>
        </is>
      </c>
      <c r="G62" s="34" t="inlineStr">
        <is>
          <t>未依頼</t>
        </is>
      </c>
      <c r="H62" s="33" t="inlineStr"/>
    </row>
    <row r="63" ht="34" customHeight="1">
      <c r="A63" s="35" t="inlineStr">
        <is>
          <t>A</t>
        </is>
      </c>
      <c r="B63" s="32" t="inlineStr">
        <is>
          <t>成果品</t>
        </is>
      </c>
      <c r="C63" s="33" t="inlineStr">
        <is>
          <t>パブリックコメント（30日間）の実施時期・実施主体と庁内手続き日程</t>
        </is>
      </c>
      <c r="D63" s="33" t="inlineStr">
        <is>
          <t>★30日間必要。第2回策定委員会が1月にずれると第3回（2月）までに終わらず工程が破綻する。年末年始も挟む。</t>
        </is>
      </c>
      <c r="E63" s="34" t="inlineStr">
        <is>
          <t>Ⅱ-76,Ⅱ-77</t>
        </is>
      </c>
      <c r="F63" s="34" t="inlineStr">
        <is>
          <t>doc01-7,doc19 指-3</t>
        </is>
      </c>
      <c r="G63" s="34" t="inlineStr">
        <is>
          <t>未依頼</t>
        </is>
      </c>
      <c r="H63" s="33" t="inlineStr"/>
    </row>
    <row r="64" ht="34" customHeight="1">
      <c r="A64" s="35" t="inlineStr">
        <is>
          <t>A</t>
        </is>
      </c>
      <c r="B64" s="32" t="inlineStr">
        <is>
          <t>成果品</t>
        </is>
      </c>
      <c r="C64" s="33" t="inlineStr">
        <is>
          <t>★概要版（A3両面程度）が仕様の範囲内か追加対応か</t>
        </is>
      </c>
      <c r="D64" s="33" t="inlineStr">
        <is>
          <t>★議事録で作成が合意（理念・体系図・推移データ）。第9期はA4 2ページ。仕様書に記載がなく成果品一覧にもない。</t>
        </is>
      </c>
      <c r="E64" s="34" t="inlineStr">
        <is>
          <t>Ⅳ-92</t>
        </is>
      </c>
      <c r="F64" s="34" t="inlineStr">
        <is>
          <t>doc22 K-79</t>
        </is>
      </c>
      <c r="G64" s="34" t="inlineStr">
        <is>
          <t>未依頼</t>
        </is>
      </c>
      <c r="H64" s="33" t="inlineStr"/>
    </row>
    <row r="65" ht="34" customHeight="1">
      <c r="A65" s="35" t="inlineStr">
        <is>
          <t>A</t>
        </is>
      </c>
      <c r="B65" s="32" t="inlineStr">
        <is>
          <t>方針</t>
        </is>
      </c>
      <c r="C65" s="33" t="inlineStr">
        <is>
          <t>中山間・人口減少地域（特定地域）の指定を受ける意向</t>
        </is>
      </c>
      <c r="D65" s="33"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t>
        </is>
      </c>
      <c r="E65" s="34" t="inlineStr">
        <is>
          <t>Ⅱ-56,Ⅱ-67</t>
        </is>
      </c>
      <c r="F65" s="34" t="inlineStr">
        <is>
          <t>doc33§3-5</t>
        </is>
      </c>
      <c r="G65" s="34" t="inlineStr">
        <is>
          <t>未依頼</t>
        </is>
      </c>
      <c r="H65" s="33" t="inlineStr"/>
    </row>
    <row r="66" ht="34" customHeight="1">
      <c r="A66" s="35" t="inlineStr">
        <is>
          <t>A</t>
        </is>
      </c>
      <c r="B66" s="32" t="inlineStr">
        <is>
          <t>方針</t>
        </is>
      </c>
      <c r="C66" s="33" t="inlineStr">
        <is>
          <t>目標Ⅳ（成果指標群）が令和8年度に25点低下した要因の心当たり</t>
        </is>
      </c>
      <c r="D66" s="33" t="inlineStr">
        <is>
          <t>★成果指標群は村の申告でなくKDB等の統計から自動算定。65→70→45点と低下し、両交付金で計50点の減。要介護度の維持・改善の実績悪化を示唆。</t>
        </is>
      </c>
      <c r="E66" s="34" t="inlineStr">
        <is>
          <t>Ⅱ-65</t>
        </is>
      </c>
      <c r="F66" s="34" t="inlineStr">
        <is>
          <t>doc20§6-2 K-66</t>
        </is>
      </c>
      <c r="G66" s="34" t="inlineStr">
        <is>
          <t>未依頼</t>
        </is>
      </c>
      <c r="H66" s="33" t="inlineStr"/>
    </row>
    <row r="67" ht="34" customHeight="1">
      <c r="A67" s="35" t="inlineStr">
        <is>
          <t>A</t>
        </is>
      </c>
      <c r="B67" s="32" t="inlineStr">
        <is>
          <t>方針</t>
        </is>
      </c>
      <c r="C67" s="33" t="inlineStr">
        <is>
          <t>★令和9年度介護報酬改定への対応（現行単価で試算し単価確定後に補正する方針の、補正時期と成果品への反映方法）</t>
        </is>
      </c>
      <c r="D67" s="33" t="inlineStr">
        <is>
          <t>★議事録で方針は決着。単価確定が履行期限（3/31）に近い場合の成果品の扱いを詰める必要がある。</t>
        </is>
      </c>
      <c r="E67" s="34" t="inlineStr">
        <is>
          <t>Ⅱ-62</t>
        </is>
      </c>
      <c r="F67" s="34" t="inlineStr">
        <is>
          <t>doc22 K-81</t>
        </is>
      </c>
      <c r="G67" s="34" t="inlineStr">
        <is>
          <t>未依頼</t>
        </is>
      </c>
      <c r="H67" s="33" t="inlineStr"/>
    </row>
    <row r="68" ht="34" customHeight="1">
      <c r="A68" s="35" t="inlineStr">
        <is>
          <t>A</t>
        </is>
      </c>
      <c r="B68" s="32" t="inlineStr">
        <is>
          <t>方針</t>
        </is>
      </c>
      <c r="C68" s="33" t="inlineStr">
        <is>
          <t>★基本理念を第9期から変更するかどうかの村の意向</t>
        </is>
      </c>
      <c r="D68" s="33"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E68" s="34" t="inlineStr">
        <is>
          <t>Ⅱ-70</t>
        </is>
      </c>
      <c r="F68" s="34" t="inlineStr">
        <is>
          <t>doc26§10 K-98</t>
        </is>
      </c>
      <c r="G68" s="34" t="inlineStr">
        <is>
          <t>未依頼</t>
        </is>
      </c>
      <c r="H68" s="33" t="inlineStr"/>
    </row>
    <row r="69" ht="34" customHeight="1">
      <c r="A69" s="35" t="inlineStr">
        <is>
          <t>A</t>
        </is>
      </c>
      <c r="B69" s="32" t="inlineStr">
        <is>
          <t>方針</t>
        </is>
      </c>
      <c r="C69" s="33" t="inlineStr">
        <is>
          <t>保険料シミュレーションの提示案数と基金残高の見通しの示し方</t>
        </is>
      </c>
      <c r="D69" s="33" t="inlineStr">
        <is>
          <t>3案（取崩なし／第9期同程度／据置優先）を提案。各案に第10期末の基金残高を併記し、取り崩しが第11期の保険料に跳ね返ることを示す方針でよいか。</t>
        </is>
      </c>
      <c r="E69" s="34" t="inlineStr">
        <is>
          <t>Ⅱ-64</t>
        </is>
      </c>
      <c r="F69" s="34" t="inlineStr">
        <is>
          <t>doc26§10 K-99</t>
        </is>
      </c>
      <c r="G69" s="34" t="inlineStr">
        <is>
          <t>未依頼</t>
        </is>
      </c>
      <c r="H69" s="33" t="inlineStr"/>
    </row>
    <row r="70" ht="34" customHeight="1">
      <c r="A70" s="35" t="inlineStr">
        <is>
          <t>A</t>
        </is>
      </c>
      <c r="B70" s="32" t="inlineStr">
        <is>
          <t>方針</t>
        </is>
      </c>
      <c r="C70" s="33" t="inlineStr">
        <is>
          <t>補正係数を①3区分と②前期・後期高齢者別のどちらで用いるか</t>
        </is>
      </c>
      <c r="D70" s="33" t="inlineStr">
        <is>
          <t>国は小規模保険者では①の係数が不安定になるため②の選択を勧めている。本村の85歳以上は200人で係数0.03（差6人）と1人の増減の影響が大きい。当方は②を提案。</t>
        </is>
      </c>
      <c r="E70" s="34" t="inlineStr">
        <is>
          <t>Ⅱ-59</t>
        </is>
      </c>
      <c r="F70" s="34" t="inlineStr">
        <is>
          <t>doc28§1-2 K-107</t>
        </is>
      </c>
      <c r="G70" s="34" t="inlineStr">
        <is>
          <t>未依頼</t>
        </is>
      </c>
      <c r="H70" s="33" t="inlineStr"/>
    </row>
    <row r="71" ht="34" customHeight="1">
      <c r="A71" s="35" t="inlineStr">
        <is>
          <t>A</t>
        </is>
      </c>
      <c r="B71" s="32" t="inlineStr">
        <is>
          <t>方針</t>
        </is>
      </c>
      <c r="C71" s="33" t="inlineStr">
        <is>
          <t>認知症施策の実施状況の評価と公表の運用</t>
        </is>
      </c>
      <c r="D71" s="33" t="inlineStr">
        <is>
          <t>★認知症基本法第13条第3項が準用する第12条第5項は、適時に施策の実施状況の評価を行い結果を公表すること、第7項は評価結果の取りまとめにあたって認知症の人および家族等の意見を聴くことを求める（いずれも努力義務）。第9期では行われていない。交付金の評価指標「進捗状況の評価にあたり認知症当事者の意見を聞いている」（本村0点）と同内容であり、法の求めに応えることが得点にもつながる。評価の時期・公表の方法・意見聴取の相手方を村と定める。</t>
        </is>
      </c>
      <c r="E71" s="34" t="inlineStr">
        <is>
          <t>Ⅱ-68,Ⅱ-71</t>
        </is>
      </c>
      <c r="F71" s="34" t="inlineStr">
        <is>
          <t>doc36§10-1,doc18 4-7(6)</t>
        </is>
      </c>
      <c r="G71" s="34" t="inlineStr">
        <is>
          <t>未依頼</t>
        </is>
      </c>
      <c r="H71" s="33" t="inlineStr"/>
    </row>
    <row r="72" ht="34" customHeight="1">
      <c r="A72" s="35" t="inlineStr">
        <is>
          <t>A</t>
        </is>
      </c>
      <c r="B72" s="32" t="inlineStr">
        <is>
          <t>方針</t>
        </is>
      </c>
      <c r="C72" s="33" t="inlineStr">
        <is>
          <t>認知症の人およびご家族から意見を聴く方法</t>
        </is>
      </c>
      <c r="D72" s="33"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E72" s="34" t="inlineStr">
        <is>
          <t>Ⅱ-68,Ⅱ-71</t>
        </is>
      </c>
      <c r="F72" s="34" t="inlineStr">
        <is>
          <t>doc36§5,doc18 4-7(4)</t>
        </is>
      </c>
      <c r="G72" s="34" t="inlineStr">
        <is>
          <t>未依頼</t>
        </is>
      </c>
      <c r="H72" s="33" t="inlineStr"/>
    </row>
    <row r="73" ht="34" customHeight="1">
      <c r="A73" s="35" t="inlineStr">
        <is>
          <t>A</t>
        </is>
      </c>
      <c r="B73" s="32" t="inlineStr">
        <is>
          <t>方針</t>
        </is>
      </c>
      <c r="C73" s="33" t="inlineStr">
        <is>
          <t>居宅療養管理指導・短期入所生活介護を3か年平均と令和7年度水準のどちらで置くか</t>
        </is>
      </c>
      <c r="D73" s="33"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E73" s="34" t="inlineStr">
        <is>
          <t>Ⅱ-56</t>
        </is>
      </c>
      <c r="F73" s="34" t="inlineStr">
        <is>
          <t>doc35§7-3(3),doc18 5-4(5)</t>
        </is>
      </c>
      <c r="G73" s="34" t="inlineStr">
        <is>
          <t>未依頼</t>
        </is>
      </c>
      <c r="H73" s="33" t="inlineStr"/>
    </row>
    <row r="74" ht="34" customHeight="1">
      <c r="A74" s="35" t="inlineStr">
        <is>
          <t>A</t>
        </is>
      </c>
      <c r="B74" s="32" t="inlineStr">
        <is>
          <t>計画構成</t>
        </is>
      </c>
      <c r="C74" s="33" t="inlineStr">
        <is>
          <t>第五次生涯学習推進計画（2028年度〜）の策定予定時期</t>
        </is>
      </c>
      <c r="D74" s="33" t="inlineStr">
        <is>
          <t>★第四次は令和9年度で満了。第10期計画期間（令和9〜11年度）の途中で関連計画が切り替わるため記述の書き分けが必要。</t>
        </is>
      </c>
      <c r="E74" s="34" t="inlineStr">
        <is>
          <t>Ⅱ-72</t>
        </is>
      </c>
      <c r="F74" s="34" t="inlineStr">
        <is>
          <t>doc21§5 K-69</t>
        </is>
      </c>
      <c r="G74" s="34" t="inlineStr">
        <is>
          <t>未依頼</t>
        </is>
      </c>
      <c r="H74" s="33" t="inlineStr"/>
    </row>
    <row r="75" ht="34" customHeight="1">
      <c r="A75" s="35" t="inlineStr">
        <is>
          <t>A</t>
        </is>
      </c>
      <c r="B75" s="32" t="inlineStr">
        <is>
          <t>計画構成</t>
        </is>
      </c>
      <c r="C75" s="33" t="inlineStr">
        <is>
          <t>第六次総合振興計画（2027年度〜）の策定状況</t>
        </is>
      </c>
      <c r="D75" s="33" t="inlineStr">
        <is>
          <t>★第五次は令和8年度で満了。第10期計画の上位計画の記述に必要（doc08§8-4と共通）。</t>
        </is>
      </c>
      <c r="E75" s="34" t="inlineStr">
        <is>
          <t>Ⅱ-72</t>
        </is>
      </c>
      <c r="F75" s="34" t="inlineStr">
        <is>
          <t>doc21§5 K-70</t>
        </is>
      </c>
      <c r="G75" s="34" t="inlineStr">
        <is>
          <t>未依頼</t>
        </is>
      </c>
      <c r="H75" s="33" t="inlineStr"/>
    </row>
    <row r="76" ht="34" customHeight="1">
      <c r="A76" s="35" t="inlineStr">
        <is>
          <t>A</t>
        </is>
      </c>
      <c r="B76" s="32" t="inlineStr">
        <is>
          <t>計画構成</t>
        </is>
      </c>
      <c r="C76" s="33" t="inlineStr">
        <is>
          <t>成年後見制度の市町村計画を第10期でも一体で策定するか</t>
        </is>
      </c>
      <c r="D76" s="33" t="inlineStr">
        <is>
          <t>調査票で「策定済み・高齢者保健福祉計画・介護保険事業計画と一体的に策定・見直し予定なし」と回答。第10期の計画期間との整合が必要。</t>
        </is>
      </c>
      <c r="E76" s="34" t="inlineStr">
        <is>
          <t>Ⅱ-72</t>
        </is>
      </c>
      <c r="F76" s="34" t="inlineStr">
        <is>
          <t>doc28§3-4 K-111</t>
        </is>
      </c>
      <c r="G76" s="34" t="inlineStr">
        <is>
          <t>未依頼</t>
        </is>
      </c>
      <c r="H76" s="33" t="inlineStr"/>
    </row>
    <row r="77" ht="34" customHeight="1">
      <c r="A77" s="35" t="inlineStr">
        <is>
          <t>A</t>
        </is>
      </c>
      <c r="B77" s="32" t="inlineStr">
        <is>
          <t>調査設計</t>
        </is>
      </c>
      <c r="C77" s="33" t="inlineStr">
        <is>
          <t>被保険者番号と照合可能な管理番号の形式（村のラベル作成仕様と一体）</t>
        </is>
      </c>
      <c r="D77" s="33" t="inlineStr">
        <is>
          <t>★議事録で方針決着：氏名は記載せず管理番号を付与し被保険者番号と紐付ける。具体的な番号形式は村のラベル作成仕様と一体で要調整。</t>
        </is>
      </c>
      <c r="E77" s="34" t="inlineStr">
        <is>
          <t>Ⅰ-19,Ⅰ-25</t>
        </is>
      </c>
      <c r="F77" s="34" t="inlineStr">
        <is>
          <t>doc22 §1</t>
        </is>
      </c>
      <c r="G77" s="34" t="inlineStr">
        <is>
          <t>一部回答</t>
        </is>
      </c>
      <c r="H77" s="33" t="inlineStr"/>
    </row>
    <row r="78" ht="34" customHeight="1">
      <c r="A78" s="35" t="inlineStr">
        <is>
          <t>A</t>
        </is>
      </c>
      <c r="B78" s="32" t="inlineStr">
        <is>
          <t>調査設計</t>
        </is>
      </c>
      <c r="C78" s="33" t="inlineStr">
        <is>
          <t>★保険外サービスの選択肢の順序を4設問で統一（11．その他／12．該当なし）</t>
        </is>
      </c>
      <c r="D78" s="33"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E78" s="34" t="inlineStr">
        <is>
          <t>Ⅰ-09,Ⅰ-10</t>
        </is>
      </c>
      <c r="F78" s="34" t="inlineStr">
        <is>
          <t>doc27§3-3</t>
        </is>
      </c>
      <c r="G78" s="34" t="inlineStr">
        <is>
          <t>未依頼</t>
        </is>
      </c>
      <c r="H78" s="33" t="inlineStr"/>
    </row>
    <row r="79" ht="34" customHeight="1">
      <c r="A79" s="35" t="inlineStr">
        <is>
          <t>A</t>
        </is>
      </c>
      <c r="B79" s="32" t="inlineStr">
        <is>
          <t>調査設計</t>
        </is>
      </c>
      <c r="C79" s="33" t="inlineStr">
        <is>
          <t>★個人情報の取扱い欄から削除された「市町村外の」を標準様式どおりに戻す</t>
        </is>
      </c>
      <c r="D79" s="33" t="inlineStr">
        <is>
          <t>★第2稿で「厚生労働省の管理する市町村外のデータベース」から「市町村外の」が削除され、データが村の外に出ることが読み取れなくなった。手引きが図表10として文例を示している箇所。</t>
        </is>
      </c>
      <c r="E79" s="34" t="inlineStr">
        <is>
          <t>Ⅰ-09,Ⅰ-10</t>
        </is>
      </c>
      <c r="F79" s="34" t="inlineStr">
        <is>
          <t>doc27§5-2</t>
        </is>
      </c>
      <c r="G79" s="34" t="inlineStr">
        <is>
          <t>未依頼</t>
        </is>
      </c>
      <c r="H79" s="33" t="inlineStr"/>
    </row>
    <row r="80" ht="34" customHeight="1">
      <c r="A80" s="35" t="inlineStr">
        <is>
          <t>A</t>
        </is>
      </c>
      <c r="B80" s="32" t="inlineStr">
        <is>
          <t>調査設計</t>
        </is>
      </c>
      <c r="C80" s="33" t="inlineStr">
        <is>
          <t>★在宅B票の案内文（主な介護者が記入できない場合の取扱い）の復活</t>
        </is>
      </c>
      <c r="D80" s="33" t="inlineStr">
        <is>
          <t>★第2稿で1文が削除された。介護者が書けないときの取扱いが示されず、B票が丸ごと無回答になる可能性がある。B票は仕事と介護の両立の分析（X-16・X-17）の全データ源。</t>
        </is>
      </c>
      <c r="E80" s="34" t="inlineStr">
        <is>
          <t>Ⅰ-10</t>
        </is>
      </c>
      <c r="F80" s="34" t="inlineStr">
        <is>
          <t>doc27§5-3</t>
        </is>
      </c>
      <c r="G80" s="34" t="inlineStr">
        <is>
          <t>未依頼</t>
        </is>
      </c>
      <c r="H80" s="33" t="inlineStr"/>
    </row>
    <row r="81" ht="34" customHeight="1">
      <c r="A81" s="35" t="inlineStr">
        <is>
          <t>A</t>
        </is>
      </c>
      <c r="B81" s="32" t="inlineStr">
        <is>
          <t>調査設計</t>
        </is>
      </c>
      <c r="C81" s="33" t="inlineStr">
        <is>
          <t>調査票のレイアウトの目視確認3点（幸福度の記入欄／宛名ラベル枠／頁数）</t>
        </is>
      </c>
      <c r="D81" s="33"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E81" s="34" t="inlineStr">
        <is>
          <t>Ⅰ-20</t>
        </is>
      </c>
      <c r="F81" s="34" t="inlineStr">
        <is>
          <t>doc27§6</t>
        </is>
      </c>
      <c r="G81" s="34" t="inlineStr">
        <is>
          <t>未依頼</t>
        </is>
      </c>
      <c r="H81" s="33" t="inlineStr"/>
    </row>
    <row r="82" ht="34" customHeight="1">
      <c r="A82" s="36" t="inlineStr">
        <is>
          <t>B</t>
        </is>
      </c>
      <c r="B82" s="24" t="inlineStr">
        <is>
          <t>データ</t>
        </is>
      </c>
      <c r="C82" s="25" t="inlineStr">
        <is>
          <t>介護給付費準備基金の現在高（令和6年度末実績・令和7年度末見込）</t>
        </is>
      </c>
      <c r="D82" s="25" t="inlineStr">
        <is>
          <t>保険料算定の前提。決算でR4年度1,700万円・R5年度810万円の積立を確認済。</t>
        </is>
      </c>
      <c r="E82" s="23" t="inlineStr">
        <is>
          <t>Ⅱ-63,Ⅱ-64</t>
        </is>
      </c>
      <c r="F82" s="23" t="inlineStr">
        <is>
          <t>doc02§22,doc08§8</t>
        </is>
      </c>
      <c r="G82" s="23" t="inlineStr">
        <is>
          <t>未依頼</t>
        </is>
      </c>
      <c r="H82" s="25" t="inlineStr"/>
    </row>
    <row r="83" ht="34" customHeight="1">
      <c r="A83" s="36" t="inlineStr">
        <is>
          <t>B</t>
        </is>
      </c>
      <c r="B83" s="24" t="inlineStr">
        <is>
          <t>データ</t>
        </is>
      </c>
      <c r="C83" s="25" t="inlineStr">
        <is>
          <t>令和6年度決算および令和7年度の給付費見込</t>
        </is>
      </c>
      <c r="D83" s="25"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E83" s="23" t="inlineStr">
        <is>
          <t>Ⅱ-55,Ⅱ-56</t>
        </is>
      </c>
      <c r="F83" s="23" t="inlineStr">
        <is>
          <t>doc08§8-1,doc30§2-4</t>
        </is>
      </c>
      <c r="G83" s="23" t="inlineStr">
        <is>
          <t>未依頼</t>
        </is>
      </c>
      <c r="H83" s="25" t="inlineStr"/>
    </row>
    <row r="84" ht="34" customHeight="1">
      <c r="A84" s="36" t="inlineStr">
        <is>
          <t>B</t>
        </is>
      </c>
      <c r="B84" s="24" t="inlineStr">
        <is>
          <t>データ</t>
        </is>
      </c>
      <c r="C84" s="25" t="inlineStr">
        <is>
          <t>通いの場の実数（令和3〜7年度）</t>
        </is>
      </c>
      <c r="D84" s="25" t="inlineStr">
        <is>
          <t>見える化は令和2年度で更新停止。かつH25・H29・R2は未報告とみられる。活動指標の基準値に必須。★9/3：令和6年度分（23か所281人／週1回以上8か所123人）を受領。令和3〜5年度・令和7年度は未受領。</t>
        </is>
      </c>
      <c r="E84" s="23" t="inlineStr">
        <is>
          <t>Ⅱ-65</t>
        </is>
      </c>
      <c r="F84" s="23" t="inlineStr">
        <is>
          <t>doc02§16,§22</t>
        </is>
      </c>
      <c r="G84" s="23" t="inlineStr">
        <is>
          <t>一部回答</t>
        </is>
      </c>
      <c r="H84" s="25" t="inlineStr"/>
    </row>
    <row r="85" ht="34" customHeight="1">
      <c r="A85" s="36" t="inlineStr">
        <is>
          <t>B</t>
        </is>
      </c>
      <c r="B85" s="24" t="inlineStr">
        <is>
          <t>データ</t>
        </is>
      </c>
      <c r="C85" s="25" t="inlineStr">
        <is>
          <t>高齢者福祉事業（村単独事業）の実績資料</t>
        </is>
      </c>
      <c r="D85" s="25" t="inlineStr">
        <is>
          <t>現行計画の評価に必要。</t>
        </is>
      </c>
      <c r="E85" s="23" t="inlineStr">
        <is>
          <t>Ⅱ-53,Ⅱ-54</t>
        </is>
      </c>
      <c r="F85" s="23" t="inlineStr">
        <is>
          <t>doc01-11</t>
        </is>
      </c>
      <c r="G85" s="23" t="inlineStr">
        <is>
          <t>未依頼</t>
        </is>
      </c>
      <c r="H85" s="25" t="inlineStr"/>
    </row>
    <row r="86" ht="34" customHeight="1">
      <c r="A86" s="36" t="inlineStr">
        <is>
          <t>B</t>
        </is>
      </c>
      <c r="B86" s="24" t="inlineStr">
        <is>
          <t>データ</t>
        </is>
      </c>
      <c r="C86" s="25" t="inlineStr">
        <is>
          <t>介護人材の確保に関する福島県の事業（介護人材確保対策・修学資金貸付）の内容と本村からの利用実績</t>
        </is>
      </c>
      <c r="D86" s="25" t="inlineStr">
        <is>
          <t>★令和8年度の交付金（都道府県分）により、介護人材の確保・サービス提供基盤の整備は福島県が全国平均を13.1点下回る県全体の課題であることが判明した（本村は▲4.8点）。本村単独では動かしにくいため、施策4-6は県の事業と定住自立圏（喜多方市・西会津町）の研修費用助成を活用する形に組み立てたい。県の事業の内容と本村からの利用実績をご教示いただきたい。</t>
        </is>
      </c>
      <c r="E86" s="23" t="inlineStr">
        <is>
          <t>Ⅱ-67,Ⅱ-54</t>
        </is>
      </c>
      <c r="F86" s="23" t="inlineStr">
        <is>
          <t>doc41§3</t>
        </is>
      </c>
      <c r="G86" s="23" t="inlineStr">
        <is>
          <t>未依頼</t>
        </is>
      </c>
      <c r="H86" s="25" t="inlineStr"/>
    </row>
    <row r="87" ht="34" customHeight="1">
      <c r="A87" s="36" t="inlineStr">
        <is>
          <t>B</t>
        </is>
      </c>
      <c r="B87" s="24" t="inlineStr">
        <is>
          <t>データ</t>
        </is>
      </c>
      <c r="C87" s="25" t="inlineStr">
        <is>
          <t>人口データの出所の統一（住基／国勢調査／福島県現住人口調査）</t>
        </is>
      </c>
      <c r="D87" s="25" t="inlineStr">
        <is>
          <t>計画書内で人口の数字が複数出ることを避ける。doc13は社人研＋住基の補正手法を採用。</t>
        </is>
      </c>
      <c r="E87" s="23" t="inlineStr">
        <is>
          <t>Ⅱ-58,Ⅱ-59</t>
        </is>
      </c>
      <c r="F87" s="23" t="inlineStr">
        <is>
          <t>doc19 追-9</t>
        </is>
      </c>
      <c r="G87" s="23" t="inlineStr">
        <is>
          <t>未依頼</t>
        </is>
      </c>
      <c r="H87" s="25" t="inlineStr"/>
    </row>
    <row r="88" ht="34" customHeight="1">
      <c r="A88" s="36" t="inlineStr">
        <is>
          <t>B</t>
        </is>
      </c>
      <c r="B88" s="24" t="inlineStr">
        <is>
          <t>データ</t>
        </is>
      </c>
      <c r="C88" s="25" t="inlineStr">
        <is>
          <t>介護保険事業状況報告 月報 第2表・第3表（サービス種類別の受給者数）</t>
        </is>
      </c>
      <c r="D88" s="25" t="inlineStr">
        <is>
          <t>★見込量推計の停止要因。施設サービス（特養・老健・介護医療院）と居住系サービス（GH・特定施設）は、見える化にサービス種類別の受給者数の系列がない。現在は給付費の構成比で按分した参考値を置いているが、種類ごとに単価が違うため実態とずれる。計画に載せる確定値にするには月報の実数が要る。</t>
        </is>
      </c>
      <c r="E88" s="23" t="inlineStr">
        <is>
          <t>Ⅱ-55,Ⅱ-56</t>
        </is>
      </c>
      <c r="F88" s="23" t="inlineStr">
        <is>
          <t>doc30§5-3</t>
        </is>
      </c>
      <c r="G88" s="23" t="inlineStr">
        <is>
          <t>未依頼</t>
        </is>
      </c>
      <c r="H88" s="25" t="inlineStr"/>
    </row>
    <row r="89" ht="34" customHeight="1">
      <c r="A89" s="36" t="inlineStr">
        <is>
          <t>B</t>
        </is>
      </c>
      <c r="B89" s="24" t="inlineStr">
        <is>
          <t>データ</t>
        </is>
      </c>
      <c r="C89" s="25" t="inlineStr">
        <is>
          <t>介護給付と予防給付を分けたサービス種類別の受給者数・給付費</t>
        </is>
      </c>
      <c r="D89" s="25"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E89" s="23" t="inlineStr">
        <is>
          <t>Ⅱ-55,Ⅱ-56</t>
        </is>
      </c>
      <c r="F89" s="23" t="inlineStr">
        <is>
          <t>doc30§5-1</t>
        </is>
      </c>
      <c r="G89" s="23" t="inlineStr">
        <is>
          <t>未依頼</t>
        </is>
      </c>
      <c r="H89" s="25" t="inlineStr"/>
    </row>
    <row r="90" ht="34" customHeight="1">
      <c r="A90" s="36" t="inlineStr">
        <is>
          <t>B</t>
        </is>
      </c>
      <c r="B90" s="24" t="inlineStr">
        <is>
          <t>データ</t>
        </is>
      </c>
      <c r="C90" s="25" t="inlineStr">
        <is>
          <t>特定福祉用具販売・住宅改修の件数（令和5〜7年度）</t>
        </is>
      </c>
      <c r="D90" s="25" t="inlineStr">
        <is>
          <t>計画の様式は「件／年」で記載する。見える化は給付費のみで件数の系列がない。</t>
        </is>
      </c>
      <c r="E90" s="23" t="inlineStr">
        <is>
          <t>Ⅱ-55</t>
        </is>
      </c>
      <c r="F90" s="23" t="inlineStr">
        <is>
          <t>doc30§5-1</t>
        </is>
      </c>
      <c r="G90" s="23" t="inlineStr">
        <is>
          <t>未依頼</t>
        </is>
      </c>
      <c r="H90" s="25" t="inlineStr"/>
    </row>
    <row r="91" ht="34" customHeight="1">
      <c r="A91" s="36" t="inlineStr">
        <is>
          <t>B</t>
        </is>
      </c>
      <c r="B91" s="24" t="inlineStr">
        <is>
          <t>データ</t>
        </is>
      </c>
      <c r="C91" s="25" t="inlineStr">
        <is>
          <t>居宅介護支援・介護予防支援の受給者数（居宅と予防の内訳）</t>
        </is>
      </c>
      <c r="D91" s="25" t="inlineStr">
        <is>
          <t>★9/24：合計人数は見える化の2系列から逆算して解決した（D13-r×B1÷D17-l）。令和3〜7年度の逆算値86.7／91.3／98.0／112.0／111.1人は在宅サービス受給者数と0.1人以内で一致する。残るのは居宅介護支援と介護予防支援の内訳のみ。見える化では分けられない。</t>
        </is>
      </c>
      <c r="E91" s="23" t="inlineStr">
        <is>
          <t>Ⅱ-55</t>
        </is>
      </c>
      <c r="F91" s="23" t="inlineStr">
        <is>
          <t>doc38§A-2,doc18 5-4(9)</t>
        </is>
      </c>
      <c r="G91" s="23" t="inlineStr">
        <is>
          <t>一部回答</t>
        </is>
      </c>
      <c r="H91" s="25" t="inlineStr"/>
    </row>
    <row r="92" ht="34" customHeight="1">
      <c r="A92" s="36" t="inlineStr">
        <is>
          <t>B</t>
        </is>
      </c>
      <c r="B92" s="24" t="inlineStr">
        <is>
          <t>データ</t>
        </is>
      </c>
      <c r="C92" s="25" t="inlineStr">
        <is>
          <t>ニーズ調査 問1(4)（住まいの種類）を削除したままとする場合の代替資料</t>
        </is>
      </c>
      <c r="D92" s="25" t="inlineStr">
        <is>
          <t>基本指針が求める「高齢者の居住安定に係る施策との連携」と施策2-3の根拠になる唯一の設問だった。公営住宅・借家の高齢者を把握する手段がなくなるため、村の住宅施策の資料で補う。</t>
        </is>
      </c>
      <c r="E92" s="23" t="inlineStr">
        <is>
          <t>Ⅱ-53</t>
        </is>
      </c>
      <c r="F92" s="23" t="inlineStr">
        <is>
          <t>doc34§3-3</t>
        </is>
      </c>
      <c r="G92" s="23" t="inlineStr">
        <is>
          <t>未依頼</t>
        </is>
      </c>
      <c r="H92" s="25" t="inlineStr"/>
    </row>
    <row r="93" ht="34" customHeight="1">
      <c r="A93" s="36" t="inlineStr">
        <is>
          <t>B</t>
        </is>
      </c>
      <c r="B93" s="24" t="inlineStr">
        <is>
          <t>データ</t>
        </is>
      </c>
      <c r="C93" s="25" t="inlineStr">
        <is>
          <t>第10期（令和9〜11年度）の第1号被保険者負担割合を定める政令の公布状況</t>
        </is>
      </c>
      <c r="D93" s="25" t="inlineStr">
        <is>
          <t>★第9期は23％。3年ごとに政令で定められ第1期17％から1ポイントずつ上がってきた。本村では1ポイントで保険料月額約294円。期限付きの軽減措置ではない。</t>
        </is>
      </c>
      <c r="E93" s="23" t="inlineStr">
        <is>
          <t>Ⅱ-64</t>
        </is>
      </c>
      <c r="F93" s="23" t="inlineStr">
        <is>
          <t>doc33§2</t>
        </is>
      </c>
      <c r="G93" s="23" t="inlineStr">
        <is>
          <t>未依頼</t>
        </is>
      </c>
      <c r="H93" s="25" t="inlineStr"/>
    </row>
    <row r="94" ht="34" customHeight="1">
      <c r="A94" s="36" t="inlineStr">
        <is>
          <t>B</t>
        </is>
      </c>
      <c r="B94" s="24" t="inlineStr">
        <is>
          <t>データ</t>
        </is>
      </c>
      <c r="C94" s="25" t="inlineStr">
        <is>
          <t>高齢者虐待への対応実績（相談・通報件数、虐待と判断した件数、措置件数）</t>
        </is>
      </c>
      <c r="D94" s="25" t="inlineStr">
        <is>
          <t>★国の基本指針が権利擁護として記載を求める事項。素案には「虐待」の語が1度もなかった（doc32 §5-1）。地域包括支援センターの権利擁護業務の中核でもある。</t>
        </is>
      </c>
      <c r="E94" s="23" t="inlineStr">
        <is>
          <t>Ⅱ-53,Ⅱ-54</t>
        </is>
      </c>
      <c r="F94" s="23" t="inlineStr">
        <is>
          <t>doc32§5-1</t>
        </is>
      </c>
      <c r="G94" s="23" t="inlineStr">
        <is>
          <t>未依頼</t>
        </is>
      </c>
      <c r="H94" s="25" t="inlineStr"/>
    </row>
    <row r="95" ht="34" customHeight="1">
      <c r="A95" s="36" t="inlineStr">
        <is>
          <t>B</t>
        </is>
      </c>
      <c r="B95" s="24" t="inlineStr">
        <is>
          <t>データ</t>
        </is>
      </c>
      <c r="C95" s="25" t="inlineStr">
        <is>
          <t>老人福祉事業の量の実績（養護老人ホーム措置・軽費老人ホーム・老人クラブ）</t>
        </is>
      </c>
      <c r="D95" s="25" t="inlineStr">
        <is>
          <t>★老人福祉法第20条の8第2項が「定めるものとする」とする義務的記載事項。素案に量の目標の表がなかったため4-6を新設したが、実績値がないと目標が置けない。</t>
        </is>
      </c>
      <c r="E95" s="23" t="inlineStr">
        <is>
          <t>Ⅱ-53</t>
        </is>
      </c>
      <c r="F95" s="23" t="inlineStr">
        <is>
          <t>doc32§4-1</t>
        </is>
      </c>
      <c r="G95" s="23" t="inlineStr">
        <is>
          <t>未依頼</t>
        </is>
      </c>
      <c r="H95" s="25" t="inlineStr"/>
    </row>
    <row r="96" ht="34" customHeight="1">
      <c r="A96" s="36" t="inlineStr">
        <is>
          <t>B</t>
        </is>
      </c>
      <c r="B96" s="24" t="inlineStr">
        <is>
          <t>データ</t>
        </is>
      </c>
      <c r="C96" s="25" t="inlineStr">
        <is>
          <t>介護サービス事業所のBCP・要配慮者利用施設の避難確保計画の策定状況</t>
        </is>
      </c>
      <c r="D96" s="25" t="inlineStr">
        <is>
          <t>★基本指針が求める災害・感染症対策の体制整備。村内2事業所（GH・通所介護）が対象になり得る。</t>
        </is>
      </c>
      <c r="E96" s="23" t="inlineStr">
        <is>
          <t>Ⅱ-54</t>
        </is>
      </c>
      <c r="F96" s="23" t="inlineStr">
        <is>
          <t>doc32§5-2</t>
        </is>
      </c>
      <c r="G96" s="23" t="inlineStr">
        <is>
          <t>未依頼</t>
        </is>
      </c>
      <c r="H96" s="25" t="inlineStr"/>
    </row>
    <row r="97" ht="34" customHeight="1">
      <c r="A97" s="36" t="inlineStr">
        <is>
          <t>B</t>
        </is>
      </c>
      <c r="B97" s="24" t="inlineStr">
        <is>
          <t>データ</t>
        </is>
      </c>
      <c r="C97" s="25" t="inlineStr">
        <is>
          <t>第9期計画の本文（第5章81〜92ページ）</t>
        </is>
      </c>
      <c r="D97" s="25" t="inlineStr">
        <is>
          <t>★老人福祉事業の量の目標を第9期計画のどこに記載していたかを確認し、第10期の配置を揃えるために必要。現在は第4章末（4-6）に置いている。</t>
        </is>
      </c>
      <c r="E97" s="23" t="inlineStr">
        <is>
          <t>Ⅱ-53</t>
        </is>
      </c>
      <c r="F97" s="23" t="inlineStr">
        <is>
          <t>doc32§4-1</t>
        </is>
      </c>
      <c r="G97" s="23" t="inlineStr">
        <is>
          <t>未依頼</t>
        </is>
      </c>
      <c r="H97" s="25" t="inlineStr"/>
    </row>
    <row r="98" ht="34" customHeight="1">
      <c r="A98" s="36" t="inlineStr">
        <is>
          <t>B</t>
        </is>
      </c>
      <c r="B98" s="24" t="inlineStr">
        <is>
          <t>データ</t>
        </is>
      </c>
      <c r="C98" s="25" t="inlineStr">
        <is>
          <t>福島県保健医療計画（第八次）の会津・南会津区域に関する記載</t>
        </is>
      </c>
      <c r="D98" s="25" t="inlineStr">
        <is>
          <t>★介護保険法第117条第5項により本計画は医療計画と整合が図られたものでなければならない。素案1-4に整合の記述を追加したが内容が未確定。</t>
        </is>
      </c>
      <c r="E98" s="23" t="inlineStr">
        <is>
          <t>Ⅱ-53</t>
        </is>
      </c>
      <c r="F98" s="23" t="inlineStr">
        <is>
          <t>doc32§3-3</t>
        </is>
      </c>
      <c r="G98" s="23" t="inlineStr">
        <is>
          <t>未依頼</t>
        </is>
      </c>
      <c r="H98" s="25" t="inlineStr"/>
    </row>
    <row r="99" ht="34" customHeight="1">
      <c r="A99" s="36" t="inlineStr">
        <is>
          <t>B</t>
        </is>
      </c>
      <c r="B99" s="24" t="inlineStr">
        <is>
          <t>データ</t>
        </is>
      </c>
      <c r="C99" s="25" t="inlineStr">
        <is>
          <t>診療所（南東北裏磐梯・桧原）の診療日数および患者数</t>
        </is>
      </c>
      <c r="D99" s="25" t="inlineStr">
        <is>
          <t>★在宅医療・介護連携の分析に直結するがこれまで把握していなかった。</t>
        </is>
      </c>
      <c r="E99" s="23" t="inlineStr">
        <is>
          <t>Ⅱ-54</t>
        </is>
      </c>
      <c r="F99" s="23" t="inlineStr">
        <is>
          <t>doc19 追-11</t>
        </is>
      </c>
      <c r="G99" s="23" t="inlineStr">
        <is>
          <t>未依頼</t>
        </is>
      </c>
      <c r="H99" s="25" t="inlineStr"/>
    </row>
    <row r="100" ht="34" customHeight="1">
      <c r="A100" s="36" t="inlineStr">
        <is>
          <t>B</t>
        </is>
      </c>
      <c r="B100" s="24" t="inlineStr">
        <is>
          <t>データ</t>
        </is>
      </c>
      <c r="C100" s="25" t="inlineStr">
        <is>
          <t>家族介護者リフレッシュ事業・介護用品支給・サポーター養成講座・成年後見の各実績</t>
        </is>
      </c>
      <c r="D100" s="25" t="inlineStr">
        <is>
          <t>任意事業・認知症施策・成年後見の評価に必要。令和6年度実績、可能であれば令和7年度。</t>
        </is>
      </c>
      <c r="E100" s="23" t="inlineStr">
        <is>
          <t>Ⅱ-53,Ⅱ-54</t>
        </is>
      </c>
      <c r="F100" s="23" t="inlineStr">
        <is>
          <t>doc19 追-11</t>
        </is>
      </c>
      <c r="G100" s="23" t="inlineStr">
        <is>
          <t>未依頼</t>
        </is>
      </c>
      <c r="H100" s="25" t="inlineStr"/>
    </row>
    <row r="101" ht="34" customHeight="1">
      <c r="A101" s="36" t="inlineStr">
        <is>
          <t>B</t>
        </is>
      </c>
      <c r="B101" s="24" t="inlineStr">
        <is>
          <t>データ</t>
        </is>
      </c>
      <c r="C101" s="25" t="inlineStr">
        <is>
          <t>特定健診・後期高齢者健診の受診率、特定保健指導の実施率</t>
        </is>
      </c>
      <c r="D101" s="25" t="inlineStr">
        <is>
          <t>介護予防と保健事業の一体的実施（施策1-6）の評価に必要。</t>
        </is>
      </c>
      <c r="E101" s="23" t="inlineStr">
        <is>
          <t>Ⅱ-54</t>
        </is>
      </c>
      <c r="F101" s="23" t="inlineStr">
        <is>
          <t>doc19 追-11</t>
        </is>
      </c>
      <c r="G101" s="23" t="inlineStr">
        <is>
          <t>未依頼</t>
        </is>
      </c>
      <c r="H101" s="25" t="inlineStr"/>
    </row>
    <row r="102" ht="34" customHeight="1">
      <c r="A102" s="36" t="inlineStr">
        <is>
          <t>B</t>
        </is>
      </c>
      <c r="B102" s="24" t="inlineStr">
        <is>
          <t>データ</t>
        </is>
      </c>
      <c r="C102" s="25" t="inlineStr">
        <is>
          <t>ACP（人生会議）の普及啓発・看取りに関する住民向け取組の有無</t>
        </is>
      </c>
      <c r="D102" s="25" t="inlineStr">
        <is>
          <t>支援交付金目標Ⅲ「人生の最終段階における支援」4項目が0点（配点計8点）。</t>
        </is>
      </c>
      <c r="E102" s="23" t="inlineStr">
        <is>
          <t>Ⅱ-54</t>
        </is>
      </c>
      <c r="F102" s="23" t="inlineStr">
        <is>
          <t>doc20§6-2 K-65</t>
        </is>
      </c>
      <c r="G102" s="23" t="inlineStr">
        <is>
          <t>未依頼</t>
        </is>
      </c>
      <c r="H102" s="25" t="inlineStr"/>
    </row>
    <row r="103" ht="34" customHeight="1">
      <c r="A103" s="36" t="inlineStr">
        <is>
          <t>B</t>
        </is>
      </c>
      <c r="B103" s="24" t="inlineStr">
        <is>
          <t>データ</t>
        </is>
      </c>
      <c r="C103" s="25" t="inlineStr">
        <is>
          <t>第四次生涯学習推進計画の目標値の直近実績（中間評価の有無・結果）</t>
        </is>
      </c>
      <c r="D103" s="25" t="inlineStr">
        <is>
          <t>10年計画（2018〜2027年度）の中間年は2022年度。第10期計画に引用可能か。</t>
        </is>
      </c>
      <c r="E103" s="23" t="inlineStr">
        <is>
          <t>Ⅱ-72</t>
        </is>
      </c>
      <c r="F103" s="23" t="inlineStr">
        <is>
          <t>doc21§5 K-68</t>
        </is>
      </c>
      <c r="G103" s="23" t="inlineStr">
        <is>
          <t>未依頼</t>
        </is>
      </c>
      <c r="H103" s="25" t="inlineStr"/>
    </row>
    <row r="104" ht="34" customHeight="1">
      <c r="A104" s="36" t="inlineStr">
        <is>
          <t>B</t>
        </is>
      </c>
      <c r="B104" s="24" t="inlineStr">
        <is>
          <t>データ</t>
        </is>
      </c>
      <c r="C104" s="25" t="inlineStr">
        <is>
          <t>高齢者生きがい健康づくり事業・高齢者教室の実施状況（開催回数・参加人数）</t>
        </is>
      </c>
      <c r="D104" s="25" t="inlineStr">
        <is>
          <t>教育委員会所管。介護予防（通いの場）の実績にカウントできるものがあるかを確認。</t>
        </is>
      </c>
      <c r="E104" s="23" t="inlineStr">
        <is>
          <t>Ⅱ-53</t>
        </is>
      </c>
      <c r="F104" s="23" t="inlineStr">
        <is>
          <t>doc21§5 K-71</t>
        </is>
      </c>
      <c r="G104" s="23" t="inlineStr">
        <is>
          <t>未依頼</t>
        </is>
      </c>
      <c r="H104" s="25" t="inlineStr"/>
    </row>
    <row r="105" ht="34" customHeight="1">
      <c r="A105" s="36" t="inlineStr">
        <is>
          <t>B</t>
        </is>
      </c>
      <c r="B105" s="24" t="inlineStr">
        <is>
          <t>データ</t>
        </is>
      </c>
      <c r="C105" s="25" t="inlineStr">
        <is>
          <t>シルバー人材センターの会員数・受注実績</t>
        </is>
      </c>
      <c r="D105" s="25" t="inlineStr">
        <is>
          <t>高齢者の就労的活動の実績として記載可能か。生涯学習推進計画にも施策として位置づけあり。</t>
        </is>
      </c>
      <c r="E105" s="23" t="inlineStr">
        <is>
          <t>Ⅱ-53</t>
        </is>
      </c>
      <c r="F105" s="23" t="inlineStr">
        <is>
          <t>doc21§5 K-72</t>
        </is>
      </c>
      <c r="G105" s="23" t="inlineStr">
        <is>
          <t>未依頼</t>
        </is>
      </c>
      <c r="H105" s="25" t="inlineStr"/>
    </row>
    <row r="106" ht="34" customHeight="1">
      <c r="A106" s="36" t="inlineStr">
        <is>
          <t>B</t>
        </is>
      </c>
      <c r="B106" s="24" t="inlineStr">
        <is>
          <t>データ</t>
        </is>
      </c>
      <c r="C106" s="25" t="inlineStr">
        <is>
          <t>第9期調査の集計基準・集計表の提供</t>
        </is>
      </c>
      <c r="D106" s="25" t="inlineStr">
        <is>
          <t>前回比較（集計軸G）に必要。無回答の扱い・端数処理を揃えないと比較にならない。</t>
        </is>
      </c>
      <c r="E106" s="23" t="inlineStr">
        <is>
          <t>Ⅰ-42</t>
        </is>
      </c>
      <c r="F106" s="23" t="inlineStr">
        <is>
          <t>doc25§8 K-92</t>
        </is>
      </c>
      <c r="G106" s="23" t="inlineStr">
        <is>
          <t>未依頼</t>
        </is>
      </c>
      <c r="H106" s="25" t="inlineStr"/>
    </row>
    <row r="107" ht="34" customHeight="1">
      <c r="A107" s="36" t="inlineStr">
        <is>
          <t>B</t>
        </is>
      </c>
      <c r="B107" s="24" t="inlineStr">
        <is>
          <t>データ</t>
        </is>
      </c>
      <c r="C107" s="25" t="inlineStr">
        <is>
          <t>成年後見の中核機関の整備圏域（調査票は「市町村圏域」だが実態は会津圏域13市町村の共同運営か）</t>
        </is>
      </c>
      <c r="D107" s="25" t="inlineStr">
        <is>
          <t>相談件数表から会津権利擁護・成年後見センターへの委託と見られるが、調査票の回答は市町村圏域。計画の記述の正確性に関わる。</t>
        </is>
      </c>
      <c r="E107" s="23" t="inlineStr">
        <is>
          <t>Ⅱ-68</t>
        </is>
      </c>
      <c r="F107" s="23" t="inlineStr">
        <is>
          <t>doc28§3-4 K-109</t>
        </is>
      </c>
      <c r="G107" s="23" t="inlineStr">
        <is>
          <t>未依頼</t>
        </is>
      </c>
      <c r="H107" s="25" t="inlineStr"/>
    </row>
    <row r="108" ht="34" customHeight="1">
      <c r="A108" s="36" t="inlineStr">
        <is>
          <t>B</t>
        </is>
      </c>
      <c r="B108" s="24" t="inlineStr">
        <is>
          <t>データ</t>
        </is>
      </c>
      <c r="C108" s="25" t="inlineStr">
        <is>
          <t>合計所得金額分布調査の10万円刻みデータを保険料試算に使用してよいか</t>
        </is>
      </c>
      <c r="D108" s="25" t="inlineStr">
        <is>
          <t>所得段階の区切りを変えた場合の影響試算に使える。第10期で段階設定を見直す場合の基礎データ。</t>
        </is>
      </c>
      <c r="E108" s="23" t="inlineStr">
        <is>
          <t>Ⅱ-107</t>
        </is>
      </c>
      <c r="F108" s="23" t="inlineStr">
        <is>
          <t>doc28§2 K-110</t>
        </is>
      </c>
      <c r="G108" s="23" t="inlineStr">
        <is>
          <t>未依頼</t>
        </is>
      </c>
      <c r="H108" s="25" t="inlineStr"/>
    </row>
    <row r="109" ht="34" customHeight="1">
      <c r="A109" s="36" t="inlineStr">
        <is>
          <t>B</t>
        </is>
      </c>
      <c r="B109" s="24" t="inlineStr">
        <is>
          <t>データ</t>
        </is>
      </c>
      <c r="C109" s="25" t="inlineStr">
        <is>
          <t>特定健診・後期高齢者健診の受診率は見える化に系列がない</t>
        </is>
      </c>
      <c r="D109" s="25" t="inlineStr">
        <is>
          <t>★施策1-6（保健事業と介護予防の一体的実施）の指標に用いる。見える化に系列がないため、村または国保データベース（KDB）システムから取る。KDBは見える化とは別のシステムであり、アクセスの可否を村に確認する。</t>
        </is>
      </c>
      <c r="E109" s="23" t="inlineStr">
        <is>
          <t>Ⅱ-54</t>
        </is>
      </c>
      <c r="F109" s="23" t="inlineStr">
        <is>
          <t>doc38§D</t>
        </is>
      </c>
      <c r="G109" s="23" t="inlineStr">
        <is>
          <t>未依頼</t>
        </is>
      </c>
      <c r="H109" s="25" t="inlineStr"/>
    </row>
    <row r="110" ht="34" customHeight="1">
      <c r="A110" s="36" t="inlineStr">
        <is>
          <t>B</t>
        </is>
      </c>
      <c r="B110" s="24" t="inlineStr">
        <is>
          <t>データ</t>
        </is>
      </c>
      <c r="C110" s="25" t="inlineStr">
        <is>
          <t>若年性認知症（65歳未満で認知症となった方）の状況</t>
        </is>
      </c>
      <c r="D110" s="25" t="inlineStr">
        <is>
          <t>★認知症基本法第16条第2項は、若年性認知症の人その他の認知症の人の意欲および能力に応じた雇用の継続・円滑な就職に資する施策を求める。若年性認知症の方は介護保険では第2号被保険者となり、就労の継続が生活の基盤に直結する。本村の該当者の状況が未把握。</t>
        </is>
      </c>
      <c r="E110" s="23" t="inlineStr">
        <is>
          <t>Ⅱ-68</t>
        </is>
      </c>
      <c r="F110" s="23" t="inlineStr">
        <is>
          <t>doc36§10-4,doc18 4-7(3)</t>
        </is>
      </c>
      <c r="G110" s="23" t="inlineStr">
        <is>
          <t>未依頼</t>
        </is>
      </c>
      <c r="H110" s="25" t="inlineStr"/>
    </row>
    <row r="111" ht="34" customHeight="1">
      <c r="A111" s="36" t="inlineStr">
        <is>
          <t>B</t>
        </is>
      </c>
      <c r="B111" s="24" t="inlineStr">
        <is>
          <t>データ</t>
        </is>
      </c>
      <c r="C111" s="25" t="inlineStr">
        <is>
          <t>令和6年度・令和7年度の介護サービス等諸費／介護予防サービス等諸費の決算額</t>
        </is>
      </c>
      <c r="D111" s="25" t="inlineStr">
        <is>
          <t>★介護給付費と予防給付費の分離に用いる単価は、見える化D48-b系により令和3〜5年度までしか把握できない。5-4の受給率（令和5〜7年度の3か年平均）と期間が1年ずれている。令和6・7年度の決算で揃える。</t>
        </is>
      </c>
      <c r="E111" s="23" t="inlineStr">
        <is>
          <t>Ⅱ-55,Ⅱ-56</t>
        </is>
      </c>
      <c r="F111" s="23" t="inlineStr">
        <is>
          <t>doc35§7-3(2),doc18 5-6</t>
        </is>
      </c>
      <c r="G111" s="23" t="inlineStr">
        <is>
          <t>未依頼</t>
        </is>
      </c>
      <c r="H111" s="25" t="inlineStr"/>
    </row>
    <row r="112" ht="34" customHeight="1">
      <c r="A112" s="36" t="inlineStr">
        <is>
          <t>B</t>
        </is>
      </c>
      <c r="B112" s="24" t="inlineStr">
        <is>
          <t>体制</t>
        </is>
      </c>
      <c r="C112" s="25" t="inlineStr">
        <is>
          <t>令和9年度以降も交付金の該当状況調査票の写しを策定業務に提供いただけるか</t>
        </is>
      </c>
      <c r="D112" s="25" t="inlineStr">
        <is>
          <t>第10期の進捗管理で毎年度の得点推移を追うために必要。</t>
        </is>
      </c>
      <c r="E112" s="23" t="inlineStr">
        <is>
          <t>Ⅱ-65</t>
        </is>
      </c>
      <c r="F112" s="23" t="inlineStr">
        <is>
          <t>doc20§6-2 K-67</t>
        </is>
      </c>
      <c r="G112" s="23" t="inlineStr">
        <is>
          <t>未依頼</t>
        </is>
      </c>
      <c r="H112" s="25" t="inlineStr"/>
    </row>
    <row r="113" ht="34" customHeight="1">
      <c r="A113" s="36" t="inlineStr">
        <is>
          <t>B</t>
        </is>
      </c>
      <c r="B113" s="24" t="inlineStr">
        <is>
          <t>体制</t>
        </is>
      </c>
      <c r="C113" s="25" t="inlineStr">
        <is>
          <t>データ入力の体制（受託者側で入力するか、一部を村で行うか）</t>
        </is>
      </c>
      <c r="D113" s="25" t="inlineStr">
        <is>
          <t>小分け送付の運用と入力体制はセット。約1,000件の入力工数に影響する。</t>
        </is>
      </c>
      <c r="E113" s="23" t="inlineStr">
        <is>
          <t>Ⅰ-35</t>
        </is>
      </c>
      <c r="F113" s="23" t="inlineStr">
        <is>
          <t>doc25§8 K-93</t>
        </is>
      </c>
      <c r="G113" s="23" t="inlineStr">
        <is>
          <t>未依頼</t>
        </is>
      </c>
      <c r="H113" s="25" t="inlineStr"/>
    </row>
    <row r="114" ht="34" customHeight="1">
      <c r="A114" s="36" t="inlineStr">
        <is>
          <t>B</t>
        </is>
      </c>
      <c r="B114" s="24" t="inlineStr">
        <is>
          <t>体制</t>
        </is>
      </c>
      <c r="C114" s="25" t="inlineStr">
        <is>
          <t>見える化システムへの登録作業の分担（村が行うか受託者が代行するか）</t>
        </is>
      </c>
      <c r="D114" s="25" t="inlineStr">
        <is>
          <t>村独自設問14問を除外し標準様式の設問順に並べ替えた別ファイルの作成が必要。</t>
        </is>
      </c>
      <c r="E114" s="23" t="inlineStr">
        <is>
          <t>Ⅰ-48</t>
        </is>
      </c>
      <c r="F114" s="23" t="inlineStr">
        <is>
          <t>doc25§8 K-94</t>
        </is>
      </c>
      <c r="G114" s="23" t="inlineStr">
        <is>
          <t>未依頼</t>
        </is>
      </c>
      <c r="H114" s="25" t="inlineStr"/>
    </row>
    <row r="115" ht="34" customHeight="1">
      <c r="A115" s="36" t="inlineStr">
        <is>
          <t>B</t>
        </is>
      </c>
      <c r="B115" s="24" t="inlineStr">
        <is>
          <t>取組</t>
        </is>
      </c>
      <c r="C115" s="25" t="inlineStr">
        <is>
          <t>難聴高齢者の早期発見・早期介入（20点中0点・全国平均6.9点）の実施可能性</t>
        </is>
      </c>
      <c r="D115" s="25" t="inlineStr">
        <is>
          <t>認知症の危険因子として難聴が位置づけられたことによる評価項目。健診等の機会を通じた把握と、補聴器等による介入の仕組みの可否。目標Ⅱの未取得分としては最大の20点。</t>
        </is>
      </c>
      <c r="E115" s="23" t="inlineStr">
        <is>
          <t>Ⅱ-65,Ⅱ-68</t>
        </is>
      </c>
      <c r="F115" s="23" t="inlineStr">
        <is>
          <t>doc35§7-2(6)</t>
        </is>
      </c>
      <c r="G115" s="23" t="inlineStr">
        <is>
          <t>未依頼</t>
        </is>
      </c>
      <c r="H115" s="25" t="inlineStr"/>
    </row>
    <row r="116" ht="34" customHeight="1">
      <c r="A116" s="36" t="inlineStr">
        <is>
          <t>B</t>
        </is>
      </c>
      <c r="B116" s="24" t="inlineStr">
        <is>
          <t>成果品</t>
        </is>
      </c>
      <c r="C116" s="25" t="inlineStr">
        <is>
          <t>報告書に調査票を再掲しないことの村への事前説明（第9期の巻末の確認を含む）</t>
        </is>
      </c>
      <c r="D116" s="25" t="inlineStr">
        <is>
          <t>★案Bを採用し、調査票の全文・単純集計表・自由記述の全文は紙の資料編から外して電子媒体に収録する（doc24§9）。doc01§5-5に記録した第9期報告書の構成に調査票の再掲はないが、目次の見出しのみの記録のため巻末に載っていた可能性がある。載っていた場合は前回からの変更にあたるため、納品時の齟齬を避けるため事前に説明しておきたい。</t>
        </is>
      </c>
      <c r="E116" s="23" t="inlineStr">
        <is>
          <t>Ⅳ-90,Ⅳ-114</t>
        </is>
      </c>
      <c r="F116" s="23" t="inlineStr">
        <is>
          <t>doc24§1-3</t>
        </is>
      </c>
      <c r="G116" s="23" t="inlineStr">
        <is>
          <t>未依頼</t>
        </is>
      </c>
      <c r="H116" s="25" t="inlineStr"/>
    </row>
    <row r="117" ht="34" customHeight="1">
      <c r="A117" s="36" t="inlineStr">
        <is>
          <t>B</t>
        </is>
      </c>
      <c r="B117" s="24" t="inlineStr">
        <is>
          <t>成果品</t>
        </is>
      </c>
      <c r="C117" s="25" t="inlineStr">
        <is>
          <t>施策体系図（基本理念→基本目標5→施策28の階層図）を計画書3-5に載せるか</t>
        </is>
      </c>
      <c r="D117" s="25" t="inlineStr">
        <is>
          <t>★第9期は第3章8頁に施策体系とSDGsの対応を掲げていた。第10期は3-5に対応表（28施策×根拠・交付金の目標・SDGs）を新設したが階層図がない。図は第2回策定委員会 資料4に用意しており、当方の推定では計画書は94頁で仕様書の約100頁に6頁の余裕がある。頁数の実測で余裕が確認できれば追加したい。</t>
        </is>
      </c>
      <c r="E117" s="23" t="inlineStr">
        <is>
          <t>Ⅱ-113,Ⅱ-71</t>
        </is>
      </c>
      <c r="F117" s="23" t="inlineStr">
        <is>
          <t>doc41§6</t>
        </is>
      </c>
      <c r="G117" s="23" t="inlineStr">
        <is>
          <t>未依頼</t>
        </is>
      </c>
      <c r="H117" s="25" t="inlineStr"/>
    </row>
    <row r="118" ht="34" customHeight="1">
      <c r="A118" s="36" t="inlineStr">
        <is>
          <t>B</t>
        </is>
      </c>
      <c r="B118" s="24" t="inlineStr">
        <is>
          <t>成果品</t>
        </is>
      </c>
      <c r="C118" s="25" t="inlineStr">
        <is>
          <t>計画書・報告書の頁数の実測（当方では docx→PDF 変換ができず目視確認ができない）</t>
        </is>
      </c>
      <c r="D118" s="25" t="inlineStr">
        <is>
          <t>★当方の推定では計画書は本文88頁＋前付4頁＝92頁で、仕様書の約100頁に8頁の余裕がある（レイアウト値からの積算・doc40§0）。字詰め・禁則・表の折り返しの実挙動で前後するため、村側で実際に開いて頁数をご確認いただきたい。余裕が確認できれば第3章の施策体系図（第9期にあり第10期素案にない）とSDGsの対応表を追加したい。</t>
        </is>
      </c>
      <c r="E118" s="23" t="inlineStr">
        <is>
          <t>Ⅱ-113,Ⅳ-89</t>
        </is>
      </c>
      <c r="F118" s="23" t="inlineStr">
        <is>
          <t>doc40§1-4</t>
        </is>
      </c>
      <c r="G118" s="23" t="inlineStr">
        <is>
          <t>未依頼</t>
        </is>
      </c>
      <c r="H118" s="25" t="inlineStr"/>
    </row>
    <row r="119" ht="34" customHeight="1">
      <c r="A119" s="36" t="inlineStr">
        <is>
          <t>B</t>
        </is>
      </c>
      <c r="B119" s="24" t="inlineStr">
        <is>
          <t>成果品</t>
        </is>
      </c>
      <c r="C119" s="25" t="inlineStr">
        <is>
          <t>概要版の位置づけ（仕様の範囲内か追加対応か）</t>
        </is>
      </c>
      <c r="D119" s="25" t="inlineStr">
        <is>
          <t>仕様書に記載がなく成果品一覧にもないが、資料末尾に「必要に応じては概要版も作成致します」とある。第9期は2ページの概要版を作成。</t>
        </is>
      </c>
      <c r="E119" s="23" t="inlineStr">
        <is>
          <t>Ⅳ-92</t>
        </is>
      </c>
      <c r="F119" s="23" t="inlineStr">
        <is>
          <t>doc19 指-5</t>
        </is>
      </c>
      <c r="G119" s="23" t="inlineStr">
        <is>
          <t>未依頼</t>
        </is>
      </c>
      <c r="H119" s="25" t="inlineStr"/>
    </row>
    <row r="120" ht="34" customHeight="1">
      <c r="A120" s="36" t="inlineStr">
        <is>
          <t>B</t>
        </is>
      </c>
      <c r="B120" s="24" t="inlineStr">
        <is>
          <t>成果品</t>
        </is>
      </c>
      <c r="C120" s="25" t="inlineStr">
        <is>
          <t>★議会全員協議会（令和9年2月末頃）で受託者に求められる関与の範囲</t>
        </is>
      </c>
      <c r="D120" s="25" t="inlineStr">
        <is>
          <t>★議事録で新設されたマイルストーン。資料作成のみか、出席・説明を含むかで工数が変わる。</t>
        </is>
      </c>
      <c r="E120" s="23" t="inlineStr">
        <is>
          <t>Ⅱ-93</t>
        </is>
      </c>
      <c r="F120" s="23" t="inlineStr">
        <is>
          <t>doc22 K-80</t>
        </is>
      </c>
      <c r="G120" s="23" t="inlineStr">
        <is>
          <t>未依頼</t>
        </is>
      </c>
      <c r="H120" s="25" t="inlineStr"/>
    </row>
    <row r="121" ht="34" customHeight="1">
      <c r="A121" s="36" t="inlineStr">
        <is>
          <t>B</t>
        </is>
      </c>
      <c r="B121" s="24" t="inlineStr">
        <is>
          <t>方針</t>
        </is>
      </c>
      <c r="C121" s="25" t="inlineStr">
        <is>
          <t>第1号被保険者数の推計を社人研ベースから補正して用いる方針の可否</t>
        </is>
      </c>
      <c r="D121" s="25" t="inlineStr">
        <is>
          <t>社人研推計は住基ベース実績より6〜8%少なく、第9期はこれで63人ずれた。手法変更のため村の合意が要る。</t>
        </is>
      </c>
      <c r="E121" s="23" t="inlineStr">
        <is>
          <t>Ⅱ-59</t>
        </is>
      </c>
      <c r="F121" s="23" t="inlineStr">
        <is>
          <t>doc09§4,§10</t>
        </is>
      </c>
      <c r="G121" s="23" t="inlineStr">
        <is>
          <t>未依頼</t>
        </is>
      </c>
      <c r="H121" s="25" t="inlineStr"/>
    </row>
    <row r="122" ht="34" customHeight="1">
      <c r="A122" s="36" t="inlineStr">
        <is>
          <t>B</t>
        </is>
      </c>
      <c r="B122" s="24" t="inlineStr">
        <is>
          <t>方針</t>
        </is>
      </c>
      <c r="C122" s="25" t="inlineStr">
        <is>
          <t>保険料が県・全国を上回る一方で費用額は下位である点の認識と説明方針</t>
        </is>
      </c>
      <c r="D122" s="25" t="inlineStr">
        <is>
          <t>保険料6,700円は県+360円・全国+475円。費用額は県内44/59位。説明ロジックの構築に関わる。</t>
        </is>
      </c>
      <c r="E122" s="23" t="inlineStr">
        <is>
          <t>Ⅱ-64</t>
        </is>
      </c>
      <c r="F122" s="23" t="inlineStr">
        <is>
          <t>doc09§8,§10</t>
        </is>
      </c>
      <c r="G122" s="23" t="inlineStr">
        <is>
          <t>未依頼</t>
        </is>
      </c>
      <c r="H122" s="25" t="inlineStr"/>
    </row>
    <row r="123" ht="34" customHeight="1">
      <c r="A123" s="36" t="inlineStr">
        <is>
          <t>B</t>
        </is>
      </c>
      <c r="B123" s="24" t="inlineStr">
        <is>
          <t>方針</t>
        </is>
      </c>
      <c r="C123" s="25" t="inlineStr">
        <is>
          <t>総合事業のサービスA〜Dを第10期で立ち上げる意向の有無</t>
        </is>
      </c>
      <c r="D123" s="25" t="inlineStr">
        <is>
          <t>従前相当サービス以外の事業費割合0.0%。要支援1急増（39→51人）の受け皿に直結。素案の施策1-2の成否を決める。</t>
        </is>
      </c>
      <c r="E123" s="23" t="inlineStr">
        <is>
          <t>Ⅱ-67,Ⅱ-75</t>
        </is>
      </c>
      <c r="F123" s="23" t="inlineStr">
        <is>
          <t>doc02§17,doc07,doc18 4-1</t>
        </is>
      </c>
      <c r="G123" s="23" t="inlineStr">
        <is>
          <t>未依頼</t>
        </is>
      </c>
      <c r="H123" s="25" t="inlineStr"/>
    </row>
    <row r="124" ht="34" customHeight="1">
      <c r="A124" s="36" t="inlineStr">
        <is>
          <t>B</t>
        </is>
      </c>
      <c r="B124" s="24" t="inlineStr">
        <is>
          <t>方針</t>
        </is>
      </c>
      <c r="C124" s="25" t="inlineStr">
        <is>
          <t>認定率の分母をB1（第1号被保険者数）に統一することの可否</t>
        </is>
      </c>
      <c r="D124" s="25" t="inlineStr">
        <is>
          <t>第9期は同一計画書内に19.0%（193/1,016）と19.7%（197/1,002）が併記されていた。統一すると第9期の公表値と異なる数値を示すことになる。</t>
        </is>
      </c>
      <c r="E124" s="23" t="inlineStr">
        <is>
          <t>Ⅱ-56,Ⅱ-75</t>
        </is>
      </c>
      <c r="F124" s="23" t="inlineStr">
        <is>
          <t>doc17 C-1,doc02§20-2</t>
        </is>
      </c>
      <c r="G124" s="23" t="inlineStr">
        <is>
          <t>未依頼</t>
        </is>
      </c>
      <c r="H124" s="25" t="inlineStr"/>
    </row>
    <row r="125" ht="34" customHeight="1">
      <c r="A125" s="36" t="inlineStr">
        <is>
          <t>B</t>
        </is>
      </c>
      <c r="B125" s="24" t="inlineStr">
        <is>
          <t>方針</t>
        </is>
      </c>
      <c r="C125" s="25" t="inlineStr">
        <is>
          <t>成果目標・活動指標の目標値の設定方針（認定率を据置とするか／トレンド継続か／政策効果を織り込むか）</t>
        </is>
      </c>
      <c r="D125" s="25" t="inlineStr">
        <is>
          <t>doc13§6で3案を提示。政策効果を織り込む案を採る場合は、その根拠を指標に置く必要がある。</t>
        </is>
      </c>
      <c r="E125" s="23" t="inlineStr">
        <is>
          <t>Ⅱ-60,Ⅱ-65</t>
        </is>
      </c>
      <c r="F125" s="23" t="inlineStr">
        <is>
          <t>doc13§6</t>
        </is>
      </c>
      <c r="G125" s="23" t="inlineStr">
        <is>
          <t>未依頼</t>
        </is>
      </c>
      <c r="H125" s="25" t="inlineStr"/>
    </row>
    <row r="126" ht="34" customHeight="1">
      <c r="A126" s="36" t="inlineStr">
        <is>
          <t>B</t>
        </is>
      </c>
      <c r="B126" s="24" t="inlineStr">
        <is>
          <t>方針</t>
        </is>
      </c>
      <c r="C126" s="25" t="inlineStr">
        <is>
          <t>認知症対応型共同生活介護の定員（27人）を超える需要への対応方針</t>
        </is>
      </c>
      <c r="D126" s="25"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E126" s="23" t="inlineStr">
        <is>
          <t>Ⅱ-56,Ⅱ-67</t>
        </is>
      </c>
      <c r="F126" s="23" t="inlineStr">
        <is>
          <t>doc30§4-2,doc18 5-4</t>
        </is>
      </c>
      <c r="G126" s="23" t="inlineStr">
        <is>
          <t>未依頼</t>
        </is>
      </c>
      <c r="H126" s="25" t="inlineStr"/>
    </row>
    <row r="127" ht="34" customHeight="1">
      <c r="A127" s="36" t="inlineStr">
        <is>
          <t>B</t>
        </is>
      </c>
      <c r="B127" s="24" t="inlineStr">
        <is>
          <t>方針</t>
        </is>
      </c>
      <c r="C127" s="25" t="inlineStr">
        <is>
          <t>認知症の人および家族等の意見聴取の方法（認知症基本法第13条）</t>
        </is>
      </c>
      <c r="D127" s="25" t="inlineStr">
        <is>
          <t>★策定委員会の委員に認知症の本人・家族が含まれるかを確認する必要がある。含まれない場合は家族会・認知症カフェ等での意見聴取の機会が要る。記述の追加では埋まらず策定過程に関わるため、第2回策定委員会までに方針決定が必要。</t>
        </is>
      </c>
      <c r="E127" s="23" t="inlineStr">
        <is>
          <t>Ⅱ-53,Ⅱ-57</t>
        </is>
      </c>
      <c r="F127" s="23" t="inlineStr">
        <is>
          <t>doc32§7</t>
        </is>
      </c>
      <c r="G127" s="23" t="inlineStr">
        <is>
          <t>未依頼</t>
        </is>
      </c>
      <c r="H127" s="25" t="inlineStr"/>
    </row>
    <row r="128" ht="34" customHeight="1">
      <c r="A128" s="36" t="inlineStr">
        <is>
          <t>B</t>
        </is>
      </c>
      <c r="B128" s="24" t="inlineStr">
        <is>
          <t>方針</t>
        </is>
      </c>
      <c r="C128" s="25" t="inlineStr">
        <is>
          <t>地域密着型サービスの必要利用定員総数（グループホーム27人を維持するか）</t>
        </is>
      </c>
      <c r="D128" s="25" t="inlineStr">
        <is>
          <t>★介護保険法第117条第2項第1号の義務的記載事項。素案5-4(5)に27人維持で仮置きした。稼働率93%で第10期は増加見込みのため、増床・村外対応・在宅対応のいずれを取るかで数値が変わる。</t>
        </is>
      </c>
      <c r="E128" s="23" t="inlineStr">
        <is>
          <t>Ⅱ-105,Ⅱ-67</t>
        </is>
      </c>
      <c r="F128" s="23" t="inlineStr">
        <is>
          <t>doc32§3-1</t>
        </is>
      </c>
      <c r="G128" s="23" t="inlineStr">
        <is>
          <t>未依頼</t>
        </is>
      </c>
      <c r="H128" s="25" t="inlineStr"/>
    </row>
    <row r="129" ht="34" customHeight="1">
      <c r="A129" s="36" t="inlineStr">
        <is>
          <t>B</t>
        </is>
      </c>
      <c r="B129" s="24" t="inlineStr">
        <is>
          <t>方針</t>
        </is>
      </c>
      <c r="C129" s="25" t="inlineStr">
        <is>
          <t>サービス見込量の前提（受給率を3か年平均とするか令和7年度水準とするか）</t>
        </is>
      </c>
      <c r="D129" s="25" t="inlineStr">
        <is>
          <t>★3か年平均では令和9年度のサービス諸費が令和5年度決算比+1.8%にとどまるが、実績は令和4→5年度で+4.7%伸びている。前提の選び方で保険料が変わるため、委員会に感度分析を示して確認する。</t>
        </is>
      </c>
      <c r="E129" s="23" t="inlineStr">
        <is>
          <t>Ⅱ-56,Ⅱ-64</t>
        </is>
      </c>
      <c r="F129" s="23" t="inlineStr">
        <is>
          <t>doc30§5-4</t>
        </is>
      </c>
      <c r="G129" s="23" t="inlineStr">
        <is>
          <t>未依頼</t>
        </is>
      </c>
      <c r="H129" s="25" t="inlineStr"/>
    </row>
    <row r="130" ht="34" customHeight="1">
      <c r="A130" s="36" t="inlineStr">
        <is>
          <t>B</t>
        </is>
      </c>
      <c r="B130" s="24" t="inlineStr">
        <is>
          <t>方針</t>
        </is>
      </c>
      <c r="C130" s="25" t="inlineStr">
        <is>
          <t>上限保険料の設定の有無と基金活用の比較案のパターン</t>
        </is>
      </c>
      <c r="D130" s="25" t="inlineStr">
        <is>
          <t>第9期は基金24,000,000円の取崩を計画。全額取崩案／据置優先案／中間案など何案を示すかを確認。</t>
        </is>
      </c>
      <c r="E130" s="23" t="inlineStr">
        <is>
          <t>Ⅱ-63,Ⅱ-64</t>
        </is>
      </c>
      <c r="F130" s="23" t="inlineStr">
        <is>
          <t>doc19 追-14</t>
        </is>
      </c>
      <c r="G130" s="23" t="inlineStr">
        <is>
          <t>未依頼</t>
        </is>
      </c>
      <c r="H130" s="25" t="inlineStr"/>
    </row>
    <row r="131" ht="34" customHeight="1">
      <c r="A131" s="36" t="inlineStr">
        <is>
          <t>B</t>
        </is>
      </c>
      <c r="B131" s="24" t="inlineStr">
        <is>
          <t>方針</t>
        </is>
      </c>
      <c r="C131" s="25" t="inlineStr">
        <is>
          <t>施設整備の方向性（在宅調査48.5%の入所希望の扱い）</t>
        </is>
      </c>
      <c r="D131" s="25" t="inlineStr">
        <is>
          <t>★48.5%は回収33件中16人。標本が小さいため単独の根拠とせず、村内施設ゼロ・短期入所+165%・認定率18位/費用額44位と併せて示し、今回の在宅調査150人で再確認する位置づけを提案。</t>
        </is>
      </c>
      <c r="E131" s="23" t="inlineStr">
        <is>
          <t>Ⅱ-67,Ⅱ-75</t>
        </is>
      </c>
      <c r="F131" s="23" t="inlineStr">
        <is>
          <t>doc19 §3</t>
        </is>
      </c>
      <c r="G131" s="23" t="inlineStr">
        <is>
          <t>未依頼</t>
        </is>
      </c>
      <c r="H131" s="25" t="inlineStr"/>
    </row>
    <row r="132" ht="34" customHeight="1">
      <c r="A132" s="36" t="inlineStr">
        <is>
          <t>B</t>
        </is>
      </c>
      <c r="B132" s="24" t="inlineStr">
        <is>
          <t>方針</t>
        </is>
      </c>
      <c r="C132" s="25" t="inlineStr">
        <is>
          <t>「地域で見守り・育む高齢者の支援」（生涯学習推進計画の施策）と生活支援体制整備事業の役割分担</t>
        </is>
      </c>
      <c r="D132" s="25" t="inlineStr">
        <is>
          <t>★両計画で同一施策が重複。所管（教育委員会／住民課／社協）を明記して連携を書く必要がある。</t>
        </is>
      </c>
      <c r="E132" s="23" t="inlineStr">
        <is>
          <t>Ⅱ-53</t>
        </is>
      </c>
      <c r="F132" s="23" t="inlineStr">
        <is>
          <t>doc21§5 K-73</t>
        </is>
      </c>
      <c r="G132" s="23" t="inlineStr">
        <is>
          <t>未依頼</t>
        </is>
      </c>
      <c r="H132" s="25" t="inlineStr"/>
    </row>
    <row r="133" ht="34" customHeight="1">
      <c r="A133" s="36" t="inlineStr">
        <is>
          <t>B</t>
        </is>
      </c>
      <c r="B133" s="24" t="inlineStr">
        <is>
          <t>方針</t>
        </is>
      </c>
      <c r="C133" s="25" t="inlineStr">
        <is>
          <t>第2回策定委員会（11月）への調査報告書の提示範囲</t>
        </is>
      </c>
      <c r="D133" s="25" t="inlineStr">
        <is>
          <t>報告書全体か、第Ⅱ部（分析編）の要点か。委員の負担と議論の焦点に関わる。</t>
        </is>
      </c>
      <c r="E133" s="23" t="inlineStr">
        <is>
          <t>Ⅱ-83</t>
        </is>
      </c>
      <c r="F133" s="23" t="inlineStr">
        <is>
          <t>doc24§12 K-90</t>
        </is>
      </c>
      <c r="G133" s="23" t="inlineStr">
        <is>
          <t>未依頼</t>
        </is>
      </c>
      <c r="H133" s="25" t="inlineStr"/>
    </row>
    <row r="134" ht="34" customHeight="1">
      <c r="A134" s="36" t="inlineStr">
        <is>
          <t>B</t>
        </is>
      </c>
      <c r="B134" s="24" t="inlineStr">
        <is>
          <t>方針</t>
        </is>
      </c>
      <c r="C134" s="25" t="inlineStr">
        <is>
          <t>令和9年4月の介護報酬改定率が示された後の単価の扱い</t>
        </is>
      </c>
      <c r="D134" s="25" t="inlineStr">
        <is>
          <t>★他案件（大雪）の点検で「改定率を乗じることと単価の趨勢を延ばすことを重ねると二重になる」ことが指摘された。本村の単価の趨勢（年1.30%）は連鎖ラスパイレス指数による実測値で、平成27年▲2.27%から令和6年+1.59%までの改定をすでに含む。改定率が示された時点で趨勢による補正（月額314円）を取り下げ、改定率のみを用いる。素案5-4(10)①に断りを入れたが、運用の確認を要する。</t>
        </is>
      </c>
      <c r="E134" s="23" t="inlineStr">
        <is>
          <t>Ⅱ-56,Ⅱ-64</t>
        </is>
      </c>
      <c r="F134" s="23" t="inlineStr">
        <is>
          <t>doc37§4,doc18 5-4(10)</t>
        </is>
      </c>
      <c r="G134" s="23" t="inlineStr">
        <is>
          <t>未依頼</t>
        </is>
      </c>
      <c r="H134" s="25" t="inlineStr"/>
    </row>
    <row r="135" ht="34" customHeight="1">
      <c r="A135" s="36" t="inlineStr">
        <is>
          <t>B</t>
        </is>
      </c>
      <c r="B135" s="24" t="inlineStr">
        <is>
          <t>方針</t>
        </is>
      </c>
      <c r="C135" s="25" t="inlineStr">
        <is>
          <t>認知症の日（9月21日）・認知症月間（9月）の取組</t>
        </is>
      </c>
      <c r="D135" s="25" t="inlineStr">
        <is>
          <t>★認知症基本法第9条第3項は、地方公共団体に対し認知症の日にふさわしい事業の実施（努力義務）と、認知症月間にふさわしい行事が実施されるよう奨励すること（義務）を定める。本村に該当する取組がない。普及啓発の機会として計画に位置づけたが、実施の可否と内容を村と協議する。</t>
        </is>
      </c>
      <c r="E135" s="23" t="inlineStr">
        <is>
          <t>Ⅱ-68</t>
        </is>
      </c>
      <c r="F135" s="23" t="inlineStr">
        <is>
          <t>doc36§10-2,doc18 4-7(4)</t>
        </is>
      </c>
      <c r="G135" s="23" t="inlineStr">
        <is>
          <t>未依頼</t>
        </is>
      </c>
      <c r="H135" s="25" t="inlineStr"/>
    </row>
    <row r="136" ht="34" customHeight="1">
      <c r="A136" s="36" t="inlineStr">
        <is>
          <t>B</t>
        </is>
      </c>
      <c r="B136" s="24" t="inlineStr">
        <is>
          <t>方針</t>
        </is>
      </c>
      <c r="C136" s="25" t="inlineStr">
        <is>
          <t>公共交通事業者・金融機関・小売業者等との連携の範囲</t>
        </is>
      </c>
      <c r="D136" s="25" t="inlineStr">
        <is>
          <t>★認知症基本法第7条は、これらの事業者に認知症の人への必要かつ合理的な配慮を求める（努力義務）。第15条のバリアフリー化の民間側の受け皿。村内および近隣の事業者にどこまで働きかけるかを定める。</t>
        </is>
      </c>
      <c r="E136" s="23" t="inlineStr">
        <is>
          <t>Ⅱ-68,Ⅱ-72</t>
        </is>
      </c>
      <c r="F136" s="23" t="inlineStr">
        <is>
          <t>doc36§10-3,doc18 4-7(3)</t>
        </is>
      </c>
      <c r="G136" s="23" t="inlineStr">
        <is>
          <t>未依頼</t>
        </is>
      </c>
      <c r="H136" s="25" t="inlineStr"/>
    </row>
    <row r="137" ht="34" customHeight="1">
      <c r="A137" s="36" t="inlineStr">
        <is>
          <t>B</t>
        </is>
      </c>
      <c r="B137" s="24" t="inlineStr">
        <is>
          <t>方針</t>
        </is>
      </c>
      <c r="C137" s="25" t="inlineStr">
        <is>
          <t>認知症対応型通所介護を再開するかどうか</t>
        </is>
      </c>
      <c r="D137" s="25" t="inlineStr">
        <is>
          <t>平成30年度を最後に実績がない。地域密着型サービスは村の指定によりはじめて提供されるため村の判断による。認知症高齢者が増えるなかで在宅を支える類型として検討の余地がある。</t>
        </is>
      </c>
      <c r="E137" s="23" t="inlineStr">
        <is>
          <t>Ⅱ-56,Ⅱ-67</t>
        </is>
      </c>
      <c r="F137" s="23" t="inlineStr">
        <is>
          <t>doc36§3,doc18 施策3-2</t>
        </is>
      </c>
      <c r="G137" s="23" t="inlineStr">
        <is>
          <t>未依頼</t>
        </is>
      </c>
      <c r="H137" s="25" t="inlineStr"/>
    </row>
    <row r="138" ht="34" customHeight="1">
      <c r="A138" s="36" t="inlineStr">
        <is>
          <t>B</t>
        </is>
      </c>
      <c r="B138" s="24" t="inlineStr">
        <is>
          <t>方針</t>
        </is>
      </c>
      <c r="C138" s="25" t="inlineStr">
        <is>
          <t>認知症施策推進計画として、基本法第15条（バリアフリー化）にどこまで取り組むか</t>
        </is>
      </c>
      <c r="D138" s="25" t="inlineStr">
        <is>
          <t>★認知症の人が外出・買い物・金融機関の利用などで困ることへの対応は介護保険の枠組みの外にある。庁内の関係部署および事業者との連携の範囲を定める必要がある。素案4-7(2)で【要検討】としている。</t>
        </is>
      </c>
      <c r="E138" s="23" t="inlineStr">
        <is>
          <t>Ⅱ-68,Ⅱ-72</t>
        </is>
      </c>
      <c r="F138" s="23" t="inlineStr">
        <is>
          <t>doc36§3,doc18 4-7(2)</t>
        </is>
      </c>
      <c r="G138" s="23" t="inlineStr">
        <is>
          <t>未依頼</t>
        </is>
      </c>
      <c r="H138" s="25" t="inlineStr"/>
    </row>
    <row r="139" ht="34" customHeight="1">
      <c r="A139" s="36" t="inlineStr">
        <is>
          <t>B</t>
        </is>
      </c>
      <c r="B139" s="24" t="inlineStr">
        <is>
          <t>方針</t>
        </is>
      </c>
      <c r="C139" s="25" t="inlineStr">
        <is>
          <t>訪問入浴介護・地域密着型通所介護を0に戻すかどうか</t>
        </is>
      </c>
      <c r="D139" s="25" t="inlineStr">
        <is>
          <t>★令和7年度の利用は0だが、3か年平均により令和9年度以降も0.6人／月・0.3人／月が立っている。直近に利用のないサービスを3か年平均で復活させてよいかの判断。利用の見込みの有無を村に確認する。</t>
        </is>
      </c>
      <c r="E139" s="23" t="inlineStr">
        <is>
          <t>Ⅱ-56</t>
        </is>
      </c>
      <c r="F139" s="23" t="inlineStr">
        <is>
          <t>doc35§7-3(3),doc18 5-4(5)</t>
        </is>
      </c>
      <c r="G139" s="23" t="inlineStr">
        <is>
          <t>未依頼</t>
        </is>
      </c>
      <c r="H139" s="25" t="inlineStr"/>
    </row>
    <row r="140" ht="34" customHeight="1">
      <c r="A140" s="36" t="inlineStr">
        <is>
          <t>B</t>
        </is>
      </c>
      <c r="B140" s="24" t="inlineStr">
        <is>
          <t>方針</t>
        </is>
      </c>
      <c r="C140" s="25" t="inlineStr">
        <is>
          <t>中長期（令和17年度・令和22年度）の保険料をαの2案で示すことの可否</t>
        </is>
      </c>
      <c r="D140" s="25"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E140" s="23" t="inlineStr">
        <is>
          <t>Ⅱ-64</t>
        </is>
      </c>
      <c r="F140" s="23" t="inlineStr">
        <is>
          <t>doc35§7-2(1),doc18 5-11</t>
        </is>
      </c>
      <c r="G140" s="23" t="inlineStr">
        <is>
          <t>未依頼</t>
        </is>
      </c>
      <c r="H140" s="25" t="inlineStr"/>
    </row>
    <row r="141" ht="34" customHeight="1">
      <c r="A141" s="36" t="inlineStr">
        <is>
          <t>B</t>
        </is>
      </c>
      <c r="B141" s="24" t="inlineStr">
        <is>
          <t>方針</t>
        </is>
      </c>
      <c r="C141" s="25" t="inlineStr">
        <is>
          <t>特定地域サービス・特定地域居宅サービス等事業を活用するかどうか</t>
        </is>
      </c>
      <c r="D141" s="25"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t>
        </is>
      </c>
      <c r="E141" s="23" t="inlineStr">
        <is>
          <t>Ⅱ-56</t>
        </is>
      </c>
      <c r="F141" s="23" t="inlineStr">
        <is>
          <t>doc35§8,doc18 5-4(4)</t>
        </is>
      </c>
      <c r="G141" s="23" t="inlineStr">
        <is>
          <t>未依頼</t>
        </is>
      </c>
      <c r="H141" s="25" t="inlineStr"/>
    </row>
    <row r="142" ht="34" customHeight="1">
      <c r="A142" s="36" t="inlineStr">
        <is>
          <t>B</t>
        </is>
      </c>
      <c r="B142" s="24" t="inlineStr">
        <is>
          <t>疑義</t>
        </is>
      </c>
      <c r="C142" s="25" t="inlineStr">
        <is>
          <t>W125「第9期計画作成に向けた各種調査の実施」が4項目とも0点である理由</t>
        </is>
      </c>
      <c r="D142" s="25" t="inlineStr">
        <is>
          <t>第9期報告書には調査結果が掲載されており、報告漏れの可能性が高い。第10期では確実に得点化したい。</t>
        </is>
      </c>
      <c r="E142" s="23" t="inlineStr">
        <is>
          <t>Ⅱ-54</t>
        </is>
      </c>
      <c r="F142" s="23" t="inlineStr">
        <is>
          <t>doc07§4</t>
        </is>
      </c>
      <c r="G142" s="23" t="inlineStr">
        <is>
          <t>未依頼</t>
        </is>
      </c>
      <c r="H142" s="25" t="inlineStr"/>
    </row>
    <row r="143" ht="34" customHeight="1">
      <c r="A143" s="36" t="inlineStr">
        <is>
          <t>B</t>
        </is>
      </c>
      <c r="B143" s="24" t="inlineStr">
        <is>
          <t>疑義</t>
        </is>
      </c>
      <c r="C143" s="25" t="inlineStr">
        <is>
          <t>交付金「文書負担軽減」が11点→7点に低下した理由（取組の後退か判定基準の変更か）</t>
        </is>
      </c>
      <c r="D143" s="25" t="inlineStr">
        <is>
          <t>評価指標の読み方に影響。</t>
        </is>
      </c>
      <c r="E143" s="23" t="inlineStr">
        <is>
          <t>Ⅱ-54</t>
        </is>
      </c>
      <c r="F143" s="23" t="inlineStr">
        <is>
          <t>doc07§8-4</t>
        </is>
      </c>
      <c r="G143" s="23" t="inlineStr">
        <is>
          <t>未依頼</t>
        </is>
      </c>
      <c r="H143" s="25" t="inlineStr"/>
    </row>
    <row r="144" ht="34" customHeight="1">
      <c r="A144" s="36" t="inlineStr">
        <is>
          <t>B</t>
        </is>
      </c>
      <c r="B144" s="24" t="inlineStr">
        <is>
          <t>疑義</t>
        </is>
      </c>
      <c r="C144" s="25" t="inlineStr">
        <is>
          <t>第9期概要版④「地域支援事業費」の集計範囲（任意事業の扱い）</t>
        </is>
      </c>
      <c r="D144" s="25" t="inlineStr">
        <is>
          <t>決算と6,300〜10,100千円ずれる。揃えないと第10期が第9期と比較不能になる。</t>
        </is>
      </c>
      <c r="E144" s="23" t="inlineStr">
        <is>
          <t>Ⅱ-55,Ⅱ-56</t>
        </is>
      </c>
      <c r="F144" s="23" t="inlineStr">
        <is>
          <t>doc08§4,§8-2</t>
        </is>
      </c>
      <c r="G144" s="23" t="inlineStr">
        <is>
          <t>未依頼</t>
        </is>
      </c>
      <c r="H144" s="25" t="inlineStr"/>
    </row>
    <row r="145" ht="34" customHeight="1">
      <c r="A145" s="36" t="inlineStr">
        <is>
          <t>B</t>
        </is>
      </c>
      <c r="B145" s="24" t="inlineStr">
        <is>
          <t>疑義</t>
        </is>
      </c>
      <c r="C145" s="25" t="inlineStr">
        <is>
          <t>特別会計の歳入内訳の区分変更の有無（令和3→4年度）</t>
        </is>
      </c>
      <c r="D145" s="25" t="inlineStr">
        <is>
          <t>総務費繰入金・低所得者保険料軽減繰入金が0になり一般会計繰入金が急増。時系列グラフが不連続になる。</t>
        </is>
      </c>
      <c r="E145" s="23" t="inlineStr">
        <is>
          <t>Ⅱ-55</t>
        </is>
      </c>
      <c r="F145" s="23" t="inlineStr">
        <is>
          <t>doc02§20-1</t>
        </is>
      </c>
      <c r="G145" s="23" t="inlineStr">
        <is>
          <t>未依頼</t>
        </is>
      </c>
      <c r="H145" s="25" t="inlineStr"/>
    </row>
    <row r="146" ht="34" customHeight="1">
      <c r="A146" s="36" t="inlineStr">
        <is>
          <t>B</t>
        </is>
      </c>
      <c r="B146" s="24" t="inlineStr">
        <is>
          <t>疑義</t>
        </is>
      </c>
      <c r="C146" s="25" t="inlineStr">
        <is>
          <t>介護保険法第117条第2項各号・第3項各号および基本指針の記載事項の条項番号の照合</t>
        </is>
      </c>
      <c r="D146" s="25"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t>
        </is>
      </c>
      <c r="E146" s="23" t="inlineStr">
        <is>
          <t>Ⅱ-53</t>
        </is>
      </c>
      <c r="F146" s="23" t="inlineStr">
        <is>
          <t>doc32§1,§2</t>
        </is>
      </c>
      <c r="G146" s="23" t="inlineStr">
        <is>
          <t>未依頼</t>
        </is>
      </c>
      <c r="H146" s="25" t="inlineStr"/>
    </row>
    <row r="147" ht="34" customHeight="1">
      <c r="A147" s="36" t="inlineStr">
        <is>
          <t>B</t>
        </is>
      </c>
      <c r="B147" s="24" t="inlineStr">
        <is>
          <t>疑義</t>
        </is>
      </c>
      <c r="C147" s="25" t="inlineStr">
        <is>
          <t>総合事業の量（F29〜F40）は見える化そのものが令和3年3月で更新を止めている</t>
        </is>
      </c>
      <c r="D147" s="25" t="inlineStr">
        <is>
          <t>★素案5-5(1)の総合事業の量が空欄なのは村の未提供のためと整理していたが、見える化のF29〜F40（訪問型・通所型サービスA〜D・見守り・配食・介護予防ケアマネジメントの実施延べ件数）は令和2年3月・令和3年3月の2時点のみの収録で、本村の値は全て「-」。村の総合事業実施状況調査が唯一の出所である。素案5-12の記述を改める必要がある。</t>
        </is>
      </c>
      <c r="E147" s="23" t="inlineStr">
        <is>
          <t>Ⅱ-53</t>
        </is>
      </c>
      <c r="F147" s="23" t="inlineStr">
        <is>
          <t>doc38§B-2</t>
        </is>
      </c>
      <c r="G147" s="23" t="inlineStr">
        <is>
          <t>社内対応</t>
        </is>
      </c>
      <c r="H147" s="25" t="inlineStr"/>
    </row>
    <row r="148" ht="34" customHeight="1">
      <c r="A148" s="36" t="inlineStr">
        <is>
          <t>B</t>
        </is>
      </c>
      <c r="B148" s="24" t="inlineStr">
        <is>
          <t>疑義</t>
        </is>
      </c>
      <c r="C148" s="25" t="inlineStr">
        <is>
          <t>要介護2の3区分の利用率の合計が101.5%となること</t>
        </is>
      </c>
      <c r="D148" s="25" t="inlineStr">
        <is>
          <t>★在宅73.5%＋居住系15.7%＋施設12.3%＝101.5%。年度の途中で在宅から施設へ移った方が両方に数えられているためとみられる（受給者数は年度の延べ）。重複は1.5%。給付実績により実人数を確認する。他の要介護度で100%に届かない分はサービスを使っていない方の割合（要介護1で13.1%、要介護5で21.0%）。</t>
        </is>
      </c>
      <c r="E148" s="23" t="inlineStr">
        <is>
          <t>Ⅱ-56</t>
        </is>
      </c>
      <c r="F148" s="23" t="inlineStr">
        <is>
          <t>doc37§3-2,doc18 5-4</t>
        </is>
      </c>
      <c r="G148" s="23" t="inlineStr">
        <is>
          <t>未依頼</t>
        </is>
      </c>
      <c r="H148" s="25" t="inlineStr"/>
    </row>
    <row r="149" ht="34" customHeight="1">
      <c r="A149" s="36" t="inlineStr">
        <is>
          <t>B</t>
        </is>
      </c>
      <c r="B149" s="24" t="inlineStr">
        <is>
          <t>疑義</t>
        </is>
      </c>
      <c r="C149" s="25" t="inlineStr">
        <is>
          <t>認知症高齢者自立度（B7）の認定者数合計が認定者数（B4-a）と一致しない</t>
        </is>
      </c>
      <c r="D149" s="25"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t>
        </is>
      </c>
      <c r="E149" s="23" t="inlineStr">
        <is>
          <t>Ⅱ-53</t>
        </is>
      </c>
      <c r="F149" s="23" t="inlineStr">
        <is>
          <t>doc36§2,doc18 2-3</t>
        </is>
      </c>
      <c r="G149" s="23" t="inlineStr">
        <is>
          <t>未依頼</t>
        </is>
      </c>
      <c r="H149" s="25" t="inlineStr"/>
    </row>
    <row r="150" ht="34" customHeight="1">
      <c r="A150" s="36" t="inlineStr">
        <is>
          <t>B</t>
        </is>
      </c>
      <c r="B150" s="24" t="inlineStr">
        <is>
          <t>素案</t>
        </is>
      </c>
      <c r="C150" s="25" t="inlineStr">
        <is>
          <t>章構成を第9期（全6章＋資料編）から踏襲することの可否</t>
        </is>
      </c>
      <c r="D150" s="25" t="inlineStr">
        <is>
          <t>素案は踏襲を前提。第2章に「2-8 保険者機能の評価」「2-9 第9期計画の進捗と評価」の2節を新設している。</t>
        </is>
      </c>
      <c r="E150" s="23" t="inlineStr">
        <is>
          <t>Ⅱ-75</t>
        </is>
      </c>
      <c r="F150" s="23" t="inlineStr">
        <is>
          <t>doc15,doc18</t>
        </is>
      </c>
      <c r="G150" s="23" t="inlineStr">
        <is>
          <t>未依頼</t>
        </is>
      </c>
      <c r="H150" s="25" t="inlineStr"/>
    </row>
    <row r="151" ht="34" customHeight="1">
      <c r="A151" s="36" t="inlineStr">
        <is>
          <t>B</t>
        </is>
      </c>
      <c r="B151" s="24" t="inlineStr">
        <is>
          <t>素案</t>
        </is>
      </c>
      <c r="C151" s="25" t="inlineStr">
        <is>
          <t>基本理念・基本目標の枠組みを第9期から継承することの可否</t>
        </is>
      </c>
      <c r="D151" s="25" t="inlineStr">
        <is>
          <t>素案は継承を前提に構成。変更する場合は第3章・第4章の全面的な組み替えが必要になる。</t>
        </is>
      </c>
      <c r="E151" s="23" t="inlineStr">
        <is>
          <t>Ⅱ-71,Ⅱ-75</t>
        </is>
      </c>
      <c r="F151" s="23" t="inlineStr">
        <is>
          <t>doc14§5,doc18 3-1</t>
        </is>
      </c>
      <c r="G151" s="23" t="inlineStr">
        <is>
          <t>未依頼</t>
        </is>
      </c>
      <c r="H151" s="25" t="inlineStr"/>
    </row>
    <row r="152" ht="34" customHeight="1">
      <c r="A152" s="36" t="inlineStr">
        <is>
          <t>B</t>
        </is>
      </c>
      <c r="B152" s="24" t="inlineStr">
        <is>
          <t>素案</t>
        </is>
      </c>
      <c r="C152" s="25" t="inlineStr">
        <is>
          <t>基本目標5「計画の推進と進捗管理」を独立させるか、各基本目標に横断的に組み込むか</t>
        </is>
      </c>
      <c r="D152" s="25" t="inlineStr">
        <is>
          <t>第9期で3年連続0点だったPDCAへの対応。独立を推奨するが構成上の選択であり村の意向による。</t>
        </is>
      </c>
      <c r="E152" s="23" t="inlineStr">
        <is>
          <t>Ⅱ-71,Ⅱ-75</t>
        </is>
      </c>
      <c r="F152" s="23" t="inlineStr">
        <is>
          <t>doc14§5,doc15,doc18 4-5</t>
        </is>
      </c>
      <c r="G152" s="23" t="inlineStr">
        <is>
          <t>未依頼</t>
        </is>
      </c>
      <c r="H152" s="25" t="inlineStr"/>
    </row>
    <row r="153" ht="34" customHeight="1">
      <c r="A153" s="36" t="inlineStr">
        <is>
          <t>B</t>
        </is>
      </c>
      <c r="B153" s="24" t="inlineStr">
        <is>
          <t>素案</t>
        </is>
      </c>
      <c r="C153" s="25" t="inlineStr">
        <is>
          <t>施設サービスの記載を「村外施設サービスの利用支援」に改めることの可否</t>
        </is>
      </c>
      <c r="D153" s="25" t="inlineStr">
        <is>
          <t>村内に該当施設がゼロ。第9期は特養〜介護医療院の4類型を列挙する記載で実態と乖離していた。</t>
        </is>
      </c>
      <c r="E153" s="23" t="inlineStr">
        <is>
          <t>Ⅱ-75</t>
        </is>
      </c>
      <c r="F153" s="23" t="inlineStr">
        <is>
          <t>doc17 B-3,doc18 4-3</t>
        </is>
      </c>
      <c r="G153" s="23" t="inlineStr">
        <is>
          <t>未依頼</t>
        </is>
      </c>
      <c r="H153" s="25" t="inlineStr"/>
    </row>
    <row r="154" ht="34" customHeight="1">
      <c r="A154" s="36" t="inlineStr">
        <is>
          <t>B</t>
        </is>
      </c>
      <c r="B154" s="24" t="inlineStr">
        <is>
          <t>素案</t>
        </is>
      </c>
      <c r="C154" s="25" t="inlineStr">
        <is>
          <t>計画本文に第9期の推計乖離（第1号被保険者数6.6%）を記載することの可否</t>
        </is>
      </c>
      <c r="D154" s="25" t="inlineStr">
        <is>
          <t>素案の2-9・5-1に記載。次期計画で本計画の推計精度を検証できるようにする趣旨だが、自らの誤差を公表することになるため村の判断を要する。</t>
        </is>
      </c>
      <c r="E154" s="23" t="inlineStr">
        <is>
          <t>Ⅱ-75</t>
        </is>
      </c>
      <c r="F154" s="23" t="inlineStr">
        <is>
          <t>doc17 A-1,doc18 2-9</t>
        </is>
      </c>
      <c r="G154" s="23" t="inlineStr">
        <is>
          <t>未依頼</t>
        </is>
      </c>
      <c r="H154" s="25" t="inlineStr"/>
    </row>
    <row r="155" ht="34" customHeight="1">
      <c r="A155" s="36" t="inlineStr">
        <is>
          <t>B</t>
        </is>
      </c>
      <c r="B155" s="24" t="inlineStr">
        <is>
          <t>素案</t>
        </is>
      </c>
      <c r="C155" s="25" t="inlineStr">
        <is>
          <t>第9期保険料の再算定試算（6,761円→約6,346円）の取扱い</t>
        </is>
      </c>
      <c r="D155" s="25" t="inlineStr">
        <is>
          <t>第1号被保険者数のみを実績に置換した試算で、福島県平均6,340円とほぼ一致する。素案5-7に記載しているが、公表資料での扱いは村の判断による。</t>
        </is>
      </c>
      <c r="E155" s="23" t="inlineStr">
        <is>
          <t>Ⅱ-64,Ⅱ-75</t>
        </is>
      </c>
      <c r="F155" s="23" t="inlineStr">
        <is>
          <t>doc17 A-1,doc18 5-7</t>
        </is>
      </c>
      <c r="G155" s="23" t="inlineStr">
        <is>
          <t>未依頼</t>
        </is>
      </c>
      <c r="H155" s="25" t="inlineStr"/>
    </row>
    <row r="156" ht="34" customHeight="1">
      <c r="A156" s="36" t="inlineStr">
        <is>
          <t>B</t>
        </is>
      </c>
      <c r="B156" s="24" t="inlineStr">
        <is>
          <t>計画構成</t>
        </is>
      </c>
      <c r="C156" s="25" t="inlineStr">
        <is>
          <t>北塩原村第六次総合振興計画の策定状況</t>
        </is>
      </c>
      <c r="D156" s="25" t="inlineStr">
        <is>
          <t>第五次は2017〜2026。第10期（令和9〜11年度）の上位計画になる。</t>
        </is>
      </c>
      <c r="E156" s="23" t="inlineStr">
        <is>
          <t>Ⅱ-72</t>
        </is>
      </c>
      <c r="F156" s="23" t="inlineStr">
        <is>
          <t>doc08§8-4</t>
        </is>
      </c>
      <c r="G156" s="23" t="inlineStr">
        <is>
          <t>未依頼</t>
        </is>
      </c>
      <c r="H156" s="25" t="inlineStr"/>
    </row>
    <row r="157" ht="34" customHeight="1">
      <c r="A157" s="36" t="inlineStr">
        <is>
          <t>B</t>
        </is>
      </c>
      <c r="B157" s="24" t="inlineStr">
        <is>
          <t>計画構成</t>
        </is>
      </c>
      <c r="C157" s="25" t="inlineStr">
        <is>
          <t>認知症施策推進計画・成年後見制度利用促進基本計画の一体化を第10期も踏襲するか</t>
        </is>
      </c>
      <c r="D157" s="25" t="inlineStr">
        <is>
          <t>第9期は基本目標4に内包する構成。素案は踏襲を前提に1-2で法的根拠を記載している。</t>
        </is>
      </c>
      <c r="E157" s="23" t="inlineStr">
        <is>
          <t>Ⅱ-73,Ⅱ-75</t>
        </is>
      </c>
      <c r="F157" s="23" t="inlineStr">
        <is>
          <t>doc01-5,doc18 1-2</t>
        </is>
      </c>
      <c r="G157" s="23" t="inlineStr">
        <is>
          <t>未依頼</t>
        </is>
      </c>
      <c r="H157" s="25" t="inlineStr"/>
    </row>
    <row r="158" ht="34" customHeight="1">
      <c r="A158" s="36" t="inlineStr">
        <is>
          <t>B</t>
        </is>
      </c>
      <c r="B158" s="24" t="inlineStr">
        <is>
          <t>計画構成</t>
        </is>
      </c>
      <c r="C158" s="25" t="inlineStr">
        <is>
          <t>定住自立圏（喜多方市・西会津町）／会津権利擁護・成年後見センターとの広域連携の記載方針</t>
        </is>
      </c>
      <c r="D158" s="25" t="inlineStr">
        <is>
          <t>施策の書きぶりに影響。</t>
        </is>
      </c>
      <c r="E158" s="23" t="inlineStr">
        <is>
          <t>Ⅱ-71,Ⅱ-72</t>
        </is>
      </c>
      <c r="F158" s="23" t="inlineStr">
        <is>
          <t>doc01-12</t>
        </is>
      </c>
      <c r="G158" s="23" t="inlineStr">
        <is>
          <t>未依頼</t>
        </is>
      </c>
      <c r="H158" s="25" t="inlineStr"/>
    </row>
    <row r="159" ht="34" customHeight="1">
      <c r="A159" s="36" t="inlineStr">
        <is>
          <t>B</t>
        </is>
      </c>
      <c r="B159" s="24" t="inlineStr">
        <is>
          <t>計画構成</t>
        </is>
      </c>
      <c r="C159" s="25" t="inlineStr">
        <is>
          <t>整合を図る関連計画の網羅（障がい福祉計画・障がい者計画・地域福祉計画等）</t>
        </is>
      </c>
      <c r="D159" s="25" t="inlineStr">
        <is>
          <t>資料には基本指針・第5次総合振興計画・第3次健康21のみ記載。</t>
        </is>
      </c>
      <c r="E159" s="23" t="inlineStr">
        <is>
          <t>Ⅱ-72</t>
        </is>
      </c>
      <c r="F159" s="23" t="inlineStr">
        <is>
          <t>doc19 追-13</t>
        </is>
      </c>
      <c r="G159" s="23" t="inlineStr">
        <is>
          <t>未依頼</t>
        </is>
      </c>
      <c r="H159" s="25" t="inlineStr"/>
    </row>
    <row r="160" ht="34" customHeight="1">
      <c r="A160" s="36" t="inlineStr">
        <is>
          <t>B</t>
        </is>
      </c>
      <c r="B160" s="24" t="inlineStr">
        <is>
          <t>調査設計</t>
        </is>
      </c>
      <c r="C160" s="25" t="inlineStr">
        <is>
          <t>督促（リマインド）の実施可否と追加郵送費の扱い</t>
        </is>
      </c>
      <c r="D160" s="25" t="inlineStr">
        <is>
          <t>第9期の在宅調査は回収率45.8%（72人中33人）。150人でも同率なら約69件で、クロス集計に耐えない可能性。</t>
        </is>
      </c>
      <c r="E160" s="23" t="inlineStr">
        <is>
          <t>Ⅰ-31</t>
        </is>
      </c>
      <c r="F160" s="23" t="inlineStr">
        <is>
          <t>doc19 追-6</t>
        </is>
      </c>
      <c r="G160" s="23" t="inlineStr">
        <is>
          <t>未依頼</t>
        </is>
      </c>
      <c r="H160" s="25" t="inlineStr"/>
    </row>
    <row r="161" ht="34" customHeight="1">
      <c r="A161" s="36" t="inlineStr">
        <is>
          <t>B</t>
        </is>
      </c>
      <c r="B161" s="24" t="inlineStr">
        <is>
          <t>調査設計</t>
        </is>
      </c>
      <c r="C161" s="25" t="inlineStr">
        <is>
          <t>集計・分析で村が最も確認したい事項（クロス集計の設計）</t>
        </is>
      </c>
      <c r="D161" s="25" t="inlineStr">
        <is>
          <t>資料5の論点表から落とす。地区別（北山・大塩・桧原・裏磐梯）は第9期報告書が全設問で実施しており踏襲が前提だが、多重クロスは特定リスクがあるため細分の程度を確認。</t>
        </is>
      </c>
      <c r="E161" s="23" t="inlineStr">
        <is>
          <t>Ⅰ-40,Ⅰ-42</t>
        </is>
      </c>
      <c r="F161" s="23" t="inlineStr">
        <is>
          <t>doc19 追-7</t>
        </is>
      </c>
      <c r="G161" s="23" t="inlineStr">
        <is>
          <t>未依頼</t>
        </is>
      </c>
      <c r="H161" s="25" t="inlineStr"/>
    </row>
    <row r="162" ht="34" customHeight="1">
      <c r="A162" s="36" t="inlineStr">
        <is>
          <t>B</t>
        </is>
      </c>
      <c r="B162" s="24" t="inlineStr">
        <is>
          <t>調査設計</t>
        </is>
      </c>
      <c r="C162" s="25" t="inlineStr">
        <is>
          <t>ニーズ調査 問6(1)の選択肢への補足表記の可否（常勤（フルタイム）／非常勤（パート・アルバイト等））</t>
        </is>
      </c>
      <c r="D162" s="25" t="inlineStr">
        <is>
          <t>厳密には選択肢文言の改変にあたるが、手引きQ&amp;Aの「通称を付ける」例に近く実務上は許容される可能性が高い。回答率への影響を考えると補足を残すことを推奨。村の判断を仰ぐ。</t>
        </is>
      </c>
      <c r="E162" s="23" t="inlineStr">
        <is>
          <t>Ⅰ-09</t>
        </is>
      </c>
      <c r="F162" s="23" t="inlineStr">
        <is>
          <t>doc23§1-3</t>
        </is>
      </c>
      <c r="G162" s="23" t="inlineStr">
        <is>
          <t>未依頼</t>
        </is>
      </c>
      <c r="H162" s="25" t="inlineStr"/>
    </row>
    <row r="163" ht="34" customHeight="1">
      <c r="A163" s="36" t="inlineStr">
        <is>
          <t>B</t>
        </is>
      </c>
      <c r="B163" s="24" t="inlineStr">
        <is>
          <t>調査設計</t>
        </is>
      </c>
      <c r="C163" s="25" t="inlineStr">
        <is>
          <t>送付状の個人情報に関する説明の補強</t>
        </is>
      </c>
      <c r="D163" s="25"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E163" s="23" t="inlineStr">
        <is>
          <t>Ⅰ-14</t>
        </is>
      </c>
      <c r="F163" s="23" t="inlineStr">
        <is>
          <t>doc27§5-1</t>
        </is>
      </c>
      <c r="G163" s="23" t="inlineStr">
        <is>
          <t>未依頼</t>
        </is>
      </c>
      <c r="H163" s="25" t="inlineStr"/>
    </row>
    <row r="164" ht="34" customHeight="1">
      <c r="A164" s="36" t="inlineStr">
        <is>
          <t>B</t>
        </is>
      </c>
      <c r="B164" s="24" t="inlineStr">
        <is>
          <t>調査設計</t>
        </is>
      </c>
      <c r="C164" s="25" t="inlineStr">
        <is>
          <t>ニーズ調査の選択肢の表記変更5件の可否（障がい表記・ぜひ・役場・移動販売・フルタイム）</t>
        </is>
      </c>
      <c r="D164" s="25"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E164" s="23" t="inlineStr">
        <is>
          <t>Ⅰ-09</t>
        </is>
      </c>
      <c r="F164" s="23" t="inlineStr">
        <is>
          <t>doc27§4</t>
        </is>
      </c>
      <c r="G164" s="23" t="inlineStr">
        <is>
          <t>未依頼</t>
        </is>
      </c>
      <c r="H164" s="25" t="inlineStr"/>
    </row>
    <row r="165" ht="34" customHeight="1">
      <c r="A165" s="37" t="inlineStr">
        <is>
          <t>C</t>
        </is>
      </c>
      <c r="B165" s="24" t="inlineStr">
        <is>
          <t>成果品</t>
        </is>
      </c>
      <c r="C165" s="25" t="inlineStr">
        <is>
          <t>計画書の判型・レイアウト・表紙デザインの踏襲可否</t>
        </is>
      </c>
      <c r="D165" s="25" t="inlineStr">
        <is>
          <t>第9期はA4・本文104頁・全6章＋資料編。</t>
        </is>
      </c>
      <c r="E165" s="23" t="inlineStr">
        <is>
          <t>Ⅱ-113,Ⅳ-89</t>
        </is>
      </c>
      <c r="F165" s="23" t="inlineStr">
        <is>
          <t>doc01-10</t>
        </is>
      </c>
      <c r="G165" s="23" t="inlineStr">
        <is>
          <t>未依頼</t>
        </is>
      </c>
      <c r="H165" s="25" t="inlineStr"/>
    </row>
    <row r="166" ht="34" customHeight="1">
      <c r="A166" s="37" t="inlineStr">
        <is>
          <t>C</t>
        </is>
      </c>
      <c r="B166" s="24" t="inlineStr">
        <is>
          <t>成果品</t>
        </is>
      </c>
      <c r="C166" s="25" t="inlineStr">
        <is>
          <t>概要版の要否（仕様書に記載なし。第9期は概要版を作成している）</t>
        </is>
      </c>
      <c r="D166" s="25" t="inlineStr">
        <is>
          <t>★第9期概要版（2ページ）の現物を受領し存在を確認。仕様書に記載がないため別途対応か要確認。</t>
        </is>
      </c>
      <c r="E166" s="23" t="inlineStr">
        <is>
          <t>Ⅳ-92</t>
        </is>
      </c>
      <c r="F166" s="23" t="inlineStr">
        <is>
          <t>doc01-10,doc08</t>
        </is>
      </c>
      <c r="G166" s="23" t="inlineStr">
        <is>
          <t>未依頼</t>
        </is>
      </c>
      <c r="H166" s="25" t="inlineStr"/>
    </row>
    <row r="168" ht="20" customHeight="1">
      <c r="A168" s="38" t="inlineStr">
        <is>
          <t>■ 解決済み（記録）</t>
        </is>
      </c>
    </row>
    <row r="169" ht="34" customHeight="1">
      <c r="A169" s="39" t="inlineStr">
        <is>
          <t>―</t>
        </is>
      </c>
      <c r="B169" s="40" t="inlineStr">
        <is>
          <t>疑義</t>
        </is>
      </c>
      <c r="C169" s="41" t="inlineStr">
        <is>
          <t>第1号被保険者数・認定者数の推計に2系列が併存していた（社内・解消済）</t>
        </is>
      </c>
      <c r="D169" s="41"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E169" s="39" t="inlineStr">
        <is>
          <t>Ⅱ-56,Ⅱ-64</t>
        </is>
      </c>
      <c r="F169" s="39" t="inlineStr">
        <is>
          <t>doc35§7-3(1)</t>
        </is>
      </c>
      <c r="G169" s="39" t="inlineStr">
        <is>
          <t>解決済</t>
        </is>
      </c>
      <c r="H169" s="41" t="inlineStr"/>
    </row>
    <row r="170" ht="34" customHeight="1">
      <c r="A170" s="39" t="inlineStr">
        <is>
          <t>―</t>
        </is>
      </c>
      <c r="B170" s="40" t="inlineStr">
        <is>
          <t>データ</t>
        </is>
      </c>
      <c r="C170" s="41" t="inlineStr">
        <is>
          <t>成年後見制度（市民後見人養成含む）の利用実態・実績</t>
        </is>
      </c>
      <c r="D170" s="41"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E170" s="39" t="inlineStr">
        <is>
          <t>Ⅱ-68,Ⅱ-69</t>
        </is>
      </c>
      <c r="F170" s="39" t="inlineStr">
        <is>
          <t>doc28§3</t>
        </is>
      </c>
      <c r="G170" s="39" t="inlineStr">
        <is>
          <t>解決済</t>
        </is>
      </c>
      <c r="H170" s="41" t="inlineStr"/>
    </row>
    <row r="171" ht="34" customHeight="1">
      <c r="A171" s="39" t="inlineStr">
        <is>
          <t>―</t>
        </is>
      </c>
      <c r="B171" s="40" t="inlineStr">
        <is>
          <t>体制</t>
        </is>
      </c>
      <c r="C171" s="41" t="inlineStr">
        <is>
          <t>所管課・窓口の確認（住民課→保健福祉課の変更の有無、担当者体制）</t>
        </is>
      </c>
      <c r="D171" s="41" t="inlineStr">
        <is>
          <t>成年後見の調査票により解決。報告担当課・主管課とも保健福祉課、担当は小林 洋一様、電話0241-23-3113、メールfukushi01@vill.kitashiobara.fukushima.jp。調査票の問合せ先表記も裏づけられた。</t>
        </is>
      </c>
      <c r="E171" s="39" t="inlineStr">
        <is>
          <t>０-04</t>
        </is>
      </c>
      <c r="F171" s="39" t="inlineStr">
        <is>
          <t>doc28§4</t>
        </is>
      </c>
      <c r="G171" s="39" t="inlineStr">
        <is>
          <t>解決済</t>
        </is>
      </c>
      <c r="H171" s="41" t="inlineStr"/>
    </row>
    <row r="172" ht="34" customHeight="1">
      <c r="A172" s="39" t="inlineStr">
        <is>
          <t>―</t>
        </is>
      </c>
      <c r="B172" s="40" t="inlineStr">
        <is>
          <t>データ</t>
        </is>
      </c>
      <c r="C172" s="41" t="inlineStr">
        <is>
          <t>所得段階別の第1号被保険者数</t>
        </is>
      </c>
      <c r="D172" s="41" t="inlineStr">
        <is>
          <t>令和8年度合計所得金額分布調査の入力済み調査票により解決。13段階・合計1,015人。非課税層60.3%、第1〜3段階だけで346人・34.1%。10万円刻みの分布も入手。</t>
        </is>
      </c>
      <c r="E172" s="39" t="inlineStr">
        <is>
          <t>Ⅱ-64</t>
        </is>
      </c>
      <c r="F172" s="39" t="inlineStr">
        <is>
          <t>doc28§2</t>
        </is>
      </c>
      <c r="G172" s="39" t="inlineStr">
        <is>
          <t>解決済</t>
        </is>
      </c>
      <c r="H172" s="41" t="inlineStr"/>
    </row>
    <row r="173" ht="34" customHeight="1">
      <c r="A173" s="39" t="inlineStr">
        <is>
          <t>―</t>
        </is>
      </c>
      <c r="B173" s="40" t="inlineStr">
        <is>
          <t>データ</t>
        </is>
      </c>
      <c r="C173" s="41" t="inlineStr">
        <is>
          <t>第10期の将来推計人口・第1号被保険者数の推計データ</t>
        </is>
      </c>
      <c r="D173" s="41" t="inlineStr">
        <is>
          <t>厚労省配布の第10期将来推計用人口推計（住基ベース）と補正係数の受領により解決。補正後の第1号被保険者数は令和9年946人／令和10年939人／令和11年931人。ただし直近実績を約6%下回る論点あり（K-106）。</t>
        </is>
      </c>
      <c r="E173" s="39" t="inlineStr">
        <is>
          <t>Ⅱ-59</t>
        </is>
      </c>
      <c r="F173" s="39" t="inlineStr">
        <is>
          <t>doc28§1</t>
        </is>
      </c>
      <c r="G173" s="39" t="inlineStr">
        <is>
          <t>解決済</t>
        </is>
      </c>
      <c r="H173" s="41" t="inlineStr"/>
    </row>
    <row r="174" ht="34" customHeight="1">
      <c r="A174" s="39" t="inlineStr">
        <is>
          <t>―</t>
        </is>
      </c>
      <c r="B174" s="40" t="inlineStr">
        <is>
          <t>調査設計</t>
        </is>
      </c>
      <c r="C174" s="41" t="inlineStr">
        <is>
          <t>ニーズ調査 選択肢の順序が標準と逆になっている7か所の修正</t>
        </is>
      </c>
      <c r="D174" s="41" t="inlineStr">
        <is>
          <t>第2稿（0904版）で問7の6か所を修正済。誤植2件（「そのような人はいないその他」「いないその他」）も解消。★問1(2)①の1か所が未修正のため別項目として再掲。</t>
        </is>
      </c>
      <c r="E174" s="39" t="inlineStr">
        <is>
          <t>Ⅰ-09</t>
        </is>
      </c>
      <c r="F174" s="39" t="inlineStr">
        <is>
          <t>doc27§1-1</t>
        </is>
      </c>
      <c r="G174" s="39" t="inlineStr">
        <is>
          <t>解決済（一部再掲）</t>
        </is>
      </c>
      <c r="H174" s="41" t="inlineStr"/>
    </row>
    <row r="175" ht="34" customHeight="1">
      <c r="A175" s="39" t="inlineStr">
        <is>
          <t>―</t>
        </is>
      </c>
      <c r="B175" s="40" t="inlineStr">
        <is>
          <t>調査設計</t>
        </is>
      </c>
      <c r="C175" s="41" t="inlineStr">
        <is>
          <t>在宅介護実態調査 前回指摘2件の反映（介護療養型医療施設の削除／傷病の選択肢13・14の入替）</t>
        </is>
      </c>
      <c r="D175" s="41" t="inlineStr">
        <is>
          <t>第2稿（0904版）で両方とも修正済。</t>
        </is>
      </c>
      <c r="E175" s="39" t="inlineStr">
        <is>
          <t>Ⅰ-10</t>
        </is>
      </c>
      <c r="F175" s="39" t="inlineStr">
        <is>
          <t>doc27§1-2</t>
        </is>
      </c>
      <c r="G175" s="39" t="inlineStr">
        <is>
          <t>解決済</t>
        </is>
      </c>
      <c r="H175" s="41" t="inlineStr"/>
    </row>
    <row r="176" ht="34" customHeight="1">
      <c r="A176" s="39" t="inlineStr">
        <is>
          <t>―</t>
        </is>
      </c>
      <c r="B176" s="40" t="inlineStr">
        <is>
          <t>調査設計</t>
        </is>
      </c>
      <c r="C176" s="41" t="inlineStr">
        <is>
          <t>在宅介護実態調査 標準の問13「訪問診療」の復活</t>
        </is>
      </c>
      <c r="D176" s="41" t="inlineStr">
        <is>
          <t>第2稿（0904版）で復活。★ただし番号が問12として付されており問13が欠番。番号の修正を別項目として再掲。</t>
        </is>
      </c>
      <c r="E176" s="39" t="inlineStr">
        <is>
          <t>Ⅰ-10</t>
        </is>
      </c>
      <c r="F176" s="39" t="inlineStr">
        <is>
          <t>doc27§1-2</t>
        </is>
      </c>
      <c r="G176" s="39" t="inlineStr">
        <is>
          <t>解決済（番号は再掲）</t>
        </is>
      </c>
      <c r="H176" s="41" t="inlineStr"/>
    </row>
    <row r="177" ht="34" customHeight="1">
      <c r="A177" s="39" t="inlineStr">
        <is>
          <t>―</t>
        </is>
      </c>
      <c r="B177" s="40" t="inlineStr">
        <is>
          <t>調査設計</t>
        </is>
      </c>
      <c r="C177" s="41" t="inlineStr">
        <is>
          <t>調査の基準日（ニーズ調査・在宅介護実態調査）</t>
        </is>
      </c>
      <c r="D177" s="41" t="inlineStr">
        <is>
          <t>キックオフ会議（令和8年9月1日）で決着：令和8年9月1日を基準日とする。</t>
        </is>
      </c>
      <c r="E177" s="39" t="inlineStr">
        <is>
          <t>Ⅰ-08,Ⅰ-24</t>
        </is>
      </c>
      <c r="F177" s="39" t="inlineStr">
        <is>
          <t>doc22 §1</t>
        </is>
      </c>
      <c r="G177" s="39" t="inlineStr">
        <is>
          <t>解決済</t>
        </is>
      </c>
      <c r="H177" s="41" t="inlineStr"/>
    </row>
    <row r="178" ht="34" customHeight="1">
      <c r="A178" s="39" t="inlineStr">
        <is>
          <t>―</t>
        </is>
      </c>
      <c r="B178" s="40" t="inlineStr">
        <is>
          <t>調査設計</t>
        </is>
      </c>
      <c r="C178" s="41" t="inlineStr">
        <is>
          <t>在宅介護実態調査 約150人の抽出基準</t>
        </is>
      </c>
      <c r="D178" s="41" t="inlineStr">
        <is>
          <t>キックオフ会議で決着：要支援1・2および要介護1〜5の在宅生活者等、150件。</t>
        </is>
      </c>
      <c r="E178" s="39" t="inlineStr">
        <is>
          <t>Ⅰ-08,Ⅰ-24</t>
        </is>
      </c>
      <c r="F178" s="39" t="inlineStr">
        <is>
          <t>doc22 §1</t>
        </is>
      </c>
      <c r="G178" s="39" t="inlineStr">
        <is>
          <t>解決済</t>
        </is>
      </c>
      <c r="H178" s="41" t="inlineStr"/>
    </row>
    <row r="179" ht="34" customHeight="1">
      <c r="A179" s="39" t="inlineStr">
        <is>
          <t>―</t>
        </is>
      </c>
      <c r="B179" s="40" t="inlineStr">
        <is>
          <t>調査設計</t>
        </is>
      </c>
      <c r="C179" s="41" t="inlineStr">
        <is>
          <t>配布・回収方法と宛名ラベル・封筒の用意</t>
        </is>
      </c>
      <c r="D179" s="41" t="inlineStr">
        <is>
          <t>キックオフ会議で決着：郵送（紙）とWeb回答（QRコード）の併用。宛名ラベル・封筒は北塩原村が用意。回収は村で100件程度集まるごとに随時受託者へ小分け送付。</t>
        </is>
      </c>
      <c r="E179" s="39" t="inlineStr">
        <is>
          <t>Ⅰ-25,Ⅰ-26</t>
        </is>
      </c>
      <c r="F179" s="39" t="inlineStr">
        <is>
          <t>doc22 §1</t>
        </is>
      </c>
      <c r="G179" s="39" t="inlineStr">
        <is>
          <t>解決済</t>
        </is>
      </c>
      <c r="H179" s="41" t="inlineStr"/>
    </row>
    <row r="180" ht="34" customHeight="1">
      <c r="A180" s="39" t="inlineStr">
        <is>
          <t>―</t>
        </is>
      </c>
      <c r="B180" s="40" t="inlineStr">
        <is>
          <t>疑義</t>
        </is>
      </c>
      <c r="C180" s="41" t="inlineStr">
        <is>
          <t>配布用封筒の用意の主体（仕様書4Ⅰ(3)は受託者の印刷対象としている）</t>
        </is>
      </c>
      <c r="D180" s="41" t="inlineStr">
        <is>
          <t>★2026/09/24 村の回答で決着：配布用封筒は村が用意し、費用は村側で請求処理する。受託者が印刷するのは返信用（回収用）のみ。仕様書4Ⅰ(3)の「封筒（配布用・回収用）」との差異は解消した。</t>
        </is>
      </c>
      <c r="E180" s="39" t="inlineStr">
        <is>
          <t>Ⅰ-23,Ⅰ-26,Ⅰ-103</t>
        </is>
      </c>
      <c r="F180" s="39" t="inlineStr">
        <is>
          <t>doc39§5</t>
        </is>
      </c>
      <c r="G180" s="39" t="inlineStr">
        <is>
          <t>解決済</t>
        </is>
      </c>
      <c r="H180" s="41" t="inlineStr"/>
    </row>
    <row r="181" ht="34" customHeight="1">
      <c r="A181" s="39" t="inlineStr">
        <is>
          <t>―</t>
        </is>
      </c>
      <c r="B181" s="40" t="inlineStr">
        <is>
          <t>疑義</t>
        </is>
      </c>
      <c r="C181" s="41" t="inlineStr">
        <is>
          <t>在宅介護実態調査の対象者数（仕様書の約150人に対し118人）</t>
        </is>
      </c>
      <c r="D181" s="41" t="inlineStr">
        <is>
          <t>★2026/09/24 村の回答で決着：118人で問題なし。仕様書4Ⅰ(1)の「約150人」との差異は解消した。集計設計上のセル数の扱いは当方の判断事項として継続。</t>
        </is>
      </c>
      <c r="E181" s="39" t="inlineStr">
        <is>
          <t>Ⅰ-08,Ⅰ-24,Ⅰ-103</t>
        </is>
      </c>
      <c r="F181" s="39" t="inlineStr">
        <is>
          <t>doc39§5</t>
        </is>
      </c>
      <c r="G181" s="39" t="inlineStr">
        <is>
          <t>解決済</t>
        </is>
      </c>
      <c r="H181" s="41" t="inlineStr"/>
    </row>
    <row r="182" ht="34" customHeight="1">
      <c r="A182" s="39" t="inlineStr">
        <is>
          <t>―</t>
        </is>
      </c>
      <c r="B182" s="40" t="inlineStr">
        <is>
          <t>成果品</t>
        </is>
      </c>
      <c r="C182" s="41" t="inlineStr">
        <is>
          <t>アンケート調査報告書の分量（仕様書の約100頁に対し想定118頁）</t>
        </is>
      </c>
      <c r="D182" s="41" t="inlineStr">
        <is>
          <t>★2026/09/24 村の回答で決着：仕様書どおり約100頁に統一する。第Ⅱ部（分析編25頁）は計画の根拠のため維持し、第Ⅰ部（単純集計編）と資料編で18頁を圧縮する（doc24§1改訂）。部数は仕様書のとおり10部。</t>
        </is>
      </c>
      <c r="E182" s="39" t="inlineStr">
        <is>
          <t>Ⅳ-90</t>
        </is>
      </c>
      <c r="F182" s="39" t="inlineStr">
        <is>
          <t>doc39§5</t>
        </is>
      </c>
      <c r="G182" s="39" t="inlineStr">
        <is>
          <t>解決済</t>
        </is>
      </c>
      <c r="H182" s="41" t="inlineStr"/>
    </row>
    <row r="183" ht="34" customHeight="1">
      <c r="A183" s="39" t="inlineStr">
        <is>
          <t>―</t>
        </is>
      </c>
      <c r="B183" s="40" t="inlineStr">
        <is>
          <t>成果品</t>
        </is>
      </c>
      <c r="C183" s="41" t="inlineStr">
        <is>
          <t>100頁への圧縮の当て方（集計編を圧縮するか、調査票を電子媒体に移すか）</t>
        </is>
      </c>
      <c r="D183" s="41" t="inlineStr">
        <is>
          <t>★2026/09/25 案Bを採用：調査票2種・単純集計表・自由記述の全文を電子媒体に収録し、資料編を25頁→6頁とする。浮いた頁を集計編に戻し第3章42頁・第4章21頁（計63頁・1頁1.7設問）とした。当初案118頁と同じ密度を100頁の枠内で保てる。案A（集計編を47頁に圧縮）は1頁2.3設問で第9期の2.5倍の密度となり、選択肢の多い設問が物理的に入らないため採らなかった。</t>
        </is>
      </c>
      <c r="E183" s="39" t="inlineStr">
        <is>
          <t>Ⅳ-90,Ⅰ-48,Ⅳ-91,Ⅳ-114</t>
        </is>
      </c>
      <c r="F183" s="39" t="inlineStr">
        <is>
          <t>doc24§1-1,doc40§2</t>
        </is>
      </c>
      <c r="G183" s="39" t="inlineStr">
        <is>
          <t>解決済</t>
        </is>
      </c>
      <c r="H183" s="41" t="inlineStr"/>
    </row>
    <row r="184" ht="34" customHeight="1">
      <c r="A184" s="39" t="inlineStr">
        <is>
          <t>―</t>
        </is>
      </c>
      <c r="B184" s="40" t="inlineStr">
        <is>
          <t>計画構成</t>
        </is>
      </c>
      <c r="C184" s="41" t="inlineStr">
        <is>
          <t>整合を図る関連計画の範囲</t>
        </is>
      </c>
      <c r="D184" s="41" t="inlineStr">
        <is>
          <t>キックオフ会議で決着：国の基本方針・総合計画・障がい福祉計画・地域福祉計画・グッドヘルスプラン（21計画）・生涯学習計画。</t>
        </is>
      </c>
      <c r="E184" s="39" t="inlineStr">
        <is>
          <t>Ⅱ-72</t>
        </is>
      </c>
      <c r="F184" s="39" t="inlineStr">
        <is>
          <t>doc22 §1</t>
        </is>
      </c>
      <c r="G184" s="39" t="inlineStr">
        <is>
          <t>解決済</t>
        </is>
      </c>
      <c r="H184" s="41" t="inlineStr"/>
    </row>
    <row r="185" ht="34" customHeight="1">
      <c r="A185" s="39" t="inlineStr">
        <is>
          <t>―</t>
        </is>
      </c>
      <c r="B185" s="40" t="inlineStr">
        <is>
          <t>データ</t>
        </is>
      </c>
      <c r="C185" s="41" t="inlineStr">
        <is>
          <t>保険者機能強化推進交付金（W系）の福島県平均・全国平均</t>
        </is>
      </c>
      <c r="D185" s="41" t="inlineStr">
        <is>
          <t>厚労省の全国集計表（令和6・7・8年度）の受領により解決。全国平均・中央値・標準偏差・該当率・全国順位を取得し、県内59市町村の生データから県平均・県内順位も算出。</t>
        </is>
      </c>
      <c r="E185" s="39" t="inlineStr">
        <is>
          <t>Ⅱ-65</t>
        </is>
      </c>
      <c r="F185" s="39" t="inlineStr">
        <is>
          <t>doc20§3,§4</t>
        </is>
      </c>
      <c r="G185" s="39" t="inlineStr">
        <is>
          <t>解決済</t>
        </is>
      </c>
      <c r="H185" s="41" t="inlineStr"/>
    </row>
    <row r="186" ht="34" customHeight="1">
      <c r="A186" s="39" t="inlineStr">
        <is>
          <t>―</t>
        </is>
      </c>
      <c r="B186" s="40" t="inlineStr">
        <is>
          <t>データ</t>
        </is>
      </c>
      <c r="C186" s="41" t="inlineStr">
        <is>
          <t>交付要綱の配点表（満点）</t>
        </is>
      </c>
      <c r="D186" s="41" t="inlineStr">
        <is>
          <t>令和8年度評価指標（市町村分）の配点表を受領し解決。推進交付金400点・支援交付金400点、目標Ⅰ〜Ⅳ各100点と判明。</t>
        </is>
      </c>
      <c r="E186" s="39" t="inlineStr">
        <is>
          <t>Ⅱ-65</t>
        </is>
      </c>
      <c r="F186" s="39" t="inlineStr">
        <is>
          <t>doc20§2</t>
        </is>
      </c>
      <c r="G186" s="39" t="inlineStr">
        <is>
          <t>解決済</t>
        </is>
      </c>
      <c r="H186" s="41" t="inlineStr"/>
    </row>
    <row r="187" ht="34" customHeight="1">
      <c r="A187" s="39" t="inlineStr">
        <is>
          <t>―</t>
        </is>
      </c>
      <c r="B187" s="40" t="inlineStr">
        <is>
          <t>データ</t>
        </is>
      </c>
      <c r="C187" s="41" t="inlineStr">
        <is>
          <t>令和6年度・令和7年度の交付金評価結果</t>
        </is>
      </c>
      <c r="D187" s="41" t="inlineStr">
        <is>
          <t>令和6・7・8年度の3か年を指標単位で取得し解決。合計295→339→447点。第10期の基準値は令和8年度447点/800点に置く。</t>
        </is>
      </c>
      <c r="E187" s="39" t="inlineStr">
        <is>
          <t>Ⅱ-65</t>
        </is>
      </c>
      <c r="F187" s="39" t="inlineStr">
        <is>
          <t>doc20§3-1</t>
        </is>
      </c>
      <c r="G187" s="39" t="inlineStr">
        <is>
          <t>解決済</t>
        </is>
      </c>
      <c r="H187" s="41" t="inlineStr"/>
    </row>
    <row r="188" ht="34" customHeight="1">
      <c r="A188" s="39" t="inlineStr">
        <is>
          <t>―</t>
        </is>
      </c>
      <c r="B188" s="40" t="inlineStr">
        <is>
          <t>データ</t>
        </is>
      </c>
      <c r="C188" s="41" t="inlineStr">
        <is>
          <t>高齢化率・認定率・費用額・保険料の福島県平均／全国平均</t>
        </is>
      </c>
      <c r="D188" s="41" t="inlineStr">
        <is>
          <t>地域分析P1〜P4の受領により解決。県内順位・全国順位も入手。</t>
        </is>
      </c>
      <c r="E188" s="39" t="inlineStr">
        <is>
          <t>Ⅱ-56,Ⅱ-58</t>
        </is>
      </c>
      <c r="F188" s="39" t="inlineStr">
        <is>
          <t>doc09</t>
        </is>
      </c>
      <c r="G188" s="39" t="inlineStr">
        <is>
          <t>解決済</t>
        </is>
      </c>
      <c r="H188" s="41" t="inlineStr"/>
    </row>
    <row r="189" ht="34" customHeight="1">
      <c r="A189" s="39" t="inlineStr">
        <is>
          <t>―</t>
        </is>
      </c>
      <c r="B189" s="40" t="inlineStr">
        <is>
          <t>データ</t>
        </is>
      </c>
      <c r="C189" s="41" t="inlineStr">
        <is>
          <t>1人あたり指標に用いる高齢者人口の分母の統一</t>
        </is>
      </c>
      <c r="D189" s="41" t="inlineStr">
        <is>
          <t>C1系の分母がB1第1号被保険者数であることを確認し解決。計画書はB1に統一。</t>
        </is>
      </c>
      <c r="E189" s="39" t="inlineStr">
        <is>
          <t>Ⅱ-59</t>
        </is>
      </c>
      <c r="F189" s="39" t="inlineStr">
        <is>
          <t>doc02§20-2</t>
        </is>
      </c>
      <c r="G189" s="39" t="inlineStr">
        <is>
          <t>解決済</t>
        </is>
      </c>
      <c r="H189" s="41" t="inlineStr"/>
    </row>
    <row r="190" ht="34" customHeight="1">
      <c r="A190" s="39" t="inlineStr">
        <is>
          <t>―</t>
        </is>
      </c>
      <c r="B190" s="40" t="inlineStr">
        <is>
          <t>データ</t>
        </is>
      </c>
      <c r="C190" s="41" t="inlineStr">
        <is>
          <t>国の指針・様式の更新有無</t>
        </is>
      </c>
      <c r="D190" s="41" t="inlineStr">
        <is>
          <t>令和7年8月版の標準様式を入手し逐条突合を完了（要確認0件）。</t>
        </is>
      </c>
      <c r="E190" s="39" t="inlineStr">
        <is>
          <t>Ⅰ-11</t>
        </is>
      </c>
      <c r="F190" s="39" t="inlineStr">
        <is>
          <t>doc04,doc05</t>
        </is>
      </c>
      <c r="G190" s="39" t="inlineStr">
        <is>
          <t>解決済</t>
        </is>
      </c>
      <c r="H190" s="41" t="inlineStr"/>
    </row>
  </sheetData>
  <autoFilter ref="A4:H166"/>
  <mergeCells count="3">
    <mergeCell ref="A168:H168"/>
    <mergeCell ref="A2:H2"/>
    <mergeCell ref="A1:H1"/>
  </mergeCells>
  <dataValidations count="2">
    <dataValidation sqref="A5:A166" showDropDown="0" showInputMessage="0" showErrorMessage="0" allowBlank="1" type="list">
      <formula1>"S,A,B,C"</formula1>
    </dataValidation>
    <dataValidation sqref="G5:G166"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4"/>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50" customWidth="1" min="3" max="3"/>
    <col width="7" customWidth="1" min="4" max="4"/>
    <col width="14" customWidth="1" min="5" max="5"/>
    <col width="44" customWidth="1" min="6" max="6"/>
    <col width="8" customWidth="1" min="7" max="7"/>
    <col width="44" customWidth="1" min="8" max="8"/>
  </cols>
  <sheetData>
    <row r="1" ht="30" customHeight="1">
      <c r="A1" s="1" t="inlineStr">
        <is>
          <t>仕様書（委託第27号／8北保福第483号 別紙）とWBSの対照</t>
        </is>
      </c>
    </row>
    <row r="2" ht="20" customHeight="1">
      <c r="A2" s="2" t="inlineStr">
        <is>
          <t>仕様書の側から「求められていること」を列挙し、WBSのどの作業がそれを担うかを示したもの。状況の「○」は対応する作業がWBSにあること、「村」は村が実施し受託者の作業を伴わないことを表す　｜　突合は scripts/verify_wbs.py で機械的に行い、漏れがあれば終了コード1を返す</t>
        </is>
      </c>
    </row>
    <row r="4" ht="34" customHeight="1">
      <c r="A4" s="3" t="inlineStr">
        <is>
          <t>区分</t>
        </is>
      </c>
      <c r="B4" s="3" t="inlineStr">
        <is>
          <t>条項</t>
        </is>
      </c>
      <c r="C4" s="3" t="inlineStr">
        <is>
          <t>仕様書が求めていること</t>
        </is>
      </c>
      <c r="D4" s="3" t="inlineStr">
        <is>
          <t>担当</t>
        </is>
      </c>
      <c r="E4" s="3" t="inlineStr">
        <is>
          <t>対応WBS No.</t>
        </is>
      </c>
      <c r="F4" s="3" t="inlineStr">
        <is>
          <t>対応する作業項目</t>
        </is>
      </c>
      <c r="G4" s="3" t="inlineStr">
        <is>
          <t>状況</t>
        </is>
      </c>
      <c r="H4" s="3" t="inlineStr">
        <is>
          <t>備考</t>
        </is>
      </c>
    </row>
    <row r="5" ht="30" customHeight="1">
      <c r="A5" s="30" t="inlineStr">
        <is>
          <t>見積徴取通知</t>
        </is>
      </c>
      <c r="B5" s="23" t="inlineStr">
        <is>
          <t>通知2-a</t>
        </is>
      </c>
      <c r="C5" s="25" t="inlineStr">
        <is>
          <t>見積書を令和8年8月21日までに保健福祉課へ提出する</t>
        </is>
      </c>
      <c r="D5" s="23" t="inlineStr">
        <is>
          <t>受託者</t>
        </is>
      </c>
      <c r="E5" s="25" t="inlineStr">
        <is>
          <t>０-01</t>
        </is>
      </c>
      <c r="F5" s="25" t="inlineStr">
        <is>
          <t>見積書の提出</t>
        </is>
      </c>
      <c r="G5" s="23" t="inlineStr">
        <is>
          <t>○</t>
        </is>
      </c>
      <c r="H5" s="25" t="inlineStr"/>
    </row>
    <row r="6" ht="30" customHeight="1">
      <c r="A6" s="24" t="inlineStr">
        <is>
          <t>見積徴取通知</t>
        </is>
      </c>
      <c r="B6" s="23" t="inlineStr">
        <is>
          <t>通知2-b</t>
        </is>
      </c>
      <c r="C6" s="25" t="inlineStr">
        <is>
          <t>契約保証金は免除</t>
        </is>
      </c>
      <c r="D6" s="23" t="inlineStr">
        <is>
          <t>―</t>
        </is>
      </c>
      <c r="E6" s="25" t="inlineStr">
        <is>
          <t>０-02</t>
        </is>
      </c>
      <c r="F6" s="25" t="inlineStr">
        <is>
          <t>契約締結</t>
        </is>
      </c>
      <c r="G6" s="23" t="inlineStr">
        <is>
          <t>○</t>
        </is>
      </c>
      <c r="H6" s="25" t="inlineStr">
        <is>
          <t>契約手続の条件。作業を伴わない</t>
        </is>
      </c>
    </row>
    <row r="7" ht="30" customHeight="1">
      <c r="A7" s="30" t="inlineStr">
        <is>
          <t>1 委託業務名</t>
        </is>
      </c>
      <c r="B7" s="23" t="inlineStr">
        <is>
          <t>仕様書1-a</t>
        </is>
      </c>
      <c r="C7" s="25" t="inlineStr">
        <is>
          <t>業務名「第10期北塩原村高齢者福祉計画・第10期北塩原村介護保険事業計画策定業務委託」</t>
        </is>
      </c>
      <c r="D7" s="23" t="inlineStr">
        <is>
          <t>双方</t>
        </is>
      </c>
      <c r="E7" s="25" t="inlineStr">
        <is>
          <t>Ⅱ-111</t>
        </is>
      </c>
      <c r="F7" s="25" t="inlineStr">
        <is>
          <t>計画の名称・計画期間の表記の統一</t>
        </is>
      </c>
      <c r="G7" s="23" t="inlineStr">
        <is>
          <t>○</t>
        </is>
      </c>
      <c r="H7" s="25" t="inlineStr">
        <is>
          <t>計画書の表紙・奥付・本文の名称はこれに合わせる</t>
        </is>
      </c>
    </row>
    <row r="8" ht="30" customHeight="1">
      <c r="A8" s="30" t="inlineStr">
        <is>
          <t>2 業務の目的</t>
        </is>
      </c>
      <c r="B8" s="23" t="inlineStr">
        <is>
          <t>仕様書2-a</t>
        </is>
      </c>
      <c r="C8" s="25" t="inlineStr">
        <is>
          <t>介護保険制度の改正など社会環境の変化を把握する</t>
        </is>
      </c>
      <c r="D8" s="23" t="inlineStr">
        <is>
          <t>受託者</t>
        </is>
      </c>
      <c r="E8" s="25" t="inlineStr">
        <is>
          <t>Ⅱ-50
Ⅱ-51</t>
        </is>
      </c>
      <c r="F8" s="25" t="inlineStr">
        <is>
          <t>制度改正動向の資料収集・整理
第10期国の基本指針の確認・反映</t>
        </is>
      </c>
      <c r="G8" s="23" t="inlineStr">
        <is>
          <t>○</t>
        </is>
      </c>
      <c r="H8" s="25" t="inlineStr"/>
    </row>
    <row r="9" ht="30" customHeight="1">
      <c r="A9" s="24" t="inlineStr">
        <is>
          <t>2 業務の目的</t>
        </is>
      </c>
      <c r="B9" s="23" t="inlineStr">
        <is>
          <t>仕様書2-b</t>
        </is>
      </c>
      <c r="C9" s="25" t="inlineStr">
        <is>
          <t>第9期計画期間（R6〜R8年度）における介護給付実績を評価する</t>
        </is>
      </c>
      <c r="D9" s="23" t="inlineStr">
        <is>
          <t>受託者</t>
        </is>
      </c>
      <c r="E9" s="25" t="inlineStr">
        <is>
          <t>Ⅱ-55
Ⅱ-56</t>
        </is>
      </c>
      <c r="F9" s="25" t="inlineStr">
        <is>
          <t>介護保険給付統計の取りまとめ
計画数値の評価（計画値と実績の乖離分析）</t>
        </is>
      </c>
      <c r="G9" s="23" t="inlineStr">
        <is>
          <t>○</t>
        </is>
      </c>
      <c r="H9" s="25" t="inlineStr"/>
    </row>
    <row r="10" ht="30" customHeight="1">
      <c r="A10" s="24" t="inlineStr">
        <is>
          <t>2 業務の目的</t>
        </is>
      </c>
      <c r="B10" s="23" t="inlineStr">
        <is>
          <t>仕様書2-c</t>
        </is>
      </c>
      <c r="C10" s="25" t="inlineStr">
        <is>
          <t>高齢者福祉施策の実施状況を評価する</t>
        </is>
      </c>
      <c r="D10" s="23" t="inlineStr">
        <is>
          <t>受託者</t>
        </is>
      </c>
      <c r="E10" s="25" t="inlineStr">
        <is>
          <t>Ⅱ-53
Ⅱ-54</t>
        </is>
      </c>
      <c r="F10" s="25" t="inlineStr">
        <is>
          <t>高齢者福祉事業等の実績資料の受領
高齢者福祉事業等の実施状況の把握と課題整理</t>
        </is>
      </c>
      <c r="G10" s="23" t="inlineStr">
        <is>
          <t>○</t>
        </is>
      </c>
      <c r="H10" s="25" t="inlineStr"/>
    </row>
    <row r="11" ht="30" customHeight="1">
      <c r="A11" s="24" t="inlineStr">
        <is>
          <t>2 業務の目的</t>
        </is>
      </c>
      <c r="B11" s="23" t="inlineStr">
        <is>
          <t>仕様書2-d</t>
        </is>
      </c>
      <c r="C11" s="25" t="inlineStr">
        <is>
          <t>ニーズ調査・在宅介護実態調査の結果を踏まえる</t>
        </is>
      </c>
      <c r="D11" s="23" t="inlineStr">
        <is>
          <t>受託者</t>
        </is>
      </c>
      <c r="E11" s="25" t="inlineStr">
        <is>
          <t>Ⅰ-48
Ⅱ-52</t>
        </is>
      </c>
      <c r="F11" s="25" t="inlineStr">
        <is>
          <t>調査結果報告書の執筆・レイアウト
前提条件と基本的課題の明確化</t>
        </is>
      </c>
      <c r="G11" s="23" t="inlineStr">
        <is>
          <t>○</t>
        </is>
      </c>
      <c r="H11" s="25" t="inlineStr"/>
    </row>
    <row r="12" ht="30" customHeight="1">
      <c r="A12" s="24" t="inlineStr">
        <is>
          <t>2 業務の目的</t>
        </is>
      </c>
      <c r="B12" s="23" t="inlineStr">
        <is>
          <t>仕様書2-e</t>
        </is>
      </c>
      <c r="C12" s="25" t="inlineStr">
        <is>
          <t>第10期計画期間の課題を明らかにした上で計画案を策定する</t>
        </is>
      </c>
      <c r="D12" s="23" t="inlineStr">
        <is>
          <t>受託者</t>
        </is>
      </c>
      <c r="E12" s="25" t="inlineStr">
        <is>
          <t>Ⅱ-70
Ⅱ-75</t>
        </is>
      </c>
      <c r="F12" s="25" t="inlineStr">
        <is>
          <t>第10期の課題の整理
素案の作成</t>
        </is>
      </c>
      <c r="G12" s="23" t="inlineStr">
        <is>
          <t>○</t>
        </is>
      </c>
      <c r="H12" s="25" t="inlineStr"/>
    </row>
    <row r="13" ht="30" customHeight="1">
      <c r="A13" s="30" t="inlineStr">
        <is>
          <t>3 業務期間</t>
        </is>
      </c>
      <c r="B13" s="23" t="inlineStr">
        <is>
          <t>仕様書3-a</t>
        </is>
      </c>
      <c r="C13" s="25" t="inlineStr">
        <is>
          <t>業務期間は契約締結の日から令和9年3月31日まで</t>
        </is>
      </c>
      <c r="D13" s="23" t="inlineStr">
        <is>
          <t>双方</t>
        </is>
      </c>
      <c r="E13" s="25" t="inlineStr">
        <is>
          <t>０-02
Ⅳ-96</t>
        </is>
      </c>
      <c r="F13" s="25" t="inlineStr">
        <is>
          <t>契約締結
納品・検収</t>
        </is>
      </c>
      <c r="G13" s="23" t="inlineStr">
        <is>
          <t>○</t>
        </is>
      </c>
      <c r="H13" s="25" t="inlineStr">
        <is>
          <t>履行期限。全工程の外枠</t>
        </is>
      </c>
    </row>
    <row r="14" ht="30" customHeight="1">
      <c r="A14" s="24" t="inlineStr">
        <is>
          <t>3 業務期間</t>
        </is>
      </c>
      <c r="B14" s="23" t="inlineStr">
        <is>
          <t>仕様書3-b</t>
        </is>
      </c>
      <c r="C14" s="25" t="inlineStr">
        <is>
          <t>計画期間は令和9年度から令和11年度までの3か年</t>
        </is>
      </c>
      <c r="D14" s="23" t="inlineStr">
        <is>
          <t>受託者</t>
        </is>
      </c>
      <c r="E14" s="25" t="inlineStr">
        <is>
          <t>Ⅱ-111</t>
        </is>
      </c>
      <c r="F14" s="25" t="inlineStr">
        <is>
          <t>計画の名称・計画期間の表記の統一</t>
        </is>
      </c>
      <c r="G14" s="23" t="inlineStr">
        <is>
          <t>○</t>
        </is>
      </c>
      <c r="H14" s="25" t="inlineStr"/>
    </row>
    <row r="15" ht="30" customHeight="1">
      <c r="A15" s="30" t="inlineStr">
        <is>
          <t>4Ⅰ ニーズ調査</t>
        </is>
      </c>
      <c r="B15" s="23" t="inlineStr">
        <is>
          <t>仕様書4Ⅰ(1)-a</t>
        </is>
      </c>
      <c r="C15" s="25" t="inlineStr">
        <is>
          <t>調査対象区域は全村域</t>
        </is>
      </c>
      <c r="D15" s="23" t="inlineStr">
        <is>
          <t>双方</t>
        </is>
      </c>
      <c r="E15" s="25" t="inlineStr">
        <is>
          <t>Ⅰ-08</t>
        </is>
      </c>
      <c r="F15" s="25" t="inlineStr">
        <is>
          <t>調査対象者の抽出条件の確定</t>
        </is>
      </c>
      <c r="G15" s="23" t="inlineStr">
        <is>
          <t>○</t>
        </is>
      </c>
      <c r="H15" s="25" t="inlineStr"/>
    </row>
    <row r="16" ht="30" customHeight="1">
      <c r="A16" s="24" t="inlineStr">
        <is>
          <t>4Ⅰ ニーズ調査</t>
        </is>
      </c>
      <c r="B16" s="23" t="inlineStr">
        <is>
          <t>仕様書4Ⅰ(1)-b</t>
        </is>
      </c>
      <c r="C16" s="25" t="inlineStr">
        <is>
          <t>介護予防・日常生活圏域ニーズ調査は約850人（一般高齢者・総合事業対象者・要支援認定者）</t>
        </is>
      </c>
      <c r="D16" s="23" t="inlineStr">
        <is>
          <t>双方</t>
        </is>
      </c>
      <c r="E16" s="25" t="inlineStr">
        <is>
          <t>Ⅰ-08
Ⅰ-24</t>
        </is>
      </c>
      <c r="F16" s="25" t="inlineStr">
        <is>
          <t>調査対象者の抽出条件の確定
調査対象者の抽出</t>
        </is>
      </c>
      <c r="G16" s="23" t="inlineStr">
        <is>
          <t>○</t>
        </is>
      </c>
      <c r="H16" s="25" t="inlineStr">
        <is>
          <t>実際の抽出は882人</t>
        </is>
      </c>
    </row>
    <row r="17" ht="30" customHeight="1">
      <c r="A17" s="24" t="inlineStr">
        <is>
          <t>4Ⅰ ニーズ調査</t>
        </is>
      </c>
      <c r="B17" s="23" t="inlineStr">
        <is>
          <t>仕様書4Ⅰ(1)-c</t>
        </is>
      </c>
      <c r="C17" s="25" t="inlineStr">
        <is>
          <t>在宅介護実態調査は約150人（在宅の要介護認定者）</t>
        </is>
      </c>
      <c r="D17" s="23" t="inlineStr">
        <is>
          <t>双方</t>
        </is>
      </c>
      <c r="E17" s="25" t="inlineStr">
        <is>
          <t>Ⅰ-08
Ⅰ-24</t>
        </is>
      </c>
      <c r="F17" s="25" t="inlineStr">
        <is>
          <t>調査対象者の抽出条件の確定
調査対象者の抽出</t>
        </is>
      </c>
      <c r="G17" s="23" t="inlineStr">
        <is>
          <t>○</t>
        </is>
      </c>
      <c r="H17" s="25" t="inlineStr">
        <is>
          <t>実際の抽出は118人。2026/09/24 村の了解により決着（集計設計上の扱いは当方の判断事項）</t>
        </is>
      </c>
    </row>
    <row r="18" ht="30" customHeight="1">
      <c r="A18" s="24" t="inlineStr">
        <is>
          <t>4Ⅰ ニーズ調査</t>
        </is>
      </c>
      <c r="B18" s="23" t="inlineStr">
        <is>
          <t>仕様書4Ⅰ(1)-d</t>
        </is>
      </c>
      <c r="C18" s="25" t="inlineStr">
        <is>
          <t>対象者の抽出は村が実施し、受託者へ宛名ラベルシールとして提供する</t>
        </is>
      </c>
      <c r="D18" s="23" t="inlineStr">
        <is>
          <t>北塩原村</t>
        </is>
      </c>
      <c r="E18" s="25" t="inlineStr">
        <is>
          <t>Ⅰ-24
Ⅰ-25</t>
        </is>
      </c>
      <c r="F18" s="25" t="inlineStr">
        <is>
          <t>調査対象者の抽出
宛名ラベルシールの作成・提供</t>
        </is>
      </c>
      <c r="G18" s="23" t="inlineStr">
        <is>
          <t>○</t>
        </is>
      </c>
      <c r="H18" s="25" t="inlineStr"/>
    </row>
    <row r="19" ht="30" customHeight="1">
      <c r="A19" s="24" t="inlineStr">
        <is>
          <t>4Ⅰ ニーズ調査</t>
        </is>
      </c>
      <c r="B19" s="23" t="inlineStr">
        <is>
          <t>仕様書4Ⅰ(2)-a</t>
        </is>
      </c>
      <c r="C19" s="25" t="inlineStr">
        <is>
          <t>厚生労働省が示す調査項目を踏まえて調査票を設計する</t>
        </is>
      </c>
      <c r="D19" s="23" t="inlineStr">
        <is>
          <t>受託者</t>
        </is>
      </c>
      <c r="E19" s="25" t="inlineStr">
        <is>
          <t>Ⅰ-09
Ⅰ-10
Ⅰ-11</t>
        </is>
      </c>
      <c r="F19" s="25" t="inlineStr">
        <is>
          <t>調査票の設計（ニーズ調査）
調査票の設計（在宅介護実態調査）
令和7年8月版 標準様式との逐条突合</t>
        </is>
      </c>
      <c r="G19" s="23" t="inlineStr">
        <is>
          <t>○</t>
        </is>
      </c>
      <c r="H19" s="25" t="inlineStr">
        <is>
          <t>令和7年8月版の標準様式</t>
        </is>
      </c>
    </row>
    <row r="20" ht="30" customHeight="1">
      <c r="A20" s="24" t="inlineStr">
        <is>
          <t>4Ⅰ ニーズ調査</t>
        </is>
      </c>
      <c r="B20" s="23" t="inlineStr">
        <is>
          <t>仕様書4Ⅰ(2)-b</t>
        </is>
      </c>
      <c r="C20" s="25" t="inlineStr">
        <is>
          <t>村の過去の調査を踏まえて設計する（時系列比較の確保）</t>
        </is>
      </c>
      <c r="D20" s="23" t="inlineStr">
        <is>
          <t>双方</t>
        </is>
      </c>
      <c r="E20" s="25" t="inlineStr">
        <is>
          <t>Ⅰ-13
Ⅰ-41</t>
        </is>
      </c>
      <c r="F20" s="25" t="inlineStr">
        <is>
          <t>村独自設問の設定
時系列比較（第8期・第9期との対比）</t>
        </is>
      </c>
      <c r="G20" s="23" t="inlineStr">
        <is>
          <t>○</t>
        </is>
      </c>
      <c r="H20" s="25" t="inlineStr"/>
    </row>
    <row r="21" ht="30" customHeight="1">
      <c r="A21" s="24" t="inlineStr">
        <is>
          <t>4Ⅰ ニーズ調査</t>
        </is>
      </c>
      <c r="B21" s="23" t="inlineStr">
        <is>
          <t>仕様書4Ⅰ(2)-c</t>
        </is>
      </c>
      <c r="C21" s="25" t="inlineStr">
        <is>
          <t>村と協議の上で調査票を決定する</t>
        </is>
      </c>
      <c r="D21" s="23" t="inlineStr">
        <is>
          <t>双方</t>
        </is>
      </c>
      <c r="E21" s="25" t="inlineStr">
        <is>
          <t>Ⅰ-12
Ⅰ-15</t>
        </is>
      </c>
      <c r="F21" s="25" t="inlineStr">
        <is>
          <t>オプション項目の採否決定
調査票の村協議・確定</t>
        </is>
      </c>
      <c r="G21" s="23" t="inlineStr">
        <is>
          <t>○</t>
        </is>
      </c>
      <c r="H21" s="25" t="inlineStr"/>
    </row>
    <row r="22" ht="30" customHeight="1">
      <c r="A22" s="24" t="inlineStr">
        <is>
          <t>4Ⅰ ニーズ調査</t>
        </is>
      </c>
      <c r="B22" s="23" t="inlineStr">
        <is>
          <t>仕様書4Ⅰ(2)-d</t>
        </is>
      </c>
      <c r="C22" s="25" t="inlineStr">
        <is>
          <t>紙とウェブ回答を併用する</t>
        </is>
      </c>
      <c r="D22" s="23" t="inlineStr">
        <is>
          <t>受託者</t>
        </is>
      </c>
      <c r="E22" s="25" t="inlineStr">
        <is>
          <t>Ⅰ-16
Ⅰ-34
Ⅰ-35</t>
        </is>
      </c>
      <c r="F22" s="25" t="inlineStr">
        <is>
          <t>ウェブ回答フォームの作成
用紙回答のデータ入力
ウェブ回答データの取込</t>
        </is>
      </c>
      <c r="G22" s="23" t="inlineStr">
        <is>
          <t>○</t>
        </is>
      </c>
      <c r="H22" s="25" t="inlineStr"/>
    </row>
    <row r="23" ht="30" customHeight="1">
      <c r="A23" s="24" t="inlineStr">
        <is>
          <t>4Ⅰ ニーズ調査</t>
        </is>
      </c>
      <c r="B23" s="23" t="inlineStr">
        <is>
          <t>仕様書4Ⅰ(2)-e</t>
        </is>
      </c>
      <c r="C23" s="25" t="inlineStr">
        <is>
          <t>専用のウェブ回答フォームを作成する</t>
        </is>
      </c>
      <c r="D23" s="23" t="inlineStr">
        <is>
          <t>受託者</t>
        </is>
      </c>
      <c r="E23" s="25" t="inlineStr">
        <is>
          <t>Ⅰ-16
Ⅰ-101</t>
        </is>
      </c>
      <c r="F23" s="25" t="inlineStr">
        <is>
          <t>ウェブ回答フォームの作成
ウェブ回答フォームの公開・稼働確認・受付停止</t>
        </is>
      </c>
      <c r="G23" s="23" t="inlineStr">
        <is>
          <t>○</t>
        </is>
      </c>
      <c r="H23" s="25" t="inlineStr">
        <is>
          <t>作成のみならず公開・稼働確認・受付停止までが必要</t>
        </is>
      </c>
    </row>
    <row r="24" ht="30" customHeight="1">
      <c r="A24" s="24" t="inlineStr">
        <is>
          <t>4Ⅰ ニーズ調査</t>
        </is>
      </c>
      <c r="B24" s="23" t="inlineStr">
        <is>
          <t>仕様書4Ⅰ(2)-f</t>
        </is>
      </c>
      <c r="C24" s="25" t="inlineStr">
        <is>
          <t>二次元コードを調査票または依頼状に印字する</t>
        </is>
      </c>
      <c r="D24" s="23" t="inlineStr">
        <is>
          <t>受託者</t>
        </is>
      </c>
      <c r="E24" s="25" t="inlineStr">
        <is>
          <t>Ⅰ-14
Ⅰ-17</t>
        </is>
      </c>
      <c r="F24" s="25" t="inlineStr">
        <is>
          <t>依頼状（表紙）の作成
二次元コードの作成・調査票／依頼状への印字</t>
        </is>
      </c>
      <c r="G24" s="23" t="inlineStr">
        <is>
          <t>○</t>
        </is>
      </c>
      <c r="H24" s="25" t="inlineStr"/>
    </row>
    <row r="25" ht="30" customHeight="1">
      <c r="A25" s="24" t="inlineStr">
        <is>
          <t>4Ⅰ ニーズ調査</t>
        </is>
      </c>
      <c r="B25" s="23" t="inlineStr">
        <is>
          <t>仕様書4Ⅰ(2)-g</t>
        </is>
      </c>
      <c r="C25" s="25" t="inlineStr">
        <is>
          <t>紙・ウェブ双方で回答された場合に重複集計されないよう管理番号等で管理する</t>
        </is>
      </c>
      <c r="D25" s="23" t="inlineStr">
        <is>
          <t>受託者</t>
        </is>
      </c>
      <c r="E25" s="25" t="inlineStr">
        <is>
          <t>Ⅰ-18
Ⅰ-36</t>
        </is>
      </c>
      <c r="F25" s="25" t="inlineStr">
        <is>
          <t>重複回答の管理方法の設計（管理番号）
重複回答の排除</t>
        </is>
      </c>
      <c r="G25" s="23" t="inlineStr">
        <is>
          <t>○</t>
        </is>
      </c>
      <c r="H25" s="25" t="inlineStr"/>
    </row>
    <row r="26" ht="30" customHeight="1">
      <c r="A26" s="24" t="inlineStr">
        <is>
          <t>4Ⅰ ニーズ調査</t>
        </is>
      </c>
      <c r="B26" s="23" t="inlineStr">
        <is>
          <t>仕様書4Ⅰ(3)-a</t>
        </is>
      </c>
      <c r="C26" s="25" t="inlineStr">
        <is>
          <t>ニーズ調査票を A4判・約12ページ・黒1色で印刷する</t>
        </is>
      </c>
      <c r="D26" s="23" t="inlineStr">
        <is>
          <t>受託者</t>
        </is>
      </c>
      <c r="E26" s="25" t="inlineStr">
        <is>
          <t>Ⅰ-20
Ⅰ-21</t>
        </is>
      </c>
      <c r="F26" s="25" t="inlineStr">
        <is>
          <t>入稿データの作成
調査票の印刷（ニーズ調査 A4約12頁・黒1色）</t>
        </is>
      </c>
      <c r="G26" s="23" t="inlineStr">
        <is>
          <t>○</t>
        </is>
      </c>
      <c r="H26" s="25" t="inlineStr"/>
    </row>
    <row r="27" ht="30" customHeight="1">
      <c r="A27" s="24" t="inlineStr">
        <is>
          <t>4Ⅰ ニーズ調査</t>
        </is>
      </c>
      <c r="B27" s="23" t="inlineStr">
        <is>
          <t>仕様書4Ⅰ(3)-b</t>
        </is>
      </c>
      <c r="C27" s="25" t="inlineStr">
        <is>
          <t>在宅介護実態調査票を A4判・約8ページ・黒1色で印刷する</t>
        </is>
      </c>
      <c r="D27" s="23" t="inlineStr">
        <is>
          <t>受託者</t>
        </is>
      </c>
      <c r="E27" s="25" t="inlineStr">
        <is>
          <t>Ⅰ-20
Ⅰ-22</t>
        </is>
      </c>
      <c r="F27" s="25" t="inlineStr">
        <is>
          <t>入稿データの作成
調査票の印刷（在宅調査 A4約8頁・黒1色）</t>
        </is>
      </c>
      <c r="G27" s="23" t="inlineStr">
        <is>
          <t>○</t>
        </is>
      </c>
      <c r="H27" s="25" t="inlineStr"/>
    </row>
    <row r="28" ht="30" customHeight="1">
      <c r="A28" s="24" t="inlineStr">
        <is>
          <t>4Ⅰ ニーズ調査</t>
        </is>
      </c>
      <c r="B28" s="23" t="inlineStr">
        <is>
          <t>仕様書4Ⅰ(3)-c</t>
        </is>
      </c>
      <c r="C28" s="25" t="inlineStr">
        <is>
          <t>封筒（配布用・回収用）を各必要部数用意する</t>
        </is>
      </c>
      <c r="D28" s="23" t="inlineStr">
        <is>
          <t>双方</t>
        </is>
      </c>
      <c r="E28" s="25" t="inlineStr">
        <is>
          <t>Ⅰ-23
Ⅰ-26
Ⅰ-103</t>
        </is>
      </c>
      <c r="F28" s="25" t="inlineStr">
        <is>
          <t>返信用封筒の印刷
配布用封筒の提供
印刷部数の確定（予備を含む）</t>
        </is>
      </c>
      <c r="G28" s="23" t="inlineStr">
        <is>
          <t>○</t>
        </is>
      </c>
      <c r="H28" s="25" t="inlineStr">
        <is>
          <t>2026/09/24 決着：配布用封筒は村が用意し費用は村側で請求処理。受託者の印刷は返信用（回収用）のみ</t>
        </is>
      </c>
    </row>
    <row r="29" ht="30" customHeight="1">
      <c r="A29" s="24" t="inlineStr">
        <is>
          <t>4Ⅰ ニーズ調査</t>
        </is>
      </c>
      <c r="B29" s="23" t="inlineStr">
        <is>
          <t>仕様書4Ⅰ(3)-d</t>
        </is>
      </c>
      <c r="C29" s="25" t="inlineStr">
        <is>
          <t>印刷にあたり個人情報の取扱いに十分配慮する</t>
        </is>
      </c>
      <c r="D29" s="23" t="inlineStr">
        <is>
          <t>受託者</t>
        </is>
      </c>
      <c r="E29" s="25" t="inlineStr">
        <is>
          <t>Ⅴ-97</t>
        </is>
      </c>
      <c r="F29" s="25" t="inlineStr">
        <is>
          <t>個人情報の適正管理（アクセス制限・保管ルール）</t>
        </is>
      </c>
      <c r="G29" s="23" t="inlineStr">
        <is>
          <t>○</t>
        </is>
      </c>
      <c r="H29" s="25" t="inlineStr"/>
    </row>
    <row r="30" ht="30" customHeight="1">
      <c r="A30" s="24" t="inlineStr">
        <is>
          <t>4Ⅰ ニーズ調査</t>
        </is>
      </c>
      <c r="B30" s="23" t="inlineStr">
        <is>
          <t>仕様書4Ⅰ(3)-e</t>
        </is>
      </c>
      <c r="C30" s="25" t="inlineStr">
        <is>
          <t>印刷物の校了を判断する（条項名「印刷」に含まれる）</t>
        </is>
      </c>
      <c r="D30" s="23" t="inlineStr">
        <is>
          <t>双方</t>
        </is>
      </c>
      <c r="E30" s="25" t="inlineStr">
        <is>
          <t>Ⅰ-102</t>
        </is>
      </c>
      <c r="F30" s="25" t="inlineStr">
        <is>
          <t>印刷の校正・校了</t>
        </is>
      </c>
      <c r="G30" s="23" t="inlineStr">
        <is>
          <t>○</t>
        </is>
      </c>
      <c r="H30" s="25" t="inlineStr">
        <is>
          <t>印刷後は修正できないため、本業務で最もリスクが高い判断</t>
        </is>
      </c>
    </row>
    <row r="31" ht="30" customHeight="1">
      <c r="A31" s="24" t="inlineStr">
        <is>
          <t>4Ⅰ ニーズ調査</t>
        </is>
      </c>
      <c r="B31" s="23" t="inlineStr">
        <is>
          <t>仕様書4Ⅰ(4)-a</t>
        </is>
      </c>
      <c r="C31" s="25" t="inlineStr">
        <is>
          <t>村提供の宛名ラベルシールを配布用封筒に貼付する</t>
        </is>
      </c>
      <c r="D31" s="23" t="inlineStr">
        <is>
          <t>受託者</t>
        </is>
      </c>
      <c r="E31" s="25" t="inlineStr">
        <is>
          <t>Ⅰ-26
Ⅰ-27</t>
        </is>
      </c>
      <c r="F31" s="25" t="inlineStr">
        <is>
          <t>配布用封筒の提供
宛名ラベルの貼付</t>
        </is>
      </c>
      <c r="G31" s="23" t="inlineStr">
        <is>
          <t>○</t>
        </is>
      </c>
      <c r="H31" s="25" t="inlineStr"/>
    </row>
    <row r="32" ht="30" customHeight="1">
      <c r="A32" s="24" t="inlineStr">
        <is>
          <t>4Ⅰ ニーズ調査</t>
        </is>
      </c>
      <c r="B32" s="23" t="inlineStr">
        <is>
          <t>仕様書4Ⅰ(4)-b</t>
        </is>
      </c>
      <c r="C32" s="25" t="inlineStr">
        <is>
          <t>調査票と返信用封筒を封入・封緘する</t>
        </is>
      </c>
      <c r="D32" s="23" t="inlineStr">
        <is>
          <t>受託者</t>
        </is>
      </c>
      <c r="E32" s="25" t="inlineStr">
        <is>
          <t>Ⅰ-28</t>
        </is>
      </c>
      <c r="F32" s="25" t="inlineStr">
        <is>
          <t>封入・封緘</t>
        </is>
      </c>
      <c r="G32" s="23" t="inlineStr">
        <is>
          <t>○</t>
        </is>
      </c>
      <c r="H32" s="25" t="inlineStr"/>
    </row>
    <row r="33" ht="30" customHeight="1">
      <c r="A33" s="24" t="inlineStr">
        <is>
          <t>4Ⅰ ニーズ調査</t>
        </is>
      </c>
      <c r="B33" s="23" t="inlineStr">
        <is>
          <t>仕様書4Ⅰ(4)-c</t>
        </is>
      </c>
      <c r="C33" s="25" t="inlineStr">
        <is>
          <t>発送する</t>
        </is>
      </c>
      <c r="D33" s="23" t="inlineStr">
        <is>
          <t>受託者</t>
        </is>
      </c>
      <c r="E33" s="25" t="inlineStr">
        <is>
          <t>Ⅰ-29</t>
        </is>
      </c>
      <c r="F33" s="25" t="inlineStr">
        <is>
          <t>発送（郵送費は受託者負担）</t>
        </is>
      </c>
      <c r="G33" s="23" t="inlineStr">
        <is>
          <t>○</t>
        </is>
      </c>
      <c r="H33" s="25" t="inlineStr"/>
    </row>
    <row r="34" ht="30" customHeight="1">
      <c r="A34" s="24" t="inlineStr">
        <is>
          <t>4Ⅰ ニーズ調査</t>
        </is>
      </c>
      <c r="B34" s="23" t="inlineStr">
        <is>
          <t>仕様書4Ⅰ(4)-d</t>
        </is>
      </c>
      <c r="C34" s="25" t="inlineStr">
        <is>
          <t>回収票は受託者が開封確認のうえデータ入力する</t>
        </is>
      </c>
      <c r="D34" s="23" t="inlineStr">
        <is>
          <t>受託者</t>
        </is>
      </c>
      <c r="E34" s="25" t="inlineStr">
        <is>
          <t>Ⅰ-30
Ⅰ-32
Ⅰ-33
Ⅰ-34</t>
        </is>
      </c>
      <c r="F34" s="25" t="inlineStr">
        <is>
          <t>回収状況の管理
回収期限の管理・締切
開封確認
用紙回答のデータ入力</t>
        </is>
      </c>
      <c r="G34" s="23" t="inlineStr">
        <is>
          <t>○</t>
        </is>
      </c>
      <c r="H34" s="25" t="inlineStr"/>
    </row>
    <row r="35" ht="30" customHeight="1">
      <c r="A35" s="24" t="inlineStr">
        <is>
          <t>4Ⅰ ニーズ調査</t>
        </is>
      </c>
      <c r="B35" s="23" t="inlineStr">
        <is>
          <t>仕様書4Ⅰ(4)-e</t>
        </is>
      </c>
      <c r="C35" s="25" t="inlineStr">
        <is>
          <t>発送費用は受託者の負担とする</t>
        </is>
      </c>
      <c r="D35" s="23" t="inlineStr">
        <is>
          <t>受託者</t>
        </is>
      </c>
      <c r="E35" s="25" t="inlineStr">
        <is>
          <t>Ⅰ-29</t>
        </is>
      </c>
      <c r="F35" s="25" t="inlineStr">
        <is>
          <t>発送（郵送費は受託者負担）</t>
        </is>
      </c>
      <c r="G35" s="23" t="inlineStr">
        <is>
          <t>○</t>
        </is>
      </c>
      <c r="H35" s="25" t="inlineStr">
        <is>
          <t>往復約1,000通分</t>
        </is>
      </c>
    </row>
    <row r="36" ht="30" customHeight="1">
      <c r="A36" s="24" t="inlineStr">
        <is>
          <t>4Ⅰ ニーズ調査</t>
        </is>
      </c>
      <c r="B36" s="23" t="inlineStr">
        <is>
          <t>仕様書4Ⅰ(5)-a</t>
        </is>
      </c>
      <c r="C36" s="25" t="inlineStr">
        <is>
          <t>厚生労働省が提示する集計ファイル様式を基本として入力する</t>
        </is>
      </c>
      <c r="D36" s="23" t="inlineStr">
        <is>
          <t>受託者</t>
        </is>
      </c>
      <c r="E36" s="25" t="inlineStr">
        <is>
          <t>Ⅰ-34
Ⅰ-35
Ⅰ-46</t>
        </is>
      </c>
      <c r="F36" s="25" t="inlineStr">
        <is>
          <t>用紙回答のデータ入力
ウェブ回答データの取込
見える化システム登録用データの作成</t>
        </is>
      </c>
      <c r="G36" s="23" t="inlineStr">
        <is>
          <t>○</t>
        </is>
      </c>
      <c r="H36" s="25" t="inlineStr"/>
    </row>
    <row r="37" ht="30" customHeight="1">
      <c r="A37" s="24" t="inlineStr">
        <is>
          <t>4Ⅰ ニーズ調査</t>
        </is>
      </c>
      <c r="B37" s="23" t="inlineStr">
        <is>
          <t>仕様書4Ⅰ(5)-b</t>
        </is>
      </c>
      <c r="C37" s="25" t="inlineStr">
        <is>
          <t>在宅介護実態調査は厚生労働省提供の認定データ自動関連付けプログラムを活用できる入力とする</t>
        </is>
      </c>
      <c r="D37" s="23" t="inlineStr">
        <is>
          <t>双方</t>
        </is>
      </c>
      <c r="E37" s="25" t="inlineStr">
        <is>
          <t>Ⅰ-07
Ⅰ-37
Ⅰ-38</t>
        </is>
      </c>
      <c r="F37" s="25" t="inlineStr">
        <is>
          <t>調査手法の決定（在宅：手法Ⅰ〜Ⅳ）
要介護認定データの受領
認定データとの関連付け（自動プログラム）</t>
        </is>
      </c>
      <c r="G37" s="23" t="inlineStr">
        <is>
          <t>○</t>
        </is>
      </c>
      <c r="H37" s="25" t="inlineStr"/>
    </row>
    <row r="38" ht="30" customHeight="1">
      <c r="A38" s="24" t="inlineStr">
        <is>
          <t>4Ⅰ ニーズ調査</t>
        </is>
      </c>
      <c r="B38" s="23" t="inlineStr">
        <is>
          <t>仕様書4Ⅰ(5)-c</t>
        </is>
      </c>
      <c r="C38" s="25" t="inlineStr">
        <is>
          <t>入力を管理する（条項名「入力管理」＝入力後の精度の確認）</t>
        </is>
      </c>
      <c r="D38" s="23" t="inlineStr">
        <is>
          <t>受託者</t>
        </is>
      </c>
      <c r="E38" s="25" t="inlineStr">
        <is>
          <t>Ⅰ-104</t>
        </is>
      </c>
      <c r="F38" s="25" t="inlineStr">
        <is>
          <t>入力データの精度管理（論理チェック・ベリファイ）</t>
        </is>
      </c>
      <c r="G38" s="23" t="inlineStr">
        <is>
          <t>○</t>
        </is>
      </c>
      <c r="H38" s="25" t="inlineStr"/>
    </row>
    <row r="39" ht="30" customHeight="1">
      <c r="A39" s="24" t="inlineStr">
        <is>
          <t>4Ⅰ ニーズ調査</t>
        </is>
      </c>
      <c r="B39" s="23" t="inlineStr">
        <is>
          <t>仕様書4Ⅰ(6)-a</t>
        </is>
      </c>
      <c r="C39" s="25" t="inlineStr">
        <is>
          <t>単純集計を行う</t>
        </is>
      </c>
      <c r="D39" s="23" t="inlineStr">
        <is>
          <t>受託者</t>
        </is>
      </c>
      <c r="E39" s="25" t="inlineStr">
        <is>
          <t>Ⅰ-39</t>
        </is>
      </c>
      <c r="F39" s="25" t="inlineStr">
        <is>
          <t>単純集計</t>
        </is>
      </c>
      <c r="G39" s="23" t="inlineStr">
        <is>
          <t>○</t>
        </is>
      </c>
      <c r="H39" s="25" t="inlineStr"/>
    </row>
    <row r="40" ht="30" customHeight="1">
      <c r="A40" s="24" t="inlineStr">
        <is>
          <t>4Ⅰ ニーズ調査</t>
        </is>
      </c>
      <c r="B40" s="23" t="inlineStr">
        <is>
          <t>仕様書4Ⅰ(6)-b</t>
        </is>
      </c>
      <c r="C40" s="25" t="inlineStr">
        <is>
          <t>基本属性別のクロス集計を行う</t>
        </is>
      </c>
      <c r="D40" s="23" t="inlineStr">
        <is>
          <t>受託者</t>
        </is>
      </c>
      <c r="E40" s="25" t="inlineStr">
        <is>
          <t>Ⅰ-40</t>
        </is>
      </c>
      <c r="F40" s="25" t="inlineStr">
        <is>
          <t>基本属性別クロス集計（地区・性別・年齢）</t>
        </is>
      </c>
      <c r="G40" s="23" t="inlineStr">
        <is>
          <t>○</t>
        </is>
      </c>
      <c r="H40" s="25" t="inlineStr"/>
    </row>
    <row r="41" ht="30" customHeight="1">
      <c r="A41" s="24" t="inlineStr">
        <is>
          <t>4Ⅰ ニーズ調査</t>
        </is>
      </c>
      <c r="B41" s="23" t="inlineStr">
        <is>
          <t>仕様書4Ⅰ(6)-c</t>
        </is>
      </c>
      <c r="C41" s="25" t="inlineStr">
        <is>
          <t>時系列比較・設問間クロス等の詳細は村と協議の上で決定する</t>
        </is>
      </c>
      <c r="D41" s="23" t="inlineStr">
        <is>
          <t>双方</t>
        </is>
      </c>
      <c r="E41" s="25" t="inlineStr">
        <is>
          <t>Ⅰ-41
Ⅰ-42</t>
        </is>
      </c>
      <c r="F41" s="25" t="inlineStr">
        <is>
          <t>時系列比較（第8期・第9期との対比）
設問間クロス集計</t>
        </is>
      </c>
      <c r="G41" s="23" t="inlineStr">
        <is>
          <t>○</t>
        </is>
      </c>
      <c r="H41" s="25" t="inlineStr"/>
    </row>
    <row r="42" ht="30" customHeight="1">
      <c r="A42" s="24" t="inlineStr">
        <is>
          <t>4Ⅰ ニーズ調査</t>
        </is>
      </c>
      <c r="B42" s="23" t="inlineStr">
        <is>
          <t>仕様書4Ⅰ(6)-d</t>
        </is>
      </c>
      <c r="C42" s="25" t="inlineStr">
        <is>
          <t>分析を行う（自由記述・在宅調査の分析を含む）</t>
        </is>
      </c>
      <c r="D42" s="23" t="inlineStr">
        <is>
          <t>受託者</t>
        </is>
      </c>
      <c r="E42" s="25" t="inlineStr">
        <is>
          <t>Ⅰ-44
Ⅰ-45</t>
        </is>
      </c>
      <c r="F42" s="25" t="inlineStr">
        <is>
          <t>自由記述の整理
在宅調査の要介護度別・介護者就労状況別分析</t>
        </is>
      </c>
      <c r="G42" s="23" t="inlineStr">
        <is>
          <t>○</t>
        </is>
      </c>
      <c r="H42" s="25" t="inlineStr"/>
    </row>
    <row r="43" ht="30" customHeight="1">
      <c r="A43" s="24" t="inlineStr">
        <is>
          <t>4Ⅰ ニーズ調査</t>
        </is>
      </c>
      <c r="B43" s="23" t="inlineStr">
        <is>
          <t>仕様書4Ⅰ(7)-a</t>
        </is>
      </c>
      <c r="C43" s="25" t="inlineStr">
        <is>
          <t>設問ごとにグラフを作成する</t>
        </is>
      </c>
      <c r="D43" s="23" t="inlineStr">
        <is>
          <t>受託者</t>
        </is>
      </c>
      <c r="E43" s="25" t="inlineStr">
        <is>
          <t>Ⅰ-47</t>
        </is>
      </c>
      <c r="F43" s="25" t="inlineStr">
        <is>
          <t>設問ごとのグラフ作成</t>
        </is>
      </c>
      <c r="G43" s="23" t="inlineStr">
        <is>
          <t>○</t>
        </is>
      </c>
      <c r="H43" s="25" t="inlineStr"/>
    </row>
    <row r="44" ht="30" customHeight="1">
      <c r="A44" s="24" t="inlineStr">
        <is>
          <t>4Ⅰ ニーズ調査</t>
        </is>
      </c>
      <c r="B44" s="23" t="inlineStr">
        <is>
          <t>仕様書4Ⅰ(7)-b</t>
        </is>
      </c>
      <c r="C44" s="25" t="inlineStr">
        <is>
          <t>分析結果を報告書に取りまとめる</t>
        </is>
      </c>
      <c r="D44" s="23" t="inlineStr">
        <is>
          <t>受託者</t>
        </is>
      </c>
      <c r="E44" s="25" t="inlineStr">
        <is>
          <t>Ⅰ-48
Ⅰ-49</t>
        </is>
      </c>
      <c r="F44" s="25" t="inlineStr">
        <is>
          <t>調査結果報告書の執筆・レイアウト
報告書の村確認・修正</t>
        </is>
      </c>
      <c r="G44" s="23" t="inlineStr">
        <is>
          <t>○</t>
        </is>
      </c>
      <c r="H44" s="25" t="inlineStr"/>
    </row>
    <row r="45" ht="30" customHeight="1">
      <c r="A45" s="30" t="inlineStr">
        <is>
          <t>4Ⅱ 計画策定</t>
        </is>
      </c>
      <c r="B45" s="23" t="inlineStr">
        <is>
          <t>仕様書4Ⅱ(1)-a</t>
        </is>
      </c>
      <c r="C45" s="25" t="inlineStr">
        <is>
          <t>介護保険制度・高齢者の保健／医療／福祉をめぐる制度改正動向の関連資料を収集・整理する</t>
        </is>
      </c>
      <c r="D45" s="23" t="inlineStr">
        <is>
          <t>受託者</t>
        </is>
      </c>
      <c r="E45" s="25" t="inlineStr">
        <is>
          <t>Ⅱ-50
Ⅱ-51</t>
        </is>
      </c>
      <c r="F45" s="25" t="inlineStr">
        <is>
          <t>制度改正動向の資料収集・整理
第10期国の基本指針の確認・反映</t>
        </is>
      </c>
      <c r="G45" s="23" t="inlineStr">
        <is>
          <t>○</t>
        </is>
      </c>
      <c r="H45" s="25" t="inlineStr"/>
    </row>
    <row r="46" ht="30" customHeight="1">
      <c r="A46" s="24" t="inlineStr">
        <is>
          <t>4Ⅱ 計画策定</t>
        </is>
      </c>
      <c r="B46" s="23" t="inlineStr">
        <is>
          <t>仕様書4Ⅱ(1)-b</t>
        </is>
      </c>
      <c r="C46" s="25" t="inlineStr">
        <is>
          <t>次期計画の前提条件を明確化する</t>
        </is>
      </c>
      <c r="D46" s="23" t="inlineStr">
        <is>
          <t>受託者</t>
        </is>
      </c>
      <c r="E46" s="25" t="inlineStr">
        <is>
          <t>Ⅱ-52</t>
        </is>
      </c>
      <c r="F46" s="25" t="inlineStr">
        <is>
          <t>前提条件と基本的課題の明確化</t>
        </is>
      </c>
      <c r="G46" s="23" t="inlineStr">
        <is>
          <t>○</t>
        </is>
      </c>
      <c r="H46" s="25" t="inlineStr"/>
    </row>
    <row r="47" ht="30" customHeight="1">
      <c r="A47" s="24" t="inlineStr">
        <is>
          <t>4Ⅱ 計画策定</t>
        </is>
      </c>
      <c r="B47" s="23" t="inlineStr">
        <is>
          <t>仕様書4Ⅱ(1)-c</t>
        </is>
      </c>
      <c r="C47" s="25" t="inlineStr">
        <is>
          <t>次期計画の基本的課題を明確化する</t>
        </is>
      </c>
      <c r="D47" s="23" t="inlineStr">
        <is>
          <t>受託者</t>
        </is>
      </c>
      <c r="E47" s="25" t="inlineStr">
        <is>
          <t>Ⅱ-52</t>
        </is>
      </c>
      <c r="F47" s="25" t="inlineStr">
        <is>
          <t>前提条件と基本的課題の明確化</t>
        </is>
      </c>
      <c r="G47" s="23" t="inlineStr">
        <is>
          <t>○</t>
        </is>
      </c>
      <c r="H47" s="25" t="inlineStr"/>
    </row>
    <row r="48" ht="30" customHeight="1">
      <c r="A48" s="24" t="inlineStr">
        <is>
          <t>4Ⅱ 計画策定</t>
        </is>
      </c>
      <c r="B48" s="23" t="inlineStr">
        <is>
          <t>仕様書4Ⅱ(2)-a</t>
        </is>
      </c>
      <c r="C48" s="25" t="inlineStr">
        <is>
          <t>現行計画（R6〜R8年度）の取組状況を検証する</t>
        </is>
      </c>
      <c r="D48" s="23" t="inlineStr">
        <is>
          <t>双方</t>
        </is>
      </c>
      <c r="E48" s="25" t="inlineStr">
        <is>
          <t>０-05
Ⅱ-66</t>
        </is>
      </c>
      <c r="F48" s="25" t="inlineStr">
        <is>
          <t>現行計画・関連計画・実績資料の受領
現行計画の成果と課題の整理</t>
        </is>
      </c>
      <c r="G48" s="23" t="inlineStr">
        <is>
          <t>○</t>
        </is>
      </c>
      <c r="H48" s="25" t="inlineStr"/>
    </row>
    <row r="49" ht="30" customHeight="1">
      <c r="A49" s="24" t="inlineStr">
        <is>
          <t>4Ⅱ 計画策定</t>
        </is>
      </c>
      <c r="B49" s="23" t="inlineStr">
        <is>
          <t>仕様書4Ⅱ(2)①-a</t>
        </is>
      </c>
      <c r="C49" s="25" t="inlineStr">
        <is>
          <t>高齢者福祉事業等の実施状況を把握する</t>
        </is>
      </c>
      <c r="D49" s="23" t="inlineStr">
        <is>
          <t>双方</t>
        </is>
      </c>
      <c r="E49" s="25" t="inlineStr">
        <is>
          <t>Ⅱ-53
Ⅱ-54</t>
        </is>
      </c>
      <c r="F49" s="25" t="inlineStr">
        <is>
          <t>高齢者福祉事業等の実績資料の受領
高齢者福祉事業等の実施状況の把握と課題整理</t>
        </is>
      </c>
      <c r="G49" s="23" t="inlineStr">
        <is>
          <t>○</t>
        </is>
      </c>
      <c r="H49" s="25" t="inlineStr"/>
    </row>
    <row r="50" ht="30" customHeight="1">
      <c r="A50" s="24" t="inlineStr">
        <is>
          <t>4Ⅱ 計画策定</t>
        </is>
      </c>
      <c r="B50" s="23" t="inlineStr">
        <is>
          <t>仕様書4Ⅱ(2)①-b</t>
        </is>
      </c>
      <c r="C50" s="25" t="inlineStr">
        <is>
          <t>高齢者福祉事業等の課題を整理する</t>
        </is>
      </c>
      <c r="D50" s="23" t="inlineStr">
        <is>
          <t>受託者</t>
        </is>
      </c>
      <c r="E50" s="25" t="inlineStr">
        <is>
          <t>Ⅱ-54
Ⅱ-57</t>
        </is>
      </c>
      <c r="F50" s="25" t="inlineStr">
        <is>
          <t>高齢者福祉事業等の実施状況の把握と課題整理
課題の整理</t>
        </is>
      </c>
      <c r="G50" s="23" t="inlineStr">
        <is>
          <t>○</t>
        </is>
      </c>
      <c r="H50" s="25" t="inlineStr"/>
    </row>
    <row r="51" ht="30" customHeight="1">
      <c r="A51" s="24" t="inlineStr">
        <is>
          <t>4Ⅱ 計画策定</t>
        </is>
      </c>
      <c r="B51" s="23" t="inlineStr">
        <is>
          <t>仕様書4Ⅱ(2)②-a</t>
        </is>
      </c>
      <c r="C51" s="25" t="inlineStr">
        <is>
          <t>介護保険給付統計を取りまとめる</t>
        </is>
      </c>
      <c r="D51" s="23" t="inlineStr">
        <is>
          <t>受託者</t>
        </is>
      </c>
      <c r="E51" s="25" t="inlineStr">
        <is>
          <t>Ⅱ-55</t>
        </is>
      </c>
      <c r="F51" s="25" t="inlineStr">
        <is>
          <t>介護保険給付統計の取りまとめ</t>
        </is>
      </c>
      <c r="G51" s="23" t="inlineStr">
        <is>
          <t>○</t>
        </is>
      </c>
      <c r="H51" s="25" t="inlineStr"/>
    </row>
    <row r="52" ht="30" customHeight="1">
      <c r="A52" s="24" t="inlineStr">
        <is>
          <t>4Ⅱ 計画策定</t>
        </is>
      </c>
      <c r="B52" s="23" t="inlineStr">
        <is>
          <t>仕様書4Ⅱ(2)②-b</t>
        </is>
      </c>
      <c r="C52" s="25" t="inlineStr">
        <is>
          <t>計画数値を評価する</t>
        </is>
      </c>
      <c r="D52" s="23" t="inlineStr">
        <is>
          <t>受託者</t>
        </is>
      </c>
      <c r="E52" s="25" t="inlineStr">
        <is>
          <t>Ⅱ-56</t>
        </is>
      </c>
      <c r="F52" s="25" t="inlineStr">
        <is>
          <t>計画数値の評価（計画値と実績の乖離分析）</t>
        </is>
      </c>
      <c r="G52" s="23" t="inlineStr">
        <is>
          <t>○</t>
        </is>
      </c>
      <c r="H52" s="25" t="inlineStr"/>
    </row>
    <row r="53" ht="30" customHeight="1">
      <c r="A53" s="24" t="inlineStr">
        <is>
          <t>4Ⅱ 計画策定</t>
        </is>
      </c>
      <c r="B53" s="23" t="inlineStr">
        <is>
          <t>仕様書4Ⅱ(2)②-c</t>
        </is>
      </c>
      <c r="C53" s="25" t="inlineStr">
        <is>
          <t>介護保険給付に係る課題を整理する</t>
        </is>
      </c>
      <c r="D53" s="23" t="inlineStr">
        <is>
          <t>受託者</t>
        </is>
      </c>
      <c r="E53" s="25" t="inlineStr">
        <is>
          <t>Ⅱ-57</t>
        </is>
      </c>
      <c r="F53" s="25" t="inlineStr">
        <is>
          <t>課題の整理</t>
        </is>
      </c>
      <c r="G53" s="23" t="inlineStr">
        <is>
          <t>○</t>
        </is>
      </c>
      <c r="H53" s="25" t="inlineStr"/>
    </row>
    <row r="54" ht="30" customHeight="1">
      <c r="A54" s="24" t="inlineStr">
        <is>
          <t>4Ⅱ 計画策定</t>
        </is>
      </c>
      <c r="B54" s="23" t="inlineStr">
        <is>
          <t>仕様書4Ⅱ(3)-a</t>
        </is>
      </c>
      <c r="C54" s="25" t="inlineStr">
        <is>
          <t>国の基本指針との整合を図る</t>
        </is>
      </c>
      <c r="D54" s="23" t="inlineStr">
        <is>
          <t>受託者</t>
        </is>
      </c>
      <c r="E54" s="25" t="inlineStr">
        <is>
          <t>Ⅱ-51</t>
        </is>
      </c>
      <c r="F54" s="25" t="inlineStr">
        <is>
          <t>第10期国の基本指針の確認・反映</t>
        </is>
      </c>
      <c r="G54" s="23" t="inlineStr">
        <is>
          <t>○</t>
        </is>
      </c>
      <c r="H54" s="25" t="inlineStr"/>
    </row>
    <row r="55" ht="30" customHeight="1">
      <c r="A55" s="24" t="inlineStr">
        <is>
          <t>4Ⅱ 計画策定</t>
        </is>
      </c>
      <c r="B55" s="23" t="inlineStr">
        <is>
          <t>仕様書4Ⅱ(3)-b</t>
        </is>
      </c>
      <c r="C55" s="25" t="inlineStr">
        <is>
          <t>村の実情を踏まえて推計・検討する</t>
        </is>
      </c>
      <c r="D55" s="23" t="inlineStr">
        <is>
          <t>受託者</t>
        </is>
      </c>
      <c r="E55" s="25" t="inlineStr">
        <is>
          <t>Ⅱ-58</t>
        </is>
      </c>
      <c r="F55" s="25" t="inlineStr">
        <is>
          <t>将来人口の整理（2040年度含む中長期）</t>
        </is>
      </c>
      <c r="G55" s="23" t="inlineStr">
        <is>
          <t>○</t>
        </is>
      </c>
      <c r="H55" s="25" t="inlineStr"/>
    </row>
    <row r="56" ht="30" customHeight="1">
      <c r="A56" s="24" t="inlineStr">
        <is>
          <t>4Ⅱ 計画策定</t>
        </is>
      </c>
      <c r="B56" s="23" t="inlineStr">
        <is>
          <t>仕様書4Ⅱ(3)①-a</t>
        </is>
      </c>
      <c r="C56" s="25" t="inlineStr">
        <is>
          <t>要介護者数を推計する</t>
        </is>
      </c>
      <c r="D56" s="23" t="inlineStr">
        <is>
          <t>受託者</t>
        </is>
      </c>
      <c r="E56" s="25" t="inlineStr">
        <is>
          <t>Ⅱ-59
Ⅱ-60</t>
        </is>
      </c>
      <c r="F56" s="25" t="inlineStr">
        <is>
          <t>第1号被保険者数の推計
要介護者数の推計</t>
        </is>
      </c>
      <c r="G56" s="23" t="inlineStr">
        <is>
          <t>○</t>
        </is>
      </c>
      <c r="H56" s="25" t="inlineStr"/>
    </row>
    <row r="57" ht="30" customHeight="1">
      <c r="A57" s="24" t="inlineStr">
        <is>
          <t>4Ⅱ 計画策定</t>
        </is>
      </c>
      <c r="B57" s="23" t="inlineStr">
        <is>
          <t>仕様書4Ⅱ(3)②-a</t>
        </is>
      </c>
      <c r="C57" s="25" t="inlineStr">
        <is>
          <t>各介護保険サービスの見込量を推計する</t>
        </is>
      </c>
      <c r="D57" s="23" t="inlineStr">
        <is>
          <t>受託者</t>
        </is>
      </c>
      <c r="E57" s="25" t="inlineStr">
        <is>
          <t>Ⅱ-61</t>
        </is>
      </c>
      <c r="F57" s="25" t="inlineStr">
        <is>
          <t>各介護保険サービス見込量の推計</t>
        </is>
      </c>
      <c r="G57" s="23" t="inlineStr">
        <is>
          <t>○</t>
        </is>
      </c>
      <c r="H57" s="25" t="inlineStr"/>
    </row>
    <row r="58" ht="30" customHeight="1">
      <c r="A58" s="24" t="inlineStr">
        <is>
          <t>4Ⅱ 計画策定</t>
        </is>
      </c>
      <c r="B58" s="23" t="inlineStr">
        <is>
          <t>仕様書4Ⅱ(3)②-b</t>
        </is>
      </c>
      <c r="C58" s="25" t="inlineStr">
        <is>
          <t>地域密着型サービスの必要利用定員総数を定める</t>
        </is>
      </c>
      <c r="D58" s="23" t="inlineStr">
        <is>
          <t>受託者</t>
        </is>
      </c>
      <c r="E58" s="25" t="inlineStr">
        <is>
          <t>Ⅱ-105</t>
        </is>
      </c>
      <c r="F58" s="25" t="inlineStr">
        <is>
          <t>地域密着型サービスの必要利用定員総数の設定</t>
        </is>
      </c>
      <c r="G58" s="23" t="inlineStr">
        <is>
          <t>○</t>
        </is>
      </c>
      <c r="H58" s="25" t="inlineStr">
        <is>
          <t>介護保険法117条2項1号（義務）。仕様書の「各介護保険サービス見込量」に含まれる</t>
        </is>
      </c>
    </row>
    <row r="59" ht="30" customHeight="1">
      <c r="A59" s="24" t="inlineStr">
        <is>
          <t>4Ⅱ 計画策定</t>
        </is>
      </c>
      <c r="B59" s="23" t="inlineStr">
        <is>
          <t>仕様書4Ⅱ(3)②-c</t>
        </is>
      </c>
      <c r="C59" s="25" t="inlineStr">
        <is>
          <t>地域支援事業の量を見込む</t>
        </is>
      </c>
      <c r="D59" s="23" t="inlineStr">
        <is>
          <t>受託者</t>
        </is>
      </c>
      <c r="E59" s="25" t="inlineStr">
        <is>
          <t>Ⅱ-106</t>
        </is>
      </c>
      <c r="F59" s="25" t="inlineStr">
        <is>
          <t>地域支援事業の量の見込みと事業費の算定</t>
        </is>
      </c>
      <c r="G59" s="23" t="inlineStr">
        <is>
          <t>○</t>
        </is>
      </c>
      <c r="H59" s="25" t="inlineStr">
        <is>
          <t>介護保険法117条2項2号（義務）。保険料の構成要素でもある</t>
        </is>
      </c>
    </row>
    <row r="60" ht="30" customHeight="1">
      <c r="A60" s="24" t="inlineStr">
        <is>
          <t>4Ⅱ 計画策定</t>
        </is>
      </c>
      <c r="B60" s="23" t="inlineStr">
        <is>
          <t>仕様書4Ⅱ(3)③-a</t>
        </is>
      </c>
      <c r="C60" s="25" t="inlineStr">
        <is>
          <t>介護保険料を算定する</t>
        </is>
      </c>
      <c r="D60" s="23" t="inlineStr">
        <is>
          <t>受託者</t>
        </is>
      </c>
      <c r="E60" s="25" t="inlineStr">
        <is>
          <t>Ⅱ-62
Ⅱ-64</t>
        </is>
      </c>
      <c r="F60" s="25" t="inlineStr">
        <is>
          <t>給付費の試算
介護保険料の試算（複数案の比較）</t>
        </is>
      </c>
      <c r="G60" s="23" t="inlineStr">
        <is>
          <t>○</t>
        </is>
      </c>
      <c r="H60" s="25" t="inlineStr"/>
    </row>
    <row r="61" ht="30" customHeight="1">
      <c r="A61" s="24" t="inlineStr">
        <is>
          <t>4Ⅱ 計画策定</t>
        </is>
      </c>
      <c r="B61" s="23" t="inlineStr">
        <is>
          <t>仕様書4Ⅱ(3)③-b</t>
        </is>
      </c>
      <c r="C61" s="25" t="inlineStr">
        <is>
          <t>介護給付費準備基金の取崩しを織り込む</t>
        </is>
      </c>
      <c r="D61" s="23" t="inlineStr">
        <is>
          <t>双方</t>
        </is>
      </c>
      <c r="E61" s="25" t="inlineStr">
        <is>
          <t>Ⅱ-63</t>
        </is>
      </c>
      <c r="F61" s="25" t="inlineStr">
        <is>
          <t>介護保険準備基金の残高・取崩方針の確認</t>
        </is>
      </c>
      <c r="G61" s="23" t="inlineStr">
        <is>
          <t>○</t>
        </is>
      </c>
      <c r="H61" s="25" t="inlineStr"/>
    </row>
    <row r="62" ht="30" customHeight="1">
      <c r="A62" s="24" t="inlineStr">
        <is>
          <t>4Ⅱ 計画策定</t>
        </is>
      </c>
      <c r="B62" s="23" t="inlineStr">
        <is>
          <t>仕様書4Ⅱ(3)③-c</t>
        </is>
      </c>
      <c r="C62" s="25" t="inlineStr">
        <is>
          <t>所得段階別の保険料を設定する</t>
        </is>
      </c>
      <c r="D62" s="23" t="inlineStr">
        <is>
          <t>受託者</t>
        </is>
      </c>
      <c r="E62" s="25" t="inlineStr">
        <is>
          <t>Ⅱ-107</t>
        </is>
      </c>
      <c r="F62" s="25" t="inlineStr">
        <is>
          <t>所得段階の設定（段階数・保険料率・低所得者軽減）</t>
        </is>
      </c>
      <c r="G62" s="23" t="inlineStr">
        <is>
          <t>○</t>
        </is>
      </c>
      <c r="H62" s="25" t="inlineStr">
        <is>
          <t>第9期は13段階</t>
        </is>
      </c>
    </row>
    <row r="63" ht="30" customHeight="1">
      <c r="A63" s="24" t="inlineStr">
        <is>
          <t>4Ⅱ 計画策定</t>
        </is>
      </c>
      <c r="B63" s="23" t="inlineStr">
        <is>
          <t>仕様書4Ⅱ(3)③-d</t>
        </is>
      </c>
      <c r="C63" s="25" t="inlineStr">
        <is>
          <t>中長期（2040年度・2050年度）の保険料水準を見通す</t>
        </is>
      </c>
      <c r="D63" s="23" t="inlineStr">
        <is>
          <t>受託者</t>
        </is>
      </c>
      <c r="E63" s="25" t="inlineStr">
        <is>
          <t>Ⅱ-108</t>
        </is>
      </c>
      <c r="F63" s="25" t="inlineStr">
        <is>
          <t>中長期（令和17・22年度）の保険料見通しの算定</t>
        </is>
      </c>
      <c r="G63" s="23" t="inlineStr">
        <is>
          <t>○</t>
        </is>
      </c>
      <c r="H63" s="25" t="inlineStr">
        <is>
          <t>国の基本指針の要請。仕様書の「介護保険料」に含まれる</t>
        </is>
      </c>
    </row>
    <row r="64" ht="30" customHeight="1">
      <c r="A64" s="24" t="inlineStr">
        <is>
          <t>4Ⅱ 計画策定</t>
        </is>
      </c>
      <c r="B64" s="23" t="inlineStr">
        <is>
          <t>仕様書4Ⅱ(3)④-a</t>
        </is>
      </c>
      <c r="C64" s="25" t="inlineStr">
        <is>
          <t>成果目標を設定する</t>
        </is>
      </c>
      <c r="D64" s="23" t="inlineStr">
        <is>
          <t>受託者</t>
        </is>
      </c>
      <c r="E64" s="25" t="inlineStr">
        <is>
          <t>Ⅱ-65</t>
        </is>
      </c>
      <c r="F64" s="25" t="inlineStr">
        <is>
          <t>成果目標及び活動指標の設定</t>
        </is>
      </c>
      <c r="G64" s="23" t="inlineStr">
        <is>
          <t>○</t>
        </is>
      </c>
      <c r="H64" s="25" t="inlineStr"/>
    </row>
    <row r="65" ht="30" customHeight="1">
      <c r="A65" s="24" t="inlineStr">
        <is>
          <t>4Ⅱ 計画策定</t>
        </is>
      </c>
      <c r="B65" s="23" t="inlineStr">
        <is>
          <t>仕様書4Ⅱ(3)④-b</t>
        </is>
      </c>
      <c r="C65" s="25" t="inlineStr">
        <is>
          <t>活動指標を設定する</t>
        </is>
      </c>
      <c r="D65" s="23" t="inlineStr">
        <is>
          <t>受託者</t>
        </is>
      </c>
      <c r="E65" s="25" t="inlineStr">
        <is>
          <t>Ⅱ-65</t>
        </is>
      </c>
      <c r="F65" s="25" t="inlineStr">
        <is>
          <t>成果目標及び活動指標の設定</t>
        </is>
      </c>
      <c r="G65" s="23" t="inlineStr">
        <is>
          <t>○</t>
        </is>
      </c>
      <c r="H65" s="25" t="inlineStr"/>
    </row>
    <row r="66" ht="30" customHeight="1">
      <c r="A66" s="24" t="inlineStr">
        <is>
          <t>4Ⅱ 計画策定</t>
        </is>
      </c>
      <c r="B66" s="23" t="inlineStr">
        <is>
          <t>仕様書4Ⅱ(3)④-c</t>
        </is>
      </c>
      <c r="C66" s="25" t="inlineStr">
        <is>
          <t>給付適正化に関し取り組むべき施策とその目標を定める</t>
        </is>
      </c>
      <c r="D66" s="23" t="inlineStr">
        <is>
          <t>受託者</t>
        </is>
      </c>
      <c r="E66" s="25" t="inlineStr">
        <is>
          <t>Ⅱ-109</t>
        </is>
      </c>
      <c r="F66" s="25" t="inlineStr">
        <is>
          <t>給付適正化に係る取組内容と目標の設定</t>
        </is>
      </c>
      <c r="G66" s="23" t="inlineStr">
        <is>
          <t>○</t>
        </is>
      </c>
      <c r="H66" s="25" t="inlineStr">
        <is>
          <t>介護保険法117条2項3号・4号（義務）。仕様書の「成果目標及び活動指標」に含まれる</t>
        </is>
      </c>
    </row>
    <row r="67" ht="30" customHeight="1">
      <c r="A67" s="24" t="inlineStr">
        <is>
          <t>4Ⅱ 計画策定</t>
        </is>
      </c>
      <c r="B67" s="23" t="inlineStr">
        <is>
          <t>仕様書4Ⅱ(4)-a</t>
        </is>
      </c>
      <c r="C67" s="25" t="inlineStr">
        <is>
          <t>現行計画の成果と課題を踏まえる</t>
        </is>
      </c>
      <c r="D67" s="23" t="inlineStr">
        <is>
          <t>受託者</t>
        </is>
      </c>
      <c r="E67" s="25" t="inlineStr">
        <is>
          <t>Ⅱ-66</t>
        </is>
      </c>
      <c r="F67" s="25" t="inlineStr">
        <is>
          <t>現行計画の成果と課題の整理</t>
        </is>
      </c>
      <c r="G67" s="23" t="inlineStr">
        <is>
          <t>○</t>
        </is>
      </c>
      <c r="H67" s="25" t="inlineStr"/>
    </row>
    <row r="68" ht="30" customHeight="1">
      <c r="A68" s="24" t="inlineStr">
        <is>
          <t>4Ⅱ 計画策定</t>
        </is>
      </c>
      <c r="B68" s="23" t="inlineStr">
        <is>
          <t>仕様書4Ⅱ(4)-b</t>
        </is>
      </c>
      <c r="C68" s="25" t="inlineStr">
        <is>
          <t>環境整備を検討する</t>
        </is>
      </c>
      <c r="D68" s="23" t="inlineStr">
        <is>
          <t>受託者</t>
        </is>
      </c>
      <c r="E68" s="25" t="inlineStr">
        <is>
          <t>Ⅱ-67</t>
        </is>
      </c>
      <c r="F68" s="25" t="inlineStr">
        <is>
          <t>次期計画に盛り込む施策の検討</t>
        </is>
      </c>
      <c r="G68" s="23" t="inlineStr">
        <is>
          <t>○</t>
        </is>
      </c>
      <c r="H68" s="25" t="inlineStr"/>
    </row>
    <row r="69" ht="30" customHeight="1">
      <c r="A69" s="24" t="inlineStr">
        <is>
          <t>4Ⅱ 計画策定</t>
        </is>
      </c>
      <c r="B69" s="23" t="inlineStr">
        <is>
          <t>仕様書4Ⅱ(4)-c</t>
        </is>
      </c>
      <c r="C69" s="25" t="inlineStr">
        <is>
          <t>支援体制の構築等を検討する</t>
        </is>
      </c>
      <c r="D69" s="23" t="inlineStr">
        <is>
          <t>受託者</t>
        </is>
      </c>
      <c r="E69" s="25" t="inlineStr">
        <is>
          <t>Ⅱ-67</t>
        </is>
      </c>
      <c r="F69" s="25" t="inlineStr">
        <is>
          <t>次期計画に盛り込む施策の検討</t>
        </is>
      </c>
      <c r="G69" s="23" t="inlineStr">
        <is>
          <t>○</t>
        </is>
      </c>
      <c r="H69" s="25" t="inlineStr"/>
    </row>
    <row r="70" ht="30" customHeight="1">
      <c r="A70" s="24" t="inlineStr">
        <is>
          <t>4Ⅱ 計画策定</t>
        </is>
      </c>
      <c r="B70" s="23" t="inlineStr">
        <is>
          <t>仕様書4Ⅱ(4)-d</t>
        </is>
      </c>
      <c r="C70" s="25" t="inlineStr">
        <is>
          <t>老人福祉事業の量の目標を定める</t>
        </is>
      </c>
      <c r="D70" s="23" t="inlineStr">
        <is>
          <t>受託者</t>
        </is>
      </c>
      <c r="E70" s="25" t="inlineStr">
        <is>
          <t>Ⅱ-110</t>
        </is>
      </c>
      <c r="F70" s="25" t="inlineStr">
        <is>
          <t>老人福祉事業の量の目標の設定</t>
        </is>
      </c>
      <c r="G70" s="23" t="inlineStr">
        <is>
          <t>○</t>
        </is>
      </c>
      <c r="H70" s="25" t="inlineStr">
        <is>
          <t>老人福祉法20条の8第2項（義務）。仕様書の「高齢者福祉施策の検討」に含まれる</t>
        </is>
      </c>
    </row>
    <row r="71" ht="30" customHeight="1">
      <c r="A71" s="24" t="inlineStr">
        <is>
          <t>4Ⅱ 計画策定</t>
        </is>
      </c>
      <c r="B71" s="23" t="inlineStr">
        <is>
          <t>仕様書4Ⅱ(5)-a</t>
        </is>
      </c>
      <c r="C71" s="25" t="inlineStr">
        <is>
          <t>村から利用実態・考え方等の情報提供を受ける</t>
        </is>
      </c>
      <c r="D71" s="23" t="inlineStr">
        <is>
          <t>北塩原村</t>
        </is>
      </c>
      <c r="E71" s="25" t="inlineStr">
        <is>
          <t>Ⅱ-68</t>
        </is>
      </c>
      <c r="F71" s="25" t="inlineStr">
        <is>
          <t>制度の利用実態・考え方の情報提供</t>
        </is>
      </c>
      <c r="G71" s="23" t="inlineStr">
        <is>
          <t>○</t>
        </is>
      </c>
      <c r="H71" s="25" t="inlineStr"/>
    </row>
    <row r="72" ht="30" customHeight="1">
      <c r="A72" s="24" t="inlineStr">
        <is>
          <t>4Ⅱ 計画策定</t>
        </is>
      </c>
      <c r="B72" s="23" t="inlineStr">
        <is>
          <t>仕様書4Ⅱ(5)-b</t>
        </is>
      </c>
      <c r="C72" s="25" t="inlineStr">
        <is>
          <t>成年後見制度の利用促進の方向性・計画案を提示する</t>
        </is>
      </c>
      <c r="D72" s="23" t="inlineStr">
        <is>
          <t>受託者</t>
        </is>
      </c>
      <c r="E72" s="25" t="inlineStr">
        <is>
          <t>Ⅱ-69</t>
        </is>
      </c>
      <c r="F72" s="25" t="inlineStr">
        <is>
          <t>利用促進の方向性・計画案の提示</t>
        </is>
      </c>
      <c r="G72" s="23" t="inlineStr">
        <is>
          <t>○</t>
        </is>
      </c>
      <c r="H72" s="25" t="inlineStr"/>
    </row>
    <row r="73" ht="30" customHeight="1">
      <c r="A73" s="12" t="inlineStr">
        <is>
          <t>4Ⅱ 計画策定</t>
        </is>
      </c>
      <c r="B73" s="11" t="inlineStr">
        <is>
          <t>仕様書4Ⅱ(5)-c</t>
        </is>
      </c>
      <c r="C73" s="13" t="inlineStr">
        <is>
          <t>広域調整など関係機関との調整・協議は村が実施する</t>
        </is>
      </c>
      <c r="D73" s="11" t="inlineStr">
        <is>
          <t>北塩原村</t>
        </is>
      </c>
      <c r="E73" s="13" t="inlineStr">
        <is>
          <t>―</t>
        </is>
      </c>
      <c r="F73" s="13" t="inlineStr">
        <is>
          <t>―</t>
        </is>
      </c>
      <c r="G73" s="11" t="inlineStr">
        <is>
          <t>村</t>
        </is>
      </c>
      <c r="H73" s="13" t="inlineStr">
        <is>
          <t>受託者の作業ではない。受託者は計画案の提示にとどまる</t>
        </is>
      </c>
    </row>
    <row r="74" ht="30" customHeight="1">
      <c r="A74" s="24" t="inlineStr">
        <is>
          <t>4Ⅱ 計画策定</t>
        </is>
      </c>
      <c r="B74" s="23" t="inlineStr">
        <is>
          <t>仕様書4Ⅱ(6)-a</t>
        </is>
      </c>
      <c r="C74" s="25" t="inlineStr">
        <is>
          <t>課題を整理し、これに対応した計画案を検討・作成する</t>
        </is>
      </c>
      <c r="D74" s="23" t="inlineStr">
        <is>
          <t>受託者</t>
        </is>
      </c>
      <c r="E74" s="25" t="inlineStr">
        <is>
          <t>Ⅱ-70
Ⅱ-71</t>
        </is>
      </c>
      <c r="F74" s="25" t="inlineStr">
        <is>
          <t>第10期の課題の整理
施策体系の整理</t>
        </is>
      </c>
      <c r="G74" s="23" t="inlineStr">
        <is>
          <t>○</t>
        </is>
      </c>
      <c r="H74" s="25" t="inlineStr"/>
    </row>
    <row r="75" ht="30" customHeight="1">
      <c r="A75" s="24" t="inlineStr">
        <is>
          <t>4Ⅱ 計画策定</t>
        </is>
      </c>
      <c r="B75" s="23" t="inlineStr">
        <is>
          <t>仕様書4Ⅱ(6)-b</t>
        </is>
      </c>
      <c r="C75" s="25" t="inlineStr">
        <is>
          <t>国の基本指針との整合を図る</t>
        </is>
      </c>
      <c r="D75" s="23" t="inlineStr">
        <is>
          <t>受託者</t>
        </is>
      </c>
      <c r="E75" s="25" t="inlineStr">
        <is>
          <t>Ⅱ-51
Ⅱ-72</t>
        </is>
      </c>
      <c r="F75" s="25" t="inlineStr">
        <is>
          <t>第10期国の基本指針の確認・反映
関連計画との整合確認</t>
        </is>
      </c>
      <c r="G75" s="23" t="inlineStr">
        <is>
          <t>○</t>
        </is>
      </c>
      <c r="H75" s="25" t="inlineStr"/>
    </row>
    <row r="76" ht="30" customHeight="1">
      <c r="A76" s="32" t="inlineStr">
        <is>
          <t>4Ⅱ 計画策定</t>
        </is>
      </c>
      <c r="B76" s="34" t="inlineStr">
        <is>
          <t>仕様書4Ⅱ(6)-c</t>
        </is>
      </c>
      <c r="C76" s="33" t="inlineStr">
        <is>
          <t>北塩原村第五次総合振興計画との整合を図る</t>
        </is>
      </c>
      <c r="D76" s="34" t="inlineStr">
        <is>
          <t>受託者</t>
        </is>
      </c>
      <c r="E76" s="33" t="inlineStr">
        <is>
          <t>Ⅱ-72</t>
        </is>
      </c>
      <c r="F76" s="33" t="inlineStr">
        <is>
          <t>関連計画との整合確認</t>
        </is>
      </c>
      <c r="G76" s="34" t="inlineStr">
        <is>
          <t>○</t>
        </is>
      </c>
      <c r="H76" s="33" t="inlineStr">
        <is>
          <t>★上位計画が未受領</t>
        </is>
      </c>
    </row>
    <row r="77" ht="30" customHeight="1">
      <c r="A77" s="32" t="inlineStr">
        <is>
          <t>4Ⅱ 計画策定</t>
        </is>
      </c>
      <c r="B77" s="34" t="inlineStr">
        <is>
          <t>仕様書4Ⅱ(6)-d</t>
        </is>
      </c>
      <c r="C77" s="33" t="inlineStr">
        <is>
          <t>第3次健康21・北塩原村グッドヘルスプランとの整合を図る</t>
        </is>
      </c>
      <c r="D77" s="34" t="inlineStr">
        <is>
          <t>受託者</t>
        </is>
      </c>
      <c r="E77" s="33" t="inlineStr">
        <is>
          <t>Ⅱ-72</t>
        </is>
      </c>
      <c r="F77" s="33" t="inlineStr">
        <is>
          <t>関連計画との整合確認</t>
        </is>
      </c>
      <c r="G77" s="34" t="inlineStr">
        <is>
          <t>○</t>
        </is>
      </c>
      <c r="H77" s="33" t="inlineStr">
        <is>
          <t>★未受領</t>
        </is>
      </c>
    </row>
    <row r="78" ht="30" customHeight="1">
      <c r="A78" s="24" t="inlineStr">
        <is>
          <t>4Ⅱ 計画策定</t>
        </is>
      </c>
      <c r="B78" s="23" t="inlineStr">
        <is>
          <t>仕様書4Ⅱ(6)-e</t>
        </is>
      </c>
      <c r="C78" s="25" t="inlineStr">
        <is>
          <t>整合対象の「等」に含まれる計画の範囲を確認する</t>
        </is>
      </c>
      <c r="D78" s="23" t="inlineStr">
        <is>
          <t>双方</t>
        </is>
      </c>
      <c r="E78" s="25" t="inlineStr">
        <is>
          <t>Ⅱ-73</t>
        </is>
      </c>
      <c r="F78" s="25" t="inlineStr">
        <is>
          <t>一体的策定の範囲の確認</t>
        </is>
      </c>
      <c r="G78" s="23" t="inlineStr">
        <is>
          <t>○</t>
        </is>
      </c>
      <c r="H78" s="25" t="inlineStr">
        <is>
          <t>認知症施策推進計画・成年後見制度利用促進基本計画の一体化の継続可否</t>
        </is>
      </c>
    </row>
    <row r="79" ht="30" customHeight="1">
      <c r="A79" s="24" t="inlineStr">
        <is>
          <t>4Ⅱ 計画策定</t>
        </is>
      </c>
      <c r="B79" s="23" t="inlineStr">
        <is>
          <t>仕様書4Ⅱ(7)-a</t>
        </is>
      </c>
      <c r="C79" s="25" t="inlineStr">
        <is>
          <t>策定委員会での審議の意見を反映する</t>
        </is>
      </c>
      <c r="D79" s="23" t="inlineStr">
        <is>
          <t>受託者</t>
        </is>
      </c>
      <c r="E79" s="25" t="inlineStr">
        <is>
          <t>Ⅱ-112</t>
        </is>
      </c>
      <c r="F79" s="25" t="inlineStr">
        <is>
          <t>策定委員会の審議意見の反映</t>
        </is>
      </c>
      <c r="G79" s="23" t="inlineStr">
        <is>
          <t>○</t>
        </is>
      </c>
      <c r="H79" s="25" t="inlineStr"/>
    </row>
    <row r="80" ht="30" customHeight="1">
      <c r="A80" s="24" t="inlineStr">
        <is>
          <t>4Ⅱ 計画策定</t>
        </is>
      </c>
      <c r="B80" s="23" t="inlineStr">
        <is>
          <t>仕様書4Ⅱ(7)-b</t>
        </is>
      </c>
      <c r="C80" s="25" t="inlineStr">
        <is>
          <t>パブリックコメントを実施する（村が実施）</t>
        </is>
      </c>
      <c r="D80" s="23" t="inlineStr">
        <is>
          <t>北塩原村</t>
        </is>
      </c>
      <c r="E80" s="25" t="inlineStr">
        <is>
          <t>Ⅱ-76</t>
        </is>
      </c>
      <c r="F80" s="25" t="inlineStr">
        <is>
          <t>パブリックコメントの実施</t>
        </is>
      </c>
      <c r="G80" s="23" t="inlineStr">
        <is>
          <t>○</t>
        </is>
      </c>
      <c r="H80" s="25" t="inlineStr"/>
    </row>
    <row r="81" ht="30" customHeight="1">
      <c r="A81" s="24" t="inlineStr">
        <is>
          <t>4Ⅱ 計画策定</t>
        </is>
      </c>
      <c r="B81" s="23" t="inlineStr">
        <is>
          <t>仕様書4Ⅱ(7)-c</t>
        </is>
      </c>
      <c r="C81" s="25" t="inlineStr">
        <is>
          <t>パブリックコメントの意見を反映する</t>
        </is>
      </c>
      <c r="D81" s="23" t="inlineStr">
        <is>
          <t>受託者</t>
        </is>
      </c>
      <c r="E81" s="25" t="inlineStr">
        <is>
          <t>Ⅱ-77</t>
        </is>
      </c>
      <c r="F81" s="25" t="inlineStr">
        <is>
          <t>パブリックコメント意見の反映</t>
        </is>
      </c>
      <c r="G81" s="23" t="inlineStr">
        <is>
          <t>○</t>
        </is>
      </c>
      <c r="H81" s="25" t="inlineStr"/>
    </row>
    <row r="82" ht="30" customHeight="1">
      <c r="A82" s="24" t="inlineStr">
        <is>
          <t>4Ⅱ 計画策定</t>
        </is>
      </c>
      <c r="B82" s="23" t="inlineStr">
        <is>
          <t>仕様書4Ⅱ(7)-d</t>
        </is>
      </c>
      <c r="C82" s="25" t="inlineStr">
        <is>
          <t>計画書を最終取りまとめする</t>
        </is>
      </c>
      <c r="D82" s="23" t="inlineStr">
        <is>
          <t>受託者</t>
        </is>
      </c>
      <c r="E82" s="25" t="inlineStr">
        <is>
          <t>Ⅱ-74
Ⅱ-75
Ⅱ-78
Ⅱ-79</t>
        </is>
      </c>
      <c r="F82" s="25" t="inlineStr">
        <is>
          <t>骨子案の作成
素案の作成
原案の作成
計画書の最終取りまとめ</t>
        </is>
      </c>
      <c r="G82" s="23" t="inlineStr">
        <is>
          <t>○</t>
        </is>
      </c>
      <c r="H82" s="25" t="inlineStr"/>
    </row>
    <row r="83" ht="30" customHeight="1">
      <c r="A83" s="24" t="inlineStr">
        <is>
          <t>4Ⅱ 計画策定</t>
        </is>
      </c>
      <c r="B83" s="23" t="inlineStr">
        <is>
          <t>仕様書4Ⅱ(7)-e</t>
        </is>
      </c>
      <c r="C83" s="25" t="inlineStr">
        <is>
          <t>印刷入稿に足るレイアウト・校正を行う</t>
        </is>
      </c>
      <c r="D83" s="23" t="inlineStr">
        <is>
          <t>受託者</t>
        </is>
      </c>
      <c r="E83" s="25" t="inlineStr">
        <is>
          <t>Ⅱ-113</t>
        </is>
      </c>
      <c r="F83" s="25" t="inlineStr">
        <is>
          <t>計画書のレイアウト・校正</t>
        </is>
      </c>
      <c r="G83" s="23" t="inlineStr">
        <is>
          <t>○</t>
        </is>
      </c>
      <c r="H83" s="25" t="inlineStr"/>
    </row>
    <row r="84" ht="30" customHeight="1">
      <c r="A84" s="24" t="inlineStr">
        <is>
          <t>4Ⅱ 計画策定</t>
        </is>
      </c>
      <c r="B84" s="23" t="inlineStr">
        <is>
          <t>仕様書4Ⅱ(8)-a</t>
        </is>
      </c>
      <c r="C84" s="25" t="inlineStr">
        <is>
          <t>策定委員会の会議資料を作成する</t>
        </is>
      </c>
      <c r="D84" s="23" t="inlineStr">
        <is>
          <t>受託者</t>
        </is>
      </c>
      <c r="E84" s="25" t="inlineStr">
        <is>
          <t>Ⅱ-81
Ⅱ-83
Ⅱ-85</t>
        </is>
      </c>
      <c r="F84" s="25" t="inlineStr">
        <is>
          <t>第1回 会議資料の作成
第2回 会議資料の作成
第3回 会議資料の作成</t>
        </is>
      </c>
      <c r="G84" s="23" t="inlineStr">
        <is>
          <t>○</t>
        </is>
      </c>
      <c r="H84" s="25" t="inlineStr"/>
    </row>
    <row r="85" ht="30" customHeight="1">
      <c r="A85" s="24" t="inlineStr">
        <is>
          <t>4Ⅱ 計画策定</t>
        </is>
      </c>
      <c r="B85" s="23" t="inlineStr">
        <is>
          <t>仕様書4Ⅱ(8)-b</t>
        </is>
      </c>
      <c r="C85" s="25" t="inlineStr">
        <is>
          <t>策定委員会に出席する</t>
        </is>
      </c>
      <c r="D85" s="23" t="inlineStr">
        <is>
          <t>受託者</t>
        </is>
      </c>
      <c r="E85" s="25" t="inlineStr">
        <is>
          <t>Ⅱ-82
Ⅱ-84
Ⅱ-86</t>
        </is>
      </c>
      <c r="F85" s="25" t="inlineStr">
        <is>
          <t>第1回 会議出席・会議記録（要旨）の作成
第2回 会議出席・会議記録（要旨）の作成
第3回 会議出席・会議記録（要旨）の作成</t>
        </is>
      </c>
      <c r="G85" s="23" t="inlineStr">
        <is>
          <t>○</t>
        </is>
      </c>
      <c r="H85" s="25" t="inlineStr"/>
    </row>
    <row r="86" ht="30" customHeight="1">
      <c r="A86" s="24" t="inlineStr">
        <is>
          <t>4Ⅱ 計画策定</t>
        </is>
      </c>
      <c r="B86" s="23" t="inlineStr">
        <is>
          <t>仕様書4Ⅱ(8)-c</t>
        </is>
      </c>
      <c r="C86" s="25" t="inlineStr">
        <is>
          <t>会議記録（要旨）を作成する</t>
        </is>
      </c>
      <c r="D86" s="23" t="inlineStr">
        <is>
          <t>受託者</t>
        </is>
      </c>
      <c r="E86" s="25" t="inlineStr">
        <is>
          <t>Ⅱ-82
Ⅱ-84
Ⅱ-86</t>
        </is>
      </c>
      <c r="F86" s="25" t="inlineStr">
        <is>
          <t>第1回 会議出席・会議記録（要旨）の作成
第2回 会議出席・会議記録（要旨）の作成
第3回 会議出席・会議記録（要旨）の作成</t>
        </is>
      </c>
      <c r="G86" s="23" t="inlineStr">
        <is>
          <t>○</t>
        </is>
      </c>
      <c r="H86" s="25" t="inlineStr"/>
    </row>
    <row r="87" ht="30" customHeight="1">
      <c r="A87" s="24" t="inlineStr">
        <is>
          <t>4Ⅱ 計画策定</t>
        </is>
      </c>
      <c r="B87" s="23" t="inlineStr">
        <is>
          <t>仕様書4Ⅱ(8)-d</t>
        </is>
      </c>
      <c r="C87" s="25" t="inlineStr">
        <is>
          <t>開催回数は3回程度</t>
        </is>
      </c>
      <c r="D87" s="23" t="inlineStr">
        <is>
          <t>受託者</t>
        </is>
      </c>
      <c r="E87" s="25" t="inlineStr">
        <is>
          <t>Ⅱ-80</t>
        </is>
      </c>
      <c r="F87" s="25" t="inlineStr">
        <is>
          <t>委員の改選・委嘱</t>
        </is>
      </c>
      <c r="G87" s="23" t="inlineStr">
        <is>
          <t>○</t>
        </is>
      </c>
      <c r="H87" s="25" t="inlineStr">
        <is>
          <t>第1回は受託前に開催済み。現委員の任期は令和8年9月30日満了で改選が前提</t>
        </is>
      </c>
    </row>
    <row r="88" ht="30" customHeight="1">
      <c r="A88" s="30" t="inlineStr">
        <is>
          <t>4Ⅲ 打合せ等</t>
        </is>
      </c>
      <c r="B88" s="23" t="inlineStr">
        <is>
          <t>仕様書4Ⅲ-a</t>
        </is>
      </c>
      <c r="C88" s="25" t="inlineStr">
        <is>
          <t>計画策定業務の実施中、必要に応じて打合せを実施する</t>
        </is>
      </c>
      <c r="D88" s="23" t="inlineStr">
        <is>
          <t>双方</t>
        </is>
      </c>
      <c r="E88" s="25" t="inlineStr">
        <is>
          <t>０-03
Ⅲ-87</t>
        </is>
      </c>
      <c r="F88" s="25" t="inlineStr">
        <is>
          <t>キックオフ会議の開催
定例打合せの実施（電話・オンライン・対面）</t>
        </is>
      </c>
      <c r="G88" s="23" t="inlineStr">
        <is>
          <t>○</t>
        </is>
      </c>
      <c r="H88" s="25" t="inlineStr"/>
    </row>
    <row r="89" ht="30" customHeight="1">
      <c r="A89" s="24" t="inlineStr">
        <is>
          <t>4Ⅲ 打合せ等</t>
        </is>
      </c>
      <c r="B89" s="23" t="inlineStr">
        <is>
          <t>仕様書4Ⅲ-b</t>
        </is>
      </c>
      <c r="C89" s="25" t="inlineStr">
        <is>
          <t>打合せは電話・面談（オンライン・対面）による</t>
        </is>
      </c>
      <c r="D89" s="23" t="inlineStr">
        <is>
          <t>双方</t>
        </is>
      </c>
      <c r="E89" s="25" t="inlineStr">
        <is>
          <t>Ⅲ-87</t>
        </is>
      </c>
      <c r="F89" s="25" t="inlineStr">
        <is>
          <t>定例打合せの実施（電話・オンライン・対面）</t>
        </is>
      </c>
      <c r="G89" s="23" t="inlineStr">
        <is>
          <t>○</t>
        </is>
      </c>
      <c r="H89" s="25" t="inlineStr"/>
    </row>
    <row r="90" ht="30" customHeight="1">
      <c r="A90" s="24" t="inlineStr">
        <is>
          <t>4Ⅲ 打合せ等</t>
        </is>
      </c>
      <c r="B90" s="23" t="inlineStr">
        <is>
          <t>仕様書4Ⅲ-c</t>
        </is>
      </c>
      <c r="C90" s="25" t="inlineStr">
        <is>
          <t>資料の授受を行う</t>
        </is>
      </c>
      <c r="D90" s="23" t="inlineStr">
        <is>
          <t>双方</t>
        </is>
      </c>
      <c r="E90" s="25" t="inlineStr">
        <is>
          <t>０-04
Ⅲ-88</t>
        </is>
      </c>
      <c r="F90" s="25" t="inlineStr">
        <is>
          <t>連絡体制・資料授受方法の確定
資料授受の管理</t>
        </is>
      </c>
      <c r="G90" s="23" t="inlineStr">
        <is>
          <t>○</t>
        </is>
      </c>
      <c r="H90" s="25" t="inlineStr"/>
    </row>
    <row r="91" ht="30" customHeight="1">
      <c r="A91" s="30" t="inlineStr">
        <is>
          <t>5 業務成果品</t>
        </is>
      </c>
      <c r="B91" s="23" t="inlineStr">
        <is>
          <t>仕様書5①-a</t>
        </is>
      </c>
      <c r="C91" s="25" t="inlineStr">
        <is>
          <t>計画書を A4判・両面約100頁・モノクロで作成する</t>
        </is>
      </c>
      <c r="D91" s="23" t="inlineStr">
        <is>
          <t>受託者</t>
        </is>
      </c>
      <c r="E91" s="25" t="inlineStr">
        <is>
          <t>Ⅳ-89</t>
        </is>
      </c>
      <c r="F91" s="25" t="inlineStr">
        <is>
          <t>計画書の印刷・製本（A4両面約100頁・くるみ製本）</t>
        </is>
      </c>
      <c r="G91" s="23" t="inlineStr">
        <is>
          <t>○</t>
        </is>
      </c>
      <c r="H91" s="25" t="inlineStr"/>
    </row>
    <row r="92" ht="30" customHeight="1">
      <c r="A92" s="24" t="inlineStr">
        <is>
          <t>5 業務成果品</t>
        </is>
      </c>
      <c r="B92" s="23" t="inlineStr">
        <is>
          <t>仕様書5①-b</t>
        </is>
      </c>
      <c r="C92" s="25" t="inlineStr">
        <is>
          <t>計画書はコピー／くるみ製本とする</t>
        </is>
      </c>
      <c r="D92" s="23" t="inlineStr">
        <is>
          <t>受託者</t>
        </is>
      </c>
      <c r="E92" s="25" t="inlineStr">
        <is>
          <t>Ⅳ-89</t>
        </is>
      </c>
      <c r="F92" s="25" t="inlineStr">
        <is>
          <t>計画書の印刷・製本（A4両面約100頁・くるみ製本）</t>
        </is>
      </c>
      <c r="G92" s="23" t="inlineStr">
        <is>
          <t>○</t>
        </is>
      </c>
      <c r="H92" s="25" t="inlineStr"/>
    </row>
    <row r="93" ht="30" customHeight="1">
      <c r="A93" s="24" t="inlineStr">
        <is>
          <t>5 業務成果品</t>
        </is>
      </c>
      <c r="B93" s="23" t="inlineStr">
        <is>
          <t>仕様書5①-c</t>
        </is>
      </c>
      <c r="C93" s="25" t="inlineStr">
        <is>
          <t>計画書を50部納品する</t>
        </is>
      </c>
      <c r="D93" s="23" t="inlineStr">
        <is>
          <t>受託者</t>
        </is>
      </c>
      <c r="E93" s="25" t="inlineStr">
        <is>
          <t>Ⅳ-89
Ⅳ-96</t>
        </is>
      </c>
      <c r="F93" s="25" t="inlineStr">
        <is>
          <t>計画書の印刷・製本（A4両面約100頁・くるみ製本）
納品・検収</t>
        </is>
      </c>
      <c r="G93" s="23" t="inlineStr">
        <is>
          <t>○</t>
        </is>
      </c>
      <c r="H93" s="25" t="inlineStr"/>
    </row>
    <row r="94" ht="30" customHeight="1">
      <c r="A94" s="24" t="inlineStr">
        <is>
          <t>5 業務成果品</t>
        </is>
      </c>
      <c r="B94" s="23" t="inlineStr">
        <is>
          <t>仕様書5②-a</t>
        </is>
      </c>
      <c r="C94" s="25" t="inlineStr">
        <is>
          <t>アンケート調査報告書を A4判・両面約100頁・モノクロ・ホチキス製本で作成する</t>
        </is>
      </c>
      <c r="D94" s="23" t="inlineStr">
        <is>
          <t>受託者</t>
        </is>
      </c>
      <c r="E94" s="25" t="inlineStr">
        <is>
          <t>Ⅳ-90</t>
        </is>
      </c>
      <c r="F94" s="25" t="inlineStr">
        <is>
          <t>アンケート調査報告書の印刷・製本（ホチキス製本）</t>
        </is>
      </c>
      <c r="G94" s="23" t="inlineStr">
        <is>
          <t>○</t>
        </is>
      </c>
      <c r="H94" s="25" t="inlineStr">
        <is>
          <t>2026/09/24 決着：仕様書どおり約100頁に統一。第Ⅱ部（分析編25頁）は維持し第Ⅰ部・資料編で18頁を圧縮（doc24§1-1）</t>
        </is>
      </c>
    </row>
    <row r="95" ht="30" customHeight="1">
      <c r="A95" s="24" t="inlineStr">
        <is>
          <t>5 業務成果品</t>
        </is>
      </c>
      <c r="B95" s="23" t="inlineStr">
        <is>
          <t>仕様書5②-b</t>
        </is>
      </c>
      <c r="C95" s="25" t="inlineStr">
        <is>
          <t>アンケート調査報告書を10部納品する</t>
        </is>
      </c>
      <c r="D95" s="23" t="inlineStr">
        <is>
          <t>受託者</t>
        </is>
      </c>
      <c r="E95" s="25" t="inlineStr">
        <is>
          <t>Ⅳ-90
Ⅳ-96</t>
        </is>
      </c>
      <c r="F95" s="25" t="inlineStr">
        <is>
          <t>アンケート調査報告書の印刷・製本（ホチキス製本）
納品・検収</t>
        </is>
      </c>
      <c r="G95" s="23" t="inlineStr">
        <is>
          <t>○</t>
        </is>
      </c>
      <c r="H95" s="25" t="inlineStr"/>
    </row>
    <row r="96" ht="30" customHeight="1">
      <c r="A96" s="24" t="inlineStr">
        <is>
          <t>5 業務成果品</t>
        </is>
      </c>
      <c r="B96" s="23" t="inlineStr">
        <is>
          <t>仕様書5③-a</t>
        </is>
      </c>
      <c r="C96" s="25" t="inlineStr">
        <is>
          <t>成果品及び関連データを収録した電子媒体（Word・Excel・PowerPoint・PDF形式等／CD-R等）を納品する</t>
        </is>
      </c>
      <c r="D96" s="23" t="inlineStr">
        <is>
          <t>受託者</t>
        </is>
      </c>
      <c r="E96" s="25" t="inlineStr">
        <is>
          <t>Ⅳ-91
Ⅳ-96</t>
        </is>
      </c>
      <c r="F96" s="25" t="inlineStr">
        <is>
          <t>電子媒体の作成（Word/Excel/PowerPoint/PDF）
納品・検収</t>
        </is>
      </c>
      <c r="G96" s="23" t="inlineStr">
        <is>
          <t>○</t>
        </is>
      </c>
      <c r="H96" s="25" t="inlineStr"/>
    </row>
    <row r="97" ht="30" customHeight="1">
      <c r="A97" s="24" t="inlineStr">
        <is>
          <t>5 業務成果品</t>
        </is>
      </c>
      <c r="B97" s="23" t="inlineStr">
        <is>
          <t>仕様書5③-b</t>
        </is>
      </c>
      <c r="C97" s="25" t="inlineStr">
        <is>
          <t>電子媒体に収録する「関連データ」の範囲を定める</t>
        </is>
      </c>
      <c r="D97" s="23" t="inlineStr">
        <is>
          <t>双方</t>
        </is>
      </c>
      <c r="E97" s="25" t="inlineStr">
        <is>
          <t>Ⅳ-114</t>
        </is>
      </c>
      <c r="F97" s="25" t="inlineStr">
        <is>
          <t>納品物に収録する範囲の確定（個人情報の非収録）</t>
        </is>
      </c>
      <c r="G97" s="23" t="inlineStr">
        <is>
          <t>○</t>
        </is>
      </c>
      <c r="H97" s="25" t="inlineStr">
        <is>
          <t>回答原票・管理番号対応表を含めるかは仕様書6(1)と一体で判断する</t>
        </is>
      </c>
    </row>
    <row r="98" ht="30" customHeight="1">
      <c r="A98" s="30" t="inlineStr">
        <is>
          <t>6 その他</t>
        </is>
      </c>
      <c r="B98" s="23" t="inlineStr">
        <is>
          <t>仕様書6(1)-a</t>
        </is>
      </c>
      <c r="C98" s="25" t="inlineStr">
        <is>
          <t>業務上知り得た個人情報を第三者に開示・漏洩しない</t>
        </is>
      </c>
      <c r="D98" s="23" t="inlineStr">
        <is>
          <t>受託者</t>
        </is>
      </c>
      <c r="E98" s="25" t="inlineStr">
        <is>
          <t>Ⅴ-97</t>
        </is>
      </c>
      <c r="F98" s="25" t="inlineStr">
        <is>
          <t>個人情報の適正管理（アクセス制限・保管ルール）</t>
        </is>
      </c>
      <c r="G98" s="23" t="inlineStr">
        <is>
          <t>○</t>
        </is>
      </c>
      <c r="H98" s="25" t="inlineStr"/>
    </row>
    <row r="99" ht="30" customHeight="1">
      <c r="A99" s="24" t="inlineStr">
        <is>
          <t>6 その他</t>
        </is>
      </c>
      <c r="B99" s="23" t="inlineStr">
        <is>
          <t>仕様書6(1)-b</t>
        </is>
      </c>
      <c r="C99" s="25" t="inlineStr">
        <is>
          <t>契約期間終了後・契約解除後も同様とする</t>
        </is>
      </c>
      <c r="D99" s="23" t="inlineStr">
        <is>
          <t>受託者</t>
        </is>
      </c>
      <c r="E99" s="25" t="inlineStr">
        <is>
          <t>Ⅴ-98</t>
        </is>
      </c>
      <c r="F99" s="25" t="inlineStr">
        <is>
          <t>業務完了後の情報の返還・消去</t>
        </is>
      </c>
      <c r="G99" s="23" t="inlineStr">
        <is>
          <t>○</t>
        </is>
      </c>
      <c r="H99" s="25" t="inlineStr"/>
    </row>
    <row r="100" ht="30" customHeight="1">
      <c r="A100" s="24" t="inlineStr">
        <is>
          <t>6 その他</t>
        </is>
      </c>
      <c r="B100" s="23" t="inlineStr">
        <is>
          <t>仕様書6(2)-a</t>
        </is>
      </c>
      <c r="C100" s="25" t="inlineStr">
        <is>
          <t>業務の全部を一括して再委託してはならない</t>
        </is>
      </c>
      <c r="D100" s="23" t="inlineStr">
        <is>
          <t>受託者</t>
        </is>
      </c>
      <c r="E100" s="25" t="inlineStr">
        <is>
          <t>Ⅴ-99</t>
        </is>
      </c>
      <c r="F100" s="25" t="inlineStr">
        <is>
          <t>再委託の書面承諾の取得</t>
        </is>
      </c>
      <c r="G100" s="23" t="inlineStr">
        <is>
          <t>○</t>
        </is>
      </c>
      <c r="H100" s="25" t="inlineStr"/>
    </row>
    <row r="101" ht="30" customHeight="1">
      <c r="A101" s="24" t="inlineStr">
        <is>
          <t>6 その他</t>
        </is>
      </c>
      <c r="B101" s="23" t="inlineStr">
        <is>
          <t>仕様書6(2)-b</t>
        </is>
      </c>
      <c r="C101" s="25" t="inlineStr">
        <is>
          <t>一部を再委託する場合は事前に書面で村の承諾を得る</t>
        </is>
      </c>
      <c r="D101" s="23" t="inlineStr">
        <is>
          <t>双方</t>
        </is>
      </c>
      <c r="E101" s="25" t="inlineStr">
        <is>
          <t>Ⅴ-99</t>
        </is>
      </c>
      <c r="F101" s="25" t="inlineStr">
        <is>
          <t>再委託の書面承諾の取得</t>
        </is>
      </c>
      <c r="G101" s="23" t="inlineStr">
        <is>
          <t>○</t>
        </is>
      </c>
      <c r="H101" s="25" t="inlineStr">
        <is>
          <t>印刷・データ入力・ウェブフォーム構築を外注する場合に該当</t>
        </is>
      </c>
    </row>
    <row r="102" ht="30" customHeight="1">
      <c r="A102" s="24" t="inlineStr">
        <is>
          <t>6 その他</t>
        </is>
      </c>
      <c r="B102" s="23" t="inlineStr">
        <is>
          <t>仕様書6(3)-a</t>
        </is>
      </c>
      <c r="C102" s="25" t="inlineStr">
        <is>
          <t>北塩原村委託契約約款に準拠する</t>
        </is>
      </c>
      <c r="D102" s="23" t="inlineStr">
        <is>
          <t>双方</t>
        </is>
      </c>
      <c r="E102" s="25" t="inlineStr">
        <is>
          <t>０-02</t>
        </is>
      </c>
      <c r="F102" s="25" t="inlineStr">
        <is>
          <t>契約締結</t>
        </is>
      </c>
      <c r="G102" s="23" t="inlineStr">
        <is>
          <t>○</t>
        </is>
      </c>
      <c r="H102" s="25" t="inlineStr"/>
    </row>
    <row r="103" ht="30" customHeight="1">
      <c r="A103" s="24" t="inlineStr">
        <is>
          <t>6 その他</t>
        </is>
      </c>
      <c r="B103" s="23" t="inlineStr">
        <is>
          <t>仕様書6(4)-a</t>
        </is>
      </c>
      <c r="C103" s="25" t="inlineStr">
        <is>
          <t>疑義が生じたときは村と受託者で協議する</t>
        </is>
      </c>
      <c r="D103" s="23" t="inlineStr">
        <is>
          <t>双方</t>
        </is>
      </c>
      <c r="E103" s="25" t="inlineStr">
        <is>
          <t>Ⅴ-100</t>
        </is>
      </c>
      <c r="F103" s="25" t="inlineStr">
        <is>
          <t>進捗管理・課題管理</t>
        </is>
      </c>
      <c r="G103" s="23" t="inlineStr">
        <is>
          <t>○</t>
        </is>
      </c>
      <c r="H103" s="25" t="inlineStr">
        <is>
          <t>確認事項一覧（本管理表 第2シート）がこの協議の記録を担う</t>
        </is>
      </c>
    </row>
    <row r="105" ht="20" customHeight="1">
      <c r="A105" s="38" t="inlineStr">
        <is>
          <t>■ 仕様書に直接の根拠を持たない作業（何に基づき、どの条項の履行を支えるか）</t>
        </is>
      </c>
    </row>
    <row r="106">
      <c r="A106" s="42" t="inlineStr">
        <is>
          <t>根拠の種別</t>
        </is>
      </c>
      <c r="B106" s="42" t="inlineStr">
        <is>
          <t>WBS No.</t>
        </is>
      </c>
      <c r="C106" s="42" t="inlineStr">
        <is>
          <t>作業項目</t>
        </is>
      </c>
      <c r="D106" s="42" t="inlineStr">
        <is>
          <t>担当</t>
        </is>
      </c>
      <c r="E106" s="42" t="inlineStr">
        <is>
          <t>支える条項</t>
        </is>
      </c>
      <c r="F106" s="42" t="inlineStr">
        <is>
          <t>位置づけ</t>
        </is>
      </c>
    </row>
    <row r="107" ht="30" customHeight="1">
      <c r="A107" s="39" t="inlineStr">
        <is>
          <t>確認</t>
        </is>
      </c>
      <c r="B107" s="39" t="inlineStr">
        <is>
          <t>０-06</t>
        </is>
      </c>
      <c r="C107" s="41" t="inlineStr">
        <is>
          <t>見える化システムのID・パスワードの受領</t>
        </is>
      </c>
      <c r="D107" s="39" t="inlineStr">
        <is>
          <t>北塩原村</t>
        </is>
      </c>
      <c r="E107" s="39" t="inlineStr">
        <is>
          <t>仕様書4Ⅱ(3)</t>
        </is>
      </c>
      <c r="F107" s="41" t="inlineStr">
        <is>
          <t>見える化システムが人口・認定者・給付費の推計の基礎データである</t>
        </is>
      </c>
      <c r="G107" s="43" t="n"/>
      <c r="H107" s="43" t="n"/>
    </row>
    <row r="108" ht="30" customHeight="1">
      <c r="A108" s="39" t="inlineStr">
        <is>
          <t>手引き／確認</t>
        </is>
      </c>
      <c r="B108" s="39" t="inlineStr">
        <is>
          <t>Ⅰ-07</t>
        </is>
      </c>
      <c r="C108" s="41" t="inlineStr">
        <is>
          <t>調査手法の決定（在宅：手法Ⅰ〜Ⅳ）</t>
        </is>
      </c>
      <c r="D108" s="39" t="inlineStr">
        <is>
          <t>双方</t>
        </is>
      </c>
      <c r="E108" s="39" t="inlineStr">
        <is>
          <t>仕様書4Ⅰ(5)</t>
        </is>
      </c>
      <c r="F108" s="41" t="inlineStr">
        <is>
          <t>手引きの手法Ⅰ〜Ⅳのいずれを採るかで認定データ関連付けの可否が決まる</t>
        </is>
      </c>
      <c r="G108" s="43" t="n"/>
      <c r="H108" s="43" t="n"/>
    </row>
    <row r="109" ht="30" customHeight="1">
      <c r="A109" s="39" t="inlineStr">
        <is>
          <t>手引き</t>
        </is>
      </c>
      <c r="B109" s="39" t="inlineStr">
        <is>
          <t>Ⅰ-11</t>
        </is>
      </c>
      <c r="C109" s="41" t="inlineStr">
        <is>
          <t>令和7年8月版 標準様式との逐条突合</t>
        </is>
      </c>
      <c r="D109" s="39" t="inlineStr">
        <is>
          <t>受託者</t>
        </is>
      </c>
      <c r="E109" s="39" t="inlineStr">
        <is>
          <t>仕様書4Ⅰ(2)</t>
        </is>
      </c>
      <c r="F109" s="41" t="inlineStr">
        <is>
          <t>「厚生労働省が示す調査項目」の充足を確認する手段</t>
        </is>
      </c>
      <c r="G109" s="43" t="n"/>
      <c r="H109" s="43" t="n"/>
    </row>
    <row r="110" ht="30" customHeight="1">
      <c r="A110" s="39" t="inlineStr">
        <is>
          <t>手引き</t>
        </is>
      </c>
      <c r="B110" s="39" t="inlineStr">
        <is>
          <t>Ⅰ-19</t>
        </is>
      </c>
      <c r="C110" s="41" t="inlineStr">
        <is>
          <t>被保険者番号と照合可能な管理番号の設計</t>
        </is>
      </c>
      <c r="D110" s="39" t="inlineStr">
        <is>
          <t>双方</t>
        </is>
      </c>
      <c r="E110" s="39" t="inlineStr">
        <is>
          <t>仕様書4Ⅰ(2)</t>
        </is>
      </c>
      <c r="F110" s="41" t="inlineStr">
        <is>
          <t>重複管理と認定データ関連付けの双方の前提となる管理番号の設計</t>
        </is>
      </c>
      <c r="G110" s="43" t="n"/>
      <c r="H110" s="43" t="n"/>
    </row>
    <row r="111" ht="30" customHeight="1">
      <c r="A111" s="39" t="inlineStr">
        <is>
          <t>確認</t>
        </is>
      </c>
      <c r="B111" s="39" t="inlineStr">
        <is>
          <t>Ⅰ-31</t>
        </is>
      </c>
      <c r="C111" s="41" t="inlineStr">
        <is>
          <t>督促（リマインド）の実施</t>
        </is>
      </c>
      <c r="D111" s="39" t="inlineStr">
        <is>
          <t>受託者</t>
        </is>
      </c>
      <c r="E111" s="39" t="inlineStr">
        <is>
          <t>仕様書4Ⅰ(4)</t>
        </is>
      </c>
      <c r="F111" s="41" t="inlineStr">
        <is>
          <t>回収管理の一環。第9期の在宅調査は回収率45.8%</t>
        </is>
      </c>
      <c r="G111" s="43" t="n"/>
      <c r="H111" s="43" t="n"/>
    </row>
    <row r="112" ht="30" customHeight="1">
      <c r="A112" s="39" t="inlineStr">
        <is>
          <t>確認</t>
        </is>
      </c>
      <c r="B112" s="39" t="inlineStr">
        <is>
          <t>Ⅰ-94</t>
        </is>
      </c>
      <c r="C112" s="41" t="inlineStr">
        <is>
          <t>調査票の受渡し記録の作成・運用</t>
        </is>
      </c>
      <c r="D112" s="39" t="inlineStr">
        <is>
          <t>双方</t>
        </is>
      </c>
      <c r="E112" s="39" t="inlineStr">
        <is>
          <t>仕様書6(1)</t>
        </is>
      </c>
      <c r="F112" s="41" t="inlineStr">
        <is>
          <t>村が100件程度ごとに小分け送付する運用に伴う個人情報の受渡し記録</t>
        </is>
      </c>
      <c r="G112" s="43" t="n"/>
      <c r="H112" s="43" t="n"/>
    </row>
    <row r="113" ht="30" customHeight="1">
      <c r="A113" s="39" t="inlineStr">
        <is>
          <t>手引き</t>
        </is>
      </c>
      <c r="B113" s="39" t="inlineStr">
        <is>
          <t>Ⅰ-43</t>
        </is>
      </c>
      <c r="C113" s="41" t="inlineStr">
        <is>
          <t>リスク判定11種の算出</t>
        </is>
      </c>
      <c r="D113" s="39" t="inlineStr">
        <is>
          <t>受託者</t>
        </is>
      </c>
      <c r="E113" s="39" t="inlineStr">
        <is>
          <t>仕様書4Ⅰ(6)</t>
        </is>
      </c>
      <c r="F113" s="41" t="inlineStr">
        <is>
          <t>手引きが定める11領域のリスク判定。見える化への登録と全国比較の前提</t>
        </is>
      </c>
      <c r="G113" s="43" t="n"/>
      <c r="H113" s="43" t="n"/>
    </row>
    <row r="114" ht="30" customHeight="1">
      <c r="A114" s="39" t="inlineStr">
        <is>
          <t>手引き</t>
        </is>
      </c>
      <c r="B114" s="39" t="inlineStr">
        <is>
          <t>Ⅰ-46</t>
        </is>
      </c>
      <c r="C114" s="41" t="inlineStr">
        <is>
          <t>見える化システム登録用データの作成</t>
        </is>
      </c>
      <c r="D114" s="39" t="inlineStr">
        <is>
          <t>受託者</t>
        </is>
      </c>
      <c r="E114" s="39" t="inlineStr">
        <is>
          <t>仕様書4Ⅰ(6)</t>
        </is>
      </c>
      <c r="F114" s="41" t="inlineStr">
        <is>
          <t>見える化システムへの登録により県・全国との比較が可能になる</t>
        </is>
      </c>
      <c r="G114" s="43" t="n"/>
      <c r="H114" s="43" t="n"/>
    </row>
    <row r="115" ht="30" customHeight="1">
      <c r="A115" s="39" t="inlineStr">
        <is>
          <t>確認</t>
        </is>
      </c>
      <c r="B115" s="39" t="inlineStr">
        <is>
          <t>Ⅰ-95</t>
        </is>
      </c>
      <c r="C115" s="41" t="inlineStr">
        <is>
          <t>ICFの構成要素に基づくクロス分析の設計</t>
        </is>
      </c>
      <c r="D115" s="39" t="inlineStr">
        <is>
          <t>受託者</t>
        </is>
      </c>
      <c r="E115" s="39" t="inlineStr">
        <is>
          <t>仕様書4Ⅰ(6)</t>
        </is>
      </c>
      <c r="F115" s="41" t="inlineStr">
        <is>
          <t>キックオフで村が求めたICFに基づくクロス分析。「村と協議の上決定」の範囲</t>
        </is>
      </c>
      <c r="G115" s="43" t="n"/>
      <c r="H115" s="43" t="n"/>
    </row>
    <row r="116" ht="30" customHeight="1">
      <c r="A116" s="39" t="inlineStr">
        <is>
          <t>確認</t>
        </is>
      </c>
      <c r="B116" s="39" t="inlineStr">
        <is>
          <t>Ⅱ-63</t>
        </is>
      </c>
      <c r="C116" s="41" t="inlineStr">
        <is>
          <t>介護保険準備基金の残高・取崩方針の確認</t>
        </is>
      </c>
      <c r="D116" s="39" t="inlineStr">
        <is>
          <t>北塩原村</t>
        </is>
      </c>
      <c r="E116" s="39" t="inlineStr">
        <is>
          <t>仕様書4Ⅱ(3)③</t>
        </is>
      </c>
      <c r="F116" s="41" t="inlineStr">
        <is>
          <t>基金の取崩額は保険料算定の5式の④に直接入る</t>
        </is>
      </c>
      <c r="G116" s="43" t="n"/>
      <c r="H116" s="43" t="n"/>
    </row>
    <row r="117" ht="30" customHeight="1">
      <c r="A117" s="39" t="inlineStr">
        <is>
          <t>確認</t>
        </is>
      </c>
      <c r="B117" s="39" t="inlineStr">
        <is>
          <t>Ⅱ-73</t>
        </is>
      </c>
      <c r="C117" s="41" t="inlineStr">
        <is>
          <t>一体的策定の範囲の確認</t>
        </is>
      </c>
      <c r="D117" s="39" t="inlineStr">
        <is>
          <t>双方</t>
        </is>
      </c>
      <c r="E117" s="39" t="inlineStr">
        <is>
          <t>仕様書4Ⅱ(6)</t>
        </is>
      </c>
      <c r="F117" s="41" t="inlineStr">
        <is>
          <t>整合対象の「等」の範囲の確認</t>
        </is>
      </c>
      <c r="G117" s="43" t="n"/>
      <c r="H117" s="43" t="n"/>
    </row>
    <row r="118" ht="30" customHeight="1">
      <c r="A118" s="39" t="inlineStr">
        <is>
          <t>確認</t>
        </is>
      </c>
      <c r="B118" s="39" t="inlineStr">
        <is>
          <t>Ⅱ-80</t>
        </is>
      </c>
      <c r="C118" s="41" t="inlineStr">
        <is>
          <t>委員の改選・委嘱</t>
        </is>
      </c>
      <c r="D118" s="39" t="inlineStr">
        <is>
          <t>北塩原村</t>
        </is>
      </c>
      <c r="E118" s="39" t="inlineStr">
        <is>
          <t>仕様書4Ⅱ(8)</t>
        </is>
      </c>
      <c r="F118" s="41" t="inlineStr">
        <is>
          <t>委員が委嘱されていなければ会議が開催できない</t>
        </is>
      </c>
      <c r="G118" s="43" t="n"/>
      <c r="H118" s="43" t="n"/>
    </row>
    <row r="119" ht="30" customHeight="1">
      <c r="A119" s="39" t="inlineStr">
        <is>
          <t>確認</t>
        </is>
      </c>
      <c r="B119" s="39" t="inlineStr">
        <is>
          <t>Ⅱ-93</t>
        </is>
      </c>
      <c r="C119" s="41" t="inlineStr">
        <is>
          <t>議会全員協議会 説明資料の作成</t>
        </is>
      </c>
      <c r="D119" s="39" t="inlineStr">
        <is>
          <t>受託者</t>
        </is>
      </c>
      <c r="E119" s="39" t="inlineStr">
        <is>
          <t>仕様書4Ⅱ(8)</t>
        </is>
      </c>
      <c r="F119" s="41" t="inlineStr">
        <is>
          <t>★議事録で新設。受託者の関与範囲（資料のみか出席を含むか）が未確認</t>
        </is>
      </c>
      <c r="G119" s="43" t="n"/>
      <c r="H119" s="43" t="n"/>
    </row>
    <row r="120" ht="30" customHeight="1">
      <c r="A120" s="39" t="inlineStr">
        <is>
          <t>確認</t>
        </is>
      </c>
      <c r="B120" s="39" t="inlineStr">
        <is>
          <t>Ⅳ-92</t>
        </is>
      </c>
      <c r="C120" s="41" t="inlineStr">
        <is>
          <t>概要版の作成</t>
        </is>
      </c>
      <c r="D120" s="39" t="inlineStr">
        <is>
          <t>双方</t>
        </is>
      </c>
      <c r="E120" s="39" t="inlineStr">
        <is>
          <t>仕様書5①</t>
        </is>
      </c>
      <c r="F120" s="41" t="inlineStr">
        <is>
          <t>★議事録で作成が合意。仕様書の成果品に明記がなく追加対応か要確認</t>
        </is>
      </c>
      <c r="G120" s="43" t="n"/>
      <c r="H120" s="43" t="n"/>
    </row>
    <row r="122">
      <c r="A122" s="44" t="inlineStr">
        <is>
          <t>※ 手引き</t>
        </is>
      </c>
      <c r="B122" s="45" t="inlineStr">
        <is>
          <t>厚生労働省「介護予防・日常生活圏域ニーズ調査及び在宅介護実態調査の実施の手引き」（令和7年8月版）</t>
        </is>
      </c>
    </row>
    <row r="123">
      <c r="A123" s="44" t="inlineStr">
        <is>
          <t>※ 確認</t>
        </is>
      </c>
      <c r="B123" s="45" t="inlineStr">
        <is>
          <t>本業務の遂行上必要と判断し、村との確認事項として管理しているもの</t>
        </is>
      </c>
    </row>
    <row r="124">
      <c r="A124" s="44" t="inlineStr">
        <is>
          <t>※ 手引き／確認</t>
        </is>
      </c>
      <c r="B124" s="45" t="inlineStr">
        <is>
          <t>手引きに選択肢が示され、いずれを採るかを村と確認するもの</t>
        </is>
      </c>
    </row>
  </sheetData>
  <autoFilter ref="A4:H103"/>
  <mergeCells count="21">
    <mergeCell ref="F113:H113"/>
    <mergeCell ref="F114:H114"/>
    <mergeCell ref="F110:H110"/>
    <mergeCell ref="A1:H1"/>
    <mergeCell ref="F106:H106"/>
    <mergeCell ref="B124:H124"/>
    <mergeCell ref="F109:H109"/>
    <mergeCell ref="B123:H123"/>
    <mergeCell ref="F115:H115"/>
    <mergeCell ref="F111:H111"/>
    <mergeCell ref="B122:H122"/>
    <mergeCell ref="F117:H117"/>
    <mergeCell ref="F107:H107"/>
    <mergeCell ref="A105:H105"/>
    <mergeCell ref="F120:H120"/>
    <mergeCell ref="A2:H2"/>
    <mergeCell ref="F119:H119"/>
    <mergeCell ref="F116:H116"/>
    <mergeCell ref="F112:H112"/>
    <mergeCell ref="F108:H108"/>
    <mergeCell ref="F118:H1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3"/>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受領資料・データ管理（基準日：令和8年9月25日）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6"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6"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6" t="n">
        <v>46265</v>
      </c>
      <c r="E7" s="7" t="inlineStr">
        <is>
          <t>docs/…/08_第9期計画概要_計画実績突合.md</t>
        </is>
      </c>
      <c r="F7" s="4" t="inlineStr">
        <is>
          <t>受領済</t>
        </is>
      </c>
    </row>
    <row r="8" ht="28" customHeight="1">
      <c r="A8" s="34" t="inlineStr">
        <is>
          <t>現行計画</t>
        </is>
      </c>
      <c r="B8" s="33" t="inlineStr">
        <is>
          <t>★北塩原村第五次総合振興計画（2017〜2026）</t>
        </is>
      </c>
      <c r="C8" s="33" t="inlineStr">
        <is>
          <t>上位計画。第六次の策定状況も要確認</t>
        </is>
      </c>
      <c r="D8" s="34" t="inlineStr">
        <is>
          <t>―</t>
        </is>
      </c>
      <c r="E8" s="33" t="inlineStr">
        <is>
          <t>―</t>
        </is>
      </c>
      <c r="F8" s="34" t="inlineStr">
        <is>
          <t>未受領</t>
        </is>
      </c>
    </row>
    <row r="9" ht="28" customHeight="1">
      <c r="A9" s="34" t="inlineStr">
        <is>
          <t>現行計画</t>
        </is>
      </c>
      <c r="B9" s="33" t="inlineStr">
        <is>
          <t>★第3次健康きたしおばら21</t>
        </is>
      </c>
      <c r="C9" s="33" t="inlineStr">
        <is>
          <t>関連計画</t>
        </is>
      </c>
      <c r="D9" s="34" t="inlineStr">
        <is>
          <t>―</t>
        </is>
      </c>
      <c r="E9" s="33" t="inlineStr">
        <is>
          <t>―</t>
        </is>
      </c>
      <c r="F9" s="34" t="inlineStr">
        <is>
          <t>未受領</t>
        </is>
      </c>
    </row>
    <row r="10" ht="28" customHeight="1">
      <c r="A10" s="4" t="inlineStr">
        <is>
          <t>調査票</t>
        </is>
      </c>
      <c r="B10" s="7" t="inlineStr">
        <is>
          <t>キックオフ資料（0828版・082802版）</t>
        </is>
      </c>
      <c r="C10" s="7" t="inlineStr">
        <is>
          <t>2版をレビュー済</t>
        </is>
      </c>
      <c r="D10" s="46"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6"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6"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6"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6"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6"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6"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6"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6"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6"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6"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6" t="n">
        <v>46265</v>
      </c>
      <c r="E21" s="7" t="inlineStr">
        <is>
          <t>docs/…/09</t>
        </is>
      </c>
      <c r="F21" s="4" t="inlineStr">
        <is>
          <t>受領済</t>
        </is>
      </c>
    </row>
    <row r="22" ht="28" customHeight="1">
      <c r="A22" s="34" t="inlineStr">
        <is>
          <t>村データ</t>
        </is>
      </c>
      <c r="B22" s="33" t="inlineStr">
        <is>
          <t>★介護給付費準備基金の現在高</t>
        </is>
      </c>
      <c r="C22" s="33" t="inlineStr">
        <is>
          <t>令和6年度末実績・令和7年度末見込</t>
        </is>
      </c>
      <c r="D22" s="34" t="inlineStr">
        <is>
          <t>―</t>
        </is>
      </c>
      <c r="E22" s="33" t="inlineStr">
        <is>
          <t>―</t>
        </is>
      </c>
      <c r="F22" s="34" t="inlineStr">
        <is>
          <t>未受領</t>
        </is>
      </c>
    </row>
    <row r="23" ht="28" customHeight="1">
      <c r="A23" s="34" t="inlineStr">
        <is>
          <t>村データ</t>
        </is>
      </c>
      <c r="B23" s="33" t="inlineStr">
        <is>
          <t>★令和6年度決算・令和7年度給付費見込</t>
        </is>
      </c>
      <c r="C23" s="33" t="inlineStr">
        <is>
          <t>第9期の乖離確定に必要</t>
        </is>
      </c>
      <c r="D23" s="34" t="inlineStr">
        <is>
          <t>―</t>
        </is>
      </c>
      <c r="E23" s="33" t="inlineStr">
        <is>
          <t>―</t>
        </is>
      </c>
      <c r="F23" s="34"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4" t="inlineStr">
        <is>
          <t>村データ</t>
        </is>
      </c>
      <c r="B25" s="33" t="inlineStr">
        <is>
          <t>★高齢者福祉事業（村単独事業）の実績</t>
        </is>
      </c>
      <c r="C25" s="33" t="inlineStr">
        <is>
          <t>現行計画の評価に必要</t>
        </is>
      </c>
      <c r="D25" s="34" t="inlineStr">
        <is>
          <t>―</t>
        </is>
      </c>
      <c r="E25" s="33" t="inlineStr">
        <is>
          <t>―</t>
        </is>
      </c>
      <c r="F25" s="34"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6"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6"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6"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6"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6"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6"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6"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6"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6"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6"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6"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6"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6"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6"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6" t="n">
        <v>46267</v>
      </c>
      <c r="E40" s="7" t="inlineStr">
        <is>
          <t>docs/…/21_関連計画_第四次生涯学習推進計画.md</t>
        </is>
      </c>
      <c r="F40" s="4" t="inlineStr">
        <is>
          <t>受領済</t>
        </is>
      </c>
    </row>
    <row r="41" ht="28" customHeight="1">
      <c r="A41" s="4" t="inlineStr">
        <is>
          <t>国資料</t>
        </is>
      </c>
      <c r="B41" s="7" t="inlineStr">
        <is>
          <t>令和8年度 評価指標に係る該当状況調査票集計表（都道府県分）</t>
        </is>
      </c>
      <c r="C41" s="7" t="inlineStr">
        <is>
          <t>47都道府県・752列。福島県530点・全国26位（前年度468点・42位）</t>
        </is>
      </c>
      <c r="D41" s="46" t="n">
        <v>46290</v>
      </c>
      <c r="E41" s="7" t="inlineStr">
        <is>
          <t>docs/…/41_交付金_都道府県分の確認.md</t>
        </is>
      </c>
      <c r="F41" s="4" t="inlineStr">
        <is>
          <t>受領済</t>
        </is>
      </c>
    </row>
    <row r="42" ht="28" customHeight="1">
      <c r="A42" s="4" t="inlineStr">
        <is>
          <t>国資料</t>
        </is>
      </c>
      <c r="B42" s="7" t="inlineStr">
        <is>
          <t>令和8年度 評価指標（都道府県分）全38頁</t>
        </is>
      </c>
      <c r="C42" s="7" t="inlineStr">
        <is>
          <t>管内市町村平均得点・著しく得点の低い市町村の判定基準を確認</t>
        </is>
      </c>
      <c r="D42" s="46" t="n">
        <v>46290</v>
      </c>
      <c r="E42" s="7" t="inlineStr">
        <is>
          <t>docs/…/41_交付金_都道府県分の確認.md</t>
        </is>
      </c>
      <c r="F42" s="4" t="inlineStr">
        <is>
          <t>受領済</t>
        </is>
      </c>
    </row>
    <row r="43" ht="28" customHeight="1">
      <c r="A43" s="34" t="inlineStr">
        <is>
          <t>村データ</t>
        </is>
      </c>
      <c r="B43" s="33" t="inlineStr">
        <is>
          <t>★要介護認定データ（調査票との関連付け用）</t>
        </is>
      </c>
      <c r="C43" s="33" t="inlineStr">
        <is>
          <t>仕様書4Ⅰ(5)。調査回収後に必要</t>
        </is>
      </c>
      <c r="D43" s="34" t="inlineStr">
        <is>
          <t>―</t>
        </is>
      </c>
      <c r="E43" s="33" t="inlineStr">
        <is>
          <t>―</t>
        </is>
      </c>
      <c r="F43" s="34" t="inlineStr">
        <is>
          <t>未受領</t>
        </is>
      </c>
    </row>
  </sheetData>
  <autoFilter ref="A4:F43"/>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61"/>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7" t="inlineStr">
        <is>
          <t>凡例・入力ルール／進捗集計</t>
        </is>
      </c>
    </row>
    <row r="4">
      <c r="B4" s="38" t="inlineStr">
        <is>
          <t>■ 入力する列（ここだけ編集してください）</t>
        </is>
      </c>
    </row>
    <row r="5">
      <c r="B5" s="48" t="inlineStr">
        <is>
          <t>予定開始・予定完了</t>
        </is>
      </c>
      <c r="C5" s="49" t="inlineStr">
        <is>
          <t>日付</t>
        </is>
      </c>
      <c r="D5" s="49" t="inlineStr">
        <is>
          <t>yyyy/mm/dd 形式で入力します。村との協議で工程が固まり次第、入力してください。</t>
        </is>
      </c>
      <c r="E5" s="50" t="n"/>
      <c r="F5" s="50" t="n"/>
      <c r="G5" s="50" t="n"/>
      <c r="H5" s="50" t="n"/>
    </row>
    <row r="6">
      <c r="B6" s="48" t="inlineStr">
        <is>
          <t>実績開始・実績完了</t>
        </is>
      </c>
      <c r="C6" s="49" t="inlineStr">
        <is>
          <t>日付</t>
        </is>
      </c>
      <c r="D6" s="49" t="inlineStr">
        <is>
          <t>着手日・完了日を実績として入力します。</t>
        </is>
      </c>
      <c r="E6" s="50" t="n"/>
      <c r="F6" s="50" t="n"/>
      <c r="G6" s="50" t="n"/>
      <c r="H6" s="50" t="n"/>
    </row>
    <row r="7">
      <c r="B7" s="48" t="inlineStr">
        <is>
          <t>進捗率</t>
        </is>
      </c>
      <c r="C7" s="49" t="inlineStr">
        <is>
          <t>％</t>
        </is>
      </c>
      <c r="D7" s="49" t="inlineStr">
        <is>
          <t>0〜100% を入力します。完了時は 100%。</t>
        </is>
      </c>
      <c r="E7" s="50" t="n"/>
      <c r="F7" s="50" t="n"/>
      <c r="G7" s="50" t="n"/>
      <c r="H7" s="50" t="n"/>
    </row>
    <row r="8">
      <c r="B8" s="48" t="inlineStr">
        <is>
          <t>ステータス</t>
        </is>
      </c>
      <c r="C8" s="49" t="inlineStr">
        <is>
          <t>選択</t>
        </is>
      </c>
      <c r="D8" s="49" t="inlineStr">
        <is>
          <t>未着手／着手／確認中／完了／保留／対象外 から選択します。</t>
        </is>
      </c>
      <c r="E8" s="50" t="n"/>
      <c r="F8" s="50" t="n"/>
      <c r="G8" s="50" t="n"/>
      <c r="H8" s="50" t="n"/>
    </row>
    <row r="9">
      <c r="B9" s="48" t="inlineStr">
        <is>
          <t>備考</t>
        </is>
      </c>
      <c r="C9" s="49" t="inlineStr">
        <is>
          <t>自由</t>
        </is>
      </c>
      <c r="D9" s="49" t="inlineStr">
        <is>
          <t>課題・懸案・村への確認事項などを記入します。</t>
        </is>
      </c>
      <c r="E9" s="50" t="n"/>
      <c r="F9" s="50" t="n"/>
      <c r="G9" s="50" t="n"/>
      <c r="H9" s="50" t="n"/>
    </row>
    <row r="11">
      <c r="B11" s="38" t="inlineStr">
        <is>
          <t>■ 行の塗り分け</t>
        </is>
      </c>
    </row>
    <row r="12">
      <c r="B12" s="51" t="inlineStr">
        <is>
          <t>薄い緑</t>
        </is>
      </c>
      <c r="C12" s="49" t="inlineStr">
        <is>
          <t>完了した作業です。</t>
        </is>
      </c>
      <c r="D12" s="50" t="n"/>
      <c r="E12" s="50" t="n"/>
      <c r="F12" s="50" t="n"/>
      <c r="G12" s="50" t="n"/>
      <c r="H12" s="50" t="n"/>
    </row>
    <row r="13">
      <c r="B13" s="52" t="inlineStr">
        <is>
          <t>薄い黄</t>
        </is>
      </c>
      <c r="C13" s="49" t="inlineStr">
        <is>
          <t>着手中・確認中の作業、または北塩原村が担当する作業です。</t>
        </is>
      </c>
      <c r="D13" s="50" t="n"/>
      <c r="E13" s="50" t="n"/>
      <c r="F13" s="50" t="n"/>
      <c r="G13" s="50" t="n"/>
      <c r="H13" s="50" t="n"/>
    </row>
    <row r="14">
      <c r="B14" s="53" t="inlineStr">
        <is>
          <t>薄い赤</t>
        </is>
      </c>
      <c r="C14" s="49" t="inlineStr">
        <is>
          <t>「村への確認事項」シートの優先度S・A、および未受領の資料です。</t>
        </is>
      </c>
      <c r="D14" s="50" t="n"/>
      <c r="E14" s="50" t="n"/>
      <c r="F14" s="50" t="n"/>
      <c r="G14" s="50" t="n"/>
      <c r="H14" s="50" t="n"/>
    </row>
    <row r="16">
      <c r="B16" s="38" t="inlineStr">
        <is>
          <t>■ 進捗集計（WBSシートから自動集計されます）</t>
        </is>
      </c>
    </row>
    <row r="17">
      <c r="B17" s="42" t="inlineStr">
        <is>
          <t>大分類</t>
        </is>
      </c>
      <c r="C17" s="42" t="inlineStr">
        <is>
          <t>件数</t>
        </is>
      </c>
      <c r="D17" s="42" t="inlineStr">
        <is>
          <t>未着手</t>
        </is>
      </c>
      <c r="E17" s="42" t="inlineStr">
        <is>
          <t>着手</t>
        </is>
      </c>
      <c r="F17" s="42" t="inlineStr">
        <is>
          <t>確認中</t>
        </is>
      </c>
      <c r="G17" s="42" t="inlineStr">
        <is>
          <t>完了</t>
        </is>
      </c>
      <c r="H17" s="42" t="inlineStr">
        <is>
          <t>保留</t>
        </is>
      </c>
      <c r="I17" s="42" t="inlineStr">
        <is>
          <t>対象外</t>
        </is>
      </c>
    </row>
    <row r="18">
      <c r="B18" s="49" t="inlineStr">
        <is>
          <t>０ 契約・立上げ</t>
        </is>
      </c>
      <c r="C18" s="54">
        <f>COUNTIF('WBS・進捗管理'!$B$5:$B$118,$B18)</f>
        <v/>
      </c>
      <c r="D18" s="54">
        <f>COUNTIFS('WBS・進捗管理'!$B$5:$B$118,$B18,'WBS・進捗管理'!$O$5:$O$118,D$17)</f>
        <v/>
      </c>
      <c r="E18" s="54">
        <f>COUNTIFS('WBS・進捗管理'!$B$5:$B$118,$B18,'WBS・進捗管理'!$O$5:$O$118,E$17)</f>
        <v/>
      </c>
      <c r="F18" s="54">
        <f>COUNTIFS('WBS・進捗管理'!$B$5:$B$118,$B18,'WBS・進捗管理'!$O$5:$O$118,F$17)</f>
        <v/>
      </c>
      <c r="G18" s="54">
        <f>COUNTIFS('WBS・進捗管理'!$B$5:$B$118,$B18,'WBS・進捗管理'!$O$5:$O$118,G$17)</f>
        <v/>
      </c>
      <c r="H18" s="54">
        <f>COUNTIFS('WBS・進捗管理'!$B$5:$B$118,$B18,'WBS・進捗管理'!$O$5:$O$118,H$17)</f>
        <v/>
      </c>
      <c r="I18" s="54">
        <f>COUNTIFS('WBS・進捗管理'!$B$5:$B$118,$B18,'WBS・進捗管理'!$O$5:$O$118,I$17)</f>
        <v/>
      </c>
    </row>
    <row r="19">
      <c r="B19" s="49" t="inlineStr">
        <is>
          <t>Ⅰ ニーズ調査</t>
        </is>
      </c>
      <c r="C19" s="54">
        <f>COUNTIF('WBS・進捗管理'!$B$5:$B$118,$B19)</f>
        <v/>
      </c>
      <c r="D19" s="54">
        <f>COUNTIFS('WBS・進捗管理'!$B$5:$B$118,$B19,'WBS・進捗管理'!$O$5:$O$118,D$17)</f>
        <v/>
      </c>
      <c r="E19" s="54">
        <f>COUNTIFS('WBS・進捗管理'!$B$5:$B$118,$B19,'WBS・進捗管理'!$O$5:$O$118,E$17)</f>
        <v/>
      </c>
      <c r="F19" s="54">
        <f>COUNTIFS('WBS・進捗管理'!$B$5:$B$118,$B19,'WBS・進捗管理'!$O$5:$O$118,F$17)</f>
        <v/>
      </c>
      <c r="G19" s="54">
        <f>COUNTIFS('WBS・進捗管理'!$B$5:$B$118,$B19,'WBS・進捗管理'!$O$5:$O$118,G$17)</f>
        <v/>
      </c>
      <c r="H19" s="54">
        <f>COUNTIFS('WBS・進捗管理'!$B$5:$B$118,$B19,'WBS・進捗管理'!$O$5:$O$118,H$17)</f>
        <v/>
      </c>
      <c r="I19" s="54">
        <f>COUNTIFS('WBS・進捗管理'!$B$5:$B$118,$B19,'WBS・進捗管理'!$O$5:$O$118,I$17)</f>
        <v/>
      </c>
    </row>
    <row r="20">
      <c r="B20" s="49" t="inlineStr">
        <is>
          <t>Ⅱ 計画策定</t>
        </is>
      </c>
      <c r="C20" s="54">
        <f>COUNTIF('WBS・進捗管理'!$B$5:$B$118,$B20)</f>
        <v/>
      </c>
      <c r="D20" s="54">
        <f>COUNTIFS('WBS・進捗管理'!$B$5:$B$118,$B20,'WBS・進捗管理'!$O$5:$O$118,D$17)</f>
        <v/>
      </c>
      <c r="E20" s="54">
        <f>COUNTIFS('WBS・進捗管理'!$B$5:$B$118,$B20,'WBS・進捗管理'!$O$5:$O$118,E$17)</f>
        <v/>
      </c>
      <c r="F20" s="54">
        <f>COUNTIFS('WBS・進捗管理'!$B$5:$B$118,$B20,'WBS・進捗管理'!$O$5:$O$118,F$17)</f>
        <v/>
      </c>
      <c r="G20" s="54">
        <f>COUNTIFS('WBS・進捗管理'!$B$5:$B$118,$B20,'WBS・進捗管理'!$O$5:$O$118,G$17)</f>
        <v/>
      </c>
      <c r="H20" s="54">
        <f>COUNTIFS('WBS・進捗管理'!$B$5:$B$118,$B20,'WBS・進捗管理'!$O$5:$O$118,H$17)</f>
        <v/>
      </c>
      <c r="I20" s="54">
        <f>COUNTIFS('WBS・進捗管理'!$B$5:$B$118,$B20,'WBS・進捗管理'!$O$5:$O$118,I$17)</f>
        <v/>
      </c>
    </row>
    <row r="21">
      <c r="B21" s="49" t="inlineStr">
        <is>
          <t>Ⅲ 打合せ等</t>
        </is>
      </c>
      <c r="C21" s="54">
        <f>COUNTIF('WBS・進捗管理'!$B$5:$B$118,$B21)</f>
        <v/>
      </c>
      <c r="D21" s="54">
        <f>COUNTIFS('WBS・進捗管理'!$B$5:$B$118,$B21,'WBS・進捗管理'!$O$5:$O$118,D$17)</f>
        <v/>
      </c>
      <c r="E21" s="54">
        <f>COUNTIFS('WBS・進捗管理'!$B$5:$B$118,$B21,'WBS・進捗管理'!$O$5:$O$118,E$17)</f>
        <v/>
      </c>
      <c r="F21" s="54">
        <f>COUNTIFS('WBS・進捗管理'!$B$5:$B$118,$B21,'WBS・進捗管理'!$O$5:$O$118,F$17)</f>
        <v/>
      </c>
      <c r="G21" s="54">
        <f>COUNTIFS('WBS・進捗管理'!$B$5:$B$118,$B21,'WBS・進捗管理'!$O$5:$O$118,G$17)</f>
        <v/>
      </c>
      <c r="H21" s="54">
        <f>COUNTIFS('WBS・進捗管理'!$B$5:$B$118,$B21,'WBS・進捗管理'!$O$5:$O$118,H$17)</f>
        <v/>
      </c>
      <c r="I21" s="54">
        <f>COUNTIFS('WBS・進捗管理'!$B$5:$B$118,$B21,'WBS・進捗管理'!$O$5:$O$118,I$17)</f>
        <v/>
      </c>
    </row>
    <row r="22">
      <c r="B22" s="49" t="inlineStr">
        <is>
          <t>Ⅳ 成果品・納品</t>
        </is>
      </c>
      <c r="C22" s="54">
        <f>COUNTIF('WBS・進捗管理'!$B$5:$B$118,$B22)</f>
        <v/>
      </c>
      <c r="D22" s="54">
        <f>COUNTIFS('WBS・進捗管理'!$B$5:$B$118,$B22,'WBS・進捗管理'!$O$5:$O$118,D$17)</f>
        <v/>
      </c>
      <c r="E22" s="54">
        <f>COUNTIFS('WBS・進捗管理'!$B$5:$B$118,$B22,'WBS・進捗管理'!$O$5:$O$118,E$17)</f>
        <v/>
      </c>
      <c r="F22" s="54">
        <f>COUNTIFS('WBS・進捗管理'!$B$5:$B$118,$B22,'WBS・進捗管理'!$O$5:$O$118,F$17)</f>
        <v/>
      </c>
      <c r="G22" s="54">
        <f>COUNTIFS('WBS・進捗管理'!$B$5:$B$118,$B22,'WBS・進捗管理'!$O$5:$O$118,G$17)</f>
        <v/>
      </c>
      <c r="H22" s="54">
        <f>COUNTIFS('WBS・進捗管理'!$B$5:$B$118,$B22,'WBS・進捗管理'!$O$5:$O$118,H$17)</f>
        <v/>
      </c>
      <c r="I22" s="54">
        <f>COUNTIFS('WBS・進捗管理'!$B$5:$B$118,$B22,'WBS・進捗管理'!$O$5:$O$118,I$17)</f>
        <v/>
      </c>
    </row>
    <row r="23">
      <c r="B23" s="49" t="inlineStr">
        <is>
          <t>Ⅴ 管理</t>
        </is>
      </c>
      <c r="C23" s="54">
        <f>COUNTIF('WBS・進捗管理'!$B$5:$B$118,$B23)</f>
        <v/>
      </c>
      <c r="D23" s="54">
        <f>COUNTIFS('WBS・進捗管理'!$B$5:$B$118,$B23,'WBS・進捗管理'!$O$5:$O$118,D$17)</f>
        <v/>
      </c>
      <c r="E23" s="54">
        <f>COUNTIFS('WBS・進捗管理'!$B$5:$B$118,$B23,'WBS・進捗管理'!$O$5:$O$118,E$17)</f>
        <v/>
      </c>
      <c r="F23" s="54">
        <f>COUNTIFS('WBS・進捗管理'!$B$5:$B$118,$B23,'WBS・進捗管理'!$O$5:$O$118,F$17)</f>
        <v/>
      </c>
      <c r="G23" s="54">
        <f>COUNTIFS('WBS・進捗管理'!$B$5:$B$118,$B23,'WBS・進捗管理'!$O$5:$O$118,G$17)</f>
        <v/>
      </c>
      <c r="H23" s="54">
        <f>COUNTIFS('WBS・進捗管理'!$B$5:$B$118,$B23,'WBS・進捗管理'!$O$5:$O$118,H$17)</f>
        <v/>
      </c>
      <c r="I23" s="54">
        <f>COUNTIFS('WBS・進捗管理'!$B$5:$B$118,$B23,'WBS・進捗管理'!$O$5:$O$118,I$17)</f>
        <v/>
      </c>
    </row>
    <row r="24">
      <c r="B24" s="55" t="inlineStr">
        <is>
          <t>合計</t>
        </is>
      </c>
      <c r="C24" s="56">
        <f>SUM(C18:C23)</f>
        <v/>
      </c>
      <c r="D24" s="56">
        <f>SUM(D18:D23)</f>
        <v/>
      </c>
      <c r="E24" s="56">
        <f>SUM(E18:E23)</f>
        <v/>
      </c>
      <c r="F24" s="56">
        <f>SUM(F18:F23)</f>
        <v/>
      </c>
      <c r="G24" s="56">
        <f>SUM(G18:G23)</f>
        <v/>
      </c>
      <c r="H24" s="56">
        <f>SUM(H18:H23)</f>
        <v/>
      </c>
      <c r="I24" s="56">
        <f>SUM(I18:I23)</f>
        <v/>
      </c>
    </row>
    <row r="26">
      <c r="B26" s="38" t="inlineStr">
        <is>
          <t>■ 主要指標</t>
        </is>
      </c>
    </row>
    <row r="27">
      <c r="B27" s="57" t="inlineStr">
        <is>
          <t>全体進捗率（対象外を除く）</t>
        </is>
      </c>
      <c r="C27" s="58">
        <f>AVERAGEIF('WBS・進捗管理'!$O$5:$O$118,"&lt;&gt;対象外",'WBS・進捗管理'!$N$5:$N$118)</f>
        <v/>
      </c>
    </row>
    <row r="28">
      <c r="B28" s="57" t="inlineStr">
        <is>
          <t>作業総数</t>
        </is>
      </c>
      <c r="C28" s="59">
        <f>COUNTA('WBS・進捗管理'!$A$5:$A$118)</f>
        <v/>
      </c>
    </row>
    <row r="29">
      <c r="B29" s="57" t="inlineStr">
        <is>
          <t>完了した作業</t>
        </is>
      </c>
      <c r="C29" s="59">
        <f>COUNTIF('WBS・進捗管理'!$O$5:$O$118,"完了")</f>
        <v/>
      </c>
    </row>
    <row r="30">
      <c r="B30" s="57" t="inlineStr">
        <is>
          <t>着手・確認中の作業</t>
        </is>
      </c>
      <c r="C30" s="59">
        <f>COUNTIF('WBS・進捗管理'!$O$5:$O$118,"着手")+COUNTIF('WBS・進捗管理'!$O$5:$O$118,"確認中")</f>
        <v/>
      </c>
    </row>
    <row r="31">
      <c r="B31" s="57" t="inlineStr">
        <is>
          <t>未着手の作業</t>
        </is>
      </c>
      <c r="C31" s="59">
        <f>COUNTIF('WBS・進捗管理'!$O$5:$O$118,"未着手")</f>
        <v/>
      </c>
    </row>
    <row r="32">
      <c r="B32" s="57" t="inlineStr">
        <is>
          <t>対象外の作業</t>
        </is>
      </c>
      <c r="C32" s="59">
        <f>COUNTIF('WBS・進捗管理'!$O$5:$O$118,"対象外")</f>
        <v/>
      </c>
    </row>
    <row r="33">
      <c r="B33" s="57" t="inlineStr">
        <is>
          <t>村への確認事項（優先度S）</t>
        </is>
      </c>
      <c r="C33" s="59">
        <f>COUNTIF('村への確認事項'!$A:$A,"S")</f>
        <v/>
      </c>
    </row>
    <row r="34">
      <c r="B34" s="57" t="inlineStr">
        <is>
          <t>村への確認事項（優先度A）</t>
        </is>
      </c>
      <c r="C34" s="59">
        <f>COUNTIF('村への確認事項'!$A:$A,"A")</f>
        <v/>
      </c>
    </row>
    <row r="35">
      <c r="B35" s="57" t="inlineStr">
        <is>
          <t>村への確認事項（未依頼）</t>
        </is>
      </c>
      <c r="C35" s="59">
        <f>COUNTIF('村への確認事項'!$G:$G,"未依頼")</f>
        <v/>
      </c>
    </row>
    <row r="36">
      <c r="B36" s="57" t="inlineStr">
        <is>
          <t>未受領の資料・データ</t>
        </is>
      </c>
      <c r="C36" s="59">
        <f>COUNTIF('受領資料・データ管理'!$F:$F,"未受領")</f>
        <v/>
      </c>
    </row>
    <row r="38">
      <c r="B38" s="38" t="inlineStr">
        <is>
          <t>■ マイルストーン（令和8年9月1日 キックオフ議事録により確定）</t>
        </is>
      </c>
    </row>
    <row r="39">
      <c r="B39" s="60" t="inlineStr"/>
      <c r="C39" s="60" t="inlineStr">
        <is>
          <t>期日</t>
        </is>
      </c>
      <c r="D39" s="60" t="inlineStr">
        <is>
          <t>内容</t>
        </is>
      </c>
      <c r="E39" s="60" t="inlineStr">
        <is>
          <t>留意点</t>
        </is>
      </c>
    </row>
    <row r="40">
      <c r="B40" s="23" t="inlineStr"/>
      <c r="C40" s="24" t="inlineStr">
        <is>
          <t>令和8年9月1日（火）</t>
        </is>
      </c>
      <c r="D40" s="24" t="inlineStr">
        <is>
          <t>キックオフ会議</t>
        </is>
      </c>
      <c r="E40" s="25" t="inlineStr">
        <is>
          <t>完了。議事録を受領（doc22）。S項目16件のうち9件が決着</t>
        </is>
      </c>
    </row>
    <row r="41">
      <c r="B41" s="61" t="inlineStr">
        <is>
          <t>★</t>
        </is>
      </c>
      <c r="C41" s="62" t="inlineStr">
        <is>
          <t>令和8年9月3日（木）</t>
        </is>
      </c>
      <c r="D41" s="62" t="inlineStr">
        <is>
          <t>調査票 第1稿の提出</t>
        </is>
      </c>
      <c r="E41" s="63" t="inlineStr">
        <is>
          <t>★議事録で確定。未決事項は選択肢併記で提出</t>
        </is>
      </c>
    </row>
    <row r="42">
      <c r="B42" s="61" t="inlineStr">
        <is>
          <t>★</t>
        </is>
      </c>
      <c r="C42" s="62" t="inlineStr">
        <is>
          <t>令和8年9月9日（水）頃</t>
        </is>
      </c>
      <c r="D42" s="62" t="inlineStr">
        <is>
          <t>調査票の最終校了・印刷依頼</t>
        </is>
      </c>
      <c r="E42" s="63" t="inlineStr">
        <is>
          <t>★Webフォームの実装方法が未決だと間に合わない恐れ</t>
        </is>
      </c>
    </row>
    <row r="43">
      <c r="B43" s="23" t="inlineStr"/>
      <c r="C43" s="24" t="inlineStr">
        <is>
          <t>令和8年9月14日（月）</t>
        </is>
      </c>
      <c r="D43" s="24" t="inlineStr">
        <is>
          <t>宛名ラベル・配布用封筒の提供</t>
        </is>
      </c>
      <c r="E43" s="25" t="inlineStr">
        <is>
          <t>村。9/11への前倒しを要請</t>
        </is>
      </c>
    </row>
    <row r="44">
      <c r="B44" s="23" t="inlineStr"/>
      <c r="C44" s="24" t="inlineStr">
        <is>
          <t>令和8年9月16〜17日</t>
        </is>
      </c>
      <c r="D44" s="24" t="inlineStr">
        <is>
          <t>宛名貼付・封入・封緘</t>
        </is>
      </c>
      <c r="E44" s="25" t="inlineStr">
        <is>
          <t>受託者</t>
        </is>
      </c>
    </row>
    <row r="45">
      <c r="B45" s="61" t="inlineStr">
        <is>
          <t>★</t>
        </is>
      </c>
      <c r="C45" s="62" t="inlineStr">
        <is>
          <t>令和8年9月18日（金）頃</t>
        </is>
      </c>
      <c r="D45" s="62" t="inlineStr">
        <is>
          <t>アンケート発送</t>
        </is>
      </c>
      <c r="E45" s="63" t="inlineStr">
        <is>
          <t>★5連休（9/19〜9/23）の直前。9/17前倒しを協議</t>
        </is>
      </c>
    </row>
    <row r="46">
      <c r="B46" s="61" t="inlineStr">
        <is>
          <t>★</t>
        </is>
      </c>
      <c r="C46" s="62" t="inlineStr">
        <is>
          <t>令和8年9月30日（水）</t>
        </is>
      </c>
      <c r="D46" s="62" t="inlineStr">
        <is>
          <t>策定委員会 現委員の任期満了</t>
        </is>
      </c>
      <c r="E46" s="63" t="inlineStr">
        <is>
          <t>★議事録で触れられず。第2回（11月）には改選が前提</t>
        </is>
      </c>
    </row>
    <row r="47">
      <c r="B47" s="23" t="inlineStr"/>
      <c r="C47" s="24" t="inlineStr">
        <is>
          <t>令和8年10月</t>
        </is>
      </c>
      <c r="D47" s="24" t="inlineStr">
        <is>
          <t>回収・データ入力</t>
        </is>
      </c>
      <c r="E47" s="25" t="inlineStr">
        <is>
          <t>村が100件程度集まるごとに随時送付</t>
        </is>
      </c>
    </row>
    <row r="48">
      <c r="B48" s="61" t="inlineStr">
        <is>
          <t>★</t>
        </is>
      </c>
      <c r="C48" s="62" t="inlineStr">
        <is>
          <t>令和8年11月</t>
        </is>
      </c>
      <c r="D48" s="62" t="inlineStr">
        <is>
          <t>第2回策定委員会</t>
        </is>
      </c>
      <c r="E48" s="63" t="inlineStr">
        <is>
          <t>★分析結果・効果検証・骨子・体系・見込量・保険料概算・素案（完成度7割）</t>
        </is>
      </c>
    </row>
    <row r="49">
      <c r="B49" s="23" t="inlineStr"/>
      <c r="C49" s="24" t="inlineStr">
        <is>
          <t>令和8年11月〜12月</t>
        </is>
      </c>
      <c r="D49" s="24" t="inlineStr">
        <is>
          <t>パブリックコメント</t>
        </is>
      </c>
      <c r="E49" s="25" t="inlineStr">
        <is>
          <t>第2回委員会の後に実施</t>
        </is>
      </c>
    </row>
    <row r="50">
      <c r="B50" s="23" t="inlineStr"/>
      <c r="C50" s="24" t="inlineStr">
        <is>
          <t>令和9年1月下旬〜2月上旬</t>
        </is>
      </c>
      <c r="D50" s="24" t="inlineStr">
        <is>
          <t>第3回策定委員会</t>
        </is>
      </c>
      <c r="E50" s="25" t="inlineStr">
        <is>
          <t>パブコメ結果と反映内容を報告。ほぼ完成版の素案で最終合意</t>
        </is>
      </c>
    </row>
    <row r="51">
      <c r="B51" s="23" t="inlineStr"/>
      <c r="C51" s="24" t="inlineStr">
        <is>
          <t>令和9年2月末頃</t>
        </is>
      </c>
      <c r="D51" s="24" t="inlineStr">
        <is>
          <t>議会全員協議会</t>
        </is>
      </c>
      <c r="E51" s="25" t="inlineStr">
        <is>
          <t>概要版（A3両面程度）を用いて説明</t>
        </is>
      </c>
    </row>
    <row r="52">
      <c r="B52" s="23" t="inlineStr"/>
      <c r="C52" s="24" t="inlineStr">
        <is>
          <t>令和9年3月31日</t>
        </is>
      </c>
      <c r="D52" s="24" t="inlineStr">
        <is>
          <t>履行期限（納品・検収）</t>
        </is>
      </c>
      <c r="E52" s="25" t="inlineStr"/>
    </row>
    <row r="54">
      <c r="B54" s="45" t="inlineStr">
        <is>
          <t>※「仕様書該当」欄の凡例：仕様書＝8北保福第483号 別紙／手引き＝厚生労働省の実施の手引き（令和7年8月版）／確認＝本業務での確認事項</t>
        </is>
      </c>
    </row>
    <row r="55">
      <c r="B55" s="45" t="inlineStr">
        <is>
          <t>※ No. は行の位置によらない固定値です。作業を追加しても既存の No. は変わりません（追加分は101以降）。確認事項シートの「関連WBS No.」はこの No. を参照します。</t>
        </is>
      </c>
    </row>
    <row r="56">
      <c r="B56" s="45" t="inlineStr">
        <is>
          <t>※ 仕様書の要求事項と本WBSの対応は「仕様書対照」シートにあります。漏れと過剰の点検は scripts/verify_wbs.py で機械的に行っています。</t>
        </is>
      </c>
    </row>
    <row r="57">
      <c r="B57" s="45" t="inlineStr">
        <is>
          <t>※ 想定時期は仕様書の履行期限（令和9年3月31日）から逆算した目安です。村との協議結果により確定します。</t>
        </is>
      </c>
    </row>
    <row r="58">
      <c r="B58" s="45" t="inlineStr">
        <is>
          <t>※ 令和8年9月19日（土）〜23日（水）は5連休（敬老の日9/21・国民の休日9/22・秋分の日9/23）です。発送・回収工程に影響します。</t>
        </is>
      </c>
    </row>
    <row r="59">
      <c r="B59" s="45" t="inlineStr">
        <is>
          <t>※ 進捗基準日は令和8年9月25日です。備考欄の doc番号は docs/北塩原村_第10期/ 配下の分析資料に対応します。</t>
        </is>
      </c>
    </row>
    <row r="60">
      <c r="B60" s="45" t="inlineStr">
        <is>
          <t>※ マイルストーンの★印は、遅れると後続工程が連鎖的に破綻する項目です。</t>
        </is>
      </c>
    </row>
    <row r="61">
      <c r="B61" s="45"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2026-09-25T01:24:49Z</dcterms:created>
  <dcterms:modified xsi:type="dcterms:W3CDTF">2026-09-25T01:24:49Z</dcterms:modified>
</cp:coreProperties>
</file>