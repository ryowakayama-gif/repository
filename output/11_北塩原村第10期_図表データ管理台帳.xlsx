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図表台帳" sheetId="2" state="visible" r:id="rId2"/>
    <sheet xmlns:r="http://schemas.openxmlformats.org/officeDocument/2006/relationships" name="02_素案の表との突合" sheetId="3" state="visible" r:id="rId3"/>
    <sheet xmlns:r="http://schemas.openxmlformats.org/officeDocument/2006/relationships" name="03_交付金との紐付け" sheetId="4" state="visible" r:id="rId4"/>
    <sheet xmlns:r="http://schemas.openxmlformats.org/officeDocument/2006/relationships" name="04_資8の一覧との突合" sheetId="5" state="visible" r:id="rId5"/>
    <sheet xmlns:r="http://schemas.openxmlformats.org/officeDocument/2006/relationships" name="D_fig2-21_調整済み認定率" sheetId="6" state="visible" r:id="rId6"/>
    <sheet xmlns:r="http://schemas.openxmlformats.org/officeDocument/2006/relationships" name="D_fig2-1_人口構成比較" sheetId="7" state="visible" r:id="rId7"/>
    <sheet xmlns:r="http://schemas.openxmlformats.org/officeDocument/2006/relationships" name="D_fig2-2_高齢化率推移" sheetId="8" state="visible" r:id="rId8"/>
    <sheet xmlns:r="http://schemas.openxmlformats.org/officeDocument/2006/relationships" name="D_fig2-3_将来推計人口" sheetId="9" state="visible" r:id="rId9"/>
    <sheet xmlns:r="http://schemas.openxmlformats.org/officeDocument/2006/relationships" name="D_fig2-4_前期後期高齢者" sheetId="10" state="visible" r:id="rId10"/>
    <sheet xmlns:r="http://schemas.openxmlformats.org/officeDocument/2006/relationships" name="D_fig2-5_認定率推移" sheetId="11" state="visible" r:id="rId11"/>
    <sheet xmlns:r="http://schemas.openxmlformats.org/officeDocument/2006/relationships" name="D_fig2-6_要介護度別認定者数" sheetId="12" state="visible" r:id="rId12"/>
    <sheet xmlns:r="http://schemas.openxmlformats.org/officeDocument/2006/relationships" name="D_fig2-7_要支援1" sheetId="13" state="visible" r:id="rId13"/>
    <sheet xmlns:r="http://schemas.openxmlformats.org/officeDocument/2006/relationships" name="D_fig2-8_新規認定要支援1" sheetId="14" state="visible" r:id="rId14"/>
    <sheet xmlns:r="http://schemas.openxmlformats.org/officeDocument/2006/relationships" name="D_fig2-9_1人あたり費用額" sheetId="15" state="visible" r:id="rId15"/>
    <sheet xmlns:r="http://schemas.openxmlformats.org/officeDocument/2006/relationships" name="D_fig2-10_費用額内訳" sheetId="16" state="visible" r:id="rId16"/>
    <sheet xmlns:r="http://schemas.openxmlformats.org/officeDocument/2006/relationships" name="D_fig2-11_在宅施設別給付月額" sheetId="17" state="visible" r:id="rId17"/>
    <sheet xmlns:r="http://schemas.openxmlformats.org/officeDocument/2006/relationships" name="D_fig2-14_サービス区分別変化" sheetId="18" state="visible" r:id="rId18"/>
    <sheet xmlns:r="http://schemas.openxmlformats.org/officeDocument/2006/relationships" name="D_fig2-12_1人あたり定員" sheetId="19" state="visible" r:id="rId19"/>
    <sheet xmlns:r="http://schemas.openxmlformats.org/officeDocument/2006/relationships" name="D_fig2-13_地域支援事業費" sheetId="20" state="visible" r:id="rId20"/>
    <sheet xmlns:r="http://schemas.openxmlformats.org/officeDocument/2006/relationships" name="D_fig2-20_通いの場" sheetId="21" state="visible" r:id="rId21"/>
    <sheet xmlns:r="http://schemas.openxmlformats.org/officeDocument/2006/relationships" name="D_fig2-15_財政指数" sheetId="22" state="visible" r:id="rId22"/>
    <sheet xmlns:r="http://schemas.openxmlformats.org/officeDocument/2006/relationships" name="D_fig2-16_保険料比較" sheetId="23" state="visible" r:id="rId23"/>
    <sheet xmlns:r="http://schemas.openxmlformats.org/officeDocument/2006/relationships" name="D_fig2-17_保険料と必要額" sheetId="24" state="visible" r:id="rId24"/>
    <sheet xmlns:r="http://schemas.openxmlformats.org/officeDocument/2006/relationships" name="D_fig2-18_交付金指標群" sheetId="25" state="visible" r:id="rId25"/>
    <sheet xmlns:r="http://schemas.openxmlformats.org/officeDocument/2006/relationships" name="D_fig2-19_交付金得点推移" sheetId="26" state="visible" r:id="rId26"/>
    <sheet xmlns:r="http://schemas.openxmlformats.org/officeDocument/2006/relationships"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8">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7"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性・年齢調整済み認定率の推移（要介護度の区分別）</a:t>
            </a:r>
          </a:p>
        </rich>
      </tx>
    </title>
    <plotArea>
      <lineChart>
        <grouping val="standard"/>
        <ser>
          <idx val="0"/>
          <order val="0"/>
          <tx>
            <strRef>
              <f>'D_fig2-21_調整済み認定率'!B5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'D_fig2-21_調整済み認定率'!$B$6:$B$12</f>
            </numRef>
          </val>
        </ser>
        <ser>
          <idx val="1"/>
          <order val="1"/>
          <tx>
            <strRef>
              <f>'D_fig2-21_調整済み認定率'!C5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'D_fig2-21_調整済み認定率'!$C$6:$C$12</f>
            </numRef>
          </val>
        </ser>
        <ser>
          <idx val="2"/>
          <order val="2"/>
          <tx>
            <strRef>
              <f>'D_fig2-21_調整済み認定率'!D5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'D_fig2-21_調整済み認定率'!$D$6:$D$12</f>
            </numRef>
          </val>
        </ser>
        <ser>
          <idx val="3"/>
          <order val="3"/>
          <tx>
            <strRef>
              <f>'D_fig2-21_調整済み認定率'!E5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年齢階級別人口の比較（平成22年・令和7年）</a:t>
            </a:r>
          </a:p>
        </rich>
      </tx>
    </title>
    <plotArea>
      <barChart>
        <barDir val="bar"/>
        <grouping val="clustered"/>
        <ser>
          <idx val="0"/>
          <order val="0"/>
          <tx>
            <strRef>
              <f>'D_fig2-1_人口構成比較'!B5</f>
            </strRef>
          </tx>
          <spPr>
            <a:ln xmlns:a="http://schemas.openxmlformats.org/drawingml/2006/main">
              <a:prstDash val="solid"/>
            </a:ln>
          </spPr>
          <cat>
            <numRef>
              <f>'D_fig2-1_人口構成比較'!$A$6:$A$10</f>
            </numRef>
          </cat>
          <val>
            <numRef>
              <f>'D_fig2-1_人口構成比較'!$B$6:$B$10</f>
            </numRef>
          </val>
        </ser>
        <ser>
          <idx val="1"/>
          <order val="1"/>
          <tx>
            <strRef>
              <f>'D_fig2-1_人口構成比較'!C5</f>
            </strRef>
          </tx>
          <spPr>
            <a:ln xmlns:a="http://schemas.openxmlformats.org/drawingml/2006/mai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高齢化率の推移と将来推計（村・福島県・全国）</a:t>
            </a:r>
          </a:p>
        </rich>
      </tx>
    </title>
    <plotArea>
      <lineChart>
        <grouping val="standard"/>
        <ser>
          <idx val="0"/>
          <order val="0"/>
          <tx>
            <strRef>
              <f>'D_fig2-2_高齢化率推移'!B5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'D_fig2-2_高齢化率推移'!$B$6:$B$14</f>
            </numRef>
          </val>
        </ser>
        <ser>
          <idx val="1"/>
          <order val="1"/>
          <tx>
            <strRef>
              <f>'D_fig2-2_高齢化率推移'!C5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'D_fig2-2_高齢化率推移'!$C$6:$C$14</f>
            </numRef>
          </val>
        </ser>
        <ser>
          <idx val="2"/>
          <order val="2"/>
          <tx>
            <strRef>
              <f>'D_fig2-2_高齢化率推移'!D5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将来推計人口（年齢3区分）</a:t>
            </a:r>
          </a:p>
        </rich>
      </tx>
    </title>
    <plotArea>
      <barChart>
        <barDir val="col"/>
        <grouping val="stacked"/>
        <ser>
          <idx val="0"/>
          <order val="0"/>
          <tx>
            <strRef>
              <f>'D_fig2-3_将来推計人口'!B5</f>
            </strRef>
          </tx>
          <spPr>
            <a:ln xmlns:a="http://schemas.openxmlformats.org/drawingml/2006/main">
              <a:prstDash val="solid"/>
            </a:ln>
          </spPr>
          <cat>
            <numRef>
              <f>'D_fig2-3_将来推計人口'!$A$6:$A$14</f>
            </numRef>
          </cat>
          <val>
            <numRef>
              <f>'D_fig2-3_将来推計人口'!$B$6:$B$14</f>
            </numRef>
          </val>
        </ser>
        <ser>
          <idx val="1"/>
          <order val="1"/>
          <tx>
            <strRef>
              <f>'D_fig2-3_将来推計人口'!C5</f>
            </strRef>
          </tx>
          <spPr>
            <a:ln xmlns:a="http://schemas.openxmlformats.org/drawingml/2006/main">
              <a:prstDash val="solid"/>
            </a:ln>
          </spPr>
          <cat>
            <numRef>
              <f>'D_fig2-3_将来推計人口'!$A$6:$A$14</f>
            </numRef>
          </cat>
          <val>
            <numRef>
              <f>'D_fig2-3_将来推計人口'!$C$6:$C$14</f>
            </numRef>
          </val>
        </ser>
        <ser>
          <idx val="2"/>
          <order val="2"/>
          <tx>
            <strRef>
              <f>'D_fig2-3_将来推計人口'!D5</f>
            </strRef>
          </tx>
          <spPr>
            <a:ln xmlns:a="http://schemas.openxmlformats.org/drawingml/2006/main">
              <a:prstDash val="solid"/>
            </a:ln>
          </spPr>
          <cat>
            <numRef>
              <f>'D_fig2-3_将来推計人口'!$A$6:$A$14</f>
            </numRef>
          </cat>
          <val>
            <numRef>
              <f>'D_fig2-3_将来推計人口'!$D$6:$D$14</f>
            </numRef>
          </val>
        </ser>
        <ser>
          <idx val="3"/>
          <order val="3"/>
          <tx>
            <strRef>
              <f>'D_fig2-3_将来推計人口'!E5</f>
            </strRef>
          </tx>
          <spPr>
            <a:ln xmlns:a="http://schemas.openxmlformats.org/drawingml/2006/mai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前期高齢者と後期高齢者の推移</a:t>
            </a:r>
          </a:p>
        </rich>
      </tx>
    </title>
    <plotArea>
      <barChart>
        <barDir val="col"/>
        <grouping val="stacked"/>
        <ser>
          <idx val="0"/>
          <order val="0"/>
          <tx>
            <strRef>
              <f>'D_fig2-4_前期後期高齢者'!B5</f>
            </strRef>
          </tx>
          <spPr>
            <a:ln xmlns:a="http://schemas.openxmlformats.org/drawingml/2006/main">
              <a:prstDash val="solid"/>
            </a:ln>
          </spPr>
          <cat>
            <numRef>
              <f>'D_fig2-4_前期後期高齢者'!$A$6:$A$14</f>
            </numRef>
          </cat>
          <val>
            <numRef>
              <f>'D_fig2-4_前期後期高齢者'!$B$6:$B$14</f>
            </numRef>
          </val>
        </ser>
        <ser>
          <idx val="1"/>
          <order val="1"/>
          <tx>
            <strRef>
              <f>'D_fig2-4_前期後期高齢者'!C5</f>
            </strRef>
          </tx>
          <spPr>
            <a:ln xmlns:a="http://schemas.openxmlformats.org/drawingml/2006/mai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要支援・要介護認定率の推移（村・福島県・全国）</a:t>
            </a:r>
          </a:p>
        </rich>
      </tx>
    </title>
    <plotArea>
      <lineChart>
        <grouping val="standard"/>
        <ser>
          <idx val="0"/>
          <order val="0"/>
          <tx>
            <strRef>
              <f>'D_fig2-5_認定率推移'!B5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'D_fig2-5_認定率推移'!$B$6:$B$12</f>
            </numRef>
          </val>
        </ser>
        <ser>
          <idx val="1"/>
          <order val="1"/>
          <tx>
            <strRef>
              <f>'D_fig2-5_認定率推移'!C5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'D_fig2-5_認定率推移'!$C$6:$C$12</f>
            </numRef>
          </val>
        </ser>
        <ser>
          <idx val="2"/>
          <order val="2"/>
          <tx>
            <strRef>
              <f>'D_fig2-5_認定率推移'!D5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2"/>
  <chart>
    <title>
      <tx>
        <rich>
          <a:bodyPr xmlns:a="http://schemas.openxmlformats.org/drawingml/2006/main"/>
          <a:p xmlns:a="http://schemas.openxmlformats.org/drawingml/2006/main">
            <a:pPr>
              <a:defRPr/>
            </a:pPr>
            <a:r>
              <a:t>要介護度別 認定者数の推移</a:t>
            </a:r>
          </a:p>
        </rich>
      </tx>
    </title>
    <plotArea>
      <barChart>
        <barDir val="col"/>
        <grouping val="stacked"/>
        <ser>
          <idx val="0"/>
          <order val="0"/>
          <tx>
            <strRef>
              <f>'D_fig2-6_要介護度別認定者数'!B5</f>
            </strRef>
          </tx>
          <spPr>
            <a:ln xmlns:a="http://schemas.openxmlformats.org/drawingml/2006/main">
              <a:prstDash val="solid"/>
            </a:ln>
          </spPr>
          <cat>
            <numRef>
              <f>'D_fig2-6_要介護度別認定者数'!$A$6:$A$12</f>
            </numRef>
          </cat>
          <val>
            <numRef>
              <f>'D_fig2-6_要介護度別認定者数'!$B$6:$B$12</f>
            </numRef>
          </val>
        </ser>
        <ser>
          <idx val="1"/>
          <order val="1"/>
          <tx>
            <strRef>
              <f>'D_fig2-6_要介護度別認定者数'!C5</f>
            </strRef>
          </tx>
          <spPr>
            <a:ln xmlns:a="http://schemas.openxmlformats.org/drawingml/2006/main">
              <a:prstDash val="solid"/>
            </a:ln>
          </spPr>
          <cat>
            <numRef>
              <f>'D_fig2-6_要介護度別認定者数'!$A$6:$A$12</f>
            </numRef>
          </cat>
          <val>
            <numRef>
              <f>'D_fig2-6_要介護度別認定者数'!$C$6:$C$12</f>
            </numRef>
          </val>
        </ser>
        <ser>
          <idx val="2"/>
          <order val="2"/>
          <tx>
            <strRef>
              <f>'D_fig2-6_要介護度別認定者数'!D5</f>
            </strRef>
          </tx>
          <spPr>
            <a:ln xmlns:a="http://schemas.openxmlformats.org/drawingml/2006/main">
              <a:prstDash val="solid"/>
            </a:ln>
          </spPr>
          <cat>
            <numRef>
              <f>'D_fig2-6_要介護度別認定者数'!$A$6:$A$12</f>
            </numRef>
          </cat>
          <val>
            <numRef>
              <f>'D_fig2-6_要介護度別認定者数'!$D$6:$D$12</f>
            </numRef>
          </val>
        </ser>
        <ser>
          <idx val="3"/>
          <order val="3"/>
          <tx>
            <strRef>
              <f>'D_fig2-6_要介護度別認定者数'!E5</f>
            </strRef>
          </tx>
          <spPr>
            <a:ln xmlns:a="http://schemas.openxmlformats.org/drawingml/2006/main">
              <a:prstDash val="solid"/>
            </a:ln>
          </spPr>
          <cat>
            <numRef>
              <f>'D_fig2-6_要介護度別認定者数'!$A$6:$A$12</f>
            </numRef>
          </cat>
          <val>
            <numRef>
              <f>'D_fig2-6_要介護度別認定者数'!$E$6:$E$12</f>
            </numRef>
          </val>
        </ser>
        <ser>
          <idx val="4"/>
          <order val="4"/>
          <tx>
            <strRef>
              <f>'D_fig2-6_要介護度別認定者数'!F5</f>
            </strRef>
          </tx>
          <spPr>
            <a:ln xmlns:a="http://schemas.openxmlformats.org/drawingml/2006/main">
              <a:prstDash val="solid"/>
            </a:ln>
          </spPr>
          <cat>
            <numRef>
              <f>'D_fig2-6_要介護度別認定者数'!$A$6:$A$12</f>
            </numRef>
          </cat>
          <val>
            <numRef>
              <f>'D_fig2-6_要介護度別認定者数'!$F$6:$F$12</f>
            </numRef>
          </val>
        </ser>
        <ser>
          <idx val="5"/>
          <order val="5"/>
          <tx>
            <strRef>
              <f>'D_fig2-6_要介護度別認定者数'!G5</f>
            </strRef>
          </tx>
          <spPr>
            <a:ln xmlns:a="http://schemas.openxmlformats.org/drawingml/2006/main">
              <a:prstDash val="solid"/>
            </a:ln>
          </spPr>
          <cat>
            <numRef>
              <f>'D_fig2-6_要介護度別認定者数'!$A$6:$A$12</f>
            </numRef>
          </cat>
          <val>
            <numRef>
              <f>'D_fig2-6_要介護度別認定者数'!$G$6:$G$12</f>
            </numRef>
          </val>
        </ser>
        <ser>
          <idx val="6"/>
          <order val="6"/>
          <tx>
            <strRef>
              <f>'D_fig2-6_要介護度別認定者数'!H5</f>
            </strRef>
          </tx>
          <spPr>
            <a:ln xmlns:a="http://schemas.openxmlformats.org/drawingml/2006/mai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2"/>
  <chart>
    <title>
      <tx>
        <rich>
          <a:bodyPr xmlns:a="http://schemas.openxmlformats.org/drawingml/2006/main"/>
          <a:p xmlns:a="http://schemas.openxmlformats.org/drawingml/2006/main">
            <a:pPr>
              <a:defRPr/>
            </a:pPr>
            <a:r>
              <a:t>要支援1の認定者数の推移</a:t>
            </a:r>
          </a:p>
        </rich>
      </tx>
    </title>
    <plotArea>
      <barChart>
        <barDir val="col"/>
        <grouping val="clustered"/>
        <ser>
          <idx val="0"/>
          <order val="0"/>
          <tx>
            <strRef>
              <f>'D_fig2-7_要支援1'!B5</f>
            </strRef>
          </tx>
          <spPr>
            <a:ln xmlns:a="http://schemas.openxmlformats.org/drawingml/2006/mai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http://schemas.openxmlformats.org/drawingml/2006/chart">
  <style val="2"/>
  <chart>
    <title>
      <tx>
        <rich>
          <a:bodyPr xmlns:a="http://schemas.openxmlformats.org/drawingml/2006/main"/>
          <a:p xmlns:a="http://schemas.openxmlformats.org/drawingml/2006/main">
            <a:pPr>
              <a:defRPr/>
            </a:pPr>
            <a:r>
              <a:t>新規認定者に占める要支援1の割合</a:t>
            </a:r>
          </a:p>
        </rich>
      </tx>
    </title>
    <plotArea>
      <barChart>
        <barDir val="col"/>
        <grouping val="clustered"/>
        <ser>
          <idx val="0"/>
          <order val="0"/>
          <tx>
            <strRef>
              <f>'D_fig2-8_新規認定要支援1'!B5</f>
            </strRef>
          </tx>
          <spPr>
            <a:ln xmlns:a="http://schemas.openxmlformats.org/drawingml/2006/mai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http://schemas.openxmlformats.org/drawingml/2006/chart">
  <style val="2"/>
  <chart>
    <title>
      <tx>
        <rich>
          <a:bodyPr xmlns:a="http://schemas.openxmlformats.org/drawingml/2006/main"/>
          <a:p xmlns:a="http://schemas.openxmlformats.org/drawingml/2006/main">
            <a:pPr>
              <a:defRPr/>
            </a:pPr>
            <a:r>
              <a:t>第1号被保険者1人1月あたり費用額（村・福島県・全国）</a:t>
            </a:r>
          </a:p>
        </rich>
      </tx>
    </title>
    <plotArea>
      <lineChart>
        <grouping val="standard"/>
        <ser>
          <idx val="0"/>
          <order val="0"/>
          <tx>
            <strRef>
              <f>'D_fig2-9_1人あたり費用額'!B5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'D_fig2-9_1人あたり費用額'!$B$6:$B$13</f>
            </numRef>
          </val>
        </ser>
        <ser>
          <idx val="1"/>
          <order val="1"/>
          <tx>
            <strRef>
              <f>'D_fig2-9_1人あたり費用額'!C5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'D_fig2-9_1人あたり費用額'!$C$6:$C$13</f>
            </numRef>
          </val>
        </ser>
        <ser>
          <idx val="2"/>
          <order val="2"/>
          <tx>
            <strRef>
              <f>'D_fig2-9_1人あたり費用額'!D5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'D_fig2-9_1人あたり費用額'!$D$6:$D$13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http://schemas.openxmlformats.org/drawingml/2006/chart">
  <style val="2"/>
  <chart>
    <title>
      <tx>
        <rich>
          <a:bodyPr xmlns:a="http://schemas.openxmlformats.org/drawingml/2006/main"/>
          <a:p xmlns:a="http://schemas.openxmlformats.org/drawingml/2006/main">
            <a:pPr>
              <a:defRPr/>
            </a:pPr>
            <a:r>
              <a:t>サービス区分別 費用額の推移</a:t>
            </a:r>
          </a:p>
        </rich>
      </tx>
    </title>
    <plotArea>
      <barChart>
        <barDir val="col"/>
        <grouping val="stacked"/>
        <ser>
          <idx val="0"/>
          <order val="0"/>
          <tx>
            <strRef>
              <f>'D_fig2-10_費用額内訳'!B5</f>
            </strRef>
          </tx>
          <spPr>
            <a:ln xmlns:a="http://schemas.openxmlformats.org/drawingml/2006/main">
              <a:prstDash val="solid"/>
            </a:ln>
          </spPr>
          <cat>
            <numRef>
              <f>'D_fig2-10_費用額内訳'!$A$6:$A$14</f>
            </numRef>
          </cat>
          <val>
            <numRef>
              <f>'D_fig2-10_費用額内訳'!$B$6:$B$14</f>
            </numRef>
          </val>
        </ser>
        <ser>
          <idx val="1"/>
          <order val="1"/>
          <tx>
            <strRef>
              <f>'D_fig2-10_費用額内訳'!C5</f>
            </strRef>
          </tx>
          <spPr>
            <a:ln xmlns:a="http://schemas.openxmlformats.org/drawingml/2006/main">
              <a:prstDash val="solid"/>
            </a:ln>
          </spPr>
          <cat>
            <numRef>
              <f>'D_fig2-10_費用額内訳'!$A$6:$A$14</f>
            </numRef>
          </cat>
          <val>
            <numRef>
              <f>'D_fig2-10_費用額内訳'!$C$6:$C$14</f>
            </numRef>
          </val>
        </ser>
        <ser>
          <idx val="2"/>
          <order val="2"/>
          <tx>
            <strRef>
              <f>'D_fig2-10_費用額内訳'!D5</f>
            </strRef>
          </tx>
          <spPr>
            <a:ln xmlns:a="http://schemas.openxmlformats.org/drawingml/2006/mai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http://schemas.openxmlformats.org/drawingml/2006/chart">
  <style val="2"/>
  <chart>
    <title>
      <tx>
        <rich>
          <a:bodyPr xmlns:a="http://schemas.openxmlformats.org/drawingml/2006/main"/>
          <a:p xmlns:a="http://schemas.openxmlformats.org/drawingml/2006/main">
            <a:pPr>
              <a:defRPr/>
            </a:pPr>
            <a:r>
              <a:t>在宅・施設居住系別 第1号被保険者1人1月あたり給付月額</a:t>
            </a:r>
          </a:p>
        </rich>
      </tx>
    </title>
    <plotArea>
      <lineChart>
        <grouping val="standard"/>
        <ser>
          <idx val="0"/>
          <order val="0"/>
          <tx>
            <strRef>
              <f>'D_fig2-11_在宅施設別給付月額'!B5</f>
            </strRef>
          </tx>
          <spPr>
            <a:ln xmlns:a="http://schemas.openxmlformats.org/drawingml/2006/main">
              <a:prstDash val="solid"/>
            </a:ln>
          </spPr>
          <marker>
            <symbol val="none"/>
            <spPr>
              <a:ln xmlns:a="http://schemas.openxmlformats.org/drawingml/2006/main">
                <a:prstDash val="solid"/>
              </a:ln>
            </spPr>
          </marker>
          <cat>
            <numRef>
              <f>'D_fig2-11_在宅施設別給付月額'!$A$6:$A$14</f>
            </numRef>
          </cat>
          <val>
            <numRef>
              <f>'D_fig2-11_在宅施設別給付月額'!$B$6:$B$14</f>
            </numRef>
          </val>
        </ser>
        <ser>
          <idx val="1"/>
          <order val="1"/>
          <tx>
            <strRef>
              <f>'D_fig2-11_在宅施設別給付月額'!C5</f>
            </strRef>
          </tx>
          <spPr>
            <a:ln xmlns:a="http://schemas.openxmlformats.org/drawingml/2006/main">
              <a:prstDash val="solid"/>
            </a:ln>
          </spPr>
          <marker>
            <symbol val="none"/>
            <spPr>
              <a:ln xmlns:a="http://schemas.openxmlformats.org/drawingml/2006/mai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http://schemas.openxmlformats.org/drawingml/2006/chart">
  <style val="2"/>
  <chart>
    <title>
      <tx>
        <rich>
          <a:bodyPr xmlns:a="http://schemas.openxmlformats.org/drawingml/2006/main"/>
          <a:p xmlns:a="http://schemas.openxmlformats.org/drawingml/2006/main">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xmlns:a="http://schemas.openxmlformats.org/drawingml/2006/main">
              <a:prstDash val="solid"/>
            </a:ln>
          </spPr>
          <cat>
            <numRef>
              <f>'D_fig2-14_サービス区分別変化'!$A$6:$A$12</f>
            </numRef>
          </cat>
          <val>
            <numRef>
              <f>'D_fig2-14_サービス区分別変化'!$B$6:$B$12</f>
            </numRef>
          </val>
        </ser>
        <ser>
          <idx val="1"/>
          <order val="1"/>
          <tx>
            <strRef>
              <f>'D_fig2-14_サービス区分別変化'!C5</f>
            </strRef>
          </tx>
          <spPr>
            <a:ln xmlns:a="http://schemas.openxmlformats.org/drawingml/2006/mai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http://schemas.openxmlformats.org/drawingml/2006/chart">
  <style val="2"/>
  <chart>
    <title>
      <tx>
        <rich>
          <a:bodyPr xmlns:a="http://schemas.openxmlformats.org/drawingml/2006/main"/>
          <a:p xmlns:a="http://schemas.openxmlformats.org/drawingml/2006/main">
            <a:pPr>
              <a:defRPr/>
            </a:pPr>
            <a:r>
              <a:t>要支援・要介護者1人あたり定員の推移（定員は平成30年度以降据置）</a:t>
            </a:r>
          </a:p>
        </rich>
      </tx>
    </title>
    <plotArea>
      <lineChart>
        <grouping val="standard"/>
        <ser>
          <idx val="0"/>
          <order val="0"/>
          <tx>
            <strRef>
              <f>'D_fig2-12_1人あたり定員'!B5</f>
            </strRef>
          </tx>
          <spPr>
            <a:ln xmlns:a="http://schemas.openxmlformats.org/drawingml/2006/main">
              <a:prstDash val="solid"/>
            </a:ln>
          </spPr>
          <marker>
            <symbol val="none"/>
            <spPr>
              <a:ln xmlns:a="http://schemas.openxmlformats.org/drawingml/2006/main">
                <a:prstDash val="solid"/>
              </a:ln>
            </spPr>
          </marker>
          <cat>
            <numRef>
              <f>'D_fig2-12_1人あたり定員'!$A$6:$A$16</f>
            </numRef>
          </cat>
          <val>
            <numRef>
              <f>'D_fig2-12_1人あたり定員'!$B$6:$B$16</f>
            </numRef>
          </val>
        </ser>
        <ser>
          <idx val="1"/>
          <order val="1"/>
          <tx>
            <strRef>
              <f>'D_fig2-12_1人あたり定員'!C5</f>
            </strRef>
          </tx>
          <spPr>
            <a:ln xmlns:a="http://schemas.openxmlformats.org/drawingml/2006/main">
              <a:prstDash val="solid"/>
            </a:ln>
          </spPr>
          <marker>
            <symbol val="none"/>
            <spPr>
              <a:ln xmlns:a="http://schemas.openxmlformats.org/drawingml/2006/mai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http://schemas.openxmlformats.org/drawingml/2006/chart">
  <style val="2"/>
  <chart>
    <title>
      <tx>
        <rich>
          <a:bodyPr xmlns:a="http://schemas.openxmlformats.org/drawingml/2006/main"/>
          <a:p xmlns:a="http://schemas.openxmlformats.org/drawingml/2006/main">
            <a:pPr>
              <a:defRPr/>
            </a:pPr>
            <a:r>
              <a:t>地域支援事業費の推移（内訳別）</a:t>
            </a:r>
          </a:p>
        </rich>
      </tx>
    </title>
    <plotArea>
      <barChart>
        <barDir val="col"/>
        <grouping val="stacked"/>
        <ser>
          <idx val="0"/>
          <order val="0"/>
          <tx>
            <strRef>
              <f>'D_fig2-13_地域支援事業費'!B5</f>
            </strRef>
          </tx>
          <spPr>
            <a:ln xmlns:a="http://schemas.openxmlformats.org/drawingml/2006/main">
              <a:prstDash val="solid"/>
            </a:ln>
          </spPr>
          <cat>
            <numRef>
              <f>'D_fig2-13_地域支援事業費'!$A$6:$A$12</f>
            </numRef>
          </cat>
          <val>
            <numRef>
              <f>'D_fig2-13_地域支援事業費'!$B$6:$B$12</f>
            </numRef>
          </val>
        </ser>
        <ser>
          <idx val="1"/>
          <order val="1"/>
          <tx>
            <strRef>
              <f>'D_fig2-13_地域支援事業費'!C5</f>
            </strRef>
          </tx>
          <spPr>
            <a:ln xmlns:a="http://schemas.openxmlformats.org/drawingml/2006/main">
              <a:prstDash val="solid"/>
            </a:ln>
          </spPr>
          <cat>
            <numRef>
              <f>'D_fig2-13_地域支援事業費'!$A$6:$A$12</f>
            </numRef>
          </cat>
          <val>
            <numRef>
              <f>'D_fig2-13_地域支援事業費'!$C$6:$C$12</f>
            </numRef>
          </val>
        </ser>
        <ser>
          <idx val="2"/>
          <order val="2"/>
          <tx>
            <strRef>
              <f>'D_fig2-13_地域支援事業費'!D5</f>
            </strRef>
          </tx>
          <spPr>
            <a:ln xmlns:a="http://schemas.openxmlformats.org/drawingml/2006/main">
              <a:prstDash val="solid"/>
            </a:ln>
          </spPr>
          <cat>
            <numRef>
              <f>'D_fig2-13_地域支援事業費'!$A$6:$A$12</f>
            </numRef>
          </cat>
          <val>
            <numRef>
              <f>'D_fig2-13_地域支援事業費'!$D$6:$D$12</f>
            </numRef>
          </val>
        </ser>
        <ser>
          <idx val="3"/>
          <order val="3"/>
          <tx>
            <strRef>
              <f>'D_fig2-13_地域支援事業費'!E5</f>
            </strRef>
          </tx>
          <spPr>
            <a:ln xmlns:a="http://schemas.openxmlformats.org/drawingml/2006/mai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http://schemas.openxmlformats.org/drawingml/2006/chart">
  <style val="2"/>
  <chart>
    <title>
      <tx>
        <rich>
          <a:bodyPr xmlns:a="http://schemas.openxmlformats.org/drawingml/2006/main"/>
          <a:p xmlns:a="http://schemas.openxmlformats.org/drawingml/2006/main">
            <a:pPr>
              <a:defRPr/>
            </a:pPr>
            <a:r>
              <a:t>住民主体の通いの場の状況（令和6年度）</a:t>
            </a:r>
          </a:p>
        </rich>
      </tx>
    </title>
    <plotArea>
      <barChart>
        <barDir val="col"/>
        <grouping val="clustered"/>
        <ser>
          <idx val="0"/>
          <order val="0"/>
          <tx>
            <strRef>
              <f>'D_fig2-20_通いの場'!B5</f>
            </strRef>
          </tx>
          <spPr>
            <a:ln xmlns:a="http://schemas.openxmlformats.org/drawingml/2006/mai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http://schemas.openxmlformats.org/drawingml/2006/chart">
  <style val="2"/>
  <chart>
    <title>
      <tx>
        <rich>
          <a:bodyPr xmlns:a="http://schemas.openxmlformats.org/drawingml/2006/main"/>
          <a:p xmlns:a="http://schemas.openxmlformats.org/drawingml/2006/main">
            <a:pPr>
              <a:defRPr/>
            </a:pPr>
            <a:r>
              <a:t>保険給付費・地域支援事業費・保険料収入の推移</a:t>
            </a:r>
          </a:p>
        </rich>
      </tx>
    </title>
    <plotArea>
      <lineChart>
        <grouping val="standard"/>
        <ser>
          <idx val="0"/>
          <order val="0"/>
          <tx>
            <strRef>
              <f>'D_fig2-15_財政指数'!B5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'D_fig2-15_財政指数'!$B$6:$B$15</f>
            </numRef>
          </val>
        </ser>
        <ser>
          <idx val="1"/>
          <order val="1"/>
          <tx>
            <strRef>
              <f>'D_fig2-15_財政指数'!C5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'D_fig2-15_財政指数'!$C$6:$C$15</f>
            </numRef>
          </val>
        </ser>
        <ser>
          <idx val="2"/>
          <order val="2"/>
          <tx>
            <strRef>
              <f>'D_fig2-15_財政指数'!D5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http://schemas.openxmlformats.org/drawingml/2006/chart">
  <style val="2"/>
  <chart>
    <title>
      <tx>
        <rich>
          <a:bodyPr xmlns:a="http://schemas.openxmlformats.org/drawingml/2006/main"/>
          <a:p xmlns:a="http://schemas.openxmlformats.org/drawingml/2006/main">
            <a:pPr>
              <a:defRPr/>
            </a:pPr>
            <a:r>
              <a:t>介護保険料基準額の推移（村・福島県・全国）</a:t>
            </a:r>
          </a:p>
        </rich>
      </tx>
    </title>
    <plotArea>
      <barChart>
        <barDir val="col"/>
        <grouping val="clustered"/>
        <ser>
          <idx val="0"/>
          <order val="0"/>
          <tx>
            <strRef>
              <f>'D_fig2-16_保険料比較'!B5</f>
            </strRef>
          </tx>
          <spPr>
            <a:ln xmlns:a="http://schemas.openxmlformats.org/drawingml/2006/main">
              <a:prstDash val="solid"/>
            </a:ln>
          </spPr>
          <cat>
            <numRef>
              <f>'D_fig2-16_保険料比較'!$A$6:$A$8</f>
            </numRef>
          </cat>
          <val>
            <numRef>
              <f>'D_fig2-16_保険料比較'!$B$6:$B$8</f>
            </numRef>
          </val>
        </ser>
        <ser>
          <idx val="1"/>
          <order val="1"/>
          <tx>
            <strRef>
              <f>'D_fig2-16_保険料比較'!C5</f>
            </strRef>
          </tx>
          <spPr>
            <a:ln xmlns:a="http://schemas.openxmlformats.org/drawingml/2006/main">
              <a:prstDash val="solid"/>
            </a:ln>
          </spPr>
          <cat>
            <numRef>
              <f>'D_fig2-16_保険料比較'!$A$6:$A$8</f>
            </numRef>
          </cat>
          <val>
            <numRef>
              <f>'D_fig2-16_保険料比較'!$C$6:$C$8</f>
            </numRef>
          </val>
        </ser>
        <ser>
          <idx val="2"/>
          <order val="2"/>
          <tx>
            <strRef>
              <f>'D_fig2-16_保険料比較'!D5</f>
            </strRef>
          </tx>
          <spPr>
            <a:ln xmlns:a="http://schemas.openxmlformats.org/drawingml/2006/mai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http://schemas.openxmlformats.org/drawingml/2006/chart">
  <style val="2"/>
  <chart>
    <title>
      <tx>
        <rich>
          <a:bodyPr xmlns:a="http://schemas.openxmlformats.org/drawingml/2006/main"/>
          <a:p xmlns:a="http://schemas.openxmlformats.org/drawingml/2006/main">
            <a:pPr>
              <a:defRPr/>
            </a:pPr>
            <a:r>
              <a:t>保険料基準額と必要保険料額の対比（第8期以降は余剰が継続）</a:t>
            </a:r>
          </a:p>
        </rich>
      </tx>
    </title>
    <plotArea>
      <lineChart>
        <grouping val="standard"/>
        <ser>
          <idx val="0"/>
          <order val="0"/>
          <tx>
            <strRef>
              <f>'D_fig2-17_保険料と必要額'!B5</f>
            </strRef>
          </tx>
          <spPr>
            <a:ln xmlns:a="http://schemas.openxmlformats.org/drawingml/2006/main">
              <a:prstDash val="solid"/>
            </a:ln>
          </spPr>
          <marker>
            <symbol val="none"/>
            <spPr>
              <a:ln xmlns:a="http://schemas.openxmlformats.org/drawingml/2006/main">
                <a:prstDash val="solid"/>
              </a:ln>
            </spPr>
          </marker>
          <cat>
            <numRef>
              <f>'D_fig2-17_保険料と必要額'!$A$6:$A$13</f>
            </numRef>
          </cat>
          <val>
            <numRef>
              <f>'D_fig2-17_保険料と必要額'!$B$6:$B$13</f>
            </numRef>
          </val>
        </ser>
        <ser>
          <idx val="1"/>
          <order val="1"/>
          <tx>
            <strRef>
              <f>'D_fig2-17_保険料と必要額'!C5</f>
            </strRef>
          </tx>
          <spPr>
            <a:ln xmlns:a="http://schemas.openxmlformats.org/drawingml/2006/main">
              <a:prstDash val="solid"/>
            </a:ln>
          </spPr>
          <marker>
            <symbol val="none"/>
            <spPr>
              <a:ln xmlns:a="http://schemas.openxmlformats.org/drawingml/2006/mai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http://schemas.openxmlformats.org/drawingml/2006/chart">
  <style val="2"/>
  <chart>
    <title>
      <tx>
        <rich>
          <a:bodyPr xmlns:a="http://schemas.openxmlformats.org/drawingml/2006/main"/>
          <a:p xmlns:a="http://schemas.openxmlformats.org/drawingml/2006/main">
            <a:pPr>
              <a:defRPr/>
            </a:pPr>
            <a:r>
              <a:t>交付金 目標別得点と全国平均の対比（令和8年度）</a:t>
            </a:r>
          </a:p>
        </rich>
      </tx>
    </title>
    <plotArea>
      <barChart>
        <barDir val="col"/>
        <grouping val="clustered"/>
        <ser>
          <idx val="0"/>
          <order val="0"/>
          <tx>
            <strRef>
              <f>'D_fig2-18_交付金指標群'!B5</f>
            </strRef>
          </tx>
          <spPr>
            <a:ln xmlns:a="http://schemas.openxmlformats.org/drawingml/2006/main">
              <a:prstDash val="solid"/>
            </a:ln>
          </spPr>
          <cat>
            <numRef>
              <f>'D_fig2-18_交付金指標群'!$A$6:$A$13</f>
            </numRef>
          </cat>
          <val>
            <numRef>
              <f>'D_fig2-18_交付金指標群'!$B$6:$B$13</f>
            </numRef>
          </val>
        </ser>
        <ser>
          <idx val="1"/>
          <order val="1"/>
          <tx>
            <strRef>
              <f>'D_fig2-18_交付金指標群'!C5</f>
            </strRef>
          </tx>
          <spPr>
            <a:ln xmlns:a="http://schemas.openxmlformats.org/drawingml/2006/mai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http://schemas.openxmlformats.org/drawingml/2006/chart">
  <style val="2"/>
  <chart>
    <title>
      <tx>
        <rich>
          <a:bodyPr xmlns:a="http://schemas.openxmlformats.org/drawingml/2006/main"/>
          <a:p xmlns:a="http://schemas.openxmlformats.org/drawingml/2006/main">
            <a:pPr>
              <a:defRPr/>
            </a:pPr>
            <a:r>
              <a:t>交付金 合計得点の推移（村・福島県平均・全国平均）</a:t>
            </a:r>
          </a:p>
        </rich>
      </tx>
    </title>
    <plotArea>
      <lineChart>
        <grouping val="standard"/>
        <ser>
          <idx val="0"/>
          <order val="0"/>
          <tx>
            <strRef>
              <f>'D_fig2-19_交付金得点推移'!B5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'D_fig2-19_交付金得点推移'!$B$6:$B$8</f>
            </numRef>
          </val>
        </ser>
        <ser>
          <idx val="1"/>
          <order val="1"/>
          <tx>
            <strRef>
              <f>'D_fig2-19_交付金得点推移'!C5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'D_fig2-19_交付金得点推移'!$C$6:$C$8</f>
            </numRef>
          </val>
        </ser>
        <ser>
          <idx val="2"/>
          <order val="2"/>
          <tx>
            <strRef>
              <f>'D_fig2-19_交付金得点推移'!D5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_rels/drawing11.xml.rels><Relationships xmlns="http://schemas.openxmlformats.org/package/2006/relationships"><Relationship Type="http://schemas.openxmlformats.org/officeDocument/2006/relationships/chart" Target="/xl/charts/chart11.xml" Id="rId1"/></Relationships>
</file>

<file path=xl/drawings/_rels/drawing12.xml.rels><Relationships xmlns="http://schemas.openxmlformats.org/package/2006/relationships"><Relationship Type="http://schemas.openxmlformats.org/officeDocument/2006/relationships/chart" Target="/xl/charts/chart12.xml" Id="rId1"/></Relationships>
</file>

<file path=xl/drawings/_rels/drawing13.xml.rels><Relationships xmlns="http://schemas.openxmlformats.org/package/2006/relationships"><Relationship Type="http://schemas.openxmlformats.org/officeDocument/2006/relationships/chart" Target="/xl/charts/chart13.xml" Id="rId1"/></Relationships>
</file>

<file path=xl/drawings/_rels/drawing14.xml.rels><Relationships xmlns="http://schemas.openxmlformats.org/package/2006/relationships"><Relationship Type="http://schemas.openxmlformats.org/officeDocument/2006/relationships/chart" Target="/xl/charts/chart14.xml" Id="rId1"/></Relationships>
</file>

<file path=xl/drawings/_rels/drawing15.xml.rels><Relationships xmlns="http://schemas.openxmlformats.org/package/2006/relationships"><Relationship Type="http://schemas.openxmlformats.org/officeDocument/2006/relationships/chart" Target="/xl/charts/chart15.xml" Id="rId1"/></Relationships>
</file>

<file path=xl/drawings/_rels/drawing16.xml.rels><Relationships xmlns="http://schemas.openxmlformats.org/package/2006/relationships"><Relationship Type="http://schemas.openxmlformats.org/officeDocument/2006/relationships/chart" Target="/xl/charts/chart16.xml" Id="rId1"/></Relationships>
</file>

<file path=xl/drawings/_rels/drawing17.xml.rels><Relationships xmlns="http://schemas.openxmlformats.org/package/2006/relationships"><Relationship Type="http://schemas.openxmlformats.org/officeDocument/2006/relationships/chart" Target="/xl/charts/chart17.xml" Id="rId1"/></Relationships>
</file>

<file path=xl/drawings/_rels/drawing18.xml.rels><Relationships xmlns="http://schemas.openxmlformats.org/package/2006/relationships"><Relationship Type="http://schemas.openxmlformats.org/officeDocument/2006/relationships/chart" Target="/xl/charts/chart18.xml" Id="rId1"/></Relationships>
</file>

<file path=xl/drawings/_rels/drawing19.xml.rels><Relationships xmlns="http://schemas.openxmlformats.org/package/2006/relationships"><Relationship Type="http://schemas.openxmlformats.org/officeDocument/2006/relationships/chart" Target="/xl/charts/chart19.xml" Id="rId1"/></Relationships>
</file>

<file path=xl/drawings/_rels/drawing20.xml.rels><Relationships xmlns="http://schemas.openxmlformats.org/package/2006/relationships"><Relationship Type="http://schemas.openxmlformats.org/officeDocument/2006/relationships/chart" Target="/xl/charts/chart20.xml" Id="rId1"/></Relationships>
</file>

<file path=xl/drawings/_rels/drawing21.xml.rels><Relationships xmlns="http://schemas.openxmlformats.org/package/2006/relationships"><Relationship Type="http://schemas.openxmlformats.org/officeDocument/2006/relationships/chart" Target="/xl/charts/chart21.xml" Id="rId1"/></Relationships>
</file>

<file path=xl/drawings/drawing1.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9</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0.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1.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9.xml.rels><Relationships xmlns="http://schemas.openxmlformats.org/package/2006/relationships"><Relationship Type="http://schemas.openxmlformats.org/officeDocument/2006/relationships/drawing" Target="/xl/drawings/drawing4.xml" Id="rId1"/></Relationships>
</file>

<file path=xl/worksheets/_rels/sheet10.xml.rels><Relationships xmlns="http://schemas.openxmlformats.org/package/2006/relationships"><Relationship Type="http://schemas.openxmlformats.org/officeDocument/2006/relationships/drawing" Target="/xl/drawings/drawing5.xml" Id="rId1"/></Relationships>
</file>

<file path=xl/worksheets/_rels/sheet11.xml.rels><Relationships xmlns="http://schemas.openxmlformats.org/package/2006/relationships"><Relationship Type="http://schemas.openxmlformats.org/officeDocument/2006/relationships/drawing" Target="/xl/drawings/drawing6.xml" Id="rId1"/></Relationships>
</file>

<file path=xl/worksheets/_rels/sheet12.xml.rels><Relationships xmlns="http://schemas.openxmlformats.org/package/2006/relationships"><Relationship Type="http://schemas.openxmlformats.org/officeDocument/2006/relationships/drawing" Target="/xl/drawings/drawing7.xml" Id="rId1"/></Relationships>
</file>

<file path=xl/worksheets/_rels/sheet13.xml.rels><Relationships xmlns="http://schemas.openxmlformats.org/package/2006/relationships"><Relationship Type="http://schemas.openxmlformats.org/officeDocument/2006/relationships/drawing" Target="/xl/drawings/drawing8.xml" Id="rId1"/></Relationships>
</file>

<file path=xl/worksheets/_rels/sheet14.xml.rels><Relationships xmlns="http://schemas.openxmlformats.org/package/2006/relationships"><Relationship Type="http://schemas.openxmlformats.org/officeDocument/2006/relationships/drawing" Target="/xl/drawings/drawing9.xml" Id="rId1"/></Relationships>
</file>

<file path=xl/worksheets/_rels/sheet15.xml.rels><Relationships xmlns="http://schemas.openxmlformats.org/package/2006/relationships"><Relationship Type="http://schemas.openxmlformats.org/officeDocument/2006/relationships/drawing" Target="/xl/drawings/drawing10.xml" Id="rId1"/></Relationships>
</file>

<file path=xl/worksheets/_rels/sheet16.xml.rels><Relationships xmlns="http://schemas.openxmlformats.org/package/2006/relationships"><Relationship Type="http://schemas.openxmlformats.org/officeDocument/2006/relationships/drawing" Target="/xl/drawings/drawing11.xml" Id="rId1"/></Relationships>
</file>

<file path=xl/worksheets/_rels/sheet17.xml.rels><Relationships xmlns="http://schemas.openxmlformats.org/package/2006/relationships"><Relationship Type="http://schemas.openxmlformats.org/officeDocument/2006/relationships/drawing" Target="/xl/drawings/drawing12.xml" Id="rId1"/></Relationships>
</file>

<file path=xl/worksheets/_rels/sheet18.xml.rels><Relationships xmlns="http://schemas.openxmlformats.org/package/2006/relationships"><Relationship Type="http://schemas.openxmlformats.org/officeDocument/2006/relationships/drawing" Target="/xl/drawings/drawing13.xml" Id="rId1"/></Relationships>
</file>

<file path=xl/worksheets/_rels/sheet19.xml.rels><Relationships xmlns="http://schemas.openxmlformats.org/package/2006/relationships"><Relationship Type="http://schemas.openxmlformats.org/officeDocument/2006/relationships/drawing" Target="/xl/drawings/drawing14.xml" Id="rId1"/></Relationships>
</file>

<file path=xl/worksheets/_rels/sheet20.xml.rels><Relationships xmlns="http://schemas.openxmlformats.org/package/2006/relationships"><Relationship Type="http://schemas.openxmlformats.org/officeDocument/2006/relationships/drawing" Target="/xl/drawings/drawing15.xml" Id="rId1"/></Relationships>
</file>

<file path=xl/worksheets/_rels/sheet21.xml.rels><Relationships xmlns="http://schemas.openxmlformats.org/package/2006/relationships"><Relationship Type="http://schemas.openxmlformats.org/officeDocument/2006/relationships/drawing" Target="/xl/drawings/drawing16.xml" Id="rId1"/></Relationships>
</file>

<file path=xl/worksheets/_rels/sheet22.xml.rels><Relationships xmlns="http://schemas.openxmlformats.org/package/2006/relationships"><Relationship Type="http://schemas.openxmlformats.org/officeDocument/2006/relationships/drawing" Target="/xl/drawings/drawing17.xml" Id="rId1"/></Relationships>
</file>

<file path=xl/worksheets/_rels/sheet23.xml.rels><Relationships xmlns="http://schemas.openxmlformats.org/package/2006/relationships"><Relationship Type="http://schemas.openxmlformats.org/officeDocument/2006/relationships/drawing" Target="/xl/drawings/drawing18.xml" Id="rId1"/></Relationships>
</file>

<file path=xl/worksheets/_rels/sheet24.xml.rels><Relationships xmlns="http://schemas.openxmlformats.org/package/2006/relationships"><Relationship Type="http://schemas.openxmlformats.org/officeDocument/2006/relationships/drawing" Target="/xl/drawings/drawing19.xml" Id="rId1"/></Relationships>
</file>

<file path=xl/worksheets/_rels/sheet25.xml.rels><Relationships xmlns="http://schemas.openxmlformats.org/package/2006/relationships"><Relationship Type="http://schemas.openxmlformats.org/officeDocument/2006/relationships/drawing" Target="/xl/drawings/drawing20.xml" Id="rId1"/></Relationships>
</file>

<file path=xl/worksheets/_rels/sheet26.xml.rels><Relationships xmlns="http://schemas.openxmlformats.org/package/2006/relationships"><Relationship Type="http://schemas.openxmlformats.org/officeDocument/2006/relationships/drawing" Target="/xl/drawings/drawing21.xml" Id="rId1"/></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8</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医療と介護の連携に関する加算の算定率と全国の中での位置</t>
        </is>
      </c>
      <c r="C22" s="7" t="inlineStr">
        <is>
          <t>第2章 2-5</t>
        </is>
      </c>
      <c r="D22" s="7" t="inlineStr">
        <is>
          <t>―</t>
        </is>
      </c>
      <c r="E22" s="7" t="inlineStr">
        <is>
          <t>―</t>
        </is>
      </c>
      <c r="F22" s="7" t="inlineStr">
        <is>
          <t>―</t>
        </is>
      </c>
      <c r="G22" s="9" t="inlineStr">
        <is>
          <t>不可（算定）</t>
        </is>
      </c>
      <c r="H22" s="7" t="inlineStr">
        <is>
          <t>地域包括ケア「見える化」システム　地域分析（医療介護連携）</t>
        </is>
      </c>
      <c r="I22" s="7" t="inlineStr"/>
    </row>
    <row r="23" ht="20" customHeight="1">
      <c r="A23" s="7" t="inlineStr">
        <is>
          <t>図2-18</t>
        </is>
      </c>
      <c r="B23" s="7" t="inlineStr">
        <is>
          <t>地域支援事業費の推移（内訳別）</t>
        </is>
      </c>
      <c r="C23" s="7" t="inlineStr">
        <is>
          <t>第2章 2-6</t>
        </is>
      </c>
      <c r="D23" s="7" t="inlineStr">
        <is>
          <t>積上げ棒</t>
        </is>
      </c>
      <c r="E23" s="7" t="n">
        <v>7</v>
      </c>
      <c r="F23" s="7" t="n">
        <v>4</v>
      </c>
      <c r="G23" s="8" t="inlineStr">
        <is>
          <t>可</t>
        </is>
      </c>
      <c r="H23" s="7" t="inlineStr">
        <is>
          <t>介護保険特別会計決算</t>
        </is>
      </c>
      <c r="I23" s="7" t="inlineStr"/>
    </row>
    <row r="24" ht="20" customHeight="1">
      <c r="A24" s="7" t="inlineStr">
        <is>
          <t>図2-19</t>
        </is>
      </c>
      <c r="B24" s="7" t="inlineStr">
        <is>
          <t>住民主体の通いの場の状況（令和6年度）</t>
        </is>
      </c>
      <c r="C24" s="7" t="inlineStr">
        <is>
          <t>第2章 2-6</t>
        </is>
      </c>
      <c r="D24" s="7" t="inlineStr">
        <is>
          <t>棒</t>
        </is>
      </c>
      <c r="E24" s="7" t="n">
        <v>4</v>
      </c>
      <c r="F24" s="7" t="n">
        <v>1</v>
      </c>
      <c r="G24" s="8" t="inlineStr">
        <is>
          <t>可</t>
        </is>
      </c>
      <c r="H24" s="7" t="inlineStr">
        <is>
          <t>厚生労働省「介護予防・日常生活支援総合事業（地域支援事業）の実施状況に関する調査」</t>
        </is>
      </c>
      <c r="I24" s="7" t="inlineStr">
        <is>
          <t>参加率の分母は65歳以上人口1,009人。全体27.8%・週1回以上12.2%</t>
        </is>
      </c>
    </row>
    <row r="25" ht="20" customHeight="1">
      <c r="A25" s="7" t="inlineStr">
        <is>
          <t>図2-20</t>
        </is>
      </c>
      <c r="B25" s="7" t="inlineStr">
        <is>
          <t>保険給付費・地域支援事業費・保険料収入の推移</t>
        </is>
      </c>
      <c r="C25" s="7" t="inlineStr">
        <is>
          <t>第2章 2-7</t>
        </is>
      </c>
      <c r="D25" s="7" t="inlineStr">
        <is>
          <t>折れ線</t>
        </is>
      </c>
      <c r="E25" s="7" t="n">
        <v>10</v>
      </c>
      <c r="F25" s="7" t="n">
        <v>3</v>
      </c>
      <c r="G25" s="8" t="inlineStr">
        <is>
          <t>可</t>
        </is>
      </c>
      <c r="H25" s="7" t="inlineStr">
        <is>
          <t>介護保険特別会計決算</t>
        </is>
      </c>
      <c r="I25" s="7" t="inlineStr">
        <is>
          <t>図は平成26年度＝100とした指数で描く。本表は決算の実額</t>
        </is>
      </c>
    </row>
    <row r="26" ht="20" customHeight="1">
      <c r="A26" s="7" t="inlineStr">
        <is>
          <t>図2-21</t>
        </is>
      </c>
      <c r="B26" s="7" t="inlineStr">
        <is>
          <t>介護保険料基準額の推移（村・福島県・全国）</t>
        </is>
      </c>
      <c r="C26" s="7" t="inlineStr">
        <is>
          <t>第2章 2-7</t>
        </is>
      </c>
      <c r="D26" s="7" t="inlineStr">
        <is>
          <t>棒</t>
        </is>
      </c>
      <c r="E26" s="7" t="n">
        <v>3</v>
      </c>
      <c r="F26" s="7" t="n">
        <v>3</v>
      </c>
      <c r="G26" s="8" t="inlineStr">
        <is>
          <t>可</t>
        </is>
      </c>
      <c r="H26" s="7" t="inlineStr">
        <is>
          <t>地域包括ケア「見える化」システム</t>
        </is>
      </c>
      <c r="I26" s="7" t="inlineStr"/>
    </row>
    <row r="27" ht="20" customHeight="1">
      <c r="A27" s="7" t="inlineStr">
        <is>
          <t>図2-22</t>
        </is>
      </c>
      <c r="B27" s="7" t="inlineStr">
        <is>
          <t>保険料基準額と必要保険料額の対比（第8期以降は余剰が継続）</t>
        </is>
      </c>
      <c r="C27" s="7" t="inlineStr">
        <is>
          <t>第2章 2-7</t>
        </is>
      </c>
      <c r="D27" s="7" t="inlineStr">
        <is>
          <t>折れ線</t>
        </is>
      </c>
      <c r="E27" s="7" t="n">
        <v>8</v>
      </c>
      <c r="F27" s="7" t="n">
        <v>2</v>
      </c>
      <c r="G27" s="8" t="inlineStr">
        <is>
          <t>可</t>
        </is>
      </c>
      <c r="H27" s="7" t="inlineStr">
        <is>
          <t>地域包括ケア「見える化」システム</t>
        </is>
      </c>
      <c r="I27" s="7" t="inlineStr"/>
    </row>
    <row r="28" ht="20" customHeight="1">
      <c r="A28" s="7" t="inlineStr">
        <is>
          <t>図2-23</t>
        </is>
      </c>
      <c r="B28" s="7" t="inlineStr">
        <is>
          <t>交付金 目標別得点と全国平均の対比（令和8年度）</t>
        </is>
      </c>
      <c r="C28" s="7" t="inlineStr">
        <is>
          <t>第2章 2-8</t>
        </is>
      </c>
      <c r="D28" s="7" t="inlineStr">
        <is>
          <t>棒</t>
        </is>
      </c>
      <c r="E28" s="7" t="n">
        <v>8</v>
      </c>
      <c r="F28" s="7" t="n">
        <v>2</v>
      </c>
      <c r="G28" s="8" t="inlineStr">
        <is>
          <t>可</t>
        </is>
      </c>
      <c r="H28" s="7" t="inlineStr">
        <is>
          <t>厚生労働省「令和8年度評価指標に係る該当状況調査票集計表」</t>
        </is>
      </c>
      <c r="I28" s="7" t="inlineStr"/>
    </row>
    <row r="29" ht="20" customHeight="1">
      <c r="A29" s="7" t="inlineStr">
        <is>
          <t>図2-24</t>
        </is>
      </c>
      <c r="B29" s="7" t="inlineStr">
        <is>
          <t>交付金 合計得点の推移（村・福島県平均・全国平均）</t>
        </is>
      </c>
      <c r="C29" s="7" t="inlineStr">
        <is>
          <t>第2章 2-8</t>
        </is>
      </c>
      <c r="D29" s="7" t="inlineStr">
        <is>
          <t>折れ線</t>
        </is>
      </c>
      <c r="E29" s="7" t="n">
        <v>3</v>
      </c>
      <c r="F29" s="7" t="n">
        <v>3</v>
      </c>
      <c r="G29" s="8" t="inlineStr">
        <is>
          <t>可</t>
        </is>
      </c>
      <c r="H29" s="7" t="inlineStr">
        <is>
          <t>厚生労働省「評価指標に係る該当状況調査票集計表」（令和6〜8年度）</t>
        </is>
      </c>
      <c r="I29" s="7" t="inlineStr"/>
    </row>
    <row r="30" ht="20" customHeight="1">
      <c r="A30" s="7" t="inlineStr">
        <is>
          <t>図3-1</t>
        </is>
      </c>
      <c r="B30" s="7" t="inlineStr">
        <is>
          <t>施策の体系</t>
        </is>
      </c>
      <c r="C30" s="7" t="inlineStr">
        <is>
          <t>第3章 3-4</t>
        </is>
      </c>
      <c r="D30" s="7" t="inlineStr">
        <is>
          <t>―</t>
        </is>
      </c>
      <c r="E30" s="7" t="inlineStr">
        <is>
          <t>―</t>
        </is>
      </c>
      <c r="F30" s="7" t="inlineStr">
        <is>
          <t>―</t>
        </is>
      </c>
      <c r="G30" s="9" t="inlineStr">
        <is>
          <t>不可（算定）</t>
        </is>
      </c>
      <c r="H30" s="7" t="inlineStr">
        <is>
          <t>―</t>
        </is>
      </c>
      <c r="I30" s="7" t="inlineStr">
        <is>
          <t>施策の体系図（数値を持たない）</t>
        </is>
      </c>
    </row>
    <row r="31" ht="20" customHeight="1">
      <c r="A31" s="7" t="inlineStr">
        <is>
          <t>図5-1</t>
        </is>
      </c>
      <c r="B31" s="7" t="inlineStr">
        <is>
          <t>需要に対する供給（担い手の枠）</t>
        </is>
      </c>
      <c r="C31" s="7" t="inlineStr">
        <is>
          <t>第5章 5-4</t>
        </is>
      </c>
      <c r="D31" s="7" t="inlineStr">
        <is>
          <t>―</t>
        </is>
      </c>
      <c r="E31" s="7" t="inlineStr">
        <is>
          <t>―</t>
        </is>
      </c>
      <c r="F31" s="7" t="inlineStr">
        <is>
          <t>―</t>
        </is>
      </c>
      <c r="G31" s="9" t="inlineStr">
        <is>
          <t>不可（算定）</t>
        </is>
      </c>
      <c r="H31" s="7" t="inlineStr">
        <is>
          <t>総務省「国勢調査」、国立社会保障・人口問題研究所「日本の地域別将来推計人口」、地域包括ケア「見える化」システムにより算定</t>
        </is>
      </c>
      <c r="I31" s="7" t="inlineStr">
        <is>
          <t>estimate_jinzai.py の算定による</t>
        </is>
      </c>
    </row>
    <row r="32" ht="20" customHeight="1">
      <c r="A32" s="7" t="inlineStr">
        <is>
          <t>図5-2</t>
        </is>
      </c>
      <c r="B32" s="7" t="inlineStr">
        <is>
          <t>算定上の保険料月額と条例上の基準額</t>
        </is>
      </c>
      <c r="C32" s="7" t="inlineStr">
        <is>
          <t>第5章 5-7</t>
        </is>
      </c>
      <c r="D32" s="7" t="inlineStr">
        <is>
          <t>―</t>
        </is>
      </c>
      <c r="E32" s="7" t="inlineStr">
        <is>
          <t>―</t>
        </is>
      </c>
      <c r="F32" s="7" t="inlineStr">
        <is>
          <t>―</t>
        </is>
      </c>
      <c r="G32" s="9" t="inlineStr">
        <is>
          <t>不可（算定）</t>
        </is>
      </c>
      <c r="H32" s="7" t="inlineStr">
        <is>
          <t>本計画の算定による</t>
        </is>
      </c>
      <c r="I32" s="7" t="inlineStr">
        <is>
          <t>data/第10期_保険料パターン.csv による</t>
        </is>
      </c>
    </row>
    <row r="33" ht="20" customHeight="1">
      <c r="A33" s="7" t="inlineStr">
        <is>
          <t>図5-3</t>
        </is>
      </c>
      <c r="B33" s="7" t="inlineStr">
        <is>
          <t>給付適正化の取組別得点の推移（推進交付金 目標Ⅱ）</t>
        </is>
      </c>
      <c r="C33" s="7" t="inlineStr">
        <is>
          <t>第5章 5-8</t>
        </is>
      </c>
      <c r="D33" s="7" t="inlineStr">
        <is>
          <t>―</t>
        </is>
      </c>
      <c r="E33" s="7" t="inlineStr">
        <is>
          <t>―</t>
        </is>
      </c>
      <c r="F33" s="7" t="inlineStr">
        <is>
          <t>―</t>
        </is>
      </c>
      <c r="G33" s="9" t="inlineStr">
        <is>
          <t>不可（算定）</t>
        </is>
      </c>
      <c r="H33" s="7" t="inlineStr">
        <is>
          <t>厚生労働省「評価指標に係る該当状況調査票集計表」（令和6〜8年度）により算定</t>
        </is>
      </c>
      <c r="I33" s="7" t="inlineStr"/>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図2-18</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図2-18</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図2-20</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図2-20</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図2-21</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図2-22</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図2-23</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図2-23</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図2-24</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図2-24</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図2-24</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図2-18／図2-19</t>
        </is>
      </c>
      <c r="D11" s="8" t="inlineStr">
        <is>
          <t>ある</t>
        </is>
      </c>
      <c r="E11" s="7" t="inlineStr"/>
    </row>
    <row r="12" ht="20" customHeight="1">
      <c r="A12" s="7" t="inlineStr">
        <is>
          <t>保険財政の状況（給付費・保険料）</t>
        </is>
      </c>
      <c r="B12" s="7" t="inlineStr">
        <is>
          <t>推進Ⅳ</t>
        </is>
      </c>
      <c r="C12" s="7" t="inlineStr">
        <is>
          <t>図2-20／図2-21／図2-22</t>
        </is>
      </c>
      <c r="D12" s="8" t="inlineStr">
        <is>
          <t>ある</t>
        </is>
      </c>
      <c r="E12" s="7" t="inlineStr"/>
    </row>
    <row r="13" ht="20" customHeight="1">
      <c r="A13" s="7" t="inlineStr">
        <is>
          <t>交付金の評価結果の分析</t>
        </is>
      </c>
      <c r="B13" s="7" t="inlineStr">
        <is>
          <t>支援Ⅳ</t>
        </is>
      </c>
      <c r="C13" s="7" t="inlineStr">
        <is>
          <t>図2-23／図2-24</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図5-3</t>
        </is>
      </c>
      <c r="D18" s="8" t="inlineStr">
        <is>
          <t>ある</t>
        </is>
      </c>
      <c r="E18" s="7" t="inlineStr">
        <is>
          <t>ケアプラン点検の実績そのものは村にないが、国の評価における取組別の得点（方策の策定・事業の取組・ケアプラン点検・医療情報との突合）を3か年で図にした。ケアプラン点検は令和8年度に4段階のうち2段階を取得している</t>
        </is>
      </c>
    </row>
    <row r="19" ht="20" customHeight="1">
      <c r="A19" s="7" t="inlineStr">
        <is>
          <t>在宅医療・介護連携の状況</t>
        </is>
      </c>
      <c r="B19" s="7" t="inlineStr">
        <is>
          <t>支援Ⅲ</t>
        </is>
      </c>
      <c r="C19" s="7" t="inlineStr">
        <is>
          <t>図2-17</t>
        </is>
      </c>
      <c r="D19" s="8" t="inlineStr">
        <is>
          <t>ある</t>
        </is>
      </c>
      <c r="E19" s="7" t="inlineStr">
        <is>
          <t>村の給付実績の集計を待たずに、「見える化」システムの地域分析（医療介護連携）に収録されている4加算の算定率と偏差値を図にした。緊急時訪問看護加算は村内に訪問看護事業所がないため値がない</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医療と介護の連携に関する加算の算定率と全国の中での位置</t>
        </is>
      </c>
      <c r="C22" s="7" t="inlineStr">
        <is>
          <t>第2章 2-5</t>
        </is>
      </c>
      <c r="D22" s="8" t="inlineStr">
        <is>
          <t>一致</t>
        </is>
      </c>
      <c r="E22" s="7" t="inlineStr"/>
    </row>
    <row r="23" ht="20" customHeight="1">
      <c r="A23" s="7" t="inlineStr">
        <is>
          <t>図2-18</t>
        </is>
      </c>
      <c r="B23" s="7" t="inlineStr">
        <is>
          <t>地域支援事業費の推移（内訳別）</t>
        </is>
      </c>
      <c r="C23" s="7" t="inlineStr">
        <is>
          <t>第2章 2-6</t>
        </is>
      </c>
      <c r="D23" s="8" t="inlineStr">
        <is>
          <t>一致</t>
        </is>
      </c>
      <c r="E23" s="7" t="inlineStr"/>
    </row>
    <row r="24" ht="20" customHeight="1">
      <c r="A24" s="7" t="inlineStr">
        <is>
          <t>図2-19</t>
        </is>
      </c>
      <c r="B24" s="7" t="inlineStr">
        <is>
          <t>住民主体の通いの場の状況（令和6年度）</t>
        </is>
      </c>
      <c r="C24" s="7" t="inlineStr">
        <is>
          <t>第2章 2-6</t>
        </is>
      </c>
      <c r="D24" s="8" t="inlineStr">
        <is>
          <t>一致</t>
        </is>
      </c>
      <c r="E24" s="7" t="inlineStr"/>
    </row>
    <row r="25" ht="20" customHeight="1">
      <c r="A25" s="7" t="inlineStr">
        <is>
          <t>図2-20</t>
        </is>
      </c>
      <c r="B25" s="7" t="inlineStr">
        <is>
          <t>保険給付費・地域支援事業費・保険料収入の推移</t>
        </is>
      </c>
      <c r="C25" s="7" t="inlineStr">
        <is>
          <t>第2章 2-7</t>
        </is>
      </c>
      <c r="D25" s="8" t="inlineStr">
        <is>
          <t>一致</t>
        </is>
      </c>
      <c r="E25" s="7" t="inlineStr"/>
    </row>
    <row r="26" ht="20" customHeight="1">
      <c r="A26" s="7" t="inlineStr">
        <is>
          <t>図2-21</t>
        </is>
      </c>
      <c r="B26" s="7" t="inlineStr">
        <is>
          <t>介護保険料基準額の推移（村・福島県・全国）</t>
        </is>
      </c>
      <c r="C26" s="7" t="inlineStr">
        <is>
          <t>第2章 2-7</t>
        </is>
      </c>
      <c r="D26" s="8" t="inlineStr">
        <is>
          <t>一致</t>
        </is>
      </c>
      <c r="E26" s="7" t="inlineStr"/>
    </row>
    <row r="27" ht="20" customHeight="1">
      <c r="A27" s="7" t="inlineStr">
        <is>
          <t>図2-22</t>
        </is>
      </c>
      <c r="B27" s="7" t="inlineStr">
        <is>
          <t>保険料基準額と必要保険料額の対比</t>
        </is>
      </c>
      <c r="C27" s="7" t="inlineStr">
        <is>
          <t>第2章 2-7</t>
        </is>
      </c>
      <c r="D27" s="8" t="inlineStr">
        <is>
          <t>一致</t>
        </is>
      </c>
      <c r="E27" s="7" t="inlineStr"/>
    </row>
    <row r="28" ht="20" customHeight="1">
      <c r="A28" s="7" t="inlineStr">
        <is>
          <t>図2-23</t>
        </is>
      </c>
      <c r="B28" s="7" t="inlineStr">
        <is>
          <t>交付金 目標別得点と全国平均の対比（令和8年度）</t>
        </is>
      </c>
      <c r="C28" s="7" t="inlineStr">
        <is>
          <t>第2章 2-8</t>
        </is>
      </c>
      <c r="D28" s="8" t="inlineStr">
        <is>
          <t>一致</t>
        </is>
      </c>
      <c r="E28" s="7" t="inlineStr"/>
    </row>
    <row r="29" ht="20" customHeight="1">
      <c r="A29" s="7" t="inlineStr">
        <is>
          <t>図2-24</t>
        </is>
      </c>
      <c r="B29" s="7" t="inlineStr">
        <is>
          <t>交付金 合計得点の推移（村・福島県平均・全国平均）</t>
        </is>
      </c>
      <c r="C29" s="7" t="inlineStr">
        <is>
          <t>第2章 2-8</t>
        </is>
      </c>
      <c r="D29" s="8" t="inlineStr">
        <is>
          <t>一致</t>
        </is>
      </c>
      <c r="E29" s="7" t="inlineStr"/>
    </row>
    <row r="30" ht="20" customHeight="1">
      <c r="A30" s="7" t="inlineStr">
        <is>
          <t>図3-1</t>
        </is>
      </c>
      <c r="B30" s="7" t="inlineStr">
        <is>
          <t>施策の体系</t>
        </is>
      </c>
      <c r="C30" s="7" t="inlineStr">
        <is>
          <t>第3章 3-4</t>
        </is>
      </c>
      <c r="D30" s="8" t="inlineStr">
        <is>
          <t>一致</t>
        </is>
      </c>
      <c r="E30" s="7" t="inlineStr"/>
    </row>
    <row r="31" ht="20" customHeight="1">
      <c r="A31" s="7" t="inlineStr">
        <is>
          <t>図5-1</t>
        </is>
      </c>
      <c r="B31" s="7" t="inlineStr">
        <is>
          <t>需要に対する供給（担い手の枠）</t>
        </is>
      </c>
      <c r="C31" s="7" t="inlineStr">
        <is>
          <t>第5章 5-4</t>
        </is>
      </c>
      <c r="D31" s="8" t="inlineStr">
        <is>
          <t>一致</t>
        </is>
      </c>
      <c r="E31" s="7" t="inlineStr"/>
    </row>
    <row r="32" ht="20" customHeight="1">
      <c r="A32" s="7" t="inlineStr">
        <is>
          <t>図5-2</t>
        </is>
      </c>
      <c r="B32" s="7" t="inlineStr">
        <is>
          <t>算定上の保険料月額と条例上の基準額</t>
        </is>
      </c>
      <c r="C32" s="7" t="inlineStr">
        <is>
          <t>第5章 5-7</t>
        </is>
      </c>
      <c r="D32" s="8" t="inlineStr">
        <is>
          <t>一致</t>
        </is>
      </c>
      <c r="E32" s="7" t="inlineStr"/>
    </row>
    <row r="33" ht="20" customHeight="1">
      <c r="A33" s="7" t="inlineStr">
        <is>
          <t>図5-3</t>
        </is>
      </c>
      <c r="B33" s="7" t="inlineStr">
        <is>
          <t>給付適正化の取組別得点の推移（推進交付金 目標Ⅱ）</t>
        </is>
      </c>
      <c r="C33" s="7" t="inlineStr">
        <is>
          <t>第5章 5-8</t>
        </is>
      </c>
      <c r="D33" s="8" t="inlineStr">
        <is>
          <t>一致</t>
        </is>
      </c>
      <c r="E33"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図2-9　性・年齢調整済み認定率の推移（要介護度の区分別）</t>
        </is>
      </c>
    </row>
    <row r="2" ht="30" customHeight="1">
      <c r="A2" s="12"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4" t="inlineStr">
        <is>
          <t>令和2年3月末</t>
        </is>
      </c>
      <c r="B6" s="15" t="n">
        <v>19.5</v>
      </c>
      <c r="C6" s="15" t="n">
        <v>12.8</v>
      </c>
      <c r="D6" s="15" t="n">
        <v>10.4</v>
      </c>
      <c r="E6" s="15" t="n">
        <v>6.7</v>
      </c>
    </row>
    <row r="7" ht="18" customHeight="1">
      <c r="A7" s="14" t="inlineStr">
        <is>
          <t>令和3年3月末</t>
        </is>
      </c>
      <c r="B7" s="15" t="n">
        <v>20.3</v>
      </c>
      <c r="C7" s="15" t="n">
        <v>13.5</v>
      </c>
      <c r="D7" s="15" t="n">
        <v>10.3</v>
      </c>
      <c r="E7" s="15" t="n">
        <v>6.8</v>
      </c>
    </row>
    <row r="8" ht="18" customHeight="1">
      <c r="A8" s="14" t="inlineStr">
        <is>
          <t>令和4年3月末</t>
        </is>
      </c>
      <c r="B8" s="15" t="n">
        <v>20.7</v>
      </c>
      <c r="C8" s="15" t="n">
        <v>14.3</v>
      </c>
      <c r="D8" s="15" t="n">
        <v>9.9</v>
      </c>
      <c r="E8" s="15" t="n">
        <v>6.4</v>
      </c>
    </row>
    <row r="9" ht="18" customHeight="1">
      <c r="A9" s="14" t="inlineStr">
        <is>
          <t>令和5年3月末</t>
        </is>
      </c>
      <c r="B9" s="15" t="n">
        <v>21.3</v>
      </c>
      <c r="C9" s="15" t="n">
        <v>14.7</v>
      </c>
      <c r="D9" s="15" t="n">
        <v>10</v>
      </c>
      <c r="E9" s="15" t="n">
        <v>6.5</v>
      </c>
    </row>
    <row r="10" ht="18" customHeight="1">
      <c r="A10" s="14" t="inlineStr">
        <is>
          <t>令和6年3月末</t>
        </is>
      </c>
      <c r="B10" s="15" t="n">
        <v>22.1</v>
      </c>
      <c r="C10" s="15" t="n">
        <v>16.4</v>
      </c>
      <c r="D10" s="15" t="n">
        <v>8.699999999999999</v>
      </c>
      <c r="E10" s="15" t="n">
        <v>5.7</v>
      </c>
    </row>
    <row r="11" ht="18" customHeight="1">
      <c r="A11" s="14" t="inlineStr">
        <is>
          <t>令和7年3月末</t>
        </is>
      </c>
      <c r="B11" s="15" t="n">
        <v>21.6</v>
      </c>
      <c r="C11" s="15" t="n">
        <v>15.4</v>
      </c>
      <c r="D11" s="15" t="n">
        <v>9.199999999999999</v>
      </c>
      <c r="E11" s="15" t="n">
        <v>6.2</v>
      </c>
    </row>
    <row r="12" ht="18" customHeight="1">
      <c r="A12" s="14" t="inlineStr">
        <is>
          <t>令和8年3月末</t>
        </is>
      </c>
      <c r="B12" s="15" t="n">
        <v>23</v>
      </c>
      <c r="C12" s="15" t="n">
        <v>16.5</v>
      </c>
      <c r="D12" s="15" t="n">
        <v>9</v>
      </c>
      <c r="E12" s="15"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　年齢階級別人口の比較（平成22年・令和7年）</t>
        </is>
      </c>
    </row>
    <row r="2" ht="30" customHeight="1">
      <c r="A2" s="12" t="inlineStr">
        <is>
          <t>種類：横棒／掲載箇所：第2章 2-1／単位：人　　出典：総務省「国勢調査」、国立社会保障・人口問題研究所「日本の地域別将来推計人口」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4" t="inlineStr">
        <is>
          <t>15歳未満</t>
        </is>
      </c>
      <c r="B6" s="15" t="n">
        <v>415</v>
      </c>
      <c r="C6" s="15" t="n">
        <v>186</v>
      </c>
    </row>
    <row r="7" ht="18" customHeight="1">
      <c r="A7" s="14" t="inlineStr">
        <is>
          <t>15〜39歳</t>
        </is>
      </c>
      <c r="B7" s="15" t="n">
        <v>713</v>
      </c>
      <c r="C7" s="15" t="n">
        <v>451</v>
      </c>
    </row>
    <row r="8" ht="18" customHeight="1">
      <c r="A8" s="14" t="inlineStr">
        <is>
          <t>40〜64歳</t>
        </is>
      </c>
      <c r="B8" s="15" t="n">
        <v>1166</v>
      </c>
      <c r="C8" s="15" t="n">
        <v>741</v>
      </c>
    </row>
    <row r="9" ht="18" customHeight="1">
      <c r="A9" s="14" t="inlineStr">
        <is>
          <t>65〜74歳</t>
        </is>
      </c>
      <c r="B9" s="15" t="n">
        <v>345</v>
      </c>
      <c r="C9" s="15" t="n">
        <v>457</v>
      </c>
    </row>
    <row r="10" ht="18" customHeight="1">
      <c r="A10" s="14" t="inlineStr">
        <is>
          <t>75歳以上</t>
        </is>
      </c>
      <c r="B10" s="15" t="n">
        <v>546</v>
      </c>
      <c r="C10" s="15"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　高齢化率の推移と将来推計（村・福島県・全国）</t>
        </is>
      </c>
    </row>
    <row r="2" ht="30" customHeight="1">
      <c r="A2" s="12" t="inlineStr">
        <is>
          <t>種類：折れ線／掲載箇所：第2章 2-1／単位：%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2010年</t>
        </is>
      </c>
      <c r="B6" s="15" t="n">
        <v>28</v>
      </c>
      <c r="C6" s="15" t="n">
        <v>24.9</v>
      </c>
      <c r="D6" s="15" t="n">
        <v>22.8</v>
      </c>
    </row>
    <row r="7" ht="18" customHeight="1">
      <c r="A7" s="14" t="inlineStr">
        <is>
          <t>2015年</t>
        </is>
      </c>
      <c r="B7" s="15" t="n">
        <v>31.8</v>
      </c>
      <c r="C7" s="15" t="n">
        <v>28.3</v>
      </c>
      <c r="D7" s="15" t="n">
        <v>26.3</v>
      </c>
    </row>
    <row r="8" ht="18" customHeight="1">
      <c r="A8" s="14" t="inlineStr">
        <is>
          <t>2020年</t>
        </is>
      </c>
      <c r="B8" s="15" t="n">
        <v>37.1</v>
      </c>
      <c r="C8" s="15" t="n">
        <v>31.2</v>
      </c>
      <c r="D8" s="15" t="n">
        <v>28</v>
      </c>
    </row>
    <row r="9" ht="18" customHeight="1">
      <c r="A9" s="14" t="inlineStr">
        <is>
          <t>2025年</t>
        </is>
      </c>
      <c r="B9" s="15" t="n">
        <v>40.5</v>
      </c>
      <c r="C9" s="15" t="n">
        <v>34.2</v>
      </c>
      <c r="D9" s="15" t="n">
        <v>29.6</v>
      </c>
    </row>
    <row r="10" ht="18" customHeight="1">
      <c r="A10" s="14" t="inlineStr">
        <is>
          <t>2030年</t>
        </is>
      </c>
      <c r="B10" s="15" t="n">
        <v>43.9</v>
      </c>
      <c r="C10" s="15" t="n">
        <v>36.1</v>
      </c>
      <c r="D10" s="15" t="n">
        <v>30.8</v>
      </c>
    </row>
    <row r="11" ht="18" customHeight="1">
      <c r="A11" s="14" t="inlineStr">
        <is>
          <t>2035年</t>
        </is>
      </c>
      <c r="B11" s="15" t="n">
        <v>45.2</v>
      </c>
      <c r="C11" s="15" t="n">
        <v>37.7</v>
      </c>
      <c r="D11" s="15" t="n">
        <v>32.3</v>
      </c>
    </row>
    <row r="12" ht="18" customHeight="1">
      <c r="A12" s="14" t="inlineStr">
        <is>
          <t>2040年</t>
        </is>
      </c>
      <c r="B12" s="15" t="n">
        <v>46.3</v>
      </c>
      <c r="C12" s="15" t="n">
        <v>40.3</v>
      </c>
      <c r="D12" s="15" t="n">
        <v>34.8</v>
      </c>
    </row>
    <row r="13" ht="18" customHeight="1">
      <c r="A13" s="14" t="inlineStr">
        <is>
          <t>2045年</t>
        </is>
      </c>
      <c r="B13" s="15" t="n">
        <v>47.8</v>
      </c>
      <c r="C13" s="15" t="n">
        <v>42.5</v>
      </c>
      <c r="D13" s="15" t="n">
        <v>36.3</v>
      </c>
    </row>
    <row r="14" ht="18" customHeight="1">
      <c r="A14" s="14" t="inlineStr">
        <is>
          <t>2050年</t>
        </is>
      </c>
      <c r="B14" s="15" t="n">
        <v>49.2</v>
      </c>
      <c r="C14" s="15" t="n">
        <v>44.2</v>
      </c>
      <c r="D14" s="15"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図2-3　将来推計人口（年齢3区分）</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4" t="inlineStr">
        <is>
          <t>2010年</t>
        </is>
      </c>
      <c r="B6" s="15" t="n">
        <v>415</v>
      </c>
      <c r="C6" s="15" t="n">
        <v>1879</v>
      </c>
      <c r="D6" s="15" t="n">
        <v>891</v>
      </c>
      <c r="E6" s="15" t="n">
        <v>3185</v>
      </c>
    </row>
    <row r="7" ht="18" customHeight="1">
      <c r="A7" s="14" t="inlineStr">
        <is>
          <t>2015年</t>
        </is>
      </c>
      <c r="B7" s="15" t="n">
        <v>324</v>
      </c>
      <c r="C7" s="15" t="n">
        <v>1608</v>
      </c>
      <c r="D7" s="15" t="n">
        <v>899</v>
      </c>
      <c r="E7" s="15" t="n">
        <v>2831</v>
      </c>
    </row>
    <row r="8" ht="18" customHeight="1">
      <c r="A8" s="14" t="inlineStr">
        <is>
          <t>2020年</t>
        </is>
      </c>
      <c r="B8" s="15" t="n">
        <v>258</v>
      </c>
      <c r="C8" s="15" t="n">
        <v>1349</v>
      </c>
      <c r="D8" s="15" t="n">
        <v>948</v>
      </c>
      <c r="E8" s="15" t="n">
        <v>2556</v>
      </c>
    </row>
    <row r="9" ht="18" customHeight="1">
      <c r="A9" s="14" t="inlineStr">
        <is>
          <t>2025年</t>
        </is>
      </c>
      <c r="B9" s="15" t="n">
        <v>186</v>
      </c>
      <c r="C9" s="15" t="n">
        <v>1192</v>
      </c>
      <c r="D9" s="15" t="n">
        <v>937</v>
      </c>
      <c r="E9" s="15" t="n">
        <v>2315</v>
      </c>
    </row>
    <row r="10" ht="18" customHeight="1">
      <c r="A10" s="14" t="inlineStr">
        <is>
          <t>2030年</t>
        </is>
      </c>
      <c r="B10" s="15" t="n">
        <v>156</v>
      </c>
      <c r="C10" s="15" t="n">
        <v>1008</v>
      </c>
      <c r="D10" s="15" t="n">
        <v>911</v>
      </c>
      <c r="E10" s="15" t="n">
        <v>2075</v>
      </c>
    </row>
    <row r="11" ht="18" customHeight="1">
      <c r="A11" s="14" t="inlineStr">
        <is>
          <t>2035年</t>
        </is>
      </c>
      <c r="B11" s="15" t="n">
        <v>132</v>
      </c>
      <c r="C11" s="15" t="n">
        <v>888</v>
      </c>
      <c r="D11" s="15" t="n">
        <v>843</v>
      </c>
      <c r="E11" s="15" t="n">
        <v>1863</v>
      </c>
    </row>
    <row r="12" ht="18" customHeight="1">
      <c r="A12" s="14" t="inlineStr">
        <is>
          <t>2040年</t>
        </is>
      </c>
      <c r="B12" s="15" t="n">
        <v>119</v>
      </c>
      <c r="C12" s="15" t="n">
        <v>770</v>
      </c>
      <c r="D12" s="15" t="n">
        <v>765</v>
      </c>
      <c r="E12" s="15" t="n">
        <v>1654</v>
      </c>
    </row>
    <row r="13" ht="18" customHeight="1">
      <c r="A13" s="14" t="inlineStr">
        <is>
          <t>2045年</t>
        </is>
      </c>
      <c r="B13" s="15" t="n">
        <v>104</v>
      </c>
      <c r="C13" s="15" t="n">
        <v>651</v>
      </c>
      <c r="D13" s="15" t="n">
        <v>692</v>
      </c>
      <c r="E13" s="15" t="n">
        <v>1447</v>
      </c>
    </row>
    <row r="14" ht="18" customHeight="1">
      <c r="A14" s="14" t="inlineStr">
        <is>
          <t>2050年</t>
        </is>
      </c>
      <c r="B14" s="15" t="n">
        <v>86</v>
      </c>
      <c r="C14" s="15" t="n">
        <v>554</v>
      </c>
      <c r="D14" s="15" t="n">
        <v>619</v>
      </c>
      <c r="E14" s="15"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図2-4　前期高齢者と後期高齢者の推移</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4" t="inlineStr">
        <is>
          <t>2010年</t>
        </is>
      </c>
      <c r="B6" s="15" t="n">
        <v>345</v>
      </c>
      <c r="C6" s="15" t="n">
        <v>546</v>
      </c>
    </row>
    <row r="7" ht="18" customHeight="1">
      <c r="A7" s="14" t="inlineStr">
        <is>
          <t>2015年</t>
        </is>
      </c>
      <c r="B7" s="15" t="n">
        <v>399</v>
      </c>
      <c r="C7" s="15" t="n">
        <v>500</v>
      </c>
    </row>
    <row r="8" ht="18" customHeight="1">
      <c r="A8" s="14" t="inlineStr">
        <is>
          <t>2020年</t>
        </is>
      </c>
      <c r="B8" s="15" t="n">
        <v>507</v>
      </c>
      <c r="C8" s="15" t="n">
        <v>441</v>
      </c>
    </row>
    <row r="9" ht="18" customHeight="1">
      <c r="A9" s="14" t="inlineStr">
        <is>
          <t>2025年</t>
        </is>
      </c>
      <c r="B9" s="15" t="n">
        <v>457</v>
      </c>
      <c r="C9" s="15" t="n">
        <v>480</v>
      </c>
    </row>
    <row r="10" ht="18" customHeight="1">
      <c r="A10" s="14" t="inlineStr">
        <is>
          <t>2030年</t>
        </is>
      </c>
      <c r="B10" s="15" t="n">
        <v>360</v>
      </c>
      <c r="C10" s="15" t="n">
        <v>551</v>
      </c>
    </row>
    <row r="11" ht="18" customHeight="1">
      <c r="A11" s="14" t="inlineStr">
        <is>
          <t>2035年</t>
        </is>
      </c>
      <c r="B11" s="15" t="n">
        <v>302</v>
      </c>
      <c r="C11" s="15" t="n">
        <v>541</v>
      </c>
    </row>
    <row r="12" ht="18" customHeight="1">
      <c r="A12" s="14" t="inlineStr">
        <is>
          <t>2040年</t>
        </is>
      </c>
      <c r="B12" s="15" t="n">
        <v>246</v>
      </c>
      <c r="C12" s="15" t="n">
        <v>519</v>
      </c>
    </row>
    <row r="13" ht="18" customHeight="1">
      <c r="A13" s="14" t="inlineStr">
        <is>
          <t>2045年</t>
        </is>
      </c>
      <c r="B13" s="15" t="n">
        <v>235</v>
      </c>
      <c r="C13" s="15" t="n">
        <v>457</v>
      </c>
    </row>
    <row r="14" ht="18" customHeight="1">
      <c r="A14" s="14" t="inlineStr">
        <is>
          <t>2050年</t>
        </is>
      </c>
      <c r="B14" s="15" t="n">
        <v>221</v>
      </c>
      <c r="C14" s="15"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図2-5　要支援・要介護認定率の推移（村・福島県・全国）</t>
        </is>
      </c>
    </row>
    <row r="2" ht="30" customHeight="1">
      <c r="A2" s="12" t="inlineStr">
        <is>
          <t>種類：折れ線／掲載箇所：第2章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令和2年3月末</t>
        </is>
      </c>
      <c r="B6" s="15" t="n">
        <v>17.4</v>
      </c>
      <c r="C6" s="15" t="n">
        <v>19.2</v>
      </c>
      <c r="D6" s="15" t="n">
        <v>18.4</v>
      </c>
    </row>
    <row r="7" ht="18" customHeight="1">
      <c r="A7" s="14" t="inlineStr">
        <is>
          <t>令和3年3月末</t>
        </is>
      </c>
      <c r="B7" s="15" t="n">
        <v>18.2</v>
      </c>
      <c r="C7" s="15" t="n">
        <v>19.3</v>
      </c>
      <c r="D7" s="15" t="n">
        <v>18.7</v>
      </c>
    </row>
    <row r="8" ht="18" customHeight="1">
      <c r="A8" s="14" t="inlineStr">
        <is>
          <t>令和4年3月末</t>
        </is>
      </c>
      <c r="B8" s="15" t="n">
        <v>18.4</v>
      </c>
      <c r="C8" s="15" t="n">
        <v>19.3</v>
      </c>
      <c r="D8" s="15" t="n">
        <v>18.9</v>
      </c>
    </row>
    <row r="9" ht="18" customHeight="1">
      <c r="A9" s="14" t="inlineStr">
        <is>
          <t>令和5年3月末</t>
        </is>
      </c>
      <c r="B9" s="15" t="n">
        <v>18.8</v>
      </c>
      <c r="C9" s="15" t="n">
        <v>19.2</v>
      </c>
      <c r="D9" s="15" t="n">
        <v>19</v>
      </c>
    </row>
    <row r="10" ht="18" customHeight="1">
      <c r="A10" s="14" t="inlineStr">
        <is>
          <t>令和6年3月末</t>
        </is>
      </c>
      <c r="B10" s="15" t="n">
        <v>19.9</v>
      </c>
      <c r="C10" s="15" t="n">
        <v>19.3</v>
      </c>
      <c r="D10" s="15" t="n">
        <v>19.4</v>
      </c>
    </row>
    <row r="11" ht="18" customHeight="1">
      <c r="A11" s="14" t="inlineStr">
        <is>
          <t>令和7年3月末</t>
        </is>
      </c>
      <c r="B11" s="15" t="n">
        <v>19.6</v>
      </c>
      <c r="C11" s="15" t="n">
        <v>19.5</v>
      </c>
      <c r="D11" s="15" t="n">
        <v>19.7</v>
      </c>
    </row>
    <row r="12" ht="18" customHeight="1">
      <c r="A12" s="14" t="inlineStr">
        <is>
          <t>令和8年3月末</t>
        </is>
      </c>
      <c r="B12" s="15" t="n">
        <v>21.1</v>
      </c>
      <c r="C12" s="15" t="n">
        <v>19.8</v>
      </c>
      <c r="D12" s="15"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1" t="inlineStr">
        <is>
          <t>図2-6　要介護度別 認定者数の推移</t>
        </is>
      </c>
    </row>
    <row r="2" ht="30" customHeight="1">
      <c r="A2" s="12" t="inlineStr">
        <is>
          <t>種類：積上げ棒／掲載箇所：第2章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4" t="inlineStr">
        <is>
          <t>令和2年3月末</t>
        </is>
      </c>
      <c r="B6" s="15" t="n">
        <v>17</v>
      </c>
      <c r="C6" s="15" t="n">
        <v>20</v>
      </c>
      <c r="D6" s="15" t="n">
        <v>43</v>
      </c>
      <c r="E6" s="15" t="n">
        <v>32</v>
      </c>
      <c r="F6" s="15" t="n">
        <v>25</v>
      </c>
      <c r="G6" s="15" t="n">
        <v>19</v>
      </c>
      <c r="H6" s="15" t="n">
        <v>18</v>
      </c>
    </row>
    <row r="7" ht="18" customHeight="1">
      <c r="A7" s="14" t="inlineStr">
        <is>
          <t>令和3年3月末</t>
        </is>
      </c>
      <c r="B7" s="15" t="n">
        <v>21</v>
      </c>
      <c r="C7" s="15" t="n">
        <v>26</v>
      </c>
      <c r="D7" s="15" t="n">
        <v>45</v>
      </c>
      <c r="E7" s="15" t="n">
        <v>31</v>
      </c>
      <c r="F7" s="15" t="n">
        <v>28</v>
      </c>
      <c r="G7" s="15" t="n">
        <v>22</v>
      </c>
      <c r="H7" s="15" t="n">
        <v>13</v>
      </c>
    </row>
    <row r="8" ht="18" customHeight="1">
      <c r="A8" s="14" t="inlineStr">
        <is>
          <t>令和4年3月末</t>
        </is>
      </c>
      <c r="B8" s="15" t="n">
        <v>29</v>
      </c>
      <c r="C8" s="15" t="n">
        <v>33</v>
      </c>
      <c r="D8" s="15" t="n">
        <v>34</v>
      </c>
      <c r="E8" s="15" t="n">
        <v>32</v>
      </c>
      <c r="F8" s="15" t="n">
        <v>27</v>
      </c>
      <c r="G8" s="15" t="n">
        <v>21</v>
      </c>
      <c r="H8" s="15" t="n">
        <v>11</v>
      </c>
    </row>
    <row r="9" ht="18" customHeight="1">
      <c r="A9" s="14" t="inlineStr">
        <is>
          <t>令和5年3月末</t>
        </is>
      </c>
      <c r="B9" s="15" t="n">
        <v>28</v>
      </c>
      <c r="C9" s="15" t="n">
        <v>34</v>
      </c>
      <c r="D9" s="15" t="n">
        <v>38</v>
      </c>
      <c r="E9" s="15" t="n">
        <v>30</v>
      </c>
      <c r="F9" s="15" t="n">
        <v>25</v>
      </c>
      <c r="G9" s="15" t="n">
        <v>28</v>
      </c>
      <c r="H9" s="15" t="n">
        <v>8</v>
      </c>
    </row>
    <row r="10" ht="18" customHeight="1">
      <c r="A10" s="14" t="inlineStr">
        <is>
          <t>令和6年3月末</t>
        </is>
      </c>
      <c r="B10" s="15" t="n">
        <v>38</v>
      </c>
      <c r="C10" s="15" t="n">
        <v>31</v>
      </c>
      <c r="D10" s="15" t="n">
        <v>51</v>
      </c>
      <c r="E10" s="15" t="n">
        <v>27</v>
      </c>
      <c r="F10" s="15" t="n">
        <v>20</v>
      </c>
      <c r="G10" s="15" t="n">
        <v>20</v>
      </c>
      <c r="H10" s="15" t="n">
        <v>13</v>
      </c>
    </row>
    <row r="11" ht="18" customHeight="1">
      <c r="A11" s="14" t="inlineStr">
        <is>
          <t>令和7年3月末</t>
        </is>
      </c>
      <c r="B11" s="15" t="n">
        <v>39</v>
      </c>
      <c r="C11" s="15" t="n">
        <v>27</v>
      </c>
      <c r="D11" s="15" t="n">
        <v>47</v>
      </c>
      <c r="E11" s="15" t="n">
        <v>29</v>
      </c>
      <c r="F11" s="15" t="n">
        <v>20</v>
      </c>
      <c r="G11" s="15" t="n">
        <v>19</v>
      </c>
      <c r="H11" s="15" t="n">
        <v>17</v>
      </c>
    </row>
    <row r="12" ht="18" customHeight="1">
      <c r="A12" s="14" t="inlineStr">
        <is>
          <t>令和8年3月末</t>
        </is>
      </c>
      <c r="B12" s="15" t="n">
        <v>51</v>
      </c>
      <c r="C12" s="15" t="n">
        <v>29</v>
      </c>
      <c r="D12" s="15" t="n">
        <v>49</v>
      </c>
      <c r="E12" s="15" t="n">
        <v>26</v>
      </c>
      <c r="F12" s="15" t="n">
        <v>25</v>
      </c>
      <c r="G12" s="15" t="n">
        <v>19</v>
      </c>
      <c r="H12" s="15"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図2-7　要支援1の認定者数の推移</t>
        </is>
      </c>
    </row>
    <row r="2" ht="30" customHeight="1">
      <c r="A2" s="12" t="inlineStr">
        <is>
          <t>種類：棒／掲載箇所：第2章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4" t="inlineStr">
        <is>
          <t>令和2年</t>
        </is>
      </c>
      <c r="B6" s="15" t="n">
        <v>17</v>
      </c>
    </row>
    <row r="7" ht="18" customHeight="1">
      <c r="A7" s="14" t="inlineStr">
        <is>
          <t>令和3年</t>
        </is>
      </c>
      <c r="B7" s="15" t="n">
        <v>21</v>
      </c>
    </row>
    <row r="8" ht="18" customHeight="1">
      <c r="A8" s="14" t="inlineStr">
        <is>
          <t>令和4年</t>
        </is>
      </c>
      <c r="B8" s="15" t="n">
        <v>29</v>
      </c>
    </row>
    <row r="9" ht="18" customHeight="1">
      <c r="A9" s="14" t="inlineStr">
        <is>
          <t>令和5年</t>
        </is>
      </c>
      <c r="B9" s="15" t="n">
        <v>28</v>
      </c>
    </row>
    <row r="10" ht="18" customHeight="1">
      <c r="A10" s="14" t="inlineStr">
        <is>
          <t>令和6年</t>
        </is>
      </c>
      <c r="B10" s="15" t="n">
        <v>38</v>
      </c>
    </row>
    <row r="11" ht="18" customHeight="1">
      <c r="A11" s="14" t="inlineStr">
        <is>
          <t>令和7年</t>
        </is>
      </c>
      <c r="B11" s="15" t="n">
        <v>39</v>
      </c>
    </row>
    <row r="12" ht="18" customHeight="1">
      <c r="A12" s="14" t="inlineStr">
        <is>
          <t>令和8年</t>
        </is>
      </c>
      <c r="B12" s="15"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図2-8　新規認定者に占める要支援1の割合</t>
        </is>
      </c>
    </row>
    <row r="2" ht="30" customHeight="1">
      <c r="A2" s="12" t="inlineStr">
        <is>
          <t>種類：棒／掲載箇所：第2章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4" t="inlineStr">
        <is>
          <t>令和元年度</t>
        </is>
      </c>
      <c r="B6" s="15" t="n">
        <v>24.1</v>
      </c>
    </row>
    <row r="7" ht="18" customHeight="1">
      <c r="A7" s="14" t="inlineStr">
        <is>
          <t>令和2年度</t>
        </is>
      </c>
      <c r="B7" s="15" t="n">
        <v>21.7</v>
      </c>
    </row>
    <row r="8" ht="18" customHeight="1">
      <c r="A8" s="14" t="inlineStr">
        <is>
          <t>令和3年度</t>
        </is>
      </c>
      <c r="B8" s="15" t="n">
        <v>28.6</v>
      </c>
    </row>
    <row r="9" ht="18" customHeight="1">
      <c r="A9" s="14" t="inlineStr">
        <is>
          <t>令和4年度</t>
        </is>
      </c>
      <c r="B9" s="15" t="n">
        <v>35.3</v>
      </c>
    </row>
    <row r="10" ht="18" customHeight="1">
      <c r="A10" s="14" t="inlineStr">
        <is>
          <t>令和5年度</t>
        </is>
      </c>
      <c r="B10" s="15" t="n">
        <v>41.5</v>
      </c>
    </row>
    <row r="11" ht="18" customHeight="1">
      <c r="A11" s="14" t="inlineStr">
        <is>
          <t>令和6年度</t>
        </is>
      </c>
      <c r="B11" s="15"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図2-10　第1号被保険者1人1月あたり費用額（村・福島県・全国）</t>
        </is>
      </c>
    </row>
    <row r="2" ht="30" customHeight="1">
      <c r="A2" s="12" t="inlineStr">
        <is>
          <t>種類：折れ線／掲載箇所：第2章 2-4／単位：円　　出典：地域包括ケア「見える化」システム（P3 介護費用額の推移。平成30年度からの収録）</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平成30年度</t>
        </is>
      </c>
      <c r="B6" s="15" t="n">
        <v>25606</v>
      </c>
      <c r="C6" s="15" t="n">
        <v>24449</v>
      </c>
      <c r="D6" s="15" t="n">
        <v>23499</v>
      </c>
    </row>
    <row r="7" ht="18" customHeight="1">
      <c r="A7" s="14" t="inlineStr">
        <is>
          <t>令和元年度</t>
        </is>
      </c>
      <c r="B7" s="15" t="n">
        <v>23624</v>
      </c>
      <c r="C7" s="15" t="n">
        <v>24819</v>
      </c>
      <c r="D7" s="15" t="n">
        <v>24106</v>
      </c>
    </row>
    <row r="8" ht="18" customHeight="1">
      <c r="A8" s="14" t="inlineStr">
        <is>
          <t>令和2年度</t>
        </is>
      </c>
      <c r="B8" s="15" t="n">
        <v>22072</v>
      </c>
      <c r="C8" s="15" t="n">
        <v>25213</v>
      </c>
      <c r="D8" s="15" t="n">
        <v>24567</v>
      </c>
    </row>
    <row r="9" ht="18" customHeight="1">
      <c r="A9" s="14" t="inlineStr">
        <is>
          <t>令和3年度</t>
        </is>
      </c>
      <c r="B9" s="15" t="n">
        <v>21041</v>
      </c>
      <c r="C9" s="15" t="n">
        <v>25426</v>
      </c>
      <c r="D9" s="15" t="n">
        <v>25137</v>
      </c>
    </row>
    <row r="10" ht="18" customHeight="1">
      <c r="A10" s="14" t="inlineStr">
        <is>
          <t>令和4年度</t>
        </is>
      </c>
      <c r="B10" s="15" t="n">
        <v>21563</v>
      </c>
      <c r="C10" s="15" t="n">
        <v>25477</v>
      </c>
      <c r="D10" s="15" t="n">
        <v>25471</v>
      </c>
    </row>
    <row r="11" ht="18" customHeight="1">
      <c r="A11" s="14" t="inlineStr">
        <is>
          <t>令和5年度</t>
        </is>
      </c>
      <c r="B11" s="15" t="n">
        <v>23008</v>
      </c>
      <c r="C11" s="15" t="n">
        <v>25871</v>
      </c>
      <c r="D11" s="15" t="n">
        <v>26229</v>
      </c>
    </row>
    <row r="12" ht="18" customHeight="1">
      <c r="A12" s="14" t="inlineStr">
        <is>
          <t>令和6年度</t>
        </is>
      </c>
      <c r="B12" s="15" t="n">
        <v>22751</v>
      </c>
      <c r="C12" s="15" t="n">
        <v>26518</v>
      </c>
      <c r="D12" s="15" t="n">
        <v>27147</v>
      </c>
    </row>
    <row r="13" ht="18" customHeight="1">
      <c r="A13" s="14" t="inlineStr">
        <is>
          <t>令和7年度</t>
        </is>
      </c>
      <c r="B13" s="15" t="n">
        <v>24696</v>
      </c>
      <c r="C13" s="15" t="n">
        <v>26848</v>
      </c>
      <c r="D13" s="15"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図2-11　サービス区分別 費用額の推移</t>
        </is>
      </c>
    </row>
    <row r="2" ht="30" customHeight="1">
      <c r="A2" s="12" t="inlineStr">
        <is>
          <t>種類：積上げ棒／掲載箇所：第2章 2-4／単位：百万円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4" t="inlineStr">
        <is>
          <t>平成29年度</t>
        </is>
      </c>
      <c r="B6" s="15" t="n">
        <v>103.5</v>
      </c>
      <c r="C6" s="15" t="n">
        <v>61.4</v>
      </c>
      <c r="D6" s="15" t="n">
        <v>133.6</v>
      </c>
    </row>
    <row r="7" ht="18" customHeight="1">
      <c r="A7" s="14" t="inlineStr">
        <is>
          <t>平成30年度</t>
        </is>
      </c>
      <c r="B7" s="15" t="n">
        <v>94.7</v>
      </c>
      <c r="C7" s="15" t="n">
        <v>63.1</v>
      </c>
      <c r="D7" s="15" t="n">
        <v>150.3</v>
      </c>
    </row>
    <row r="8" ht="18" customHeight="1">
      <c r="A8" s="14" t="inlineStr">
        <is>
          <t>令和元年度</t>
        </is>
      </c>
      <c r="B8" s="15" t="n">
        <v>81.5</v>
      </c>
      <c r="C8" s="15" t="n">
        <v>69.90000000000001</v>
      </c>
      <c r="D8" s="15" t="n">
        <v>138</v>
      </c>
    </row>
    <row r="9" ht="18" customHeight="1">
      <c r="A9" s="14" t="inlineStr">
        <is>
          <t>令和2年度</t>
        </is>
      </c>
      <c r="B9" s="15" t="n">
        <v>85</v>
      </c>
      <c r="C9" s="15" t="n">
        <v>74</v>
      </c>
      <c r="D9" s="15" t="n">
        <v>124.2</v>
      </c>
    </row>
    <row r="10" ht="18" customHeight="1">
      <c r="A10" s="14" t="inlineStr">
        <is>
          <t>令和3年度</t>
        </is>
      </c>
      <c r="B10" s="15" t="n">
        <v>87.3</v>
      </c>
      <c r="C10" s="15" t="n">
        <v>64.59999999999999</v>
      </c>
      <c r="D10" s="15" t="n">
        <v>118</v>
      </c>
    </row>
    <row r="11" ht="18" customHeight="1">
      <c r="A11" s="14" t="inlineStr">
        <is>
          <t>令和4年度</t>
        </is>
      </c>
      <c r="B11" s="15" t="n">
        <v>74.40000000000001</v>
      </c>
      <c r="C11" s="15" t="n">
        <v>69.5</v>
      </c>
      <c r="D11" s="15" t="n">
        <v>130</v>
      </c>
    </row>
    <row r="12" ht="18" customHeight="1">
      <c r="A12" s="14" t="inlineStr">
        <is>
          <t>令和5年度</t>
        </is>
      </c>
      <c r="B12" s="15" t="n">
        <v>75.5</v>
      </c>
      <c r="C12" s="15" t="n">
        <v>76.40000000000001</v>
      </c>
      <c r="D12" s="15" t="n">
        <v>134.8</v>
      </c>
    </row>
    <row r="13" ht="18" customHeight="1">
      <c r="A13" s="14" t="inlineStr">
        <is>
          <t>令和6年度</t>
        </is>
      </c>
      <c r="B13" s="15" t="n">
        <v>84.5</v>
      </c>
      <c r="C13" s="15" t="n">
        <v>81.40000000000001</v>
      </c>
      <c r="D13" s="15" t="n">
        <v>120.8</v>
      </c>
    </row>
    <row r="14" ht="18" customHeight="1">
      <c r="A14" s="14" t="inlineStr">
        <is>
          <t>令和7年度</t>
        </is>
      </c>
      <c r="B14" s="15" t="n">
        <v>95.40000000000001</v>
      </c>
      <c r="C14" s="15" t="n">
        <v>91</v>
      </c>
      <c r="D14" s="15"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図2-12　在宅・施設居住系別 第1号被保険者1人1月あたり給付月額</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4" t="inlineStr">
        <is>
          <t>H29年度</t>
        </is>
      </c>
      <c r="B6" s="15" t="n">
        <v>8157</v>
      </c>
      <c r="C6" s="15" t="n">
        <v>15127</v>
      </c>
    </row>
    <row r="7" ht="18" customHeight="1">
      <c r="A7" s="14" t="inlineStr">
        <is>
          <t>H30年度</t>
        </is>
      </c>
      <c r="B7" s="15" t="n">
        <v>7334</v>
      </c>
      <c r="C7" s="15" t="n">
        <v>16286</v>
      </c>
    </row>
    <row r="8" ht="18" customHeight="1">
      <c r="A8" s="14" t="inlineStr">
        <is>
          <t>R元年度</t>
        </is>
      </c>
      <c r="B8" s="15" t="n">
        <v>6198</v>
      </c>
      <c r="C8" s="15" t="n">
        <v>15561</v>
      </c>
    </row>
    <row r="9" ht="18" customHeight="1">
      <c r="A9" s="14" t="inlineStr">
        <is>
          <t>R2年度</t>
        </is>
      </c>
      <c r="B9" s="15" t="n">
        <v>6324</v>
      </c>
      <c r="C9" s="15" t="n">
        <v>14531</v>
      </c>
    </row>
    <row r="10" ht="18" customHeight="1">
      <c r="A10" s="14" t="inlineStr">
        <is>
          <t>R3年度</t>
        </is>
      </c>
      <c r="B10" s="15" t="n">
        <v>6527</v>
      </c>
      <c r="C10" s="15" t="n">
        <v>13422</v>
      </c>
    </row>
    <row r="11" ht="18" customHeight="1">
      <c r="A11" s="14" t="inlineStr">
        <is>
          <t>R4年度</t>
        </is>
      </c>
      <c r="B11" s="15" t="n">
        <v>5597</v>
      </c>
      <c r="C11" s="15" t="n">
        <v>14729</v>
      </c>
    </row>
    <row r="12" ht="18" customHeight="1">
      <c r="A12" s="14" t="inlineStr">
        <is>
          <t>R5年度</t>
        </is>
      </c>
      <c r="B12" s="15" t="n">
        <v>5737</v>
      </c>
      <c r="C12" s="15" t="n">
        <v>15747</v>
      </c>
    </row>
    <row r="13" ht="18" customHeight="1">
      <c r="A13" s="14" t="inlineStr">
        <is>
          <t>R6年度</t>
        </is>
      </c>
      <c r="B13" s="15" t="n">
        <v>6329</v>
      </c>
      <c r="C13" s="15" t="n">
        <v>14915</v>
      </c>
    </row>
    <row r="14" ht="18" customHeight="1">
      <c r="A14" s="14" t="inlineStr">
        <is>
          <t>R7年度</t>
        </is>
      </c>
      <c r="B14" s="15" t="n">
        <v>7154</v>
      </c>
      <c r="C14" s="15"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図2-13　サービス区分別 1人1月あたり給付月額の変化（平成29年度→令和7年度）</t>
        </is>
      </c>
    </row>
    <row r="2" ht="30" customHeight="1">
      <c r="A2" s="12" t="inlineStr">
        <is>
          <t>種類：横棒／掲載箇所：第2章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4" t="inlineStr">
        <is>
          <t>訪問系</t>
        </is>
      </c>
      <c r="B6" s="15" t="n">
        <v>1481</v>
      </c>
      <c r="C6" s="15" t="n">
        <v>728</v>
      </c>
    </row>
    <row r="7" ht="18" customHeight="1">
      <c r="A7" s="14" t="inlineStr">
        <is>
          <t>通所系</t>
        </is>
      </c>
      <c r="B7" s="15" t="n">
        <v>4166</v>
      </c>
      <c r="C7" s="15" t="n">
        <v>3851</v>
      </c>
    </row>
    <row r="8" ht="18" customHeight="1">
      <c r="A8" s="14" t="inlineStr">
        <is>
          <t>短期入所</t>
        </is>
      </c>
      <c r="B8" s="15" t="n">
        <v>756</v>
      </c>
      <c r="C8" s="15" t="n">
        <v>593</v>
      </c>
    </row>
    <row r="9" ht="18" customHeight="1">
      <c r="A9" s="14" t="inlineStr">
        <is>
          <t>福祉用具・住宅改修</t>
        </is>
      </c>
      <c r="B9" s="15" t="n">
        <v>628</v>
      </c>
      <c r="C9" s="15" t="n">
        <v>879</v>
      </c>
    </row>
    <row r="10" ht="18" customHeight="1">
      <c r="A10" s="14" t="inlineStr">
        <is>
          <t>居宅介護支援</t>
        </is>
      </c>
      <c r="B10" s="15" t="n">
        <v>1127</v>
      </c>
      <c r="C10" s="15" t="n">
        <v>1103</v>
      </c>
    </row>
    <row r="11" ht="18" customHeight="1">
      <c r="A11" s="14" t="inlineStr">
        <is>
          <t>居住系</t>
        </is>
      </c>
      <c r="B11" s="15" t="n">
        <v>4740</v>
      </c>
      <c r="C11" s="15" t="n">
        <v>6748</v>
      </c>
    </row>
    <row r="12" ht="18" customHeight="1">
      <c r="A12" s="14" t="inlineStr">
        <is>
          <t>施設系</t>
        </is>
      </c>
      <c r="B12" s="15" t="n">
        <v>10387</v>
      </c>
      <c r="C12" s="15"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図2-15　要支援・要介護者1人あたり定員の推移（定員は平成30年度以降据置）</t>
        </is>
      </c>
    </row>
    <row r="2" ht="30" customHeight="1">
      <c r="A2" s="12" t="inlineStr">
        <is>
          <t>種類：折れ線／掲載箇所：第2章 2-5／単位：人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4" t="inlineStr">
        <is>
          <t>H27年度</t>
        </is>
      </c>
      <c r="B6" s="15" t="n">
        <v>0.204</v>
      </c>
      <c r="C6" s="15" t="n">
        <v>0.092</v>
      </c>
    </row>
    <row r="7" ht="18" customHeight="1">
      <c r="A7" s="14" t="inlineStr">
        <is>
          <t>H28年度</t>
        </is>
      </c>
      <c r="B7" s="15" t="n">
        <v>0.223</v>
      </c>
      <c r="C7" s="15" t="n">
        <v>0.134</v>
      </c>
    </row>
    <row r="8" ht="18" customHeight="1">
      <c r="A8" s="14" t="inlineStr">
        <is>
          <t>H29年度</t>
        </is>
      </c>
      <c r="B8" s="15" t="n">
        <v>0.233</v>
      </c>
      <c r="C8" s="15" t="n">
        <v>0.14</v>
      </c>
    </row>
    <row r="9" ht="18" customHeight="1">
      <c r="A9" s="14" t="inlineStr">
        <is>
          <t>H30年度</t>
        </is>
      </c>
      <c r="B9" s="15" t="n">
        <v>0.273</v>
      </c>
      <c r="C9" s="15" t="n">
        <v>0.148</v>
      </c>
    </row>
    <row r="10" ht="18" customHeight="1">
      <c r="A10" s="14" t="inlineStr">
        <is>
          <t>R元年度</t>
        </is>
      </c>
      <c r="B10" s="15" t="n">
        <v>0.287</v>
      </c>
      <c r="C10" s="15" t="n">
        <v>0.155</v>
      </c>
    </row>
    <row r="11" ht="18" customHeight="1">
      <c r="A11" s="14" t="inlineStr">
        <is>
          <t>R2年度</t>
        </is>
      </c>
      <c r="B11" s="15" t="n">
        <v>0.269</v>
      </c>
      <c r="C11" s="15" t="n">
        <v>0.145</v>
      </c>
    </row>
    <row r="12" ht="18" customHeight="1">
      <c r="A12" s="14" t="inlineStr">
        <is>
          <t>R3年度</t>
        </is>
      </c>
      <c r="B12" s="15" t="n">
        <v>0.267</v>
      </c>
      <c r="C12" s="15" t="n">
        <v>0.144</v>
      </c>
    </row>
    <row r="13" ht="18" customHeight="1">
      <c r="A13" s="14" t="inlineStr">
        <is>
          <t>R4年度</t>
        </is>
      </c>
      <c r="B13" s="15" t="n">
        <v>0.262</v>
      </c>
      <c r="C13" s="15" t="n">
        <v>0.141</v>
      </c>
    </row>
    <row r="14" ht="18" customHeight="1">
      <c r="A14" s="14" t="inlineStr">
        <is>
          <t>R5年度</t>
        </is>
      </c>
      <c r="B14" s="15" t="n">
        <v>0.25</v>
      </c>
      <c r="C14" s="15" t="n">
        <v>0.135</v>
      </c>
    </row>
    <row r="15" ht="18" customHeight="1">
      <c r="A15" s="14" t="inlineStr">
        <is>
          <t>R6年度</t>
        </is>
      </c>
      <c r="B15" s="15" t="n">
        <v>0.253</v>
      </c>
      <c r="C15" s="15" t="n">
        <v>0.136</v>
      </c>
    </row>
    <row r="16" ht="18" customHeight="1">
      <c r="A16" s="14" t="inlineStr">
        <is>
          <t>R7年度</t>
        </is>
      </c>
      <c r="B16" s="15" t="n">
        <v>0.234</v>
      </c>
      <c r="C16" s="15"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図2-18　地域支援事業費の推移（内訳別）</t>
        </is>
      </c>
    </row>
    <row r="2" ht="30" customHeight="1">
      <c r="A2" s="12" t="inlineStr">
        <is>
          <t>種類：積上げ棒／掲載箇所：第2章 2-6／単位：百万円　　出典：介護保険特別会計決算</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4" t="inlineStr">
        <is>
          <t>平成29年度</t>
        </is>
      </c>
      <c r="B6" s="15" t="n">
        <v>1.71</v>
      </c>
      <c r="C6" s="15" t="n">
        <v>8.119999999999999</v>
      </c>
      <c r="D6" s="15" t="n">
        <v>13.5</v>
      </c>
      <c r="E6" s="15" t="n">
        <v>5.4</v>
      </c>
    </row>
    <row r="7" ht="18" customHeight="1">
      <c r="A7" s="14" t="inlineStr">
        <is>
          <t>平成30年度</t>
        </is>
      </c>
      <c r="B7" s="15" t="n">
        <v>1.61</v>
      </c>
      <c r="C7" s="15" t="n">
        <v>8.48</v>
      </c>
      <c r="D7" s="15" t="n">
        <v>13.46</v>
      </c>
      <c r="E7" s="15" t="n">
        <v>9.92</v>
      </c>
    </row>
    <row r="8" ht="18" customHeight="1">
      <c r="A8" s="14" t="inlineStr">
        <is>
          <t>令和元年度</t>
        </is>
      </c>
      <c r="B8" s="15" t="n">
        <v>1.77</v>
      </c>
      <c r="C8" s="15" t="n">
        <v>9.48</v>
      </c>
      <c r="D8" s="15" t="n">
        <v>13.89</v>
      </c>
      <c r="E8" s="15" t="n">
        <v>10.54</v>
      </c>
    </row>
    <row r="9" ht="18" customHeight="1">
      <c r="A9" s="14" t="inlineStr">
        <is>
          <t>令和2年度</t>
        </is>
      </c>
      <c r="B9" s="15" t="n">
        <v>1.34</v>
      </c>
      <c r="C9" s="15" t="n">
        <v>10.73</v>
      </c>
      <c r="D9" s="15" t="n">
        <v>13.66</v>
      </c>
      <c r="E9" s="15" t="n">
        <v>11.73</v>
      </c>
    </row>
    <row r="10" ht="18" customHeight="1">
      <c r="A10" s="14" t="inlineStr">
        <is>
          <t>令和3年度</t>
        </is>
      </c>
      <c r="B10" s="15" t="n">
        <v>1.09</v>
      </c>
      <c r="C10" s="15" t="n">
        <v>10.8</v>
      </c>
      <c r="D10" s="15" t="n">
        <v>23.33</v>
      </c>
      <c r="E10" s="15" t="n">
        <v>0</v>
      </c>
    </row>
    <row r="11" ht="18" customHeight="1">
      <c r="A11" s="14" t="inlineStr">
        <is>
          <t>令和4年度</t>
        </is>
      </c>
      <c r="B11" s="15" t="n">
        <v>1.78</v>
      </c>
      <c r="C11" s="15" t="n">
        <v>14.18</v>
      </c>
      <c r="D11" s="15" t="n">
        <v>23.79</v>
      </c>
      <c r="E11" s="15" t="n">
        <v>0</v>
      </c>
    </row>
    <row r="12" ht="18" customHeight="1">
      <c r="A12" s="14" t="inlineStr">
        <is>
          <t>令和5年度</t>
        </is>
      </c>
      <c r="B12" s="15" t="n">
        <v>1.83</v>
      </c>
      <c r="C12" s="15" t="n">
        <v>14.64</v>
      </c>
      <c r="D12" s="15" t="n">
        <v>23.42</v>
      </c>
      <c r="E12" s="15"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図2-19　住民主体の通いの場の状況（令和6年度）</t>
        </is>
      </c>
    </row>
    <row r="2" ht="30" customHeight="1">
      <c r="A2" s="12"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4" t="inlineStr">
        <is>
          <t>箇所数 全体</t>
        </is>
      </c>
      <c r="B6" s="15" t="n">
        <v>23</v>
      </c>
    </row>
    <row r="7" ht="18" customHeight="1">
      <c r="A7" s="14" t="inlineStr">
        <is>
          <t>箇所数 週1回以上</t>
        </is>
      </c>
      <c r="B7" s="15" t="n">
        <v>8</v>
      </c>
    </row>
    <row r="8" ht="18" customHeight="1">
      <c r="A8" s="14" t="inlineStr">
        <is>
          <t>参加者数 全体</t>
        </is>
      </c>
      <c r="B8" s="15" t="n">
        <v>281</v>
      </c>
    </row>
    <row r="9" ht="18" customHeight="1">
      <c r="A9" s="14" t="inlineStr">
        <is>
          <t>参加者数 週1回以上</t>
        </is>
      </c>
      <c r="B9" s="15"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図2-20　保険給付費・地域支援事業費・保険料収入の推移</t>
        </is>
      </c>
    </row>
    <row r="2" ht="30" customHeight="1">
      <c r="A2" s="12" t="inlineStr">
        <is>
          <t>種類：折れ線／掲載箇所：第2章 2-7／単位：千円　　出典：介護保険特別会計決算　　注：図は平成26年度＝100とした指数で描く。本表は決算の実額</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4" t="inlineStr">
        <is>
          <t>H26年度</t>
        </is>
      </c>
      <c r="B6" s="15" t="n">
        <v>279774</v>
      </c>
      <c r="C6" s="15" t="n">
        <v>15580</v>
      </c>
      <c r="D6" s="15" t="n">
        <v>48998</v>
      </c>
    </row>
    <row r="7" ht="18" customHeight="1">
      <c r="A7" s="14" t="inlineStr">
        <is>
          <t>H27年度</t>
        </is>
      </c>
      <c r="B7" s="15" t="n">
        <v>284396</v>
      </c>
      <c r="C7" s="15" t="n">
        <v>16246</v>
      </c>
      <c r="D7" s="15" t="n">
        <v>55142</v>
      </c>
    </row>
    <row r="8" ht="18" customHeight="1">
      <c r="A8" s="14" t="inlineStr">
        <is>
          <t>H28年度</t>
        </is>
      </c>
      <c r="B8" s="15" t="n">
        <v>281570</v>
      </c>
      <c r="C8" s="15" t="n">
        <v>22780</v>
      </c>
      <c r="D8" s="15" t="n">
        <v>55416</v>
      </c>
    </row>
    <row r="9" ht="18" customHeight="1">
      <c r="A9" s="14" t="inlineStr">
        <is>
          <t>H29年度</t>
        </is>
      </c>
      <c r="B9" s="15" t="n">
        <v>290913</v>
      </c>
      <c r="C9" s="15" t="n">
        <v>28727</v>
      </c>
      <c r="D9" s="15" t="n">
        <v>56268</v>
      </c>
    </row>
    <row r="10" ht="18" customHeight="1">
      <c r="A10" s="14" t="inlineStr">
        <is>
          <t>H30年度</t>
        </is>
      </c>
      <c r="B10" s="15" t="n">
        <v>302371</v>
      </c>
      <c r="C10" s="15" t="n">
        <v>33471</v>
      </c>
      <c r="D10" s="15" t="n">
        <v>65179</v>
      </c>
    </row>
    <row r="11" ht="18" customHeight="1">
      <c r="A11" s="14" t="inlineStr">
        <is>
          <t>R元年度</t>
        </is>
      </c>
      <c r="B11" s="15" t="n">
        <v>286563</v>
      </c>
      <c r="C11" s="15" t="n">
        <v>35671</v>
      </c>
      <c r="D11" s="15" t="n">
        <v>64863</v>
      </c>
    </row>
    <row r="12" ht="18" customHeight="1">
      <c r="A12" s="14" t="inlineStr">
        <is>
          <t>R2年度</t>
        </is>
      </c>
      <c r="B12" s="15" t="n">
        <v>279049</v>
      </c>
      <c r="C12" s="15" t="n">
        <v>37451</v>
      </c>
      <c r="D12" s="15" t="n">
        <v>64824</v>
      </c>
    </row>
    <row r="13" ht="18" customHeight="1">
      <c r="A13" s="14" t="inlineStr">
        <is>
          <t>R3年度</t>
        </is>
      </c>
      <c r="B13" s="15" t="n">
        <v>266191</v>
      </c>
      <c r="C13" s="15" t="n">
        <v>35216</v>
      </c>
      <c r="D13" s="15" t="n">
        <v>69796</v>
      </c>
    </row>
    <row r="14" ht="18" customHeight="1">
      <c r="A14" s="14" t="inlineStr">
        <is>
          <t>R4年度</t>
        </is>
      </c>
      <c r="B14" s="15" t="n">
        <v>271863</v>
      </c>
      <c r="C14" s="15" t="n">
        <v>39754</v>
      </c>
      <c r="D14" s="15" t="n">
        <v>69558</v>
      </c>
    </row>
    <row r="15" ht="18" customHeight="1">
      <c r="A15" s="14" t="inlineStr">
        <is>
          <t>R5年度</t>
        </is>
      </c>
      <c r="B15" s="15" t="n">
        <v>280366</v>
      </c>
      <c r="C15" s="15" t="n">
        <v>39886</v>
      </c>
      <c r="D15" s="15"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図2-21　介護保険料基準額の推移（村・福島県・全国）</t>
        </is>
      </c>
    </row>
    <row r="2" ht="30" customHeight="1">
      <c r="A2" s="12" t="inlineStr">
        <is>
          <t>種類：棒／掲載箇所：第2章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第7期（H30〜R2）</t>
        </is>
      </c>
      <c r="B6" s="15" t="n">
        <v>5900</v>
      </c>
      <c r="C6" s="15" t="n">
        <v>6061</v>
      </c>
      <c r="D6" s="15" t="n">
        <v>5784</v>
      </c>
    </row>
    <row r="7" ht="18" customHeight="1">
      <c r="A7" s="14" t="inlineStr">
        <is>
          <t>第8期（R3〜R5）</t>
        </is>
      </c>
      <c r="B7" s="15" t="n">
        <v>6300</v>
      </c>
      <c r="C7" s="15" t="n">
        <v>6108</v>
      </c>
      <c r="D7" s="15" t="n">
        <v>6014</v>
      </c>
    </row>
    <row r="8" ht="18" customHeight="1">
      <c r="A8" s="14" t="inlineStr">
        <is>
          <t>第9期（R6〜R8）</t>
        </is>
      </c>
      <c r="B8" s="15" t="n">
        <v>6700</v>
      </c>
      <c r="C8" s="15" t="n">
        <v>6340</v>
      </c>
      <c r="D8" s="15"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図2-22　保険料基準額と必要保険料額の対比（第8期以降は余剰が継続）</t>
        </is>
      </c>
    </row>
    <row r="2" ht="30" customHeight="1">
      <c r="A2" s="12" t="inlineStr">
        <is>
          <t>種類：折れ線／掲載箇所：第2章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4" t="inlineStr">
        <is>
          <t>H30年度</t>
        </is>
      </c>
      <c r="B6" s="15" t="n">
        <v>5900</v>
      </c>
      <c r="C6" s="15" t="n">
        <v>6012</v>
      </c>
    </row>
    <row r="7" ht="18" customHeight="1">
      <c r="A7" s="14" t="inlineStr">
        <is>
          <t>R元年度</t>
        </is>
      </c>
      <c r="B7" s="15" t="n">
        <v>5900</v>
      </c>
      <c r="C7" s="15" t="n">
        <v>6011</v>
      </c>
    </row>
    <row r="8" ht="18" customHeight="1">
      <c r="A8" s="14" t="inlineStr">
        <is>
          <t>R2年度</t>
        </is>
      </c>
      <c r="B8" s="15" t="n">
        <v>5900</v>
      </c>
      <c r="C8" s="15" t="n">
        <v>5830</v>
      </c>
    </row>
    <row r="9" ht="18" customHeight="1">
      <c r="A9" s="14" t="inlineStr">
        <is>
          <t>R3年度</t>
        </is>
      </c>
      <c r="B9" s="15" t="n">
        <v>6300</v>
      </c>
      <c r="C9" s="15" t="n">
        <v>5451</v>
      </c>
    </row>
    <row r="10" ht="18" customHeight="1">
      <c r="A10" s="14" t="inlineStr">
        <is>
          <t>R4年度</t>
        </is>
      </c>
      <c r="B10" s="15" t="n">
        <v>6300</v>
      </c>
      <c r="C10" s="15" t="n">
        <v>6007</v>
      </c>
    </row>
    <row r="11" ht="18" customHeight="1">
      <c r="A11" s="14" t="inlineStr">
        <is>
          <t>R5年度</t>
        </is>
      </c>
      <c r="B11" s="15" t="n">
        <v>6300</v>
      </c>
      <c r="C11" s="15" t="n">
        <v>6335</v>
      </c>
    </row>
    <row r="12" ht="18" customHeight="1">
      <c r="A12" s="14" t="inlineStr">
        <is>
          <t>R6年度</t>
        </is>
      </c>
      <c r="B12" s="15" t="n">
        <v>6700</v>
      </c>
      <c r="C12" s="15" t="n">
        <v>5991</v>
      </c>
    </row>
    <row r="13" ht="18" customHeight="1">
      <c r="A13" s="14" t="inlineStr">
        <is>
          <t>R7年度</t>
        </is>
      </c>
      <c r="B13" s="15" t="n">
        <v>6700</v>
      </c>
      <c r="C13" s="15"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図2-23　交付金 目標別得点と全国平均の対比（令和8年度）</t>
        </is>
      </c>
    </row>
    <row r="2" ht="30" customHeight="1">
      <c r="A2" s="12" t="inlineStr">
        <is>
          <t>種類：棒／掲載箇所：第2章 2-8／単位：点　　出典：厚生労働省「令和8年度評価指標に係る該当状況調査票集計表」</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4" t="inlineStr">
        <is>
          <t>推進目標Ⅰ</t>
        </is>
      </c>
      <c r="B6" s="15" t="n">
        <v>76</v>
      </c>
      <c r="C6" s="15" t="n">
        <v>62.3</v>
      </c>
    </row>
    <row r="7" ht="18" customHeight="1">
      <c r="A7" s="14" t="inlineStr">
        <is>
          <t>推進目標Ⅱ</t>
        </is>
      </c>
      <c r="B7" s="15" t="n">
        <v>62</v>
      </c>
      <c r="C7" s="15" t="n">
        <v>69.2</v>
      </c>
    </row>
    <row r="8" ht="18" customHeight="1">
      <c r="A8" s="14" t="inlineStr">
        <is>
          <t>推進目標Ⅲ</t>
        </is>
      </c>
      <c r="B8" s="15" t="n">
        <v>46</v>
      </c>
      <c r="C8" s="15" t="n">
        <v>50.8</v>
      </c>
    </row>
    <row r="9" ht="18" customHeight="1">
      <c r="A9" s="14" t="inlineStr">
        <is>
          <t>推進目標Ⅳ</t>
        </is>
      </c>
      <c r="B9" s="15" t="n">
        <v>45</v>
      </c>
      <c r="C9" s="15" t="n">
        <v>47.8</v>
      </c>
    </row>
    <row r="10" ht="18" customHeight="1">
      <c r="A10" s="14" t="inlineStr">
        <is>
          <t>支援目標Ⅰ</t>
        </is>
      </c>
      <c r="B10" s="15" t="n">
        <v>71</v>
      </c>
      <c r="C10" s="15" t="n">
        <v>57.8</v>
      </c>
    </row>
    <row r="11" ht="18" customHeight="1">
      <c r="A11" s="14" t="inlineStr">
        <is>
          <t>支援目標Ⅱ</t>
        </is>
      </c>
      <c r="B11" s="15" t="n">
        <v>32</v>
      </c>
      <c r="C11" s="15" t="n">
        <v>51.1</v>
      </c>
    </row>
    <row r="12" ht="18" customHeight="1">
      <c r="A12" s="14" t="inlineStr">
        <is>
          <t>支援目標Ⅲ</t>
        </is>
      </c>
      <c r="B12" s="15" t="n">
        <v>70</v>
      </c>
      <c r="C12" s="15" t="n">
        <v>68.3</v>
      </c>
    </row>
    <row r="13" ht="18" customHeight="1">
      <c r="A13" s="14" t="inlineStr">
        <is>
          <t>支援目標Ⅳ</t>
        </is>
      </c>
      <c r="B13" s="15" t="n">
        <v>45</v>
      </c>
      <c r="C13" s="15"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図2-24　交付金 合計得点の推移（村・福島県平均・全国平均）</t>
        </is>
      </c>
    </row>
    <row r="2" ht="30" customHeight="1">
      <c r="A2" s="12" t="inlineStr">
        <is>
          <t>種類：折れ線／掲載箇所：第2章 2-8／単位：点　　出典：厚生労働省「評価指標に係る該当状況調査票集計表」（令和6〜8年度）</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令和6年度</t>
        </is>
      </c>
      <c r="B6" s="15" t="n">
        <v>295</v>
      </c>
      <c r="C6" s="15" t="n">
        <v>354.1</v>
      </c>
      <c r="D6" s="15" t="n">
        <v>422.4</v>
      </c>
    </row>
    <row r="7" ht="18" customHeight="1">
      <c r="A7" s="14" t="inlineStr">
        <is>
          <t>令和7年度</t>
        </is>
      </c>
      <c r="B7" s="15" t="n">
        <v>339</v>
      </c>
      <c r="C7" s="15" t="n">
        <v>385.3</v>
      </c>
      <c r="D7" s="15" t="n">
        <v>435</v>
      </c>
    </row>
    <row r="8" ht="18" customHeight="1">
      <c r="A8" s="14" t="inlineStr">
        <is>
          <t>令和8年度</t>
        </is>
      </c>
      <c r="B8" s="15" t="n">
        <v>447</v>
      </c>
      <c r="C8" s="15" t="n">
        <v>456.4</v>
      </c>
      <c r="D8" s="15"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28件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28件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0件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2026-10-21T08:49:31Z</dcterms:created>
  <dcterms:modified xmlns:dcterms="http://purl.org/dc/terms/" xmlns:xsi="http://www.w3.org/2001/XMLSchema-instance" xsi:type="dcterms:W3CDTF">2026-10-21T08:49:32Z</dcterms:modified>
</cp:coreProperties>
</file>