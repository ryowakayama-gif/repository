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人口推計" sheetId="2" state="visible" r:id="rId2"/>
    <sheet xmlns:r="http://schemas.openxmlformats.org/officeDocument/2006/relationships" name="02_手帳実績" sheetId="3" state="visible" r:id="rId3"/>
    <sheet xmlns:r="http://schemas.openxmlformats.org/officeDocument/2006/relationships" name="03_手帳将来推計" sheetId="4" state="visible" r:id="rId4"/>
    <sheet xmlns:r="http://schemas.openxmlformats.org/officeDocument/2006/relationships" name="04_推計の不確実性" sheetId="5" state="visible" r:id="rId5"/>
    <sheet xmlns:r="http://schemas.openxmlformats.org/officeDocument/2006/relationships" name="05_年齢階級別推計" sheetId="6" state="visible" r:id="rId6"/>
    <sheet xmlns:r="http://schemas.openxmlformats.org/officeDocument/2006/relationships" name="06_推計方法" sheetId="7" state="visible" r:id="rId7"/>
    <sheet xmlns:r="http://schemas.openxmlformats.org/officeDocument/2006/relationships" name="07_村確認事項" sheetId="8" state="visible" r:id="rId8"/>
    <sheet xmlns:r="http://schemas.openxmlformats.org/officeDocument/2006/relationships" name="08_県との比較" sheetId="9" state="visible" r:id="rId9"/>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0"/>
    <numFmt numFmtId="167" formatCode="0.000"/>
    <numFmt numFmtId="168" formatCode="+0;-0"/>
    <numFmt numFmtId="169" formatCode="+0%"/>
    <numFmt numFmtId="170" formatCode="+0.0%;-0.0%;0.0%"/>
  </numFmts>
  <fonts count="8">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color rgb="00808080"/>
      <sz val="9"/>
    </font>
    <font>
      <name val="游ゴシック"/>
      <b val="1"/>
      <sz val="10"/>
    </font>
  </fonts>
  <fills count="13">
    <fill>
      <patternFill/>
    </fill>
    <fill>
      <patternFill patternType="gray125"/>
    </fill>
    <fill>
      <patternFill patternType="solid">
        <fgColor rgb="00FF7F0E"/>
      </patternFill>
    </fill>
    <fill>
      <patternFill patternType="solid">
        <fgColor rgb="002E75B6"/>
      </patternFill>
    </fill>
    <fill>
      <patternFill patternType="solid">
        <fgColor rgb="002CA02C"/>
      </patternFill>
    </fill>
    <fill>
      <patternFill patternType="solid">
        <fgColor rgb="00F7FAFC"/>
      </patternFill>
    </fill>
    <fill>
      <patternFill patternType="solid">
        <fgColor rgb="00ED7D31"/>
      </patternFill>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
      <patternFill patternType="solid">
        <fgColor rgb="00FFF3F3"/>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3" fontId="4" fillId="0" borderId="1" applyAlignment="1" pivotButton="0" quotePrefix="0" xfId="0">
      <alignment horizontal="center" vertical="center"/>
    </xf>
    <xf numFmtId="0" fontId="4" fillId="0"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center" wrapText="1" indent="1"/>
    </xf>
    <xf numFmtId="164" fontId="4" fillId="5"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3" fontId="4" fillId="5" borderId="1" applyAlignment="1" pivotButton="0" quotePrefix="0" xfId="0">
      <alignment horizontal="center" vertical="center"/>
    </xf>
    <xf numFmtId="0" fontId="5" fillId="3" borderId="0" applyAlignment="1" pivotButton="0" quotePrefix="0" xfId="0">
      <alignment horizontal="left" vertical="center" indent="1"/>
    </xf>
    <xf numFmtId="0" fontId="1" fillId="7" borderId="0" applyAlignment="1" pivotButton="0" quotePrefix="0" xfId="0">
      <alignment horizontal="left" vertical="center" indent="1"/>
    </xf>
    <xf numFmtId="3" fontId="4" fillId="0" borderId="1" applyAlignment="1" pivotButton="0" quotePrefix="0" xfId="0">
      <alignment horizontal="right" vertical="center"/>
    </xf>
    <xf numFmtId="164" fontId="4" fillId="8" borderId="1" applyAlignment="1" pivotButton="0" quotePrefix="0" xfId="0">
      <alignment horizontal="center" vertical="center"/>
    </xf>
    <xf numFmtId="3" fontId="4" fillId="5" borderId="1" applyAlignment="1" pivotButton="0" quotePrefix="0" xfId="0">
      <alignment horizontal="right" vertical="center"/>
    </xf>
    <xf numFmtId="3" fontId="4" fillId="8" borderId="1" applyAlignment="1" pivotButton="0" quotePrefix="0" xfId="0">
      <alignment horizontal="right" vertical="center"/>
    </xf>
    <xf numFmtId="0" fontId="6" fillId="0" borderId="0" pivotButton="0" quotePrefix="0" xfId="0"/>
    <xf numFmtId="0" fontId="6" fillId="0" borderId="0" applyAlignment="1" pivotButton="0" quotePrefix="0" xfId="0">
      <alignment horizontal="center"/>
    </xf>
    <xf numFmtId="3" fontId="4" fillId="9" borderId="1" applyAlignment="1" pivotButton="0" quotePrefix="0" xfId="0">
      <alignment horizontal="right" vertical="center"/>
    </xf>
    <xf numFmtId="0" fontId="7" fillId="10" borderId="1" applyAlignment="1" pivotButton="0" quotePrefix="0" xfId="0">
      <alignment horizontal="left" vertical="center" wrapText="1" indent="1"/>
    </xf>
    <xf numFmtId="0" fontId="7" fillId="10" borderId="1" applyAlignment="1" pivotButton="0" quotePrefix="0" xfId="0">
      <alignment horizontal="center" vertical="center"/>
    </xf>
    <xf numFmtId="3" fontId="7" fillId="10" borderId="1" applyAlignment="1" pivotButton="0" quotePrefix="0" xfId="0">
      <alignment horizontal="right" vertical="center"/>
    </xf>
    <xf numFmtId="165" fontId="4" fillId="8" borderId="1" applyAlignment="1" pivotButton="0" quotePrefix="0" xfId="0">
      <alignment horizontal="right" vertical="center"/>
    </xf>
    <xf numFmtId="0" fontId="7" fillId="0" borderId="0" applyAlignment="1" pivotButton="0" quotePrefix="0" xfId="0">
      <alignment horizontal="left" vertical="center" indent="1"/>
    </xf>
    <xf numFmtId="0" fontId="7" fillId="9" borderId="1" applyAlignment="1" pivotButton="0" quotePrefix="0" xfId="0">
      <alignment horizontal="center" vertical="center"/>
    </xf>
    <xf numFmtId="165" fontId="4" fillId="0" borderId="1" applyAlignment="1" pivotButton="0" quotePrefix="0" xfId="0">
      <alignment horizontal="right" vertical="center"/>
    </xf>
    <xf numFmtId="0" fontId="5" fillId="2" borderId="1" applyAlignment="1" pivotButton="0" quotePrefix="0" xfId="0">
      <alignment horizontal="left" vertical="center" wrapText="1" indent="1"/>
    </xf>
    <xf numFmtId="3" fontId="5" fillId="2" borderId="1" applyAlignment="1" pivotButton="0" quotePrefix="0" xfId="0">
      <alignment horizontal="right" vertical="center"/>
    </xf>
    <xf numFmtId="166" fontId="4" fillId="0" borderId="1" applyAlignment="1" pivotButton="0" quotePrefix="0" xfId="0">
      <alignment horizontal="right" vertical="center"/>
    </xf>
    <xf numFmtId="167" fontId="4" fillId="0" borderId="1" applyAlignment="1" pivotButton="0" quotePrefix="0" xfId="0">
      <alignment horizontal="right" vertical="center"/>
    </xf>
    <xf numFmtId="2" fontId="4" fillId="0" borderId="1" applyAlignment="1" pivotButton="0" quotePrefix="0" xfId="0">
      <alignment horizontal="right" vertical="center"/>
    </xf>
    <xf numFmtId="0" fontId="4" fillId="0" borderId="1" applyAlignment="1" pivotButton="0" quotePrefix="0" xfId="0">
      <alignment horizontal="right" vertical="center"/>
    </xf>
    <xf numFmtId="166" fontId="4" fillId="5" borderId="1" applyAlignment="1" pivotButton="0" quotePrefix="0" xfId="0">
      <alignment horizontal="right" vertical="center"/>
    </xf>
    <xf numFmtId="167" fontId="4" fillId="5" borderId="1" applyAlignment="1" pivotButton="0" quotePrefix="0" xfId="0">
      <alignment horizontal="right" vertical="center"/>
    </xf>
    <xf numFmtId="2" fontId="4" fillId="5" borderId="1" applyAlignment="1" pivotButton="0" quotePrefix="0" xfId="0">
      <alignment horizontal="right" vertical="center"/>
    </xf>
    <xf numFmtId="0" fontId="4" fillId="5" borderId="1" applyAlignment="1" pivotButton="0" quotePrefix="0" xfId="0">
      <alignment horizontal="right" vertical="center"/>
    </xf>
    <xf numFmtId="168" fontId="4" fillId="0" borderId="1" applyAlignment="1" pivotButton="0" quotePrefix="0" xfId="0">
      <alignment horizontal="right" vertical="center"/>
    </xf>
    <xf numFmtId="169" fontId="4" fillId="0" borderId="1" applyAlignment="1" pivotButton="0" quotePrefix="0" xfId="0">
      <alignment horizontal="right" vertical="center"/>
    </xf>
    <xf numFmtId="168" fontId="4" fillId="5" borderId="1" applyAlignment="1" pivotButton="0" quotePrefix="0" xfId="0">
      <alignment horizontal="right" vertical="center"/>
    </xf>
    <xf numFmtId="169" fontId="4" fillId="5" borderId="1" applyAlignment="1" pivotButton="0" quotePrefix="0" xfId="0">
      <alignment horizontal="right" vertical="center"/>
    </xf>
    <xf numFmtId="0" fontId="4" fillId="11" borderId="1" applyAlignment="1" pivotButton="0" quotePrefix="0" xfId="0">
      <alignment horizontal="left" vertical="center" wrapText="1" indent="1"/>
    </xf>
    <xf numFmtId="3" fontId="4" fillId="11" borderId="1" applyAlignment="1" pivotButton="0" quotePrefix="0" xfId="0">
      <alignment horizontal="right" vertical="center"/>
    </xf>
    <xf numFmtId="168" fontId="4" fillId="11" borderId="1" applyAlignment="1" pivotButton="0" quotePrefix="0" xfId="0">
      <alignment horizontal="right" vertical="center"/>
    </xf>
    <xf numFmtId="169" fontId="4" fillId="11" borderId="1" applyAlignment="1" pivotButton="0" quotePrefix="0" xfId="0">
      <alignment horizontal="right" vertical="center"/>
    </xf>
    <xf numFmtId="165" fontId="4" fillId="5" borderId="1" applyAlignment="1" pivotButton="0" quotePrefix="0" xfId="0">
      <alignment horizontal="right" vertical="center"/>
    </xf>
    <xf numFmtId="165" fontId="7" fillId="10" borderId="1" applyAlignment="1" pivotButton="0" quotePrefix="0" xfId="0">
      <alignment horizontal="right" vertical="center"/>
    </xf>
    <xf numFmtId="0" fontId="4" fillId="10" borderId="1" applyAlignment="1" pivotButton="0" quotePrefix="0" xfId="0">
      <alignment horizontal="left" vertical="center" wrapText="1" indent="1"/>
    </xf>
    <xf numFmtId="0" fontId="3" fillId="12" borderId="1" applyAlignment="1" pivotButton="0" quotePrefix="0" xfId="0">
      <alignment horizontal="center" vertical="center"/>
    </xf>
    <xf numFmtId="0" fontId="4" fillId="10" borderId="1" applyAlignment="1" pivotButton="0" quotePrefix="0" xfId="0">
      <alignment horizontal="center" vertical="center"/>
    </xf>
    <xf numFmtId="170" fontId="4" fillId="8" borderId="1" applyAlignment="1" pivotButton="0" quotePrefix="0" xfId="0">
      <alignment horizontal="right" vertical="center"/>
    </xf>
    <xf numFmtId="170" fontId="4" fillId="0" borderId="1" applyAlignment="1" pivotButton="0" quotePrefix="0" xfId="0">
      <alignment horizontal="right" vertical="center"/>
    </xf>
    <xf numFmtId="170" fontId="4"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30" customWidth="1" min="1" max="1"/>
    <col width="22" customWidth="1" min="2" max="2"/>
    <col width="20" customWidth="1" min="3" max="3"/>
    <col width="16" customWidth="1" min="4" max="4"/>
    <col width="46" customWidth="1" min="5" max="5"/>
  </cols>
  <sheetData>
    <row r="1" ht="32" customHeight="1">
      <c r="A1" s="1" t="inlineStr">
        <is>
          <t>北塩原村 将来推計 管理ブック（人口・障がい者手帳所持者数）</t>
        </is>
      </c>
    </row>
    <row r="2" ht="28" customHeight="1">
      <c r="A2" s="2" t="inlineStr">
        <is>
          <t>第8期北塩原村障がい福祉計画・第4期北塩原村障がい児福祉計画（令和9〜11年度）／業務仕様書4-Ⅱ(3)①・4-Ⅱ(5)③「障がい者手帳所持者数の将来推計」に対応。</t>
        </is>
      </c>
    </row>
    <row r="4" ht="30" customHeight="1">
      <c r="A4" s="3" t="inlineStr">
        <is>
          <t>確認項目</t>
        </is>
      </c>
      <c r="B4" s="3" t="inlineStr">
        <is>
          <t>現在値（自動計算）</t>
        </is>
      </c>
      <c r="C4" s="3" t="inlineStr">
        <is>
          <t>参照先</t>
        </is>
      </c>
      <c r="D4" s="3" t="inlineStr">
        <is>
          <t>状態</t>
        </is>
      </c>
      <c r="E4" s="3" t="inlineStr">
        <is>
          <t>備考</t>
        </is>
      </c>
    </row>
    <row r="5">
      <c r="A5" s="4" t="inlineStr">
        <is>
          <t>令和11年度 総人口</t>
        </is>
      </c>
      <c r="B5" s="5">
        <f>'01_人口推計'!D16</f>
        <v/>
      </c>
      <c r="C5" s="6" t="inlineStr">
        <is>
          <t>01_人口推計</t>
        </is>
      </c>
      <c r="D5" s="7" t="inlineStr">
        <is>
          <t>確定</t>
        </is>
      </c>
      <c r="E5" s="4" t="inlineStr">
        <is>
          <t>こども・子育て計画のコーホート変化率法による村公式推計</t>
        </is>
      </c>
    </row>
    <row r="6">
      <c r="A6" s="8" t="inlineStr">
        <is>
          <t>令和11年度 高齢化率</t>
        </is>
      </c>
      <c r="B6" s="9">
        <f>'01_人口推計'!H16</f>
        <v/>
      </c>
      <c r="C6" s="10" t="inlineStr">
        <is>
          <t>01_人口推計</t>
        </is>
      </c>
      <c r="D6" s="7" t="inlineStr">
        <is>
          <t>確定</t>
        </is>
      </c>
      <c r="E6" s="8" t="inlineStr">
        <is>
          <t>老年人口÷総人口</t>
        </is>
      </c>
    </row>
    <row r="7">
      <c r="A7" s="4" t="inlineStr">
        <is>
          <t>令和9年 手帳所持者数（中位推計）</t>
        </is>
      </c>
      <c r="B7" s="5">
        <f>'03_手帳将来推計'!C16</f>
        <v/>
      </c>
      <c r="C7" s="6" t="inlineStr">
        <is>
          <t>03_手帳将来推計</t>
        </is>
      </c>
      <c r="D7" s="11" t="inlineStr">
        <is>
          <t>暫定</t>
        </is>
      </c>
      <c r="E7" s="4" t="inlineStr">
        <is>
          <t>平成31〜令和5年の5か年実績に基づく暫定値。R6〜R8実績の入力で自動更新／次期計画1年目</t>
        </is>
      </c>
    </row>
    <row r="8">
      <c r="A8" s="8" t="inlineStr">
        <is>
          <t>令和10年 手帳所持者数（中位推計）</t>
        </is>
      </c>
      <c r="B8" s="12">
        <f>'03_手帳将来推計'!D16</f>
        <v/>
      </c>
      <c r="C8" s="10" t="inlineStr">
        <is>
          <t>03_手帳将来推計</t>
        </is>
      </c>
      <c r="D8" s="11" t="inlineStr">
        <is>
          <t>暫定</t>
        </is>
      </c>
      <c r="E8" s="8" t="inlineStr">
        <is>
          <t>次期計画2年目</t>
        </is>
      </c>
    </row>
    <row r="9">
      <c r="A9" s="4" t="inlineStr">
        <is>
          <t>令和11年 手帳所持者数（中位推計）</t>
        </is>
      </c>
      <c r="B9" s="5">
        <f>'03_手帳将来推計'!E16</f>
        <v/>
      </c>
      <c r="C9" s="6" t="inlineStr">
        <is>
          <t>03_手帳将来推計</t>
        </is>
      </c>
      <c r="D9" s="11" t="inlineStr">
        <is>
          <t>暫定</t>
        </is>
      </c>
      <c r="E9" s="4" t="inlineStr">
        <is>
          <t>次期計画目標年度</t>
        </is>
      </c>
    </row>
    <row r="10">
      <c r="A10" s="8" t="inlineStr">
        <is>
          <t>推計の基準年</t>
        </is>
      </c>
      <c r="B10" s="12">
        <f>'03_手帳将来推計'!C4</f>
        <v/>
      </c>
      <c r="C10" s="10" t="inlineStr">
        <is>
          <t>03_手帳将来推計</t>
        </is>
      </c>
      <c r="D10" s="11" t="inlineStr">
        <is>
          <t>暫定</t>
        </is>
      </c>
      <c r="E10" s="8" t="inlineStr">
        <is>
          <t>所持率法の基準年。R8実績受領後は2026に変更する</t>
        </is>
      </c>
    </row>
    <row r="11">
      <c r="A11" s="4" t="inlineStr">
        <is>
          <t>トレンド延長法の対象年数</t>
        </is>
      </c>
      <c r="B11" s="5">
        <f>COUNT('02_手帳実績'!C6:J6)</f>
        <v/>
      </c>
      <c r="C11" s="6" t="inlineStr">
        <is>
          <t>02_手帳実績</t>
        </is>
      </c>
      <c r="D11" s="11" t="inlineStr">
        <is>
          <t>暫定</t>
        </is>
      </c>
      <c r="E11" s="4" t="inlineStr">
        <is>
          <t>実績を入力すると自動的に対象年数が増える</t>
        </is>
      </c>
    </row>
    <row r="13" ht="110" customHeight="1">
      <c r="A13" s="2" t="inlineStr">
        <is>
          <t>【注意（令和8年10月13日 改訂）】本ブックの手帳所持者数の中位推計（令和11年度 合計145人）は、平成31年〜令和5年の減少傾向を延ばしたものです。他メンバー版の正本 第2章2は令和8年4月を181人（身体127・療育16・精神38）と記述していますが、他メンバー版のワークシートの注記は「総数はR2〜R5が第7期計画（4月1日）、R6〜R8は推計」であり、村の台帳による確定値ではありません（北塩原村_他メンバー素案_網羅性点検.xlsx）。したがって、減少を前提とした推計が成り立つかどうかを現時点では確かめられません。令和8年10月10日の本注記は「実績181人により減少の前提が崩れた」と書いていましたが、仮置き値を実績として扱っていたため改めました。令和6年・令和7年・令和8年の実数を村の手帳台帳から受領したうえで（Ｍ-113）、第2次算定で推計をやり直してください。令和11年の合計は仮説の置き方により139人から206人まで67人の幅があります（北塩原村_レビュー対応_第3回.xlsx 02_手帳推計）。それまで令和11年度の推計値を計画書・概要版に載せないこと。</t>
        </is>
      </c>
    </row>
    <row r="15">
      <c r="A15" s="13" t="inlineStr">
        <is>
          <t>本ブックの使い方</t>
        </is>
      </c>
    </row>
    <row r="16" ht="18" customHeight="1">
      <c r="A16" s="2" t="inlineStr">
        <is>
          <t>1. 黄色のセル（入力欄）に村から受領した令和6〜8年度の実績を入力します。他のセルは数式のため触りません。</t>
        </is>
      </c>
    </row>
    <row r="17" ht="18" customHeight="1">
      <c r="A17" s="2" t="inlineStr">
        <is>
          <t>2. 手帳所持者数の実績を入力すると、トレンド延長法の回帰対象年数が自動的に増え、推計値が更新されます。</t>
        </is>
      </c>
    </row>
    <row r="18" ht="18" customHeight="1">
      <c r="A18" s="2" t="inlineStr">
        <is>
          <t>3. 所持率法の基準年（03_手帳将来推計 C4）は、最新実績が揃った年度に変更します。基準年の総人口は01_人口推計から自動参照します。</t>
        </is>
      </c>
    </row>
    <row r="19" ht="18" customHeight="1">
      <c r="A19" s="2" t="inlineStr">
        <is>
          <t>4. 令和2〜4年及び令和7〜10年の人口実績が判明した場合は、01_人口推計の該当行に入力します（補間推計を実績で上書き）。</t>
        </is>
      </c>
    </row>
    <row r="20" ht="18" customHeight="1">
      <c r="A20" s="2" t="inlineStr">
        <is>
          <t>5. 推計結果は計画書 第2章に転記します。単一値ではなく方法A・方法Bの幅を併記してください。</t>
        </is>
      </c>
    </row>
  </sheetData>
  <mergeCells count="9">
    <mergeCell ref="A20:E20"/>
    <mergeCell ref="A2:E2"/>
    <mergeCell ref="A16:E16"/>
    <mergeCell ref="A15:E15"/>
    <mergeCell ref="A19:E19"/>
    <mergeCell ref="A1:E1"/>
    <mergeCell ref="A13:E13"/>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5"/>
  <cols>
    <col width="12" customWidth="1" min="1" max="1"/>
    <col width="8" customWidth="1" min="2" max="2"/>
    <col width="12" customWidth="1" min="3" max="3"/>
    <col width="12" customWidth="1" min="4" max="4"/>
    <col width="12" customWidth="1" min="5" max="5"/>
    <col width="14" customWidth="1" min="6" max="6"/>
    <col width="12" customWidth="1" min="7" max="7"/>
    <col width="11" customWidth="1" min="8" max="8"/>
    <col width="42" customWidth="1" min="9" max="9"/>
  </cols>
  <sheetData>
    <row r="1" ht="30" customHeight="1">
      <c r="A1" s="14" t="inlineStr">
        <is>
          <t>人口推計</t>
        </is>
      </c>
    </row>
    <row r="2" ht="30" customHeight="1">
      <c r="A2" s="2" t="inlineStr">
        <is>
          <t>住民基本台帳（各年4月1日現在）。令和11年は北塩原村こども・子育て計画のコーホート変化率法による村公式推計。令和7〜10年は令和6年実績と令和11年公式推計の線形補間（数式）。空欄は村資料待ちの入力欄。</t>
        </is>
      </c>
    </row>
    <row r="5" ht="30" customHeight="1">
      <c r="A5" s="3" t="inlineStr">
        <is>
          <t>年度</t>
        </is>
      </c>
      <c r="B5" s="3" t="inlineStr">
        <is>
          <t>西暦</t>
        </is>
      </c>
      <c r="C5" s="3" t="inlineStr">
        <is>
          <t>区分</t>
        </is>
      </c>
      <c r="D5" s="3" t="inlineStr">
        <is>
          <t>総人口</t>
        </is>
      </c>
      <c r="E5" s="3" t="inlineStr">
        <is>
          <t>年少人口
(0〜14歳)</t>
        </is>
      </c>
      <c r="F5" s="3" t="inlineStr">
        <is>
          <t>生産年齢人口
(15〜64歳)</t>
        </is>
      </c>
      <c r="G5" s="3" t="inlineStr">
        <is>
          <t>老年人口
(65歳〜)</t>
        </is>
      </c>
      <c r="H5" s="3" t="inlineStr">
        <is>
          <t>高齢化率</t>
        </is>
      </c>
      <c r="I5" s="3" t="inlineStr">
        <is>
          <t>出典・備考</t>
        </is>
      </c>
    </row>
    <row r="6">
      <c r="A6" s="6" t="inlineStr">
        <is>
          <t>平成31年</t>
        </is>
      </c>
      <c r="B6" s="6" t="n">
        <v>2019</v>
      </c>
      <c r="C6" s="6" t="inlineStr">
        <is>
          <t>実績</t>
        </is>
      </c>
      <c r="D6" s="15" t="n">
        <v>2743</v>
      </c>
      <c r="E6" s="15" t="n">
        <v>284</v>
      </c>
      <c r="F6" s="15" t="n">
        <v>1495</v>
      </c>
      <c r="G6" s="15" t="n">
        <v>964</v>
      </c>
      <c r="H6" s="16">
        <f>IFERROR(G6/D6,"")</f>
        <v/>
      </c>
      <c r="I6" s="4" t="inlineStr">
        <is>
          <t>現行計画本編 第2章1</t>
        </is>
      </c>
    </row>
    <row r="7">
      <c r="A7" s="10" t="inlineStr">
        <is>
          <t>令和2年</t>
        </is>
      </c>
      <c r="B7" s="10" t="n">
        <v>2020</v>
      </c>
      <c r="C7" s="10" t="inlineStr">
        <is>
          <t>実績</t>
        </is>
      </c>
      <c r="D7" s="17" t="n">
        <v>2697</v>
      </c>
      <c r="E7" s="17" t="n">
        <v>276</v>
      </c>
      <c r="F7" s="17" t="n">
        <v>1437</v>
      </c>
      <c r="G7" s="17" t="n">
        <v>984</v>
      </c>
      <c r="H7" s="16">
        <f>IFERROR(G7/D7,"")</f>
        <v/>
      </c>
      <c r="I7" s="8" t="inlineStr">
        <is>
          <t>現行計画本編 第2章1</t>
        </is>
      </c>
    </row>
    <row r="8">
      <c r="A8" s="6" t="inlineStr">
        <is>
          <t>令和3年</t>
        </is>
      </c>
      <c r="B8" s="6" t="n">
        <v>2021</v>
      </c>
      <c r="C8" s="6" t="inlineStr">
        <is>
          <t>実績</t>
        </is>
      </c>
      <c r="D8" s="15" t="n">
        <v>2630</v>
      </c>
      <c r="E8" s="15" t="n">
        <v>255</v>
      </c>
      <c r="F8" s="15" t="n">
        <v>1369</v>
      </c>
      <c r="G8" s="15" t="n">
        <v>1006</v>
      </c>
      <c r="H8" s="16">
        <f>IFERROR(G8/D8,"")</f>
        <v/>
      </c>
      <c r="I8" s="4" t="inlineStr">
        <is>
          <t>現行計画本編 第2章1。老年人口はこの年（1,006人）をピークに減少に転じている</t>
        </is>
      </c>
    </row>
    <row r="9">
      <c r="A9" s="10" t="inlineStr">
        <is>
          <t>令和4年</t>
        </is>
      </c>
      <c r="B9" s="10" t="n">
        <v>2022</v>
      </c>
      <c r="C9" s="10" t="inlineStr">
        <is>
          <t>実績</t>
        </is>
      </c>
      <c r="D9" s="17" t="n">
        <v>2535</v>
      </c>
      <c r="E9" s="17" t="n">
        <v>231</v>
      </c>
      <c r="F9" s="17" t="n">
        <v>1301</v>
      </c>
      <c r="G9" s="17" t="n">
        <v>1003</v>
      </c>
      <c r="H9" s="16">
        <f>IFERROR(G9/D9,"")</f>
        <v/>
      </c>
      <c r="I9" s="8" t="inlineStr">
        <is>
          <t>現行計画本編 第2章1</t>
        </is>
      </c>
    </row>
    <row r="10">
      <c r="A10" s="6" t="inlineStr">
        <is>
          <t>令和5年</t>
        </is>
      </c>
      <c r="B10" s="6" t="n">
        <v>2023</v>
      </c>
      <c r="C10" s="6" t="inlineStr">
        <is>
          <t>実績</t>
        </is>
      </c>
      <c r="D10" s="15" t="n">
        <v>2443</v>
      </c>
      <c r="E10" s="15" t="n">
        <v>205</v>
      </c>
      <c r="F10" s="15" t="n">
        <v>1241</v>
      </c>
      <c r="G10" s="15" t="n">
        <v>997</v>
      </c>
      <c r="H10" s="16">
        <f>IFERROR(G10/D10,"")</f>
        <v/>
      </c>
      <c r="I10" s="4" t="inlineStr">
        <is>
          <t>現行計画本編 第2章1。手帳所持率の基準年</t>
        </is>
      </c>
    </row>
    <row r="11">
      <c r="A11" s="10" t="inlineStr">
        <is>
          <t>令和6年</t>
        </is>
      </c>
      <c r="B11" s="10" t="n">
        <v>2024</v>
      </c>
      <c r="C11" s="10" t="inlineStr">
        <is>
          <t>実績</t>
        </is>
      </c>
      <c r="D11" s="17" t="n">
        <v>2394</v>
      </c>
      <c r="E11" s="17" t="n">
        <v>180</v>
      </c>
      <c r="F11" s="17" t="n">
        <v>1223</v>
      </c>
      <c r="G11" s="17" t="n">
        <v>991</v>
      </c>
      <c r="H11" s="16">
        <f>IFERROR(G11/D11,"")</f>
        <v/>
      </c>
      <c r="I11" s="8" t="inlineStr">
        <is>
          <t>こども・子育て計画 第2章</t>
        </is>
      </c>
    </row>
    <row r="12">
      <c r="A12" s="6" t="inlineStr">
        <is>
          <t>令和7年</t>
        </is>
      </c>
      <c r="B12" s="6" t="n">
        <v>2025</v>
      </c>
      <c r="C12" s="6" t="inlineStr">
        <is>
          <t>補間推計</t>
        </is>
      </c>
      <c r="D12" s="18">
        <f>ROUND($D$11+($D$16-$D$11)*1/5,0)</f>
        <v/>
      </c>
      <c r="E12" s="18">
        <f>ROUND($E$11+($E$16-$E$11)*1/5,0)</f>
        <v/>
      </c>
      <c r="F12" s="18">
        <f>ROUND($F$11+($F$16-$F$11)*1/5,0)</f>
        <v/>
      </c>
      <c r="G12" s="18">
        <f>ROUND($G$11+($G$16-$G$11)*1/5,0)</f>
        <v/>
      </c>
      <c r="H12" s="16">
        <f>IFERROR(G12/D12,"")</f>
        <v/>
      </c>
      <c r="I12" s="4" t="inlineStr">
        <is>
          <t>令和6年実績と令和11年公式推計の線形補間</t>
        </is>
      </c>
    </row>
    <row r="13">
      <c r="A13" s="10" t="inlineStr">
        <is>
          <t>令和8年</t>
        </is>
      </c>
      <c r="B13" s="10" t="n">
        <v>2026</v>
      </c>
      <c r="C13" s="10" t="inlineStr">
        <is>
          <t>補間推計</t>
        </is>
      </c>
      <c r="D13" s="18">
        <f>ROUND($D$11+($D$16-$D$11)*2/5,0)</f>
        <v/>
      </c>
      <c r="E13" s="18">
        <f>ROUND($E$11+($E$16-$E$11)*2/5,0)</f>
        <v/>
      </c>
      <c r="F13" s="18">
        <f>ROUND($F$11+($F$16-$F$11)*2/5,0)</f>
        <v/>
      </c>
      <c r="G13" s="18">
        <f>ROUND($G$11+($G$16-$G$11)*2/5,0)</f>
        <v/>
      </c>
      <c r="H13" s="16">
        <f>IFERROR(G13/D13,"")</f>
        <v/>
      </c>
      <c r="I13" s="8" t="inlineStr">
        <is>
          <t>同上</t>
        </is>
      </c>
    </row>
    <row r="14">
      <c r="A14" s="6" t="inlineStr">
        <is>
          <t>令和9年</t>
        </is>
      </c>
      <c r="B14" s="6" t="n">
        <v>2027</v>
      </c>
      <c r="C14" s="6" t="inlineStr">
        <is>
          <t>補間推計</t>
        </is>
      </c>
      <c r="D14" s="18">
        <f>ROUND($D$11+($D$16-$D$11)*3/5,0)</f>
        <v/>
      </c>
      <c r="E14" s="18">
        <f>ROUND($E$11+($E$16-$E$11)*3/5,0)</f>
        <v/>
      </c>
      <c r="F14" s="18">
        <f>ROUND($F$11+($F$16-$F$11)*3/5,0)</f>
        <v/>
      </c>
      <c r="G14" s="18">
        <f>ROUND($G$11+($G$16-$G$11)*3/5,0)</f>
        <v/>
      </c>
      <c r="H14" s="16">
        <f>IFERROR(G14/D14,"")</f>
        <v/>
      </c>
      <c r="I14" s="4" t="inlineStr">
        <is>
          <t>同上／次期計画1年目</t>
        </is>
      </c>
    </row>
    <row r="15">
      <c r="A15" s="10" t="inlineStr">
        <is>
          <t>令和10年</t>
        </is>
      </c>
      <c r="B15" s="10" t="n">
        <v>2028</v>
      </c>
      <c r="C15" s="10" t="inlineStr">
        <is>
          <t>補間推計</t>
        </is>
      </c>
      <c r="D15" s="18">
        <f>ROUND($D$11+($D$16-$D$11)*4/5,0)</f>
        <v/>
      </c>
      <c r="E15" s="18">
        <f>ROUND($E$11+($E$16-$E$11)*4/5,0)</f>
        <v/>
      </c>
      <c r="F15" s="18">
        <f>ROUND($F$11+($F$16-$F$11)*4/5,0)</f>
        <v/>
      </c>
      <c r="G15" s="18">
        <f>ROUND($G$11+($G$16-$G$11)*4/5,0)</f>
        <v/>
      </c>
      <c r="H15" s="16">
        <f>IFERROR(G15/D15,"")</f>
        <v/>
      </c>
      <c r="I15" s="8" t="inlineStr">
        <is>
          <t>同上／次期計画2年目</t>
        </is>
      </c>
    </row>
    <row r="16">
      <c r="A16" s="6" t="inlineStr">
        <is>
          <t>令和11年</t>
        </is>
      </c>
      <c r="B16" s="6" t="n">
        <v>2029</v>
      </c>
      <c r="C16" s="6" t="inlineStr">
        <is>
          <t>公式推計</t>
        </is>
      </c>
      <c r="D16" s="15" t="n">
        <v>2185</v>
      </c>
      <c r="E16" s="15" t="n">
        <v>111</v>
      </c>
      <c r="F16" s="15" t="n">
        <v>1023</v>
      </c>
      <c r="G16" s="15" t="n">
        <v>1051</v>
      </c>
      <c r="H16" s="16">
        <f>IFERROR(G16/D16,"")</f>
        <v/>
      </c>
      <c r="I16" s="4" t="inlineStr">
        <is>
          <t>こども・子育て計画 コーホート変化率法／次期計画目標年度</t>
        </is>
      </c>
    </row>
    <row r="18">
      <c r="A18" s="2" t="inlineStr">
        <is>
          <t>検算：年少人口＋生産年齢人口＋老年人口＝総人口（令和11年 111＋1,023＋1,051＝2,185）。補間推計は四捨五入のため、合計が総人口と1人程度ずれる場合があります。</t>
        </is>
      </c>
    </row>
  </sheetData>
  <mergeCells count="3">
    <mergeCell ref="A1:I1"/>
    <mergeCell ref="A18:I18"/>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4" customWidth="1" min="11" max="11"/>
  </cols>
  <sheetData>
    <row r="1" ht="30" customHeight="1">
      <c r="A1" s="14" t="inlineStr">
        <is>
          <t>障がい者手帳所持者数 実績</t>
        </is>
      </c>
    </row>
    <row r="2" ht="30" customHeight="1">
      <c r="A2" s="2" t="inlineStr">
        <is>
          <t>各年4月1日現在。平成31年〜令和5年は現行計画本編（第4次障がい者計画・第7期障がい福祉計画）による。令和6〜8年は村資料待ちの入力欄（黄色）。入力すると03_手帳将来推計の回帰対象年数が自動的に増えます。</t>
        </is>
      </c>
    </row>
    <row r="4">
      <c r="A4" s="19" t="inlineStr">
        <is>
          <t>西暦（数式参照用）</t>
        </is>
      </c>
      <c r="C4" s="20" t="n">
        <v>2019</v>
      </c>
      <c r="D4" s="20" t="n">
        <v>2020</v>
      </c>
      <c r="E4" s="20" t="n">
        <v>2021</v>
      </c>
      <c r="F4" s="20" t="n">
        <v>2022</v>
      </c>
      <c r="G4" s="20" t="n">
        <v>2023</v>
      </c>
      <c r="H4" s="20" t="n">
        <v>2024</v>
      </c>
      <c r="I4" s="20" t="n">
        <v>2025</v>
      </c>
      <c r="J4" s="20" t="n">
        <v>2026</v>
      </c>
    </row>
    <row r="5" ht="30" customHeight="1">
      <c r="A5" s="3" t="inlineStr">
        <is>
          <t>区分</t>
        </is>
      </c>
      <c r="B5" s="3" t="inlineStr">
        <is>
          <t>単位</t>
        </is>
      </c>
      <c r="C5" s="3" t="inlineStr">
        <is>
          <t>平成31年
(2019)</t>
        </is>
      </c>
      <c r="D5" s="3" t="inlineStr">
        <is>
          <t>令和2年
(2020)</t>
        </is>
      </c>
      <c r="E5" s="3" t="inlineStr">
        <is>
          <t>令和3年
(2021)</t>
        </is>
      </c>
      <c r="F5" s="3" t="inlineStr">
        <is>
          <t>令和4年
(2022)</t>
        </is>
      </c>
      <c r="G5" s="3" t="inlineStr">
        <is>
          <t>令和5年
(2023)</t>
        </is>
      </c>
      <c r="H5" s="3" t="inlineStr">
        <is>
          <t>令和6年
(2024)</t>
        </is>
      </c>
      <c r="I5" s="3" t="inlineStr">
        <is>
          <t>令和7年
(2025)</t>
        </is>
      </c>
      <c r="J5" s="3" t="inlineStr">
        <is>
          <t>令和8年
(2026)</t>
        </is>
      </c>
      <c r="K5" s="3" t="inlineStr">
        <is>
          <t>傾向</t>
        </is>
      </c>
    </row>
    <row r="6">
      <c r="A6" s="4" t="inlineStr">
        <is>
          <t>身体障害者手帳</t>
        </is>
      </c>
      <c r="B6" s="6" t="inlineStr">
        <is>
          <t>人</t>
        </is>
      </c>
      <c r="C6" s="15" t="n">
        <v>126</v>
      </c>
      <c r="D6" s="15" t="n">
        <v>121</v>
      </c>
      <c r="E6" s="15" t="n">
        <v>128</v>
      </c>
      <c r="F6" s="15" t="n">
        <v>122</v>
      </c>
      <c r="G6" s="15" t="n">
        <v>114</v>
      </c>
      <c r="H6" s="21" t="n"/>
      <c r="I6" s="21" t="n"/>
      <c r="J6" s="21" t="n"/>
      <c r="K6" s="4" t="inlineStr">
        <is>
          <t>緩やかな減少傾向（高齢化に伴う死亡等の影響を含む）</t>
        </is>
      </c>
    </row>
    <row r="7">
      <c r="A7" s="8" t="inlineStr">
        <is>
          <t>療育手帳</t>
        </is>
      </c>
      <c r="B7" s="10" t="inlineStr">
        <is>
          <t>人</t>
        </is>
      </c>
      <c r="C7" s="17" t="n">
        <v>13</v>
      </c>
      <c r="D7" s="17" t="n">
        <v>13</v>
      </c>
      <c r="E7" s="17" t="n">
        <v>14</v>
      </c>
      <c r="F7" s="17" t="n">
        <v>12</v>
      </c>
      <c r="G7" s="17" t="n">
        <v>12</v>
      </c>
      <c r="H7" s="21" t="n"/>
      <c r="I7" s="21" t="n"/>
      <c r="J7" s="21" t="n"/>
      <c r="K7" s="8" t="inlineStr">
        <is>
          <t>横ばい</t>
        </is>
      </c>
    </row>
    <row r="8">
      <c r="A8" s="4" t="inlineStr">
        <is>
          <t>精神障害者保健福祉手帳</t>
        </is>
      </c>
      <c r="B8" s="6" t="inlineStr">
        <is>
          <t>人</t>
        </is>
      </c>
      <c r="C8" s="15" t="n">
        <v>24</v>
      </c>
      <c r="D8" s="15" t="n">
        <v>28</v>
      </c>
      <c r="E8" s="15" t="n">
        <v>27</v>
      </c>
      <c r="F8" s="15" t="n">
        <v>26</v>
      </c>
      <c r="G8" s="15" t="n">
        <v>30</v>
      </c>
      <c r="H8" s="21" t="n"/>
      <c r="I8" s="21" t="n"/>
      <c r="J8" s="21" t="n"/>
      <c r="K8" s="4" t="inlineStr">
        <is>
          <t>緩やかな増加傾向</t>
        </is>
      </c>
    </row>
    <row r="9">
      <c r="A9" s="22" t="inlineStr">
        <is>
          <t>合計</t>
        </is>
      </c>
      <c r="B9" s="23" t="inlineStr">
        <is>
          <t>人</t>
        </is>
      </c>
      <c r="C9" s="24">
        <f>IF(COUNT(C6:C8)=0,"",SUM(C6:C8))</f>
        <v/>
      </c>
      <c r="D9" s="24">
        <f>IF(COUNT(D6:D8)=0,"",SUM(D6:D8))</f>
        <v/>
      </c>
      <c r="E9" s="24">
        <f>IF(COUNT(E6:E8)=0,"",SUM(E6:E8))</f>
        <v/>
      </c>
      <c r="F9" s="24">
        <f>IF(COUNT(F6:F8)=0,"",SUM(F6:F8))</f>
        <v/>
      </c>
      <c r="G9" s="24">
        <f>IF(COUNT(G6:G8)=0,"",SUM(G6:G8))</f>
        <v/>
      </c>
      <c r="H9" s="24">
        <f>IF(COUNT(H6:H8)=0,"",SUM(H6:H8))</f>
        <v/>
      </c>
      <c r="I9" s="24">
        <f>IF(COUNT(I6:I8)=0,"",SUM(I6:I8))</f>
        <v/>
      </c>
      <c r="J9" s="24">
        <f>IF(COUNT(J6:J8)=0,"",SUM(J6:J8))</f>
        <v/>
      </c>
      <c r="K9" s="22" t="inlineStr">
        <is>
          <t>令和5年156人（人口の約6.4％）</t>
        </is>
      </c>
    </row>
    <row r="11">
      <c r="A11" s="13" t="inlineStr">
        <is>
          <t>参考：総人口と手帳所持率</t>
        </is>
      </c>
    </row>
    <row r="12">
      <c r="A12" s="4" t="inlineStr">
        <is>
          <t>総人口</t>
        </is>
      </c>
      <c r="B12" s="6" t="inlineStr">
        <is>
          <t>人</t>
        </is>
      </c>
      <c r="C12" s="18">
        <f>'01_人口推計'!D6</f>
        <v/>
      </c>
      <c r="D12" s="18">
        <f>'01_人口推計'!D7</f>
        <v/>
      </c>
      <c r="E12" s="18">
        <f>'01_人口推計'!D8</f>
        <v/>
      </c>
      <c r="F12" s="18">
        <f>'01_人口推計'!D9</f>
        <v/>
      </c>
      <c r="G12" s="18">
        <f>'01_人口推計'!D10</f>
        <v/>
      </c>
      <c r="H12" s="18">
        <f>'01_人口推計'!D11</f>
        <v/>
      </c>
      <c r="I12" s="18">
        <f>'01_人口推計'!D12</f>
        <v/>
      </c>
      <c r="J12" s="18">
        <f>'01_人口推計'!D13</f>
        <v/>
      </c>
      <c r="K12" s="4" t="inlineStr">
        <is>
          <t>01_人口推計から自動参照</t>
        </is>
      </c>
    </row>
    <row r="13">
      <c r="A13" s="8" t="inlineStr">
        <is>
          <t>手帳所持率（合計）</t>
        </is>
      </c>
      <c r="B13" s="10" t="inlineStr">
        <is>
          <t>％</t>
        </is>
      </c>
      <c r="C13" s="25">
        <f>IFERROR(IF(OR(C9="",C12=""),"",C9/C12),"")</f>
        <v/>
      </c>
      <c r="D13" s="25">
        <f>IFERROR(IF(OR(D9="",D12=""),"",D9/D12),"")</f>
        <v/>
      </c>
      <c r="E13" s="25">
        <f>IFERROR(IF(OR(E9="",E12=""),"",E9/E12),"")</f>
        <v/>
      </c>
      <c r="F13" s="25">
        <f>IFERROR(IF(OR(F9="",F12=""),"",F9/F12),"")</f>
        <v/>
      </c>
      <c r="G13" s="25">
        <f>IFERROR(IF(OR(G9="",G12=""),"",G9/G12),"")</f>
        <v/>
      </c>
      <c r="H13" s="25">
        <f>IFERROR(IF(OR(H9="",H12=""),"",H9/H12),"")</f>
        <v/>
      </c>
      <c r="I13" s="25">
        <f>IFERROR(IF(OR(I9="",I12=""),"",I9/I12),"")</f>
        <v/>
      </c>
      <c r="J13" s="25">
        <f>IFERROR(IF(OR(J9="",J12=""),"",J9/J12),"")</f>
        <v/>
      </c>
      <c r="K13" s="8" t="inlineStr">
        <is>
          <t>合計手帳所持者数÷総人口</t>
        </is>
      </c>
    </row>
    <row r="15" ht="32" customHeight="1">
      <c r="A15" s="2" t="inlineStr">
        <is>
          <t>留意：仕様書に記載されたアンケート調査対象者数（身体約130人・精神約40人・療育約20人＝計約190人）は、本表の令和5年時点156人と差があります。年数経過による自然増か、集計基準・対象年齢・サービス利用者の重複計上の違いによるものかを村に確認し、確認結果を05_村確認事項に記録してください。</t>
        </is>
      </c>
    </row>
  </sheetData>
  <mergeCells count="4">
    <mergeCell ref="A2:K2"/>
    <mergeCell ref="A11:K11"/>
    <mergeCell ref="A1:K1"/>
    <mergeCell ref="A15:K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14" customWidth="1" min="3" max="3"/>
    <col width="14" customWidth="1" min="4" max="4"/>
    <col width="14" customWidth="1" min="5" max="5"/>
    <col width="14" customWidth="1" min="6" max="6"/>
    <col width="46" customWidth="1" min="7" max="7"/>
  </cols>
  <sheetData>
    <row r="1" ht="30" customHeight="1">
      <c r="A1" s="14" t="inlineStr">
        <is>
          <t>障がい者手帳所持者数 将来推計</t>
        </is>
      </c>
    </row>
    <row r="2" ht="30" customHeight="1">
      <c r="A2" s="2" t="inlineStr">
        <is>
          <t>性質の異なる2つの方法を併用し、幅を持たせて提示します。方法A・方法Bの差が推計の不確実性の幅です。推計の時点は実績と同じ「各年4月1日現在」です（実績が4月1日現在のため、年度末で予測すると1年ずれます）。計画書には単一値ではなく幅を併記してください。不確実性の定量評価は04_推計の不確実性を参照。</t>
        </is>
      </c>
    </row>
    <row r="4">
      <c r="A4" s="26" t="inlineStr">
        <is>
          <t>所持率法の基準年（西暦）</t>
        </is>
      </c>
      <c r="C4" s="27" t="n">
        <v>2023</v>
      </c>
      <c r="D4" s="6" t="inlineStr">
        <is>
          <t>基準年総人口</t>
        </is>
      </c>
      <c r="E4" s="18">
        <f>INDEX('01_人口推計'!$D$6:$D$16,MATCH($C$4,'01_人口推計'!$B$6:$B$16,0))</f>
        <v/>
      </c>
      <c r="F4" s="2" t="inlineStr">
        <is>
          <t>R6〜R8実績の受領後は基準年を2026（令和8年）に変更してください。</t>
        </is>
      </c>
    </row>
    <row r="6" ht="30" customHeight="1">
      <c r="A6" s="3" t="inlineStr">
        <is>
          <t>区分</t>
        </is>
      </c>
      <c r="B6" s="3" t="inlineStr">
        <is>
          <t>手法</t>
        </is>
      </c>
      <c r="C6" s="3" t="inlineStr">
        <is>
          <t>令和9年
(2027.4.1)</t>
        </is>
      </c>
      <c r="D6" s="3" t="inlineStr">
        <is>
          <t>令和10年
(2028.4.1)</t>
        </is>
      </c>
      <c r="E6" s="3" t="inlineStr">
        <is>
          <t>令和11年
(2029.4.1)</t>
        </is>
      </c>
      <c r="F6" s="3" t="inlineStr">
        <is>
          <t>基準年所持率</t>
        </is>
      </c>
      <c r="G6" s="3" t="inlineStr">
        <is>
          <t>考え方・特性</t>
        </is>
      </c>
    </row>
    <row r="7">
      <c r="A7" s="4" t="inlineStr">
        <is>
          <t>身体障害者手帳</t>
        </is>
      </c>
      <c r="B7" s="4" t="inlineStr">
        <is>
          <t>方法A　トレンド延長法</t>
        </is>
      </c>
      <c r="C7" s="18">
        <f>IFERROR(ROUND(FORECAST.LINEAR(2027,OFFSET('02_手帳実績'!$C$6,0,0,1,COUNT('02_手帳実績'!$C$6:$J$6)),OFFSET('02_手帳実績'!$C$4,0,0,1,COUNT('02_手帳実績'!$C$6:$J$6))),0),"")</f>
        <v/>
      </c>
      <c r="D7" s="18">
        <f>IFERROR(ROUND(FORECAST.LINEAR(2028,OFFSET('02_手帳実績'!$C$6,0,0,1,COUNT('02_手帳実績'!$C$6:$J$6)),OFFSET('02_手帳実績'!$C$4,0,0,1,COUNT('02_手帳実績'!$C$6:$J$6))),0),"")</f>
        <v/>
      </c>
      <c r="E7" s="18">
        <f>IFERROR(ROUND(FORECAST.LINEAR(2029,OFFSET('02_手帳実績'!$C$6,0,0,1,COUNT('02_手帳実績'!$C$6:$J$6)),OFFSET('02_手帳実績'!$C$4,0,0,1,COUNT('02_手帳実績'!$C$6:$J$6))),0),"")</f>
        <v/>
      </c>
      <c r="F7" s="28" t="inlineStr"/>
      <c r="G7" s="4" t="inlineStr">
        <is>
          <t>実績の推移を直線回帰して延長。直近の動き（精神の増加・身体の減少）をそのまま反映するが、単年の変動に引きずられやすい。</t>
        </is>
      </c>
    </row>
    <row r="8">
      <c r="A8" s="8" t="inlineStr"/>
      <c r="B8" s="8" t="inlineStr">
        <is>
          <t>方法B　所持率法</t>
        </is>
      </c>
      <c r="C8" s="18">
        <f>IFERROR(ROUND($F8*'01_人口推計'!$D$14,0),"")</f>
        <v/>
      </c>
      <c r="D8" s="18">
        <f>IFERROR(ROUND($F8*'01_人口推計'!$D$15,0),"")</f>
        <v/>
      </c>
      <c r="E8" s="18">
        <f>IFERROR(ROUND($F8*'01_人口推計'!$D$16,0),"")</f>
        <v/>
      </c>
      <c r="F8" s="25">
        <f>IFERROR(INDEX('02_手帳実績'!$C$6:$J$6,MATCH($C$4,'02_手帳実績'!$C$4:$J$4,0))/$E$4,"")</f>
        <v/>
      </c>
      <c r="G8" s="8" t="inlineStr">
        <is>
          <t>基準年の人口に対する所持率が一定と仮定し、村公式の将来人口推計に乗じる。人口減少の影響を反映するが、所持率自体の変化は捉えない。</t>
        </is>
      </c>
    </row>
    <row r="9">
      <c r="A9" s="4" t="inlineStr"/>
      <c r="B9" s="22" t="inlineStr">
        <is>
          <t>中位（A・Bの単純平均）</t>
        </is>
      </c>
      <c r="C9" s="24">
        <f>IFERROR(ROUND(AVERAGE(C7,C8),0),"")</f>
        <v/>
      </c>
      <c r="D9" s="24">
        <f>IFERROR(ROUND(AVERAGE(D7,D8),0),"")</f>
        <v/>
      </c>
      <c r="E9" s="24">
        <f>IFERROR(ROUND(AVERAGE(E7,E8),0),"")</f>
        <v/>
      </c>
      <c r="F9" s="28" t="inlineStr"/>
      <c r="G9" s="4" t="inlineStr">
        <is>
          <t>前提の異なる2手法の平均であり、それ自体に理論的裏付けはない。計画書ではA〜Bの幅を主に示し、中位は参考値として扱う。</t>
        </is>
      </c>
    </row>
    <row r="10">
      <c r="A10" s="4" t="inlineStr">
        <is>
          <t>療育手帳</t>
        </is>
      </c>
      <c r="B10" s="4" t="inlineStr">
        <is>
          <t>方法A　トレンド延長法</t>
        </is>
      </c>
      <c r="C10" s="18">
        <f>IFERROR(ROUND(FORECAST.LINEAR(2027,OFFSET('02_手帳実績'!$C$7,0,0,1,COUNT('02_手帳実績'!$C$7:$J$7)),OFFSET('02_手帳実績'!$C$4,0,0,1,COUNT('02_手帳実績'!$C$7:$J$7))),0),"")</f>
        <v/>
      </c>
      <c r="D10" s="18">
        <f>IFERROR(ROUND(FORECAST.LINEAR(2028,OFFSET('02_手帳実績'!$C$7,0,0,1,COUNT('02_手帳実績'!$C$7:$J$7)),OFFSET('02_手帳実績'!$C$4,0,0,1,COUNT('02_手帳実績'!$C$7:$J$7))),0),"")</f>
        <v/>
      </c>
      <c r="E10" s="18">
        <f>IFERROR(ROUND(FORECAST.LINEAR(2029,OFFSET('02_手帳実績'!$C$7,0,0,1,COUNT('02_手帳実績'!$C$7:$J$7)),OFFSET('02_手帳実績'!$C$4,0,0,1,COUNT('02_手帳実績'!$C$7:$J$7))),0),"")</f>
        <v/>
      </c>
      <c r="F10" s="28" t="inlineStr"/>
      <c r="G10" s="4" t="inlineStr">
        <is>
          <t>実績の推移を直線回帰して延長。直近の動き（精神の増加・身体の減少）をそのまま反映するが、単年の変動に引きずられやすい。</t>
        </is>
      </c>
    </row>
    <row r="11">
      <c r="A11" s="8" t="inlineStr"/>
      <c r="B11" s="8" t="inlineStr">
        <is>
          <t>方法B　所持率法</t>
        </is>
      </c>
      <c r="C11" s="18">
        <f>IFERROR(ROUND($F11*'01_人口推計'!$D$14,0),"")</f>
        <v/>
      </c>
      <c r="D11" s="18">
        <f>IFERROR(ROUND($F11*'01_人口推計'!$D$15,0),"")</f>
        <v/>
      </c>
      <c r="E11" s="18">
        <f>IFERROR(ROUND($F11*'01_人口推計'!$D$16,0),"")</f>
        <v/>
      </c>
      <c r="F11" s="25">
        <f>IFERROR(INDEX('02_手帳実績'!$C$7:$J$7,MATCH($C$4,'02_手帳実績'!$C$4:$J$4,0))/$E$4,"")</f>
        <v/>
      </c>
      <c r="G11" s="8" t="inlineStr">
        <is>
          <t>基準年の人口に対する所持率が一定と仮定し、村公式の将来人口推計に乗じる。人口減少の影響を反映するが、所持率自体の変化は捉えない。</t>
        </is>
      </c>
    </row>
    <row r="12">
      <c r="A12" s="4" t="inlineStr"/>
      <c r="B12" s="22" t="inlineStr">
        <is>
          <t>中位（A・Bの単純平均）</t>
        </is>
      </c>
      <c r="C12" s="24">
        <f>IFERROR(ROUND(AVERAGE(C10,C11),0),"")</f>
        <v/>
      </c>
      <c r="D12" s="24">
        <f>IFERROR(ROUND(AVERAGE(D10,D11),0),"")</f>
        <v/>
      </c>
      <c r="E12" s="24">
        <f>IFERROR(ROUND(AVERAGE(E10,E11),0),"")</f>
        <v/>
      </c>
      <c r="F12" s="28" t="inlineStr"/>
      <c r="G12" s="4" t="inlineStr">
        <is>
          <t>前提の異なる2手法の平均であり、それ自体に理論的裏付けはない。計画書ではA〜Bの幅を主に示し、中位は参考値として扱う。</t>
        </is>
      </c>
    </row>
    <row r="13">
      <c r="A13" s="4" t="inlineStr">
        <is>
          <t>精神障害者保健福祉手帳</t>
        </is>
      </c>
      <c r="B13" s="4" t="inlineStr">
        <is>
          <t>方法A　トレンド延長法</t>
        </is>
      </c>
      <c r="C13" s="18">
        <f>IFERROR(ROUND(FORECAST.LINEAR(2027,OFFSET('02_手帳実績'!$C$8,0,0,1,COUNT('02_手帳実績'!$C$8:$J$8)),OFFSET('02_手帳実績'!$C$4,0,0,1,COUNT('02_手帳実績'!$C$8:$J$8))),0),"")</f>
        <v/>
      </c>
      <c r="D13" s="18">
        <f>IFERROR(ROUND(FORECAST.LINEAR(2028,OFFSET('02_手帳実績'!$C$8,0,0,1,COUNT('02_手帳実績'!$C$8:$J$8)),OFFSET('02_手帳実績'!$C$4,0,0,1,COUNT('02_手帳実績'!$C$8:$J$8))),0),"")</f>
        <v/>
      </c>
      <c r="E13" s="18">
        <f>IFERROR(ROUND(FORECAST.LINEAR(2029,OFFSET('02_手帳実績'!$C$8,0,0,1,COUNT('02_手帳実績'!$C$8:$J$8)),OFFSET('02_手帳実績'!$C$4,0,0,1,COUNT('02_手帳実績'!$C$8:$J$8))),0),"")</f>
        <v/>
      </c>
      <c r="F13" s="28" t="inlineStr"/>
      <c r="G13" s="4" t="inlineStr">
        <is>
          <t>実績の推移を直線回帰して延長。直近の動き（精神の増加・身体の減少）をそのまま反映するが、単年の変動に引きずられやすい。</t>
        </is>
      </c>
    </row>
    <row r="14">
      <c r="A14" s="8" t="inlineStr"/>
      <c r="B14" s="8" t="inlineStr">
        <is>
          <t>方法B　所持率法</t>
        </is>
      </c>
      <c r="C14" s="18">
        <f>IFERROR(ROUND($F14*'01_人口推計'!$D$14,0),"")</f>
        <v/>
      </c>
      <c r="D14" s="18">
        <f>IFERROR(ROUND($F14*'01_人口推計'!$D$15,0),"")</f>
        <v/>
      </c>
      <c r="E14" s="18">
        <f>IFERROR(ROUND($F14*'01_人口推計'!$D$16,0),"")</f>
        <v/>
      </c>
      <c r="F14" s="25">
        <f>IFERROR(INDEX('02_手帳実績'!$C$8:$J$8,MATCH($C$4,'02_手帳実績'!$C$4:$J$4,0))/$E$4,"")</f>
        <v/>
      </c>
      <c r="G14" s="8" t="inlineStr">
        <is>
          <t>基準年の人口に対する所持率が一定と仮定し、村公式の将来人口推計に乗じる。人口減少の影響を反映するが、所持率自体の変化は捉えない。</t>
        </is>
      </c>
    </row>
    <row r="15">
      <c r="A15" s="4" t="inlineStr"/>
      <c r="B15" s="22" t="inlineStr">
        <is>
          <t>中位（A・Bの単純平均）</t>
        </is>
      </c>
      <c r="C15" s="24">
        <f>IFERROR(ROUND(AVERAGE(C13,C14),0),"")</f>
        <v/>
      </c>
      <c r="D15" s="24">
        <f>IFERROR(ROUND(AVERAGE(D13,D14),0),"")</f>
        <v/>
      </c>
      <c r="E15" s="24">
        <f>IFERROR(ROUND(AVERAGE(E13,E14),0),"")</f>
        <v/>
      </c>
      <c r="F15" s="28" t="inlineStr"/>
      <c r="G15" s="4" t="inlineStr">
        <is>
          <t>前提の異なる2手法の平均であり、それ自体に理論的裏付けはない。計画書ではA〜Bの幅を主に示し、中位は参考値として扱う。</t>
        </is>
      </c>
    </row>
    <row r="16">
      <c r="A16" s="29" t="inlineStr">
        <is>
          <t>合計</t>
        </is>
      </c>
      <c r="B16" s="29" t="inlineStr">
        <is>
          <t>中位推計</t>
        </is>
      </c>
      <c r="C16" s="30">
        <f>IFERROR(SUM(C9,C12,C15),"")</f>
        <v/>
      </c>
      <c r="D16" s="30">
        <f>IFERROR(SUM(D9,D12,D15),"")</f>
        <v/>
      </c>
      <c r="E16" s="30">
        <f>IFERROR(SUM(E9,E12,E15),"")</f>
        <v/>
      </c>
      <c r="F16" s="28" t="inlineStr"/>
      <c r="G16" s="4" t="inlineStr">
        <is>
          <t>次期計画での暫定基礎値。令和5年実績156人との比較で読む。</t>
        </is>
      </c>
    </row>
    <row r="18">
      <c r="A18" s="13" t="inlineStr">
        <is>
          <t>読み取りのポイント・留意点</t>
        </is>
      </c>
    </row>
    <row r="19" ht="26" customHeight="1">
      <c r="A19" s="2" t="inlineStr">
        <is>
          <t>・中位推計では、手帳所持者数の合計は令和5年の156人から令和11年度末には145人程度まで緩やかに減少する見通しです。</t>
        </is>
      </c>
    </row>
    <row r="20" ht="26" customHeight="1">
      <c r="A20" s="2" t="inlineStr">
        <is>
          <t>・方法Aと方法Bの差（身体障害者手帳は令和11年度末で102〜104人）が推計の幅です。単一の数値として計画に確定表記することは避けてください。</t>
        </is>
      </c>
    </row>
    <row r="21" ht="26" customHeight="1">
      <c r="A21" s="2" t="inlineStr">
        <is>
          <t>・老年人口は令和3年の1,006人をピークに減少に転じている一方、身体障害者手帳所持者数は平成31年126人から令和5年114人へ減少しています。手帳更新時期・制度改正・転出入の影響である可能性があるため、令和6〜8年実績で継続的な傾向か一時的な変動かを確認します。</t>
        </is>
      </c>
    </row>
    <row r="22" ht="26" customHeight="1">
      <c r="A22" s="2" t="inlineStr">
        <is>
          <t>・精神障害者保健福祉手帳は、人口減少が続く中でも所持者数・所持率とも増加傾向にあります。相談・受診機会の広がりを踏まえると次期計画期間も同様の傾向が続く可能性があり、相談支援体制の強化と整合させて記載します。</t>
        </is>
      </c>
    </row>
    <row r="23" ht="26" customHeight="1">
      <c r="A23" s="2" t="inlineStr">
        <is>
          <t>・方法Bは基準年の所持率を将来にわたり一定と置くため、精神のように所持率自体が動いている区分では方法Aとの差が大きくなります。この差は誤差ではなく、想定の違いとして計画本文に注記してください。</t>
        </is>
      </c>
    </row>
    <row r="25">
      <c r="A25" s="13" t="inlineStr">
        <is>
          <t>参考：平成31〜令和5年の5か年実績に基づく計算値（静的・検証用）</t>
        </is>
      </c>
    </row>
    <row r="26" ht="30" customHeight="1">
      <c r="A26" s="3" t="inlineStr">
        <is>
          <t>区分</t>
        </is>
      </c>
      <c r="B26" s="3" t="inlineStr">
        <is>
          <t>手法</t>
        </is>
      </c>
      <c r="C26" s="3" t="inlineStr">
        <is>
          <t>令和9年</t>
        </is>
      </c>
      <c r="D26" s="3" t="inlineStr">
        <is>
          <t>令和10年</t>
        </is>
      </c>
      <c r="E26" s="3" t="inlineStr">
        <is>
          <t>令和11年</t>
        </is>
      </c>
      <c r="F26" s="3" t="inlineStr"/>
      <c r="G26" s="3" t="inlineStr"/>
    </row>
    <row r="27">
      <c r="A27" s="4" t="inlineStr">
        <is>
          <t>身体障害者手帳</t>
        </is>
      </c>
      <c r="B27" s="4" t="inlineStr">
        <is>
          <t>方法A</t>
        </is>
      </c>
      <c r="C27" s="15" t="n">
        <v>108</v>
      </c>
      <c r="D27" s="15" t="n">
        <v>106</v>
      </c>
      <c r="E27" s="15" t="n">
        <v>104</v>
      </c>
      <c r="F27" s="4" t="inlineStr"/>
      <c r="G27" s="4" t="inlineStr"/>
    </row>
    <row r="28">
      <c r="A28" s="8" t="inlineStr"/>
      <c r="B28" s="8" t="inlineStr">
        <is>
          <t>方法B</t>
        </is>
      </c>
      <c r="C28" s="17" t="n">
        <v>106</v>
      </c>
      <c r="D28" s="17" t="n">
        <v>104</v>
      </c>
      <c r="E28" s="17" t="n">
        <v>102</v>
      </c>
      <c r="F28" s="8" t="inlineStr"/>
      <c r="G28" s="8" t="inlineStr"/>
    </row>
    <row r="29">
      <c r="A29" s="4" t="inlineStr"/>
      <c r="B29" s="4" t="inlineStr">
        <is>
          <t>中位</t>
        </is>
      </c>
      <c r="C29" s="15" t="n">
        <v>107</v>
      </c>
      <c r="D29" s="15" t="n">
        <v>105</v>
      </c>
      <c r="E29" s="15" t="n">
        <v>103</v>
      </c>
      <c r="F29" s="4" t="inlineStr"/>
      <c r="G29" s="4" t="inlineStr"/>
    </row>
    <row r="30">
      <c r="A30" s="8" t="inlineStr">
        <is>
          <t>療育手帳</t>
        </is>
      </c>
      <c r="B30" s="8" t="inlineStr">
        <is>
          <t>方法A</t>
        </is>
      </c>
      <c r="C30" s="17" t="n">
        <v>11</v>
      </c>
      <c r="D30" s="17" t="n">
        <v>11</v>
      </c>
      <c r="E30" s="17" t="n">
        <v>10</v>
      </c>
      <c r="F30" s="8" t="inlineStr"/>
      <c r="G30" s="8" t="inlineStr"/>
    </row>
    <row r="31">
      <c r="A31" s="4" t="inlineStr"/>
      <c r="B31" s="4" t="inlineStr">
        <is>
          <t>方法B</t>
        </is>
      </c>
      <c r="C31" s="15" t="n">
        <v>11</v>
      </c>
      <c r="D31" s="15" t="n">
        <v>11</v>
      </c>
      <c r="E31" s="15" t="n">
        <v>11</v>
      </c>
      <c r="F31" s="4" t="inlineStr"/>
      <c r="G31" s="4" t="inlineStr"/>
    </row>
    <row r="32">
      <c r="A32" s="8" t="inlineStr"/>
      <c r="B32" s="8" t="inlineStr">
        <is>
          <t>中位</t>
        </is>
      </c>
      <c r="C32" s="17" t="n">
        <v>11</v>
      </c>
      <c r="D32" s="17" t="n">
        <v>11</v>
      </c>
      <c r="E32" s="17" t="n">
        <v>11</v>
      </c>
      <c r="F32" s="8" t="inlineStr"/>
      <c r="G32" s="8" t="inlineStr"/>
    </row>
    <row r="33">
      <c r="A33" s="4" t="inlineStr">
        <is>
          <t>精神障害者保健福祉手帳</t>
        </is>
      </c>
      <c r="B33" s="4" t="inlineStr">
        <is>
          <t>方法A</t>
        </is>
      </c>
      <c r="C33" s="15" t="n">
        <v>33</v>
      </c>
      <c r="D33" s="15" t="n">
        <v>34</v>
      </c>
      <c r="E33" s="15" t="n">
        <v>35</v>
      </c>
      <c r="F33" s="4" t="inlineStr"/>
      <c r="G33" s="4" t="inlineStr"/>
    </row>
    <row r="34">
      <c r="A34" s="8" t="inlineStr"/>
      <c r="B34" s="8" t="inlineStr">
        <is>
          <t>方法B</t>
        </is>
      </c>
      <c r="C34" s="17" t="n">
        <v>28</v>
      </c>
      <c r="D34" s="17" t="n">
        <v>27</v>
      </c>
      <c r="E34" s="17" t="n">
        <v>27</v>
      </c>
      <c r="F34" s="8" t="inlineStr"/>
      <c r="G34" s="8" t="inlineStr"/>
    </row>
    <row r="35">
      <c r="A35" s="4" t="inlineStr"/>
      <c r="B35" s="4" t="inlineStr">
        <is>
          <t>中位</t>
        </is>
      </c>
      <c r="C35" s="15" t="n">
        <v>31</v>
      </c>
      <c r="D35" s="15" t="n">
        <v>31</v>
      </c>
      <c r="E35" s="15" t="n">
        <v>31</v>
      </c>
      <c r="F35" s="4" t="inlineStr"/>
      <c r="G35" s="4" t="inlineStr"/>
    </row>
    <row r="36">
      <c r="A36" s="8" t="inlineStr">
        <is>
          <t>合計</t>
        </is>
      </c>
      <c r="B36" s="8" t="inlineStr">
        <is>
          <t>中位</t>
        </is>
      </c>
      <c r="C36" s="17" t="n">
        <v>149</v>
      </c>
      <c r="D36" s="17" t="n">
        <v>147</v>
      </c>
      <c r="E36" s="17" t="n">
        <v>145</v>
      </c>
      <c r="F36" s="8" t="inlineStr"/>
      <c r="G36" s="8" t="inlineStr"/>
    </row>
    <row r="37" ht="30" customHeight="1">
      <c r="A37" s="2" t="inlineStr">
        <is>
          <t>※ 上表は計画素案第9稿の記載値（合計 令和11年度末139人）ではなく、村公式の将来人口推計（こども・子育て計画）を用いた再計算値です。第9稿は簡易人口推計を用いていたため差が生じています。計画書には本表の値を用いてください。</t>
        </is>
      </c>
    </row>
  </sheetData>
  <mergeCells count="11">
    <mergeCell ref="F4:G4"/>
    <mergeCell ref="A1:G1"/>
    <mergeCell ref="A18:G18"/>
    <mergeCell ref="A21:G21"/>
    <mergeCell ref="A22:G22"/>
    <mergeCell ref="A20:G20"/>
    <mergeCell ref="A2:G2"/>
    <mergeCell ref="A25:G25"/>
    <mergeCell ref="A19:G19"/>
    <mergeCell ref="A37:G37"/>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 width="12" customWidth="1" min="4" max="4"/>
    <col width="16" customWidth="1" min="5" max="5"/>
    <col width="20" customWidth="1" min="6" max="6"/>
    <col width="40" customWidth="1" min="7" max="7"/>
  </cols>
  <sheetData>
    <row r="1" ht="30" customHeight="1">
      <c r="A1" s="14" t="inlineStr">
        <is>
          <t>推計の不確実性（レッドチーム検証）</t>
        </is>
      </c>
    </row>
    <row r="2" ht="30" customHeight="1">
      <c r="A2" s="2" t="inlineStr">
        <is>
          <t>本ブックの推計値をそのまま計画書の確定値として用いてよいかを検証したものです。結論として、現時点の推計は「方向性の目安」であり、令和6〜8年度実績の受領前に確定値として記載することは避けてください。</t>
        </is>
      </c>
    </row>
    <row r="5">
      <c r="A5" s="13" t="inlineStr">
        <is>
          <t>1. 方法A（トレンド延長法）の統計的信頼性</t>
        </is>
      </c>
    </row>
    <row r="6" ht="30" customHeight="1">
      <c r="A6" s="3" t="inlineStr">
        <is>
          <t>区分</t>
        </is>
      </c>
      <c r="B6" s="3" t="inlineStr">
        <is>
          <t>傾き
(人/年)</t>
        </is>
      </c>
      <c r="C6" s="3" t="inlineStr">
        <is>
          <t>決定係数
r²</t>
        </is>
      </c>
      <c r="D6" s="3" t="inlineStr">
        <is>
          <t>残差
標準誤差</t>
        </is>
      </c>
      <c r="E6" s="3" t="inlineStr">
        <is>
          <t>令和9年
点推計</t>
        </is>
      </c>
      <c r="F6" s="3" t="inlineStr">
        <is>
          <t>令和9年
95%予測区間</t>
        </is>
      </c>
      <c r="G6" s="3" t="inlineStr">
        <is>
          <t>評価</t>
        </is>
      </c>
    </row>
    <row r="7" ht="34" customHeight="1">
      <c r="A7" s="4" t="inlineStr">
        <is>
          <t>身体障害者手帳</t>
        </is>
      </c>
      <c r="B7" s="31" t="n">
        <v>-2.3</v>
      </c>
      <c r="C7" s="32" t="n">
        <v>0.453</v>
      </c>
      <c r="D7" s="33" t="n">
        <v>4.62</v>
      </c>
      <c r="E7" s="34" t="inlineStr">
        <is>
          <t>108人</t>
        </is>
      </c>
      <c r="F7" s="6" t="inlineStr">
        <is>
          <t>76〜141人</t>
        </is>
      </c>
      <c r="G7" s="4" t="inlineStr">
        <is>
          <t>r²が0.45で、実績の変動の半分以上を直線では説明できない。予測区間が実測値の幅を大きく超える。</t>
        </is>
      </c>
    </row>
    <row r="8" ht="34" customHeight="1">
      <c r="A8" s="8" t="inlineStr">
        <is>
          <t>療育手帳</t>
        </is>
      </c>
      <c r="B8" s="35" t="n">
        <v>-0.3</v>
      </c>
      <c r="C8" s="36" t="n">
        <v>0.321</v>
      </c>
      <c r="D8" s="37" t="n">
        <v>0.8</v>
      </c>
      <c r="E8" s="38" t="inlineStr">
        <is>
          <t>11人</t>
        </is>
      </c>
      <c r="F8" s="10" t="inlineStr">
        <is>
          <t>5〜17人</t>
        </is>
      </c>
      <c r="G8" s="8" t="inlineStr">
        <is>
          <t>母数12〜14人に対し傾き−0.3人/年。実質的にノイズであり、10人と11人を区別する意味はない。</t>
        </is>
      </c>
    </row>
    <row r="9" ht="34" customHeight="1">
      <c r="A9" s="4" t="inlineStr">
        <is>
          <t>精神障害者保健福祉手帳</t>
        </is>
      </c>
      <c r="B9" s="31" t="n">
        <v>1</v>
      </c>
      <c r="C9" s="32" t="n">
        <v>0.5</v>
      </c>
      <c r="D9" s="33" t="n">
        <v>1.83</v>
      </c>
      <c r="E9" s="34" t="inlineStr">
        <is>
          <t>33人</t>
        </is>
      </c>
      <c r="F9" s="6" t="inlineStr">
        <is>
          <t>20〜46人</t>
        </is>
      </c>
      <c r="G9" s="4" t="inlineStr">
        <is>
          <t>増加傾向自体は一貫しているが、予測区間は20〜46人と広く、点推計を目標値の根拠にはできない。</t>
        </is>
      </c>
    </row>
    <row r="10" ht="44" customHeight="1">
      <c r="A10" s="2" t="inlineStr">
        <is>
          <t>令和11年（目標年度）ではさらに広がり、身体障害者手帳の95%予測区間は63〜144人、精神障害者保健福祉手帳は19〜51人、療育手帳は3〜17人となります。標本が5か年しかなく、そこから3〜6年先を外挿しているためです。点推計（104人・35人・10人）は中心値にすぎず、統計的な確からしさを主張できる数値ではありません。</t>
        </is>
      </c>
    </row>
    <row r="12">
      <c r="A12" s="13" t="inlineStr">
        <is>
          <t>2. 方法B（所持率法）の分母による感度（令和11年）</t>
        </is>
      </c>
    </row>
    <row r="13" ht="30" customHeight="1">
      <c r="A13" s="3" t="inlineStr">
        <is>
          <t>区分</t>
        </is>
      </c>
      <c r="B13" s="3" t="inlineStr">
        <is>
          <t>総人口
ベース</t>
        </is>
      </c>
      <c r="C13" s="3" t="inlineStr">
        <is>
          <t>老年人口
ベース</t>
        </is>
      </c>
      <c r="D13" s="3" t="inlineStr">
        <is>
          <t>生産年齢
人口ベース</t>
        </is>
      </c>
      <c r="E13" s="3" t="inlineStr">
        <is>
          <t>方法A
（参考）</t>
        </is>
      </c>
      <c r="F13" s="3" t="inlineStr">
        <is>
          <t>最大−最小</t>
        </is>
      </c>
      <c r="G13" s="3" t="inlineStr">
        <is>
          <t>考え方</t>
        </is>
      </c>
    </row>
    <row r="14" ht="34" customHeight="1">
      <c r="A14" s="4" t="inlineStr">
        <is>
          <t>身体障害者手帳</t>
        </is>
      </c>
      <c r="B14" s="15" t="n">
        <v>102</v>
      </c>
      <c r="C14" s="15" t="n">
        <v>120</v>
      </c>
      <c r="D14" s="15" t="n">
        <v>94</v>
      </c>
      <c r="E14" s="15" t="n">
        <v>104</v>
      </c>
      <c r="F14" s="15" t="n">
        <v>26</v>
      </c>
      <c r="G14" s="4" t="inlineStr">
        <is>
          <t>所持者は高齢層に集中するため、総人口ではなく老年人口を分母にすると120人となり、18人増える。仕様書の約130人に近づく。</t>
        </is>
      </c>
    </row>
    <row r="15" ht="34" customHeight="1">
      <c r="A15" s="8" t="inlineStr">
        <is>
          <t>療育手帳</t>
        </is>
      </c>
      <c r="B15" s="17" t="n">
        <v>11</v>
      </c>
      <c r="C15" s="17" t="n">
        <v>13</v>
      </c>
      <c r="D15" s="17" t="n">
        <v>10</v>
      </c>
      <c r="E15" s="17" t="n">
        <v>10</v>
      </c>
      <c r="F15" s="17" t="n">
        <v>3</v>
      </c>
      <c r="G15" s="8" t="inlineStr">
        <is>
          <t>分母によらず11〜13人。母数が小さく差も小さいが、そもそも推計の意味が薄い。</t>
        </is>
      </c>
    </row>
    <row r="16" ht="34" customHeight="1">
      <c r="A16" s="4" t="inlineStr">
        <is>
          <t>精神障害者保健福祉手帳</t>
        </is>
      </c>
      <c r="B16" s="15" t="n">
        <v>27</v>
      </c>
      <c r="C16" s="15" t="n">
        <v>32</v>
      </c>
      <c r="D16" s="15" t="n">
        <v>25</v>
      </c>
      <c r="E16" s="15" t="n">
        <v>35</v>
      </c>
      <c r="F16" s="15" t="n">
        <v>7</v>
      </c>
      <c r="G16" s="4" t="inlineStr">
        <is>
          <t>所持者は生産年齢層が中心とみられ、分母の選択で25〜32人と振れる。方法Aの35人とも乖離する。</t>
        </is>
      </c>
    </row>
    <row r="17" ht="34" customHeight="1">
      <c r="A17" s="2" t="inlineStr">
        <is>
          <t>本ブックの方法Bは総人口を分母としています。北塩原村は総人口が減る一方で老年人口は増えるため、高齢層に偏る身体障害者手帳では総人口ベースの所持率法が推計を実態と逆方向に働かせます。ただしこれは所持率法そのものの欠陥ではなく、分母の取り方の問題です。年齢階級別の所持率を用いれば所持率法は有効に使えるため、村から年齢階級別の手帳所持者数を受領した時点で05_年齢階級別推計（方法C）へ切り替えます。</t>
        </is>
      </c>
    </row>
    <row r="19">
      <c r="A19" s="13" t="inlineStr">
        <is>
          <t>3. 仕様書の調査対象者数との突合（最重要）</t>
        </is>
      </c>
    </row>
    <row r="20" ht="30" customHeight="1">
      <c r="A20" s="3" t="inlineStr">
        <is>
          <t>区分</t>
        </is>
      </c>
      <c r="B20" s="3" t="inlineStr">
        <is>
          <t>令和5年
実績</t>
        </is>
      </c>
      <c r="C20" s="3" t="inlineStr">
        <is>
          <t>仕様書
（約）</t>
        </is>
      </c>
      <c r="D20" s="3" t="inlineStr">
        <is>
          <t>差</t>
        </is>
      </c>
      <c r="E20" s="3" t="inlineStr">
        <is>
          <t>増減率</t>
        </is>
      </c>
      <c r="F20" s="3" t="inlineStr">
        <is>
          <t>本ブックの推計方向</t>
        </is>
      </c>
      <c r="G20" s="3" t="inlineStr">
        <is>
          <t>評価</t>
        </is>
      </c>
    </row>
    <row r="21" ht="30" customHeight="1">
      <c r="A21" s="4" t="inlineStr">
        <is>
          <t>身体障害者手帳</t>
        </is>
      </c>
      <c r="B21" s="15" t="n">
        <v>114</v>
      </c>
      <c r="C21" s="15" t="n">
        <v>130</v>
      </c>
      <c r="D21" s="39" t="n">
        <v>16</v>
      </c>
      <c r="E21" s="40" t="n">
        <v>0.1403508771929824</v>
      </c>
      <c r="F21" s="4" t="inlineStr">
        <is>
          <t>減少（令和11年 102〜104人）</t>
        </is>
      </c>
      <c r="G21" s="4" t="inlineStr">
        <is>
          <t>仕様書の数値が令和8年時点の実数であれば、推計の方向と矛盾する</t>
        </is>
      </c>
    </row>
    <row r="22" ht="30" customHeight="1">
      <c r="A22" s="8" t="inlineStr">
        <is>
          <t>療育手帳</t>
        </is>
      </c>
      <c r="B22" s="17" t="n">
        <v>12</v>
      </c>
      <c r="C22" s="17" t="n">
        <v>20</v>
      </c>
      <c r="D22" s="41" t="n">
        <v>8</v>
      </c>
      <c r="E22" s="42" t="n">
        <v>0.6666666666666666</v>
      </c>
      <c r="F22" s="8" t="inlineStr">
        <is>
          <t>横ばい〜減少（10〜11人）</t>
        </is>
      </c>
      <c r="G22" s="8" t="inlineStr">
        <is>
          <t>仕様書の数値が令和8年時点の実数であれば、推計の方向と矛盾する</t>
        </is>
      </c>
    </row>
    <row r="23" ht="30" customHeight="1">
      <c r="A23" s="4" t="inlineStr">
        <is>
          <t>精神障害者保健福祉手帳</t>
        </is>
      </c>
      <c r="B23" s="15" t="n">
        <v>30</v>
      </c>
      <c r="C23" s="15" t="n">
        <v>40</v>
      </c>
      <c r="D23" s="39" t="n">
        <v>10</v>
      </c>
      <c r="E23" s="40" t="n">
        <v>0.3333333333333333</v>
      </c>
      <c r="F23" s="4" t="inlineStr">
        <is>
          <t>増加（27〜35人）</t>
        </is>
      </c>
      <c r="G23" s="4" t="inlineStr">
        <is>
          <t>仕様書の数値が令和8年時点の実数であれば、推計の方向と矛盾する</t>
        </is>
      </c>
    </row>
    <row r="24">
      <c r="A24" s="43" t="inlineStr">
        <is>
          <t>合計</t>
        </is>
      </c>
      <c r="B24" s="44" t="n">
        <v>156</v>
      </c>
      <c r="C24" s="44" t="n">
        <v>190</v>
      </c>
      <c r="D24" s="45" t="n">
        <v>34</v>
      </c>
      <c r="E24" s="46" t="n">
        <v>0.217948717948718</v>
      </c>
      <c r="F24" s="43" t="inlineStr">
        <is>
          <t>減少（145人）</t>
        </is>
      </c>
      <c r="G24" s="43" t="inlineStr">
        <is>
          <t>同期間の総人口は約5%減。手帳所持者だけが22%増える説明が必要</t>
        </is>
      </c>
    </row>
    <row r="25" ht="48" customHeight="1">
      <c r="A25" s="2" t="inlineStr">
        <is>
          <t>これは確認事項ではなく、推計を確定できない前提条件です。仕様書の約190人が（a）発送数に余裕を見た概数なのか、（b）集計基準・対象年齢が異なるのか、（c）実際に令和6〜8年で増加しているのか、のいずれであるかによって、推計の方向（減少か増加か）そのものが変わります。村への確認が済むまで、手帳所持者数の将来推計を計画書の確定値として記載しないでください。</t>
        </is>
      </c>
    </row>
    <row r="27">
      <c r="A27" s="13" t="inlineStr">
        <is>
          <t>4. 手帳所持率の推移と方法D（所持率トレンド法）</t>
        </is>
      </c>
    </row>
    <row r="28" ht="30" customHeight="1">
      <c r="A28" s="2" t="inlineStr">
        <is>
          <t>現行計画本編（令和6年3月）の受領により、平成31年から令和5年までの年齢3区分別人口が判明したため、各年の手帳所持率を算定できるようになりました。方法Bは令和5年の所持率が将来も一定と仮定していますが、実際には所持率が上昇しています。</t>
        </is>
      </c>
    </row>
    <row r="29" ht="30" customHeight="1">
      <c r="A29" s="3" t="inlineStr">
        <is>
          <t>区分</t>
        </is>
      </c>
      <c r="B29" s="3" t="inlineStr">
        <is>
          <t>平成31年</t>
        </is>
      </c>
      <c r="C29" s="3" t="inlineStr">
        <is>
          <t>令和2年</t>
        </is>
      </c>
      <c r="D29" s="3" t="inlineStr">
        <is>
          <t>令和3年</t>
        </is>
      </c>
      <c r="E29" s="3" t="inlineStr">
        <is>
          <t>令和4年</t>
        </is>
      </c>
      <c r="F29" s="3" t="inlineStr">
        <is>
          <t>令和5年</t>
        </is>
      </c>
      <c r="G29" s="3" t="inlineStr">
        <is>
          <t>傾向</t>
        </is>
      </c>
    </row>
    <row r="30">
      <c r="A30" s="4" t="inlineStr">
        <is>
          <t>身体障害者手帳</t>
        </is>
      </c>
      <c r="B30" s="28" t="n">
        <v>0.04594</v>
      </c>
      <c r="C30" s="28" t="n">
        <v>0.04486</v>
      </c>
      <c r="D30" s="28" t="n">
        <v>0.04867</v>
      </c>
      <c r="E30" s="28" t="n">
        <v>0.04813</v>
      </c>
      <c r="F30" s="28" t="n">
        <v>0.04666</v>
      </c>
      <c r="G30" s="4" t="inlineStr">
        <is>
          <t>横ばい（4.49〜4.87％）</t>
        </is>
      </c>
    </row>
    <row r="31">
      <c r="A31" s="8" t="inlineStr">
        <is>
          <t>療育手帳</t>
        </is>
      </c>
      <c r="B31" s="47" t="n">
        <v>0.00474</v>
      </c>
      <c r="C31" s="47" t="n">
        <v>0.00482</v>
      </c>
      <c r="D31" s="47" t="n">
        <v>0.00532</v>
      </c>
      <c r="E31" s="47" t="n">
        <v>0.00473</v>
      </c>
      <c r="F31" s="47" t="n">
        <v>0.00491</v>
      </c>
      <c r="G31" s="8" t="inlineStr">
        <is>
          <t>横ばい</t>
        </is>
      </c>
    </row>
    <row r="32">
      <c r="A32" s="4" t="inlineStr">
        <is>
          <t>精神障害者保健福祉手帳</t>
        </is>
      </c>
      <c r="B32" s="28" t="n">
        <v>0.008750000000000001</v>
      </c>
      <c r="C32" s="28" t="n">
        <v>0.01038</v>
      </c>
      <c r="D32" s="28" t="n">
        <v>0.01027</v>
      </c>
      <c r="E32" s="28" t="n">
        <v>0.01026</v>
      </c>
      <c r="F32" s="28" t="n">
        <v>0.01228</v>
      </c>
      <c r="G32" s="4" t="inlineStr">
        <is>
          <t>明確な上昇（平成31年比＋40％）</t>
        </is>
      </c>
    </row>
    <row r="33">
      <c r="A33" s="8" t="inlineStr">
        <is>
          <t>合計</t>
        </is>
      </c>
      <c r="B33" s="47" t="n">
        <v>0.05942</v>
      </c>
      <c r="C33" s="47" t="n">
        <v>0.06007</v>
      </c>
      <c r="D33" s="47" t="n">
        <v>0.06426</v>
      </c>
      <c r="E33" s="47" t="n">
        <v>0.06312</v>
      </c>
      <c r="F33" s="47" t="n">
        <v>0.06386</v>
      </c>
      <c r="G33" s="8" t="inlineStr">
        <is>
          <t>上昇（5.94％→6.39％）</t>
        </is>
      </c>
    </row>
    <row r="35" ht="30" customHeight="1">
      <c r="A35" s="3" t="inlineStr">
        <is>
          <t>区分</t>
        </is>
      </c>
      <c r="B35" s="3" t="inlineStr">
        <is>
          <t>方法A
トレンド延長</t>
        </is>
      </c>
      <c r="C35" s="3" t="inlineStr">
        <is>
          <t>方法B
所持率一定</t>
        </is>
      </c>
      <c r="D35" s="3" t="inlineStr">
        <is>
          <t>方法D
所持率トレンド</t>
        </is>
      </c>
      <c r="E35" s="3" t="inlineStr">
        <is>
          <t>中位
（A・B平均）</t>
        </is>
      </c>
      <c r="F35" s="3" t="inlineStr"/>
      <c r="G35" s="3" t="inlineStr">
        <is>
          <t>評価</t>
        </is>
      </c>
    </row>
    <row r="36" ht="30" customHeight="1">
      <c r="A36" s="4" t="inlineStr">
        <is>
          <t>身体障害者手帳</t>
        </is>
      </c>
      <c r="B36" s="15" t="n">
        <v>104</v>
      </c>
      <c r="C36" s="15" t="n">
        <v>102</v>
      </c>
      <c r="D36" s="15" t="n">
        <v>111</v>
      </c>
      <c r="E36" s="15" t="n">
        <v>103</v>
      </c>
      <c r="F36" s="4" t="inlineStr"/>
      <c r="G36" s="4" t="inlineStr">
        <is>
          <t>実数は減少しているが所持率は横ばい。方法Dは所持率のわずかな上昇を拾って高めに出る</t>
        </is>
      </c>
    </row>
    <row r="37" ht="30" customHeight="1">
      <c r="A37" s="8" t="inlineStr">
        <is>
          <t>療育手帳</t>
        </is>
      </c>
      <c r="B37" s="17" t="n">
        <v>10</v>
      </c>
      <c r="C37" s="17" t="n">
        <v>11</v>
      </c>
      <c r="D37" s="17" t="n">
        <v>11</v>
      </c>
      <c r="E37" s="17" t="n">
        <v>11</v>
      </c>
      <c r="F37" s="8" t="inlineStr"/>
      <c r="G37" s="8" t="inlineStr">
        <is>
          <t>いずれの方法でも10〜11人。差に意味はない</t>
        </is>
      </c>
    </row>
    <row r="38" ht="30" customHeight="1">
      <c r="A38" s="4" t="inlineStr">
        <is>
          <t>精神障害者保健福祉手帳</t>
        </is>
      </c>
      <c r="B38" s="15" t="n">
        <v>35</v>
      </c>
      <c r="C38" s="15" t="n">
        <v>27</v>
      </c>
      <c r="D38" s="15" t="n">
        <v>35</v>
      </c>
      <c r="E38" s="15" t="n">
        <v>31</v>
      </c>
      <c r="F38" s="4" t="inlineStr"/>
      <c r="G38" s="4" t="inlineStr">
        <is>
          <t>方法Dが方法Aと一致。方法Bの27人は所持率一定の仮定による過小推計</t>
        </is>
      </c>
    </row>
    <row r="39" ht="30" customHeight="1">
      <c r="A39" s="8" t="inlineStr">
        <is>
          <t>合計</t>
        </is>
      </c>
      <c r="B39" s="17" t="n">
        <v>149</v>
      </c>
      <c r="C39" s="17" t="n">
        <v>140</v>
      </c>
      <c r="D39" s="17" t="n">
        <v>157</v>
      </c>
      <c r="E39" s="17" t="n">
        <v>145</v>
      </c>
      <c r="F39" s="8" t="inlineStr"/>
      <c r="G39" s="8" t="inlineStr">
        <is>
          <t>方法Dは中位より12人多い</t>
        </is>
      </c>
    </row>
    <row r="40" ht="56" customHeight="1">
      <c r="A40" s="2" t="inlineStr">
        <is>
          <t>精神障害者保健福祉手帳では、所持率トレンドを延長した方法Dが35人となり、実数のトレンドを延長した方法Aの35人と一致します。所持率一定を仮定する方法Bの27人は、所持率が上昇している実態を反映できていません。一方で身体障害者手帳は、方法Dが111人と方法A（104人）・方法B（102人）を上回ります。母数が小さく所持率の年次変動が大きいため、方法Dも単独では確定値になりません。村から年齢階級別の手帳所持者数を受領し、05_年齢階級別推計（方法C）へ移行することが本筋です。</t>
        </is>
      </c>
    </row>
    <row r="42">
      <c r="A42" s="13" t="inlineStr">
        <is>
          <t>5. 過去稿との数値の異同</t>
        </is>
      </c>
    </row>
    <row r="43" ht="30" customHeight="1">
      <c r="A43" s="3" t="inlineStr">
        <is>
          <t>版</t>
        </is>
      </c>
      <c r="B43" s="3" t="inlineStr">
        <is>
          <t>方法Bの人口基礎</t>
        </is>
      </c>
      <c r="C43" s="3" t="inlineStr">
        <is>
          <t>令和11年
総人口</t>
        </is>
      </c>
      <c r="D43" s="3" t="inlineStr">
        <is>
          <t>身体</t>
        </is>
      </c>
      <c r="E43" s="3" t="inlineStr">
        <is>
          <t>療育</t>
        </is>
      </c>
      <c r="F43" s="3" t="inlineStr">
        <is>
          <t>精神</t>
        </is>
      </c>
      <c r="G43" s="3" t="inlineStr">
        <is>
          <t>合計（中位）</t>
        </is>
      </c>
    </row>
    <row r="44" ht="28" customHeight="1">
      <c r="A44" s="4" t="inlineStr">
        <is>
          <t>計画素案 第4〜9稿</t>
        </is>
      </c>
      <c r="B44" s="4" t="inlineStr">
        <is>
          <t>令和5年から75人/年の定数減（線形）</t>
        </is>
      </c>
      <c r="C44" s="15" t="n">
        <v>1993</v>
      </c>
      <c r="D44" s="34" t="inlineStr">
        <is>
          <t>93人</t>
        </is>
      </c>
      <c r="E44" s="34" t="inlineStr">
        <is>
          <t>10人</t>
        </is>
      </c>
      <c r="F44" s="34" t="inlineStr">
        <is>
          <t>25人</t>
        </is>
      </c>
      <c r="G44" s="34" t="inlineStr">
        <is>
          <t>139人</t>
        </is>
      </c>
    </row>
    <row r="45" ht="28" customHeight="1">
      <c r="A45" s="8" t="inlineStr">
        <is>
          <t>将来推計ワークブック(20260707)</t>
        </is>
      </c>
      <c r="B45" s="8" t="inlineStr">
        <is>
          <t>こども・子育て計画の公式推計</t>
        </is>
      </c>
      <c r="C45" s="17" t="n">
        <v>2185</v>
      </c>
      <c r="D45" s="38" t="inlineStr">
        <is>
          <t>102人</t>
        </is>
      </c>
      <c r="E45" s="38" t="inlineStr">
        <is>
          <t>11人</t>
        </is>
      </c>
      <c r="F45" s="38" t="inlineStr">
        <is>
          <t>27人</t>
        </is>
      </c>
      <c r="G45" s="38" t="inlineStr">
        <is>
          <t>145人</t>
        </is>
      </c>
    </row>
    <row r="46" ht="28" customHeight="1">
      <c r="A46" s="4" t="inlineStr">
        <is>
          <t>本ブック</t>
        </is>
      </c>
      <c r="B46" s="4" t="inlineStr">
        <is>
          <t>こども・子育て計画の公式推計</t>
        </is>
      </c>
      <c r="C46" s="15" t="n">
        <v>2185</v>
      </c>
      <c r="D46" s="34" t="inlineStr">
        <is>
          <t>102人</t>
        </is>
      </c>
      <c r="E46" s="34" t="inlineStr">
        <is>
          <t>11人</t>
        </is>
      </c>
      <c r="F46" s="34" t="inlineStr">
        <is>
          <t>27人</t>
        </is>
      </c>
      <c r="G46" s="34" t="inlineStr">
        <is>
          <t>145人</t>
        </is>
      </c>
    </row>
    <row r="47" ht="62" customHeight="1">
      <c r="A47" s="2" t="inlineStr">
        <is>
          <t>計画素案第4〜9稿の方法Bは、本文では「人口減少率をそのまま延長した簡易推計」と説明していますが、実際の計算は率ではなく定数人数減（平成31年→令和5年の300人減÷4年＝75人/年）です。記載と計算が一致していません。また、第8稿で村公式推計を「第2章2-2の基礎として明記した」と整理していますが、2-2の数値は第7稿から変更されておらず、実際には反映されていません。本ブックは公式推計に統一しているため、第4〜9稿及び前回計画評価表（20260703、身体104→99等）の記載とは一致しません。計画書への転記時は本ブックの値に揃えてください。</t>
        </is>
      </c>
    </row>
  </sheetData>
  <mergeCells count="13">
    <mergeCell ref="A1:G1"/>
    <mergeCell ref="A17:G17"/>
    <mergeCell ref="A40:G40"/>
    <mergeCell ref="A27:G27"/>
    <mergeCell ref="A28:G28"/>
    <mergeCell ref="A47:G47"/>
    <mergeCell ref="A12:G12"/>
    <mergeCell ref="A2:G2"/>
    <mergeCell ref="A42:G42"/>
    <mergeCell ref="A25:G25"/>
    <mergeCell ref="A19:G19"/>
    <mergeCell ref="A10:G10"/>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6" customWidth="1" min="7" max="7"/>
    <col width="40" customWidth="1" min="8" max="8"/>
  </cols>
  <sheetData>
    <row r="1" ht="30" customHeight="1">
      <c r="A1" s="14" t="inlineStr">
        <is>
          <t>年齢階級別所持率法（方法C・村資料受領後に使用）</t>
        </is>
      </c>
    </row>
    <row r="2" ht="30" customHeight="1">
      <c r="A2" s="2" t="inlineStr">
        <is>
          <t>手帳の所持は年齢構成に強く左右されます。総人口を分母とする方法Bは簡便法であり、年齢階級別人口と年齢階級別所持率が揃った時点で本シートの方法Cへ切り替えてください。算式は「年齢区分別人口 × 年齢区分別手帳所持率」です。</t>
        </is>
      </c>
    </row>
    <row r="5">
      <c r="A5" s="13" t="inlineStr">
        <is>
          <t>1. 身体障害者手帳（5区分）</t>
        </is>
      </c>
    </row>
    <row r="6" ht="30" customHeight="1">
      <c r="A6" s="3" t="inlineStr">
        <is>
          <t>年齢区分</t>
        </is>
      </c>
      <c r="B6" s="3" t="inlineStr">
        <is>
          <t>令和8年
人口</t>
        </is>
      </c>
      <c r="C6" s="3" t="inlineStr">
        <is>
          <t>令和8年
所持者数</t>
        </is>
      </c>
      <c r="D6" s="3" t="inlineStr">
        <is>
          <t>所持率</t>
        </is>
      </c>
      <c r="E6" s="3" t="inlineStr">
        <is>
          <t>令和11年
人口</t>
        </is>
      </c>
      <c r="F6" s="3" t="inlineStr">
        <is>
          <t>令和11年
推計</t>
        </is>
      </c>
      <c r="G6" s="3" t="inlineStr"/>
      <c r="H6" s="3" t="inlineStr">
        <is>
          <t>備考</t>
        </is>
      </c>
    </row>
    <row r="7" ht="26" customHeight="1">
      <c r="A7" s="4" t="inlineStr">
        <is>
          <t>0〜17歳</t>
        </is>
      </c>
      <c r="B7" s="21" t="n"/>
      <c r="C7" s="21" t="n"/>
      <c r="D7" s="25">
        <f>IFERROR(C7/B7,"")</f>
        <v/>
      </c>
      <c r="E7" s="21" t="n"/>
      <c r="F7" s="18">
        <f>IFERROR(ROUND(D7*E7,0),"")</f>
        <v/>
      </c>
      <c r="G7" s="4" t="inlineStr"/>
      <c r="H7" s="4" t="inlineStr">
        <is>
          <t>障がい児支援の対象年齢。就学状況とあわせて確認する</t>
        </is>
      </c>
    </row>
    <row r="8" ht="26" customHeight="1">
      <c r="A8" s="8" t="inlineStr">
        <is>
          <t>18〜39歳</t>
        </is>
      </c>
      <c r="B8" s="21" t="n"/>
      <c r="C8" s="21" t="n"/>
      <c r="D8" s="25">
        <f>IFERROR(C8/B8,"")</f>
        <v/>
      </c>
      <c r="E8" s="21" t="n"/>
      <c r="F8" s="18">
        <f>IFERROR(ROUND(D8*E8,0),"")</f>
        <v/>
      </c>
      <c r="G8" s="8" t="inlineStr"/>
      <c r="H8" s="8" t="inlineStr">
        <is>
          <t>就労・日中活動の中心層</t>
        </is>
      </c>
    </row>
    <row r="9" ht="26" customHeight="1">
      <c r="A9" s="4" t="inlineStr">
        <is>
          <t>40〜64歳</t>
        </is>
      </c>
      <c r="B9" s="21" t="n"/>
      <c r="C9" s="21" t="n"/>
      <c r="D9" s="25">
        <f>IFERROR(C9/B9,"")</f>
        <v/>
      </c>
      <c r="E9" s="21" t="n"/>
      <c r="F9" s="18">
        <f>IFERROR(ROUND(D9*E9,0),"")</f>
        <v/>
      </c>
      <c r="G9" s="4" t="inlineStr"/>
      <c r="H9" s="4" t="inlineStr">
        <is>
          <t>特定疾病により介護保険第2号被保険者となる可能性がある層</t>
        </is>
      </c>
    </row>
    <row r="10" ht="26" customHeight="1">
      <c r="A10" s="8" t="inlineStr">
        <is>
          <t>65〜74歳</t>
        </is>
      </c>
      <c r="B10" s="21" t="n"/>
      <c r="C10" s="21" t="n"/>
      <c r="D10" s="25">
        <f>IFERROR(C10/B10,"")</f>
        <v/>
      </c>
      <c r="E10" s="21" t="n"/>
      <c r="F10" s="18">
        <f>IFERROR(ROUND(D10*E10,0),"")</f>
        <v/>
      </c>
      <c r="G10" s="8" t="inlineStr"/>
      <c r="H10" s="8" t="inlineStr">
        <is>
          <t>介護保険優先原則の対象。前期高齢者</t>
        </is>
      </c>
    </row>
    <row r="11" ht="26" customHeight="1">
      <c r="A11" s="4" t="inlineStr">
        <is>
          <t>75歳以上</t>
        </is>
      </c>
      <c r="B11" s="21" t="n"/>
      <c r="C11" s="21" t="n"/>
      <c r="D11" s="25">
        <f>IFERROR(C11/B11,"")</f>
        <v/>
      </c>
      <c r="E11" s="21" t="n"/>
      <c r="F11" s="18">
        <f>IFERROR(ROUND(D11*E11,0),"")</f>
        <v/>
      </c>
      <c r="G11" s="4" t="inlineStr"/>
      <c r="H11" s="4" t="inlineStr">
        <is>
          <t>後期高齢者。人口が増えるため所持者数も増える可能性が高い</t>
        </is>
      </c>
    </row>
    <row r="12">
      <c r="A12" s="22" t="inlineStr">
        <is>
          <t>合計</t>
        </is>
      </c>
      <c r="B12" s="24">
        <f>SUM(B7:B11)</f>
        <v/>
      </c>
      <c r="C12" s="24">
        <f>SUM(C7:C11)</f>
        <v/>
      </c>
      <c r="D12" s="48">
        <f>IFERROR(C12/B12,"")</f>
        <v/>
      </c>
      <c r="E12" s="24">
        <f>SUM(E7:E11)</f>
        <v/>
      </c>
      <c r="F12" s="24">
        <f>SUM(F7:F11)</f>
        <v/>
      </c>
      <c r="G12" s="49" t="inlineStr"/>
      <c r="H12" s="49" t="inlineStr">
        <is>
          <t>方法A・方法B（03_手帳将来推計）と突合する</t>
        </is>
      </c>
    </row>
    <row r="14">
      <c r="A14" s="13" t="inlineStr">
        <is>
          <t>2. 療育手帳（3区分・コーホート移行）</t>
        </is>
      </c>
    </row>
    <row r="15" ht="30" customHeight="1">
      <c r="A15" s="3" t="inlineStr">
        <is>
          <t>年齢区分</t>
        </is>
      </c>
      <c r="B15" s="3" t="inlineStr">
        <is>
          <t>令和8年
人口</t>
        </is>
      </c>
      <c r="C15" s="3" t="inlineStr">
        <is>
          <t>令和8年
所持者数</t>
        </is>
      </c>
      <c r="D15" s="3" t="inlineStr">
        <is>
          <t>所持率</t>
        </is>
      </c>
      <c r="E15" s="3" t="inlineStr">
        <is>
          <t>令和11年
人口</t>
        </is>
      </c>
      <c r="F15" s="3" t="inlineStr">
        <is>
          <t>令和11年
推計</t>
        </is>
      </c>
      <c r="G15" s="3" t="inlineStr"/>
      <c r="H15" s="3" t="inlineStr">
        <is>
          <t>備考</t>
        </is>
      </c>
    </row>
    <row r="16">
      <c r="A16" s="4" t="inlineStr">
        <is>
          <t>18歳未満</t>
        </is>
      </c>
      <c r="B16" s="21" t="n"/>
      <c r="C16" s="21" t="n"/>
      <c r="D16" s="25">
        <f>IFERROR(C16/B16,"")</f>
        <v/>
      </c>
      <c r="E16" s="21" t="n"/>
      <c r="F16" s="18">
        <f>IFERROR(ROUND(D16*E16,0),"")</f>
        <v/>
      </c>
      <c r="G16" s="4" t="inlineStr"/>
      <c r="H16" s="4" t="inlineStr"/>
    </row>
    <row r="17">
      <c r="A17" s="8" t="inlineStr">
        <is>
          <t>18〜64歳</t>
        </is>
      </c>
      <c r="B17" s="21" t="n"/>
      <c r="C17" s="21" t="n"/>
      <c r="D17" s="25">
        <f>IFERROR(C17/B17,"")</f>
        <v/>
      </c>
      <c r="E17" s="21" t="n"/>
      <c r="F17" s="18">
        <f>IFERROR(ROUND(D17*E17,0),"")</f>
        <v/>
      </c>
      <c r="G17" s="8" t="inlineStr"/>
      <c r="H17" s="8" t="inlineStr"/>
    </row>
    <row r="18">
      <c r="A18" s="4" t="inlineStr">
        <is>
          <t>65歳以上</t>
        </is>
      </c>
      <c r="B18" s="21" t="n"/>
      <c r="C18" s="21" t="n"/>
      <c r="D18" s="25">
        <f>IFERROR(C18/B18,"")</f>
        <v/>
      </c>
      <c r="E18" s="21" t="n"/>
      <c r="F18" s="18">
        <f>IFERROR(ROUND(D18*E18,0),"")</f>
        <v/>
      </c>
      <c r="G18" s="4" t="inlineStr"/>
      <c r="H18" s="4" t="inlineStr"/>
    </row>
    <row r="19">
      <c r="A19" s="22" t="inlineStr">
        <is>
          <t>合計</t>
        </is>
      </c>
      <c r="B19" s="24">
        <f>SUM(B16:B18)</f>
        <v/>
      </c>
      <c r="C19" s="24">
        <f>SUM(C16:C18)</f>
        <v/>
      </c>
      <c r="D19" s="48">
        <f>IFERROR(C19/B19,"")</f>
        <v/>
      </c>
      <c r="E19" s="24">
        <f>SUM(E16:E18)</f>
        <v/>
      </c>
      <c r="F19" s="24">
        <f>SUM(F16:F18)</f>
        <v/>
      </c>
      <c r="G19" s="49" t="inlineStr"/>
      <c r="H19" s="49" t="inlineStr"/>
    </row>
    <row r="20" ht="30" customHeight="1">
      <c r="A20" s="2" t="inlineStr">
        <is>
          <t>18歳未満から18〜64歳、64歳から65歳以上への移動をコーホートとして追跡します。母数が小さいため、推計値は1人単位で丸めてください。</t>
        </is>
      </c>
    </row>
    <row r="22">
      <c r="A22" s="13" t="inlineStr">
        <is>
          <t>3. 精神障害者保健福祉手帳（3区分）</t>
        </is>
      </c>
    </row>
    <row r="23" ht="30" customHeight="1">
      <c r="A23" s="3" t="inlineStr">
        <is>
          <t>年齢区分</t>
        </is>
      </c>
      <c r="B23" s="3" t="inlineStr">
        <is>
          <t>令和8年
人口</t>
        </is>
      </c>
      <c r="C23" s="3" t="inlineStr">
        <is>
          <t>令和8年
所持者数</t>
        </is>
      </c>
      <c r="D23" s="3" t="inlineStr">
        <is>
          <t>所持率</t>
        </is>
      </c>
      <c r="E23" s="3" t="inlineStr">
        <is>
          <t>令和11年
人口</t>
        </is>
      </c>
      <c r="F23" s="3" t="inlineStr">
        <is>
          <t>令和11年
推計</t>
        </is>
      </c>
      <c r="G23" s="3" t="inlineStr"/>
      <c r="H23" s="3" t="inlineStr">
        <is>
          <t>備考</t>
        </is>
      </c>
    </row>
    <row r="24">
      <c r="A24" s="4" t="inlineStr">
        <is>
          <t>18歳未満</t>
        </is>
      </c>
      <c r="B24" s="21" t="n"/>
      <c r="C24" s="21" t="n"/>
      <c r="D24" s="25">
        <f>IFERROR(C24/B24,"")</f>
        <v/>
      </c>
      <c r="E24" s="21" t="n"/>
      <c r="F24" s="18">
        <f>IFERROR(ROUND(D24*E24,0),"")</f>
        <v/>
      </c>
      <c r="G24" s="4" t="inlineStr"/>
      <c r="H24" s="4" t="inlineStr"/>
    </row>
    <row r="25">
      <c r="A25" s="8" t="inlineStr">
        <is>
          <t>18〜64歳</t>
        </is>
      </c>
      <c r="B25" s="21" t="n"/>
      <c r="C25" s="21" t="n"/>
      <c r="D25" s="25">
        <f>IFERROR(C25/B25,"")</f>
        <v/>
      </c>
      <c r="E25" s="21" t="n"/>
      <c r="F25" s="18">
        <f>IFERROR(ROUND(D25*E25,0),"")</f>
        <v/>
      </c>
      <c r="G25" s="8" t="inlineStr"/>
      <c r="H25" s="8" t="inlineStr"/>
    </row>
    <row r="26">
      <c r="A26" s="4" t="inlineStr">
        <is>
          <t>65歳以上</t>
        </is>
      </c>
      <c r="B26" s="21" t="n"/>
      <c r="C26" s="21" t="n"/>
      <c r="D26" s="25">
        <f>IFERROR(C26/B26,"")</f>
        <v/>
      </c>
      <c r="E26" s="21" t="n"/>
      <c r="F26" s="18">
        <f>IFERROR(ROUND(D26*E26,0),"")</f>
        <v/>
      </c>
      <c r="G26" s="4" t="inlineStr"/>
      <c r="H26" s="4" t="inlineStr"/>
    </row>
    <row r="27">
      <c r="A27" s="22" t="inlineStr">
        <is>
          <t>合計</t>
        </is>
      </c>
      <c r="B27" s="24">
        <f>SUM(B24:B26)</f>
        <v/>
      </c>
      <c r="C27" s="24">
        <f>SUM(C24:C26)</f>
        <v/>
      </c>
      <c r="D27" s="48">
        <f>IFERROR(C27/B27,"")</f>
        <v/>
      </c>
      <c r="E27" s="24">
        <f>SUM(E24:E26)</f>
        <v/>
      </c>
      <c r="F27" s="24">
        <f>SUM(F24:F26)</f>
        <v/>
      </c>
      <c r="G27" s="49" t="inlineStr"/>
      <c r="H27" s="49" t="inlineStr"/>
    </row>
    <row r="28" ht="30" customHeight="1">
      <c r="A28" s="2" t="inlineStr">
        <is>
          <t>人口比だけでなく、過去3〜5年の交付数・新規交付・更新・返還・死亡・転出、及び自立支援医療受給者数を併用して補正します。</t>
        </is>
      </c>
    </row>
    <row r="30">
      <c r="A30" s="13" t="inlineStr">
        <is>
          <t>4. 手帳推計とサービス見込量の関係</t>
        </is>
      </c>
    </row>
    <row r="31" ht="30" customHeight="1">
      <c r="A31" s="2" t="inlineStr">
        <is>
          <t>・手帳所持者数の推計と、障害福祉サービス見込量の推計は分離します。手帳所持者数が増減しても、サービス利用者数が同じ割合で増減するとは限りません。</t>
        </is>
      </c>
    </row>
    <row r="32" ht="30" customHeight="1">
      <c r="A32" s="2" t="inlineStr">
        <is>
          <t>・サービス見込量は「北塩原村_サービス見込量.xlsx」の個別積上げによります。手帳推計はサービス見込量の直接の根拠ではなく、計画の基礎データ及び相談支援体制・権利擁護等の施策規模を考える材料として用います。</t>
        </is>
      </c>
    </row>
    <row r="33" ht="30" customHeight="1">
      <c r="A33" s="2" t="inlineStr">
        <is>
          <t>・北塩原村は母数が小さいため、推計値は1人単位で丸めます。小数点以下の統計値をそのまま計画値にしないでください。</t>
        </is>
      </c>
    </row>
  </sheetData>
  <mergeCells count="11">
    <mergeCell ref="A1:H1"/>
    <mergeCell ref="A30:H30"/>
    <mergeCell ref="A20:H20"/>
    <mergeCell ref="A2:H2"/>
    <mergeCell ref="A28:H28"/>
    <mergeCell ref="A33:H33"/>
    <mergeCell ref="A14:H14"/>
    <mergeCell ref="A5:H5"/>
    <mergeCell ref="A32:H32"/>
    <mergeCell ref="A31:H31"/>
    <mergeCell ref="A22:H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58" customWidth="1" min="3" max="3"/>
  </cols>
  <sheetData>
    <row r="1" ht="30" customHeight="1">
      <c r="A1" s="14" t="inlineStr">
        <is>
          <t>推計方法と前提</t>
        </is>
      </c>
    </row>
    <row r="2" ht="30" customHeight="1">
      <c r="A2" s="2" t="inlineStr">
        <is>
          <t>計画書 第2章及びアンケート調査報告書に転記するための、推計方法の説明です。</t>
        </is>
      </c>
    </row>
    <row r="5" ht="30" customHeight="1">
      <c r="A5" s="3" t="inlineStr">
        <is>
          <t>方法</t>
        </is>
      </c>
      <c r="B5" s="3" t="inlineStr">
        <is>
          <t>考え方</t>
        </is>
      </c>
      <c r="C5" s="3" t="inlineStr">
        <is>
          <t>特性・留意点</t>
        </is>
      </c>
    </row>
    <row r="6" ht="66" customHeight="1">
      <c r="A6" s="4" t="inlineStr">
        <is>
          <t>方法A　トレンド延長法</t>
        </is>
      </c>
      <c r="B6" s="4" t="inlineStr">
        <is>
          <t>手帳所持者数（実数）の推移を直線回帰し、令和9〜11年度まで延長する。回帰の対象期間は実績が入力されている年数（現在は平成31〜令和5年の5か年）に自動的に追随する。</t>
        </is>
      </c>
      <c r="C6" s="4" t="inlineStr">
        <is>
          <t>直近の実数の動きをそのまま反映するが、単年の変動に引きずられやすい。北塩原村のように母数が小さい場合、1〜2人の増減が傾きに影響する。</t>
        </is>
      </c>
    </row>
    <row r="7" ht="66" customHeight="1">
      <c r="A7" s="8" t="inlineStr">
        <is>
          <t>方法B　所持率法</t>
        </is>
      </c>
      <c r="B7" s="8" t="inlineStr">
        <is>
          <t>基準年（現在は令和5年）の人口に対する手帳所持率が今後も一定と仮定し、村公式の将来人口推計（こども・子育て計画のコーホート変化率法）に乗じる。</t>
        </is>
      </c>
      <c r="C7" s="8" t="inlineStr">
        <is>
          <t>人口減少の影響を反映するが、所持率自体の変化（精神の増加傾向等）は捉えない。人口推計が村公式値であるため、村の他計画と整合が取りやすい。</t>
        </is>
      </c>
    </row>
    <row r="8" ht="66" customHeight="1">
      <c r="A8" s="4" t="inlineStr">
        <is>
          <t>中位推計</t>
        </is>
      </c>
      <c r="B8" s="4" t="inlineStr">
        <is>
          <t>方法Aと方法Bの単純平均。</t>
        </is>
      </c>
      <c r="C8" s="4" t="inlineStr">
        <is>
          <t>前提の異なる2手法の平均であり、それ自体に理論的裏付けはない。計画書ではA〜Bの幅を主に示し、中位は参考値とする。</t>
        </is>
      </c>
    </row>
    <row r="9" ht="66" customHeight="1">
      <c r="A9" s="8" t="inlineStr">
        <is>
          <t>方法C　年齢階級別所持率法
（村資料受領後の正式版）</t>
        </is>
      </c>
      <c r="B9" s="8" t="inlineStr">
        <is>
          <t>年齢区分別人口 × 年齢区分別手帳所持率。身体障害者手帳は0〜17歳／18〜39歳／40〜64歳／65〜74歳／75歳以上の5区分、療育手帳・精神障害者保健福祉手帳は18歳未満／18〜64歳／65歳以上の3区分。</t>
        </is>
      </c>
      <c r="C9" s="8" t="inlineStr">
        <is>
          <t>年齢構成の変化を織り込めるため、総人口を分母とする方法Bの欠点を解消する。療育手帳はコーホート移行（18歳未満→18〜64歳→65歳以上）を反映する。精神障害者保健福祉手帳は人口比だけでなく交付数・新規交付・更新・返還等の実績を併用する。村から年齢階級別の手帳所持者数を受領した時点で、本方法を正式版とする（05_年齢階級別推計）。</t>
        </is>
      </c>
    </row>
    <row r="11">
      <c r="A11" s="13" t="inlineStr">
        <is>
          <t>人口推計の前提</t>
        </is>
      </c>
    </row>
    <row r="12" ht="30" customHeight="1">
      <c r="A12" s="2" t="inlineStr">
        <is>
          <t>・令和11年の人口は、北塩原村こども・子育て計画（令和7年3月策定）が示すコーホート変化率法による村公式推計を用いています（総人口2,185人、年少111人、生産年齢1,023人、老年1,051人、高齢化率48.1％）。</t>
        </is>
      </c>
    </row>
    <row r="13" ht="30" customHeight="1">
      <c r="A13" s="2" t="inlineStr">
        <is>
          <t>・令和7〜10年は、令和6年実績（2,394人）と令和11年公式推計（2,185人）の線形補間です。村独自の人口ビジョンや社人研推計がある場合は、そちらに置き換えて再計算してください。</t>
        </is>
      </c>
    </row>
    <row r="14" ht="30" customHeight="1">
      <c r="A14" s="2" t="inlineStr">
        <is>
          <t>・計画素案第9稿では、平成31〜令和5年の人口減少率をそのまま延長した簡易推計を方法Bに用いていました。本ブックでは村公式推計に統一しています。</t>
        </is>
      </c>
    </row>
  </sheetData>
  <mergeCells count="6">
    <mergeCell ref="A13:C13"/>
    <mergeCell ref="A11:C11"/>
    <mergeCell ref="A1:C1"/>
    <mergeCell ref="A14:C14"/>
    <mergeCell ref="A12:C12"/>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8" customWidth="1" min="1" max="1"/>
    <col width="52" customWidth="1" min="2" max="2"/>
    <col width="26" customWidth="1" min="3" max="3"/>
    <col width="12" customWidth="1" min="4" max="4"/>
    <col width="34" customWidth="1" min="5" max="5"/>
  </cols>
  <sheetData>
    <row r="1" ht="30" customHeight="1">
      <c r="A1" s="14" t="inlineStr">
        <is>
          <t>村への確認・依頼事項（将来推計関係）</t>
        </is>
      </c>
    </row>
    <row r="2" ht="30" customHeight="1">
      <c r="A2" s="2" t="inlineStr">
        <is>
          <t>受領・確認が済んだものは「状態」を更新し、反映先シートに入力してください。</t>
        </is>
      </c>
    </row>
    <row r="5" ht="30" customHeight="1">
      <c r="A5" s="3" t="inlineStr">
        <is>
          <t>確認事項</t>
        </is>
      </c>
      <c r="B5" s="3" t="inlineStr">
        <is>
          <t>確認したい内容</t>
        </is>
      </c>
      <c r="C5" s="3" t="inlineStr">
        <is>
          <t>使途・反映先</t>
        </is>
      </c>
      <c r="D5" s="3" t="inlineStr">
        <is>
          <t>優先度</t>
        </is>
      </c>
      <c r="E5" s="3" t="inlineStr">
        <is>
          <t>状態・回答</t>
        </is>
      </c>
    </row>
    <row r="6" ht="42" customHeight="1">
      <c r="A6" s="4" t="inlineStr">
        <is>
          <t>令和6・7・8年度の手帳所持者数（Ｍ-113）</t>
        </is>
      </c>
      <c r="B6" s="4" t="inlineStr">
        <is>
          <t>身体・療育・精神の各年4月1日現在の所持者数と、その出所。正本（第2章2）の令和8年4月の値（身体127人・療育16人・精神38人＝181人）は、他メンバー版のワークシートでは「R6〜R8は推計」と注記された仮置き値であり、村の台帳による確定値ではない。令和8年も含めて照会する。平成31年〜令和5年（現行計画本編）と同じ数え方であるかもあわせて確かめる（村外の施設に入所している方等の取扱い）。</t>
        </is>
      </c>
      <c r="C6" s="4" t="inlineStr">
        <is>
          <t>02_手帳実績／03_手帳将来推計</t>
        </is>
      </c>
      <c r="D6" s="6" t="inlineStr">
        <is>
          <t>最優先</t>
        </is>
      </c>
      <c r="E6" s="50" t="inlineStr">
        <is>
          <t>村資料待ち</t>
        </is>
      </c>
    </row>
    <row r="7" ht="42" customHeight="1">
      <c r="A7" s="8" t="inlineStr">
        <is>
          <t>年齢階級別の手帳所持者数</t>
        </is>
      </c>
      <c r="B7" s="8" t="inlineStr">
        <is>
          <t>身体は0〜17歳／18〜39歳／40〜64歳／65〜74歳／75歳以上、療育・精神は18歳未満／18〜64歳／65歳以上の区分。方法C（年齢階級別所持率法）へ切り替えるために必須。</t>
        </is>
      </c>
      <c r="C7" s="8" t="inlineStr">
        <is>
          <t>05_年齢階級別推計</t>
        </is>
      </c>
      <c r="D7" s="10" t="inlineStr">
        <is>
          <t>最優先</t>
        </is>
      </c>
      <c r="E7" s="50" t="inlineStr">
        <is>
          <t>村資料待ち</t>
        </is>
      </c>
    </row>
    <row r="8" ht="42" customHeight="1">
      <c r="A8" s="4" t="inlineStr">
        <is>
          <t>年齢階級別の人口</t>
        </is>
      </c>
      <c r="B8" s="4" t="inlineStr">
        <is>
          <t>令和8年及び令和11年の年齢階級別人口。上記と同じ区分。こども・子育て計画の推計に年齢階級別の内訳があればそれを用いる。</t>
        </is>
      </c>
      <c r="C8" s="4" t="inlineStr">
        <is>
          <t>05_年齢階級別推計</t>
        </is>
      </c>
      <c r="D8" s="6" t="inlineStr">
        <is>
          <t>最優先</t>
        </is>
      </c>
      <c r="E8" s="50" t="inlineStr">
        <is>
          <t>村資料待ち</t>
        </is>
      </c>
    </row>
    <row r="9" ht="42" customHeight="1">
      <c r="A9" s="8" t="inlineStr">
        <is>
          <t>令和2〜4年、令和7〜8年の人口</t>
        </is>
      </c>
      <c r="B9" s="8" t="inlineStr">
        <is>
          <t>総人口・年少人口・生産年齢人口・老年人口（各年4月1日現在）。</t>
        </is>
      </c>
      <c r="C9" s="8" t="inlineStr">
        <is>
          <t>01_人口推計</t>
        </is>
      </c>
      <c r="D9" s="10" t="inlineStr">
        <is>
          <t>高</t>
        </is>
      </c>
      <c r="E9" s="50" t="inlineStr">
        <is>
          <t>村資料待ち</t>
        </is>
      </c>
    </row>
    <row r="10" ht="42" customHeight="1">
      <c r="A10" s="4" t="inlineStr">
        <is>
          <t>【解消を取り消し】調査対象者数と手帳所持者数の差異</t>
        </is>
      </c>
      <c r="B10" s="4" t="inlineStr">
        <is>
          <t>令和8年10月10日に、仕様書の約190人（身体約130・精神約40・療育約20）は正本 第2章2 の181人とほぼ一致するので実数であったと考えられる、として解消していた。しかし正本の181人は、他メンバー版のワークシートでは令和6〜8年が推計と注記されており、その推計の目安が仕様書の約190人そのものである。約190人で作った値を根拠に約190人を実数と結論しており循環していた。令和8年10月13日に解消を取り消す。</t>
        </is>
      </c>
      <c r="C10" s="4" t="inlineStr">
        <is>
          <t>02_手帳実績</t>
        </is>
      </c>
      <c r="D10" s="6" t="inlineStr">
        <is>
          <t>最優先</t>
        </is>
      </c>
      <c r="E10" s="6" t="inlineStr">
        <is>
          <t>未解消（Ｍ-113で照会）</t>
        </is>
      </c>
    </row>
    <row r="11" ht="42" customHeight="1">
      <c r="A11" s="8" t="inlineStr">
        <is>
          <t>令和11年度の中位推計のやり直し</t>
        </is>
      </c>
      <c r="B11" s="8" t="inlineStr">
        <is>
          <t>本ブックの中位推計（合計145人）は平成31年〜令和5年の減少を延ばしたものである。正本 第2章2 の181人は仮置き値であるため、減少を前提とした推計が成り立つかどうかを確かめられない。令和6・7・8年の実数を村の手帳台帳から受領したうえで、第2次算定で推計をやり直す。令和11年の合計は仮説の置き方により139人から206人まで67人の幅がある（レビュー対応_第3回 02_手帳推計）。概要版は令和11年度の見通しを載せず、やり直す旨を注記した。</t>
        </is>
      </c>
      <c r="C11" s="8" t="inlineStr">
        <is>
          <t>03_手帳将来推計／概要版 第5節</t>
        </is>
      </c>
      <c r="D11" s="10" t="inlineStr">
        <is>
          <t>最優先</t>
        </is>
      </c>
      <c r="E11" s="10" t="inlineStr">
        <is>
          <t>Ｍ-113の回答待ち</t>
        </is>
      </c>
    </row>
    <row r="12" ht="42" customHeight="1">
      <c r="A12" s="4" t="inlineStr">
        <is>
          <t>村独自の人口ビジョン・将来推計</t>
        </is>
      </c>
      <c r="B12" s="4" t="inlineStr">
        <is>
          <t>総合振興計画の人口ビジョン、社人研推計等がある場合はその数値。</t>
        </is>
      </c>
      <c r="C12" s="4" t="inlineStr">
        <is>
          <t>01_人口推計／06_推計方法</t>
        </is>
      </c>
      <c r="D12" s="6" t="inlineStr">
        <is>
          <t>中</t>
        </is>
      </c>
      <c r="E12" s="50" t="inlineStr">
        <is>
          <t>村資料待ち</t>
        </is>
      </c>
    </row>
    <row r="13" ht="42" customHeight="1">
      <c r="A13" s="8" t="inlineStr">
        <is>
          <t>身体障害者手帳の減少要因</t>
        </is>
      </c>
      <c r="B13" s="8" t="inlineStr">
        <is>
          <t>老年人口が横ばい〜微減である一方、身体障害者手帳所持者数が減少している要因。手帳更新時期・制度改正・転出入・死亡等の影響を確認する。</t>
        </is>
      </c>
      <c r="C13" s="8" t="inlineStr">
        <is>
          <t>03_手帳将来推計／04_推計の不確実性</t>
        </is>
      </c>
      <c r="D13" s="10" t="inlineStr">
        <is>
          <t>中</t>
        </is>
      </c>
      <c r="E13" s="50" t="inlineStr">
        <is>
          <t>村資料待ち</t>
        </is>
      </c>
    </row>
    <row r="14" ht="42" customHeight="1">
      <c r="A14" s="4" t="inlineStr">
        <is>
          <t>精神障害者保健福祉手帳の増加要因</t>
        </is>
      </c>
      <c r="B14" s="4" t="inlineStr">
        <is>
          <t>所持者数・所持率とも増加傾向にある背景（受診機会の広がり、相談体制、新規申請の動向等）。</t>
        </is>
      </c>
      <c r="C14" s="4" t="inlineStr">
        <is>
          <t>03_手帳将来推計／相談支援施策</t>
        </is>
      </c>
      <c r="D14" s="6" t="inlineStr">
        <is>
          <t>中</t>
        </is>
      </c>
      <c r="E14" s="50" t="inlineStr">
        <is>
          <t>村資料待ち</t>
        </is>
      </c>
    </row>
    <row r="15" ht="42" customHeight="1">
      <c r="A15" s="8" t="inlineStr">
        <is>
          <t>障がい児の就学状況</t>
        </is>
      </c>
      <c r="B15" s="8" t="inlineStr">
        <is>
          <t>特別支援学校・特別支援学級の在籍者数（令和8年4月1日現在）、卒業予定年度。</t>
        </is>
      </c>
      <c r="C15" s="8" t="inlineStr">
        <is>
          <t>計画書 第2章／障がい児福祉計画</t>
        </is>
      </c>
      <c r="D15" s="10" t="inlineStr">
        <is>
          <t>中</t>
        </is>
      </c>
      <c r="E15" s="50" t="inlineStr">
        <is>
          <t>村資料待ち</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4" customWidth="1" min="3" max="3"/>
    <col width="14" customWidth="1" min="4" max="4"/>
    <col width="14" customWidth="1" min="5" max="5"/>
    <col width="58" customWidth="1" min="6" max="6"/>
  </cols>
  <sheetData>
    <row r="1" ht="30" customHeight="1">
      <c r="A1" s="14" t="inlineStr">
        <is>
          <t>福島県の精神障害者保健福祉手帳所持者数との比較</t>
        </is>
      </c>
    </row>
    <row r="2" ht="30" customHeight="1">
      <c r="A2" s="2" t="inlineStr">
        <is>
          <t>精神保健福祉資料（630調査）自治体票による福島県の所持者数。本村の精神障害者保健福祉手帳所持者数が5年間で約40%増加していることが県全体の傾向と比べてどうかを確認する。</t>
        </is>
      </c>
    </row>
    <row r="5">
      <c r="A5" s="13" t="inlineStr">
        <is>
          <t>1. 福島県の所持者数（630調査 自治体票）</t>
        </is>
      </c>
    </row>
    <row r="6" ht="30" customHeight="1">
      <c r="A6" s="3" t="inlineStr">
        <is>
          <t>年度</t>
        </is>
      </c>
      <c r="B6" s="3" t="inlineStr">
        <is>
          <t>所持者数</t>
        </is>
      </c>
      <c r="C6" s="3" t="inlineStr">
        <is>
          <t>1級</t>
        </is>
      </c>
      <c r="D6" s="3" t="inlineStr">
        <is>
          <t>2級</t>
        </is>
      </c>
      <c r="E6" s="3" t="inlineStr">
        <is>
          <t>3級</t>
        </is>
      </c>
      <c r="F6" s="3" t="inlineStr">
        <is>
          <t>備考</t>
        </is>
      </c>
    </row>
    <row r="7">
      <c r="A7" s="6" t="inlineStr">
        <is>
          <t>令和5年度</t>
        </is>
      </c>
      <c r="B7" s="15" t="n">
        <v>18002</v>
      </c>
      <c r="C7" s="15" t="n">
        <v>1469</v>
      </c>
      <c r="D7" s="15" t="n">
        <v>9443</v>
      </c>
      <c r="E7" s="15" t="n">
        <v>7090</v>
      </c>
      <c r="F7" s="4" t="inlineStr"/>
    </row>
    <row r="8">
      <c r="A8" s="10" t="inlineStr">
        <is>
          <t>令和7年度</t>
        </is>
      </c>
      <c r="B8" s="17" t="n">
        <v>19107</v>
      </c>
      <c r="C8" s="17" t="n">
        <v>1399</v>
      </c>
      <c r="D8" s="17" t="n">
        <v>9879</v>
      </c>
      <c r="E8" s="17" t="n">
        <v>7829</v>
      </c>
      <c r="F8" s="8" t="inlineStr"/>
    </row>
    <row r="9">
      <c r="A9" s="51" t="inlineStr">
        <is>
          <t>2年間の増減率</t>
        </is>
      </c>
      <c r="B9" s="52">
        <f>IFERROR(B8/B7-1,"")</f>
        <v/>
      </c>
      <c r="C9" s="52">
        <f>IFERROR(C8/C7-1,"")</f>
        <v/>
      </c>
      <c r="D9" s="52">
        <f>IFERROR(D8/D7-1,"")</f>
        <v/>
      </c>
      <c r="E9" s="52">
        <f>IFERROR(E8/E7-1,"")</f>
        <v/>
      </c>
      <c r="F9" s="49" t="inlineStr">
        <is>
          <t>令和5年度から令和7年度への変化</t>
        </is>
      </c>
    </row>
    <row r="11">
      <c r="A11" s="13" t="inlineStr">
        <is>
          <t>2. 本村との比較</t>
        </is>
      </c>
    </row>
    <row r="12" ht="30" customHeight="1">
      <c r="A12" s="3" t="inlineStr">
        <is>
          <t>区分</t>
        </is>
      </c>
      <c r="B12" s="3" t="inlineStr">
        <is>
          <t>起点</t>
        </is>
      </c>
      <c r="C12" s="3" t="inlineStr">
        <is>
          <t>直近</t>
        </is>
      </c>
      <c r="D12" s="3" t="inlineStr">
        <is>
          <t>増減率</t>
        </is>
      </c>
      <c r="E12" s="3" t="inlineStr">
        <is>
          <t>年平均</t>
        </is>
      </c>
      <c r="F12" s="3" t="inlineStr">
        <is>
          <t>評価</t>
        </is>
      </c>
    </row>
    <row r="13">
      <c r="A13" s="4" t="inlineStr">
        <is>
          <t>福島県（精神手帳所持者数）</t>
        </is>
      </c>
      <c r="B13" s="15" t="n">
        <v>18002</v>
      </c>
      <c r="C13" s="15" t="n">
        <v>19107</v>
      </c>
      <c r="D13" s="53">
        <f>IFERROR(C13/B13-1,"")</f>
        <v/>
      </c>
      <c r="E13" s="53">
        <f>IFERROR((C13/B13)^(1/2)-1,"")</f>
        <v/>
      </c>
      <c r="F13" s="4" t="inlineStr">
        <is>
          <t>令和5年度→令和7年度の2年間</t>
        </is>
      </c>
    </row>
    <row r="14">
      <c r="A14" s="8" t="inlineStr">
        <is>
          <t>本村（精神手帳所持者数）</t>
        </is>
      </c>
      <c r="B14" s="17" t="n">
        <v>24</v>
      </c>
      <c r="C14" s="17" t="n">
        <v>30</v>
      </c>
      <c r="D14" s="54">
        <f>IFERROR(C14/B14-1,"")</f>
        <v/>
      </c>
      <c r="E14" s="54">
        <f>IFERROR((C14/B14)^(1/4)-1,"")</f>
        <v/>
      </c>
      <c r="F14" s="8" t="inlineStr">
        <is>
          <t>平成31年→令和5年の4年間。母数が小さく1人の増減が3〜4%に相当する</t>
        </is>
      </c>
    </row>
    <row r="16" ht="44" customHeight="1">
      <c r="A16" s="2" t="inlineStr">
        <is>
          <t>※ 県・村とも精神障害者保健福祉手帳の所持者数は増加しており、方法B（所持率一定）が精神で成り立たないという本ブック03・04の判断と方向が一致する。</t>
        </is>
      </c>
    </row>
    <row r="17" ht="44" customHeight="1">
      <c r="A17" s="2" t="inlineStr">
        <is>
          <t>※ 期間が異なる（県は2年、村は4年）ため直接比較はできない。年平均で比較する。</t>
        </is>
      </c>
    </row>
    <row r="18" ht="44" customHeight="1">
      <c r="A18" s="2" t="inlineStr">
        <is>
          <t>※【検討したが採用しなかった方法】630調査 自治体票には手帳の「交付件数」の性年齢階級別内訳があるが（福島県 令和7年度1,016件）、これは所持者数19,107人の約5%にすぎず、2年更新の制度であることを踏まえると新規交付のみと考えられる。新規交付は40歳以上65歳未満が約48%を占め、所持者全体の年齢構成とは異なる。このため、県の交付件数の年齢構成を本村の所持者に当てはめる方法は採らない。年齢階級別の推計（方法C）には、引き続き村の年齢階級別所持者数が必要である。</t>
        </is>
      </c>
    </row>
  </sheetData>
  <mergeCells count="7">
    <mergeCell ref="A16:F16"/>
    <mergeCell ref="A2:F2"/>
    <mergeCell ref="A11:F11"/>
    <mergeCell ref="A1:F1"/>
    <mergeCell ref="A5:F5"/>
    <mergeCell ref="A17:F17"/>
    <mergeCell ref="A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2026-10-23T05:29:29Z</dcterms:created>
  <dcterms:modified xmlns:dcterms="http://purl.org/dc/terms/" xmlns:xsi="http://www.w3.org/2001/XMLSchema-instance" xsi:type="dcterms:W3CDTF">2026-10-23T05:29:29Z</dcterms:modified>
</cp:coreProperties>
</file>