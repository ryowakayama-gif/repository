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0;-0.00"/>
    <numFmt numFmtId="167" formatCode="0.000"/>
    <numFmt numFmtId="168" formatCode="+0;-0"/>
    <numFmt numFmtId="169" formatCode="+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9" borderId="1" applyAlignment="1" pivotButton="0" quotePrefix="0" xfId="0">
      <alignment horizontal="right"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現行計画本編・関連計画より</t>
        </is>
      </c>
    </row>
    <row r="7">
      <c r="A7" s="10" t="inlineStr">
        <is>
          <t>令和2年</t>
        </is>
      </c>
      <c r="B7" s="10" t="n">
        <v>2020</v>
      </c>
      <c r="C7" s="10" t="inlineStr">
        <is>
          <t>実績</t>
        </is>
      </c>
      <c r="D7" s="17" t="n"/>
      <c r="E7" s="17" t="n"/>
      <c r="F7" s="17" t="n"/>
      <c r="G7" s="17" t="n"/>
      <c r="H7" s="16">
        <f>IFERROR(G7/D7,"")</f>
        <v/>
      </c>
      <c r="I7" s="8" t="inlineStr">
        <is>
          <t>村資料待ち</t>
        </is>
      </c>
    </row>
    <row r="8">
      <c r="A8" s="6" t="inlineStr">
        <is>
          <t>令和3年</t>
        </is>
      </c>
      <c r="B8" s="6" t="n">
        <v>2021</v>
      </c>
      <c r="C8" s="6" t="inlineStr">
        <is>
          <t>実績</t>
        </is>
      </c>
      <c r="D8" s="17" t="n"/>
      <c r="E8" s="17" t="n"/>
      <c r="F8" s="17" t="n"/>
      <c r="G8" s="15" t="n">
        <v>1006</v>
      </c>
      <c r="H8" s="16">
        <f>IFERROR(G8/D8,"")</f>
        <v/>
      </c>
      <c r="I8" s="4" t="inlineStr">
        <is>
          <t>老年人口はこの年（1,006人）をピークに減少に転じている</t>
        </is>
      </c>
    </row>
    <row r="9">
      <c r="A9" s="10" t="inlineStr">
        <is>
          <t>令和4年</t>
        </is>
      </c>
      <c r="B9" s="10" t="n">
        <v>2022</v>
      </c>
      <c r="C9" s="10" t="inlineStr">
        <is>
          <t>実績</t>
        </is>
      </c>
      <c r="D9" s="17" t="n"/>
      <c r="E9" s="17" t="n"/>
      <c r="F9" s="17" t="n"/>
      <c r="G9" s="17" t="n"/>
      <c r="H9" s="16">
        <f>IFERROR(G9/D9,"")</f>
        <v/>
      </c>
      <c r="I9" s="8" t="inlineStr">
        <is>
          <t>村資料待ち</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現行計画本編より。手帳所持率の基準年</t>
        </is>
      </c>
    </row>
    <row r="11">
      <c r="A11" s="10" t="inlineStr">
        <is>
          <t>令和6年</t>
        </is>
      </c>
      <c r="B11" s="10" t="n">
        <v>2024</v>
      </c>
      <c r="C11" s="10" t="inlineStr">
        <is>
          <t>実績</t>
        </is>
      </c>
      <c r="D11" s="18" t="n">
        <v>2394</v>
      </c>
      <c r="E11" s="18" t="n">
        <v>180</v>
      </c>
      <c r="F11" s="18" t="n">
        <v>1223</v>
      </c>
      <c r="G11" s="18" t="n">
        <v>991</v>
      </c>
      <c r="H11" s="16">
        <f>IFERROR(G11/D11,"")</f>
        <v/>
      </c>
      <c r="I11" s="8" t="inlineStr">
        <is>
          <t>こども・子育て計画 第2章</t>
        </is>
      </c>
    </row>
    <row r="12">
      <c r="A12" s="6" t="inlineStr">
        <is>
          <t>令和7年</t>
        </is>
      </c>
      <c r="B12" s="6" t="n">
        <v>2025</v>
      </c>
      <c r="C12" s="6" t="inlineStr">
        <is>
          <t>補間推計</t>
        </is>
      </c>
      <c r="D12" s="19">
        <f>ROUND($D$11+($D$16-$D$11)*1/5,0)</f>
        <v/>
      </c>
      <c r="E12" s="19">
        <f>ROUND($E$11+($E$16-$E$11)*1/5,0)</f>
        <v/>
      </c>
      <c r="F12" s="19">
        <f>ROUND($F$11+($F$16-$F$11)*1/5,0)</f>
        <v/>
      </c>
      <c r="G12" s="19">
        <f>ROUND($G$11+($G$16-$G$11)*1/5,0)</f>
        <v/>
      </c>
      <c r="H12" s="16">
        <f>IFERROR(G12/D12,"")</f>
        <v/>
      </c>
      <c r="I12" s="4" t="inlineStr">
        <is>
          <t>令和6年実績と令和11年公式推計の線形補間</t>
        </is>
      </c>
    </row>
    <row r="13">
      <c r="A13" s="10" t="inlineStr">
        <is>
          <t>令和8年</t>
        </is>
      </c>
      <c r="B13" s="10" t="n">
        <v>2026</v>
      </c>
      <c r="C13" s="10" t="inlineStr">
        <is>
          <t>補間推計</t>
        </is>
      </c>
      <c r="D13" s="19">
        <f>ROUND($D$11+($D$16-$D$11)*2/5,0)</f>
        <v/>
      </c>
      <c r="E13" s="19">
        <f>ROUND($E$11+($E$16-$E$11)*2/5,0)</f>
        <v/>
      </c>
      <c r="F13" s="19">
        <f>ROUND($F$11+($F$16-$F$11)*2/5,0)</f>
        <v/>
      </c>
      <c r="G13" s="19">
        <f>ROUND($G$11+($G$16-$G$11)*2/5,0)</f>
        <v/>
      </c>
      <c r="H13" s="16">
        <f>IFERROR(G13/D13,"")</f>
        <v/>
      </c>
      <c r="I13" s="8" t="inlineStr">
        <is>
          <t>同上</t>
        </is>
      </c>
    </row>
    <row r="14">
      <c r="A14" s="6" t="inlineStr">
        <is>
          <t>令和9年</t>
        </is>
      </c>
      <c r="B14" s="6" t="n">
        <v>2027</v>
      </c>
      <c r="C14" s="6" t="inlineStr">
        <is>
          <t>補間推計</t>
        </is>
      </c>
      <c r="D14" s="19">
        <f>ROUND($D$11+($D$16-$D$11)*3/5,0)</f>
        <v/>
      </c>
      <c r="E14" s="19">
        <f>ROUND($E$11+($E$16-$E$11)*3/5,0)</f>
        <v/>
      </c>
      <c r="F14" s="19">
        <f>ROUND($F$11+($F$16-$F$11)*3/5,0)</f>
        <v/>
      </c>
      <c r="G14" s="19">
        <f>ROUND($G$11+($G$16-$G$11)*3/5,0)</f>
        <v/>
      </c>
      <c r="H14" s="16">
        <f>IFERROR(G14/D14,"")</f>
        <v/>
      </c>
      <c r="I14" s="4" t="inlineStr">
        <is>
          <t>同上／次期計画1年目</t>
        </is>
      </c>
    </row>
    <row r="15">
      <c r="A15" s="10" t="inlineStr">
        <is>
          <t>令和10年</t>
        </is>
      </c>
      <c r="B15" s="10" t="n">
        <v>2028</v>
      </c>
      <c r="C15" s="10" t="inlineStr">
        <is>
          <t>補間推計</t>
        </is>
      </c>
      <c r="D15" s="19">
        <f>ROUND($D$11+($D$16-$D$11)*4/5,0)</f>
        <v/>
      </c>
      <c r="E15" s="19">
        <f>ROUND($E$11+($E$16-$E$11)*4/5,0)</f>
        <v/>
      </c>
      <c r="F15" s="19">
        <f>ROUND($F$11+($F$16-$F$11)*4/5,0)</f>
        <v/>
      </c>
      <c r="G15" s="19">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20" t="inlineStr">
        <is>
          <t>西暦（数式参照用）</t>
        </is>
      </c>
      <c r="C4" s="21" t="n">
        <v>2019</v>
      </c>
      <c r="D4" s="21" t="n">
        <v>2020</v>
      </c>
      <c r="E4" s="21" t="n">
        <v>2021</v>
      </c>
      <c r="F4" s="21" t="n">
        <v>2022</v>
      </c>
      <c r="G4" s="21" t="n">
        <v>2023</v>
      </c>
      <c r="H4" s="21" t="n">
        <v>2024</v>
      </c>
      <c r="I4" s="21" t="n">
        <v>2025</v>
      </c>
      <c r="J4" s="21"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17" t="n"/>
      <c r="I6" s="17" t="n"/>
      <c r="J6" s="17" t="n"/>
      <c r="K6" s="4" t="inlineStr">
        <is>
          <t>緩やかな減少傾向（高齢化に伴う死亡等の影響を含む）</t>
        </is>
      </c>
    </row>
    <row r="7">
      <c r="A7" s="8" t="inlineStr">
        <is>
          <t>療育手帳</t>
        </is>
      </c>
      <c r="B7" s="10" t="inlineStr">
        <is>
          <t>人</t>
        </is>
      </c>
      <c r="C7" s="18" t="n">
        <v>13</v>
      </c>
      <c r="D7" s="18" t="n">
        <v>13</v>
      </c>
      <c r="E7" s="18" t="n">
        <v>14</v>
      </c>
      <c r="F7" s="18" t="n">
        <v>12</v>
      </c>
      <c r="G7" s="18" t="n">
        <v>12</v>
      </c>
      <c r="H7" s="17" t="n"/>
      <c r="I7" s="17" t="n"/>
      <c r="J7" s="17" t="n"/>
      <c r="K7" s="8" t="inlineStr">
        <is>
          <t>横ばい</t>
        </is>
      </c>
    </row>
    <row r="8">
      <c r="A8" s="4" t="inlineStr">
        <is>
          <t>精神障害者保健福祉手帳</t>
        </is>
      </c>
      <c r="B8" s="6" t="inlineStr">
        <is>
          <t>人</t>
        </is>
      </c>
      <c r="C8" s="15" t="n">
        <v>24</v>
      </c>
      <c r="D8" s="15" t="n">
        <v>28</v>
      </c>
      <c r="E8" s="15" t="n">
        <v>27</v>
      </c>
      <c r="F8" s="15" t="n">
        <v>26</v>
      </c>
      <c r="G8" s="15" t="n">
        <v>30</v>
      </c>
      <c r="H8" s="17" t="n"/>
      <c r="I8" s="17" t="n"/>
      <c r="J8" s="17"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9">
        <f>'01_人口推計'!D6</f>
        <v/>
      </c>
      <c r="D12" s="19">
        <f>'01_人口推計'!D7</f>
        <v/>
      </c>
      <c r="E12" s="19">
        <f>'01_人口推計'!D8</f>
        <v/>
      </c>
      <c r="F12" s="19">
        <f>'01_人口推計'!D9</f>
        <v/>
      </c>
      <c r="G12" s="19">
        <f>'01_人口推計'!D10</f>
        <v/>
      </c>
      <c r="H12" s="19">
        <f>'01_人口推計'!D11</f>
        <v/>
      </c>
      <c r="I12" s="19">
        <f>'01_人口推計'!D12</f>
        <v/>
      </c>
      <c r="J12" s="19">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9">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9">
        <f>IFERROR(ROUND(FORECAST.LINEAR(2027,OFFSET('02_手帳実績'!$C$6,0,0,1,COUNT('02_手帳実績'!$C$6:$J$6)),OFFSET('02_手帳実績'!$C$4,0,0,1,COUNT('02_手帳実績'!$C$6:$J$6))),0),"")</f>
        <v/>
      </c>
      <c r="D7" s="19">
        <f>IFERROR(ROUND(FORECAST.LINEAR(2028,OFFSET('02_手帳実績'!$C$6,0,0,1,COUNT('02_手帳実績'!$C$6:$J$6)),OFFSET('02_手帳実績'!$C$4,0,0,1,COUNT('02_手帳実績'!$C$6:$J$6))),0),"")</f>
        <v/>
      </c>
      <c r="E7" s="19">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9">
        <f>IFERROR(ROUND($F8*'01_人口推計'!$D$14,0),"")</f>
        <v/>
      </c>
      <c r="D8" s="19">
        <f>IFERROR(ROUND($F8*'01_人口推計'!$D$15,0),"")</f>
        <v/>
      </c>
      <c r="E8" s="19">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9">
        <f>IFERROR(ROUND(FORECAST.LINEAR(2027,OFFSET('02_手帳実績'!$C$7,0,0,1,COUNT('02_手帳実績'!$C$7:$J$7)),OFFSET('02_手帳実績'!$C$4,0,0,1,COUNT('02_手帳実績'!$C$7:$J$7))),0),"")</f>
        <v/>
      </c>
      <c r="D10" s="19">
        <f>IFERROR(ROUND(FORECAST.LINEAR(2028,OFFSET('02_手帳実績'!$C$7,0,0,1,COUNT('02_手帳実績'!$C$7:$J$7)),OFFSET('02_手帳実績'!$C$4,0,0,1,COUNT('02_手帳実績'!$C$7:$J$7))),0),"")</f>
        <v/>
      </c>
      <c r="E10" s="19">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9">
        <f>IFERROR(ROUND($F11*'01_人口推計'!$D$14,0),"")</f>
        <v/>
      </c>
      <c r="D11" s="19">
        <f>IFERROR(ROUND($F11*'01_人口推計'!$D$15,0),"")</f>
        <v/>
      </c>
      <c r="E11" s="19">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9">
        <f>IFERROR(ROUND(FORECAST.LINEAR(2027,OFFSET('02_手帳実績'!$C$8,0,0,1,COUNT('02_手帳実績'!$C$8:$J$8)),OFFSET('02_手帳実績'!$C$4,0,0,1,COUNT('02_手帳実績'!$C$8:$J$8))),0),"")</f>
        <v/>
      </c>
      <c r="D13" s="19">
        <f>IFERROR(ROUND(FORECAST.LINEAR(2028,OFFSET('02_手帳実績'!$C$8,0,0,1,COUNT('02_手帳実績'!$C$8:$J$8)),OFFSET('02_手帳実績'!$C$4,0,0,1,COUNT('02_手帳実績'!$C$8:$J$8))),0),"")</f>
        <v/>
      </c>
      <c r="E13" s="19">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9">
        <f>IFERROR(ROUND($F14*'01_人口推計'!$D$14,0),"")</f>
        <v/>
      </c>
      <c r="D14" s="19">
        <f>IFERROR(ROUND($F14*'01_人口推計'!$D$15,0),"")</f>
        <v/>
      </c>
      <c r="E14" s="19">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8" t="n">
        <v>106</v>
      </c>
      <c r="D28" s="18" t="n">
        <v>104</v>
      </c>
      <c r="E28" s="18"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8" t="n">
        <v>11</v>
      </c>
      <c r="D30" s="18" t="n">
        <v>11</v>
      </c>
      <c r="E30" s="18"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8" t="n">
        <v>11</v>
      </c>
      <c r="D32" s="18" t="n">
        <v>11</v>
      </c>
      <c r="E32" s="18"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8" t="n">
        <v>28</v>
      </c>
      <c r="D34" s="18" t="n">
        <v>27</v>
      </c>
      <c r="E34" s="18"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8" t="n">
        <v>149</v>
      </c>
      <c r="D36" s="18" t="n">
        <v>147</v>
      </c>
      <c r="E36" s="18"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8" t="n">
        <v>11</v>
      </c>
      <c r="C15" s="18" t="n">
        <v>13</v>
      </c>
      <c r="D15" s="18" t="n">
        <v>10</v>
      </c>
      <c r="E15" s="18" t="n">
        <v>10</v>
      </c>
      <c r="F15" s="18"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8" t="n">
        <v>12</v>
      </c>
      <c r="C22" s="18"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過去稿との数値の異同</t>
        </is>
      </c>
    </row>
    <row r="28" ht="30" customHeight="1">
      <c r="A28" s="3" t="inlineStr">
        <is>
          <t>版</t>
        </is>
      </c>
      <c r="B28" s="3" t="inlineStr">
        <is>
          <t>方法Bの人口基礎</t>
        </is>
      </c>
      <c r="C28" s="3" t="inlineStr">
        <is>
          <t>令和11年
総人口</t>
        </is>
      </c>
      <c r="D28" s="3" t="inlineStr">
        <is>
          <t>身体</t>
        </is>
      </c>
      <c r="E28" s="3" t="inlineStr">
        <is>
          <t>療育</t>
        </is>
      </c>
      <c r="F28" s="3" t="inlineStr">
        <is>
          <t>精神</t>
        </is>
      </c>
      <c r="G28" s="3" t="inlineStr">
        <is>
          <t>合計（中位）</t>
        </is>
      </c>
    </row>
    <row r="29" ht="28" customHeight="1">
      <c r="A29" s="4" t="inlineStr">
        <is>
          <t>計画素案 第4〜9稿</t>
        </is>
      </c>
      <c r="B29" s="4" t="inlineStr">
        <is>
          <t>令和5年から75人/年の定数減（線形）</t>
        </is>
      </c>
      <c r="C29" s="15" t="n">
        <v>1993</v>
      </c>
      <c r="D29" s="34" t="inlineStr">
        <is>
          <t>93人</t>
        </is>
      </c>
      <c r="E29" s="34" t="inlineStr">
        <is>
          <t>10人</t>
        </is>
      </c>
      <c r="F29" s="34" t="inlineStr">
        <is>
          <t>25人</t>
        </is>
      </c>
      <c r="G29" s="34" t="inlineStr">
        <is>
          <t>139人</t>
        </is>
      </c>
    </row>
    <row r="30" ht="28" customHeight="1">
      <c r="A30" s="8" t="inlineStr">
        <is>
          <t>将来推計ワークブック(20260707)</t>
        </is>
      </c>
      <c r="B30" s="8" t="inlineStr">
        <is>
          <t>こども・子育て計画の公式推計</t>
        </is>
      </c>
      <c r="C30" s="18" t="n">
        <v>2185</v>
      </c>
      <c r="D30" s="38" t="inlineStr">
        <is>
          <t>102人</t>
        </is>
      </c>
      <c r="E30" s="38" t="inlineStr">
        <is>
          <t>11人</t>
        </is>
      </c>
      <c r="F30" s="38" t="inlineStr">
        <is>
          <t>27人</t>
        </is>
      </c>
      <c r="G30" s="38" t="inlineStr">
        <is>
          <t>145人</t>
        </is>
      </c>
    </row>
    <row r="31" ht="28" customHeight="1">
      <c r="A31" s="4" t="inlineStr">
        <is>
          <t>本ブック</t>
        </is>
      </c>
      <c r="B31" s="4" t="inlineStr">
        <is>
          <t>こども・子育て計画の公式推計</t>
        </is>
      </c>
      <c r="C31" s="15" t="n">
        <v>2185</v>
      </c>
      <c r="D31" s="34" t="inlineStr">
        <is>
          <t>102人</t>
        </is>
      </c>
      <c r="E31" s="34" t="inlineStr">
        <is>
          <t>11人</t>
        </is>
      </c>
      <c r="F31" s="34" t="inlineStr">
        <is>
          <t>27人</t>
        </is>
      </c>
      <c r="G31" s="34" t="inlineStr">
        <is>
          <t>145人</t>
        </is>
      </c>
    </row>
    <row r="32" ht="62" customHeight="1">
      <c r="A32"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0">
    <mergeCell ref="A32:G32"/>
    <mergeCell ref="A1:G1"/>
    <mergeCell ref="A17:G17"/>
    <mergeCell ref="A27:G27"/>
    <mergeCell ref="A12:G12"/>
    <mergeCell ref="A2:G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17" t="n"/>
      <c r="C7" s="17" t="n"/>
      <c r="D7" s="25">
        <f>IFERROR(C7/B7,"")</f>
        <v/>
      </c>
      <c r="E7" s="17" t="n"/>
      <c r="F7" s="19">
        <f>IFERROR(ROUND(D7*E7,0),"")</f>
        <v/>
      </c>
      <c r="G7" s="4" t="inlineStr"/>
      <c r="H7" s="4" t="inlineStr">
        <is>
          <t>障がい児支援の対象年齢。就学状況とあわせて確認する</t>
        </is>
      </c>
    </row>
    <row r="8" ht="26" customHeight="1">
      <c r="A8" s="8" t="inlineStr">
        <is>
          <t>18〜39歳</t>
        </is>
      </c>
      <c r="B8" s="17" t="n"/>
      <c r="C8" s="17" t="n"/>
      <c r="D8" s="25">
        <f>IFERROR(C8/B8,"")</f>
        <v/>
      </c>
      <c r="E8" s="17" t="n"/>
      <c r="F8" s="19">
        <f>IFERROR(ROUND(D8*E8,0),"")</f>
        <v/>
      </c>
      <c r="G8" s="8" t="inlineStr"/>
      <c r="H8" s="8" t="inlineStr">
        <is>
          <t>就労・日中活動の中心層</t>
        </is>
      </c>
    </row>
    <row r="9" ht="26" customHeight="1">
      <c r="A9" s="4" t="inlineStr">
        <is>
          <t>40〜64歳</t>
        </is>
      </c>
      <c r="B9" s="17" t="n"/>
      <c r="C9" s="17" t="n"/>
      <c r="D9" s="25">
        <f>IFERROR(C9/B9,"")</f>
        <v/>
      </c>
      <c r="E9" s="17" t="n"/>
      <c r="F9" s="19">
        <f>IFERROR(ROUND(D9*E9,0),"")</f>
        <v/>
      </c>
      <c r="G9" s="4" t="inlineStr"/>
      <c r="H9" s="4" t="inlineStr">
        <is>
          <t>特定疾病により介護保険第2号被保険者となる可能性がある層</t>
        </is>
      </c>
    </row>
    <row r="10" ht="26" customHeight="1">
      <c r="A10" s="8" t="inlineStr">
        <is>
          <t>65〜74歳</t>
        </is>
      </c>
      <c r="B10" s="17" t="n"/>
      <c r="C10" s="17" t="n"/>
      <c r="D10" s="25">
        <f>IFERROR(C10/B10,"")</f>
        <v/>
      </c>
      <c r="E10" s="17" t="n"/>
      <c r="F10" s="19">
        <f>IFERROR(ROUND(D10*E10,0),"")</f>
        <v/>
      </c>
      <c r="G10" s="8" t="inlineStr"/>
      <c r="H10" s="8" t="inlineStr">
        <is>
          <t>介護保険優先原則の対象。前期高齢者</t>
        </is>
      </c>
    </row>
    <row r="11" ht="26" customHeight="1">
      <c r="A11" s="4" t="inlineStr">
        <is>
          <t>75歳以上</t>
        </is>
      </c>
      <c r="B11" s="17" t="n"/>
      <c r="C11" s="17" t="n"/>
      <c r="D11" s="25">
        <f>IFERROR(C11/B11,"")</f>
        <v/>
      </c>
      <c r="E11" s="17" t="n"/>
      <c r="F11" s="19">
        <f>IFERROR(ROUND(D11*E11,0),"")</f>
        <v/>
      </c>
      <c r="G11" s="4" t="inlineStr"/>
      <c r="H11" s="4" t="inlineStr">
        <is>
          <t>後期高齢者。人口が増えるため所持者数も増える可能性が高い</t>
        </is>
      </c>
    </row>
    <row r="12">
      <c r="A12" s="22" t="inlineStr">
        <is>
          <t>合計</t>
        </is>
      </c>
      <c r="B12" s="24">
        <f>SUM(B7:B11)</f>
        <v/>
      </c>
      <c r="C12" s="24">
        <f>SUM(C7:C11)</f>
        <v/>
      </c>
      <c r="D12" s="47">
        <f>IFERROR(C12/B12,"")</f>
        <v/>
      </c>
      <c r="E12" s="24">
        <f>SUM(E7:E11)</f>
        <v/>
      </c>
      <c r="F12" s="24">
        <f>SUM(F7:F11)</f>
        <v/>
      </c>
      <c r="G12" s="48" t="inlineStr"/>
      <c r="H12" s="48"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17" t="n"/>
      <c r="C16" s="17" t="n"/>
      <c r="D16" s="25">
        <f>IFERROR(C16/B16,"")</f>
        <v/>
      </c>
      <c r="E16" s="17" t="n"/>
      <c r="F16" s="19">
        <f>IFERROR(ROUND(D16*E16,0),"")</f>
        <v/>
      </c>
      <c r="G16" s="4" t="inlineStr"/>
      <c r="H16" s="4" t="inlineStr"/>
    </row>
    <row r="17">
      <c r="A17" s="8" t="inlineStr">
        <is>
          <t>18〜64歳</t>
        </is>
      </c>
      <c r="B17" s="17" t="n"/>
      <c r="C17" s="17" t="n"/>
      <c r="D17" s="25">
        <f>IFERROR(C17/B17,"")</f>
        <v/>
      </c>
      <c r="E17" s="17" t="n"/>
      <c r="F17" s="19">
        <f>IFERROR(ROUND(D17*E17,0),"")</f>
        <v/>
      </c>
      <c r="G17" s="8" t="inlineStr"/>
      <c r="H17" s="8" t="inlineStr"/>
    </row>
    <row r="18">
      <c r="A18" s="4" t="inlineStr">
        <is>
          <t>65歳以上</t>
        </is>
      </c>
      <c r="B18" s="17" t="n"/>
      <c r="C18" s="17" t="n"/>
      <c r="D18" s="25">
        <f>IFERROR(C18/B18,"")</f>
        <v/>
      </c>
      <c r="E18" s="17" t="n"/>
      <c r="F18" s="19">
        <f>IFERROR(ROUND(D18*E18,0),"")</f>
        <v/>
      </c>
      <c r="G18" s="4" t="inlineStr"/>
      <c r="H18" s="4" t="inlineStr"/>
    </row>
    <row r="19">
      <c r="A19" s="22" t="inlineStr">
        <is>
          <t>合計</t>
        </is>
      </c>
      <c r="B19" s="24">
        <f>SUM(B16:B18)</f>
        <v/>
      </c>
      <c r="C19" s="24">
        <f>SUM(C16:C18)</f>
        <v/>
      </c>
      <c r="D19" s="47">
        <f>IFERROR(C19/B19,"")</f>
        <v/>
      </c>
      <c r="E19" s="24">
        <f>SUM(E16:E18)</f>
        <v/>
      </c>
      <c r="F19" s="24">
        <f>SUM(F16:F18)</f>
        <v/>
      </c>
      <c r="G19" s="48" t="inlineStr"/>
      <c r="H19" s="48"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17" t="n"/>
      <c r="C24" s="17" t="n"/>
      <c r="D24" s="25">
        <f>IFERROR(C24/B24,"")</f>
        <v/>
      </c>
      <c r="E24" s="17" t="n"/>
      <c r="F24" s="19">
        <f>IFERROR(ROUND(D24*E24,0),"")</f>
        <v/>
      </c>
      <c r="G24" s="4" t="inlineStr"/>
      <c r="H24" s="4" t="inlineStr"/>
    </row>
    <row r="25">
      <c r="A25" s="8" t="inlineStr">
        <is>
          <t>18〜64歳</t>
        </is>
      </c>
      <c r="B25" s="17" t="n"/>
      <c r="C25" s="17" t="n"/>
      <c r="D25" s="25">
        <f>IFERROR(C25/B25,"")</f>
        <v/>
      </c>
      <c r="E25" s="17" t="n"/>
      <c r="F25" s="19">
        <f>IFERROR(ROUND(D25*E25,0),"")</f>
        <v/>
      </c>
      <c r="G25" s="8" t="inlineStr"/>
      <c r="H25" s="8" t="inlineStr"/>
    </row>
    <row r="26">
      <c r="A26" s="4" t="inlineStr">
        <is>
          <t>65歳以上</t>
        </is>
      </c>
      <c r="B26" s="17" t="n"/>
      <c r="C26" s="17" t="n"/>
      <c r="D26" s="25">
        <f>IFERROR(C26/B26,"")</f>
        <v/>
      </c>
      <c r="E26" s="17" t="n"/>
      <c r="F26" s="19">
        <f>IFERROR(ROUND(D26*E26,0),"")</f>
        <v/>
      </c>
      <c r="G26" s="4" t="inlineStr"/>
      <c r="H26" s="4" t="inlineStr"/>
    </row>
    <row r="27">
      <c r="A27" s="22" t="inlineStr">
        <is>
          <t>合計</t>
        </is>
      </c>
      <c r="B27" s="24">
        <f>SUM(B24:B26)</f>
        <v/>
      </c>
      <c r="C27" s="24">
        <f>SUM(C24:C26)</f>
        <v/>
      </c>
      <c r="D27" s="47">
        <f>IFERROR(C27/B27,"")</f>
        <v/>
      </c>
      <c r="E27" s="24">
        <f>SUM(E24:E26)</f>
        <v/>
      </c>
      <c r="F27" s="24">
        <f>SUM(F24:F26)</f>
        <v/>
      </c>
      <c r="G27" s="48" t="inlineStr"/>
      <c r="H27" s="48"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49"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49"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49"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49"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49"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49"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49"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49"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49"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2026-08-04T02:18:13Z</dcterms:created>
  <dcterms:modified xmlns:dcterms="http://purl.org/dc/terms/" xmlns:xsi="http://www.w3.org/2001/XMLSchema-instance" xsi:type="dcterms:W3CDTF">2026-08-04T02:18:13Z</dcterms:modified>
</cp:coreProperties>
</file>