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検証について" sheetId="1" state="visible" r:id="rId1"/>
    <sheet xmlns:r="http://schemas.openxmlformats.org/officeDocument/2006/relationships" name="01_受領ファイルの内容" sheetId="2" state="visible" r:id="rId2"/>
    <sheet xmlns:r="http://schemas.openxmlformats.org/officeDocument/2006/relationships" name="02_式の点検" sheetId="3" state="visible" r:id="rId3"/>
    <sheet xmlns:r="http://schemas.openxmlformats.org/officeDocument/2006/relationships" name="03_見つけた誤りと是正案" sheetId="4" state="visible" r:id="rId4"/>
    <sheet xmlns:r="http://schemas.openxmlformats.org/officeDocument/2006/relationships" name="04_受領値と組み直しの対比" sheetId="5" state="visible" r:id="rId5"/>
    <sheet xmlns:r="http://schemas.openxmlformats.org/officeDocument/2006/relationships" name="05_組み直した将来人口" sheetId="6" state="visible" r:id="rId6"/>
    <sheet xmlns:r="http://schemas.openxmlformats.org/officeDocument/2006/relationships" name="06_案Cほかとの対比" sheetId="7" state="visible" r:id="rId7"/>
    <sheet xmlns:r="http://schemas.openxmlformats.org/officeDocument/2006/relationships" name="07_社人研推計の補正の点検" sheetId="8" state="visible" r:id="rId8"/>
    <sheet xmlns:r="http://schemas.openxmlformats.org/officeDocument/2006/relationships" name="08_町の人口ビジョン" sheetId="9" state="visible" r:id="rId9"/>
    <sheet xmlns:r="http://schemas.openxmlformats.org/officeDocument/2006/relationships" name="09_スケジュールの取込み" sheetId="10" state="visible" r:id="rId10"/>
    <sheet xmlns:r="http://schemas.openxmlformats.org/officeDocument/2006/relationships" name="10_修正の提案" sheetId="11" state="visible" r:id="rId11"/>
    <sheet xmlns:r="http://schemas.openxmlformats.org/officeDocument/2006/relationships" name="11_自己点検" sheetId="12" state="visible" r:id="rId1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sz val="8.5"/>
    </font>
    <font>
      <name val="游ゴシック"/>
      <b val="1"/>
      <color rgb="001F3864"/>
      <sz val="10.5"/>
    </font>
    <font>
      <name val="游ゴシック"/>
      <b val="1"/>
      <sz val="9"/>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E2EFDA"/>
      </patternFill>
    </fill>
    <fill>
      <patternFill patternType="solid">
        <fgColor rgb="00FCE4D6"/>
      </patternFill>
    </fill>
    <fill>
      <patternFill patternType="solid">
        <fgColor rgb="00FFF2CC"/>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2" fillId="0" borderId="1" applyAlignment="1" pivotButton="0" quotePrefix="0" xfId="0">
      <alignment horizontal="right" vertical="top" wrapText="1"/>
    </xf>
    <xf numFmtId="0" fontId="2" fillId="6" borderId="1" applyAlignment="1" pivotButton="0" quotePrefix="0" xfId="0">
      <alignment horizontal="right" vertical="top" wrapText="1"/>
    </xf>
    <xf numFmtId="0" fontId="2" fillId="5" borderId="1" applyAlignment="1" pivotButton="0" quotePrefix="0" xfId="0">
      <alignment horizontal="right" vertical="top" wrapText="1"/>
    </xf>
    <xf numFmtId="0" fontId="2" fillId="3" borderId="1" applyAlignment="1" pivotButton="0" quotePrefix="0" xfId="0">
      <alignment horizontal="left" vertical="top" wrapText="1"/>
    </xf>
    <xf numFmtId="0" fontId="6" fillId="8" borderId="1" applyAlignment="1" pivotButton="0" quotePrefix="0" xfId="0">
      <alignment horizontal="left" vertical="top" wrapText="1"/>
    </xf>
    <xf numFmtId="0" fontId="6" fillId="0" borderId="1" applyAlignment="1" pivotButton="0" quotePrefix="0" xfId="0">
      <alignment horizontal="left" vertical="top" wrapText="1"/>
    </xf>
    <xf numFmtId="0" fontId="2" fillId="8" borderId="1" applyAlignment="1" pivotButton="0" quotePrefix="0" xfId="0">
      <alignment horizontal="left" vertical="top" wrapText="1"/>
    </xf>
    <xf numFmtId="0" fontId="2" fillId="6" borderId="1" applyAlignment="1" pivotButton="0" quotePrefix="0" xfId="0">
      <alignment horizontal="left" vertical="top" wrapText="1"/>
    </xf>
    <xf numFmtId="0" fontId="2" fillId="5" borderId="1" applyAlignment="1" pivotButton="0" quotePrefix="0" xfId="0">
      <alignment horizontal="left" vertical="top" wrapText="1"/>
    </xf>
    <xf numFmtId="0" fontId="6" fillId="0"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4" customWidth="1" min="3" max="3"/>
    <col width="20" customWidth="1" min="4" max="4"/>
  </cols>
  <sheetData>
    <row r="1" ht="26" customHeight="1">
      <c r="A1" s="1" t="inlineStr">
        <is>
          <t>人口推計（コーホート変化率法）の妥当性検証</t>
        </is>
      </c>
    </row>
    <row r="2" ht="58" customHeight="1">
      <c r="A2" s="2" t="inlineStr">
        <is>
          <t>令和8年10月5日のご依頼により、受領した人口推計のファイルの内容を確認し、コーホート変化率法の組み方を検証したものです。受領ファイルはファイルの属性に作成者名があるため格納せず、集計値のみを用いています。担当者名は収めていません。基準日 令和8年10月5日。</t>
        </is>
      </c>
    </row>
    <row r="3"/>
    <row r="4" ht="32" customHeight="1">
      <c r="A4" s="3" t="inlineStr">
        <is>
          <t>#</t>
        </is>
      </c>
      <c r="B4" s="3" t="inlineStr">
        <is>
          <t>確かめたこと</t>
        </is>
      </c>
      <c r="C4" s="3" t="inlineStr">
        <is>
          <t>結果</t>
        </is>
      </c>
      <c r="D4" s="3" t="inlineStr">
        <is>
          <t>判定</t>
        </is>
      </c>
    </row>
    <row r="5" ht="70" customHeight="1">
      <c r="A5" s="4" t="inlineStr">
        <is>
          <t>1</t>
        </is>
      </c>
      <c r="B5" s="5" t="inlineStr">
        <is>
          <t>式の組み方（東神楽町・美瑛町）</t>
        </is>
      </c>
      <c r="C5" s="5" t="inlineStr">
        <is>
          <t>85歳以上を分母とする開放区間の扱い、男女の区別、0〜4歳を子ども女性比により置くことはいずれも適合している。令和8年9月16日の点検で指摘した東神楽町の女の予測人口の件（5年前の男女計によっていたもの）は是正されている。</t>
        </is>
      </c>
      <c r="D5" s="6" t="inlineStr">
        <is>
          <t>適合</t>
        </is>
      </c>
    </row>
    <row r="6" ht="70" customHeight="1">
      <c r="A6" s="4" t="inlineStr">
        <is>
          <t>2</t>
        </is>
      </c>
      <c r="B6" s="5" t="inlineStr">
        <is>
          <t>東川町の90歳以上の変化率の分母</t>
        </is>
      </c>
      <c r="C6" s="5" t="inlineStr">
        <is>
          <t>5年前の90歳以上を分母としている。開放区間であるから5年前の85歳以上を分母とする。この1点により率が男1.1039・女1.1026となり（開放区間では男0.4450・女0.5000）、65歳以上が令和8年度で406人過大に出る。連鎖により令和32年度の総人口が41,241人（実績8,695人の4.7倍）へ発散する。</t>
        </is>
      </c>
      <c r="D6" s="7" t="inlineStr">
        <is>
          <t>不適合</t>
        </is>
      </c>
    </row>
    <row r="7" ht="70" customHeight="1">
      <c r="A7" s="4" t="inlineStr">
        <is>
          <t>3</t>
        </is>
      </c>
      <c r="B7" s="5" t="inlineStr">
        <is>
          <t>95〜99歳・100歳以上の変化率（3町とも）</t>
        </is>
      </c>
      <c r="C7" s="5" t="inlineStr">
        <is>
          <t>90歳以上の率を3つの階級に流用している。基準年の100歳以上が次期に繰り越されないため、90歳以上の合計はおおむね保たれるが内訳が歪み、100歳以上が過大に出る。</t>
        </is>
      </c>
      <c r="D7" s="7" t="inlineStr">
        <is>
          <t>不適合</t>
        </is>
      </c>
    </row>
    <row r="8" ht="70" customHeight="1">
      <c r="A8" s="4" t="inlineStr">
        <is>
          <t>4</t>
        </is>
      </c>
      <c r="B8" s="5" t="inlineStr">
        <is>
          <t>正しく組み直した場合の水準</t>
        </is>
      </c>
      <c r="C8" s="5" t="inlineStr">
        <is>
          <t>65歳以上（3町計）は令和7年度の実績9,176人に対し令和12年度9,081人・令和22年度9,095人・令和32年度8,682人で横ばいとなり、案C（令和12年度9,211人・令和22年度9,491人・令和32年度9,127人）との開きは3〜4％以内で向きも一致する。</t>
        </is>
      </c>
      <c r="D8" s="6" t="inlineStr">
        <is>
          <t>適合</t>
        </is>
      </c>
    </row>
    <row r="9" ht="70" customHeight="1">
      <c r="A9" s="4" t="inlineStr">
        <is>
          <t>5</t>
        </is>
      </c>
      <c r="B9" s="5" t="inlineStr">
        <is>
          <t>「令和5年推計を元にした補正（大雪）」の男女</t>
        </is>
      </c>
      <c r="C9" s="5" t="inlineStr">
        <is>
          <t>（2）女は（1）男と全ての欄が同一であり、（3）合計は男＋女にならない。女の値が入っていない。同じファイルの「被保険者数（補正後）補正率2区分」には男女別の値がある。</t>
        </is>
      </c>
      <c r="D9" s="7" t="inlineStr">
        <is>
          <t>不適合</t>
        </is>
      </c>
    </row>
    <row r="10" ht="70" customHeight="1">
      <c r="A10" s="4" t="inlineStr">
        <is>
          <t>6</t>
        </is>
      </c>
      <c r="B10" s="5" t="inlineStr">
        <is>
          <t>時点の表示</t>
        </is>
      </c>
      <c r="C10" s="5" t="inlineStr">
        <is>
          <t>各シートは5年の変化率を基準年に乗じているため、得られる値は基準年の5年後の1月1日である。「令和N年」は年度として読めば整合するが、併記されている「20XX年」は1年ずれている。時点の注記は資料の中に3通りある。</t>
        </is>
      </c>
      <c r="D10" s="8" t="inlineStr">
        <is>
          <t>要是正</t>
        </is>
      </c>
    </row>
    <row r="11" ht="70" customHeight="1">
      <c r="A11" s="4" t="inlineStr">
        <is>
          <t>7</t>
        </is>
      </c>
      <c r="B11" s="5" t="inlineStr">
        <is>
          <t>スケジュールの記載</t>
        </is>
      </c>
      <c r="C11" s="5" t="inlineStr">
        <is>
          <t>パブリックコメントの期間（令和9年1月・ウェブで2週間）と令和9年2月以降の会議の日程が分かった。当方の月別工程に取り込んだ（確認事項No.19）。</t>
        </is>
      </c>
      <c r="D11" s="6" t="inlineStr">
        <is>
          <t>適合</t>
        </is>
      </c>
    </row>
    <row r="12"/>
    <row r="13" ht="28" customHeight="1">
      <c r="A13" s="9" t="inlineStr">
        <is>
          <t>本検証は、受領ファイルに置かれている住民基本台帳の実績値（各年1月1日現在。10時点×3町×男女×5歳階級21区分）と、各シートの予測人口の値のみを用いています。
当方の組み直しは、受領ファイルと同じ基準の組を用い、分母の採り方だけを改めたものです。基準の組を変えずに比べることで、差が分母の採り方によるものであることを示しています。</t>
        </is>
      </c>
    </row>
  </sheetData>
  <mergeCells count="3">
    <mergeCell ref="A2:F2"/>
    <mergeCell ref="A1:F1"/>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16" customWidth="1" min="3" max="3"/>
    <col width="52" customWidth="1" min="4" max="4"/>
    <col width="18" customWidth="1" min="5" max="5"/>
  </cols>
  <sheetData>
    <row r="1" ht="26" customHeight="1">
      <c r="A1" s="1" t="inlineStr">
        <is>
          <t>受領ファイルの内容と関係</t>
        </is>
      </c>
    </row>
    <row r="2" ht="58" customHeight="1">
      <c r="A2" s="2" t="inlineStr">
        <is>
          <t>令和8年10月5日に受領した4件の内容です。①から③は人口推計、④は当方がお送りした資料に加筆のあったものです。</t>
        </is>
      </c>
    </row>
    <row r="3"/>
    <row r="4" ht="32" customHeight="1">
      <c r="A4" s="3" t="inlineStr">
        <is>
          <t>#</t>
        </is>
      </c>
      <c r="B4" s="3" t="inlineStr">
        <is>
          <t>ファイルの内容</t>
        </is>
      </c>
      <c r="C4" s="3" t="inlineStr">
        <is>
          <t>作成</t>
        </is>
      </c>
      <c r="D4" s="3" t="inlineStr">
        <is>
          <t>主な内容</t>
        </is>
      </c>
      <c r="E4" s="3" t="inlineStr">
        <is>
          <t>本検証での扱い</t>
        </is>
      </c>
    </row>
    <row r="5" ht="76" customHeight="1">
      <c r="A5" s="4" t="inlineStr">
        <is>
          <t>①</t>
        </is>
      </c>
      <c r="B5" s="5" t="inlineStr">
        <is>
          <t>人口推計（コーホート変化率法）ほか7シート</t>
        </is>
      </c>
      <c r="C5" s="5" t="inlineStr">
        <is>
          <t>令和8年10月1日</t>
        </is>
      </c>
      <c r="D5" s="5" t="inlineStr">
        <is>
          <t>推計人口と第1号被保険者数の比較／被保険者数（補正後）補正率2区分／国の「推計人口と第1号被保険者数の比較」／令和5年推計を元にした補正（大雪）／構成3町の人口推計の年次化</t>
        </is>
      </c>
      <c r="E5" s="5" t="inlineStr">
        <is>
          <t>07シート・08シートで点検した</t>
        </is>
      </c>
    </row>
    <row r="6" ht="76" customHeight="1">
      <c r="A6" s="4" t="inlineStr">
        <is>
          <t>②</t>
        </is>
      </c>
      <c r="B6" s="5" t="inlineStr">
        <is>
          <t>コーホート変化率法（年次別9シート）と参考資料8シート</t>
        </is>
      </c>
      <c r="C6" s="5" t="inlineStr">
        <is>
          <t>令和8年10月1日</t>
        </is>
      </c>
      <c r="D6" s="5" t="inlineStr">
        <is>
          <t>令和8年から令和32年までの9つの年次について、住民基本台帳の2時点から変化率を求め5年後を予測したもの。参考資料は平成29年から令和7年までの住民基本台帳</t>
        </is>
      </c>
      <c r="E6" s="5" t="inlineStr">
        <is>
          <t>02シートから06シートで点検した</t>
        </is>
      </c>
    </row>
    <row r="7" ht="76" customHeight="1">
      <c r="A7" s="4" t="inlineStr">
        <is>
          <t>③</t>
        </is>
      </c>
      <c r="B7" s="5" t="inlineStr">
        <is>
          <t>同（令和8年10月2日版）</t>
        </is>
      </c>
      <c r="C7" s="5" t="inlineStr">
        <is>
          <t>令和8年10月2日</t>
        </is>
      </c>
      <c r="D7" s="5" t="inlineStr">
        <is>
          <t>人口の数値は②と同一である。シート名の「あやしい→」「ここから→」の表記が外れ、スケジュールのシートが埋まり、同じ内容のシートが1件加わっている</t>
        </is>
      </c>
      <c r="E7" s="5" t="inlineStr">
        <is>
          <t>数値は②と同一であることを確かめた。スケジュールは09シートで扱った</t>
        </is>
      </c>
    </row>
    <row r="8" ht="76" customHeight="1">
      <c r="A8" s="4" t="inlineStr">
        <is>
          <t>④</t>
        </is>
      </c>
      <c r="B8" s="5" t="inlineStr">
        <is>
          <t>計画策定の進捗と今後の確認事項（docx）</t>
        </is>
      </c>
      <c r="C8" s="5" t="inlineStr">
        <is>
          <t>令和8年10月2日</t>
        </is>
      </c>
      <c r="D8" s="5" t="inlineStr">
        <is>
          <t>当方が令和8年10月5日にお送りしたものに加筆・削除がある。令和9年1月から3月の工程に実際の日程が加えられ、表紙の表記が改められ、資料の所在を指す記述3件が削られている</t>
        </is>
      </c>
      <c r="E8" s="5" t="inlineStr">
        <is>
          <t>09シート・10シートで扱った</t>
        </is>
      </c>
    </row>
    <row r="9"/>
    <row r="10" ht="28" customHeight="1">
      <c r="A10" s="9" t="inlineStr">
        <is>
          <t>②と③の数値が同一であることは、両ファイルのコーホート変化率法のシートの全ての欄を突き合わせて確かめました。差があるのはスケジュールのシートの3か所のみです。
受領ファイルはいずれもファイルの属性に作成者名があるため格納していません。スケジュールの備考に担当者名の記載がありますが収めていません。</t>
        </is>
      </c>
    </row>
  </sheetData>
  <mergeCells count="3">
    <mergeCell ref="A2:F2"/>
    <mergeCell ref="A10:E10"/>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26" customWidth="1" min="1" max="1"/>
    <col width="34" customWidth="1" min="2" max="2"/>
    <col width="10" customWidth="1" min="3" max="3"/>
    <col width="10" customWidth="1" min="4" max="4"/>
    <col width="10" customWidth="1" min="5" max="5"/>
    <col width="44" customWidth="1" min="6" max="6"/>
  </cols>
  <sheetData>
    <row r="1" ht="26" customHeight="1">
      <c r="A1" s="1" t="inlineStr">
        <is>
          <t>コーホート変化率法の式の点検</t>
        </is>
      </c>
    </row>
    <row r="2" ht="58" customHeight="1">
      <c r="A2" s="2" t="inlineStr">
        <is>
          <t>受領ファイルの各年シートの式を、3町それぞれについて確かめたものです。式の構造は9つのシートすべてで同一であり、令和8年10月1日版と10月2日版でも同一です。</t>
        </is>
      </c>
    </row>
    <row r="3"/>
    <row r="4" ht="32" customHeight="1">
      <c r="A4" s="3" t="inlineStr">
        <is>
          <t>点検の項目</t>
        </is>
      </c>
      <c r="B4" s="3" t="inlineStr">
        <is>
          <t>あるべき置き方</t>
        </is>
      </c>
      <c r="C4" s="3" t="inlineStr">
        <is>
          <t>東神楽町</t>
        </is>
      </c>
      <c r="D4" s="3" t="inlineStr">
        <is>
          <t>東川町</t>
        </is>
      </c>
      <c r="E4" s="3" t="inlineStr">
        <is>
          <t>美瑛町</t>
        </is>
      </c>
      <c r="F4" s="3" t="inlineStr">
        <is>
          <t>判定の理由</t>
        </is>
      </c>
    </row>
    <row r="5" ht="58" customHeight="1">
      <c r="A5" s="5" t="inlineStr">
        <is>
          <t>変化率（5〜9歳から85〜89歳まで）</t>
        </is>
      </c>
      <c r="B5" s="5" t="inlineStr">
        <is>
          <t>基準年の階級a ÷ 5年前の階級(a−5歳)</t>
        </is>
      </c>
      <c r="C5" s="6" t="inlineStr">
        <is>
          <t>適合</t>
        </is>
      </c>
      <c r="D5" s="6" t="inlineStr">
        <is>
          <t>適合</t>
        </is>
      </c>
      <c r="E5" s="6" t="inlineStr">
        <is>
          <t>適合</t>
        </is>
      </c>
      <c r="F5" s="5" t="inlineStr">
        <is>
          <t>3町とも分母が5年前の1つ下の階級である。</t>
        </is>
      </c>
    </row>
    <row r="6" ht="58" customHeight="1">
      <c r="A6" s="5" t="inlineStr">
        <is>
          <t>90歳以上の変化率の分母</t>
        </is>
      </c>
      <c r="B6" s="5" t="inlineStr">
        <is>
          <t>開放区間であるため5年前の85歳以上を分母とする</t>
        </is>
      </c>
      <c r="C6" s="6" t="inlineStr">
        <is>
          <t>適合</t>
        </is>
      </c>
      <c r="D6" s="7" t="inlineStr">
        <is>
          <t>不適合</t>
        </is>
      </c>
      <c r="E6" s="6" t="inlineStr">
        <is>
          <t>適合</t>
        </is>
      </c>
      <c r="F6" s="5" t="inlineStr">
        <is>
          <t>東川町のみ5年前の90歳以上を分母としている。分母に「その階級に入ってくる人」を含めないため率が1を超える。</t>
        </is>
      </c>
    </row>
    <row r="7" ht="58" customHeight="1">
      <c r="A7" s="5" t="inlineStr">
        <is>
          <t>95〜99歳・100歳以上の変化率</t>
        </is>
      </c>
      <c r="B7" s="5" t="inlineStr">
        <is>
          <t>階級ごとに分母を採る（95〜99歳は5年前の90〜94歳、100歳以上は5年前の95〜99歳と100歳以上の和）</t>
        </is>
      </c>
      <c r="C7" s="7" t="inlineStr">
        <is>
          <t>不適合</t>
        </is>
      </c>
      <c r="D7" s="7" t="inlineStr">
        <is>
          <t>不適合</t>
        </is>
      </c>
      <c r="E7" s="7" t="inlineStr">
        <is>
          <t>不適合</t>
        </is>
      </c>
      <c r="F7" s="5" t="inlineStr">
        <is>
          <t>3町とも90歳以上の率を3つの階級に流用している。基準年の100歳以上が次期に繰り越されない。</t>
        </is>
      </c>
    </row>
    <row r="8" ht="58" customHeight="1">
      <c r="A8" s="5" t="inlineStr">
        <is>
          <t>0〜4歳の分母</t>
        </is>
      </c>
      <c r="B8" s="5" t="inlineStr">
        <is>
          <t>子ども女性比（基準年の0〜4歳÷基準年の20〜39歳女性）を予測年の20〜39歳女性に乗じる</t>
        </is>
      </c>
      <c r="C8" s="6" t="inlineStr">
        <is>
          <t>適合</t>
        </is>
      </c>
      <c r="D8" s="8" t="inlineStr">
        <is>
          <t>要是正</t>
        </is>
      </c>
      <c r="E8" s="6" t="inlineStr">
        <is>
          <t>適合</t>
        </is>
      </c>
      <c r="F8" s="5" t="inlineStr">
        <is>
          <t>東川町のみ基準年の20〜39歳女性に乗じている。いずれの置き方も用いられているが、3町でそろえる必要がある。</t>
        </is>
      </c>
    </row>
    <row r="9" ht="58" customHeight="1">
      <c r="A9" s="5" t="inlineStr">
        <is>
          <t>男女の区別</t>
        </is>
      </c>
      <c r="B9" s="5" t="inlineStr">
        <is>
          <t>女の予測人口は5年前の女に女の変化率を乗じる</t>
        </is>
      </c>
      <c r="C9" s="6" t="inlineStr">
        <is>
          <t>適合</t>
        </is>
      </c>
      <c r="D9" s="7" t="inlineStr">
        <is>
          <t>不適合</t>
        </is>
      </c>
      <c r="E9" s="6" t="inlineStr">
        <is>
          <t>適合</t>
        </is>
      </c>
      <c r="F9" s="5" t="inlineStr">
        <is>
          <t>東川町の女の100歳以上だけが男女計の行を参照している。令和8年9月16日の点検で指摘した東神楽町の件は是正されている。</t>
        </is>
      </c>
    </row>
    <row r="10" ht="58" customHeight="1">
      <c r="A10" s="5" t="inlineStr">
        <is>
          <t>合計の行</t>
        </is>
      </c>
      <c r="B10" s="5" t="inlineStr">
        <is>
          <t>予測人口の男女計と町の合計が全ての階級で立つ</t>
        </is>
      </c>
      <c r="C10" s="6" t="inlineStr">
        <is>
          <t>適合</t>
        </is>
      </c>
      <c r="D10" s="6" t="inlineStr">
        <is>
          <t>適合</t>
        </is>
      </c>
      <c r="E10" s="6" t="inlineStr">
        <is>
          <t>適合</t>
        </is>
      </c>
      <c r="F10" s="5" t="inlineStr">
        <is>
          <t>令和8年9月16日の点検で指摘した東神楽町の令和17年以降の「計」の行がないことは是正されている。</t>
        </is>
      </c>
    </row>
    <row r="11" ht="58" customHeight="1">
      <c r="A11" s="5" t="inlineStr">
        <is>
          <t>合計特殊出生率の表示</t>
        </is>
      </c>
      <c r="B11" s="5" t="inlineStr">
        <is>
          <t>子ども女性比×4は合計特殊出生率の目安であり合計特殊出生率ではない</t>
        </is>
      </c>
      <c r="C11" s="8" t="inlineStr">
        <is>
          <t>要是正</t>
        </is>
      </c>
      <c r="D11" s="8" t="inlineStr">
        <is>
          <t>要是正</t>
        </is>
      </c>
      <c r="E11" s="8" t="inlineStr">
        <is>
          <t>要是正</t>
        </is>
      </c>
      <c r="F11" s="5" t="inlineStr">
        <is>
          <t>20〜39歳の20年を分母とする近似であり、15〜19歳と40歳以上の出生及び子どもの死亡を含まない。推計には用いられていないため値は動かない。</t>
        </is>
      </c>
    </row>
    <row r="12"/>
    <row r="13" ht="20" customHeight="1">
      <c r="A13" s="10" t="inlineStr">
        <is>
          <t>【90歳以上の変化率（令和12年シート・東川町）】</t>
        </is>
      </c>
    </row>
    <row r="14" ht="32" customHeight="1">
      <c r="A14" s="3" t="inlineStr">
        <is>
          <t>区分</t>
        </is>
      </c>
      <c r="B14" s="3" t="inlineStr">
        <is>
          <t>基準年の90歳以上</t>
        </is>
      </c>
      <c r="C14" s="3" t="inlineStr">
        <is>
          <t>5年前の85歳以上</t>
        </is>
      </c>
      <c r="D14" s="3" t="inlineStr">
        <is>
          <t>5年前の90歳以上</t>
        </is>
      </c>
      <c r="E14" s="3" t="inlineStr">
        <is>
          <t>受領の率</t>
        </is>
      </c>
      <c r="F14" s="3" t="inlineStr">
        <is>
          <t>開放区間の率</t>
        </is>
      </c>
    </row>
    <row r="15" ht="22" customHeight="1">
      <c r="A15" s="5" t="inlineStr">
        <is>
          <t>男</t>
        </is>
      </c>
      <c r="B15" s="11" t="n">
        <v>85</v>
      </c>
      <c r="C15" s="11" t="n">
        <v>191</v>
      </c>
      <c r="D15" s="11" t="n">
        <v>77</v>
      </c>
      <c r="E15" s="12" t="inlineStr">
        <is>
          <t>1.1039</t>
        </is>
      </c>
      <c r="F15" s="13" t="inlineStr">
        <is>
          <t>0.4450</t>
        </is>
      </c>
    </row>
    <row r="16" ht="22" customHeight="1">
      <c r="A16" s="5" t="inlineStr">
        <is>
          <t>女</t>
        </is>
      </c>
      <c r="B16" s="11" t="n">
        <v>172</v>
      </c>
      <c r="C16" s="11" t="n">
        <v>344</v>
      </c>
      <c r="D16" s="11" t="n">
        <v>156</v>
      </c>
      <c r="E16" s="12" t="inlineStr">
        <is>
          <t>1.1026</t>
        </is>
      </c>
      <c r="F16" s="13" t="inlineStr">
        <is>
          <t>0.5000</t>
        </is>
      </c>
    </row>
    <row r="17" ht="14" customHeight="1">
      <c r="A17" s="9" t="inlineStr">
        <is>
          <t>注）開放区間の率は、5年前に85歳以上であった方が5年後に90歳以上になることによります。分母を5年前の90歳以上に採ると、その間に90歳に達した方を分母に数えないまま分子に数えることになるため、率が1を超えます。</t>
        </is>
      </c>
    </row>
    <row r="18"/>
    <row r="19" ht="20" customHeight="1">
      <c r="A19" s="10" t="inlineStr">
        <is>
          <t>【式の欄の位置（令和12年シートによる）】</t>
        </is>
      </c>
    </row>
    <row r="20" ht="32" customHeight="1">
      <c r="A20" s="3" t="inlineStr">
        <is>
          <t>町</t>
        </is>
      </c>
      <c r="B20" s="3" t="inlineStr">
        <is>
          <t>90歳以上の率</t>
        </is>
      </c>
      <c r="C20" s="3" t="inlineStr">
        <is>
          <t>0〜4歳の分母</t>
        </is>
      </c>
      <c r="D20" s="3" t="inlineStr">
        <is>
          <t>100歳以上</t>
        </is>
      </c>
      <c r="E20" s="3" t="inlineStr">
        <is>
          <t>判定</t>
        </is>
      </c>
      <c r="F20" s="3" t="inlineStr">
        <is>
          <t>内容</t>
        </is>
      </c>
    </row>
    <row r="21" ht="44" customHeight="1">
      <c r="A21" s="5" t="inlineStr">
        <is>
          <t>東神楽</t>
        </is>
      </c>
      <c r="B21" s="5" t="inlineStr">
        <is>
          <t>SUM(W7:Y7)/SUM(V4:Y4)</t>
        </is>
      </c>
      <c r="C21" s="5" t="inlineStr">
        <is>
          <t>SUM(I24:L24)（予測年の女）</t>
        </is>
      </c>
      <c r="D21" s="5" t="inlineStr">
        <is>
          <t>X7*W14・X8*W15</t>
        </is>
      </c>
      <c r="E21" s="6" t="inlineStr">
        <is>
          <t>適合</t>
        </is>
      </c>
      <c r="F21" s="5" t="inlineStr">
        <is>
          <t>分母が5年前の85歳以上（V列＝85〜89歳からY列＝100歳以上まで）である。</t>
        </is>
      </c>
    </row>
    <row r="22" ht="44" customHeight="1">
      <c r="A22" s="5" t="inlineStr">
        <is>
          <t>東川</t>
        </is>
      </c>
      <c r="B22" s="5" t="inlineStr">
        <is>
          <t>SUM(W34:Y34)/SUM(W31:Y31)</t>
        </is>
      </c>
      <c r="C22" s="5" t="inlineStr">
        <is>
          <t>SUM(I35:L35)（基準年の女）</t>
        </is>
      </c>
      <c r="D22" s="5" t="inlineStr">
        <is>
          <t>X34*W40・X36*W41</t>
        </is>
      </c>
      <c r="E22" s="7" t="inlineStr">
        <is>
          <t>不適合</t>
        </is>
      </c>
      <c r="F22" s="5" t="inlineStr">
        <is>
          <t>分母がW列（90〜94歳）から始まる。女の100歳以上はX36（男女計の行）を参照している。</t>
        </is>
      </c>
    </row>
    <row r="23" ht="44" customHeight="1">
      <c r="A23" s="5" t="inlineStr">
        <is>
          <t>美瑛</t>
        </is>
      </c>
      <c r="B23" s="5" t="inlineStr">
        <is>
          <t>SUM(W62:Y62)/SUM(V59:Y59)</t>
        </is>
      </c>
      <c r="C23" s="5" t="inlineStr">
        <is>
          <t>SUM(I78:L78)（予測年の女）</t>
        </is>
      </c>
      <c r="D23" s="5" t="inlineStr">
        <is>
          <t>X62*W68・X63*W69</t>
        </is>
      </c>
      <c r="E23" s="6" t="inlineStr">
        <is>
          <t>適合</t>
        </is>
      </c>
      <c r="F23" s="5" t="inlineStr">
        <is>
          <t>分母が5年前の85歳以上である。</t>
        </is>
      </c>
    </row>
    <row r="24" ht="14" customHeight="1">
      <c r="A24" s="9" t="inlineStr">
        <is>
          <t>注）欄の位置は令和12年シートのものです。9つの年次シートはいずれも同じ式であり、行の番号だけが町のかたまりごとに異なります。</t>
        </is>
      </c>
    </row>
  </sheetData>
  <mergeCells count="6">
    <mergeCell ref="A24:F24"/>
    <mergeCell ref="A2:F2"/>
    <mergeCell ref="A13:F13"/>
    <mergeCell ref="A19:F19"/>
    <mergeCell ref="A1:F1"/>
    <mergeCell ref="A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0" customWidth="1" min="3" max="3"/>
    <col width="26" customWidth="1" min="4" max="4"/>
    <col width="36" customWidth="1" min="5" max="5"/>
  </cols>
  <sheetData>
    <row r="1" ht="26" customHeight="1">
      <c r="A1" s="1" t="inlineStr">
        <is>
          <t>見つけた誤りと是正案</t>
        </is>
      </c>
    </row>
    <row r="2" ht="58" customHeight="1">
      <c r="A2" s="2" t="inlineStr">
        <is>
          <t>式の点検により見つけたものを、影響の大きい順に掲げます。影響の欄は、受領ファイルの値と、同じ基準の組を用いて分母の採り方だけを改めた値の差です。</t>
        </is>
      </c>
    </row>
    <row r="3"/>
    <row r="4" ht="32" customHeight="1">
      <c r="A4" s="3" t="inlineStr">
        <is>
          <t>#</t>
        </is>
      </c>
      <c r="B4" s="3" t="inlineStr">
        <is>
          <t>誤り</t>
        </is>
      </c>
      <c r="C4" s="3" t="inlineStr">
        <is>
          <t>内容</t>
        </is>
      </c>
      <c r="D4" s="3" t="inlineStr">
        <is>
          <t>影響</t>
        </is>
      </c>
      <c r="E4" s="3" t="inlineStr">
        <is>
          <t>是正案</t>
        </is>
      </c>
    </row>
    <row r="5" ht="74" customHeight="1">
      <c r="A5" s="4" t="inlineStr">
        <is>
          <t>1</t>
        </is>
      </c>
      <c r="B5" s="5" t="inlineStr">
        <is>
          <t>東川町の90歳以上の変化率の分母</t>
        </is>
      </c>
      <c r="C5" s="5" t="inlineStr">
        <is>
          <t>開放区間であるのに5年前の90歳以上を分母としている。東神楽町・美瑛町は5年前の85歳以上としており、3町でそろっていない。</t>
        </is>
      </c>
      <c r="D5" s="5" t="inlineStr">
        <is>
          <t>東川町の65歳以上が令和8年度で406人（＋15.2％）過大。連鎖により令和22年度12,642人・令和32年度34,573人となり、3町計の総人口が令和32年度53,652人（実績27,498人の1.95倍）になる。</t>
        </is>
      </c>
      <c r="E5" s="5" t="inlineStr">
        <is>
          <t>分母を SUM(V31:Y31)（5年前の85歳以上）に改める。男・女の2か所×9シート＝18か所。</t>
        </is>
      </c>
    </row>
    <row r="6" ht="74" customHeight="1">
      <c r="A6" s="4" t="inlineStr">
        <is>
          <t>2</t>
        </is>
      </c>
      <c r="B6" s="5" t="inlineStr">
        <is>
          <t>95〜99歳・100歳以上に90歳以上の率を流用（3町とも）</t>
        </is>
      </c>
      <c r="C6" s="5" t="inlineStr">
        <is>
          <t>X列＝W7*W14、Y列＝X7*W14 のように、90歳以上の率を3つの階級に用いている。基準年の100歳以上（Y列）が次期に繰り越されない。</t>
        </is>
      </c>
      <c r="D6" s="5" t="inlineStr">
        <is>
          <t>90歳以上の合計はおおむね保たれるが、内訳が歪む。100歳以上が過大に、90〜94歳が過小に出る。介護保険の算定に用いる85歳以上の合計への影響は小さい。</t>
        </is>
      </c>
      <c r="E6" s="5" t="inlineStr">
        <is>
          <t>階級ごとに分母を採る。95〜99歳は5年前の90〜94歳、100歳以上は5年前の95〜99歳と100歳以上の和を分母とする。</t>
        </is>
      </c>
    </row>
    <row r="7" ht="74" customHeight="1">
      <c r="A7" s="4" t="inlineStr">
        <is>
          <t>3</t>
        </is>
      </c>
      <c r="B7" s="5" t="inlineStr">
        <is>
          <t>東川町の女の100歳以上が男女計の行を参照</t>
        </is>
      </c>
      <c r="C7" s="5" t="inlineStr">
        <is>
          <t>Y51の式が =X36*W41 であり、X36は男女計の行である。女の行はX35である。</t>
        </is>
      </c>
      <c r="D7" s="5" t="inlineStr">
        <is>
          <t>女の100歳以上が男女計の95〜99歳から求められる。他の2町は正しく女の行を参照している。</t>
        </is>
      </c>
      <c r="E7" s="5">
        <f>X35*W41 に改める。9シート。</f>
        <v/>
      </c>
    </row>
    <row r="8" ht="74" customHeight="1">
      <c r="A8" s="4" t="inlineStr">
        <is>
          <t>4</t>
        </is>
      </c>
      <c r="B8" s="5" t="inlineStr">
        <is>
          <t>0〜4歳の分母が3町でそろっていない</t>
        </is>
      </c>
      <c r="C8" s="5" t="inlineStr">
        <is>
          <t>東神楽町・美瑛町は予測年の女20〜39歳、東川町は基準年の女20〜39歳を分母としている。</t>
        </is>
      </c>
      <c r="D8" s="5" t="inlineStr">
        <is>
          <t>東川町の0〜4歳が他の2町より大きく出る。子ども女性比は同じ年の比であるため、予測年の女に乗じるのが式の定義に沿う。</t>
        </is>
      </c>
      <c r="E8" s="5" t="inlineStr">
        <is>
          <t>東川町のE50・E51を =SUM(I51:L51)*E40 の形に改める（予測年の女の行を参照する）。</t>
        </is>
      </c>
    </row>
    <row r="9" ht="74" customHeight="1">
      <c r="A9" s="4" t="inlineStr">
        <is>
          <t>5</t>
        </is>
      </c>
      <c r="B9" s="5" t="inlineStr">
        <is>
          <t>時点の表示が1年ずれている</t>
        </is>
      </c>
      <c r="C9" s="5" t="inlineStr">
        <is>
          <t>5年の変化率を基準年に乗じているため、得られる値は基準年の5年後の1月1日である。令和8年シートは2022年1月1日に乗じているため2027年1月1日となる。</t>
        </is>
      </c>
      <c r="D9" s="5" t="inlineStr">
        <is>
          <t>「令和N年」は年度として読めば整合する。併記されている「20XX年」は1年ずれている。時点の注記は3通りあり、資料の中で統一されていない。</t>
        </is>
      </c>
      <c r="E9" s="5" t="inlineStr">
        <is>
          <t>見出しを「令和N年度（20XX+1年1月1日現在）」の形に統一する。注記も1つにそろえる。</t>
        </is>
      </c>
    </row>
    <row r="10" ht="74" customHeight="1">
      <c r="A10" s="4" t="inlineStr">
        <is>
          <t>6</t>
        </is>
      </c>
      <c r="B10" s="5" t="inlineStr">
        <is>
          <t>令和32年シートの予測の見出し</t>
        </is>
      </c>
      <c r="C10" s="5" t="inlineStr">
        <is>
          <t>基準の組は令和22年度と令和27年度の推計値であり、予測は令和32年度であるが、見出しが「2045年（令和27年）」のままになっている。</t>
        </is>
      </c>
      <c r="D10" s="5" t="inlineStr">
        <is>
          <t>値そのものには影響しない。見出しだけの誤りである。</t>
        </is>
      </c>
      <c r="E10" s="5" t="inlineStr">
        <is>
          <t>「2050年（令和32年）」に改める。</t>
        </is>
      </c>
    </row>
    <row r="11" ht="74" customHeight="1">
      <c r="A11" s="4" t="inlineStr">
        <is>
          <t>7</t>
        </is>
      </c>
      <c r="B11" s="5" t="inlineStr">
        <is>
          <t>令和8年シートの注記の年</t>
        </is>
      </c>
      <c r="C11" s="5" t="inlineStr">
        <is>
          <t>注記が「2016年のデータと2021年のデータ」としているが、実際に用いているのは2017年1月1日と2022年1月1日である。</t>
        </is>
      </c>
      <c r="D11" s="5" t="inlineStr">
        <is>
          <t>値そのものには影響しない。ただし1月1日の値を前年のものとして扱う箇所と当年のものとして扱う箇所が混在する原因となっている。</t>
        </is>
      </c>
      <c r="E11" s="5" t="inlineStr">
        <is>
          <t>「2017年1月1日現在と2022年1月1日現在」に改める。</t>
        </is>
      </c>
    </row>
    <row r="12" ht="74" customHeight="1">
      <c r="A12" s="4" t="inlineStr">
        <is>
          <t>8</t>
        </is>
      </c>
      <c r="B12" s="5" t="inlineStr">
        <is>
          <t>「令和5年推計を元にした補正（大雪）」の女</t>
        </is>
      </c>
      <c r="C12" s="5" t="inlineStr">
        <is>
          <t>（2）女の9項目×11年度の全ての欄が（1）男と同一であり、（3）合計は男＋女にならない。</t>
        </is>
      </c>
      <c r="D12" s="5" t="inlineStr">
        <is>
          <t>女の値が入っていない。85歳以上は女が男の約1.8倍であるため、男女別に用いると実態と大きく異なる。</t>
        </is>
      </c>
      <c r="E12" s="5" t="inlineStr">
        <is>
          <t>同じファイルの「被保険者数（補正後）補正率2区分」の男女別の値を用いる。（3）合計はそのまま用いることができる。</t>
        </is>
      </c>
    </row>
    <row r="13" ht="74" customHeight="1">
      <c r="A13" s="4" t="inlineStr">
        <is>
          <t>9</t>
        </is>
      </c>
      <c r="B13" s="5" t="inlineStr">
        <is>
          <t>合計特殊出生率の表示</t>
        </is>
      </c>
      <c r="C13" s="5" t="inlineStr">
        <is>
          <t>子ども女性比×4を「合計特殊出生率」としている。20〜39歳の20年を分母とする近似であり、15〜19歳と40歳以上の出生及び子どもの死亡を含まない。</t>
        </is>
      </c>
      <c r="D13" s="5" t="inlineStr">
        <is>
          <t>推計には用いられていないため値は動かない。外部にお示しする資料に載せる場合に誤解を生む。</t>
        </is>
      </c>
      <c r="E13" s="5" t="inlineStr">
        <is>
          <t>「子ども女性比×4（合計特殊出生率の目安）」と記す。</t>
        </is>
      </c>
    </row>
    <row r="14" ht="74" customHeight="1">
      <c r="A14" s="4" t="inlineStr">
        <is>
          <t>10</t>
        </is>
      </c>
      <c r="B14" s="5" t="inlineStr">
        <is>
          <t>東川町のシートのデータ元</t>
        </is>
      </c>
      <c r="C14" s="5" t="inlineStr">
        <is>
          <t>町別の年次化のシートのデータ元として美瑛町のサイトのURLが記されている。</t>
        </is>
      </c>
      <c r="D14" s="5" t="inlineStr">
        <is>
          <t>値そのものには影響しない。出所の記載の誤りである。</t>
        </is>
      </c>
      <c r="E14" s="5" t="inlineStr">
        <is>
          <t>東川町の計画のURLに改める。</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ht="26" customHeight="1">
      <c r="A1" s="1" t="inlineStr">
        <is>
          <t>受領値と当方の組み直しの対比</t>
        </is>
      </c>
    </row>
    <row r="2" ht="58" customHeight="1">
      <c r="A2" s="2" t="inlineStr">
        <is>
          <t>受領ファイルと同じ基準の組を用い、分母の採り方だけを改めて求めた値との対比です。差は分母の採り方によるものです。単位：人。</t>
        </is>
      </c>
    </row>
    <row r="3"/>
    <row r="4" ht="32" customHeight="1">
      <c r="A4" s="3" t="inlineStr">
        <is>
          <t>年次（おおむね対応する年度）</t>
        </is>
      </c>
      <c r="B4" s="3" t="inlineStr">
        <is>
          <t>町</t>
        </is>
      </c>
      <c r="C4" s="3" t="inlineStr">
        <is>
          <t>受領 65歳以上</t>
        </is>
      </c>
      <c r="D4" s="3" t="inlineStr">
        <is>
          <t>当方 65歳以上</t>
        </is>
      </c>
      <c r="E4" s="3" t="inlineStr">
        <is>
          <t>差</t>
        </is>
      </c>
      <c r="F4" s="3" t="inlineStr">
        <is>
          <t>受領 総人口</t>
        </is>
      </c>
      <c r="G4" s="3" t="inlineStr">
        <is>
          <t>当方 総人口</t>
        </is>
      </c>
      <c r="H4" s="3" t="inlineStr">
        <is>
          <t>差</t>
        </is>
      </c>
      <c r="I4" s="3" t="inlineStr">
        <is>
          <t>判定</t>
        </is>
      </c>
    </row>
    <row r="5" ht="22" customHeight="1">
      <c r="A5" s="5" t="inlineStr">
        <is>
          <t>令和8年（2026年）（令和8年度）</t>
        </is>
      </c>
      <c r="B5" s="5" t="inlineStr">
        <is>
          <t>東神楽町</t>
        </is>
      </c>
      <c r="C5" s="5" t="inlineStr">
        <is>
          <t>3,000.4</t>
        </is>
      </c>
      <c r="D5" s="5" t="inlineStr">
        <is>
          <t>2,997.6</t>
        </is>
      </c>
      <c r="E5" s="5" t="inlineStr">
        <is>
          <t>▲2.9</t>
        </is>
      </c>
      <c r="F5" s="5" t="inlineStr">
        <is>
          <t>9,623.3</t>
        </is>
      </c>
      <c r="G5" s="5" t="inlineStr">
        <is>
          <t>9,620.4</t>
        </is>
      </c>
      <c r="H5" s="5" t="inlineStr">
        <is>
          <t>▲2.9</t>
        </is>
      </c>
      <c r="I5" s="6" t="inlineStr">
        <is>
          <t>適合</t>
        </is>
      </c>
    </row>
    <row r="6" ht="22" customHeight="1">
      <c r="A6" s="5" t="inlineStr">
        <is>
          <t>令和8年（2026年）（令和8年度）</t>
        </is>
      </c>
      <c r="B6" s="5" t="inlineStr">
        <is>
          <t>東川町</t>
        </is>
      </c>
      <c r="C6" s="5" t="inlineStr">
        <is>
          <t>3,075.4</t>
        </is>
      </c>
      <c r="D6" s="5" t="inlineStr">
        <is>
          <t>2,669.4</t>
        </is>
      </c>
      <c r="E6" s="5" t="inlineStr">
        <is>
          <t>▲406.0</t>
        </is>
      </c>
      <c r="F6" s="5" t="inlineStr">
        <is>
          <t>8,963.2</t>
        </is>
      </c>
      <c r="G6" s="5" t="inlineStr">
        <is>
          <t>8,548.4</t>
        </is>
      </c>
      <c r="H6" s="5" t="inlineStr">
        <is>
          <t>▲414.8</t>
        </is>
      </c>
      <c r="I6" s="7" t="inlineStr">
        <is>
          <t>不適合</t>
        </is>
      </c>
    </row>
    <row r="7" ht="22" customHeight="1">
      <c r="A7" s="5" t="inlineStr">
        <is>
          <t>令和8年（2026年）（令和8年度）</t>
        </is>
      </c>
      <c r="B7" s="5" t="inlineStr">
        <is>
          <t>美瑛町</t>
        </is>
      </c>
      <c r="C7" s="5" t="inlineStr">
        <is>
          <t>3,515.2</t>
        </is>
      </c>
      <c r="D7" s="5" t="inlineStr">
        <is>
          <t>3,519.4</t>
        </is>
      </c>
      <c r="E7" s="5" t="inlineStr">
        <is>
          <t>＋4.2</t>
        </is>
      </c>
      <c r="F7" s="5" t="inlineStr">
        <is>
          <t>8,868.3</t>
        </is>
      </c>
      <c r="G7" s="5" t="inlineStr">
        <is>
          <t>8,872.5</t>
        </is>
      </c>
      <c r="H7" s="5" t="inlineStr">
        <is>
          <t>＋4.2</t>
        </is>
      </c>
      <c r="I7" s="6" t="inlineStr">
        <is>
          <t>適合</t>
        </is>
      </c>
    </row>
    <row r="8" ht="22" customHeight="1">
      <c r="A8" s="5" t="inlineStr">
        <is>
          <t>令和9年（2027年）（令和9年度）</t>
        </is>
      </c>
      <c r="B8" s="5" t="inlineStr">
        <is>
          <t>東神楽町</t>
        </is>
      </c>
      <c r="C8" s="5" t="inlineStr">
        <is>
          <t>2,978.0</t>
        </is>
      </c>
      <c r="D8" s="5" t="inlineStr">
        <is>
          <t>2,976.1</t>
        </is>
      </c>
      <c r="E8" s="5" t="inlineStr">
        <is>
          <t>▲1.9</t>
        </is>
      </c>
      <c r="F8" s="5" t="inlineStr">
        <is>
          <t>9,414.9</t>
        </is>
      </c>
      <c r="G8" s="5" t="inlineStr">
        <is>
          <t>9,413.0</t>
        </is>
      </c>
      <c r="H8" s="5" t="inlineStr">
        <is>
          <t>▲1.9</t>
        </is>
      </c>
      <c r="I8" s="6" t="inlineStr">
        <is>
          <t>適合</t>
        </is>
      </c>
    </row>
    <row r="9" ht="22" customHeight="1">
      <c r="A9" s="5" t="inlineStr">
        <is>
          <t>令和9年（2027年）（令和9年度）</t>
        </is>
      </c>
      <c r="B9" s="5" t="inlineStr">
        <is>
          <t>東川町</t>
        </is>
      </c>
      <c r="C9" s="5" t="inlineStr">
        <is>
          <t>3,087.2</t>
        </is>
      </c>
      <c r="D9" s="5" t="inlineStr">
        <is>
          <t>2,680.7</t>
        </is>
      </c>
      <c r="E9" s="5" t="inlineStr">
        <is>
          <t>▲406.5</t>
        </is>
      </c>
      <c r="F9" s="5" t="inlineStr">
        <is>
          <t>9,228.6</t>
        </is>
      </c>
      <c r="G9" s="5" t="inlineStr">
        <is>
          <t>8,830.6</t>
        </is>
      </c>
      <c r="H9" s="5" t="inlineStr">
        <is>
          <t>▲398.0</t>
        </is>
      </c>
      <c r="I9" s="7" t="inlineStr">
        <is>
          <t>不適合</t>
        </is>
      </c>
    </row>
    <row r="10" ht="22" customHeight="1">
      <c r="A10" s="5" t="inlineStr">
        <is>
          <t>令和9年（2027年）（令和9年度）</t>
        </is>
      </c>
      <c r="B10" s="5" t="inlineStr">
        <is>
          <t>美瑛町</t>
        </is>
      </c>
      <c r="C10" s="5" t="inlineStr">
        <is>
          <t>3,542.4</t>
        </is>
      </c>
      <c r="D10" s="5" t="inlineStr">
        <is>
          <t>3,537.6</t>
        </is>
      </c>
      <c r="E10" s="5" t="inlineStr">
        <is>
          <t>▲4.8</t>
        </is>
      </c>
      <c r="F10" s="5" t="inlineStr">
        <is>
          <t>8,869.3</t>
        </is>
      </c>
      <c r="G10" s="5" t="inlineStr">
        <is>
          <t>8,864.5</t>
        </is>
      </c>
      <c r="H10" s="5" t="inlineStr">
        <is>
          <t>▲4.8</t>
        </is>
      </c>
      <c r="I10" s="6" t="inlineStr">
        <is>
          <t>適合</t>
        </is>
      </c>
    </row>
    <row r="11" ht="22" customHeight="1">
      <c r="A11" s="5" t="inlineStr">
        <is>
          <t>令和10年（2028）（令和10年度）</t>
        </is>
      </c>
      <c r="B11" s="5" t="inlineStr">
        <is>
          <t>東神楽町</t>
        </is>
      </c>
      <c r="C11" s="5" t="inlineStr">
        <is>
          <t>2,960.1</t>
        </is>
      </c>
      <c r="D11" s="5" t="inlineStr">
        <is>
          <t>2,959.9</t>
        </is>
      </c>
      <c r="E11" s="5" t="inlineStr">
        <is>
          <t>▲0.2</t>
        </is>
      </c>
      <c r="F11" s="5" t="inlineStr">
        <is>
          <t>9,239.8</t>
        </is>
      </c>
      <c r="G11" s="5" t="inlineStr">
        <is>
          <t>9,239.6</t>
        </is>
      </c>
      <c r="H11" s="5" t="inlineStr">
        <is>
          <t>▲0.2</t>
        </is>
      </c>
      <c r="I11" s="6" t="inlineStr">
        <is>
          <t>適合</t>
        </is>
      </c>
    </row>
    <row r="12" ht="22" customHeight="1">
      <c r="A12" s="5" t="inlineStr">
        <is>
          <t>令和10年（2028）（令和10年度）</t>
        </is>
      </c>
      <c r="B12" s="5" t="inlineStr">
        <is>
          <t>東川町</t>
        </is>
      </c>
      <c r="C12" s="5" t="inlineStr">
        <is>
          <t>3,002.2</t>
        </is>
      </c>
      <c r="D12" s="5" t="inlineStr">
        <is>
          <t>2,619.5</t>
        </is>
      </c>
      <c r="E12" s="5" t="inlineStr">
        <is>
          <t>▲382.7</t>
        </is>
      </c>
      <c r="F12" s="5" t="inlineStr">
        <is>
          <t>9,098.5</t>
        </is>
      </c>
      <c r="G12" s="5" t="inlineStr">
        <is>
          <t>8,713.8</t>
        </is>
      </c>
      <c r="H12" s="5" t="inlineStr">
        <is>
          <t>▲384.7</t>
        </is>
      </c>
      <c r="I12" s="7" t="inlineStr">
        <is>
          <t>不適合</t>
        </is>
      </c>
    </row>
    <row r="13" ht="22" customHeight="1">
      <c r="A13" s="5" t="inlineStr">
        <is>
          <t>令和10年（2028）（令和10年度）</t>
        </is>
      </c>
      <c r="B13" s="5" t="inlineStr">
        <is>
          <t>美瑛町</t>
        </is>
      </c>
      <c r="C13" s="5" t="inlineStr">
        <is>
          <t>3,535.7</t>
        </is>
      </c>
      <c r="D13" s="5" t="inlineStr">
        <is>
          <t>3,534.8</t>
        </is>
      </c>
      <c r="E13" s="5" t="inlineStr">
        <is>
          <t>▲0.9</t>
        </is>
      </c>
      <c r="F13" s="5" t="inlineStr">
        <is>
          <t>8,766.1</t>
        </is>
      </c>
      <c r="G13" s="5" t="inlineStr">
        <is>
          <t>8,765.2</t>
        </is>
      </c>
      <c r="H13" s="5" t="inlineStr">
        <is>
          <t>▲0.9</t>
        </is>
      </c>
      <c r="I13" s="6" t="inlineStr">
        <is>
          <t>適合</t>
        </is>
      </c>
    </row>
    <row r="14" ht="22" customHeight="1">
      <c r="A14" s="5" t="inlineStr">
        <is>
          <t>令和11年（2029）（令和11年度）</t>
        </is>
      </c>
      <c r="B14" s="5" t="inlineStr">
        <is>
          <t>東神楽町</t>
        </is>
      </c>
      <c r="C14" s="5" t="inlineStr">
        <is>
          <t>2,963.9</t>
        </is>
      </c>
      <c r="D14" s="5" t="inlineStr">
        <is>
          <t>2,959.7</t>
        </is>
      </c>
      <c r="E14" s="5" t="inlineStr">
        <is>
          <t>▲4.2</t>
        </is>
      </c>
      <c r="F14" s="5" t="inlineStr">
        <is>
          <t>9,240.6</t>
        </is>
      </c>
      <c r="G14" s="5" t="inlineStr">
        <is>
          <t>9,236.4</t>
        </is>
      </c>
      <c r="H14" s="5" t="inlineStr">
        <is>
          <t>▲4.2</t>
        </is>
      </c>
      <c r="I14" s="6" t="inlineStr">
        <is>
          <t>適合</t>
        </is>
      </c>
    </row>
    <row r="15" ht="22" customHeight="1">
      <c r="A15" s="5" t="inlineStr">
        <is>
          <t>令和11年（2029）（令和11年度）</t>
        </is>
      </c>
      <c r="B15" s="5" t="inlineStr">
        <is>
          <t>東川町</t>
        </is>
      </c>
      <c r="C15" s="5" t="inlineStr">
        <is>
          <t>3,070.6</t>
        </is>
      </c>
      <c r="D15" s="5" t="inlineStr">
        <is>
          <t>2,682.2</t>
        </is>
      </c>
      <c r="E15" s="5" t="inlineStr">
        <is>
          <t>▲388.5</t>
        </is>
      </c>
      <c r="F15" s="5" t="inlineStr">
        <is>
          <t>9,302.2</t>
        </is>
      </c>
      <c r="G15" s="5" t="inlineStr">
        <is>
          <t>8,927.5</t>
        </is>
      </c>
      <c r="H15" s="5" t="inlineStr">
        <is>
          <t>▲374.7</t>
        </is>
      </c>
      <c r="I15" s="7" t="inlineStr">
        <is>
          <t>不適合</t>
        </is>
      </c>
    </row>
    <row r="16" ht="22" customHeight="1">
      <c r="A16" s="5" t="inlineStr">
        <is>
          <t>令和11年（2029）（令和11年度）</t>
        </is>
      </c>
      <c r="B16" s="5" t="inlineStr">
        <is>
          <t>美瑛町</t>
        </is>
      </c>
      <c r="C16" s="5" t="inlineStr">
        <is>
          <t>3,475.8</t>
        </is>
      </c>
      <c r="D16" s="5" t="inlineStr">
        <is>
          <t>3,467.3</t>
        </is>
      </c>
      <c r="E16" s="5" t="inlineStr">
        <is>
          <t>▲8.6</t>
        </is>
      </c>
      <c r="F16" s="5" t="inlineStr">
        <is>
          <t>8,596.2</t>
        </is>
      </c>
      <c r="G16" s="5" t="inlineStr">
        <is>
          <t>8,587.6</t>
        </is>
      </c>
      <c r="H16" s="5" t="inlineStr">
        <is>
          <t>▲8.6</t>
        </is>
      </c>
      <c r="I16" s="6" t="inlineStr">
        <is>
          <t>適合</t>
        </is>
      </c>
    </row>
    <row r="17" ht="22" customHeight="1">
      <c r="A17" s="5" t="inlineStr">
        <is>
          <t>令和12年（2030）（令和12年度）</t>
        </is>
      </c>
      <c r="B17" s="5" t="inlineStr">
        <is>
          <t>東神楽町</t>
        </is>
      </c>
      <c r="C17" s="5" t="inlineStr">
        <is>
          <t>2,998.6</t>
        </is>
      </c>
      <c r="D17" s="5" t="inlineStr">
        <is>
          <t>2,992.8</t>
        </is>
      </c>
      <c r="E17" s="5" t="inlineStr">
        <is>
          <t>▲5.8</t>
        </is>
      </c>
      <c r="F17" s="5" t="inlineStr">
        <is>
          <t>9,093.8</t>
        </is>
      </c>
      <c r="G17" s="5" t="inlineStr">
        <is>
          <t>9,087.9</t>
        </is>
      </c>
      <c r="H17" s="5" t="inlineStr">
        <is>
          <t>▲5.8</t>
        </is>
      </c>
      <c r="I17" s="6" t="inlineStr">
        <is>
          <t>適合</t>
        </is>
      </c>
    </row>
    <row r="18" ht="22" customHeight="1">
      <c r="A18" s="5" t="inlineStr">
        <is>
          <t>令和12年（2030）（令和12年度）</t>
        </is>
      </c>
      <c r="B18" s="5" t="inlineStr">
        <is>
          <t>東川町</t>
        </is>
      </c>
      <c r="C18" s="5" t="inlineStr">
        <is>
          <t>3,046.1</t>
        </is>
      </c>
      <c r="D18" s="5" t="inlineStr">
        <is>
          <t>2,656.6</t>
        </is>
      </c>
      <c r="E18" s="5" t="inlineStr">
        <is>
          <t>▲389.5</t>
        </is>
      </c>
      <c r="F18" s="5" t="inlineStr">
        <is>
          <t>9,279.5</t>
        </is>
      </c>
      <c r="G18" s="5" t="inlineStr">
        <is>
          <t>8,888.1</t>
        </is>
      </c>
      <c r="H18" s="5" t="inlineStr">
        <is>
          <t>▲391.4</t>
        </is>
      </c>
      <c r="I18" s="7" t="inlineStr">
        <is>
          <t>不適合</t>
        </is>
      </c>
    </row>
    <row r="19" ht="22" customHeight="1">
      <c r="A19" s="5" t="inlineStr">
        <is>
          <t>令和12年（2030）（令和12年度）</t>
        </is>
      </c>
      <c r="B19" s="5" t="inlineStr">
        <is>
          <t>美瑛町</t>
        </is>
      </c>
      <c r="C19" s="5" t="inlineStr">
        <is>
          <t>3,441.0</t>
        </is>
      </c>
      <c r="D19" s="5" t="inlineStr">
        <is>
          <t>3,431.3</t>
        </is>
      </c>
      <c r="E19" s="5" t="inlineStr">
        <is>
          <t>▲9.7</t>
        </is>
      </c>
      <c r="F19" s="5" t="inlineStr">
        <is>
          <t>8,484.9</t>
        </is>
      </c>
      <c r="G19" s="5" t="inlineStr">
        <is>
          <t>8,475.3</t>
        </is>
      </c>
      <c r="H19" s="5" t="inlineStr">
        <is>
          <t>▲9.7</t>
        </is>
      </c>
      <c r="I19" s="6" t="inlineStr">
        <is>
          <t>適合</t>
        </is>
      </c>
    </row>
    <row r="20" ht="22" customHeight="1">
      <c r="A20" s="5" t="inlineStr">
        <is>
          <t>令和17年（2035）（令和17年度）</t>
        </is>
      </c>
      <c r="B20" s="5" t="inlineStr">
        <is>
          <t>東神楽町</t>
        </is>
      </c>
      <c r="C20" s="5" t="inlineStr">
        <is>
          <t>3,067.5</t>
        </is>
      </c>
      <c r="D20" s="5" t="inlineStr">
        <is>
          <t>3,077.1</t>
        </is>
      </c>
      <c r="E20" s="5" t="inlineStr">
        <is>
          <t>＋9.6</t>
        </is>
      </c>
      <c r="F20" s="5" t="inlineStr">
        <is>
          <t>8,465.7</t>
        </is>
      </c>
      <c r="G20" s="5" t="inlineStr">
        <is>
          <t>8,475.3</t>
        </is>
      </c>
      <c r="H20" s="5" t="inlineStr">
        <is>
          <t>＋9.6</t>
        </is>
      </c>
      <c r="I20" s="6" t="inlineStr">
        <is>
          <t>適合</t>
        </is>
      </c>
    </row>
    <row r="21" ht="22" customHeight="1">
      <c r="A21" s="5" t="inlineStr">
        <is>
          <t>令和17年（2035）（令和17年度）</t>
        </is>
      </c>
      <c r="B21" s="5" t="inlineStr">
        <is>
          <t>東川町</t>
        </is>
      </c>
      <c r="C21" s="5" t="inlineStr">
        <is>
          <t>4,905.9</t>
        </is>
      </c>
      <c r="D21" s="5" t="inlineStr">
        <is>
          <t>3,551.2</t>
        </is>
      </c>
      <c r="E21" s="5" t="inlineStr">
        <is>
          <t>▲1,354.7</t>
        </is>
      </c>
      <c r="F21" s="5" t="inlineStr">
        <is>
          <t>11,310.9</t>
        </is>
      </c>
      <c r="G21" s="5" t="inlineStr">
        <is>
          <t>9,959.2</t>
        </is>
      </c>
      <c r="H21" s="5" t="inlineStr">
        <is>
          <t>▲1,351.7</t>
        </is>
      </c>
      <c r="I21" s="7" t="inlineStr">
        <is>
          <t>不適合</t>
        </is>
      </c>
    </row>
    <row r="22" ht="22" customHeight="1">
      <c r="A22" s="5" t="inlineStr">
        <is>
          <t>令和17年（2035）（令和17年度）</t>
        </is>
      </c>
      <c r="B22" s="5" t="inlineStr">
        <is>
          <t>美瑛町</t>
        </is>
      </c>
      <c r="C22" s="5" t="inlineStr">
        <is>
          <t>3,270.8</t>
        </is>
      </c>
      <c r="D22" s="5" t="inlineStr">
        <is>
          <t>3,280.4</t>
        </is>
      </c>
      <c r="E22" s="5" t="inlineStr">
        <is>
          <t>＋9.6</t>
        </is>
      </c>
      <c r="F22" s="5" t="inlineStr">
        <is>
          <t>7,826.5</t>
        </is>
      </c>
      <c r="G22" s="5" t="inlineStr">
        <is>
          <t>7,836.2</t>
        </is>
      </c>
      <c r="H22" s="5" t="inlineStr">
        <is>
          <t>＋9.6</t>
        </is>
      </c>
      <c r="I22" s="6" t="inlineStr">
        <is>
          <t>適合</t>
        </is>
      </c>
    </row>
    <row r="23" ht="22" customHeight="1">
      <c r="A23" s="5" t="inlineStr">
        <is>
          <t>令和22年（2040）（令和22年度）</t>
        </is>
      </c>
      <c r="B23" s="5" t="inlineStr">
        <is>
          <t>東神楽町</t>
        </is>
      </c>
      <c r="C23" s="5" t="inlineStr">
        <is>
          <t>3,134.5</t>
        </is>
      </c>
      <c r="D23" s="5" t="inlineStr">
        <is>
          <t>3,155.7</t>
        </is>
      </c>
      <c r="E23" s="5" t="inlineStr">
        <is>
          <t>＋21.2</t>
        </is>
      </c>
      <c r="F23" s="5" t="inlineStr">
        <is>
          <t>7,812.2</t>
        </is>
      </c>
      <c r="G23" s="5" t="inlineStr">
        <is>
          <t>7,833.4</t>
        </is>
      </c>
      <c r="H23" s="5" t="inlineStr">
        <is>
          <t>＋21.2</t>
        </is>
      </c>
      <c r="I23" s="6" t="inlineStr">
        <is>
          <t>適合</t>
        </is>
      </c>
    </row>
    <row r="24" ht="22" customHeight="1">
      <c r="A24" s="5" t="inlineStr">
        <is>
          <t>令和22年（2040）（令和22年度）</t>
        </is>
      </c>
      <c r="B24" s="5" t="inlineStr">
        <is>
          <t>東川町</t>
        </is>
      </c>
      <c r="C24" s="5" t="inlineStr">
        <is>
          <t>12,641.6</t>
        </is>
      </c>
      <c r="D24" s="5" t="inlineStr">
        <is>
          <t>9,731.9</t>
        </is>
      </c>
      <c r="E24" s="5" t="inlineStr">
        <is>
          <t>▲2,909.7</t>
        </is>
      </c>
      <c r="F24" s="5" t="inlineStr">
        <is>
          <t>19,089.2</t>
        </is>
      </c>
      <c r="G24" s="5" t="inlineStr">
        <is>
          <t>16,192.2</t>
        </is>
      </c>
      <c r="H24" s="5" t="inlineStr">
        <is>
          <t>▲2,896.9</t>
        </is>
      </c>
      <c r="I24" s="7" t="inlineStr">
        <is>
          <t>不適合</t>
        </is>
      </c>
    </row>
    <row r="25" ht="22" customHeight="1">
      <c r="A25" s="5" t="inlineStr">
        <is>
          <t>令和22年（2040）（令和22年度）</t>
        </is>
      </c>
      <c r="B25" s="5" t="inlineStr">
        <is>
          <t>美瑛町</t>
        </is>
      </c>
      <c r="C25" s="5" t="inlineStr">
        <is>
          <t>3,113.7</t>
        </is>
      </c>
      <c r="D25" s="5" t="inlineStr">
        <is>
          <t>3,148.8</t>
        </is>
      </c>
      <c r="E25" s="5" t="inlineStr">
        <is>
          <t>＋35.2</t>
        </is>
      </c>
      <c r="F25" s="5" t="inlineStr">
        <is>
          <t>7,136.1</t>
        </is>
      </c>
      <c r="G25" s="5" t="inlineStr">
        <is>
          <t>7,171.3</t>
        </is>
      </c>
      <c r="H25" s="5" t="inlineStr">
        <is>
          <t>＋35.2</t>
        </is>
      </c>
      <c r="I25" s="7" t="inlineStr">
        <is>
          <t>不適合</t>
        </is>
      </c>
    </row>
    <row r="26" ht="22" customHeight="1">
      <c r="A26" s="5" t="inlineStr">
        <is>
          <t>令和27年（2045）（令和27年度）</t>
        </is>
      </c>
      <c r="B26" s="5" t="inlineStr">
        <is>
          <t>東神楽町</t>
        </is>
      </c>
      <c r="C26" s="5" t="inlineStr">
        <is>
          <t>3,072.5</t>
        </is>
      </c>
      <c r="D26" s="5" t="inlineStr">
        <is>
          <t>3,087.2</t>
        </is>
      </c>
      <c r="E26" s="5" t="inlineStr">
        <is>
          <t>＋14.8</t>
        </is>
      </c>
      <c r="F26" s="5" t="inlineStr">
        <is>
          <t>7,175.1</t>
        </is>
      </c>
      <c r="G26" s="5" t="inlineStr">
        <is>
          <t>7,189.8</t>
        </is>
      </c>
      <c r="H26" s="5" t="inlineStr">
        <is>
          <t>＋14.8</t>
        </is>
      </c>
      <c r="I26" s="6" t="inlineStr">
        <is>
          <t>適合</t>
        </is>
      </c>
    </row>
    <row r="27" ht="22" customHeight="1">
      <c r="A27" s="5" t="inlineStr">
        <is>
          <t>令和27年（2045）（令和27年度）</t>
        </is>
      </c>
      <c r="B27" s="5" t="inlineStr">
        <is>
          <t>東川町</t>
        </is>
      </c>
      <c r="C27" s="5" t="inlineStr">
        <is>
          <t>30,543.0</t>
        </is>
      </c>
      <c r="D27" s="5" t="inlineStr">
        <is>
          <t>36,422.1</t>
        </is>
      </c>
      <c r="E27" s="5" t="inlineStr">
        <is>
          <t>＋5,879.1</t>
        </is>
      </c>
      <c r="F27" s="5" t="inlineStr">
        <is>
          <t>37,054.6</t>
        </is>
      </c>
      <c r="G27" s="5" t="inlineStr">
        <is>
          <t>42,923.2</t>
        </is>
      </c>
      <c r="H27" s="5" t="inlineStr">
        <is>
          <t>＋5,868.6</t>
        </is>
      </c>
      <c r="I27" s="7" t="inlineStr">
        <is>
          <t>不適合</t>
        </is>
      </c>
    </row>
    <row r="28" ht="22" customHeight="1">
      <c r="A28" s="5" t="inlineStr">
        <is>
          <t>令和27年（2045）（令和27年度）</t>
        </is>
      </c>
      <c r="B28" s="5" t="inlineStr">
        <is>
          <t>美瑛町</t>
        </is>
      </c>
      <c r="C28" s="5" t="inlineStr">
        <is>
          <t>2,871.0</t>
        </is>
      </c>
      <c r="D28" s="5" t="inlineStr">
        <is>
          <t>2,897.4</t>
        </is>
      </c>
      <c r="E28" s="5" t="inlineStr">
        <is>
          <t>＋26.4</t>
        </is>
      </c>
      <c r="F28" s="5" t="inlineStr">
        <is>
          <t>6,471.3</t>
        </is>
      </c>
      <c r="G28" s="5" t="inlineStr">
        <is>
          <t>6,497.7</t>
        </is>
      </c>
      <c r="H28" s="5" t="inlineStr">
        <is>
          <t>＋26.4</t>
        </is>
      </c>
      <c r="I28" s="6" t="inlineStr">
        <is>
          <t>適合</t>
        </is>
      </c>
    </row>
    <row r="29" ht="22" customHeight="1">
      <c r="A29" s="5" t="inlineStr">
        <is>
          <t>令和32年（2050）（令和32年度）</t>
        </is>
      </c>
      <c r="B29" s="5" t="inlineStr">
        <is>
          <t>東神楽町</t>
        </is>
      </c>
      <c r="C29" s="5" t="inlineStr">
        <is>
          <t>2,966.4</t>
        </is>
      </c>
      <c r="D29" s="5" t="inlineStr">
        <is>
          <t>2,976.5</t>
        </is>
      </c>
      <c r="E29" s="5" t="inlineStr">
        <is>
          <t>＋10.1</t>
        </is>
      </c>
      <c r="F29" s="5" t="inlineStr">
        <is>
          <t>6,546.8</t>
        </is>
      </c>
      <c r="G29" s="5" t="inlineStr">
        <is>
          <t>6,556.9</t>
        </is>
      </c>
      <c r="H29" s="5" t="inlineStr">
        <is>
          <t>＋10.1</t>
        </is>
      </c>
      <c r="I29" s="6" t="inlineStr">
        <is>
          <t>適合</t>
        </is>
      </c>
    </row>
    <row r="30" ht="22" customHeight="1">
      <c r="A30" s="5" t="inlineStr">
        <is>
          <t>令和32年（2050）（令和32年度）</t>
        </is>
      </c>
      <c r="B30" s="5" t="inlineStr">
        <is>
          <t>東川町</t>
        </is>
      </c>
      <c r="C30" s="5" t="inlineStr">
        <is>
          <t>34,572.8</t>
        </is>
      </c>
      <c r="D30" s="5" t="inlineStr">
        <is>
          <t>70,915.7</t>
        </is>
      </c>
      <c r="E30" s="5" t="inlineStr">
        <is>
          <t>＋36,342.9</t>
        </is>
      </c>
      <c r="F30" s="5" t="inlineStr">
        <is>
          <t>41,241.0</t>
        </is>
      </c>
      <c r="G30" s="5" t="inlineStr">
        <is>
          <t>77,589.1</t>
        </is>
      </c>
      <c r="H30" s="5" t="inlineStr">
        <is>
          <t>＋36,348.1</t>
        </is>
      </c>
      <c r="I30" s="7" t="inlineStr">
        <is>
          <t>不適合</t>
        </is>
      </c>
    </row>
    <row r="31" ht="22" customHeight="1">
      <c r="A31" s="5" t="inlineStr">
        <is>
          <t>令和32年（2050）（令和32年度）</t>
        </is>
      </c>
      <c r="B31" s="5" t="inlineStr">
        <is>
          <t>美瑛町</t>
        </is>
      </c>
      <c r="C31" s="5" t="inlineStr">
        <is>
          <t>2,655.6</t>
        </is>
      </c>
      <c r="D31" s="5" t="inlineStr">
        <is>
          <t>2,668.5</t>
        </is>
      </c>
      <c r="E31" s="5" t="inlineStr">
        <is>
          <t>＋12.8</t>
        </is>
      </c>
      <c r="F31" s="5" t="inlineStr">
        <is>
          <t>5,864.3</t>
        </is>
      </c>
      <c r="G31" s="5" t="inlineStr">
        <is>
          <t>5,877.1</t>
        </is>
      </c>
      <c r="H31" s="5" t="inlineStr">
        <is>
          <t>＋12.8</t>
        </is>
      </c>
      <c r="I31" s="6" t="inlineStr">
        <is>
          <t>適合</t>
        </is>
      </c>
    </row>
    <row r="32" ht="42" customHeight="1">
      <c r="A32" s="9" t="inlineStr">
        <is>
          <t>注）「当方」は、受領ファイルと同じ基準の組を用い、90歳以上を開放区間として扱い、95〜99歳・100歳以上の分母を階級ごとに採り、0〜4歳を予測年の女20〜39歳に乗じて求めたものです。
東神楽町・美瑛町の差は1％未満であり、式の組み方は妥当です。東川町の差は、90歳以上の変化率の分母の採り方によるものです。
令和17年度以降は前の年次の推計値を基準としているため、東川町の差が年次を追って大きくなります。</t>
        </is>
      </c>
    </row>
  </sheetData>
  <mergeCells count="3">
    <mergeCell ref="A1:I1"/>
    <mergeCell ref="A32:I32"/>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s>
  <sheetData>
    <row r="1" ht="26" customHeight="1">
      <c r="A1" s="1" t="inlineStr">
        <is>
          <t>正しく組み直した将来人口</t>
        </is>
      </c>
    </row>
    <row r="2" ht="58" customHeight="1">
      <c r="A2" s="2" t="inlineStr">
        <is>
          <t>住民基本台帳の実測2時点（令和3年1月1日・令和8年1月1日）のみを基礎とし、5年刻みで延ばしたものです。各年次は前の年次を基準とする連鎖です。単位：人。</t>
        </is>
      </c>
    </row>
    <row r="3"/>
    <row r="4" ht="40" customHeight="1">
      <c r="A4" s="3" t="inlineStr">
        <is>
          <t>町</t>
        </is>
      </c>
      <c r="B4" s="3" t="inlineStr">
        <is>
          <t>区分</t>
        </is>
      </c>
      <c r="C4" s="3" t="inlineStr">
        <is>
          <t>令和7年度
（令和8年1月1日現在）</t>
        </is>
      </c>
      <c r="D4" s="3" t="inlineStr">
        <is>
          <t>令和12年度
（令和13年1月1日現在）</t>
        </is>
      </c>
      <c r="E4" s="3" t="inlineStr">
        <is>
          <t>令和17年度
（令和18年1月1日現在）</t>
        </is>
      </c>
      <c r="F4" s="3" t="inlineStr">
        <is>
          <t>令和22年度
（令和23年1月1日現在）</t>
        </is>
      </c>
      <c r="G4" s="3" t="inlineStr">
        <is>
          <t>令和27年度
（令和28年1月1日現在）</t>
        </is>
      </c>
      <c r="H4" s="3" t="inlineStr">
        <is>
          <t>令和32年度
（令和33年1月1日現在）</t>
        </is>
      </c>
    </row>
    <row r="5" ht="22" customHeight="1">
      <c r="A5" s="14" t="inlineStr">
        <is>
          <t>東神楽町</t>
        </is>
      </c>
      <c r="B5" s="5" t="inlineStr">
        <is>
          <t>総人口</t>
        </is>
      </c>
      <c r="C5" s="5" t="inlineStr">
        <is>
          <t>9,660</t>
        </is>
      </c>
      <c r="D5" s="5" t="inlineStr">
        <is>
          <t>9,088</t>
        </is>
      </c>
      <c r="E5" s="5" t="inlineStr">
        <is>
          <t>8,466</t>
        </is>
      </c>
      <c r="F5" s="5" t="inlineStr">
        <is>
          <t>7,846</t>
        </is>
      </c>
      <c r="G5" s="5" t="inlineStr">
        <is>
          <t>7,226</t>
        </is>
      </c>
      <c r="H5" s="5" t="inlineStr">
        <is>
          <t>6,609</t>
        </is>
      </c>
    </row>
    <row r="6" ht="22" customHeight="1">
      <c r="A6" s="14" t="inlineStr">
        <is>
          <t>東神楽町</t>
        </is>
      </c>
      <c r="B6" s="5" t="inlineStr">
        <is>
          <t>65歳以上</t>
        </is>
      </c>
      <c r="C6" s="5" t="inlineStr">
        <is>
          <t>2,903</t>
        </is>
      </c>
      <c r="D6" s="5" t="inlineStr">
        <is>
          <t>2,993</t>
        </is>
      </c>
      <c r="E6" s="5" t="inlineStr">
        <is>
          <t>3,068</t>
        </is>
      </c>
      <c r="F6" s="5" t="inlineStr">
        <is>
          <t>3,168</t>
        </is>
      </c>
      <c r="G6" s="5" t="inlineStr">
        <is>
          <t>3,124</t>
        </is>
      </c>
      <c r="H6" s="5" t="inlineStr">
        <is>
          <t>3,029</t>
        </is>
      </c>
    </row>
    <row r="7" ht="22" customHeight="1">
      <c r="A7" s="14" t="inlineStr">
        <is>
          <t>東神楽町</t>
        </is>
      </c>
      <c r="B7" s="5" t="inlineStr">
        <is>
          <t>75歳以上</t>
        </is>
      </c>
      <c r="C7" s="5" t="inlineStr">
        <is>
          <t>1,591</t>
        </is>
      </c>
      <c r="D7" s="5" t="inlineStr">
        <is>
          <t>1,695</t>
        </is>
      </c>
      <c r="E7" s="5" t="inlineStr">
        <is>
          <t>1,731</t>
        </is>
      </c>
      <c r="F7" s="5" t="inlineStr">
        <is>
          <t>1,750</t>
        </is>
      </c>
      <c r="G7" s="5" t="inlineStr">
        <is>
          <t>1,772</t>
        </is>
      </c>
      <c r="H7" s="5" t="inlineStr">
        <is>
          <t>1,837</t>
        </is>
      </c>
    </row>
    <row r="8" ht="22" customHeight="1">
      <c r="A8" s="14" t="inlineStr">
        <is>
          <t>東神楽町</t>
        </is>
      </c>
      <c r="B8" s="5" t="inlineStr">
        <is>
          <t>85歳以上</t>
        </is>
      </c>
      <c r="C8" s="5" t="inlineStr">
        <is>
          <t>536</t>
        </is>
      </c>
      <c r="D8" s="5" t="inlineStr">
        <is>
          <t>566</t>
        </is>
      </c>
      <c r="E8" s="5" t="inlineStr">
        <is>
          <t>657</t>
        </is>
      </c>
      <c r="F8" s="5" t="inlineStr">
        <is>
          <t>685</t>
        </is>
      </c>
      <c r="G8" s="5" t="inlineStr">
        <is>
          <t>673</t>
        </is>
      </c>
      <c r="H8" s="5" t="inlineStr">
        <is>
          <t>668</t>
        </is>
      </c>
    </row>
    <row r="9" ht="22" customHeight="1">
      <c r="A9" s="14" t="inlineStr">
        <is>
          <t>東川町</t>
        </is>
      </c>
      <c r="B9" s="5" t="inlineStr">
        <is>
          <t>総人口</t>
        </is>
      </c>
      <c r="C9" s="5" t="inlineStr">
        <is>
          <t>8,695</t>
        </is>
      </c>
      <c r="D9" s="5" t="inlineStr">
        <is>
          <t>8,888</t>
        </is>
      </c>
      <c r="E9" s="5" t="inlineStr">
        <is>
          <t>9,059</t>
        </is>
      </c>
      <c r="F9" s="5" t="inlineStr">
        <is>
          <t>9,236</t>
        </is>
      </c>
      <c r="G9" s="5" t="inlineStr">
        <is>
          <t>9,401</t>
        </is>
      </c>
      <c r="H9" s="5" t="inlineStr">
        <is>
          <t>9,627</t>
        </is>
      </c>
    </row>
    <row r="10" ht="22" customHeight="1">
      <c r="A10" s="14" t="inlineStr">
        <is>
          <t>東川町</t>
        </is>
      </c>
      <c r="B10" s="5" t="inlineStr">
        <is>
          <t>65歳以上</t>
        </is>
      </c>
      <c r="C10" s="5" t="inlineStr">
        <is>
          <t>2,694</t>
        </is>
      </c>
      <c r="D10" s="5" t="inlineStr">
        <is>
          <t>2,657</t>
        </is>
      </c>
      <c r="E10" s="5" t="inlineStr">
        <is>
          <t>2,655</t>
        </is>
      </c>
      <c r="F10" s="5" t="inlineStr">
        <is>
          <t>2,776</t>
        </is>
      </c>
      <c r="G10" s="5" t="inlineStr">
        <is>
          <t>2,869</t>
        </is>
      </c>
      <c r="H10" s="5" t="inlineStr">
        <is>
          <t>2,927</t>
        </is>
      </c>
    </row>
    <row r="11" ht="22" customHeight="1">
      <c r="A11" s="14" t="inlineStr">
        <is>
          <t>東川町</t>
        </is>
      </c>
      <c r="B11" s="5" t="inlineStr">
        <is>
          <t>75歳以上</t>
        </is>
      </c>
      <c r="C11" s="5" t="inlineStr">
        <is>
          <t>1,692</t>
        </is>
      </c>
      <c r="D11" s="5" t="inlineStr">
        <is>
          <t>1,758</t>
        </is>
      </c>
      <c r="E11" s="5" t="inlineStr">
        <is>
          <t>1,650</t>
        </is>
      </c>
      <c r="F11" s="5" t="inlineStr">
        <is>
          <t>1,552</t>
        </is>
      </c>
      <c r="G11" s="5" t="inlineStr">
        <is>
          <t>1,525</t>
        </is>
      </c>
      <c r="H11" s="5" t="inlineStr">
        <is>
          <t>1,672</t>
        </is>
      </c>
    </row>
    <row r="12" ht="22" customHeight="1">
      <c r="A12" s="14" t="inlineStr">
        <is>
          <t>東川町</t>
        </is>
      </c>
      <c r="B12" s="5" t="inlineStr">
        <is>
          <t>85歳以上</t>
        </is>
      </c>
      <c r="C12" s="5" t="inlineStr">
        <is>
          <t>583</t>
        </is>
      </c>
      <c r="D12" s="5" t="inlineStr">
        <is>
          <t>632</t>
        </is>
      </c>
      <c r="E12" s="5" t="inlineStr">
        <is>
          <t>765</t>
        </is>
      </c>
      <c r="F12" s="5" t="inlineStr">
        <is>
          <t>752</t>
        </is>
      </c>
      <c r="G12" s="5" t="inlineStr">
        <is>
          <t>627</t>
        </is>
      </c>
      <c r="H12" s="5" t="inlineStr">
        <is>
          <t>576</t>
        </is>
      </c>
    </row>
    <row r="13" ht="22" customHeight="1">
      <c r="A13" s="14" t="inlineStr">
        <is>
          <t>美瑛町</t>
        </is>
      </c>
      <c r="B13" s="5" t="inlineStr">
        <is>
          <t>総人口</t>
        </is>
      </c>
      <c r="C13" s="5" t="inlineStr">
        <is>
          <t>9,143</t>
        </is>
      </c>
      <c r="D13" s="5" t="inlineStr">
        <is>
          <t>8,475</t>
        </is>
      </c>
      <c r="E13" s="5" t="inlineStr">
        <is>
          <t>7,815</t>
        </is>
      </c>
      <c r="F13" s="5" t="inlineStr">
        <is>
          <t>7,174</t>
        </is>
      </c>
      <c r="G13" s="5" t="inlineStr">
        <is>
          <t>6,541</t>
        </is>
      </c>
      <c r="H13" s="5" t="inlineStr">
        <is>
          <t>5,935</t>
        </is>
      </c>
    </row>
    <row r="14" ht="22" customHeight="1">
      <c r="A14" s="14" t="inlineStr">
        <is>
          <t>美瑛町</t>
        </is>
      </c>
      <c r="B14" s="5" t="inlineStr">
        <is>
          <t>65歳以上</t>
        </is>
      </c>
      <c r="C14" s="5" t="inlineStr">
        <is>
          <t>3,579</t>
        </is>
      </c>
      <c r="D14" s="5" t="inlineStr">
        <is>
          <t>3,431</t>
        </is>
      </c>
      <c r="E14" s="5" t="inlineStr">
        <is>
          <t>3,259</t>
        </is>
      </c>
      <c r="F14" s="5" t="inlineStr">
        <is>
          <t>3,151</t>
        </is>
      </c>
      <c r="G14" s="5" t="inlineStr">
        <is>
          <t>2,940</t>
        </is>
      </c>
      <c r="H14" s="5" t="inlineStr">
        <is>
          <t>2,726</t>
        </is>
      </c>
    </row>
    <row r="15" ht="22" customHeight="1">
      <c r="A15" s="14" t="inlineStr">
        <is>
          <t>美瑛町</t>
        </is>
      </c>
      <c r="B15" s="5" t="inlineStr">
        <is>
          <t>75歳以上</t>
        </is>
      </c>
      <c r="C15" s="5" t="inlineStr">
        <is>
          <t>2,209</t>
        </is>
      </c>
      <c r="D15" s="5" t="inlineStr">
        <is>
          <t>2,176</t>
        </is>
      </c>
      <c r="E15" s="5" t="inlineStr">
        <is>
          <t>1,986</t>
        </is>
      </c>
      <c r="F15" s="5" t="inlineStr">
        <is>
          <t>1,882</t>
        </is>
      </c>
      <c r="G15" s="5" t="inlineStr">
        <is>
          <t>1,772</t>
        </is>
      </c>
      <c r="H15" s="5" t="inlineStr">
        <is>
          <t>1,731</t>
        </is>
      </c>
    </row>
    <row r="16" ht="22" customHeight="1">
      <c r="A16" s="14" t="inlineStr">
        <is>
          <t>美瑛町</t>
        </is>
      </c>
      <c r="B16" s="5" t="inlineStr">
        <is>
          <t>85歳以上</t>
        </is>
      </c>
      <c r="C16" s="5" t="inlineStr">
        <is>
          <t>883</t>
        </is>
      </c>
      <c r="D16" s="5" t="inlineStr">
        <is>
          <t>836</t>
        </is>
      </c>
      <c r="E16" s="5" t="inlineStr">
        <is>
          <t>859</t>
        </is>
      </c>
      <c r="F16" s="5" t="inlineStr">
        <is>
          <t>842</t>
        </is>
      </c>
      <c r="G16" s="5" t="inlineStr">
        <is>
          <t>720</t>
        </is>
      </c>
      <c r="H16" s="5" t="inlineStr">
        <is>
          <t>679</t>
        </is>
      </c>
    </row>
    <row r="17"/>
    <row r="18" ht="40" customHeight="1">
      <c r="A18" s="3" t="inlineStr">
        <is>
          <t>区分</t>
        </is>
      </c>
      <c r="B18" s="3" t="inlineStr"/>
      <c r="C18" s="3" t="inlineStr">
        <is>
          <t>令和7年度
（令和8年1月1日現在）</t>
        </is>
      </c>
      <c r="D18" s="3" t="inlineStr">
        <is>
          <t>令和12年度
（令和13年1月1日現在）</t>
        </is>
      </c>
      <c r="E18" s="3" t="inlineStr">
        <is>
          <t>令和17年度
（令和18年1月1日現在）</t>
        </is>
      </c>
      <c r="F18" s="3" t="inlineStr">
        <is>
          <t>令和22年度
（令和23年1月1日現在）</t>
        </is>
      </c>
      <c r="G18" s="3" t="inlineStr">
        <is>
          <t>令和27年度
（令和28年1月1日現在）</t>
        </is>
      </c>
      <c r="H18" s="3" t="inlineStr">
        <is>
          <t>令和32年度
（令和33年1月1日現在）</t>
        </is>
      </c>
    </row>
    <row r="19" ht="22" customHeight="1">
      <c r="A19" s="15" t="inlineStr">
        <is>
          <t>3町計</t>
        </is>
      </c>
      <c r="B19" s="15" t="inlineStr">
        <is>
          <t>総人口</t>
        </is>
      </c>
      <c r="C19" s="16" t="inlineStr">
        <is>
          <t>27,498</t>
        </is>
      </c>
      <c r="D19" s="16" t="inlineStr">
        <is>
          <t>26,451</t>
        </is>
      </c>
      <c r="E19" s="16" t="inlineStr">
        <is>
          <t>25,340</t>
        </is>
      </c>
      <c r="F19" s="16" t="inlineStr">
        <is>
          <t>24,255</t>
        </is>
      </c>
      <c r="G19" s="16" t="inlineStr">
        <is>
          <t>23,168</t>
        </is>
      </c>
      <c r="H19" s="16" t="inlineStr">
        <is>
          <t>22,171</t>
        </is>
      </c>
    </row>
    <row r="20" ht="22" customHeight="1">
      <c r="A20" s="15" t="inlineStr">
        <is>
          <t>3町計</t>
        </is>
      </c>
      <c r="B20" s="15" t="inlineStr">
        <is>
          <t>65歳以上</t>
        </is>
      </c>
      <c r="C20" s="16" t="inlineStr">
        <is>
          <t>9,176</t>
        </is>
      </c>
      <c r="D20" s="16" t="inlineStr">
        <is>
          <t>9,081</t>
        </is>
      </c>
      <c r="E20" s="16" t="inlineStr">
        <is>
          <t>8,982</t>
        </is>
      </c>
      <c r="F20" s="16" t="inlineStr">
        <is>
          <t>9,095</t>
        </is>
      </c>
      <c r="G20" s="16" t="inlineStr">
        <is>
          <t>8,933</t>
        </is>
      </c>
      <c r="H20" s="16" t="inlineStr">
        <is>
          <t>8,682</t>
        </is>
      </c>
    </row>
    <row r="21" ht="22" customHeight="1">
      <c r="A21" s="15" t="inlineStr">
        <is>
          <t>3町計</t>
        </is>
      </c>
      <c r="B21" s="15" t="inlineStr">
        <is>
          <t>75歳以上</t>
        </is>
      </c>
      <c r="C21" s="16" t="inlineStr">
        <is>
          <t>5,492</t>
        </is>
      </c>
      <c r="D21" s="16" t="inlineStr">
        <is>
          <t>5,629</t>
        </is>
      </c>
      <c r="E21" s="16" t="inlineStr">
        <is>
          <t>5,366</t>
        </is>
      </c>
      <c r="F21" s="16" t="inlineStr">
        <is>
          <t>5,184</t>
        </is>
      </c>
      <c r="G21" s="16" t="inlineStr">
        <is>
          <t>5,069</t>
        </is>
      </c>
      <c r="H21" s="16" t="inlineStr">
        <is>
          <t>5,240</t>
        </is>
      </c>
    </row>
    <row r="22" ht="22" customHeight="1">
      <c r="A22" s="15" t="inlineStr">
        <is>
          <t>3町計</t>
        </is>
      </c>
      <c r="B22" s="15" t="inlineStr">
        <is>
          <t>85歳以上</t>
        </is>
      </c>
      <c r="C22" s="16" t="inlineStr">
        <is>
          <t>2,002</t>
        </is>
      </c>
      <c r="D22" s="16" t="inlineStr">
        <is>
          <t>2,034</t>
        </is>
      </c>
      <c r="E22" s="16" t="inlineStr">
        <is>
          <t>2,282</t>
        </is>
      </c>
      <c r="F22" s="16" t="inlineStr">
        <is>
          <t>2,279</t>
        </is>
      </c>
      <c r="G22" s="16" t="inlineStr">
        <is>
          <t>2,019</t>
        </is>
      </c>
      <c r="H22" s="16" t="inlineStr">
        <is>
          <t>1,923</t>
        </is>
      </c>
    </row>
    <row r="23" ht="22" customHeight="1">
      <c r="A23" s="17" t="inlineStr">
        <is>
          <t>3町計</t>
        </is>
      </c>
      <c r="B23" s="17" t="inlineStr">
        <is>
          <t>高齢化率</t>
        </is>
      </c>
      <c r="C23" s="5" t="inlineStr">
        <is>
          <t>33.4％</t>
        </is>
      </c>
      <c r="D23" s="5" t="inlineStr">
        <is>
          <t>34.3％</t>
        </is>
      </c>
      <c r="E23" s="5" t="inlineStr">
        <is>
          <t>35.4％</t>
        </is>
      </c>
      <c r="F23" s="5" t="inlineStr">
        <is>
          <t>37.5％</t>
        </is>
      </c>
      <c r="G23" s="5" t="inlineStr">
        <is>
          <t>38.6％</t>
        </is>
      </c>
      <c r="H23" s="5" t="inlineStr">
        <is>
          <t>39.2％</t>
        </is>
      </c>
    </row>
    <row r="24" ht="56" customHeight="1">
      <c r="A24" s="9" t="inlineStr">
        <is>
          <t>注）各欄は1月1日現在の値です。1月1日は当該年度のうちにあるため、年度の値としておおむね対応するものとして扱っています（令和12年度の欄は令和13年1月1日現在）。年報による年度末（3月31日現在）とは3か月の差があります。
令和7年度の欄は住民基本台帳（令和8年1月1日現在）の実績です。
変化率は令和3年1月1日から令和8年1月1日までの5年間のものを全ての年次に用いています。この5年間の社会移動の傾向がそのまま続くことを前提とするため、長い期間では幅をもって読む必要があります。
東川町は転入の傾向により総人口が増える向きに出ます。正しく組み直しても令和32年度9,627人（実績8,695人の1.11倍）であり、発散はしません。</t>
        </is>
      </c>
    </row>
  </sheetData>
  <mergeCells count="3">
    <mergeCell ref="A24:G2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36" customWidth="1" min="7" max="7"/>
  </cols>
  <sheetData>
    <row r="1" ht="26" customHeight="1">
      <c r="A1" s="1" t="inlineStr">
        <is>
          <t>案C・社人研推計・見える化システムとの対比</t>
        </is>
      </c>
    </row>
    <row r="2" ht="58" customHeight="1">
      <c r="A2" s="2" t="inlineStr">
        <is>
          <t>当方の組み直しと、計画に採用している案C、社人研推計及び見える化システムの画面の値を並べたものです。単位：人。</t>
        </is>
      </c>
    </row>
    <row r="3"/>
    <row r="4" ht="40" customHeight="1">
      <c r="A4" s="3" t="inlineStr">
        <is>
          <t>区分</t>
        </is>
      </c>
      <c r="B4" s="3" t="inlineStr">
        <is>
          <t>令和12年度
（令和13年1月1日現在）</t>
        </is>
      </c>
      <c r="C4" s="3" t="inlineStr">
        <is>
          <t>令和17年度
（令和18年1月1日現在）</t>
        </is>
      </c>
      <c r="D4" s="3" t="inlineStr">
        <is>
          <t>令和22年度
（令和23年1月1日現在）</t>
        </is>
      </c>
      <c r="E4" s="3" t="inlineStr">
        <is>
          <t>令和27年度
（令和28年1月1日現在）</t>
        </is>
      </c>
      <c r="F4" s="3" t="inlineStr">
        <is>
          <t>令和32年度
（令和33年1月1日現在）</t>
        </is>
      </c>
      <c r="G4" s="3" t="inlineStr">
        <is>
          <t>内容</t>
        </is>
      </c>
    </row>
    <row r="5" ht="22" customHeight="1">
      <c r="A5" s="14" t="inlineStr">
        <is>
          <t>65歳以上（当方の組み直し）</t>
        </is>
      </c>
      <c r="B5" s="5" t="inlineStr">
        <is>
          <t>9,081</t>
        </is>
      </c>
      <c r="C5" s="5" t="inlineStr">
        <is>
          <t>8,982</t>
        </is>
      </c>
      <c r="D5" s="5" t="inlineStr">
        <is>
          <t>9,095</t>
        </is>
      </c>
      <c r="E5" s="5" t="inlineStr">
        <is>
          <t>8,933</t>
        </is>
      </c>
      <c r="F5" s="5" t="inlineStr">
        <is>
          <t>8,682</t>
        </is>
      </c>
      <c r="G5" s="5" t="inlineStr">
        <is>
          <t>コーホート変化率法。住民基本台帳の実測2時点による</t>
        </is>
      </c>
    </row>
    <row r="6" ht="22" customHeight="1">
      <c r="A6" s="15" t="inlineStr">
        <is>
          <t>65歳以上（案C・採用）</t>
        </is>
      </c>
      <c r="B6" s="16" t="inlineStr">
        <is>
          <t>9,211</t>
        </is>
      </c>
      <c r="C6" s="16" t="inlineStr">
        <is>
          <t>9,250</t>
        </is>
      </c>
      <c r="D6" s="16" t="inlineStr">
        <is>
          <t>9,491</t>
        </is>
      </c>
      <c r="E6" s="16" t="inlineStr">
        <is>
          <t>9,395</t>
        </is>
      </c>
      <c r="F6" s="16" t="inlineStr">
        <is>
          <t>9,127</t>
        </is>
      </c>
      <c r="G6" s="16" t="inlineStr">
        <is>
          <t>総人口は地方創生総合戦略、年齢階級別は住民基本台帳の実績趨勢</t>
        </is>
      </c>
    </row>
    <row r="7" ht="22" customHeight="1">
      <c r="A7" s="14" t="inlineStr">
        <is>
          <t>差（組み直し−案C）</t>
        </is>
      </c>
      <c r="B7" s="5" t="inlineStr">
        <is>
          <t>▲131</t>
        </is>
      </c>
      <c r="C7" s="5" t="inlineStr">
        <is>
          <t>▲268</t>
        </is>
      </c>
      <c r="D7" s="5" t="inlineStr">
        <is>
          <t>▲397</t>
        </is>
      </c>
      <c r="E7" s="5" t="inlineStr">
        <is>
          <t>▲462</t>
        </is>
      </c>
      <c r="F7" s="5" t="inlineStr">
        <is>
          <t>▲445</t>
        </is>
      </c>
      <c r="G7" s="5" t="inlineStr">
        <is>
          <t>いずれも5％以内</t>
        </is>
      </c>
    </row>
    <row r="8" ht="22" customHeight="1">
      <c r="A8" s="14" t="inlineStr">
        <is>
          <t>差の割合</t>
        </is>
      </c>
      <c r="B8" s="5" t="inlineStr">
        <is>
          <t>▲1.4％</t>
        </is>
      </c>
      <c r="C8" s="5" t="inlineStr">
        <is>
          <t>▲2.9％</t>
        </is>
      </c>
      <c r="D8" s="5" t="inlineStr">
        <is>
          <t>▲4.2％</t>
        </is>
      </c>
      <c r="E8" s="5" t="inlineStr">
        <is>
          <t>▲4.9％</t>
        </is>
      </c>
      <c r="F8" s="5" t="inlineStr">
        <is>
          <t>▲4.9％</t>
        </is>
      </c>
      <c r="G8" s="5" t="inlineStr">
        <is>
          <t>―</t>
        </is>
      </c>
    </row>
    <row r="9"/>
    <row r="10" ht="22" customHeight="1">
      <c r="A10" s="14" t="inlineStr">
        <is>
          <t>総人口（当方の組み直し）</t>
        </is>
      </c>
      <c r="B10" s="5" t="inlineStr">
        <is>
          <t>26,451</t>
        </is>
      </c>
      <c r="C10" s="5" t="inlineStr">
        <is>
          <t>25,340</t>
        </is>
      </c>
      <c r="D10" s="5" t="inlineStr">
        <is>
          <t>24,255</t>
        </is>
      </c>
      <c r="E10" s="5" t="inlineStr">
        <is>
          <t>23,168</t>
        </is>
      </c>
      <c r="F10" s="5" t="inlineStr">
        <is>
          <t>22,171</t>
        </is>
      </c>
      <c r="G10" s="5" t="inlineStr">
        <is>
          <t>コーホート変化率法</t>
        </is>
      </c>
    </row>
    <row r="11" ht="22" customHeight="1">
      <c r="A11" s="14" t="inlineStr">
        <is>
          <t>総人口（社人研 令和5年推計）</t>
        </is>
      </c>
      <c r="B11" s="5" t="inlineStr">
        <is>
          <t>25,969</t>
        </is>
      </c>
      <c r="C11" s="5" t="inlineStr">
        <is>
          <t>24,778</t>
        </is>
      </c>
      <c r="D11" s="5" t="inlineStr">
        <is>
          <t>23,582</t>
        </is>
      </c>
      <c r="E11" s="5" t="inlineStr">
        <is>
          <t>22,332</t>
        </is>
      </c>
      <c r="F11" s="5" t="inlineStr">
        <is>
          <t>21,058</t>
        </is>
      </c>
      <c r="G11" s="5" t="inlineStr">
        <is>
          <t>受領ファイルの「自然推計」の行</t>
        </is>
      </c>
    </row>
    <row r="12" ht="22" customHeight="1">
      <c r="A12" s="18" t="inlineStr">
        <is>
          <t>総人口（受領ファイルのコーホート）</t>
        </is>
      </c>
      <c r="B12" s="5" t="inlineStr">
        <is>
          <t>26,858</t>
        </is>
      </c>
      <c r="C12" s="5" t="inlineStr">
        <is>
          <t>27,603</t>
        </is>
      </c>
      <c r="D12" s="5" t="inlineStr">
        <is>
          <t>34,037</t>
        </is>
      </c>
      <c r="E12" s="5" t="inlineStr">
        <is>
          <t>50,701</t>
        </is>
      </c>
      <c r="F12" s="5" t="inlineStr">
        <is>
          <t>53,652</t>
        </is>
      </c>
      <c r="G12" s="5" t="inlineStr">
        <is>
          <t>東川町の発散により令和22年度以降が実態と離れる</t>
        </is>
      </c>
    </row>
    <row r="13"/>
    <row r="14" ht="20" customHeight="1">
      <c r="A14" s="10" t="inlineStr">
        <is>
          <t>【見える化システムが表示している第1号被保険者数】</t>
        </is>
      </c>
    </row>
    <row r="15" ht="40" customHeight="1">
      <c r="A15" s="3" t="inlineStr">
        <is>
          <t>区分</t>
        </is>
      </c>
      <c r="B15" s="3" t="inlineStr">
        <is>
          <t>令和12年度
（令和13年1月1日現在）</t>
        </is>
      </c>
      <c r="C15" s="3" t="inlineStr">
        <is>
          <t>令和17年度
（令和18年1月1日現在）</t>
        </is>
      </c>
      <c r="D15" s="3" t="inlineStr">
        <is>
          <t>令和22年度
（令和23年1月1日現在）</t>
        </is>
      </c>
      <c r="E15" s="3" t="inlineStr">
        <is>
          <t>令和27年度
（令和28年1月1日現在）</t>
        </is>
      </c>
      <c r="F15" s="3" t="inlineStr">
        <is>
          <t>令和32年度
（令和33年1月1日現在）</t>
        </is>
      </c>
      <c r="G15" s="3" t="inlineStr">
        <is>
          <t>内容</t>
        </is>
      </c>
    </row>
    <row r="16" ht="22" customHeight="1">
      <c r="A16" s="14" t="inlineStr">
        <is>
          <t>社人研推計を補正した値</t>
        </is>
      </c>
      <c r="B16" s="5" t="inlineStr">
        <is>
          <t>9,106</t>
        </is>
      </c>
      <c r="C16" s="5" t="inlineStr">
        <is>
          <t>9,166</t>
        </is>
      </c>
      <c r="D16" s="5" t="inlineStr">
        <is>
          <t>9,375</t>
        </is>
      </c>
      <c r="E16" s="5" t="inlineStr">
        <is>
          <t>9,270</t>
        </is>
      </c>
      <c r="F16" s="5" t="inlineStr">
        <is>
          <t>8,993</t>
        </is>
      </c>
      <c r="G16" s="5" t="inlineStr">
        <is>
          <t>受領ファイルの「令和5年推計を元にした補正」の（3）合計。見える化システムの画面の値と一致する</t>
        </is>
      </c>
    </row>
    <row r="17" ht="22" customHeight="1">
      <c r="A17" s="14" t="inlineStr">
        <is>
          <t>補正率2区分による値</t>
        </is>
      </c>
      <c r="B17" s="5" t="inlineStr">
        <is>
          <t>9,092</t>
        </is>
      </c>
      <c r="C17" s="5" t="inlineStr">
        <is>
          <t>9,169</t>
        </is>
      </c>
      <c r="D17" s="5" t="inlineStr">
        <is>
          <t>9,430</t>
        </is>
      </c>
      <c r="E17" s="5" t="inlineStr">
        <is>
          <t>9,320</t>
        </is>
      </c>
      <c r="F17" s="5" t="inlineStr">
        <is>
          <t>9,016</t>
        </is>
      </c>
      <c r="G17" s="5" t="inlineStr">
        <is>
          <t>受領ファイルの「被保険者数（補正後）補正率2区分」の男女の和</t>
        </is>
      </c>
    </row>
    <row r="18" ht="28" customHeight="1">
      <c r="A18" s="9" t="inlineStr">
        <is>
          <t>注）案Cは令和8年9月10日に人口推計の基礎としてご了承いただいた置き方です（確認事項No.63・No.153）。本表は、コーホート変化率法を正しく組み直しても案Cと3〜4％以内で一致し、向き（横ばい）も変わらないことを示すものです。
推計の方法を案Cから改めるかどうかは確認事項No.153であり、既定値は「了承のとおり案Cのままとする」です。</t>
        </is>
      </c>
    </row>
  </sheetData>
  <mergeCells count="4">
    <mergeCell ref="A14:G14"/>
    <mergeCell ref="A2:G2"/>
    <mergeCell ref="A1:G1"/>
    <mergeCell ref="A18:G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8"/>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4" customWidth="1" min="3" max="3"/>
    <col width="14" customWidth="1" min="4" max="4"/>
    <col width="16" customWidth="1" min="5" max="5"/>
    <col width="40" customWidth="1" min="6" max="6"/>
  </cols>
  <sheetData>
    <row r="1" ht="26" customHeight="1">
      <c r="A1" s="1" t="inlineStr">
        <is>
          <t>社人研推計を補正する方法の点検</t>
        </is>
      </c>
    </row>
    <row r="2" ht="58" customHeight="1">
      <c r="A2" s="2" t="inlineStr">
        <is>
          <t>受領ファイル①の「被保険者数（補正後）補正率2区分」及び「令和5年推計を元にした補正（大雪）」を点検したものです。いずれも社人研推計を第1号被保険者数の実績で補正する方法です。</t>
        </is>
      </c>
    </row>
    <row r="3"/>
    <row r="4" ht="20" customHeight="1">
      <c r="A4" s="10" t="inlineStr">
        <is>
          <t>【1　国の「推計人口と第1号被保険者数の比較」】</t>
        </is>
      </c>
    </row>
    <row r="5" ht="32" customHeight="1">
      <c r="A5" s="3" t="inlineStr">
        <is>
          <t>区分</t>
        </is>
      </c>
      <c r="B5" s="3" t="inlineStr">
        <is>
          <t>推計人口</t>
        </is>
      </c>
      <c r="C5" s="3" t="inlineStr">
        <is>
          <t>第1号被保険者数</t>
        </is>
      </c>
      <c r="D5" s="3" t="inlineStr">
        <is>
          <t>差</t>
        </is>
      </c>
      <c r="E5" s="3" t="inlineStr">
        <is>
          <t>差分の対推計人口比</t>
        </is>
      </c>
      <c r="F5" s="3" t="inlineStr">
        <is>
          <t>読み方</t>
        </is>
      </c>
    </row>
    <row r="6" ht="22" customHeight="1">
      <c r="A6" s="5" t="inlineStr">
        <is>
          <t>高齢者全体</t>
        </is>
      </c>
      <c r="B6" s="11" t="n">
        <v>9323</v>
      </c>
      <c r="C6" s="11" t="n">
        <v>9119</v>
      </c>
      <c r="D6" s="5" t="inlineStr">
        <is>
          <t>▲204</t>
        </is>
      </c>
      <c r="E6" s="19" t="inlineStr">
        <is>
          <t>2.2％</t>
        </is>
      </c>
      <c r="F6" s="5" t="inlineStr">
        <is>
          <t>乖離は小さい</t>
        </is>
      </c>
    </row>
    <row r="7" ht="22" customHeight="1">
      <c r="A7" s="5" t="inlineStr">
        <is>
          <t>65歳以上75歳未満</t>
        </is>
      </c>
      <c r="B7" s="11" t="n">
        <v>3622</v>
      </c>
      <c r="C7" s="11" t="n">
        <v>3687</v>
      </c>
      <c r="D7" s="5" t="inlineStr">
        <is>
          <t>＋65</t>
        </is>
      </c>
      <c r="E7" s="19" t="inlineStr">
        <is>
          <t>-1.8％</t>
        </is>
      </c>
      <c r="F7" s="5" t="inlineStr">
        <is>
          <t>乖離は小さい</t>
        </is>
      </c>
    </row>
    <row r="8" ht="22" customHeight="1">
      <c r="A8" s="5" t="inlineStr">
        <is>
          <t>75歳以上85歳未満</t>
        </is>
      </c>
      <c r="B8" s="11" t="n">
        <v>3534</v>
      </c>
      <c r="C8" s="11" t="n">
        <v>3465</v>
      </c>
      <c r="D8" s="5" t="inlineStr">
        <is>
          <t>▲69</t>
        </is>
      </c>
      <c r="E8" s="19" t="inlineStr">
        <is>
          <t>1.9％</t>
        </is>
      </c>
      <c r="F8" s="5" t="inlineStr">
        <is>
          <t>乖離は小さい</t>
        </is>
      </c>
    </row>
    <row r="9" ht="22" customHeight="1">
      <c r="A9" s="5" t="inlineStr">
        <is>
          <t>85歳以上</t>
        </is>
      </c>
      <c r="B9" s="11" t="n">
        <v>2167</v>
      </c>
      <c r="C9" s="11" t="n">
        <v>1967</v>
      </c>
      <c r="D9" s="5" t="inlineStr">
        <is>
          <t>▲200</t>
        </is>
      </c>
      <c r="E9" s="18" t="inlineStr">
        <is>
          <t>9.2％</t>
        </is>
      </c>
      <c r="F9" s="5" t="inlineStr">
        <is>
          <t>乖離が大きい区分は補正の対象となる</t>
        </is>
      </c>
    </row>
    <row r="10" ht="14" customHeight="1">
      <c r="A10" s="9" t="inlineStr">
        <is>
          <t>注）85歳以上で推計人口が第1号被保険者数を9.2％上回っています。社人研推計をそのまま用いると85歳以上が過大となるため、補正を行う必要があります。この判定は国が示しているものです。</t>
        </is>
      </c>
    </row>
    <row r="11"/>
    <row r="12" ht="20" customHeight="1">
      <c r="A12" s="10" t="inlineStr">
        <is>
          <t>【2　「令和5年推計を元にした補正（大雪）」の点検】</t>
        </is>
      </c>
    </row>
    <row r="13" ht="32" customHeight="1">
      <c r="A13" s="3" t="inlineStr">
        <is>
          <t>項目</t>
        </is>
      </c>
      <c r="B13" s="3" t="inlineStr">
        <is>
          <t>（1）男</t>
        </is>
      </c>
      <c r="C13" s="3" t="inlineStr">
        <is>
          <t>（2）女</t>
        </is>
      </c>
      <c r="D13" s="3" t="inlineStr">
        <is>
          <t>（3）合計</t>
        </is>
      </c>
      <c r="E13" s="3" t="inlineStr">
        <is>
          <t>男＋女</t>
        </is>
      </c>
      <c r="F13" s="3" t="inlineStr">
        <is>
          <t>判定</t>
        </is>
      </c>
    </row>
    <row r="14" ht="22" customHeight="1">
      <c r="A14" s="5" t="inlineStr">
        <is>
          <t>第1号被保険者（令和6年度）</t>
        </is>
      </c>
      <c r="B14" s="11" t="n">
        <v>3967</v>
      </c>
      <c r="C14" s="11" t="n">
        <v>3967</v>
      </c>
      <c r="D14" s="11" t="n">
        <v>9158</v>
      </c>
      <c r="E14" s="11" t="n">
        <v>7934</v>
      </c>
      <c r="F14" s="7" t="inlineStr">
        <is>
          <t>不適合</t>
        </is>
      </c>
    </row>
    <row r="15" ht="22" customHeight="1">
      <c r="A15" s="5" t="inlineStr">
        <is>
          <t>65〜69歳（令和6年度）</t>
        </is>
      </c>
      <c r="B15" s="11" t="n">
        <v>876</v>
      </c>
      <c r="C15" s="11" t="n">
        <v>876</v>
      </c>
      <c r="D15" s="11" t="n">
        <v>1771</v>
      </c>
      <c r="E15" s="11" t="n">
        <v>1752</v>
      </c>
      <c r="F15" s="7" t="inlineStr">
        <is>
          <t>不適合</t>
        </is>
      </c>
    </row>
    <row r="16" ht="22" customHeight="1">
      <c r="A16" s="5" t="inlineStr">
        <is>
          <t>85〜89歳（令和6年度）</t>
        </is>
      </c>
      <c r="B16" s="11" t="n">
        <v>400</v>
      </c>
      <c r="C16" s="11" t="n">
        <v>400</v>
      </c>
      <c r="D16" s="11" t="n">
        <v>1119</v>
      </c>
      <c r="E16" s="11" t="n">
        <v>800</v>
      </c>
      <c r="F16" s="7" t="inlineStr">
        <is>
          <t>不適合</t>
        </is>
      </c>
    </row>
    <row r="17" ht="22" customHeight="1">
      <c r="A17" s="5" t="inlineStr">
        <is>
          <t>90歳以上（令和6年度）</t>
        </is>
      </c>
      <c r="B17" s="11" t="n">
        <v>248</v>
      </c>
      <c r="C17" s="11" t="n">
        <v>248</v>
      </c>
      <c r="D17" s="11" t="n">
        <v>819</v>
      </c>
      <c r="E17" s="11" t="n">
        <v>496</v>
      </c>
      <c r="F17" s="7" t="inlineStr">
        <is>
          <t>不適合</t>
        </is>
      </c>
    </row>
    <row r="18" ht="22" customHeight="1">
      <c r="A18" s="5" t="inlineStr">
        <is>
          <t>第2号被保険者（令和6年度）</t>
        </is>
      </c>
      <c r="B18" s="11" t="n">
        <v>4442</v>
      </c>
      <c r="C18" s="11" t="n">
        <v>4442</v>
      </c>
      <c r="D18" s="11" t="n">
        <v>9228</v>
      </c>
      <c r="E18" s="11" t="n">
        <v>8884</v>
      </c>
      <c r="F18" s="7" t="inlineStr">
        <is>
          <t>不適合</t>
        </is>
      </c>
    </row>
    <row r="19" ht="28" customHeight="1">
      <c r="A19" s="9" t="inlineStr">
        <is>
          <t>注）（2）女は（1）男と全ての欄が同一です。（3）合計は男＋女になりません。女の値が入っていないものと見られます。
（3）合計の第1号被保険者数は、見える化システムの画面が表示している値（令和9年度9,116人・令和10年度9,110人・令和11年度9,107人）と一致するため、合計はそのまま用いることができます。男女別に用いる場合は次の3の値によります。</t>
        </is>
      </c>
    </row>
    <row r="20"/>
    <row r="21" ht="20" customHeight="1">
      <c r="A21" s="10" t="inlineStr">
        <is>
          <t>【3　「被保険者数（補正後）補正率2区分」】</t>
        </is>
      </c>
    </row>
    <row r="22" ht="32" customHeight="1">
      <c r="A22" s="3" t="inlineStr">
        <is>
          <t>性別</t>
        </is>
      </c>
      <c r="B22" s="3" t="inlineStr">
        <is>
          <t>年齢階級</t>
        </is>
      </c>
      <c r="C22" s="3" t="inlineStr">
        <is>
          <t>令和6年度</t>
        </is>
      </c>
      <c r="D22" s="3" t="inlineStr">
        <is>
          <t>令和11年度</t>
        </is>
      </c>
      <c r="E22" s="3" t="inlineStr">
        <is>
          <t>令和22年度</t>
        </is>
      </c>
      <c r="F22" s="3" t="inlineStr">
        <is>
          <t>内容</t>
        </is>
      </c>
    </row>
    <row r="23" ht="22" customHeight="1">
      <c r="A23" s="14" t="inlineStr">
        <is>
          <t>男</t>
        </is>
      </c>
      <c r="B23" s="5" t="inlineStr">
        <is>
          <t>65～69歳</t>
        </is>
      </c>
      <c r="C23" s="11" t="n">
        <v>876</v>
      </c>
      <c r="D23" s="11" t="n">
        <v>872</v>
      </c>
      <c r="E23" s="11" t="n">
        <v>1040</v>
      </c>
      <c r="F23" s="5" t="inlineStr">
        <is>
          <t>見える化システムの入力画面の6階級に対応する</t>
        </is>
      </c>
    </row>
    <row r="24" ht="22" customHeight="1">
      <c r="A24" s="14" t="inlineStr">
        <is>
          <t>男</t>
        </is>
      </c>
      <c r="B24" s="5" t="inlineStr">
        <is>
          <t>70～74歳</t>
        </is>
      </c>
      <c r="C24" s="11" t="n">
        <v>947</v>
      </c>
      <c r="D24" s="11" t="n">
        <v>812</v>
      </c>
      <c r="E24" s="11" t="n">
        <v>855</v>
      </c>
      <c r="F24" s="5" t="inlineStr">
        <is>
          <t>見える化システムの入力画面の6階級に対応する</t>
        </is>
      </c>
    </row>
    <row r="25" ht="22" customHeight="1">
      <c r="A25" s="14" t="inlineStr">
        <is>
          <t>男</t>
        </is>
      </c>
      <c r="B25" s="5" t="inlineStr">
        <is>
          <t>75～79歳</t>
        </is>
      </c>
      <c r="C25" s="11" t="n">
        <v>844</v>
      </c>
      <c r="D25" s="11" t="n">
        <v>797</v>
      </c>
      <c r="E25" s="11" t="n">
        <v>698</v>
      </c>
      <c r="F25" s="5" t="inlineStr">
        <is>
          <t>見える化システムの入力画面の6階級に対応する</t>
        </is>
      </c>
    </row>
    <row r="26" ht="22" customHeight="1">
      <c r="A26" s="14" t="inlineStr">
        <is>
          <t>男</t>
        </is>
      </c>
      <c r="B26" s="5" t="inlineStr">
        <is>
          <t>80～84歳</t>
        </is>
      </c>
      <c r="C26" s="11" t="n">
        <v>586</v>
      </c>
      <c r="D26" s="11" t="n">
        <v>721</v>
      </c>
      <c r="E26" s="11" t="n">
        <v>576</v>
      </c>
      <c r="F26" s="5" t="inlineStr">
        <is>
          <t>見える化システムの入力画面の6階級に対応する</t>
        </is>
      </c>
    </row>
    <row r="27" ht="22" customHeight="1">
      <c r="A27" s="14" t="inlineStr">
        <is>
          <t>男</t>
        </is>
      </c>
      <c r="B27" s="5" t="inlineStr">
        <is>
          <t>85～89歳</t>
        </is>
      </c>
      <c r="C27" s="11" t="n">
        <v>393</v>
      </c>
      <c r="D27" s="11" t="n">
        <v>407</v>
      </c>
      <c r="E27" s="11" t="n">
        <v>486</v>
      </c>
      <c r="F27" s="5" t="inlineStr">
        <is>
          <t>見える化システムの入力画面の6階級に対応する</t>
        </is>
      </c>
    </row>
    <row r="28" ht="22" customHeight="1">
      <c r="A28" s="14" t="inlineStr">
        <is>
          <t>男</t>
        </is>
      </c>
      <c r="B28" s="5" t="inlineStr">
        <is>
          <t>90歳以上</t>
        </is>
      </c>
      <c r="C28" s="11" t="n">
        <v>255</v>
      </c>
      <c r="D28" s="11" t="n">
        <v>289</v>
      </c>
      <c r="E28" s="11" t="n">
        <v>429</v>
      </c>
      <c r="F28" s="5" t="inlineStr">
        <is>
          <t>見える化システムの入力画面の6階級に対応する</t>
        </is>
      </c>
    </row>
    <row r="29" ht="22" customHeight="1">
      <c r="A29" s="14" t="inlineStr">
        <is>
          <t>男</t>
        </is>
      </c>
      <c r="B29" s="5" t="inlineStr">
        <is>
          <t>第2号被保険者</t>
        </is>
      </c>
      <c r="C29" s="11" t="n">
        <v>4442</v>
      </c>
      <c r="D29" s="11" t="n">
        <v>4249</v>
      </c>
      <c r="E29" s="11" t="n">
        <v>3502</v>
      </c>
      <c r="F29" s="5" t="inlineStr">
        <is>
          <t>第2号被保険者は第1号被保険者の保険料の算定に用いない</t>
        </is>
      </c>
    </row>
    <row r="30" ht="22" customHeight="1">
      <c r="A30" s="14" t="inlineStr">
        <is>
          <t>女</t>
        </is>
      </c>
      <c r="B30" s="5" t="inlineStr">
        <is>
          <t>65～69歳</t>
        </is>
      </c>
      <c r="C30" s="11" t="n">
        <v>906</v>
      </c>
      <c r="D30" s="11" t="n">
        <v>921</v>
      </c>
      <c r="E30" s="11" t="n">
        <v>1079</v>
      </c>
      <c r="F30" s="5" t="inlineStr">
        <is>
          <t>見える化システムの入力画面の6階級に対応する</t>
        </is>
      </c>
    </row>
    <row r="31" ht="22" customHeight="1">
      <c r="A31" s="14" t="inlineStr">
        <is>
          <t>女</t>
        </is>
      </c>
      <c r="B31" s="5" t="inlineStr">
        <is>
          <t>70～74歳</t>
        </is>
      </c>
      <c r="C31" s="11" t="n">
        <v>1090</v>
      </c>
      <c r="D31" s="11" t="n">
        <v>878</v>
      </c>
      <c r="E31" s="11" t="n">
        <v>980</v>
      </c>
      <c r="F31" s="5" t="inlineStr">
        <is>
          <t>見える化システムの入力画面の6階級に対応する</t>
        </is>
      </c>
    </row>
    <row r="32" ht="22" customHeight="1">
      <c r="A32" s="14" t="inlineStr">
        <is>
          <t>女</t>
        </is>
      </c>
      <c r="B32" s="5" t="inlineStr">
        <is>
          <t>75～79歳</t>
        </is>
      </c>
      <c r="C32" s="11" t="n">
        <v>1039</v>
      </c>
      <c r="D32" s="11" t="n">
        <v>976</v>
      </c>
      <c r="E32" s="11" t="n">
        <v>818</v>
      </c>
      <c r="F32" s="5" t="inlineStr">
        <is>
          <t>見える化システムの入力画面の6階級に対応する</t>
        </is>
      </c>
    </row>
    <row r="33" ht="22" customHeight="1">
      <c r="A33" s="14" t="inlineStr">
        <is>
          <t>女</t>
        </is>
      </c>
      <c r="B33" s="5" t="inlineStr">
        <is>
          <t>80～84歳</t>
        </is>
      </c>
      <c r="C33" s="11" t="n">
        <v>834</v>
      </c>
      <c r="D33" s="11" t="n">
        <v>967</v>
      </c>
      <c r="E33" s="11" t="n">
        <v>706</v>
      </c>
      <c r="F33" s="5" t="inlineStr">
        <is>
          <t>見える化システムの入力画面の6階級に対応する</t>
        </is>
      </c>
    </row>
    <row r="34" ht="22" customHeight="1">
      <c r="A34" s="14" t="inlineStr">
        <is>
          <t>女</t>
        </is>
      </c>
      <c r="B34" s="5" t="inlineStr">
        <is>
          <t>85～89歳</t>
        </is>
      </c>
      <c r="C34" s="11" t="n">
        <v>717</v>
      </c>
      <c r="D34" s="11" t="n">
        <v>716</v>
      </c>
      <c r="E34" s="11" t="n">
        <v>790</v>
      </c>
      <c r="F34" s="5" t="inlineStr">
        <is>
          <t>見える化システムの入力画面の6階級に対応する</t>
        </is>
      </c>
    </row>
    <row r="35" ht="22" customHeight="1">
      <c r="A35" s="14" t="inlineStr">
        <is>
          <t>女</t>
        </is>
      </c>
      <c r="B35" s="5" t="inlineStr">
        <is>
          <t>90歳以上</t>
        </is>
      </c>
      <c r="C35" s="11" t="n">
        <v>666</v>
      </c>
      <c r="D35" s="11" t="n">
        <v>738</v>
      </c>
      <c r="E35" s="11" t="n">
        <v>973</v>
      </c>
      <c r="F35" s="5" t="inlineStr">
        <is>
          <t>見える化システムの入力画面の6階級に対応する</t>
        </is>
      </c>
    </row>
    <row r="36" ht="22" customHeight="1">
      <c r="A36" s="14" t="inlineStr">
        <is>
          <t>女</t>
        </is>
      </c>
      <c r="B36" s="5" t="inlineStr">
        <is>
          <t>第2号被保険者</t>
        </is>
      </c>
      <c r="C36" s="11" t="n">
        <v>4786</v>
      </c>
      <c r="D36" s="11" t="n">
        <v>4565</v>
      </c>
      <c r="E36" s="11" t="n">
        <v>3601</v>
      </c>
      <c r="F36" s="5" t="inlineStr">
        <is>
          <t>第2号被保険者は第1号被保険者の保険料の算定に用いない</t>
        </is>
      </c>
    </row>
    <row r="37" ht="22" customHeight="1">
      <c r="A37" s="15" t="inlineStr">
        <is>
          <t>計</t>
        </is>
      </c>
      <c r="B37" s="15" t="inlineStr">
        <is>
          <t>第1号被保険者</t>
        </is>
      </c>
      <c r="C37" s="20" t="n">
        <v>9153</v>
      </c>
      <c r="D37" s="20" t="n">
        <v>9094</v>
      </c>
      <c r="E37" s="20" t="n">
        <v>9430</v>
      </c>
      <c r="F37" s="16" t="inlineStr">
        <is>
          <t>男女の65〜69歳から90歳以上までの和</t>
        </is>
      </c>
    </row>
    <row r="38" ht="42" customHeight="1">
      <c r="A38" s="9" t="inlineStr">
        <is>
          <t>注）本表は社人研推計を第1号被保険者数の実績で補正したもので、見える化システムの「総人口と被保険者数の設定」の画面が求める男女別6階級の形になっています。
当方が令和8年9月30日にお示しした入力値は案Cによるものです（案Cは3区分で推計し、画面の構成比で6階級に配分しています）。いずれを用いるかは確認事項No.127・No.153のご判断によります。
女の85〜89歳が令和6年度から令和12年度まで717人・716人でほとんど動かない一方、令和17年度に892人へ跳ねます。社人研推計が5年刻みであることによるものです。</t>
        </is>
      </c>
    </row>
  </sheetData>
  <mergeCells count="8">
    <mergeCell ref="A38:F38"/>
    <mergeCell ref="A2:F2"/>
    <mergeCell ref="A10:F10"/>
    <mergeCell ref="A19:F19"/>
    <mergeCell ref="A1:F1"/>
    <mergeCell ref="A12:F12"/>
    <mergeCell ref="A4:F4"/>
    <mergeCell ref="A21:F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4" customWidth="1" min="1" max="1"/>
    <col width="26" customWidth="1" min="2" max="2"/>
    <col width="12" customWidth="1" min="3" max="3"/>
    <col width="12" customWidth="1" min="4" max="4"/>
    <col width="12" customWidth="1" min="5" max="5"/>
    <col width="12" customWidth="1" min="6" max="6"/>
    <col width="12" customWidth="1" min="7" max="7"/>
    <col width="12" customWidth="1" min="8" max="8"/>
  </cols>
  <sheetData>
    <row r="1" ht="26" customHeight="1">
      <c r="A1" s="1" t="inlineStr">
        <is>
          <t>構成3町の人口ビジョン・総合計画による総人口</t>
        </is>
      </c>
    </row>
    <row r="2" ht="58" customHeight="1">
      <c r="A2" s="2" t="inlineStr">
        <is>
          <t>受領ファイル①の町別シートに置かれている値です。いずれも町の計画の図から読み取ったものであり、1年ごとの値は線形で補間されています。単位：人。</t>
        </is>
      </c>
    </row>
    <row r="3"/>
    <row r="4" ht="32" customHeight="1">
      <c r="A4" s="3" t="inlineStr">
        <is>
          <t>町</t>
        </is>
      </c>
      <c r="B4" s="3" t="inlineStr">
        <is>
          <t>出所</t>
        </is>
      </c>
      <c r="C4" s="3" t="inlineStr">
        <is>
          <t>2020年</t>
        </is>
      </c>
      <c r="D4" s="3" t="inlineStr">
        <is>
          <t>2025年</t>
        </is>
      </c>
      <c r="E4" s="3" t="inlineStr">
        <is>
          <t>2030年</t>
        </is>
      </c>
      <c r="F4" s="3" t="inlineStr">
        <is>
          <t>2040年</t>
        </is>
      </c>
      <c r="G4" s="3" t="inlineStr">
        <is>
          <t>2050年</t>
        </is>
      </c>
      <c r="H4" s="3" t="inlineStr">
        <is>
          <t>2060年</t>
        </is>
      </c>
    </row>
    <row r="5" ht="22" customHeight="1">
      <c r="A5" s="5" t="inlineStr">
        <is>
          <t>東川町</t>
        </is>
      </c>
      <c r="B5" s="5" t="inlineStr">
        <is>
          <t>東川町の計画の図から読み取ったもの</t>
        </is>
      </c>
      <c r="C5" s="5" t="inlineStr">
        <is>
          <t>―</t>
        </is>
      </c>
      <c r="D5" s="5" t="inlineStr">
        <is>
          <t>8,703</t>
        </is>
      </c>
      <c r="E5" s="5" t="inlineStr">
        <is>
          <t>8,924</t>
        </is>
      </c>
      <c r="F5" s="5" t="inlineStr">
        <is>
          <t>9,016</t>
        </is>
      </c>
      <c r="G5" s="5" t="inlineStr">
        <is>
          <t>8,610</t>
        </is>
      </c>
      <c r="H5" s="5" t="inlineStr">
        <is>
          <t>7,889</t>
        </is>
      </c>
    </row>
    <row r="6" ht="22" customHeight="1">
      <c r="A6" s="5" t="inlineStr">
        <is>
          <t>美瑛町</t>
        </is>
      </c>
      <c r="B6" s="5" t="inlineStr">
        <is>
          <t>美瑛町人口ビジョン</t>
        </is>
      </c>
      <c r="C6" s="5" t="inlineStr">
        <is>
          <t>9,668</t>
        </is>
      </c>
      <c r="D6" s="5" t="inlineStr">
        <is>
          <t>―</t>
        </is>
      </c>
      <c r="E6" s="5" t="inlineStr">
        <is>
          <t>8,548</t>
        </is>
      </c>
      <c r="F6" s="5" t="inlineStr">
        <is>
          <t>7,570</t>
        </is>
      </c>
      <c r="G6" s="5" t="inlineStr">
        <is>
          <t>―</t>
        </is>
      </c>
      <c r="H6" s="5" t="inlineStr">
        <is>
          <t>5,945</t>
        </is>
      </c>
    </row>
    <row r="7" ht="22" customHeight="1">
      <c r="A7" s="5" t="inlineStr">
        <is>
          <t>東神楽町</t>
        </is>
      </c>
      <c r="B7" s="5" t="inlineStr">
        <is>
          <t>東神楽町総合計画</t>
        </is>
      </c>
      <c r="C7" s="5" t="inlineStr">
        <is>
          <t>―</t>
        </is>
      </c>
      <c r="D7" s="5" t="inlineStr">
        <is>
          <t>9,769</t>
        </is>
      </c>
      <c r="E7" s="5" t="inlineStr">
        <is>
          <t>9,409</t>
        </is>
      </c>
      <c r="F7" s="5" t="inlineStr">
        <is>
          <t>8,677</t>
        </is>
      </c>
      <c r="G7" s="5" t="inlineStr">
        <is>
          <t>7,996</t>
        </is>
      </c>
      <c r="H7" s="5" t="inlineStr">
        <is>
          <t>―</t>
        </is>
      </c>
    </row>
    <row r="8" ht="22" customHeight="1">
      <c r="A8" s="15" t="inlineStr">
        <is>
          <t>3町計</t>
        </is>
      </c>
      <c r="B8" s="16" t="inlineStr">
        <is>
          <t>―</t>
        </is>
      </c>
      <c r="C8" s="16" t="inlineStr">
        <is>
          <t>―</t>
        </is>
      </c>
      <c r="D8" s="16" t="inlineStr">
        <is>
          <t>―</t>
        </is>
      </c>
      <c r="E8" s="16" t="inlineStr">
        <is>
          <t>26,881</t>
        </is>
      </c>
      <c r="F8" s="16" t="inlineStr">
        <is>
          <t>25,263</t>
        </is>
      </c>
      <c r="G8" s="16" t="inlineStr">
        <is>
          <t>―</t>
        </is>
      </c>
      <c r="H8" s="16" t="inlineStr">
        <is>
          <t>―</t>
        </is>
      </c>
    </row>
    <row r="9" ht="22" customHeight="1">
      <c r="A9" s="14" t="inlineStr">
        <is>
          <t>（参考）社人研推計</t>
        </is>
      </c>
      <c r="B9" s="5" t="inlineStr">
        <is>
          <t>美瑛町の人口ビジョンに併記されたもの</t>
        </is>
      </c>
      <c r="C9" s="5" t="inlineStr">
        <is>
          <t>9,668</t>
        </is>
      </c>
      <c r="D9" s="5" t="inlineStr">
        <is>
          <t>―</t>
        </is>
      </c>
      <c r="E9" s="5" t="inlineStr">
        <is>
          <t>8,126</t>
        </is>
      </c>
      <c r="F9" s="5" t="inlineStr">
        <is>
          <t>6,779</t>
        </is>
      </c>
      <c r="G9" s="5" t="inlineStr">
        <is>
          <t>―</t>
        </is>
      </c>
      <c r="H9" s="5" t="inlineStr">
        <is>
          <t>4,491</t>
        </is>
      </c>
    </row>
    <row r="10" ht="42" customHeight="1">
      <c r="A10" s="9" t="inlineStr">
        <is>
          <t>注）**美瑛町には人口ビジョンの年次推計があります。**確認事項No.63では「美瑛町の第3期総合戦略に人口の目標値がない」としていますが、これは総合戦略についてのことであり、人口ビジョンの有無とは別です。計画素案 第6章第1節の注も総合戦略について述べています。
3町の値の和は2030年26,881人・2040年25,263人で、社人研推計による3町計（R12 25,969人・R22 23,582人）を上回ります。町の計画は施策による上振れを織り込んだ目標であるため、そのまま介護保険の需要推計に用いると給付費を過大に見込む側に働きます。
案Cは、総人口の水準を総合戦略により置き、年齢階級別の内訳を住民基本台帳の実績趨勢によるものとして組み立てています（計画素案 第2章第1節・第6章第1節）。</t>
        </is>
      </c>
    </row>
    <row r="11"/>
    <row r="12" ht="20" customHeight="1">
      <c r="A12" s="10" t="inlineStr">
        <is>
          <t>【東神楽町総合計画の年齢区分別の割合】</t>
        </is>
      </c>
    </row>
    <row r="13" ht="32" customHeight="1">
      <c r="A13" s="3" t="inlineStr">
        <is>
          <t>区分</t>
        </is>
      </c>
      <c r="B13" s="3" t="inlineStr"/>
      <c r="C13" s="3" t="inlineStr">
        <is>
          <t>2025年</t>
        </is>
      </c>
      <c r="D13" s="3" t="inlineStr">
        <is>
          <t>2030年</t>
        </is>
      </c>
      <c r="E13" s="3" t="inlineStr">
        <is>
          <t>2035年</t>
        </is>
      </c>
      <c r="F13" s="3" t="inlineStr">
        <is>
          <t>2040年</t>
        </is>
      </c>
      <c r="G13" s="3" t="inlineStr">
        <is>
          <t>2045年</t>
        </is>
      </c>
      <c r="H13" s="3" t="inlineStr">
        <is>
          <t>2050年</t>
        </is>
      </c>
    </row>
    <row r="14" ht="22" customHeight="1">
      <c r="A14" s="5" t="inlineStr">
        <is>
          <t>年少人口</t>
        </is>
      </c>
      <c r="B14" s="5" t="inlineStr"/>
      <c r="C14" s="5" t="inlineStr">
        <is>
          <t>14.1％</t>
        </is>
      </c>
      <c r="D14" s="5" t="inlineStr">
        <is>
          <t>12.4％</t>
        </is>
      </c>
      <c r="E14" s="5" t="inlineStr">
        <is>
          <t>11.6％</t>
        </is>
      </c>
      <c r="F14" s="5" t="inlineStr">
        <is>
          <t>11.9％</t>
        </is>
      </c>
      <c r="G14" s="5" t="inlineStr">
        <is>
          <t>12.6％</t>
        </is>
      </c>
      <c r="H14" s="5" t="inlineStr">
        <is>
          <t>13.0％</t>
        </is>
      </c>
    </row>
    <row r="15" ht="22" customHeight="1">
      <c r="A15" s="5" t="inlineStr">
        <is>
          <t>生産年齢人口</t>
        </is>
      </c>
      <c r="B15" s="5" t="inlineStr"/>
      <c r="C15" s="5" t="inlineStr">
        <is>
          <t>55.7％</t>
        </is>
      </c>
      <c r="D15" s="5" t="inlineStr">
        <is>
          <t>55.9％</t>
        </is>
      </c>
      <c r="E15" s="5" t="inlineStr">
        <is>
          <t>54.8％</t>
        </is>
      </c>
      <c r="F15" s="5" t="inlineStr">
        <is>
          <t>51.8％</t>
        </is>
      </c>
      <c r="G15" s="5" t="inlineStr">
        <is>
          <t>49.7％</t>
        </is>
      </c>
      <c r="H15" s="5" t="inlineStr">
        <is>
          <t>48.5％</t>
        </is>
      </c>
    </row>
    <row r="16" ht="22" customHeight="1">
      <c r="A16" s="5" t="inlineStr">
        <is>
          <t>高齢者人口</t>
        </is>
      </c>
      <c r="B16" s="5" t="inlineStr"/>
      <c r="C16" s="5" t="inlineStr">
        <is>
          <t>30.2％</t>
        </is>
      </c>
      <c r="D16" s="5" t="inlineStr">
        <is>
          <t>31.6％</t>
        </is>
      </c>
      <c r="E16" s="5" t="inlineStr">
        <is>
          <t>33.6％</t>
        </is>
      </c>
      <c r="F16" s="5" t="inlineStr">
        <is>
          <t>36.3％</t>
        </is>
      </c>
      <c r="G16" s="5" t="inlineStr">
        <is>
          <t>37.8％</t>
        </is>
      </c>
      <c r="H16" s="5" t="inlineStr">
        <is>
          <t>38.5％</t>
        </is>
      </c>
    </row>
    <row r="17" ht="22" customHeight="1">
      <c r="A17" s="5" t="inlineStr">
        <is>
          <t>75歳以上人口</t>
        </is>
      </c>
      <c r="B17" s="5" t="inlineStr"/>
      <c r="C17" s="5" t="inlineStr">
        <is>
          <t>16.9％</t>
        </is>
      </c>
      <c r="D17" s="5" t="inlineStr">
        <is>
          <t>18.6％</t>
        </is>
      </c>
      <c r="E17" s="5" t="inlineStr">
        <is>
          <t>19.7％</t>
        </is>
      </c>
      <c r="F17" s="5" t="inlineStr">
        <is>
          <t>20.7％</t>
        </is>
      </c>
      <c r="G17" s="5" t="inlineStr">
        <is>
          <t>22.1％</t>
        </is>
      </c>
      <c r="H17" s="5" t="inlineStr">
        <is>
          <t>24.1％</t>
        </is>
      </c>
    </row>
    <row r="18" ht="14" customHeight="1">
      <c r="A18" s="9" t="inlineStr">
        <is>
          <t>注）東神楽町総合計画は高齢者人口の割合を2025年30.2％から2050年38.5％へ、75歳以上の割合を16.9％から24.1％へ見込んでいます。当方の組み直しによる東神楽町の高齢化率は令和7年度30.1％・令和32年度46.1％であり、町の計画より高く出ます。町の計画は総人口の減少が緩やかであることによるものです。</t>
        </is>
      </c>
    </row>
  </sheetData>
  <mergeCells count="5">
    <mergeCell ref="A12:H12"/>
    <mergeCell ref="A18:H18"/>
    <mergeCell ref="A2:H2"/>
    <mergeCell ref="A10:H10"/>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6" customWidth="1" min="1" max="1"/>
    <col width="46" customWidth="1" min="2" max="2"/>
    <col width="20" customWidth="1" min="3" max="3"/>
    <col width="40" customWidth="1" min="4" max="4"/>
  </cols>
  <sheetData>
    <row r="1" ht="26" customHeight="1">
      <c r="A1" s="1" t="inlineStr">
        <is>
          <t>受領資料のスケジュールと当方の工程</t>
        </is>
      </c>
    </row>
    <row r="2" ht="58" customHeight="1">
      <c r="A2" s="2" t="inlineStr">
        <is>
          <t>受領ファイル③のスケジュールのシート及び④の加筆により、パブリックコメントの期間と令和9年2月以降の会議の日程が分かりました。確認事項No.19に当たります。</t>
        </is>
      </c>
    </row>
    <row r="3"/>
    <row r="4" ht="32" customHeight="1">
      <c r="A4" s="3" t="inlineStr">
        <is>
          <t>時期</t>
        </is>
      </c>
      <c r="B4" s="3" t="inlineStr">
        <is>
          <t>内容</t>
        </is>
      </c>
      <c r="C4" s="3" t="inlineStr">
        <is>
          <t>当方の扱い</t>
        </is>
      </c>
      <c r="D4" s="3" t="inlineStr">
        <is>
          <t>反映先</t>
        </is>
      </c>
    </row>
    <row r="5" ht="34" customHeight="1">
      <c r="A5" s="5" t="inlineStr">
        <is>
          <t>令和8年10月</t>
        </is>
      </c>
      <c r="B5" s="5" t="inlineStr">
        <is>
          <t>構成町別の意見聴取（町別の意見交換。オンラインも可とのご要望）</t>
        </is>
      </c>
      <c r="C5" s="5" t="inlineStr">
        <is>
          <t>月別工程に取り込んだ</t>
        </is>
      </c>
      <c r="D5" s="5" t="inlineStr">
        <is>
          <t>業務工程管理表 02 月別工程管理／計画策定の進捗と今後の確認事項 第6節1</t>
        </is>
      </c>
    </row>
    <row r="6" ht="34" customHeight="1">
      <c r="A6" s="5" t="inlineStr">
        <is>
          <t>令和8年10月</t>
        </is>
      </c>
      <c r="B6" s="5" t="inlineStr">
        <is>
          <t>令和8年10月時点の社会資源と従業者の再調査</t>
        </is>
      </c>
      <c r="C6" s="5" t="inlineStr">
        <is>
          <t>月別工程に取り込んだ</t>
        </is>
      </c>
      <c r="D6" s="5" t="inlineStr">
        <is>
          <t>業務工程管理表 02 月別工程管理／計画策定の進捗と今後の確認事項 第6節1</t>
        </is>
      </c>
    </row>
    <row r="7" ht="34" customHeight="1">
      <c r="A7" s="5" t="inlineStr">
        <is>
          <t>令和9年1月</t>
        </is>
      </c>
      <c r="B7" s="5" t="inlineStr">
        <is>
          <t>パブリックコメントをウェブで2週間実施する（概要版を用いる）</t>
        </is>
      </c>
      <c r="C7" s="5" t="inlineStr">
        <is>
          <t>月別工程に取り込んだ</t>
        </is>
      </c>
      <c r="D7" s="5" t="inlineStr">
        <is>
          <t>業務工程管理表 02 月別工程管理／計画策定の進捗と今後の確認事項 第6節1</t>
        </is>
      </c>
    </row>
    <row r="8" ht="34" customHeight="1">
      <c r="A8" s="5" t="inlineStr">
        <is>
          <t>令和9年1月</t>
        </is>
      </c>
      <c r="B8" s="5" t="inlineStr">
        <is>
          <t>介護保険運営協議会（パブリックコメントの前）</t>
        </is>
      </c>
      <c r="C8" s="5" t="inlineStr">
        <is>
          <t>月別工程に取り込んだ</t>
        </is>
      </c>
      <c r="D8" s="5" t="inlineStr">
        <is>
          <t>業務工程管理表 02 月別工程管理／計画策定の進捗と今後の確認事項 第6節1</t>
        </is>
      </c>
    </row>
    <row r="9" ht="34" customHeight="1">
      <c r="A9" s="5" t="inlineStr">
        <is>
          <t>令和9年2月19日</t>
        </is>
      </c>
      <c r="B9" s="5" t="inlineStr">
        <is>
          <t>事務管理者・主監会議協議（最終協議。原稿・数値の確定）</t>
        </is>
      </c>
      <c r="C9" s="5" t="inlineStr">
        <is>
          <t>月別工程に取り込んだ</t>
        </is>
      </c>
      <c r="D9" s="5" t="inlineStr">
        <is>
          <t>業務工程管理表 02 月別工程管理／計画策定の進捗と今後の確認事項 第6節1</t>
        </is>
      </c>
    </row>
    <row r="10" ht="34" customHeight="1">
      <c r="A10" s="5" t="inlineStr">
        <is>
          <t>令和9年3月2日</t>
        </is>
      </c>
      <c r="B10" s="5" t="inlineStr">
        <is>
          <t>全員協議会情報提供</t>
        </is>
      </c>
      <c r="C10" s="5" t="inlineStr">
        <is>
          <t>月別工程に取り込んだ</t>
        </is>
      </c>
      <c r="D10" s="5" t="inlineStr">
        <is>
          <t>業務工程管理表 02 月別工程管理／計画策定の進捗と今後の確認事項 第6節1</t>
        </is>
      </c>
    </row>
    <row r="11" ht="34" customHeight="1">
      <c r="A11" s="5" t="inlineStr">
        <is>
          <t>令和9年3月3日</t>
        </is>
      </c>
      <c r="B11" s="5" t="inlineStr">
        <is>
          <t>第10期介護保険事業計画の決定（データの締切り）</t>
        </is>
      </c>
      <c r="C11" s="5" t="inlineStr">
        <is>
          <t>月別工程に取り込んだ</t>
        </is>
      </c>
      <c r="D11" s="5" t="inlineStr">
        <is>
          <t>業務工程管理表 02 月別工程管理／計画策定の進捗と今後の確認事項 第6節1</t>
        </is>
      </c>
    </row>
    <row r="12" ht="34" customHeight="1">
      <c r="A12" s="5" t="inlineStr">
        <is>
          <t>令和9年3月23日</t>
        </is>
      </c>
      <c r="B12" s="5" t="inlineStr">
        <is>
          <t>広域連合議会</t>
        </is>
      </c>
      <c r="C12" s="5" t="inlineStr">
        <is>
          <t>月別工程に取り込んだ</t>
        </is>
      </c>
      <c r="D12" s="5" t="inlineStr">
        <is>
          <t>業務工程管理表 02 月別工程管理／計画策定の進捗と今後の確認事項 第6節1</t>
        </is>
      </c>
    </row>
    <row r="13" ht="28" customHeight="1">
      <c r="A13" s="9" t="inlineStr">
        <is>
          <t>注）受領ファイルのスケジュールの備考には担当者名の記載がありますが、収めていません（発注者指示。個人情報は収録しない）。
確認事項No.19（会議日程とパブリックコメントの期間）の既定値は「仕様書５の工程による」でした。本スケジュールにより日程が分かったため、月別工程に取り込み、備考に出所を記しました。正式なご決定をいただいた時点で状態を改めます。</t>
        </is>
      </c>
    </row>
    <row r="14"/>
    <row r="15" ht="20" customHeight="1">
      <c r="A15" s="10" t="inlineStr">
        <is>
          <t>【受領ファイル④（docx）の加筆・削除】</t>
        </is>
      </c>
    </row>
    <row r="16" ht="32" customHeight="1">
      <c r="A16" s="3" t="inlineStr">
        <is>
          <t>区分</t>
        </is>
      </c>
      <c r="B16" s="3" t="inlineStr">
        <is>
          <t>内容</t>
        </is>
      </c>
      <c r="C16" s="3" t="inlineStr">
        <is>
          <t>当方の扱い</t>
        </is>
      </c>
      <c r="D16" s="3" t="inlineStr">
        <is>
          <t>反映先</t>
        </is>
      </c>
    </row>
    <row r="17" ht="66" customHeight="1">
      <c r="A17" s="4" t="inlineStr">
        <is>
          <t>加筆</t>
        </is>
      </c>
      <c r="B17" s="5" t="inlineStr">
        <is>
          <t>令和9年1月から3月の工程に実際の日程を加えたもの（パブリックコメントをウェブで2週間・概要版使用・介護保険運営協議会（パブリックコメントの前）・2月19日 事務管理者・主監会議協議・3月2日 全員協議会情報提供・3月3日 計画の決定・3月23日 広域連合議会）</t>
        </is>
      </c>
      <c r="C17" s="5" t="inlineStr">
        <is>
          <t>取り込んだ</t>
        </is>
      </c>
      <c r="D17" s="5" t="inlineStr">
        <is>
          <t>業務工程管理表 02 月別工程管理</t>
        </is>
      </c>
    </row>
    <row r="18" ht="66" customHeight="1">
      <c r="A18" s="4" t="inlineStr">
        <is>
          <t>改め</t>
        </is>
      </c>
      <c r="B18" s="5" t="inlineStr">
        <is>
          <t>表紙を「作成日 令和8年10月2日（金）」とし、「基準日 令和8年10月5日」の一文を外したもの</t>
        </is>
      </c>
      <c r="C18" s="5" t="inlineStr">
        <is>
          <t>作成日を表紙に記す形に改めた。基準日は進捗の表の表題に残す</t>
        </is>
      </c>
      <c r="D18" s="5" t="inlineStr">
        <is>
          <t>計画策定の進捗と今後の確認事項 表紙</t>
        </is>
      </c>
    </row>
    <row r="19" ht="66" customHeight="1">
      <c r="A19" s="4" t="inlineStr">
        <is>
          <t>削除</t>
        </is>
      </c>
      <c r="B19" s="5" t="inlineStr">
        <is>
          <t>資料の所在を指す記述3件（作業項目の判定の併記・確認主体と期限の所在・シート番号）</t>
        </is>
      </c>
      <c r="C19" s="5" t="inlineStr">
        <is>
          <t>落とした</t>
        </is>
      </c>
      <c r="D19" s="5" t="inlineStr">
        <is>
          <t>同 第2節2・第3節2・第3節3</t>
        </is>
      </c>
    </row>
    <row r="20" ht="28" customHeight="1">
      <c r="A20" s="9" t="inlineStr">
        <is>
          <t>注）受領ファイル④は当方が令和8年10月5日にお送りしたものです。加筆・削除のあった箇所を当方の側に取り込みました。取り込まないまま作り直すと加筆が消えるためです。
なお、仮置きにより計画素案へ反映した事項は、受領ファイルでは38件ですが令和8年10月5日に46件となっています。</t>
        </is>
      </c>
    </row>
  </sheetData>
  <mergeCells count="5">
    <mergeCell ref="A2:F2"/>
    <mergeCell ref="A1:F1"/>
    <mergeCell ref="A20:D20"/>
    <mergeCell ref="A15:D15"/>
    <mergeCell ref="A13:D1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4" customWidth="1" min="1" max="1"/>
    <col width="10" customWidth="1" min="2" max="2"/>
    <col width="30" customWidth="1" min="3" max="3"/>
    <col width="40" customWidth="1" min="4" max="4"/>
    <col width="20" customWidth="1" min="5" max="5"/>
  </cols>
  <sheetData>
    <row r="1" ht="26" customHeight="1">
      <c r="A1" s="1" t="inlineStr">
        <is>
          <t>修正の提案</t>
        </is>
      </c>
    </row>
    <row r="2" ht="58" customHeight="1">
      <c r="A2" s="2" t="inlineStr">
        <is>
          <t>受領ファイルの修正をお願いしたいもの、及び当方の側で行ったものです。優先度の高い順に掲げます。</t>
        </is>
      </c>
    </row>
    <row r="3"/>
    <row r="4" ht="32" customHeight="1">
      <c r="A4" s="3" t="inlineStr">
        <is>
          <t>#</t>
        </is>
      </c>
      <c r="B4" s="3" t="inlineStr">
        <is>
          <t>優先</t>
        </is>
      </c>
      <c r="C4" s="3" t="inlineStr">
        <is>
          <t>何を</t>
        </is>
      </c>
      <c r="D4" s="3" t="inlineStr">
        <is>
          <t>どう直すか</t>
        </is>
      </c>
      <c r="E4" s="3" t="inlineStr">
        <is>
          <t>どちらが行うか</t>
        </is>
      </c>
    </row>
    <row r="5" ht="48" customHeight="1">
      <c r="A5" s="4" t="inlineStr">
        <is>
          <t>1</t>
        </is>
      </c>
      <c r="B5" s="4" t="inlineStr">
        <is>
          <t>最高</t>
        </is>
      </c>
      <c r="C5" s="5" t="inlineStr">
        <is>
          <t>東川町の90歳以上の変化率の分母</t>
        </is>
      </c>
      <c r="D5" s="5" t="inlineStr">
        <is>
          <t>SUM(W31:Y31) を SUM(V31:Y31) に改める（男・女×9シート＝18か所）。この1か所で発散は止まる。</t>
        </is>
      </c>
      <c r="E5" s="5" t="inlineStr">
        <is>
          <t>受領ファイルの作成者</t>
        </is>
      </c>
    </row>
    <row r="6" ht="48" customHeight="1">
      <c r="A6" s="4" t="inlineStr">
        <is>
          <t>2</t>
        </is>
      </c>
      <c r="B6" s="4" t="inlineStr">
        <is>
          <t>高</t>
        </is>
      </c>
      <c r="C6" s="5" t="inlineStr">
        <is>
          <t>東川町の女の100歳以上の参照</t>
        </is>
      </c>
      <c r="D6" s="5" t="inlineStr">
        <is>
          <t>Y51の =X36*W41 を =X35*W41 に改める（9シート）。</t>
        </is>
      </c>
      <c r="E6" s="5" t="inlineStr">
        <is>
          <t>受領ファイルの作成者</t>
        </is>
      </c>
    </row>
    <row r="7" ht="48" customHeight="1">
      <c r="A7" s="4" t="inlineStr">
        <is>
          <t>3</t>
        </is>
      </c>
      <c r="B7" s="4" t="inlineStr">
        <is>
          <t>高</t>
        </is>
      </c>
      <c r="C7" s="5" t="inlineStr">
        <is>
          <t>95〜99歳・100歳以上の変化率（3町とも）</t>
        </is>
      </c>
      <c r="D7" s="5" t="inlineStr">
        <is>
          <t>階級ごとに分母を採る。95〜99歳＝5年前の90〜94歳、100歳以上＝5年前の（95〜99歳＋100歳以上）。</t>
        </is>
      </c>
      <c r="E7" s="5" t="inlineStr">
        <is>
          <t>受領ファイルの作成者</t>
        </is>
      </c>
    </row>
    <row r="8" ht="48" customHeight="1">
      <c r="A8" s="4" t="inlineStr">
        <is>
          <t>4</t>
        </is>
      </c>
      <c r="B8" s="4" t="inlineStr">
        <is>
          <t>高</t>
        </is>
      </c>
      <c r="C8" s="5" t="inlineStr">
        <is>
          <t>「令和5年推計を元にした補正」の女</t>
        </is>
      </c>
      <c r="D8" s="5" t="inlineStr">
        <is>
          <t>「被保険者数（補正後）補正率2区分」の男女別の値を用いる。（3）合計はそのまま用いることができる。</t>
        </is>
      </c>
      <c r="E8" s="5" t="inlineStr">
        <is>
          <t>受領ファイルの作成者</t>
        </is>
      </c>
    </row>
    <row r="9" ht="48" customHeight="1">
      <c r="A9" s="4" t="inlineStr">
        <is>
          <t>5</t>
        </is>
      </c>
      <c r="B9" s="4" t="inlineStr">
        <is>
          <t>中</t>
        </is>
      </c>
      <c r="C9" s="5" t="inlineStr">
        <is>
          <t>0〜4歳の分母を3町でそろえる</t>
        </is>
      </c>
      <c r="D9" s="5" t="inlineStr">
        <is>
          <t>東川町を予測年の女20〜39歳に改める。</t>
        </is>
      </c>
      <c r="E9" s="5" t="inlineStr">
        <is>
          <t>受領ファイルの作成者</t>
        </is>
      </c>
    </row>
    <row r="10" ht="48" customHeight="1">
      <c r="A10" s="4" t="inlineStr">
        <is>
          <t>6</t>
        </is>
      </c>
      <c r="B10" s="4" t="inlineStr">
        <is>
          <t>中</t>
        </is>
      </c>
      <c r="C10" s="5" t="inlineStr">
        <is>
          <t>時点の表示</t>
        </is>
      </c>
      <c r="D10" s="5" t="inlineStr">
        <is>
          <t>見出しを「令和N年度（20XX+1年1月1日現在）」の形に統一する。注記を1つにそろえる。令和32年シートの見出しを改める。</t>
        </is>
      </c>
      <c r="E10" s="5" t="inlineStr">
        <is>
          <t>受領ファイルの作成者</t>
        </is>
      </c>
    </row>
    <row r="11" ht="48" customHeight="1">
      <c r="A11" s="4" t="inlineStr">
        <is>
          <t>7</t>
        </is>
      </c>
      <c r="B11" s="4" t="inlineStr">
        <is>
          <t>中</t>
        </is>
      </c>
      <c r="C11" s="5" t="inlineStr">
        <is>
          <t>合計特殊出生率の表示</t>
        </is>
      </c>
      <c r="D11" s="5" t="inlineStr">
        <is>
          <t>「子ども女性比×4（合計特殊出生率の目安）」と記す。</t>
        </is>
      </c>
      <c r="E11" s="5" t="inlineStr">
        <is>
          <t>受領ファイルの作成者</t>
        </is>
      </c>
    </row>
    <row r="12" ht="48" customHeight="1">
      <c r="A12" s="4" t="inlineStr">
        <is>
          <t>8</t>
        </is>
      </c>
      <c r="B12" s="4" t="inlineStr">
        <is>
          <t>低</t>
        </is>
      </c>
      <c r="C12" s="5" t="inlineStr">
        <is>
          <t>東川町のシートのデータ元のURL</t>
        </is>
      </c>
      <c r="D12" s="5" t="inlineStr">
        <is>
          <t>東川町の計画のURLに改める。</t>
        </is>
      </c>
      <c r="E12" s="5" t="inlineStr">
        <is>
          <t>受領ファイルの作成者</t>
        </is>
      </c>
    </row>
    <row r="13" ht="48" customHeight="1">
      <c r="A13" s="4" t="inlineStr">
        <is>
          <t>9</t>
        </is>
      </c>
      <c r="B13" s="4" t="inlineStr">
        <is>
          <t>―</t>
        </is>
      </c>
      <c r="C13" s="5" t="inlineStr">
        <is>
          <t>スケジュールの取込み</t>
        </is>
      </c>
      <c r="D13" s="5" t="inlineStr">
        <is>
          <t>パブリックコメントの期間と令和9年2月以降の会議の日程を月別工程に取り込んだ。</t>
        </is>
      </c>
      <c r="E13" s="5" t="inlineStr">
        <is>
          <t>受託者（実施済み）</t>
        </is>
      </c>
    </row>
    <row r="14" ht="48" customHeight="1">
      <c r="A14" s="4" t="inlineStr">
        <is>
          <t>10</t>
        </is>
      </c>
      <c r="B14" s="4" t="inlineStr">
        <is>
          <t>―</t>
        </is>
      </c>
      <c r="C14" s="5" t="inlineStr">
        <is>
          <t>進捗と今後の確認事項の加筆・削除の取込み</t>
        </is>
      </c>
      <c r="D14" s="5" t="inlineStr">
        <is>
          <t>表紙の表記と資料の所在を指す記述3件を改めた。</t>
        </is>
      </c>
      <c r="E14" s="5" t="inlineStr">
        <is>
          <t>受託者（実施済み）</t>
        </is>
      </c>
    </row>
    <row r="15" ht="48" customHeight="1">
      <c r="A15" s="4" t="inlineStr">
        <is>
          <t>11</t>
        </is>
      </c>
      <c r="B15" s="4" t="inlineStr">
        <is>
          <t>―</t>
        </is>
      </c>
      <c r="C15" s="5" t="inlineStr">
        <is>
          <t>コーホート変化率法の計算の共通化</t>
        </is>
      </c>
      <c r="D15" s="5" t="inlineStr">
        <is>
          <t>変化率と5年進めの計算を1か所にまとめ、令和8年9月16日の点検と本検証の双方が同じ計算を用いる形にした。</t>
        </is>
      </c>
      <c r="E15" s="5" t="inlineStr">
        <is>
          <t>受託者（実施済み）</t>
        </is>
      </c>
    </row>
    <row r="16"/>
    <row r="17" ht="28" customHeight="1">
      <c r="A17" s="9" t="inlineStr">
        <is>
          <t>注）推計の方法を案Cから改めるかどうかは確認事項No.153であり、既定値は「令和8年9月10日のご了承のとおり案Cのままとする」です。本検証は、コーホート変化率法を正しく組み直しても案Cと3〜4％以内で一致することを示すものであり、いずれを採っても保険料の水準は大きく変わりません。
将来推計を町別に掲げることは令和8年9月10日のご了承（町別は現況のみ本文に加え、将来推計は3町計の案Cのままとする）と食い違います（確認事項No.152）。</t>
        </is>
      </c>
    </row>
  </sheetData>
  <mergeCells count="3">
    <mergeCell ref="A2:F2"/>
    <mergeCell ref="A17:E17"/>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34" customWidth="1" min="2" max="2"/>
    <col width="40" customWidth="1" min="3" max="3"/>
    <col width="40" customWidth="1" min="4" max="4"/>
    <col width="10" customWidth="1" min="5" max="5"/>
  </cols>
  <sheetData>
    <row r="1" ht="26" customHeight="1">
      <c r="A1" s="1" t="inlineStr">
        <is>
          <t>自己点検</t>
        </is>
      </c>
    </row>
    <row r="2" ht="58" customHeight="1">
      <c r="A2" s="2" t="inlineStr">
        <is>
          <t>本検証の数値が受領ファイルの値と当方の算定から再現できることを確かめたものです。1件でも不適合があると作成を止めます。</t>
        </is>
      </c>
    </row>
    <row r="3"/>
    <row r="4" ht="32" customHeight="1">
      <c r="A4" s="3" t="inlineStr">
        <is>
          <t>No.</t>
        </is>
      </c>
      <c r="B4" s="3" t="inlineStr">
        <is>
          <t>確かめたこと</t>
        </is>
      </c>
      <c r="C4" s="3" t="inlineStr">
        <is>
          <t>式</t>
        </is>
      </c>
      <c r="D4" s="3" t="inlineStr">
        <is>
          <t>結果</t>
        </is>
      </c>
      <c r="E4" s="3" t="inlineStr">
        <is>
          <t>判定</t>
        </is>
      </c>
    </row>
    <row r="5" ht="36" customHeight="1">
      <c r="A5" s="4" t="n">
        <v>1</v>
      </c>
      <c r="B5" s="5" t="inlineStr">
        <is>
          <t>式の点検の項目数</t>
        </is>
      </c>
      <c r="C5" s="5" t="inlineStr">
        <is>
          <t>SHIKIの件数</t>
        </is>
      </c>
      <c r="D5" s="5" t="inlineStr">
        <is>
          <t>7件</t>
        </is>
      </c>
      <c r="E5" s="6" t="inlineStr">
        <is>
          <t>適合</t>
        </is>
      </c>
    </row>
    <row r="6" ht="36" customHeight="1">
      <c r="A6" s="4" t="n">
        <v>2</v>
      </c>
      <c r="B6" s="5" t="inlineStr">
        <is>
          <t>不適合と判定した項目</t>
        </is>
      </c>
      <c r="C6" s="5" t="inlineStr">
        <is>
          <t>判定に「不適合」を含む項目</t>
        </is>
      </c>
      <c r="D6" s="5" t="inlineStr">
        <is>
          <t>3件（90歳以上の変化率の分母／95〜99歳・100歳以上の変化率／男女の区別）</t>
        </is>
      </c>
      <c r="E6" s="6" t="inlineStr">
        <is>
          <t>適合</t>
        </is>
      </c>
    </row>
    <row r="7" ht="36" customHeight="1">
      <c r="A7" s="4" t="n">
        <v>3</v>
      </c>
      <c r="B7" s="5" t="inlineStr">
        <is>
          <t>東川町の90歳以上の変化率（令和12年シート）</t>
        </is>
      </c>
      <c r="C7" s="5" t="inlineStr">
        <is>
          <t>受領＝基準年の90歳以上÷5年前の90歳以上／開放区間＝基準年の90歳以上÷5年前の85歳以上</t>
        </is>
      </c>
      <c r="D7" s="5" t="inlineStr">
        <is>
          <t>男 受領1.1039・開放区間0.4450／女 受領1.1026・開放区間0.5000</t>
        </is>
      </c>
      <c r="E7" s="6" t="inlineStr">
        <is>
          <t>適合</t>
        </is>
      </c>
    </row>
    <row r="8" ht="36" customHeight="1">
      <c r="A8" s="4" t="n">
        <v>4</v>
      </c>
      <c r="B8" s="5" t="inlineStr">
        <is>
          <t>東神楽町・美瑛町の90歳以上の変化率</t>
        </is>
      </c>
      <c r="C8" s="5" t="inlineStr">
        <is>
          <t>基準年の90歳以上÷5年前の85歳以上</t>
        </is>
      </c>
      <c r="D8" s="5" t="inlineStr">
        <is>
          <t>いずれも0.3から0.7の間にある（1を超えない）</t>
        </is>
      </c>
      <c r="E8" s="6" t="inlineStr">
        <is>
          <t>適合</t>
        </is>
      </c>
    </row>
    <row r="9" ht="36" customHeight="1">
      <c r="A9" s="4" t="n">
        <v>5</v>
      </c>
      <c r="B9" s="5" t="inlineStr">
        <is>
          <t>東川町の65歳以上（令和8年度）</t>
        </is>
      </c>
      <c r="C9" s="5" t="inlineStr">
        <is>
          <t>受領値と、同じ基準の組で当方の置き方により求めた値の差</t>
        </is>
      </c>
      <c r="D9" s="5" t="inlineStr">
        <is>
          <t>受領3075.4人・当方2669.4人（差▲406.0人）</t>
        </is>
      </c>
      <c r="E9" s="6" t="inlineStr">
        <is>
          <t>適合</t>
        </is>
      </c>
    </row>
    <row r="10" ht="36" customHeight="1">
      <c r="A10" s="4" t="n">
        <v>6</v>
      </c>
      <c r="B10" s="5" t="inlineStr">
        <is>
          <t>東川町の総人口（令和32年度）の発散</t>
        </is>
      </c>
      <c r="C10" s="5" t="inlineStr">
        <is>
          <t>受領値と住民基本台帳の実績（令和8年1月1日8,695人）の比</t>
        </is>
      </c>
      <c r="D10" s="5" t="inlineStr">
        <is>
          <t>受領41241人（実績の4.74倍）</t>
        </is>
      </c>
      <c r="E10" s="6" t="inlineStr">
        <is>
          <t>適合</t>
        </is>
      </c>
    </row>
    <row r="11" ht="36" customHeight="1">
      <c r="A11" s="4" t="n">
        <v>7</v>
      </c>
      <c r="B11" s="5" t="inlineStr">
        <is>
          <t>東神楽町の65歳以上（令和12年度）</t>
        </is>
      </c>
      <c r="C11" s="5" t="inlineStr">
        <is>
          <t>受領値と当方の組み直しの差の割合</t>
        </is>
      </c>
      <c r="D11" s="5" t="inlineStr">
        <is>
          <t>受領2998.6人・当方2992.8人（▲0.19％）</t>
        </is>
      </c>
      <c r="E11" s="6" t="inlineStr">
        <is>
          <t>適合</t>
        </is>
      </c>
    </row>
    <row r="12" ht="36" customHeight="1">
      <c r="A12" s="4" t="n">
        <v>8</v>
      </c>
      <c r="B12" s="5" t="inlineStr">
        <is>
          <t>美瑛町の65歳以上（令和12年度）</t>
        </is>
      </c>
      <c r="C12" s="5" t="inlineStr">
        <is>
          <t>受領値と当方の組み直しの差の割合</t>
        </is>
      </c>
      <c r="D12" s="5" t="inlineStr">
        <is>
          <t>受領3441.0人・当方3431.3人（▲0.28％）</t>
        </is>
      </c>
      <c r="E12" s="6" t="inlineStr">
        <is>
          <t>適合</t>
        </is>
      </c>
    </row>
    <row r="13" ht="36" customHeight="1">
      <c r="A13" s="4" t="n">
        <v>9</v>
      </c>
      <c r="B13" s="5" t="inlineStr">
        <is>
          <t>当方の連鎖の基準年（令和7年度）</t>
        </is>
      </c>
      <c r="C13" s="5" t="inlineStr">
        <is>
          <t>住民基本台帳 令和8年1月1日現在の3町計の総人口</t>
        </is>
      </c>
      <c r="D13" s="5" t="inlineStr">
        <is>
          <t>27,498人</t>
        </is>
      </c>
      <c r="E13" s="6" t="inlineStr">
        <is>
          <t>適合</t>
        </is>
      </c>
    </row>
    <row r="14" ht="36" customHeight="1">
      <c r="A14" s="4" t="n">
        <v>10</v>
      </c>
      <c r="B14" s="5" t="inlineStr">
        <is>
          <t>当方の連鎖と案Cの65歳以上の対比（令和22年度）</t>
        </is>
      </c>
      <c r="C14" s="5" t="inlineStr">
        <is>
          <t>3町計の65歳以上と案Cの第1号被保険者数</t>
        </is>
      </c>
      <c r="D14" s="5" t="inlineStr">
        <is>
          <t>当方の連鎖9095人・案C9491人（▲4.2％）</t>
        </is>
      </c>
      <c r="E14" s="6" t="inlineStr">
        <is>
          <t>適合</t>
        </is>
      </c>
    </row>
    <row r="15" ht="36" customHeight="1">
      <c r="A15" s="4" t="n">
        <v>11</v>
      </c>
      <c r="B15" s="5" t="inlineStr">
        <is>
          <t>当方の連鎖の65歳以上が横ばいであること</t>
        </is>
      </c>
      <c r="C15" s="5" t="inlineStr">
        <is>
          <t>3町計の65歳以上が全年度で9,100人±500人の範囲にあること</t>
        </is>
      </c>
      <c r="D15" s="5" t="inlineStr">
        <is>
          <t>令和7年度 9176人／令和12年度 9081人／令和17年度 8982人／令和22年度 9095人／令和27年度 8933人／令和32年度 8682人</t>
        </is>
      </c>
      <c r="E15" s="6" t="inlineStr">
        <is>
          <t>適合</t>
        </is>
      </c>
    </row>
    <row r="16" ht="36" customHeight="1">
      <c r="A16" s="4" t="n">
        <v>12</v>
      </c>
      <c r="B16" s="5" t="inlineStr">
        <is>
          <t>「令和5年推計を元にした補正」の男女</t>
        </is>
      </c>
      <c r="C16" s="5" t="inlineStr">
        <is>
          <t>（1）男と（2）女の全ての欄を比べ、（3）合計が男＋女になるかを見る</t>
        </is>
      </c>
      <c r="D16" s="5" t="inlineStr">
        <is>
          <t>男と女は全ての欄が同一／合計が男＋女にならない項目 9件</t>
        </is>
      </c>
      <c r="E16" s="6" t="inlineStr">
        <is>
          <t>適合</t>
        </is>
      </c>
    </row>
    <row r="17" ht="36" customHeight="1">
      <c r="A17" s="4" t="n">
        <v>13</v>
      </c>
      <c r="B17" s="5" t="inlineStr">
        <is>
          <t>被保険者数（補正後）補正率2区分の第1号被保険者数</t>
        </is>
      </c>
      <c r="C17" s="5" t="inlineStr">
        <is>
          <t>男女の65〜69歳から90歳以上までの和</t>
        </is>
      </c>
      <c r="D17" s="5" t="inlineStr">
        <is>
          <t>令和6年度9,153人・令和11年度9,094人・令和22年度9,430人</t>
        </is>
      </c>
      <c r="E17" s="6" t="inlineStr">
        <is>
          <t>適合</t>
        </is>
      </c>
    </row>
    <row r="18" ht="36" customHeight="1">
      <c r="A18" s="4" t="n">
        <v>14</v>
      </c>
      <c r="B18" s="5" t="inlineStr">
        <is>
          <t>国の「推計人口と第1号被保険者数の比較」</t>
        </is>
      </c>
      <c r="C18" s="5" t="inlineStr">
        <is>
          <t>差分の対推計人口比が最も大きい区分</t>
        </is>
      </c>
      <c r="D18" s="5" t="inlineStr">
        <is>
          <t>85歳以上 9.2％（推計人口2,167人・被保険者数1,967人）</t>
        </is>
      </c>
      <c r="E18" s="6" t="inlineStr">
        <is>
          <t>適合</t>
        </is>
      </c>
    </row>
    <row r="19" ht="36" customHeight="1">
      <c r="A19" s="4" t="n">
        <v>15</v>
      </c>
      <c r="B19" s="5" t="inlineStr">
        <is>
          <t>構成3町の人口ビジョン・総合計画による総人口</t>
        </is>
      </c>
      <c r="C19" s="5" t="inlineStr">
        <is>
          <t>3町の値の和（2030年・2040年）</t>
        </is>
      </c>
      <c r="D19" s="5" t="inlineStr">
        <is>
          <t>2030年26,881人・2040年25,263人</t>
        </is>
      </c>
      <c r="E19" s="6" t="inlineStr">
        <is>
          <t>適合</t>
        </is>
      </c>
    </row>
    <row r="20" ht="36" customHeight="1">
      <c r="A20" s="4" t="n">
        <v>16</v>
      </c>
      <c r="B20" s="5" t="inlineStr">
        <is>
          <t>社人研推計（令和5年推計）による3町計の総人口</t>
        </is>
      </c>
      <c r="C20" s="5" t="inlineStr">
        <is>
          <t>受領ファイルの「自然推計」の行</t>
        </is>
      </c>
      <c r="D20" s="5" t="inlineStr">
        <is>
          <t>R6 27,303人・R22 23,582人・R32 21,058人</t>
        </is>
      </c>
      <c r="E20" s="6" t="inlineStr">
        <is>
          <t>適合</t>
        </is>
      </c>
    </row>
    <row r="21" ht="36" customHeight="1">
      <c r="A21" s="4" t="n">
        <v>17</v>
      </c>
      <c r="B21" s="5" t="inlineStr">
        <is>
          <t>受領ファイルのスケジュールの件数</t>
        </is>
      </c>
      <c r="C21" s="5" t="inlineStr">
        <is>
          <t>日程が明記されている事項</t>
        </is>
      </c>
      <c r="D21" s="5" t="inlineStr">
        <is>
          <t>8件（令和9年2月19日・3月2日・3月3日・3月23日を含む）</t>
        </is>
      </c>
      <c r="E21" s="6" t="inlineStr">
        <is>
          <t>適合</t>
        </is>
      </c>
    </row>
    <row r="22" ht="36" customHeight="1">
      <c r="A22" s="4" t="n">
        <v>18</v>
      </c>
      <c r="B22" s="5" t="inlineStr">
        <is>
          <t>見つけた誤りの件数</t>
        </is>
      </c>
      <c r="C22" s="5" t="inlineStr">
        <is>
          <t>GOYMIの件数</t>
        </is>
      </c>
      <c r="D22" s="5" t="inlineStr">
        <is>
          <t>10件</t>
        </is>
      </c>
      <c r="E22" s="6" t="inlineStr">
        <is>
          <t>適合</t>
        </is>
      </c>
    </row>
    <row r="23" ht="36" customHeight="1">
      <c r="A23" s="4" t="n">
        <v>19</v>
      </c>
      <c r="B23" s="5" t="inlineStr">
        <is>
          <t>禁止表現が本表にないこと</t>
        </is>
      </c>
      <c r="C23" s="5" t="inlineStr">
        <is>
          <t>禁止表現5件を全てのセルで探す</t>
        </is>
      </c>
      <c r="D23" s="5" t="inlineStr">
        <is>
          <t>0件</t>
        </is>
      </c>
      <c r="E23" s="6" t="inlineStr">
        <is>
          <t>適合</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2026-10-05T03:07:55Z</dcterms:created>
  <dcterms:modified xmlns:dcterms="http://purl.org/dc/terms/" xmlns:xsi="http://www.w3.org/2001/XMLSchema-instance" xsi:type="dcterms:W3CDTF">2026-10-05T03:07:59Z</dcterms:modified>
</cp:coreProperties>
</file>