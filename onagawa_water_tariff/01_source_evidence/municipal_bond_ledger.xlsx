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lgfl01\上下水道課\R07\A R07_ 総括\06 財務\12 経営・財務マネジメント事業\経営戦略策定作業20251126\"/>
    </mc:Choice>
  </mc:AlternateContent>
  <xr:revisionPtr revIDLastSave="0" documentId="13_ncr:1_{693FD664-A773-4C08-9D55-AE8B0BFDBCB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元利償還表" sheetId="4" r:id="rId1"/>
    <sheet name="元金償還表" sheetId="5" r:id="rId2"/>
    <sheet name="0000全事業 (2)" sheetId="2" r:id="rId3"/>
    <sheet name="0000全事業" sheetId="1" r:id="rId4"/>
    <sheet name="元利償還表 (2)" sheetId="6" r:id="rId5"/>
  </sheets>
  <definedNames>
    <definedName name="_xlnm.Print_Area" localSheetId="3">'0000全事業'!$L$1:$AQ$119</definedName>
    <definedName name="_xlnm.Print_Area" localSheetId="2">'0000全事業 (2)'!$L$1:$AQ$119</definedName>
    <definedName name="_xlnm.Print_Area" localSheetId="1">元金償還表!$I$1:$AO$119</definedName>
    <definedName name="_xlnm.Print_Area" localSheetId="0">元利償還表!$I$1:$AX$154</definedName>
    <definedName name="_xlnm.Print_Area" localSheetId="4">'元利償還表 (2)'!$I$1:$AX$154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87" i="6" l="1"/>
  <c r="AX187" i="6"/>
  <c r="AW187" i="6"/>
  <c r="AV187" i="6"/>
  <c r="AU187" i="6"/>
  <c r="AT187" i="6"/>
  <c r="AS187" i="6"/>
  <c r="AI187" i="6"/>
  <c r="AH187" i="6"/>
  <c r="AG187" i="6"/>
  <c r="AF187" i="6"/>
  <c r="AE187" i="6"/>
  <c r="AD187" i="6"/>
  <c r="AC187" i="6"/>
  <c r="S187" i="6"/>
  <c r="R187" i="6"/>
  <c r="Q187" i="6"/>
  <c r="P187" i="6"/>
  <c r="O187" i="6"/>
  <c r="N187" i="6"/>
  <c r="M187" i="6"/>
  <c r="BG186" i="6"/>
  <c r="BF186" i="6"/>
  <c r="BE186" i="6"/>
  <c r="BD186" i="6"/>
  <c r="BC186" i="6"/>
  <c r="BB186" i="6"/>
  <c r="BA186" i="6"/>
  <c r="AZ186" i="6"/>
  <c r="AY186" i="6"/>
  <c r="AX186" i="6"/>
  <c r="AW186" i="6"/>
  <c r="AV186" i="6"/>
  <c r="AU186" i="6"/>
  <c r="AT186" i="6"/>
  <c r="AS186" i="6"/>
  <c r="AR186" i="6"/>
  <c r="AQ186" i="6"/>
  <c r="AP186" i="6"/>
  <c r="AO186" i="6"/>
  <c r="AN186" i="6"/>
  <c r="AM186" i="6"/>
  <c r="AL186" i="6"/>
  <c r="AK186" i="6"/>
  <c r="AJ186" i="6"/>
  <c r="AI186" i="6"/>
  <c r="AH186" i="6"/>
  <c r="AG186" i="6"/>
  <c r="AF186" i="6"/>
  <c r="AE186" i="6"/>
  <c r="AD186" i="6"/>
  <c r="AC186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BG185" i="6"/>
  <c r="BF185" i="6"/>
  <c r="BE185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BG184" i="6"/>
  <c r="BF184" i="6"/>
  <c r="BE184" i="6"/>
  <c r="BD184" i="6"/>
  <c r="BC184" i="6"/>
  <c r="BB184" i="6"/>
  <c r="BA184" i="6"/>
  <c r="AZ184" i="6"/>
  <c r="AY184" i="6"/>
  <c r="AX184" i="6"/>
  <c r="AW184" i="6"/>
  <c r="AV184" i="6"/>
  <c r="AU184" i="6"/>
  <c r="AT184" i="6"/>
  <c r="AS184" i="6"/>
  <c r="AR184" i="6"/>
  <c r="AQ184" i="6"/>
  <c r="AP184" i="6"/>
  <c r="AO184" i="6"/>
  <c r="AN184" i="6"/>
  <c r="AM184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BG183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AE183" i="6"/>
  <c r="AD183" i="6"/>
  <c r="AC183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BH182" i="6"/>
  <c r="BG182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BG181" i="6"/>
  <c r="BF181" i="6"/>
  <c r="BE181" i="6"/>
  <c r="BD181" i="6"/>
  <c r="BC181" i="6"/>
  <c r="BB181" i="6"/>
  <c r="BA181" i="6"/>
  <c r="AZ181" i="6"/>
  <c r="AY181" i="6"/>
  <c r="AX181" i="6"/>
  <c r="AW181" i="6"/>
  <c r="AV181" i="6"/>
  <c r="AU181" i="6"/>
  <c r="AT181" i="6"/>
  <c r="AS181" i="6"/>
  <c r="AR181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BH180" i="6"/>
  <c r="BG180" i="6"/>
  <c r="BF180" i="6"/>
  <c r="BE180" i="6"/>
  <c r="BD180" i="6"/>
  <c r="BC180" i="6"/>
  <c r="BB180" i="6"/>
  <c r="BA180" i="6"/>
  <c r="AZ180" i="6"/>
  <c r="AY180" i="6"/>
  <c r="AX180" i="6"/>
  <c r="AW180" i="6"/>
  <c r="AV180" i="6"/>
  <c r="AU180" i="6"/>
  <c r="AT180" i="6"/>
  <c r="AS180" i="6"/>
  <c r="AR180" i="6"/>
  <c r="AQ180" i="6"/>
  <c r="AP180" i="6"/>
  <c r="AO180" i="6"/>
  <c r="AN180" i="6"/>
  <c r="AM180" i="6"/>
  <c r="AL180" i="6"/>
  <c r="AK180" i="6"/>
  <c r="AJ180" i="6"/>
  <c r="AI180" i="6"/>
  <c r="AH180" i="6"/>
  <c r="AG180" i="6"/>
  <c r="AF180" i="6"/>
  <c r="AE180" i="6"/>
  <c r="AD180" i="6"/>
  <c r="AC180" i="6"/>
  <c r="AB180" i="6"/>
  <c r="AA180" i="6"/>
  <c r="Z180" i="6"/>
  <c r="Y180" i="6"/>
  <c r="X180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BH179" i="6"/>
  <c r="BG179" i="6"/>
  <c r="BF179" i="6"/>
  <c r="BE179" i="6"/>
  <c r="BD179" i="6"/>
  <c r="BC179" i="6"/>
  <c r="BB179" i="6"/>
  <c r="BA179" i="6"/>
  <c r="AZ179" i="6"/>
  <c r="AY179" i="6"/>
  <c r="AX179" i="6"/>
  <c r="AW179" i="6"/>
  <c r="AV179" i="6"/>
  <c r="AU179" i="6"/>
  <c r="AT179" i="6"/>
  <c r="AS179" i="6"/>
  <c r="AR179" i="6"/>
  <c r="AQ179" i="6"/>
  <c r="AP179" i="6"/>
  <c r="AO179" i="6"/>
  <c r="AN179" i="6"/>
  <c r="AM179" i="6"/>
  <c r="AL179" i="6"/>
  <c r="AK179" i="6"/>
  <c r="AJ179" i="6"/>
  <c r="AI179" i="6"/>
  <c r="AH179" i="6"/>
  <c r="AG179" i="6"/>
  <c r="AF179" i="6"/>
  <c r="AE179" i="6"/>
  <c r="AD179" i="6"/>
  <c r="AC179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BH178" i="6"/>
  <c r="BG178" i="6"/>
  <c r="BF178" i="6"/>
  <c r="BE178" i="6"/>
  <c r="BD178" i="6"/>
  <c r="BC178" i="6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AP178" i="6"/>
  <c r="AO178" i="6"/>
  <c r="AN178" i="6"/>
  <c r="AM178" i="6"/>
  <c r="AL178" i="6"/>
  <c r="AK178" i="6"/>
  <c r="AJ178" i="6"/>
  <c r="AI178" i="6"/>
  <c r="AH178" i="6"/>
  <c r="AG178" i="6"/>
  <c r="AF178" i="6"/>
  <c r="AE178" i="6"/>
  <c r="AD178" i="6"/>
  <c r="AC178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BH177" i="6"/>
  <c r="BG177" i="6"/>
  <c r="BF177" i="6"/>
  <c r="BE177" i="6"/>
  <c r="BD177" i="6"/>
  <c r="BC177" i="6"/>
  <c r="BB177" i="6"/>
  <c r="BA177" i="6"/>
  <c r="AZ177" i="6"/>
  <c r="AY177" i="6"/>
  <c r="AX177" i="6"/>
  <c r="AW177" i="6"/>
  <c r="AV177" i="6"/>
  <c r="AU177" i="6"/>
  <c r="AT177" i="6"/>
  <c r="AS177" i="6"/>
  <c r="AR177" i="6"/>
  <c r="AQ177" i="6"/>
  <c r="AP177" i="6"/>
  <c r="AO177" i="6"/>
  <c r="AN177" i="6"/>
  <c r="AM177" i="6"/>
  <c r="AL177" i="6"/>
  <c r="AK177" i="6"/>
  <c r="AJ177" i="6"/>
  <c r="AI177" i="6"/>
  <c r="AH177" i="6"/>
  <c r="AG177" i="6"/>
  <c r="AF177" i="6"/>
  <c r="AE177" i="6"/>
  <c r="AD177" i="6"/>
  <c r="AC177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BG176" i="6"/>
  <c r="BF176" i="6"/>
  <c r="BE176" i="6"/>
  <c r="BD176" i="6"/>
  <c r="BC176" i="6"/>
  <c r="BB176" i="6"/>
  <c r="BA176" i="6"/>
  <c r="AZ176" i="6"/>
  <c r="AY176" i="6"/>
  <c r="AX176" i="6"/>
  <c r="AW176" i="6"/>
  <c r="AV176" i="6"/>
  <c r="AU176" i="6"/>
  <c r="AT176" i="6"/>
  <c r="AS176" i="6"/>
  <c r="AR176" i="6"/>
  <c r="AQ176" i="6"/>
  <c r="AP176" i="6"/>
  <c r="AO176" i="6"/>
  <c r="AN176" i="6"/>
  <c r="AM176" i="6"/>
  <c r="AL176" i="6"/>
  <c r="AK176" i="6"/>
  <c r="AJ176" i="6"/>
  <c r="AI176" i="6"/>
  <c r="AH176" i="6"/>
  <c r="AG176" i="6"/>
  <c r="AF176" i="6"/>
  <c r="AE176" i="6"/>
  <c r="AD176" i="6"/>
  <c r="AC176" i="6"/>
  <c r="AB176" i="6"/>
  <c r="AA176" i="6"/>
  <c r="Z176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BG175" i="6"/>
  <c r="BF175" i="6"/>
  <c r="BE175" i="6"/>
  <c r="BD175" i="6"/>
  <c r="BC175" i="6"/>
  <c r="BB175" i="6"/>
  <c r="BA175" i="6"/>
  <c r="AZ175" i="6"/>
  <c r="AY175" i="6"/>
  <c r="AX175" i="6"/>
  <c r="AW175" i="6"/>
  <c r="AV175" i="6"/>
  <c r="AU175" i="6"/>
  <c r="AT175" i="6"/>
  <c r="AS175" i="6"/>
  <c r="AR175" i="6"/>
  <c r="AQ175" i="6"/>
  <c r="AP175" i="6"/>
  <c r="AO175" i="6"/>
  <c r="AN175" i="6"/>
  <c r="AM175" i="6"/>
  <c r="AL175" i="6"/>
  <c r="AK175" i="6"/>
  <c r="AJ175" i="6"/>
  <c r="AI175" i="6"/>
  <c r="AH175" i="6"/>
  <c r="AG175" i="6"/>
  <c r="AF175" i="6"/>
  <c r="AE175" i="6"/>
  <c r="AD175" i="6"/>
  <c r="AC175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BG170" i="6"/>
  <c r="BG187" i="6" s="1"/>
  <c r="BF170" i="6"/>
  <c r="BF187" i="6" s="1"/>
  <c r="BE170" i="6"/>
  <c r="BE187" i="6" s="1"/>
  <c r="BD170" i="6"/>
  <c r="BD187" i="6" s="1"/>
  <c r="BC170" i="6"/>
  <c r="BC187" i="6" s="1"/>
  <c r="BB170" i="6"/>
  <c r="BB187" i="6" s="1"/>
  <c r="BA170" i="6"/>
  <c r="BA187" i="6" s="1"/>
  <c r="AZ170" i="6"/>
  <c r="AZ187" i="6" s="1"/>
  <c r="AY170" i="6"/>
  <c r="AX170" i="6"/>
  <c r="AW170" i="6"/>
  <c r="AV170" i="6"/>
  <c r="AU170" i="6"/>
  <c r="AT170" i="6"/>
  <c r="AS170" i="6"/>
  <c r="AR170" i="6"/>
  <c r="AR187" i="6" s="1"/>
  <c r="AQ170" i="6"/>
  <c r="AQ187" i="6" s="1"/>
  <c r="AP170" i="6"/>
  <c r="AP187" i="6" s="1"/>
  <c r="AO170" i="6"/>
  <c r="AO187" i="6" s="1"/>
  <c r="AN170" i="6"/>
  <c r="AN187" i="6" s="1"/>
  <c r="AM170" i="6"/>
  <c r="AM187" i="6" s="1"/>
  <c r="AL170" i="6"/>
  <c r="AL187" i="6" s="1"/>
  <c r="AK170" i="6"/>
  <c r="AK187" i="6" s="1"/>
  <c r="AJ170" i="6"/>
  <c r="AJ187" i="6" s="1"/>
  <c r="AI170" i="6"/>
  <c r="AH170" i="6"/>
  <c r="AG170" i="6"/>
  <c r="AF170" i="6"/>
  <c r="AE170" i="6"/>
  <c r="AD170" i="6"/>
  <c r="AC170" i="6"/>
  <c r="AB170" i="6"/>
  <c r="AB187" i="6" s="1"/>
  <c r="AA170" i="6"/>
  <c r="AA187" i="6" s="1"/>
  <c r="Z170" i="6"/>
  <c r="Z187" i="6" s="1"/>
  <c r="Y170" i="6"/>
  <c r="Y187" i="6" s="1"/>
  <c r="X170" i="6"/>
  <c r="X187" i="6" s="1"/>
  <c r="W170" i="6"/>
  <c r="W187" i="6" s="1"/>
  <c r="V170" i="6"/>
  <c r="V187" i="6" s="1"/>
  <c r="U170" i="6"/>
  <c r="U187" i="6" s="1"/>
  <c r="T170" i="6"/>
  <c r="T187" i="6" s="1"/>
  <c r="S170" i="6"/>
  <c r="R170" i="6"/>
  <c r="Q170" i="6"/>
  <c r="P170" i="6"/>
  <c r="O170" i="6"/>
  <c r="N170" i="6"/>
  <c r="M170" i="6"/>
  <c r="L170" i="6"/>
  <c r="L187" i="6" s="1"/>
  <c r="K170" i="6"/>
  <c r="K187" i="6" s="1"/>
  <c r="J170" i="6"/>
  <c r="J187" i="6" s="1"/>
  <c r="BH169" i="6"/>
  <c r="BH186" i="6" s="1"/>
  <c r="BH168" i="6"/>
  <c r="BH185" i="6" s="1"/>
  <c r="BH167" i="6"/>
  <c r="BH184" i="6" s="1"/>
  <c r="BH166" i="6"/>
  <c r="BH183" i="6" s="1"/>
  <c r="BH165" i="6"/>
  <c r="BH164" i="6"/>
  <c r="BH181" i="6" s="1"/>
  <c r="BH163" i="6"/>
  <c r="BH162" i="6"/>
  <c r="BH161" i="6"/>
  <c r="BH160" i="6"/>
  <c r="BH159" i="6"/>
  <c r="BH176" i="6" s="1"/>
  <c r="BH158" i="6"/>
  <c r="BH175" i="6" s="1"/>
  <c r="AO8" i="6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6" l="1"/>
  <c r="BH187" i="6" s="1"/>
  <c r="BH170" i="4"/>
  <c r="BH167" i="4"/>
  <c r="BH158" i="4"/>
  <c r="BH175" i="4" s="1"/>
  <c r="AX187" i="4"/>
  <c r="AW187" i="4"/>
  <c r="AS187" i="4"/>
  <c r="AQ187" i="4"/>
  <c r="AP187" i="4"/>
  <c r="AX186" i="4"/>
  <c r="AW186" i="4"/>
  <c r="AV186" i="4"/>
  <c r="AU186" i="4"/>
  <c r="AT186" i="4"/>
  <c r="AS186" i="4"/>
  <c r="AR186" i="4"/>
  <c r="AQ186" i="4"/>
  <c r="AP186" i="4"/>
  <c r="AX185" i="4"/>
  <c r="AW185" i="4"/>
  <c r="AV185" i="4"/>
  <c r="AU185" i="4"/>
  <c r="AT185" i="4"/>
  <c r="AS185" i="4"/>
  <c r="AR185" i="4"/>
  <c r="AQ185" i="4"/>
  <c r="AP185" i="4"/>
  <c r="AX184" i="4"/>
  <c r="AW184" i="4"/>
  <c r="AV184" i="4"/>
  <c r="AU184" i="4"/>
  <c r="AT184" i="4"/>
  <c r="AS184" i="4"/>
  <c r="AR184" i="4"/>
  <c r="AQ184" i="4"/>
  <c r="AP184" i="4"/>
  <c r="AX183" i="4"/>
  <c r="AW183" i="4"/>
  <c r="AV183" i="4"/>
  <c r="AU183" i="4"/>
  <c r="AT183" i="4"/>
  <c r="AS183" i="4"/>
  <c r="AR183" i="4"/>
  <c r="AQ183" i="4"/>
  <c r="AP183" i="4"/>
  <c r="AX182" i="4"/>
  <c r="AW182" i="4"/>
  <c r="AV182" i="4"/>
  <c r="AU182" i="4"/>
  <c r="AT182" i="4"/>
  <c r="AS182" i="4"/>
  <c r="AR182" i="4"/>
  <c r="AQ182" i="4"/>
  <c r="AP182" i="4"/>
  <c r="AX181" i="4"/>
  <c r="AW181" i="4"/>
  <c r="AV181" i="4"/>
  <c r="AU181" i="4"/>
  <c r="AT181" i="4"/>
  <c r="AS181" i="4"/>
  <c r="AR181" i="4"/>
  <c r="AQ181" i="4"/>
  <c r="AP181" i="4"/>
  <c r="AX180" i="4"/>
  <c r="AW180" i="4"/>
  <c r="AV180" i="4"/>
  <c r="AU180" i="4"/>
  <c r="AT180" i="4"/>
  <c r="AS180" i="4"/>
  <c r="AR180" i="4"/>
  <c r="AQ180" i="4"/>
  <c r="AP180" i="4"/>
  <c r="AX179" i="4"/>
  <c r="AW179" i="4"/>
  <c r="AV179" i="4"/>
  <c r="AU179" i="4"/>
  <c r="AT179" i="4"/>
  <c r="AS179" i="4"/>
  <c r="AR179" i="4"/>
  <c r="AQ179" i="4"/>
  <c r="AP179" i="4"/>
  <c r="AX178" i="4"/>
  <c r="AW178" i="4"/>
  <c r="AV178" i="4"/>
  <c r="AU178" i="4"/>
  <c r="AT178" i="4"/>
  <c r="AS178" i="4"/>
  <c r="AR178" i="4"/>
  <c r="AQ178" i="4"/>
  <c r="AP178" i="4"/>
  <c r="AX177" i="4"/>
  <c r="AW177" i="4"/>
  <c r="AV177" i="4"/>
  <c r="AU177" i="4"/>
  <c r="AT177" i="4"/>
  <c r="AS177" i="4"/>
  <c r="AR177" i="4"/>
  <c r="AQ177" i="4"/>
  <c r="AP177" i="4"/>
  <c r="AX176" i="4"/>
  <c r="AW176" i="4"/>
  <c r="AV176" i="4"/>
  <c r="AU176" i="4"/>
  <c r="AT176" i="4"/>
  <c r="AS176" i="4"/>
  <c r="AR176" i="4"/>
  <c r="AQ176" i="4"/>
  <c r="AP176" i="4"/>
  <c r="AX175" i="4"/>
  <c r="AW175" i="4"/>
  <c r="AV175" i="4"/>
  <c r="AU175" i="4"/>
  <c r="AT175" i="4"/>
  <c r="AS175" i="4"/>
  <c r="AR175" i="4"/>
  <c r="AQ175" i="4"/>
  <c r="AP175" i="4"/>
  <c r="AV187" i="4"/>
  <c r="AU187" i="4"/>
  <c r="AT187" i="4"/>
  <c r="AR187" i="4"/>
  <c r="BG186" i="4"/>
  <c r="BF186" i="4"/>
  <c r="BE186" i="4"/>
  <c r="BD186" i="4"/>
  <c r="BC186" i="4"/>
  <c r="BB186" i="4"/>
  <c r="BA186" i="4"/>
  <c r="AZ186" i="4"/>
  <c r="AY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BG185" i="4"/>
  <c r="BF185" i="4"/>
  <c r="BE185" i="4"/>
  <c r="BD185" i="4"/>
  <c r="BC185" i="4"/>
  <c r="BB185" i="4"/>
  <c r="BA185" i="4"/>
  <c r="AZ185" i="4"/>
  <c r="AY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BH169" i="4"/>
  <c r="BH186" i="4" s="1"/>
  <c r="BH168" i="4"/>
  <c r="BH185" i="4" s="1"/>
  <c r="K127" i="5"/>
  <c r="K137" i="5" s="1"/>
  <c r="L127" i="5"/>
  <c r="L137" i="5" s="1"/>
  <c r="M127" i="5"/>
  <c r="M137" i="5" s="1"/>
  <c r="N127" i="5"/>
  <c r="N137" i="5" s="1"/>
  <c r="O127" i="5"/>
  <c r="O137" i="5" s="1"/>
  <c r="P127" i="5"/>
  <c r="P137" i="5" s="1"/>
  <c r="Q127" i="5"/>
  <c r="Q137" i="5" s="1"/>
  <c r="R127" i="5"/>
  <c r="R137" i="5" s="1"/>
  <c r="S127" i="5"/>
  <c r="S137" i="5" s="1"/>
  <c r="T127" i="5"/>
  <c r="T137" i="5" s="1"/>
  <c r="U127" i="5"/>
  <c r="V127" i="5"/>
  <c r="W127" i="5"/>
  <c r="W137" i="5" s="1"/>
  <c r="X127" i="5"/>
  <c r="X137" i="5" s="1"/>
  <c r="Y127" i="5"/>
  <c r="Y137" i="5" s="1"/>
  <c r="Z127" i="5"/>
  <c r="Z137" i="5" s="1"/>
  <c r="AA127" i="5"/>
  <c r="AA137" i="5" s="1"/>
  <c r="AB127" i="5"/>
  <c r="AB137" i="5" s="1"/>
  <c r="AC127" i="5"/>
  <c r="AC137" i="5" s="1"/>
  <c r="AD127" i="5"/>
  <c r="AD137" i="5" s="1"/>
  <c r="AE127" i="5"/>
  <c r="AE137" i="5" s="1"/>
  <c r="AF127" i="5"/>
  <c r="AF137" i="5" s="1"/>
  <c r="AG127" i="5"/>
  <c r="AG137" i="5" s="1"/>
  <c r="AH127" i="5"/>
  <c r="AH137" i="5" s="1"/>
  <c r="AI127" i="5"/>
  <c r="AI137" i="5" s="1"/>
  <c r="AJ127" i="5"/>
  <c r="AJ137" i="5" s="1"/>
  <c r="AK127" i="5"/>
  <c r="AL127" i="5"/>
  <c r="AM127" i="5"/>
  <c r="AM137" i="5" s="1"/>
  <c r="AN127" i="5"/>
  <c r="AN137" i="5" s="1"/>
  <c r="AO127" i="5"/>
  <c r="AO137" i="5" s="1"/>
  <c r="AP127" i="5"/>
  <c r="AP137" i="5" s="1"/>
  <c r="AQ127" i="5"/>
  <c r="AQ137" i="5" s="1"/>
  <c r="AR127" i="5"/>
  <c r="AR137" i="5" s="1"/>
  <c r="AS127" i="5"/>
  <c r="AS137" i="5" s="1"/>
  <c r="AT127" i="5"/>
  <c r="AT137" i="5" s="1"/>
  <c r="AU127" i="5"/>
  <c r="AV127" i="5"/>
  <c r="AV137" i="5" s="1"/>
  <c r="AW127" i="5"/>
  <c r="AX127" i="5"/>
  <c r="AX137" i="5" s="1"/>
  <c r="J127" i="5"/>
  <c r="J137" i="5" s="1"/>
  <c r="AX136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AX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AX133" i="5"/>
  <c r="AW133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AX132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AW137" i="5"/>
  <c r="AU137" i="5"/>
  <c r="AL137" i="5"/>
  <c r="AK137" i="5"/>
  <c r="V137" i="5"/>
  <c r="U137" i="5"/>
  <c r="AY126" i="5"/>
  <c r="AY136" i="5" s="1"/>
  <c r="AY125" i="5"/>
  <c r="AY135" i="5" s="1"/>
  <c r="AY124" i="5"/>
  <c r="AY134" i="5" s="1"/>
  <c r="AY123" i="5"/>
  <c r="AY133" i="5" s="1"/>
  <c r="AY122" i="5"/>
  <c r="AY132" i="5" s="1"/>
  <c r="AO8" i="5"/>
  <c r="AY127" i="5" l="1"/>
  <c r="AY137" i="5" s="1"/>
  <c r="L187" i="4"/>
  <c r="M187" i="4"/>
  <c r="N187" i="4"/>
  <c r="O187" i="4"/>
  <c r="Q187" i="4"/>
  <c r="Y187" i="4"/>
  <c r="Z187" i="4"/>
  <c r="AA187" i="4"/>
  <c r="AE187" i="4"/>
  <c r="AG187" i="4"/>
  <c r="AK187" i="4"/>
  <c r="AL187" i="4"/>
  <c r="AM187" i="4"/>
  <c r="AO187" i="4"/>
  <c r="BA187" i="4"/>
  <c r="BD187" i="4"/>
  <c r="BE187" i="4"/>
  <c r="BF187" i="4"/>
  <c r="BG187" i="4"/>
  <c r="J187" i="4"/>
  <c r="P187" i="4"/>
  <c r="R187" i="4"/>
  <c r="S187" i="4"/>
  <c r="T187" i="4"/>
  <c r="U187" i="4"/>
  <c r="V187" i="4"/>
  <c r="X187" i="4"/>
  <c r="AB187" i="4"/>
  <c r="AC187" i="4"/>
  <c r="AD187" i="4"/>
  <c r="AF187" i="4"/>
  <c r="AH187" i="4"/>
  <c r="AI187" i="4"/>
  <c r="AJ187" i="4"/>
  <c r="AN187" i="4"/>
  <c r="AY187" i="4"/>
  <c r="AZ187" i="4"/>
  <c r="BB187" i="4"/>
  <c r="BC187" i="4"/>
  <c r="BH159" i="4"/>
  <c r="BH176" i="4" s="1"/>
  <c r="BH160" i="4"/>
  <c r="BH177" i="4" s="1"/>
  <c r="BH161" i="4"/>
  <c r="BH178" i="4" s="1"/>
  <c r="BH162" i="4"/>
  <c r="BH179" i="4" s="1"/>
  <c r="BH163" i="4"/>
  <c r="BH180" i="4" s="1"/>
  <c r="BH164" i="4"/>
  <c r="BH181" i="4" s="1"/>
  <c r="BH165" i="4"/>
  <c r="BH182" i="4" s="1"/>
  <c r="BH166" i="4"/>
  <c r="BH183" i="4" s="1"/>
  <c r="BH184" i="4"/>
  <c r="BF184" i="4"/>
  <c r="BF183" i="4"/>
  <c r="BF182" i="4"/>
  <c r="BF181" i="4"/>
  <c r="BF180" i="4"/>
  <c r="BF179" i="4"/>
  <c r="BF178" i="4"/>
  <c r="BF177" i="4"/>
  <c r="BF176" i="4"/>
  <c r="BF175" i="4"/>
  <c r="L184" i="4"/>
  <c r="K184" i="4"/>
  <c r="J184" i="4"/>
  <c r="L183" i="4"/>
  <c r="K183" i="4"/>
  <c r="J183" i="4"/>
  <c r="L182" i="4"/>
  <c r="K182" i="4"/>
  <c r="J182" i="4"/>
  <c r="L181" i="4"/>
  <c r="K181" i="4"/>
  <c r="J181" i="4"/>
  <c r="L180" i="4"/>
  <c r="K180" i="4"/>
  <c r="J180" i="4"/>
  <c r="L179" i="4"/>
  <c r="K179" i="4"/>
  <c r="J179" i="4"/>
  <c r="L178" i="4"/>
  <c r="K178" i="4"/>
  <c r="J178" i="4"/>
  <c r="L177" i="4"/>
  <c r="K177" i="4"/>
  <c r="J177" i="4"/>
  <c r="L176" i="4"/>
  <c r="K176" i="4"/>
  <c r="J176" i="4"/>
  <c r="L175" i="4"/>
  <c r="K175" i="4"/>
  <c r="J175" i="4"/>
  <c r="P184" i="4"/>
  <c r="O184" i="4"/>
  <c r="N184" i="4"/>
  <c r="M184" i="4"/>
  <c r="P183" i="4"/>
  <c r="O183" i="4"/>
  <c r="N183" i="4"/>
  <c r="M183" i="4"/>
  <c r="P182" i="4"/>
  <c r="O182" i="4"/>
  <c r="N182" i="4"/>
  <c r="M182" i="4"/>
  <c r="P181" i="4"/>
  <c r="O181" i="4"/>
  <c r="N181" i="4"/>
  <c r="M181" i="4"/>
  <c r="P180" i="4"/>
  <c r="O180" i="4"/>
  <c r="N180" i="4"/>
  <c r="M180" i="4"/>
  <c r="P179" i="4"/>
  <c r="O179" i="4"/>
  <c r="N179" i="4"/>
  <c r="M179" i="4"/>
  <c r="P178" i="4"/>
  <c r="O178" i="4"/>
  <c r="N178" i="4"/>
  <c r="M178" i="4"/>
  <c r="P177" i="4"/>
  <c r="O177" i="4"/>
  <c r="N177" i="4"/>
  <c r="M177" i="4"/>
  <c r="P176" i="4"/>
  <c r="O176" i="4"/>
  <c r="N176" i="4"/>
  <c r="M176" i="4"/>
  <c r="P175" i="4"/>
  <c r="O175" i="4"/>
  <c r="N175" i="4"/>
  <c r="M175" i="4"/>
  <c r="Q184" i="4"/>
  <c r="Q183" i="4"/>
  <c r="Q182" i="4"/>
  <c r="Q181" i="4"/>
  <c r="Q180" i="4"/>
  <c r="Q179" i="4"/>
  <c r="Q178" i="4"/>
  <c r="Q177" i="4"/>
  <c r="Q176" i="4"/>
  <c r="Q175" i="4"/>
  <c r="R184" i="4"/>
  <c r="BG184" i="4"/>
  <c r="BE184" i="4"/>
  <c r="BD184" i="4"/>
  <c r="BC184" i="4"/>
  <c r="BB184" i="4"/>
  <c r="BA184" i="4"/>
  <c r="AZ184" i="4"/>
  <c r="AY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BG183" i="4"/>
  <c r="BE183" i="4"/>
  <c r="BD183" i="4"/>
  <c r="BC183" i="4"/>
  <c r="BB183" i="4"/>
  <c r="BA183" i="4"/>
  <c r="AZ183" i="4"/>
  <c r="AY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BG182" i="4"/>
  <c r="BE182" i="4"/>
  <c r="BD182" i="4"/>
  <c r="BC182" i="4"/>
  <c r="BB182" i="4"/>
  <c r="BA182" i="4"/>
  <c r="AZ182" i="4"/>
  <c r="AY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BG181" i="4"/>
  <c r="BE181" i="4"/>
  <c r="BD181" i="4"/>
  <c r="BC181" i="4"/>
  <c r="BB181" i="4"/>
  <c r="BA181" i="4"/>
  <c r="AZ181" i="4"/>
  <c r="AY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BG180" i="4"/>
  <c r="BE180" i="4"/>
  <c r="BD180" i="4"/>
  <c r="BC180" i="4"/>
  <c r="BB180" i="4"/>
  <c r="BA180" i="4"/>
  <c r="AZ180" i="4"/>
  <c r="AY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BG179" i="4"/>
  <c r="BE179" i="4"/>
  <c r="BD179" i="4"/>
  <c r="BC179" i="4"/>
  <c r="BB179" i="4"/>
  <c r="BA179" i="4"/>
  <c r="AZ179" i="4"/>
  <c r="AY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BG178" i="4"/>
  <c r="BE178" i="4"/>
  <c r="BD178" i="4"/>
  <c r="BC178" i="4"/>
  <c r="BB178" i="4"/>
  <c r="BA178" i="4"/>
  <c r="AZ178" i="4"/>
  <c r="AY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BG177" i="4"/>
  <c r="BE177" i="4"/>
  <c r="BD177" i="4"/>
  <c r="BC177" i="4"/>
  <c r="BB177" i="4"/>
  <c r="BA177" i="4"/>
  <c r="AZ177" i="4"/>
  <c r="AY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R176" i="4"/>
  <c r="R175" i="4"/>
  <c r="S176" i="4"/>
  <c r="S175" i="4"/>
  <c r="BG176" i="4"/>
  <c r="BE176" i="4"/>
  <c r="BD176" i="4"/>
  <c r="BC176" i="4"/>
  <c r="BB176" i="4"/>
  <c r="BA176" i="4"/>
  <c r="AZ176" i="4"/>
  <c r="AY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BG175" i="4"/>
  <c r="BE175" i="4"/>
  <c r="BD175" i="4"/>
  <c r="BC175" i="4"/>
  <c r="BB175" i="4"/>
  <c r="BA175" i="4"/>
  <c r="AZ175" i="4"/>
  <c r="AY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AO8" i="4"/>
  <c r="AO131" i="2"/>
  <c r="AN131" i="2"/>
  <c r="AM131" i="2"/>
  <c r="AL131" i="2"/>
  <c r="Z131" i="2"/>
  <c r="Y131" i="2"/>
  <c r="X131" i="2"/>
  <c r="W131" i="2"/>
  <c r="V131" i="2"/>
  <c r="U131" i="2"/>
  <c r="Q131" i="2"/>
  <c r="P131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AP124" i="2"/>
  <c r="AP131" i="2" s="1"/>
  <c r="AO124" i="2"/>
  <c r="AN124" i="2"/>
  <c r="AM124" i="2"/>
  <c r="AL124" i="2"/>
  <c r="AK124" i="2"/>
  <c r="AK131" i="2" s="1"/>
  <c r="AJ124" i="2"/>
  <c r="AJ131" i="2" s="1"/>
  <c r="AI124" i="2"/>
  <c r="AI131" i="2" s="1"/>
  <c r="AH124" i="2"/>
  <c r="AH131" i="2" s="1"/>
  <c r="AG124" i="2"/>
  <c r="AG131" i="2" s="1"/>
  <c r="AF124" i="2"/>
  <c r="AF131" i="2" s="1"/>
  <c r="AE124" i="2"/>
  <c r="AE131" i="2" s="1"/>
  <c r="AD124" i="2"/>
  <c r="AD131" i="2" s="1"/>
  <c r="AC124" i="2"/>
  <c r="AC131" i="2" s="1"/>
  <c r="AB124" i="2"/>
  <c r="AB131" i="2" s="1"/>
  <c r="AA124" i="2"/>
  <c r="AA131" i="2" s="1"/>
  <c r="Z124" i="2"/>
  <c r="Y124" i="2"/>
  <c r="X124" i="2"/>
  <c r="W124" i="2"/>
  <c r="V124" i="2"/>
  <c r="U124" i="2"/>
  <c r="T124" i="2"/>
  <c r="T131" i="2" s="1"/>
  <c r="S124" i="2"/>
  <c r="S131" i="2" s="1"/>
  <c r="R124" i="2"/>
  <c r="R131" i="2" s="1"/>
  <c r="Q124" i="2"/>
  <c r="P124" i="2"/>
  <c r="O124" i="2"/>
  <c r="O131" i="2" s="1"/>
  <c r="N124" i="2"/>
  <c r="N131" i="2" s="1"/>
  <c r="M124" i="2"/>
  <c r="M131" i="2" s="1"/>
  <c r="AQ123" i="2"/>
  <c r="AQ130" i="2" s="1"/>
  <c r="AQ122" i="2"/>
  <c r="AQ129" i="2" s="1"/>
  <c r="J63" i="2"/>
  <c r="H63" i="2"/>
  <c r="F63" i="2"/>
  <c r="J61" i="2"/>
  <c r="H61" i="2"/>
  <c r="F61" i="2"/>
  <c r="J59" i="2"/>
  <c r="H59" i="2"/>
  <c r="F59" i="2"/>
  <c r="J57" i="2"/>
  <c r="H57" i="2"/>
  <c r="F57" i="2"/>
  <c r="J55" i="2"/>
  <c r="H55" i="2"/>
  <c r="F55" i="2"/>
  <c r="J53" i="2"/>
  <c r="H53" i="2"/>
  <c r="F53" i="2"/>
  <c r="J51" i="2"/>
  <c r="H51" i="2"/>
  <c r="F51" i="2"/>
  <c r="J49" i="2"/>
  <c r="H49" i="2"/>
  <c r="F49" i="2"/>
  <c r="J47" i="2"/>
  <c r="H47" i="2"/>
  <c r="F47" i="2"/>
  <c r="J45" i="2"/>
  <c r="H45" i="2"/>
  <c r="F45" i="2"/>
  <c r="J43" i="2"/>
  <c r="H43" i="2"/>
  <c r="F43" i="2"/>
  <c r="J41" i="2"/>
  <c r="H41" i="2"/>
  <c r="F41" i="2"/>
  <c r="J39" i="2"/>
  <c r="H39" i="2"/>
  <c r="F39" i="2"/>
  <c r="J37" i="2"/>
  <c r="H37" i="2"/>
  <c r="F37" i="2"/>
  <c r="J35" i="2"/>
  <c r="H35" i="2"/>
  <c r="F35" i="2"/>
  <c r="J33" i="2"/>
  <c r="H33" i="2"/>
  <c r="F33" i="2"/>
  <c r="J31" i="2"/>
  <c r="H31" i="2"/>
  <c r="F31" i="2"/>
  <c r="J29" i="2"/>
  <c r="H29" i="2"/>
  <c r="F29" i="2"/>
  <c r="J27" i="2"/>
  <c r="H27" i="2"/>
  <c r="F27" i="2"/>
  <c r="J25" i="2"/>
  <c r="H25" i="2"/>
  <c r="F25" i="2"/>
  <c r="J23" i="2"/>
  <c r="H23" i="2"/>
  <c r="F23" i="2"/>
  <c r="J21" i="2"/>
  <c r="H21" i="2"/>
  <c r="F21" i="2"/>
  <c r="J19" i="2"/>
  <c r="H19" i="2"/>
  <c r="F19" i="2"/>
  <c r="J17" i="2"/>
  <c r="H17" i="2"/>
  <c r="F17" i="2"/>
  <c r="J15" i="2"/>
  <c r="H15" i="2"/>
  <c r="F15" i="2"/>
  <c r="J13" i="2"/>
  <c r="H13" i="2"/>
  <c r="F13" i="2"/>
  <c r="J11" i="2"/>
  <c r="H11" i="2"/>
  <c r="F11" i="2"/>
  <c r="J9" i="2"/>
  <c r="H9" i="2"/>
  <c r="F9" i="2"/>
  <c r="AQ8" i="2"/>
  <c r="J7" i="2"/>
  <c r="H7" i="2"/>
  <c r="F7" i="2"/>
  <c r="J5" i="2"/>
  <c r="H5" i="2"/>
  <c r="F5" i="2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V131" i="1"/>
  <c r="AL131" i="1"/>
  <c r="M130" i="1"/>
  <c r="M131" i="1"/>
  <c r="M129" i="1"/>
  <c r="N124" i="1"/>
  <c r="N131" i="1" s="1"/>
  <c r="O124" i="1"/>
  <c r="O131" i="1" s="1"/>
  <c r="P124" i="1"/>
  <c r="P131" i="1" s="1"/>
  <c r="Q124" i="1"/>
  <c r="Q131" i="1" s="1"/>
  <c r="R124" i="1"/>
  <c r="R131" i="1" s="1"/>
  <c r="S124" i="1"/>
  <c r="S131" i="1" s="1"/>
  <c r="T124" i="1"/>
  <c r="T131" i="1" s="1"/>
  <c r="U124" i="1"/>
  <c r="U131" i="1" s="1"/>
  <c r="V124" i="1"/>
  <c r="W124" i="1"/>
  <c r="W131" i="1" s="1"/>
  <c r="X124" i="1"/>
  <c r="X131" i="1" s="1"/>
  <c r="Y124" i="1"/>
  <c r="Y131" i="1" s="1"/>
  <c r="Z124" i="1"/>
  <c r="Z131" i="1" s="1"/>
  <c r="AA124" i="1"/>
  <c r="AA131" i="1" s="1"/>
  <c r="AB124" i="1"/>
  <c r="AB131" i="1" s="1"/>
  <c r="AC124" i="1"/>
  <c r="AC131" i="1" s="1"/>
  <c r="AD124" i="1"/>
  <c r="AD131" i="1" s="1"/>
  <c r="AE124" i="1"/>
  <c r="AE131" i="1" s="1"/>
  <c r="AF124" i="1"/>
  <c r="AF131" i="1" s="1"/>
  <c r="AG124" i="1"/>
  <c r="AG131" i="1" s="1"/>
  <c r="AH124" i="1"/>
  <c r="AH131" i="1" s="1"/>
  <c r="AI124" i="1"/>
  <c r="AI131" i="1" s="1"/>
  <c r="AJ124" i="1"/>
  <c r="AJ131" i="1" s="1"/>
  <c r="AK124" i="1"/>
  <c r="AK131" i="1" s="1"/>
  <c r="AL124" i="1"/>
  <c r="AM124" i="1"/>
  <c r="AM131" i="1" s="1"/>
  <c r="AN124" i="1"/>
  <c r="AN131" i="1" s="1"/>
  <c r="AO124" i="1"/>
  <c r="AO131" i="1" s="1"/>
  <c r="AP124" i="1"/>
  <c r="AP131" i="1" s="1"/>
  <c r="M124" i="1"/>
  <c r="AQ8" i="1"/>
  <c r="AQ123" i="1"/>
  <c r="AQ130" i="1" s="1"/>
  <c r="AQ122" i="1"/>
  <c r="AQ129" i="1" s="1"/>
  <c r="J5" i="1"/>
  <c r="J63" i="1"/>
  <c r="J61" i="1"/>
  <c r="J59" i="1"/>
  <c r="J57" i="1"/>
  <c r="J55" i="1"/>
  <c r="J53" i="1"/>
  <c r="J51" i="1"/>
  <c r="J49" i="1"/>
  <c r="J47" i="1"/>
  <c r="J45" i="1"/>
  <c r="J43" i="1"/>
  <c r="J41" i="1"/>
  <c r="J39" i="1"/>
  <c r="J37" i="1"/>
  <c r="J35" i="1"/>
  <c r="J33" i="1"/>
  <c r="J31" i="1"/>
  <c r="J29" i="1"/>
  <c r="J27" i="1"/>
  <c r="J25" i="1"/>
  <c r="J23" i="1"/>
  <c r="J21" i="1"/>
  <c r="J19" i="1"/>
  <c r="J17" i="1"/>
  <c r="J15" i="1"/>
  <c r="J13" i="1"/>
  <c r="J11" i="1"/>
  <c r="J9" i="1"/>
  <c r="J7" i="1"/>
  <c r="H5" i="1"/>
  <c r="H63" i="1"/>
  <c r="H61" i="1"/>
  <c r="H59" i="1"/>
  <c r="H57" i="1"/>
  <c r="H55" i="1"/>
  <c r="H53" i="1"/>
  <c r="H51" i="1"/>
  <c r="H49" i="1"/>
  <c r="H47" i="1"/>
  <c r="H45" i="1"/>
  <c r="H43" i="1"/>
  <c r="H41" i="1"/>
  <c r="H39" i="1"/>
  <c r="H37" i="1"/>
  <c r="H35" i="1"/>
  <c r="H33" i="1"/>
  <c r="H31" i="1"/>
  <c r="H29" i="1"/>
  <c r="H27" i="1"/>
  <c r="H25" i="1"/>
  <c r="H23" i="1"/>
  <c r="H21" i="1"/>
  <c r="H19" i="1"/>
  <c r="H17" i="1"/>
  <c r="H15" i="1"/>
  <c r="H13" i="1"/>
  <c r="H11" i="1"/>
  <c r="H9" i="1"/>
  <c r="H7" i="1"/>
  <c r="F7" i="1"/>
  <c r="F9" i="1"/>
  <c r="F11" i="1"/>
  <c r="F13" i="1"/>
  <c r="F15" i="1"/>
  <c r="F17" i="1"/>
  <c r="F19" i="1"/>
  <c r="F21" i="1"/>
  <c r="F23" i="1"/>
  <c r="F25" i="1"/>
  <c r="F27" i="1"/>
  <c r="F29" i="1"/>
  <c r="F31" i="1"/>
  <c r="F33" i="1"/>
  <c r="F35" i="1"/>
  <c r="F37" i="1"/>
  <c r="F39" i="1"/>
  <c r="F41" i="1"/>
  <c r="F43" i="1"/>
  <c r="F45" i="1"/>
  <c r="F47" i="1"/>
  <c r="F49" i="1"/>
  <c r="F51" i="1"/>
  <c r="F53" i="1"/>
  <c r="F55" i="1"/>
  <c r="F57" i="1"/>
  <c r="F59" i="1"/>
  <c r="F61" i="1"/>
  <c r="F63" i="1"/>
  <c r="F5" i="1"/>
  <c r="K187" i="4" l="1"/>
  <c r="W187" i="4"/>
  <c r="AQ124" i="2"/>
  <c r="AQ131" i="2" s="1"/>
  <c r="AQ124" i="1"/>
  <c r="AQ131" i="1" s="1"/>
  <c r="BH187" i="4" l="1"/>
</calcChain>
</file>

<file path=xl/sharedStrings.xml><?xml version="1.0" encoding="utf-8"?>
<sst xmlns="http://schemas.openxmlformats.org/spreadsheetml/2006/main" count="688" uniqueCount="56">
  <si>
    <t>年度別償還集計表</t>
  </si>
  <si>
    <t>女川町水道事業会計</t>
  </si>
  <si>
    <t xml:space="preserve"> 令和 6年11月29日</t>
  </si>
  <si>
    <t>償還年度</t>
  </si>
  <si>
    <t>企業債区分３</t>
  </si>
  <si>
    <t>未償還元金</t>
  </si>
  <si>
    <t>償還利子</t>
  </si>
  <si>
    <t>償還合計</t>
  </si>
  <si>
    <t>平成31年度</t>
  </si>
  <si>
    <t>出島架橋</t>
  </si>
  <si>
    <t>年度計</t>
  </si>
  <si>
    <t>令和 2年度</t>
  </si>
  <si>
    <t>令和 3年度</t>
  </si>
  <si>
    <t>令和 4年度</t>
  </si>
  <si>
    <t>令和 5年度</t>
  </si>
  <si>
    <t>令和 6年度</t>
  </si>
  <si>
    <t>令和 7年度</t>
  </si>
  <si>
    <t>令和 8年度</t>
  </si>
  <si>
    <t>令和 9年度</t>
  </si>
  <si>
    <t>令和10年度</t>
  </si>
  <si>
    <t>令和11年度</t>
  </si>
  <si>
    <t>令和12年度</t>
  </si>
  <si>
    <t>令和13年度</t>
  </si>
  <si>
    <t>令和14年度</t>
  </si>
  <si>
    <t>令和15年度</t>
  </si>
  <si>
    <t>令和16年度</t>
  </si>
  <si>
    <t>令和17年度</t>
  </si>
  <si>
    <t>令和18年度</t>
  </si>
  <si>
    <t>令和19年度</t>
  </si>
  <si>
    <t>令和20年度</t>
  </si>
  <si>
    <t>令和21年度</t>
  </si>
  <si>
    <t>令和22年度</t>
  </si>
  <si>
    <t>令和23年度</t>
  </si>
  <si>
    <t>令和24年度</t>
  </si>
  <si>
    <t>令和25年度</t>
  </si>
  <si>
    <t>令和26年度</t>
  </si>
  <si>
    <t>令和27年度</t>
  </si>
  <si>
    <t>令和28年度</t>
  </si>
  <si>
    <t>令和29年度</t>
  </si>
  <si>
    <t>令和30年度</t>
  </si>
  <si>
    <t>合計</t>
  </si>
  <si>
    <t>償還元金</t>
    <phoneticPr fontId="4"/>
  </si>
  <si>
    <t>←年度計</t>
    <rPh sb="1" eb="3">
      <t>ネンド</t>
    </rPh>
    <rPh sb="3" eb="4">
      <t>ケイ</t>
    </rPh>
    <phoneticPr fontId="4"/>
  </si>
  <si>
    <t>償還元金</t>
    <rPh sb="0" eb="4">
      <t>ショウカンガンキン</t>
    </rPh>
    <phoneticPr fontId="4"/>
  </si>
  <si>
    <t>償還利子</t>
    <rPh sb="0" eb="4">
      <t>ショウカンリシ</t>
    </rPh>
    <phoneticPr fontId="4"/>
  </si>
  <si>
    <t>合計</t>
    <rPh sb="0" eb="2">
      <t>ゴウケイ</t>
    </rPh>
    <phoneticPr fontId="4"/>
  </si>
  <si>
    <t>（単位：円）</t>
    <rPh sb="1" eb="3">
      <t>タンイ</t>
    </rPh>
    <rPh sb="4" eb="5">
      <t>エン</t>
    </rPh>
    <phoneticPr fontId="4"/>
  </si>
  <si>
    <t>（単位：百万円）</t>
    <rPh sb="1" eb="3">
      <t>タンイ</t>
    </rPh>
    <rPh sb="4" eb="5">
      <t>ヒャク</t>
    </rPh>
    <rPh sb="5" eb="6">
      <t>マン</t>
    </rPh>
    <rPh sb="6" eb="7">
      <t>エン</t>
    </rPh>
    <phoneticPr fontId="4"/>
  </si>
  <si>
    <t>平成29年度</t>
  </si>
  <si>
    <t>平成30年度</t>
  </si>
  <si>
    <t>出島架橋</t>
    <rPh sb="0" eb="2">
      <t>デジマ</t>
    </rPh>
    <rPh sb="2" eb="4">
      <t>カキョウ</t>
    </rPh>
    <phoneticPr fontId="4"/>
  </si>
  <si>
    <t>上水道</t>
    <rPh sb="0" eb="3">
      <t>ジョウスイドウ</t>
    </rPh>
    <phoneticPr fontId="4"/>
  </si>
  <si>
    <t>旧簡水</t>
    <rPh sb="0" eb="3">
      <t>キュウカンスイ</t>
    </rPh>
    <phoneticPr fontId="4"/>
  </si>
  <si>
    <t>災害復旧・上水</t>
    <rPh sb="0" eb="4">
      <t>サイガイフッキュウ</t>
    </rPh>
    <rPh sb="5" eb="7">
      <t>ジョウスイ</t>
    </rPh>
    <phoneticPr fontId="4"/>
  </si>
  <si>
    <t>災害復旧・旧簡水</t>
    <rPh sb="0" eb="4">
      <t>サイガイフッキュウ</t>
    </rPh>
    <rPh sb="5" eb="8">
      <t>キュウカンスイ</t>
    </rPh>
    <phoneticPr fontId="4"/>
  </si>
  <si>
    <t>老朽管布設替</t>
    <rPh sb="0" eb="6">
      <t>ロウキュウカンフセツガ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</si>
</sst>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&quot;△&quot;#,##0"/>
    <numFmt numFmtId="177" formatCode="#,##0;&quot;△ &quot;#,##0"/>
    <numFmt numFmtId="178" formatCode="#,##0&quot;円&quot;;&quot;△ &quot;#,##0&quot;円&quot;"/>
    <numFmt numFmtId="179" formatCode="#,##0&quot;百万円&quot;;&quot;△ &quot;#,##0&quot;百万円&quot;"/>
  </numFmts>
  <fonts count="7" x14ac:knownFonts="1">
    <font>
      <sz val="10"/>
      <color rgb="FF000000"/>
      <name val="ＭＳ 明朝"/>
    </font>
    <font>
      <b/>
      <u/>
      <sz val="15"/>
      <color rgb="FF000000"/>
      <name val="ＭＳ 明朝"/>
      <family val="1"/>
      <charset val="128"/>
    </font>
    <font>
      <u/>
      <sz val="10"/>
      <color rgb="FF000000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6"/>
      <name val="ＭＳ Ｐゴシック"/>
      <family val="3"/>
      <charset val="128"/>
    </font>
    <font>
      <sz val="10"/>
      <color theme="0"/>
      <name val="ＭＳ 明朝"/>
      <family val="1"/>
      <charset val="128"/>
    </font>
    <font>
      <sz val="10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6" fontId="0" fillId="0" borderId="1" xfId="0" applyNumberFormat="1" applyBorder="1"/>
    <xf numFmtId="176" fontId="0" fillId="0" borderId="5" xfId="0" applyNumberFormat="1" applyBorder="1"/>
    <xf numFmtId="176" fontId="0" fillId="0" borderId="10" xfId="0" applyNumberFormat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0" fillId="0" borderId="0" xfId="0" applyNumberFormat="1"/>
    <xf numFmtId="0" fontId="0" fillId="0" borderId="13" xfId="0" applyBorder="1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3" fillId="0" borderId="0" xfId="0" applyFont="1" applyAlignment="1">
      <alignment horizontal="right" vertical="center"/>
    </xf>
    <xf numFmtId="0" fontId="5" fillId="0" borderId="0" xfId="0" applyFont="1"/>
    <xf numFmtId="177" fontId="5" fillId="0" borderId="0" xfId="0" applyNumberFormat="1" applyFont="1"/>
    <xf numFmtId="178" fontId="0" fillId="0" borderId="13" xfId="0" applyNumberFormat="1" applyBorder="1"/>
    <xf numFmtId="179" fontId="0" fillId="0" borderId="13" xfId="0" applyNumberFormat="1" applyBorder="1"/>
    <xf numFmtId="176" fontId="0" fillId="0" borderId="9" xfId="0" applyNumberFormat="1" applyBorder="1"/>
    <xf numFmtId="176" fontId="6" fillId="0" borderId="1" xfId="0" applyNumberFormat="1" applyFont="1" applyBorder="1"/>
    <xf numFmtId="176" fontId="6" fillId="0" borderId="9" xfId="0" applyNumberFormat="1" applyFont="1" applyBorder="1"/>
    <xf numFmtId="176" fontId="6" fillId="0" borderId="1" xfId="0" applyNumberFormat="1" applyFont="1" applyFill="1" applyBorder="1"/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76" fontId="0" fillId="0" borderId="12" xfId="0" applyNumberFormat="1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5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r>
              <a:rPr lang="ja-JP" altLang="ja-JP" sz="5400" b="1" i="0" u="none" strike="noStrike" cap="all" normalizeH="0" baseline="0">
                <a:effectLst/>
              </a:rPr>
              <a:t>老朽管布設替工事見込み</a:t>
            </a:r>
            <a:r>
              <a:rPr lang="ja-JP" altLang="en-US" sz="5400" b="1" i="0" u="none" strike="noStrike" cap="all" normalizeH="0" baseline="0">
                <a:effectLst/>
              </a:rPr>
              <a:t>を</a:t>
            </a:r>
            <a:r>
              <a:rPr lang="ja-JP" altLang="ja-JP" sz="5400" b="1" i="0" u="none" strike="noStrike" cap="all" normalizeH="0" baseline="0">
                <a:effectLst/>
              </a:rPr>
              <a:t>含む</a:t>
            </a:r>
            <a:r>
              <a:rPr lang="ja-JP" sz="54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企業債元利償還表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5.6516938020454523E-2"/>
          <c:y val="8.2362953103367165E-2"/>
          <c:w val="0.96785614672174292"/>
          <c:h val="0.864905203821070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元利償還表!$H$175:$I$175</c:f>
              <c:strCache>
                <c:ptCount val="2"/>
                <c:pt idx="0">
                  <c:v>出島架橋</c:v>
                </c:pt>
                <c:pt idx="1">
                  <c:v>償還元金</c:v>
                </c:pt>
              </c:strCache>
            </c:strRef>
          </c:tx>
          <c:spPr>
            <a:solidFill>
              <a:srgbClr val="0070C0"/>
            </a:solidFill>
            <a:ln w="63500">
              <a:noFill/>
              <a:prstDash val="lgDash"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元利償還表!$J$175:$BG$175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3</c:v>
                </c:pt>
                <c:pt idx="16">
                  <c:v>5</c:v>
                </c:pt>
                <c:pt idx="17">
                  <c:v>11</c:v>
                </c:pt>
                <c:pt idx="18">
                  <c:v>18</c:v>
                </c:pt>
                <c:pt idx="19">
                  <c:v>21</c:v>
                </c:pt>
                <c:pt idx="20">
                  <c:v>27</c:v>
                </c:pt>
                <c:pt idx="21">
                  <c:v>27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28</c:v>
                </c:pt>
                <c:pt idx="34">
                  <c:v>27</c:v>
                </c:pt>
                <c:pt idx="35">
                  <c:v>25</c:v>
                </c:pt>
                <c:pt idx="36">
                  <c:v>22</c:v>
                </c:pt>
                <c:pt idx="37">
                  <c:v>17</c:v>
                </c:pt>
                <c:pt idx="38">
                  <c:v>11</c:v>
                </c:pt>
                <c:pt idx="39">
                  <c:v>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4-4680-B5EC-89FC3B9D1C1F}"/>
            </c:ext>
          </c:extLst>
        </c:ser>
        <c:ser>
          <c:idx val="1"/>
          <c:order val="1"/>
          <c:tx>
            <c:strRef>
              <c:f>元利償還表!$H$176:$I$176</c:f>
              <c:strCache>
                <c:ptCount val="2"/>
                <c:pt idx="0">
                  <c:v>出島架橋</c:v>
                </c:pt>
                <c:pt idx="1">
                  <c:v>償還利子</c:v>
                </c:pt>
              </c:strCache>
            </c:strRef>
          </c:tx>
          <c:spPr>
            <a:solidFill>
              <a:srgbClr val="00B0F0"/>
            </a:solidFill>
            <a:ln w="63500">
              <a:noFill/>
              <a:prstDash val="dash"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元利償還表!$J$176:$BG$176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4-4680-B5EC-89FC3B9D1C1F}"/>
            </c:ext>
          </c:extLst>
        </c:ser>
        <c:ser>
          <c:idx val="3"/>
          <c:order val="3"/>
          <c:tx>
            <c:strRef>
              <c:f>元利償還表!$H$177:$I$177</c:f>
              <c:strCache>
                <c:ptCount val="2"/>
                <c:pt idx="0">
                  <c:v>旧簡水</c:v>
                </c:pt>
                <c:pt idx="1">
                  <c:v>償還元金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元利償還表!$J$177:$BG$177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4-4680-B5EC-89FC3B9D1C1F}"/>
            </c:ext>
          </c:extLst>
        </c:ser>
        <c:ser>
          <c:idx val="4"/>
          <c:order val="4"/>
          <c:tx>
            <c:strRef>
              <c:f>元利償還表!$H$178:$I$178</c:f>
              <c:strCache>
                <c:ptCount val="2"/>
                <c:pt idx="0">
                  <c:v>旧簡水</c:v>
                </c:pt>
                <c:pt idx="1">
                  <c:v>償還利子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元利償還表!$J$178:$BG$178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4-4680-B5EC-89FC3B9D1C1F}"/>
            </c:ext>
          </c:extLst>
        </c:ser>
        <c:ser>
          <c:idx val="5"/>
          <c:order val="5"/>
          <c:tx>
            <c:strRef>
              <c:f>元利償還表!$H$179:$I$179</c:f>
              <c:strCache>
                <c:ptCount val="2"/>
                <c:pt idx="0">
                  <c:v>災害復旧・上水</c:v>
                </c:pt>
                <c:pt idx="1">
                  <c:v>償還元金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元利償還表!$J$179:$BG$179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44-4680-B5EC-89FC3B9D1C1F}"/>
            </c:ext>
          </c:extLst>
        </c:ser>
        <c:ser>
          <c:idx val="6"/>
          <c:order val="6"/>
          <c:tx>
            <c:strRef>
              <c:f>元利償還表!$H$180:$I$180</c:f>
              <c:strCache>
                <c:ptCount val="2"/>
                <c:pt idx="0">
                  <c:v>災害復旧・上水</c:v>
                </c:pt>
                <c:pt idx="1">
                  <c:v>償還利子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元利償還表!$J$180:$BG$180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44-4680-B5EC-89FC3B9D1C1F}"/>
            </c:ext>
          </c:extLst>
        </c:ser>
        <c:ser>
          <c:idx val="7"/>
          <c:order val="7"/>
          <c:tx>
            <c:strRef>
              <c:f>元利償還表!$H$181:$I$181</c:f>
              <c:strCache>
                <c:ptCount val="2"/>
                <c:pt idx="0">
                  <c:v>災害復旧・旧簡水</c:v>
                </c:pt>
                <c:pt idx="1">
                  <c:v>償還元金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元利償還表!$J$181:$BG$181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44-4680-B5EC-89FC3B9D1C1F}"/>
            </c:ext>
          </c:extLst>
        </c:ser>
        <c:ser>
          <c:idx val="8"/>
          <c:order val="8"/>
          <c:tx>
            <c:strRef>
              <c:f>元利償還表!$H$182:$I$182</c:f>
              <c:strCache>
                <c:ptCount val="2"/>
                <c:pt idx="0">
                  <c:v>災害復旧・旧簡水</c:v>
                </c:pt>
                <c:pt idx="1">
                  <c:v>償還利子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元利償還表!$J$182:$BG$182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44-4680-B5EC-89FC3B9D1C1F}"/>
            </c:ext>
          </c:extLst>
        </c:ser>
        <c:ser>
          <c:idx val="9"/>
          <c:order val="9"/>
          <c:tx>
            <c:strRef>
              <c:f>元利償還表!$H$183:$I$183</c:f>
              <c:strCache>
                <c:ptCount val="2"/>
                <c:pt idx="0">
                  <c:v>上水道</c:v>
                </c:pt>
                <c:pt idx="1">
                  <c:v>償還元金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元利償還表!$J$183:$BG$183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9</c:v>
                </c:pt>
                <c:pt idx="21">
                  <c:v>10</c:v>
                </c:pt>
                <c:pt idx="22">
                  <c:v>28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44-4680-B5EC-89FC3B9D1C1F}"/>
            </c:ext>
          </c:extLst>
        </c:ser>
        <c:ser>
          <c:idx val="10"/>
          <c:order val="10"/>
          <c:tx>
            <c:strRef>
              <c:f>元利償還表!$H$184:$I$184</c:f>
              <c:strCache>
                <c:ptCount val="2"/>
                <c:pt idx="0">
                  <c:v>上水道</c:v>
                </c:pt>
                <c:pt idx="1">
                  <c:v>償還利子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元利償還表!$J$184:$BG$184</c:f>
              <c:numCache>
                <c:formatCode>#,##0"百万円";"△ "#,##0"百万円"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44-4680-B5EC-89FC3B9D1C1F}"/>
            </c:ext>
          </c:extLst>
        </c:ser>
        <c:ser>
          <c:idx val="11"/>
          <c:order val="11"/>
          <c:tx>
            <c:strRef>
              <c:f>元利償還表!$H$185:$I$185</c:f>
              <c:strCache>
                <c:ptCount val="2"/>
                <c:pt idx="0">
                  <c:v>老朽管布設替</c:v>
                </c:pt>
                <c:pt idx="1">
                  <c:v>償還元金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元利償還表!$J$185:$BG$185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10</c:v>
                </c:pt>
                <c:pt idx="23">
                  <c:v>16</c:v>
                </c:pt>
                <c:pt idx="24">
                  <c:v>23</c:v>
                </c:pt>
                <c:pt idx="25">
                  <c:v>30</c:v>
                </c:pt>
                <c:pt idx="26">
                  <c:v>37</c:v>
                </c:pt>
                <c:pt idx="27">
                  <c:v>44</c:v>
                </c:pt>
                <c:pt idx="28">
                  <c:v>51</c:v>
                </c:pt>
                <c:pt idx="29">
                  <c:v>58</c:v>
                </c:pt>
                <c:pt idx="30">
                  <c:v>62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69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70</c:v>
                </c:pt>
                <c:pt idx="42">
                  <c:v>62</c:v>
                </c:pt>
                <c:pt idx="43">
                  <c:v>54</c:v>
                </c:pt>
                <c:pt idx="44">
                  <c:v>46</c:v>
                </c:pt>
                <c:pt idx="45">
                  <c:v>38</c:v>
                </c:pt>
                <c:pt idx="46">
                  <c:v>30</c:v>
                </c:pt>
                <c:pt idx="47">
                  <c:v>21</c:v>
                </c:pt>
                <c:pt idx="48">
                  <c:v>13</c:v>
                </c:pt>
                <c:pt idx="4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B-409B-AEB0-BD189DCB906E}"/>
            </c:ext>
          </c:extLst>
        </c:ser>
        <c:ser>
          <c:idx val="12"/>
          <c:order val="12"/>
          <c:tx>
            <c:strRef>
              <c:f>元利償還表!$H$186:$I$186</c:f>
              <c:strCache>
                <c:ptCount val="2"/>
                <c:pt idx="0">
                  <c:v>老朽管布設替</c:v>
                </c:pt>
                <c:pt idx="1">
                  <c:v>償還利子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元利償還表!$J$186:$BG$186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6</c:v>
                </c:pt>
                <c:pt idx="19">
                  <c:v>8</c:v>
                </c:pt>
                <c:pt idx="20">
                  <c:v>11</c:v>
                </c:pt>
                <c:pt idx="21">
                  <c:v>13</c:v>
                </c:pt>
                <c:pt idx="22">
                  <c:v>15</c:v>
                </c:pt>
                <c:pt idx="23">
                  <c:v>18</c:v>
                </c:pt>
                <c:pt idx="24">
                  <c:v>20</c:v>
                </c:pt>
                <c:pt idx="25">
                  <c:v>21</c:v>
                </c:pt>
                <c:pt idx="26">
                  <c:v>20</c:v>
                </c:pt>
                <c:pt idx="27">
                  <c:v>20</c:v>
                </c:pt>
                <c:pt idx="28">
                  <c:v>19</c:v>
                </c:pt>
                <c:pt idx="29">
                  <c:v>18</c:v>
                </c:pt>
                <c:pt idx="30">
                  <c:v>17</c:v>
                </c:pt>
                <c:pt idx="31">
                  <c:v>16</c:v>
                </c:pt>
                <c:pt idx="32">
                  <c:v>15</c:v>
                </c:pt>
                <c:pt idx="33">
                  <c:v>14</c:v>
                </c:pt>
                <c:pt idx="34">
                  <c:v>13</c:v>
                </c:pt>
                <c:pt idx="35">
                  <c:v>12</c:v>
                </c:pt>
                <c:pt idx="36">
                  <c:v>11</c:v>
                </c:pt>
                <c:pt idx="37">
                  <c:v>10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5</c:v>
                </c:pt>
                <c:pt idx="42">
                  <c:v>4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B-409B-AEB0-BD189DCB9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5070223"/>
        <c:axId val="1095585135"/>
      </c:barChart>
      <c:lineChart>
        <c:grouping val="stacked"/>
        <c:varyColors val="0"/>
        <c:ser>
          <c:idx val="2"/>
          <c:order val="2"/>
          <c:tx>
            <c:strRef>
              <c:f>元利償還表!$I$187</c:f>
              <c:strCache>
                <c:ptCount val="1"/>
                <c:pt idx="0">
                  <c:v>合計</c:v>
                </c:pt>
              </c:strCache>
            </c:strRef>
          </c:tx>
          <c:spPr>
            <a:ln w="6350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numRef>
              <c:f>元利償還表!$J$174:$BG$174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元利償還表!$J$187:$BG$187</c:f>
              <c:numCache>
                <c:formatCode>#,##0"百万円";"△ "#,##0"百万円"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10</c:v>
                </c:pt>
                <c:pt idx="12">
                  <c:v>11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41</c:v>
                </c:pt>
                <c:pt idx="18">
                  <c:v>54</c:v>
                </c:pt>
                <c:pt idx="19">
                  <c:v>49</c:v>
                </c:pt>
                <c:pt idx="20">
                  <c:v>58</c:v>
                </c:pt>
                <c:pt idx="21">
                  <c:v>65</c:v>
                </c:pt>
                <c:pt idx="22">
                  <c:v>91</c:v>
                </c:pt>
                <c:pt idx="23">
                  <c:v>81</c:v>
                </c:pt>
                <c:pt idx="24">
                  <c:v>90</c:v>
                </c:pt>
                <c:pt idx="25">
                  <c:v>96</c:v>
                </c:pt>
                <c:pt idx="26">
                  <c:v>102</c:v>
                </c:pt>
                <c:pt idx="27">
                  <c:v>109</c:v>
                </c:pt>
                <c:pt idx="28">
                  <c:v>115</c:v>
                </c:pt>
                <c:pt idx="29">
                  <c:v>120</c:v>
                </c:pt>
                <c:pt idx="30">
                  <c:v>117</c:v>
                </c:pt>
                <c:pt idx="31">
                  <c:v>115</c:v>
                </c:pt>
                <c:pt idx="32">
                  <c:v>115</c:v>
                </c:pt>
                <c:pt idx="33">
                  <c:v>113</c:v>
                </c:pt>
                <c:pt idx="34">
                  <c:v>111</c:v>
                </c:pt>
                <c:pt idx="35">
                  <c:v>109</c:v>
                </c:pt>
                <c:pt idx="36">
                  <c:v>106</c:v>
                </c:pt>
                <c:pt idx="37">
                  <c:v>100</c:v>
                </c:pt>
                <c:pt idx="38">
                  <c:v>94</c:v>
                </c:pt>
                <c:pt idx="39">
                  <c:v>90</c:v>
                </c:pt>
                <c:pt idx="40">
                  <c:v>81</c:v>
                </c:pt>
                <c:pt idx="41">
                  <c:v>75</c:v>
                </c:pt>
                <c:pt idx="42">
                  <c:v>66</c:v>
                </c:pt>
                <c:pt idx="43">
                  <c:v>57</c:v>
                </c:pt>
                <c:pt idx="44">
                  <c:v>48</c:v>
                </c:pt>
                <c:pt idx="45">
                  <c:v>40</c:v>
                </c:pt>
                <c:pt idx="46">
                  <c:v>31</c:v>
                </c:pt>
                <c:pt idx="47">
                  <c:v>22</c:v>
                </c:pt>
                <c:pt idx="48">
                  <c:v>13</c:v>
                </c:pt>
                <c:pt idx="4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4-4680-B5EC-89FC3B9D1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070223"/>
        <c:axId val="1095585135"/>
      </c:lineChart>
      <c:catAx>
        <c:axId val="8250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1095585135"/>
        <c:crosses val="autoZero"/>
        <c:auto val="1"/>
        <c:lblAlgn val="ctr"/>
        <c:lblOffset val="100"/>
        <c:tickMarkSkip val="5"/>
        <c:noMultiLvlLbl val="0"/>
      </c:catAx>
      <c:valAx>
        <c:axId val="10955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#,##0&quot;百万円&quot;;&quot;△ &quot;#,##0&quot;百万円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825070223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8.9874761976518155E-2"/>
          <c:y val="0.12490760192654125"/>
          <c:w val="0.20763358030210272"/>
          <c:h val="0.5409795767230340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paperSize="8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r>
              <a:rPr lang="ja-JP" sz="4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企業債元</a:t>
            </a:r>
            <a:r>
              <a:rPr lang="ja-JP" altLang="en-US" sz="4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金</a:t>
            </a:r>
            <a:r>
              <a:rPr lang="ja-JP" sz="4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償還表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2.7190276835069589E-2"/>
          <c:y val="8.3720727181682275E-2"/>
          <c:w val="0.96785614672174292"/>
          <c:h val="0.864905203821070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元金償還表!$H$132:$I$132</c:f>
              <c:strCache>
                <c:ptCount val="2"/>
                <c:pt idx="0">
                  <c:v>出島架橋</c:v>
                </c:pt>
                <c:pt idx="1">
                  <c:v>償還元金</c:v>
                </c:pt>
              </c:strCache>
            </c:strRef>
          </c:tx>
          <c:spPr>
            <a:solidFill>
              <a:srgbClr val="0070C0"/>
            </a:solidFill>
            <a:ln w="63500">
              <a:noFill/>
              <a:prstDash val="lgDash"/>
            </a:ln>
            <a:effectLst/>
          </c:spPr>
          <c:invertIfNegative val="0"/>
          <c:cat>
            <c:numRef>
              <c:f>元金償還表!$J$131:$AX$131</c:f>
              <c:numCache>
                <c:formatCode>General</c:formatCode>
                <c:ptCount val="41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</c:numCache>
            </c:numRef>
          </c:cat>
          <c:val>
            <c:numRef>
              <c:f>元金償還表!$J$132:$AX$132</c:f>
              <c:numCache>
                <c:formatCode>#,##0"百万円";"△ "#,##0"百万円"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3</c:v>
                </c:pt>
                <c:pt idx="16">
                  <c:v>5</c:v>
                </c:pt>
                <c:pt idx="17">
                  <c:v>11</c:v>
                </c:pt>
                <c:pt idx="18">
                  <c:v>18</c:v>
                </c:pt>
                <c:pt idx="19">
                  <c:v>21</c:v>
                </c:pt>
                <c:pt idx="20">
                  <c:v>27</c:v>
                </c:pt>
                <c:pt idx="21">
                  <c:v>27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28</c:v>
                </c:pt>
                <c:pt idx="34">
                  <c:v>27</c:v>
                </c:pt>
                <c:pt idx="35">
                  <c:v>25</c:v>
                </c:pt>
                <c:pt idx="36">
                  <c:v>22</c:v>
                </c:pt>
                <c:pt idx="37">
                  <c:v>17</c:v>
                </c:pt>
                <c:pt idx="38">
                  <c:v>11</c:v>
                </c:pt>
                <c:pt idx="39">
                  <c:v>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D-4AA3-A580-CEFA20A1B727}"/>
            </c:ext>
          </c:extLst>
        </c:ser>
        <c:ser>
          <c:idx val="3"/>
          <c:order val="2"/>
          <c:tx>
            <c:strRef>
              <c:f>元金償還表!$H$133:$I$133</c:f>
              <c:strCache>
                <c:ptCount val="2"/>
                <c:pt idx="0">
                  <c:v>旧簡水</c:v>
                </c:pt>
                <c:pt idx="1">
                  <c:v>償還元金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元金償還表!$J$131:$AX$131</c:f>
              <c:numCache>
                <c:formatCode>General</c:formatCode>
                <c:ptCount val="41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</c:numCache>
            </c:numRef>
          </c:cat>
          <c:val>
            <c:numRef>
              <c:f>元金償還表!$J$133:$AX$133</c:f>
              <c:numCache>
                <c:formatCode>#,##0"百万円";"△ "#,##0"百万円"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7D-4AA3-A580-CEFA20A1B727}"/>
            </c:ext>
          </c:extLst>
        </c:ser>
        <c:ser>
          <c:idx val="5"/>
          <c:order val="3"/>
          <c:tx>
            <c:strRef>
              <c:f>元金償還表!$H$134:$I$134</c:f>
              <c:strCache>
                <c:ptCount val="2"/>
                <c:pt idx="0">
                  <c:v>災害復旧・上水</c:v>
                </c:pt>
                <c:pt idx="1">
                  <c:v>償還元金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元金償還表!$J$131:$AX$131</c:f>
              <c:numCache>
                <c:formatCode>General</c:formatCode>
                <c:ptCount val="41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</c:numCache>
            </c:numRef>
          </c:cat>
          <c:val>
            <c:numRef>
              <c:f>元金償還表!$J$134:$AX$134</c:f>
              <c:numCache>
                <c:formatCode>#,##0"百万円";"△ "#,##0"百万円"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7D-4AA3-A580-CEFA20A1B727}"/>
            </c:ext>
          </c:extLst>
        </c:ser>
        <c:ser>
          <c:idx val="7"/>
          <c:order val="4"/>
          <c:tx>
            <c:strRef>
              <c:f>元金償還表!$H$135:$I$135</c:f>
              <c:strCache>
                <c:ptCount val="2"/>
                <c:pt idx="0">
                  <c:v>災害復旧・旧簡水</c:v>
                </c:pt>
                <c:pt idx="1">
                  <c:v>償還元金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元金償還表!$J$131:$AX$131</c:f>
              <c:numCache>
                <c:formatCode>General</c:formatCode>
                <c:ptCount val="41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</c:numCache>
            </c:numRef>
          </c:cat>
          <c:val>
            <c:numRef>
              <c:f>元金償還表!$J$135:$AX$135</c:f>
              <c:numCache>
                <c:formatCode>#,##0"百万円";"△ "#,##0"百万円"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7D-4AA3-A580-CEFA20A1B727}"/>
            </c:ext>
          </c:extLst>
        </c:ser>
        <c:ser>
          <c:idx val="9"/>
          <c:order val="5"/>
          <c:tx>
            <c:strRef>
              <c:f>元金償還表!$H$136:$I$136</c:f>
              <c:strCache>
                <c:ptCount val="2"/>
                <c:pt idx="0">
                  <c:v>上水道</c:v>
                </c:pt>
                <c:pt idx="1">
                  <c:v>償還元金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元金償還表!$J$131:$AX$131</c:f>
              <c:numCache>
                <c:formatCode>General</c:formatCode>
                <c:ptCount val="41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</c:numCache>
            </c:numRef>
          </c:cat>
          <c:val>
            <c:numRef>
              <c:f>元金償還表!$J$136:$AX$136</c:f>
              <c:numCache>
                <c:formatCode>#,##0"百万円";"△ "#,##0"百万円"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9</c:v>
                </c:pt>
                <c:pt idx="21">
                  <c:v>10</c:v>
                </c:pt>
                <c:pt idx="22">
                  <c:v>28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7D-4AA3-A580-CEFA20A1B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5070223"/>
        <c:axId val="1095585135"/>
      </c:barChart>
      <c:lineChart>
        <c:grouping val="stacked"/>
        <c:varyColors val="0"/>
        <c:ser>
          <c:idx val="2"/>
          <c:order val="1"/>
          <c:tx>
            <c:strRef>
              <c:f>元金償還表!$I$137</c:f>
              <c:strCache>
                <c:ptCount val="1"/>
                <c:pt idx="0">
                  <c:v>合計</c:v>
                </c:pt>
              </c:strCache>
            </c:strRef>
          </c:tx>
          <c:spPr>
            <a:ln w="6350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numRef>
              <c:f>元金償還表!$J$131:$AX$131</c:f>
              <c:numCache>
                <c:formatCode>General</c:formatCode>
                <c:ptCount val="41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</c:numCache>
            </c:numRef>
          </c:cat>
          <c:val>
            <c:numRef>
              <c:f>元金償還表!$J$137:$AX$137</c:f>
              <c:numCache>
                <c:formatCode>#,##0"百万円";"△ "#,##0"百万円"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12</c:v>
                </c:pt>
                <c:pt idx="15">
                  <c:v>14</c:v>
                </c:pt>
                <c:pt idx="16">
                  <c:v>18</c:v>
                </c:pt>
                <c:pt idx="17">
                  <c:v>30</c:v>
                </c:pt>
                <c:pt idx="18">
                  <c:v>41</c:v>
                </c:pt>
                <c:pt idx="19">
                  <c:v>33</c:v>
                </c:pt>
                <c:pt idx="20">
                  <c:v>41</c:v>
                </c:pt>
                <c:pt idx="21">
                  <c:v>43</c:v>
                </c:pt>
                <c:pt idx="22">
                  <c:v>60</c:v>
                </c:pt>
                <c:pt idx="23">
                  <c:v>42</c:v>
                </c:pt>
                <c:pt idx="24">
                  <c:v>43</c:v>
                </c:pt>
                <c:pt idx="25">
                  <c:v>41</c:v>
                </c:pt>
                <c:pt idx="26">
                  <c:v>42</c:v>
                </c:pt>
                <c:pt idx="27">
                  <c:v>42</c:v>
                </c:pt>
                <c:pt idx="28">
                  <c:v>42</c:v>
                </c:pt>
                <c:pt idx="29">
                  <c:v>42</c:v>
                </c:pt>
                <c:pt idx="30">
                  <c:v>36</c:v>
                </c:pt>
                <c:pt idx="31">
                  <c:v>34</c:v>
                </c:pt>
                <c:pt idx="32">
                  <c:v>34</c:v>
                </c:pt>
                <c:pt idx="33">
                  <c:v>33</c:v>
                </c:pt>
                <c:pt idx="34">
                  <c:v>30</c:v>
                </c:pt>
                <c:pt idx="35">
                  <c:v>29</c:v>
                </c:pt>
                <c:pt idx="36">
                  <c:v>26</c:v>
                </c:pt>
                <c:pt idx="37">
                  <c:v>21</c:v>
                </c:pt>
                <c:pt idx="38">
                  <c:v>15</c:v>
                </c:pt>
                <c:pt idx="39">
                  <c:v>11</c:v>
                </c:pt>
                <c:pt idx="4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7D-4AA3-A580-CEFA20A1B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070223"/>
        <c:axId val="1095585135"/>
      </c:lineChart>
      <c:catAx>
        <c:axId val="8250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1095585135"/>
        <c:crosses val="autoZero"/>
        <c:auto val="1"/>
        <c:lblAlgn val="ctr"/>
        <c:lblOffset val="100"/>
        <c:tickMarkSkip val="5"/>
        <c:noMultiLvlLbl val="0"/>
      </c:catAx>
      <c:valAx>
        <c:axId val="10955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#,##0&quot;百万円&quot;;&quot;△ &quot;#,##0&quot;百万円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825070223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2214689932148302"/>
          <c:y val="0.1154031891634727"/>
          <c:w val="0.21970289099018947"/>
          <c:h val="0.2630938520668623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r>
              <a:rPr lang="ja-JP" sz="4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企業債元利償還表（出島架橋関係）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2.7190276835069589E-2"/>
          <c:y val="8.3720727181682275E-2"/>
          <c:w val="0.96785614672174292"/>
          <c:h val="0.864905203821070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'0000全事業 (2)'!$L$129</c:f>
              <c:strCache>
                <c:ptCount val="1"/>
                <c:pt idx="0">
                  <c:v>償還元金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63500">
              <a:noFill/>
              <a:prstDash val="lgDash"/>
            </a:ln>
            <a:effectLst/>
          </c:spPr>
          <c:invertIfNegative val="0"/>
          <c:cat>
            <c:numRef>
              <c:f>'0000全事業 (2)'!$M$128:$AP$128</c:f>
              <c:numCache>
                <c:formatCode>General</c:formatCode>
                <c:ptCount val="30"/>
                <c:pt idx="0">
                  <c:v>31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'0000全事業 (2)'!$M$129:$AP$129</c:f>
              <c:numCache>
                <c:formatCode>#,##0"百万円";"△ "#,##0"百万円"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9</c:v>
                </c:pt>
                <c:pt idx="7">
                  <c:v>20</c:v>
                </c:pt>
                <c:pt idx="8">
                  <c:v>35</c:v>
                </c:pt>
                <c:pt idx="9">
                  <c:v>41</c:v>
                </c:pt>
                <c:pt idx="10">
                  <c:v>52</c:v>
                </c:pt>
                <c:pt idx="11">
                  <c:v>53</c:v>
                </c:pt>
                <c:pt idx="12">
                  <c:v>53</c:v>
                </c:pt>
                <c:pt idx="13">
                  <c:v>54</c:v>
                </c:pt>
                <c:pt idx="14">
                  <c:v>54</c:v>
                </c:pt>
                <c:pt idx="15">
                  <c:v>50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52</c:v>
                </c:pt>
                <c:pt idx="20">
                  <c:v>52</c:v>
                </c:pt>
                <c:pt idx="21">
                  <c:v>52</c:v>
                </c:pt>
                <c:pt idx="22">
                  <c:v>53</c:v>
                </c:pt>
                <c:pt idx="23">
                  <c:v>53</c:v>
                </c:pt>
                <c:pt idx="24">
                  <c:v>54</c:v>
                </c:pt>
                <c:pt idx="25">
                  <c:v>51</c:v>
                </c:pt>
                <c:pt idx="26">
                  <c:v>45</c:v>
                </c:pt>
                <c:pt idx="27">
                  <c:v>34</c:v>
                </c:pt>
                <c:pt idx="28">
                  <c:v>22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2-4776-B89B-B942538F299A}"/>
            </c:ext>
          </c:extLst>
        </c:ser>
        <c:ser>
          <c:idx val="1"/>
          <c:order val="1"/>
          <c:tx>
            <c:strRef>
              <c:f>'0000全事業 (2)'!$L$130</c:f>
              <c:strCache>
                <c:ptCount val="1"/>
                <c:pt idx="0">
                  <c:v>償還利子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63500">
              <a:noFill/>
              <a:prstDash val="dash"/>
            </a:ln>
            <a:effectLst/>
          </c:spPr>
          <c:invertIfNegative val="0"/>
          <c:cat>
            <c:numRef>
              <c:f>'0000全事業 (2)'!$M$128:$AP$128</c:f>
              <c:numCache>
                <c:formatCode>General</c:formatCode>
                <c:ptCount val="30"/>
                <c:pt idx="0">
                  <c:v>31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'0000全事業 (2)'!$M$130:$AP$130</c:f>
              <c:numCache>
                <c:formatCode>#,##0"百万円";"△ "#,##0"百万円"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A2-4776-B89B-B942538F2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5070223"/>
        <c:axId val="1095585135"/>
      </c:barChart>
      <c:lineChart>
        <c:grouping val="stacked"/>
        <c:varyColors val="0"/>
        <c:ser>
          <c:idx val="2"/>
          <c:order val="2"/>
          <c:tx>
            <c:strRef>
              <c:f>'0000全事業 (2)'!$L$131</c:f>
              <c:strCache>
                <c:ptCount val="1"/>
                <c:pt idx="0">
                  <c:v>合計</c:v>
                </c:pt>
              </c:strCache>
            </c:strRef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'0000全事業 (2)'!$M$128:$AP$128</c:f>
              <c:numCache>
                <c:formatCode>General</c:formatCode>
                <c:ptCount val="30"/>
                <c:pt idx="0">
                  <c:v>31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'0000全事業 (2)'!$M$131:$AP$131</c:f>
              <c:numCache>
                <c:formatCode>#,##0"百万円";"△ "#,##0"百万円"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11</c:v>
                </c:pt>
                <c:pt idx="6">
                  <c:v>17</c:v>
                </c:pt>
                <c:pt idx="7">
                  <c:v>27</c:v>
                </c:pt>
                <c:pt idx="8">
                  <c:v>43</c:v>
                </c:pt>
                <c:pt idx="9">
                  <c:v>49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52</c:v>
                </c:pt>
                <c:pt idx="26">
                  <c:v>46</c:v>
                </c:pt>
                <c:pt idx="27">
                  <c:v>35</c:v>
                </c:pt>
                <c:pt idx="28">
                  <c:v>22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A2-4776-B89B-B942538F2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8532783"/>
        <c:axId val="153864895"/>
      </c:lineChart>
      <c:catAx>
        <c:axId val="8250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1095585135"/>
        <c:crosses val="autoZero"/>
        <c:auto val="1"/>
        <c:lblAlgn val="ctr"/>
        <c:lblOffset val="100"/>
        <c:tickMarkSkip val="5"/>
        <c:noMultiLvlLbl val="0"/>
      </c:catAx>
      <c:valAx>
        <c:axId val="10955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#,##0&quot;百万円&quot;;&quot;△ &quot;#,##0&quot;百万円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825070223"/>
        <c:crosses val="autoZero"/>
        <c:crossBetween val="between"/>
      </c:valAx>
      <c:valAx>
        <c:axId val="153864895"/>
        <c:scaling>
          <c:orientation val="minMax"/>
        </c:scaling>
        <c:delete val="0"/>
        <c:axPos val="r"/>
        <c:numFmt formatCode="#,##0&quot;百万円&quot;;&quot;△ &quot;#,##0&quot;百万円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8532783"/>
        <c:crosses val="max"/>
        <c:crossBetween val="between"/>
      </c:valAx>
      <c:catAx>
        <c:axId val="988532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864895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2299017673213231"/>
          <c:y val="0.10114657823460692"/>
          <c:w val="0.26442927920118081"/>
          <c:h val="6.030930265453345E-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r>
              <a:rPr lang="ja-JP" sz="40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企業債元利償還表（出島架橋関係）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2.7190276835069589E-2"/>
          <c:y val="8.3720727181682275E-2"/>
          <c:w val="0.96785614672174292"/>
          <c:h val="0.86490520382107072"/>
        </c:manualLayout>
      </c:layout>
      <c:lineChart>
        <c:grouping val="stacked"/>
        <c:varyColors val="0"/>
        <c:ser>
          <c:idx val="0"/>
          <c:order val="0"/>
          <c:tx>
            <c:strRef>
              <c:f>'0000全事業'!$L$130</c:f>
              <c:strCache>
                <c:ptCount val="1"/>
                <c:pt idx="0">
                  <c:v>償還利子</c:v>
                </c:pt>
              </c:strCache>
            </c:strRef>
          </c:tx>
          <c:spPr>
            <a:ln w="6350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lgDash"/>
                <a:round/>
              </a:ln>
              <a:effectLst/>
            </c:spPr>
          </c:marker>
          <c:cat>
            <c:numRef>
              <c:f>'0000全事業'!$M$128:$AP$128</c:f>
              <c:numCache>
                <c:formatCode>General</c:formatCode>
                <c:ptCount val="30"/>
                <c:pt idx="0">
                  <c:v>31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'0000全事業'!$M$130:$AP$130</c:f>
              <c:numCache>
                <c:formatCode>#,##0"百万円";"△ "#,##0"百万円"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5-41F3-AC53-1DC75A1C9485}"/>
            </c:ext>
          </c:extLst>
        </c:ser>
        <c:ser>
          <c:idx val="1"/>
          <c:order val="1"/>
          <c:tx>
            <c:strRef>
              <c:f>'0000全事業'!$L$129</c:f>
              <c:strCache>
                <c:ptCount val="1"/>
                <c:pt idx="0">
                  <c:v>償還元金</c:v>
                </c:pt>
              </c:strCache>
            </c:strRef>
          </c:tx>
          <c:spPr>
            <a:ln w="635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  <a:round/>
              </a:ln>
              <a:effectLst/>
            </c:spPr>
          </c:marker>
          <c:cat>
            <c:numRef>
              <c:f>'0000全事業'!$M$128:$AP$128</c:f>
              <c:numCache>
                <c:formatCode>General</c:formatCode>
                <c:ptCount val="30"/>
                <c:pt idx="0">
                  <c:v>31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'0000全事業'!$M$129:$AP$129</c:f>
              <c:numCache>
                <c:formatCode>#,##0"百万円";"△ "#,##0"百万円"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9</c:v>
                </c:pt>
                <c:pt idx="7">
                  <c:v>20</c:v>
                </c:pt>
                <c:pt idx="8">
                  <c:v>35</c:v>
                </c:pt>
                <c:pt idx="9">
                  <c:v>41</c:v>
                </c:pt>
                <c:pt idx="10">
                  <c:v>52</c:v>
                </c:pt>
                <c:pt idx="11">
                  <c:v>53</c:v>
                </c:pt>
                <c:pt idx="12">
                  <c:v>53</c:v>
                </c:pt>
                <c:pt idx="13">
                  <c:v>54</c:v>
                </c:pt>
                <c:pt idx="14">
                  <c:v>54</c:v>
                </c:pt>
                <c:pt idx="15">
                  <c:v>50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52</c:v>
                </c:pt>
                <c:pt idx="20">
                  <c:v>52</c:v>
                </c:pt>
                <c:pt idx="21">
                  <c:v>52</c:v>
                </c:pt>
                <c:pt idx="22">
                  <c:v>53</c:v>
                </c:pt>
                <c:pt idx="23">
                  <c:v>53</c:v>
                </c:pt>
                <c:pt idx="24">
                  <c:v>54</c:v>
                </c:pt>
                <c:pt idx="25">
                  <c:v>51</c:v>
                </c:pt>
                <c:pt idx="26">
                  <c:v>45</c:v>
                </c:pt>
                <c:pt idx="27">
                  <c:v>34</c:v>
                </c:pt>
                <c:pt idx="28">
                  <c:v>22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5-41F3-AC53-1DC75A1C9485}"/>
            </c:ext>
          </c:extLst>
        </c:ser>
        <c:ser>
          <c:idx val="2"/>
          <c:order val="2"/>
          <c:tx>
            <c:strRef>
              <c:f>'0000全事業'!$L$131</c:f>
              <c:strCache>
                <c:ptCount val="1"/>
                <c:pt idx="0">
                  <c:v>合計</c:v>
                </c:pt>
              </c:strCache>
            </c:strRef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'0000全事業'!$M$128:$AP$128</c:f>
              <c:numCache>
                <c:formatCode>General</c:formatCode>
                <c:ptCount val="30"/>
                <c:pt idx="0">
                  <c:v>31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'0000全事業'!$M$131:$AP$131</c:f>
              <c:numCache>
                <c:formatCode>#,##0"百万円";"△ "#,##0"百万円"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11</c:v>
                </c:pt>
                <c:pt idx="6">
                  <c:v>17</c:v>
                </c:pt>
                <c:pt idx="7">
                  <c:v>27</c:v>
                </c:pt>
                <c:pt idx="8">
                  <c:v>43</c:v>
                </c:pt>
                <c:pt idx="9">
                  <c:v>49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52</c:v>
                </c:pt>
                <c:pt idx="26">
                  <c:v>46</c:v>
                </c:pt>
                <c:pt idx="27">
                  <c:v>35</c:v>
                </c:pt>
                <c:pt idx="28">
                  <c:v>22</c:v>
                </c:pt>
                <c:pt idx="2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B5-41F3-AC53-1DC75A1C9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070223"/>
        <c:axId val="1095585135"/>
      </c:lineChart>
      <c:catAx>
        <c:axId val="8250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1095585135"/>
        <c:crosses val="autoZero"/>
        <c:auto val="1"/>
        <c:lblAlgn val="ctr"/>
        <c:lblOffset val="100"/>
        <c:tickMarkSkip val="5"/>
        <c:noMultiLvlLbl val="0"/>
      </c:catAx>
      <c:valAx>
        <c:axId val="10955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#,##0&quot;百万円&quot;;&quot;△ &quot;#,##0&quot;百万円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825070223"/>
        <c:crosses val="autoZero"/>
        <c:crossBetween val="midCat"/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3249677196376386"/>
          <c:y val="0.10314258621863885"/>
          <c:w val="0.26442927920118081"/>
          <c:h val="6.030930265453345E-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5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r>
              <a:rPr lang="ja-JP" sz="54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企業債元利償還表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5.6516938020454523E-2"/>
          <c:y val="8.2362953103367165E-2"/>
          <c:w val="0.96785614672174292"/>
          <c:h val="0.864905203821070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'元利償還表 (2)'!$H$175:$I$175</c:f>
              <c:strCache>
                <c:ptCount val="2"/>
                <c:pt idx="0">
                  <c:v>出島架橋</c:v>
                </c:pt>
                <c:pt idx="1">
                  <c:v>償還元金</c:v>
                </c:pt>
              </c:strCache>
            </c:strRef>
          </c:tx>
          <c:spPr>
            <a:solidFill>
              <a:srgbClr val="0070C0"/>
            </a:solidFill>
            <a:ln w="63500">
              <a:noFill/>
              <a:prstDash val="lgDash"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(2)'!$J$175:$BG$175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3</c:v>
                </c:pt>
                <c:pt idx="16">
                  <c:v>5</c:v>
                </c:pt>
                <c:pt idx="17">
                  <c:v>11</c:v>
                </c:pt>
                <c:pt idx="18">
                  <c:v>18</c:v>
                </c:pt>
                <c:pt idx="19">
                  <c:v>21</c:v>
                </c:pt>
                <c:pt idx="20">
                  <c:v>27</c:v>
                </c:pt>
                <c:pt idx="21">
                  <c:v>27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28</c:v>
                </c:pt>
                <c:pt idx="34">
                  <c:v>27</c:v>
                </c:pt>
                <c:pt idx="35">
                  <c:v>25</c:v>
                </c:pt>
                <c:pt idx="36">
                  <c:v>22</c:v>
                </c:pt>
                <c:pt idx="37">
                  <c:v>17</c:v>
                </c:pt>
                <c:pt idx="38">
                  <c:v>11</c:v>
                </c:pt>
                <c:pt idx="39">
                  <c:v>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D-4F71-8105-D2369E49C833}"/>
            </c:ext>
          </c:extLst>
        </c:ser>
        <c:ser>
          <c:idx val="1"/>
          <c:order val="1"/>
          <c:tx>
            <c:strRef>
              <c:f>'元利償還表 (2)'!$H$176:$I$176</c:f>
              <c:strCache>
                <c:ptCount val="2"/>
                <c:pt idx="0">
                  <c:v>出島架橋</c:v>
                </c:pt>
                <c:pt idx="1">
                  <c:v>償還利子</c:v>
                </c:pt>
              </c:strCache>
            </c:strRef>
          </c:tx>
          <c:spPr>
            <a:solidFill>
              <a:srgbClr val="00B0F0"/>
            </a:solidFill>
            <a:ln w="63500">
              <a:noFill/>
              <a:prstDash val="dash"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(2)'!$J$176:$BG$176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9D-4F71-8105-D2369E49C833}"/>
            </c:ext>
          </c:extLst>
        </c:ser>
        <c:ser>
          <c:idx val="3"/>
          <c:order val="3"/>
          <c:tx>
            <c:strRef>
              <c:f>'元利償還表 (2)'!$H$177:$I$177</c:f>
              <c:strCache>
                <c:ptCount val="2"/>
                <c:pt idx="0">
                  <c:v>旧簡水</c:v>
                </c:pt>
                <c:pt idx="1">
                  <c:v>償還元金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(2)'!$J$177:$BG$177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9D-4F71-8105-D2369E49C833}"/>
            </c:ext>
          </c:extLst>
        </c:ser>
        <c:ser>
          <c:idx val="4"/>
          <c:order val="4"/>
          <c:tx>
            <c:strRef>
              <c:f>'元利償還表 (2)'!$H$178:$I$178</c:f>
              <c:strCache>
                <c:ptCount val="2"/>
                <c:pt idx="0">
                  <c:v>旧簡水</c:v>
                </c:pt>
                <c:pt idx="1">
                  <c:v>償還利子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(2)'!$J$178:$BG$178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9D-4F71-8105-D2369E49C833}"/>
            </c:ext>
          </c:extLst>
        </c:ser>
        <c:ser>
          <c:idx val="5"/>
          <c:order val="5"/>
          <c:tx>
            <c:strRef>
              <c:f>'元利償還表 (2)'!$H$179:$I$179</c:f>
              <c:strCache>
                <c:ptCount val="2"/>
                <c:pt idx="0">
                  <c:v>災害復旧・上水</c:v>
                </c:pt>
                <c:pt idx="1">
                  <c:v>償還元金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(2)'!$J$179:$BG$179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9D-4F71-8105-D2369E49C833}"/>
            </c:ext>
          </c:extLst>
        </c:ser>
        <c:ser>
          <c:idx val="6"/>
          <c:order val="6"/>
          <c:tx>
            <c:strRef>
              <c:f>'元利償還表 (2)'!$H$180:$I$180</c:f>
              <c:strCache>
                <c:ptCount val="2"/>
                <c:pt idx="0">
                  <c:v>災害復旧・上水</c:v>
                </c:pt>
                <c:pt idx="1">
                  <c:v>償還利子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(2)'!$J$180:$BG$180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9D-4F71-8105-D2369E49C833}"/>
            </c:ext>
          </c:extLst>
        </c:ser>
        <c:ser>
          <c:idx val="7"/>
          <c:order val="7"/>
          <c:tx>
            <c:strRef>
              <c:f>'元利償還表 (2)'!$H$181:$I$181</c:f>
              <c:strCache>
                <c:ptCount val="2"/>
                <c:pt idx="0">
                  <c:v>災害復旧・旧簡水</c:v>
                </c:pt>
                <c:pt idx="1">
                  <c:v>償還元金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(2)'!$J$181:$BG$181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9D-4F71-8105-D2369E49C833}"/>
            </c:ext>
          </c:extLst>
        </c:ser>
        <c:ser>
          <c:idx val="8"/>
          <c:order val="8"/>
          <c:tx>
            <c:strRef>
              <c:f>'元利償還表 (2)'!$H$182:$I$182</c:f>
              <c:strCache>
                <c:ptCount val="2"/>
                <c:pt idx="0">
                  <c:v>災害復旧・旧簡水</c:v>
                </c:pt>
                <c:pt idx="1">
                  <c:v>償還利子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(2)'!$J$182:$BG$182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9D-4F71-8105-D2369E49C833}"/>
            </c:ext>
          </c:extLst>
        </c:ser>
        <c:ser>
          <c:idx val="9"/>
          <c:order val="9"/>
          <c:tx>
            <c:strRef>
              <c:f>'元利償還表 (2)'!$H$183:$I$183</c:f>
              <c:strCache>
                <c:ptCount val="2"/>
                <c:pt idx="0">
                  <c:v>上水道</c:v>
                </c:pt>
                <c:pt idx="1">
                  <c:v>償還元金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(2)'!$J$183:$BG$183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9</c:v>
                </c:pt>
                <c:pt idx="21">
                  <c:v>10</c:v>
                </c:pt>
                <c:pt idx="22">
                  <c:v>28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9D-4F71-8105-D2369E49C833}"/>
            </c:ext>
          </c:extLst>
        </c:ser>
        <c:ser>
          <c:idx val="10"/>
          <c:order val="10"/>
          <c:tx>
            <c:strRef>
              <c:f>'元利償還表 (2)'!$H$184:$I$184</c:f>
              <c:strCache>
                <c:ptCount val="2"/>
                <c:pt idx="0">
                  <c:v>上水道</c:v>
                </c:pt>
                <c:pt idx="1">
                  <c:v>償還利子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(2)'!$J$184:$BG$184</c:f>
              <c:numCache>
                <c:formatCode>#,##0"百万円";"△ "#,##0"百万円"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9D-4F71-8105-D2369E49C833}"/>
            </c:ext>
          </c:extLst>
        </c:ser>
        <c:ser>
          <c:idx val="11"/>
          <c:order val="11"/>
          <c:tx>
            <c:strRef>
              <c:f>'元利償還表 (2)'!$H$185:$I$185</c:f>
              <c:strCache>
                <c:ptCount val="2"/>
                <c:pt idx="0">
                  <c:v>老朽管布設替</c:v>
                </c:pt>
                <c:pt idx="1">
                  <c:v>償還元金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(2)'!$J$185:$BG$185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10</c:v>
                </c:pt>
                <c:pt idx="23">
                  <c:v>16</c:v>
                </c:pt>
                <c:pt idx="24">
                  <c:v>23</c:v>
                </c:pt>
                <c:pt idx="25">
                  <c:v>30</c:v>
                </c:pt>
                <c:pt idx="26">
                  <c:v>37</c:v>
                </c:pt>
                <c:pt idx="27">
                  <c:v>44</c:v>
                </c:pt>
                <c:pt idx="28">
                  <c:v>51</c:v>
                </c:pt>
                <c:pt idx="29">
                  <c:v>58</c:v>
                </c:pt>
                <c:pt idx="30">
                  <c:v>62</c:v>
                </c:pt>
                <c:pt idx="31">
                  <c:v>63</c:v>
                </c:pt>
                <c:pt idx="32">
                  <c:v>64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68</c:v>
                </c:pt>
                <c:pt idx="37">
                  <c:v>69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70</c:v>
                </c:pt>
                <c:pt idx="42">
                  <c:v>62</c:v>
                </c:pt>
                <c:pt idx="43">
                  <c:v>54</c:v>
                </c:pt>
                <c:pt idx="44">
                  <c:v>46</c:v>
                </c:pt>
                <c:pt idx="45">
                  <c:v>38</c:v>
                </c:pt>
                <c:pt idx="46">
                  <c:v>30</c:v>
                </c:pt>
                <c:pt idx="47">
                  <c:v>21</c:v>
                </c:pt>
                <c:pt idx="48">
                  <c:v>13</c:v>
                </c:pt>
                <c:pt idx="4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9D-4F71-8105-D2369E49C833}"/>
            </c:ext>
          </c:extLst>
        </c:ser>
        <c:ser>
          <c:idx val="12"/>
          <c:order val="12"/>
          <c:tx>
            <c:strRef>
              <c:f>'元利償還表 (2)'!$H$186:$I$186</c:f>
              <c:strCache>
                <c:ptCount val="2"/>
                <c:pt idx="0">
                  <c:v>老朽管布設替</c:v>
                </c:pt>
                <c:pt idx="1">
                  <c:v>償還利子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(2)'!$J$186:$BG$186</c:f>
              <c:numCache>
                <c:formatCode>#,##0"百万円";"△ "#,##0"百万円"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6</c:v>
                </c:pt>
                <c:pt idx="19">
                  <c:v>8</c:v>
                </c:pt>
                <c:pt idx="20">
                  <c:v>11</c:v>
                </c:pt>
                <c:pt idx="21">
                  <c:v>13</c:v>
                </c:pt>
                <c:pt idx="22">
                  <c:v>15</c:v>
                </c:pt>
                <c:pt idx="23">
                  <c:v>18</c:v>
                </c:pt>
                <c:pt idx="24">
                  <c:v>20</c:v>
                </c:pt>
                <c:pt idx="25">
                  <c:v>21</c:v>
                </c:pt>
                <c:pt idx="26">
                  <c:v>20</c:v>
                </c:pt>
                <c:pt idx="27">
                  <c:v>20</c:v>
                </c:pt>
                <c:pt idx="28">
                  <c:v>19</c:v>
                </c:pt>
                <c:pt idx="29">
                  <c:v>18</c:v>
                </c:pt>
                <c:pt idx="30">
                  <c:v>17</c:v>
                </c:pt>
                <c:pt idx="31">
                  <c:v>16</c:v>
                </c:pt>
                <c:pt idx="32">
                  <c:v>15</c:v>
                </c:pt>
                <c:pt idx="33">
                  <c:v>14</c:v>
                </c:pt>
                <c:pt idx="34">
                  <c:v>13</c:v>
                </c:pt>
                <c:pt idx="35">
                  <c:v>12</c:v>
                </c:pt>
                <c:pt idx="36">
                  <c:v>11</c:v>
                </c:pt>
                <c:pt idx="37">
                  <c:v>10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5</c:v>
                </c:pt>
                <c:pt idx="42">
                  <c:v>4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49D-4F71-8105-D2369E49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5070223"/>
        <c:axId val="1095585135"/>
      </c:barChart>
      <c:lineChart>
        <c:grouping val="stacked"/>
        <c:varyColors val="0"/>
        <c:ser>
          <c:idx val="2"/>
          <c:order val="2"/>
          <c:tx>
            <c:strRef>
              <c:f>'元利償還表 (2)'!$I$187</c:f>
              <c:strCache>
                <c:ptCount val="1"/>
                <c:pt idx="0">
                  <c:v>合計</c:v>
                </c:pt>
              </c:strCache>
            </c:strRef>
          </c:tx>
          <c:spPr>
            <a:ln w="6350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numRef>
              <c:f>'元利償還表 (2)'!$J$174:$BG$174</c:f>
              <c:numCache>
                <c:formatCode>General</c:formatCode>
                <c:ptCount val="5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</c:numCache>
            </c:numRef>
          </c:cat>
          <c:val>
            <c:numRef>
              <c:f>'元利償還表 (2)'!$J$187:$BG$187</c:f>
              <c:numCache>
                <c:formatCode>#,##0"百万円";"△ "#,##0"百万円"</c:formatCode>
                <c:ptCount val="5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10</c:v>
                </c:pt>
                <c:pt idx="12">
                  <c:v>11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41</c:v>
                </c:pt>
                <c:pt idx="18">
                  <c:v>54</c:v>
                </c:pt>
                <c:pt idx="19">
                  <c:v>49</c:v>
                </c:pt>
                <c:pt idx="20">
                  <c:v>58</c:v>
                </c:pt>
                <c:pt idx="21">
                  <c:v>65</c:v>
                </c:pt>
                <c:pt idx="22">
                  <c:v>91</c:v>
                </c:pt>
                <c:pt idx="23">
                  <c:v>81</c:v>
                </c:pt>
                <c:pt idx="24">
                  <c:v>90</c:v>
                </c:pt>
                <c:pt idx="25">
                  <c:v>96</c:v>
                </c:pt>
                <c:pt idx="26">
                  <c:v>102</c:v>
                </c:pt>
                <c:pt idx="27">
                  <c:v>109</c:v>
                </c:pt>
                <c:pt idx="28">
                  <c:v>115</c:v>
                </c:pt>
                <c:pt idx="29">
                  <c:v>120</c:v>
                </c:pt>
                <c:pt idx="30">
                  <c:v>117</c:v>
                </c:pt>
                <c:pt idx="31">
                  <c:v>115</c:v>
                </c:pt>
                <c:pt idx="32">
                  <c:v>115</c:v>
                </c:pt>
                <c:pt idx="33">
                  <c:v>113</c:v>
                </c:pt>
                <c:pt idx="34">
                  <c:v>111</c:v>
                </c:pt>
                <c:pt idx="35">
                  <c:v>109</c:v>
                </c:pt>
                <c:pt idx="36">
                  <c:v>106</c:v>
                </c:pt>
                <c:pt idx="37">
                  <c:v>100</c:v>
                </c:pt>
                <c:pt idx="38">
                  <c:v>94</c:v>
                </c:pt>
                <c:pt idx="39">
                  <c:v>90</c:v>
                </c:pt>
                <c:pt idx="40">
                  <c:v>81</c:v>
                </c:pt>
                <c:pt idx="41">
                  <c:v>75</c:v>
                </c:pt>
                <c:pt idx="42">
                  <c:v>66</c:v>
                </c:pt>
                <c:pt idx="43">
                  <c:v>57</c:v>
                </c:pt>
                <c:pt idx="44">
                  <c:v>48</c:v>
                </c:pt>
                <c:pt idx="45">
                  <c:v>40</c:v>
                </c:pt>
                <c:pt idx="46">
                  <c:v>31</c:v>
                </c:pt>
                <c:pt idx="47">
                  <c:v>22</c:v>
                </c:pt>
                <c:pt idx="48">
                  <c:v>13</c:v>
                </c:pt>
                <c:pt idx="4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9D-4F71-8105-D2369E49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070223"/>
        <c:axId val="1095585135"/>
      </c:lineChart>
      <c:catAx>
        <c:axId val="8250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1095585135"/>
        <c:crosses val="autoZero"/>
        <c:auto val="1"/>
        <c:lblAlgn val="ctr"/>
        <c:lblOffset val="100"/>
        <c:tickMarkSkip val="5"/>
        <c:noMultiLvlLbl val="0"/>
      </c:catAx>
      <c:valAx>
        <c:axId val="10955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</c:majorGridlines>
        <c:numFmt formatCode="#,##0&quot;百万円&quot;;&quot;△ &quot;#,##0&quot;百万円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defRPr>
            </a:pPr>
            <a:endParaRPr lang="ja-JP"/>
          </a:p>
        </c:txPr>
        <c:crossAx val="825070223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8.9874761976518155E-2"/>
          <c:y val="0.12490760192654125"/>
          <c:w val="0.20763358030210272"/>
          <c:h val="0.5409795767230340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defRPr>
          </a:pPr>
          <a:endParaRPr lang="ja-JP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paperSize="8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58829</xdr:colOff>
      <xdr:row>2</xdr:row>
      <xdr:rowOff>76200</xdr:rowOff>
    </xdr:from>
    <xdr:to>
      <xdr:col>50</xdr:col>
      <xdr:colOff>4762</xdr:colOff>
      <xdr:row>153</xdr:row>
      <xdr:rowOff>91440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D27FADD-0728-4BE2-870F-7B1D2EF1C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58829</xdr:colOff>
      <xdr:row>2</xdr:row>
      <xdr:rowOff>76200</xdr:rowOff>
    </xdr:from>
    <xdr:to>
      <xdr:col>41</xdr:col>
      <xdr:colOff>4762</xdr:colOff>
      <xdr:row>115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961BF82-4B52-4B84-A82B-D1BE9585A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58829</xdr:colOff>
      <xdr:row>3</xdr:row>
      <xdr:rowOff>38100</xdr:rowOff>
    </xdr:from>
    <xdr:to>
      <xdr:col>42</xdr:col>
      <xdr:colOff>947737</xdr:colOff>
      <xdr:row>115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C80678B-5EAE-46D9-B3A7-936F74EE4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58829</xdr:colOff>
      <xdr:row>3</xdr:row>
      <xdr:rowOff>38100</xdr:rowOff>
    </xdr:from>
    <xdr:to>
      <xdr:col>42</xdr:col>
      <xdr:colOff>947737</xdr:colOff>
      <xdr:row>115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6A2C6A1-CE54-4E3F-7488-30C72DC71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58829</xdr:colOff>
      <xdr:row>2</xdr:row>
      <xdr:rowOff>76200</xdr:rowOff>
    </xdr:from>
    <xdr:to>
      <xdr:col>50</xdr:col>
      <xdr:colOff>4762</xdr:colOff>
      <xdr:row>153</xdr:row>
      <xdr:rowOff>91440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E769608-8ABD-4491-84B4-04EBDD2A3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C25C-5BE4-4500-BC4F-7F6A457D59EF}">
  <sheetPr>
    <pageSetUpPr fitToPage="1"/>
  </sheetPr>
  <dimension ref="A1:BH188"/>
  <sheetViews>
    <sheetView view="pageBreakPreview" topLeftCell="C1" zoomScale="25" zoomScaleNormal="25" zoomScaleSheetLayoutView="25" workbookViewId="0">
      <selection activeCell="BD65" sqref="BD64:BD65"/>
    </sheetView>
  </sheetViews>
  <sheetFormatPr defaultColWidth="2.33203125" defaultRowHeight="15" customHeight="1" x14ac:dyDescent="0.15"/>
  <cols>
    <col min="2" max="2" width="18.44140625" customWidth="1"/>
    <col min="3" max="3" width="59.88671875" customWidth="1"/>
    <col min="4" max="42" width="13.109375" customWidth="1"/>
    <col min="43" max="50" width="13.33203125" customWidth="1"/>
    <col min="51" max="51" width="13.109375" customWidth="1"/>
    <col min="52" max="59" width="13.33203125" customWidth="1"/>
    <col min="60" max="60" width="16.6640625" customWidth="1"/>
  </cols>
  <sheetData>
    <row r="1" spans="1:41" ht="18" customHeight="1" x14ac:dyDescent="0.25">
      <c r="A1" s="32" t="s">
        <v>0</v>
      </c>
      <c r="B1" s="33"/>
      <c r="C1" s="33"/>
      <c r="D1" s="33"/>
      <c r="E1" s="33"/>
      <c r="F1" s="33"/>
      <c r="G1" s="33"/>
    </row>
    <row r="2" spans="1:41" ht="12" x14ac:dyDescent="0.15">
      <c r="F2" s="34" t="s">
        <v>1</v>
      </c>
      <c r="G2" s="34"/>
    </row>
    <row r="3" spans="1:41" ht="12.6" thickBot="1" x14ac:dyDescent="0.2">
      <c r="F3" s="34" t="s">
        <v>2</v>
      </c>
      <c r="G3" s="34"/>
    </row>
    <row r="4" spans="1:41" ht="12.6" thickBot="1" x14ac:dyDescent="0.2">
      <c r="B4" s="8" t="s">
        <v>3</v>
      </c>
      <c r="C4" s="9" t="s">
        <v>4</v>
      </c>
      <c r="D4" s="9" t="s">
        <v>5</v>
      </c>
      <c r="E4" s="13" t="s">
        <v>41</v>
      </c>
      <c r="F4" s="9" t="s">
        <v>6</v>
      </c>
      <c r="G4" s="9" t="s">
        <v>7</v>
      </c>
    </row>
    <row r="5" spans="1:41" ht="12" x14ac:dyDescent="0.15">
      <c r="B5" s="4" t="s">
        <v>48</v>
      </c>
      <c r="C5" s="3" t="s">
        <v>9</v>
      </c>
      <c r="D5" s="10">
        <v>19000000</v>
      </c>
      <c r="E5" s="10">
        <v>0</v>
      </c>
      <c r="F5" s="10">
        <v>0</v>
      </c>
      <c r="G5" s="26">
        <v>0</v>
      </c>
    </row>
    <row r="6" spans="1:41" ht="12" x14ac:dyDescent="0.15">
      <c r="B6" s="5" t="s">
        <v>10</v>
      </c>
      <c r="C6" s="3"/>
      <c r="D6" s="29">
        <v>19000000</v>
      </c>
      <c r="E6" s="27">
        <v>0</v>
      </c>
      <c r="F6" s="27">
        <v>0</v>
      </c>
      <c r="G6" s="28">
        <v>0</v>
      </c>
    </row>
    <row r="7" spans="1:41" ht="12" x14ac:dyDescent="0.15">
      <c r="B7" s="4" t="s">
        <v>49</v>
      </c>
      <c r="C7" s="3" t="s">
        <v>9</v>
      </c>
      <c r="D7" s="10">
        <v>19000000</v>
      </c>
      <c r="E7" s="10">
        <v>0</v>
      </c>
      <c r="F7" s="10">
        <v>93047</v>
      </c>
      <c r="G7" s="26">
        <v>93047</v>
      </c>
    </row>
    <row r="8" spans="1:41" ht="12" x14ac:dyDescent="0.15">
      <c r="B8" s="5" t="s">
        <v>10</v>
      </c>
      <c r="C8" s="3"/>
      <c r="D8" s="27">
        <v>19000000</v>
      </c>
      <c r="E8" s="27">
        <v>0</v>
      </c>
      <c r="F8" s="27">
        <v>93047</v>
      </c>
      <c r="G8" s="28">
        <v>93047</v>
      </c>
      <c r="I8" s="22" t="s">
        <v>45</v>
      </c>
      <c r="J8" s="22"/>
      <c r="K8" s="23">
        <v>106884</v>
      </c>
      <c r="L8" s="23">
        <v>409974</v>
      </c>
      <c r="M8" s="23">
        <v>1153932</v>
      </c>
      <c r="N8" s="23">
        <v>2607672</v>
      </c>
      <c r="O8" s="23">
        <v>4141778</v>
      </c>
      <c r="P8" s="23">
        <v>10790930</v>
      </c>
      <c r="Q8" s="23">
        <v>16895636</v>
      </c>
      <c r="R8" s="23">
        <v>27414800</v>
      </c>
      <c r="S8" s="23">
        <v>42638656</v>
      </c>
      <c r="T8" s="23">
        <v>48582330</v>
      </c>
      <c r="U8" s="23">
        <v>59713032</v>
      </c>
      <c r="V8" s="23">
        <v>59713032</v>
      </c>
      <c r="W8" s="23">
        <v>59713032</v>
      </c>
      <c r="X8" s="23">
        <v>59713032</v>
      </c>
      <c r="Y8" s="23">
        <v>59713024</v>
      </c>
      <c r="Z8" s="23">
        <v>55471112</v>
      </c>
      <c r="AA8" s="23">
        <v>55471112</v>
      </c>
      <c r="AB8" s="23">
        <v>55471112</v>
      </c>
      <c r="AC8" s="23">
        <v>55471112</v>
      </c>
      <c r="AD8" s="23">
        <v>55471112</v>
      </c>
      <c r="AE8" s="23">
        <v>55471112</v>
      </c>
      <c r="AF8" s="23">
        <v>55471112</v>
      </c>
      <c r="AG8" s="23">
        <v>55471112</v>
      </c>
      <c r="AH8" s="23">
        <v>55471112</v>
      </c>
      <c r="AI8" s="23">
        <v>55471112</v>
      </c>
      <c r="AJ8" s="23">
        <v>52108126</v>
      </c>
      <c r="AK8" s="23">
        <v>45992236</v>
      </c>
      <c r="AL8" s="23">
        <v>34597872</v>
      </c>
      <c r="AM8" s="23">
        <v>21951776</v>
      </c>
      <c r="AN8" s="23">
        <v>14401302</v>
      </c>
      <c r="AO8" s="23">
        <f>SUM(K8:AN8)</f>
        <v>1177070176</v>
      </c>
    </row>
    <row r="9" spans="1:41" ht="12" x14ac:dyDescent="0.15">
      <c r="B9" s="4" t="s">
        <v>8</v>
      </c>
      <c r="C9" s="3" t="s">
        <v>9</v>
      </c>
      <c r="D9" s="10">
        <v>84900000</v>
      </c>
      <c r="E9" s="10">
        <v>0</v>
      </c>
      <c r="F9" s="10">
        <v>148442</v>
      </c>
      <c r="G9" s="26">
        <v>148442</v>
      </c>
      <c r="M9" s="17"/>
      <c r="N9" s="17"/>
      <c r="O9" s="17"/>
      <c r="P9" s="17"/>
      <c r="R9" s="17"/>
      <c r="S9" s="17"/>
      <c r="T9" s="17"/>
      <c r="U9" s="17"/>
      <c r="W9" s="17"/>
      <c r="X9" s="17"/>
      <c r="Y9" s="17"/>
      <c r="Z9" s="17"/>
      <c r="AA9" s="17"/>
      <c r="AB9" s="17"/>
      <c r="AC9" s="17"/>
      <c r="AF9" s="17"/>
      <c r="AH9" s="17"/>
      <c r="AI9" s="17"/>
      <c r="AJ9" s="17"/>
      <c r="AK9" s="17"/>
      <c r="AL9" s="17"/>
      <c r="AM9" s="17"/>
      <c r="AN9" s="17"/>
      <c r="AO9" s="17"/>
    </row>
    <row r="10" spans="1:41" ht="12" x14ac:dyDescent="0.15">
      <c r="B10" s="5" t="s">
        <v>10</v>
      </c>
      <c r="C10" s="3"/>
      <c r="D10" s="27">
        <v>84900000</v>
      </c>
      <c r="E10" s="27">
        <v>0</v>
      </c>
      <c r="F10" s="27">
        <v>148442</v>
      </c>
      <c r="G10" s="28">
        <v>148442</v>
      </c>
      <c r="M10" s="17"/>
      <c r="N10" s="17"/>
      <c r="O10" s="17"/>
      <c r="P10" s="17"/>
      <c r="Q10" s="17"/>
      <c r="R10" s="17"/>
      <c r="S10" s="17"/>
      <c r="T10" s="17"/>
      <c r="U10" s="17"/>
      <c r="W10" s="17"/>
      <c r="X10" s="17"/>
      <c r="Y10" s="17"/>
      <c r="Z10" s="17"/>
      <c r="AA10" s="17"/>
      <c r="AB10" s="17"/>
      <c r="AC10" s="17"/>
      <c r="AF10" s="17"/>
      <c r="AH10" s="17"/>
      <c r="AI10" s="17"/>
      <c r="AK10" s="17"/>
      <c r="AL10" s="17"/>
      <c r="AM10" s="17"/>
      <c r="AN10" s="17"/>
      <c r="AO10" s="17"/>
    </row>
    <row r="11" spans="1:41" ht="12" x14ac:dyDescent="0.15">
      <c r="B11" s="4" t="s">
        <v>11</v>
      </c>
      <c r="C11" s="3" t="s">
        <v>9</v>
      </c>
      <c r="D11" s="10">
        <v>111600000</v>
      </c>
      <c r="E11" s="10">
        <v>0</v>
      </c>
      <c r="F11" s="10">
        <v>299987</v>
      </c>
      <c r="G11" s="26">
        <v>299987</v>
      </c>
      <c r="M11" s="17"/>
      <c r="N11" s="17"/>
      <c r="O11" s="17"/>
      <c r="P11" s="17"/>
      <c r="Q11" s="17"/>
      <c r="R11" s="17"/>
      <c r="S11" s="17"/>
      <c r="T11" s="17"/>
      <c r="U11" s="17"/>
      <c r="W11" s="17"/>
      <c r="X11" s="17"/>
      <c r="Y11" s="17"/>
      <c r="Z11" s="17"/>
      <c r="AA11" s="17"/>
      <c r="AB11" s="17"/>
      <c r="AC11" s="17"/>
      <c r="AF11" s="17"/>
      <c r="AH11" s="17"/>
      <c r="AI11" s="17"/>
      <c r="AJ11" s="17"/>
      <c r="AK11" s="17"/>
      <c r="AL11" s="17"/>
      <c r="AM11" s="17"/>
      <c r="AN11" s="17"/>
      <c r="AO11" s="17"/>
    </row>
    <row r="12" spans="1:41" ht="12" x14ac:dyDescent="0.15">
      <c r="B12" s="5" t="s">
        <v>10</v>
      </c>
      <c r="C12" s="3"/>
      <c r="D12" s="27">
        <v>111600000</v>
      </c>
      <c r="E12" s="27">
        <v>0</v>
      </c>
      <c r="F12" s="27">
        <v>299987</v>
      </c>
      <c r="G12" s="28">
        <v>299987</v>
      </c>
    </row>
    <row r="13" spans="1:41" ht="12" x14ac:dyDescent="0.15">
      <c r="B13" s="4" t="s">
        <v>12</v>
      </c>
      <c r="C13" s="3" t="s">
        <v>9</v>
      </c>
      <c r="D13" s="10">
        <v>221000000</v>
      </c>
      <c r="E13" s="10">
        <v>0</v>
      </c>
      <c r="F13" s="10">
        <v>671966</v>
      </c>
      <c r="G13" s="26">
        <v>671966</v>
      </c>
    </row>
    <row r="14" spans="1:41" ht="12" x14ac:dyDescent="0.15">
      <c r="B14" s="5" t="s">
        <v>10</v>
      </c>
      <c r="C14" s="3"/>
      <c r="D14" s="27">
        <v>221000000</v>
      </c>
      <c r="E14" s="27">
        <v>0</v>
      </c>
      <c r="F14" s="27">
        <v>671966</v>
      </c>
      <c r="G14" s="28">
        <v>671966</v>
      </c>
    </row>
    <row r="15" spans="1:41" ht="12" x14ac:dyDescent="0.15">
      <c r="B15" s="4" t="s">
        <v>13</v>
      </c>
      <c r="C15" s="3" t="s">
        <v>9</v>
      </c>
      <c r="D15" s="10">
        <v>397100000</v>
      </c>
      <c r="E15" s="10">
        <v>0</v>
      </c>
      <c r="F15" s="10">
        <v>1398836</v>
      </c>
      <c r="G15" s="26">
        <v>1398836</v>
      </c>
    </row>
    <row r="16" spans="1:41" ht="12" x14ac:dyDescent="0.15">
      <c r="B16" s="5" t="s">
        <v>10</v>
      </c>
      <c r="C16" s="3"/>
      <c r="D16" s="27">
        <v>397100000</v>
      </c>
      <c r="E16" s="27">
        <v>0</v>
      </c>
      <c r="F16" s="27">
        <v>1398836</v>
      </c>
      <c r="G16" s="28">
        <v>1398836</v>
      </c>
    </row>
    <row r="17" spans="2:30" ht="12" x14ac:dyDescent="0.15">
      <c r="B17" s="4" t="s">
        <v>14</v>
      </c>
      <c r="C17" s="3" t="s">
        <v>9</v>
      </c>
      <c r="D17" s="10">
        <v>528894392</v>
      </c>
      <c r="E17" s="10">
        <v>905608</v>
      </c>
      <c r="F17" s="10">
        <v>2164759</v>
      </c>
      <c r="G17" s="26">
        <v>3070367</v>
      </c>
    </row>
    <row r="18" spans="2:30" ht="12" x14ac:dyDescent="0.15">
      <c r="B18" s="5" t="s">
        <v>10</v>
      </c>
      <c r="C18" s="3"/>
      <c r="D18" s="27">
        <v>528894392</v>
      </c>
      <c r="E18" s="27">
        <v>905608</v>
      </c>
      <c r="F18" s="27">
        <v>2164759</v>
      </c>
      <c r="G18" s="28">
        <v>3070367</v>
      </c>
    </row>
    <row r="19" spans="2:30" ht="12" x14ac:dyDescent="0.15">
      <c r="B19" s="4" t="s">
        <v>15</v>
      </c>
      <c r="C19" s="3" t="s">
        <v>9</v>
      </c>
      <c r="D19" s="10">
        <v>544468657</v>
      </c>
      <c r="E19" s="10">
        <v>2525735</v>
      </c>
      <c r="F19" s="10">
        <v>3869208</v>
      </c>
      <c r="G19" s="26">
        <v>6394943</v>
      </c>
    </row>
    <row r="20" spans="2:30" ht="12" x14ac:dyDescent="0.15">
      <c r="B20" s="5" t="s">
        <v>10</v>
      </c>
      <c r="C20" s="3"/>
      <c r="D20" s="27">
        <v>544468657</v>
      </c>
      <c r="E20" s="27">
        <v>2525735</v>
      </c>
      <c r="F20" s="27">
        <v>3869208</v>
      </c>
      <c r="G20" s="28">
        <v>6394943</v>
      </c>
    </row>
    <row r="21" spans="2:30" ht="12" x14ac:dyDescent="0.15">
      <c r="B21" s="4" t="s">
        <v>16</v>
      </c>
      <c r="C21" s="3" t="s">
        <v>9</v>
      </c>
      <c r="D21" s="10">
        <v>539020600</v>
      </c>
      <c r="E21" s="10">
        <v>5448057</v>
      </c>
      <c r="F21" s="10">
        <v>3999239</v>
      </c>
      <c r="G21" s="26">
        <v>9447296</v>
      </c>
    </row>
    <row r="22" spans="2:30" ht="12" x14ac:dyDescent="0.15">
      <c r="B22" s="5" t="s">
        <v>10</v>
      </c>
      <c r="C22" s="3"/>
      <c r="D22" s="27">
        <v>539020600</v>
      </c>
      <c r="E22" s="27">
        <v>5448057</v>
      </c>
      <c r="F22" s="27">
        <v>3999239</v>
      </c>
      <c r="G22" s="28">
        <v>9447296</v>
      </c>
    </row>
    <row r="23" spans="2:30" ht="12" x14ac:dyDescent="0.15">
      <c r="B23" s="4" t="s">
        <v>17</v>
      </c>
      <c r="C23" s="3" t="s">
        <v>9</v>
      </c>
      <c r="D23" s="10">
        <v>528292751</v>
      </c>
      <c r="E23" s="10">
        <v>10727849</v>
      </c>
      <c r="F23" s="10">
        <v>3979029</v>
      </c>
      <c r="G23" s="26">
        <v>14706878</v>
      </c>
    </row>
    <row r="24" spans="2:30" ht="12" x14ac:dyDescent="0.15">
      <c r="B24" s="5" t="s">
        <v>10</v>
      </c>
      <c r="C24" s="3"/>
      <c r="D24" s="27">
        <v>528292751</v>
      </c>
      <c r="E24" s="27">
        <v>10727849</v>
      </c>
      <c r="F24" s="27">
        <v>3979029</v>
      </c>
      <c r="G24" s="28">
        <v>14706878</v>
      </c>
    </row>
    <row r="25" spans="2:30" ht="12" x14ac:dyDescent="0.15">
      <c r="B25" s="4" t="s">
        <v>18</v>
      </c>
      <c r="C25" s="3" t="s">
        <v>9</v>
      </c>
      <c r="D25" s="10">
        <v>509904379</v>
      </c>
      <c r="E25" s="10">
        <v>18388372</v>
      </c>
      <c r="F25" s="10">
        <v>3930434</v>
      </c>
      <c r="G25" s="26">
        <v>22318806</v>
      </c>
      <c r="AD25" s="16"/>
    </row>
    <row r="26" spans="2:30" ht="12" x14ac:dyDescent="0.15">
      <c r="B26" s="5" t="s">
        <v>10</v>
      </c>
      <c r="C26" s="3"/>
      <c r="D26" s="27">
        <v>509904379</v>
      </c>
      <c r="E26" s="27">
        <v>18388372</v>
      </c>
      <c r="F26" s="27">
        <v>3930434</v>
      </c>
      <c r="G26" s="28">
        <v>22318806</v>
      </c>
    </row>
    <row r="27" spans="2:30" ht="12" x14ac:dyDescent="0.15">
      <c r="B27" s="4" t="s">
        <v>19</v>
      </c>
      <c r="C27" s="3" t="s">
        <v>9</v>
      </c>
      <c r="D27" s="10">
        <v>488450109</v>
      </c>
      <c r="E27" s="10">
        <v>21454270</v>
      </c>
      <c r="F27" s="10">
        <v>3836373</v>
      </c>
      <c r="G27" s="26">
        <v>25290643</v>
      </c>
    </row>
    <row r="28" spans="2:30" ht="12" x14ac:dyDescent="0.15">
      <c r="B28" s="5" t="s">
        <v>10</v>
      </c>
      <c r="C28" s="3"/>
      <c r="D28" s="27">
        <v>488450109</v>
      </c>
      <c r="E28" s="27">
        <v>21454270</v>
      </c>
      <c r="F28" s="27">
        <v>3836373</v>
      </c>
      <c r="G28" s="28">
        <v>25290643</v>
      </c>
    </row>
    <row r="29" spans="2:30" ht="12" x14ac:dyDescent="0.15">
      <c r="B29" s="4" t="s">
        <v>20</v>
      </c>
      <c r="C29" s="3" t="s">
        <v>9</v>
      </c>
      <c r="D29" s="10">
        <v>461288408</v>
      </c>
      <c r="E29" s="10">
        <v>27161701</v>
      </c>
      <c r="F29" s="10">
        <v>3694293</v>
      </c>
      <c r="G29" s="26">
        <v>30855994</v>
      </c>
    </row>
    <row r="30" spans="2:30" ht="12" x14ac:dyDescent="0.15">
      <c r="B30" s="5" t="s">
        <v>10</v>
      </c>
      <c r="C30" s="3"/>
      <c r="D30" s="27">
        <v>461288408</v>
      </c>
      <c r="E30" s="27">
        <v>27161701</v>
      </c>
      <c r="F30" s="27">
        <v>3694293</v>
      </c>
      <c r="G30" s="28">
        <v>30855994</v>
      </c>
    </row>
    <row r="31" spans="2:30" ht="12" x14ac:dyDescent="0.15">
      <c r="B31" s="4" t="s">
        <v>21</v>
      </c>
      <c r="C31" s="3" t="s">
        <v>9</v>
      </c>
      <c r="D31" s="10">
        <v>433930621</v>
      </c>
      <c r="E31" s="10">
        <v>27357787</v>
      </c>
      <c r="F31" s="10">
        <v>3498207</v>
      </c>
      <c r="G31" s="26">
        <v>30855994</v>
      </c>
    </row>
    <row r="32" spans="2:30" ht="12" x14ac:dyDescent="0.15">
      <c r="B32" s="5" t="s">
        <v>10</v>
      </c>
      <c r="C32" s="3"/>
      <c r="D32" s="27">
        <v>433930621</v>
      </c>
      <c r="E32" s="27">
        <v>27357787</v>
      </c>
      <c r="F32" s="27">
        <v>3498207</v>
      </c>
      <c r="G32" s="28">
        <v>30855994</v>
      </c>
    </row>
    <row r="33" spans="2:7" ht="12" x14ac:dyDescent="0.15">
      <c r="B33" s="4" t="s">
        <v>22</v>
      </c>
      <c r="C33" s="3" t="s">
        <v>9</v>
      </c>
      <c r="D33" s="10">
        <v>406374896</v>
      </c>
      <c r="E33" s="10">
        <v>27555725</v>
      </c>
      <c r="F33" s="10">
        <v>3300269</v>
      </c>
      <c r="G33" s="26">
        <v>30855994</v>
      </c>
    </row>
    <row r="34" spans="2:7" ht="12" x14ac:dyDescent="0.15">
      <c r="B34" s="5" t="s">
        <v>10</v>
      </c>
      <c r="C34" s="3"/>
      <c r="D34" s="27">
        <v>406374896</v>
      </c>
      <c r="E34" s="27">
        <v>27555725</v>
      </c>
      <c r="F34" s="27">
        <v>3300269</v>
      </c>
      <c r="G34" s="28">
        <v>30855994</v>
      </c>
    </row>
    <row r="35" spans="2:7" ht="12" x14ac:dyDescent="0.15">
      <c r="B35" s="4" t="s">
        <v>23</v>
      </c>
      <c r="C35" s="3" t="s">
        <v>9</v>
      </c>
      <c r="D35" s="10">
        <v>378619357</v>
      </c>
      <c r="E35" s="10">
        <v>27755539</v>
      </c>
      <c r="F35" s="10">
        <v>3100455</v>
      </c>
      <c r="G35" s="26">
        <v>30855994</v>
      </c>
    </row>
    <row r="36" spans="2:7" ht="12" x14ac:dyDescent="0.15">
      <c r="B36" s="5" t="s">
        <v>10</v>
      </c>
      <c r="C36" s="3"/>
      <c r="D36" s="27">
        <v>378619357</v>
      </c>
      <c r="E36" s="27">
        <v>27755539</v>
      </c>
      <c r="F36" s="27">
        <v>3100455</v>
      </c>
      <c r="G36" s="28">
        <v>30855994</v>
      </c>
    </row>
    <row r="37" spans="2:7" ht="12" x14ac:dyDescent="0.15">
      <c r="B37" s="4" t="s">
        <v>24</v>
      </c>
      <c r="C37" s="3" t="s">
        <v>9</v>
      </c>
      <c r="D37" s="10">
        <v>350662120</v>
      </c>
      <c r="E37" s="10">
        <v>27957237</v>
      </c>
      <c r="F37" s="10">
        <v>2898753</v>
      </c>
      <c r="G37" s="26">
        <v>30855990</v>
      </c>
    </row>
    <row r="38" spans="2:7" ht="12" x14ac:dyDescent="0.15">
      <c r="B38" s="5" t="s">
        <v>10</v>
      </c>
      <c r="C38" s="3"/>
      <c r="D38" s="27">
        <v>350662120</v>
      </c>
      <c r="E38" s="27">
        <v>27957237</v>
      </c>
      <c r="F38" s="27">
        <v>2898753</v>
      </c>
      <c r="G38" s="28">
        <v>30855990</v>
      </c>
    </row>
    <row r="39" spans="2:7" ht="12" x14ac:dyDescent="0.15">
      <c r="B39" s="4" t="s">
        <v>25</v>
      </c>
      <c r="C39" s="3" t="s">
        <v>9</v>
      </c>
      <c r="D39" s="10">
        <v>324626570</v>
      </c>
      <c r="E39" s="10">
        <v>26035550</v>
      </c>
      <c r="F39" s="10">
        <v>2699484</v>
      </c>
      <c r="G39" s="26">
        <v>28735034</v>
      </c>
    </row>
    <row r="40" spans="2:7" ht="12" x14ac:dyDescent="0.15">
      <c r="B40" s="5" t="s">
        <v>10</v>
      </c>
      <c r="C40" s="3"/>
      <c r="D40" s="27">
        <v>324626570</v>
      </c>
      <c r="E40" s="27">
        <v>26035550</v>
      </c>
      <c r="F40" s="27">
        <v>2699484</v>
      </c>
      <c r="G40" s="28">
        <v>28735034</v>
      </c>
    </row>
    <row r="41" spans="2:7" ht="12" x14ac:dyDescent="0.15">
      <c r="B41" s="4" t="s">
        <v>26</v>
      </c>
      <c r="C41" s="3" t="s">
        <v>9</v>
      </c>
      <c r="D41" s="10">
        <v>298402928</v>
      </c>
      <c r="E41" s="10">
        <v>26223642</v>
      </c>
      <c r="F41" s="10">
        <v>2511392</v>
      </c>
      <c r="G41" s="26">
        <v>28735034</v>
      </c>
    </row>
    <row r="42" spans="2:7" ht="12" x14ac:dyDescent="0.15">
      <c r="B42" s="5" t="s">
        <v>10</v>
      </c>
      <c r="C42" s="3"/>
      <c r="D42" s="27">
        <v>298402928</v>
      </c>
      <c r="E42" s="27">
        <v>26223642</v>
      </c>
      <c r="F42" s="27">
        <v>2511392</v>
      </c>
      <c r="G42" s="28">
        <v>28735034</v>
      </c>
    </row>
    <row r="43" spans="2:7" ht="12" x14ac:dyDescent="0.15">
      <c r="B43" s="4" t="s">
        <v>27</v>
      </c>
      <c r="C43" s="3" t="s">
        <v>9</v>
      </c>
      <c r="D43" s="10">
        <v>271989377</v>
      </c>
      <c r="E43" s="10">
        <v>26413551</v>
      </c>
      <c r="F43" s="10">
        <v>2321483</v>
      </c>
      <c r="G43" s="26">
        <v>28735034</v>
      </c>
    </row>
    <row r="44" spans="2:7" ht="12" x14ac:dyDescent="0.15">
      <c r="B44" s="5" t="s">
        <v>10</v>
      </c>
      <c r="C44" s="3"/>
      <c r="D44" s="27">
        <v>271989377</v>
      </c>
      <c r="E44" s="27">
        <v>26413551</v>
      </c>
      <c r="F44" s="27">
        <v>2321483</v>
      </c>
      <c r="G44" s="28">
        <v>28735034</v>
      </c>
    </row>
    <row r="45" spans="2:7" ht="12" x14ac:dyDescent="0.15">
      <c r="B45" s="4" t="s">
        <v>28</v>
      </c>
      <c r="C45" s="3" t="s">
        <v>9</v>
      </c>
      <c r="D45" s="10">
        <v>245384091</v>
      </c>
      <c r="E45" s="10">
        <v>26605286</v>
      </c>
      <c r="F45" s="10">
        <v>2129748</v>
      </c>
      <c r="G45" s="26">
        <v>28735034</v>
      </c>
    </row>
    <row r="46" spans="2:7" ht="12" x14ac:dyDescent="0.15">
      <c r="B46" s="5" t="s">
        <v>10</v>
      </c>
      <c r="C46" s="3"/>
      <c r="D46" s="27">
        <v>245384091</v>
      </c>
      <c r="E46" s="27">
        <v>26605286</v>
      </c>
      <c r="F46" s="27">
        <v>2129748</v>
      </c>
      <c r="G46" s="28">
        <v>28735034</v>
      </c>
    </row>
    <row r="47" spans="2:7" ht="12" x14ac:dyDescent="0.15">
      <c r="B47" s="4" t="s">
        <v>29</v>
      </c>
      <c r="C47" s="3" t="s">
        <v>9</v>
      </c>
      <c r="D47" s="10">
        <v>218585218</v>
      </c>
      <c r="E47" s="10">
        <v>26798873</v>
      </c>
      <c r="F47" s="10">
        <v>1936161</v>
      </c>
      <c r="G47" s="26">
        <v>28735034</v>
      </c>
    </row>
    <row r="48" spans="2:7" ht="12" x14ac:dyDescent="0.15">
      <c r="B48" s="5" t="s">
        <v>10</v>
      </c>
      <c r="C48" s="3"/>
      <c r="D48" s="27">
        <v>218585218</v>
      </c>
      <c r="E48" s="27">
        <v>26798873</v>
      </c>
      <c r="F48" s="27">
        <v>1936161</v>
      </c>
      <c r="G48" s="28">
        <v>28735034</v>
      </c>
    </row>
    <row r="49" spans="2:7" ht="12" x14ac:dyDescent="0.15">
      <c r="B49" s="4" t="s">
        <v>30</v>
      </c>
      <c r="C49" s="3" t="s">
        <v>9</v>
      </c>
      <c r="D49" s="10">
        <v>191590878</v>
      </c>
      <c r="E49" s="10">
        <v>26994340</v>
      </c>
      <c r="F49" s="10">
        <v>1740694</v>
      </c>
      <c r="G49" s="26">
        <v>28735034</v>
      </c>
    </row>
    <row r="50" spans="2:7" ht="12" x14ac:dyDescent="0.15">
      <c r="B50" s="5" t="s">
        <v>10</v>
      </c>
      <c r="C50" s="3"/>
      <c r="D50" s="27">
        <v>191590878</v>
      </c>
      <c r="E50" s="27">
        <v>26994340</v>
      </c>
      <c r="F50" s="27">
        <v>1740694</v>
      </c>
      <c r="G50" s="28">
        <v>28735034</v>
      </c>
    </row>
    <row r="51" spans="2:7" ht="12" x14ac:dyDescent="0.15">
      <c r="B51" s="4" t="s">
        <v>31</v>
      </c>
      <c r="C51" s="3" t="s">
        <v>9</v>
      </c>
      <c r="D51" s="10">
        <v>164399174</v>
      </c>
      <c r="E51" s="10">
        <v>27191704</v>
      </c>
      <c r="F51" s="10">
        <v>1543330</v>
      </c>
      <c r="G51" s="26">
        <v>28735034</v>
      </c>
    </row>
    <row r="52" spans="2:7" ht="12" x14ac:dyDescent="0.15">
      <c r="B52" s="5" t="s">
        <v>10</v>
      </c>
      <c r="C52" s="3"/>
      <c r="D52" s="27">
        <v>164399174</v>
      </c>
      <c r="E52" s="27">
        <v>27191704</v>
      </c>
      <c r="F52" s="27">
        <v>1543330</v>
      </c>
      <c r="G52" s="28">
        <v>28735034</v>
      </c>
    </row>
    <row r="53" spans="2:7" ht="12" x14ac:dyDescent="0.15">
      <c r="B53" s="4" t="s">
        <v>32</v>
      </c>
      <c r="C53" s="3" t="s">
        <v>9</v>
      </c>
      <c r="D53" s="10">
        <v>137008193</v>
      </c>
      <c r="E53" s="10">
        <v>27390981</v>
      </c>
      <c r="F53" s="10">
        <v>1344053</v>
      </c>
      <c r="G53" s="26">
        <v>28735034</v>
      </c>
    </row>
    <row r="54" spans="2:7" ht="12" x14ac:dyDescent="0.15">
      <c r="B54" s="5" t="s">
        <v>10</v>
      </c>
      <c r="C54" s="3"/>
      <c r="D54" s="27">
        <v>137008193</v>
      </c>
      <c r="E54" s="27">
        <v>27390981</v>
      </c>
      <c r="F54" s="27">
        <v>1344053</v>
      </c>
      <c r="G54" s="28">
        <v>28735034</v>
      </c>
    </row>
    <row r="55" spans="2:7" ht="12" x14ac:dyDescent="0.15">
      <c r="B55" s="4" t="s">
        <v>33</v>
      </c>
      <c r="C55" s="3" t="s">
        <v>9</v>
      </c>
      <c r="D55" s="10">
        <v>109415993</v>
      </c>
      <c r="E55" s="10">
        <v>27592200</v>
      </c>
      <c r="F55" s="10">
        <v>1142834</v>
      </c>
      <c r="G55" s="26">
        <v>28735034</v>
      </c>
    </row>
    <row r="56" spans="2:7" ht="12" x14ac:dyDescent="0.15">
      <c r="B56" s="5" t="s">
        <v>10</v>
      </c>
      <c r="C56" s="3"/>
      <c r="D56" s="27">
        <v>109415993</v>
      </c>
      <c r="E56" s="27">
        <v>27592200</v>
      </c>
      <c r="F56" s="27">
        <v>1142834</v>
      </c>
      <c r="G56" s="28">
        <v>28735034</v>
      </c>
    </row>
    <row r="57" spans="2:7" ht="12" x14ac:dyDescent="0.15">
      <c r="B57" s="4" t="s">
        <v>34</v>
      </c>
      <c r="C57" s="3" t="s">
        <v>9</v>
      </c>
      <c r="D57" s="10">
        <v>82621339</v>
      </c>
      <c r="E57" s="10">
        <v>26794654</v>
      </c>
      <c r="F57" s="10">
        <v>940902</v>
      </c>
      <c r="G57" s="26">
        <v>27735556</v>
      </c>
    </row>
    <row r="58" spans="2:7" ht="12" x14ac:dyDescent="0.15">
      <c r="B58" s="5" t="s">
        <v>10</v>
      </c>
      <c r="C58" s="3"/>
      <c r="D58" s="27">
        <v>82621339</v>
      </c>
      <c r="E58" s="27">
        <v>26794654</v>
      </c>
      <c r="F58" s="27">
        <v>940902</v>
      </c>
      <c r="G58" s="28">
        <v>27735556</v>
      </c>
    </row>
    <row r="59" spans="2:7" ht="12" x14ac:dyDescent="0.15">
      <c r="B59" s="4" t="s">
        <v>35</v>
      </c>
      <c r="C59" s="3" t="s">
        <v>9</v>
      </c>
      <c r="D59" s="10">
        <v>57308027</v>
      </c>
      <c r="E59" s="10">
        <v>25313312</v>
      </c>
      <c r="F59" s="10">
        <v>740751</v>
      </c>
      <c r="G59" s="26">
        <v>26054063</v>
      </c>
    </row>
    <row r="60" spans="2:7" ht="12" x14ac:dyDescent="0.15">
      <c r="B60" s="5" t="s">
        <v>10</v>
      </c>
      <c r="C60" s="3"/>
      <c r="D60" s="27">
        <v>57308027</v>
      </c>
      <c r="E60" s="27">
        <v>25313312</v>
      </c>
      <c r="F60" s="27">
        <v>740751</v>
      </c>
      <c r="G60" s="28">
        <v>26054063</v>
      </c>
    </row>
    <row r="61" spans="2:7" ht="12" x14ac:dyDescent="0.15">
      <c r="B61" s="4" t="s">
        <v>36</v>
      </c>
      <c r="C61" s="3" t="s">
        <v>9</v>
      </c>
      <c r="D61" s="10">
        <v>34856604</v>
      </c>
      <c r="E61" s="10">
        <v>22451423</v>
      </c>
      <c r="F61" s="10">
        <v>544695</v>
      </c>
      <c r="G61" s="26">
        <v>22996118</v>
      </c>
    </row>
    <row r="62" spans="2:7" ht="12" x14ac:dyDescent="0.15">
      <c r="B62" s="5" t="s">
        <v>10</v>
      </c>
      <c r="C62" s="3"/>
      <c r="D62" s="27">
        <v>34856604</v>
      </c>
      <c r="E62" s="27">
        <v>22451423</v>
      </c>
      <c r="F62" s="27">
        <v>544695</v>
      </c>
      <c r="G62" s="28">
        <v>22996118</v>
      </c>
    </row>
    <row r="63" spans="2:7" ht="12" x14ac:dyDescent="0.15">
      <c r="B63" s="4" t="s">
        <v>37</v>
      </c>
      <c r="C63" s="3" t="s">
        <v>9</v>
      </c>
      <c r="D63" s="10">
        <v>17914800</v>
      </c>
      <c r="E63" s="10">
        <v>16941804</v>
      </c>
      <c r="F63" s="10">
        <v>357132</v>
      </c>
      <c r="G63" s="26">
        <v>17298936</v>
      </c>
    </row>
    <row r="64" spans="2:7" ht="12" x14ac:dyDescent="0.15">
      <c r="B64" s="5" t="s">
        <v>10</v>
      </c>
      <c r="C64" s="3"/>
      <c r="D64" s="27">
        <v>17914800</v>
      </c>
      <c r="E64" s="27">
        <v>16941804</v>
      </c>
      <c r="F64" s="27">
        <v>357132</v>
      </c>
      <c r="G64" s="28">
        <v>17298936</v>
      </c>
    </row>
    <row r="65" spans="2:41" ht="12" x14ac:dyDescent="0.15">
      <c r="B65" s="4" t="s">
        <v>38</v>
      </c>
      <c r="C65" s="3" t="s">
        <v>9</v>
      </c>
      <c r="D65" s="10">
        <v>7133105</v>
      </c>
      <c r="E65" s="10">
        <v>10781695</v>
      </c>
      <c r="F65" s="10">
        <v>194193</v>
      </c>
      <c r="G65" s="26">
        <v>10975888</v>
      </c>
    </row>
    <row r="66" spans="2:41" ht="15" customHeight="1" x14ac:dyDescent="0.15">
      <c r="B66" s="5" t="s">
        <v>10</v>
      </c>
      <c r="C66" s="3"/>
      <c r="D66" s="27">
        <v>7133105</v>
      </c>
      <c r="E66" s="27">
        <v>10781695</v>
      </c>
      <c r="F66" s="27">
        <v>194193</v>
      </c>
      <c r="G66" s="28">
        <v>10975888</v>
      </c>
    </row>
    <row r="67" spans="2:41" ht="15" customHeight="1" x14ac:dyDescent="0.15">
      <c r="B67" s="4" t="s">
        <v>39</v>
      </c>
      <c r="C67" s="3" t="s">
        <v>9</v>
      </c>
      <c r="D67" s="10">
        <v>0</v>
      </c>
      <c r="E67" s="10">
        <v>7133105</v>
      </c>
      <c r="F67" s="10">
        <v>67546</v>
      </c>
      <c r="G67" s="26">
        <v>7200651</v>
      </c>
    </row>
    <row r="68" spans="2:41" ht="15" customHeight="1" x14ac:dyDescent="0.15">
      <c r="B68" s="5" t="s">
        <v>10</v>
      </c>
      <c r="C68" s="3"/>
      <c r="D68" s="27">
        <v>0</v>
      </c>
      <c r="E68" s="27">
        <v>7133105</v>
      </c>
      <c r="F68" s="27">
        <v>67546</v>
      </c>
      <c r="G68" s="28">
        <v>7200651</v>
      </c>
      <c r="H68" s="16"/>
      <c r="I68" s="16"/>
      <c r="J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</row>
    <row r="69" spans="2:41" ht="15" customHeight="1" thickBot="1" x14ac:dyDescent="0.2">
      <c r="B69" s="6" t="s">
        <v>40</v>
      </c>
      <c r="C69" s="7" t="s">
        <v>9</v>
      </c>
      <c r="D69" s="11"/>
      <c r="E69" s="11">
        <v>547900000</v>
      </c>
      <c r="F69" s="11">
        <v>61097695</v>
      </c>
      <c r="G69" s="12">
        <v>608997695</v>
      </c>
    </row>
    <row r="156" spans="8:60" ht="15" customHeight="1" x14ac:dyDescent="0.15">
      <c r="BH156" s="21" t="s">
        <v>46</v>
      </c>
    </row>
    <row r="157" spans="8:60" ht="15" customHeight="1" x14ac:dyDescent="0.15">
      <c r="I157" s="18"/>
      <c r="J157" s="19">
        <v>21</v>
      </c>
      <c r="K157" s="19">
        <v>22</v>
      </c>
      <c r="L157" s="19">
        <v>23</v>
      </c>
      <c r="M157" s="19">
        <v>24</v>
      </c>
      <c r="N157" s="19">
        <v>25</v>
      </c>
      <c r="O157" s="19">
        <v>26</v>
      </c>
      <c r="P157" s="19">
        <v>27</v>
      </c>
      <c r="Q157" s="19">
        <v>28</v>
      </c>
      <c r="R157" s="19">
        <v>29</v>
      </c>
      <c r="S157" s="19">
        <v>30</v>
      </c>
      <c r="T157" s="19">
        <v>31</v>
      </c>
      <c r="U157" s="19">
        <v>2</v>
      </c>
      <c r="V157" s="19">
        <v>3</v>
      </c>
      <c r="W157" s="19">
        <v>4</v>
      </c>
      <c r="X157" s="19">
        <v>5</v>
      </c>
      <c r="Y157" s="19">
        <v>6</v>
      </c>
      <c r="Z157" s="19">
        <v>7</v>
      </c>
      <c r="AA157" s="19">
        <v>8</v>
      </c>
      <c r="AB157" s="19">
        <v>9</v>
      </c>
      <c r="AC157" s="19">
        <v>10</v>
      </c>
      <c r="AD157" s="19">
        <v>11</v>
      </c>
      <c r="AE157" s="19">
        <v>12</v>
      </c>
      <c r="AF157" s="19">
        <v>13</v>
      </c>
      <c r="AG157" s="19">
        <v>14</v>
      </c>
      <c r="AH157" s="19">
        <v>15</v>
      </c>
      <c r="AI157" s="19">
        <v>16</v>
      </c>
      <c r="AJ157" s="19">
        <v>17</v>
      </c>
      <c r="AK157" s="19">
        <v>18</v>
      </c>
      <c r="AL157" s="19">
        <v>19</v>
      </c>
      <c r="AM157" s="19">
        <v>20</v>
      </c>
      <c r="AN157" s="19">
        <v>21</v>
      </c>
      <c r="AO157" s="19">
        <v>22</v>
      </c>
      <c r="AP157" s="19">
        <v>23</v>
      </c>
      <c r="AQ157" s="19">
        <v>24</v>
      </c>
      <c r="AR157" s="19">
        <v>25</v>
      </c>
      <c r="AS157" s="19">
        <v>26</v>
      </c>
      <c r="AT157" s="19">
        <v>27</v>
      </c>
      <c r="AU157" s="19">
        <v>28</v>
      </c>
      <c r="AV157" s="19">
        <v>29</v>
      </c>
      <c r="AW157" s="19">
        <v>30</v>
      </c>
      <c r="AX157" s="19">
        <v>31</v>
      </c>
      <c r="AY157" s="19">
        <v>32</v>
      </c>
      <c r="AZ157" s="19">
        <v>33</v>
      </c>
      <c r="BA157" s="19">
        <v>34</v>
      </c>
      <c r="BB157" s="19">
        <v>35</v>
      </c>
      <c r="BC157" s="19">
        <v>36</v>
      </c>
      <c r="BD157" s="19">
        <v>37</v>
      </c>
      <c r="BE157" s="19">
        <v>38</v>
      </c>
      <c r="BF157" s="19">
        <v>39</v>
      </c>
      <c r="BG157" s="19">
        <v>40</v>
      </c>
      <c r="BH157" s="19" t="s">
        <v>45</v>
      </c>
    </row>
    <row r="158" spans="8:60" ht="15" customHeight="1" x14ac:dyDescent="0.15">
      <c r="H158" s="16" t="s">
        <v>50</v>
      </c>
      <c r="I158" s="19" t="s">
        <v>43</v>
      </c>
      <c r="J158" s="24"/>
      <c r="K158" s="24"/>
      <c r="L158" s="24"/>
      <c r="M158" s="24"/>
      <c r="N158" s="24"/>
      <c r="O158" s="24"/>
      <c r="P158" s="24"/>
      <c r="Q158" s="24"/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905608</v>
      </c>
      <c r="Y158" s="24">
        <v>2525735</v>
      </c>
      <c r="Z158" s="24">
        <v>5448057</v>
      </c>
      <c r="AA158" s="24">
        <v>10727849</v>
      </c>
      <c r="AB158" s="24">
        <v>18388372</v>
      </c>
      <c r="AC158" s="24">
        <v>21454270</v>
      </c>
      <c r="AD158" s="24">
        <v>27161701</v>
      </c>
      <c r="AE158" s="24">
        <v>27357787</v>
      </c>
      <c r="AF158" s="24">
        <v>27555725</v>
      </c>
      <c r="AG158" s="24">
        <v>27755539</v>
      </c>
      <c r="AH158" s="24">
        <v>27957237</v>
      </c>
      <c r="AI158" s="24">
        <v>26035550</v>
      </c>
      <c r="AJ158" s="24">
        <v>26223642</v>
      </c>
      <c r="AK158" s="24">
        <v>26413551</v>
      </c>
      <c r="AL158" s="24">
        <v>26605286</v>
      </c>
      <c r="AM158" s="24">
        <v>26798873</v>
      </c>
      <c r="AN158" s="24">
        <v>26994340</v>
      </c>
      <c r="AO158" s="24">
        <v>27191704</v>
      </c>
      <c r="AP158" s="24">
        <v>27390981</v>
      </c>
      <c r="AQ158" s="24">
        <v>27592200</v>
      </c>
      <c r="AR158" s="24">
        <v>26794654</v>
      </c>
      <c r="AS158" s="24">
        <v>25313312</v>
      </c>
      <c r="AT158" s="24">
        <v>22451423</v>
      </c>
      <c r="AU158" s="24">
        <v>16941804</v>
      </c>
      <c r="AV158" s="24">
        <v>10781695</v>
      </c>
      <c r="AW158" s="24">
        <v>7133105</v>
      </c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>
        <f>SUM(J158:BG158)</f>
        <v>547900000</v>
      </c>
    </row>
    <row r="159" spans="8:60" ht="15" customHeight="1" x14ac:dyDescent="0.15">
      <c r="H159" s="16" t="s">
        <v>50</v>
      </c>
      <c r="I159" s="19" t="s">
        <v>44</v>
      </c>
      <c r="J159" s="24"/>
      <c r="K159" s="24"/>
      <c r="L159" s="24"/>
      <c r="M159" s="24"/>
      <c r="N159" s="24"/>
      <c r="O159" s="24"/>
      <c r="P159" s="24"/>
      <c r="Q159" s="24"/>
      <c r="R159" s="24">
        <v>0</v>
      </c>
      <c r="S159" s="24">
        <v>93047</v>
      </c>
      <c r="T159" s="24">
        <v>148442</v>
      </c>
      <c r="U159" s="24">
        <v>299987</v>
      </c>
      <c r="V159" s="24">
        <v>671966</v>
      </c>
      <c r="W159" s="24">
        <v>1398836</v>
      </c>
      <c r="X159" s="24">
        <v>2164759</v>
      </c>
      <c r="Y159" s="24">
        <v>3869208</v>
      </c>
      <c r="Z159" s="24">
        <v>3999239</v>
      </c>
      <c r="AA159" s="24">
        <v>3979029</v>
      </c>
      <c r="AB159" s="24">
        <v>3930434</v>
      </c>
      <c r="AC159" s="24">
        <v>3836373</v>
      </c>
      <c r="AD159" s="24">
        <v>3694293</v>
      </c>
      <c r="AE159" s="24">
        <v>3498207</v>
      </c>
      <c r="AF159" s="24">
        <v>3300269</v>
      </c>
      <c r="AG159" s="24">
        <v>3100455</v>
      </c>
      <c r="AH159" s="24">
        <v>2898753</v>
      </c>
      <c r="AI159" s="24">
        <v>2699484</v>
      </c>
      <c r="AJ159" s="24">
        <v>2511392</v>
      </c>
      <c r="AK159" s="24">
        <v>2321483</v>
      </c>
      <c r="AL159" s="24">
        <v>2129748</v>
      </c>
      <c r="AM159" s="24">
        <v>1936161</v>
      </c>
      <c r="AN159" s="24">
        <v>1740694</v>
      </c>
      <c r="AO159" s="24">
        <v>1543330</v>
      </c>
      <c r="AP159" s="24">
        <v>1344053</v>
      </c>
      <c r="AQ159" s="24">
        <v>1142834</v>
      </c>
      <c r="AR159" s="24">
        <v>940902</v>
      </c>
      <c r="AS159" s="24">
        <v>740751</v>
      </c>
      <c r="AT159" s="24">
        <v>544695</v>
      </c>
      <c r="AU159" s="24">
        <v>357132</v>
      </c>
      <c r="AV159" s="24">
        <v>194193</v>
      </c>
      <c r="AW159" s="24">
        <v>67546</v>
      </c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>
        <f t="shared" ref="BH159:BH166" si="0">SUM(J159:BG159)</f>
        <v>61097695</v>
      </c>
    </row>
    <row r="160" spans="8:60" ht="15" customHeight="1" x14ac:dyDescent="0.15">
      <c r="H160" s="16" t="s">
        <v>52</v>
      </c>
      <c r="I160" s="19" t="s">
        <v>43</v>
      </c>
      <c r="J160" s="24"/>
      <c r="K160" s="24"/>
      <c r="L160" s="24"/>
      <c r="M160" s="24"/>
      <c r="N160" s="24"/>
      <c r="O160" s="24"/>
      <c r="P160" s="24"/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245281</v>
      </c>
      <c r="W160" s="24">
        <v>932127</v>
      </c>
      <c r="X160" s="24">
        <v>936055</v>
      </c>
      <c r="Y160" s="24">
        <v>940002</v>
      </c>
      <c r="Z160" s="24">
        <v>943966</v>
      </c>
      <c r="AA160" s="24">
        <v>947949</v>
      </c>
      <c r="AB160" s="24">
        <v>951949</v>
      </c>
      <c r="AC160" s="24">
        <v>955969</v>
      </c>
      <c r="AD160" s="24">
        <v>960008</v>
      </c>
      <c r="AE160" s="24">
        <v>964064</v>
      </c>
      <c r="AF160" s="24">
        <v>968140</v>
      </c>
      <c r="AG160" s="24">
        <v>972235</v>
      </c>
      <c r="AH160" s="24">
        <v>976349</v>
      </c>
      <c r="AI160" s="24">
        <v>980481</v>
      </c>
      <c r="AJ160" s="24">
        <v>984633</v>
      </c>
      <c r="AK160" s="24">
        <v>988804</v>
      </c>
      <c r="AL160" s="24">
        <v>992996</v>
      </c>
      <c r="AM160" s="24">
        <v>997205</v>
      </c>
      <c r="AN160" s="24">
        <v>1001435</v>
      </c>
      <c r="AO160" s="24">
        <v>1005684</v>
      </c>
      <c r="AP160" s="24">
        <v>754668</v>
      </c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>
        <f t="shared" si="0"/>
        <v>19400000</v>
      </c>
    </row>
    <row r="161" spans="8:60" ht="15" customHeight="1" x14ac:dyDescent="0.15">
      <c r="H161" s="16" t="s">
        <v>52</v>
      </c>
      <c r="I161" s="19" t="s">
        <v>44</v>
      </c>
      <c r="J161" s="24"/>
      <c r="K161" s="24"/>
      <c r="L161" s="24"/>
      <c r="M161" s="24"/>
      <c r="N161" s="24"/>
      <c r="O161" s="24"/>
      <c r="P161" s="24"/>
      <c r="Q161" s="24">
        <v>8342</v>
      </c>
      <c r="R161" s="24">
        <v>77167</v>
      </c>
      <c r="S161" s="24">
        <v>82000</v>
      </c>
      <c r="T161" s="24">
        <v>82000</v>
      </c>
      <c r="U161" s="24">
        <v>82000</v>
      </c>
      <c r="V161" s="24">
        <v>81877</v>
      </c>
      <c r="W161" s="24">
        <v>80529</v>
      </c>
      <c r="X161" s="24">
        <v>76601</v>
      </c>
      <c r="Y161" s="24">
        <v>72654</v>
      </c>
      <c r="Z161" s="24">
        <v>68690</v>
      </c>
      <c r="AA161" s="24">
        <v>64707</v>
      </c>
      <c r="AB161" s="24">
        <v>60707</v>
      </c>
      <c r="AC161" s="24">
        <v>56687</v>
      </c>
      <c r="AD161" s="24">
        <v>52648</v>
      </c>
      <c r="AE161" s="24">
        <v>48592</v>
      </c>
      <c r="AF161" s="24">
        <v>44516</v>
      </c>
      <c r="AG161" s="24">
        <v>40421</v>
      </c>
      <c r="AH161" s="24">
        <v>36307</v>
      </c>
      <c r="AI161" s="24">
        <v>32175</v>
      </c>
      <c r="AJ161" s="24">
        <v>28023</v>
      </c>
      <c r="AK161" s="24">
        <v>23852</v>
      </c>
      <c r="AL161" s="24">
        <v>19660</v>
      </c>
      <c r="AM161" s="24">
        <v>15451</v>
      </c>
      <c r="AN161" s="24">
        <v>11221</v>
      </c>
      <c r="AO161" s="24">
        <v>6972</v>
      </c>
      <c r="AP161" s="24">
        <v>2830</v>
      </c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>
        <f t="shared" si="0"/>
        <v>1256629</v>
      </c>
    </row>
    <row r="162" spans="8:60" ht="15" customHeight="1" x14ac:dyDescent="0.15">
      <c r="H162" s="16" t="s">
        <v>53</v>
      </c>
      <c r="I162" s="19" t="s">
        <v>43</v>
      </c>
      <c r="J162" s="24"/>
      <c r="K162" s="24"/>
      <c r="L162" s="24"/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196435</v>
      </c>
      <c r="T162" s="24">
        <v>199195</v>
      </c>
      <c r="U162" s="24">
        <v>1323478</v>
      </c>
      <c r="V162" s="24">
        <v>1433808</v>
      </c>
      <c r="W162" s="24">
        <v>2288847</v>
      </c>
      <c r="X162" s="24">
        <v>2997153</v>
      </c>
      <c r="Y162" s="24">
        <v>3015635</v>
      </c>
      <c r="Z162" s="24">
        <v>3034292</v>
      </c>
      <c r="AA162" s="24">
        <v>5078129</v>
      </c>
      <c r="AB162" s="24">
        <v>13287150</v>
      </c>
      <c r="AC162" s="24">
        <v>2266349</v>
      </c>
      <c r="AD162" s="24">
        <v>2285734</v>
      </c>
      <c r="AE162" s="24">
        <v>2305305</v>
      </c>
      <c r="AF162" s="24">
        <v>2325067</v>
      </c>
      <c r="AG162" s="24">
        <v>2345015</v>
      </c>
      <c r="AH162" s="24">
        <v>2365158</v>
      </c>
      <c r="AI162" s="24">
        <v>2385494</v>
      </c>
      <c r="AJ162" s="24">
        <v>2406029</v>
      </c>
      <c r="AK162" s="24">
        <v>2426761</v>
      </c>
      <c r="AL162" s="24">
        <v>2447691</v>
      </c>
      <c r="AM162" s="24">
        <v>2209172</v>
      </c>
      <c r="AN162" s="24">
        <v>2226864</v>
      </c>
      <c r="AO162" s="24">
        <v>875609</v>
      </c>
      <c r="AP162" s="24">
        <v>775630</v>
      </c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>
        <f t="shared" si="0"/>
        <v>62500000</v>
      </c>
    </row>
    <row r="163" spans="8:60" ht="15" customHeight="1" x14ac:dyDescent="0.15">
      <c r="H163" s="16" t="s">
        <v>53</v>
      </c>
      <c r="I163" s="19" t="s">
        <v>44</v>
      </c>
      <c r="J163" s="24"/>
      <c r="K163" s="24"/>
      <c r="L163" s="24"/>
      <c r="M163" s="24">
        <v>0</v>
      </c>
      <c r="N163" s="24">
        <v>59116</v>
      </c>
      <c r="O163" s="24">
        <v>63000</v>
      </c>
      <c r="P163" s="24">
        <v>294773</v>
      </c>
      <c r="Q163" s="24">
        <v>317506</v>
      </c>
      <c r="R163" s="24">
        <v>399587</v>
      </c>
      <c r="S163" s="24">
        <v>469304</v>
      </c>
      <c r="T163" s="24">
        <v>466045</v>
      </c>
      <c r="U163" s="24">
        <v>460238</v>
      </c>
      <c r="V163" s="24">
        <v>446062</v>
      </c>
      <c r="W163" s="24">
        <v>430409</v>
      </c>
      <c r="X163" s="24">
        <v>410876</v>
      </c>
      <c r="Y163" s="24">
        <v>388326</v>
      </c>
      <c r="Z163" s="24">
        <v>365805</v>
      </c>
      <c r="AA163" s="24">
        <v>343105</v>
      </c>
      <c r="AB163" s="24">
        <v>288427</v>
      </c>
      <c r="AC163" s="24">
        <v>240783</v>
      </c>
      <c r="AD163" s="24">
        <v>221398</v>
      </c>
      <c r="AE163" s="24">
        <v>201827</v>
      </c>
      <c r="AF163" s="24">
        <v>182065</v>
      </c>
      <c r="AG163" s="24">
        <v>162117</v>
      </c>
      <c r="AH163" s="24">
        <v>141974</v>
      </c>
      <c r="AI163" s="24">
        <v>121638</v>
      </c>
      <c r="AJ163" s="24">
        <v>101103</v>
      </c>
      <c r="AK163" s="24">
        <v>80371</v>
      </c>
      <c r="AL163" s="24">
        <v>59441</v>
      </c>
      <c r="AM163" s="24">
        <v>39210</v>
      </c>
      <c r="AN163" s="24">
        <v>21518</v>
      </c>
      <c r="AO163" s="24">
        <v>7085</v>
      </c>
      <c r="AP163" s="24">
        <v>2910</v>
      </c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>
        <f t="shared" si="0"/>
        <v>6786019</v>
      </c>
    </row>
    <row r="164" spans="8:60" ht="15" customHeight="1" x14ac:dyDescent="0.15">
      <c r="H164" s="16" t="s">
        <v>54</v>
      </c>
      <c r="I164" s="19" t="s">
        <v>43</v>
      </c>
      <c r="J164" s="24"/>
      <c r="K164" s="24"/>
      <c r="L164" s="24"/>
      <c r="M164" s="24"/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703448</v>
      </c>
      <c r="T164" s="24">
        <v>711915</v>
      </c>
      <c r="U164" s="24">
        <v>1242634</v>
      </c>
      <c r="V164" s="24">
        <v>1386474</v>
      </c>
      <c r="W164" s="24">
        <v>1697060</v>
      </c>
      <c r="X164" s="24">
        <v>1711803</v>
      </c>
      <c r="Y164" s="24">
        <v>1726712</v>
      </c>
      <c r="Z164" s="24">
        <v>1741782</v>
      </c>
      <c r="AA164" s="24">
        <v>6177018</v>
      </c>
      <c r="AB164" s="24">
        <v>1476424</v>
      </c>
      <c r="AC164" s="24">
        <v>1491999</v>
      </c>
      <c r="AD164" s="24">
        <v>1507746</v>
      </c>
      <c r="AE164" s="24">
        <v>1523668</v>
      </c>
      <c r="AF164" s="24">
        <v>1539763</v>
      </c>
      <c r="AG164" s="24">
        <v>1556040</v>
      </c>
      <c r="AH164" s="24">
        <v>1572493</v>
      </c>
      <c r="AI164" s="24">
        <v>1589130</v>
      </c>
      <c r="AJ164" s="24">
        <v>1605949</v>
      </c>
      <c r="AK164" s="24">
        <v>1622954</v>
      </c>
      <c r="AL164" s="24">
        <v>1640148</v>
      </c>
      <c r="AM164" s="24">
        <v>763917</v>
      </c>
      <c r="AN164" s="24">
        <v>770737</v>
      </c>
      <c r="AO164" s="24">
        <v>140186</v>
      </c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>
        <f t="shared" si="0"/>
        <v>35900000</v>
      </c>
    </row>
    <row r="165" spans="8:60" ht="15" customHeight="1" x14ac:dyDescent="0.15">
      <c r="H165" s="16" t="s">
        <v>54</v>
      </c>
      <c r="I165" s="19" t="s">
        <v>44</v>
      </c>
      <c r="J165" s="24"/>
      <c r="K165" s="24"/>
      <c r="L165" s="24"/>
      <c r="M165" s="24"/>
      <c r="N165" s="24">
        <v>174795</v>
      </c>
      <c r="O165" s="24">
        <v>189600</v>
      </c>
      <c r="P165" s="24">
        <v>297510</v>
      </c>
      <c r="Q165" s="24">
        <v>314734</v>
      </c>
      <c r="R165" s="24">
        <v>342836</v>
      </c>
      <c r="S165" s="24">
        <v>340435</v>
      </c>
      <c r="T165" s="24">
        <v>332043</v>
      </c>
      <c r="U165" s="24">
        <v>322095</v>
      </c>
      <c r="V165" s="24">
        <v>308061</v>
      </c>
      <c r="W165" s="24">
        <v>293136</v>
      </c>
      <c r="X165" s="24">
        <v>277100</v>
      </c>
      <c r="Y165" s="24">
        <v>260760</v>
      </c>
      <c r="Z165" s="24">
        <v>244329</v>
      </c>
      <c r="AA165" s="24">
        <v>227731</v>
      </c>
      <c r="AB165" s="24">
        <v>190972</v>
      </c>
      <c r="AC165" s="24">
        <v>175397</v>
      </c>
      <c r="AD165" s="24">
        <v>159650</v>
      </c>
      <c r="AE165" s="24">
        <v>143728</v>
      </c>
      <c r="AF165" s="24">
        <v>127633</v>
      </c>
      <c r="AG165" s="24">
        <v>111356</v>
      </c>
      <c r="AH165" s="24">
        <v>94903</v>
      </c>
      <c r="AI165" s="24">
        <v>78266</v>
      </c>
      <c r="AJ165" s="24">
        <v>61447</v>
      </c>
      <c r="AK165" s="24">
        <v>44442</v>
      </c>
      <c r="AL165" s="24">
        <v>27248</v>
      </c>
      <c r="AM165" s="24">
        <v>12535</v>
      </c>
      <c r="AN165" s="24">
        <v>5715</v>
      </c>
      <c r="AO165" s="24">
        <v>420</v>
      </c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>
        <f t="shared" si="0"/>
        <v>5158877</v>
      </c>
    </row>
    <row r="166" spans="8:60" ht="15" customHeight="1" x14ac:dyDescent="0.15">
      <c r="H166" s="16" t="s">
        <v>51</v>
      </c>
      <c r="I166" s="19" t="s">
        <v>43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3693626</v>
      </c>
      <c r="P166" s="24">
        <v>3771599</v>
      </c>
      <c r="Q166" s="24">
        <v>3851219</v>
      </c>
      <c r="R166" s="24">
        <v>3932519</v>
      </c>
      <c r="S166" s="24">
        <v>4015536</v>
      </c>
      <c r="T166" s="24">
        <v>4100304</v>
      </c>
      <c r="U166" s="24">
        <v>4186863</v>
      </c>
      <c r="V166" s="24">
        <v>4275248</v>
      </c>
      <c r="W166" s="24">
        <v>4365501</v>
      </c>
      <c r="X166" s="24">
        <v>5835135</v>
      </c>
      <c r="Y166" s="24">
        <v>5936133</v>
      </c>
      <c r="Z166" s="24">
        <v>7003151</v>
      </c>
      <c r="AA166" s="24">
        <v>7108236</v>
      </c>
      <c r="AB166" s="24">
        <v>7215424</v>
      </c>
      <c r="AC166" s="24">
        <v>7324762</v>
      </c>
      <c r="AD166" s="24">
        <v>8867922</v>
      </c>
      <c r="AE166" s="24">
        <v>10446583</v>
      </c>
      <c r="AF166" s="24">
        <v>27959569</v>
      </c>
      <c r="AG166" s="24">
        <v>9807586</v>
      </c>
      <c r="AH166" s="24">
        <v>9974699</v>
      </c>
      <c r="AI166" s="24">
        <v>10144959</v>
      </c>
      <c r="AJ166" s="24">
        <v>10318437</v>
      </c>
      <c r="AK166" s="24">
        <v>10495191</v>
      </c>
      <c r="AL166" s="24">
        <v>10675290</v>
      </c>
      <c r="AM166" s="24">
        <v>10858797</v>
      </c>
      <c r="AN166" s="24">
        <v>4818920</v>
      </c>
      <c r="AO166" s="24">
        <v>4877996</v>
      </c>
      <c r="AP166" s="24">
        <v>4937909</v>
      </c>
      <c r="AQ166" s="24">
        <v>4998677</v>
      </c>
      <c r="AR166" s="24">
        <v>3538146</v>
      </c>
      <c r="AS166" s="24">
        <v>3593033</v>
      </c>
      <c r="AT166" s="24">
        <v>3648771</v>
      </c>
      <c r="AU166" s="24">
        <v>3705375</v>
      </c>
      <c r="AV166" s="24">
        <v>3762858</v>
      </c>
      <c r="AW166" s="24">
        <v>3821235</v>
      </c>
      <c r="AX166" s="24">
        <v>1932791</v>
      </c>
      <c r="AY166" s="24"/>
      <c r="AZ166" s="24"/>
      <c r="BA166" s="24"/>
      <c r="BB166" s="24"/>
      <c r="BC166" s="24"/>
      <c r="BD166" s="24"/>
      <c r="BE166" s="24"/>
      <c r="BF166" s="24"/>
      <c r="BG166" s="24"/>
      <c r="BH166" s="24">
        <f t="shared" si="0"/>
        <v>239800000</v>
      </c>
    </row>
    <row r="167" spans="8:60" ht="15" customHeight="1" x14ac:dyDescent="0.15">
      <c r="H167" s="16" t="s">
        <v>51</v>
      </c>
      <c r="I167" s="19" t="s">
        <v>44</v>
      </c>
      <c r="J167" s="24">
        <v>2102301</v>
      </c>
      <c r="K167" s="24">
        <v>2520000</v>
      </c>
      <c r="L167" s="24">
        <v>2520000</v>
      </c>
      <c r="M167" s="24">
        <v>2520000</v>
      </c>
      <c r="N167" s="24">
        <v>2520000</v>
      </c>
      <c r="O167" s="24">
        <v>2500710</v>
      </c>
      <c r="P167" s="24">
        <v>2422737</v>
      </c>
      <c r="Q167" s="24">
        <v>2343117</v>
      </c>
      <c r="R167" s="24">
        <v>2261817</v>
      </c>
      <c r="S167" s="24">
        <v>2320330</v>
      </c>
      <c r="T167" s="24">
        <v>2238532</v>
      </c>
      <c r="U167" s="24">
        <v>2151973</v>
      </c>
      <c r="V167" s="24">
        <v>2063588</v>
      </c>
      <c r="W167" s="24">
        <v>2098311</v>
      </c>
      <c r="X167" s="24">
        <v>2014787</v>
      </c>
      <c r="Y167" s="24">
        <v>2342366</v>
      </c>
      <c r="Z167" s="24">
        <v>2841256</v>
      </c>
      <c r="AA167" s="24">
        <v>2730773</v>
      </c>
      <c r="AB167" s="24">
        <v>2618519</v>
      </c>
      <c r="AC167" s="24">
        <v>2503450</v>
      </c>
      <c r="AD167" s="24">
        <v>2386518</v>
      </c>
      <c r="AE167" s="24">
        <v>2234084</v>
      </c>
      <c r="AF167" s="24">
        <v>2067974</v>
      </c>
      <c r="AG167" s="24">
        <v>1802460</v>
      </c>
      <c r="AH167" s="24">
        <v>1635347</v>
      </c>
      <c r="AI167" s="24">
        <v>1465087</v>
      </c>
      <c r="AJ167" s="24">
        <v>1291609</v>
      </c>
      <c r="AK167" s="24">
        <v>1114855</v>
      </c>
      <c r="AL167" s="24">
        <v>934756</v>
      </c>
      <c r="AM167" s="24">
        <v>751249</v>
      </c>
      <c r="AN167" s="24">
        <v>596790</v>
      </c>
      <c r="AO167" s="24">
        <v>537714</v>
      </c>
      <c r="AP167" s="24">
        <v>477801</v>
      </c>
      <c r="AQ167" s="24">
        <v>417033</v>
      </c>
      <c r="AR167" s="24">
        <v>357306</v>
      </c>
      <c r="AS167" s="24">
        <v>302419</v>
      </c>
      <c r="AT167" s="24">
        <v>246681</v>
      </c>
      <c r="AU167" s="24">
        <v>190077</v>
      </c>
      <c r="AV167" s="24">
        <v>132594</v>
      </c>
      <c r="AW167" s="24">
        <v>74217</v>
      </c>
      <c r="AX167" s="24">
        <v>14935</v>
      </c>
      <c r="AY167" s="24"/>
      <c r="AZ167" s="24"/>
      <c r="BA167" s="24"/>
      <c r="BB167" s="24"/>
      <c r="BC167" s="24"/>
      <c r="BD167" s="24"/>
      <c r="BE167" s="24"/>
      <c r="BF167" s="24"/>
      <c r="BG167" s="24"/>
      <c r="BH167" s="24">
        <f>SUM(J167:BG167)</f>
        <v>66666073</v>
      </c>
    </row>
    <row r="168" spans="8:60" ht="15" customHeight="1" x14ac:dyDescent="0.15">
      <c r="H168" s="16" t="s">
        <v>55</v>
      </c>
      <c r="I168" s="19" t="s">
        <v>43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3196799</v>
      </c>
      <c r="AF168" s="24">
        <v>9667324</v>
      </c>
      <c r="AG168" s="24">
        <v>16241793</v>
      </c>
      <c r="AH168" s="24">
        <v>22921873</v>
      </c>
      <c r="AI168" s="24">
        <v>29709262</v>
      </c>
      <c r="AJ168" s="24">
        <v>36605684</v>
      </c>
      <c r="AK168" s="24">
        <v>43612890</v>
      </c>
      <c r="AL168" s="24">
        <v>50732660</v>
      </c>
      <c r="AM168" s="24">
        <v>57966802</v>
      </c>
      <c r="AN168" s="24">
        <v>62120354</v>
      </c>
      <c r="AO168" s="24">
        <v>63118256</v>
      </c>
      <c r="AP168" s="24">
        <v>64132187</v>
      </c>
      <c r="AQ168" s="24">
        <v>65162407</v>
      </c>
      <c r="AR168" s="24">
        <v>66209176</v>
      </c>
      <c r="AS168" s="24">
        <v>67272760</v>
      </c>
      <c r="AT168" s="24">
        <v>68353429</v>
      </c>
      <c r="AU168" s="24">
        <v>69451458</v>
      </c>
      <c r="AV168" s="24">
        <v>70567126</v>
      </c>
      <c r="AW168" s="24">
        <v>71700716</v>
      </c>
      <c r="AX168" s="24">
        <v>72852516</v>
      </c>
      <c r="AY168" s="24">
        <v>69626020</v>
      </c>
      <c r="AZ168" s="24">
        <v>61915720</v>
      </c>
      <c r="BA168" s="24">
        <v>54081562</v>
      </c>
      <c r="BB168" s="24">
        <v>46121556</v>
      </c>
      <c r="BC168" s="24">
        <v>38033681</v>
      </c>
      <c r="BD168" s="24">
        <v>29815882</v>
      </c>
      <c r="BE168" s="24">
        <v>21466072</v>
      </c>
      <c r="BF168" s="24">
        <v>12982131</v>
      </c>
      <c r="BG168" s="24">
        <v>4361904</v>
      </c>
      <c r="BH168" s="24">
        <f t="shared" ref="BH168" si="1">SUM(J168:BG168)</f>
        <v>1350000000</v>
      </c>
    </row>
    <row r="169" spans="8:60" ht="15" customHeight="1" x14ac:dyDescent="0.15">
      <c r="H169" s="16" t="s">
        <v>55</v>
      </c>
      <c r="I169" s="19" t="s">
        <v>44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1032328</v>
      </c>
      <c r="AA169" s="24">
        <v>3432328</v>
      </c>
      <c r="AB169" s="24">
        <v>5832328</v>
      </c>
      <c r="AC169" s="24">
        <v>8232328</v>
      </c>
      <c r="AD169" s="24">
        <v>10632328</v>
      </c>
      <c r="AE169" s="24">
        <v>13032328</v>
      </c>
      <c r="AF169" s="24">
        <v>15355401</v>
      </c>
      <c r="AG169" s="24">
        <v>17574530</v>
      </c>
      <c r="AH169" s="24">
        <v>19688048</v>
      </c>
      <c r="AI169" s="24">
        <v>20661929</v>
      </c>
      <c r="AJ169" s="24">
        <v>20159105</v>
      </c>
      <c r="AK169" s="24">
        <v>19545497</v>
      </c>
      <c r="AL169" s="24">
        <v>18819325</v>
      </c>
      <c r="AM169" s="24">
        <v>17978781</v>
      </c>
      <c r="AN169" s="24">
        <v>17022028</v>
      </c>
      <c r="AO169" s="24">
        <v>16024126</v>
      </c>
      <c r="AP169" s="24">
        <v>15010195</v>
      </c>
      <c r="AQ169" s="24">
        <v>13979975</v>
      </c>
      <c r="AR169" s="24">
        <v>12933206</v>
      </c>
      <c r="AS169" s="24">
        <v>11869622</v>
      </c>
      <c r="AT169" s="24">
        <v>10788953</v>
      </c>
      <c r="AU169" s="24">
        <v>9690924</v>
      </c>
      <c r="AV169" s="24">
        <v>8575256</v>
      </c>
      <c r="AW169" s="24">
        <v>7441666</v>
      </c>
      <c r="AX169" s="24">
        <v>6289866</v>
      </c>
      <c r="AY169" s="24">
        <v>5119563</v>
      </c>
      <c r="AZ169" s="24">
        <v>4036265</v>
      </c>
      <c r="BA169" s="24">
        <v>3076825</v>
      </c>
      <c r="BB169" s="24">
        <v>2243233</v>
      </c>
      <c r="BC169" s="24">
        <v>1537510</v>
      </c>
      <c r="BD169" s="24">
        <v>961711</v>
      </c>
      <c r="BE169" s="24">
        <v>517923</v>
      </c>
      <c r="BF169" s="24">
        <v>208266</v>
      </c>
      <c r="BG169" s="24">
        <v>34895</v>
      </c>
      <c r="BH169" s="24">
        <f>SUM(J169:BG169)</f>
        <v>339338592</v>
      </c>
    </row>
    <row r="170" spans="8:60" ht="15" customHeight="1" x14ac:dyDescent="0.15">
      <c r="I170" s="19" t="s">
        <v>45</v>
      </c>
      <c r="J170" s="24">
        <f t="shared" ref="J170:BF170" si="2">J158+J159+J160+J161+J162+J163+J164+J165+J166+J167+J168+J169</f>
        <v>2102301</v>
      </c>
      <c r="K170" s="24">
        <f t="shared" si="2"/>
        <v>2520000</v>
      </c>
      <c r="L170" s="24">
        <f t="shared" si="2"/>
        <v>2520000</v>
      </c>
      <c r="M170" s="24">
        <f t="shared" si="2"/>
        <v>2520000</v>
      </c>
      <c r="N170" s="24">
        <f t="shared" si="2"/>
        <v>2753911</v>
      </c>
      <c r="O170" s="24">
        <f t="shared" si="2"/>
        <v>6446936</v>
      </c>
      <c r="P170" s="24">
        <f t="shared" si="2"/>
        <v>6786619</v>
      </c>
      <c r="Q170" s="24">
        <f t="shared" si="2"/>
        <v>6834918</v>
      </c>
      <c r="R170" s="24">
        <f t="shared" si="2"/>
        <v>7013926</v>
      </c>
      <c r="S170" s="24">
        <f t="shared" si="2"/>
        <v>8220535</v>
      </c>
      <c r="T170" s="24">
        <f t="shared" si="2"/>
        <v>8278476</v>
      </c>
      <c r="U170" s="24">
        <f t="shared" si="2"/>
        <v>10069268</v>
      </c>
      <c r="V170" s="24">
        <f t="shared" si="2"/>
        <v>10912365</v>
      </c>
      <c r="W170" s="24">
        <f t="shared" si="2"/>
        <v>13584756</v>
      </c>
      <c r="X170" s="24">
        <f t="shared" si="2"/>
        <v>17329877</v>
      </c>
      <c r="Y170" s="24">
        <f t="shared" si="2"/>
        <v>21077531</v>
      </c>
      <c r="Z170" s="24">
        <f t="shared" si="2"/>
        <v>26722895</v>
      </c>
      <c r="AA170" s="24">
        <f t="shared" si="2"/>
        <v>40816854</v>
      </c>
      <c r="AB170" s="24">
        <f t="shared" si="2"/>
        <v>54240706</v>
      </c>
      <c r="AC170" s="24">
        <f t="shared" si="2"/>
        <v>48538367</v>
      </c>
      <c r="AD170" s="24">
        <f t="shared" si="2"/>
        <v>57929946</v>
      </c>
      <c r="AE170" s="24">
        <f t="shared" si="2"/>
        <v>64952972</v>
      </c>
      <c r="AF170" s="24">
        <f t="shared" si="2"/>
        <v>91093446</v>
      </c>
      <c r="AG170" s="24">
        <f t="shared" si="2"/>
        <v>81469547</v>
      </c>
      <c r="AH170" s="24">
        <f t="shared" si="2"/>
        <v>90263141</v>
      </c>
      <c r="AI170" s="24">
        <f t="shared" si="2"/>
        <v>95903455</v>
      </c>
      <c r="AJ170" s="24">
        <f t="shared" si="2"/>
        <v>102297053</v>
      </c>
      <c r="AK170" s="24">
        <f t="shared" si="2"/>
        <v>108690651</v>
      </c>
      <c r="AL170" s="24">
        <f t="shared" si="2"/>
        <v>115084249</v>
      </c>
      <c r="AM170" s="24">
        <f t="shared" si="2"/>
        <v>120328153</v>
      </c>
      <c r="AN170" s="24">
        <f t="shared" si="2"/>
        <v>117330616</v>
      </c>
      <c r="AO170" s="24">
        <f t="shared" si="2"/>
        <v>115329082</v>
      </c>
      <c r="AP170" s="24">
        <f t="shared" si="2"/>
        <v>114829164</v>
      </c>
      <c r="AQ170" s="24">
        <f t="shared" si="2"/>
        <v>113293126</v>
      </c>
      <c r="AR170" s="24">
        <f t="shared" si="2"/>
        <v>110773390</v>
      </c>
      <c r="AS170" s="24">
        <f t="shared" si="2"/>
        <v>109091897</v>
      </c>
      <c r="AT170" s="24">
        <f t="shared" si="2"/>
        <v>106033952</v>
      </c>
      <c r="AU170" s="24">
        <f t="shared" si="2"/>
        <v>100336770</v>
      </c>
      <c r="AV170" s="24">
        <f t="shared" si="2"/>
        <v>94013722</v>
      </c>
      <c r="AW170" s="24">
        <f t="shared" si="2"/>
        <v>90238485</v>
      </c>
      <c r="AX170" s="24">
        <f t="shared" si="2"/>
        <v>81090108</v>
      </c>
      <c r="AY170" s="24">
        <f t="shared" si="2"/>
        <v>74745583</v>
      </c>
      <c r="AZ170" s="24">
        <f t="shared" si="2"/>
        <v>65951985</v>
      </c>
      <c r="BA170" s="24">
        <f t="shared" si="2"/>
        <v>57158387</v>
      </c>
      <c r="BB170" s="24">
        <f t="shared" si="2"/>
        <v>48364789</v>
      </c>
      <c r="BC170" s="24">
        <f t="shared" si="2"/>
        <v>39571191</v>
      </c>
      <c r="BD170" s="24">
        <f t="shared" si="2"/>
        <v>30777593</v>
      </c>
      <c r="BE170" s="24">
        <f t="shared" si="2"/>
        <v>21983995</v>
      </c>
      <c r="BF170" s="24">
        <f t="shared" si="2"/>
        <v>13190397</v>
      </c>
      <c r="BG170" s="24">
        <f>BG158+BG159+BG160+BG161+BG162+BG163+BG164+BG165+BG166+BG167+BG168+BG169</f>
        <v>4396799</v>
      </c>
      <c r="BH170" s="24">
        <f>SUM(J170:BG170)</f>
        <v>2735803885</v>
      </c>
    </row>
    <row r="171" spans="8:60" ht="15" customHeight="1" x14ac:dyDescent="0.15">
      <c r="I171" s="31"/>
    </row>
    <row r="172" spans="8:60" ht="15" customHeight="1" x14ac:dyDescent="0.15">
      <c r="I172" s="31"/>
    </row>
    <row r="173" spans="8:60" ht="15" customHeight="1" x14ac:dyDescent="0.15">
      <c r="BH173" s="21" t="s">
        <v>47</v>
      </c>
    </row>
    <row r="174" spans="8:60" ht="15" customHeight="1" x14ac:dyDescent="0.15">
      <c r="I174" s="30"/>
      <c r="J174" s="19">
        <v>24</v>
      </c>
      <c r="K174" s="19">
        <v>25</v>
      </c>
      <c r="L174" s="19">
        <v>26</v>
      </c>
      <c r="M174" s="19">
        <v>24</v>
      </c>
      <c r="N174" s="19">
        <v>25</v>
      </c>
      <c r="O174" s="19">
        <v>26</v>
      </c>
      <c r="P174" s="19">
        <v>27</v>
      </c>
      <c r="Q174" s="19">
        <v>28</v>
      </c>
      <c r="R174" s="19">
        <v>29</v>
      </c>
      <c r="S174" s="19">
        <v>30</v>
      </c>
      <c r="T174" s="19">
        <v>31</v>
      </c>
      <c r="U174" s="19">
        <v>2</v>
      </c>
      <c r="V174" s="19">
        <v>3</v>
      </c>
      <c r="W174" s="19">
        <v>4</v>
      </c>
      <c r="X174" s="19">
        <v>5</v>
      </c>
      <c r="Y174" s="19">
        <v>6</v>
      </c>
      <c r="Z174" s="19">
        <v>7</v>
      </c>
      <c r="AA174" s="19">
        <v>8</v>
      </c>
      <c r="AB174" s="19">
        <v>9</v>
      </c>
      <c r="AC174" s="19">
        <v>10</v>
      </c>
      <c r="AD174" s="19">
        <v>11</v>
      </c>
      <c r="AE174" s="19">
        <v>12</v>
      </c>
      <c r="AF174" s="19">
        <v>13</v>
      </c>
      <c r="AG174" s="19">
        <v>14</v>
      </c>
      <c r="AH174" s="19">
        <v>15</v>
      </c>
      <c r="AI174" s="19">
        <v>16</v>
      </c>
      <c r="AJ174" s="19">
        <v>17</v>
      </c>
      <c r="AK174" s="19">
        <v>18</v>
      </c>
      <c r="AL174" s="19">
        <v>19</v>
      </c>
      <c r="AM174" s="19">
        <v>20</v>
      </c>
      <c r="AN174" s="19">
        <v>21</v>
      </c>
      <c r="AO174" s="19">
        <v>22</v>
      </c>
      <c r="AP174" s="19">
        <v>23</v>
      </c>
      <c r="AQ174" s="19">
        <v>24</v>
      </c>
      <c r="AR174" s="19">
        <v>25</v>
      </c>
      <c r="AS174" s="19">
        <v>26</v>
      </c>
      <c r="AT174" s="19">
        <v>27</v>
      </c>
      <c r="AU174" s="19">
        <v>28</v>
      </c>
      <c r="AV174" s="19">
        <v>29</v>
      </c>
      <c r="AW174" s="19">
        <v>30</v>
      </c>
      <c r="AX174" s="19">
        <v>31</v>
      </c>
      <c r="AY174" s="19">
        <v>32</v>
      </c>
      <c r="AZ174" s="19">
        <v>33</v>
      </c>
      <c r="BA174" s="19">
        <v>34</v>
      </c>
      <c r="BB174" s="19">
        <v>35</v>
      </c>
      <c r="BC174" s="19">
        <v>36</v>
      </c>
      <c r="BD174" s="19">
        <v>37</v>
      </c>
      <c r="BE174" s="19">
        <v>38</v>
      </c>
      <c r="BF174" s="19">
        <v>39</v>
      </c>
      <c r="BG174" s="19">
        <v>40</v>
      </c>
      <c r="BH174" s="19" t="s">
        <v>45</v>
      </c>
    </row>
    <row r="175" spans="8:60" ht="15" customHeight="1" x14ac:dyDescent="0.15">
      <c r="H175" s="16" t="s">
        <v>50</v>
      </c>
      <c r="I175" s="19" t="s">
        <v>43</v>
      </c>
      <c r="J175" s="25">
        <f t="shared" ref="J175:AO175" si="3">ROUND(J158/1000000,0)</f>
        <v>0</v>
      </c>
      <c r="K175" s="25">
        <f t="shared" si="3"/>
        <v>0</v>
      </c>
      <c r="L175" s="25">
        <f t="shared" si="3"/>
        <v>0</v>
      </c>
      <c r="M175" s="25">
        <f t="shared" si="3"/>
        <v>0</v>
      </c>
      <c r="N175" s="25">
        <f t="shared" si="3"/>
        <v>0</v>
      </c>
      <c r="O175" s="25">
        <f t="shared" si="3"/>
        <v>0</v>
      </c>
      <c r="P175" s="25">
        <f t="shared" si="3"/>
        <v>0</v>
      </c>
      <c r="Q175" s="25">
        <f t="shared" si="3"/>
        <v>0</v>
      </c>
      <c r="R175" s="25">
        <f t="shared" si="3"/>
        <v>0</v>
      </c>
      <c r="S175" s="25">
        <f t="shared" si="3"/>
        <v>0</v>
      </c>
      <c r="T175" s="25">
        <f t="shared" si="3"/>
        <v>0</v>
      </c>
      <c r="U175" s="25">
        <f t="shared" si="3"/>
        <v>0</v>
      </c>
      <c r="V175" s="25">
        <f t="shared" si="3"/>
        <v>0</v>
      </c>
      <c r="W175" s="25">
        <f t="shared" si="3"/>
        <v>0</v>
      </c>
      <c r="X175" s="25">
        <f t="shared" si="3"/>
        <v>1</v>
      </c>
      <c r="Y175" s="25">
        <f t="shared" si="3"/>
        <v>3</v>
      </c>
      <c r="Z175" s="25">
        <f t="shared" si="3"/>
        <v>5</v>
      </c>
      <c r="AA175" s="25">
        <f t="shared" si="3"/>
        <v>11</v>
      </c>
      <c r="AB175" s="25">
        <f t="shared" si="3"/>
        <v>18</v>
      </c>
      <c r="AC175" s="25">
        <f t="shared" si="3"/>
        <v>21</v>
      </c>
      <c r="AD175" s="25">
        <f t="shared" si="3"/>
        <v>27</v>
      </c>
      <c r="AE175" s="25">
        <f t="shared" si="3"/>
        <v>27</v>
      </c>
      <c r="AF175" s="25">
        <f t="shared" si="3"/>
        <v>28</v>
      </c>
      <c r="AG175" s="25">
        <f t="shared" si="3"/>
        <v>28</v>
      </c>
      <c r="AH175" s="25">
        <f t="shared" si="3"/>
        <v>28</v>
      </c>
      <c r="AI175" s="25">
        <f t="shared" si="3"/>
        <v>26</v>
      </c>
      <c r="AJ175" s="25">
        <f t="shared" si="3"/>
        <v>26</v>
      </c>
      <c r="AK175" s="25">
        <f t="shared" si="3"/>
        <v>26</v>
      </c>
      <c r="AL175" s="25">
        <f t="shared" si="3"/>
        <v>27</v>
      </c>
      <c r="AM175" s="25">
        <f t="shared" si="3"/>
        <v>27</v>
      </c>
      <c r="AN175" s="25">
        <f t="shared" si="3"/>
        <v>27</v>
      </c>
      <c r="AO175" s="25">
        <f t="shared" si="3"/>
        <v>27</v>
      </c>
      <c r="AP175" s="25">
        <f t="shared" ref="AP175:BH175" si="4">ROUND(AP158/1000000,0)</f>
        <v>27</v>
      </c>
      <c r="AQ175" s="25">
        <f t="shared" si="4"/>
        <v>28</v>
      </c>
      <c r="AR175" s="25">
        <f t="shared" si="4"/>
        <v>27</v>
      </c>
      <c r="AS175" s="25">
        <f t="shared" si="4"/>
        <v>25</v>
      </c>
      <c r="AT175" s="25">
        <f t="shared" si="4"/>
        <v>22</v>
      </c>
      <c r="AU175" s="25">
        <f t="shared" si="4"/>
        <v>17</v>
      </c>
      <c r="AV175" s="25">
        <f t="shared" si="4"/>
        <v>11</v>
      </c>
      <c r="AW175" s="25">
        <f t="shared" si="4"/>
        <v>7</v>
      </c>
      <c r="AX175" s="25">
        <f t="shared" si="4"/>
        <v>0</v>
      </c>
      <c r="AY175" s="25">
        <f t="shared" si="4"/>
        <v>0</v>
      </c>
      <c r="AZ175" s="25">
        <f t="shared" si="4"/>
        <v>0</v>
      </c>
      <c r="BA175" s="25">
        <f t="shared" si="4"/>
        <v>0</v>
      </c>
      <c r="BB175" s="25">
        <f t="shared" si="4"/>
        <v>0</v>
      </c>
      <c r="BC175" s="25">
        <f t="shared" si="4"/>
        <v>0</v>
      </c>
      <c r="BD175" s="25">
        <f t="shared" si="4"/>
        <v>0</v>
      </c>
      <c r="BE175" s="25">
        <f t="shared" si="4"/>
        <v>0</v>
      </c>
      <c r="BF175" s="25">
        <f t="shared" si="4"/>
        <v>0</v>
      </c>
      <c r="BG175" s="25">
        <f t="shared" si="4"/>
        <v>0</v>
      </c>
      <c r="BH175" s="25">
        <f t="shared" si="4"/>
        <v>548</v>
      </c>
    </row>
    <row r="176" spans="8:60" ht="15" customHeight="1" x14ac:dyDescent="0.15">
      <c r="H176" s="16" t="s">
        <v>50</v>
      </c>
      <c r="I176" s="19" t="s">
        <v>44</v>
      </c>
      <c r="J176" s="25">
        <f t="shared" ref="J176:AO176" si="5">ROUND(J159/1000000,0)</f>
        <v>0</v>
      </c>
      <c r="K176" s="25">
        <f t="shared" si="5"/>
        <v>0</v>
      </c>
      <c r="L176" s="25">
        <f t="shared" si="5"/>
        <v>0</v>
      </c>
      <c r="M176" s="25">
        <f t="shared" si="5"/>
        <v>0</v>
      </c>
      <c r="N176" s="25">
        <f t="shared" si="5"/>
        <v>0</v>
      </c>
      <c r="O176" s="25">
        <f t="shared" si="5"/>
        <v>0</v>
      </c>
      <c r="P176" s="25">
        <f t="shared" si="5"/>
        <v>0</v>
      </c>
      <c r="Q176" s="25">
        <f t="shared" si="5"/>
        <v>0</v>
      </c>
      <c r="R176" s="25">
        <f t="shared" si="5"/>
        <v>0</v>
      </c>
      <c r="S176" s="25">
        <f t="shared" si="5"/>
        <v>0</v>
      </c>
      <c r="T176" s="25">
        <f t="shared" si="5"/>
        <v>0</v>
      </c>
      <c r="U176" s="25">
        <f t="shared" si="5"/>
        <v>0</v>
      </c>
      <c r="V176" s="25">
        <f t="shared" si="5"/>
        <v>1</v>
      </c>
      <c r="W176" s="25">
        <f t="shared" si="5"/>
        <v>1</v>
      </c>
      <c r="X176" s="25">
        <f t="shared" si="5"/>
        <v>2</v>
      </c>
      <c r="Y176" s="25">
        <f t="shared" si="5"/>
        <v>4</v>
      </c>
      <c r="Z176" s="25">
        <f t="shared" si="5"/>
        <v>4</v>
      </c>
      <c r="AA176" s="25">
        <f t="shared" si="5"/>
        <v>4</v>
      </c>
      <c r="AB176" s="25">
        <f t="shared" si="5"/>
        <v>4</v>
      </c>
      <c r="AC176" s="25">
        <f t="shared" si="5"/>
        <v>4</v>
      </c>
      <c r="AD176" s="25">
        <f t="shared" si="5"/>
        <v>4</v>
      </c>
      <c r="AE176" s="25">
        <f t="shared" si="5"/>
        <v>3</v>
      </c>
      <c r="AF176" s="25">
        <f t="shared" si="5"/>
        <v>3</v>
      </c>
      <c r="AG176" s="25">
        <f t="shared" si="5"/>
        <v>3</v>
      </c>
      <c r="AH176" s="25">
        <f t="shared" si="5"/>
        <v>3</v>
      </c>
      <c r="AI176" s="25">
        <f t="shared" si="5"/>
        <v>3</v>
      </c>
      <c r="AJ176" s="25">
        <f t="shared" si="5"/>
        <v>3</v>
      </c>
      <c r="AK176" s="25">
        <f t="shared" si="5"/>
        <v>2</v>
      </c>
      <c r="AL176" s="25">
        <f t="shared" si="5"/>
        <v>2</v>
      </c>
      <c r="AM176" s="25">
        <f t="shared" si="5"/>
        <v>2</v>
      </c>
      <c r="AN176" s="25">
        <f t="shared" si="5"/>
        <v>2</v>
      </c>
      <c r="AO176" s="25">
        <f t="shared" si="5"/>
        <v>2</v>
      </c>
      <c r="AP176" s="25">
        <f t="shared" ref="AP176:BH176" si="6">ROUND(AP159/1000000,0)</f>
        <v>1</v>
      </c>
      <c r="AQ176" s="25">
        <f t="shared" si="6"/>
        <v>1</v>
      </c>
      <c r="AR176" s="25">
        <f t="shared" si="6"/>
        <v>1</v>
      </c>
      <c r="AS176" s="25">
        <f t="shared" si="6"/>
        <v>1</v>
      </c>
      <c r="AT176" s="25">
        <f t="shared" si="6"/>
        <v>1</v>
      </c>
      <c r="AU176" s="25">
        <f t="shared" si="6"/>
        <v>0</v>
      </c>
      <c r="AV176" s="25">
        <f t="shared" si="6"/>
        <v>0</v>
      </c>
      <c r="AW176" s="25">
        <f t="shared" si="6"/>
        <v>0</v>
      </c>
      <c r="AX176" s="25">
        <f t="shared" si="6"/>
        <v>0</v>
      </c>
      <c r="AY176" s="25">
        <f t="shared" si="6"/>
        <v>0</v>
      </c>
      <c r="AZ176" s="25">
        <f t="shared" si="6"/>
        <v>0</v>
      </c>
      <c r="BA176" s="25">
        <f t="shared" si="6"/>
        <v>0</v>
      </c>
      <c r="BB176" s="25">
        <f t="shared" si="6"/>
        <v>0</v>
      </c>
      <c r="BC176" s="25">
        <f t="shared" si="6"/>
        <v>0</v>
      </c>
      <c r="BD176" s="25">
        <f t="shared" si="6"/>
        <v>0</v>
      </c>
      <c r="BE176" s="25">
        <f t="shared" si="6"/>
        <v>0</v>
      </c>
      <c r="BF176" s="25">
        <f t="shared" si="6"/>
        <v>0</v>
      </c>
      <c r="BG176" s="25">
        <f t="shared" si="6"/>
        <v>0</v>
      </c>
      <c r="BH176" s="25">
        <f t="shared" si="6"/>
        <v>61</v>
      </c>
    </row>
    <row r="177" spans="8:60" ht="15" customHeight="1" x14ac:dyDescent="0.15">
      <c r="H177" s="16" t="s">
        <v>52</v>
      </c>
      <c r="I177" s="19" t="s">
        <v>43</v>
      </c>
      <c r="J177" s="25">
        <f t="shared" ref="J177:AO177" si="7">ROUND(J160/1000000,0)</f>
        <v>0</v>
      </c>
      <c r="K177" s="25">
        <f t="shared" si="7"/>
        <v>0</v>
      </c>
      <c r="L177" s="25">
        <f t="shared" si="7"/>
        <v>0</v>
      </c>
      <c r="M177" s="25">
        <f t="shared" si="7"/>
        <v>0</v>
      </c>
      <c r="N177" s="25">
        <f t="shared" si="7"/>
        <v>0</v>
      </c>
      <c r="O177" s="25">
        <f t="shared" si="7"/>
        <v>0</v>
      </c>
      <c r="P177" s="25">
        <f t="shared" si="7"/>
        <v>0</v>
      </c>
      <c r="Q177" s="25">
        <f t="shared" si="7"/>
        <v>0</v>
      </c>
      <c r="R177" s="25">
        <f t="shared" si="7"/>
        <v>0</v>
      </c>
      <c r="S177" s="25">
        <f t="shared" si="7"/>
        <v>0</v>
      </c>
      <c r="T177" s="25">
        <f t="shared" si="7"/>
        <v>0</v>
      </c>
      <c r="U177" s="25">
        <f t="shared" si="7"/>
        <v>0</v>
      </c>
      <c r="V177" s="25">
        <f t="shared" si="7"/>
        <v>0</v>
      </c>
      <c r="W177" s="25">
        <f t="shared" si="7"/>
        <v>1</v>
      </c>
      <c r="X177" s="25">
        <f t="shared" si="7"/>
        <v>1</v>
      </c>
      <c r="Y177" s="25">
        <f t="shared" si="7"/>
        <v>1</v>
      </c>
      <c r="Z177" s="25">
        <f t="shared" si="7"/>
        <v>1</v>
      </c>
      <c r="AA177" s="25">
        <f t="shared" si="7"/>
        <v>1</v>
      </c>
      <c r="AB177" s="25">
        <f t="shared" si="7"/>
        <v>1</v>
      </c>
      <c r="AC177" s="25">
        <f t="shared" si="7"/>
        <v>1</v>
      </c>
      <c r="AD177" s="25">
        <f t="shared" si="7"/>
        <v>1</v>
      </c>
      <c r="AE177" s="25">
        <f t="shared" si="7"/>
        <v>1</v>
      </c>
      <c r="AF177" s="25">
        <f t="shared" si="7"/>
        <v>1</v>
      </c>
      <c r="AG177" s="25">
        <f t="shared" si="7"/>
        <v>1</v>
      </c>
      <c r="AH177" s="25">
        <f t="shared" si="7"/>
        <v>1</v>
      </c>
      <c r="AI177" s="25">
        <f t="shared" si="7"/>
        <v>1</v>
      </c>
      <c r="AJ177" s="25">
        <f t="shared" si="7"/>
        <v>1</v>
      </c>
      <c r="AK177" s="25">
        <f t="shared" si="7"/>
        <v>1</v>
      </c>
      <c r="AL177" s="25">
        <f t="shared" si="7"/>
        <v>1</v>
      </c>
      <c r="AM177" s="25">
        <f t="shared" si="7"/>
        <v>1</v>
      </c>
      <c r="AN177" s="25">
        <f t="shared" si="7"/>
        <v>1</v>
      </c>
      <c r="AO177" s="25">
        <f t="shared" si="7"/>
        <v>1</v>
      </c>
      <c r="AP177" s="25">
        <f t="shared" ref="AP177:BH177" si="8">ROUND(AP160/1000000,0)</f>
        <v>1</v>
      </c>
      <c r="AQ177" s="25">
        <f t="shared" si="8"/>
        <v>0</v>
      </c>
      <c r="AR177" s="25">
        <f t="shared" si="8"/>
        <v>0</v>
      </c>
      <c r="AS177" s="25">
        <f t="shared" si="8"/>
        <v>0</v>
      </c>
      <c r="AT177" s="25">
        <f t="shared" si="8"/>
        <v>0</v>
      </c>
      <c r="AU177" s="25">
        <f t="shared" si="8"/>
        <v>0</v>
      </c>
      <c r="AV177" s="25">
        <f t="shared" si="8"/>
        <v>0</v>
      </c>
      <c r="AW177" s="25">
        <f t="shared" si="8"/>
        <v>0</v>
      </c>
      <c r="AX177" s="25">
        <f t="shared" si="8"/>
        <v>0</v>
      </c>
      <c r="AY177" s="25">
        <f t="shared" si="8"/>
        <v>0</v>
      </c>
      <c r="AZ177" s="25">
        <f t="shared" si="8"/>
        <v>0</v>
      </c>
      <c r="BA177" s="25">
        <f t="shared" si="8"/>
        <v>0</v>
      </c>
      <c r="BB177" s="25">
        <f t="shared" si="8"/>
        <v>0</v>
      </c>
      <c r="BC177" s="25">
        <f t="shared" si="8"/>
        <v>0</v>
      </c>
      <c r="BD177" s="25">
        <f t="shared" si="8"/>
        <v>0</v>
      </c>
      <c r="BE177" s="25">
        <f t="shared" si="8"/>
        <v>0</v>
      </c>
      <c r="BF177" s="25">
        <f t="shared" si="8"/>
        <v>0</v>
      </c>
      <c r="BG177" s="25">
        <f t="shared" si="8"/>
        <v>0</v>
      </c>
      <c r="BH177" s="25">
        <f t="shared" si="8"/>
        <v>19</v>
      </c>
    </row>
    <row r="178" spans="8:60" ht="15" customHeight="1" x14ac:dyDescent="0.15">
      <c r="H178" s="16" t="s">
        <v>52</v>
      </c>
      <c r="I178" s="19" t="s">
        <v>44</v>
      </c>
      <c r="J178" s="25">
        <f t="shared" ref="J178:AO178" si="9">ROUND(J161/1000000,0)</f>
        <v>0</v>
      </c>
      <c r="K178" s="25">
        <f t="shared" si="9"/>
        <v>0</v>
      </c>
      <c r="L178" s="25">
        <f t="shared" si="9"/>
        <v>0</v>
      </c>
      <c r="M178" s="25">
        <f t="shared" si="9"/>
        <v>0</v>
      </c>
      <c r="N178" s="25">
        <f t="shared" si="9"/>
        <v>0</v>
      </c>
      <c r="O178" s="25">
        <f t="shared" si="9"/>
        <v>0</v>
      </c>
      <c r="P178" s="25">
        <f t="shared" si="9"/>
        <v>0</v>
      </c>
      <c r="Q178" s="25">
        <f t="shared" si="9"/>
        <v>0</v>
      </c>
      <c r="R178" s="25">
        <f t="shared" si="9"/>
        <v>0</v>
      </c>
      <c r="S178" s="25">
        <f t="shared" si="9"/>
        <v>0</v>
      </c>
      <c r="T178" s="25">
        <f t="shared" si="9"/>
        <v>0</v>
      </c>
      <c r="U178" s="25">
        <f t="shared" si="9"/>
        <v>0</v>
      </c>
      <c r="V178" s="25">
        <f t="shared" si="9"/>
        <v>0</v>
      </c>
      <c r="W178" s="25">
        <f t="shared" si="9"/>
        <v>0</v>
      </c>
      <c r="X178" s="25">
        <f t="shared" si="9"/>
        <v>0</v>
      </c>
      <c r="Y178" s="25">
        <f t="shared" si="9"/>
        <v>0</v>
      </c>
      <c r="Z178" s="25">
        <f t="shared" si="9"/>
        <v>0</v>
      </c>
      <c r="AA178" s="25">
        <f t="shared" si="9"/>
        <v>0</v>
      </c>
      <c r="AB178" s="25">
        <f t="shared" si="9"/>
        <v>0</v>
      </c>
      <c r="AC178" s="25">
        <f t="shared" si="9"/>
        <v>0</v>
      </c>
      <c r="AD178" s="25">
        <f t="shared" si="9"/>
        <v>0</v>
      </c>
      <c r="AE178" s="25">
        <f t="shared" si="9"/>
        <v>0</v>
      </c>
      <c r="AF178" s="25">
        <f t="shared" si="9"/>
        <v>0</v>
      </c>
      <c r="AG178" s="25">
        <f t="shared" si="9"/>
        <v>0</v>
      </c>
      <c r="AH178" s="25">
        <f t="shared" si="9"/>
        <v>0</v>
      </c>
      <c r="AI178" s="25">
        <f t="shared" si="9"/>
        <v>0</v>
      </c>
      <c r="AJ178" s="25">
        <f t="shared" si="9"/>
        <v>0</v>
      </c>
      <c r="AK178" s="25">
        <f t="shared" si="9"/>
        <v>0</v>
      </c>
      <c r="AL178" s="25">
        <f t="shared" si="9"/>
        <v>0</v>
      </c>
      <c r="AM178" s="25">
        <f t="shared" si="9"/>
        <v>0</v>
      </c>
      <c r="AN178" s="25">
        <f t="shared" si="9"/>
        <v>0</v>
      </c>
      <c r="AO178" s="25">
        <f t="shared" si="9"/>
        <v>0</v>
      </c>
      <c r="AP178" s="25">
        <f t="shared" ref="AP178:BH178" si="10">ROUND(AP161/1000000,0)</f>
        <v>0</v>
      </c>
      <c r="AQ178" s="25">
        <f t="shared" si="10"/>
        <v>0</v>
      </c>
      <c r="AR178" s="25">
        <f t="shared" si="10"/>
        <v>0</v>
      </c>
      <c r="AS178" s="25">
        <f t="shared" si="10"/>
        <v>0</v>
      </c>
      <c r="AT178" s="25">
        <f t="shared" si="10"/>
        <v>0</v>
      </c>
      <c r="AU178" s="25">
        <f t="shared" si="10"/>
        <v>0</v>
      </c>
      <c r="AV178" s="25">
        <f t="shared" si="10"/>
        <v>0</v>
      </c>
      <c r="AW178" s="25">
        <f t="shared" si="10"/>
        <v>0</v>
      </c>
      <c r="AX178" s="25">
        <f t="shared" si="10"/>
        <v>0</v>
      </c>
      <c r="AY178" s="25">
        <f t="shared" si="10"/>
        <v>0</v>
      </c>
      <c r="AZ178" s="25">
        <f t="shared" si="10"/>
        <v>0</v>
      </c>
      <c r="BA178" s="25">
        <f t="shared" si="10"/>
        <v>0</v>
      </c>
      <c r="BB178" s="25">
        <f t="shared" si="10"/>
        <v>0</v>
      </c>
      <c r="BC178" s="25">
        <f t="shared" si="10"/>
        <v>0</v>
      </c>
      <c r="BD178" s="25">
        <f t="shared" si="10"/>
        <v>0</v>
      </c>
      <c r="BE178" s="25">
        <f t="shared" si="10"/>
        <v>0</v>
      </c>
      <c r="BF178" s="25">
        <f t="shared" si="10"/>
        <v>0</v>
      </c>
      <c r="BG178" s="25">
        <f t="shared" si="10"/>
        <v>0</v>
      </c>
      <c r="BH178" s="25">
        <f t="shared" si="10"/>
        <v>1</v>
      </c>
    </row>
    <row r="179" spans="8:60" ht="15" customHeight="1" x14ac:dyDescent="0.15">
      <c r="H179" s="16" t="s">
        <v>53</v>
      </c>
      <c r="I179" s="19" t="s">
        <v>43</v>
      </c>
      <c r="J179" s="25">
        <f t="shared" ref="J179:AO179" si="11">ROUND(J162/1000000,0)</f>
        <v>0</v>
      </c>
      <c r="K179" s="25">
        <f t="shared" si="11"/>
        <v>0</v>
      </c>
      <c r="L179" s="25">
        <f t="shared" si="11"/>
        <v>0</v>
      </c>
      <c r="M179" s="25">
        <f t="shared" si="11"/>
        <v>0</v>
      </c>
      <c r="N179" s="25">
        <f t="shared" si="11"/>
        <v>0</v>
      </c>
      <c r="O179" s="25">
        <f t="shared" si="11"/>
        <v>0</v>
      </c>
      <c r="P179" s="25">
        <f t="shared" si="11"/>
        <v>0</v>
      </c>
      <c r="Q179" s="25">
        <f t="shared" si="11"/>
        <v>0</v>
      </c>
      <c r="R179" s="25">
        <f t="shared" si="11"/>
        <v>0</v>
      </c>
      <c r="S179" s="25">
        <f t="shared" si="11"/>
        <v>0</v>
      </c>
      <c r="T179" s="25">
        <f t="shared" si="11"/>
        <v>0</v>
      </c>
      <c r="U179" s="25">
        <f t="shared" si="11"/>
        <v>1</v>
      </c>
      <c r="V179" s="25">
        <f t="shared" si="11"/>
        <v>1</v>
      </c>
      <c r="W179" s="25">
        <f t="shared" si="11"/>
        <v>2</v>
      </c>
      <c r="X179" s="25">
        <f t="shared" si="11"/>
        <v>3</v>
      </c>
      <c r="Y179" s="25">
        <f t="shared" si="11"/>
        <v>3</v>
      </c>
      <c r="Z179" s="25">
        <f t="shared" si="11"/>
        <v>3</v>
      </c>
      <c r="AA179" s="25">
        <f t="shared" si="11"/>
        <v>5</v>
      </c>
      <c r="AB179" s="25">
        <f t="shared" si="11"/>
        <v>13</v>
      </c>
      <c r="AC179" s="25">
        <f t="shared" si="11"/>
        <v>2</v>
      </c>
      <c r="AD179" s="25">
        <f t="shared" si="11"/>
        <v>2</v>
      </c>
      <c r="AE179" s="25">
        <f t="shared" si="11"/>
        <v>2</v>
      </c>
      <c r="AF179" s="25">
        <f t="shared" si="11"/>
        <v>2</v>
      </c>
      <c r="AG179" s="25">
        <f t="shared" si="11"/>
        <v>2</v>
      </c>
      <c r="AH179" s="25">
        <f t="shared" si="11"/>
        <v>2</v>
      </c>
      <c r="AI179" s="25">
        <f t="shared" si="11"/>
        <v>2</v>
      </c>
      <c r="AJ179" s="25">
        <f t="shared" si="11"/>
        <v>2</v>
      </c>
      <c r="AK179" s="25">
        <f t="shared" si="11"/>
        <v>2</v>
      </c>
      <c r="AL179" s="25">
        <f t="shared" si="11"/>
        <v>2</v>
      </c>
      <c r="AM179" s="25">
        <f t="shared" si="11"/>
        <v>2</v>
      </c>
      <c r="AN179" s="25">
        <f t="shared" si="11"/>
        <v>2</v>
      </c>
      <c r="AO179" s="25">
        <f t="shared" si="11"/>
        <v>1</v>
      </c>
      <c r="AP179" s="25">
        <f t="shared" ref="AP179:BH179" si="12">ROUND(AP162/1000000,0)</f>
        <v>1</v>
      </c>
      <c r="AQ179" s="25">
        <f t="shared" si="12"/>
        <v>0</v>
      </c>
      <c r="AR179" s="25">
        <f t="shared" si="12"/>
        <v>0</v>
      </c>
      <c r="AS179" s="25">
        <f t="shared" si="12"/>
        <v>0</v>
      </c>
      <c r="AT179" s="25">
        <f t="shared" si="12"/>
        <v>0</v>
      </c>
      <c r="AU179" s="25">
        <f t="shared" si="12"/>
        <v>0</v>
      </c>
      <c r="AV179" s="25">
        <f t="shared" si="12"/>
        <v>0</v>
      </c>
      <c r="AW179" s="25">
        <f t="shared" si="12"/>
        <v>0</v>
      </c>
      <c r="AX179" s="25">
        <f t="shared" si="12"/>
        <v>0</v>
      </c>
      <c r="AY179" s="25">
        <f t="shared" si="12"/>
        <v>0</v>
      </c>
      <c r="AZ179" s="25">
        <f t="shared" si="12"/>
        <v>0</v>
      </c>
      <c r="BA179" s="25">
        <f t="shared" si="12"/>
        <v>0</v>
      </c>
      <c r="BB179" s="25">
        <f t="shared" si="12"/>
        <v>0</v>
      </c>
      <c r="BC179" s="25">
        <f t="shared" si="12"/>
        <v>0</v>
      </c>
      <c r="BD179" s="25">
        <f t="shared" si="12"/>
        <v>0</v>
      </c>
      <c r="BE179" s="25">
        <f t="shared" si="12"/>
        <v>0</v>
      </c>
      <c r="BF179" s="25">
        <f t="shared" si="12"/>
        <v>0</v>
      </c>
      <c r="BG179" s="25">
        <f t="shared" si="12"/>
        <v>0</v>
      </c>
      <c r="BH179" s="25">
        <f t="shared" si="12"/>
        <v>63</v>
      </c>
    </row>
    <row r="180" spans="8:60" ht="15" customHeight="1" x14ac:dyDescent="0.15">
      <c r="H180" s="16" t="s">
        <v>53</v>
      </c>
      <c r="I180" s="19" t="s">
        <v>44</v>
      </c>
      <c r="J180" s="25">
        <f t="shared" ref="J180:AO180" si="13">ROUND(J163/1000000,0)</f>
        <v>0</v>
      </c>
      <c r="K180" s="25">
        <f t="shared" si="13"/>
        <v>0</v>
      </c>
      <c r="L180" s="25">
        <f t="shared" si="13"/>
        <v>0</v>
      </c>
      <c r="M180" s="25">
        <f t="shared" si="13"/>
        <v>0</v>
      </c>
      <c r="N180" s="25">
        <f t="shared" si="13"/>
        <v>0</v>
      </c>
      <c r="O180" s="25">
        <f t="shared" si="13"/>
        <v>0</v>
      </c>
      <c r="P180" s="25">
        <f t="shared" si="13"/>
        <v>0</v>
      </c>
      <c r="Q180" s="25">
        <f t="shared" si="13"/>
        <v>0</v>
      </c>
      <c r="R180" s="25">
        <f t="shared" si="13"/>
        <v>0</v>
      </c>
      <c r="S180" s="25">
        <f t="shared" si="13"/>
        <v>0</v>
      </c>
      <c r="T180" s="25">
        <f t="shared" si="13"/>
        <v>0</v>
      </c>
      <c r="U180" s="25">
        <f t="shared" si="13"/>
        <v>0</v>
      </c>
      <c r="V180" s="25">
        <f t="shared" si="13"/>
        <v>0</v>
      </c>
      <c r="W180" s="25">
        <f t="shared" si="13"/>
        <v>0</v>
      </c>
      <c r="X180" s="25">
        <f t="shared" si="13"/>
        <v>0</v>
      </c>
      <c r="Y180" s="25">
        <f t="shared" si="13"/>
        <v>0</v>
      </c>
      <c r="Z180" s="25">
        <f t="shared" si="13"/>
        <v>0</v>
      </c>
      <c r="AA180" s="25">
        <f t="shared" si="13"/>
        <v>0</v>
      </c>
      <c r="AB180" s="25">
        <f t="shared" si="13"/>
        <v>0</v>
      </c>
      <c r="AC180" s="25">
        <f t="shared" si="13"/>
        <v>0</v>
      </c>
      <c r="AD180" s="25">
        <f t="shared" si="13"/>
        <v>0</v>
      </c>
      <c r="AE180" s="25">
        <f t="shared" si="13"/>
        <v>0</v>
      </c>
      <c r="AF180" s="25">
        <f t="shared" si="13"/>
        <v>0</v>
      </c>
      <c r="AG180" s="25">
        <f t="shared" si="13"/>
        <v>0</v>
      </c>
      <c r="AH180" s="25">
        <f t="shared" si="13"/>
        <v>0</v>
      </c>
      <c r="AI180" s="25">
        <f t="shared" si="13"/>
        <v>0</v>
      </c>
      <c r="AJ180" s="25">
        <f t="shared" si="13"/>
        <v>0</v>
      </c>
      <c r="AK180" s="25">
        <f t="shared" si="13"/>
        <v>0</v>
      </c>
      <c r="AL180" s="25">
        <f t="shared" si="13"/>
        <v>0</v>
      </c>
      <c r="AM180" s="25">
        <f t="shared" si="13"/>
        <v>0</v>
      </c>
      <c r="AN180" s="25">
        <f t="shared" si="13"/>
        <v>0</v>
      </c>
      <c r="AO180" s="25">
        <f t="shared" si="13"/>
        <v>0</v>
      </c>
      <c r="AP180" s="25">
        <f t="shared" ref="AP180:BH180" si="14">ROUND(AP163/1000000,0)</f>
        <v>0</v>
      </c>
      <c r="AQ180" s="25">
        <f t="shared" si="14"/>
        <v>0</v>
      </c>
      <c r="AR180" s="25">
        <f t="shared" si="14"/>
        <v>0</v>
      </c>
      <c r="AS180" s="25">
        <f t="shared" si="14"/>
        <v>0</v>
      </c>
      <c r="AT180" s="25">
        <f t="shared" si="14"/>
        <v>0</v>
      </c>
      <c r="AU180" s="25">
        <f t="shared" si="14"/>
        <v>0</v>
      </c>
      <c r="AV180" s="25">
        <f t="shared" si="14"/>
        <v>0</v>
      </c>
      <c r="AW180" s="25">
        <f t="shared" si="14"/>
        <v>0</v>
      </c>
      <c r="AX180" s="25">
        <f t="shared" si="14"/>
        <v>0</v>
      </c>
      <c r="AY180" s="25">
        <f t="shared" si="14"/>
        <v>0</v>
      </c>
      <c r="AZ180" s="25">
        <f t="shared" si="14"/>
        <v>0</v>
      </c>
      <c r="BA180" s="25">
        <f t="shared" si="14"/>
        <v>0</v>
      </c>
      <c r="BB180" s="25">
        <f t="shared" si="14"/>
        <v>0</v>
      </c>
      <c r="BC180" s="25">
        <f t="shared" si="14"/>
        <v>0</v>
      </c>
      <c r="BD180" s="25">
        <f t="shared" si="14"/>
        <v>0</v>
      </c>
      <c r="BE180" s="25">
        <f t="shared" si="14"/>
        <v>0</v>
      </c>
      <c r="BF180" s="25">
        <f t="shared" si="14"/>
        <v>0</v>
      </c>
      <c r="BG180" s="25">
        <f t="shared" si="14"/>
        <v>0</v>
      </c>
      <c r="BH180" s="25">
        <f t="shared" si="14"/>
        <v>7</v>
      </c>
    </row>
    <row r="181" spans="8:60" ht="15" customHeight="1" x14ac:dyDescent="0.15">
      <c r="H181" s="16" t="s">
        <v>54</v>
      </c>
      <c r="I181" s="19" t="s">
        <v>43</v>
      </c>
      <c r="J181" s="25">
        <f t="shared" ref="J181:AO181" si="15">ROUND(J164/1000000,0)</f>
        <v>0</v>
      </c>
      <c r="K181" s="25">
        <f t="shared" si="15"/>
        <v>0</v>
      </c>
      <c r="L181" s="25">
        <f t="shared" si="15"/>
        <v>0</v>
      </c>
      <c r="M181" s="25">
        <f t="shared" si="15"/>
        <v>0</v>
      </c>
      <c r="N181" s="25">
        <f t="shared" si="15"/>
        <v>0</v>
      </c>
      <c r="O181" s="25">
        <f t="shared" si="15"/>
        <v>0</v>
      </c>
      <c r="P181" s="25">
        <f t="shared" si="15"/>
        <v>0</v>
      </c>
      <c r="Q181" s="25">
        <f t="shared" si="15"/>
        <v>0</v>
      </c>
      <c r="R181" s="25">
        <f t="shared" si="15"/>
        <v>0</v>
      </c>
      <c r="S181" s="25">
        <f t="shared" si="15"/>
        <v>1</v>
      </c>
      <c r="T181" s="25">
        <f t="shared" si="15"/>
        <v>1</v>
      </c>
      <c r="U181" s="25">
        <f t="shared" si="15"/>
        <v>1</v>
      </c>
      <c r="V181" s="25">
        <f t="shared" si="15"/>
        <v>1</v>
      </c>
      <c r="W181" s="25">
        <f t="shared" si="15"/>
        <v>2</v>
      </c>
      <c r="X181" s="25">
        <f t="shared" si="15"/>
        <v>2</v>
      </c>
      <c r="Y181" s="25">
        <f t="shared" si="15"/>
        <v>2</v>
      </c>
      <c r="Z181" s="25">
        <f t="shared" si="15"/>
        <v>2</v>
      </c>
      <c r="AA181" s="25">
        <f t="shared" si="15"/>
        <v>6</v>
      </c>
      <c r="AB181" s="25">
        <f t="shared" si="15"/>
        <v>1</v>
      </c>
      <c r="AC181" s="25">
        <f t="shared" si="15"/>
        <v>1</v>
      </c>
      <c r="AD181" s="25">
        <f t="shared" si="15"/>
        <v>2</v>
      </c>
      <c r="AE181" s="25">
        <f t="shared" si="15"/>
        <v>2</v>
      </c>
      <c r="AF181" s="25">
        <f t="shared" si="15"/>
        <v>2</v>
      </c>
      <c r="AG181" s="25">
        <f t="shared" si="15"/>
        <v>2</v>
      </c>
      <c r="AH181" s="25">
        <f t="shared" si="15"/>
        <v>2</v>
      </c>
      <c r="AI181" s="25">
        <f t="shared" si="15"/>
        <v>2</v>
      </c>
      <c r="AJ181" s="25">
        <f t="shared" si="15"/>
        <v>2</v>
      </c>
      <c r="AK181" s="25">
        <f t="shared" si="15"/>
        <v>2</v>
      </c>
      <c r="AL181" s="25">
        <f t="shared" si="15"/>
        <v>2</v>
      </c>
      <c r="AM181" s="25">
        <f t="shared" si="15"/>
        <v>1</v>
      </c>
      <c r="AN181" s="25">
        <f t="shared" si="15"/>
        <v>1</v>
      </c>
      <c r="AO181" s="25">
        <f t="shared" si="15"/>
        <v>0</v>
      </c>
      <c r="AP181" s="25">
        <f t="shared" ref="AP181:BH181" si="16">ROUND(AP164/1000000,0)</f>
        <v>0</v>
      </c>
      <c r="AQ181" s="25">
        <f t="shared" si="16"/>
        <v>0</v>
      </c>
      <c r="AR181" s="25">
        <f t="shared" si="16"/>
        <v>0</v>
      </c>
      <c r="AS181" s="25">
        <f t="shared" si="16"/>
        <v>0</v>
      </c>
      <c r="AT181" s="25">
        <f t="shared" si="16"/>
        <v>0</v>
      </c>
      <c r="AU181" s="25">
        <f t="shared" si="16"/>
        <v>0</v>
      </c>
      <c r="AV181" s="25">
        <f t="shared" si="16"/>
        <v>0</v>
      </c>
      <c r="AW181" s="25">
        <f t="shared" si="16"/>
        <v>0</v>
      </c>
      <c r="AX181" s="25">
        <f t="shared" si="16"/>
        <v>0</v>
      </c>
      <c r="AY181" s="25">
        <f t="shared" si="16"/>
        <v>0</v>
      </c>
      <c r="AZ181" s="25">
        <f t="shared" si="16"/>
        <v>0</v>
      </c>
      <c r="BA181" s="25">
        <f t="shared" si="16"/>
        <v>0</v>
      </c>
      <c r="BB181" s="25">
        <f t="shared" si="16"/>
        <v>0</v>
      </c>
      <c r="BC181" s="25">
        <f t="shared" si="16"/>
        <v>0</v>
      </c>
      <c r="BD181" s="25">
        <f t="shared" si="16"/>
        <v>0</v>
      </c>
      <c r="BE181" s="25">
        <f t="shared" si="16"/>
        <v>0</v>
      </c>
      <c r="BF181" s="25">
        <f t="shared" si="16"/>
        <v>0</v>
      </c>
      <c r="BG181" s="25">
        <f t="shared" si="16"/>
        <v>0</v>
      </c>
      <c r="BH181" s="25">
        <f t="shared" si="16"/>
        <v>36</v>
      </c>
    </row>
    <row r="182" spans="8:60" ht="15" customHeight="1" x14ac:dyDescent="0.15">
      <c r="H182" s="16" t="s">
        <v>54</v>
      </c>
      <c r="I182" s="19" t="s">
        <v>44</v>
      </c>
      <c r="J182" s="25">
        <f t="shared" ref="J182:AO182" si="17">ROUND(J165/1000000,0)</f>
        <v>0</v>
      </c>
      <c r="K182" s="25">
        <f t="shared" si="17"/>
        <v>0</v>
      </c>
      <c r="L182" s="25">
        <f t="shared" si="17"/>
        <v>0</v>
      </c>
      <c r="M182" s="25">
        <f t="shared" si="17"/>
        <v>0</v>
      </c>
      <c r="N182" s="25">
        <f t="shared" si="17"/>
        <v>0</v>
      </c>
      <c r="O182" s="25">
        <f t="shared" si="17"/>
        <v>0</v>
      </c>
      <c r="P182" s="25">
        <f t="shared" si="17"/>
        <v>0</v>
      </c>
      <c r="Q182" s="25">
        <f t="shared" si="17"/>
        <v>0</v>
      </c>
      <c r="R182" s="25">
        <f t="shared" si="17"/>
        <v>0</v>
      </c>
      <c r="S182" s="25">
        <f t="shared" si="17"/>
        <v>0</v>
      </c>
      <c r="T182" s="25">
        <f t="shared" si="17"/>
        <v>0</v>
      </c>
      <c r="U182" s="25">
        <f t="shared" si="17"/>
        <v>0</v>
      </c>
      <c r="V182" s="25">
        <f t="shared" si="17"/>
        <v>0</v>
      </c>
      <c r="W182" s="25">
        <f t="shared" si="17"/>
        <v>0</v>
      </c>
      <c r="X182" s="25">
        <f t="shared" si="17"/>
        <v>0</v>
      </c>
      <c r="Y182" s="25">
        <f t="shared" si="17"/>
        <v>0</v>
      </c>
      <c r="Z182" s="25">
        <f t="shared" si="17"/>
        <v>0</v>
      </c>
      <c r="AA182" s="25">
        <f t="shared" si="17"/>
        <v>0</v>
      </c>
      <c r="AB182" s="25">
        <f t="shared" si="17"/>
        <v>0</v>
      </c>
      <c r="AC182" s="25">
        <f t="shared" si="17"/>
        <v>0</v>
      </c>
      <c r="AD182" s="25">
        <f t="shared" si="17"/>
        <v>0</v>
      </c>
      <c r="AE182" s="25">
        <f t="shared" si="17"/>
        <v>0</v>
      </c>
      <c r="AF182" s="25">
        <f t="shared" si="17"/>
        <v>0</v>
      </c>
      <c r="AG182" s="25">
        <f t="shared" si="17"/>
        <v>0</v>
      </c>
      <c r="AH182" s="25">
        <f t="shared" si="17"/>
        <v>0</v>
      </c>
      <c r="AI182" s="25">
        <f t="shared" si="17"/>
        <v>0</v>
      </c>
      <c r="AJ182" s="25">
        <f t="shared" si="17"/>
        <v>0</v>
      </c>
      <c r="AK182" s="25">
        <f t="shared" si="17"/>
        <v>0</v>
      </c>
      <c r="AL182" s="25">
        <f t="shared" si="17"/>
        <v>0</v>
      </c>
      <c r="AM182" s="25">
        <f t="shared" si="17"/>
        <v>0</v>
      </c>
      <c r="AN182" s="25">
        <f t="shared" si="17"/>
        <v>0</v>
      </c>
      <c r="AO182" s="25">
        <f t="shared" si="17"/>
        <v>0</v>
      </c>
      <c r="AP182" s="25">
        <f t="shared" ref="AP182:BH182" si="18">ROUND(AP165/1000000,0)</f>
        <v>0</v>
      </c>
      <c r="AQ182" s="25">
        <f t="shared" si="18"/>
        <v>0</v>
      </c>
      <c r="AR182" s="25">
        <f t="shared" si="18"/>
        <v>0</v>
      </c>
      <c r="AS182" s="25">
        <f t="shared" si="18"/>
        <v>0</v>
      </c>
      <c r="AT182" s="25">
        <f t="shared" si="18"/>
        <v>0</v>
      </c>
      <c r="AU182" s="25">
        <f t="shared" si="18"/>
        <v>0</v>
      </c>
      <c r="AV182" s="25">
        <f t="shared" si="18"/>
        <v>0</v>
      </c>
      <c r="AW182" s="25">
        <f t="shared" si="18"/>
        <v>0</v>
      </c>
      <c r="AX182" s="25">
        <f t="shared" si="18"/>
        <v>0</v>
      </c>
      <c r="AY182" s="25">
        <f t="shared" si="18"/>
        <v>0</v>
      </c>
      <c r="AZ182" s="25">
        <f t="shared" si="18"/>
        <v>0</v>
      </c>
      <c r="BA182" s="25">
        <f t="shared" si="18"/>
        <v>0</v>
      </c>
      <c r="BB182" s="25">
        <f t="shared" si="18"/>
        <v>0</v>
      </c>
      <c r="BC182" s="25">
        <f t="shared" si="18"/>
        <v>0</v>
      </c>
      <c r="BD182" s="25">
        <f t="shared" si="18"/>
        <v>0</v>
      </c>
      <c r="BE182" s="25">
        <f t="shared" si="18"/>
        <v>0</v>
      </c>
      <c r="BF182" s="25">
        <f t="shared" si="18"/>
        <v>0</v>
      </c>
      <c r="BG182" s="25">
        <f t="shared" si="18"/>
        <v>0</v>
      </c>
      <c r="BH182" s="25">
        <f t="shared" si="18"/>
        <v>5</v>
      </c>
    </row>
    <row r="183" spans="8:60" ht="15" customHeight="1" x14ac:dyDescent="0.15">
      <c r="H183" s="16" t="s">
        <v>51</v>
      </c>
      <c r="I183" s="19" t="s">
        <v>43</v>
      </c>
      <c r="J183" s="25">
        <f t="shared" ref="J183:AO183" si="19">ROUND(J166/1000000,0)</f>
        <v>0</v>
      </c>
      <c r="K183" s="25">
        <f t="shared" si="19"/>
        <v>0</v>
      </c>
      <c r="L183" s="25">
        <f t="shared" si="19"/>
        <v>0</v>
      </c>
      <c r="M183" s="25">
        <f t="shared" si="19"/>
        <v>0</v>
      </c>
      <c r="N183" s="25">
        <f t="shared" si="19"/>
        <v>0</v>
      </c>
      <c r="O183" s="25">
        <f t="shared" si="19"/>
        <v>4</v>
      </c>
      <c r="P183" s="25">
        <f t="shared" si="19"/>
        <v>4</v>
      </c>
      <c r="Q183" s="25">
        <f t="shared" si="19"/>
        <v>4</v>
      </c>
      <c r="R183" s="25">
        <f t="shared" si="19"/>
        <v>4</v>
      </c>
      <c r="S183" s="25">
        <f t="shared" si="19"/>
        <v>4</v>
      </c>
      <c r="T183" s="25">
        <f t="shared" si="19"/>
        <v>4</v>
      </c>
      <c r="U183" s="25">
        <f t="shared" si="19"/>
        <v>4</v>
      </c>
      <c r="V183" s="25">
        <f t="shared" si="19"/>
        <v>4</v>
      </c>
      <c r="W183" s="25">
        <f t="shared" si="19"/>
        <v>4</v>
      </c>
      <c r="X183" s="25">
        <f t="shared" si="19"/>
        <v>6</v>
      </c>
      <c r="Y183" s="25">
        <f t="shared" si="19"/>
        <v>6</v>
      </c>
      <c r="Z183" s="25">
        <f t="shared" si="19"/>
        <v>7</v>
      </c>
      <c r="AA183" s="25">
        <f t="shared" si="19"/>
        <v>7</v>
      </c>
      <c r="AB183" s="25">
        <f t="shared" si="19"/>
        <v>7</v>
      </c>
      <c r="AC183" s="25">
        <f t="shared" si="19"/>
        <v>7</v>
      </c>
      <c r="AD183" s="25">
        <f t="shared" si="19"/>
        <v>9</v>
      </c>
      <c r="AE183" s="25">
        <f t="shared" si="19"/>
        <v>10</v>
      </c>
      <c r="AF183" s="25">
        <f t="shared" si="19"/>
        <v>28</v>
      </c>
      <c r="AG183" s="25">
        <f t="shared" si="19"/>
        <v>10</v>
      </c>
      <c r="AH183" s="25">
        <f t="shared" si="19"/>
        <v>10</v>
      </c>
      <c r="AI183" s="25">
        <f t="shared" si="19"/>
        <v>10</v>
      </c>
      <c r="AJ183" s="25">
        <f t="shared" si="19"/>
        <v>10</v>
      </c>
      <c r="AK183" s="25">
        <f t="shared" si="19"/>
        <v>10</v>
      </c>
      <c r="AL183" s="25">
        <f t="shared" si="19"/>
        <v>11</v>
      </c>
      <c r="AM183" s="25">
        <f t="shared" si="19"/>
        <v>11</v>
      </c>
      <c r="AN183" s="25">
        <f t="shared" si="19"/>
        <v>5</v>
      </c>
      <c r="AO183" s="25">
        <f t="shared" si="19"/>
        <v>5</v>
      </c>
      <c r="AP183" s="25">
        <f t="shared" ref="AP183:BH183" si="20">ROUND(AP166/1000000,0)</f>
        <v>5</v>
      </c>
      <c r="AQ183" s="25">
        <f t="shared" si="20"/>
        <v>5</v>
      </c>
      <c r="AR183" s="25">
        <f t="shared" si="20"/>
        <v>4</v>
      </c>
      <c r="AS183" s="25">
        <f t="shared" si="20"/>
        <v>4</v>
      </c>
      <c r="AT183" s="25">
        <f t="shared" si="20"/>
        <v>4</v>
      </c>
      <c r="AU183" s="25">
        <f t="shared" si="20"/>
        <v>4</v>
      </c>
      <c r="AV183" s="25">
        <f t="shared" si="20"/>
        <v>4</v>
      </c>
      <c r="AW183" s="25">
        <f t="shared" si="20"/>
        <v>4</v>
      </c>
      <c r="AX183" s="25">
        <f t="shared" si="20"/>
        <v>2</v>
      </c>
      <c r="AY183" s="25">
        <f t="shared" si="20"/>
        <v>0</v>
      </c>
      <c r="AZ183" s="25">
        <f t="shared" si="20"/>
        <v>0</v>
      </c>
      <c r="BA183" s="25">
        <f t="shared" si="20"/>
        <v>0</v>
      </c>
      <c r="BB183" s="25">
        <f t="shared" si="20"/>
        <v>0</v>
      </c>
      <c r="BC183" s="25">
        <f t="shared" si="20"/>
        <v>0</v>
      </c>
      <c r="BD183" s="25">
        <f t="shared" si="20"/>
        <v>0</v>
      </c>
      <c r="BE183" s="25">
        <f t="shared" si="20"/>
        <v>0</v>
      </c>
      <c r="BF183" s="25">
        <f t="shared" si="20"/>
        <v>0</v>
      </c>
      <c r="BG183" s="25">
        <f t="shared" si="20"/>
        <v>0</v>
      </c>
      <c r="BH183" s="25">
        <f t="shared" si="20"/>
        <v>240</v>
      </c>
    </row>
    <row r="184" spans="8:60" ht="15" customHeight="1" x14ac:dyDescent="0.15">
      <c r="H184" s="16" t="s">
        <v>51</v>
      </c>
      <c r="I184" s="19" t="s">
        <v>44</v>
      </c>
      <c r="J184" s="25">
        <f t="shared" ref="J184:AO184" si="21">ROUND(J167/1000000,0)</f>
        <v>2</v>
      </c>
      <c r="K184" s="25">
        <f t="shared" si="21"/>
        <v>3</v>
      </c>
      <c r="L184" s="25">
        <f t="shared" si="21"/>
        <v>3</v>
      </c>
      <c r="M184" s="25">
        <f t="shared" si="21"/>
        <v>3</v>
      </c>
      <c r="N184" s="25">
        <f t="shared" si="21"/>
        <v>3</v>
      </c>
      <c r="O184" s="25">
        <f t="shared" si="21"/>
        <v>3</v>
      </c>
      <c r="P184" s="25">
        <f t="shared" si="21"/>
        <v>2</v>
      </c>
      <c r="Q184" s="25">
        <f t="shared" si="21"/>
        <v>2</v>
      </c>
      <c r="R184" s="25">
        <f t="shared" si="21"/>
        <v>2</v>
      </c>
      <c r="S184" s="25">
        <f t="shared" si="21"/>
        <v>2</v>
      </c>
      <c r="T184" s="25">
        <f t="shared" si="21"/>
        <v>2</v>
      </c>
      <c r="U184" s="25">
        <f t="shared" si="21"/>
        <v>2</v>
      </c>
      <c r="V184" s="25">
        <f t="shared" si="21"/>
        <v>2</v>
      </c>
      <c r="W184" s="25">
        <f t="shared" si="21"/>
        <v>2</v>
      </c>
      <c r="X184" s="25">
        <f t="shared" si="21"/>
        <v>2</v>
      </c>
      <c r="Y184" s="25">
        <f t="shared" si="21"/>
        <v>2</v>
      </c>
      <c r="Z184" s="25">
        <f t="shared" si="21"/>
        <v>3</v>
      </c>
      <c r="AA184" s="25">
        <f t="shared" si="21"/>
        <v>3</v>
      </c>
      <c r="AB184" s="25">
        <f t="shared" si="21"/>
        <v>3</v>
      </c>
      <c r="AC184" s="25">
        <f t="shared" si="21"/>
        <v>3</v>
      </c>
      <c r="AD184" s="25">
        <f t="shared" si="21"/>
        <v>2</v>
      </c>
      <c r="AE184" s="25">
        <f t="shared" si="21"/>
        <v>2</v>
      </c>
      <c r="AF184" s="25">
        <f t="shared" si="21"/>
        <v>2</v>
      </c>
      <c r="AG184" s="25">
        <f t="shared" si="21"/>
        <v>2</v>
      </c>
      <c r="AH184" s="25">
        <f t="shared" si="21"/>
        <v>2</v>
      </c>
      <c r="AI184" s="25">
        <f t="shared" si="21"/>
        <v>1</v>
      </c>
      <c r="AJ184" s="25">
        <f t="shared" si="21"/>
        <v>1</v>
      </c>
      <c r="AK184" s="25">
        <f t="shared" si="21"/>
        <v>1</v>
      </c>
      <c r="AL184" s="25">
        <f t="shared" si="21"/>
        <v>1</v>
      </c>
      <c r="AM184" s="25">
        <f t="shared" si="21"/>
        <v>1</v>
      </c>
      <c r="AN184" s="25">
        <f t="shared" si="21"/>
        <v>1</v>
      </c>
      <c r="AO184" s="25">
        <f t="shared" si="21"/>
        <v>1</v>
      </c>
      <c r="AP184" s="25">
        <f t="shared" ref="AP184:BH184" si="22">ROUND(AP167/1000000,0)</f>
        <v>0</v>
      </c>
      <c r="AQ184" s="25">
        <f t="shared" si="22"/>
        <v>0</v>
      </c>
      <c r="AR184" s="25">
        <f t="shared" si="22"/>
        <v>0</v>
      </c>
      <c r="AS184" s="25">
        <f t="shared" si="22"/>
        <v>0</v>
      </c>
      <c r="AT184" s="25">
        <f t="shared" si="22"/>
        <v>0</v>
      </c>
      <c r="AU184" s="25">
        <f t="shared" si="22"/>
        <v>0</v>
      </c>
      <c r="AV184" s="25">
        <f t="shared" si="22"/>
        <v>0</v>
      </c>
      <c r="AW184" s="25">
        <f t="shared" si="22"/>
        <v>0</v>
      </c>
      <c r="AX184" s="25">
        <f t="shared" si="22"/>
        <v>0</v>
      </c>
      <c r="AY184" s="25">
        <f t="shared" si="22"/>
        <v>0</v>
      </c>
      <c r="AZ184" s="25">
        <f t="shared" si="22"/>
        <v>0</v>
      </c>
      <c r="BA184" s="25">
        <f t="shared" si="22"/>
        <v>0</v>
      </c>
      <c r="BB184" s="25">
        <f t="shared" si="22"/>
        <v>0</v>
      </c>
      <c r="BC184" s="25">
        <f t="shared" si="22"/>
        <v>0</v>
      </c>
      <c r="BD184" s="25">
        <f t="shared" si="22"/>
        <v>0</v>
      </c>
      <c r="BE184" s="25">
        <f t="shared" si="22"/>
        <v>0</v>
      </c>
      <c r="BF184" s="25">
        <f t="shared" si="22"/>
        <v>0</v>
      </c>
      <c r="BG184" s="25">
        <f t="shared" si="22"/>
        <v>0</v>
      </c>
      <c r="BH184" s="25">
        <f t="shared" si="22"/>
        <v>67</v>
      </c>
    </row>
    <row r="185" spans="8:60" ht="15" customHeight="1" x14ac:dyDescent="0.15">
      <c r="H185" s="16" t="s">
        <v>55</v>
      </c>
      <c r="I185" s="19" t="s">
        <v>43</v>
      </c>
      <c r="J185" s="25">
        <f t="shared" ref="J185:AO185" si="23">ROUND(J168/1000000,0)</f>
        <v>0</v>
      </c>
      <c r="K185" s="25">
        <f t="shared" si="23"/>
        <v>0</v>
      </c>
      <c r="L185" s="25">
        <f t="shared" si="23"/>
        <v>0</v>
      </c>
      <c r="M185" s="25">
        <f t="shared" si="23"/>
        <v>0</v>
      </c>
      <c r="N185" s="25">
        <f t="shared" si="23"/>
        <v>0</v>
      </c>
      <c r="O185" s="25">
        <f t="shared" si="23"/>
        <v>0</v>
      </c>
      <c r="P185" s="25">
        <f t="shared" si="23"/>
        <v>0</v>
      </c>
      <c r="Q185" s="25">
        <f t="shared" si="23"/>
        <v>0</v>
      </c>
      <c r="R185" s="25">
        <f t="shared" si="23"/>
        <v>0</v>
      </c>
      <c r="S185" s="25">
        <f t="shared" si="23"/>
        <v>0</v>
      </c>
      <c r="T185" s="25">
        <f t="shared" si="23"/>
        <v>0</v>
      </c>
      <c r="U185" s="25">
        <f t="shared" si="23"/>
        <v>0</v>
      </c>
      <c r="V185" s="25">
        <f t="shared" si="23"/>
        <v>0</v>
      </c>
      <c r="W185" s="25">
        <f t="shared" si="23"/>
        <v>0</v>
      </c>
      <c r="X185" s="25">
        <f t="shared" si="23"/>
        <v>0</v>
      </c>
      <c r="Y185" s="25">
        <f t="shared" si="23"/>
        <v>0</v>
      </c>
      <c r="Z185" s="25">
        <f t="shared" si="23"/>
        <v>0</v>
      </c>
      <c r="AA185" s="25">
        <f t="shared" si="23"/>
        <v>0</v>
      </c>
      <c r="AB185" s="25">
        <f t="shared" si="23"/>
        <v>0</v>
      </c>
      <c r="AC185" s="25">
        <f t="shared" si="23"/>
        <v>0</v>
      </c>
      <c r="AD185" s="25">
        <f t="shared" si="23"/>
        <v>0</v>
      </c>
      <c r="AE185" s="25">
        <f t="shared" si="23"/>
        <v>3</v>
      </c>
      <c r="AF185" s="25">
        <f t="shared" si="23"/>
        <v>10</v>
      </c>
      <c r="AG185" s="25">
        <f t="shared" si="23"/>
        <v>16</v>
      </c>
      <c r="AH185" s="25">
        <f t="shared" si="23"/>
        <v>23</v>
      </c>
      <c r="AI185" s="25">
        <f t="shared" si="23"/>
        <v>30</v>
      </c>
      <c r="AJ185" s="25">
        <f t="shared" si="23"/>
        <v>37</v>
      </c>
      <c r="AK185" s="25">
        <f t="shared" si="23"/>
        <v>44</v>
      </c>
      <c r="AL185" s="25">
        <f t="shared" si="23"/>
        <v>51</v>
      </c>
      <c r="AM185" s="25">
        <f t="shared" si="23"/>
        <v>58</v>
      </c>
      <c r="AN185" s="25">
        <f t="shared" si="23"/>
        <v>62</v>
      </c>
      <c r="AO185" s="25">
        <f t="shared" si="23"/>
        <v>63</v>
      </c>
      <c r="AP185" s="25">
        <f t="shared" ref="AP185:BH185" si="24">ROUND(AP168/1000000,0)</f>
        <v>64</v>
      </c>
      <c r="AQ185" s="25">
        <f t="shared" si="24"/>
        <v>65</v>
      </c>
      <c r="AR185" s="25">
        <f t="shared" si="24"/>
        <v>66</v>
      </c>
      <c r="AS185" s="25">
        <f t="shared" si="24"/>
        <v>67</v>
      </c>
      <c r="AT185" s="25">
        <f t="shared" si="24"/>
        <v>68</v>
      </c>
      <c r="AU185" s="25">
        <f t="shared" si="24"/>
        <v>69</v>
      </c>
      <c r="AV185" s="25">
        <f t="shared" si="24"/>
        <v>71</v>
      </c>
      <c r="AW185" s="25">
        <f t="shared" si="24"/>
        <v>72</v>
      </c>
      <c r="AX185" s="25">
        <f t="shared" si="24"/>
        <v>73</v>
      </c>
      <c r="AY185" s="25">
        <f t="shared" si="24"/>
        <v>70</v>
      </c>
      <c r="AZ185" s="25">
        <f t="shared" si="24"/>
        <v>62</v>
      </c>
      <c r="BA185" s="25">
        <f t="shared" si="24"/>
        <v>54</v>
      </c>
      <c r="BB185" s="25">
        <f t="shared" si="24"/>
        <v>46</v>
      </c>
      <c r="BC185" s="25">
        <f t="shared" si="24"/>
        <v>38</v>
      </c>
      <c r="BD185" s="25">
        <f t="shared" si="24"/>
        <v>30</v>
      </c>
      <c r="BE185" s="25">
        <f t="shared" si="24"/>
        <v>21</v>
      </c>
      <c r="BF185" s="25">
        <f t="shared" si="24"/>
        <v>13</v>
      </c>
      <c r="BG185" s="25">
        <f t="shared" si="24"/>
        <v>4</v>
      </c>
      <c r="BH185" s="25">
        <f t="shared" si="24"/>
        <v>1350</v>
      </c>
    </row>
    <row r="186" spans="8:60" ht="15" customHeight="1" x14ac:dyDescent="0.15">
      <c r="H186" s="16" t="s">
        <v>55</v>
      </c>
      <c r="I186" s="19" t="s">
        <v>44</v>
      </c>
      <c r="J186" s="25">
        <f t="shared" ref="J186:AO186" si="25">ROUND(J169/1000000,0)</f>
        <v>0</v>
      </c>
      <c r="K186" s="25">
        <f t="shared" si="25"/>
        <v>0</v>
      </c>
      <c r="L186" s="25">
        <f t="shared" si="25"/>
        <v>0</v>
      </c>
      <c r="M186" s="25">
        <f t="shared" si="25"/>
        <v>0</v>
      </c>
      <c r="N186" s="25">
        <f t="shared" si="25"/>
        <v>0</v>
      </c>
      <c r="O186" s="25">
        <f t="shared" si="25"/>
        <v>0</v>
      </c>
      <c r="P186" s="25">
        <f t="shared" si="25"/>
        <v>0</v>
      </c>
      <c r="Q186" s="25">
        <f t="shared" si="25"/>
        <v>0</v>
      </c>
      <c r="R186" s="25">
        <f t="shared" si="25"/>
        <v>0</v>
      </c>
      <c r="S186" s="25">
        <f t="shared" si="25"/>
        <v>0</v>
      </c>
      <c r="T186" s="25">
        <f t="shared" si="25"/>
        <v>0</v>
      </c>
      <c r="U186" s="25">
        <f t="shared" si="25"/>
        <v>0</v>
      </c>
      <c r="V186" s="25">
        <f t="shared" si="25"/>
        <v>0</v>
      </c>
      <c r="W186" s="25">
        <f t="shared" si="25"/>
        <v>0</v>
      </c>
      <c r="X186" s="25">
        <f t="shared" si="25"/>
        <v>0</v>
      </c>
      <c r="Y186" s="25">
        <f t="shared" si="25"/>
        <v>0</v>
      </c>
      <c r="Z186" s="25">
        <f t="shared" si="25"/>
        <v>1</v>
      </c>
      <c r="AA186" s="25">
        <f t="shared" si="25"/>
        <v>3</v>
      </c>
      <c r="AB186" s="25">
        <f t="shared" si="25"/>
        <v>6</v>
      </c>
      <c r="AC186" s="25">
        <f t="shared" si="25"/>
        <v>8</v>
      </c>
      <c r="AD186" s="25">
        <f t="shared" si="25"/>
        <v>11</v>
      </c>
      <c r="AE186" s="25">
        <f t="shared" si="25"/>
        <v>13</v>
      </c>
      <c r="AF186" s="25">
        <f t="shared" si="25"/>
        <v>15</v>
      </c>
      <c r="AG186" s="25">
        <f t="shared" si="25"/>
        <v>18</v>
      </c>
      <c r="AH186" s="25">
        <f t="shared" si="25"/>
        <v>20</v>
      </c>
      <c r="AI186" s="25">
        <f t="shared" si="25"/>
        <v>21</v>
      </c>
      <c r="AJ186" s="25">
        <f t="shared" si="25"/>
        <v>20</v>
      </c>
      <c r="AK186" s="25">
        <f t="shared" si="25"/>
        <v>20</v>
      </c>
      <c r="AL186" s="25">
        <f t="shared" si="25"/>
        <v>19</v>
      </c>
      <c r="AM186" s="25">
        <f t="shared" si="25"/>
        <v>18</v>
      </c>
      <c r="AN186" s="25">
        <f t="shared" si="25"/>
        <v>17</v>
      </c>
      <c r="AO186" s="25">
        <f t="shared" si="25"/>
        <v>16</v>
      </c>
      <c r="AP186" s="25">
        <f t="shared" ref="AP186:BH186" si="26">ROUND(AP169/1000000,0)</f>
        <v>15</v>
      </c>
      <c r="AQ186" s="25">
        <f t="shared" si="26"/>
        <v>14</v>
      </c>
      <c r="AR186" s="25">
        <f t="shared" si="26"/>
        <v>13</v>
      </c>
      <c r="AS186" s="25">
        <f t="shared" si="26"/>
        <v>12</v>
      </c>
      <c r="AT186" s="25">
        <f t="shared" si="26"/>
        <v>11</v>
      </c>
      <c r="AU186" s="25">
        <f t="shared" si="26"/>
        <v>10</v>
      </c>
      <c r="AV186" s="25">
        <f t="shared" si="26"/>
        <v>9</v>
      </c>
      <c r="AW186" s="25">
        <f t="shared" si="26"/>
        <v>7</v>
      </c>
      <c r="AX186" s="25">
        <f t="shared" si="26"/>
        <v>6</v>
      </c>
      <c r="AY186" s="25">
        <f t="shared" si="26"/>
        <v>5</v>
      </c>
      <c r="AZ186" s="25">
        <f t="shared" si="26"/>
        <v>4</v>
      </c>
      <c r="BA186" s="25">
        <f t="shared" si="26"/>
        <v>3</v>
      </c>
      <c r="BB186" s="25">
        <f t="shared" si="26"/>
        <v>2</v>
      </c>
      <c r="BC186" s="25">
        <f t="shared" si="26"/>
        <v>2</v>
      </c>
      <c r="BD186" s="25">
        <f t="shared" si="26"/>
        <v>1</v>
      </c>
      <c r="BE186" s="25">
        <f t="shared" si="26"/>
        <v>1</v>
      </c>
      <c r="BF186" s="25">
        <f t="shared" si="26"/>
        <v>0</v>
      </c>
      <c r="BG186" s="25">
        <f t="shared" si="26"/>
        <v>0</v>
      </c>
      <c r="BH186" s="25">
        <f t="shared" si="26"/>
        <v>339</v>
      </c>
    </row>
    <row r="187" spans="8:60" ht="15" customHeight="1" x14ac:dyDescent="0.15">
      <c r="I187" s="19" t="s">
        <v>45</v>
      </c>
      <c r="J187" s="25">
        <f t="shared" ref="J187:O187" si="27">ROUND(J170/1000000,0)</f>
        <v>2</v>
      </c>
      <c r="K187" s="25">
        <f t="shared" si="27"/>
        <v>3</v>
      </c>
      <c r="L187" s="25">
        <f t="shared" si="27"/>
        <v>3</v>
      </c>
      <c r="M187" s="25">
        <f t="shared" si="27"/>
        <v>3</v>
      </c>
      <c r="N187" s="25">
        <f t="shared" si="27"/>
        <v>3</v>
      </c>
      <c r="O187" s="25">
        <f t="shared" si="27"/>
        <v>6</v>
      </c>
      <c r="P187" s="25">
        <f t="shared" ref="P187" si="28">ROUND(P170/1000000,0)</f>
        <v>7</v>
      </c>
      <c r="Q187" s="25">
        <f>ROUND(Q170/1000000,0)</f>
        <v>7</v>
      </c>
      <c r="R187" s="25">
        <f>ROUND(R170/1000000,0)</f>
        <v>7</v>
      </c>
      <c r="S187" s="25">
        <f>ROUND(S170/1000000,0)</f>
        <v>8</v>
      </c>
      <c r="T187" s="25">
        <f t="shared" ref="T187" si="29">ROUND(T170/1000000,0)</f>
        <v>8</v>
      </c>
      <c r="U187" s="25">
        <f t="shared" ref="U187:BH187" si="30">ROUND(U170/1000000,0)</f>
        <v>10</v>
      </c>
      <c r="V187" s="25">
        <f t="shared" si="30"/>
        <v>11</v>
      </c>
      <c r="W187" s="25">
        <f t="shared" si="30"/>
        <v>14</v>
      </c>
      <c r="X187" s="25">
        <f t="shared" si="30"/>
        <v>17</v>
      </c>
      <c r="Y187" s="25">
        <f t="shared" si="30"/>
        <v>21</v>
      </c>
      <c r="Z187" s="25">
        <f t="shared" si="30"/>
        <v>27</v>
      </c>
      <c r="AA187" s="25">
        <f t="shared" si="30"/>
        <v>41</v>
      </c>
      <c r="AB187" s="25">
        <f t="shared" si="30"/>
        <v>54</v>
      </c>
      <c r="AC187" s="25">
        <f t="shared" si="30"/>
        <v>49</v>
      </c>
      <c r="AD187" s="25">
        <f t="shared" si="30"/>
        <v>58</v>
      </c>
      <c r="AE187" s="25">
        <f t="shared" si="30"/>
        <v>65</v>
      </c>
      <c r="AF187" s="25">
        <f t="shared" si="30"/>
        <v>91</v>
      </c>
      <c r="AG187" s="25">
        <f t="shared" si="30"/>
        <v>81</v>
      </c>
      <c r="AH187" s="25">
        <f t="shared" si="30"/>
        <v>90</v>
      </c>
      <c r="AI187" s="25">
        <f t="shared" si="30"/>
        <v>96</v>
      </c>
      <c r="AJ187" s="25">
        <f t="shared" si="30"/>
        <v>102</v>
      </c>
      <c r="AK187" s="25">
        <f t="shared" si="30"/>
        <v>109</v>
      </c>
      <c r="AL187" s="25">
        <f t="shared" si="30"/>
        <v>115</v>
      </c>
      <c r="AM187" s="25">
        <f t="shared" si="30"/>
        <v>120</v>
      </c>
      <c r="AN187" s="25">
        <f t="shared" si="30"/>
        <v>117</v>
      </c>
      <c r="AO187" s="25">
        <f t="shared" si="30"/>
        <v>115</v>
      </c>
      <c r="AP187" s="25">
        <f t="shared" ref="AP187:AX187" si="31">ROUND(AP170/1000000,0)</f>
        <v>115</v>
      </c>
      <c r="AQ187" s="25">
        <f t="shared" si="31"/>
        <v>113</v>
      </c>
      <c r="AR187" s="25">
        <f t="shared" si="31"/>
        <v>111</v>
      </c>
      <c r="AS187" s="25">
        <f t="shared" si="31"/>
        <v>109</v>
      </c>
      <c r="AT187" s="25">
        <f t="shared" si="31"/>
        <v>106</v>
      </c>
      <c r="AU187" s="25">
        <f t="shared" si="31"/>
        <v>100</v>
      </c>
      <c r="AV187" s="25">
        <f t="shared" si="31"/>
        <v>94</v>
      </c>
      <c r="AW187" s="25">
        <f t="shared" si="31"/>
        <v>90</v>
      </c>
      <c r="AX187" s="25">
        <f t="shared" si="31"/>
        <v>81</v>
      </c>
      <c r="AY187" s="25">
        <f t="shared" si="30"/>
        <v>75</v>
      </c>
      <c r="AZ187" s="25">
        <f t="shared" si="30"/>
        <v>66</v>
      </c>
      <c r="BA187" s="25">
        <f t="shared" si="30"/>
        <v>57</v>
      </c>
      <c r="BB187" s="25">
        <f t="shared" si="30"/>
        <v>48</v>
      </c>
      <c r="BC187" s="25">
        <f t="shared" si="30"/>
        <v>40</v>
      </c>
      <c r="BD187" s="25">
        <f t="shared" si="30"/>
        <v>31</v>
      </c>
      <c r="BE187" s="25">
        <f t="shared" si="30"/>
        <v>22</v>
      </c>
      <c r="BF187" s="25">
        <f t="shared" si="30"/>
        <v>13</v>
      </c>
      <c r="BG187" s="25">
        <f t="shared" si="30"/>
        <v>4</v>
      </c>
      <c r="BH187" s="25">
        <f t="shared" si="30"/>
        <v>2736</v>
      </c>
    </row>
    <row r="188" spans="8:60" ht="15" customHeight="1" x14ac:dyDescent="0.15">
      <c r="I188" s="31"/>
    </row>
  </sheetData>
  <sheetProtection formatCells="0" formatColumns="0" formatRows="0" insertColumns="0" insertRows="0" insertHyperlinks="0" deleteColumns="0" deleteRows="0" sort="0" autoFilter="0" pivotTables="0"/>
  <mergeCells count="3">
    <mergeCell ref="A1:G1"/>
    <mergeCell ref="F2:G2"/>
    <mergeCell ref="F3:G3"/>
  </mergeCells>
  <phoneticPr fontId="4"/>
  <pageMargins left="0.28000000000000003" right="0.28000000000000003" top="0.4" bottom="0.24" header="0.36" footer="0.2"/>
  <pageSetup paperSize="9" scale="2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5164-4D69-43B5-9EC4-3F8030A2F258}">
  <sheetPr>
    <pageSetUpPr fitToPage="1"/>
  </sheetPr>
  <dimension ref="A1:AY138"/>
  <sheetViews>
    <sheetView view="pageBreakPreview" topLeftCell="A34" zoomScale="25" zoomScaleNormal="25" zoomScaleSheetLayoutView="25" workbookViewId="0">
      <selection activeCell="AX132" sqref="AX132"/>
    </sheetView>
  </sheetViews>
  <sheetFormatPr defaultColWidth="2.33203125" defaultRowHeight="15" customHeight="1" x14ac:dyDescent="0.15"/>
  <cols>
    <col min="2" max="2" width="18.44140625" customWidth="1"/>
    <col min="3" max="3" width="59.88671875" customWidth="1"/>
    <col min="4" max="42" width="13.109375" customWidth="1"/>
    <col min="43" max="50" width="13.33203125" customWidth="1"/>
    <col min="51" max="51" width="16.6640625" customWidth="1"/>
  </cols>
  <sheetData>
    <row r="1" spans="1:41" ht="18" customHeight="1" x14ac:dyDescent="0.25">
      <c r="A1" s="32" t="s">
        <v>0</v>
      </c>
      <c r="B1" s="33"/>
      <c r="C1" s="33"/>
      <c r="D1" s="33"/>
      <c r="E1" s="33"/>
      <c r="F1" s="33"/>
      <c r="G1" s="33"/>
    </row>
    <row r="2" spans="1:41" ht="12" x14ac:dyDescent="0.15">
      <c r="F2" s="34" t="s">
        <v>1</v>
      </c>
      <c r="G2" s="34"/>
    </row>
    <row r="3" spans="1:41" ht="12.6" thickBot="1" x14ac:dyDescent="0.2">
      <c r="F3" s="34" t="s">
        <v>2</v>
      </c>
      <c r="G3" s="34"/>
    </row>
    <row r="4" spans="1:41" ht="12.6" thickBot="1" x14ac:dyDescent="0.2">
      <c r="B4" s="8" t="s">
        <v>3</v>
      </c>
      <c r="C4" s="9" t="s">
        <v>4</v>
      </c>
      <c r="D4" s="9" t="s">
        <v>5</v>
      </c>
      <c r="E4" s="13" t="s">
        <v>41</v>
      </c>
      <c r="F4" s="9" t="s">
        <v>6</v>
      </c>
      <c r="G4" s="9" t="s">
        <v>7</v>
      </c>
    </row>
    <row r="5" spans="1:41" ht="12" x14ac:dyDescent="0.15">
      <c r="B5" s="4" t="s">
        <v>48</v>
      </c>
      <c r="C5" s="3" t="s">
        <v>9</v>
      </c>
      <c r="D5" s="10">
        <v>19000000</v>
      </c>
      <c r="E5" s="10">
        <v>0</v>
      </c>
      <c r="F5" s="10">
        <v>0</v>
      </c>
      <c r="G5" s="26">
        <v>0</v>
      </c>
    </row>
    <row r="6" spans="1:41" ht="12" x14ac:dyDescent="0.15">
      <c r="B6" s="5" t="s">
        <v>10</v>
      </c>
      <c r="C6" s="3"/>
      <c r="D6" s="29">
        <v>19000000</v>
      </c>
      <c r="E6" s="27">
        <v>0</v>
      </c>
      <c r="F6" s="27">
        <v>0</v>
      </c>
      <c r="G6" s="28">
        <v>0</v>
      </c>
    </row>
    <row r="7" spans="1:41" ht="12" x14ac:dyDescent="0.15">
      <c r="B7" s="4" t="s">
        <v>49</v>
      </c>
      <c r="C7" s="3" t="s">
        <v>9</v>
      </c>
      <c r="D7" s="10">
        <v>19000000</v>
      </c>
      <c r="E7" s="10">
        <v>0</v>
      </c>
      <c r="F7" s="10">
        <v>93047</v>
      </c>
      <c r="G7" s="26">
        <v>93047</v>
      </c>
    </row>
    <row r="8" spans="1:41" ht="12" x14ac:dyDescent="0.15">
      <c r="B8" s="5" t="s">
        <v>10</v>
      </c>
      <c r="C8" s="3"/>
      <c r="D8" s="27">
        <v>19000000</v>
      </c>
      <c r="E8" s="27">
        <v>0</v>
      </c>
      <c r="F8" s="27">
        <v>93047</v>
      </c>
      <c r="G8" s="28">
        <v>93047</v>
      </c>
      <c r="I8" s="22" t="s">
        <v>45</v>
      </c>
      <c r="J8" s="22"/>
      <c r="K8" s="23">
        <v>106884</v>
      </c>
      <c r="L8" s="23">
        <v>409974</v>
      </c>
      <c r="M8" s="23">
        <v>1153932</v>
      </c>
      <c r="N8" s="23">
        <v>2607672</v>
      </c>
      <c r="O8" s="23">
        <v>4141778</v>
      </c>
      <c r="P8" s="23">
        <v>10790930</v>
      </c>
      <c r="Q8" s="23">
        <v>16895636</v>
      </c>
      <c r="R8" s="23">
        <v>27414800</v>
      </c>
      <c r="S8" s="23">
        <v>42638656</v>
      </c>
      <c r="T8" s="23">
        <v>48582330</v>
      </c>
      <c r="U8" s="23">
        <v>59713032</v>
      </c>
      <c r="V8" s="23">
        <v>59713032</v>
      </c>
      <c r="W8" s="23">
        <v>59713032</v>
      </c>
      <c r="X8" s="23">
        <v>59713032</v>
      </c>
      <c r="Y8" s="23">
        <v>59713024</v>
      </c>
      <c r="Z8" s="23">
        <v>55471112</v>
      </c>
      <c r="AA8" s="23">
        <v>55471112</v>
      </c>
      <c r="AB8" s="23">
        <v>55471112</v>
      </c>
      <c r="AC8" s="23">
        <v>55471112</v>
      </c>
      <c r="AD8" s="23">
        <v>55471112</v>
      </c>
      <c r="AE8" s="23">
        <v>55471112</v>
      </c>
      <c r="AF8" s="23">
        <v>55471112</v>
      </c>
      <c r="AG8" s="23">
        <v>55471112</v>
      </c>
      <c r="AH8" s="23">
        <v>55471112</v>
      </c>
      <c r="AI8" s="23">
        <v>55471112</v>
      </c>
      <c r="AJ8" s="23">
        <v>52108126</v>
      </c>
      <c r="AK8" s="23">
        <v>45992236</v>
      </c>
      <c r="AL8" s="23">
        <v>34597872</v>
      </c>
      <c r="AM8" s="23">
        <v>21951776</v>
      </c>
      <c r="AN8" s="23">
        <v>14401302</v>
      </c>
      <c r="AO8" s="23">
        <f>SUM(K8:AN8)</f>
        <v>1177070176</v>
      </c>
    </row>
    <row r="9" spans="1:41" ht="12" x14ac:dyDescent="0.15">
      <c r="B9" s="4" t="s">
        <v>8</v>
      </c>
      <c r="C9" s="3" t="s">
        <v>9</v>
      </c>
      <c r="D9" s="10">
        <v>84900000</v>
      </c>
      <c r="E9" s="10">
        <v>0</v>
      </c>
      <c r="F9" s="10">
        <v>148442</v>
      </c>
      <c r="G9" s="26">
        <v>148442</v>
      </c>
      <c r="M9" s="17"/>
      <c r="N9" s="17"/>
      <c r="O9" s="17"/>
      <c r="P9" s="17"/>
      <c r="R9" s="17"/>
      <c r="S9" s="17"/>
      <c r="T9" s="17"/>
      <c r="U9" s="17"/>
      <c r="W9" s="17"/>
      <c r="X9" s="17"/>
      <c r="Y9" s="17"/>
      <c r="Z9" s="17"/>
      <c r="AA9" s="17"/>
      <c r="AB9" s="17"/>
      <c r="AC9" s="17"/>
      <c r="AF9" s="17"/>
      <c r="AH9" s="17"/>
      <c r="AI9" s="17"/>
      <c r="AJ9" s="17"/>
      <c r="AK9" s="17"/>
      <c r="AL9" s="17"/>
      <c r="AM9" s="17"/>
      <c r="AN9" s="17"/>
      <c r="AO9" s="17"/>
    </row>
    <row r="10" spans="1:41" ht="12" x14ac:dyDescent="0.15">
      <c r="B10" s="5" t="s">
        <v>10</v>
      </c>
      <c r="C10" s="3"/>
      <c r="D10" s="27">
        <v>84900000</v>
      </c>
      <c r="E10" s="27">
        <v>0</v>
      </c>
      <c r="F10" s="27">
        <v>148442</v>
      </c>
      <c r="G10" s="28">
        <v>148442</v>
      </c>
      <c r="M10" s="17"/>
      <c r="N10" s="17"/>
      <c r="O10" s="17"/>
      <c r="P10" s="17"/>
      <c r="Q10" s="17"/>
      <c r="R10" s="17"/>
      <c r="S10" s="17"/>
      <c r="T10" s="17"/>
      <c r="U10" s="17"/>
      <c r="W10" s="17"/>
      <c r="X10" s="17"/>
      <c r="Y10" s="17"/>
      <c r="Z10" s="17"/>
      <c r="AA10" s="17"/>
      <c r="AB10" s="17"/>
      <c r="AC10" s="17"/>
      <c r="AF10" s="17"/>
      <c r="AH10" s="17"/>
      <c r="AI10" s="17"/>
      <c r="AK10" s="17"/>
      <c r="AL10" s="17"/>
      <c r="AM10" s="17"/>
      <c r="AN10" s="17"/>
      <c r="AO10" s="17"/>
    </row>
    <row r="11" spans="1:41" ht="12" x14ac:dyDescent="0.15">
      <c r="B11" s="4" t="s">
        <v>11</v>
      </c>
      <c r="C11" s="3" t="s">
        <v>9</v>
      </c>
      <c r="D11" s="10">
        <v>111600000</v>
      </c>
      <c r="E11" s="10">
        <v>0</v>
      </c>
      <c r="F11" s="10">
        <v>299987</v>
      </c>
      <c r="G11" s="26">
        <v>299987</v>
      </c>
      <c r="M11" s="17"/>
      <c r="N11" s="17"/>
      <c r="O11" s="17"/>
      <c r="P11" s="17"/>
      <c r="Q11" s="17"/>
      <c r="R11" s="17"/>
      <c r="S11" s="17"/>
      <c r="T11" s="17"/>
      <c r="U11" s="17"/>
      <c r="W11" s="17"/>
      <c r="X11" s="17"/>
      <c r="Y11" s="17"/>
      <c r="Z11" s="17"/>
      <c r="AA11" s="17"/>
      <c r="AB11" s="17"/>
      <c r="AC11" s="17"/>
      <c r="AF11" s="17"/>
      <c r="AH11" s="17"/>
      <c r="AI11" s="17"/>
      <c r="AJ11" s="17"/>
      <c r="AK11" s="17"/>
      <c r="AL11" s="17"/>
      <c r="AM11" s="17"/>
      <c r="AN11" s="17"/>
      <c r="AO11" s="17"/>
    </row>
    <row r="12" spans="1:41" ht="12" x14ac:dyDescent="0.15">
      <c r="B12" s="5" t="s">
        <v>10</v>
      </c>
      <c r="C12" s="3"/>
      <c r="D12" s="27">
        <v>111600000</v>
      </c>
      <c r="E12" s="27">
        <v>0</v>
      </c>
      <c r="F12" s="27">
        <v>299987</v>
      </c>
      <c r="G12" s="28">
        <v>299987</v>
      </c>
    </row>
    <row r="13" spans="1:41" ht="12" x14ac:dyDescent="0.15">
      <c r="B13" s="4" t="s">
        <v>12</v>
      </c>
      <c r="C13" s="3" t="s">
        <v>9</v>
      </c>
      <c r="D13" s="10">
        <v>221000000</v>
      </c>
      <c r="E13" s="10">
        <v>0</v>
      </c>
      <c r="F13" s="10">
        <v>671966</v>
      </c>
      <c r="G13" s="26">
        <v>671966</v>
      </c>
    </row>
    <row r="14" spans="1:41" ht="12" x14ac:dyDescent="0.15">
      <c r="B14" s="5" t="s">
        <v>10</v>
      </c>
      <c r="C14" s="3"/>
      <c r="D14" s="27">
        <v>221000000</v>
      </c>
      <c r="E14" s="27">
        <v>0</v>
      </c>
      <c r="F14" s="27">
        <v>671966</v>
      </c>
      <c r="G14" s="28">
        <v>671966</v>
      </c>
    </row>
    <row r="15" spans="1:41" ht="12" x14ac:dyDescent="0.15">
      <c r="B15" s="4" t="s">
        <v>13</v>
      </c>
      <c r="C15" s="3" t="s">
        <v>9</v>
      </c>
      <c r="D15" s="10">
        <v>397100000</v>
      </c>
      <c r="E15" s="10">
        <v>0</v>
      </c>
      <c r="F15" s="10">
        <v>1398836</v>
      </c>
      <c r="G15" s="26">
        <v>1398836</v>
      </c>
    </row>
    <row r="16" spans="1:41" ht="12" x14ac:dyDescent="0.15">
      <c r="B16" s="5" t="s">
        <v>10</v>
      </c>
      <c r="C16" s="3"/>
      <c r="D16" s="27">
        <v>397100000</v>
      </c>
      <c r="E16" s="27">
        <v>0</v>
      </c>
      <c r="F16" s="27">
        <v>1398836</v>
      </c>
      <c r="G16" s="28">
        <v>1398836</v>
      </c>
    </row>
    <row r="17" spans="2:30" ht="12" x14ac:dyDescent="0.15">
      <c r="B17" s="4" t="s">
        <v>14</v>
      </c>
      <c r="C17" s="3" t="s">
        <v>9</v>
      </c>
      <c r="D17" s="10">
        <v>528894392</v>
      </c>
      <c r="E17" s="10">
        <v>905608</v>
      </c>
      <c r="F17" s="10">
        <v>2164759</v>
      </c>
      <c r="G17" s="26">
        <v>3070367</v>
      </c>
    </row>
    <row r="18" spans="2:30" ht="12" x14ac:dyDescent="0.15">
      <c r="B18" s="5" t="s">
        <v>10</v>
      </c>
      <c r="C18" s="3"/>
      <c r="D18" s="27">
        <v>528894392</v>
      </c>
      <c r="E18" s="27">
        <v>905608</v>
      </c>
      <c r="F18" s="27">
        <v>2164759</v>
      </c>
      <c r="G18" s="28">
        <v>3070367</v>
      </c>
    </row>
    <row r="19" spans="2:30" ht="12" x14ac:dyDescent="0.15">
      <c r="B19" s="4" t="s">
        <v>15</v>
      </c>
      <c r="C19" s="3" t="s">
        <v>9</v>
      </c>
      <c r="D19" s="10">
        <v>544468657</v>
      </c>
      <c r="E19" s="10">
        <v>2525735</v>
      </c>
      <c r="F19" s="10">
        <v>3869208</v>
      </c>
      <c r="G19" s="26">
        <v>6394943</v>
      </c>
    </row>
    <row r="20" spans="2:30" ht="12" x14ac:dyDescent="0.15">
      <c r="B20" s="5" t="s">
        <v>10</v>
      </c>
      <c r="C20" s="3"/>
      <c r="D20" s="27">
        <v>544468657</v>
      </c>
      <c r="E20" s="27">
        <v>2525735</v>
      </c>
      <c r="F20" s="27">
        <v>3869208</v>
      </c>
      <c r="G20" s="28">
        <v>6394943</v>
      </c>
    </row>
    <row r="21" spans="2:30" ht="12" x14ac:dyDescent="0.15">
      <c r="B21" s="4" t="s">
        <v>16</v>
      </c>
      <c r="C21" s="3" t="s">
        <v>9</v>
      </c>
      <c r="D21" s="10">
        <v>539020600</v>
      </c>
      <c r="E21" s="10">
        <v>5448057</v>
      </c>
      <c r="F21" s="10">
        <v>3999239</v>
      </c>
      <c r="G21" s="26">
        <v>9447296</v>
      </c>
    </row>
    <row r="22" spans="2:30" ht="12" x14ac:dyDescent="0.15">
      <c r="B22" s="5" t="s">
        <v>10</v>
      </c>
      <c r="C22" s="3"/>
      <c r="D22" s="27">
        <v>539020600</v>
      </c>
      <c r="E22" s="27">
        <v>5448057</v>
      </c>
      <c r="F22" s="27">
        <v>3999239</v>
      </c>
      <c r="G22" s="28">
        <v>9447296</v>
      </c>
    </row>
    <row r="23" spans="2:30" ht="12" x14ac:dyDescent="0.15">
      <c r="B23" s="4" t="s">
        <v>17</v>
      </c>
      <c r="C23" s="3" t="s">
        <v>9</v>
      </c>
      <c r="D23" s="10">
        <v>528292751</v>
      </c>
      <c r="E23" s="10">
        <v>10727849</v>
      </c>
      <c r="F23" s="10">
        <v>3979029</v>
      </c>
      <c r="G23" s="26">
        <v>14706878</v>
      </c>
    </row>
    <row r="24" spans="2:30" ht="12" x14ac:dyDescent="0.15">
      <c r="B24" s="5" t="s">
        <v>10</v>
      </c>
      <c r="C24" s="3"/>
      <c r="D24" s="27">
        <v>528292751</v>
      </c>
      <c r="E24" s="27">
        <v>10727849</v>
      </c>
      <c r="F24" s="27">
        <v>3979029</v>
      </c>
      <c r="G24" s="28">
        <v>14706878</v>
      </c>
    </row>
    <row r="25" spans="2:30" ht="12" x14ac:dyDescent="0.15">
      <c r="B25" s="4" t="s">
        <v>18</v>
      </c>
      <c r="C25" s="3" t="s">
        <v>9</v>
      </c>
      <c r="D25" s="10">
        <v>509904379</v>
      </c>
      <c r="E25" s="10">
        <v>18388372</v>
      </c>
      <c r="F25" s="10">
        <v>3930434</v>
      </c>
      <c r="G25" s="26">
        <v>22318806</v>
      </c>
      <c r="AD25" s="16"/>
    </row>
    <row r="26" spans="2:30" ht="12" x14ac:dyDescent="0.15">
      <c r="B26" s="5" t="s">
        <v>10</v>
      </c>
      <c r="C26" s="3"/>
      <c r="D26" s="27">
        <v>509904379</v>
      </c>
      <c r="E26" s="27">
        <v>18388372</v>
      </c>
      <c r="F26" s="27">
        <v>3930434</v>
      </c>
      <c r="G26" s="28">
        <v>22318806</v>
      </c>
    </row>
    <row r="27" spans="2:30" ht="12" x14ac:dyDescent="0.15">
      <c r="B27" s="4" t="s">
        <v>19</v>
      </c>
      <c r="C27" s="3" t="s">
        <v>9</v>
      </c>
      <c r="D27" s="10">
        <v>488450109</v>
      </c>
      <c r="E27" s="10">
        <v>21454270</v>
      </c>
      <c r="F27" s="10">
        <v>3836373</v>
      </c>
      <c r="G27" s="26">
        <v>25290643</v>
      </c>
    </row>
    <row r="28" spans="2:30" ht="12" x14ac:dyDescent="0.15">
      <c r="B28" s="5" t="s">
        <v>10</v>
      </c>
      <c r="C28" s="3"/>
      <c r="D28" s="27">
        <v>488450109</v>
      </c>
      <c r="E28" s="27">
        <v>21454270</v>
      </c>
      <c r="F28" s="27">
        <v>3836373</v>
      </c>
      <c r="G28" s="28">
        <v>25290643</v>
      </c>
    </row>
    <row r="29" spans="2:30" ht="12" x14ac:dyDescent="0.15">
      <c r="B29" s="4" t="s">
        <v>20</v>
      </c>
      <c r="C29" s="3" t="s">
        <v>9</v>
      </c>
      <c r="D29" s="10">
        <v>461288408</v>
      </c>
      <c r="E29" s="10">
        <v>27161701</v>
      </c>
      <c r="F29" s="10">
        <v>3694293</v>
      </c>
      <c r="G29" s="26">
        <v>30855994</v>
      </c>
    </row>
    <row r="30" spans="2:30" ht="12" x14ac:dyDescent="0.15">
      <c r="B30" s="5" t="s">
        <v>10</v>
      </c>
      <c r="C30" s="3"/>
      <c r="D30" s="27">
        <v>461288408</v>
      </c>
      <c r="E30" s="27">
        <v>27161701</v>
      </c>
      <c r="F30" s="27">
        <v>3694293</v>
      </c>
      <c r="G30" s="28">
        <v>30855994</v>
      </c>
    </row>
    <row r="31" spans="2:30" ht="12" x14ac:dyDescent="0.15">
      <c r="B31" s="4" t="s">
        <v>21</v>
      </c>
      <c r="C31" s="3" t="s">
        <v>9</v>
      </c>
      <c r="D31" s="10">
        <v>433930621</v>
      </c>
      <c r="E31" s="10">
        <v>27357787</v>
      </c>
      <c r="F31" s="10">
        <v>3498207</v>
      </c>
      <c r="G31" s="26">
        <v>30855994</v>
      </c>
    </row>
    <row r="32" spans="2:30" ht="12" x14ac:dyDescent="0.15">
      <c r="B32" s="5" t="s">
        <v>10</v>
      </c>
      <c r="C32" s="3"/>
      <c r="D32" s="27">
        <v>433930621</v>
      </c>
      <c r="E32" s="27">
        <v>27357787</v>
      </c>
      <c r="F32" s="27">
        <v>3498207</v>
      </c>
      <c r="G32" s="28">
        <v>30855994</v>
      </c>
    </row>
    <row r="33" spans="2:7" ht="12" x14ac:dyDescent="0.15">
      <c r="B33" s="4" t="s">
        <v>22</v>
      </c>
      <c r="C33" s="3" t="s">
        <v>9</v>
      </c>
      <c r="D33" s="10">
        <v>406374896</v>
      </c>
      <c r="E33" s="10">
        <v>27555725</v>
      </c>
      <c r="F33" s="10">
        <v>3300269</v>
      </c>
      <c r="G33" s="26">
        <v>30855994</v>
      </c>
    </row>
    <row r="34" spans="2:7" ht="12" x14ac:dyDescent="0.15">
      <c r="B34" s="5" t="s">
        <v>10</v>
      </c>
      <c r="C34" s="3"/>
      <c r="D34" s="27">
        <v>406374896</v>
      </c>
      <c r="E34" s="27">
        <v>27555725</v>
      </c>
      <c r="F34" s="27">
        <v>3300269</v>
      </c>
      <c r="G34" s="28">
        <v>30855994</v>
      </c>
    </row>
    <row r="35" spans="2:7" ht="12" x14ac:dyDescent="0.15">
      <c r="B35" s="4" t="s">
        <v>23</v>
      </c>
      <c r="C35" s="3" t="s">
        <v>9</v>
      </c>
      <c r="D35" s="10">
        <v>378619357</v>
      </c>
      <c r="E35" s="10">
        <v>27755539</v>
      </c>
      <c r="F35" s="10">
        <v>3100455</v>
      </c>
      <c r="G35" s="26">
        <v>30855994</v>
      </c>
    </row>
    <row r="36" spans="2:7" ht="12" x14ac:dyDescent="0.15">
      <c r="B36" s="5" t="s">
        <v>10</v>
      </c>
      <c r="C36" s="3"/>
      <c r="D36" s="27">
        <v>378619357</v>
      </c>
      <c r="E36" s="27">
        <v>27755539</v>
      </c>
      <c r="F36" s="27">
        <v>3100455</v>
      </c>
      <c r="G36" s="28">
        <v>30855994</v>
      </c>
    </row>
    <row r="37" spans="2:7" ht="12" x14ac:dyDescent="0.15">
      <c r="B37" s="4" t="s">
        <v>24</v>
      </c>
      <c r="C37" s="3" t="s">
        <v>9</v>
      </c>
      <c r="D37" s="10">
        <v>350662120</v>
      </c>
      <c r="E37" s="10">
        <v>27957237</v>
      </c>
      <c r="F37" s="10">
        <v>2898753</v>
      </c>
      <c r="G37" s="26">
        <v>30855990</v>
      </c>
    </row>
    <row r="38" spans="2:7" ht="12" x14ac:dyDescent="0.15">
      <c r="B38" s="5" t="s">
        <v>10</v>
      </c>
      <c r="C38" s="3"/>
      <c r="D38" s="27">
        <v>350662120</v>
      </c>
      <c r="E38" s="27">
        <v>27957237</v>
      </c>
      <c r="F38" s="27">
        <v>2898753</v>
      </c>
      <c r="G38" s="28">
        <v>30855990</v>
      </c>
    </row>
    <row r="39" spans="2:7" ht="12" x14ac:dyDescent="0.15">
      <c r="B39" s="4" t="s">
        <v>25</v>
      </c>
      <c r="C39" s="3" t="s">
        <v>9</v>
      </c>
      <c r="D39" s="10">
        <v>324626570</v>
      </c>
      <c r="E39" s="10">
        <v>26035550</v>
      </c>
      <c r="F39" s="10">
        <v>2699484</v>
      </c>
      <c r="G39" s="26">
        <v>28735034</v>
      </c>
    </row>
    <row r="40" spans="2:7" ht="12" x14ac:dyDescent="0.15">
      <c r="B40" s="5" t="s">
        <v>10</v>
      </c>
      <c r="C40" s="3"/>
      <c r="D40" s="27">
        <v>324626570</v>
      </c>
      <c r="E40" s="27">
        <v>26035550</v>
      </c>
      <c r="F40" s="27">
        <v>2699484</v>
      </c>
      <c r="G40" s="28">
        <v>28735034</v>
      </c>
    </row>
    <row r="41" spans="2:7" ht="12" x14ac:dyDescent="0.15">
      <c r="B41" s="4" t="s">
        <v>26</v>
      </c>
      <c r="C41" s="3" t="s">
        <v>9</v>
      </c>
      <c r="D41" s="10">
        <v>298402928</v>
      </c>
      <c r="E41" s="10">
        <v>26223642</v>
      </c>
      <c r="F41" s="10">
        <v>2511392</v>
      </c>
      <c r="G41" s="26">
        <v>28735034</v>
      </c>
    </row>
    <row r="42" spans="2:7" ht="12" x14ac:dyDescent="0.15">
      <c r="B42" s="5" t="s">
        <v>10</v>
      </c>
      <c r="C42" s="3"/>
      <c r="D42" s="27">
        <v>298402928</v>
      </c>
      <c r="E42" s="27">
        <v>26223642</v>
      </c>
      <c r="F42" s="27">
        <v>2511392</v>
      </c>
      <c r="G42" s="28">
        <v>28735034</v>
      </c>
    </row>
    <row r="43" spans="2:7" ht="12" x14ac:dyDescent="0.15">
      <c r="B43" s="4" t="s">
        <v>27</v>
      </c>
      <c r="C43" s="3" t="s">
        <v>9</v>
      </c>
      <c r="D43" s="10">
        <v>271989377</v>
      </c>
      <c r="E43" s="10">
        <v>26413551</v>
      </c>
      <c r="F43" s="10">
        <v>2321483</v>
      </c>
      <c r="G43" s="26">
        <v>28735034</v>
      </c>
    </row>
    <row r="44" spans="2:7" ht="12" x14ac:dyDescent="0.15">
      <c r="B44" s="5" t="s">
        <v>10</v>
      </c>
      <c r="C44" s="3"/>
      <c r="D44" s="27">
        <v>271989377</v>
      </c>
      <c r="E44" s="27">
        <v>26413551</v>
      </c>
      <c r="F44" s="27">
        <v>2321483</v>
      </c>
      <c r="G44" s="28">
        <v>28735034</v>
      </c>
    </row>
    <row r="45" spans="2:7" ht="12" x14ac:dyDescent="0.15">
      <c r="B45" s="4" t="s">
        <v>28</v>
      </c>
      <c r="C45" s="3" t="s">
        <v>9</v>
      </c>
      <c r="D45" s="10">
        <v>245384091</v>
      </c>
      <c r="E45" s="10">
        <v>26605286</v>
      </c>
      <c r="F45" s="10">
        <v>2129748</v>
      </c>
      <c r="G45" s="26">
        <v>28735034</v>
      </c>
    </row>
    <row r="46" spans="2:7" ht="12" x14ac:dyDescent="0.15">
      <c r="B46" s="5" t="s">
        <v>10</v>
      </c>
      <c r="C46" s="3"/>
      <c r="D46" s="27">
        <v>245384091</v>
      </c>
      <c r="E46" s="27">
        <v>26605286</v>
      </c>
      <c r="F46" s="27">
        <v>2129748</v>
      </c>
      <c r="G46" s="28">
        <v>28735034</v>
      </c>
    </row>
    <row r="47" spans="2:7" ht="12" x14ac:dyDescent="0.15">
      <c r="B47" s="4" t="s">
        <v>29</v>
      </c>
      <c r="C47" s="3" t="s">
        <v>9</v>
      </c>
      <c r="D47" s="10">
        <v>218585218</v>
      </c>
      <c r="E47" s="10">
        <v>26798873</v>
      </c>
      <c r="F47" s="10">
        <v>1936161</v>
      </c>
      <c r="G47" s="26">
        <v>28735034</v>
      </c>
    </row>
    <row r="48" spans="2:7" ht="12" x14ac:dyDescent="0.15">
      <c r="B48" s="5" t="s">
        <v>10</v>
      </c>
      <c r="C48" s="3"/>
      <c r="D48" s="27">
        <v>218585218</v>
      </c>
      <c r="E48" s="27">
        <v>26798873</v>
      </c>
      <c r="F48" s="27">
        <v>1936161</v>
      </c>
      <c r="G48" s="28">
        <v>28735034</v>
      </c>
    </row>
    <row r="49" spans="2:7" ht="12" x14ac:dyDescent="0.15">
      <c r="B49" s="4" t="s">
        <v>30</v>
      </c>
      <c r="C49" s="3" t="s">
        <v>9</v>
      </c>
      <c r="D49" s="10">
        <v>191590878</v>
      </c>
      <c r="E49" s="10">
        <v>26994340</v>
      </c>
      <c r="F49" s="10">
        <v>1740694</v>
      </c>
      <c r="G49" s="26">
        <v>28735034</v>
      </c>
    </row>
    <row r="50" spans="2:7" ht="12" x14ac:dyDescent="0.15">
      <c r="B50" s="5" t="s">
        <v>10</v>
      </c>
      <c r="C50" s="3"/>
      <c r="D50" s="27">
        <v>191590878</v>
      </c>
      <c r="E50" s="27">
        <v>26994340</v>
      </c>
      <c r="F50" s="27">
        <v>1740694</v>
      </c>
      <c r="G50" s="28">
        <v>28735034</v>
      </c>
    </row>
    <row r="51" spans="2:7" ht="12" x14ac:dyDescent="0.15">
      <c r="B51" s="4" t="s">
        <v>31</v>
      </c>
      <c r="C51" s="3" t="s">
        <v>9</v>
      </c>
      <c r="D51" s="10">
        <v>164399174</v>
      </c>
      <c r="E51" s="10">
        <v>27191704</v>
      </c>
      <c r="F51" s="10">
        <v>1543330</v>
      </c>
      <c r="G51" s="26">
        <v>28735034</v>
      </c>
    </row>
    <row r="52" spans="2:7" ht="12" x14ac:dyDescent="0.15">
      <c r="B52" s="5" t="s">
        <v>10</v>
      </c>
      <c r="C52" s="3"/>
      <c r="D52" s="27">
        <v>164399174</v>
      </c>
      <c r="E52" s="27">
        <v>27191704</v>
      </c>
      <c r="F52" s="27">
        <v>1543330</v>
      </c>
      <c r="G52" s="28">
        <v>28735034</v>
      </c>
    </row>
    <row r="53" spans="2:7" ht="12" x14ac:dyDescent="0.15">
      <c r="B53" s="4" t="s">
        <v>32</v>
      </c>
      <c r="C53" s="3" t="s">
        <v>9</v>
      </c>
      <c r="D53" s="10">
        <v>137008193</v>
      </c>
      <c r="E53" s="10">
        <v>27390981</v>
      </c>
      <c r="F53" s="10">
        <v>1344053</v>
      </c>
      <c r="G53" s="26">
        <v>28735034</v>
      </c>
    </row>
    <row r="54" spans="2:7" ht="12" x14ac:dyDescent="0.15">
      <c r="B54" s="5" t="s">
        <v>10</v>
      </c>
      <c r="C54" s="3"/>
      <c r="D54" s="27">
        <v>137008193</v>
      </c>
      <c r="E54" s="27">
        <v>27390981</v>
      </c>
      <c r="F54" s="27">
        <v>1344053</v>
      </c>
      <c r="G54" s="28">
        <v>28735034</v>
      </c>
    </row>
    <row r="55" spans="2:7" ht="12" x14ac:dyDescent="0.15">
      <c r="B55" s="4" t="s">
        <v>33</v>
      </c>
      <c r="C55" s="3" t="s">
        <v>9</v>
      </c>
      <c r="D55" s="10">
        <v>109415993</v>
      </c>
      <c r="E55" s="10">
        <v>27592200</v>
      </c>
      <c r="F55" s="10">
        <v>1142834</v>
      </c>
      <c r="G55" s="26">
        <v>28735034</v>
      </c>
    </row>
    <row r="56" spans="2:7" ht="12" x14ac:dyDescent="0.15">
      <c r="B56" s="5" t="s">
        <v>10</v>
      </c>
      <c r="C56" s="3"/>
      <c r="D56" s="27">
        <v>109415993</v>
      </c>
      <c r="E56" s="27">
        <v>27592200</v>
      </c>
      <c r="F56" s="27">
        <v>1142834</v>
      </c>
      <c r="G56" s="28">
        <v>28735034</v>
      </c>
    </row>
    <row r="57" spans="2:7" ht="12" x14ac:dyDescent="0.15">
      <c r="B57" s="4" t="s">
        <v>34</v>
      </c>
      <c r="C57" s="3" t="s">
        <v>9</v>
      </c>
      <c r="D57" s="10">
        <v>82621339</v>
      </c>
      <c r="E57" s="10">
        <v>26794654</v>
      </c>
      <c r="F57" s="10">
        <v>940902</v>
      </c>
      <c r="G57" s="26">
        <v>27735556</v>
      </c>
    </row>
    <row r="58" spans="2:7" ht="12" x14ac:dyDescent="0.15">
      <c r="B58" s="5" t="s">
        <v>10</v>
      </c>
      <c r="C58" s="3"/>
      <c r="D58" s="27">
        <v>82621339</v>
      </c>
      <c r="E58" s="27">
        <v>26794654</v>
      </c>
      <c r="F58" s="27">
        <v>940902</v>
      </c>
      <c r="G58" s="28">
        <v>27735556</v>
      </c>
    </row>
    <row r="59" spans="2:7" ht="12" x14ac:dyDescent="0.15">
      <c r="B59" s="4" t="s">
        <v>35</v>
      </c>
      <c r="C59" s="3" t="s">
        <v>9</v>
      </c>
      <c r="D59" s="10">
        <v>57308027</v>
      </c>
      <c r="E59" s="10">
        <v>25313312</v>
      </c>
      <c r="F59" s="10">
        <v>740751</v>
      </c>
      <c r="G59" s="26">
        <v>26054063</v>
      </c>
    </row>
    <row r="60" spans="2:7" ht="12" x14ac:dyDescent="0.15">
      <c r="B60" s="5" t="s">
        <v>10</v>
      </c>
      <c r="C60" s="3"/>
      <c r="D60" s="27">
        <v>57308027</v>
      </c>
      <c r="E60" s="27">
        <v>25313312</v>
      </c>
      <c r="F60" s="27">
        <v>740751</v>
      </c>
      <c r="G60" s="28">
        <v>26054063</v>
      </c>
    </row>
    <row r="61" spans="2:7" ht="12" x14ac:dyDescent="0.15">
      <c r="B61" s="4" t="s">
        <v>36</v>
      </c>
      <c r="C61" s="3" t="s">
        <v>9</v>
      </c>
      <c r="D61" s="10">
        <v>34856604</v>
      </c>
      <c r="E61" s="10">
        <v>22451423</v>
      </c>
      <c r="F61" s="10">
        <v>544695</v>
      </c>
      <c r="G61" s="26">
        <v>22996118</v>
      </c>
    </row>
    <row r="62" spans="2:7" ht="12" x14ac:dyDescent="0.15">
      <c r="B62" s="5" t="s">
        <v>10</v>
      </c>
      <c r="C62" s="3"/>
      <c r="D62" s="27">
        <v>34856604</v>
      </c>
      <c r="E62" s="27">
        <v>22451423</v>
      </c>
      <c r="F62" s="27">
        <v>544695</v>
      </c>
      <c r="G62" s="28">
        <v>22996118</v>
      </c>
    </row>
    <row r="63" spans="2:7" ht="12" x14ac:dyDescent="0.15">
      <c r="B63" s="4" t="s">
        <v>37</v>
      </c>
      <c r="C63" s="3" t="s">
        <v>9</v>
      </c>
      <c r="D63" s="10">
        <v>17914800</v>
      </c>
      <c r="E63" s="10">
        <v>16941804</v>
      </c>
      <c r="F63" s="10">
        <v>357132</v>
      </c>
      <c r="G63" s="26">
        <v>17298936</v>
      </c>
    </row>
    <row r="64" spans="2:7" ht="12" x14ac:dyDescent="0.15">
      <c r="B64" s="5" t="s">
        <v>10</v>
      </c>
      <c r="C64" s="3"/>
      <c r="D64" s="27">
        <v>17914800</v>
      </c>
      <c r="E64" s="27">
        <v>16941804</v>
      </c>
      <c r="F64" s="27">
        <v>357132</v>
      </c>
      <c r="G64" s="28">
        <v>17298936</v>
      </c>
    </row>
    <row r="65" spans="2:41" ht="12" x14ac:dyDescent="0.15">
      <c r="B65" s="4" t="s">
        <v>38</v>
      </c>
      <c r="C65" s="3" t="s">
        <v>9</v>
      </c>
      <c r="D65" s="10">
        <v>7133105</v>
      </c>
      <c r="E65" s="10">
        <v>10781695</v>
      </c>
      <c r="F65" s="10">
        <v>194193</v>
      </c>
      <c r="G65" s="26">
        <v>10975888</v>
      </c>
    </row>
    <row r="66" spans="2:41" ht="15" customHeight="1" x14ac:dyDescent="0.15">
      <c r="B66" s="5" t="s">
        <v>10</v>
      </c>
      <c r="C66" s="3"/>
      <c r="D66" s="27">
        <v>7133105</v>
      </c>
      <c r="E66" s="27">
        <v>10781695</v>
      </c>
      <c r="F66" s="27">
        <v>194193</v>
      </c>
      <c r="G66" s="28">
        <v>10975888</v>
      </c>
    </row>
    <row r="67" spans="2:41" ht="15" customHeight="1" x14ac:dyDescent="0.15">
      <c r="B67" s="4" t="s">
        <v>39</v>
      </c>
      <c r="C67" s="3" t="s">
        <v>9</v>
      </c>
      <c r="D67" s="10">
        <v>0</v>
      </c>
      <c r="E67" s="10">
        <v>7133105</v>
      </c>
      <c r="F67" s="10">
        <v>67546</v>
      </c>
      <c r="G67" s="26">
        <v>7200651</v>
      </c>
    </row>
    <row r="68" spans="2:41" ht="15" customHeight="1" x14ac:dyDescent="0.15">
      <c r="B68" s="5" t="s">
        <v>10</v>
      </c>
      <c r="C68" s="3"/>
      <c r="D68" s="27">
        <v>0</v>
      </c>
      <c r="E68" s="27">
        <v>7133105</v>
      </c>
      <c r="F68" s="27">
        <v>67546</v>
      </c>
      <c r="G68" s="28">
        <v>7200651</v>
      </c>
      <c r="H68" s="16"/>
      <c r="I68" s="16"/>
      <c r="J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</row>
    <row r="69" spans="2:41" ht="15" customHeight="1" thickBot="1" x14ac:dyDescent="0.2">
      <c r="B69" s="6" t="s">
        <v>40</v>
      </c>
      <c r="C69" s="7" t="s">
        <v>9</v>
      </c>
      <c r="D69" s="11"/>
      <c r="E69" s="11">
        <v>547900000</v>
      </c>
      <c r="F69" s="11">
        <v>61097695</v>
      </c>
      <c r="G69" s="12">
        <v>608997695</v>
      </c>
    </row>
    <row r="120" spans="8:51" ht="15" customHeight="1" x14ac:dyDescent="0.15">
      <c r="AY120" s="21" t="s">
        <v>46</v>
      </c>
    </row>
    <row r="121" spans="8:51" ht="15" customHeight="1" x14ac:dyDescent="0.15">
      <c r="I121" s="18"/>
      <c r="J121" s="19">
        <v>21</v>
      </c>
      <c r="K121" s="19">
        <v>22</v>
      </c>
      <c r="L121" s="19">
        <v>23</v>
      </c>
      <c r="M121" s="19">
        <v>24</v>
      </c>
      <c r="N121" s="19">
        <v>25</v>
      </c>
      <c r="O121" s="19">
        <v>26</v>
      </c>
      <c r="P121" s="19">
        <v>27</v>
      </c>
      <c r="Q121" s="19">
        <v>28</v>
      </c>
      <c r="R121" s="19">
        <v>29</v>
      </c>
      <c r="S121" s="19">
        <v>30</v>
      </c>
      <c r="T121" s="19">
        <v>31</v>
      </c>
      <c r="U121" s="19">
        <v>2</v>
      </c>
      <c r="V121" s="19">
        <v>3</v>
      </c>
      <c r="W121" s="19">
        <v>4</v>
      </c>
      <c r="X121" s="19">
        <v>5</v>
      </c>
      <c r="Y121" s="19">
        <v>6</v>
      </c>
      <c r="Z121" s="19">
        <v>7</v>
      </c>
      <c r="AA121" s="19">
        <v>8</v>
      </c>
      <c r="AB121" s="19">
        <v>9</v>
      </c>
      <c r="AC121" s="19">
        <v>10</v>
      </c>
      <c r="AD121" s="19">
        <v>11</v>
      </c>
      <c r="AE121" s="19">
        <v>12</v>
      </c>
      <c r="AF121" s="19">
        <v>13</v>
      </c>
      <c r="AG121" s="19">
        <v>14</v>
      </c>
      <c r="AH121" s="19">
        <v>15</v>
      </c>
      <c r="AI121" s="19">
        <v>16</v>
      </c>
      <c r="AJ121" s="19">
        <v>17</v>
      </c>
      <c r="AK121" s="19">
        <v>18</v>
      </c>
      <c r="AL121" s="19">
        <v>19</v>
      </c>
      <c r="AM121" s="19">
        <v>20</v>
      </c>
      <c r="AN121" s="19">
        <v>21</v>
      </c>
      <c r="AO121" s="19">
        <v>22</v>
      </c>
      <c r="AP121" s="19">
        <v>23</v>
      </c>
      <c r="AQ121" s="19">
        <v>24</v>
      </c>
      <c r="AR121" s="19">
        <v>25</v>
      </c>
      <c r="AS121" s="19">
        <v>26</v>
      </c>
      <c r="AT121" s="19">
        <v>27</v>
      </c>
      <c r="AU121" s="19">
        <v>28</v>
      </c>
      <c r="AV121" s="19">
        <v>29</v>
      </c>
      <c r="AW121" s="19">
        <v>30</v>
      </c>
      <c r="AX121" s="19">
        <v>31</v>
      </c>
      <c r="AY121" s="19" t="s">
        <v>45</v>
      </c>
    </row>
    <row r="122" spans="8:51" ht="15" customHeight="1" x14ac:dyDescent="0.15">
      <c r="H122" s="16" t="s">
        <v>50</v>
      </c>
      <c r="I122" s="19" t="s">
        <v>43</v>
      </c>
      <c r="J122" s="24"/>
      <c r="K122" s="24"/>
      <c r="L122" s="24"/>
      <c r="M122" s="24"/>
      <c r="N122" s="24"/>
      <c r="O122" s="24"/>
      <c r="P122" s="24"/>
      <c r="Q122" s="24"/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905608</v>
      </c>
      <c r="Y122" s="24">
        <v>2525735</v>
      </c>
      <c r="Z122" s="24">
        <v>5448057</v>
      </c>
      <c r="AA122" s="24">
        <v>10727849</v>
      </c>
      <c r="AB122" s="24">
        <v>18388372</v>
      </c>
      <c r="AC122" s="24">
        <v>21454270</v>
      </c>
      <c r="AD122" s="24">
        <v>27161701</v>
      </c>
      <c r="AE122" s="24">
        <v>27357787</v>
      </c>
      <c r="AF122" s="24">
        <v>27555725</v>
      </c>
      <c r="AG122" s="24">
        <v>27755539</v>
      </c>
      <c r="AH122" s="24">
        <v>27957237</v>
      </c>
      <c r="AI122" s="24">
        <v>26035550</v>
      </c>
      <c r="AJ122" s="24">
        <v>26223642</v>
      </c>
      <c r="AK122" s="24">
        <v>26413551</v>
      </c>
      <c r="AL122" s="24">
        <v>26605286</v>
      </c>
      <c r="AM122" s="24">
        <v>26798873</v>
      </c>
      <c r="AN122" s="24">
        <v>26994340</v>
      </c>
      <c r="AO122" s="24">
        <v>27191704</v>
      </c>
      <c r="AP122" s="24">
        <v>27390981</v>
      </c>
      <c r="AQ122" s="24">
        <v>27592200</v>
      </c>
      <c r="AR122" s="24">
        <v>26794654</v>
      </c>
      <c r="AS122" s="24">
        <v>25313312</v>
      </c>
      <c r="AT122" s="24">
        <v>22451423</v>
      </c>
      <c r="AU122" s="24">
        <v>16941804</v>
      </c>
      <c r="AV122" s="24">
        <v>10781695</v>
      </c>
      <c r="AW122" s="24">
        <v>7133105</v>
      </c>
      <c r="AX122" s="24"/>
      <c r="AY122" s="24">
        <f>SUM(J122:AX122)</f>
        <v>547900000</v>
      </c>
    </row>
    <row r="123" spans="8:51" ht="15" customHeight="1" x14ac:dyDescent="0.15">
      <c r="H123" s="16" t="s">
        <v>52</v>
      </c>
      <c r="I123" s="19" t="s">
        <v>43</v>
      </c>
      <c r="J123" s="24"/>
      <c r="K123" s="24"/>
      <c r="L123" s="24"/>
      <c r="M123" s="24"/>
      <c r="N123" s="24"/>
      <c r="O123" s="24"/>
      <c r="P123" s="24"/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245281</v>
      </c>
      <c r="W123" s="24">
        <v>932127</v>
      </c>
      <c r="X123" s="24">
        <v>936055</v>
      </c>
      <c r="Y123" s="24">
        <v>940002</v>
      </c>
      <c r="Z123" s="24">
        <v>943966</v>
      </c>
      <c r="AA123" s="24">
        <v>947949</v>
      </c>
      <c r="AB123" s="24">
        <v>951949</v>
      </c>
      <c r="AC123" s="24">
        <v>955969</v>
      </c>
      <c r="AD123" s="24">
        <v>960008</v>
      </c>
      <c r="AE123" s="24">
        <v>964064</v>
      </c>
      <c r="AF123" s="24">
        <v>968140</v>
      </c>
      <c r="AG123" s="24">
        <v>972235</v>
      </c>
      <c r="AH123" s="24">
        <v>976349</v>
      </c>
      <c r="AI123" s="24">
        <v>980481</v>
      </c>
      <c r="AJ123" s="24">
        <v>984633</v>
      </c>
      <c r="AK123" s="24">
        <v>988804</v>
      </c>
      <c r="AL123" s="24">
        <v>992996</v>
      </c>
      <c r="AM123" s="24">
        <v>997205</v>
      </c>
      <c r="AN123" s="24">
        <v>1001435</v>
      </c>
      <c r="AO123" s="24">
        <v>1005684</v>
      </c>
      <c r="AP123" s="24">
        <v>754668</v>
      </c>
      <c r="AQ123" s="24"/>
      <c r="AR123" s="24"/>
      <c r="AS123" s="24"/>
      <c r="AT123" s="24"/>
      <c r="AU123" s="24"/>
      <c r="AV123" s="24"/>
      <c r="AW123" s="24"/>
      <c r="AX123" s="24"/>
      <c r="AY123" s="24">
        <f t="shared" ref="AY123:AY126" si="0">SUM(J123:AX123)</f>
        <v>19400000</v>
      </c>
    </row>
    <row r="124" spans="8:51" ht="15" customHeight="1" x14ac:dyDescent="0.15">
      <c r="H124" s="16" t="s">
        <v>53</v>
      </c>
      <c r="I124" s="19" t="s">
        <v>43</v>
      </c>
      <c r="J124" s="24"/>
      <c r="K124" s="24"/>
      <c r="L124" s="24"/>
      <c r="M124" s="24">
        <v>0</v>
      </c>
      <c r="N124" s="24">
        <v>0</v>
      </c>
      <c r="O124" s="24">
        <v>0</v>
      </c>
      <c r="P124" s="24">
        <v>0</v>
      </c>
      <c r="Q124" s="24">
        <v>0</v>
      </c>
      <c r="R124" s="24">
        <v>0</v>
      </c>
      <c r="S124" s="24">
        <v>196435</v>
      </c>
      <c r="T124" s="24">
        <v>199195</v>
      </c>
      <c r="U124" s="24">
        <v>1323478</v>
      </c>
      <c r="V124" s="24">
        <v>1433808</v>
      </c>
      <c r="W124" s="24">
        <v>2288847</v>
      </c>
      <c r="X124" s="24">
        <v>2997153</v>
      </c>
      <c r="Y124" s="24">
        <v>3015635</v>
      </c>
      <c r="Z124" s="24">
        <v>3034292</v>
      </c>
      <c r="AA124" s="24">
        <v>5078129</v>
      </c>
      <c r="AB124" s="24">
        <v>13287150</v>
      </c>
      <c r="AC124" s="24">
        <v>2266349</v>
      </c>
      <c r="AD124" s="24">
        <v>2285734</v>
      </c>
      <c r="AE124" s="24">
        <v>2305305</v>
      </c>
      <c r="AF124" s="24">
        <v>2325067</v>
      </c>
      <c r="AG124" s="24">
        <v>2345015</v>
      </c>
      <c r="AH124" s="24">
        <v>2365158</v>
      </c>
      <c r="AI124" s="24">
        <v>2385494</v>
      </c>
      <c r="AJ124" s="24">
        <v>2406029</v>
      </c>
      <c r="AK124" s="24">
        <v>2426761</v>
      </c>
      <c r="AL124" s="24">
        <v>2447691</v>
      </c>
      <c r="AM124" s="24">
        <v>2209172</v>
      </c>
      <c r="AN124" s="24">
        <v>2226864</v>
      </c>
      <c r="AO124" s="24">
        <v>875609</v>
      </c>
      <c r="AP124" s="24">
        <v>775630</v>
      </c>
      <c r="AQ124" s="24"/>
      <c r="AR124" s="24"/>
      <c r="AS124" s="24"/>
      <c r="AT124" s="24"/>
      <c r="AU124" s="24"/>
      <c r="AV124" s="24"/>
      <c r="AW124" s="24"/>
      <c r="AX124" s="24"/>
      <c r="AY124" s="24">
        <f t="shared" si="0"/>
        <v>62500000</v>
      </c>
    </row>
    <row r="125" spans="8:51" ht="15" customHeight="1" x14ac:dyDescent="0.15">
      <c r="H125" s="16" t="s">
        <v>54</v>
      </c>
      <c r="I125" s="19" t="s">
        <v>43</v>
      </c>
      <c r="J125" s="24"/>
      <c r="K125" s="24"/>
      <c r="L125" s="24"/>
      <c r="M125" s="24"/>
      <c r="N125" s="24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703448</v>
      </c>
      <c r="T125" s="24">
        <v>711915</v>
      </c>
      <c r="U125" s="24">
        <v>1242634</v>
      </c>
      <c r="V125" s="24">
        <v>1386474</v>
      </c>
      <c r="W125" s="24">
        <v>1697060</v>
      </c>
      <c r="X125" s="24">
        <v>1711803</v>
      </c>
      <c r="Y125" s="24">
        <v>1726712</v>
      </c>
      <c r="Z125" s="24">
        <v>1741782</v>
      </c>
      <c r="AA125" s="24">
        <v>6177018</v>
      </c>
      <c r="AB125" s="24">
        <v>1476424</v>
      </c>
      <c r="AC125" s="24">
        <v>1491999</v>
      </c>
      <c r="AD125" s="24">
        <v>1507746</v>
      </c>
      <c r="AE125" s="24">
        <v>1523668</v>
      </c>
      <c r="AF125" s="24">
        <v>1539763</v>
      </c>
      <c r="AG125" s="24">
        <v>1556040</v>
      </c>
      <c r="AH125" s="24">
        <v>1572493</v>
      </c>
      <c r="AI125" s="24">
        <v>1589130</v>
      </c>
      <c r="AJ125" s="24">
        <v>1605949</v>
      </c>
      <c r="AK125" s="24">
        <v>1622954</v>
      </c>
      <c r="AL125" s="24">
        <v>1640148</v>
      </c>
      <c r="AM125" s="24">
        <v>763917</v>
      </c>
      <c r="AN125" s="24">
        <v>770737</v>
      </c>
      <c r="AO125" s="24">
        <v>140186</v>
      </c>
      <c r="AP125" s="24"/>
      <c r="AQ125" s="24"/>
      <c r="AR125" s="24"/>
      <c r="AS125" s="24"/>
      <c r="AT125" s="24"/>
      <c r="AU125" s="24"/>
      <c r="AV125" s="24"/>
      <c r="AW125" s="24"/>
      <c r="AX125" s="24"/>
      <c r="AY125" s="24">
        <f t="shared" si="0"/>
        <v>35900000</v>
      </c>
    </row>
    <row r="126" spans="8:51" ht="15" customHeight="1" x14ac:dyDescent="0.15">
      <c r="H126" s="16" t="s">
        <v>51</v>
      </c>
      <c r="I126" s="19" t="s">
        <v>43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3693626</v>
      </c>
      <c r="P126" s="24">
        <v>3771599</v>
      </c>
      <c r="Q126" s="24">
        <v>3851219</v>
      </c>
      <c r="R126" s="24">
        <v>3932519</v>
      </c>
      <c r="S126" s="24">
        <v>4015536</v>
      </c>
      <c r="T126" s="24">
        <v>4100304</v>
      </c>
      <c r="U126" s="24">
        <v>4186863</v>
      </c>
      <c r="V126" s="24">
        <v>4275248</v>
      </c>
      <c r="W126" s="24">
        <v>4365501</v>
      </c>
      <c r="X126" s="24">
        <v>5835135</v>
      </c>
      <c r="Y126" s="24">
        <v>5936133</v>
      </c>
      <c r="Z126" s="24">
        <v>7003151</v>
      </c>
      <c r="AA126" s="24">
        <v>7108236</v>
      </c>
      <c r="AB126" s="24">
        <v>7215424</v>
      </c>
      <c r="AC126" s="24">
        <v>7324762</v>
      </c>
      <c r="AD126" s="24">
        <v>8867922</v>
      </c>
      <c r="AE126" s="24">
        <v>10446583</v>
      </c>
      <c r="AF126" s="24">
        <v>27959569</v>
      </c>
      <c r="AG126" s="24">
        <v>9807586</v>
      </c>
      <c r="AH126" s="24">
        <v>9974699</v>
      </c>
      <c r="AI126" s="24">
        <v>10144959</v>
      </c>
      <c r="AJ126" s="24">
        <v>10318437</v>
      </c>
      <c r="AK126" s="24">
        <v>10495191</v>
      </c>
      <c r="AL126" s="24">
        <v>10675290</v>
      </c>
      <c r="AM126" s="24">
        <v>10858797</v>
      </c>
      <c r="AN126" s="24">
        <v>4818920</v>
      </c>
      <c r="AO126" s="24">
        <v>4877996</v>
      </c>
      <c r="AP126" s="24">
        <v>4937909</v>
      </c>
      <c r="AQ126" s="24">
        <v>4998677</v>
      </c>
      <c r="AR126" s="24">
        <v>3538146</v>
      </c>
      <c r="AS126" s="24">
        <v>3593033</v>
      </c>
      <c r="AT126" s="24">
        <v>3648771</v>
      </c>
      <c r="AU126" s="24">
        <v>3705375</v>
      </c>
      <c r="AV126" s="24">
        <v>3762858</v>
      </c>
      <c r="AW126" s="24">
        <v>3821235</v>
      </c>
      <c r="AX126" s="24">
        <v>1932791</v>
      </c>
      <c r="AY126" s="24">
        <f t="shared" si="0"/>
        <v>239800000</v>
      </c>
    </row>
    <row r="127" spans="8:51" ht="15" customHeight="1" x14ac:dyDescent="0.15">
      <c r="I127" s="19" t="s">
        <v>45</v>
      </c>
      <c r="J127" s="24">
        <f>J122+J123+J124+J125+J126</f>
        <v>0</v>
      </c>
      <c r="K127" s="24">
        <f t="shared" ref="K127:AX127" si="1">K122+K123+K124+K125+K126</f>
        <v>0</v>
      </c>
      <c r="L127" s="24">
        <f t="shared" si="1"/>
        <v>0</v>
      </c>
      <c r="M127" s="24">
        <f t="shared" si="1"/>
        <v>0</v>
      </c>
      <c r="N127" s="24">
        <f t="shared" si="1"/>
        <v>0</v>
      </c>
      <c r="O127" s="24">
        <f t="shared" si="1"/>
        <v>3693626</v>
      </c>
      <c r="P127" s="24">
        <f t="shared" si="1"/>
        <v>3771599</v>
      </c>
      <c r="Q127" s="24">
        <f t="shared" si="1"/>
        <v>3851219</v>
      </c>
      <c r="R127" s="24">
        <f t="shared" si="1"/>
        <v>3932519</v>
      </c>
      <c r="S127" s="24">
        <f t="shared" si="1"/>
        <v>4915419</v>
      </c>
      <c r="T127" s="24">
        <f t="shared" si="1"/>
        <v>5011414</v>
      </c>
      <c r="U127" s="24">
        <f t="shared" si="1"/>
        <v>6752975</v>
      </c>
      <c r="V127" s="24">
        <f t="shared" si="1"/>
        <v>7340811</v>
      </c>
      <c r="W127" s="24">
        <f t="shared" si="1"/>
        <v>9283535</v>
      </c>
      <c r="X127" s="24">
        <f t="shared" si="1"/>
        <v>12385754</v>
      </c>
      <c r="Y127" s="24">
        <f t="shared" si="1"/>
        <v>14144217</v>
      </c>
      <c r="Z127" s="24">
        <f t="shared" si="1"/>
        <v>18171248</v>
      </c>
      <c r="AA127" s="24">
        <f t="shared" si="1"/>
        <v>30039181</v>
      </c>
      <c r="AB127" s="24">
        <f t="shared" si="1"/>
        <v>41319319</v>
      </c>
      <c r="AC127" s="24">
        <f t="shared" si="1"/>
        <v>33493349</v>
      </c>
      <c r="AD127" s="24">
        <f t="shared" si="1"/>
        <v>40783111</v>
      </c>
      <c r="AE127" s="24">
        <f t="shared" si="1"/>
        <v>42597407</v>
      </c>
      <c r="AF127" s="24">
        <f t="shared" si="1"/>
        <v>60348264</v>
      </c>
      <c r="AG127" s="24">
        <f t="shared" si="1"/>
        <v>42436415</v>
      </c>
      <c r="AH127" s="24">
        <f t="shared" si="1"/>
        <v>42845936</v>
      </c>
      <c r="AI127" s="24">
        <f t="shared" si="1"/>
        <v>41135614</v>
      </c>
      <c r="AJ127" s="24">
        <f t="shared" si="1"/>
        <v>41538690</v>
      </c>
      <c r="AK127" s="24">
        <f t="shared" si="1"/>
        <v>41947261</v>
      </c>
      <c r="AL127" s="24">
        <f t="shared" si="1"/>
        <v>42361411</v>
      </c>
      <c r="AM127" s="24">
        <f t="shared" si="1"/>
        <v>41627964</v>
      </c>
      <c r="AN127" s="24">
        <f t="shared" si="1"/>
        <v>35812296</v>
      </c>
      <c r="AO127" s="24">
        <f t="shared" si="1"/>
        <v>34091179</v>
      </c>
      <c r="AP127" s="24">
        <f t="shared" si="1"/>
        <v>33859188</v>
      </c>
      <c r="AQ127" s="24">
        <f t="shared" si="1"/>
        <v>32590877</v>
      </c>
      <c r="AR127" s="24">
        <f t="shared" si="1"/>
        <v>30332800</v>
      </c>
      <c r="AS127" s="24">
        <f t="shared" si="1"/>
        <v>28906345</v>
      </c>
      <c r="AT127" s="24">
        <f t="shared" si="1"/>
        <v>26100194</v>
      </c>
      <c r="AU127" s="24">
        <f t="shared" si="1"/>
        <v>20647179</v>
      </c>
      <c r="AV127" s="24">
        <f t="shared" si="1"/>
        <v>14544553</v>
      </c>
      <c r="AW127" s="24">
        <f t="shared" si="1"/>
        <v>10954340</v>
      </c>
      <c r="AX127" s="24">
        <f t="shared" si="1"/>
        <v>1932791</v>
      </c>
      <c r="AY127" s="24">
        <f>SUM(J127:AX127)</f>
        <v>905500000</v>
      </c>
    </row>
    <row r="128" spans="8:51" ht="15" customHeight="1" x14ac:dyDescent="0.15">
      <c r="I128" s="31"/>
    </row>
    <row r="129" spans="8:51" ht="15" customHeight="1" x14ac:dyDescent="0.15">
      <c r="I129" s="31"/>
    </row>
    <row r="130" spans="8:51" ht="15" customHeight="1" x14ac:dyDescent="0.15">
      <c r="AY130" s="21" t="s">
        <v>47</v>
      </c>
    </row>
    <row r="131" spans="8:51" ht="15" customHeight="1" x14ac:dyDescent="0.15">
      <c r="I131" s="30"/>
      <c r="J131" s="19">
        <v>24</v>
      </c>
      <c r="K131" s="19">
        <v>25</v>
      </c>
      <c r="L131" s="19">
        <v>26</v>
      </c>
      <c r="M131" s="19">
        <v>24</v>
      </c>
      <c r="N131" s="19">
        <v>25</v>
      </c>
      <c r="O131" s="19">
        <v>26</v>
      </c>
      <c r="P131" s="19">
        <v>27</v>
      </c>
      <c r="Q131" s="19">
        <v>28</v>
      </c>
      <c r="R131" s="19">
        <v>29</v>
      </c>
      <c r="S131" s="19">
        <v>30</v>
      </c>
      <c r="T131" s="19">
        <v>31</v>
      </c>
      <c r="U131" s="19">
        <v>2</v>
      </c>
      <c r="V131" s="19">
        <v>3</v>
      </c>
      <c r="W131" s="19">
        <v>4</v>
      </c>
      <c r="X131" s="19">
        <v>5</v>
      </c>
      <c r="Y131" s="19">
        <v>6</v>
      </c>
      <c r="Z131" s="19">
        <v>7</v>
      </c>
      <c r="AA131" s="19">
        <v>8</v>
      </c>
      <c r="AB131" s="19">
        <v>9</v>
      </c>
      <c r="AC131" s="19">
        <v>10</v>
      </c>
      <c r="AD131" s="19">
        <v>11</v>
      </c>
      <c r="AE131" s="19">
        <v>12</v>
      </c>
      <c r="AF131" s="19">
        <v>13</v>
      </c>
      <c r="AG131" s="19">
        <v>14</v>
      </c>
      <c r="AH131" s="19">
        <v>15</v>
      </c>
      <c r="AI131" s="19">
        <v>16</v>
      </c>
      <c r="AJ131" s="19">
        <v>17</v>
      </c>
      <c r="AK131" s="19">
        <v>18</v>
      </c>
      <c r="AL131" s="19">
        <v>19</v>
      </c>
      <c r="AM131" s="19">
        <v>20</v>
      </c>
      <c r="AN131" s="19">
        <v>21</v>
      </c>
      <c r="AO131" s="19">
        <v>22</v>
      </c>
      <c r="AP131" s="19">
        <v>23</v>
      </c>
      <c r="AQ131" s="19">
        <v>24</v>
      </c>
      <c r="AR131" s="19">
        <v>25</v>
      </c>
      <c r="AS131" s="19">
        <v>26</v>
      </c>
      <c r="AT131" s="19">
        <v>27</v>
      </c>
      <c r="AU131" s="19">
        <v>28</v>
      </c>
      <c r="AV131" s="19">
        <v>29</v>
      </c>
      <c r="AW131" s="19">
        <v>30</v>
      </c>
      <c r="AX131" s="19">
        <v>31</v>
      </c>
      <c r="AY131" s="19" t="s">
        <v>45</v>
      </c>
    </row>
    <row r="132" spans="8:51" ht="15" customHeight="1" x14ac:dyDescent="0.15">
      <c r="H132" s="16" t="s">
        <v>50</v>
      </c>
      <c r="I132" s="19" t="s">
        <v>43</v>
      </c>
      <c r="J132" s="25">
        <f t="shared" ref="J132:AY132" si="2">ROUND(J122/1000000,0)</f>
        <v>0</v>
      </c>
      <c r="K132" s="25">
        <f t="shared" si="2"/>
        <v>0</v>
      </c>
      <c r="L132" s="25">
        <f t="shared" si="2"/>
        <v>0</v>
      </c>
      <c r="M132" s="25">
        <f t="shared" si="2"/>
        <v>0</v>
      </c>
      <c r="N132" s="25">
        <f t="shared" si="2"/>
        <v>0</v>
      </c>
      <c r="O132" s="25">
        <f t="shared" si="2"/>
        <v>0</v>
      </c>
      <c r="P132" s="25">
        <f t="shared" si="2"/>
        <v>0</v>
      </c>
      <c r="Q132" s="25">
        <f t="shared" si="2"/>
        <v>0</v>
      </c>
      <c r="R132" s="25">
        <f t="shared" si="2"/>
        <v>0</v>
      </c>
      <c r="S132" s="25">
        <f t="shared" si="2"/>
        <v>0</v>
      </c>
      <c r="T132" s="25">
        <f t="shared" si="2"/>
        <v>0</v>
      </c>
      <c r="U132" s="25">
        <f t="shared" si="2"/>
        <v>0</v>
      </c>
      <c r="V132" s="25">
        <f t="shared" si="2"/>
        <v>0</v>
      </c>
      <c r="W132" s="25">
        <f t="shared" si="2"/>
        <v>0</v>
      </c>
      <c r="X132" s="25">
        <f t="shared" si="2"/>
        <v>1</v>
      </c>
      <c r="Y132" s="25">
        <f t="shared" si="2"/>
        <v>3</v>
      </c>
      <c r="Z132" s="25">
        <f t="shared" si="2"/>
        <v>5</v>
      </c>
      <c r="AA132" s="25">
        <f t="shared" si="2"/>
        <v>11</v>
      </c>
      <c r="AB132" s="25">
        <f t="shared" si="2"/>
        <v>18</v>
      </c>
      <c r="AC132" s="25">
        <f t="shared" si="2"/>
        <v>21</v>
      </c>
      <c r="AD132" s="25">
        <f t="shared" si="2"/>
        <v>27</v>
      </c>
      <c r="AE132" s="25">
        <f t="shared" si="2"/>
        <v>27</v>
      </c>
      <c r="AF132" s="25">
        <f t="shared" si="2"/>
        <v>28</v>
      </c>
      <c r="AG132" s="25">
        <f t="shared" si="2"/>
        <v>28</v>
      </c>
      <c r="AH132" s="25">
        <f t="shared" si="2"/>
        <v>28</v>
      </c>
      <c r="AI132" s="25">
        <f t="shared" si="2"/>
        <v>26</v>
      </c>
      <c r="AJ132" s="25">
        <f t="shared" si="2"/>
        <v>26</v>
      </c>
      <c r="AK132" s="25">
        <f t="shared" si="2"/>
        <v>26</v>
      </c>
      <c r="AL132" s="25">
        <f t="shared" si="2"/>
        <v>27</v>
      </c>
      <c r="AM132" s="25">
        <f t="shared" si="2"/>
        <v>27</v>
      </c>
      <c r="AN132" s="25">
        <f t="shared" si="2"/>
        <v>27</v>
      </c>
      <c r="AO132" s="25">
        <f t="shared" si="2"/>
        <v>27</v>
      </c>
      <c r="AP132" s="25">
        <f t="shared" si="2"/>
        <v>27</v>
      </c>
      <c r="AQ132" s="25">
        <f t="shared" si="2"/>
        <v>28</v>
      </c>
      <c r="AR132" s="25">
        <f t="shared" si="2"/>
        <v>27</v>
      </c>
      <c r="AS132" s="25">
        <f t="shared" si="2"/>
        <v>25</v>
      </c>
      <c r="AT132" s="25">
        <f t="shared" si="2"/>
        <v>22</v>
      </c>
      <c r="AU132" s="25">
        <f t="shared" si="2"/>
        <v>17</v>
      </c>
      <c r="AV132" s="25">
        <f t="shared" si="2"/>
        <v>11</v>
      </c>
      <c r="AW132" s="25">
        <f t="shared" si="2"/>
        <v>7</v>
      </c>
      <c r="AX132" s="25">
        <f t="shared" si="2"/>
        <v>0</v>
      </c>
      <c r="AY132" s="25">
        <f t="shared" si="2"/>
        <v>548</v>
      </c>
    </row>
    <row r="133" spans="8:51" ht="15" customHeight="1" x14ac:dyDescent="0.15">
      <c r="H133" s="16" t="s">
        <v>52</v>
      </c>
      <c r="I133" s="19" t="s">
        <v>43</v>
      </c>
      <c r="J133" s="25">
        <f t="shared" ref="J133:AY133" si="3">ROUND(J123/1000000,0)</f>
        <v>0</v>
      </c>
      <c r="K133" s="25">
        <f t="shared" si="3"/>
        <v>0</v>
      </c>
      <c r="L133" s="25">
        <f t="shared" si="3"/>
        <v>0</v>
      </c>
      <c r="M133" s="25">
        <f t="shared" si="3"/>
        <v>0</v>
      </c>
      <c r="N133" s="25">
        <f t="shared" si="3"/>
        <v>0</v>
      </c>
      <c r="O133" s="25">
        <f t="shared" si="3"/>
        <v>0</v>
      </c>
      <c r="P133" s="25">
        <f t="shared" si="3"/>
        <v>0</v>
      </c>
      <c r="Q133" s="25">
        <f t="shared" si="3"/>
        <v>0</v>
      </c>
      <c r="R133" s="25">
        <f t="shared" si="3"/>
        <v>0</v>
      </c>
      <c r="S133" s="25">
        <f t="shared" si="3"/>
        <v>0</v>
      </c>
      <c r="T133" s="25">
        <f t="shared" si="3"/>
        <v>0</v>
      </c>
      <c r="U133" s="25">
        <f t="shared" si="3"/>
        <v>0</v>
      </c>
      <c r="V133" s="25">
        <f t="shared" si="3"/>
        <v>0</v>
      </c>
      <c r="W133" s="25">
        <f t="shared" si="3"/>
        <v>1</v>
      </c>
      <c r="X133" s="25">
        <f t="shared" si="3"/>
        <v>1</v>
      </c>
      <c r="Y133" s="25">
        <f t="shared" si="3"/>
        <v>1</v>
      </c>
      <c r="Z133" s="25">
        <f t="shared" si="3"/>
        <v>1</v>
      </c>
      <c r="AA133" s="25">
        <f t="shared" si="3"/>
        <v>1</v>
      </c>
      <c r="AB133" s="25">
        <f t="shared" si="3"/>
        <v>1</v>
      </c>
      <c r="AC133" s="25">
        <f t="shared" si="3"/>
        <v>1</v>
      </c>
      <c r="AD133" s="25">
        <f t="shared" si="3"/>
        <v>1</v>
      </c>
      <c r="AE133" s="25">
        <f t="shared" si="3"/>
        <v>1</v>
      </c>
      <c r="AF133" s="25">
        <f t="shared" si="3"/>
        <v>1</v>
      </c>
      <c r="AG133" s="25">
        <f t="shared" si="3"/>
        <v>1</v>
      </c>
      <c r="AH133" s="25">
        <f t="shared" si="3"/>
        <v>1</v>
      </c>
      <c r="AI133" s="25">
        <f t="shared" si="3"/>
        <v>1</v>
      </c>
      <c r="AJ133" s="25">
        <f t="shared" si="3"/>
        <v>1</v>
      </c>
      <c r="AK133" s="25">
        <f t="shared" si="3"/>
        <v>1</v>
      </c>
      <c r="AL133" s="25">
        <f t="shared" si="3"/>
        <v>1</v>
      </c>
      <c r="AM133" s="25">
        <f t="shared" si="3"/>
        <v>1</v>
      </c>
      <c r="AN133" s="25">
        <f t="shared" si="3"/>
        <v>1</v>
      </c>
      <c r="AO133" s="25">
        <f t="shared" si="3"/>
        <v>1</v>
      </c>
      <c r="AP133" s="25">
        <f t="shared" si="3"/>
        <v>1</v>
      </c>
      <c r="AQ133" s="25">
        <f t="shared" si="3"/>
        <v>0</v>
      </c>
      <c r="AR133" s="25">
        <f t="shared" si="3"/>
        <v>0</v>
      </c>
      <c r="AS133" s="25">
        <f t="shared" si="3"/>
        <v>0</v>
      </c>
      <c r="AT133" s="25">
        <f t="shared" si="3"/>
        <v>0</v>
      </c>
      <c r="AU133" s="25">
        <f t="shared" si="3"/>
        <v>0</v>
      </c>
      <c r="AV133" s="25">
        <f t="shared" si="3"/>
        <v>0</v>
      </c>
      <c r="AW133" s="25">
        <f t="shared" si="3"/>
        <v>0</v>
      </c>
      <c r="AX133" s="25">
        <f t="shared" si="3"/>
        <v>0</v>
      </c>
      <c r="AY133" s="25">
        <f t="shared" si="3"/>
        <v>19</v>
      </c>
    </row>
    <row r="134" spans="8:51" ht="15" customHeight="1" x14ac:dyDescent="0.15">
      <c r="H134" s="16" t="s">
        <v>53</v>
      </c>
      <c r="I134" s="19" t="s">
        <v>43</v>
      </c>
      <c r="J134" s="25">
        <f t="shared" ref="J134:AY134" si="4">ROUND(J124/1000000,0)</f>
        <v>0</v>
      </c>
      <c r="K134" s="25">
        <f t="shared" si="4"/>
        <v>0</v>
      </c>
      <c r="L134" s="25">
        <f t="shared" si="4"/>
        <v>0</v>
      </c>
      <c r="M134" s="25">
        <f t="shared" si="4"/>
        <v>0</v>
      </c>
      <c r="N134" s="25">
        <f t="shared" si="4"/>
        <v>0</v>
      </c>
      <c r="O134" s="25">
        <f t="shared" si="4"/>
        <v>0</v>
      </c>
      <c r="P134" s="25">
        <f t="shared" si="4"/>
        <v>0</v>
      </c>
      <c r="Q134" s="25">
        <f t="shared" si="4"/>
        <v>0</v>
      </c>
      <c r="R134" s="25">
        <f t="shared" si="4"/>
        <v>0</v>
      </c>
      <c r="S134" s="25">
        <f t="shared" si="4"/>
        <v>0</v>
      </c>
      <c r="T134" s="25">
        <f t="shared" si="4"/>
        <v>0</v>
      </c>
      <c r="U134" s="25">
        <f t="shared" si="4"/>
        <v>1</v>
      </c>
      <c r="V134" s="25">
        <f t="shared" si="4"/>
        <v>1</v>
      </c>
      <c r="W134" s="25">
        <f t="shared" si="4"/>
        <v>2</v>
      </c>
      <c r="X134" s="25">
        <f t="shared" si="4"/>
        <v>3</v>
      </c>
      <c r="Y134" s="25">
        <f t="shared" si="4"/>
        <v>3</v>
      </c>
      <c r="Z134" s="25">
        <f t="shared" si="4"/>
        <v>3</v>
      </c>
      <c r="AA134" s="25">
        <f t="shared" si="4"/>
        <v>5</v>
      </c>
      <c r="AB134" s="25">
        <f t="shared" si="4"/>
        <v>13</v>
      </c>
      <c r="AC134" s="25">
        <f t="shared" si="4"/>
        <v>2</v>
      </c>
      <c r="AD134" s="25">
        <f t="shared" si="4"/>
        <v>2</v>
      </c>
      <c r="AE134" s="25">
        <f t="shared" si="4"/>
        <v>2</v>
      </c>
      <c r="AF134" s="25">
        <f t="shared" si="4"/>
        <v>2</v>
      </c>
      <c r="AG134" s="25">
        <f t="shared" si="4"/>
        <v>2</v>
      </c>
      <c r="AH134" s="25">
        <f t="shared" si="4"/>
        <v>2</v>
      </c>
      <c r="AI134" s="25">
        <f t="shared" si="4"/>
        <v>2</v>
      </c>
      <c r="AJ134" s="25">
        <f t="shared" si="4"/>
        <v>2</v>
      </c>
      <c r="AK134" s="25">
        <f t="shared" si="4"/>
        <v>2</v>
      </c>
      <c r="AL134" s="25">
        <f t="shared" si="4"/>
        <v>2</v>
      </c>
      <c r="AM134" s="25">
        <f t="shared" si="4"/>
        <v>2</v>
      </c>
      <c r="AN134" s="25">
        <f t="shared" si="4"/>
        <v>2</v>
      </c>
      <c r="AO134" s="25">
        <f t="shared" si="4"/>
        <v>1</v>
      </c>
      <c r="AP134" s="25">
        <f t="shared" si="4"/>
        <v>1</v>
      </c>
      <c r="AQ134" s="25">
        <f t="shared" si="4"/>
        <v>0</v>
      </c>
      <c r="AR134" s="25">
        <f t="shared" si="4"/>
        <v>0</v>
      </c>
      <c r="AS134" s="25">
        <f t="shared" si="4"/>
        <v>0</v>
      </c>
      <c r="AT134" s="25">
        <f t="shared" si="4"/>
        <v>0</v>
      </c>
      <c r="AU134" s="25">
        <f t="shared" si="4"/>
        <v>0</v>
      </c>
      <c r="AV134" s="25">
        <f t="shared" si="4"/>
        <v>0</v>
      </c>
      <c r="AW134" s="25">
        <f t="shared" si="4"/>
        <v>0</v>
      </c>
      <c r="AX134" s="25">
        <f t="shared" si="4"/>
        <v>0</v>
      </c>
      <c r="AY134" s="25">
        <f t="shared" si="4"/>
        <v>63</v>
      </c>
    </row>
    <row r="135" spans="8:51" ht="15" customHeight="1" x14ac:dyDescent="0.15">
      <c r="H135" s="16" t="s">
        <v>54</v>
      </c>
      <c r="I135" s="19" t="s">
        <v>43</v>
      </c>
      <c r="J135" s="25">
        <f t="shared" ref="J135:AY135" si="5">ROUND(J125/1000000,0)</f>
        <v>0</v>
      </c>
      <c r="K135" s="25">
        <f t="shared" si="5"/>
        <v>0</v>
      </c>
      <c r="L135" s="25">
        <f t="shared" si="5"/>
        <v>0</v>
      </c>
      <c r="M135" s="25">
        <f t="shared" si="5"/>
        <v>0</v>
      </c>
      <c r="N135" s="25">
        <f t="shared" si="5"/>
        <v>0</v>
      </c>
      <c r="O135" s="25">
        <f t="shared" si="5"/>
        <v>0</v>
      </c>
      <c r="P135" s="25">
        <f t="shared" si="5"/>
        <v>0</v>
      </c>
      <c r="Q135" s="25">
        <f t="shared" si="5"/>
        <v>0</v>
      </c>
      <c r="R135" s="25">
        <f t="shared" si="5"/>
        <v>0</v>
      </c>
      <c r="S135" s="25">
        <f t="shared" si="5"/>
        <v>1</v>
      </c>
      <c r="T135" s="25">
        <f t="shared" si="5"/>
        <v>1</v>
      </c>
      <c r="U135" s="25">
        <f t="shared" si="5"/>
        <v>1</v>
      </c>
      <c r="V135" s="25">
        <f t="shared" si="5"/>
        <v>1</v>
      </c>
      <c r="W135" s="25">
        <f t="shared" si="5"/>
        <v>2</v>
      </c>
      <c r="X135" s="25">
        <f t="shared" si="5"/>
        <v>2</v>
      </c>
      <c r="Y135" s="25">
        <f t="shared" si="5"/>
        <v>2</v>
      </c>
      <c r="Z135" s="25">
        <f t="shared" si="5"/>
        <v>2</v>
      </c>
      <c r="AA135" s="25">
        <f t="shared" si="5"/>
        <v>6</v>
      </c>
      <c r="AB135" s="25">
        <f t="shared" si="5"/>
        <v>1</v>
      </c>
      <c r="AC135" s="25">
        <f t="shared" si="5"/>
        <v>1</v>
      </c>
      <c r="AD135" s="25">
        <f t="shared" si="5"/>
        <v>2</v>
      </c>
      <c r="AE135" s="25">
        <f t="shared" si="5"/>
        <v>2</v>
      </c>
      <c r="AF135" s="25">
        <f t="shared" si="5"/>
        <v>2</v>
      </c>
      <c r="AG135" s="25">
        <f t="shared" si="5"/>
        <v>2</v>
      </c>
      <c r="AH135" s="25">
        <f t="shared" si="5"/>
        <v>2</v>
      </c>
      <c r="AI135" s="25">
        <f t="shared" si="5"/>
        <v>2</v>
      </c>
      <c r="AJ135" s="25">
        <f t="shared" si="5"/>
        <v>2</v>
      </c>
      <c r="AK135" s="25">
        <f t="shared" si="5"/>
        <v>2</v>
      </c>
      <c r="AL135" s="25">
        <f t="shared" si="5"/>
        <v>2</v>
      </c>
      <c r="AM135" s="25">
        <f t="shared" si="5"/>
        <v>1</v>
      </c>
      <c r="AN135" s="25">
        <f t="shared" si="5"/>
        <v>1</v>
      </c>
      <c r="AO135" s="25">
        <f t="shared" si="5"/>
        <v>0</v>
      </c>
      <c r="AP135" s="25">
        <f t="shared" si="5"/>
        <v>0</v>
      </c>
      <c r="AQ135" s="25">
        <f t="shared" si="5"/>
        <v>0</v>
      </c>
      <c r="AR135" s="25">
        <f t="shared" si="5"/>
        <v>0</v>
      </c>
      <c r="AS135" s="25">
        <f t="shared" si="5"/>
        <v>0</v>
      </c>
      <c r="AT135" s="25">
        <f t="shared" si="5"/>
        <v>0</v>
      </c>
      <c r="AU135" s="25">
        <f t="shared" si="5"/>
        <v>0</v>
      </c>
      <c r="AV135" s="25">
        <f t="shared" si="5"/>
        <v>0</v>
      </c>
      <c r="AW135" s="25">
        <f t="shared" si="5"/>
        <v>0</v>
      </c>
      <c r="AX135" s="25">
        <f t="shared" si="5"/>
        <v>0</v>
      </c>
      <c r="AY135" s="25">
        <f t="shared" si="5"/>
        <v>36</v>
      </c>
    </row>
    <row r="136" spans="8:51" ht="15" customHeight="1" x14ac:dyDescent="0.15">
      <c r="H136" s="16" t="s">
        <v>51</v>
      </c>
      <c r="I136" s="19" t="s">
        <v>43</v>
      </c>
      <c r="J136" s="25">
        <f t="shared" ref="J136:AY136" si="6">ROUND(J126/1000000,0)</f>
        <v>0</v>
      </c>
      <c r="K136" s="25">
        <f t="shared" si="6"/>
        <v>0</v>
      </c>
      <c r="L136" s="25">
        <f t="shared" si="6"/>
        <v>0</v>
      </c>
      <c r="M136" s="25">
        <f t="shared" si="6"/>
        <v>0</v>
      </c>
      <c r="N136" s="25">
        <f t="shared" si="6"/>
        <v>0</v>
      </c>
      <c r="O136" s="25">
        <f t="shared" si="6"/>
        <v>4</v>
      </c>
      <c r="P136" s="25">
        <f t="shared" si="6"/>
        <v>4</v>
      </c>
      <c r="Q136" s="25">
        <f t="shared" si="6"/>
        <v>4</v>
      </c>
      <c r="R136" s="25">
        <f t="shared" si="6"/>
        <v>4</v>
      </c>
      <c r="S136" s="25">
        <f t="shared" si="6"/>
        <v>4</v>
      </c>
      <c r="T136" s="25">
        <f t="shared" si="6"/>
        <v>4</v>
      </c>
      <c r="U136" s="25">
        <f t="shared" si="6"/>
        <v>4</v>
      </c>
      <c r="V136" s="25">
        <f t="shared" si="6"/>
        <v>4</v>
      </c>
      <c r="W136" s="25">
        <f t="shared" si="6"/>
        <v>4</v>
      </c>
      <c r="X136" s="25">
        <f t="shared" si="6"/>
        <v>6</v>
      </c>
      <c r="Y136" s="25">
        <f t="shared" si="6"/>
        <v>6</v>
      </c>
      <c r="Z136" s="25">
        <f t="shared" si="6"/>
        <v>7</v>
      </c>
      <c r="AA136" s="25">
        <f t="shared" si="6"/>
        <v>7</v>
      </c>
      <c r="AB136" s="25">
        <f t="shared" si="6"/>
        <v>7</v>
      </c>
      <c r="AC136" s="25">
        <f t="shared" si="6"/>
        <v>7</v>
      </c>
      <c r="AD136" s="25">
        <f t="shared" si="6"/>
        <v>9</v>
      </c>
      <c r="AE136" s="25">
        <f t="shared" si="6"/>
        <v>10</v>
      </c>
      <c r="AF136" s="25">
        <f t="shared" si="6"/>
        <v>28</v>
      </c>
      <c r="AG136" s="25">
        <f t="shared" si="6"/>
        <v>10</v>
      </c>
      <c r="AH136" s="25">
        <f t="shared" si="6"/>
        <v>10</v>
      </c>
      <c r="AI136" s="25">
        <f t="shared" si="6"/>
        <v>10</v>
      </c>
      <c r="AJ136" s="25">
        <f t="shared" si="6"/>
        <v>10</v>
      </c>
      <c r="AK136" s="25">
        <f t="shared" si="6"/>
        <v>10</v>
      </c>
      <c r="AL136" s="25">
        <f t="shared" si="6"/>
        <v>11</v>
      </c>
      <c r="AM136" s="25">
        <f t="shared" si="6"/>
        <v>11</v>
      </c>
      <c r="AN136" s="25">
        <f t="shared" si="6"/>
        <v>5</v>
      </c>
      <c r="AO136" s="25">
        <f t="shared" si="6"/>
        <v>5</v>
      </c>
      <c r="AP136" s="25">
        <f t="shared" si="6"/>
        <v>5</v>
      </c>
      <c r="AQ136" s="25">
        <f t="shared" si="6"/>
        <v>5</v>
      </c>
      <c r="AR136" s="25">
        <f t="shared" si="6"/>
        <v>4</v>
      </c>
      <c r="AS136" s="25">
        <f t="shared" si="6"/>
        <v>4</v>
      </c>
      <c r="AT136" s="25">
        <f t="shared" si="6"/>
        <v>4</v>
      </c>
      <c r="AU136" s="25">
        <f t="shared" si="6"/>
        <v>4</v>
      </c>
      <c r="AV136" s="25">
        <f t="shared" si="6"/>
        <v>4</v>
      </c>
      <c r="AW136" s="25">
        <f t="shared" si="6"/>
        <v>4</v>
      </c>
      <c r="AX136" s="25">
        <f t="shared" si="6"/>
        <v>2</v>
      </c>
      <c r="AY136" s="25">
        <f t="shared" si="6"/>
        <v>240</v>
      </c>
    </row>
    <row r="137" spans="8:51" ht="15" customHeight="1" x14ac:dyDescent="0.15">
      <c r="I137" s="19" t="s">
        <v>45</v>
      </c>
      <c r="J137" s="25">
        <f t="shared" ref="J137:AY137" si="7">ROUND(J127/1000000,0)</f>
        <v>0</v>
      </c>
      <c r="K137" s="25">
        <f t="shared" si="7"/>
        <v>0</v>
      </c>
      <c r="L137" s="25">
        <f t="shared" si="7"/>
        <v>0</v>
      </c>
      <c r="M137" s="25">
        <f t="shared" si="7"/>
        <v>0</v>
      </c>
      <c r="N137" s="25">
        <f t="shared" si="7"/>
        <v>0</v>
      </c>
      <c r="O137" s="25">
        <f t="shared" si="7"/>
        <v>4</v>
      </c>
      <c r="P137" s="25">
        <f t="shared" si="7"/>
        <v>4</v>
      </c>
      <c r="Q137" s="25">
        <f t="shared" si="7"/>
        <v>4</v>
      </c>
      <c r="R137" s="25">
        <f t="shared" si="7"/>
        <v>4</v>
      </c>
      <c r="S137" s="25">
        <f t="shared" si="7"/>
        <v>5</v>
      </c>
      <c r="T137" s="25">
        <f t="shared" si="7"/>
        <v>5</v>
      </c>
      <c r="U137" s="25">
        <f t="shared" si="7"/>
        <v>7</v>
      </c>
      <c r="V137" s="25">
        <f t="shared" si="7"/>
        <v>7</v>
      </c>
      <c r="W137" s="25">
        <f t="shared" si="7"/>
        <v>9</v>
      </c>
      <c r="X137" s="25">
        <f t="shared" si="7"/>
        <v>12</v>
      </c>
      <c r="Y137" s="25">
        <f t="shared" si="7"/>
        <v>14</v>
      </c>
      <c r="Z137" s="25">
        <f t="shared" si="7"/>
        <v>18</v>
      </c>
      <c r="AA137" s="25">
        <f t="shared" si="7"/>
        <v>30</v>
      </c>
      <c r="AB137" s="25">
        <f t="shared" si="7"/>
        <v>41</v>
      </c>
      <c r="AC137" s="25">
        <f t="shared" si="7"/>
        <v>33</v>
      </c>
      <c r="AD137" s="25">
        <f t="shared" si="7"/>
        <v>41</v>
      </c>
      <c r="AE137" s="25">
        <f t="shared" si="7"/>
        <v>43</v>
      </c>
      <c r="AF137" s="25">
        <f t="shared" si="7"/>
        <v>60</v>
      </c>
      <c r="AG137" s="25">
        <f t="shared" si="7"/>
        <v>42</v>
      </c>
      <c r="AH137" s="25">
        <f t="shared" si="7"/>
        <v>43</v>
      </c>
      <c r="AI137" s="25">
        <f t="shared" si="7"/>
        <v>41</v>
      </c>
      <c r="AJ137" s="25">
        <f t="shared" si="7"/>
        <v>42</v>
      </c>
      <c r="AK137" s="25">
        <f t="shared" si="7"/>
        <v>42</v>
      </c>
      <c r="AL137" s="25">
        <f t="shared" si="7"/>
        <v>42</v>
      </c>
      <c r="AM137" s="25">
        <f t="shared" si="7"/>
        <v>42</v>
      </c>
      <c r="AN137" s="25">
        <f t="shared" si="7"/>
        <v>36</v>
      </c>
      <c r="AO137" s="25">
        <f t="shared" si="7"/>
        <v>34</v>
      </c>
      <c r="AP137" s="25">
        <f t="shared" si="7"/>
        <v>34</v>
      </c>
      <c r="AQ137" s="25">
        <f t="shared" si="7"/>
        <v>33</v>
      </c>
      <c r="AR137" s="25">
        <f t="shared" si="7"/>
        <v>30</v>
      </c>
      <c r="AS137" s="25">
        <f t="shared" si="7"/>
        <v>29</v>
      </c>
      <c r="AT137" s="25">
        <f t="shared" si="7"/>
        <v>26</v>
      </c>
      <c r="AU137" s="25">
        <f t="shared" si="7"/>
        <v>21</v>
      </c>
      <c r="AV137" s="25">
        <f t="shared" si="7"/>
        <v>15</v>
      </c>
      <c r="AW137" s="25">
        <f t="shared" si="7"/>
        <v>11</v>
      </c>
      <c r="AX137" s="25">
        <f t="shared" si="7"/>
        <v>2</v>
      </c>
      <c r="AY137" s="25">
        <f t="shared" si="7"/>
        <v>906</v>
      </c>
    </row>
    <row r="138" spans="8:51" ht="15" customHeight="1" x14ac:dyDescent="0.15">
      <c r="I138" s="31"/>
    </row>
  </sheetData>
  <sheetProtection formatCells="0" formatColumns="0" formatRows="0" insertColumns="0" insertRows="0" insertHyperlinks="0" deleteColumns="0" deleteRows="0" sort="0" autoFilter="0" pivotTables="0"/>
  <mergeCells count="3">
    <mergeCell ref="A1:G1"/>
    <mergeCell ref="F2:G2"/>
    <mergeCell ref="F3:G3"/>
  </mergeCells>
  <phoneticPr fontId="4"/>
  <pageMargins left="0.28000000000000003" right="0.28000000000000003" top="0.4" bottom="0.24" header="0.36" footer="0.2"/>
  <pageSetup paperSize="9" scale="3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062E-D322-4A81-8B9C-3BD3577F20D0}">
  <sheetPr>
    <pageSetUpPr fitToPage="1"/>
  </sheetPr>
  <dimension ref="A1:AQ131"/>
  <sheetViews>
    <sheetView view="pageBreakPreview" topLeftCell="C1" zoomScale="25" zoomScaleNormal="25" zoomScaleSheetLayoutView="25" workbookViewId="0">
      <selection activeCell="L130" sqref="L130"/>
    </sheetView>
  </sheetViews>
  <sheetFormatPr defaultColWidth="2.33203125" defaultRowHeight="15" customHeight="1" x14ac:dyDescent="0.15"/>
  <cols>
    <col min="2" max="2" width="18.44140625" customWidth="1"/>
    <col min="3" max="3" width="59.88671875" customWidth="1"/>
    <col min="4" max="42" width="13.109375" customWidth="1"/>
    <col min="43" max="43" width="25.88671875" bestFit="1" customWidth="1"/>
  </cols>
  <sheetData>
    <row r="1" spans="1:43" ht="18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1"/>
    </row>
    <row r="2" spans="1:43" ht="12" x14ac:dyDescent="0.15">
      <c r="G2" s="34" t="s">
        <v>1</v>
      </c>
      <c r="H2" s="34"/>
      <c r="I2" s="34"/>
      <c r="J2" s="2"/>
    </row>
    <row r="3" spans="1:43" ht="12.6" thickBot="1" x14ac:dyDescent="0.2">
      <c r="G3" s="34" t="s">
        <v>2</v>
      </c>
      <c r="H3" s="34"/>
      <c r="I3" s="34"/>
      <c r="J3" s="2"/>
    </row>
    <row r="4" spans="1:43" ht="12.6" thickBot="1" x14ac:dyDescent="0.2">
      <c r="B4" s="8" t="s">
        <v>3</v>
      </c>
      <c r="C4" s="9" t="s">
        <v>4</v>
      </c>
      <c r="D4" s="9" t="s">
        <v>5</v>
      </c>
      <c r="E4" s="13" t="s">
        <v>41</v>
      </c>
      <c r="F4" s="14" t="s">
        <v>42</v>
      </c>
      <c r="G4" s="9" t="s">
        <v>6</v>
      </c>
      <c r="H4" s="14" t="s">
        <v>42</v>
      </c>
      <c r="I4" s="9" t="s">
        <v>7</v>
      </c>
      <c r="J4" s="15" t="s">
        <v>42</v>
      </c>
    </row>
    <row r="5" spans="1:43" ht="12" x14ac:dyDescent="0.15">
      <c r="B5" s="4" t="s">
        <v>8</v>
      </c>
      <c r="C5" s="3" t="s">
        <v>9</v>
      </c>
      <c r="D5" s="10">
        <v>65900000</v>
      </c>
      <c r="E5" s="10">
        <v>0</v>
      </c>
      <c r="F5" s="37">
        <f>E5+E6</f>
        <v>0</v>
      </c>
      <c r="G5" s="10">
        <v>53442</v>
      </c>
      <c r="H5" s="37">
        <f>G5+G6</f>
        <v>106884</v>
      </c>
      <c r="I5" s="10">
        <v>53442</v>
      </c>
      <c r="J5" s="35">
        <f>I5+I6</f>
        <v>106884</v>
      </c>
    </row>
    <row r="6" spans="1:43" ht="12" x14ac:dyDescent="0.15">
      <c r="B6" s="5" t="s">
        <v>10</v>
      </c>
      <c r="C6" s="3"/>
      <c r="D6" s="10">
        <v>65900000</v>
      </c>
      <c r="E6" s="10">
        <v>0</v>
      </c>
      <c r="F6" s="38"/>
      <c r="G6" s="10">
        <v>53442</v>
      </c>
      <c r="H6" s="38"/>
      <c r="I6" s="10">
        <v>53442</v>
      </c>
      <c r="J6" s="36"/>
    </row>
    <row r="7" spans="1:43" ht="12" x14ac:dyDescent="0.15">
      <c r="B7" s="4" t="s">
        <v>11</v>
      </c>
      <c r="C7" s="3" t="s">
        <v>9</v>
      </c>
      <c r="D7" s="10">
        <v>92600000</v>
      </c>
      <c r="E7" s="10">
        <v>0</v>
      </c>
      <c r="F7" s="38">
        <f t="shared" ref="F7:H7" si="0">E7+E8</f>
        <v>0</v>
      </c>
      <c r="G7" s="10">
        <v>204987</v>
      </c>
      <c r="H7" s="38">
        <f t="shared" si="0"/>
        <v>409974</v>
      </c>
      <c r="I7" s="10">
        <v>204987</v>
      </c>
      <c r="J7" s="36">
        <f t="shared" ref="J7" si="1">I7+I8</f>
        <v>409974</v>
      </c>
    </row>
    <row r="8" spans="1:43" ht="12" x14ac:dyDescent="0.15">
      <c r="B8" s="5" t="s">
        <v>10</v>
      </c>
      <c r="C8" s="3"/>
      <c r="D8" s="10">
        <v>92600000</v>
      </c>
      <c r="E8" s="10">
        <v>0</v>
      </c>
      <c r="F8" s="38"/>
      <c r="G8" s="10">
        <v>204987</v>
      </c>
      <c r="H8" s="38"/>
      <c r="I8" s="10">
        <v>204987</v>
      </c>
      <c r="J8" s="36"/>
      <c r="L8" s="22" t="s">
        <v>45</v>
      </c>
      <c r="M8" s="23">
        <v>106884</v>
      </c>
      <c r="N8" s="23">
        <v>409974</v>
      </c>
      <c r="O8" s="23">
        <v>1153932</v>
      </c>
      <c r="P8" s="23">
        <v>2607672</v>
      </c>
      <c r="Q8" s="23">
        <v>4141778</v>
      </c>
      <c r="R8" s="23">
        <v>10790930</v>
      </c>
      <c r="S8" s="23">
        <v>16895636</v>
      </c>
      <c r="T8" s="23">
        <v>27414800</v>
      </c>
      <c r="U8" s="23">
        <v>42638656</v>
      </c>
      <c r="V8" s="23">
        <v>48582330</v>
      </c>
      <c r="W8" s="23">
        <v>59713032</v>
      </c>
      <c r="X8" s="23">
        <v>59713032</v>
      </c>
      <c r="Y8" s="23">
        <v>59713032</v>
      </c>
      <c r="Z8" s="23">
        <v>59713032</v>
      </c>
      <c r="AA8" s="23">
        <v>59713024</v>
      </c>
      <c r="AB8" s="23">
        <v>55471112</v>
      </c>
      <c r="AC8" s="23">
        <v>55471112</v>
      </c>
      <c r="AD8" s="23">
        <v>55471112</v>
      </c>
      <c r="AE8" s="23">
        <v>55471112</v>
      </c>
      <c r="AF8" s="23">
        <v>55471112</v>
      </c>
      <c r="AG8" s="23">
        <v>55471112</v>
      </c>
      <c r="AH8" s="23">
        <v>55471112</v>
      </c>
      <c r="AI8" s="23">
        <v>55471112</v>
      </c>
      <c r="AJ8" s="23">
        <v>55471112</v>
      </c>
      <c r="AK8" s="23">
        <v>55471112</v>
      </c>
      <c r="AL8" s="23">
        <v>52108126</v>
      </c>
      <c r="AM8" s="23">
        <v>45992236</v>
      </c>
      <c r="AN8" s="23">
        <v>34597872</v>
      </c>
      <c r="AO8" s="23">
        <v>21951776</v>
      </c>
      <c r="AP8" s="23">
        <v>14401302</v>
      </c>
      <c r="AQ8" s="23">
        <f>SUM(M8:AP8)</f>
        <v>1177070176</v>
      </c>
    </row>
    <row r="9" spans="1:43" ht="12" x14ac:dyDescent="0.15">
      <c r="B9" s="4" t="s">
        <v>12</v>
      </c>
      <c r="C9" s="3" t="s">
        <v>9</v>
      </c>
      <c r="D9" s="10">
        <v>202000000</v>
      </c>
      <c r="E9" s="10">
        <v>0</v>
      </c>
      <c r="F9" s="38">
        <f t="shared" ref="F9:H9" si="2">E9+E10</f>
        <v>0</v>
      </c>
      <c r="G9" s="10">
        <v>576966</v>
      </c>
      <c r="H9" s="38">
        <f t="shared" si="2"/>
        <v>1153932</v>
      </c>
      <c r="I9" s="10">
        <v>576966</v>
      </c>
      <c r="J9" s="36">
        <f t="shared" ref="J9" si="3">I9+I10</f>
        <v>1153932</v>
      </c>
      <c r="O9" s="17"/>
      <c r="P9" s="17"/>
      <c r="Q9" s="17"/>
      <c r="R9" s="17"/>
      <c r="T9" s="17"/>
      <c r="U9" s="17"/>
      <c r="V9" s="17"/>
      <c r="W9" s="17"/>
      <c r="Y9" s="17"/>
      <c r="Z9" s="17"/>
      <c r="AA9" s="17"/>
      <c r="AB9" s="17"/>
      <c r="AC9" s="17"/>
      <c r="AD9" s="17"/>
      <c r="AE9" s="17"/>
      <c r="AH9" s="17"/>
      <c r="AJ9" s="17"/>
      <c r="AK9" s="17"/>
      <c r="AL9" s="17"/>
      <c r="AM9" s="17"/>
      <c r="AN9" s="17"/>
      <c r="AO9" s="17"/>
      <c r="AP9" s="17"/>
      <c r="AQ9" s="17"/>
    </row>
    <row r="10" spans="1:43" ht="12" x14ac:dyDescent="0.15">
      <c r="B10" s="5" t="s">
        <v>10</v>
      </c>
      <c r="C10" s="3"/>
      <c r="D10" s="10">
        <v>202000000</v>
      </c>
      <c r="E10" s="10">
        <v>0</v>
      </c>
      <c r="F10" s="38"/>
      <c r="G10" s="10">
        <v>576966</v>
      </c>
      <c r="H10" s="38"/>
      <c r="I10" s="10">
        <v>576966</v>
      </c>
      <c r="J10" s="36"/>
      <c r="O10" s="17"/>
      <c r="P10" s="17"/>
      <c r="Q10" s="17"/>
      <c r="R10" s="17"/>
      <c r="S10" s="17"/>
      <c r="T10" s="17"/>
      <c r="U10" s="17"/>
      <c r="V10" s="17"/>
      <c r="W10" s="17"/>
      <c r="Y10" s="17"/>
      <c r="Z10" s="17"/>
      <c r="AA10" s="17"/>
      <c r="AB10" s="17"/>
      <c r="AC10" s="17"/>
      <c r="AD10" s="17"/>
      <c r="AE10" s="17"/>
      <c r="AH10" s="17"/>
      <c r="AJ10" s="17"/>
      <c r="AK10" s="17"/>
      <c r="AM10" s="17"/>
      <c r="AN10" s="17"/>
      <c r="AO10" s="17"/>
      <c r="AP10" s="17"/>
      <c r="AQ10" s="17"/>
    </row>
    <row r="11" spans="1:43" ht="12" x14ac:dyDescent="0.15">
      <c r="B11" s="4" t="s">
        <v>13</v>
      </c>
      <c r="C11" s="3" t="s">
        <v>9</v>
      </c>
      <c r="D11" s="10">
        <v>378100000</v>
      </c>
      <c r="E11" s="10">
        <v>0</v>
      </c>
      <c r="F11" s="38">
        <f t="shared" ref="F11:H11" si="4">E11+E12</f>
        <v>0</v>
      </c>
      <c r="G11" s="10">
        <v>1303836</v>
      </c>
      <c r="H11" s="38">
        <f t="shared" si="4"/>
        <v>2607672</v>
      </c>
      <c r="I11" s="10">
        <v>1303836</v>
      </c>
      <c r="J11" s="36">
        <f t="shared" ref="J11" si="5">I11+I12</f>
        <v>2607672</v>
      </c>
      <c r="O11" s="17"/>
      <c r="P11" s="17"/>
      <c r="Q11" s="17"/>
      <c r="R11" s="17"/>
      <c r="S11" s="17"/>
      <c r="T11" s="17"/>
      <c r="U11" s="17"/>
      <c r="V11" s="17"/>
      <c r="W11" s="17"/>
      <c r="Y11" s="17"/>
      <c r="Z11" s="17"/>
      <c r="AA11" s="17"/>
      <c r="AB11" s="17"/>
      <c r="AC11" s="17"/>
      <c r="AD11" s="17"/>
      <c r="AE11" s="17"/>
      <c r="AH11" s="17"/>
      <c r="AJ11" s="17"/>
      <c r="AK11" s="17"/>
      <c r="AL11" s="17"/>
      <c r="AM11" s="17"/>
      <c r="AN11" s="17"/>
      <c r="AO11" s="17"/>
      <c r="AP11" s="17"/>
      <c r="AQ11" s="17"/>
    </row>
    <row r="12" spans="1:43" ht="12" x14ac:dyDescent="0.15">
      <c r="B12" s="5" t="s">
        <v>10</v>
      </c>
      <c r="C12" s="3"/>
      <c r="D12" s="10">
        <v>378100000</v>
      </c>
      <c r="E12" s="10">
        <v>0</v>
      </c>
      <c r="F12" s="38"/>
      <c r="G12" s="10">
        <v>1303836</v>
      </c>
      <c r="H12" s="38"/>
      <c r="I12" s="10">
        <v>1303836</v>
      </c>
      <c r="J12" s="36"/>
    </row>
    <row r="13" spans="1:43" ht="12" x14ac:dyDescent="0.15">
      <c r="B13" s="4" t="s">
        <v>14</v>
      </c>
      <c r="C13" s="3" t="s">
        <v>9</v>
      </c>
      <c r="D13" s="10">
        <v>510800000</v>
      </c>
      <c r="E13" s="10">
        <v>0</v>
      </c>
      <c r="F13" s="38">
        <f t="shared" ref="F13:H13" si="6">E13+E14</f>
        <v>0</v>
      </c>
      <c r="G13" s="10">
        <v>2070889</v>
      </c>
      <c r="H13" s="38">
        <f t="shared" si="6"/>
        <v>4141778</v>
      </c>
      <c r="I13" s="10">
        <v>2070889</v>
      </c>
      <c r="J13" s="36">
        <f t="shared" ref="J13" si="7">I13+I14</f>
        <v>4141778</v>
      </c>
    </row>
    <row r="14" spans="1:43" ht="12" x14ac:dyDescent="0.15">
      <c r="B14" s="5" t="s">
        <v>10</v>
      </c>
      <c r="C14" s="3"/>
      <c r="D14" s="10">
        <v>510800000</v>
      </c>
      <c r="E14" s="10">
        <v>0</v>
      </c>
      <c r="F14" s="38"/>
      <c r="G14" s="10">
        <v>2070889</v>
      </c>
      <c r="H14" s="38"/>
      <c r="I14" s="10">
        <v>2070889</v>
      </c>
      <c r="J14" s="36"/>
    </row>
    <row r="15" spans="1:43" ht="12" x14ac:dyDescent="0.15">
      <c r="B15" s="4" t="s">
        <v>15</v>
      </c>
      <c r="C15" s="3" t="s">
        <v>9</v>
      </c>
      <c r="D15" s="10">
        <v>527284407</v>
      </c>
      <c r="E15" s="10">
        <v>1615593</v>
      </c>
      <c r="F15" s="38">
        <f t="shared" ref="F15:H15" si="8">E15+E16</f>
        <v>3231186</v>
      </c>
      <c r="G15" s="10">
        <v>3779872</v>
      </c>
      <c r="H15" s="38">
        <f t="shared" si="8"/>
        <v>7559744</v>
      </c>
      <c r="I15" s="10">
        <v>5395465</v>
      </c>
      <c r="J15" s="36">
        <f t="shared" ref="J15" si="9">I15+I16</f>
        <v>10790930</v>
      </c>
    </row>
    <row r="16" spans="1:43" ht="12" x14ac:dyDescent="0.15">
      <c r="B16" s="5" t="s">
        <v>10</v>
      </c>
      <c r="C16" s="3"/>
      <c r="D16" s="10">
        <v>527284407</v>
      </c>
      <c r="E16" s="10">
        <v>1615593</v>
      </c>
      <c r="F16" s="38"/>
      <c r="G16" s="10">
        <v>3779872</v>
      </c>
      <c r="H16" s="38"/>
      <c r="I16" s="10">
        <v>5395465</v>
      </c>
      <c r="J16" s="36"/>
    </row>
    <row r="17" spans="2:32" ht="12" x14ac:dyDescent="0.15">
      <c r="B17" s="4" t="s">
        <v>16</v>
      </c>
      <c r="C17" s="3" t="s">
        <v>9</v>
      </c>
      <c r="D17" s="10">
        <v>522751048</v>
      </c>
      <c r="E17" s="10">
        <v>4533359</v>
      </c>
      <c r="F17" s="38">
        <f t="shared" ref="F17:H17" si="10">E17+E18</f>
        <v>9066718</v>
      </c>
      <c r="G17" s="10">
        <v>3914459</v>
      </c>
      <c r="H17" s="38">
        <f t="shared" si="10"/>
        <v>7828918</v>
      </c>
      <c r="I17" s="10">
        <v>8447818</v>
      </c>
      <c r="J17" s="36">
        <f t="shared" ref="J17" si="11">I17+I18</f>
        <v>16895636</v>
      </c>
    </row>
    <row r="18" spans="2:32" ht="12" x14ac:dyDescent="0.15">
      <c r="B18" s="5" t="s">
        <v>10</v>
      </c>
      <c r="C18" s="3"/>
      <c r="D18" s="10">
        <v>522751048</v>
      </c>
      <c r="E18" s="10">
        <v>4533359</v>
      </c>
      <c r="F18" s="38"/>
      <c r="G18" s="10">
        <v>3914459</v>
      </c>
      <c r="H18" s="38"/>
      <c r="I18" s="10">
        <v>8447818</v>
      </c>
      <c r="J18" s="36"/>
    </row>
    <row r="19" spans="2:32" ht="12" x14ac:dyDescent="0.15">
      <c r="B19" s="4" t="s">
        <v>17</v>
      </c>
      <c r="C19" s="3" t="s">
        <v>9</v>
      </c>
      <c r="D19" s="10">
        <v>512942477</v>
      </c>
      <c r="E19" s="10">
        <v>9808571</v>
      </c>
      <c r="F19" s="38">
        <f t="shared" ref="F19:H19" si="12">E19+E20</f>
        <v>19617142</v>
      </c>
      <c r="G19" s="10">
        <v>3898829</v>
      </c>
      <c r="H19" s="38">
        <f t="shared" si="12"/>
        <v>7797658</v>
      </c>
      <c r="I19" s="10">
        <v>13707400</v>
      </c>
      <c r="J19" s="36">
        <f t="shared" ref="J19" si="13">I19+I20</f>
        <v>27414800</v>
      </c>
    </row>
    <row r="20" spans="2:32" ht="12" x14ac:dyDescent="0.15">
      <c r="B20" s="5" t="s">
        <v>10</v>
      </c>
      <c r="C20" s="3"/>
      <c r="D20" s="10">
        <v>512942477</v>
      </c>
      <c r="E20" s="10">
        <v>9808571</v>
      </c>
      <c r="F20" s="38"/>
      <c r="G20" s="10">
        <v>3898829</v>
      </c>
      <c r="H20" s="38"/>
      <c r="I20" s="10">
        <v>13707400</v>
      </c>
      <c r="J20" s="36"/>
    </row>
    <row r="21" spans="2:32" ht="12" x14ac:dyDescent="0.15">
      <c r="B21" s="4" t="s">
        <v>18</v>
      </c>
      <c r="C21" s="3" t="s">
        <v>9</v>
      </c>
      <c r="D21" s="10">
        <v>495477984</v>
      </c>
      <c r="E21" s="10">
        <v>17464493</v>
      </c>
      <c r="F21" s="38">
        <f t="shared" ref="F21:H21" si="14">E21+E22</f>
        <v>34928986</v>
      </c>
      <c r="G21" s="10">
        <v>3854835</v>
      </c>
      <c r="H21" s="38">
        <f t="shared" si="14"/>
        <v>7709670</v>
      </c>
      <c r="I21" s="10">
        <v>21319328</v>
      </c>
      <c r="J21" s="36">
        <f t="shared" ref="J21" si="15">I21+I22</f>
        <v>42638656</v>
      </c>
    </row>
    <row r="22" spans="2:32" ht="12" x14ac:dyDescent="0.15">
      <c r="B22" s="5" t="s">
        <v>10</v>
      </c>
      <c r="C22" s="3"/>
      <c r="D22" s="10">
        <v>495477984</v>
      </c>
      <c r="E22" s="10">
        <v>17464493</v>
      </c>
      <c r="F22" s="38"/>
      <c r="G22" s="10">
        <v>3854835</v>
      </c>
      <c r="H22" s="38"/>
      <c r="I22" s="10">
        <v>21319328</v>
      </c>
      <c r="J22" s="36"/>
    </row>
    <row r="23" spans="2:32" ht="12" x14ac:dyDescent="0.15">
      <c r="B23" s="4" t="s">
        <v>19</v>
      </c>
      <c r="C23" s="3" t="s">
        <v>9</v>
      </c>
      <c r="D23" s="10">
        <v>474952219</v>
      </c>
      <c r="E23" s="10">
        <v>20525765</v>
      </c>
      <c r="F23" s="38">
        <f t="shared" ref="F23:H23" si="16">E23+E24</f>
        <v>41051530</v>
      </c>
      <c r="G23" s="10">
        <v>3765400</v>
      </c>
      <c r="H23" s="38">
        <f t="shared" si="16"/>
        <v>7530800</v>
      </c>
      <c r="I23" s="10">
        <v>24291165</v>
      </c>
      <c r="J23" s="36">
        <f t="shared" ref="J23" si="17">I23+I24</f>
        <v>48582330</v>
      </c>
    </row>
    <row r="24" spans="2:32" ht="12" x14ac:dyDescent="0.15">
      <c r="B24" s="5" t="s">
        <v>10</v>
      </c>
      <c r="C24" s="3"/>
      <c r="D24" s="10">
        <v>474952219</v>
      </c>
      <c r="E24" s="10">
        <v>20525765</v>
      </c>
      <c r="F24" s="38"/>
      <c r="G24" s="10">
        <v>3765400</v>
      </c>
      <c r="H24" s="38"/>
      <c r="I24" s="10">
        <v>24291165</v>
      </c>
      <c r="J24" s="36"/>
    </row>
    <row r="25" spans="2:32" ht="12" x14ac:dyDescent="0.15">
      <c r="B25" s="4" t="s">
        <v>20</v>
      </c>
      <c r="C25" s="3" t="s">
        <v>9</v>
      </c>
      <c r="D25" s="10">
        <v>448723671</v>
      </c>
      <c r="E25" s="10">
        <v>26228548</v>
      </c>
      <c r="F25" s="38">
        <f t="shared" ref="F25:H25" si="18">E25+E26</f>
        <v>52457096</v>
      </c>
      <c r="G25" s="10">
        <v>3627968</v>
      </c>
      <c r="H25" s="38">
        <f t="shared" si="18"/>
        <v>7255936</v>
      </c>
      <c r="I25" s="10">
        <v>29856516</v>
      </c>
      <c r="J25" s="36">
        <f t="shared" ref="J25" si="19">I25+I26</f>
        <v>59713032</v>
      </c>
      <c r="AF25" s="16"/>
    </row>
    <row r="26" spans="2:32" ht="12" x14ac:dyDescent="0.15">
      <c r="B26" s="5" t="s">
        <v>10</v>
      </c>
      <c r="C26" s="3"/>
      <c r="D26" s="10">
        <v>448723671</v>
      </c>
      <c r="E26" s="10">
        <v>26228548</v>
      </c>
      <c r="F26" s="38"/>
      <c r="G26" s="10">
        <v>3627968</v>
      </c>
      <c r="H26" s="38"/>
      <c r="I26" s="10">
        <v>29856516</v>
      </c>
      <c r="J26" s="36"/>
    </row>
    <row r="27" spans="2:32" ht="12" x14ac:dyDescent="0.15">
      <c r="B27" s="4" t="s">
        <v>21</v>
      </c>
      <c r="C27" s="3" t="s">
        <v>9</v>
      </c>
      <c r="D27" s="10">
        <v>422303709</v>
      </c>
      <c r="E27" s="10">
        <v>26419962</v>
      </c>
      <c r="F27" s="38">
        <f t="shared" ref="F27:H27" si="20">E27+E28</f>
        <v>52839924</v>
      </c>
      <c r="G27" s="10">
        <v>3436554</v>
      </c>
      <c r="H27" s="38">
        <f t="shared" si="20"/>
        <v>6873108</v>
      </c>
      <c r="I27" s="10">
        <v>29856516</v>
      </c>
      <c r="J27" s="36">
        <f t="shared" ref="J27" si="21">I27+I28</f>
        <v>59713032</v>
      </c>
    </row>
    <row r="28" spans="2:32" ht="12" x14ac:dyDescent="0.15">
      <c r="B28" s="5" t="s">
        <v>10</v>
      </c>
      <c r="C28" s="3"/>
      <c r="D28" s="10">
        <v>422303709</v>
      </c>
      <c r="E28" s="10">
        <v>26419962</v>
      </c>
      <c r="F28" s="38"/>
      <c r="G28" s="10">
        <v>3436554</v>
      </c>
      <c r="H28" s="38"/>
      <c r="I28" s="10">
        <v>29856516</v>
      </c>
      <c r="J28" s="36"/>
    </row>
    <row r="29" spans="2:32" ht="12" x14ac:dyDescent="0.15">
      <c r="B29" s="4" t="s">
        <v>22</v>
      </c>
      <c r="C29" s="3" t="s">
        <v>9</v>
      </c>
      <c r="D29" s="10">
        <v>395690504</v>
      </c>
      <c r="E29" s="10">
        <v>26613205</v>
      </c>
      <c r="F29" s="38">
        <f t="shared" ref="F29:H29" si="22">E29+E30</f>
        <v>53226410</v>
      </c>
      <c r="G29" s="10">
        <v>3243311</v>
      </c>
      <c r="H29" s="38">
        <f t="shared" si="22"/>
        <v>6486622</v>
      </c>
      <c r="I29" s="10">
        <v>29856516</v>
      </c>
      <c r="J29" s="36">
        <f t="shared" ref="J29" si="23">I29+I30</f>
        <v>59713032</v>
      </c>
    </row>
    <row r="30" spans="2:32" ht="12" x14ac:dyDescent="0.15">
      <c r="B30" s="5" t="s">
        <v>10</v>
      </c>
      <c r="C30" s="3"/>
      <c r="D30" s="10">
        <v>395690504</v>
      </c>
      <c r="E30" s="10">
        <v>26613205</v>
      </c>
      <c r="F30" s="38"/>
      <c r="G30" s="10">
        <v>3243311</v>
      </c>
      <c r="H30" s="38"/>
      <c r="I30" s="10">
        <v>29856516</v>
      </c>
      <c r="J30" s="36"/>
    </row>
    <row r="31" spans="2:32" ht="12" x14ac:dyDescent="0.15">
      <c r="B31" s="4" t="s">
        <v>23</v>
      </c>
      <c r="C31" s="3" t="s">
        <v>9</v>
      </c>
      <c r="D31" s="10">
        <v>368882203</v>
      </c>
      <c r="E31" s="10">
        <v>26808301</v>
      </c>
      <c r="F31" s="38">
        <f t="shared" ref="F31:H31" si="24">E31+E32</f>
        <v>53616602</v>
      </c>
      <c r="G31" s="10">
        <v>3048215</v>
      </c>
      <c r="H31" s="38">
        <f t="shared" si="24"/>
        <v>6096430</v>
      </c>
      <c r="I31" s="10">
        <v>29856516</v>
      </c>
      <c r="J31" s="36">
        <f t="shared" ref="J31" si="25">I31+I32</f>
        <v>59713032</v>
      </c>
    </row>
    <row r="32" spans="2:32" ht="12" x14ac:dyDescent="0.15">
      <c r="B32" s="5" t="s">
        <v>10</v>
      </c>
      <c r="C32" s="3"/>
      <c r="D32" s="10">
        <v>368882203</v>
      </c>
      <c r="E32" s="10">
        <v>26808301</v>
      </c>
      <c r="F32" s="38"/>
      <c r="G32" s="10">
        <v>3048215</v>
      </c>
      <c r="H32" s="38"/>
      <c r="I32" s="10">
        <v>29856516</v>
      </c>
      <c r="J32" s="36"/>
    </row>
    <row r="33" spans="2:10" ht="12" x14ac:dyDescent="0.15">
      <c r="B33" s="4" t="s">
        <v>24</v>
      </c>
      <c r="C33" s="3" t="s">
        <v>9</v>
      </c>
      <c r="D33" s="10">
        <v>341876946</v>
      </c>
      <c r="E33" s="10">
        <v>27005257</v>
      </c>
      <c r="F33" s="38">
        <f t="shared" ref="F33:H33" si="26">E33+E34</f>
        <v>54010514</v>
      </c>
      <c r="G33" s="10">
        <v>2851255</v>
      </c>
      <c r="H33" s="38">
        <f t="shared" si="26"/>
        <v>5702510</v>
      </c>
      <c r="I33" s="10">
        <v>29856512</v>
      </c>
      <c r="J33" s="36">
        <f t="shared" ref="J33" si="27">I33+I34</f>
        <v>59713024</v>
      </c>
    </row>
    <row r="34" spans="2:10" ht="12" x14ac:dyDescent="0.15">
      <c r="B34" s="5" t="s">
        <v>10</v>
      </c>
      <c r="C34" s="3"/>
      <c r="D34" s="10">
        <v>341876946</v>
      </c>
      <c r="E34" s="10">
        <v>27005257</v>
      </c>
      <c r="F34" s="38"/>
      <c r="G34" s="10">
        <v>2851255</v>
      </c>
      <c r="H34" s="38"/>
      <c r="I34" s="10">
        <v>29856512</v>
      </c>
      <c r="J34" s="36"/>
    </row>
    <row r="35" spans="2:10" ht="12" x14ac:dyDescent="0.15">
      <c r="B35" s="4" t="s">
        <v>25</v>
      </c>
      <c r="C35" s="3" t="s">
        <v>9</v>
      </c>
      <c r="D35" s="10">
        <v>316798142</v>
      </c>
      <c r="E35" s="10">
        <v>25078804</v>
      </c>
      <c r="F35" s="38">
        <f t="shared" ref="F35:H35" si="28">E35+E36</f>
        <v>50157608</v>
      </c>
      <c r="G35" s="10">
        <v>2656752</v>
      </c>
      <c r="H35" s="38">
        <f t="shared" si="28"/>
        <v>5313504</v>
      </c>
      <c r="I35" s="10">
        <v>27735556</v>
      </c>
      <c r="J35" s="36">
        <f t="shared" ref="J35" si="29">I35+I36</f>
        <v>55471112</v>
      </c>
    </row>
    <row r="36" spans="2:10" ht="12" x14ac:dyDescent="0.15">
      <c r="B36" s="5" t="s">
        <v>10</v>
      </c>
      <c r="C36" s="3"/>
      <c r="D36" s="10">
        <v>316798142</v>
      </c>
      <c r="E36" s="10">
        <v>25078804</v>
      </c>
      <c r="F36" s="38"/>
      <c r="G36" s="10">
        <v>2656752</v>
      </c>
      <c r="H36" s="38"/>
      <c r="I36" s="10">
        <v>27735556</v>
      </c>
      <c r="J36" s="36"/>
    </row>
    <row r="37" spans="2:10" ht="12" x14ac:dyDescent="0.15">
      <c r="B37" s="4" t="s">
        <v>26</v>
      </c>
      <c r="C37" s="3" t="s">
        <v>9</v>
      </c>
      <c r="D37" s="10">
        <v>291536036</v>
      </c>
      <c r="E37" s="10">
        <v>25262106</v>
      </c>
      <c r="F37" s="38">
        <f t="shared" ref="F37:H37" si="30">E37+E38</f>
        <v>50524212</v>
      </c>
      <c r="G37" s="10">
        <v>2473450</v>
      </c>
      <c r="H37" s="38">
        <f t="shared" si="30"/>
        <v>4946900</v>
      </c>
      <c r="I37" s="10">
        <v>27735556</v>
      </c>
      <c r="J37" s="36">
        <f t="shared" ref="J37" si="31">I37+I38</f>
        <v>55471112</v>
      </c>
    </row>
    <row r="38" spans="2:10" ht="12" x14ac:dyDescent="0.15">
      <c r="B38" s="5" t="s">
        <v>10</v>
      </c>
      <c r="C38" s="3"/>
      <c r="D38" s="10">
        <v>291536036</v>
      </c>
      <c r="E38" s="10">
        <v>25262106</v>
      </c>
      <c r="F38" s="38"/>
      <c r="G38" s="10">
        <v>2473450</v>
      </c>
      <c r="H38" s="38"/>
      <c r="I38" s="10">
        <v>27735556</v>
      </c>
      <c r="J38" s="36"/>
    </row>
    <row r="39" spans="2:10" ht="12" x14ac:dyDescent="0.15">
      <c r="B39" s="4" t="s">
        <v>27</v>
      </c>
      <c r="C39" s="3" t="s">
        <v>9</v>
      </c>
      <c r="D39" s="10">
        <v>266088835</v>
      </c>
      <c r="E39" s="10">
        <v>25447201</v>
      </c>
      <c r="F39" s="38">
        <f t="shared" ref="F39:H39" si="32">E39+E40</f>
        <v>50894402</v>
      </c>
      <c r="G39" s="10">
        <v>2288355</v>
      </c>
      <c r="H39" s="38">
        <f t="shared" si="32"/>
        <v>4576710</v>
      </c>
      <c r="I39" s="10">
        <v>27735556</v>
      </c>
      <c r="J39" s="36">
        <f t="shared" ref="J39" si="33">I39+I40</f>
        <v>55471112</v>
      </c>
    </row>
    <row r="40" spans="2:10" ht="12" x14ac:dyDescent="0.15">
      <c r="B40" s="5" t="s">
        <v>10</v>
      </c>
      <c r="C40" s="3"/>
      <c r="D40" s="10">
        <v>266088835</v>
      </c>
      <c r="E40" s="10">
        <v>25447201</v>
      </c>
      <c r="F40" s="38"/>
      <c r="G40" s="10">
        <v>2288355</v>
      </c>
      <c r="H40" s="38"/>
      <c r="I40" s="10">
        <v>27735556</v>
      </c>
      <c r="J40" s="36"/>
    </row>
    <row r="41" spans="2:10" ht="12" x14ac:dyDescent="0.15">
      <c r="B41" s="4" t="s">
        <v>28</v>
      </c>
      <c r="C41" s="3" t="s">
        <v>9</v>
      </c>
      <c r="D41" s="10">
        <v>240454736</v>
      </c>
      <c r="E41" s="10">
        <v>25634099</v>
      </c>
      <c r="F41" s="38">
        <f t="shared" ref="F41:H41" si="34">E41+E42</f>
        <v>51268198</v>
      </c>
      <c r="G41" s="10">
        <v>2101457</v>
      </c>
      <c r="H41" s="38">
        <f t="shared" si="34"/>
        <v>4202914</v>
      </c>
      <c r="I41" s="10">
        <v>27735556</v>
      </c>
      <c r="J41" s="36">
        <f t="shared" ref="J41" si="35">I41+I42</f>
        <v>55471112</v>
      </c>
    </row>
    <row r="42" spans="2:10" ht="12" x14ac:dyDescent="0.15">
      <c r="B42" s="5" t="s">
        <v>10</v>
      </c>
      <c r="C42" s="3"/>
      <c r="D42" s="10">
        <v>240454736</v>
      </c>
      <c r="E42" s="10">
        <v>25634099</v>
      </c>
      <c r="F42" s="38"/>
      <c r="G42" s="10">
        <v>2101457</v>
      </c>
      <c r="H42" s="38"/>
      <c r="I42" s="10">
        <v>27735556</v>
      </c>
      <c r="J42" s="36"/>
    </row>
    <row r="43" spans="2:10" ht="12" x14ac:dyDescent="0.15">
      <c r="B43" s="4" t="s">
        <v>29</v>
      </c>
      <c r="C43" s="3" t="s">
        <v>9</v>
      </c>
      <c r="D43" s="10">
        <v>214631912</v>
      </c>
      <c r="E43" s="10">
        <v>25822824</v>
      </c>
      <c r="F43" s="38">
        <f t="shared" ref="F43:H43" si="36">E43+E44</f>
        <v>51645648</v>
      </c>
      <c r="G43" s="10">
        <v>1912732</v>
      </c>
      <c r="H43" s="38">
        <f t="shared" si="36"/>
        <v>3825464</v>
      </c>
      <c r="I43" s="10">
        <v>27735556</v>
      </c>
      <c r="J43" s="36">
        <f t="shared" ref="J43" si="37">I43+I44</f>
        <v>55471112</v>
      </c>
    </row>
    <row r="44" spans="2:10" ht="12" x14ac:dyDescent="0.15">
      <c r="B44" s="5" t="s">
        <v>10</v>
      </c>
      <c r="C44" s="3"/>
      <c r="D44" s="10">
        <v>214631912</v>
      </c>
      <c r="E44" s="10">
        <v>25822824</v>
      </c>
      <c r="F44" s="38"/>
      <c r="G44" s="10">
        <v>1912732</v>
      </c>
      <c r="H44" s="38"/>
      <c r="I44" s="10">
        <v>27735556</v>
      </c>
      <c r="J44" s="36"/>
    </row>
    <row r="45" spans="2:10" ht="12" x14ac:dyDescent="0.15">
      <c r="B45" s="4" t="s">
        <v>30</v>
      </c>
      <c r="C45" s="3" t="s">
        <v>9</v>
      </c>
      <c r="D45" s="10">
        <v>188618508</v>
      </c>
      <c r="E45" s="10">
        <v>26013404</v>
      </c>
      <c r="F45" s="38">
        <f t="shared" ref="F45:H45" si="38">E45+E46</f>
        <v>52026808</v>
      </c>
      <c r="G45" s="10">
        <v>1722152</v>
      </c>
      <c r="H45" s="38">
        <f t="shared" si="38"/>
        <v>3444304</v>
      </c>
      <c r="I45" s="10">
        <v>27735556</v>
      </c>
      <c r="J45" s="36">
        <f t="shared" ref="J45" si="39">I45+I46</f>
        <v>55471112</v>
      </c>
    </row>
    <row r="46" spans="2:10" ht="12" x14ac:dyDescent="0.15">
      <c r="B46" s="5" t="s">
        <v>10</v>
      </c>
      <c r="C46" s="3"/>
      <c r="D46" s="10">
        <v>188618508</v>
      </c>
      <c r="E46" s="10">
        <v>26013404</v>
      </c>
      <c r="F46" s="38"/>
      <c r="G46" s="10">
        <v>1722152</v>
      </c>
      <c r="H46" s="38"/>
      <c r="I46" s="10">
        <v>27735556</v>
      </c>
      <c r="J46" s="36"/>
    </row>
    <row r="47" spans="2:10" ht="12" x14ac:dyDescent="0.15">
      <c r="B47" s="4" t="s">
        <v>31</v>
      </c>
      <c r="C47" s="3" t="s">
        <v>9</v>
      </c>
      <c r="D47" s="10">
        <v>162412651</v>
      </c>
      <c r="E47" s="10">
        <v>26205857</v>
      </c>
      <c r="F47" s="38">
        <f t="shared" ref="F47:H47" si="40">E47+E48</f>
        <v>52411714</v>
      </c>
      <c r="G47" s="10">
        <v>1529699</v>
      </c>
      <c r="H47" s="38">
        <f t="shared" si="40"/>
        <v>3059398</v>
      </c>
      <c r="I47" s="10">
        <v>27735556</v>
      </c>
      <c r="J47" s="36">
        <f t="shared" ref="J47" si="41">I47+I48</f>
        <v>55471112</v>
      </c>
    </row>
    <row r="48" spans="2:10" ht="12" x14ac:dyDescent="0.15">
      <c r="B48" s="5" t="s">
        <v>10</v>
      </c>
      <c r="C48" s="3"/>
      <c r="D48" s="10">
        <v>162412651</v>
      </c>
      <c r="E48" s="10">
        <v>26205857</v>
      </c>
      <c r="F48" s="38"/>
      <c r="G48" s="10">
        <v>1529699</v>
      </c>
      <c r="H48" s="38"/>
      <c r="I48" s="10">
        <v>27735556</v>
      </c>
      <c r="J48" s="36"/>
    </row>
    <row r="49" spans="2:10" ht="12" x14ac:dyDescent="0.15">
      <c r="B49" s="4" t="s">
        <v>32</v>
      </c>
      <c r="C49" s="3" t="s">
        <v>9</v>
      </c>
      <c r="D49" s="10">
        <v>136012451</v>
      </c>
      <c r="E49" s="10">
        <v>26400200</v>
      </c>
      <c r="F49" s="38">
        <f t="shared" ref="F49:H49" si="42">E49+E50</f>
        <v>52800400</v>
      </c>
      <c r="G49" s="10">
        <v>1335356</v>
      </c>
      <c r="H49" s="38">
        <f t="shared" si="42"/>
        <v>2670712</v>
      </c>
      <c r="I49" s="10">
        <v>27735556</v>
      </c>
      <c r="J49" s="36">
        <f t="shared" ref="J49" si="43">I49+I50</f>
        <v>55471112</v>
      </c>
    </row>
    <row r="50" spans="2:10" ht="12" x14ac:dyDescent="0.15">
      <c r="B50" s="5" t="s">
        <v>10</v>
      </c>
      <c r="C50" s="3"/>
      <c r="D50" s="10">
        <v>136012451</v>
      </c>
      <c r="E50" s="10">
        <v>26400200</v>
      </c>
      <c r="F50" s="38"/>
      <c r="G50" s="10">
        <v>1335356</v>
      </c>
      <c r="H50" s="38"/>
      <c r="I50" s="10">
        <v>27735556</v>
      </c>
      <c r="J50" s="36"/>
    </row>
    <row r="51" spans="2:10" ht="12" x14ac:dyDescent="0.15">
      <c r="B51" s="4" t="s">
        <v>33</v>
      </c>
      <c r="C51" s="3" t="s">
        <v>9</v>
      </c>
      <c r="D51" s="10">
        <v>109415993</v>
      </c>
      <c r="E51" s="10">
        <v>26596458</v>
      </c>
      <c r="F51" s="38">
        <f t="shared" ref="F51:H51" si="44">E51+E52</f>
        <v>53192916</v>
      </c>
      <c r="G51" s="10">
        <v>1139098</v>
      </c>
      <c r="H51" s="38">
        <f t="shared" si="44"/>
        <v>2278196</v>
      </c>
      <c r="I51" s="10">
        <v>27735556</v>
      </c>
      <c r="J51" s="36">
        <f t="shared" ref="J51" si="45">I51+I52</f>
        <v>55471112</v>
      </c>
    </row>
    <row r="52" spans="2:10" ht="12" x14ac:dyDescent="0.15">
      <c r="B52" s="5" t="s">
        <v>10</v>
      </c>
      <c r="C52" s="3"/>
      <c r="D52" s="10">
        <v>109415993</v>
      </c>
      <c r="E52" s="10">
        <v>26596458</v>
      </c>
      <c r="F52" s="38"/>
      <c r="G52" s="10">
        <v>1139098</v>
      </c>
      <c r="H52" s="38"/>
      <c r="I52" s="10">
        <v>27735556</v>
      </c>
      <c r="J52" s="36"/>
    </row>
    <row r="53" spans="2:10" ht="12" x14ac:dyDescent="0.15">
      <c r="B53" s="4" t="s">
        <v>34</v>
      </c>
      <c r="C53" s="3" t="s">
        <v>9</v>
      </c>
      <c r="D53" s="10">
        <v>82621339</v>
      </c>
      <c r="E53" s="10">
        <v>26794654</v>
      </c>
      <c r="F53" s="38">
        <f t="shared" ref="F53:H53" si="46">E53+E54</f>
        <v>53589308</v>
      </c>
      <c r="G53" s="10">
        <v>940902</v>
      </c>
      <c r="H53" s="38">
        <f t="shared" si="46"/>
        <v>1881804</v>
      </c>
      <c r="I53" s="10">
        <v>27735556</v>
      </c>
      <c r="J53" s="36">
        <f t="shared" ref="J53" si="47">I53+I54</f>
        <v>55471112</v>
      </c>
    </row>
    <row r="54" spans="2:10" ht="12" x14ac:dyDescent="0.15">
      <c r="B54" s="5" t="s">
        <v>10</v>
      </c>
      <c r="C54" s="3"/>
      <c r="D54" s="10">
        <v>82621339</v>
      </c>
      <c r="E54" s="10">
        <v>26794654</v>
      </c>
      <c r="F54" s="38"/>
      <c r="G54" s="10">
        <v>940902</v>
      </c>
      <c r="H54" s="38"/>
      <c r="I54" s="10">
        <v>27735556</v>
      </c>
      <c r="J54" s="36"/>
    </row>
    <row r="55" spans="2:10" ht="12" x14ac:dyDescent="0.15">
      <c r="B55" s="4" t="s">
        <v>35</v>
      </c>
      <c r="C55" s="3" t="s">
        <v>9</v>
      </c>
      <c r="D55" s="10">
        <v>57308027</v>
      </c>
      <c r="E55" s="10">
        <v>25313312</v>
      </c>
      <c r="F55" s="38">
        <f t="shared" ref="F55:H55" si="48">E55+E56</f>
        <v>50626624</v>
      </c>
      <c r="G55" s="10">
        <v>740751</v>
      </c>
      <c r="H55" s="38">
        <f t="shared" si="48"/>
        <v>1481502</v>
      </c>
      <c r="I55" s="10">
        <v>26054063</v>
      </c>
      <c r="J55" s="36">
        <f t="shared" ref="J55" si="49">I55+I56</f>
        <v>52108126</v>
      </c>
    </row>
    <row r="56" spans="2:10" ht="12" x14ac:dyDescent="0.15">
      <c r="B56" s="5" t="s">
        <v>10</v>
      </c>
      <c r="C56" s="3"/>
      <c r="D56" s="10">
        <v>57308027</v>
      </c>
      <c r="E56" s="10">
        <v>25313312</v>
      </c>
      <c r="F56" s="38"/>
      <c r="G56" s="10">
        <v>740751</v>
      </c>
      <c r="H56" s="38"/>
      <c r="I56" s="10">
        <v>26054063</v>
      </c>
      <c r="J56" s="36"/>
    </row>
    <row r="57" spans="2:10" ht="12" x14ac:dyDescent="0.15">
      <c r="B57" s="4" t="s">
        <v>36</v>
      </c>
      <c r="C57" s="3" t="s">
        <v>9</v>
      </c>
      <c r="D57" s="10">
        <v>34856604</v>
      </c>
      <c r="E57" s="10">
        <v>22451423</v>
      </c>
      <c r="F57" s="38">
        <f t="shared" ref="F57:H57" si="50">E57+E58</f>
        <v>44902846</v>
      </c>
      <c r="G57" s="10">
        <v>544695</v>
      </c>
      <c r="H57" s="38">
        <f t="shared" si="50"/>
        <v>1089390</v>
      </c>
      <c r="I57" s="10">
        <v>22996118</v>
      </c>
      <c r="J57" s="36">
        <f t="shared" ref="J57" si="51">I57+I58</f>
        <v>45992236</v>
      </c>
    </row>
    <row r="58" spans="2:10" ht="12" x14ac:dyDescent="0.15">
      <c r="B58" s="5" t="s">
        <v>10</v>
      </c>
      <c r="C58" s="3"/>
      <c r="D58" s="10">
        <v>34856604</v>
      </c>
      <c r="E58" s="10">
        <v>22451423</v>
      </c>
      <c r="F58" s="38"/>
      <c r="G58" s="10">
        <v>544695</v>
      </c>
      <c r="H58" s="38"/>
      <c r="I58" s="10">
        <v>22996118</v>
      </c>
      <c r="J58" s="36"/>
    </row>
    <row r="59" spans="2:10" ht="12" x14ac:dyDescent="0.15">
      <c r="B59" s="4" t="s">
        <v>37</v>
      </c>
      <c r="C59" s="3" t="s">
        <v>9</v>
      </c>
      <c r="D59" s="10">
        <v>17914800</v>
      </c>
      <c r="E59" s="10">
        <v>16941804</v>
      </c>
      <c r="F59" s="38">
        <f t="shared" ref="F59:H59" si="52">E59+E60</f>
        <v>33883608</v>
      </c>
      <c r="G59" s="10">
        <v>357132</v>
      </c>
      <c r="H59" s="38">
        <f t="shared" si="52"/>
        <v>714264</v>
      </c>
      <c r="I59" s="10">
        <v>17298936</v>
      </c>
      <c r="J59" s="36">
        <f t="shared" ref="J59" si="53">I59+I60</f>
        <v>34597872</v>
      </c>
    </row>
    <row r="60" spans="2:10" ht="12" x14ac:dyDescent="0.15">
      <c r="B60" s="5" t="s">
        <v>10</v>
      </c>
      <c r="C60" s="3"/>
      <c r="D60" s="10">
        <v>17914800</v>
      </c>
      <c r="E60" s="10">
        <v>16941804</v>
      </c>
      <c r="F60" s="38"/>
      <c r="G60" s="10">
        <v>357132</v>
      </c>
      <c r="H60" s="38"/>
      <c r="I60" s="10">
        <v>17298936</v>
      </c>
      <c r="J60" s="36"/>
    </row>
    <row r="61" spans="2:10" ht="12" x14ac:dyDescent="0.15">
      <c r="B61" s="4" t="s">
        <v>38</v>
      </c>
      <c r="C61" s="3" t="s">
        <v>9</v>
      </c>
      <c r="D61" s="10">
        <v>7133105</v>
      </c>
      <c r="E61" s="10">
        <v>10781695</v>
      </c>
      <c r="F61" s="38">
        <f t="shared" ref="F61:H61" si="54">E61+E62</f>
        <v>21563390</v>
      </c>
      <c r="G61" s="10">
        <v>194193</v>
      </c>
      <c r="H61" s="38">
        <f t="shared" si="54"/>
        <v>388386</v>
      </c>
      <c r="I61" s="10">
        <v>10975888</v>
      </c>
      <c r="J61" s="36">
        <f t="shared" ref="J61" si="55">I61+I62</f>
        <v>21951776</v>
      </c>
    </row>
    <row r="62" spans="2:10" ht="12" x14ac:dyDescent="0.15">
      <c r="B62" s="5" t="s">
        <v>10</v>
      </c>
      <c r="C62" s="3"/>
      <c r="D62" s="10">
        <v>7133105</v>
      </c>
      <c r="E62" s="10">
        <v>10781695</v>
      </c>
      <c r="F62" s="38"/>
      <c r="G62" s="10">
        <v>194193</v>
      </c>
      <c r="H62" s="38"/>
      <c r="I62" s="10">
        <v>10975888</v>
      </c>
      <c r="J62" s="36"/>
    </row>
    <row r="63" spans="2:10" ht="12" x14ac:dyDescent="0.15">
      <c r="B63" s="4" t="s">
        <v>39</v>
      </c>
      <c r="C63" s="3" t="s">
        <v>9</v>
      </c>
      <c r="D63" s="10">
        <v>0</v>
      </c>
      <c r="E63" s="10">
        <v>7133105</v>
      </c>
      <c r="F63" s="38">
        <f t="shared" ref="F63:H63" si="56">E63+E64</f>
        <v>14266210</v>
      </c>
      <c r="G63" s="10">
        <v>67546</v>
      </c>
      <c r="H63" s="38">
        <f t="shared" si="56"/>
        <v>135092</v>
      </c>
      <c r="I63" s="10">
        <v>7200651</v>
      </c>
      <c r="J63" s="36">
        <f t="shared" ref="J63" si="57">I63+I64</f>
        <v>14401302</v>
      </c>
    </row>
    <row r="64" spans="2:10" ht="12" x14ac:dyDescent="0.15">
      <c r="B64" s="5" t="s">
        <v>10</v>
      </c>
      <c r="C64" s="3"/>
      <c r="D64" s="10">
        <v>0</v>
      </c>
      <c r="E64" s="10">
        <v>7133105</v>
      </c>
      <c r="F64" s="38"/>
      <c r="G64" s="10">
        <v>67546</v>
      </c>
      <c r="H64" s="38"/>
      <c r="I64" s="10">
        <v>7200651</v>
      </c>
      <c r="J64" s="36"/>
    </row>
    <row r="65" spans="2:43" ht="12.6" thickBot="1" x14ac:dyDescent="0.2">
      <c r="B65" s="6" t="s">
        <v>40</v>
      </c>
      <c r="C65" s="7" t="s">
        <v>9</v>
      </c>
      <c r="D65" s="11"/>
      <c r="E65" s="11">
        <v>528900000</v>
      </c>
      <c r="F65" s="11"/>
      <c r="G65" s="11">
        <v>59635088</v>
      </c>
      <c r="H65" s="11"/>
      <c r="I65" s="11">
        <v>588535088</v>
      </c>
      <c r="J65" s="12"/>
    </row>
    <row r="68" spans="2:43" ht="15" customHeight="1" x14ac:dyDescent="0.15">
      <c r="K68" s="16"/>
      <c r="L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</row>
    <row r="120" spans="12:43" ht="15" customHeight="1" x14ac:dyDescent="0.15">
      <c r="AQ120" s="21" t="s">
        <v>46</v>
      </c>
    </row>
    <row r="121" spans="12:43" ht="15" customHeight="1" x14ac:dyDescent="0.15">
      <c r="L121" s="18"/>
      <c r="M121" s="19">
        <v>31</v>
      </c>
      <c r="N121" s="19">
        <v>2</v>
      </c>
      <c r="O121" s="19">
        <v>3</v>
      </c>
      <c r="P121" s="19">
        <v>4</v>
      </c>
      <c r="Q121" s="19">
        <v>5</v>
      </c>
      <c r="R121" s="19">
        <v>6</v>
      </c>
      <c r="S121" s="19">
        <v>7</v>
      </c>
      <c r="T121" s="19">
        <v>8</v>
      </c>
      <c r="U121" s="19">
        <v>9</v>
      </c>
      <c r="V121" s="19">
        <v>10</v>
      </c>
      <c r="W121" s="19">
        <v>11</v>
      </c>
      <c r="X121" s="19">
        <v>12</v>
      </c>
      <c r="Y121" s="19">
        <v>13</v>
      </c>
      <c r="Z121" s="19">
        <v>14</v>
      </c>
      <c r="AA121" s="19">
        <v>15</v>
      </c>
      <c r="AB121" s="19">
        <v>16</v>
      </c>
      <c r="AC121" s="19">
        <v>17</v>
      </c>
      <c r="AD121" s="19">
        <v>18</v>
      </c>
      <c r="AE121" s="19">
        <v>19</v>
      </c>
      <c r="AF121" s="19">
        <v>20</v>
      </c>
      <c r="AG121" s="19">
        <v>21</v>
      </c>
      <c r="AH121" s="19">
        <v>22</v>
      </c>
      <c r="AI121" s="19">
        <v>23</v>
      </c>
      <c r="AJ121" s="19">
        <v>24</v>
      </c>
      <c r="AK121" s="19">
        <v>25</v>
      </c>
      <c r="AL121" s="19">
        <v>26</v>
      </c>
      <c r="AM121" s="19">
        <v>27</v>
      </c>
      <c r="AN121" s="19">
        <v>28</v>
      </c>
      <c r="AO121" s="19">
        <v>29</v>
      </c>
      <c r="AP121" s="19">
        <v>30</v>
      </c>
      <c r="AQ121" s="19" t="s">
        <v>45</v>
      </c>
    </row>
    <row r="122" spans="12:43" ht="15" customHeight="1" x14ac:dyDescent="0.15">
      <c r="L122" s="20" t="s">
        <v>43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3231186</v>
      </c>
      <c r="S122" s="24">
        <v>9066718</v>
      </c>
      <c r="T122" s="24">
        <v>19617142</v>
      </c>
      <c r="U122" s="24">
        <v>34928986</v>
      </c>
      <c r="V122" s="24">
        <v>41051530</v>
      </c>
      <c r="W122" s="24">
        <v>52457096</v>
      </c>
      <c r="X122" s="24">
        <v>52839924</v>
      </c>
      <c r="Y122" s="24">
        <v>53226410</v>
      </c>
      <c r="Z122" s="24">
        <v>53616602</v>
      </c>
      <c r="AA122" s="24">
        <v>54010514</v>
      </c>
      <c r="AB122" s="24">
        <v>50157608</v>
      </c>
      <c r="AC122" s="24">
        <v>50524212</v>
      </c>
      <c r="AD122" s="24">
        <v>50894402</v>
      </c>
      <c r="AE122" s="24">
        <v>51268198</v>
      </c>
      <c r="AF122" s="24">
        <v>51645648</v>
      </c>
      <c r="AG122" s="24">
        <v>52026808</v>
      </c>
      <c r="AH122" s="24">
        <v>52411714</v>
      </c>
      <c r="AI122" s="24">
        <v>52800400</v>
      </c>
      <c r="AJ122" s="24">
        <v>53192916</v>
      </c>
      <c r="AK122" s="24">
        <v>53589308</v>
      </c>
      <c r="AL122" s="24">
        <v>50626624</v>
      </c>
      <c r="AM122" s="24">
        <v>44902846</v>
      </c>
      <c r="AN122" s="24">
        <v>33883608</v>
      </c>
      <c r="AO122" s="24">
        <v>21563390</v>
      </c>
      <c r="AP122" s="24">
        <v>14266210</v>
      </c>
      <c r="AQ122" s="24">
        <f>SUM(M122:AP122)</f>
        <v>1057800000</v>
      </c>
    </row>
    <row r="123" spans="12:43" ht="15" customHeight="1" x14ac:dyDescent="0.15">
      <c r="L123" s="20" t="s">
        <v>44</v>
      </c>
      <c r="M123" s="24">
        <v>106884</v>
      </c>
      <c r="N123" s="24">
        <v>409974</v>
      </c>
      <c r="O123" s="24">
        <v>1153932</v>
      </c>
      <c r="P123" s="24">
        <v>2607672</v>
      </c>
      <c r="Q123" s="24">
        <v>4141778</v>
      </c>
      <c r="R123" s="24">
        <v>7559744</v>
      </c>
      <c r="S123" s="24">
        <v>7828918</v>
      </c>
      <c r="T123" s="24">
        <v>7797658</v>
      </c>
      <c r="U123" s="24">
        <v>7709670</v>
      </c>
      <c r="V123" s="24">
        <v>7530800</v>
      </c>
      <c r="W123" s="24">
        <v>7255936</v>
      </c>
      <c r="X123" s="24">
        <v>6873108</v>
      </c>
      <c r="Y123" s="24">
        <v>6486622</v>
      </c>
      <c r="Z123" s="24">
        <v>6096430</v>
      </c>
      <c r="AA123" s="24">
        <v>5702510</v>
      </c>
      <c r="AB123" s="24">
        <v>5313504</v>
      </c>
      <c r="AC123" s="24">
        <v>4946900</v>
      </c>
      <c r="AD123" s="24">
        <v>4576710</v>
      </c>
      <c r="AE123" s="24">
        <v>4202914</v>
      </c>
      <c r="AF123" s="24">
        <v>3825464</v>
      </c>
      <c r="AG123" s="24">
        <v>3444304</v>
      </c>
      <c r="AH123" s="24">
        <v>3059398</v>
      </c>
      <c r="AI123" s="24">
        <v>2670712</v>
      </c>
      <c r="AJ123" s="24">
        <v>2278196</v>
      </c>
      <c r="AK123" s="24">
        <v>1881804</v>
      </c>
      <c r="AL123" s="24">
        <v>1481502</v>
      </c>
      <c r="AM123" s="24">
        <v>1089390</v>
      </c>
      <c r="AN123" s="24">
        <v>714264</v>
      </c>
      <c r="AO123" s="24">
        <v>388386</v>
      </c>
      <c r="AP123" s="24">
        <v>135092</v>
      </c>
      <c r="AQ123" s="24">
        <f>SUM(M123:AP123)</f>
        <v>119270176</v>
      </c>
    </row>
    <row r="124" spans="12:43" ht="15" customHeight="1" x14ac:dyDescent="0.15">
      <c r="L124" s="20" t="s">
        <v>45</v>
      </c>
      <c r="M124" s="24">
        <f>M122+M123</f>
        <v>106884</v>
      </c>
      <c r="N124" s="24">
        <f t="shared" ref="N124:AA124" si="58">N122+N123</f>
        <v>409974</v>
      </c>
      <c r="O124" s="24">
        <f t="shared" si="58"/>
        <v>1153932</v>
      </c>
      <c r="P124" s="24">
        <f t="shared" si="58"/>
        <v>2607672</v>
      </c>
      <c r="Q124" s="24">
        <f t="shared" si="58"/>
        <v>4141778</v>
      </c>
      <c r="R124" s="24">
        <f t="shared" si="58"/>
        <v>10790930</v>
      </c>
      <c r="S124" s="24">
        <f t="shared" si="58"/>
        <v>16895636</v>
      </c>
      <c r="T124" s="24">
        <f t="shared" si="58"/>
        <v>27414800</v>
      </c>
      <c r="U124" s="24">
        <f t="shared" si="58"/>
        <v>42638656</v>
      </c>
      <c r="V124" s="24">
        <f t="shared" si="58"/>
        <v>48582330</v>
      </c>
      <c r="W124" s="24">
        <f t="shared" si="58"/>
        <v>59713032</v>
      </c>
      <c r="X124" s="24">
        <f t="shared" si="58"/>
        <v>59713032</v>
      </c>
      <c r="Y124" s="24">
        <f t="shared" si="58"/>
        <v>59713032</v>
      </c>
      <c r="Z124" s="24">
        <f t="shared" si="58"/>
        <v>59713032</v>
      </c>
      <c r="AA124" s="24">
        <f t="shared" si="58"/>
        <v>59713024</v>
      </c>
      <c r="AB124" s="24">
        <f t="shared" ref="AB124:AP124" si="59">AB122+AB123</f>
        <v>55471112</v>
      </c>
      <c r="AC124" s="24">
        <f t="shared" si="59"/>
        <v>55471112</v>
      </c>
      <c r="AD124" s="24">
        <f t="shared" si="59"/>
        <v>55471112</v>
      </c>
      <c r="AE124" s="24">
        <f t="shared" si="59"/>
        <v>55471112</v>
      </c>
      <c r="AF124" s="24">
        <f t="shared" si="59"/>
        <v>55471112</v>
      </c>
      <c r="AG124" s="24">
        <f t="shared" si="59"/>
        <v>55471112</v>
      </c>
      <c r="AH124" s="24">
        <f t="shared" si="59"/>
        <v>55471112</v>
      </c>
      <c r="AI124" s="24">
        <f t="shared" si="59"/>
        <v>55471112</v>
      </c>
      <c r="AJ124" s="24">
        <f t="shared" si="59"/>
        <v>55471112</v>
      </c>
      <c r="AK124" s="24">
        <f t="shared" si="59"/>
        <v>55471112</v>
      </c>
      <c r="AL124" s="24">
        <f t="shared" si="59"/>
        <v>52108126</v>
      </c>
      <c r="AM124" s="24">
        <f t="shared" si="59"/>
        <v>45992236</v>
      </c>
      <c r="AN124" s="24">
        <f t="shared" si="59"/>
        <v>34597872</v>
      </c>
      <c r="AO124" s="24">
        <f t="shared" si="59"/>
        <v>21951776</v>
      </c>
      <c r="AP124" s="24">
        <f t="shared" si="59"/>
        <v>14401302</v>
      </c>
      <c r="AQ124" s="24">
        <f>SUM(M124:AP124)</f>
        <v>1177070176</v>
      </c>
    </row>
    <row r="127" spans="12:43" ht="15" customHeight="1" x14ac:dyDescent="0.15">
      <c r="AQ127" s="21" t="s">
        <v>47</v>
      </c>
    </row>
    <row r="128" spans="12:43" ht="15" customHeight="1" x14ac:dyDescent="0.15">
      <c r="L128" s="18"/>
      <c r="M128" s="19">
        <v>31</v>
      </c>
      <c r="N128" s="19">
        <v>2</v>
      </c>
      <c r="O128" s="19">
        <v>3</v>
      </c>
      <c r="P128" s="19">
        <v>4</v>
      </c>
      <c r="Q128" s="19">
        <v>5</v>
      </c>
      <c r="R128" s="19">
        <v>6</v>
      </c>
      <c r="S128" s="19">
        <v>7</v>
      </c>
      <c r="T128" s="19">
        <v>8</v>
      </c>
      <c r="U128" s="19">
        <v>9</v>
      </c>
      <c r="V128" s="19">
        <v>10</v>
      </c>
      <c r="W128" s="19">
        <v>11</v>
      </c>
      <c r="X128" s="19">
        <v>12</v>
      </c>
      <c r="Y128" s="19">
        <v>13</v>
      </c>
      <c r="Z128" s="19">
        <v>14</v>
      </c>
      <c r="AA128" s="19">
        <v>15</v>
      </c>
      <c r="AB128" s="19">
        <v>16</v>
      </c>
      <c r="AC128" s="19">
        <v>17</v>
      </c>
      <c r="AD128" s="19">
        <v>18</v>
      </c>
      <c r="AE128" s="19">
        <v>19</v>
      </c>
      <c r="AF128" s="19">
        <v>20</v>
      </c>
      <c r="AG128" s="19">
        <v>21</v>
      </c>
      <c r="AH128" s="19">
        <v>22</v>
      </c>
      <c r="AI128" s="19">
        <v>23</v>
      </c>
      <c r="AJ128" s="19">
        <v>24</v>
      </c>
      <c r="AK128" s="19">
        <v>25</v>
      </c>
      <c r="AL128" s="19">
        <v>26</v>
      </c>
      <c r="AM128" s="19">
        <v>27</v>
      </c>
      <c r="AN128" s="19">
        <v>28</v>
      </c>
      <c r="AO128" s="19">
        <v>29</v>
      </c>
      <c r="AP128" s="19">
        <v>30</v>
      </c>
      <c r="AQ128" s="19" t="s">
        <v>45</v>
      </c>
    </row>
    <row r="129" spans="12:43" ht="15" customHeight="1" x14ac:dyDescent="0.15">
      <c r="L129" s="20" t="s">
        <v>43</v>
      </c>
      <c r="M129" s="25">
        <f>ROUND(M122/1000000,0)</f>
        <v>0</v>
      </c>
      <c r="N129" s="25">
        <f t="shared" ref="N129:AQ131" si="60">ROUND(N122/1000000,0)</f>
        <v>0</v>
      </c>
      <c r="O129" s="25">
        <f t="shared" si="60"/>
        <v>0</v>
      </c>
      <c r="P129" s="25">
        <f t="shared" si="60"/>
        <v>0</v>
      </c>
      <c r="Q129" s="25">
        <f t="shared" si="60"/>
        <v>0</v>
      </c>
      <c r="R129" s="25">
        <f t="shared" si="60"/>
        <v>3</v>
      </c>
      <c r="S129" s="25">
        <f t="shared" si="60"/>
        <v>9</v>
      </c>
      <c r="T129" s="25">
        <f t="shared" si="60"/>
        <v>20</v>
      </c>
      <c r="U129" s="25">
        <f t="shared" si="60"/>
        <v>35</v>
      </c>
      <c r="V129" s="25">
        <f t="shared" si="60"/>
        <v>41</v>
      </c>
      <c r="W129" s="25">
        <f t="shared" si="60"/>
        <v>52</v>
      </c>
      <c r="X129" s="25">
        <f t="shared" si="60"/>
        <v>53</v>
      </c>
      <c r="Y129" s="25">
        <f t="shared" si="60"/>
        <v>53</v>
      </c>
      <c r="Z129" s="25">
        <f t="shared" si="60"/>
        <v>54</v>
      </c>
      <c r="AA129" s="25">
        <f t="shared" si="60"/>
        <v>54</v>
      </c>
      <c r="AB129" s="25">
        <f t="shared" si="60"/>
        <v>50</v>
      </c>
      <c r="AC129" s="25">
        <f t="shared" si="60"/>
        <v>51</v>
      </c>
      <c r="AD129" s="25">
        <f t="shared" si="60"/>
        <v>51</v>
      </c>
      <c r="AE129" s="25">
        <f t="shared" si="60"/>
        <v>51</v>
      </c>
      <c r="AF129" s="25">
        <f t="shared" si="60"/>
        <v>52</v>
      </c>
      <c r="AG129" s="25">
        <f t="shared" si="60"/>
        <v>52</v>
      </c>
      <c r="AH129" s="25">
        <f t="shared" si="60"/>
        <v>52</v>
      </c>
      <c r="AI129" s="25">
        <f t="shared" si="60"/>
        <v>53</v>
      </c>
      <c r="AJ129" s="25">
        <f t="shared" si="60"/>
        <v>53</v>
      </c>
      <c r="AK129" s="25">
        <f t="shared" si="60"/>
        <v>54</v>
      </c>
      <c r="AL129" s="25">
        <f t="shared" si="60"/>
        <v>51</v>
      </c>
      <c r="AM129" s="25">
        <f t="shared" si="60"/>
        <v>45</v>
      </c>
      <c r="AN129" s="25">
        <f t="shared" si="60"/>
        <v>34</v>
      </c>
      <c r="AO129" s="25">
        <f t="shared" si="60"/>
        <v>22</v>
      </c>
      <c r="AP129" s="25">
        <f t="shared" si="60"/>
        <v>14</v>
      </c>
      <c r="AQ129" s="25">
        <f t="shared" si="60"/>
        <v>1058</v>
      </c>
    </row>
    <row r="130" spans="12:43" ht="15" customHeight="1" x14ac:dyDescent="0.15">
      <c r="L130" s="20" t="s">
        <v>44</v>
      </c>
      <c r="M130" s="25">
        <f t="shared" ref="M130:AB131" si="61">ROUND(M123/1000000,0)</f>
        <v>0</v>
      </c>
      <c r="N130" s="25">
        <f t="shared" si="61"/>
        <v>0</v>
      </c>
      <c r="O130" s="25">
        <f t="shared" si="61"/>
        <v>1</v>
      </c>
      <c r="P130" s="25">
        <f t="shared" si="61"/>
        <v>3</v>
      </c>
      <c r="Q130" s="25">
        <f t="shared" si="61"/>
        <v>4</v>
      </c>
      <c r="R130" s="25">
        <f t="shared" si="61"/>
        <v>8</v>
      </c>
      <c r="S130" s="25">
        <f t="shared" si="61"/>
        <v>8</v>
      </c>
      <c r="T130" s="25">
        <f t="shared" si="61"/>
        <v>8</v>
      </c>
      <c r="U130" s="25">
        <f t="shared" si="61"/>
        <v>8</v>
      </c>
      <c r="V130" s="25">
        <f t="shared" si="61"/>
        <v>8</v>
      </c>
      <c r="W130" s="25">
        <f t="shared" si="61"/>
        <v>7</v>
      </c>
      <c r="X130" s="25">
        <f t="shared" si="61"/>
        <v>7</v>
      </c>
      <c r="Y130" s="25">
        <f t="shared" si="61"/>
        <v>6</v>
      </c>
      <c r="Z130" s="25">
        <f t="shared" si="61"/>
        <v>6</v>
      </c>
      <c r="AA130" s="25">
        <f t="shared" si="61"/>
        <v>6</v>
      </c>
      <c r="AB130" s="25">
        <f t="shared" si="61"/>
        <v>5</v>
      </c>
      <c r="AC130" s="25">
        <f t="shared" si="60"/>
        <v>5</v>
      </c>
      <c r="AD130" s="25">
        <f t="shared" si="60"/>
        <v>5</v>
      </c>
      <c r="AE130" s="25">
        <f t="shared" si="60"/>
        <v>4</v>
      </c>
      <c r="AF130" s="25">
        <f t="shared" si="60"/>
        <v>4</v>
      </c>
      <c r="AG130" s="25">
        <f t="shared" si="60"/>
        <v>3</v>
      </c>
      <c r="AH130" s="25">
        <f t="shared" si="60"/>
        <v>3</v>
      </c>
      <c r="AI130" s="25">
        <f t="shared" si="60"/>
        <v>3</v>
      </c>
      <c r="AJ130" s="25">
        <f t="shared" si="60"/>
        <v>2</v>
      </c>
      <c r="AK130" s="25">
        <f t="shared" si="60"/>
        <v>2</v>
      </c>
      <c r="AL130" s="25">
        <f t="shared" si="60"/>
        <v>1</v>
      </c>
      <c r="AM130" s="25">
        <f t="shared" si="60"/>
        <v>1</v>
      </c>
      <c r="AN130" s="25">
        <f t="shared" si="60"/>
        <v>1</v>
      </c>
      <c r="AO130" s="25">
        <f t="shared" si="60"/>
        <v>0</v>
      </c>
      <c r="AP130" s="25">
        <f t="shared" si="60"/>
        <v>0</v>
      </c>
      <c r="AQ130" s="25">
        <f t="shared" si="60"/>
        <v>119</v>
      </c>
    </row>
    <row r="131" spans="12:43" ht="15" customHeight="1" x14ac:dyDescent="0.15">
      <c r="L131" s="20" t="s">
        <v>45</v>
      </c>
      <c r="M131" s="25">
        <f t="shared" si="61"/>
        <v>0</v>
      </c>
      <c r="N131" s="25">
        <f t="shared" si="60"/>
        <v>0</v>
      </c>
      <c r="O131" s="25">
        <f t="shared" si="60"/>
        <v>1</v>
      </c>
      <c r="P131" s="25">
        <f t="shared" si="60"/>
        <v>3</v>
      </c>
      <c r="Q131" s="25">
        <f t="shared" si="60"/>
        <v>4</v>
      </c>
      <c r="R131" s="25">
        <f t="shared" si="60"/>
        <v>11</v>
      </c>
      <c r="S131" s="25">
        <f t="shared" si="60"/>
        <v>17</v>
      </c>
      <c r="T131" s="25">
        <f t="shared" si="60"/>
        <v>27</v>
      </c>
      <c r="U131" s="25">
        <f t="shared" si="60"/>
        <v>43</v>
      </c>
      <c r="V131" s="25">
        <f t="shared" si="60"/>
        <v>49</v>
      </c>
      <c r="W131" s="25">
        <f t="shared" si="60"/>
        <v>60</v>
      </c>
      <c r="X131" s="25">
        <f t="shared" si="60"/>
        <v>60</v>
      </c>
      <c r="Y131" s="25">
        <f t="shared" si="60"/>
        <v>60</v>
      </c>
      <c r="Z131" s="25">
        <f t="shared" si="60"/>
        <v>60</v>
      </c>
      <c r="AA131" s="25">
        <f t="shared" si="60"/>
        <v>60</v>
      </c>
      <c r="AB131" s="25">
        <f t="shared" si="60"/>
        <v>55</v>
      </c>
      <c r="AC131" s="25">
        <f t="shared" si="60"/>
        <v>55</v>
      </c>
      <c r="AD131" s="25">
        <f t="shared" si="60"/>
        <v>55</v>
      </c>
      <c r="AE131" s="25">
        <f t="shared" si="60"/>
        <v>55</v>
      </c>
      <c r="AF131" s="25">
        <f t="shared" si="60"/>
        <v>55</v>
      </c>
      <c r="AG131" s="25">
        <f t="shared" si="60"/>
        <v>55</v>
      </c>
      <c r="AH131" s="25">
        <f t="shared" si="60"/>
        <v>55</v>
      </c>
      <c r="AI131" s="25">
        <f t="shared" si="60"/>
        <v>55</v>
      </c>
      <c r="AJ131" s="25">
        <f t="shared" si="60"/>
        <v>55</v>
      </c>
      <c r="AK131" s="25">
        <f t="shared" si="60"/>
        <v>55</v>
      </c>
      <c r="AL131" s="25">
        <f t="shared" si="60"/>
        <v>52</v>
      </c>
      <c r="AM131" s="25">
        <f t="shared" si="60"/>
        <v>46</v>
      </c>
      <c r="AN131" s="25">
        <f t="shared" si="60"/>
        <v>35</v>
      </c>
      <c r="AO131" s="25">
        <f t="shared" si="60"/>
        <v>22</v>
      </c>
      <c r="AP131" s="25">
        <f t="shared" si="60"/>
        <v>14</v>
      </c>
      <c r="AQ131" s="25">
        <f t="shared" si="60"/>
        <v>1177</v>
      </c>
    </row>
  </sheetData>
  <sheetProtection formatCells="0" formatColumns="0" formatRows="0" insertColumns="0" insertRows="0" insertHyperlinks="0" deleteColumns="0" deleteRows="0" sort="0" autoFilter="0" pivotTables="0"/>
  <mergeCells count="93">
    <mergeCell ref="F63:F64"/>
    <mergeCell ref="H63:H64"/>
    <mergeCell ref="J63:J64"/>
    <mergeCell ref="F59:F60"/>
    <mergeCell ref="H59:H60"/>
    <mergeCell ref="J59:J60"/>
    <mergeCell ref="F61:F62"/>
    <mergeCell ref="H61:H62"/>
    <mergeCell ref="J61:J62"/>
    <mergeCell ref="F55:F56"/>
    <mergeCell ref="H55:H56"/>
    <mergeCell ref="J55:J56"/>
    <mergeCell ref="F57:F58"/>
    <mergeCell ref="H57:H58"/>
    <mergeCell ref="J57:J58"/>
    <mergeCell ref="F51:F52"/>
    <mergeCell ref="H51:H52"/>
    <mergeCell ref="J51:J52"/>
    <mergeCell ref="F53:F54"/>
    <mergeCell ref="H53:H54"/>
    <mergeCell ref="J53:J54"/>
    <mergeCell ref="F47:F48"/>
    <mergeCell ref="H47:H48"/>
    <mergeCell ref="J47:J48"/>
    <mergeCell ref="F49:F50"/>
    <mergeCell ref="H49:H50"/>
    <mergeCell ref="J49:J50"/>
    <mergeCell ref="F43:F44"/>
    <mergeCell ref="H43:H44"/>
    <mergeCell ref="J43:J44"/>
    <mergeCell ref="F45:F46"/>
    <mergeCell ref="H45:H46"/>
    <mergeCell ref="J45:J46"/>
    <mergeCell ref="F39:F40"/>
    <mergeCell ref="H39:H40"/>
    <mergeCell ref="J39:J40"/>
    <mergeCell ref="F41:F42"/>
    <mergeCell ref="H41:H42"/>
    <mergeCell ref="J41:J42"/>
    <mergeCell ref="F35:F36"/>
    <mergeCell ref="H35:H36"/>
    <mergeCell ref="J35:J36"/>
    <mergeCell ref="F37:F38"/>
    <mergeCell ref="H37:H38"/>
    <mergeCell ref="J37:J38"/>
    <mergeCell ref="F31:F32"/>
    <mergeCell ref="H31:H32"/>
    <mergeCell ref="J31:J32"/>
    <mergeCell ref="F33:F34"/>
    <mergeCell ref="H33:H34"/>
    <mergeCell ref="J33:J34"/>
    <mergeCell ref="F27:F28"/>
    <mergeCell ref="H27:H28"/>
    <mergeCell ref="J27:J28"/>
    <mergeCell ref="F29:F30"/>
    <mergeCell ref="H29:H30"/>
    <mergeCell ref="J29:J30"/>
    <mergeCell ref="F23:F24"/>
    <mergeCell ref="H23:H24"/>
    <mergeCell ref="J23:J24"/>
    <mergeCell ref="F25:F26"/>
    <mergeCell ref="H25:H26"/>
    <mergeCell ref="J25:J26"/>
    <mergeCell ref="F19:F20"/>
    <mergeCell ref="H19:H20"/>
    <mergeCell ref="J19:J20"/>
    <mergeCell ref="F21:F22"/>
    <mergeCell ref="H21:H22"/>
    <mergeCell ref="J21:J22"/>
    <mergeCell ref="F15:F16"/>
    <mergeCell ref="H15:H16"/>
    <mergeCell ref="J15:J16"/>
    <mergeCell ref="F17:F18"/>
    <mergeCell ref="H17:H18"/>
    <mergeCell ref="J17:J18"/>
    <mergeCell ref="F11:F12"/>
    <mergeCell ref="H11:H12"/>
    <mergeCell ref="J11:J12"/>
    <mergeCell ref="F13:F14"/>
    <mergeCell ref="H13:H14"/>
    <mergeCell ref="J13:J14"/>
    <mergeCell ref="F7:F8"/>
    <mergeCell ref="H7:H8"/>
    <mergeCell ref="J7:J8"/>
    <mergeCell ref="F9:F10"/>
    <mergeCell ref="H9:H10"/>
    <mergeCell ref="J9:J10"/>
    <mergeCell ref="J5:J6"/>
    <mergeCell ref="A1:I1"/>
    <mergeCell ref="G2:I2"/>
    <mergeCell ref="G3:I3"/>
    <mergeCell ref="F5:F6"/>
    <mergeCell ref="H5:H6"/>
  </mergeCells>
  <phoneticPr fontId="4"/>
  <pageMargins left="0.28000000000000003" right="0.28000000000000003" top="0.4" bottom="0.24" header="0.36" footer="0.2"/>
  <pageSetup paperSize="9" scale="3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31"/>
  <sheetViews>
    <sheetView view="pageBreakPreview" topLeftCell="D1" zoomScale="25" zoomScaleNormal="25" zoomScaleSheetLayoutView="25" workbookViewId="0">
      <selection activeCell="L130" sqref="L130"/>
    </sheetView>
  </sheetViews>
  <sheetFormatPr defaultColWidth="2.33203125" defaultRowHeight="15" customHeight="1" x14ac:dyDescent="0.15"/>
  <cols>
    <col min="2" max="2" width="18.44140625" customWidth="1"/>
    <col min="3" max="3" width="59.88671875" customWidth="1"/>
    <col min="4" max="42" width="13.109375" customWidth="1"/>
    <col min="43" max="43" width="25.88671875" bestFit="1" customWidth="1"/>
  </cols>
  <sheetData>
    <row r="1" spans="1:43" ht="18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1"/>
    </row>
    <row r="2" spans="1:43" ht="12" x14ac:dyDescent="0.15">
      <c r="G2" s="34" t="s">
        <v>1</v>
      </c>
      <c r="H2" s="34"/>
      <c r="I2" s="34"/>
      <c r="J2" s="2"/>
    </row>
    <row r="3" spans="1:43" ht="12.6" thickBot="1" x14ac:dyDescent="0.2">
      <c r="G3" s="34" t="s">
        <v>2</v>
      </c>
      <c r="H3" s="34"/>
      <c r="I3" s="34"/>
      <c r="J3" s="2"/>
    </row>
    <row r="4" spans="1:43" ht="12.6" thickBot="1" x14ac:dyDescent="0.2">
      <c r="B4" s="8" t="s">
        <v>3</v>
      </c>
      <c r="C4" s="9" t="s">
        <v>4</v>
      </c>
      <c r="D4" s="9" t="s">
        <v>5</v>
      </c>
      <c r="E4" s="13" t="s">
        <v>41</v>
      </c>
      <c r="F4" s="14" t="s">
        <v>42</v>
      </c>
      <c r="G4" s="9" t="s">
        <v>6</v>
      </c>
      <c r="H4" s="14" t="s">
        <v>42</v>
      </c>
      <c r="I4" s="9" t="s">
        <v>7</v>
      </c>
      <c r="J4" s="15" t="s">
        <v>42</v>
      </c>
    </row>
    <row r="5" spans="1:43" ht="12" x14ac:dyDescent="0.15">
      <c r="B5" s="4" t="s">
        <v>8</v>
      </c>
      <c r="C5" s="3" t="s">
        <v>9</v>
      </c>
      <c r="D5" s="10">
        <v>65900000</v>
      </c>
      <c r="E5" s="10">
        <v>0</v>
      </c>
      <c r="F5" s="37">
        <f>E5+E6</f>
        <v>0</v>
      </c>
      <c r="G5" s="10">
        <v>53442</v>
      </c>
      <c r="H5" s="37">
        <f>G5+G6</f>
        <v>106884</v>
      </c>
      <c r="I5" s="10">
        <v>53442</v>
      </c>
      <c r="J5" s="35">
        <f>I5+I6</f>
        <v>106884</v>
      </c>
    </row>
    <row r="6" spans="1:43" ht="12" x14ac:dyDescent="0.15">
      <c r="B6" s="5" t="s">
        <v>10</v>
      </c>
      <c r="C6" s="3"/>
      <c r="D6" s="10">
        <v>65900000</v>
      </c>
      <c r="E6" s="10">
        <v>0</v>
      </c>
      <c r="F6" s="38"/>
      <c r="G6" s="10">
        <v>53442</v>
      </c>
      <c r="H6" s="38"/>
      <c r="I6" s="10">
        <v>53442</v>
      </c>
      <c r="J6" s="36"/>
    </row>
    <row r="7" spans="1:43" ht="12" x14ac:dyDescent="0.15">
      <c r="B7" s="4" t="s">
        <v>11</v>
      </c>
      <c r="C7" s="3" t="s">
        <v>9</v>
      </c>
      <c r="D7" s="10">
        <v>92600000</v>
      </c>
      <c r="E7" s="10">
        <v>0</v>
      </c>
      <c r="F7" s="38">
        <f t="shared" ref="F7:H7" si="0">E7+E8</f>
        <v>0</v>
      </c>
      <c r="G7" s="10">
        <v>204987</v>
      </c>
      <c r="H7" s="38">
        <f t="shared" si="0"/>
        <v>409974</v>
      </c>
      <c r="I7" s="10">
        <v>204987</v>
      </c>
      <c r="J7" s="36">
        <f t="shared" ref="J7" si="1">I7+I8</f>
        <v>409974</v>
      </c>
    </row>
    <row r="8" spans="1:43" ht="12" x14ac:dyDescent="0.15">
      <c r="B8" s="5" t="s">
        <v>10</v>
      </c>
      <c r="C8" s="3"/>
      <c r="D8" s="10">
        <v>92600000</v>
      </c>
      <c r="E8" s="10">
        <v>0</v>
      </c>
      <c r="F8" s="38"/>
      <c r="G8" s="10">
        <v>204987</v>
      </c>
      <c r="H8" s="38"/>
      <c r="I8" s="10">
        <v>204987</v>
      </c>
      <c r="J8" s="36"/>
      <c r="L8" s="22" t="s">
        <v>45</v>
      </c>
      <c r="M8" s="23">
        <v>106884</v>
      </c>
      <c r="N8" s="23">
        <v>409974</v>
      </c>
      <c r="O8" s="23">
        <v>1153932</v>
      </c>
      <c r="P8" s="23">
        <v>2607672</v>
      </c>
      <c r="Q8" s="23">
        <v>4141778</v>
      </c>
      <c r="R8" s="23">
        <v>10790930</v>
      </c>
      <c r="S8" s="23">
        <v>16895636</v>
      </c>
      <c r="T8" s="23">
        <v>27414800</v>
      </c>
      <c r="U8" s="23">
        <v>42638656</v>
      </c>
      <c r="V8" s="23">
        <v>48582330</v>
      </c>
      <c r="W8" s="23">
        <v>59713032</v>
      </c>
      <c r="X8" s="23">
        <v>59713032</v>
      </c>
      <c r="Y8" s="23">
        <v>59713032</v>
      </c>
      <c r="Z8" s="23">
        <v>59713032</v>
      </c>
      <c r="AA8" s="23">
        <v>59713024</v>
      </c>
      <c r="AB8" s="23">
        <v>55471112</v>
      </c>
      <c r="AC8" s="23">
        <v>55471112</v>
      </c>
      <c r="AD8" s="23">
        <v>55471112</v>
      </c>
      <c r="AE8" s="23">
        <v>55471112</v>
      </c>
      <c r="AF8" s="23">
        <v>55471112</v>
      </c>
      <c r="AG8" s="23">
        <v>55471112</v>
      </c>
      <c r="AH8" s="23">
        <v>55471112</v>
      </c>
      <c r="AI8" s="23">
        <v>55471112</v>
      </c>
      <c r="AJ8" s="23">
        <v>55471112</v>
      </c>
      <c r="AK8" s="23">
        <v>55471112</v>
      </c>
      <c r="AL8" s="23">
        <v>52108126</v>
      </c>
      <c r="AM8" s="23">
        <v>45992236</v>
      </c>
      <c r="AN8" s="23">
        <v>34597872</v>
      </c>
      <c r="AO8" s="23">
        <v>21951776</v>
      </c>
      <c r="AP8" s="23">
        <v>14401302</v>
      </c>
      <c r="AQ8" s="23">
        <f>SUM(M8:AP8)</f>
        <v>1177070176</v>
      </c>
    </row>
    <row r="9" spans="1:43" ht="12" x14ac:dyDescent="0.15">
      <c r="B9" s="4" t="s">
        <v>12</v>
      </c>
      <c r="C9" s="3" t="s">
        <v>9</v>
      </c>
      <c r="D9" s="10">
        <v>202000000</v>
      </c>
      <c r="E9" s="10">
        <v>0</v>
      </c>
      <c r="F9" s="38">
        <f t="shared" ref="F9:H9" si="2">E9+E10</f>
        <v>0</v>
      </c>
      <c r="G9" s="10">
        <v>576966</v>
      </c>
      <c r="H9" s="38">
        <f t="shared" si="2"/>
        <v>1153932</v>
      </c>
      <c r="I9" s="10">
        <v>576966</v>
      </c>
      <c r="J9" s="36">
        <f t="shared" ref="J9" si="3">I9+I10</f>
        <v>1153932</v>
      </c>
      <c r="O9" s="17"/>
      <c r="P9" s="17"/>
      <c r="Q9" s="17"/>
      <c r="R9" s="17"/>
      <c r="T9" s="17"/>
      <c r="U9" s="17"/>
      <c r="V9" s="17"/>
      <c r="W9" s="17"/>
      <c r="Y9" s="17"/>
      <c r="Z9" s="17"/>
      <c r="AA9" s="17"/>
      <c r="AB9" s="17"/>
      <c r="AC9" s="17"/>
      <c r="AD9" s="17"/>
      <c r="AE9" s="17"/>
      <c r="AH9" s="17"/>
      <c r="AJ9" s="17"/>
      <c r="AK9" s="17"/>
      <c r="AL9" s="17"/>
      <c r="AM9" s="17"/>
      <c r="AN9" s="17"/>
      <c r="AO9" s="17"/>
      <c r="AP9" s="17"/>
      <c r="AQ9" s="17"/>
    </row>
    <row r="10" spans="1:43" ht="12" x14ac:dyDescent="0.15">
      <c r="B10" s="5" t="s">
        <v>10</v>
      </c>
      <c r="C10" s="3"/>
      <c r="D10" s="10">
        <v>202000000</v>
      </c>
      <c r="E10" s="10">
        <v>0</v>
      </c>
      <c r="F10" s="38"/>
      <c r="G10" s="10">
        <v>576966</v>
      </c>
      <c r="H10" s="38"/>
      <c r="I10" s="10">
        <v>576966</v>
      </c>
      <c r="J10" s="36"/>
      <c r="O10" s="17"/>
      <c r="P10" s="17"/>
      <c r="Q10" s="17"/>
      <c r="R10" s="17"/>
      <c r="S10" s="17"/>
      <c r="T10" s="17"/>
      <c r="U10" s="17"/>
      <c r="V10" s="17"/>
      <c r="W10" s="17"/>
      <c r="Y10" s="17"/>
      <c r="Z10" s="17"/>
      <c r="AA10" s="17"/>
      <c r="AB10" s="17"/>
      <c r="AC10" s="17"/>
      <c r="AD10" s="17"/>
      <c r="AE10" s="17"/>
      <c r="AH10" s="17"/>
      <c r="AJ10" s="17"/>
      <c r="AK10" s="17"/>
      <c r="AM10" s="17"/>
      <c r="AN10" s="17"/>
      <c r="AO10" s="17"/>
      <c r="AP10" s="17"/>
      <c r="AQ10" s="17"/>
    </row>
    <row r="11" spans="1:43" ht="12" x14ac:dyDescent="0.15">
      <c r="B11" s="4" t="s">
        <v>13</v>
      </c>
      <c r="C11" s="3" t="s">
        <v>9</v>
      </c>
      <c r="D11" s="10">
        <v>378100000</v>
      </c>
      <c r="E11" s="10">
        <v>0</v>
      </c>
      <c r="F11" s="38">
        <f t="shared" ref="F11:H11" si="4">E11+E12</f>
        <v>0</v>
      </c>
      <c r="G11" s="10">
        <v>1303836</v>
      </c>
      <c r="H11" s="38">
        <f t="shared" si="4"/>
        <v>2607672</v>
      </c>
      <c r="I11" s="10">
        <v>1303836</v>
      </c>
      <c r="J11" s="36">
        <f t="shared" ref="J11" si="5">I11+I12</f>
        <v>2607672</v>
      </c>
      <c r="O11" s="17"/>
      <c r="P11" s="17"/>
      <c r="Q11" s="17"/>
      <c r="R11" s="17"/>
      <c r="S11" s="17"/>
      <c r="T11" s="17"/>
      <c r="U11" s="17"/>
      <c r="V11" s="17"/>
      <c r="W11" s="17"/>
      <c r="Y11" s="17"/>
      <c r="Z11" s="17"/>
      <c r="AA11" s="17"/>
      <c r="AB11" s="17"/>
      <c r="AC11" s="17"/>
      <c r="AD11" s="17"/>
      <c r="AE11" s="17"/>
      <c r="AH11" s="17"/>
      <c r="AJ11" s="17"/>
      <c r="AK11" s="17"/>
      <c r="AL11" s="17"/>
      <c r="AM11" s="17"/>
      <c r="AN11" s="17"/>
      <c r="AO11" s="17"/>
      <c r="AP11" s="17"/>
      <c r="AQ11" s="17"/>
    </row>
    <row r="12" spans="1:43" ht="12" x14ac:dyDescent="0.15">
      <c r="B12" s="5" t="s">
        <v>10</v>
      </c>
      <c r="C12" s="3"/>
      <c r="D12" s="10">
        <v>378100000</v>
      </c>
      <c r="E12" s="10">
        <v>0</v>
      </c>
      <c r="F12" s="38"/>
      <c r="G12" s="10">
        <v>1303836</v>
      </c>
      <c r="H12" s="38"/>
      <c r="I12" s="10">
        <v>1303836</v>
      </c>
      <c r="J12" s="36"/>
    </row>
    <row r="13" spans="1:43" ht="12" x14ac:dyDescent="0.15">
      <c r="B13" s="4" t="s">
        <v>14</v>
      </c>
      <c r="C13" s="3" t="s">
        <v>9</v>
      </c>
      <c r="D13" s="10">
        <v>510800000</v>
      </c>
      <c r="E13" s="10">
        <v>0</v>
      </c>
      <c r="F13" s="38">
        <f t="shared" ref="F13:H13" si="6">E13+E14</f>
        <v>0</v>
      </c>
      <c r="G13" s="10">
        <v>2070889</v>
      </c>
      <c r="H13" s="38">
        <f t="shared" si="6"/>
        <v>4141778</v>
      </c>
      <c r="I13" s="10">
        <v>2070889</v>
      </c>
      <c r="J13" s="36">
        <f t="shared" ref="J13" si="7">I13+I14</f>
        <v>4141778</v>
      </c>
    </row>
    <row r="14" spans="1:43" ht="12" x14ac:dyDescent="0.15">
      <c r="B14" s="5" t="s">
        <v>10</v>
      </c>
      <c r="C14" s="3"/>
      <c r="D14" s="10">
        <v>510800000</v>
      </c>
      <c r="E14" s="10">
        <v>0</v>
      </c>
      <c r="F14" s="38"/>
      <c r="G14" s="10">
        <v>2070889</v>
      </c>
      <c r="H14" s="38"/>
      <c r="I14" s="10">
        <v>2070889</v>
      </c>
      <c r="J14" s="36"/>
    </row>
    <row r="15" spans="1:43" ht="12" x14ac:dyDescent="0.15">
      <c r="B15" s="4" t="s">
        <v>15</v>
      </c>
      <c r="C15" s="3" t="s">
        <v>9</v>
      </c>
      <c r="D15" s="10">
        <v>527284407</v>
      </c>
      <c r="E15" s="10">
        <v>1615593</v>
      </c>
      <c r="F15" s="38">
        <f t="shared" ref="F15:H15" si="8">E15+E16</f>
        <v>3231186</v>
      </c>
      <c r="G15" s="10">
        <v>3779872</v>
      </c>
      <c r="H15" s="38">
        <f t="shared" si="8"/>
        <v>7559744</v>
      </c>
      <c r="I15" s="10">
        <v>5395465</v>
      </c>
      <c r="J15" s="36">
        <f t="shared" ref="J15" si="9">I15+I16</f>
        <v>10790930</v>
      </c>
    </row>
    <row r="16" spans="1:43" ht="12" x14ac:dyDescent="0.15">
      <c r="B16" s="5" t="s">
        <v>10</v>
      </c>
      <c r="C16" s="3"/>
      <c r="D16" s="10">
        <v>527284407</v>
      </c>
      <c r="E16" s="10">
        <v>1615593</v>
      </c>
      <c r="F16" s="38"/>
      <c r="G16" s="10">
        <v>3779872</v>
      </c>
      <c r="H16" s="38"/>
      <c r="I16" s="10">
        <v>5395465</v>
      </c>
      <c r="J16" s="36"/>
    </row>
    <row r="17" spans="2:32" ht="12" x14ac:dyDescent="0.15">
      <c r="B17" s="4" t="s">
        <v>16</v>
      </c>
      <c r="C17" s="3" t="s">
        <v>9</v>
      </c>
      <c r="D17" s="10">
        <v>522751048</v>
      </c>
      <c r="E17" s="10">
        <v>4533359</v>
      </c>
      <c r="F17" s="38">
        <f t="shared" ref="F17:H17" si="10">E17+E18</f>
        <v>9066718</v>
      </c>
      <c r="G17" s="10">
        <v>3914459</v>
      </c>
      <c r="H17" s="38">
        <f t="shared" si="10"/>
        <v>7828918</v>
      </c>
      <c r="I17" s="10">
        <v>8447818</v>
      </c>
      <c r="J17" s="36">
        <f t="shared" ref="J17" si="11">I17+I18</f>
        <v>16895636</v>
      </c>
    </row>
    <row r="18" spans="2:32" ht="12" x14ac:dyDescent="0.15">
      <c r="B18" s="5" t="s">
        <v>10</v>
      </c>
      <c r="C18" s="3"/>
      <c r="D18" s="10">
        <v>522751048</v>
      </c>
      <c r="E18" s="10">
        <v>4533359</v>
      </c>
      <c r="F18" s="38"/>
      <c r="G18" s="10">
        <v>3914459</v>
      </c>
      <c r="H18" s="38"/>
      <c r="I18" s="10">
        <v>8447818</v>
      </c>
      <c r="J18" s="36"/>
    </row>
    <row r="19" spans="2:32" ht="12" x14ac:dyDescent="0.15">
      <c r="B19" s="4" t="s">
        <v>17</v>
      </c>
      <c r="C19" s="3" t="s">
        <v>9</v>
      </c>
      <c r="D19" s="10">
        <v>512942477</v>
      </c>
      <c r="E19" s="10">
        <v>9808571</v>
      </c>
      <c r="F19" s="38">
        <f t="shared" ref="F19:H19" si="12">E19+E20</f>
        <v>19617142</v>
      </c>
      <c r="G19" s="10">
        <v>3898829</v>
      </c>
      <c r="H19" s="38">
        <f t="shared" si="12"/>
        <v>7797658</v>
      </c>
      <c r="I19" s="10">
        <v>13707400</v>
      </c>
      <c r="J19" s="36">
        <f t="shared" ref="J19" si="13">I19+I20</f>
        <v>27414800</v>
      </c>
    </row>
    <row r="20" spans="2:32" ht="12" x14ac:dyDescent="0.15">
      <c r="B20" s="5" t="s">
        <v>10</v>
      </c>
      <c r="C20" s="3"/>
      <c r="D20" s="10">
        <v>512942477</v>
      </c>
      <c r="E20" s="10">
        <v>9808571</v>
      </c>
      <c r="F20" s="38"/>
      <c r="G20" s="10">
        <v>3898829</v>
      </c>
      <c r="H20" s="38"/>
      <c r="I20" s="10">
        <v>13707400</v>
      </c>
      <c r="J20" s="36"/>
    </row>
    <row r="21" spans="2:32" ht="12" x14ac:dyDescent="0.15">
      <c r="B21" s="4" t="s">
        <v>18</v>
      </c>
      <c r="C21" s="3" t="s">
        <v>9</v>
      </c>
      <c r="D21" s="10">
        <v>495477984</v>
      </c>
      <c r="E21" s="10">
        <v>17464493</v>
      </c>
      <c r="F21" s="38">
        <f t="shared" ref="F21:H21" si="14">E21+E22</f>
        <v>34928986</v>
      </c>
      <c r="G21" s="10">
        <v>3854835</v>
      </c>
      <c r="H21" s="38">
        <f t="shared" si="14"/>
        <v>7709670</v>
      </c>
      <c r="I21" s="10">
        <v>21319328</v>
      </c>
      <c r="J21" s="36">
        <f t="shared" ref="J21" si="15">I21+I22</f>
        <v>42638656</v>
      </c>
    </row>
    <row r="22" spans="2:32" ht="12" x14ac:dyDescent="0.15">
      <c r="B22" s="5" t="s">
        <v>10</v>
      </c>
      <c r="C22" s="3"/>
      <c r="D22" s="10">
        <v>495477984</v>
      </c>
      <c r="E22" s="10">
        <v>17464493</v>
      </c>
      <c r="F22" s="38"/>
      <c r="G22" s="10">
        <v>3854835</v>
      </c>
      <c r="H22" s="38"/>
      <c r="I22" s="10">
        <v>21319328</v>
      </c>
      <c r="J22" s="36"/>
    </row>
    <row r="23" spans="2:32" ht="12" x14ac:dyDescent="0.15">
      <c r="B23" s="4" t="s">
        <v>19</v>
      </c>
      <c r="C23" s="3" t="s">
        <v>9</v>
      </c>
      <c r="D23" s="10">
        <v>474952219</v>
      </c>
      <c r="E23" s="10">
        <v>20525765</v>
      </c>
      <c r="F23" s="38">
        <f t="shared" ref="F23:H23" si="16">E23+E24</f>
        <v>41051530</v>
      </c>
      <c r="G23" s="10">
        <v>3765400</v>
      </c>
      <c r="H23" s="38">
        <f t="shared" si="16"/>
        <v>7530800</v>
      </c>
      <c r="I23" s="10">
        <v>24291165</v>
      </c>
      <c r="J23" s="36">
        <f t="shared" ref="J23" si="17">I23+I24</f>
        <v>48582330</v>
      </c>
    </row>
    <row r="24" spans="2:32" ht="12" x14ac:dyDescent="0.15">
      <c r="B24" s="5" t="s">
        <v>10</v>
      </c>
      <c r="C24" s="3"/>
      <c r="D24" s="10">
        <v>474952219</v>
      </c>
      <c r="E24" s="10">
        <v>20525765</v>
      </c>
      <c r="F24" s="38"/>
      <c r="G24" s="10">
        <v>3765400</v>
      </c>
      <c r="H24" s="38"/>
      <c r="I24" s="10">
        <v>24291165</v>
      </c>
      <c r="J24" s="36"/>
    </row>
    <row r="25" spans="2:32" ht="12" x14ac:dyDescent="0.15">
      <c r="B25" s="4" t="s">
        <v>20</v>
      </c>
      <c r="C25" s="3" t="s">
        <v>9</v>
      </c>
      <c r="D25" s="10">
        <v>448723671</v>
      </c>
      <c r="E25" s="10">
        <v>26228548</v>
      </c>
      <c r="F25" s="38">
        <f t="shared" ref="F25:H25" si="18">E25+E26</f>
        <v>52457096</v>
      </c>
      <c r="G25" s="10">
        <v>3627968</v>
      </c>
      <c r="H25" s="38">
        <f t="shared" si="18"/>
        <v>7255936</v>
      </c>
      <c r="I25" s="10">
        <v>29856516</v>
      </c>
      <c r="J25" s="36">
        <f t="shared" ref="J25" si="19">I25+I26</f>
        <v>59713032</v>
      </c>
      <c r="AF25" s="16"/>
    </row>
    <row r="26" spans="2:32" ht="12" x14ac:dyDescent="0.15">
      <c r="B26" s="5" t="s">
        <v>10</v>
      </c>
      <c r="C26" s="3"/>
      <c r="D26" s="10">
        <v>448723671</v>
      </c>
      <c r="E26" s="10">
        <v>26228548</v>
      </c>
      <c r="F26" s="38"/>
      <c r="G26" s="10">
        <v>3627968</v>
      </c>
      <c r="H26" s="38"/>
      <c r="I26" s="10">
        <v>29856516</v>
      </c>
      <c r="J26" s="36"/>
    </row>
    <row r="27" spans="2:32" ht="12" x14ac:dyDescent="0.15">
      <c r="B27" s="4" t="s">
        <v>21</v>
      </c>
      <c r="C27" s="3" t="s">
        <v>9</v>
      </c>
      <c r="D27" s="10">
        <v>422303709</v>
      </c>
      <c r="E27" s="10">
        <v>26419962</v>
      </c>
      <c r="F27" s="38">
        <f t="shared" ref="F27:H27" si="20">E27+E28</f>
        <v>52839924</v>
      </c>
      <c r="G27" s="10">
        <v>3436554</v>
      </c>
      <c r="H27" s="38">
        <f t="shared" si="20"/>
        <v>6873108</v>
      </c>
      <c r="I27" s="10">
        <v>29856516</v>
      </c>
      <c r="J27" s="36">
        <f t="shared" ref="J27" si="21">I27+I28</f>
        <v>59713032</v>
      </c>
    </row>
    <row r="28" spans="2:32" ht="12" x14ac:dyDescent="0.15">
      <c r="B28" s="5" t="s">
        <v>10</v>
      </c>
      <c r="C28" s="3"/>
      <c r="D28" s="10">
        <v>422303709</v>
      </c>
      <c r="E28" s="10">
        <v>26419962</v>
      </c>
      <c r="F28" s="38"/>
      <c r="G28" s="10">
        <v>3436554</v>
      </c>
      <c r="H28" s="38"/>
      <c r="I28" s="10">
        <v>29856516</v>
      </c>
      <c r="J28" s="36"/>
    </row>
    <row r="29" spans="2:32" ht="12" x14ac:dyDescent="0.15">
      <c r="B29" s="4" t="s">
        <v>22</v>
      </c>
      <c r="C29" s="3" t="s">
        <v>9</v>
      </c>
      <c r="D29" s="10">
        <v>395690504</v>
      </c>
      <c r="E29" s="10">
        <v>26613205</v>
      </c>
      <c r="F29" s="38">
        <f t="shared" ref="F29:H29" si="22">E29+E30</f>
        <v>53226410</v>
      </c>
      <c r="G29" s="10">
        <v>3243311</v>
      </c>
      <c r="H29" s="38">
        <f t="shared" si="22"/>
        <v>6486622</v>
      </c>
      <c r="I29" s="10">
        <v>29856516</v>
      </c>
      <c r="J29" s="36">
        <f t="shared" ref="J29" si="23">I29+I30</f>
        <v>59713032</v>
      </c>
    </row>
    <row r="30" spans="2:32" ht="12" x14ac:dyDescent="0.15">
      <c r="B30" s="5" t="s">
        <v>10</v>
      </c>
      <c r="C30" s="3"/>
      <c r="D30" s="10">
        <v>395690504</v>
      </c>
      <c r="E30" s="10">
        <v>26613205</v>
      </c>
      <c r="F30" s="38"/>
      <c r="G30" s="10">
        <v>3243311</v>
      </c>
      <c r="H30" s="38"/>
      <c r="I30" s="10">
        <v>29856516</v>
      </c>
      <c r="J30" s="36"/>
    </row>
    <row r="31" spans="2:32" ht="12" x14ac:dyDescent="0.15">
      <c r="B31" s="4" t="s">
        <v>23</v>
      </c>
      <c r="C31" s="3" t="s">
        <v>9</v>
      </c>
      <c r="D31" s="10">
        <v>368882203</v>
      </c>
      <c r="E31" s="10">
        <v>26808301</v>
      </c>
      <c r="F31" s="38">
        <f t="shared" ref="F31:H31" si="24">E31+E32</f>
        <v>53616602</v>
      </c>
      <c r="G31" s="10">
        <v>3048215</v>
      </c>
      <c r="H31" s="38">
        <f t="shared" si="24"/>
        <v>6096430</v>
      </c>
      <c r="I31" s="10">
        <v>29856516</v>
      </c>
      <c r="J31" s="36">
        <f t="shared" ref="J31" si="25">I31+I32</f>
        <v>59713032</v>
      </c>
    </row>
    <row r="32" spans="2:32" ht="12" x14ac:dyDescent="0.15">
      <c r="B32" s="5" t="s">
        <v>10</v>
      </c>
      <c r="C32" s="3"/>
      <c r="D32" s="10">
        <v>368882203</v>
      </c>
      <c r="E32" s="10">
        <v>26808301</v>
      </c>
      <c r="F32" s="38"/>
      <c r="G32" s="10">
        <v>3048215</v>
      </c>
      <c r="H32" s="38"/>
      <c r="I32" s="10">
        <v>29856516</v>
      </c>
      <c r="J32" s="36"/>
    </row>
    <row r="33" spans="2:10" ht="12" x14ac:dyDescent="0.15">
      <c r="B33" s="4" t="s">
        <v>24</v>
      </c>
      <c r="C33" s="3" t="s">
        <v>9</v>
      </c>
      <c r="D33" s="10">
        <v>341876946</v>
      </c>
      <c r="E33" s="10">
        <v>27005257</v>
      </c>
      <c r="F33" s="38">
        <f t="shared" ref="F33:H33" si="26">E33+E34</f>
        <v>54010514</v>
      </c>
      <c r="G33" s="10">
        <v>2851255</v>
      </c>
      <c r="H33" s="38">
        <f t="shared" si="26"/>
        <v>5702510</v>
      </c>
      <c r="I33" s="10">
        <v>29856512</v>
      </c>
      <c r="J33" s="36">
        <f t="shared" ref="J33" si="27">I33+I34</f>
        <v>59713024</v>
      </c>
    </row>
    <row r="34" spans="2:10" ht="12" x14ac:dyDescent="0.15">
      <c r="B34" s="5" t="s">
        <v>10</v>
      </c>
      <c r="C34" s="3"/>
      <c r="D34" s="10">
        <v>341876946</v>
      </c>
      <c r="E34" s="10">
        <v>27005257</v>
      </c>
      <c r="F34" s="38"/>
      <c r="G34" s="10">
        <v>2851255</v>
      </c>
      <c r="H34" s="38"/>
      <c r="I34" s="10">
        <v>29856512</v>
      </c>
      <c r="J34" s="36"/>
    </row>
    <row r="35" spans="2:10" ht="12" x14ac:dyDescent="0.15">
      <c r="B35" s="4" t="s">
        <v>25</v>
      </c>
      <c r="C35" s="3" t="s">
        <v>9</v>
      </c>
      <c r="D35" s="10">
        <v>316798142</v>
      </c>
      <c r="E35" s="10">
        <v>25078804</v>
      </c>
      <c r="F35" s="38">
        <f t="shared" ref="F35:H35" si="28">E35+E36</f>
        <v>50157608</v>
      </c>
      <c r="G35" s="10">
        <v>2656752</v>
      </c>
      <c r="H35" s="38">
        <f t="shared" si="28"/>
        <v>5313504</v>
      </c>
      <c r="I35" s="10">
        <v>27735556</v>
      </c>
      <c r="J35" s="36">
        <f t="shared" ref="J35" si="29">I35+I36</f>
        <v>55471112</v>
      </c>
    </row>
    <row r="36" spans="2:10" ht="12" x14ac:dyDescent="0.15">
      <c r="B36" s="5" t="s">
        <v>10</v>
      </c>
      <c r="C36" s="3"/>
      <c r="D36" s="10">
        <v>316798142</v>
      </c>
      <c r="E36" s="10">
        <v>25078804</v>
      </c>
      <c r="F36" s="38"/>
      <c r="G36" s="10">
        <v>2656752</v>
      </c>
      <c r="H36" s="38"/>
      <c r="I36" s="10">
        <v>27735556</v>
      </c>
      <c r="J36" s="36"/>
    </row>
    <row r="37" spans="2:10" ht="12" x14ac:dyDescent="0.15">
      <c r="B37" s="4" t="s">
        <v>26</v>
      </c>
      <c r="C37" s="3" t="s">
        <v>9</v>
      </c>
      <c r="D37" s="10">
        <v>291536036</v>
      </c>
      <c r="E37" s="10">
        <v>25262106</v>
      </c>
      <c r="F37" s="38">
        <f t="shared" ref="F37:H37" si="30">E37+E38</f>
        <v>50524212</v>
      </c>
      <c r="G37" s="10">
        <v>2473450</v>
      </c>
      <c r="H37" s="38">
        <f t="shared" si="30"/>
        <v>4946900</v>
      </c>
      <c r="I37" s="10">
        <v>27735556</v>
      </c>
      <c r="J37" s="36">
        <f t="shared" ref="J37" si="31">I37+I38</f>
        <v>55471112</v>
      </c>
    </row>
    <row r="38" spans="2:10" ht="12" x14ac:dyDescent="0.15">
      <c r="B38" s="5" t="s">
        <v>10</v>
      </c>
      <c r="C38" s="3"/>
      <c r="D38" s="10">
        <v>291536036</v>
      </c>
      <c r="E38" s="10">
        <v>25262106</v>
      </c>
      <c r="F38" s="38"/>
      <c r="G38" s="10">
        <v>2473450</v>
      </c>
      <c r="H38" s="38"/>
      <c r="I38" s="10">
        <v>27735556</v>
      </c>
      <c r="J38" s="36"/>
    </row>
    <row r="39" spans="2:10" ht="12" x14ac:dyDescent="0.15">
      <c r="B39" s="4" t="s">
        <v>27</v>
      </c>
      <c r="C39" s="3" t="s">
        <v>9</v>
      </c>
      <c r="D39" s="10">
        <v>266088835</v>
      </c>
      <c r="E39" s="10">
        <v>25447201</v>
      </c>
      <c r="F39" s="38">
        <f t="shared" ref="F39:H39" si="32">E39+E40</f>
        <v>50894402</v>
      </c>
      <c r="G39" s="10">
        <v>2288355</v>
      </c>
      <c r="H39" s="38">
        <f t="shared" si="32"/>
        <v>4576710</v>
      </c>
      <c r="I39" s="10">
        <v>27735556</v>
      </c>
      <c r="J39" s="36">
        <f t="shared" ref="J39" si="33">I39+I40</f>
        <v>55471112</v>
      </c>
    </row>
    <row r="40" spans="2:10" ht="12" x14ac:dyDescent="0.15">
      <c r="B40" s="5" t="s">
        <v>10</v>
      </c>
      <c r="C40" s="3"/>
      <c r="D40" s="10">
        <v>266088835</v>
      </c>
      <c r="E40" s="10">
        <v>25447201</v>
      </c>
      <c r="F40" s="38"/>
      <c r="G40" s="10">
        <v>2288355</v>
      </c>
      <c r="H40" s="38"/>
      <c r="I40" s="10">
        <v>27735556</v>
      </c>
      <c r="J40" s="36"/>
    </row>
    <row r="41" spans="2:10" ht="12" x14ac:dyDescent="0.15">
      <c r="B41" s="4" t="s">
        <v>28</v>
      </c>
      <c r="C41" s="3" t="s">
        <v>9</v>
      </c>
      <c r="D41" s="10">
        <v>240454736</v>
      </c>
      <c r="E41" s="10">
        <v>25634099</v>
      </c>
      <c r="F41" s="38">
        <f t="shared" ref="F41:H41" si="34">E41+E42</f>
        <v>51268198</v>
      </c>
      <c r="G41" s="10">
        <v>2101457</v>
      </c>
      <c r="H41" s="38">
        <f t="shared" si="34"/>
        <v>4202914</v>
      </c>
      <c r="I41" s="10">
        <v>27735556</v>
      </c>
      <c r="J41" s="36">
        <f t="shared" ref="J41" si="35">I41+I42</f>
        <v>55471112</v>
      </c>
    </row>
    <row r="42" spans="2:10" ht="12" x14ac:dyDescent="0.15">
      <c r="B42" s="5" t="s">
        <v>10</v>
      </c>
      <c r="C42" s="3"/>
      <c r="D42" s="10">
        <v>240454736</v>
      </c>
      <c r="E42" s="10">
        <v>25634099</v>
      </c>
      <c r="F42" s="38"/>
      <c r="G42" s="10">
        <v>2101457</v>
      </c>
      <c r="H42" s="38"/>
      <c r="I42" s="10">
        <v>27735556</v>
      </c>
      <c r="J42" s="36"/>
    </row>
    <row r="43" spans="2:10" ht="12" x14ac:dyDescent="0.15">
      <c r="B43" s="4" t="s">
        <v>29</v>
      </c>
      <c r="C43" s="3" t="s">
        <v>9</v>
      </c>
      <c r="D43" s="10">
        <v>214631912</v>
      </c>
      <c r="E43" s="10">
        <v>25822824</v>
      </c>
      <c r="F43" s="38">
        <f t="shared" ref="F43:H43" si="36">E43+E44</f>
        <v>51645648</v>
      </c>
      <c r="G43" s="10">
        <v>1912732</v>
      </c>
      <c r="H43" s="38">
        <f t="shared" si="36"/>
        <v>3825464</v>
      </c>
      <c r="I43" s="10">
        <v>27735556</v>
      </c>
      <c r="J43" s="36">
        <f t="shared" ref="J43" si="37">I43+I44</f>
        <v>55471112</v>
      </c>
    </row>
    <row r="44" spans="2:10" ht="12" x14ac:dyDescent="0.15">
      <c r="B44" s="5" t="s">
        <v>10</v>
      </c>
      <c r="C44" s="3"/>
      <c r="D44" s="10">
        <v>214631912</v>
      </c>
      <c r="E44" s="10">
        <v>25822824</v>
      </c>
      <c r="F44" s="38"/>
      <c r="G44" s="10">
        <v>1912732</v>
      </c>
      <c r="H44" s="38"/>
      <c r="I44" s="10">
        <v>27735556</v>
      </c>
      <c r="J44" s="36"/>
    </row>
    <row r="45" spans="2:10" ht="12" x14ac:dyDescent="0.15">
      <c r="B45" s="4" t="s">
        <v>30</v>
      </c>
      <c r="C45" s="3" t="s">
        <v>9</v>
      </c>
      <c r="D45" s="10">
        <v>188618508</v>
      </c>
      <c r="E45" s="10">
        <v>26013404</v>
      </c>
      <c r="F45" s="38">
        <f t="shared" ref="F45:H45" si="38">E45+E46</f>
        <v>52026808</v>
      </c>
      <c r="G45" s="10">
        <v>1722152</v>
      </c>
      <c r="H45" s="38">
        <f t="shared" si="38"/>
        <v>3444304</v>
      </c>
      <c r="I45" s="10">
        <v>27735556</v>
      </c>
      <c r="J45" s="36">
        <f t="shared" ref="J45" si="39">I45+I46</f>
        <v>55471112</v>
      </c>
    </row>
    <row r="46" spans="2:10" ht="12" x14ac:dyDescent="0.15">
      <c r="B46" s="5" t="s">
        <v>10</v>
      </c>
      <c r="C46" s="3"/>
      <c r="D46" s="10">
        <v>188618508</v>
      </c>
      <c r="E46" s="10">
        <v>26013404</v>
      </c>
      <c r="F46" s="38"/>
      <c r="G46" s="10">
        <v>1722152</v>
      </c>
      <c r="H46" s="38"/>
      <c r="I46" s="10">
        <v>27735556</v>
      </c>
      <c r="J46" s="36"/>
    </row>
    <row r="47" spans="2:10" ht="12" x14ac:dyDescent="0.15">
      <c r="B47" s="4" t="s">
        <v>31</v>
      </c>
      <c r="C47" s="3" t="s">
        <v>9</v>
      </c>
      <c r="D47" s="10">
        <v>162412651</v>
      </c>
      <c r="E47" s="10">
        <v>26205857</v>
      </c>
      <c r="F47" s="38">
        <f t="shared" ref="F47:H47" si="40">E47+E48</f>
        <v>52411714</v>
      </c>
      <c r="G47" s="10">
        <v>1529699</v>
      </c>
      <c r="H47" s="38">
        <f t="shared" si="40"/>
        <v>3059398</v>
      </c>
      <c r="I47" s="10">
        <v>27735556</v>
      </c>
      <c r="J47" s="36">
        <f t="shared" ref="J47" si="41">I47+I48</f>
        <v>55471112</v>
      </c>
    </row>
    <row r="48" spans="2:10" ht="12" x14ac:dyDescent="0.15">
      <c r="B48" s="5" t="s">
        <v>10</v>
      </c>
      <c r="C48" s="3"/>
      <c r="D48" s="10">
        <v>162412651</v>
      </c>
      <c r="E48" s="10">
        <v>26205857</v>
      </c>
      <c r="F48" s="38"/>
      <c r="G48" s="10">
        <v>1529699</v>
      </c>
      <c r="H48" s="38"/>
      <c r="I48" s="10">
        <v>27735556</v>
      </c>
      <c r="J48" s="36"/>
    </row>
    <row r="49" spans="2:10" ht="12" x14ac:dyDescent="0.15">
      <c r="B49" s="4" t="s">
        <v>32</v>
      </c>
      <c r="C49" s="3" t="s">
        <v>9</v>
      </c>
      <c r="D49" s="10">
        <v>136012451</v>
      </c>
      <c r="E49" s="10">
        <v>26400200</v>
      </c>
      <c r="F49" s="38">
        <f t="shared" ref="F49:H49" si="42">E49+E50</f>
        <v>52800400</v>
      </c>
      <c r="G49" s="10">
        <v>1335356</v>
      </c>
      <c r="H49" s="38">
        <f t="shared" si="42"/>
        <v>2670712</v>
      </c>
      <c r="I49" s="10">
        <v>27735556</v>
      </c>
      <c r="J49" s="36">
        <f t="shared" ref="J49" si="43">I49+I50</f>
        <v>55471112</v>
      </c>
    </row>
    <row r="50" spans="2:10" ht="12" x14ac:dyDescent="0.15">
      <c r="B50" s="5" t="s">
        <v>10</v>
      </c>
      <c r="C50" s="3"/>
      <c r="D50" s="10">
        <v>136012451</v>
      </c>
      <c r="E50" s="10">
        <v>26400200</v>
      </c>
      <c r="F50" s="38"/>
      <c r="G50" s="10">
        <v>1335356</v>
      </c>
      <c r="H50" s="38"/>
      <c r="I50" s="10">
        <v>27735556</v>
      </c>
      <c r="J50" s="36"/>
    </row>
    <row r="51" spans="2:10" ht="12" x14ac:dyDescent="0.15">
      <c r="B51" s="4" t="s">
        <v>33</v>
      </c>
      <c r="C51" s="3" t="s">
        <v>9</v>
      </c>
      <c r="D51" s="10">
        <v>109415993</v>
      </c>
      <c r="E51" s="10">
        <v>26596458</v>
      </c>
      <c r="F51" s="38">
        <f t="shared" ref="F51:H51" si="44">E51+E52</f>
        <v>53192916</v>
      </c>
      <c r="G51" s="10">
        <v>1139098</v>
      </c>
      <c r="H51" s="38">
        <f t="shared" si="44"/>
        <v>2278196</v>
      </c>
      <c r="I51" s="10">
        <v>27735556</v>
      </c>
      <c r="J51" s="36">
        <f t="shared" ref="J51" si="45">I51+I52</f>
        <v>55471112</v>
      </c>
    </row>
    <row r="52" spans="2:10" ht="12" x14ac:dyDescent="0.15">
      <c r="B52" s="5" t="s">
        <v>10</v>
      </c>
      <c r="C52" s="3"/>
      <c r="D52" s="10">
        <v>109415993</v>
      </c>
      <c r="E52" s="10">
        <v>26596458</v>
      </c>
      <c r="F52" s="38"/>
      <c r="G52" s="10">
        <v>1139098</v>
      </c>
      <c r="H52" s="38"/>
      <c r="I52" s="10">
        <v>27735556</v>
      </c>
      <c r="J52" s="36"/>
    </row>
    <row r="53" spans="2:10" ht="12" x14ac:dyDescent="0.15">
      <c r="B53" s="4" t="s">
        <v>34</v>
      </c>
      <c r="C53" s="3" t="s">
        <v>9</v>
      </c>
      <c r="D53" s="10">
        <v>82621339</v>
      </c>
      <c r="E53" s="10">
        <v>26794654</v>
      </c>
      <c r="F53" s="38">
        <f t="shared" ref="F53:H53" si="46">E53+E54</f>
        <v>53589308</v>
      </c>
      <c r="G53" s="10">
        <v>940902</v>
      </c>
      <c r="H53" s="38">
        <f t="shared" si="46"/>
        <v>1881804</v>
      </c>
      <c r="I53" s="10">
        <v>27735556</v>
      </c>
      <c r="J53" s="36">
        <f t="shared" ref="J53" si="47">I53+I54</f>
        <v>55471112</v>
      </c>
    </row>
    <row r="54" spans="2:10" ht="12" x14ac:dyDescent="0.15">
      <c r="B54" s="5" t="s">
        <v>10</v>
      </c>
      <c r="C54" s="3"/>
      <c r="D54" s="10">
        <v>82621339</v>
      </c>
      <c r="E54" s="10">
        <v>26794654</v>
      </c>
      <c r="F54" s="38"/>
      <c r="G54" s="10">
        <v>940902</v>
      </c>
      <c r="H54" s="38"/>
      <c r="I54" s="10">
        <v>27735556</v>
      </c>
      <c r="J54" s="36"/>
    </row>
    <row r="55" spans="2:10" ht="12" x14ac:dyDescent="0.15">
      <c r="B55" s="4" t="s">
        <v>35</v>
      </c>
      <c r="C55" s="3" t="s">
        <v>9</v>
      </c>
      <c r="D55" s="10">
        <v>57308027</v>
      </c>
      <c r="E55" s="10">
        <v>25313312</v>
      </c>
      <c r="F55" s="38">
        <f t="shared" ref="F55:H55" si="48">E55+E56</f>
        <v>50626624</v>
      </c>
      <c r="G55" s="10">
        <v>740751</v>
      </c>
      <c r="H55" s="38">
        <f t="shared" si="48"/>
        <v>1481502</v>
      </c>
      <c r="I55" s="10">
        <v>26054063</v>
      </c>
      <c r="J55" s="36">
        <f t="shared" ref="J55" si="49">I55+I56</f>
        <v>52108126</v>
      </c>
    </row>
    <row r="56" spans="2:10" ht="12" x14ac:dyDescent="0.15">
      <c r="B56" s="5" t="s">
        <v>10</v>
      </c>
      <c r="C56" s="3"/>
      <c r="D56" s="10">
        <v>57308027</v>
      </c>
      <c r="E56" s="10">
        <v>25313312</v>
      </c>
      <c r="F56" s="38"/>
      <c r="G56" s="10">
        <v>740751</v>
      </c>
      <c r="H56" s="38"/>
      <c r="I56" s="10">
        <v>26054063</v>
      </c>
      <c r="J56" s="36"/>
    </row>
    <row r="57" spans="2:10" ht="12" x14ac:dyDescent="0.15">
      <c r="B57" s="4" t="s">
        <v>36</v>
      </c>
      <c r="C57" s="3" t="s">
        <v>9</v>
      </c>
      <c r="D57" s="10">
        <v>34856604</v>
      </c>
      <c r="E57" s="10">
        <v>22451423</v>
      </c>
      <c r="F57" s="38">
        <f t="shared" ref="F57:H57" si="50">E57+E58</f>
        <v>44902846</v>
      </c>
      <c r="G57" s="10">
        <v>544695</v>
      </c>
      <c r="H57" s="38">
        <f t="shared" si="50"/>
        <v>1089390</v>
      </c>
      <c r="I57" s="10">
        <v>22996118</v>
      </c>
      <c r="J57" s="36">
        <f t="shared" ref="J57" si="51">I57+I58</f>
        <v>45992236</v>
      </c>
    </row>
    <row r="58" spans="2:10" ht="12" x14ac:dyDescent="0.15">
      <c r="B58" s="5" t="s">
        <v>10</v>
      </c>
      <c r="C58" s="3"/>
      <c r="D58" s="10">
        <v>34856604</v>
      </c>
      <c r="E58" s="10">
        <v>22451423</v>
      </c>
      <c r="F58" s="38"/>
      <c r="G58" s="10">
        <v>544695</v>
      </c>
      <c r="H58" s="38"/>
      <c r="I58" s="10">
        <v>22996118</v>
      </c>
      <c r="J58" s="36"/>
    </row>
    <row r="59" spans="2:10" ht="12" x14ac:dyDescent="0.15">
      <c r="B59" s="4" t="s">
        <v>37</v>
      </c>
      <c r="C59" s="3" t="s">
        <v>9</v>
      </c>
      <c r="D59" s="10">
        <v>17914800</v>
      </c>
      <c r="E59" s="10">
        <v>16941804</v>
      </c>
      <c r="F59" s="38">
        <f t="shared" ref="F59:H59" si="52">E59+E60</f>
        <v>33883608</v>
      </c>
      <c r="G59" s="10">
        <v>357132</v>
      </c>
      <c r="H59" s="38">
        <f t="shared" si="52"/>
        <v>714264</v>
      </c>
      <c r="I59" s="10">
        <v>17298936</v>
      </c>
      <c r="J59" s="36">
        <f t="shared" ref="J59" si="53">I59+I60</f>
        <v>34597872</v>
      </c>
    </row>
    <row r="60" spans="2:10" ht="12" x14ac:dyDescent="0.15">
      <c r="B60" s="5" t="s">
        <v>10</v>
      </c>
      <c r="C60" s="3"/>
      <c r="D60" s="10">
        <v>17914800</v>
      </c>
      <c r="E60" s="10">
        <v>16941804</v>
      </c>
      <c r="F60" s="38"/>
      <c r="G60" s="10">
        <v>357132</v>
      </c>
      <c r="H60" s="38"/>
      <c r="I60" s="10">
        <v>17298936</v>
      </c>
      <c r="J60" s="36"/>
    </row>
    <row r="61" spans="2:10" ht="12" x14ac:dyDescent="0.15">
      <c r="B61" s="4" t="s">
        <v>38</v>
      </c>
      <c r="C61" s="3" t="s">
        <v>9</v>
      </c>
      <c r="D61" s="10">
        <v>7133105</v>
      </c>
      <c r="E61" s="10">
        <v>10781695</v>
      </c>
      <c r="F61" s="38">
        <f t="shared" ref="F61:H61" si="54">E61+E62</f>
        <v>21563390</v>
      </c>
      <c r="G61" s="10">
        <v>194193</v>
      </c>
      <c r="H61" s="38">
        <f t="shared" si="54"/>
        <v>388386</v>
      </c>
      <c r="I61" s="10">
        <v>10975888</v>
      </c>
      <c r="J61" s="36">
        <f t="shared" ref="J61" si="55">I61+I62</f>
        <v>21951776</v>
      </c>
    </row>
    <row r="62" spans="2:10" ht="12" x14ac:dyDescent="0.15">
      <c r="B62" s="5" t="s">
        <v>10</v>
      </c>
      <c r="C62" s="3"/>
      <c r="D62" s="10">
        <v>7133105</v>
      </c>
      <c r="E62" s="10">
        <v>10781695</v>
      </c>
      <c r="F62" s="38"/>
      <c r="G62" s="10">
        <v>194193</v>
      </c>
      <c r="H62" s="38"/>
      <c r="I62" s="10">
        <v>10975888</v>
      </c>
      <c r="J62" s="36"/>
    </row>
    <row r="63" spans="2:10" ht="12" x14ac:dyDescent="0.15">
      <c r="B63" s="4" t="s">
        <v>39</v>
      </c>
      <c r="C63" s="3" t="s">
        <v>9</v>
      </c>
      <c r="D63" s="10">
        <v>0</v>
      </c>
      <c r="E63" s="10">
        <v>7133105</v>
      </c>
      <c r="F63" s="38">
        <f t="shared" ref="F63:H63" si="56">E63+E64</f>
        <v>14266210</v>
      </c>
      <c r="G63" s="10">
        <v>67546</v>
      </c>
      <c r="H63" s="38">
        <f t="shared" si="56"/>
        <v>135092</v>
      </c>
      <c r="I63" s="10">
        <v>7200651</v>
      </c>
      <c r="J63" s="36">
        <f t="shared" ref="J63" si="57">I63+I64</f>
        <v>14401302</v>
      </c>
    </row>
    <row r="64" spans="2:10" ht="12" x14ac:dyDescent="0.15">
      <c r="B64" s="5" t="s">
        <v>10</v>
      </c>
      <c r="C64" s="3"/>
      <c r="D64" s="10">
        <v>0</v>
      </c>
      <c r="E64" s="10">
        <v>7133105</v>
      </c>
      <c r="F64" s="38"/>
      <c r="G64" s="10">
        <v>67546</v>
      </c>
      <c r="H64" s="38"/>
      <c r="I64" s="10">
        <v>7200651</v>
      </c>
      <c r="J64" s="36"/>
    </row>
    <row r="65" spans="2:43" ht="12.6" thickBot="1" x14ac:dyDescent="0.2">
      <c r="B65" s="6" t="s">
        <v>40</v>
      </c>
      <c r="C65" s="7" t="s">
        <v>9</v>
      </c>
      <c r="D65" s="11"/>
      <c r="E65" s="11">
        <v>528900000</v>
      </c>
      <c r="F65" s="11"/>
      <c r="G65" s="11">
        <v>59635088</v>
      </c>
      <c r="H65" s="11"/>
      <c r="I65" s="11">
        <v>588535088</v>
      </c>
      <c r="J65" s="12"/>
    </row>
    <row r="68" spans="2:43" ht="15" customHeight="1" x14ac:dyDescent="0.15">
      <c r="K68" s="16"/>
      <c r="L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</row>
    <row r="120" spans="12:43" ht="15" customHeight="1" x14ac:dyDescent="0.15">
      <c r="AQ120" s="21" t="s">
        <v>46</v>
      </c>
    </row>
    <row r="121" spans="12:43" ht="15" customHeight="1" x14ac:dyDescent="0.15">
      <c r="L121" s="18"/>
      <c r="M121" s="19">
        <v>31</v>
      </c>
      <c r="N121" s="19">
        <v>2</v>
      </c>
      <c r="O121" s="19">
        <v>3</v>
      </c>
      <c r="P121" s="19">
        <v>4</v>
      </c>
      <c r="Q121" s="19">
        <v>5</v>
      </c>
      <c r="R121" s="19">
        <v>6</v>
      </c>
      <c r="S121" s="19">
        <v>7</v>
      </c>
      <c r="T121" s="19">
        <v>8</v>
      </c>
      <c r="U121" s="19">
        <v>9</v>
      </c>
      <c r="V121" s="19">
        <v>10</v>
      </c>
      <c r="W121" s="19">
        <v>11</v>
      </c>
      <c r="X121" s="19">
        <v>12</v>
      </c>
      <c r="Y121" s="19">
        <v>13</v>
      </c>
      <c r="Z121" s="19">
        <v>14</v>
      </c>
      <c r="AA121" s="19">
        <v>15</v>
      </c>
      <c r="AB121" s="19">
        <v>16</v>
      </c>
      <c r="AC121" s="19">
        <v>17</v>
      </c>
      <c r="AD121" s="19">
        <v>18</v>
      </c>
      <c r="AE121" s="19">
        <v>19</v>
      </c>
      <c r="AF121" s="19">
        <v>20</v>
      </c>
      <c r="AG121" s="19">
        <v>21</v>
      </c>
      <c r="AH121" s="19">
        <v>22</v>
      </c>
      <c r="AI121" s="19">
        <v>23</v>
      </c>
      <c r="AJ121" s="19">
        <v>24</v>
      </c>
      <c r="AK121" s="19">
        <v>25</v>
      </c>
      <c r="AL121" s="19">
        <v>26</v>
      </c>
      <c r="AM121" s="19">
        <v>27</v>
      </c>
      <c r="AN121" s="19">
        <v>28</v>
      </c>
      <c r="AO121" s="19">
        <v>29</v>
      </c>
      <c r="AP121" s="19">
        <v>30</v>
      </c>
      <c r="AQ121" s="19" t="s">
        <v>45</v>
      </c>
    </row>
    <row r="122" spans="12:43" ht="15" customHeight="1" x14ac:dyDescent="0.15">
      <c r="L122" s="20" t="s">
        <v>43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3231186</v>
      </c>
      <c r="S122" s="24">
        <v>9066718</v>
      </c>
      <c r="T122" s="24">
        <v>19617142</v>
      </c>
      <c r="U122" s="24">
        <v>34928986</v>
      </c>
      <c r="V122" s="24">
        <v>41051530</v>
      </c>
      <c r="W122" s="24">
        <v>52457096</v>
      </c>
      <c r="X122" s="24">
        <v>52839924</v>
      </c>
      <c r="Y122" s="24">
        <v>53226410</v>
      </c>
      <c r="Z122" s="24">
        <v>53616602</v>
      </c>
      <c r="AA122" s="24">
        <v>54010514</v>
      </c>
      <c r="AB122" s="24">
        <v>50157608</v>
      </c>
      <c r="AC122" s="24">
        <v>50524212</v>
      </c>
      <c r="AD122" s="24">
        <v>50894402</v>
      </c>
      <c r="AE122" s="24">
        <v>51268198</v>
      </c>
      <c r="AF122" s="24">
        <v>51645648</v>
      </c>
      <c r="AG122" s="24">
        <v>52026808</v>
      </c>
      <c r="AH122" s="24">
        <v>52411714</v>
      </c>
      <c r="AI122" s="24">
        <v>52800400</v>
      </c>
      <c r="AJ122" s="24">
        <v>53192916</v>
      </c>
      <c r="AK122" s="24">
        <v>53589308</v>
      </c>
      <c r="AL122" s="24">
        <v>50626624</v>
      </c>
      <c r="AM122" s="24">
        <v>44902846</v>
      </c>
      <c r="AN122" s="24">
        <v>33883608</v>
      </c>
      <c r="AO122" s="24">
        <v>21563390</v>
      </c>
      <c r="AP122" s="24">
        <v>14266210</v>
      </c>
      <c r="AQ122" s="24">
        <f>SUM(M122:AP122)</f>
        <v>1057800000</v>
      </c>
    </row>
    <row r="123" spans="12:43" ht="15" customHeight="1" x14ac:dyDescent="0.15">
      <c r="L123" s="20" t="s">
        <v>44</v>
      </c>
      <c r="M123" s="24">
        <v>106884</v>
      </c>
      <c r="N123" s="24">
        <v>409974</v>
      </c>
      <c r="O123" s="24">
        <v>1153932</v>
      </c>
      <c r="P123" s="24">
        <v>2607672</v>
      </c>
      <c r="Q123" s="24">
        <v>4141778</v>
      </c>
      <c r="R123" s="24">
        <v>7559744</v>
      </c>
      <c r="S123" s="24">
        <v>7828918</v>
      </c>
      <c r="T123" s="24">
        <v>7797658</v>
      </c>
      <c r="U123" s="24">
        <v>7709670</v>
      </c>
      <c r="V123" s="24">
        <v>7530800</v>
      </c>
      <c r="W123" s="24">
        <v>7255936</v>
      </c>
      <c r="X123" s="24">
        <v>6873108</v>
      </c>
      <c r="Y123" s="24">
        <v>6486622</v>
      </c>
      <c r="Z123" s="24">
        <v>6096430</v>
      </c>
      <c r="AA123" s="24">
        <v>5702510</v>
      </c>
      <c r="AB123" s="24">
        <v>5313504</v>
      </c>
      <c r="AC123" s="24">
        <v>4946900</v>
      </c>
      <c r="AD123" s="24">
        <v>4576710</v>
      </c>
      <c r="AE123" s="24">
        <v>4202914</v>
      </c>
      <c r="AF123" s="24">
        <v>3825464</v>
      </c>
      <c r="AG123" s="24">
        <v>3444304</v>
      </c>
      <c r="AH123" s="24">
        <v>3059398</v>
      </c>
      <c r="AI123" s="24">
        <v>2670712</v>
      </c>
      <c r="AJ123" s="24">
        <v>2278196</v>
      </c>
      <c r="AK123" s="24">
        <v>1881804</v>
      </c>
      <c r="AL123" s="24">
        <v>1481502</v>
      </c>
      <c r="AM123" s="24">
        <v>1089390</v>
      </c>
      <c r="AN123" s="24">
        <v>714264</v>
      </c>
      <c r="AO123" s="24">
        <v>388386</v>
      </c>
      <c r="AP123" s="24">
        <v>135092</v>
      </c>
      <c r="AQ123" s="24">
        <f>SUM(M123:AP123)</f>
        <v>119270176</v>
      </c>
    </row>
    <row r="124" spans="12:43" ht="15" customHeight="1" x14ac:dyDescent="0.15">
      <c r="L124" s="20" t="s">
        <v>45</v>
      </c>
      <c r="M124" s="24">
        <f>M122+M123</f>
        <v>106884</v>
      </c>
      <c r="N124" s="24">
        <f t="shared" ref="N124:AA124" si="58">N122+N123</f>
        <v>409974</v>
      </c>
      <c r="O124" s="24">
        <f t="shared" si="58"/>
        <v>1153932</v>
      </c>
      <c r="P124" s="24">
        <f t="shared" si="58"/>
        <v>2607672</v>
      </c>
      <c r="Q124" s="24">
        <f t="shared" si="58"/>
        <v>4141778</v>
      </c>
      <c r="R124" s="24">
        <f t="shared" si="58"/>
        <v>10790930</v>
      </c>
      <c r="S124" s="24">
        <f t="shared" si="58"/>
        <v>16895636</v>
      </c>
      <c r="T124" s="24">
        <f t="shared" si="58"/>
        <v>27414800</v>
      </c>
      <c r="U124" s="24">
        <f t="shared" si="58"/>
        <v>42638656</v>
      </c>
      <c r="V124" s="24">
        <f t="shared" si="58"/>
        <v>48582330</v>
      </c>
      <c r="W124" s="24">
        <f t="shared" si="58"/>
        <v>59713032</v>
      </c>
      <c r="X124" s="24">
        <f t="shared" si="58"/>
        <v>59713032</v>
      </c>
      <c r="Y124" s="24">
        <f t="shared" si="58"/>
        <v>59713032</v>
      </c>
      <c r="Z124" s="24">
        <f t="shared" si="58"/>
        <v>59713032</v>
      </c>
      <c r="AA124" s="24">
        <f t="shared" si="58"/>
        <v>59713024</v>
      </c>
      <c r="AB124" s="24">
        <f t="shared" ref="AB124:AP124" si="59">AB122+AB123</f>
        <v>55471112</v>
      </c>
      <c r="AC124" s="24">
        <f t="shared" si="59"/>
        <v>55471112</v>
      </c>
      <c r="AD124" s="24">
        <f t="shared" si="59"/>
        <v>55471112</v>
      </c>
      <c r="AE124" s="24">
        <f t="shared" si="59"/>
        <v>55471112</v>
      </c>
      <c r="AF124" s="24">
        <f t="shared" si="59"/>
        <v>55471112</v>
      </c>
      <c r="AG124" s="24">
        <f t="shared" si="59"/>
        <v>55471112</v>
      </c>
      <c r="AH124" s="24">
        <f t="shared" si="59"/>
        <v>55471112</v>
      </c>
      <c r="AI124" s="24">
        <f t="shared" si="59"/>
        <v>55471112</v>
      </c>
      <c r="AJ124" s="24">
        <f t="shared" si="59"/>
        <v>55471112</v>
      </c>
      <c r="AK124" s="24">
        <f t="shared" si="59"/>
        <v>55471112</v>
      </c>
      <c r="AL124" s="24">
        <f t="shared" si="59"/>
        <v>52108126</v>
      </c>
      <c r="AM124" s="24">
        <f t="shared" si="59"/>
        <v>45992236</v>
      </c>
      <c r="AN124" s="24">
        <f t="shared" si="59"/>
        <v>34597872</v>
      </c>
      <c r="AO124" s="24">
        <f t="shared" si="59"/>
        <v>21951776</v>
      </c>
      <c r="AP124" s="24">
        <f t="shared" si="59"/>
        <v>14401302</v>
      </c>
      <c r="AQ124" s="24">
        <f>SUM(M124:AP124)</f>
        <v>1177070176</v>
      </c>
    </row>
    <row r="127" spans="12:43" ht="15" customHeight="1" x14ac:dyDescent="0.15">
      <c r="AQ127" s="21" t="s">
        <v>47</v>
      </c>
    </row>
    <row r="128" spans="12:43" ht="15" customHeight="1" x14ac:dyDescent="0.15">
      <c r="L128" s="18"/>
      <c r="M128" s="19">
        <v>31</v>
      </c>
      <c r="N128" s="19">
        <v>2</v>
      </c>
      <c r="O128" s="19">
        <v>3</v>
      </c>
      <c r="P128" s="19">
        <v>4</v>
      </c>
      <c r="Q128" s="19">
        <v>5</v>
      </c>
      <c r="R128" s="19">
        <v>6</v>
      </c>
      <c r="S128" s="19">
        <v>7</v>
      </c>
      <c r="T128" s="19">
        <v>8</v>
      </c>
      <c r="U128" s="19">
        <v>9</v>
      </c>
      <c r="V128" s="19">
        <v>10</v>
      </c>
      <c r="W128" s="19">
        <v>11</v>
      </c>
      <c r="X128" s="19">
        <v>12</v>
      </c>
      <c r="Y128" s="19">
        <v>13</v>
      </c>
      <c r="Z128" s="19">
        <v>14</v>
      </c>
      <c r="AA128" s="19">
        <v>15</v>
      </c>
      <c r="AB128" s="19">
        <v>16</v>
      </c>
      <c r="AC128" s="19">
        <v>17</v>
      </c>
      <c r="AD128" s="19">
        <v>18</v>
      </c>
      <c r="AE128" s="19">
        <v>19</v>
      </c>
      <c r="AF128" s="19">
        <v>20</v>
      </c>
      <c r="AG128" s="19">
        <v>21</v>
      </c>
      <c r="AH128" s="19">
        <v>22</v>
      </c>
      <c r="AI128" s="19">
        <v>23</v>
      </c>
      <c r="AJ128" s="19">
        <v>24</v>
      </c>
      <c r="AK128" s="19">
        <v>25</v>
      </c>
      <c r="AL128" s="19">
        <v>26</v>
      </c>
      <c r="AM128" s="19">
        <v>27</v>
      </c>
      <c r="AN128" s="19">
        <v>28</v>
      </c>
      <c r="AO128" s="19">
        <v>29</v>
      </c>
      <c r="AP128" s="19">
        <v>30</v>
      </c>
      <c r="AQ128" s="19" t="s">
        <v>45</v>
      </c>
    </row>
    <row r="129" spans="12:43" ht="15" customHeight="1" x14ac:dyDescent="0.15">
      <c r="L129" s="20" t="s">
        <v>43</v>
      </c>
      <c r="M129" s="25">
        <f>ROUND(M122/1000000,0)</f>
        <v>0</v>
      </c>
      <c r="N129" s="25">
        <f t="shared" ref="N129:AQ131" si="60">ROUND(N122/1000000,0)</f>
        <v>0</v>
      </c>
      <c r="O129" s="25">
        <f t="shared" si="60"/>
        <v>0</v>
      </c>
      <c r="P129" s="25">
        <f t="shared" si="60"/>
        <v>0</v>
      </c>
      <c r="Q129" s="25">
        <f t="shared" si="60"/>
        <v>0</v>
      </c>
      <c r="R129" s="25">
        <f t="shared" si="60"/>
        <v>3</v>
      </c>
      <c r="S129" s="25">
        <f t="shared" si="60"/>
        <v>9</v>
      </c>
      <c r="T129" s="25">
        <f t="shared" si="60"/>
        <v>20</v>
      </c>
      <c r="U129" s="25">
        <f t="shared" si="60"/>
        <v>35</v>
      </c>
      <c r="V129" s="25">
        <f t="shared" si="60"/>
        <v>41</v>
      </c>
      <c r="W129" s="25">
        <f t="shared" si="60"/>
        <v>52</v>
      </c>
      <c r="X129" s="25">
        <f t="shared" si="60"/>
        <v>53</v>
      </c>
      <c r="Y129" s="25">
        <f t="shared" si="60"/>
        <v>53</v>
      </c>
      <c r="Z129" s="25">
        <f t="shared" si="60"/>
        <v>54</v>
      </c>
      <c r="AA129" s="25">
        <f t="shared" si="60"/>
        <v>54</v>
      </c>
      <c r="AB129" s="25">
        <f t="shared" si="60"/>
        <v>50</v>
      </c>
      <c r="AC129" s="25">
        <f t="shared" si="60"/>
        <v>51</v>
      </c>
      <c r="AD129" s="25">
        <f t="shared" si="60"/>
        <v>51</v>
      </c>
      <c r="AE129" s="25">
        <f t="shared" si="60"/>
        <v>51</v>
      </c>
      <c r="AF129" s="25">
        <f t="shared" si="60"/>
        <v>52</v>
      </c>
      <c r="AG129" s="25">
        <f t="shared" si="60"/>
        <v>52</v>
      </c>
      <c r="AH129" s="25">
        <f t="shared" si="60"/>
        <v>52</v>
      </c>
      <c r="AI129" s="25">
        <f t="shared" si="60"/>
        <v>53</v>
      </c>
      <c r="AJ129" s="25">
        <f t="shared" si="60"/>
        <v>53</v>
      </c>
      <c r="AK129" s="25">
        <f t="shared" si="60"/>
        <v>54</v>
      </c>
      <c r="AL129" s="25">
        <f t="shared" si="60"/>
        <v>51</v>
      </c>
      <c r="AM129" s="25">
        <f t="shared" si="60"/>
        <v>45</v>
      </c>
      <c r="AN129" s="25">
        <f t="shared" si="60"/>
        <v>34</v>
      </c>
      <c r="AO129" s="25">
        <f t="shared" si="60"/>
        <v>22</v>
      </c>
      <c r="AP129" s="25">
        <f t="shared" si="60"/>
        <v>14</v>
      </c>
      <c r="AQ129" s="25">
        <f t="shared" si="60"/>
        <v>1058</v>
      </c>
    </row>
    <row r="130" spans="12:43" ht="15" customHeight="1" x14ac:dyDescent="0.15">
      <c r="L130" s="20" t="s">
        <v>44</v>
      </c>
      <c r="M130" s="25">
        <f t="shared" ref="M130:AB131" si="61">ROUND(M123/1000000,0)</f>
        <v>0</v>
      </c>
      <c r="N130" s="25">
        <f t="shared" si="61"/>
        <v>0</v>
      </c>
      <c r="O130" s="25">
        <f t="shared" si="61"/>
        <v>1</v>
      </c>
      <c r="P130" s="25">
        <f t="shared" si="61"/>
        <v>3</v>
      </c>
      <c r="Q130" s="25">
        <f t="shared" si="61"/>
        <v>4</v>
      </c>
      <c r="R130" s="25">
        <f t="shared" si="61"/>
        <v>8</v>
      </c>
      <c r="S130" s="25">
        <f t="shared" si="61"/>
        <v>8</v>
      </c>
      <c r="T130" s="25">
        <f t="shared" si="61"/>
        <v>8</v>
      </c>
      <c r="U130" s="25">
        <f t="shared" si="61"/>
        <v>8</v>
      </c>
      <c r="V130" s="25">
        <f t="shared" si="61"/>
        <v>8</v>
      </c>
      <c r="W130" s="25">
        <f t="shared" si="61"/>
        <v>7</v>
      </c>
      <c r="X130" s="25">
        <f t="shared" si="61"/>
        <v>7</v>
      </c>
      <c r="Y130" s="25">
        <f t="shared" si="61"/>
        <v>6</v>
      </c>
      <c r="Z130" s="25">
        <f t="shared" si="61"/>
        <v>6</v>
      </c>
      <c r="AA130" s="25">
        <f t="shared" si="61"/>
        <v>6</v>
      </c>
      <c r="AB130" s="25">
        <f t="shared" si="61"/>
        <v>5</v>
      </c>
      <c r="AC130" s="25">
        <f t="shared" si="60"/>
        <v>5</v>
      </c>
      <c r="AD130" s="25">
        <f t="shared" si="60"/>
        <v>5</v>
      </c>
      <c r="AE130" s="25">
        <f t="shared" si="60"/>
        <v>4</v>
      </c>
      <c r="AF130" s="25">
        <f t="shared" si="60"/>
        <v>4</v>
      </c>
      <c r="AG130" s="25">
        <f t="shared" si="60"/>
        <v>3</v>
      </c>
      <c r="AH130" s="25">
        <f t="shared" si="60"/>
        <v>3</v>
      </c>
      <c r="AI130" s="25">
        <f t="shared" si="60"/>
        <v>3</v>
      </c>
      <c r="AJ130" s="25">
        <f t="shared" si="60"/>
        <v>2</v>
      </c>
      <c r="AK130" s="25">
        <f t="shared" si="60"/>
        <v>2</v>
      </c>
      <c r="AL130" s="25">
        <f t="shared" si="60"/>
        <v>1</v>
      </c>
      <c r="AM130" s="25">
        <f t="shared" si="60"/>
        <v>1</v>
      </c>
      <c r="AN130" s="25">
        <f t="shared" si="60"/>
        <v>1</v>
      </c>
      <c r="AO130" s="25">
        <f t="shared" si="60"/>
        <v>0</v>
      </c>
      <c r="AP130" s="25">
        <f t="shared" si="60"/>
        <v>0</v>
      </c>
      <c r="AQ130" s="25">
        <f t="shared" si="60"/>
        <v>119</v>
      </c>
    </row>
    <row r="131" spans="12:43" ht="15" customHeight="1" x14ac:dyDescent="0.15">
      <c r="L131" s="20" t="s">
        <v>45</v>
      </c>
      <c r="M131" s="25">
        <f t="shared" si="61"/>
        <v>0</v>
      </c>
      <c r="N131" s="25">
        <f t="shared" si="60"/>
        <v>0</v>
      </c>
      <c r="O131" s="25">
        <f t="shared" si="60"/>
        <v>1</v>
      </c>
      <c r="P131" s="25">
        <f t="shared" si="60"/>
        <v>3</v>
      </c>
      <c r="Q131" s="25">
        <f t="shared" si="60"/>
        <v>4</v>
      </c>
      <c r="R131" s="25">
        <f t="shared" si="60"/>
        <v>11</v>
      </c>
      <c r="S131" s="25">
        <f t="shared" si="60"/>
        <v>17</v>
      </c>
      <c r="T131" s="25">
        <f t="shared" si="60"/>
        <v>27</v>
      </c>
      <c r="U131" s="25">
        <f t="shared" si="60"/>
        <v>43</v>
      </c>
      <c r="V131" s="25">
        <f t="shared" si="60"/>
        <v>49</v>
      </c>
      <c r="W131" s="25">
        <f t="shared" si="60"/>
        <v>60</v>
      </c>
      <c r="X131" s="25">
        <f t="shared" si="60"/>
        <v>60</v>
      </c>
      <c r="Y131" s="25">
        <f t="shared" si="60"/>
        <v>60</v>
      </c>
      <c r="Z131" s="25">
        <f t="shared" si="60"/>
        <v>60</v>
      </c>
      <c r="AA131" s="25">
        <f t="shared" si="60"/>
        <v>60</v>
      </c>
      <c r="AB131" s="25">
        <f t="shared" si="60"/>
        <v>55</v>
      </c>
      <c r="AC131" s="25">
        <f t="shared" si="60"/>
        <v>55</v>
      </c>
      <c r="AD131" s="25">
        <f t="shared" si="60"/>
        <v>55</v>
      </c>
      <c r="AE131" s="25">
        <f t="shared" si="60"/>
        <v>55</v>
      </c>
      <c r="AF131" s="25">
        <f t="shared" si="60"/>
        <v>55</v>
      </c>
      <c r="AG131" s="25">
        <f t="shared" si="60"/>
        <v>55</v>
      </c>
      <c r="AH131" s="25">
        <f t="shared" si="60"/>
        <v>55</v>
      </c>
      <c r="AI131" s="25">
        <f t="shared" si="60"/>
        <v>55</v>
      </c>
      <c r="AJ131" s="25">
        <f t="shared" si="60"/>
        <v>55</v>
      </c>
      <c r="AK131" s="25">
        <f t="shared" si="60"/>
        <v>55</v>
      </c>
      <c r="AL131" s="25">
        <f t="shared" si="60"/>
        <v>52</v>
      </c>
      <c r="AM131" s="25">
        <f t="shared" si="60"/>
        <v>46</v>
      </c>
      <c r="AN131" s="25">
        <f t="shared" si="60"/>
        <v>35</v>
      </c>
      <c r="AO131" s="25">
        <f t="shared" si="60"/>
        <v>22</v>
      </c>
      <c r="AP131" s="25">
        <f t="shared" si="60"/>
        <v>14</v>
      </c>
      <c r="AQ131" s="25">
        <f t="shared" si="60"/>
        <v>1177</v>
      </c>
    </row>
  </sheetData>
  <sheetProtection formatCells="0" formatColumns="0" formatRows="0" insertColumns="0" insertRows="0" insertHyperlinks="0" deleteColumns="0" deleteRows="0" sort="0" autoFilter="0" pivotTables="0"/>
  <mergeCells count="93">
    <mergeCell ref="J63:J64"/>
    <mergeCell ref="J53:J54"/>
    <mergeCell ref="J55:J56"/>
    <mergeCell ref="J57:J58"/>
    <mergeCell ref="J59:J60"/>
    <mergeCell ref="J61:J62"/>
    <mergeCell ref="J43:J44"/>
    <mergeCell ref="J45:J46"/>
    <mergeCell ref="J47:J48"/>
    <mergeCell ref="J49:J50"/>
    <mergeCell ref="J51:J52"/>
    <mergeCell ref="J33:J34"/>
    <mergeCell ref="J35:J36"/>
    <mergeCell ref="J37:J38"/>
    <mergeCell ref="J39:J40"/>
    <mergeCell ref="J41:J42"/>
    <mergeCell ref="H61:H62"/>
    <mergeCell ref="H63:H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H51:H52"/>
    <mergeCell ref="H53:H54"/>
    <mergeCell ref="H55:H56"/>
    <mergeCell ref="H57:H58"/>
    <mergeCell ref="H59:H60"/>
    <mergeCell ref="H41:H42"/>
    <mergeCell ref="H43:H44"/>
    <mergeCell ref="H45:H46"/>
    <mergeCell ref="H47:H48"/>
    <mergeCell ref="H49:H50"/>
    <mergeCell ref="H31:H32"/>
    <mergeCell ref="H33:H34"/>
    <mergeCell ref="H35:H36"/>
    <mergeCell ref="H37:H38"/>
    <mergeCell ref="H39:H40"/>
    <mergeCell ref="F59:F60"/>
    <mergeCell ref="F61:F62"/>
    <mergeCell ref="F63:F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F49:F50"/>
    <mergeCell ref="F51:F52"/>
    <mergeCell ref="F53:F54"/>
    <mergeCell ref="F55:F56"/>
    <mergeCell ref="F57:F58"/>
    <mergeCell ref="F39:F40"/>
    <mergeCell ref="F41:F42"/>
    <mergeCell ref="F43:F44"/>
    <mergeCell ref="F45:F46"/>
    <mergeCell ref="F47:F48"/>
    <mergeCell ref="F29:F30"/>
    <mergeCell ref="F31:F32"/>
    <mergeCell ref="F33:F34"/>
    <mergeCell ref="F35:F36"/>
    <mergeCell ref="F37:F38"/>
    <mergeCell ref="F19:F20"/>
    <mergeCell ref="F21:F22"/>
    <mergeCell ref="F23:F24"/>
    <mergeCell ref="F25:F26"/>
    <mergeCell ref="F27:F28"/>
    <mergeCell ref="F9:F10"/>
    <mergeCell ref="F11:F12"/>
    <mergeCell ref="F13:F14"/>
    <mergeCell ref="F15:F16"/>
    <mergeCell ref="F17:F18"/>
    <mergeCell ref="A1:I1"/>
    <mergeCell ref="G2:I2"/>
    <mergeCell ref="G3:I3"/>
    <mergeCell ref="F5:F6"/>
    <mergeCell ref="F7:F8"/>
  </mergeCells>
  <phoneticPr fontId="4"/>
  <pageMargins left="0.28000000000000003" right="0.28000000000000003" top="0.4" bottom="0.24" header="0.36" footer="0.2"/>
  <pageSetup paperSize="9" scale="3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2811-CA80-4364-8841-4CD4632009AD}">
  <sheetPr>
    <pageSetUpPr fitToPage="1"/>
  </sheetPr>
  <dimension ref="A1:BH188"/>
  <sheetViews>
    <sheetView tabSelected="1" view="pageBreakPreview" topLeftCell="I97" zoomScale="40" zoomScaleNormal="25" zoomScaleSheetLayoutView="40" workbookViewId="0">
      <selection activeCell="BD64" sqref="BD64:BD65"/>
    </sheetView>
  </sheetViews>
  <sheetFormatPr defaultColWidth="2.33203125" defaultRowHeight="15" customHeight="1" x14ac:dyDescent="0.15"/>
  <cols>
    <col min="2" max="2" width="18.44140625" customWidth="1"/>
    <col min="3" max="3" width="59.88671875" customWidth="1"/>
    <col min="4" max="42" width="13.109375" customWidth="1"/>
    <col min="43" max="50" width="13.33203125" customWidth="1"/>
    <col min="51" max="51" width="13.109375" customWidth="1"/>
    <col min="52" max="59" width="13.33203125" customWidth="1"/>
    <col min="60" max="60" width="16.6640625" customWidth="1"/>
  </cols>
  <sheetData>
    <row r="1" spans="1:41" ht="18" customHeight="1" x14ac:dyDescent="0.25">
      <c r="A1" s="32" t="s">
        <v>0</v>
      </c>
      <c r="B1" s="33"/>
      <c r="C1" s="33"/>
      <c r="D1" s="33"/>
      <c r="E1" s="33"/>
      <c r="F1" s="33"/>
      <c r="G1" s="33"/>
    </row>
    <row r="2" spans="1:41" ht="12" x14ac:dyDescent="0.15">
      <c r="F2" s="34" t="s">
        <v>1</v>
      </c>
      <c r="G2" s="34"/>
    </row>
    <row r="3" spans="1:41" ht="12.6" thickBot="1" x14ac:dyDescent="0.2">
      <c r="F3" s="34" t="s">
        <v>2</v>
      </c>
      <c r="G3" s="34"/>
    </row>
    <row r="4" spans="1:41" ht="12.6" thickBot="1" x14ac:dyDescent="0.2">
      <c r="B4" s="8" t="s">
        <v>3</v>
      </c>
      <c r="C4" s="9" t="s">
        <v>4</v>
      </c>
      <c r="D4" s="9" t="s">
        <v>5</v>
      </c>
      <c r="E4" s="13" t="s">
        <v>41</v>
      </c>
      <c r="F4" s="9" t="s">
        <v>6</v>
      </c>
      <c r="G4" s="9" t="s">
        <v>7</v>
      </c>
    </row>
    <row r="5" spans="1:41" ht="12" x14ac:dyDescent="0.15">
      <c r="B5" s="4" t="s">
        <v>48</v>
      </c>
      <c r="C5" s="3" t="s">
        <v>9</v>
      </c>
      <c r="D5" s="10">
        <v>19000000</v>
      </c>
      <c r="E5" s="10">
        <v>0</v>
      </c>
      <c r="F5" s="10">
        <v>0</v>
      </c>
      <c r="G5" s="26">
        <v>0</v>
      </c>
    </row>
    <row r="6" spans="1:41" ht="12" x14ac:dyDescent="0.15">
      <c r="B6" s="5" t="s">
        <v>10</v>
      </c>
      <c r="C6" s="3"/>
      <c r="D6" s="29">
        <v>19000000</v>
      </c>
      <c r="E6" s="27">
        <v>0</v>
      </c>
      <c r="F6" s="27">
        <v>0</v>
      </c>
      <c r="G6" s="28">
        <v>0</v>
      </c>
    </row>
    <row r="7" spans="1:41" ht="12" x14ac:dyDescent="0.15">
      <c r="B7" s="4" t="s">
        <v>49</v>
      </c>
      <c r="C7" s="3" t="s">
        <v>9</v>
      </c>
      <c r="D7" s="10">
        <v>19000000</v>
      </c>
      <c r="E7" s="10">
        <v>0</v>
      </c>
      <c r="F7" s="10">
        <v>93047</v>
      </c>
      <c r="G7" s="26">
        <v>93047</v>
      </c>
    </row>
    <row r="8" spans="1:41" ht="12" x14ac:dyDescent="0.15">
      <c r="B8" s="5" t="s">
        <v>10</v>
      </c>
      <c r="C8" s="3"/>
      <c r="D8" s="27">
        <v>19000000</v>
      </c>
      <c r="E8" s="27">
        <v>0</v>
      </c>
      <c r="F8" s="27">
        <v>93047</v>
      </c>
      <c r="G8" s="28">
        <v>93047</v>
      </c>
      <c r="I8" s="22" t="s">
        <v>45</v>
      </c>
      <c r="J8" s="22"/>
      <c r="K8" s="23">
        <v>106884</v>
      </c>
      <c r="L8" s="23">
        <v>409974</v>
      </c>
      <c r="M8" s="23">
        <v>1153932</v>
      </c>
      <c r="N8" s="23">
        <v>2607672</v>
      </c>
      <c r="O8" s="23">
        <v>4141778</v>
      </c>
      <c r="P8" s="23">
        <v>10790930</v>
      </c>
      <c r="Q8" s="23">
        <v>16895636</v>
      </c>
      <c r="R8" s="23">
        <v>27414800</v>
      </c>
      <c r="S8" s="23">
        <v>42638656</v>
      </c>
      <c r="T8" s="23">
        <v>48582330</v>
      </c>
      <c r="U8" s="23">
        <v>59713032</v>
      </c>
      <c r="V8" s="23">
        <v>59713032</v>
      </c>
      <c r="W8" s="23">
        <v>59713032</v>
      </c>
      <c r="X8" s="23">
        <v>59713032</v>
      </c>
      <c r="Y8" s="23">
        <v>59713024</v>
      </c>
      <c r="Z8" s="23">
        <v>55471112</v>
      </c>
      <c r="AA8" s="23">
        <v>55471112</v>
      </c>
      <c r="AB8" s="23">
        <v>55471112</v>
      </c>
      <c r="AC8" s="23">
        <v>55471112</v>
      </c>
      <c r="AD8" s="23">
        <v>55471112</v>
      </c>
      <c r="AE8" s="23">
        <v>55471112</v>
      </c>
      <c r="AF8" s="23">
        <v>55471112</v>
      </c>
      <c r="AG8" s="23">
        <v>55471112</v>
      </c>
      <c r="AH8" s="23">
        <v>55471112</v>
      </c>
      <c r="AI8" s="23">
        <v>55471112</v>
      </c>
      <c r="AJ8" s="23">
        <v>52108126</v>
      </c>
      <c r="AK8" s="23">
        <v>45992236</v>
      </c>
      <c r="AL8" s="23">
        <v>34597872</v>
      </c>
      <c r="AM8" s="23">
        <v>21951776</v>
      </c>
      <c r="AN8" s="23">
        <v>14401302</v>
      </c>
      <c r="AO8" s="23">
        <f>SUM(K8:AN8)</f>
        <v>1177070176</v>
      </c>
    </row>
    <row r="9" spans="1:41" ht="12" x14ac:dyDescent="0.15">
      <c r="B9" s="4" t="s">
        <v>8</v>
      </c>
      <c r="C9" s="3" t="s">
        <v>9</v>
      </c>
      <c r="D9" s="10">
        <v>84900000</v>
      </c>
      <c r="E9" s="10">
        <v>0</v>
      </c>
      <c r="F9" s="10">
        <v>148442</v>
      </c>
      <c r="G9" s="26">
        <v>148442</v>
      </c>
      <c r="M9" s="17"/>
      <c r="N9" s="17"/>
      <c r="O9" s="17"/>
      <c r="P9" s="17"/>
      <c r="R9" s="17"/>
      <c r="S9" s="17"/>
      <c r="T9" s="17"/>
      <c r="U9" s="17"/>
      <c r="W9" s="17"/>
      <c r="X9" s="17"/>
      <c r="Y9" s="17"/>
      <c r="Z9" s="17"/>
      <c r="AA9" s="17"/>
      <c r="AB9" s="17"/>
      <c r="AC9" s="17"/>
      <c r="AF9" s="17"/>
      <c r="AH9" s="17"/>
      <c r="AI9" s="17"/>
      <c r="AJ9" s="17"/>
      <c r="AK9" s="17"/>
      <c r="AL9" s="17"/>
      <c r="AM9" s="17"/>
      <c r="AN9" s="17"/>
      <c r="AO9" s="17"/>
    </row>
    <row r="10" spans="1:41" ht="12" x14ac:dyDescent="0.15">
      <c r="B10" s="5" t="s">
        <v>10</v>
      </c>
      <c r="C10" s="3"/>
      <c r="D10" s="27">
        <v>84900000</v>
      </c>
      <c r="E10" s="27">
        <v>0</v>
      </c>
      <c r="F10" s="27">
        <v>148442</v>
      </c>
      <c r="G10" s="28">
        <v>148442</v>
      </c>
      <c r="M10" s="17"/>
      <c r="N10" s="17"/>
      <c r="O10" s="17"/>
      <c r="P10" s="17"/>
      <c r="Q10" s="17"/>
      <c r="R10" s="17"/>
      <c r="S10" s="17"/>
      <c r="T10" s="17"/>
      <c r="U10" s="17"/>
      <c r="W10" s="17"/>
      <c r="X10" s="17"/>
      <c r="Y10" s="17"/>
      <c r="Z10" s="17"/>
      <c r="AA10" s="17"/>
      <c r="AB10" s="17"/>
      <c r="AC10" s="17"/>
      <c r="AF10" s="17"/>
      <c r="AH10" s="17"/>
      <c r="AI10" s="17"/>
      <c r="AK10" s="17"/>
      <c r="AL10" s="17"/>
      <c r="AM10" s="17"/>
      <c r="AN10" s="17"/>
      <c r="AO10" s="17"/>
    </row>
    <row r="11" spans="1:41" ht="12" x14ac:dyDescent="0.15">
      <c r="B11" s="4" t="s">
        <v>11</v>
      </c>
      <c r="C11" s="3" t="s">
        <v>9</v>
      </c>
      <c r="D11" s="10">
        <v>111600000</v>
      </c>
      <c r="E11" s="10">
        <v>0</v>
      </c>
      <c r="F11" s="10">
        <v>299987</v>
      </c>
      <c r="G11" s="26">
        <v>299987</v>
      </c>
      <c r="M11" s="17"/>
      <c r="N11" s="17"/>
      <c r="O11" s="17"/>
      <c r="P11" s="17"/>
      <c r="Q11" s="17"/>
      <c r="R11" s="17"/>
      <c r="S11" s="17"/>
      <c r="T11" s="17"/>
      <c r="U11" s="17"/>
      <c r="W11" s="17"/>
      <c r="X11" s="17"/>
      <c r="Y11" s="17"/>
      <c r="Z11" s="17"/>
      <c r="AA11" s="17"/>
      <c r="AB11" s="17"/>
      <c r="AC11" s="17"/>
      <c r="AF11" s="17"/>
      <c r="AH11" s="17"/>
      <c r="AI11" s="17"/>
      <c r="AJ11" s="17"/>
      <c r="AK11" s="17"/>
      <c r="AL11" s="17"/>
      <c r="AM11" s="17"/>
      <c r="AN11" s="17"/>
      <c r="AO11" s="17"/>
    </row>
    <row r="12" spans="1:41" ht="12" x14ac:dyDescent="0.15">
      <c r="B12" s="5" t="s">
        <v>10</v>
      </c>
      <c r="C12" s="3"/>
      <c r="D12" s="27">
        <v>111600000</v>
      </c>
      <c r="E12" s="27">
        <v>0</v>
      </c>
      <c r="F12" s="27">
        <v>299987</v>
      </c>
      <c r="G12" s="28">
        <v>299987</v>
      </c>
    </row>
    <row r="13" spans="1:41" ht="12" x14ac:dyDescent="0.15">
      <c r="B13" s="4" t="s">
        <v>12</v>
      </c>
      <c r="C13" s="3" t="s">
        <v>9</v>
      </c>
      <c r="D13" s="10">
        <v>221000000</v>
      </c>
      <c r="E13" s="10">
        <v>0</v>
      </c>
      <c r="F13" s="10">
        <v>671966</v>
      </c>
      <c r="G13" s="26">
        <v>671966</v>
      </c>
    </row>
    <row r="14" spans="1:41" ht="12" x14ac:dyDescent="0.15">
      <c r="B14" s="5" t="s">
        <v>10</v>
      </c>
      <c r="C14" s="3"/>
      <c r="D14" s="27">
        <v>221000000</v>
      </c>
      <c r="E14" s="27">
        <v>0</v>
      </c>
      <c r="F14" s="27">
        <v>671966</v>
      </c>
      <c r="G14" s="28">
        <v>671966</v>
      </c>
    </row>
    <row r="15" spans="1:41" ht="12" x14ac:dyDescent="0.15">
      <c r="B15" s="4" t="s">
        <v>13</v>
      </c>
      <c r="C15" s="3" t="s">
        <v>9</v>
      </c>
      <c r="D15" s="10">
        <v>397100000</v>
      </c>
      <c r="E15" s="10">
        <v>0</v>
      </c>
      <c r="F15" s="10">
        <v>1398836</v>
      </c>
      <c r="G15" s="26">
        <v>1398836</v>
      </c>
    </row>
    <row r="16" spans="1:41" ht="12" x14ac:dyDescent="0.15">
      <c r="B16" s="5" t="s">
        <v>10</v>
      </c>
      <c r="C16" s="3"/>
      <c r="D16" s="27">
        <v>397100000</v>
      </c>
      <c r="E16" s="27">
        <v>0</v>
      </c>
      <c r="F16" s="27">
        <v>1398836</v>
      </c>
      <c r="G16" s="28">
        <v>1398836</v>
      </c>
    </row>
    <row r="17" spans="2:30" ht="12" x14ac:dyDescent="0.15">
      <c r="B17" s="4" t="s">
        <v>14</v>
      </c>
      <c r="C17" s="3" t="s">
        <v>9</v>
      </c>
      <c r="D17" s="10">
        <v>528894392</v>
      </c>
      <c r="E17" s="10">
        <v>905608</v>
      </c>
      <c r="F17" s="10">
        <v>2164759</v>
      </c>
      <c r="G17" s="26">
        <v>3070367</v>
      </c>
    </row>
    <row r="18" spans="2:30" ht="12" x14ac:dyDescent="0.15">
      <c r="B18" s="5" t="s">
        <v>10</v>
      </c>
      <c r="C18" s="3"/>
      <c r="D18" s="27">
        <v>528894392</v>
      </c>
      <c r="E18" s="27">
        <v>905608</v>
      </c>
      <c r="F18" s="27">
        <v>2164759</v>
      </c>
      <c r="G18" s="28">
        <v>3070367</v>
      </c>
    </row>
    <row r="19" spans="2:30" ht="12" x14ac:dyDescent="0.15">
      <c r="B19" s="4" t="s">
        <v>15</v>
      </c>
      <c r="C19" s="3" t="s">
        <v>9</v>
      </c>
      <c r="D19" s="10">
        <v>544468657</v>
      </c>
      <c r="E19" s="10">
        <v>2525735</v>
      </c>
      <c r="F19" s="10">
        <v>3869208</v>
      </c>
      <c r="G19" s="26">
        <v>6394943</v>
      </c>
    </row>
    <row r="20" spans="2:30" ht="12" x14ac:dyDescent="0.15">
      <c r="B20" s="5" t="s">
        <v>10</v>
      </c>
      <c r="C20" s="3"/>
      <c r="D20" s="27">
        <v>544468657</v>
      </c>
      <c r="E20" s="27">
        <v>2525735</v>
      </c>
      <c r="F20" s="27">
        <v>3869208</v>
      </c>
      <c r="G20" s="28">
        <v>6394943</v>
      </c>
    </row>
    <row r="21" spans="2:30" ht="12" x14ac:dyDescent="0.15">
      <c r="B21" s="4" t="s">
        <v>16</v>
      </c>
      <c r="C21" s="3" t="s">
        <v>9</v>
      </c>
      <c r="D21" s="10">
        <v>539020600</v>
      </c>
      <c r="E21" s="10">
        <v>5448057</v>
      </c>
      <c r="F21" s="10">
        <v>3999239</v>
      </c>
      <c r="G21" s="26">
        <v>9447296</v>
      </c>
    </row>
    <row r="22" spans="2:30" ht="12" x14ac:dyDescent="0.15">
      <c r="B22" s="5" t="s">
        <v>10</v>
      </c>
      <c r="C22" s="3"/>
      <c r="D22" s="27">
        <v>539020600</v>
      </c>
      <c r="E22" s="27">
        <v>5448057</v>
      </c>
      <c r="F22" s="27">
        <v>3999239</v>
      </c>
      <c r="G22" s="28">
        <v>9447296</v>
      </c>
    </row>
    <row r="23" spans="2:30" ht="12" x14ac:dyDescent="0.15">
      <c r="B23" s="4" t="s">
        <v>17</v>
      </c>
      <c r="C23" s="3" t="s">
        <v>9</v>
      </c>
      <c r="D23" s="10">
        <v>528292751</v>
      </c>
      <c r="E23" s="10">
        <v>10727849</v>
      </c>
      <c r="F23" s="10">
        <v>3979029</v>
      </c>
      <c r="G23" s="26">
        <v>14706878</v>
      </c>
    </row>
    <row r="24" spans="2:30" ht="12" x14ac:dyDescent="0.15">
      <c r="B24" s="5" t="s">
        <v>10</v>
      </c>
      <c r="C24" s="3"/>
      <c r="D24" s="27">
        <v>528292751</v>
      </c>
      <c r="E24" s="27">
        <v>10727849</v>
      </c>
      <c r="F24" s="27">
        <v>3979029</v>
      </c>
      <c r="G24" s="28">
        <v>14706878</v>
      </c>
    </row>
    <row r="25" spans="2:30" ht="12" x14ac:dyDescent="0.15">
      <c r="B25" s="4" t="s">
        <v>18</v>
      </c>
      <c r="C25" s="3" t="s">
        <v>9</v>
      </c>
      <c r="D25" s="10">
        <v>509904379</v>
      </c>
      <c r="E25" s="10">
        <v>18388372</v>
      </c>
      <c r="F25" s="10">
        <v>3930434</v>
      </c>
      <c r="G25" s="26">
        <v>22318806</v>
      </c>
      <c r="AD25" s="16"/>
    </row>
    <row r="26" spans="2:30" ht="12" x14ac:dyDescent="0.15">
      <c r="B26" s="5" t="s">
        <v>10</v>
      </c>
      <c r="C26" s="3"/>
      <c r="D26" s="27">
        <v>509904379</v>
      </c>
      <c r="E26" s="27">
        <v>18388372</v>
      </c>
      <c r="F26" s="27">
        <v>3930434</v>
      </c>
      <c r="G26" s="28">
        <v>22318806</v>
      </c>
    </row>
    <row r="27" spans="2:30" ht="12" x14ac:dyDescent="0.15">
      <c r="B27" s="4" t="s">
        <v>19</v>
      </c>
      <c r="C27" s="3" t="s">
        <v>9</v>
      </c>
      <c r="D27" s="10">
        <v>488450109</v>
      </c>
      <c r="E27" s="10">
        <v>21454270</v>
      </c>
      <c r="F27" s="10">
        <v>3836373</v>
      </c>
      <c r="G27" s="26">
        <v>25290643</v>
      </c>
    </row>
    <row r="28" spans="2:30" ht="12" x14ac:dyDescent="0.15">
      <c r="B28" s="5" t="s">
        <v>10</v>
      </c>
      <c r="C28" s="3"/>
      <c r="D28" s="27">
        <v>488450109</v>
      </c>
      <c r="E28" s="27">
        <v>21454270</v>
      </c>
      <c r="F28" s="27">
        <v>3836373</v>
      </c>
      <c r="G28" s="28">
        <v>25290643</v>
      </c>
    </row>
    <row r="29" spans="2:30" ht="12" x14ac:dyDescent="0.15">
      <c r="B29" s="4" t="s">
        <v>20</v>
      </c>
      <c r="C29" s="3" t="s">
        <v>9</v>
      </c>
      <c r="D29" s="10">
        <v>461288408</v>
      </c>
      <c r="E29" s="10">
        <v>27161701</v>
      </c>
      <c r="F29" s="10">
        <v>3694293</v>
      </c>
      <c r="G29" s="26">
        <v>30855994</v>
      </c>
    </row>
    <row r="30" spans="2:30" ht="12" x14ac:dyDescent="0.15">
      <c r="B30" s="5" t="s">
        <v>10</v>
      </c>
      <c r="C30" s="3"/>
      <c r="D30" s="27">
        <v>461288408</v>
      </c>
      <c r="E30" s="27">
        <v>27161701</v>
      </c>
      <c r="F30" s="27">
        <v>3694293</v>
      </c>
      <c r="G30" s="28">
        <v>30855994</v>
      </c>
    </row>
    <row r="31" spans="2:30" ht="12" x14ac:dyDescent="0.15">
      <c r="B31" s="4" t="s">
        <v>21</v>
      </c>
      <c r="C31" s="3" t="s">
        <v>9</v>
      </c>
      <c r="D31" s="10">
        <v>433930621</v>
      </c>
      <c r="E31" s="10">
        <v>27357787</v>
      </c>
      <c r="F31" s="10">
        <v>3498207</v>
      </c>
      <c r="G31" s="26">
        <v>30855994</v>
      </c>
    </row>
    <row r="32" spans="2:30" ht="12" x14ac:dyDescent="0.15">
      <c r="B32" s="5" t="s">
        <v>10</v>
      </c>
      <c r="C32" s="3"/>
      <c r="D32" s="27">
        <v>433930621</v>
      </c>
      <c r="E32" s="27">
        <v>27357787</v>
      </c>
      <c r="F32" s="27">
        <v>3498207</v>
      </c>
      <c r="G32" s="28">
        <v>30855994</v>
      </c>
    </row>
    <row r="33" spans="2:7" ht="12" x14ac:dyDescent="0.15">
      <c r="B33" s="4" t="s">
        <v>22</v>
      </c>
      <c r="C33" s="3" t="s">
        <v>9</v>
      </c>
      <c r="D33" s="10">
        <v>406374896</v>
      </c>
      <c r="E33" s="10">
        <v>27555725</v>
      </c>
      <c r="F33" s="10">
        <v>3300269</v>
      </c>
      <c r="G33" s="26">
        <v>30855994</v>
      </c>
    </row>
    <row r="34" spans="2:7" ht="12" x14ac:dyDescent="0.15">
      <c r="B34" s="5" t="s">
        <v>10</v>
      </c>
      <c r="C34" s="3"/>
      <c r="D34" s="27">
        <v>406374896</v>
      </c>
      <c r="E34" s="27">
        <v>27555725</v>
      </c>
      <c r="F34" s="27">
        <v>3300269</v>
      </c>
      <c r="G34" s="28">
        <v>30855994</v>
      </c>
    </row>
    <row r="35" spans="2:7" ht="12" x14ac:dyDescent="0.15">
      <c r="B35" s="4" t="s">
        <v>23</v>
      </c>
      <c r="C35" s="3" t="s">
        <v>9</v>
      </c>
      <c r="D35" s="10">
        <v>378619357</v>
      </c>
      <c r="E35" s="10">
        <v>27755539</v>
      </c>
      <c r="F35" s="10">
        <v>3100455</v>
      </c>
      <c r="G35" s="26">
        <v>30855994</v>
      </c>
    </row>
    <row r="36" spans="2:7" ht="12" x14ac:dyDescent="0.15">
      <c r="B36" s="5" t="s">
        <v>10</v>
      </c>
      <c r="C36" s="3"/>
      <c r="D36" s="27">
        <v>378619357</v>
      </c>
      <c r="E36" s="27">
        <v>27755539</v>
      </c>
      <c r="F36" s="27">
        <v>3100455</v>
      </c>
      <c r="G36" s="28">
        <v>30855994</v>
      </c>
    </row>
    <row r="37" spans="2:7" ht="12" x14ac:dyDescent="0.15">
      <c r="B37" s="4" t="s">
        <v>24</v>
      </c>
      <c r="C37" s="3" t="s">
        <v>9</v>
      </c>
      <c r="D37" s="10">
        <v>350662120</v>
      </c>
      <c r="E37" s="10">
        <v>27957237</v>
      </c>
      <c r="F37" s="10">
        <v>2898753</v>
      </c>
      <c r="G37" s="26">
        <v>30855990</v>
      </c>
    </row>
    <row r="38" spans="2:7" ht="12" x14ac:dyDescent="0.15">
      <c r="B38" s="5" t="s">
        <v>10</v>
      </c>
      <c r="C38" s="3"/>
      <c r="D38" s="27">
        <v>350662120</v>
      </c>
      <c r="E38" s="27">
        <v>27957237</v>
      </c>
      <c r="F38" s="27">
        <v>2898753</v>
      </c>
      <c r="G38" s="28">
        <v>30855990</v>
      </c>
    </row>
    <row r="39" spans="2:7" ht="12" x14ac:dyDescent="0.15">
      <c r="B39" s="4" t="s">
        <v>25</v>
      </c>
      <c r="C39" s="3" t="s">
        <v>9</v>
      </c>
      <c r="D39" s="10">
        <v>324626570</v>
      </c>
      <c r="E39" s="10">
        <v>26035550</v>
      </c>
      <c r="F39" s="10">
        <v>2699484</v>
      </c>
      <c r="G39" s="26">
        <v>28735034</v>
      </c>
    </row>
    <row r="40" spans="2:7" ht="12" x14ac:dyDescent="0.15">
      <c r="B40" s="5" t="s">
        <v>10</v>
      </c>
      <c r="C40" s="3"/>
      <c r="D40" s="27">
        <v>324626570</v>
      </c>
      <c r="E40" s="27">
        <v>26035550</v>
      </c>
      <c r="F40" s="27">
        <v>2699484</v>
      </c>
      <c r="G40" s="28">
        <v>28735034</v>
      </c>
    </row>
    <row r="41" spans="2:7" ht="12" x14ac:dyDescent="0.15">
      <c r="B41" s="4" t="s">
        <v>26</v>
      </c>
      <c r="C41" s="3" t="s">
        <v>9</v>
      </c>
      <c r="D41" s="10">
        <v>298402928</v>
      </c>
      <c r="E41" s="10">
        <v>26223642</v>
      </c>
      <c r="F41" s="10">
        <v>2511392</v>
      </c>
      <c r="G41" s="26">
        <v>28735034</v>
      </c>
    </row>
    <row r="42" spans="2:7" ht="12" x14ac:dyDescent="0.15">
      <c r="B42" s="5" t="s">
        <v>10</v>
      </c>
      <c r="C42" s="3"/>
      <c r="D42" s="27">
        <v>298402928</v>
      </c>
      <c r="E42" s="27">
        <v>26223642</v>
      </c>
      <c r="F42" s="27">
        <v>2511392</v>
      </c>
      <c r="G42" s="28">
        <v>28735034</v>
      </c>
    </row>
    <row r="43" spans="2:7" ht="12" x14ac:dyDescent="0.15">
      <c r="B43" s="4" t="s">
        <v>27</v>
      </c>
      <c r="C43" s="3" t="s">
        <v>9</v>
      </c>
      <c r="D43" s="10">
        <v>271989377</v>
      </c>
      <c r="E43" s="10">
        <v>26413551</v>
      </c>
      <c r="F43" s="10">
        <v>2321483</v>
      </c>
      <c r="G43" s="26">
        <v>28735034</v>
      </c>
    </row>
    <row r="44" spans="2:7" ht="12" x14ac:dyDescent="0.15">
      <c r="B44" s="5" t="s">
        <v>10</v>
      </c>
      <c r="C44" s="3"/>
      <c r="D44" s="27">
        <v>271989377</v>
      </c>
      <c r="E44" s="27">
        <v>26413551</v>
      </c>
      <c r="F44" s="27">
        <v>2321483</v>
      </c>
      <c r="G44" s="28">
        <v>28735034</v>
      </c>
    </row>
    <row r="45" spans="2:7" ht="12" x14ac:dyDescent="0.15">
      <c r="B45" s="4" t="s">
        <v>28</v>
      </c>
      <c r="C45" s="3" t="s">
        <v>9</v>
      </c>
      <c r="D45" s="10">
        <v>245384091</v>
      </c>
      <c r="E45" s="10">
        <v>26605286</v>
      </c>
      <c r="F45" s="10">
        <v>2129748</v>
      </c>
      <c r="G45" s="26">
        <v>28735034</v>
      </c>
    </row>
    <row r="46" spans="2:7" ht="12" x14ac:dyDescent="0.15">
      <c r="B46" s="5" t="s">
        <v>10</v>
      </c>
      <c r="C46" s="3"/>
      <c r="D46" s="27">
        <v>245384091</v>
      </c>
      <c r="E46" s="27">
        <v>26605286</v>
      </c>
      <c r="F46" s="27">
        <v>2129748</v>
      </c>
      <c r="G46" s="28">
        <v>28735034</v>
      </c>
    </row>
    <row r="47" spans="2:7" ht="12" x14ac:dyDescent="0.15">
      <c r="B47" s="4" t="s">
        <v>29</v>
      </c>
      <c r="C47" s="3" t="s">
        <v>9</v>
      </c>
      <c r="D47" s="10">
        <v>218585218</v>
      </c>
      <c r="E47" s="10">
        <v>26798873</v>
      </c>
      <c r="F47" s="10">
        <v>1936161</v>
      </c>
      <c r="G47" s="26">
        <v>28735034</v>
      </c>
    </row>
    <row r="48" spans="2:7" ht="12" x14ac:dyDescent="0.15">
      <c r="B48" s="5" t="s">
        <v>10</v>
      </c>
      <c r="C48" s="3"/>
      <c r="D48" s="27">
        <v>218585218</v>
      </c>
      <c r="E48" s="27">
        <v>26798873</v>
      </c>
      <c r="F48" s="27">
        <v>1936161</v>
      </c>
      <c r="G48" s="28">
        <v>28735034</v>
      </c>
    </row>
    <row r="49" spans="2:7" ht="12" x14ac:dyDescent="0.15">
      <c r="B49" s="4" t="s">
        <v>30</v>
      </c>
      <c r="C49" s="3" t="s">
        <v>9</v>
      </c>
      <c r="D49" s="10">
        <v>191590878</v>
      </c>
      <c r="E49" s="10">
        <v>26994340</v>
      </c>
      <c r="F49" s="10">
        <v>1740694</v>
      </c>
      <c r="G49" s="26">
        <v>28735034</v>
      </c>
    </row>
    <row r="50" spans="2:7" ht="12" x14ac:dyDescent="0.15">
      <c r="B50" s="5" t="s">
        <v>10</v>
      </c>
      <c r="C50" s="3"/>
      <c r="D50" s="27">
        <v>191590878</v>
      </c>
      <c r="E50" s="27">
        <v>26994340</v>
      </c>
      <c r="F50" s="27">
        <v>1740694</v>
      </c>
      <c r="G50" s="28">
        <v>28735034</v>
      </c>
    </row>
    <row r="51" spans="2:7" ht="12" x14ac:dyDescent="0.15">
      <c r="B51" s="4" t="s">
        <v>31</v>
      </c>
      <c r="C51" s="3" t="s">
        <v>9</v>
      </c>
      <c r="D51" s="10">
        <v>164399174</v>
      </c>
      <c r="E51" s="10">
        <v>27191704</v>
      </c>
      <c r="F51" s="10">
        <v>1543330</v>
      </c>
      <c r="G51" s="26">
        <v>28735034</v>
      </c>
    </row>
    <row r="52" spans="2:7" ht="12" x14ac:dyDescent="0.15">
      <c r="B52" s="5" t="s">
        <v>10</v>
      </c>
      <c r="C52" s="3"/>
      <c r="D52" s="27">
        <v>164399174</v>
      </c>
      <c r="E52" s="27">
        <v>27191704</v>
      </c>
      <c r="F52" s="27">
        <v>1543330</v>
      </c>
      <c r="G52" s="28">
        <v>28735034</v>
      </c>
    </row>
    <row r="53" spans="2:7" ht="12" x14ac:dyDescent="0.15">
      <c r="B53" s="4" t="s">
        <v>32</v>
      </c>
      <c r="C53" s="3" t="s">
        <v>9</v>
      </c>
      <c r="D53" s="10">
        <v>137008193</v>
      </c>
      <c r="E53" s="10">
        <v>27390981</v>
      </c>
      <c r="F53" s="10">
        <v>1344053</v>
      </c>
      <c r="G53" s="26">
        <v>28735034</v>
      </c>
    </row>
    <row r="54" spans="2:7" ht="12" x14ac:dyDescent="0.15">
      <c r="B54" s="5" t="s">
        <v>10</v>
      </c>
      <c r="C54" s="3"/>
      <c r="D54" s="27">
        <v>137008193</v>
      </c>
      <c r="E54" s="27">
        <v>27390981</v>
      </c>
      <c r="F54" s="27">
        <v>1344053</v>
      </c>
      <c r="G54" s="28">
        <v>28735034</v>
      </c>
    </row>
    <row r="55" spans="2:7" ht="12" x14ac:dyDescent="0.15">
      <c r="B55" s="4" t="s">
        <v>33</v>
      </c>
      <c r="C55" s="3" t="s">
        <v>9</v>
      </c>
      <c r="D55" s="10">
        <v>109415993</v>
      </c>
      <c r="E55" s="10">
        <v>27592200</v>
      </c>
      <c r="F55" s="10">
        <v>1142834</v>
      </c>
      <c r="G55" s="26">
        <v>28735034</v>
      </c>
    </row>
    <row r="56" spans="2:7" ht="12" x14ac:dyDescent="0.15">
      <c r="B56" s="5" t="s">
        <v>10</v>
      </c>
      <c r="C56" s="3"/>
      <c r="D56" s="27">
        <v>109415993</v>
      </c>
      <c r="E56" s="27">
        <v>27592200</v>
      </c>
      <c r="F56" s="27">
        <v>1142834</v>
      </c>
      <c r="G56" s="28">
        <v>28735034</v>
      </c>
    </row>
    <row r="57" spans="2:7" ht="12" x14ac:dyDescent="0.15">
      <c r="B57" s="4" t="s">
        <v>34</v>
      </c>
      <c r="C57" s="3" t="s">
        <v>9</v>
      </c>
      <c r="D57" s="10">
        <v>82621339</v>
      </c>
      <c r="E57" s="10">
        <v>26794654</v>
      </c>
      <c r="F57" s="10">
        <v>940902</v>
      </c>
      <c r="G57" s="26">
        <v>27735556</v>
      </c>
    </row>
    <row r="58" spans="2:7" ht="12" x14ac:dyDescent="0.15">
      <c r="B58" s="5" t="s">
        <v>10</v>
      </c>
      <c r="C58" s="3"/>
      <c r="D58" s="27">
        <v>82621339</v>
      </c>
      <c r="E58" s="27">
        <v>26794654</v>
      </c>
      <c r="F58" s="27">
        <v>940902</v>
      </c>
      <c r="G58" s="28">
        <v>27735556</v>
      </c>
    </row>
    <row r="59" spans="2:7" ht="12" x14ac:dyDescent="0.15">
      <c r="B59" s="4" t="s">
        <v>35</v>
      </c>
      <c r="C59" s="3" t="s">
        <v>9</v>
      </c>
      <c r="D59" s="10">
        <v>57308027</v>
      </c>
      <c r="E59" s="10">
        <v>25313312</v>
      </c>
      <c r="F59" s="10">
        <v>740751</v>
      </c>
      <c r="G59" s="26">
        <v>26054063</v>
      </c>
    </row>
    <row r="60" spans="2:7" ht="12" x14ac:dyDescent="0.15">
      <c r="B60" s="5" t="s">
        <v>10</v>
      </c>
      <c r="C60" s="3"/>
      <c r="D60" s="27">
        <v>57308027</v>
      </c>
      <c r="E60" s="27">
        <v>25313312</v>
      </c>
      <c r="F60" s="27">
        <v>740751</v>
      </c>
      <c r="G60" s="28">
        <v>26054063</v>
      </c>
    </row>
    <row r="61" spans="2:7" ht="12" x14ac:dyDescent="0.15">
      <c r="B61" s="4" t="s">
        <v>36</v>
      </c>
      <c r="C61" s="3" t="s">
        <v>9</v>
      </c>
      <c r="D61" s="10">
        <v>34856604</v>
      </c>
      <c r="E61" s="10">
        <v>22451423</v>
      </c>
      <c r="F61" s="10">
        <v>544695</v>
      </c>
      <c r="G61" s="26">
        <v>22996118</v>
      </c>
    </row>
    <row r="62" spans="2:7" ht="12" x14ac:dyDescent="0.15">
      <c r="B62" s="5" t="s">
        <v>10</v>
      </c>
      <c r="C62" s="3"/>
      <c r="D62" s="27">
        <v>34856604</v>
      </c>
      <c r="E62" s="27">
        <v>22451423</v>
      </c>
      <c r="F62" s="27">
        <v>544695</v>
      </c>
      <c r="G62" s="28">
        <v>22996118</v>
      </c>
    </row>
    <row r="63" spans="2:7" ht="12" x14ac:dyDescent="0.15">
      <c r="B63" s="4" t="s">
        <v>37</v>
      </c>
      <c r="C63" s="3" t="s">
        <v>9</v>
      </c>
      <c r="D63" s="10">
        <v>17914800</v>
      </c>
      <c r="E63" s="10">
        <v>16941804</v>
      </c>
      <c r="F63" s="10">
        <v>357132</v>
      </c>
      <c r="G63" s="26">
        <v>17298936</v>
      </c>
    </row>
    <row r="64" spans="2:7" ht="12" x14ac:dyDescent="0.15">
      <c r="B64" s="5" t="s">
        <v>10</v>
      </c>
      <c r="C64" s="3"/>
      <c r="D64" s="27">
        <v>17914800</v>
      </c>
      <c r="E64" s="27">
        <v>16941804</v>
      </c>
      <c r="F64" s="27">
        <v>357132</v>
      </c>
      <c r="G64" s="28">
        <v>17298936</v>
      </c>
    </row>
    <row r="65" spans="2:41" ht="12" x14ac:dyDescent="0.15">
      <c r="B65" s="4" t="s">
        <v>38</v>
      </c>
      <c r="C65" s="3" t="s">
        <v>9</v>
      </c>
      <c r="D65" s="10">
        <v>7133105</v>
      </c>
      <c r="E65" s="10">
        <v>10781695</v>
      </c>
      <c r="F65" s="10">
        <v>194193</v>
      </c>
      <c r="G65" s="26">
        <v>10975888</v>
      </c>
    </row>
    <row r="66" spans="2:41" ht="15" customHeight="1" x14ac:dyDescent="0.15">
      <c r="B66" s="5" t="s">
        <v>10</v>
      </c>
      <c r="C66" s="3"/>
      <c r="D66" s="27">
        <v>7133105</v>
      </c>
      <c r="E66" s="27">
        <v>10781695</v>
      </c>
      <c r="F66" s="27">
        <v>194193</v>
      </c>
      <c r="G66" s="28">
        <v>10975888</v>
      </c>
    </row>
    <row r="67" spans="2:41" ht="15" customHeight="1" x14ac:dyDescent="0.15">
      <c r="B67" s="4" t="s">
        <v>39</v>
      </c>
      <c r="C67" s="3" t="s">
        <v>9</v>
      </c>
      <c r="D67" s="10">
        <v>0</v>
      </c>
      <c r="E67" s="10">
        <v>7133105</v>
      </c>
      <c r="F67" s="10">
        <v>67546</v>
      </c>
      <c r="G67" s="26">
        <v>7200651</v>
      </c>
    </row>
    <row r="68" spans="2:41" ht="15" customHeight="1" x14ac:dyDescent="0.15">
      <c r="B68" s="5" t="s">
        <v>10</v>
      </c>
      <c r="C68" s="3"/>
      <c r="D68" s="27">
        <v>0</v>
      </c>
      <c r="E68" s="27">
        <v>7133105</v>
      </c>
      <c r="F68" s="27">
        <v>67546</v>
      </c>
      <c r="G68" s="28">
        <v>7200651</v>
      </c>
      <c r="H68" s="16"/>
      <c r="I68" s="16"/>
      <c r="J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</row>
    <row r="69" spans="2:41" ht="15" customHeight="1" thickBot="1" x14ac:dyDescent="0.2">
      <c r="B69" s="6" t="s">
        <v>40</v>
      </c>
      <c r="C69" s="7" t="s">
        <v>9</v>
      </c>
      <c r="D69" s="11"/>
      <c r="E69" s="11">
        <v>547900000</v>
      </c>
      <c r="F69" s="11">
        <v>61097695</v>
      </c>
      <c r="G69" s="12">
        <v>608997695</v>
      </c>
    </row>
    <row r="156" spans="8:60" ht="15" customHeight="1" x14ac:dyDescent="0.15">
      <c r="BH156" s="21" t="s">
        <v>46</v>
      </c>
    </row>
    <row r="157" spans="8:60" ht="15" customHeight="1" x14ac:dyDescent="0.15">
      <c r="I157" s="18"/>
      <c r="J157" s="19">
        <v>21</v>
      </c>
      <c r="K157" s="19">
        <v>22</v>
      </c>
      <c r="L157" s="19">
        <v>23</v>
      </c>
      <c r="M157" s="19">
        <v>24</v>
      </c>
      <c r="N157" s="19">
        <v>25</v>
      </c>
      <c r="O157" s="19">
        <v>26</v>
      </c>
      <c r="P157" s="19">
        <v>27</v>
      </c>
      <c r="Q157" s="19">
        <v>28</v>
      </c>
      <c r="R157" s="19">
        <v>29</v>
      </c>
      <c r="S157" s="19">
        <v>30</v>
      </c>
      <c r="T157" s="19">
        <v>31</v>
      </c>
      <c r="U157" s="19">
        <v>2</v>
      </c>
      <c r="V157" s="19">
        <v>3</v>
      </c>
      <c r="W157" s="19">
        <v>4</v>
      </c>
      <c r="X157" s="19">
        <v>5</v>
      </c>
      <c r="Y157" s="19">
        <v>6</v>
      </c>
      <c r="Z157" s="19">
        <v>7</v>
      </c>
      <c r="AA157" s="19">
        <v>8</v>
      </c>
      <c r="AB157" s="19">
        <v>9</v>
      </c>
      <c r="AC157" s="19">
        <v>10</v>
      </c>
      <c r="AD157" s="19">
        <v>11</v>
      </c>
      <c r="AE157" s="19">
        <v>12</v>
      </c>
      <c r="AF157" s="19">
        <v>13</v>
      </c>
      <c r="AG157" s="19">
        <v>14</v>
      </c>
      <c r="AH157" s="19">
        <v>15</v>
      </c>
      <c r="AI157" s="19">
        <v>16</v>
      </c>
      <c r="AJ157" s="19">
        <v>17</v>
      </c>
      <c r="AK157" s="19">
        <v>18</v>
      </c>
      <c r="AL157" s="19">
        <v>19</v>
      </c>
      <c r="AM157" s="19">
        <v>20</v>
      </c>
      <c r="AN157" s="19">
        <v>21</v>
      </c>
      <c r="AO157" s="19">
        <v>22</v>
      </c>
      <c r="AP157" s="19">
        <v>23</v>
      </c>
      <c r="AQ157" s="19">
        <v>24</v>
      </c>
      <c r="AR157" s="19">
        <v>25</v>
      </c>
      <c r="AS157" s="19">
        <v>26</v>
      </c>
      <c r="AT157" s="19">
        <v>27</v>
      </c>
      <c r="AU157" s="19">
        <v>28</v>
      </c>
      <c r="AV157" s="19">
        <v>29</v>
      </c>
      <c r="AW157" s="19">
        <v>30</v>
      </c>
      <c r="AX157" s="19">
        <v>31</v>
      </c>
      <c r="AY157" s="19">
        <v>32</v>
      </c>
      <c r="AZ157" s="19">
        <v>33</v>
      </c>
      <c r="BA157" s="19">
        <v>34</v>
      </c>
      <c r="BB157" s="19">
        <v>35</v>
      </c>
      <c r="BC157" s="19">
        <v>36</v>
      </c>
      <c r="BD157" s="19">
        <v>37</v>
      </c>
      <c r="BE157" s="19">
        <v>38</v>
      </c>
      <c r="BF157" s="19">
        <v>39</v>
      </c>
      <c r="BG157" s="19">
        <v>40</v>
      </c>
      <c r="BH157" s="19" t="s">
        <v>45</v>
      </c>
    </row>
    <row r="158" spans="8:60" ht="15" customHeight="1" x14ac:dyDescent="0.15">
      <c r="H158" s="16" t="s">
        <v>50</v>
      </c>
      <c r="I158" s="19" t="s">
        <v>43</v>
      </c>
      <c r="J158" s="24"/>
      <c r="K158" s="24"/>
      <c r="L158" s="24"/>
      <c r="M158" s="24"/>
      <c r="N158" s="24"/>
      <c r="O158" s="24"/>
      <c r="P158" s="24"/>
      <c r="Q158" s="24"/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905608</v>
      </c>
      <c r="Y158" s="24">
        <v>2525735</v>
      </c>
      <c r="Z158" s="24">
        <v>5448057</v>
      </c>
      <c r="AA158" s="24">
        <v>10727849</v>
      </c>
      <c r="AB158" s="24">
        <v>18388372</v>
      </c>
      <c r="AC158" s="24">
        <v>21454270</v>
      </c>
      <c r="AD158" s="24">
        <v>27161701</v>
      </c>
      <c r="AE158" s="24">
        <v>27357787</v>
      </c>
      <c r="AF158" s="24">
        <v>27555725</v>
      </c>
      <c r="AG158" s="24">
        <v>27755539</v>
      </c>
      <c r="AH158" s="24">
        <v>27957237</v>
      </c>
      <c r="AI158" s="24">
        <v>26035550</v>
      </c>
      <c r="AJ158" s="24">
        <v>26223642</v>
      </c>
      <c r="AK158" s="24">
        <v>26413551</v>
      </c>
      <c r="AL158" s="24">
        <v>26605286</v>
      </c>
      <c r="AM158" s="24">
        <v>26798873</v>
      </c>
      <c r="AN158" s="24">
        <v>26994340</v>
      </c>
      <c r="AO158" s="24">
        <v>27191704</v>
      </c>
      <c r="AP158" s="24">
        <v>27390981</v>
      </c>
      <c r="AQ158" s="24">
        <v>27592200</v>
      </c>
      <c r="AR158" s="24">
        <v>26794654</v>
      </c>
      <c r="AS158" s="24">
        <v>25313312</v>
      </c>
      <c r="AT158" s="24">
        <v>22451423</v>
      </c>
      <c r="AU158" s="24">
        <v>16941804</v>
      </c>
      <c r="AV158" s="24">
        <v>10781695</v>
      </c>
      <c r="AW158" s="24">
        <v>7133105</v>
      </c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>
        <f>SUM(J158:BG158)</f>
        <v>547900000</v>
      </c>
    </row>
    <row r="159" spans="8:60" ht="15" customHeight="1" x14ac:dyDescent="0.15">
      <c r="H159" s="16" t="s">
        <v>50</v>
      </c>
      <c r="I159" s="19" t="s">
        <v>44</v>
      </c>
      <c r="J159" s="24"/>
      <c r="K159" s="24"/>
      <c r="L159" s="24"/>
      <c r="M159" s="24"/>
      <c r="N159" s="24"/>
      <c r="O159" s="24"/>
      <c r="P159" s="24"/>
      <c r="Q159" s="24"/>
      <c r="R159" s="24">
        <v>0</v>
      </c>
      <c r="S159" s="24">
        <v>93047</v>
      </c>
      <c r="T159" s="24">
        <v>148442</v>
      </c>
      <c r="U159" s="24">
        <v>299987</v>
      </c>
      <c r="V159" s="24">
        <v>671966</v>
      </c>
      <c r="W159" s="24">
        <v>1398836</v>
      </c>
      <c r="X159" s="24">
        <v>2164759</v>
      </c>
      <c r="Y159" s="24">
        <v>3869208</v>
      </c>
      <c r="Z159" s="24">
        <v>3999239</v>
      </c>
      <c r="AA159" s="24">
        <v>3979029</v>
      </c>
      <c r="AB159" s="24">
        <v>3930434</v>
      </c>
      <c r="AC159" s="24">
        <v>3836373</v>
      </c>
      <c r="AD159" s="24">
        <v>3694293</v>
      </c>
      <c r="AE159" s="24">
        <v>3498207</v>
      </c>
      <c r="AF159" s="24">
        <v>3300269</v>
      </c>
      <c r="AG159" s="24">
        <v>3100455</v>
      </c>
      <c r="AH159" s="24">
        <v>2898753</v>
      </c>
      <c r="AI159" s="24">
        <v>2699484</v>
      </c>
      <c r="AJ159" s="24">
        <v>2511392</v>
      </c>
      <c r="AK159" s="24">
        <v>2321483</v>
      </c>
      <c r="AL159" s="24">
        <v>2129748</v>
      </c>
      <c r="AM159" s="24">
        <v>1936161</v>
      </c>
      <c r="AN159" s="24">
        <v>1740694</v>
      </c>
      <c r="AO159" s="24">
        <v>1543330</v>
      </c>
      <c r="AP159" s="24">
        <v>1344053</v>
      </c>
      <c r="AQ159" s="24">
        <v>1142834</v>
      </c>
      <c r="AR159" s="24">
        <v>940902</v>
      </c>
      <c r="AS159" s="24">
        <v>740751</v>
      </c>
      <c r="AT159" s="24">
        <v>544695</v>
      </c>
      <c r="AU159" s="24">
        <v>357132</v>
      </c>
      <c r="AV159" s="24">
        <v>194193</v>
      </c>
      <c r="AW159" s="24">
        <v>67546</v>
      </c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>
        <f t="shared" ref="BH159:BH166" si="0">SUM(J159:BG159)</f>
        <v>61097695</v>
      </c>
    </row>
    <row r="160" spans="8:60" ht="15" customHeight="1" x14ac:dyDescent="0.15">
      <c r="H160" s="16" t="s">
        <v>52</v>
      </c>
      <c r="I160" s="19" t="s">
        <v>43</v>
      </c>
      <c r="J160" s="24"/>
      <c r="K160" s="24"/>
      <c r="L160" s="24"/>
      <c r="M160" s="24"/>
      <c r="N160" s="24"/>
      <c r="O160" s="24"/>
      <c r="P160" s="24"/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245281</v>
      </c>
      <c r="W160" s="24">
        <v>932127</v>
      </c>
      <c r="X160" s="24">
        <v>936055</v>
      </c>
      <c r="Y160" s="24">
        <v>940002</v>
      </c>
      <c r="Z160" s="24">
        <v>943966</v>
      </c>
      <c r="AA160" s="24">
        <v>947949</v>
      </c>
      <c r="AB160" s="24">
        <v>951949</v>
      </c>
      <c r="AC160" s="24">
        <v>955969</v>
      </c>
      <c r="AD160" s="24">
        <v>960008</v>
      </c>
      <c r="AE160" s="24">
        <v>964064</v>
      </c>
      <c r="AF160" s="24">
        <v>968140</v>
      </c>
      <c r="AG160" s="24">
        <v>972235</v>
      </c>
      <c r="AH160" s="24">
        <v>976349</v>
      </c>
      <c r="AI160" s="24">
        <v>980481</v>
      </c>
      <c r="AJ160" s="24">
        <v>984633</v>
      </c>
      <c r="AK160" s="24">
        <v>988804</v>
      </c>
      <c r="AL160" s="24">
        <v>992996</v>
      </c>
      <c r="AM160" s="24">
        <v>997205</v>
      </c>
      <c r="AN160" s="24">
        <v>1001435</v>
      </c>
      <c r="AO160" s="24">
        <v>1005684</v>
      </c>
      <c r="AP160" s="24">
        <v>754668</v>
      </c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>
        <f t="shared" si="0"/>
        <v>19400000</v>
      </c>
    </row>
    <row r="161" spans="8:60" ht="15" customHeight="1" x14ac:dyDescent="0.15">
      <c r="H161" s="16" t="s">
        <v>52</v>
      </c>
      <c r="I161" s="19" t="s">
        <v>44</v>
      </c>
      <c r="J161" s="24"/>
      <c r="K161" s="24"/>
      <c r="L161" s="24"/>
      <c r="M161" s="24"/>
      <c r="N161" s="24"/>
      <c r="O161" s="24"/>
      <c r="P161" s="24"/>
      <c r="Q161" s="24">
        <v>8342</v>
      </c>
      <c r="R161" s="24">
        <v>77167</v>
      </c>
      <c r="S161" s="24">
        <v>82000</v>
      </c>
      <c r="T161" s="24">
        <v>82000</v>
      </c>
      <c r="U161" s="24">
        <v>82000</v>
      </c>
      <c r="V161" s="24">
        <v>81877</v>
      </c>
      <c r="W161" s="24">
        <v>80529</v>
      </c>
      <c r="X161" s="24">
        <v>76601</v>
      </c>
      <c r="Y161" s="24">
        <v>72654</v>
      </c>
      <c r="Z161" s="24">
        <v>68690</v>
      </c>
      <c r="AA161" s="24">
        <v>64707</v>
      </c>
      <c r="AB161" s="24">
        <v>60707</v>
      </c>
      <c r="AC161" s="24">
        <v>56687</v>
      </c>
      <c r="AD161" s="24">
        <v>52648</v>
      </c>
      <c r="AE161" s="24">
        <v>48592</v>
      </c>
      <c r="AF161" s="24">
        <v>44516</v>
      </c>
      <c r="AG161" s="24">
        <v>40421</v>
      </c>
      <c r="AH161" s="24">
        <v>36307</v>
      </c>
      <c r="AI161" s="24">
        <v>32175</v>
      </c>
      <c r="AJ161" s="24">
        <v>28023</v>
      </c>
      <c r="AK161" s="24">
        <v>23852</v>
      </c>
      <c r="AL161" s="24">
        <v>19660</v>
      </c>
      <c r="AM161" s="24">
        <v>15451</v>
      </c>
      <c r="AN161" s="24">
        <v>11221</v>
      </c>
      <c r="AO161" s="24">
        <v>6972</v>
      </c>
      <c r="AP161" s="24">
        <v>2830</v>
      </c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>
        <f t="shared" si="0"/>
        <v>1256629</v>
      </c>
    </row>
    <row r="162" spans="8:60" ht="15" customHeight="1" x14ac:dyDescent="0.15">
      <c r="H162" s="16" t="s">
        <v>53</v>
      </c>
      <c r="I162" s="19" t="s">
        <v>43</v>
      </c>
      <c r="J162" s="24"/>
      <c r="K162" s="24"/>
      <c r="L162" s="24"/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196435</v>
      </c>
      <c r="T162" s="24">
        <v>199195</v>
      </c>
      <c r="U162" s="24">
        <v>1323478</v>
      </c>
      <c r="V162" s="24">
        <v>1433808</v>
      </c>
      <c r="W162" s="24">
        <v>2288847</v>
      </c>
      <c r="X162" s="24">
        <v>2997153</v>
      </c>
      <c r="Y162" s="24">
        <v>3015635</v>
      </c>
      <c r="Z162" s="24">
        <v>3034292</v>
      </c>
      <c r="AA162" s="24">
        <v>5078129</v>
      </c>
      <c r="AB162" s="24">
        <v>13287150</v>
      </c>
      <c r="AC162" s="24">
        <v>2266349</v>
      </c>
      <c r="AD162" s="24">
        <v>2285734</v>
      </c>
      <c r="AE162" s="24">
        <v>2305305</v>
      </c>
      <c r="AF162" s="24">
        <v>2325067</v>
      </c>
      <c r="AG162" s="24">
        <v>2345015</v>
      </c>
      <c r="AH162" s="24">
        <v>2365158</v>
      </c>
      <c r="AI162" s="24">
        <v>2385494</v>
      </c>
      <c r="AJ162" s="24">
        <v>2406029</v>
      </c>
      <c r="AK162" s="24">
        <v>2426761</v>
      </c>
      <c r="AL162" s="24">
        <v>2447691</v>
      </c>
      <c r="AM162" s="24">
        <v>2209172</v>
      </c>
      <c r="AN162" s="24">
        <v>2226864</v>
      </c>
      <c r="AO162" s="24">
        <v>875609</v>
      </c>
      <c r="AP162" s="24">
        <v>775630</v>
      </c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>
        <f t="shared" si="0"/>
        <v>62500000</v>
      </c>
    </row>
    <row r="163" spans="8:60" ht="15" customHeight="1" x14ac:dyDescent="0.15">
      <c r="H163" s="16" t="s">
        <v>53</v>
      </c>
      <c r="I163" s="19" t="s">
        <v>44</v>
      </c>
      <c r="J163" s="24"/>
      <c r="K163" s="24"/>
      <c r="L163" s="24"/>
      <c r="M163" s="24">
        <v>0</v>
      </c>
      <c r="N163" s="24">
        <v>59116</v>
      </c>
      <c r="O163" s="24">
        <v>63000</v>
      </c>
      <c r="P163" s="24">
        <v>294773</v>
      </c>
      <c r="Q163" s="24">
        <v>317506</v>
      </c>
      <c r="R163" s="24">
        <v>399587</v>
      </c>
      <c r="S163" s="24">
        <v>469304</v>
      </c>
      <c r="T163" s="24">
        <v>466045</v>
      </c>
      <c r="U163" s="24">
        <v>460238</v>
      </c>
      <c r="V163" s="24">
        <v>446062</v>
      </c>
      <c r="W163" s="24">
        <v>430409</v>
      </c>
      <c r="X163" s="24">
        <v>410876</v>
      </c>
      <c r="Y163" s="24">
        <v>388326</v>
      </c>
      <c r="Z163" s="24">
        <v>365805</v>
      </c>
      <c r="AA163" s="24">
        <v>343105</v>
      </c>
      <c r="AB163" s="24">
        <v>288427</v>
      </c>
      <c r="AC163" s="24">
        <v>240783</v>
      </c>
      <c r="AD163" s="24">
        <v>221398</v>
      </c>
      <c r="AE163" s="24">
        <v>201827</v>
      </c>
      <c r="AF163" s="24">
        <v>182065</v>
      </c>
      <c r="AG163" s="24">
        <v>162117</v>
      </c>
      <c r="AH163" s="24">
        <v>141974</v>
      </c>
      <c r="AI163" s="24">
        <v>121638</v>
      </c>
      <c r="AJ163" s="24">
        <v>101103</v>
      </c>
      <c r="AK163" s="24">
        <v>80371</v>
      </c>
      <c r="AL163" s="24">
        <v>59441</v>
      </c>
      <c r="AM163" s="24">
        <v>39210</v>
      </c>
      <c r="AN163" s="24">
        <v>21518</v>
      </c>
      <c r="AO163" s="24">
        <v>7085</v>
      </c>
      <c r="AP163" s="24">
        <v>2910</v>
      </c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>
        <f t="shared" si="0"/>
        <v>6786019</v>
      </c>
    </row>
    <row r="164" spans="8:60" ht="15" customHeight="1" x14ac:dyDescent="0.15">
      <c r="H164" s="16" t="s">
        <v>54</v>
      </c>
      <c r="I164" s="19" t="s">
        <v>43</v>
      </c>
      <c r="J164" s="24"/>
      <c r="K164" s="24"/>
      <c r="L164" s="24"/>
      <c r="M164" s="24"/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703448</v>
      </c>
      <c r="T164" s="24">
        <v>711915</v>
      </c>
      <c r="U164" s="24">
        <v>1242634</v>
      </c>
      <c r="V164" s="24">
        <v>1386474</v>
      </c>
      <c r="W164" s="24">
        <v>1697060</v>
      </c>
      <c r="X164" s="24">
        <v>1711803</v>
      </c>
      <c r="Y164" s="24">
        <v>1726712</v>
      </c>
      <c r="Z164" s="24">
        <v>1741782</v>
      </c>
      <c r="AA164" s="24">
        <v>6177018</v>
      </c>
      <c r="AB164" s="24">
        <v>1476424</v>
      </c>
      <c r="AC164" s="24">
        <v>1491999</v>
      </c>
      <c r="AD164" s="24">
        <v>1507746</v>
      </c>
      <c r="AE164" s="24">
        <v>1523668</v>
      </c>
      <c r="AF164" s="24">
        <v>1539763</v>
      </c>
      <c r="AG164" s="24">
        <v>1556040</v>
      </c>
      <c r="AH164" s="24">
        <v>1572493</v>
      </c>
      <c r="AI164" s="24">
        <v>1589130</v>
      </c>
      <c r="AJ164" s="24">
        <v>1605949</v>
      </c>
      <c r="AK164" s="24">
        <v>1622954</v>
      </c>
      <c r="AL164" s="24">
        <v>1640148</v>
      </c>
      <c r="AM164" s="24">
        <v>763917</v>
      </c>
      <c r="AN164" s="24">
        <v>770737</v>
      </c>
      <c r="AO164" s="24">
        <v>140186</v>
      </c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>
        <f t="shared" si="0"/>
        <v>35900000</v>
      </c>
    </row>
    <row r="165" spans="8:60" ht="15" customHeight="1" x14ac:dyDescent="0.15">
      <c r="H165" s="16" t="s">
        <v>54</v>
      </c>
      <c r="I165" s="19" t="s">
        <v>44</v>
      </c>
      <c r="J165" s="24"/>
      <c r="K165" s="24"/>
      <c r="L165" s="24"/>
      <c r="M165" s="24"/>
      <c r="N165" s="24">
        <v>174795</v>
      </c>
      <c r="O165" s="24">
        <v>189600</v>
      </c>
      <c r="P165" s="24">
        <v>297510</v>
      </c>
      <c r="Q165" s="24">
        <v>314734</v>
      </c>
      <c r="R165" s="24">
        <v>342836</v>
      </c>
      <c r="S165" s="24">
        <v>340435</v>
      </c>
      <c r="T165" s="24">
        <v>332043</v>
      </c>
      <c r="U165" s="24">
        <v>322095</v>
      </c>
      <c r="V165" s="24">
        <v>308061</v>
      </c>
      <c r="W165" s="24">
        <v>293136</v>
      </c>
      <c r="X165" s="24">
        <v>277100</v>
      </c>
      <c r="Y165" s="24">
        <v>260760</v>
      </c>
      <c r="Z165" s="24">
        <v>244329</v>
      </c>
      <c r="AA165" s="24">
        <v>227731</v>
      </c>
      <c r="AB165" s="24">
        <v>190972</v>
      </c>
      <c r="AC165" s="24">
        <v>175397</v>
      </c>
      <c r="AD165" s="24">
        <v>159650</v>
      </c>
      <c r="AE165" s="24">
        <v>143728</v>
      </c>
      <c r="AF165" s="24">
        <v>127633</v>
      </c>
      <c r="AG165" s="24">
        <v>111356</v>
      </c>
      <c r="AH165" s="24">
        <v>94903</v>
      </c>
      <c r="AI165" s="24">
        <v>78266</v>
      </c>
      <c r="AJ165" s="24">
        <v>61447</v>
      </c>
      <c r="AK165" s="24">
        <v>44442</v>
      </c>
      <c r="AL165" s="24">
        <v>27248</v>
      </c>
      <c r="AM165" s="24">
        <v>12535</v>
      </c>
      <c r="AN165" s="24">
        <v>5715</v>
      </c>
      <c r="AO165" s="24">
        <v>420</v>
      </c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>
        <f t="shared" si="0"/>
        <v>5158877</v>
      </c>
    </row>
    <row r="166" spans="8:60" ht="15" customHeight="1" x14ac:dyDescent="0.15">
      <c r="H166" s="16" t="s">
        <v>51</v>
      </c>
      <c r="I166" s="19" t="s">
        <v>43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3693626</v>
      </c>
      <c r="P166" s="24">
        <v>3771599</v>
      </c>
      <c r="Q166" s="24">
        <v>3851219</v>
      </c>
      <c r="R166" s="24">
        <v>3932519</v>
      </c>
      <c r="S166" s="24">
        <v>4015536</v>
      </c>
      <c r="T166" s="24">
        <v>4100304</v>
      </c>
      <c r="U166" s="24">
        <v>4186863</v>
      </c>
      <c r="V166" s="24">
        <v>4275248</v>
      </c>
      <c r="W166" s="24">
        <v>4365501</v>
      </c>
      <c r="X166" s="24">
        <v>5835135</v>
      </c>
      <c r="Y166" s="24">
        <v>5936133</v>
      </c>
      <c r="Z166" s="24">
        <v>7003151</v>
      </c>
      <c r="AA166" s="24">
        <v>7108236</v>
      </c>
      <c r="AB166" s="24">
        <v>7215424</v>
      </c>
      <c r="AC166" s="24">
        <v>7324762</v>
      </c>
      <c r="AD166" s="24">
        <v>8867922</v>
      </c>
      <c r="AE166" s="24">
        <v>10446583</v>
      </c>
      <c r="AF166" s="24">
        <v>27959569</v>
      </c>
      <c r="AG166" s="24">
        <v>9807586</v>
      </c>
      <c r="AH166" s="24">
        <v>9974699</v>
      </c>
      <c r="AI166" s="24">
        <v>10144959</v>
      </c>
      <c r="AJ166" s="24">
        <v>10318437</v>
      </c>
      <c r="AK166" s="24">
        <v>10495191</v>
      </c>
      <c r="AL166" s="24">
        <v>10675290</v>
      </c>
      <c r="AM166" s="24">
        <v>10858797</v>
      </c>
      <c r="AN166" s="24">
        <v>4818920</v>
      </c>
      <c r="AO166" s="24">
        <v>4877996</v>
      </c>
      <c r="AP166" s="24">
        <v>4937909</v>
      </c>
      <c r="AQ166" s="24">
        <v>4998677</v>
      </c>
      <c r="AR166" s="24">
        <v>3538146</v>
      </c>
      <c r="AS166" s="24">
        <v>3593033</v>
      </c>
      <c r="AT166" s="24">
        <v>3648771</v>
      </c>
      <c r="AU166" s="24">
        <v>3705375</v>
      </c>
      <c r="AV166" s="24">
        <v>3762858</v>
      </c>
      <c r="AW166" s="24">
        <v>3821235</v>
      </c>
      <c r="AX166" s="24">
        <v>1932791</v>
      </c>
      <c r="AY166" s="24"/>
      <c r="AZ166" s="24"/>
      <c r="BA166" s="24"/>
      <c r="BB166" s="24"/>
      <c r="BC166" s="24"/>
      <c r="BD166" s="24"/>
      <c r="BE166" s="24"/>
      <c r="BF166" s="24"/>
      <c r="BG166" s="24"/>
      <c r="BH166" s="24">
        <f t="shared" si="0"/>
        <v>239800000</v>
      </c>
    </row>
    <row r="167" spans="8:60" ht="15" customHeight="1" x14ac:dyDescent="0.15">
      <c r="H167" s="16" t="s">
        <v>51</v>
      </c>
      <c r="I167" s="19" t="s">
        <v>44</v>
      </c>
      <c r="J167" s="24">
        <v>2102301</v>
      </c>
      <c r="K167" s="24">
        <v>2520000</v>
      </c>
      <c r="L167" s="24">
        <v>2520000</v>
      </c>
      <c r="M167" s="24">
        <v>2520000</v>
      </c>
      <c r="N167" s="24">
        <v>2520000</v>
      </c>
      <c r="O167" s="24">
        <v>2500710</v>
      </c>
      <c r="P167" s="24">
        <v>2422737</v>
      </c>
      <c r="Q167" s="24">
        <v>2343117</v>
      </c>
      <c r="R167" s="24">
        <v>2261817</v>
      </c>
      <c r="S167" s="24">
        <v>2320330</v>
      </c>
      <c r="T167" s="24">
        <v>2238532</v>
      </c>
      <c r="U167" s="24">
        <v>2151973</v>
      </c>
      <c r="V167" s="24">
        <v>2063588</v>
      </c>
      <c r="W167" s="24">
        <v>2098311</v>
      </c>
      <c r="X167" s="24">
        <v>2014787</v>
      </c>
      <c r="Y167" s="24">
        <v>2342366</v>
      </c>
      <c r="Z167" s="24">
        <v>2841256</v>
      </c>
      <c r="AA167" s="24">
        <v>2730773</v>
      </c>
      <c r="AB167" s="24">
        <v>2618519</v>
      </c>
      <c r="AC167" s="24">
        <v>2503450</v>
      </c>
      <c r="AD167" s="24">
        <v>2386518</v>
      </c>
      <c r="AE167" s="24">
        <v>2234084</v>
      </c>
      <c r="AF167" s="24">
        <v>2067974</v>
      </c>
      <c r="AG167" s="24">
        <v>1802460</v>
      </c>
      <c r="AH167" s="24">
        <v>1635347</v>
      </c>
      <c r="AI167" s="24">
        <v>1465087</v>
      </c>
      <c r="AJ167" s="24">
        <v>1291609</v>
      </c>
      <c r="AK167" s="24">
        <v>1114855</v>
      </c>
      <c r="AL167" s="24">
        <v>934756</v>
      </c>
      <c r="AM167" s="24">
        <v>751249</v>
      </c>
      <c r="AN167" s="24">
        <v>596790</v>
      </c>
      <c r="AO167" s="24">
        <v>537714</v>
      </c>
      <c r="AP167" s="24">
        <v>477801</v>
      </c>
      <c r="AQ167" s="24">
        <v>417033</v>
      </c>
      <c r="AR167" s="24">
        <v>357306</v>
      </c>
      <c r="AS167" s="24">
        <v>302419</v>
      </c>
      <c r="AT167" s="24">
        <v>246681</v>
      </c>
      <c r="AU167" s="24">
        <v>190077</v>
      </c>
      <c r="AV167" s="24">
        <v>132594</v>
      </c>
      <c r="AW167" s="24">
        <v>74217</v>
      </c>
      <c r="AX167" s="24">
        <v>14935</v>
      </c>
      <c r="AY167" s="24"/>
      <c r="AZ167" s="24"/>
      <c r="BA167" s="24"/>
      <c r="BB167" s="24"/>
      <c r="BC167" s="24"/>
      <c r="BD167" s="24"/>
      <c r="BE167" s="24"/>
      <c r="BF167" s="24"/>
      <c r="BG167" s="24"/>
      <c r="BH167" s="24">
        <f>SUM(J167:BG167)</f>
        <v>66666073</v>
      </c>
    </row>
    <row r="168" spans="8:60" ht="15" customHeight="1" x14ac:dyDescent="0.15">
      <c r="H168" s="16" t="s">
        <v>55</v>
      </c>
      <c r="I168" s="19" t="s">
        <v>43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3196799</v>
      </c>
      <c r="AF168" s="24">
        <v>9667324</v>
      </c>
      <c r="AG168" s="24">
        <v>16241793</v>
      </c>
      <c r="AH168" s="24">
        <v>22921873</v>
      </c>
      <c r="AI168" s="24">
        <v>29709262</v>
      </c>
      <c r="AJ168" s="24">
        <v>36605684</v>
      </c>
      <c r="AK168" s="24">
        <v>43612890</v>
      </c>
      <c r="AL168" s="24">
        <v>50732660</v>
      </c>
      <c r="AM168" s="24">
        <v>57966802</v>
      </c>
      <c r="AN168" s="24">
        <v>62120354</v>
      </c>
      <c r="AO168" s="24">
        <v>63118256</v>
      </c>
      <c r="AP168" s="24">
        <v>64132187</v>
      </c>
      <c r="AQ168" s="24">
        <v>65162407</v>
      </c>
      <c r="AR168" s="24">
        <v>66209176</v>
      </c>
      <c r="AS168" s="24">
        <v>67272760</v>
      </c>
      <c r="AT168" s="24">
        <v>68353429</v>
      </c>
      <c r="AU168" s="24">
        <v>69451458</v>
      </c>
      <c r="AV168" s="24">
        <v>70567126</v>
      </c>
      <c r="AW168" s="24">
        <v>71700716</v>
      </c>
      <c r="AX168" s="24">
        <v>72852516</v>
      </c>
      <c r="AY168" s="24">
        <v>69626020</v>
      </c>
      <c r="AZ168" s="24">
        <v>61915720</v>
      </c>
      <c r="BA168" s="24">
        <v>54081562</v>
      </c>
      <c r="BB168" s="24">
        <v>46121556</v>
      </c>
      <c r="BC168" s="24">
        <v>38033681</v>
      </c>
      <c r="BD168" s="24">
        <v>29815882</v>
      </c>
      <c r="BE168" s="24">
        <v>21466072</v>
      </c>
      <c r="BF168" s="24">
        <v>12982131</v>
      </c>
      <c r="BG168" s="24">
        <v>4361904</v>
      </c>
      <c r="BH168" s="24">
        <f t="shared" ref="BH168" si="1">SUM(J168:BG168)</f>
        <v>1350000000</v>
      </c>
    </row>
    <row r="169" spans="8:60" ht="15" customHeight="1" x14ac:dyDescent="0.15">
      <c r="H169" s="16" t="s">
        <v>55</v>
      </c>
      <c r="I169" s="19" t="s">
        <v>44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1032328</v>
      </c>
      <c r="AA169" s="24">
        <v>3432328</v>
      </c>
      <c r="AB169" s="24">
        <v>5832328</v>
      </c>
      <c r="AC169" s="24">
        <v>8232328</v>
      </c>
      <c r="AD169" s="24">
        <v>10632328</v>
      </c>
      <c r="AE169" s="24">
        <v>13032328</v>
      </c>
      <c r="AF169" s="24">
        <v>15355401</v>
      </c>
      <c r="AG169" s="24">
        <v>17574530</v>
      </c>
      <c r="AH169" s="24">
        <v>19688048</v>
      </c>
      <c r="AI169" s="24">
        <v>20661929</v>
      </c>
      <c r="AJ169" s="24">
        <v>20159105</v>
      </c>
      <c r="AK169" s="24">
        <v>19545497</v>
      </c>
      <c r="AL169" s="24">
        <v>18819325</v>
      </c>
      <c r="AM169" s="24">
        <v>17978781</v>
      </c>
      <c r="AN169" s="24">
        <v>17022028</v>
      </c>
      <c r="AO169" s="24">
        <v>16024126</v>
      </c>
      <c r="AP169" s="24">
        <v>15010195</v>
      </c>
      <c r="AQ169" s="24">
        <v>13979975</v>
      </c>
      <c r="AR169" s="24">
        <v>12933206</v>
      </c>
      <c r="AS169" s="24">
        <v>11869622</v>
      </c>
      <c r="AT169" s="24">
        <v>10788953</v>
      </c>
      <c r="AU169" s="24">
        <v>9690924</v>
      </c>
      <c r="AV169" s="24">
        <v>8575256</v>
      </c>
      <c r="AW169" s="24">
        <v>7441666</v>
      </c>
      <c r="AX169" s="24">
        <v>6289866</v>
      </c>
      <c r="AY169" s="24">
        <v>5119563</v>
      </c>
      <c r="AZ169" s="24">
        <v>4036265</v>
      </c>
      <c r="BA169" s="24">
        <v>3076825</v>
      </c>
      <c r="BB169" s="24">
        <v>2243233</v>
      </c>
      <c r="BC169" s="24">
        <v>1537510</v>
      </c>
      <c r="BD169" s="24">
        <v>961711</v>
      </c>
      <c r="BE169" s="24">
        <v>517923</v>
      </c>
      <c r="BF169" s="24">
        <v>208266</v>
      </c>
      <c r="BG169" s="24">
        <v>34895</v>
      </c>
      <c r="BH169" s="24">
        <f>SUM(J169:BG169)</f>
        <v>339338592</v>
      </c>
    </row>
    <row r="170" spans="8:60" ht="15" customHeight="1" x14ac:dyDescent="0.15">
      <c r="I170" s="19" t="s">
        <v>45</v>
      </c>
      <c r="J170" s="24">
        <f t="shared" ref="J170:BF170" si="2">J158+J159+J160+J161+J162+J163+J164+J165+J166+J167+J168+J169</f>
        <v>2102301</v>
      </c>
      <c r="K170" s="24">
        <f t="shared" si="2"/>
        <v>2520000</v>
      </c>
      <c r="L170" s="24">
        <f t="shared" si="2"/>
        <v>2520000</v>
      </c>
      <c r="M170" s="24">
        <f t="shared" si="2"/>
        <v>2520000</v>
      </c>
      <c r="N170" s="24">
        <f t="shared" si="2"/>
        <v>2753911</v>
      </c>
      <c r="O170" s="24">
        <f t="shared" si="2"/>
        <v>6446936</v>
      </c>
      <c r="P170" s="24">
        <f t="shared" si="2"/>
        <v>6786619</v>
      </c>
      <c r="Q170" s="24">
        <f t="shared" si="2"/>
        <v>6834918</v>
      </c>
      <c r="R170" s="24">
        <f t="shared" si="2"/>
        <v>7013926</v>
      </c>
      <c r="S170" s="24">
        <f t="shared" si="2"/>
        <v>8220535</v>
      </c>
      <c r="T170" s="24">
        <f t="shared" si="2"/>
        <v>8278476</v>
      </c>
      <c r="U170" s="24">
        <f t="shared" si="2"/>
        <v>10069268</v>
      </c>
      <c r="V170" s="24">
        <f t="shared" si="2"/>
        <v>10912365</v>
      </c>
      <c r="W170" s="24">
        <f t="shared" si="2"/>
        <v>13584756</v>
      </c>
      <c r="X170" s="24">
        <f t="shared" si="2"/>
        <v>17329877</v>
      </c>
      <c r="Y170" s="24">
        <f t="shared" si="2"/>
        <v>21077531</v>
      </c>
      <c r="Z170" s="24">
        <f t="shared" si="2"/>
        <v>26722895</v>
      </c>
      <c r="AA170" s="24">
        <f t="shared" si="2"/>
        <v>40816854</v>
      </c>
      <c r="AB170" s="24">
        <f t="shared" si="2"/>
        <v>54240706</v>
      </c>
      <c r="AC170" s="24">
        <f t="shared" si="2"/>
        <v>48538367</v>
      </c>
      <c r="AD170" s="24">
        <f t="shared" si="2"/>
        <v>57929946</v>
      </c>
      <c r="AE170" s="24">
        <f t="shared" si="2"/>
        <v>64952972</v>
      </c>
      <c r="AF170" s="24">
        <f t="shared" si="2"/>
        <v>91093446</v>
      </c>
      <c r="AG170" s="24">
        <f t="shared" si="2"/>
        <v>81469547</v>
      </c>
      <c r="AH170" s="24">
        <f t="shared" si="2"/>
        <v>90263141</v>
      </c>
      <c r="AI170" s="24">
        <f t="shared" si="2"/>
        <v>95903455</v>
      </c>
      <c r="AJ170" s="24">
        <f t="shared" si="2"/>
        <v>102297053</v>
      </c>
      <c r="AK170" s="24">
        <f t="shared" si="2"/>
        <v>108690651</v>
      </c>
      <c r="AL170" s="24">
        <f t="shared" si="2"/>
        <v>115084249</v>
      </c>
      <c r="AM170" s="24">
        <f t="shared" si="2"/>
        <v>120328153</v>
      </c>
      <c r="AN170" s="24">
        <f t="shared" si="2"/>
        <v>117330616</v>
      </c>
      <c r="AO170" s="24">
        <f t="shared" si="2"/>
        <v>115329082</v>
      </c>
      <c r="AP170" s="24">
        <f t="shared" si="2"/>
        <v>114829164</v>
      </c>
      <c r="AQ170" s="24">
        <f t="shared" si="2"/>
        <v>113293126</v>
      </c>
      <c r="AR170" s="24">
        <f t="shared" si="2"/>
        <v>110773390</v>
      </c>
      <c r="AS170" s="24">
        <f t="shared" si="2"/>
        <v>109091897</v>
      </c>
      <c r="AT170" s="24">
        <f t="shared" si="2"/>
        <v>106033952</v>
      </c>
      <c r="AU170" s="24">
        <f t="shared" si="2"/>
        <v>100336770</v>
      </c>
      <c r="AV170" s="24">
        <f t="shared" si="2"/>
        <v>94013722</v>
      </c>
      <c r="AW170" s="24">
        <f t="shared" si="2"/>
        <v>90238485</v>
      </c>
      <c r="AX170" s="24">
        <f t="shared" si="2"/>
        <v>81090108</v>
      </c>
      <c r="AY170" s="24">
        <f t="shared" si="2"/>
        <v>74745583</v>
      </c>
      <c r="AZ170" s="24">
        <f t="shared" si="2"/>
        <v>65951985</v>
      </c>
      <c r="BA170" s="24">
        <f t="shared" si="2"/>
        <v>57158387</v>
      </c>
      <c r="BB170" s="24">
        <f t="shared" si="2"/>
        <v>48364789</v>
      </c>
      <c r="BC170" s="24">
        <f t="shared" si="2"/>
        <v>39571191</v>
      </c>
      <c r="BD170" s="24">
        <f t="shared" si="2"/>
        <v>30777593</v>
      </c>
      <c r="BE170" s="24">
        <f t="shared" si="2"/>
        <v>21983995</v>
      </c>
      <c r="BF170" s="24">
        <f t="shared" si="2"/>
        <v>13190397</v>
      </c>
      <c r="BG170" s="24">
        <f>BG158+BG159+BG160+BG161+BG162+BG163+BG164+BG165+BG166+BG167+BG168+BG169</f>
        <v>4396799</v>
      </c>
      <c r="BH170" s="24">
        <f>SUM(J170:BG170)</f>
        <v>2735803885</v>
      </c>
    </row>
    <row r="171" spans="8:60" ht="15" customHeight="1" x14ac:dyDescent="0.15">
      <c r="I171" s="31"/>
    </row>
    <row r="172" spans="8:60" ht="15" customHeight="1" x14ac:dyDescent="0.15">
      <c r="I172" s="31"/>
    </row>
    <row r="173" spans="8:60" ht="15" customHeight="1" x14ac:dyDescent="0.15">
      <c r="BH173" s="21" t="s">
        <v>47</v>
      </c>
    </row>
    <row r="174" spans="8:60" ht="15" customHeight="1" x14ac:dyDescent="0.15">
      <c r="I174" s="30"/>
      <c r="J174" s="19">
        <v>24</v>
      </c>
      <c r="K174" s="19">
        <v>25</v>
      </c>
      <c r="L174" s="19">
        <v>26</v>
      </c>
      <c r="M174" s="19">
        <v>24</v>
      </c>
      <c r="N174" s="19">
        <v>25</v>
      </c>
      <c r="O174" s="19">
        <v>26</v>
      </c>
      <c r="P174" s="19">
        <v>27</v>
      </c>
      <c r="Q174" s="19">
        <v>28</v>
      </c>
      <c r="R174" s="19">
        <v>29</v>
      </c>
      <c r="S174" s="19">
        <v>30</v>
      </c>
      <c r="T174" s="19">
        <v>31</v>
      </c>
      <c r="U174" s="19">
        <v>2</v>
      </c>
      <c r="V174" s="19">
        <v>3</v>
      </c>
      <c r="W174" s="19">
        <v>4</v>
      </c>
      <c r="X174" s="19">
        <v>5</v>
      </c>
      <c r="Y174" s="19">
        <v>6</v>
      </c>
      <c r="Z174" s="19">
        <v>7</v>
      </c>
      <c r="AA174" s="19">
        <v>8</v>
      </c>
      <c r="AB174" s="19">
        <v>9</v>
      </c>
      <c r="AC174" s="19">
        <v>10</v>
      </c>
      <c r="AD174" s="19">
        <v>11</v>
      </c>
      <c r="AE174" s="19">
        <v>12</v>
      </c>
      <c r="AF174" s="19">
        <v>13</v>
      </c>
      <c r="AG174" s="19">
        <v>14</v>
      </c>
      <c r="AH174" s="19">
        <v>15</v>
      </c>
      <c r="AI174" s="19">
        <v>16</v>
      </c>
      <c r="AJ174" s="19">
        <v>17</v>
      </c>
      <c r="AK174" s="19">
        <v>18</v>
      </c>
      <c r="AL174" s="19">
        <v>19</v>
      </c>
      <c r="AM174" s="19">
        <v>20</v>
      </c>
      <c r="AN174" s="19">
        <v>21</v>
      </c>
      <c r="AO174" s="19">
        <v>22</v>
      </c>
      <c r="AP174" s="19">
        <v>23</v>
      </c>
      <c r="AQ174" s="19">
        <v>24</v>
      </c>
      <c r="AR174" s="19">
        <v>25</v>
      </c>
      <c r="AS174" s="19">
        <v>26</v>
      </c>
      <c r="AT174" s="19">
        <v>27</v>
      </c>
      <c r="AU174" s="19">
        <v>28</v>
      </c>
      <c r="AV174" s="19">
        <v>29</v>
      </c>
      <c r="AW174" s="19">
        <v>30</v>
      </c>
      <c r="AX174" s="19">
        <v>31</v>
      </c>
      <c r="AY174" s="19">
        <v>32</v>
      </c>
      <c r="AZ174" s="19">
        <v>33</v>
      </c>
      <c r="BA174" s="19">
        <v>34</v>
      </c>
      <c r="BB174" s="19">
        <v>35</v>
      </c>
      <c r="BC174" s="19">
        <v>36</v>
      </c>
      <c r="BD174" s="19">
        <v>37</v>
      </c>
      <c r="BE174" s="19">
        <v>38</v>
      </c>
      <c r="BF174" s="19">
        <v>39</v>
      </c>
      <c r="BG174" s="19">
        <v>40</v>
      </c>
      <c r="BH174" s="19" t="s">
        <v>45</v>
      </c>
    </row>
    <row r="175" spans="8:60" ht="15" customHeight="1" x14ac:dyDescent="0.15">
      <c r="H175" s="16" t="s">
        <v>50</v>
      </c>
      <c r="I175" s="19" t="s">
        <v>43</v>
      </c>
      <c r="J175" s="25">
        <f t="shared" ref="J175:BH179" si="3">ROUND(J158/1000000,0)</f>
        <v>0</v>
      </c>
      <c r="K175" s="25">
        <f t="shared" si="3"/>
        <v>0</v>
      </c>
      <c r="L175" s="25">
        <f t="shared" si="3"/>
        <v>0</v>
      </c>
      <c r="M175" s="25">
        <f t="shared" si="3"/>
        <v>0</v>
      </c>
      <c r="N175" s="25">
        <f t="shared" si="3"/>
        <v>0</v>
      </c>
      <c r="O175" s="25">
        <f t="shared" si="3"/>
        <v>0</v>
      </c>
      <c r="P175" s="25">
        <f t="shared" si="3"/>
        <v>0</v>
      </c>
      <c r="Q175" s="25">
        <f t="shared" si="3"/>
        <v>0</v>
      </c>
      <c r="R175" s="25">
        <f t="shared" si="3"/>
        <v>0</v>
      </c>
      <c r="S175" s="25">
        <f t="shared" si="3"/>
        <v>0</v>
      </c>
      <c r="T175" s="25">
        <f t="shared" si="3"/>
        <v>0</v>
      </c>
      <c r="U175" s="25">
        <f t="shared" si="3"/>
        <v>0</v>
      </c>
      <c r="V175" s="25">
        <f t="shared" si="3"/>
        <v>0</v>
      </c>
      <c r="W175" s="25">
        <f t="shared" si="3"/>
        <v>0</v>
      </c>
      <c r="X175" s="25">
        <f t="shared" si="3"/>
        <v>1</v>
      </c>
      <c r="Y175" s="25">
        <f t="shared" si="3"/>
        <v>3</v>
      </c>
      <c r="Z175" s="25">
        <f t="shared" si="3"/>
        <v>5</v>
      </c>
      <c r="AA175" s="25">
        <f t="shared" si="3"/>
        <v>11</v>
      </c>
      <c r="AB175" s="25">
        <f t="shared" si="3"/>
        <v>18</v>
      </c>
      <c r="AC175" s="25">
        <f t="shared" si="3"/>
        <v>21</v>
      </c>
      <c r="AD175" s="25">
        <f t="shared" si="3"/>
        <v>27</v>
      </c>
      <c r="AE175" s="25">
        <f t="shared" si="3"/>
        <v>27</v>
      </c>
      <c r="AF175" s="25">
        <f t="shared" si="3"/>
        <v>28</v>
      </c>
      <c r="AG175" s="25">
        <f t="shared" si="3"/>
        <v>28</v>
      </c>
      <c r="AH175" s="25">
        <f t="shared" si="3"/>
        <v>28</v>
      </c>
      <c r="AI175" s="25">
        <f t="shared" si="3"/>
        <v>26</v>
      </c>
      <c r="AJ175" s="25">
        <f t="shared" si="3"/>
        <v>26</v>
      </c>
      <c r="AK175" s="25">
        <f t="shared" si="3"/>
        <v>26</v>
      </c>
      <c r="AL175" s="25">
        <f t="shared" si="3"/>
        <v>27</v>
      </c>
      <c r="AM175" s="25">
        <f t="shared" si="3"/>
        <v>27</v>
      </c>
      <c r="AN175" s="25">
        <f t="shared" si="3"/>
        <v>27</v>
      </c>
      <c r="AO175" s="25">
        <f t="shared" si="3"/>
        <v>27</v>
      </c>
      <c r="AP175" s="25">
        <f t="shared" si="3"/>
        <v>27</v>
      </c>
      <c r="AQ175" s="25">
        <f t="shared" si="3"/>
        <v>28</v>
      </c>
      <c r="AR175" s="25">
        <f t="shared" si="3"/>
        <v>27</v>
      </c>
      <c r="AS175" s="25">
        <f t="shared" si="3"/>
        <v>25</v>
      </c>
      <c r="AT175" s="25">
        <f t="shared" si="3"/>
        <v>22</v>
      </c>
      <c r="AU175" s="25">
        <f t="shared" si="3"/>
        <v>17</v>
      </c>
      <c r="AV175" s="25">
        <f t="shared" si="3"/>
        <v>11</v>
      </c>
      <c r="AW175" s="25">
        <f t="shared" si="3"/>
        <v>7</v>
      </c>
      <c r="AX175" s="25">
        <f t="shared" si="3"/>
        <v>0</v>
      </c>
      <c r="AY175" s="25">
        <f t="shared" si="3"/>
        <v>0</v>
      </c>
      <c r="AZ175" s="25">
        <f t="shared" si="3"/>
        <v>0</v>
      </c>
      <c r="BA175" s="25">
        <f t="shared" si="3"/>
        <v>0</v>
      </c>
      <c r="BB175" s="25">
        <f t="shared" si="3"/>
        <v>0</v>
      </c>
      <c r="BC175" s="25">
        <f t="shared" si="3"/>
        <v>0</v>
      </c>
      <c r="BD175" s="25">
        <f t="shared" si="3"/>
        <v>0</v>
      </c>
      <c r="BE175" s="25">
        <f t="shared" si="3"/>
        <v>0</v>
      </c>
      <c r="BF175" s="25">
        <f t="shared" si="3"/>
        <v>0</v>
      </c>
      <c r="BG175" s="25">
        <f t="shared" si="3"/>
        <v>0</v>
      </c>
      <c r="BH175" s="25">
        <f t="shared" si="3"/>
        <v>548</v>
      </c>
    </row>
    <row r="176" spans="8:60" ht="15" customHeight="1" x14ac:dyDescent="0.15">
      <c r="H176" s="16" t="s">
        <v>50</v>
      </c>
      <c r="I176" s="19" t="s">
        <v>44</v>
      </c>
      <c r="J176" s="25">
        <f t="shared" si="3"/>
        <v>0</v>
      </c>
      <c r="K176" s="25">
        <f t="shared" si="3"/>
        <v>0</v>
      </c>
      <c r="L176" s="25">
        <f t="shared" si="3"/>
        <v>0</v>
      </c>
      <c r="M176" s="25">
        <f t="shared" si="3"/>
        <v>0</v>
      </c>
      <c r="N176" s="25">
        <f t="shared" si="3"/>
        <v>0</v>
      </c>
      <c r="O176" s="25">
        <f t="shared" si="3"/>
        <v>0</v>
      </c>
      <c r="P176" s="25">
        <f t="shared" si="3"/>
        <v>0</v>
      </c>
      <c r="Q176" s="25">
        <f t="shared" si="3"/>
        <v>0</v>
      </c>
      <c r="R176" s="25">
        <f t="shared" si="3"/>
        <v>0</v>
      </c>
      <c r="S176" s="25">
        <f t="shared" si="3"/>
        <v>0</v>
      </c>
      <c r="T176" s="25">
        <f t="shared" si="3"/>
        <v>0</v>
      </c>
      <c r="U176" s="25">
        <f t="shared" si="3"/>
        <v>0</v>
      </c>
      <c r="V176" s="25">
        <f t="shared" si="3"/>
        <v>1</v>
      </c>
      <c r="W176" s="25">
        <f t="shared" si="3"/>
        <v>1</v>
      </c>
      <c r="X176" s="25">
        <f t="shared" si="3"/>
        <v>2</v>
      </c>
      <c r="Y176" s="25">
        <f t="shared" si="3"/>
        <v>4</v>
      </c>
      <c r="Z176" s="25">
        <f t="shared" si="3"/>
        <v>4</v>
      </c>
      <c r="AA176" s="25">
        <f t="shared" si="3"/>
        <v>4</v>
      </c>
      <c r="AB176" s="25">
        <f t="shared" si="3"/>
        <v>4</v>
      </c>
      <c r="AC176" s="25">
        <f t="shared" si="3"/>
        <v>4</v>
      </c>
      <c r="AD176" s="25">
        <f t="shared" si="3"/>
        <v>4</v>
      </c>
      <c r="AE176" s="25">
        <f t="shared" si="3"/>
        <v>3</v>
      </c>
      <c r="AF176" s="25">
        <f t="shared" si="3"/>
        <v>3</v>
      </c>
      <c r="AG176" s="25">
        <f t="shared" si="3"/>
        <v>3</v>
      </c>
      <c r="AH176" s="25">
        <f t="shared" si="3"/>
        <v>3</v>
      </c>
      <c r="AI176" s="25">
        <f t="shared" si="3"/>
        <v>3</v>
      </c>
      <c r="AJ176" s="25">
        <f t="shared" si="3"/>
        <v>3</v>
      </c>
      <c r="AK176" s="25">
        <f t="shared" si="3"/>
        <v>2</v>
      </c>
      <c r="AL176" s="25">
        <f t="shared" si="3"/>
        <v>2</v>
      </c>
      <c r="AM176" s="25">
        <f t="shared" si="3"/>
        <v>2</v>
      </c>
      <c r="AN176" s="25">
        <f t="shared" si="3"/>
        <v>2</v>
      </c>
      <c r="AO176" s="25">
        <f t="shared" si="3"/>
        <v>2</v>
      </c>
      <c r="AP176" s="25">
        <f t="shared" si="3"/>
        <v>1</v>
      </c>
      <c r="AQ176" s="25">
        <f t="shared" si="3"/>
        <v>1</v>
      </c>
      <c r="AR176" s="25">
        <f t="shared" si="3"/>
        <v>1</v>
      </c>
      <c r="AS176" s="25">
        <f t="shared" si="3"/>
        <v>1</v>
      </c>
      <c r="AT176" s="25">
        <f t="shared" si="3"/>
        <v>1</v>
      </c>
      <c r="AU176" s="25">
        <f t="shared" si="3"/>
        <v>0</v>
      </c>
      <c r="AV176" s="25">
        <f t="shared" si="3"/>
        <v>0</v>
      </c>
      <c r="AW176" s="25">
        <f t="shared" si="3"/>
        <v>0</v>
      </c>
      <c r="AX176" s="25">
        <f t="shared" si="3"/>
        <v>0</v>
      </c>
      <c r="AY176" s="25">
        <f t="shared" si="3"/>
        <v>0</v>
      </c>
      <c r="AZ176" s="25">
        <f t="shared" si="3"/>
        <v>0</v>
      </c>
      <c r="BA176" s="25">
        <f t="shared" si="3"/>
        <v>0</v>
      </c>
      <c r="BB176" s="25">
        <f t="shared" si="3"/>
        <v>0</v>
      </c>
      <c r="BC176" s="25">
        <f t="shared" si="3"/>
        <v>0</v>
      </c>
      <c r="BD176" s="25">
        <f t="shared" si="3"/>
        <v>0</v>
      </c>
      <c r="BE176" s="25">
        <f t="shared" si="3"/>
        <v>0</v>
      </c>
      <c r="BF176" s="25">
        <f t="shared" si="3"/>
        <v>0</v>
      </c>
      <c r="BG176" s="25">
        <f t="shared" si="3"/>
        <v>0</v>
      </c>
      <c r="BH176" s="25">
        <f t="shared" si="3"/>
        <v>61</v>
      </c>
    </row>
    <row r="177" spans="8:60" ht="15" customHeight="1" x14ac:dyDescent="0.15">
      <c r="H177" s="16" t="s">
        <v>52</v>
      </c>
      <c r="I177" s="19" t="s">
        <v>43</v>
      </c>
      <c r="J177" s="25">
        <f t="shared" si="3"/>
        <v>0</v>
      </c>
      <c r="K177" s="25">
        <f t="shared" si="3"/>
        <v>0</v>
      </c>
      <c r="L177" s="25">
        <f t="shared" si="3"/>
        <v>0</v>
      </c>
      <c r="M177" s="25">
        <f t="shared" si="3"/>
        <v>0</v>
      </c>
      <c r="N177" s="25">
        <f t="shared" si="3"/>
        <v>0</v>
      </c>
      <c r="O177" s="25">
        <f t="shared" si="3"/>
        <v>0</v>
      </c>
      <c r="P177" s="25">
        <f t="shared" si="3"/>
        <v>0</v>
      </c>
      <c r="Q177" s="25">
        <f t="shared" si="3"/>
        <v>0</v>
      </c>
      <c r="R177" s="25">
        <f t="shared" si="3"/>
        <v>0</v>
      </c>
      <c r="S177" s="25">
        <f t="shared" si="3"/>
        <v>0</v>
      </c>
      <c r="T177" s="25">
        <f t="shared" si="3"/>
        <v>0</v>
      </c>
      <c r="U177" s="25">
        <f t="shared" si="3"/>
        <v>0</v>
      </c>
      <c r="V177" s="25">
        <f t="shared" si="3"/>
        <v>0</v>
      </c>
      <c r="W177" s="25">
        <f t="shared" si="3"/>
        <v>1</v>
      </c>
      <c r="X177" s="25">
        <f t="shared" si="3"/>
        <v>1</v>
      </c>
      <c r="Y177" s="25">
        <f t="shared" si="3"/>
        <v>1</v>
      </c>
      <c r="Z177" s="25">
        <f t="shared" si="3"/>
        <v>1</v>
      </c>
      <c r="AA177" s="25">
        <f t="shared" si="3"/>
        <v>1</v>
      </c>
      <c r="AB177" s="25">
        <f t="shared" si="3"/>
        <v>1</v>
      </c>
      <c r="AC177" s="25">
        <f t="shared" si="3"/>
        <v>1</v>
      </c>
      <c r="AD177" s="25">
        <f t="shared" si="3"/>
        <v>1</v>
      </c>
      <c r="AE177" s="25">
        <f t="shared" si="3"/>
        <v>1</v>
      </c>
      <c r="AF177" s="25">
        <f t="shared" si="3"/>
        <v>1</v>
      </c>
      <c r="AG177" s="25">
        <f t="shared" si="3"/>
        <v>1</v>
      </c>
      <c r="AH177" s="25">
        <f t="shared" si="3"/>
        <v>1</v>
      </c>
      <c r="AI177" s="25">
        <f t="shared" si="3"/>
        <v>1</v>
      </c>
      <c r="AJ177" s="25">
        <f t="shared" si="3"/>
        <v>1</v>
      </c>
      <c r="AK177" s="25">
        <f t="shared" si="3"/>
        <v>1</v>
      </c>
      <c r="AL177" s="25">
        <f t="shared" si="3"/>
        <v>1</v>
      </c>
      <c r="AM177" s="25">
        <f t="shared" si="3"/>
        <v>1</v>
      </c>
      <c r="AN177" s="25">
        <f t="shared" si="3"/>
        <v>1</v>
      </c>
      <c r="AO177" s="25">
        <f t="shared" si="3"/>
        <v>1</v>
      </c>
      <c r="AP177" s="25">
        <f t="shared" si="3"/>
        <v>1</v>
      </c>
      <c r="AQ177" s="25">
        <f t="shared" si="3"/>
        <v>0</v>
      </c>
      <c r="AR177" s="25">
        <f t="shared" si="3"/>
        <v>0</v>
      </c>
      <c r="AS177" s="25">
        <f t="shared" si="3"/>
        <v>0</v>
      </c>
      <c r="AT177" s="25">
        <f t="shared" si="3"/>
        <v>0</v>
      </c>
      <c r="AU177" s="25">
        <f t="shared" si="3"/>
        <v>0</v>
      </c>
      <c r="AV177" s="25">
        <f t="shared" si="3"/>
        <v>0</v>
      </c>
      <c r="AW177" s="25">
        <f t="shared" si="3"/>
        <v>0</v>
      </c>
      <c r="AX177" s="25">
        <f t="shared" si="3"/>
        <v>0</v>
      </c>
      <c r="AY177" s="25">
        <f t="shared" si="3"/>
        <v>0</v>
      </c>
      <c r="AZ177" s="25">
        <f t="shared" si="3"/>
        <v>0</v>
      </c>
      <c r="BA177" s="25">
        <f t="shared" si="3"/>
        <v>0</v>
      </c>
      <c r="BB177" s="25">
        <f t="shared" si="3"/>
        <v>0</v>
      </c>
      <c r="BC177" s="25">
        <f t="shared" si="3"/>
        <v>0</v>
      </c>
      <c r="BD177" s="25">
        <f t="shared" si="3"/>
        <v>0</v>
      </c>
      <c r="BE177" s="25">
        <f t="shared" si="3"/>
        <v>0</v>
      </c>
      <c r="BF177" s="25">
        <f t="shared" si="3"/>
        <v>0</v>
      </c>
      <c r="BG177" s="25">
        <f t="shared" si="3"/>
        <v>0</v>
      </c>
      <c r="BH177" s="25">
        <f t="shared" si="3"/>
        <v>19</v>
      </c>
    </row>
    <row r="178" spans="8:60" ht="15" customHeight="1" x14ac:dyDescent="0.15">
      <c r="H178" s="16" t="s">
        <v>52</v>
      </c>
      <c r="I178" s="19" t="s">
        <v>44</v>
      </c>
      <c r="J178" s="25">
        <f t="shared" si="3"/>
        <v>0</v>
      </c>
      <c r="K178" s="25">
        <f t="shared" si="3"/>
        <v>0</v>
      </c>
      <c r="L178" s="25">
        <f t="shared" si="3"/>
        <v>0</v>
      </c>
      <c r="M178" s="25">
        <f t="shared" si="3"/>
        <v>0</v>
      </c>
      <c r="N178" s="25">
        <f t="shared" si="3"/>
        <v>0</v>
      </c>
      <c r="O178" s="25">
        <f t="shared" si="3"/>
        <v>0</v>
      </c>
      <c r="P178" s="25">
        <f t="shared" si="3"/>
        <v>0</v>
      </c>
      <c r="Q178" s="25">
        <f t="shared" si="3"/>
        <v>0</v>
      </c>
      <c r="R178" s="25">
        <f t="shared" si="3"/>
        <v>0</v>
      </c>
      <c r="S178" s="25">
        <f t="shared" si="3"/>
        <v>0</v>
      </c>
      <c r="T178" s="25">
        <f t="shared" si="3"/>
        <v>0</v>
      </c>
      <c r="U178" s="25">
        <f t="shared" si="3"/>
        <v>0</v>
      </c>
      <c r="V178" s="25">
        <f t="shared" si="3"/>
        <v>0</v>
      </c>
      <c r="W178" s="25">
        <f t="shared" si="3"/>
        <v>0</v>
      </c>
      <c r="X178" s="25">
        <f t="shared" si="3"/>
        <v>0</v>
      </c>
      <c r="Y178" s="25">
        <f t="shared" si="3"/>
        <v>0</v>
      </c>
      <c r="Z178" s="25">
        <f t="shared" si="3"/>
        <v>0</v>
      </c>
      <c r="AA178" s="25">
        <f t="shared" si="3"/>
        <v>0</v>
      </c>
      <c r="AB178" s="25">
        <f t="shared" si="3"/>
        <v>0</v>
      </c>
      <c r="AC178" s="25">
        <f t="shared" si="3"/>
        <v>0</v>
      </c>
      <c r="AD178" s="25">
        <f t="shared" si="3"/>
        <v>0</v>
      </c>
      <c r="AE178" s="25">
        <f t="shared" si="3"/>
        <v>0</v>
      </c>
      <c r="AF178" s="25">
        <f t="shared" si="3"/>
        <v>0</v>
      </c>
      <c r="AG178" s="25">
        <f t="shared" si="3"/>
        <v>0</v>
      </c>
      <c r="AH178" s="25">
        <f t="shared" si="3"/>
        <v>0</v>
      </c>
      <c r="AI178" s="25">
        <f t="shared" si="3"/>
        <v>0</v>
      </c>
      <c r="AJ178" s="25">
        <f t="shared" si="3"/>
        <v>0</v>
      </c>
      <c r="AK178" s="25">
        <f t="shared" si="3"/>
        <v>0</v>
      </c>
      <c r="AL178" s="25">
        <f t="shared" si="3"/>
        <v>0</v>
      </c>
      <c r="AM178" s="25">
        <f t="shared" si="3"/>
        <v>0</v>
      </c>
      <c r="AN178" s="25">
        <f t="shared" si="3"/>
        <v>0</v>
      </c>
      <c r="AO178" s="25">
        <f t="shared" si="3"/>
        <v>0</v>
      </c>
      <c r="AP178" s="25">
        <f t="shared" si="3"/>
        <v>0</v>
      </c>
      <c r="AQ178" s="25">
        <f t="shared" si="3"/>
        <v>0</v>
      </c>
      <c r="AR178" s="25">
        <f t="shared" si="3"/>
        <v>0</v>
      </c>
      <c r="AS178" s="25">
        <f t="shared" si="3"/>
        <v>0</v>
      </c>
      <c r="AT178" s="25">
        <f t="shared" si="3"/>
        <v>0</v>
      </c>
      <c r="AU178" s="25">
        <f t="shared" si="3"/>
        <v>0</v>
      </c>
      <c r="AV178" s="25">
        <f t="shared" si="3"/>
        <v>0</v>
      </c>
      <c r="AW178" s="25">
        <f t="shared" si="3"/>
        <v>0</v>
      </c>
      <c r="AX178" s="25">
        <f t="shared" si="3"/>
        <v>0</v>
      </c>
      <c r="AY178" s="25">
        <f t="shared" si="3"/>
        <v>0</v>
      </c>
      <c r="AZ178" s="25">
        <f t="shared" si="3"/>
        <v>0</v>
      </c>
      <c r="BA178" s="25">
        <f t="shared" si="3"/>
        <v>0</v>
      </c>
      <c r="BB178" s="25">
        <f t="shared" si="3"/>
        <v>0</v>
      </c>
      <c r="BC178" s="25">
        <f t="shared" si="3"/>
        <v>0</v>
      </c>
      <c r="BD178" s="25">
        <f t="shared" si="3"/>
        <v>0</v>
      </c>
      <c r="BE178" s="25">
        <f t="shared" si="3"/>
        <v>0</v>
      </c>
      <c r="BF178" s="25">
        <f t="shared" si="3"/>
        <v>0</v>
      </c>
      <c r="BG178" s="25">
        <f t="shared" si="3"/>
        <v>0</v>
      </c>
      <c r="BH178" s="25">
        <f t="shared" si="3"/>
        <v>1</v>
      </c>
    </row>
    <row r="179" spans="8:60" ht="15" customHeight="1" x14ac:dyDescent="0.15">
      <c r="H179" s="16" t="s">
        <v>53</v>
      </c>
      <c r="I179" s="19" t="s">
        <v>43</v>
      </c>
      <c r="J179" s="25">
        <f t="shared" si="3"/>
        <v>0</v>
      </c>
      <c r="K179" s="25">
        <f t="shared" si="3"/>
        <v>0</v>
      </c>
      <c r="L179" s="25">
        <f t="shared" si="3"/>
        <v>0</v>
      </c>
      <c r="M179" s="25">
        <f t="shared" si="3"/>
        <v>0</v>
      </c>
      <c r="N179" s="25">
        <f t="shared" si="3"/>
        <v>0</v>
      </c>
      <c r="O179" s="25">
        <f t="shared" si="3"/>
        <v>0</v>
      </c>
      <c r="P179" s="25">
        <f t="shared" si="3"/>
        <v>0</v>
      </c>
      <c r="Q179" s="25">
        <f t="shared" si="3"/>
        <v>0</v>
      </c>
      <c r="R179" s="25">
        <f t="shared" si="3"/>
        <v>0</v>
      </c>
      <c r="S179" s="25">
        <f t="shared" si="3"/>
        <v>0</v>
      </c>
      <c r="T179" s="25">
        <f t="shared" si="3"/>
        <v>0</v>
      </c>
      <c r="U179" s="25">
        <f t="shared" si="3"/>
        <v>1</v>
      </c>
      <c r="V179" s="25">
        <f t="shared" si="3"/>
        <v>1</v>
      </c>
      <c r="W179" s="25">
        <f t="shared" si="3"/>
        <v>2</v>
      </c>
      <c r="X179" s="25">
        <f t="shared" si="3"/>
        <v>3</v>
      </c>
      <c r="Y179" s="25">
        <f t="shared" si="3"/>
        <v>3</v>
      </c>
      <c r="Z179" s="25">
        <f t="shared" si="3"/>
        <v>3</v>
      </c>
      <c r="AA179" s="25">
        <f t="shared" si="3"/>
        <v>5</v>
      </c>
      <c r="AB179" s="25">
        <f t="shared" si="3"/>
        <v>13</v>
      </c>
      <c r="AC179" s="25">
        <f t="shared" si="3"/>
        <v>2</v>
      </c>
      <c r="AD179" s="25">
        <f t="shared" si="3"/>
        <v>2</v>
      </c>
      <c r="AE179" s="25">
        <f t="shared" si="3"/>
        <v>2</v>
      </c>
      <c r="AF179" s="25">
        <f t="shared" si="3"/>
        <v>2</v>
      </c>
      <c r="AG179" s="25">
        <f t="shared" si="3"/>
        <v>2</v>
      </c>
      <c r="AH179" s="25">
        <f t="shared" si="3"/>
        <v>2</v>
      </c>
      <c r="AI179" s="25">
        <f t="shared" si="3"/>
        <v>2</v>
      </c>
      <c r="AJ179" s="25">
        <f t="shared" si="3"/>
        <v>2</v>
      </c>
      <c r="AK179" s="25">
        <f t="shared" si="3"/>
        <v>2</v>
      </c>
      <c r="AL179" s="25">
        <f t="shared" si="3"/>
        <v>2</v>
      </c>
      <c r="AM179" s="25">
        <f t="shared" si="3"/>
        <v>2</v>
      </c>
      <c r="AN179" s="25">
        <f t="shared" si="3"/>
        <v>2</v>
      </c>
      <c r="AO179" s="25">
        <f t="shared" si="3"/>
        <v>1</v>
      </c>
      <c r="AP179" s="25">
        <f t="shared" si="3"/>
        <v>1</v>
      </c>
      <c r="AQ179" s="25">
        <f t="shared" si="3"/>
        <v>0</v>
      </c>
      <c r="AR179" s="25">
        <f t="shared" si="3"/>
        <v>0</v>
      </c>
      <c r="AS179" s="25">
        <f t="shared" si="3"/>
        <v>0</v>
      </c>
      <c r="AT179" s="25">
        <f t="shared" si="3"/>
        <v>0</v>
      </c>
      <c r="AU179" s="25">
        <f t="shared" si="3"/>
        <v>0</v>
      </c>
      <c r="AV179" s="25">
        <f t="shared" si="3"/>
        <v>0</v>
      </c>
      <c r="AW179" s="25">
        <f t="shared" si="3"/>
        <v>0</v>
      </c>
      <c r="AX179" s="25">
        <f t="shared" si="3"/>
        <v>0</v>
      </c>
      <c r="AY179" s="25">
        <f t="shared" si="3"/>
        <v>0</v>
      </c>
      <c r="AZ179" s="25">
        <f t="shared" si="3"/>
        <v>0</v>
      </c>
      <c r="BA179" s="25">
        <f t="shared" si="3"/>
        <v>0</v>
      </c>
      <c r="BB179" s="25">
        <f t="shared" si="3"/>
        <v>0</v>
      </c>
      <c r="BC179" s="25">
        <f t="shared" si="3"/>
        <v>0</v>
      </c>
      <c r="BD179" s="25">
        <f t="shared" si="3"/>
        <v>0</v>
      </c>
      <c r="BE179" s="25">
        <f t="shared" si="3"/>
        <v>0</v>
      </c>
      <c r="BF179" s="25">
        <f t="shared" si="3"/>
        <v>0</v>
      </c>
      <c r="BG179" s="25">
        <f t="shared" si="3"/>
        <v>0</v>
      </c>
      <c r="BH179" s="25">
        <f t="shared" si="3"/>
        <v>63</v>
      </c>
    </row>
    <row r="180" spans="8:60" ht="15" customHeight="1" x14ac:dyDescent="0.15">
      <c r="H180" s="16" t="s">
        <v>53</v>
      </c>
      <c r="I180" s="19" t="s">
        <v>44</v>
      </c>
      <c r="J180" s="25">
        <f t="shared" ref="J180:BH184" si="4">ROUND(J163/1000000,0)</f>
        <v>0</v>
      </c>
      <c r="K180" s="25">
        <f t="shared" si="4"/>
        <v>0</v>
      </c>
      <c r="L180" s="25">
        <f t="shared" si="4"/>
        <v>0</v>
      </c>
      <c r="M180" s="25">
        <f t="shared" si="4"/>
        <v>0</v>
      </c>
      <c r="N180" s="25">
        <f t="shared" si="4"/>
        <v>0</v>
      </c>
      <c r="O180" s="25">
        <f t="shared" si="4"/>
        <v>0</v>
      </c>
      <c r="P180" s="25">
        <f t="shared" si="4"/>
        <v>0</v>
      </c>
      <c r="Q180" s="25">
        <f t="shared" si="4"/>
        <v>0</v>
      </c>
      <c r="R180" s="25">
        <f t="shared" si="4"/>
        <v>0</v>
      </c>
      <c r="S180" s="25">
        <f t="shared" si="4"/>
        <v>0</v>
      </c>
      <c r="T180" s="25">
        <f t="shared" si="4"/>
        <v>0</v>
      </c>
      <c r="U180" s="25">
        <f t="shared" si="4"/>
        <v>0</v>
      </c>
      <c r="V180" s="25">
        <f t="shared" si="4"/>
        <v>0</v>
      </c>
      <c r="W180" s="25">
        <f t="shared" si="4"/>
        <v>0</v>
      </c>
      <c r="X180" s="25">
        <f t="shared" si="4"/>
        <v>0</v>
      </c>
      <c r="Y180" s="25">
        <f t="shared" si="4"/>
        <v>0</v>
      </c>
      <c r="Z180" s="25">
        <f t="shared" si="4"/>
        <v>0</v>
      </c>
      <c r="AA180" s="25">
        <f t="shared" si="4"/>
        <v>0</v>
      </c>
      <c r="AB180" s="25">
        <f t="shared" si="4"/>
        <v>0</v>
      </c>
      <c r="AC180" s="25">
        <f t="shared" si="4"/>
        <v>0</v>
      </c>
      <c r="AD180" s="25">
        <f t="shared" si="4"/>
        <v>0</v>
      </c>
      <c r="AE180" s="25">
        <f t="shared" si="4"/>
        <v>0</v>
      </c>
      <c r="AF180" s="25">
        <f t="shared" si="4"/>
        <v>0</v>
      </c>
      <c r="AG180" s="25">
        <f t="shared" si="4"/>
        <v>0</v>
      </c>
      <c r="AH180" s="25">
        <f t="shared" si="4"/>
        <v>0</v>
      </c>
      <c r="AI180" s="25">
        <f t="shared" si="4"/>
        <v>0</v>
      </c>
      <c r="AJ180" s="25">
        <f t="shared" si="4"/>
        <v>0</v>
      </c>
      <c r="AK180" s="25">
        <f t="shared" si="4"/>
        <v>0</v>
      </c>
      <c r="AL180" s="25">
        <f t="shared" si="4"/>
        <v>0</v>
      </c>
      <c r="AM180" s="25">
        <f t="shared" si="4"/>
        <v>0</v>
      </c>
      <c r="AN180" s="25">
        <f t="shared" si="4"/>
        <v>0</v>
      </c>
      <c r="AO180" s="25">
        <f t="shared" si="4"/>
        <v>0</v>
      </c>
      <c r="AP180" s="25">
        <f t="shared" si="4"/>
        <v>0</v>
      </c>
      <c r="AQ180" s="25">
        <f t="shared" si="4"/>
        <v>0</v>
      </c>
      <c r="AR180" s="25">
        <f t="shared" si="4"/>
        <v>0</v>
      </c>
      <c r="AS180" s="25">
        <f t="shared" si="4"/>
        <v>0</v>
      </c>
      <c r="AT180" s="25">
        <f t="shared" si="4"/>
        <v>0</v>
      </c>
      <c r="AU180" s="25">
        <f t="shared" si="4"/>
        <v>0</v>
      </c>
      <c r="AV180" s="25">
        <f t="shared" si="4"/>
        <v>0</v>
      </c>
      <c r="AW180" s="25">
        <f t="shared" si="4"/>
        <v>0</v>
      </c>
      <c r="AX180" s="25">
        <f t="shared" si="4"/>
        <v>0</v>
      </c>
      <c r="AY180" s="25">
        <f t="shared" si="4"/>
        <v>0</v>
      </c>
      <c r="AZ180" s="25">
        <f t="shared" si="4"/>
        <v>0</v>
      </c>
      <c r="BA180" s="25">
        <f t="shared" si="4"/>
        <v>0</v>
      </c>
      <c r="BB180" s="25">
        <f t="shared" si="4"/>
        <v>0</v>
      </c>
      <c r="BC180" s="25">
        <f t="shared" si="4"/>
        <v>0</v>
      </c>
      <c r="BD180" s="25">
        <f t="shared" si="4"/>
        <v>0</v>
      </c>
      <c r="BE180" s="25">
        <f t="shared" si="4"/>
        <v>0</v>
      </c>
      <c r="BF180" s="25">
        <f t="shared" si="4"/>
        <v>0</v>
      </c>
      <c r="BG180" s="25">
        <f t="shared" si="4"/>
        <v>0</v>
      </c>
      <c r="BH180" s="25">
        <f t="shared" si="4"/>
        <v>7</v>
      </c>
    </row>
    <row r="181" spans="8:60" ht="15" customHeight="1" x14ac:dyDescent="0.15">
      <c r="H181" s="16" t="s">
        <v>54</v>
      </c>
      <c r="I181" s="19" t="s">
        <v>43</v>
      </c>
      <c r="J181" s="25">
        <f t="shared" si="4"/>
        <v>0</v>
      </c>
      <c r="K181" s="25">
        <f t="shared" si="4"/>
        <v>0</v>
      </c>
      <c r="L181" s="25">
        <f t="shared" si="4"/>
        <v>0</v>
      </c>
      <c r="M181" s="25">
        <f t="shared" si="4"/>
        <v>0</v>
      </c>
      <c r="N181" s="25">
        <f t="shared" si="4"/>
        <v>0</v>
      </c>
      <c r="O181" s="25">
        <f t="shared" si="4"/>
        <v>0</v>
      </c>
      <c r="P181" s="25">
        <f t="shared" si="4"/>
        <v>0</v>
      </c>
      <c r="Q181" s="25">
        <f t="shared" si="4"/>
        <v>0</v>
      </c>
      <c r="R181" s="25">
        <f t="shared" si="4"/>
        <v>0</v>
      </c>
      <c r="S181" s="25">
        <f t="shared" si="4"/>
        <v>1</v>
      </c>
      <c r="T181" s="25">
        <f t="shared" si="4"/>
        <v>1</v>
      </c>
      <c r="U181" s="25">
        <f t="shared" si="4"/>
        <v>1</v>
      </c>
      <c r="V181" s="25">
        <f t="shared" si="4"/>
        <v>1</v>
      </c>
      <c r="W181" s="25">
        <f t="shared" si="4"/>
        <v>2</v>
      </c>
      <c r="X181" s="25">
        <f t="shared" si="4"/>
        <v>2</v>
      </c>
      <c r="Y181" s="25">
        <f t="shared" si="4"/>
        <v>2</v>
      </c>
      <c r="Z181" s="25">
        <f t="shared" si="4"/>
        <v>2</v>
      </c>
      <c r="AA181" s="25">
        <f t="shared" si="4"/>
        <v>6</v>
      </c>
      <c r="AB181" s="25">
        <f t="shared" si="4"/>
        <v>1</v>
      </c>
      <c r="AC181" s="25">
        <f t="shared" si="4"/>
        <v>1</v>
      </c>
      <c r="AD181" s="25">
        <f t="shared" si="4"/>
        <v>2</v>
      </c>
      <c r="AE181" s="25">
        <f t="shared" si="4"/>
        <v>2</v>
      </c>
      <c r="AF181" s="25">
        <f t="shared" si="4"/>
        <v>2</v>
      </c>
      <c r="AG181" s="25">
        <f t="shared" si="4"/>
        <v>2</v>
      </c>
      <c r="AH181" s="25">
        <f t="shared" si="4"/>
        <v>2</v>
      </c>
      <c r="AI181" s="25">
        <f t="shared" si="4"/>
        <v>2</v>
      </c>
      <c r="AJ181" s="25">
        <f t="shared" si="4"/>
        <v>2</v>
      </c>
      <c r="AK181" s="25">
        <f t="shared" si="4"/>
        <v>2</v>
      </c>
      <c r="AL181" s="25">
        <f t="shared" si="4"/>
        <v>2</v>
      </c>
      <c r="AM181" s="25">
        <f t="shared" si="4"/>
        <v>1</v>
      </c>
      <c r="AN181" s="25">
        <f t="shared" si="4"/>
        <v>1</v>
      </c>
      <c r="AO181" s="25">
        <f t="shared" si="4"/>
        <v>0</v>
      </c>
      <c r="AP181" s="25">
        <f t="shared" si="4"/>
        <v>0</v>
      </c>
      <c r="AQ181" s="25">
        <f t="shared" si="4"/>
        <v>0</v>
      </c>
      <c r="AR181" s="25">
        <f t="shared" si="4"/>
        <v>0</v>
      </c>
      <c r="AS181" s="25">
        <f t="shared" si="4"/>
        <v>0</v>
      </c>
      <c r="AT181" s="25">
        <f t="shared" si="4"/>
        <v>0</v>
      </c>
      <c r="AU181" s="25">
        <f t="shared" si="4"/>
        <v>0</v>
      </c>
      <c r="AV181" s="25">
        <f t="shared" si="4"/>
        <v>0</v>
      </c>
      <c r="AW181" s="25">
        <f t="shared" si="4"/>
        <v>0</v>
      </c>
      <c r="AX181" s="25">
        <f t="shared" si="4"/>
        <v>0</v>
      </c>
      <c r="AY181" s="25">
        <f t="shared" si="4"/>
        <v>0</v>
      </c>
      <c r="AZ181" s="25">
        <f t="shared" si="4"/>
        <v>0</v>
      </c>
      <c r="BA181" s="25">
        <f t="shared" si="4"/>
        <v>0</v>
      </c>
      <c r="BB181" s="25">
        <f t="shared" si="4"/>
        <v>0</v>
      </c>
      <c r="BC181" s="25">
        <f t="shared" si="4"/>
        <v>0</v>
      </c>
      <c r="BD181" s="25">
        <f t="shared" si="4"/>
        <v>0</v>
      </c>
      <c r="BE181" s="25">
        <f t="shared" si="4"/>
        <v>0</v>
      </c>
      <c r="BF181" s="25">
        <f t="shared" si="4"/>
        <v>0</v>
      </c>
      <c r="BG181" s="25">
        <f t="shared" si="4"/>
        <v>0</v>
      </c>
      <c r="BH181" s="25">
        <f t="shared" si="4"/>
        <v>36</v>
      </c>
    </row>
    <row r="182" spans="8:60" ht="15" customHeight="1" x14ac:dyDescent="0.15">
      <c r="H182" s="16" t="s">
        <v>54</v>
      </c>
      <c r="I182" s="19" t="s">
        <v>44</v>
      </c>
      <c r="J182" s="25">
        <f t="shared" si="4"/>
        <v>0</v>
      </c>
      <c r="K182" s="25">
        <f t="shared" si="4"/>
        <v>0</v>
      </c>
      <c r="L182" s="25">
        <f t="shared" si="4"/>
        <v>0</v>
      </c>
      <c r="M182" s="25">
        <f t="shared" si="4"/>
        <v>0</v>
      </c>
      <c r="N182" s="25">
        <f t="shared" si="4"/>
        <v>0</v>
      </c>
      <c r="O182" s="25">
        <f t="shared" si="4"/>
        <v>0</v>
      </c>
      <c r="P182" s="25">
        <f t="shared" si="4"/>
        <v>0</v>
      </c>
      <c r="Q182" s="25">
        <f t="shared" si="4"/>
        <v>0</v>
      </c>
      <c r="R182" s="25">
        <f t="shared" si="4"/>
        <v>0</v>
      </c>
      <c r="S182" s="25">
        <f t="shared" si="4"/>
        <v>0</v>
      </c>
      <c r="T182" s="25">
        <f t="shared" si="4"/>
        <v>0</v>
      </c>
      <c r="U182" s="25">
        <f t="shared" si="4"/>
        <v>0</v>
      </c>
      <c r="V182" s="25">
        <f t="shared" si="4"/>
        <v>0</v>
      </c>
      <c r="W182" s="25">
        <f t="shared" si="4"/>
        <v>0</v>
      </c>
      <c r="X182" s="25">
        <f t="shared" si="4"/>
        <v>0</v>
      </c>
      <c r="Y182" s="25">
        <f t="shared" si="4"/>
        <v>0</v>
      </c>
      <c r="Z182" s="25">
        <f t="shared" si="4"/>
        <v>0</v>
      </c>
      <c r="AA182" s="25">
        <f t="shared" si="4"/>
        <v>0</v>
      </c>
      <c r="AB182" s="25">
        <f t="shared" si="4"/>
        <v>0</v>
      </c>
      <c r="AC182" s="25">
        <f t="shared" si="4"/>
        <v>0</v>
      </c>
      <c r="AD182" s="25">
        <f t="shared" si="4"/>
        <v>0</v>
      </c>
      <c r="AE182" s="25">
        <f t="shared" si="4"/>
        <v>0</v>
      </c>
      <c r="AF182" s="25">
        <f t="shared" si="4"/>
        <v>0</v>
      </c>
      <c r="AG182" s="25">
        <f t="shared" si="4"/>
        <v>0</v>
      </c>
      <c r="AH182" s="25">
        <f t="shared" si="4"/>
        <v>0</v>
      </c>
      <c r="AI182" s="25">
        <f t="shared" si="4"/>
        <v>0</v>
      </c>
      <c r="AJ182" s="25">
        <f t="shared" si="4"/>
        <v>0</v>
      </c>
      <c r="AK182" s="25">
        <f t="shared" si="4"/>
        <v>0</v>
      </c>
      <c r="AL182" s="25">
        <f t="shared" si="4"/>
        <v>0</v>
      </c>
      <c r="AM182" s="25">
        <f t="shared" si="4"/>
        <v>0</v>
      </c>
      <c r="AN182" s="25">
        <f t="shared" si="4"/>
        <v>0</v>
      </c>
      <c r="AO182" s="25">
        <f t="shared" si="4"/>
        <v>0</v>
      </c>
      <c r="AP182" s="25">
        <f t="shared" si="4"/>
        <v>0</v>
      </c>
      <c r="AQ182" s="25">
        <f t="shared" si="4"/>
        <v>0</v>
      </c>
      <c r="AR182" s="25">
        <f t="shared" si="4"/>
        <v>0</v>
      </c>
      <c r="AS182" s="25">
        <f t="shared" si="4"/>
        <v>0</v>
      </c>
      <c r="AT182" s="25">
        <f t="shared" si="4"/>
        <v>0</v>
      </c>
      <c r="AU182" s="25">
        <f t="shared" si="4"/>
        <v>0</v>
      </c>
      <c r="AV182" s="25">
        <f t="shared" si="4"/>
        <v>0</v>
      </c>
      <c r="AW182" s="25">
        <f t="shared" si="4"/>
        <v>0</v>
      </c>
      <c r="AX182" s="25">
        <f t="shared" si="4"/>
        <v>0</v>
      </c>
      <c r="AY182" s="25">
        <f t="shared" si="4"/>
        <v>0</v>
      </c>
      <c r="AZ182" s="25">
        <f t="shared" si="4"/>
        <v>0</v>
      </c>
      <c r="BA182" s="25">
        <f t="shared" si="4"/>
        <v>0</v>
      </c>
      <c r="BB182" s="25">
        <f t="shared" si="4"/>
        <v>0</v>
      </c>
      <c r="BC182" s="25">
        <f t="shared" si="4"/>
        <v>0</v>
      </c>
      <c r="BD182" s="25">
        <f t="shared" si="4"/>
        <v>0</v>
      </c>
      <c r="BE182" s="25">
        <f t="shared" si="4"/>
        <v>0</v>
      </c>
      <c r="BF182" s="25">
        <f t="shared" si="4"/>
        <v>0</v>
      </c>
      <c r="BG182" s="25">
        <f t="shared" si="4"/>
        <v>0</v>
      </c>
      <c r="BH182" s="25">
        <f t="shared" si="4"/>
        <v>5</v>
      </c>
    </row>
    <row r="183" spans="8:60" ht="15" customHeight="1" x14ac:dyDescent="0.15">
      <c r="H183" s="16" t="s">
        <v>51</v>
      </c>
      <c r="I183" s="19" t="s">
        <v>43</v>
      </c>
      <c r="J183" s="25">
        <f t="shared" si="4"/>
        <v>0</v>
      </c>
      <c r="K183" s="25">
        <f t="shared" si="4"/>
        <v>0</v>
      </c>
      <c r="L183" s="25">
        <f t="shared" si="4"/>
        <v>0</v>
      </c>
      <c r="M183" s="25">
        <f t="shared" si="4"/>
        <v>0</v>
      </c>
      <c r="N183" s="25">
        <f t="shared" si="4"/>
        <v>0</v>
      </c>
      <c r="O183" s="25">
        <f t="shared" si="4"/>
        <v>4</v>
      </c>
      <c r="P183" s="25">
        <f t="shared" si="4"/>
        <v>4</v>
      </c>
      <c r="Q183" s="25">
        <f t="shared" si="4"/>
        <v>4</v>
      </c>
      <c r="R183" s="25">
        <f t="shared" si="4"/>
        <v>4</v>
      </c>
      <c r="S183" s="25">
        <f t="shared" si="4"/>
        <v>4</v>
      </c>
      <c r="T183" s="25">
        <f t="shared" si="4"/>
        <v>4</v>
      </c>
      <c r="U183" s="25">
        <f t="shared" si="4"/>
        <v>4</v>
      </c>
      <c r="V183" s="25">
        <f t="shared" si="4"/>
        <v>4</v>
      </c>
      <c r="W183" s="25">
        <f t="shared" si="4"/>
        <v>4</v>
      </c>
      <c r="X183" s="25">
        <f t="shared" si="4"/>
        <v>6</v>
      </c>
      <c r="Y183" s="25">
        <f t="shared" si="4"/>
        <v>6</v>
      </c>
      <c r="Z183" s="25">
        <f t="shared" si="4"/>
        <v>7</v>
      </c>
      <c r="AA183" s="25">
        <f t="shared" si="4"/>
        <v>7</v>
      </c>
      <c r="AB183" s="25">
        <f t="shared" si="4"/>
        <v>7</v>
      </c>
      <c r="AC183" s="25">
        <f t="shared" si="4"/>
        <v>7</v>
      </c>
      <c r="AD183" s="25">
        <f t="shared" si="4"/>
        <v>9</v>
      </c>
      <c r="AE183" s="25">
        <f t="shared" si="4"/>
        <v>10</v>
      </c>
      <c r="AF183" s="25">
        <f t="shared" si="4"/>
        <v>28</v>
      </c>
      <c r="AG183" s="25">
        <f t="shared" si="4"/>
        <v>10</v>
      </c>
      <c r="AH183" s="25">
        <f t="shared" si="4"/>
        <v>10</v>
      </c>
      <c r="AI183" s="25">
        <f t="shared" si="4"/>
        <v>10</v>
      </c>
      <c r="AJ183" s="25">
        <f t="shared" si="4"/>
        <v>10</v>
      </c>
      <c r="AK183" s="25">
        <f t="shared" si="4"/>
        <v>10</v>
      </c>
      <c r="AL183" s="25">
        <f t="shared" si="4"/>
        <v>11</v>
      </c>
      <c r="AM183" s="25">
        <f t="shared" si="4"/>
        <v>11</v>
      </c>
      <c r="AN183" s="25">
        <f t="shared" si="4"/>
        <v>5</v>
      </c>
      <c r="AO183" s="25">
        <f t="shared" si="4"/>
        <v>5</v>
      </c>
      <c r="AP183" s="25">
        <f t="shared" si="4"/>
        <v>5</v>
      </c>
      <c r="AQ183" s="25">
        <f t="shared" si="4"/>
        <v>5</v>
      </c>
      <c r="AR183" s="25">
        <f t="shared" si="4"/>
        <v>4</v>
      </c>
      <c r="AS183" s="25">
        <f t="shared" si="4"/>
        <v>4</v>
      </c>
      <c r="AT183" s="25">
        <f t="shared" si="4"/>
        <v>4</v>
      </c>
      <c r="AU183" s="25">
        <f t="shared" si="4"/>
        <v>4</v>
      </c>
      <c r="AV183" s="25">
        <f t="shared" si="4"/>
        <v>4</v>
      </c>
      <c r="AW183" s="25">
        <f t="shared" si="4"/>
        <v>4</v>
      </c>
      <c r="AX183" s="25">
        <f t="shared" si="4"/>
        <v>2</v>
      </c>
      <c r="AY183" s="25">
        <f t="shared" si="4"/>
        <v>0</v>
      </c>
      <c r="AZ183" s="25">
        <f t="shared" si="4"/>
        <v>0</v>
      </c>
      <c r="BA183" s="25">
        <f t="shared" si="4"/>
        <v>0</v>
      </c>
      <c r="BB183" s="25">
        <f t="shared" si="4"/>
        <v>0</v>
      </c>
      <c r="BC183" s="25">
        <f t="shared" si="4"/>
        <v>0</v>
      </c>
      <c r="BD183" s="25">
        <f t="shared" si="4"/>
        <v>0</v>
      </c>
      <c r="BE183" s="25">
        <f t="shared" si="4"/>
        <v>0</v>
      </c>
      <c r="BF183" s="25">
        <f t="shared" si="4"/>
        <v>0</v>
      </c>
      <c r="BG183" s="25">
        <f t="shared" si="4"/>
        <v>0</v>
      </c>
      <c r="BH183" s="25">
        <f t="shared" si="4"/>
        <v>240</v>
      </c>
    </row>
    <row r="184" spans="8:60" ht="15" customHeight="1" x14ac:dyDescent="0.15">
      <c r="H184" s="16" t="s">
        <v>51</v>
      </c>
      <c r="I184" s="19" t="s">
        <v>44</v>
      </c>
      <c r="J184" s="25">
        <f t="shared" si="4"/>
        <v>2</v>
      </c>
      <c r="K184" s="25">
        <f t="shared" si="4"/>
        <v>3</v>
      </c>
      <c r="L184" s="25">
        <f t="shared" si="4"/>
        <v>3</v>
      </c>
      <c r="M184" s="25">
        <f t="shared" si="4"/>
        <v>3</v>
      </c>
      <c r="N184" s="25">
        <f t="shared" si="4"/>
        <v>3</v>
      </c>
      <c r="O184" s="25">
        <f t="shared" si="4"/>
        <v>3</v>
      </c>
      <c r="P184" s="25">
        <f t="shared" si="4"/>
        <v>2</v>
      </c>
      <c r="Q184" s="25">
        <f t="shared" si="4"/>
        <v>2</v>
      </c>
      <c r="R184" s="25">
        <f t="shared" si="4"/>
        <v>2</v>
      </c>
      <c r="S184" s="25">
        <f t="shared" si="4"/>
        <v>2</v>
      </c>
      <c r="T184" s="25">
        <f t="shared" si="4"/>
        <v>2</v>
      </c>
      <c r="U184" s="25">
        <f t="shared" si="4"/>
        <v>2</v>
      </c>
      <c r="V184" s="25">
        <f t="shared" si="4"/>
        <v>2</v>
      </c>
      <c r="W184" s="25">
        <f t="shared" si="4"/>
        <v>2</v>
      </c>
      <c r="X184" s="25">
        <f t="shared" si="4"/>
        <v>2</v>
      </c>
      <c r="Y184" s="25">
        <f t="shared" si="4"/>
        <v>2</v>
      </c>
      <c r="Z184" s="25">
        <f t="shared" si="4"/>
        <v>3</v>
      </c>
      <c r="AA184" s="25">
        <f t="shared" si="4"/>
        <v>3</v>
      </c>
      <c r="AB184" s="25">
        <f t="shared" si="4"/>
        <v>3</v>
      </c>
      <c r="AC184" s="25">
        <f t="shared" si="4"/>
        <v>3</v>
      </c>
      <c r="AD184" s="25">
        <f t="shared" si="4"/>
        <v>2</v>
      </c>
      <c r="AE184" s="25">
        <f t="shared" si="4"/>
        <v>2</v>
      </c>
      <c r="AF184" s="25">
        <f t="shared" si="4"/>
        <v>2</v>
      </c>
      <c r="AG184" s="25">
        <f t="shared" si="4"/>
        <v>2</v>
      </c>
      <c r="AH184" s="25">
        <f t="shared" si="4"/>
        <v>2</v>
      </c>
      <c r="AI184" s="25">
        <f t="shared" si="4"/>
        <v>1</v>
      </c>
      <c r="AJ184" s="25">
        <f t="shared" si="4"/>
        <v>1</v>
      </c>
      <c r="AK184" s="25">
        <f t="shared" si="4"/>
        <v>1</v>
      </c>
      <c r="AL184" s="25">
        <f t="shared" si="4"/>
        <v>1</v>
      </c>
      <c r="AM184" s="25">
        <f t="shared" si="4"/>
        <v>1</v>
      </c>
      <c r="AN184" s="25">
        <f t="shared" si="4"/>
        <v>1</v>
      </c>
      <c r="AO184" s="25">
        <f t="shared" si="4"/>
        <v>1</v>
      </c>
      <c r="AP184" s="25">
        <f t="shared" si="4"/>
        <v>0</v>
      </c>
      <c r="AQ184" s="25">
        <f t="shared" si="4"/>
        <v>0</v>
      </c>
      <c r="AR184" s="25">
        <f t="shared" si="4"/>
        <v>0</v>
      </c>
      <c r="AS184" s="25">
        <f t="shared" si="4"/>
        <v>0</v>
      </c>
      <c r="AT184" s="25">
        <f t="shared" si="4"/>
        <v>0</v>
      </c>
      <c r="AU184" s="25">
        <f t="shared" si="4"/>
        <v>0</v>
      </c>
      <c r="AV184" s="25">
        <f t="shared" si="4"/>
        <v>0</v>
      </c>
      <c r="AW184" s="25">
        <f t="shared" si="4"/>
        <v>0</v>
      </c>
      <c r="AX184" s="25">
        <f t="shared" si="4"/>
        <v>0</v>
      </c>
      <c r="AY184" s="25">
        <f t="shared" si="4"/>
        <v>0</v>
      </c>
      <c r="AZ184" s="25">
        <f t="shared" si="4"/>
        <v>0</v>
      </c>
      <c r="BA184" s="25">
        <f t="shared" si="4"/>
        <v>0</v>
      </c>
      <c r="BB184" s="25">
        <f t="shared" si="4"/>
        <v>0</v>
      </c>
      <c r="BC184" s="25">
        <f t="shared" si="4"/>
        <v>0</v>
      </c>
      <c r="BD184" s="25">
        <f t="shared" si="4"/>
        <v>0</v>
      </c>
      <c r="BE184" s="25">
        <f t="shared" si="4"/>
        <v>0</v>
      </c>
      <c r="BF184" s="25">
        <f t="shared" si="4"/>
        <v>0</v>
      </c>
      <c r="BG184" s="25">
        <f t="shared" si="4"/>
        <v>0</v>
      </c>
      <c r="BH184" s="25">
        <f t="shared" si="4"/>
        <v>67</v>
      </c>
    </row>
    <row r="185" spans="8:60" ht="15" customHeight="1" x14ac:dyDescent="0.15">
      <c r="H185" s="16" t="s">
        <v>55</v>
      </c>
      <c r="I185" s="19" t="s">
        <v>43</v>
      </c>
      <c r="J185" s="25">
        <f t="shared" ref="J185:BH187" si="5">ROUND(J168/1000000,0)</f>
        <v>0</v>
      </c>
      <c r="K185" s="25">
        <f t="shared" si="5"/>
        <v>0</v>
      </c>
      <c r="L185" s="25">
        <f t="shared" si="5"/>
        <v>0</v>
      </c>
      <c r="M185" s="25">
        <f t="shared" si="5"/>
        <v>0</v>
      </c>
      <c r="N185" s="25">
        <f t="shared" si="5"/>
        <v>0</v>
      </c>
      <c r="O185" s="25">
        <f t="shared" si="5"/>
        <v>0</v>
      </c>
      <c r="P185" s="25">
        <f t="shared" si="5"/>
        <v>0</v>
      </c>
      <c r="Q185" s="25">
        <f t="shared" si="5"/>
        <v>0</v>
      </c>
      <c r="R185" s="25">
        <f t="shared" si="5"/>
        <v>0</v>
      </c>
      <c r="S185" s="25">
        <f t="shared" si="5"/>
        <v>0</v>
      </c>
      <c r="T185" s="25">
        <f t="shared" si="5"/>
        <v>0</v>
      </c>
      <c r="U185" s="25">
        <f t="shared" si="5"/>
        <v>0</v>
      </c>
      <c r="V185" s="25">
        <f t="shared" si="5"/>
        <v>0</v>
      </c>
      <c r="W185" s="25">
        <f t="shared" si="5"/>
        <v>0</v>
      </c>
      <c r="X185" s="25">
        <f t="shared" si="5"/>
        <v>0</v>
      </c>
      <c r="Y185" s="25">
        <f t="shared" si="5"/>
        <v>0</v>
      </c>
      <c r="Z185" s="25">
        <f t="shared" si="5"/>
        <v>0</v>
      </c>
      <c r="AA185" s="25">
        <f t="shared" si="5"/>
        <v>0</v>
      </c>
      <c r="AB185" s="25">
        <f t="shared" si="5"/>
        <v>0</v>
      </c>
      <c r="AC185" s="25">
        <f t="shared" si="5"/>
        <v>0</v>
      </c>
      <c r="AD185" s="25">
        <f t="shared" si="5"/>
        <v>0</v>
      </c>
      <c r="AE185" s="25">
        <f t="shared" si="5"/>
        <v>3</v>
      </c>
      <c r="AF185" s="25">
        <f t="shared" si="5"/>
        <v>10</v>
      </c>
      <c r="AG185" s="25">
        <f t="shared" si="5"/>
        <v>16</v>
      </c>
      <c r="AH185" s="25">
        <f t="shared" si="5"/>
        <v>23</v>
      </c>
      <c r="AI185" s="25">
        <f t="shared" si="5"/>
        <v>30</v>
      </c>
      <c r="AJ185" s="25">
        <f t="shared" si="5"/>
        <v>37</v>
      </c>
      <c r="AK185" s="25">
        <f t="shared" si="5"/>
        <v>44</v>
      </c>
      <c r="AL185" s="25">
        <f t="shared" si="5"/>
        <v>51</v>
      </c>
      <c r="AM185" s="25">
        <f t="shared" si="5"/>
        <v>58</v>
      </c>
      <c r="AN185" s="25">
        <f t="shared" si="5"/>
        <v>62</v>
      </c>
      <c r="AO185" s="25">
        <f t="shared" si="5"/>
        <v>63</v>
      </c>
      <c r="AP185" s="25">
        <f t="shared" si="5"/>
        <v>64</v>
      </c>
      <c r="AQ185" s="25">
        <f t="shared" si="5"/>
        <v>65</v>
      </c>
      <c r="AR185" s="25">
        <f t="shared" si="5"/>
        <v>66</v>
      </c>
      <c r="AS185" s="25">
        <f t="shared" si="5"/>
        <v>67</v>
      </c>
      <c r="AT185" s="25">
        <f t="shared" si="5"/>
        <v>68</v>
      </c>
      <c r="AU185" s="25">
        <f t="shared" si="5"/>
        <v>69</v>
      </c>
      <c r="AV185" s="25">
        <f t="shared" si="5"/>
        <v>71</v>
      </c>
      <c r="AW185" s="25">
        <f t="shared" si="5"/>
        <v>72</v>
      </c>
      <c r="AX185" s="25">
        <f t="shared" si="5"/>
        <v>73</v>
      </c>
      <c r="AY185" s="25">
        <f t="shared" si="5"/>
        <v>70</v>
      </c>
      <c r="AZ185" s="25">
        <f t="shared" si="5"/>
        <v>62</v>
      </c>
      <c r="BA185" s="25">
        <f t="shared" si="5"/>
        <v>54</v>
      </c>
      <c r="BB185" s="25">
        <f t="shared" si="5"/>
        <v>46</v>
      </c>
      <c r="BC185" s="25">
        <f t="shared" si="5"/>
        <v>38</v>
      </c>
      <c r="BD185" s="25">
        <f t="shared" si="5"/>
        <v>30</v>
      </c>
      <c r="BE185" s="25">
        <f t="shared" si="5"/>
        <v>21</v>
      </c>
      <c r="BF185" s="25">
        <f t="shared" si="5"/>
        <v>13</v>
      </c>
      <c r="BG185" s="25">
        <f t="shared" si="5"/>
        <v>4</v>
      </c>
      <c r="BH185" s="25">
        <f t="shared" si="5"/>
        <v>1350</v>
      </c>
    </row>
    <row r="186" spans="8:60" ht="15" customHeight="1" x14ac:dyDescent="0.15">
      <c r="H186" s="16" t="s">
        <v>55</v>
      </c>
      <c r="I186" s="19" t="s">
        <v>44</v>
      </c>
      <c r="J186" s="25">
        <f t="shared" si="5"/>
        <v>0</v>
      </c>
      <c r="K186" s="25">
        <f t="shared" si="5"/>
        <v>0</v>
      </c>
      <c r="L186" s="25">
        <f t="shared" si="5"/>
        <v>0</v>
      </c>
      <c r="M186" s="25">
        <f t="shared" si="5"/>
        <v>0</v>
      </c>
      <c r="N186" s="25">
        <f t="shared" si="5"/>
        <v>0</v>
      </c>
      <c r="O186" s="25">
        <f t="shared" si="5"/>
        <v>0</v>
      </c>
      <c r="P186" s="25">
        <f t="shared" si="5"/>
        <v>0</v>
      </c>
      <c r="Q186" s="25">
        <f t="shared" si="5"/>
        <v>0</v>
      </c>
      <c r="R186" s="25">
        <f t="shared" si="5"/>
        <v>0</v>
      </c>
      <c r="S186" s="25">
        <f t="shared" si="5"/>
        <v>0</v>
      </c>
      <c r="T186" s="25">
        <f t="shared" si="5"/>
        <v>0</v>
      </c>
      <c r="U186" s="25">
        <f t="shared" si="5"/>
        <v>0</v>
      </c>
      <c r="V186" s="25">
        <f t="shared" si="5"/>
        <v>0</v>
      </c>
      <c r="W186" s="25">
        <f t="shared" si="5"/>
        <v>0</v>
      </c>
      <c r="X186" s="25">
        <f t="shared" si="5"/>
        <v>0</v>
      </c>
      <c r="Y186" s="25">
        <f t="shared" si="5"/>
        <v>0</v>
      </c>
      <c r="Z186" s="25">
        <f t="shared" si="5"/>
        <v>1</v>
      </c>
      <c r="AA186" s="25">
        <f t="shared" si="5"/>
        <v>3</v>
      </c>
      <c r="AB186" s="25">
        <f t="shared" si="5"/>
        <v>6</v>
      </c>
      <c r="AC186" s="25">
        <f t="shared" si="5"/>
        <v>8</v>
      </c>
      <c r="AD186" s="25">
        <f t="shared" si="5"/>
        <v>11</v>
      </c>
      <c r="AE186" s="25">
        <f t="shared" si="5"/>
        <v>13</v>
      </c>
      <c r="AF186" s="25">
        <f t="shared" si="5"/>
        <v>15</v>
      </c>
      <c r="AG186" s="25">
        <f t="shared" si="5"/>
        <v>18</v>
      </c>
      <c r="AH186" s="25">
        <f t="shared" si="5"/>
        <v>20</v>
      </c>
      <c r="AI186" s="25">
        <f t="shared" si="5"/>
        <v>21</v>
      </c>
      <c r="AJ186" s="25">
        <f t="shared" si="5"/>
        <v>20</v>
      </c>
      <c r="AK186" s="25">
        <f t="shared" si="5"/>
        <v>20</v>
      </c>
      <c r="AL186" s="25">
        <f t="shared" si="5"/>
        <v>19</v>
      </c>
      <c r="AM186" s="25">
        <f t="shared" si="5"/>
        <v>18</v>
      </c>
      <c r="AN186" s="25">
        <f t="shared" si="5"/>
        <v>17</v>
      </c>
      <c r="AO186" s="25">
        <f t="shared" si="5"/>
        <v>16</v>
      </c>
      <c r="AP186" s="25">
        <f t="shared" si="5"/>
        <v>15</v>
      </c>
      <c r="AQ186" s="25">
        <f t="shared" si="5"/>
        <v>14</v>
      </c>
      <c r="AR186" s="25">
        <f t="shared" si="5"/>
        <v>13</v>
      </c>
      <c r="AS186" s="25">
        <f t="shared" si="5"/>
        <v>12</v>
      </c>
      <c r="AT186" s="25">
        <f t="shared" si="5"/>
        <v>11</v>
      </c>
      <c r="AU186" s="25">
        <f t="shared" si="5"/>
        <v>10</v>
      </c>
      <c r="AV186" s="25">
        <f t="shared" si="5"/>
        <v>9</v>
      </c>
      <c r="AW186" s="25">
        <f t="shared" si="5"/>
        <v>7</v>
      </c>
      <c r="AX186" s="25">
        <f t="shared" si="5"/>
        <v>6</v>
      </c>
      <c r="AY186" s="25">
        <f t="shared" si="5"/>
        <v>5</v>
      </c>
      <c r="AZ186" s="25">
        <f t="shared" si="5"/>
        <v>4</v>
      </c>
      <c r="BA186" s="25">
        <f t="shared" si="5"/>
        <v>3</v>
      </c>
      <c r="BB186" s="25">
        <f t="shared" si="5"/>
        <v>2</v>
      </c>
      <c r="BC186" s="25">
        <f t="shared" si="5"/>
        <v>2</v>
      </c>
      <c r="BD186" s="25">
        <f t="shared" si="5"/>
        <v>1</v>
      </c>
      <c r="BE186" s="25">
        <f t="shared" si="5"/>
        <v>1</v>
      </c>
      <c r="BF186" s="25">
        <f t="shared" si="5"/>
        <v>0</v>
      </c>
      <c r="BG186" s="25">
        <f t="shared" si="5"/>
        <v>0</v>
      </c>
      <c r="BH186" s="25">
        <f t="shared" si="5"/>
        <v>339</v>
      </c>
    </row>
    <row r="187" spans="8:60" ht="15" customHeight="1" x14ac:dyDescent="0.15">
      <c r="I187" s="19" t="s">
        <v>45</v>
      </c>
      <c r="J187" s="25">
        <f t="shared" si="5"/>
        <v>2</v>
      </c>
      <c r="K187" s="25">
        <f t="shared" si="5"/>
        <v>3</v>
      </c>
      <c r="L187" s="25">
        <f t="shared" si="5"/>
        <v>3</v>
      </c>
      <c r="M187" s="25">
        <f t="shared" si="5"/>
        <v>3</v>
      </c>
      <c r="N187" s="25">
        <f t="shared" si="5"/>
        <v>3</v>
      </c>
      <c r="O187" s="25">
        <f t="shared" si="5"/>
        <v>6</v>
      </c>
      <c r="P187" s="25">
        <f t="shared" si="5"/>
        <v>7</v>
      </c>
      <c r="Q187" s="25">
        <f>ROUND(Q170/1000000,0)</f>
        <v>7</v>
      </c>
      <c r="R187" s="25">
        <f>ROUND(R170/1000000,0)</f>
        <v>7</v>
      </c>
      <c r="S187" s="25">
        <f>ROUND(S170/1000000,0)</f>
        <v>8</v>
      </c>
      <c r="T187" s="25">
        <f t="shared" si="5"/>
        <v>8</v>
      </c>
      <c r="U187" s="25">
        <f t="shared" si="5"/>
        <v>10</v>
      </c>
      <c r="V187" s="25">
        <f t="shared" si="5"/>
        <v>11</v>
      </c>
      <c r="W187" s="25">
        <f t="shared" si="5"/>
        <v>14</v>
      </c>
      <c r="X187" s="25">
        <f t="shared" si="5"/>
        <v>17</v>
      </c>
      <c r="Y187" s="25">
        <f t="shared" si="5"/>
        <v>21</v>
      </c>
      <c r="Z187" s="25">
        <f t="shared" si="5"/>
        <v>27</v>
      </c>
      <c r="AA187" s="25">
        <f t="shared" si="5"/>
        <v>41</v>
      </c>
      <c r="AB187" s="25">
        <f t="shared" si="5"/>
        <v>54</v>
      </c>
      <c r="AC187" s="25">
        <f t="shared" si="5"/>
        <v>49</v>
      </c>
      <c r="AD187" s="25">
        <f t="shared" si="5"/>
        <v>58</v>
      </c>
      <c r="AE187" s="25">
        <f t="shared" si="5"/>
        <v>65</v>
      </c>
      <c r="AF187" s="25">
        <f t="shared" si="5"/>
        <v>91</v>
      </c>
      <c r="AG187" s="25">
        <f t="shared" si="5"/>
        <v>81</v>
      </c>
      <c r="AH187" s="25">
        <f t="shared" si="5"/>
        <v>90</v>
      </c>
      <c r="AI187" s="25">
        <f t="shared" si="5"/>
        <v>96</v>
      </c>
      <c r="AJ187" s="25">
        <f t="shared" si="5"/>
        <v>102</v>
      </c>
      <c r="AK187" s="25">
        <f t="shared" si="5"/>
        <v>109</v>
      </c>
      <c r="AL187" s="25">
        <f t="shared" si="5"/>
        <v>115</v>
      </c>
      <c r="AM187" s="25">
        <f t="shared" si="5"/>
        <v>120</v>
      </c>
      <c r="AN187" s="25">
        <f t="shared" si="5"/>
        <v>117</v>
      </c>
      <c r="AO187" s="25">
        <f t="shared" si="5"/>
        <v>115</v>
      </c>
      <c r="AP187" s="25">
        <f t="shared" si="5"/>
        <v>115</v>
      </c>
      <c r="AQ187" s="25">
        <f t="shared" si="5"/>
        <v>113</v>
      </c>
      <c r="AR187" s="25">
        <f t="shared" si="5"/>
        <v>111</v>
      </c>
      <c r="AS187" s="25">
        <f t="shared" si="5"/>
        <v>109</v>
      </c>
      <c r="AT187" s="25">
        <f t="shared" si="5"/>
        <v>106</v>
      </c>
      <c r="AU187" s="25">
        <f t="shared" si="5"/>
        <v>100</v>
      </c>
      <c r="AV187" s="25">
        <f t="shared" si="5"/>
        <v>94</v>
      </c>
      <c r="AW187" s="25">
        <f t="shared" si="5"/>
        <v>90</v>
      </c>
      <c r="AX187" s="25">
        <f t="shared" si="5"/>
        <v>81</v>
      </c>
      <c r="AY187" s="25">
        <f t="shared" si="5"/>
        <v>75</v>
      </c>
      <c r="AZ187" s="25">
        <f t="shared" si="5"/>
        <v>66</v>
      </c>
      <c r="BA187" s="25">
        <f t="shared" si="5"/>
        <v>57</v>
      </c>
      <c r="BB187" s="25">
        <f t="shared" si="5"/>
        <v>48</v>
      </c>
      <c r="BC187" s="25">
        <f t="shared" si="5"/>
        <v>40</v>
      </c>
      <c r="BD187" s="25">
        <f t="shared" si="5"/>
        <v>31</v>
      </c>
      <c r="BE187" s="25">
        <f t="shared" si="5"/>
        <v>22</v>
      </c>
      <c r="BF187" s="25">
        <f t="shared" si="5"/>
        <v>13</v>
      </c>
      <c r="BG187" s="25">
        <f t="shared" si="5"/>
        <v>4</v>
      </c>
      <c r="BH187" s="25">
        <f t="shared" si="5"/>
        <v>2736</v>
      </c>
    </row>
    <row r="188" spans="8:60" ht="15" customHeight="1" x14ac:dyDescent="0.15">
      <c r="I188" s="31"/>
    </row>
  </sheetData>
  <sheetProtection formatCells="0" formatColumns="0" formatRows="0" insertColumns="0" insertRows="0" insertHyperlinks="0" deleteColumns="0" deleteRows="0" sort="0" autoFilter="0" pivotTables="0"/>
  <mergeCells count="3">
    <mergeCell ref="A1:G1"/>
    <mergeCell ref="F2:G2"/>
    <mergeCell ref="F3:G3"/>
  </mergeCells>
  <phoneticPr fontId="4"/>
  <pageMargins left="0.28000000000000003" right="0.28000000000000003" top="0.4" bottom="0.24" header="0.36" footer="0.2"/>
  <pageSetup paperSize="9" scale="2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DC920-95FA-4996-B298-C55ED314F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元利償還表</vt:lpstr>
      <vt:lpstr>元金償還表</vt:lpstr>
      <vt:lpstr>0000全事業 (2)</vt:lpstr>
      <vt:lpstr>0000全事業</vt:lpstr>
      <vt:lpstr>元利償還表 (2)</vt:lpstr>
      <vt:lpstr>'0000全事業'!Print_Area</vt:lpstr>
      <vt:lpstr>'0000全事業 (2)'!Print_Area</vt:lpstr>
      <vt:lpstr>元金償還表!Print_Area</vt:lpstr>
      <vt:lpstr>元利償還表!Print_Area</vt:lpstr>
      <vt:lpstr>'元利償還表 (2)'!Print_Area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kensetu16</cp:lastModifiedBy>
  <cp:lastPrinted>2024-11-30T08:14:24Z</cp:lastPrinted>
  <dcterms:created xsi:type="dcterms:W3CDTF">2024-11-29T01:07:18Z</dcterms:created>
  <dcterms:modified xsi:type="dcterms:W3CDTF">2025-12-08T03:39:10Z</dcterms:modified>
  <cp:category/>
</cp:coreProperties>
</file>