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lgfl01\上下水道課\R07\A R07_ 総括\06 財務\12 経営・財務マネジメント事業\経営戦略策定作業20251126\"/>
    </mc:Choice>
  </mc:AlternateContent>
  <xr:revisionPtr revIDLastSave="0" documentId="13_ncr:1_{E7DB70BE-9AF7-4FAE-8B7B-9B76BB5160C2}" xr6:coauthVersionLast="47" xr6:coauthVersionMax="47" xr10:uidLastSave="{00000000-0000-0000-0000-000000000000}"/>
  <bookViews>
    <workbookView xWindow="-108" yWindow="-108" windowWidth="23256" windowHeight="12456" tabRatio="931" firstSheet="11" activeTab="22" xr2:uid="{CF58DD4A-6B2C-469F-A573-49D40C3FA9F6}"/>
  </bookViews>
  <sheets>
    <sheet name="料金改定率" sheetId="1" r:id="rId1"/>
    <sheet name="【PL】決算数値入力" sheetId="2" r:id="rId2"/>
    <sheet name="【PL】決算数値入力 (仮保存)" sheetId="3" state="hidden" r:id="rId3"/>
    <sheet name="【BS】決算数値入力" sheetId="4" r:id="rId4"/>
    <sheet name="【統計】水道統計指標" sheetId="5" r:id="rId5"/>
    <sheet name="【成行】財政シミュ" sheetId="6" r:id="rId6"/>
    <sheet name="【要領】財政シミュ" sheetId="7" state="hidden" r:id="rId7"/>
    <sheet name="【現行×調整率】財政シミュ" sheetId="8" state="hidden" r:id="rId8"/>
    <sheet name="新規取得" sheetId="21" r:id="rId9"/>
    <sheet name="【成行】財政シミュ (料金改定後)" sheetId="28" r:id="rId10"/>
    <sheet name="※左シートの変更未反映【成行】財政シミュ (料金改定後)" sheetId="24" state="hidden" r:id="rId11"/>
    <sheet name="【収益－現行】給水収益" sheetId="9" r:id="rId12"/>
    <sheet name="【収益－要領】給水収益" sheetId="10" state="hidden" r:id="rId13"/>
    <sheet name="【料金算定－現行×改定率】給水収益" sheetId="11" state="hidden" r:id="rId14"/>
    <sheet name="【収益－現行】給水収益 (料金改定後)" sheetId="25" r:id="rId15"/>
    <sheet name="【収益】水需要予測" sheetId="12" r:id="rId16"/>
    <sheet name="【収益】料金単価" sheetId="23" r:id="rId17"/>
    <sheet name="【料金算定－要領】総括原価" sheetId="14" state="hidden" r:id="rId18"/>
    <sheet name="【料金算定－現行×改定率】総括原価" sheetId="15" state="hidden" r:id="rId19"/>
    <sheet name="【料金算定】分解原価集計" sheetId="16" state="hidden" r:id="rId20"/>
    <sheet name="【料金算定】期間原価集計" sheetId="17" state="hidden" r:id="rId21"/>
    <sheet name="【料金算定】資産維持費" sheetId="18" state="hidden" r:id="rId22"/>
    <sheet name="【収益】料金単価 (口径別)" sheetId="29" r:id="rId23"/>
    <sheet name="有収水量別" sheetId="30" r:id="rId24"/>
    <sheet name="メーター料金見直し表" sheetId="26" r:id="rId25"/>
    <sheet name="メーター料金見直し表 (2)" sheetId="27" r:id="rId26"/>
    <sheet name="物価上昇率" sheetId="19" r:id="rId27"/>
    <sheet name="新規債返済スケジュール" sheetId="20" r:id="rId28"/>
    <sheet name="報告書用グラフ" sheetId="22" state="hidden" r:id="rId29"/>
  </sheets>
  <definedNames>
    <definedName name="_xlnm._FilterDatabase" localSheetId="3" hidden="1">【BS】決算数値入力!$B$3:$J$7</definedName>
    <definedName name="_xlnm._FilterDatabase" localSheetId="1" hidden="1">【PL】決算数値入力!$B$3:$J$121</definedName>
    <definedName name="_xlnm._FilterDatabase" localSheetId="2" hidden="1">'【PL】決算数値入力 (仮保存)'!$B$3:$J$111</definedName>
    <definedName name="_xlnm._FilterDatabase" localSheetId="7" hidden="1">【現行×調整率】財政シミュ!$B$3:$BQ$67</definedName>
    <definedName name="_xlnm._FilterDatabase" localSheetId="5" hidden="1">【成行】財政シミュ!$B$3:$BQ$68</definedName>
    <definedName name="_xlnm._FilterDatabase" localSheetId="9" hidden="1">'【成行】財政シミュ (料金改定後)'!$B$3:$BQ$68</definedName>
    <definedName name="_xlnm._FilterDatabase" localSheetId="6" hidden="1">【要領】財政シミュ!$B$3:$BQ$67</definedName>
    <definedName name="_xlnm._FilterDatabase" localSheetId="10" hidden="1">'※左シートの変更未反映【成行】財政シミュ (料金改定後)'!$B$3:$BQ$68</definedName>
    <definedName name="_xlnm._FilterDatabase" localSheetId="27" hidden="1">新規債返済スケジュール!$B$7:$BB$157</definedName>
    <definedName name="_xlnm._FilterDatabase" localSheetId="8" hidden="1">新規取得!$B$9:$H$58</definedName>
    <definedName name="_xlnm._FilterDatabase" localSheetId="23" hidden="1">有収水量別!$A$1:$L$3070</definedName>
    <definedName name="_xlnm.Print_Area" localSheetId="3">【BS】決算数値入力!$A$1:$O$78</definedName>
    <definedName name="_xlnm.Print_Area" localSheetId="1">【PL】決算数値入力!$A$1:$AB$178</definedName>
    <definedName name="_xlnm.Print_Area" localSheetId="2">'【PL】決算数値入力 (仮保存)'!$A$1:$AB$168</definedName>
    <definedName name="_xlnm.Print_Area" localSheetId="4">【統計】水道統計指標!$A$1:$Q$40</definedName>
    <definedName name="_xlnm.Print_Area" localSheetId="27">新規債返済スケジュール!$A$1:$BB$157</definedName>
    <definedName name="_xlnm.Print_Area" localSheetId="8">新規取得!$A$1:$BF$58</definedName>
    <definedName name="_xlnm.Print_Area" localSheetId="28">報告書用グラフ!$A$1:$AE$41</definedName>
    <definedName name="_xlnm.Print_Area" localSheetId="0">料金改定率!$A$1:$W$41</definedName>
    <definedName name="_xlnm.Print_Titles" localSheetId="7">【現行×調整率】財政シミュ!$A:$E</definedName>
    <definedName name="_xlnm.Print_Titles" localSheetId="15">【収益】水需要予測!$A:$M</definedName>
    <definedName name="_xlnm.Print_Titles" localSheetId="11">'【収益－現行】給水収益'!$A:$M</definedName>
    <definedName name="_xlnm.Print_Titles" localSheetId="14">'【収益－現行】給水収益 (料金改定後)'!$A:$M</definedName>
    <definedName name="_xlnm.Print_Titles" localSheetId="5">【成行】財政シミュ!$A:$E</definedName>
    <definedName name="_xlnm.Print_Titles" localSheetId="9">'【成行】財政シミュ (料金改定後)'!$A:$E</definedName>
    <definedName name="_xlnm.Print_Titles" localSheetId="10">'※左シートの変更未反映【成行】財政シミュ (料金改定後)'!$A:$E</definedName>
    <definedName name="_xlnm.Print_Titles" localSheetId="27">新規債返済スケジュール!$A:$C</definedName>
    <definedName name="_xlnm.Print_Titles" localSheetId="8">新規取得!$A:$H</definedName>
    <definedName name="Z_1F923BC6_4AD1_4F20_A481_D76BE7901A2A_.wvu.Cols" localSheetId="15" hidden="1">【収益】水需要予測!$B:$L</definedName>
    <definedName name="Z_1F923BC6_4AD1_4F20_A481_D76BE7901A2A_.wvu.Cols" localSheetId="11" hidden="1">'【収益－現行】給水収益'!$B:$L,'【収益－現行】給水収益'!$N:$R</definedName>
    <definedName name="Z_1F923BC6_4AD1_4F20_A481_D76BE7901A2A_.wvu.Cols" localSheetId="14" hidden="1">'【収益－現行】給水収益 (料金改定後)'!$B:$L,'【収益－現行】給水収益 (料金改定後)'!$N:$R</definedName>
    <definedName name="Z_1F923BC6_4AD1_4F20_A481_D76BE7901A2A_.wvu.Cols" localSheetId="12" hidden="1">'【収益－要領】給水収益'!$B:$L</definedName>
    <definedName name="Z_1F923BC6_4AD1_4F20_A481_D76BE7901A2A_.wvu.Cols" localSheetId="6" hidden="1">【要領】財政シミュ!$F:$J,【要領】財政シミュ!$L:$M,【要領】財政シミュ!$O:$R,【要領】財政シミュ!$U:$AB,【要領】財政シミュ!$AD:$AL,【要領】財政シミュ!$AN:$AV,【要領】財政シミュ!$AX:$BF,【要領】財政シミュ!$BH:$BP</definedName>
    <definedName name="Z_1F923BC6_4AD1_4F20_A481_D76BE7901A2A_.wvu.Cols" localSheetId="20" hidden="1">【料金算定】期間原価集計!$F:$J</definedName>
    <definedName name="Z_1F923BC6_4AD1_4F20_A481_D76BE7901A2A_.wvu.Cols" localSheetId="13" hidden="1">'【料金算定－現行×改定率】給水収益'!$B:$L</definedName>
    <definedName name="Z_1F923BC6_4AD1_4F20_A481_D76BE7901A2A_.wvu.FilterData" localSheetId="3" hidden="1">【BS】決算数値入力!$B$3:$J$7</definedName>
    <definedName name="Z_1F923BC6_4AD1_4F20_A481_D76BE7901A2A_.wvu.FilterData" localSheetId="1" hidden="1">【PL】決算数値入力!$B$3:$J$121</definedName>
    <definedName name="Z_1F923BC6_4AD1_4F20_A481_D76BE7901A2A_.wvu.FilterData" localSheetId="2" hidden="1">'【PL】決算数値入力 (仮保存)'!$B$3:$J$111</definedName>
    <definedName name="Z_1F923BC6_4AD1_4F20_A481_D76BE7901A2A_.wvu.FilterData" localSheetId="7" hidden="1">【現行×調整率】財政シミュ!$B$3:$BQ$67</definedName>
    <definedName name="Z_1F923BC6_4AD1_4F20_A481_D76BE7901A2A_.wvu.FilterData" localSheetId="5" hidden="1">【成行】財政シミュ!$B$3:$BQ$68</definedName>
    <definedName name="Z_1F923BC6_4AD1_4F20_A481_D76BE7901A2A_.wvu.FilterData" localSheetId="9" hidden="1">'【成行】財政シミュ (料金改定後)'!$B$3:$BQ$68</definedName>
    <definedName name="Z_1F923BC6_4AD1_4F20_A481_D76BE7901A2A_.wvu.FilterData" localSheetId="6" hidden="1">【要領】財政シミュ!$B$3:$BQ$67</definedName>
    <definedName name="Z_1F923BC6_4AD1_4F20_A481_D76BE7901A2A_.wvu.FilterData" localSheetId="10" hidden="1">'※左シートの変更未反映【成行】財政シミュ (料金改定後)'!$B$3:$BQ$68</definedName>
    <definedName name="Z_1F923BC6_4AD1_4F20_A481_D76BE7901A2A_.wvu.FilterData" localSheetId="27" hidden="1">新規債返済スケジュール!$B$7:$BB$157</definedName>
    <definedName name="Z_1F923BC6_4AD1_4F20_A481_D76BE7901A2A_.wvu.FilterData" localSheetId="8" hidden="1">新規取得!$B$9:$H$58</definedName>
    <definedName name="Z_1F923BC6_4AD1_4F20_A481_D76BE7901A2A_.wvu.PrintArea" localSheetId="3" hidden="1">【BS】決算数値入力!$A$1:$O$78</definedName>
    <definedName name="Z_1F923BC6_4AD1_4F20_A481_D76BE7901A2A_.wvu.PrintArea" localSheetId="1" hidden="1">【PL】決算数値入力!$A$1:$AB$178</definedName>
    <definedName name="Z_1F923BC6_4AD1_4F20_A481_D76BE7901A2A_.wvu.PrintArea" localSheetId="2" hidden="1">'【PL】決算数値入力 (仮保存)'!$A$1:$AB$168</definedName>
    <definedName name="Z_1F923BC6_4AD1_4F20_A481_D76BE7901A2A_.wvu.PrintArea" localSheetId="4" hidden="1">【統計】水道統計指標!$A$1:$Q$40</definedName>
    <definedName name="Z_1F923BC6_4AD1_4F20_A481_D76BE7901A2A_.wvu.PrintArea" localSheetId="27" hidden="1">新規債返済スケジュール!$A$1:$BB$157</definedName>
    <definedName name="Z_1F923BC6_4AD1_4F20_A481_D76BE7901A2A_.wvu.PrintArea" localSheetId="8" hidden="1">新規取得!$A$1:$BF$58</definedName>
    <definedName name="Z_1F923BC6_4AD1_4F20_A481_D76BE7901A2A_.wvu.PrintArea" localSheetId="28" hidden="1">報告書用グラフ!$A$1:$AE$41</definedName>
    <definedName name="Z_1F923BC6_4AD1_4F20_A481_D76BE7901A2A_.wvu.PrintArea" localSheetId="0" hidden="1">料金改定率!$A$1:$W$41</definedName>
    <definedName name="Z_1F923BC6_4AD1_4F20_A481_D76BE7901A2A_.wvu.PrintTitles" localSheetId="7" hidden="1">【現行×調整率】財政シミュ!$A:$E</definedName>
    <definedName name="Z_1F923BC6_4AD1_4F20_A481_D76BE7901A2A_.wvu.PrintTitles" localSheetId="15" hidden="1">【収益】水需要予測!$A:$M</definedName>
    <definedName name="Z_1F923BC6_4AD1_4F20_A481_D76BE7901A2A_.wvu.PrintTitles" localSheetId="11" hidden="1">'【収益－現行】給水収益'!$A:$M</definedName>
    <definedName name="Z_1F923BC6_4AD1_4F20_A481_D76BE7901A2A_.wvu.PrintTitles" localSheetId="14" hidden="1">'【収益－現行】給水収益 (料金改定後)'!$A:$M</definedName>
    <definedName name="Z_1F923BC6_4AD1_4F20_A481_D76BE7901A2A_.wvu.PrintTitles" localSheetId="5" hidden="1">【成行】財政シミュ!$A:$E</definedName>
    <definedName name="Z_1F923BC6_4AD1_4F20_A481_D76BE7901A2A_.wvu.PrintTitles" localSheetId="9" hidden="1">'【成行】財政シミュ (料金改定後)'!$A:$E</definedName>
    <definedName name="Z_1F923BC6_4AD1_4F20_A481_D76BE7901A2A_.wvu.PrintTitles" localSheetId="10" hidden="1">'※左シートの変更未反映【成行】財政シミュ (料金改定後)'!$A:$E</definedName>
    <definedName name="Z_1F923BC6_4AD1_4F20_A481_D76BE7901A2A_.wvu.PrintTitles" localSheetId="27" hidden="1">新規債返済スケジュール!$A:$C</definedName>
    <definedName name="Z_1F923BC6_4AD1_4F20_A481_D76BE7901A2A_.wvu.PrintTitles" localSheetId="8" hidden="1">新規取得!$A:$H</definedName>
    <definedName name="Z_1F923BC6_4AD1_4F20_A481_D76BE7901A2A_.wvu.Rows" localSheetId="1" hidden="1">【PL】決算数値入力!$162:$178</definedName>
    <definedName name="Z_1F923BC6_4AD1_4F20_A481_D76BE7901A2A_.wvu.Rows" localSheetId="2" hidden="1">'【PL】決算数値入力 (仮保存)'!$152:$168</definedName>
    <definedName name="Z_1F923BC6_4AD1_4F20_A481_D76BE7901A2A_.wvu.Rows" localSheetId="15" hidden="1">【収益】水需要予測!$22:$23,【収益】水需要予測!$25:$31</definedName>
    <definedName name="Z_1F923BC6_4AD1_4F20_A481_D76BE7901A2A_.wvu.Rows" localSheetId="12" hidden="1">'【収益－要領】給水収益'!$17:$36</definedName>
    <definedName name="Z_1F923BC6_4AD1_4F20_A481_D76BE7901A2A_.wvu.Rows" localSheetId="28" hidden="1">報告書用グラフ!$27:$41</definedName>
    <definedName name="Z_1F923BC6_4AD1_4F20_A481_D76BE7901A2A_.wvu.Rows" localSheetId="0" hidden="1">料金改定率!$27:$41</definedName>
    <definedName name="Z_43FE708A_9A23_47EF_89D8_BA4CBCF30486_.wvu.FilterData" localSheetId="1" hidden="1">【PL】決算数値入力!$B$3:$J$121</definedName>
    <definedName name="Z_4DBBF128_DB99_4383_BE23_20C6EF59DD29_.wvu.FilterData" localSheetId="1" hidden="1">【PL】決算数値入力!$B$3:$J$121</definedName>
    <definedName name="Z_4F95BA21_E9A6_40C2_9290_408F9A85A03F_.wvu.FilterData" localSheetId="1" hidden="1">【PL】決算数値入力!$B$3:$J$121</definedName>
    <definedName name="Z_6C70A88F_96E4_4F4C_B94A_CE0E2A4F6C2C_.wvu.FilterData" localSheetId="1" hidden="1">【PL】決算数値入力!$B$3:$J$121</definedName>
    <definedName name="Z_7E12B616_F255_4DDA_8509_00325721FE1D_.wvu.FilterData" localSheetId="1" hidden="1">【PL】決算数値入力!$B$3:$J$121</definedName>
    <definedName name="Z_A4CE0EC0_EF61_452F_8B42_DC904783C6F9_.wvu.FilterData" localSheetId="1" hidden="1">【PL】決算数値入力!$B$3:$J$121</definedName>
    <definedName name="Z_B05628F6_030D_4851_8E75_96DF5849F39A_.wvu.Cols" localSheetId="15" hidden="1">【収益】水需要予測!$B:$L</definedName>
    <definedName name="Z_B05628F6_030D_4851_8E75_96DF5849F39A_.wvu.Cols" localSheetId="11" hidden="1">'【収益－現行】給水収益'!$B:$L,'【収益－現行】給水収益'!$N:$R</definedName>
    <definedName name="Z_B05628F6_030D_4851_8E75_96DF5849F39A_.wvu.Cols" localSheetId="14" hidden="1">'【収益－現行】給水収益 (料金改定後)'!$B:$L,'【収益－現行】給水収益 (料金改定後)'!$N:$R</definedName>
    <definedName name="Z_B05628F6_030D_4851_8E75_96DF5849F39A_.wvu.Cols" localSheetId="12" hidden="1">'【収益－要領】給水収益'!$B:$L</definedName>
    <definedName name="Z_B05628F6_030D_4851_8E75_96DF5849F39A_.wvu.Cols" localSheetId="6" hidden="1">【要領】財政シミュ!$F:$J,【要領】財政シミュ!$L:$M,【要領】財政シミュ!$O:$R,【要領】財政シミュ!$U:$AB,【要領】財政シミュ!$AD:$AL,【要領】財政シミュ!$AN:$AV,【要領】財政シミュ!$AX:$BF,【要領】財政シミュ!$BH:$BP</definedName>
    <definedName name="Z_B05628F6_030D_4851_8E75_96DF5849F39A_.wvu.Cols" localSheetId="20" hidden="1">【料金算定】期間原価集計!$F:$J</definedName>
    <definedName name="Z_B05628F6_030D_4851_8E75_96DF5849F39A_.wvu.Cols" localSheetId="13" hidden="1">'【料金算定－現行×改定率】給水収益'!$B:$L</definedName>
    <definedName name="Z_B05628F6_030D_4851_8E75_96DF5849F39A_.wvu.FilterData" localSheetId="3" hidden="1">【BS】決算数値入力!$B$3:$J$7</definedName>
    <definedName name="Z_B05628F6_030D_4851_8E75_96DF5849F39A_.wvu.FilterData" localSheetId="1" hidden="1">【PL】決算数値入力!$B$3:$J$121</definedName>
    <definedName name="Z_B05628F6_030D_4851_8E75_96DF5849F39A_.wvu.FilterData" localSheetId="2" hidden="1">'【PL】決算数値入力 (仮保存)'!$B$3:$J$111</definedName>
    <definedName name="Z_B05628F6_030D_4851_8E75_96DF5849F39A_.wvu.FilterData" localSheetId="7" hidden="1">【現行×調整率】財政シミュ!$B$3:$BQ$67</definedName>
    <definedName name="Z_B05628F6_030D_4851_8E75_96DF5849F39A_.wvu.FilterData" localSheetId="5" hidden="1">【成行】財政シミュ!$B$3:$BQ$68</definedName>
    <definedName name="Z_B05628F6_030D_4851_8E75_96DF5849F39A_.wvu.FilterData" localSheetId="9" hidden="1">'【成行】財政シミュ (料金改定後)'!$B$3:$BQ$68</definedName>
    <definedName name="Z_B05628F6_030D_4851_8E75_96DF5849F39A_.wvu.FilterData" localSheetId="6" hidden="1">【要領】財政シミュ!$B$3:$BQ$67</definedName>
    <definedName name="Z_B05628F6_030D_4851_8E75_96DF5849F39A_.wvu.FilterData" localSheetId="10" hidden="1">'※左シートの変更未反映【成行】財政シミュ (料金改定後)'!$B$3:$BQ$68</definedName>
    <definedName name="Z_B05628F6_030D_4851_8E75_96DF5849F39A_.wvu.FilterData" localSheetId="27" hidden="1">新規債返済スケジュール!$B$7:$BB$157</definedName>
    <definedName name="Z_B05628F6_030D_4851_8E75_96DF5849F39A_.wvu.FilterData" localSheetId="8" hidden="1">新規取得!$B$9:$H$58</definedName>
    <definedName name="Z_B05628F6_030D_4851_8E75_96DF5849F39A_.wvu.PrintArea" localSheetId="3" hidden="1">【BS】決算数値入力!$A$1:$O$78</definedName>
    <definedName name="Z_B05628F6_030D_4851_8E75_96DF5849F39A_.wvu.PrintArea" localSheetId="1" hidden="1">【PL】決算数値入力!$A$1:$AB$178</definedName>
    <definedName name="Z_B05628F6_030D_4851_8E75_96DF5849F39A_.wvu.PrintArea" localSheetId="2" hidden="1">'【PL】決算数値入力 (仮保存)'!$A$1:$AB$168</definedName>
    <definedName name="Z_B05628F6_030D_4851_8E75_96DF5849F39A_.wvu.PrintArea" localSheetId="4" hidden="1">【統計】水道統計指標!$A$1:$Q$40</definedName>
    <definedName name="Z_B05628F6_030D_4851_8E75_96DF5849F39A_.wvu.PrintArea" localSheetId="27" hidden="1">新規債返済スケジュール!$A$1:$BB$157</definedName>
    <definedName name="Z_B05628F6_030D_4851_8E75_96DF5849F39A_.wvu.PrintArea" localSheetId="8" hidden="1">新規取得!$A$1:$BF$58</definedName>
    <definedName name="Z_B05628F6_030D_4851_8E75_96DF5849F39A_.wvu.PrintArea" localSheetId="28" hidden="1">報告書用グラフ!$A$1:$AE$41</definedName>
    <definedName name="Z_B05628F6_030D_4851_8E75_96DF5849F39A_.wvu.PrintArea" localSheetId="0" hidden="1">料金改定率!$A$1:$W$41</definedName>
    <definedName name="Z_B05628F6_030D_4851_8E75_96DF5849F39A_.wvu.PrintTitles" localSheetId="7" hidden="1">【現行×調整率】財政シミュ!$A:$E</definedName>
    <definedName name="Z_B05628F6_030D_4851_8E75_96DF5849F39A_.wvu.PrintTitles" localSheetId="15" hidden="1">【収益】水需要予測!$A:$M</definedName>
    <definedName name="Z_B05628F6_030D_4851_8E75_96DF5849F39A_.wvu.PrintTitles" localSheetId="11" hidden="1">'【収益－現行】給水収益'!$A:$M</definedName>
    <definedName name="Z_B05628F6_030D_4851_8E75_96DF5849F39A_.wvu.PrintTitles" localSheetId="14" hidden="1">'【収益－現行】給水収益 (料金改定後)'!$A:$M</definedName>
    <definedName name="Z_B05628F6_030D_4851_8E75_96DF5849F39A_.wvu.PrintTitles" localSheetId="5" hidden="1">【成行】財政シミュ!$A:$E</definedName>
    <definedName name="Z_B05628F6_030D_4851_8E75_96DF5849F39A_.wvu.PrintTitles" localSheetId="9" hidden="1">'【成行】財政シミュ (料金改定後)'!$A:$E</definedName>
    <definedName name="Z_B05628F6_030D_4851_8E75_96DF5849F39A_.wvu.PrintTitles" localSheetId="10" hidden="1">'※左シートの変更未反映【成行】財政シミュ (料金改定後)'!$A:$E</definedName>
    <definedName name="Z_B05628F6_030D_4851_8E75_96DF5849F39A_.wvu.PrintTitles" localSheetId="27" hidden="1">新規債返済スケジュール!$A:$C</definedName>
    <definedName name="Z_B05628F6_030D_4851_8E75_96DF5849F39A_.wvu.PrintTitles" localSheetId="8" hidden="1">新規取得!$A:$H</definedName>
    <definedName name="Z_B05628F6_030D_4851_8E75_96DF5849F39A_.wvu.Rows" localSheetId="1" hidden="1">【PL】決算数値入力!$162:$178</definedName>
    <definedName name="Z_B05628F6_030D_4851_8E75_96DF5849F39A_.wvu.Rows" localSheetId="2" hidden="1">'【PL】決算数値入力 (仮保存)'!$152:$168</definedName>
    <definedName name="Z_B05628F6_030D_4851_8E75_96DF5849F39A_.wvu.Rows" localSheetId="15" hidden="1">【収益】水需要予測!$22:$23,【収益】水需要予測!$25:$31</definedName>
    <definedName name="Z_B05628F6_030D_4851_8E75_96DF5849F39A_.wvu.Rows" localSheetId="12" hidden="1">'【収益－要領】給水収益'!$17:$36</definedName>
    <definedName name="Z_B05628F6_030D_4851_8E75_96DF5849F39A_.wvu.Rows" localSheetId="28" hidden="1">報告書用グラフ!$27:$41</definedName>
    <definedName name="Z_B05628F6_030D_4851_8E75_96DF5849F39A_.wvu.Rows" localSheetId="0" hidden="1">料金改定率!$27:$41</definedName>
    <definedName name="Z_B199E72C_EC21_4081_A884_E87B2F34B788_.wvu.FilterData" localSheetId="1" hidden="1">【PL】決算数値入力!$B$3:$J$121</definedName>
    <definedName name="採用・退職">#REF!</definedName>
    <definedName name="所属コード表_新旧対照_">#REF!</definedName>
  </definedNames>
  <calcPr calcId="191029"/>
  <customWorkbookViews>
    <customWorkbookView name="kensetu16 - 個人用ビュー" guid="{B05628F6-030D-4851-8E75-96DF5849F39A}" mergeInterval="0" personalView="1" maximized="1" xWindow="-9" yWindow="-9" windowWidth="1938" windowHeight="1048" tabRatio="931" activeSheetId="2"/>
    <customWorkbookView name="suidou06 - 個人用ビュー" guid="{1F923BC6-4AD1-4F20-A481-D76BE7901A2A}" mergeInterval="0" personalView="1" maximized="1" xWindow="-9" yWindow="-9" windowWidth="1938" windowHeight="1048" tabRatio="931"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0" i="29" l="1"/>
  <c r="M24" i="29"/>
  <c r="M25" i="29"/>
  <c r="M26" i="29"/>
  <c r="M27" i="29"/>
  <c r="M28" i="29"/>
  <c r="M29" i="29"/>
  <c r="M23" i="29"/>
  <c r="M30" i="29"/>
  <c r="D3070" i="30"/>
  <c r="J3069" i="30"/>
  <c r="G3069" i="30"/>
  <c r="D3069" i="30"/>
  <c r="J3068" i="30"/>
  <c r="G3068" i="30"/>
  <c r="D3068" i="30"/>
  <c r="J3067" i="30"/>
  <c r="G3067" i="30"/>
  <c r="D3067" i="30"/>
  <c r="J3066" i="30"/>
  <c r="G3066" i="30"/>
  <c r="D3066" i="30"/>
  <c r="J3065" i="30"/>
  <c r="G3065" i="30"/>
  <c r="D3065" i="30"/>
  <c r="J3064" i="30"/>
  <c r="G3064" i="30"/>
  <c r="D3064" i="30"/>
  <c r="J3063" i="30"/>
  <c r="G3063" i="30"/>
  <c r="L30" i="29"/>
  <c r="AF7" i="29"/>
  <c r="AF9" i="29" s="1"/>
  <c r="T7" i="9"/>
  <c r="G8" i="29"/>
  <c r="G9" i="29"/>
  <c r="G10" i="29"/>
  <c r="G11" i="29"/>
  <c r="G12" i="29"/>
  <c r="G13" i="29"/>
  <c r="G14" i="29"/>
  <c r="G15" i="29"/>
  <c r="P17" i="29"/>
  <c r="O17" i="29"/>
  <c r="N17" i="29"/>
  <c r="M17" i="29"/>
  <c r="L17" i="29"/>
  <c r="Q16" i="29"/>
  <c r="Q15" i="29"/>
  <c r="Q14" i="29"/>
  <c r="Q13" i="29"/>
  <c r="Q12" i="29"/>
  <c r="Q11" i="29"/>
  <c r="Q10" i="29"/>
  <c r="Q9" i="29"/>
  <c r="Q8" i="29"/>
  <c r="Q7" i="29"/>
  <c r="T51" i="23"/>
  <c r="S51" i="23"/>
  <c r="R51" i="23"/>
  <c r="Q51" i="23"/>
  <c r="P51" i="23"/>
  <c r="O51" i="23"/>
  <c r="N51" i="23"/>
  <c r="K11" i="2"/>
  <c r="V14" i="28"/>
  <c r="W14" i="28"/>
  <c r="X14" i="28"/>
  <c r="Y14" i="28"/>
  <c r="Z14" i="28"/>
  <c r="AA14" i="28"/>
  <c r="AB14" i="28"/>
  <c r="AC14" i="28"/>
  <c r="AD14" i="28"/>
  <c r="AE14" i="28"/>
  <c r="AF14" i="28"/>
  <c r="AG14" i="28"/>
  <c r="AH14" i="28"/>
  <c r="AI14" i="28"/>
  <c r="AJ14" i="28"/>
  <c r="AK14" i="28"/>
  <c r="AL14" i="28"/>
  <c r="AM14" i="28"/>
  <c r="AN14" i="28"/>
  <c r="AO14" i="28"/>
  <c r="AP14" i="28"/>
  <c r="AQ14" i="28"/>
  <c r="AR14" i="28"/>
  <c r="AS14" i="28"/>
  <c r="AT14" i="28"/>
  <c r="AU14" i="28"/>
  <c r="AV14" i="28"/>
  <c r="AW14" i="28"/>
  <c r="AX14" i="28"/>
  <c r="AY14" i="28"/>
  <c r="AZ14" i="28"/>
  <c r="BA14" i="28"/>
  <c r="BB14" i="28"/>
  <c r="BC14" i="28"/>
  <c r="BD14" i="28"/>
  <c r="BE14" i="28"/>
  <c r="BF14" i="28"/>
  <c r="BG14" i="28"/>
  <c r="BH14" i="28"/>
  <c r="BI14" i="28"/>
  <c r="BJ14" i="28"/>
  <c r="BK14" i="28"/>
  <c r="BL14" i="28"/>
  <c r="BM14" i="28"/>
  <c r="BN14" i="28"/>
  <c r="BO14" i="28"/>
  <c r="BP14" i="28"/>
  <c r="BQ14" i="28"/>
  <c r="T8" i="25"/>
  <c r="W79" i="28"/>
  <c r="X79" i="28"/>
  <c r="Y79" i="28"/>
  <c r="Z79" i="28"/>
  <c r="AA79" i="28"/>
  <c r="AB79" i="28"/>
  <c r="AC79" i="28"/>
  <c r="AD79" i="28"/>
  <c r="AE79" i="28"/>
  <c r="AF79" i="28"/>
  <c r="AG79" i="28"/>
  <c r="AH79" i="28"/>
  <c r="AI79" i="28"/>
  <c r="AJ79" i="28"/>
  <c r="AK79" i="28"/>
  <c r="AL79" i="28"/>
  <c r="AM79" i="28"/>
  <c r="AN79" i="28"/>
  <c r="AO79" i="28"/>
  <c r="AP79" i="28"/>
  <c r="AQ79" i="28"/>
  <c r="AR79" i="28"/>
  <c r="AS79" i="28"/>
  <c r="AT79" i="28"/>
  <c r="AU79" i="28"/>
  <c r="AV79" i="28"/>
  <c r="AW79" i="28"/>
  <c r="AX79" i="28"/>
  <c r="AY79" i="28"/>
  <c r="AZ79" i="28"/>
  <c r="BA79" i="28"/>
  <c r="BB79" i="28"/>
  <c r="BC79" i="28"/>
  <c r="BD79" i="28"/>
  <c r="BE79" i="28"/>
  <c r="BF79" i="28"/>
  <c r="BG79" i="28"/>
  <c r="BH79" i="28"/>
  <c r="BI79" i="28"/>
  <c r="BJ79" i="28"/>
  <c r="V79" i="28"/>
  <c r="AD73" i="28"/>
  <c r="AM73" i="28"/>
  <c r="BI73" i="28"/>
  <c r="AA73" i="28"/>
  <c r="V74" i="28"/>
  <c r="W124" i="28"/>
  <c r="V124" i="28"/>
  <c r="V88" i="28" s="1"/>
  <c r="T115" i="28"/>
  <c r="S115" i="28"/>
  <c r="R115" i="28"/>
  <c r="Q115" i="28"/>
  <c r="P115" i="28"/>
  <c r="O115" i="28"/>
  <c r="N115" i="28"/>
  <c r="S114" i="28"/>
  <c r="R114" i="28"/>
  <c r="Q114" i="28"/>
  <c r="P114" i="28"/>
  <c r="O114" i="28"/>
  <c r="N114" i="28"/>
  <c r="BB111" i="28"/>
  <c r="BQ110" i="28"/>
  <c r="BC110" i="28"/>
  <c r="AK110" i="28"/>
  <c r="AI110" i="28"/>
  <c r="AH110" i="28"/>
  <c r="BP109" i="28"/>
  <c r="BO109" i="28"/>
  <c r="BK109" i="28"/>
  <c r="BH109" i="28"/>
  <c r="BB109" i="28"/>
  <c r="AY109" i="28"/>
  <c r="AU109" i="28"/>
  <c r="AQ109" i="28"/>
  <c r="AL109" i="28"/>
  <c r="AJ109" i="28"/>
  <c r="AI109" i="28"/>
  <c r="AE109" i="28"/>
  <c r="AC109" i="28"/>
  <c r="AB109" i="28"/>
  <c r="V109" i="28"/>
  <c r="O109" i="28"/>
  <c r="BQ108" i="28"/>
  <c r="BH108" i="28"/>
  <c r="BG108" i="28"/>
  <c r="BA108" i="28"/>
  <c r="AR108" i="28"/>
  <c r="AQ108" i="28"/>
  <c r="AI108" i="28"/>
  <c r="AA108" i="28"/>
  <c r="U108" i="28"/>
  <c r="U111" i="28" s="1"/>
  <c r="T108" i="28"/>
  <c r="N107" i="28"/>
  <c r="S106" i="28"/>
  <c r="Q106" i="28"/>
  <c r="Q107" i="28" s="1"/>
  <c r="N106" i="28"/>
  <c r="S99" i="28"/>
  <c r="R99" i="28"/>
  <c r="Q99" i="28"/>
  <c r="P99" i="28"/>
  <c r="O99" i="28"/>
  <c r="N99" i="28"/>
  <c r="T98" i="28"/>
  <c r="S98" i="28"/>
  <c r="R97" i="28"/>
  <c r="Q97" i="28"/>
  <c r="P97" i="28"/>
  <c r="P96" i="28" s="1"/>
  <c r="O97" i="28"/>
  <c r="N97" i="28"/>
  <c r="N96" i="28" s="1"/>
  <c r="U96" i="28"/>
  <c r="T96" i="28"/>
  <c r="T80" i="28" s="1"/>
  <c r="R96" i="28"/>
  <c r="Q96" i="28"/>
  <c r="S95" i="28"/>
  <c r="S94" i="28"/>
  <c r="S93" i="28"/>
  <c r="BQ92" i="28"/>
  <c r="BP92" i="28"/>
  <c r="BP90" i="28" s="1"/>
  <c r="BO92" i="28"/>
  <c r="BO90" i="28" s="1"/>
  <c r="BN92" i="28"/>
  <c r="BN90" i="28" s="1"/>
  <c r="BM92" i="28"/>
  <c r="BL92" i="28"/>
  <c r="BK92" i="28"/>
  <c r="BJ92" i="28"/>
  <c r="BI92" i="28"/>
  <c r="BI90" i="28" s="1"/>
  <c r="BH92" i="28"/>
  <c r="BH90" i="28" s="1"/>
  <c r="BG92" i="28"/>
  <c r="BF92" i="28"/>
  <c r="BE92" i="28"/>
  <c r="BD92" i="28"/>
  <c r="BC92" i="28"/>
  <c r="BB92" i="28"/>
  <c r="BB90" i="28" s="1"/>
  <c r="BA92" i="28"/>
  <c r="AZ92" i="28"/>
  <c r="AY92" i="28"/>
  <c r="AY90" i="28" s="1"/>
  <c r="AX92" i="28"/>
  <c r="AX90" i="28" s="1"/>
  <c r="AW92" i="28"/>
  <c r="AV92" i="28"/>
  <c r="AU92" i="28"/>
  <c r="AU90" i="28" s="1"/>
  <c r="AT92" i="28"/>
  <c r="AS92" i="28"/>
  <c r="AS90" i="28" s="1"/>
  <c r="AR92" i="28"/>
  <c r="AR90" i="28" s="1"/>
  <c r="AQ92" i="28"/>
  <c r="AP92" i="28"/>
  <c r="AO92" i="28"/>
  <c r="AN92" i="28"/>
  <c r="AN90" i="28" s="1"/>
  <c r="AM92" i="28"/>
  <c r="AL92" i="28"/>
  <c r="AK92" i="28"/>
  <c r="AK90" i="28" s="1"/>
  <c r="AJ92" i="28"/>
  <c r="AJ90" i="28" s="1"/>
  <c r="AI92" i="28"/>
  <c r="AI90" i="28" s="1"/>
  <c r="AH92" i="28"/>
  <c r="AH90" i="28" s="1"/>
  <c r="AG92" i="28"/>
  <c r="AF92" i="28"/>
  <c r="AE92" i="28"/>
  <c r="AE90" i="28" s="1"/>
  <c r="AD92" i="28"/>
  <c r="AC92" i="28"/>
  <c r="AC90" i="28" s="1"/>
  <c r="AB92" i="28"/>
  <c r="AB90" i="28" s="1"/>
  <c r="AA92" i="28"/>
  <c r="Z92" i="28"/>
  <c r="Y92" i="28"/>
  <c r="X92" i="28"/>
  <c r="X90" i="28" s="1"/>
  <c r="W92" i="28"/>
  <c r="V92" i="28"/>
  <c r="V90" i="28" s="1"/>
  <c r="S92" i="28"/>
  <c r="S91" i="28"/>
  <c r="BM90" i="28"/>
  <c r="BL90" i="28"/>
  <c r="BK90" i="28"/>
  <c r="BJ90" i="28"/>
  <c r="BG90" i="28"/>
  <c r="BF90" i="28"/>
  <c r="BE90" i="28"/>
  <c r="BD90" i="28"/>
  <c r="BC90" i="28"/>
  <c r="AZ90" i="28"/>
  <c r="AW90" i="28"/>
  <c r="AV90" i="28"/>
  <c r="AT90" i="28"/>
  <c r="AQ90" i="28"/>
  <c r="AP90" i="28"/>
  <c r="AO90" i="28"/>
  <c r="AM90" i="28"/>
  <c r="AG90" i="28"/>
  <c r="AF90" i="28"/>
  <c r="AD90" i="28"/>
  <c r="AA90" i="28"/>
  <c r="Z90" i="28"/>
  <c r="Y90" i="28"/>
  <c r="W90" i="28"/>
  <c r="U90" i="28"/>
  <c r="T90" i="28"/>
  <c r="R90" i="28"/>
  <c r="Q90" i="28"/>
  <c r="P90" i="28"/>
  <c r="O90" i="28"/>
  <c r="N90" i="28"/>
  <c r="S89" i="28"/>
  <c r="BQ88" i="28"/>
  <c r="BP88" i="28"/>
  <c r="BO88" i="28"/>
  <c r="BN88" i="28"/>
  <c r="BN86" i="28" s="1"/>
  <c r="BM88" i="28"/>
  <c r="BM86" i="28" s="1"/>
  <c r="BL88" i="28"/>
  <c r="BK88" i="28"/>
  <c r="BJ88" i="28"/>
  <c r="BJ86" i="28" s="1"/>
  <c r="BI88" i="28"/>
  <c r="BI86" i="28" s="1"/>
  <c r="BI74" i="28" s="1"/>
  <c r="BH88" i="28"/>
  <c r="BG88" i="28"/>
  <c r="BF88" i="28"/>
  <c r="BF86" i="28" s="1"/>
  <c r="BE88" i="28"/>
  <c r="BD88" i="28"/>
  <c r="BD86" i="28" s="1"/>
  <c r="BD74" i="28" s="1"/>
  <c r="BD73" i="28" s="1"/>
  <c r="BC88" i="28"/>
  <c r="BC86" i="28" s="1"/>
  <c r="BB88" i="28"/>
  <c r="BB86" i="28" s="1"/>
  <c r="BA88" i="28"/>
  <c r="AZ88" i="28"/>
  <c r="AY88" i="28"/>
  <c r="AX88" i="28"/>
  <c r="AW88" i="28"/>
  <c r="AV88" i="28"/>
  <c r="AU88" i="28"/>
  <c r="AU86" i="28" s="1"/>
  <c r="AT88" i="28"/>
  <c r="AT86" i="28" s="1"/>
  <c r="AT74" i="28" s="1"/>
  <c r="AS88" i="28"/>
  <c r="AS86" i="28" s="1"/>
  <c r="AS74" i="28" s="1"/>
  <c r="AR88" i="28"/>
  <c r="AQ88" i="28"/>
  <c r="AP88" i="28"/>
  <c r="AP86" i="28" s="1"/>
  <c r="AO88" i="28"/>
  <c r="AN88" i="28"/>
  <c r="AN86" i="28" s="1"/>
  <c r="AN74" i="28" s="1"/>
  <c r="AN73" i="28" s="1"/>
  <c r="AM88" i="28"/>
  <c r="AM86" i="28" s="1"/>
  <c r="AL88" i="28"/>
  <c r="AK88" i="28"/>
  <c r="AJ88" i="28"/>
  <c r="AI88" i="28"/>
  <c r="AI86" i="28" s="1"/>
  <c r="AH88" i="28"/>
  <c r="AH86" i="28" s="1"/>
  <c r="AG88" i="28"/>
  <c r="AF88" i="28"/>
  <c r="AE88" i="28"/>
  <c r="AD88" i="28"/>
  <c r="AD86" i="28" s="1"/>
  <c r="AD74" i="28" s="1"/>
  <c r="AC88" i="28"/>
  <c r="AC86" i="28" s="1"/>
  <c r="AC74" i="28" s="1"/>
  <c r="AC73" i="28" s="1"/>
  <c r="AB88" i="28"/>
  <c r="AA88" i="28"/>
  <c r="Z88" i="28"/>
  <c r="Y88" i="28"/>
  <c r="X88" i="28"/>
  <c r="X86" i="28" s="1"/>
  <c r="X74" i="28" s="1"/>
  <c r="X73" i="28" s="1"/>
  <c r="W88" i="28"/>
  <c r="W86" i="28" s="1"/>
  <c r="S88" i="28"/>
  <c r="S87" i="28"/>
  <c r="BQ86" i="28"/>
  <c r="BP86" i="28"/>
  <c r="BP74" i="28" s="1"/>
  <c r="BO86" i="28"/>
  <c r="BL86" i="28"/>
  <c r="BK86" i="28"/>
  <c r="BH86" i="28"/>
  <c r="BG86" i="28"/>
  <c r="BE86" i="28"/>
  <c r="BE74" i="28" s="1"/>
  <c r="BA86" i="28"/>
  <c r="AZ86" i="28"/>
  <c r="AZ74" i="28" s="1"/>
  <c r="AY86" i="28"/>
  <c r="AX86" i="28"/>
  <c r="AW86" i="28"/>
  <c r="AV86" i="28"/>
  <c r="AR86" i="28"/>
  <c r="AQ86" i="28"/>
  <c r="AO86" i="28"/>
  <c r="AL86" i="28"/>
  <c r="AK86" i="28"/>
  <c r="AJ86" i="28"/>
  <c r="AG86" i="28"/>
  <c r="AF86" i="28"/>
  <c r="AE86" i="28"/>
  <c r="AE74" i="28" s="1"/>
  <c r="AE73" i="28" s="1"/>
  <c r="AB86" i="28"/>
  <c r="AA86" i="28"/>
  <c r="Z86" i="28"/>
  <c r="Y86" i="28"/>
  <c r="V86" i="28"/>
  <c r="U86" i="28"/>
  <c r="T86" i="28"/>
  <c r="R86" i="28"/>
  <c r="Q86" i="28"/>
  <c r="P86" i="28"/>
  <c r="O86" i="28"/>
  <c r="S86" i="28" s="1"/>
  <c r="N86" i="28"/>
  <c r="S85" i="28"/>
  <c r="R85" i="28"/>
  <c r="Q85" i="28"/>
  <c r="P85" i="28"/>
  <c r="P80" i="28" s="1"/>
  <c r="O85" i="28"/>
  <c r="N85" i="28"/>
  <c r="S84" i="28"/>
  <c r="S83" i="28"/>
  <c r="BQ82" i="28"/>
  <c r="BQ81" i="28" s="1"/>
  <c r="BP82" i="28"/>
  <c r="BO82" i="28"/>
  <c r="BN82" i="28"/>
  <c r="BM82" i="28"/>
  <c r="BL82" i="28"/>
  <c r="BK82" i="28"/>
  <c r="BJ82" i="28"/>
  <c r="BI82" i="28"/>
  <c r="BH82" i="28"/>
  <c r="BG82" i="28"/>
  <c r="BF82" i="28"/>
  <c r="BE82" i="28"/>
  <c r="BE81" i="28" s="1"/>
  <c r="BD82" i="28"/>
  <c r="BC82" i="28"/>
  <c r="BB82" i="28"/>
  <c r="BA82" i="28"/>
  <c r="BA81" i="28" s="1"/>
  <c r="AZ82" i="28"/>
  <c r="AY82" i="28"/>
  <c r="AX82" i="28"/>
  <c r="AW82" i="28"/>
  <c r="AV82" i="28"/>
  <c r="AU82" i="28"/>
  <c r="AT82" i="28"/>
  <c r="AS82" i="28"/>
  <c r="AR82" i="28"/>
  <c r="AQ82" i="28"/>
  <c r="AP82" i="28"/>
  <c r="AO82" i="28"/>
  <c r="AN82" i="28"/>
  <c r="AM82" i="28"/>
  <c r="AL82" i="28"/>
  <c r="AL81" i="28" s="1"/>
  <c r="AK82" i="28"/>
  <c r="AK81" i="28" s="1"/>
  <c r="AJ82" i="28"/>
  <c r="AI82" i="28"/>
  <c r="AH82" i="28"/>
  <c r="AG82" i="28"/>
  <c r="AG81" i="28" s="1"/>
  <c r="AF82" i="28"/>
  <c r="AE82" i="28"/>
  <c r="AE81" i="28" s="1"/>
  <c r="AD82" i="28"/>
  <c r="AC82" i="28"/>
  <c r="AB82" i="28"/>
  <c r="AA82" i="28"/>
  <c r="Z82" i="28"/>
  <c r="Y82" i="28"/>
  <c r="X82" i="28"/>
  <c r="W82" i="28"/>
  <c r="V82" i="28"/>
  <c r="V81" i="28" s="1"/>
  <c r="U82" i="28"/>
  <c r="U81" i="28" s="1"/>
  <c r="T82" i="28"/>
  <c r="R82" i="28"/>
  <c r="Q82" i="28"/>
  <c r="P82" i="28"/>
  <c r="P81" i="28" s="1"/>
  <c r="O82" i="28"/>
  <c r="O81" i="28" s="1"/>
  <c r="N82" i="28"/>
  <c r="BP81" i="28"/>
  <c r="BM81" i="28"/>
  <c r="BJ81" i="28"/>
  <c r="BI81" i="28"/>
  <c r="BH81" i="28"/>
  <c r="BG81" i="28"/>
  <c r="BD81" i="28"/>
  <c r="BC81" i="28"/>
  <c r="AZ81" i="28"/>
  <c r="AT81" i="28"/>
  <c r="AS81" i="28"/>
  <c r="AR81" i="28"/>
  <c r="AQ81" i="28"/>
  <c r="AP81" i="28"/>
  <c r="AO81" i="28"/>
  <c r="AN81" i="28"/>
  <c r="AM81" i="28"/>
  <c r="AJ81" i="28"/>
  <c r="AH81" i="28"/>
  <c r="AD81" i="28"/>
  <c r="AC81" i="28"/>
  <c r="AA81" i="28"/>
  <c r="Y81" i="28"/>
  <c r="X81" i="28"/>
  <c r="W81" i="28"/>
  <c r="T81" i="28"/>
  <c r="R81" i="28"/>
  <c r="Q81" i="28"/>
  <c r="N81" i="28"/>
  <c r="U80" i="28"/>
  <c r="S79" i="28"/>
  <c r="S78" i="28"/>
  <c r="R78" i="28"/>
  <c r="Q78" i="28"/>
  <c r="P78" i="28"/>
  <c r="O78" i="28"/>
  <c r="N78" i="28"/>
  <c r="S77" i="28"/>
  <c r="R77" i="28"/>
  <c r="Q77" i="28"/>
  <c r="P77" i="28"/>
  <c r="O77" i="28"/>
  <c r="N77" i="28"/>
  <c r="S76" i="28"/>
  <c r="R76" i="28"/>
  <c r="Q76" i="28"/>
  <c r="P76" i="28"/>
  <c r="O76" i="28"/>
  <c r="N76" i="28"/>
  <c r="X75" i="28"/>
  <c r="W75" i="28"/>
  <c r="V75" i="28"/>
  <c r="U75" i="28"/>
  <c r="S75" i="28"/>
  <c r="R75" i="28"/>
  <c r="Q75" i="28"/>
  <c r="P75" i="28"/>
  <c r="O75" i="28"/>
  <c r="N75" i="28"/>
  <c r="BJ74" i="28"/>
  <c r="BG74" i="28"/>
  <c r="BC74" i="28"/>
  <c r="AQ74" i="28"/>
  <c r="AO74" i="28"/>
  <c r="AO73" i="28" s="1"/>
  <c r="AM74" i="28"/>
  <c r="AJ74" i="28"/>
  <c r="AG74" i="28"/>
  <c r="AG73" i="28" s="1"/>
  <c r="AA74" i="28"/>
  <c r="Y74" i="28"/>
  <c r="Y73" i="28" s="1"/>
  <c r="S74" i="28"/>
  <c r="R74" i="28"/>
  <c r="Q74" i="28"/>
  <c r="P74" i="28"/>
  <c r="O74" i="28"/>
  <c r="O73" i="28" s="1"/>
  <c r="N74" i="28"/>
  <c r="BP73" i="28"/>
  <c r="U73" i="28"/>
  <c r="U100" i="28" s="1"/>
  <c r="U105" i="28" s="1"/>
  <c r="U113" i="28" s="1"/>
  <c r="T73" i="28"/>
  <c r="T100" i="28" s="1"/>
  <c r="T105" i="28" s="1"/>
  <c r="T113" i="28" s="1"/>
  <c r="N73" i="28"/>
  <c r="R68" i="28"/>
  <c r="R106" i="28" s="1"/>
  <c r="R107" i="28" s="1"/>
  <c r="Q68" i="28"/>
  <c r="P68" i="28"/>
  <c r="P106" i="28" s="1"/>
  <c r="P107" i="28" s="1"/>
  <c r="O68" i="28"/>
  <c r="O106" i="28" s="1"/>
  <c r="O107" i="28" s="1"/>
  <c r="N68" i="28"/>
  <c r="S67" i="28"/>
  <c r="R67" i="28"/>
  <c r="Q67" i="28"/>
  <c r="P67" i="28"/>
  <c r="O67" i="28"/>
  <c r="N67" i="28"/>
  <c r="S66" i="28"/>
  <c r="R66" i="28"/>
  <c r="Q66" i="28"/>
  <c r="P66" i="28"/>
  <c r="O66" i="28"/>
  <c r="N66" i="28"/>
  <c r="S65" i="28"/>
  <c r="R65" i="28"/>
  <c r="Q65" i="28"/>
  <c r="P65" i="28"/>
  <c r="O65" i="28"/>
  <c r="N65" i="28"/>
  <c r="S64" i="28"/>
  <c r="R64" i="28"/>
  <c r="Q64" i="28"/>
  <c r="P64" i="28"/>
  <c r="O64" i="28"/>
  <c r="N64" i="28"/>
  <c r="BQ63" i="28"/>
  <c r="BP63" i="28"/>
  <c r="BO63" i="28"/>
  <c r="BN63" i="28"/>
  <c r="BM63" i="28"/>
  <c r="BL63" i="28"/>
  <c r="BK63" i="28"/>
  <c r="BJ63" i="28"/>
  <c r="BI63" i="28"/>
  <c r="BH63" i="28"/>
  <c r="BG63" i="28"/>
  <c r="BF63" i="28"/>
  <c r="BE63" i="28"/>
  <c r="BD63" i="28"/>
  <c r="BC63" i="28"/>
  <c r="BB63" i="28"/>
  <c r="BA63" i="28"/>
  <c r="AZ63" i="28"/>
  <c r="AY63" i="28"/>
  <c r="AX63" i="28"/>
  <c r="AW63" i="28"/>
  <c r="AV63" i="28"/>
  <c r="AU63" i="28"/>
  <c r="AT63" i="28"/>
  <c r="AS63" i="28"/>
  <c r="AR63" i="28"/>
  <c r="AQ63" i="28"/>
  <c r="AP63" i="28"/>
  <c r="AO63" i="28"/>
  <c r="AN63" i="28"/>
  <c r="AM63" i="28"/>
  <c r="AL63" i="28"/>
  <c r="AK63" i="28"/>
  <c r="AJ63" i="28"/>
  <c r="AI63" i="28"/>
  <c r="AH63" i="28"/>
  <c r="AG63" i="28"/>
  <c r="AF63" i="28"/>
  <c r="AE63" i="28"/>
  <c r="AD63" i="28"/>
  <c r="AC63" i="28"/>
  <c r="AB63" i="28"/>
  <c r="AA63" i="28"/>
  <c r="Z63" i="28"/>
  <c r="Y63" i="28"/>
  <c r="X63" i="28"/>
  <c r="W63" i="28"/>
  <c r="V63" i="28"/>
  <c r="U63" i="28"/>
  <c r="T63" i="28"/>
  <c r="S63" i="28"/>
  <c r="R63" i="28"/>
  <c r="Q63" i="28"/>
  <c r="P63" i="28"/>
  <c r="O63" i="28"/>
  <c r="N63" i="28"/>
  <c r="T62" i="28"/>
  <c r="U62" i="28" s="1"/>
  <c r="V62" i="28" s="1"/>
  <c r="W62" i="28" s="1"/>
  <c r="S62" i="28"/>
  <c r="R62" i="28"/>
  <c r="Q62" i="28"/>
  <c r="P62" i="28"/>
  <c r="O62" i="28"/>
  <c r="N62" i="28"/>
  <c r="T61" i="28"/>
  <c r="T59" i="28" s="1"/>
  <c r="S61" i="28"/>
  <c r="R61" i="28"/>
  <c r="Q61" i="28"/>
  <c r="P61" i="28"/>
  <c r="O61" i="28"/>
  <c r="N61" i="28"/>
  <c r="S60" i="28"/>
  <c r="S59" i="28"/>
  <c r="R59" i="28"/>
  <c r="Q59" i="28"/>
  <c r="P59" i="28"/>
  <c r="O59" i="28"/>
  <c r="N59" i="28"/>
  <c r="T58" i="28"/>
  <c r="S58" i="28"/>
  <c r="R58" i="28"/>
  <c r="Q58" i="28"/>
  <c r="P58" i="28"/>
  <c r="O58" i="28"/>
  <c r="N58" i="28"/>
  <c r="S57" i="28"/>
  <c r="R57" i="28"/>
  <c r="Q57" i="28"/>
  <c r="P57" i="28"/>
  <c r="O57" i="28"/>
  <c r="N57" i="28"/>
  <c r="S56" i="28"/>
  <c r="R56" i="28"/>
  <c r="Q56" i="28"/>
  <c r="P56" i="28"/>
  <c r="O56" i="28"/>
  <c r="N56" i="28"/>
  <c r="BQ55" i="28"/>
  <c r="BQ109" i="28" s="1"/>
  <c r="BP55" i="28"/>
  <c r="BO55" i="28"/>
  <c r="BN55" i="28"/>
  <c r="BN109" i="28" s="1"/>
  <c r="BM55" i="28"/>
  <c r="BM109" i="28" s="1"/>
  <c r="BL55" i="28"/>
  <c r="BL109" i="28" s="1"/>
  <c r="BK55" i="28"/>
  <c r="BJ55" i="28"/>
  <c r="BJ109" i="28" s="1"/>
  <c r="BI55" i="28"/>
  <c r="BI109" i="28" s="1"/>
  <c r="BH55" i="28"/>
  <c r="BG55" i="28"/>
  <c r="BG109" i="28" s="1"/>
  <c r="BF55" i="28"/>
  <c r="BF109" i="28" s="1"/>
  <c r="BE55" i="28"/>
  <c r="BE109" i="28" s="1"/>
  <c r="BD55" i="28"/>
  <c r="BD109" i="28" s="1"/>
  <c r="BC55" i="28"/>
  <c r="BC109" i="28" s="1"/>
  <c r="BB55" i="28"/>
  <c r="BA55" i="28"/>
  <c r="BA109" i="28" s="1"/>
  <c r="AZ55" i="28"/>
  <c r="AZ109" i="28" s="1"/>
  <c r="AY55" i="28"/>
  <c r="AX55" i="28"/>
  <c r="AX109" i="28" s="1"/>
  <c r="AW55" i="28"/>
  <c r="AW109" i="28" s="1"/>
  <c r="AV55" i="28"/>
  <c r="AV109" i="28" s="1"/>
  <c r="AU55" i="28"/>
  <c r="AT55" i="28"/>
  <c r="AT109" i="28" s="1"/>
  <c r="AS55" i="28"/>
  <c r="AS109" i="28" s="1"/>
  <c r="AR55" i="28"/>
  <c r="AR109" i="28" s="1"/>
  <c r="AQ55" i="28"/>
  <c r="AP55" i="28"/>
  <c r="AP109" i="28" s="1"/>
  <c r="AO55" i="28"/>
  <c r="AO109" i="28" s="1"/>
  <c r="AN55" i="28"/>
  <c r="AN109" i="28" s="1"/>
  <c r="AM55" i="28"/>
  <c r="AM109" i="28" s="1"/>
  <c r="AL55" i="28"/>
  <c r="AK55" i="28"/>
  <c r="AK109" i="28" s="1"/>
  <c r="AJ55" i="28"/>
  <c r="AI55" i="28"/>
  <c r="AH55" i="28"/>
  <c r="AH109" i="28" s="1"/>
  <c r="AG55" i="28"/>
  <c r="AG109" i="28" s="1"/>
  <c r="AF55" i="28"/>
  <c r="AF109" i="28" s="1"/>
  <c r="AE55" i="28"/>
  <c r="AD55" i="28"/>
  <c r="AD109" i="28" s="1"/>
  <c r="AC55" i="28"/>
  <c r="AB55" i="28"/>
  <c r="AA55" i="28"/>
  <c r="AA109" i="28" s="1"/>
  <c r="Z55" i="28"/>
  <c r="Z109" i="28" s="1"/>
  <c r="Y55" i="28"/>
  <c r="Y109" i="28" s="1"/>
  <c r="X55" i="28"/>
  <c r="X109" i="28" s="1"/>
  <c r="W55" i="28"/>
  <c r="W109" i="28" s="1"/>
  <c r="V55" i="28"/>
  <c r="U55" i="28"/>
  <c r="U109" i="28" s="1"/>
  <c r="T55" i="28"/>
  <c r="T109" i="28" s="1"/>
  <c r="S55" i="28"/>
  <c r="R55" i="28"/>
  <c r="R109" i="28" s="1"/>
  <c r="Q55" i="28"/>
  <c r="Q109" i="28" s="1"/>
  <c r="P55" i="28"/>
  <c r="P109" i="28" s="1"/>
  <c r="O55" i="28"/>
  <c r="N55" i="28"/>
  <c r="N109" i="28" s="1"/>
  <c r="BQ54" i="28"/>
  <c r="BQ52" i="28" s="1"/>
  <c r="BP54" i="28"/>
  <c r="BP52" i="28" s="1"/>
  <c r="BP108" i="28" s="1"/>
  <c r="BO54" i="28"/>
  <c r="BN54" i="28"/>
  <c r="BM54" i="28"/>
  <c r="BM52" i="28" s="1"/>
  <c r="BM108" i="28" s="1"/>
  <c r="BM111" i="28" s="1"/>
  <c r="BL54" i="28"/>
  <c r="BL52" i="28" s="1"/>
  <c r="BL108" i="28" s="1"/>
  <c r="BK54" i="28"/>
  <c r="BK52" i="28" s="1"/>
  <c r="BK108" i="28" s="1"/>
  <c r="BK111" i="28" s="1"/>
  <c r="BJ54" i="28"/>
  <c r="BI54" i="28"/>
  <c r="BH54" i="28"/>
  <c r="BH52" i="28" s="1"/>
  <c r="BG54" i="28"/>
  <c r="BF54" i="28"/>
  <c r="BE54" i="28"/>
  <c r="BE52" i="28" s="1"/>
  <c r="BE108" i="28" s="1"/>
  <c r="BD54" i="28"/>
  <c r="BC54" i="28"/>
  <c r="BB54" i="28"/>
  <c r="BB52" i="28" s="1"/>
  <c r="BB108" i="28" s="1"/>
  <c r="BA54" i="28"/>
  <c r="BA52" i="28" s="1"/>
  <c r="AZ54" i="28"/>
  <c r="AZ52" i="28" s="1"/>
  <c r="AZ108" i="28" s="1"/>
  <c r="AY54" i="28"/>
  <c r="AX54" i="28"/>
  <c r="AX52" i="28" s="1"/>
  <c r="AX108" i="28" s="1"/>
  <c r="AW54" i="28"/>
  <c r="AW52" i="28" s="1"/>
  <c r="AW108" i="28" s="1"/>
  <c r="AV54" i="28"/>
  <c r="AV52" i="28" s="1"/>
  <c r="AV108" i="28" s="1"/>
  <c r="AU54" i="28"/>
  <c r="AU52" i="28" s="1"/>
  <c r="AU108" i="28" s="1"/>
  <c r="AU111" i="28" s="1"/>
  <c r="AT54" i="28"/>
  <c r="AS54" i="28"/>
  <c r="AR54" i="28"/>
  <c r="AR52" i="28" s="1"/>
  <c r="AQ54" i="28"/>
  <c r="AP54" i="28"/>
  <c r="AO54" i="28"/>
  <c r="AO52" i="28" s="1"/>
  <c r="AO108" i="28" s="1"/>
  <c r="AN54" i="28"/>
  <c r="AM54" i="28"/>
  <c r="AL54" i="28"/>
  <c r="AL52" i="28" s="1"/>
  <c r="AL108" i="28" s="1"/>
  <c r="AL111" i="28" s="1"/>
  <c r="AK54" i="28"/>
  <c r="AK52" i="28" s="1"/>
  <c r="AK108" i="28" s="1"/>
  <c r="AJ54" i="28"/>
  <c r="AJ52" i="28" s="1"/>
  <c r="AJ108" i="28" s="1"/>
  <c r="AI54" i="28"/>
  <c r="AH54" i="28"/>
  <c r="AG54" i="28"/>
  <c r="AG52" i="28" s="1"/>
  <c r="AG108" i="28" s="1"/>
  <c r="AF54" i="28"/>
  <c r="AF52" i="28" s="1"/>
  <c r="AF108" i="28" s="1"/>
  <c r="AE54" i="28"/>
  <c r="AE52" i="28" s="1"/>
  <c r="AE108" i="28" s="1"/>
  <c r="AE111" i="28" s="1"/>
  <c r="AD54" i="28"/>
  <c r="AC54" i="28"/>
  <c r="AB54" i="28"/>
  <c r="AB52" i="28" s="1"/>
  <c r="AB108" i="28" s="1"/>
  <c r="AA54" i="28"/>
  <c r="Z54" i="28"/>
  <c r="Z52" i="28" s="1"/>
  <c r="Z108" i="28" s="1"/>
  <c r="Z111" i="28" s="1"/>
  <c r="Y54" i="28"/>
  <c r="Y52" i="28" s="1"/>
  <c r="Y108" i="28" s="1"/>
  <c r="X54" i="28"/>
  <c r="W54" i="28"/>
  <c r="V54" i="28"/>
  <c r="V52" i="28" s="1"/>
  <c r="V108" i="28" s="1"/>
  <c r="V111" i="28" s="1"/>
  <c r="U54" i="28"/>
  <c r="U52" i="28" s="1"/>
  <c r="T54" i="28"/>
  <c r="T52" i="28" s="1"/>
  <c r="S54" i="28"/>
  <c r="R54" i="28"/>
  <c r="Q54" i="28"/>
  <c r="P54" i="28"/>
  <c r="O54" i="28"/>
  <c r="N54" i="28"/>
  <c r="S53" i="28"/>
  <c r="R53" i="28"/>
  <c r="Q53" i="28"/>
  <c r="P53" i="28"/>
  <c r="O53" i="28"/>
  <c r="N53" i="28"/>
  <c r="BO52" i="28"/>
  <c r="BO108" i="28" s="1"/>
  <c r="BN52" i="28"/>
  <c r="BN108" i="28" s="1"/>
  <c r="BJ52" i="28"/>
  <c r="BJ108" i="28" s="1"/>
  <c r="BJ111" i="28" s="1"/>
  <c r="BI52" i="28"/>
  <c r="BI108" i="28" s="1"/>
  <c r="BG52" i="28"/>
  <c r="BF52" i="28"/>
  <c r="BF108" i="28" s="1"/>
  <c r="BD52" i="28"/>
  <c r="BD108" i="28" s="1"/>
  <c r="BC52" i="28"/>
  <c r="BC108" i="28" s="1"/>
  <c r="AY52" i="28"/>
  <c r="AY108" i="28" s="1"/>
  <c r="AT52" i="28"/>
  <c r="AT108" i="28" s="1"/>
  <c r="AT111" i="28" s="1"/>
  <c r="AS52" i="28"/>
  <c r="AS108" i="28" s="1"/>
  <c r="AQ52" i="28"/>
  <c r="AP52" i="28"/>
  <c r="AP108" i="28" s="1"/>
  <c r="AN52" i="28"/>
  <c r="AN108" i="28" s="1"/>
  <c r="AM52" i="28"/>
  <c r="AM108" i="28" s="1"/>
  <c r="AI52" i="28"/>
  <c r="AH52" i="28"/>
  <c r="AH108" i="28" s="1"/>
  <c r="AH111" i="28" s="1"/>
  <c r="AD52" i="28"/>
  <c r="AD108" i="28" s="1"/>
  <c r="AC52" i="28"/>
  <c r="AC108" i="28" s="1"/>
  <c r="AA52" i="28"/>
  <c r="X52" i="28"/>
  <c r="X108" i="28" s="1"/>
  <c r="W52" i="28"/>
  <c r="W108" i="28" s="1"/>
  <c r="S52" i="28"/>
  <c r="R52" i="28"/>
  <c r="R108" i="28" s="1"/>
  <c r="R111" i="28" s="1"/>
  <c r="Q52" i="28"/>
  <c r="Q108" i="28" s="1"/>
  <c r="Q111" i="28" s="1"/>
  <c r="Q112" i="28" s="1"/>
  <c r="P52" i="28"/>
  <c r="P108" i="28" s="1"/>
  <c r="P111" i="28" s="1"/>
  <c r="O52" i="28"/>
  <c r="O108" i="28" s="1"/>
  <c r="N52" i="28"/>
  <c r="N108" i="28" s="1"/>
  <c r="U51" i="28"/>
  <c r="V51" i="28" s="1"/>
  <c r="W51" i="28" s="1"/>
  <c r="X51" i="28" s="1"/>
  <c r="Y51" i="28" s="1"/>
  <c r="Z51" i="28" s="1"/>
  <c r="AA51" i="28" s="1"/>
  <c r="AB51" i="28" s="1"/>
  <c r="AC51" i="28" s="1"/>
  <c r="AD51" i="28" s="1"/>
  <c r="AE51" i="28" s="1"/>
  <c r="AF51" i="28" s="1"/>
  <c r="AG51" i="28" s="1"/>
  <c r="AH51" i="28" s="1"/>
  <c r="AI51" i="28" s="1"/>
  <c r="AJ51" i="28" s="1"/>
  <c r="AK51" i="28" s="1"/>
  <c r="AL51" i="28" s="1"/>
  <c r="AM51" i="28" s="1"/>
  <c r="AN51" i="28" s="1"/>
  <c r="AO51" i="28" s="1"/>
  <c r="AP51" i="28" s="1"/>
  <c r="AQ51" i="28" s="1"/>
  <c r="AR51" i="28" s="1"/>
  <c r="AS51" i="28" s="1"/>
  <c r="AT51" i="28" s="1"/>
  <c r="AU51" i="28" s="1"/>
  <c r="AV51" i="28" s="1"/>
  <c r="AW51" i="28" s="1"/>
  <c r="AX51" i="28" s="1"/>
  <c r="AY51" i="28" s="1"/>
  <c r="AZ51" i="28" s="1"/>
  <c r="BA51" i="28" s="1"/>
  <c r="BB51" i="28" s="1"/>
  <c r="BC51" i="28" s="1"/>
  <c r="BD51" i="28" s="1"/>
  <c r="BE51" i="28" s="1"/>
  <c r="BF51" i="28" s="1"/>
  <c r="BG51" i="28" s="1"/>
  <c r="BH51" i="28" s="1"/>
  <c r="BI51" i="28" s="1"/>
  <c r="BJ51" i="28" s="1"/>
  <c r="BK51" i="28" s="1"/>
  <c r="BL51" i="28" s="1"/>
  <c r="BM51" i="28" s="1"/>
  <c r="BN51" i="28" s="1"/>
  <c r="BO51" i="28" s="1"/>
  <c r="BP51" i="28" s="1"/>
  <c r="BQ51" i="28" s="1"/>
  <c r="S51" i="28"/>
  <c r="T51" i="28" s="1"/>
  <c r="R51" i="28"/>
  <c r="Q51" i="28"/>
  <c r="P51" i="28"/>
  <c r="O51" i="28"/>
  <c r="N51" i="28"/>
  <c r="S50" i="28"/>
  <c r="T50" i="28" s="1"/>
  <c r="U50" i="28" s="1"/>
  <c r="V50" i="28" s="1"/>
  <c r="W50" i="28" s="1"/>
  <c r="X50" i="28" s="1"/>
  <c r="Y50" i="28" s="1"/>
  <c r="Z50" i="28" s="1"/>
  <c r="AA50" i="28" s="1"/>
  <c r="AB50" i="28" s="1"/>
  <c r="AC50" i="28" s="1"/>
  <c r="AD50" i="28" s="1"/>
  <c r="AE50" i="28" s="1"/>
  <c r="AF50" i="28" s="1"/>
  <c r="AG50" i="28" s="1"/>
  <c r="AH50" i="28" s="1"/>
  <c r="AI50" i="28" s="1"/>
  <c r="AJ50" i="28" s="1"/>
  <c r="AK50" i="28" s="1"/>
  <c r="AL50" i="28" s="1"/>
  <c r="AM50" i="28" s="1"/>
  <c r="AN50" i="28" s="1"/>
  <c r="AO50" i="28" s="1"/>
  <c r="AP50" i="28" s="1"/>
  <c r="AQ50" i="28" s="1"/>
  <c r="AR50" i="28" s="1"/>
  <c r="AS50" i="28" s="1"/>
  <c r="AT50" i="28" s="1"/>
  <c r="AU50" i="28" s="1"/>
  <c r="AV50" i="28" s="1"/>
  <c r="AW50" i="28" s="1"/>
  <c r="AX50" i="28" s="1"/>
  <c r="AY50" i="28" s="1"/>
  <c r="AZ50" i="28" s="1"/>
  <c r="BA50" i="28" s="1"/>
  <c r="BB50" i="28" s="1"/>
  <c r="BC50" i="28" s="1"/>
  <c r="BD50" i="28" s="1"/>
  <c r="BE50" i="28" s="1"/>
  <c r="BF50" i="28" s="1"/>
  <c r="BG50" i="28" s="1"/>
  <c r="BH50" i="28" s="1"/>
  <c r="BI50" i="28" s="1"/>
  <c r="BJ50" i="28" s="1"/>
  <c r="BK50" i="28" s="1"/>
  <c r="BL50" i="28" s="1"/>
  <c r="BM50" i="28" s="1"/>
  <c r="BN50" i="28" s="1"/>
  <c r="BO50" i="28" s="1"/>
  <c r="BP50" i="28" s="1"/>
  <c r="BQ50" i="28" s="1"/>
  <c r="R50" i="28"/>
  <c r="Q50" i="28"/>
  <c r="P50" i="28"/>
  <c r="O50" i="28"/>
  <c r="N50" i="28"/>
  <c r="AH49" i="28"/>
  <c r="AI49" i="28" s="1"/>
  <c r="AJ49" i="28" s="1"/>
  <c r="AK49" i="28" s="1"/>
  <c r="AL49" i="28" s="1"/>
  <c r="AM49" i="28" s="1"/>
  <c r="AN49" i="28" s="1"/>
  <c r="AO49" i="28" s="1"/>
  <c r="AP49" i="28" s="1"/>
  <c r="AQ49" i="28" s="1"/>
  <c r="AR49" i="28" s="1"/>
  <c r="AS49" i="28" s="1"/>
  <c r="AT49" i="28" s="1"/>
  <c r="AU49" i="28" s="1"/>
  <c r="AV49" i="28" s="1"/>
  <c r="AW49" i="28" s="1"/>
  <c r="AX49" i="28" s="1"/>
  <c r="AY49" i="28" s="1"/>
  <c r="AZ49" i="28" s="1"/>
  <c r="BA49" i="28" s="1"/>
  <c r="BB49" i="28" s="1"/>
  <c r="BC49" i="28" s="1"/>
  <c r="BD49" i="28" s="1"/>
  <c r="BE49" i="28" s="1"/>
  <c r="BF49" i="28" s="1"/>
  <c r="BG49" i="28" s="1"/>
  <c r="BH49" i="28" s="1"/>
  <c r="BI49" i="28" s="1"/>
  <c r="BJ49" i="28" s="1"/>
  <c r="BK49" i="28" s="1"/>
  <c r="BL49" i="28" s="1"/>
  <c r="BM49" i="28" s="1"/>
  <c r="BN49" i="28" s="1"/>
  <c r="BO49" i="28" s="1"/>
  <c r="BP49" i="28" s="1"/>
  <c r="BQ49" i="28" s="1"/>
  <c r="S49" i="28"/>
  <c r="T49" i="28" s="1"/>
  <c r="U49" i="28" s="1"/>
  <c r="V49" i="28" s="1"/>
  <c r="W49" i="28" s="1"/>
  <c r="X49" i="28" s="1"/>
  <c r="Y49" i="28" s="1"/>
  <c r="Z49" i="28" s="1"/>
  <c r="AA49" i="28" s="1"/>
  <c r="AB49" i="28" s="1"/>
  <c r="AC49" i="28" s="1"/>
  <c r="AD49" i="28" s="1"/>
  <c r="AE49" i="28" s="1"/>
  <c r="AF49" i="28" s="1"/>
  <c r="AG49" i="28" s="1"/>
  <c r="R49" i="28"/>
  <c r="Q49" i="28"/>
  <c r="P49" i="28"/>
  <c r="O49" i="28"/>
  <c r="N49" i="28"/>
  <c r="T48" i="28"/>
  <c r="U48" i="28" s="1"/>
  <c r="V48" i="28" s="1"/>
  <c r="W48" i="28" s="1"/>
  <c r="X48" i="28" s="1"/>
  <c r="Y48" i="28" s="1"/>
  <c r="Z48" i="28" s="1"/>
  <c r="AA48" i="28" s="1"/>
  <c r="AB48" i="28" s="1"/>
  <c r="AC48" i="28" s="1"/>
  <c r="AD48" i="28" s="1"/>
  <c r="AE48" i="28" s="1"/>
  <c r="AF48" i="28" s="1"/>
  <c r="AG48" i="28" s="1"/>
  <c r="AH48" i="28" s="1"/>
  <c r="AI48" i="28" s="1"/>
  <c r="AJ48" i="28" s="1"/>
  <c r="AK48" i="28" s="1"/>
  <c r="AL48" i="28" s="1"/>
  <c r="AM48" i="28" s="1"/>
  <c r="AN48" i="28" s="1"/>
  <c r="AO48" i="28" s="1"/>
  <c r="AP48" i="28" s="1"/>
  <c r="AQ48" i="28" s="1"/>
  <c r="AR48" i="28" s="1"/>
  <c r="AS48" i="28" s="1"/>
  <c r="AT48" i="28" s="1"/>
  <c r="AU48" i="28" s="1"/>
  <c r="AV48" i="28" s="1"/>
  <c r="AW48" i="28" s="1"/>
  <c r="AX48" i="28" s="1"/>
  <c r="AY48" i="28" s="1"/>
  <c r="AZ48" i="28" s="1"/>
  <c r="BA48" i="28" s="1"/>
  <c r="BB48" i="28" s="1"/>
  <c r="BC48" i="28" s="1"/>
  <c r="BD48" i="28" s="1"/>
  <c r="BE48" i="28" s="1"/>
  <c r="BF48" i="28" s="1"/>
  <c r="BG48" i="28" s="1"/>
  <c r="BH48" i="28" s="1"/>
  <c r="BI48" i="28" s="1"/>
  <c r="BJ48" i="28" s="1"/>
  <c r="BK48" i="28" s="1"/>
  <c r="BL48" i="28" s="1"/>
  <c r="BM48" i="28" s="1"/>
  <c r="BN48" i="28" s="1"/>
  <c r="BO48" i="28" s="1"/>
  <c r="BP48" i="28" s="1"/>
  <c r="BQ48" i="28" s="1"/>
  <c r="S48" i="28"/>
  <c r="R48" i="28"/>
  <c r="Q48" i="28"/>
  <c r="P48" i="28"/>
  <c r="O48" i="28"/>
  <c r="N48" i="28"/>
  <c r="S47" i="28"/>
  <c r="R47" i="28"/>
  <c r="Q47" i="28"/>
  <c r="P47" i="28"/>
  <c r="O47" i="28"/>
  <c r="N47" i="28"/>
  <c r="S46" i="28"/>
  <c r="R46" i="28"/>
  <c r="Q46" i="28"/>
  <c r="P46" i="28"/>
  <c r="O46" i="28"/>
  <c r="N46" i="28"/>
  <c r="V45" i="28"/>
  <c r="W45" i="28" s="1"/>
  <c r="X45" i="28" s="1"/>
  <c r="Y45" i="28" s="1"/>
  <c r="Z45" i="28" s="1"/>
  <c r="AA45" i="28" s="1"/>
  <c r="AB45" i="28" s="1"/>
  <c r="AC45" i="28" s="1"/>
  <c r="AD45" i="28" s="1"/>
  <c r="AE45" i="28" s="1"/>
  <c r="AF45" i="28" s="1"/>
  <c r="AG45" i="28" s="1"/>
  <c r="AH45" i="28" s="1"/>
  <c r="AI45" i="28" s="1"/>
  <c r="AJ45" i="28" s="1"/>
  <c r="AK45" i="28" s="1"/>
  <c r="AL45" i="28" s="1"/>
  <c r="AM45" i="28" s="1"/>
  <c r="AN45" i="28" s="1"/>
  <c r="AO45" i="28" s="1"/>
  <c r="AP45" i="28" s="1"/>
  <c r="AQ45" i="28" s="1"/>
  <c r="AR45" i="28" s="1"/>
  <c r="AS45" i="28" s="1"/>
  <c r="AT45" i="28" s="1"/>
  <c r="AU45" i="28" s="1"/>
  <c r="AV45" i="28" s="1"/>
  <c r="AW45" i="28" s="1"/>
  <c r="AX45" i="28" s="1"/>
  <c r="AY45" i="28" s="1"/>
  <c r="AZ45" i="28" s="1"/>
  <c r="BA45" i="28" s="1"/>
  <c r="BB45" i="28" s="1"/>
  <c r="BC45" i="28" s="1"/>
  <c r="BD45" i="28" s="1"/>
  <c r="BE45" i="28" s="1"/>
  <c r="BF45" i="28" s="1"/>
  <c r="BG45" i="28" s="1"/>
  <c r="BH45" i="28" s="1"/>
  <c r="BI45" i="28" s="1"/>
  <c r="BJ45" i="28" s="1"/>
  <c r="BK45" i="28" s="1"/>
  <c r="BL45" i="28" s="1"/>
  <c r="BM45" i="28" s="1"/>
  <c r="BN45" i="28" s="1"/>
  <c r="BO45" i="28" s="1"/>
  <c r="BP45" i="28" s="1"/>
  <c r="BQ45" i="28" s="1"/>
  <c r="T45" i="28"/>
  <c r="U45" i="28" s="1"/>
  <c r="S45" i="28"/>
  <c r="R45" i="28"/>
  <c r="Q45" i="28"/>
  <c r="P45" i="28"/>
  <c r="O45" i="28"/>
  <c r="N45" i="28"/>
  <c r="S44" i="28"/>
  <c r="T44" i="28" s="1"/>
  <c r="R44" i="28"/>
  <c r="Q44" i="28"/>
  <c r="P44" i="28"/>
  <c r="O44" i="28"/>
  <c r="N44" i="28"/>
  <c r="S43" i="28"/>
  <c r="R43" i="28"/>
  <c r="Q43" i="28"/>
  <c r="P43" i="28"/>
  <c r="O43" i="28"/>
  <c r="N43" i="28"/>
  <c r="S42" i="28"/>
  <c r="R42" i="28"/>
  <c r="Q42" i="28"/>
  <c r="P42" i="28"/>
  <c r="O42" i="28"/>
  <c r="N42" i="28"/>
  <c r="BH41" i="28"/>
  <c r="BI41" i="28" s="1"/>
  <c r="BJ41" i="28" s="1"/>
  <c r="BK41" i="28" s="1"/>
  <c r="BL41" i="28" s="1"/>
  <c r="BM41" i="28" s="1"/>
  <c r="BN41" i="28" s="1"/>
  <c r="BO41" i="28" s="1"/>
  <c r="BP41" i="28" s="1"/>
  <c r="BQ41" i="28" s="1"/>
  <c r="T41" i="28"/>
  <c r="U41" i="28" s="1"/>
  <c r="V41" i="28" s="1"/>
  <c r="W41" i="28" s="1"/>
  <c r="X41" i="28" s="1"/>
  <c r="Y41" i="28" s="1"/>
  <c r="Z41" i="28" s="1"/>
  <c r="AA41" i="28" s="1"/>
  <c r="AB41" i="28" s="1"/>
  <c r="AC41" i="28" s="1"/>
  <c r="AD41" i="28" s="1"/>
  <c r="AE41" i="28" s="1"/>
  <c r="AF41" i="28" s="1"/>
  <c r="AG41" i="28" s="1"/>
  <c r="AH41" i="28" s="1"/>
  <c r="AI41" i="28" s="1"/>
  <c r="AJ41" i="28" s="1"/>
  <c r="AK41" i="28" s="1"/>
  <c r="AL41" i="28" s="1"/>
  <c r="AM41" i="28" s="1"/>
  <c r="AN41" i="28" s="1"/>
  <c r="AO41" i="28" s="1"/>
  <c r="AP41" i="28" s="1"/>
  <c r="AQ41" i="28" s="1"/>
  <c r="AR41" i="28" s="1"/>
  <c r="AS41" i="28" s="1"/>
  <c r="AT41" i="28" s="1"/>
  <c r="AU41" i="28" s="1"/>
  <c r="AV41" i="28" s="1"/>
  <c r="AW41" i="28" s="1"/>
  <c r="AX41" i="28" s="1"/>
  <c r="AY41" i="28" s="1"/>
  <c r="AZ41" i="28" s="1"/>
  <c r="BA41" i="28" s="1"/>
  <c r="BB41" i="28" s="1"/>
  <c r="BC41" i="28" s="1"/>
  <c r="BD41" i="28" s="1"/>
  <c r="BE41" i="28" s="1"/>
  <c r="BF41" i="28" s="1"/>
  <c r="BG41" i="28" s="1"/>
  <c r="S41" i="28"/>
  <c r="R41" i="28"/>
  <c r="Q41" i="28"/>
  <c r="P41" i="28"/>
  <c r="O41" i="28"/>
  <c r="N41" i="28"/>
  <c r="S40" i="28"/>
  <c r="T40" i="28" s="1"/>
  <c r="U40" i="28" s="1"/>
  <c r="V40" i="28" s="1"/>
  <c r="W40" i="28" s="1"/>
  <c r="X40" i="28" s="1"/>
  <c r="Y40" i="28" s="1"/>
  <c r="Z40" i="28" s="1"/>
  <c r="AA40" i="28" s="1"/>
  <c r="AB40" i="28" s="1"/>
  <c r="AC40" i="28" s="1"/>
  <c r="AD40" i="28" s="1"/>
  <c r="AE40" i="28" s="1"/>
  <c r="AF40" i="28" s="1"/>
  <c r="AG40" i="28" s="1"/>
  <c r="AH40" i="28" s="1"/>
  <c r="AI40" i="28" s="1"/>
  <c r="AJ40" i="28" s="1"/>
  <c r="AK40" i="28" s="1"/>
  <c r="AL40" i="28" s="1"/>
  <c r="AM40" i="28" s="1"/>
  <c r="AN40" i="28" s="1"/>
  <c r="AO40" i="28" s="1"/>
  <c r="AP40" i="28" s="1"/>
  <c r="AQ40" i="28" s="1"/>
  <c r="AR40" i="28" s="1"/>
  <c r="AS40" i="28" s="1"/>
  <c r="AT40" i="28" s="1"/>
  <c r="AU40" i="28" s="1"/>
  <c r="AV40" i="28" s="1"/>
  <c r="AW40" i="28" s="1"/>
  <c r="AX40" i="28" s="1"/>
  <c r="AY40" i="28" s="1"/>
  <c r="AZ40" i="28" s="1"/>
  <c r="BA40" i="28" s="1"/>
  <c r="BB40" i="28" s="1"/>
  <c r="BC40" i="28" s="1"/>
  <c r="BD40" i="28" s="1"/>
  <c r="BE40" i="28" s="1"/>
  <c r="BF40" i="28" s="1"/>
  <c r="BG40" i="28" s="1"/>
  <c r="BH40" i="28" s="1"/>
  <c r="BI40" i="28" s="1"/>
  <c r="BJ40" i="28" s="1"/>
  <c r="BK40" i="28" s="1"/>
  <c r="BL40" i="28" s="1"/>
  <c r="BM40" i="28" s="1"/>
  <c r="BN40" i="28" s="1"/>
  <c r="BO40" i="28" s="1"/>
  <c r="BP40" i="28" s="1"/>
  <c r="BQ40" i="28" s="1"/>
  <c r="R40" i="28"/>
  <c r="Q40" i="28"/>
  <c r="P40" i="28"/>
  <c r="O40" i="28"/>
  <c r="N40" i="28"/>
  <c r="U39" i="28"/>
  <c r="V39" i="28" s="1"/>
  <c r="W39" i="28" s="1"/>
  <c r="X39" i="28" s="1"/>
  <c r="Y39" i="28" s="1"/>
  <c r="Z39" i="28" s="1"/>
  <c r="AA39" i="28" s="1"/>
  <c r="AB39" i="28" s="1"/>
  <c r="AC39" i="28" s="1"/>
  <c r="AD39" i="28" s="1"/>
  <c r="AE39" i="28" s="1"/>
  <c r="AF39" i="28" s="1"/>
  <c r="AG39" i="28" s="1"/>
  <c r="AH39" i="28" s="1"/>
  <c r="AI39" i="28" s="1"/>
  <c r="AJ39" i="28" s="1"/>
  <c r="AK39" i="28" s="1"/>
  <c r="AL39" i="28" s="1"/>
  <c r="AM39" i="28" s="1"/>
  <c r="AN39" i="28" s="1"/>
  <c r="AO39" i="28" s="1"/>
  <c r="AP39" i="28" s="1"/>
  <c r="AQ39" i="28" s="1"/>
  <c r="AR39" i="28" s="1"/>
  <c r="AS39" i="28" s="1"/>
  <c r="AT39" i="28" s="1"/>
  <c r="AU39" i="28" s="1"/>
  <c r="AV39" i="28" s="1"/>
  <c r="AW39" i="28" s="1"/>
  <c r="AX39" i="28" s="1"/>
  <c r="AY39" i="28" s="1"/>
  <c r="AZ39" i="28" s="1"/>
  <c r="BA39" i="28" s="1"/>
  <c r="BB39" i="28" s="1"/>
  <c r="BC39" i="28" s="1"/>
  <c r="BD39" i="28" s="1"/>
  <c r="BE39" i="28" s="1"/>
  <c r="BF39" i="28" s="1"/>
  <c r="BG39" i="28" s="1"/>
  <c r="BH39" i="28" s="1"/>
  <c r="BI39" i="28" s="1"/>
  <c r="BJ39" i="28" s="1"/>
  <c r="BK39" i="28" s="1"/>
  <c r="BL39" i="28" s="1"/>
  <c r="BM39" i="28" s="1"/>
  <c r="BN39" i="28" s="1"/>
  <c r="BO39" i="28" s="1"/>
  <c r="BP39" i="28" s="1"/>
  <c r="BQ39" i="28" s="1"/>
  <c r="T39" i="28"/>
  <c r="S39" i="28"/>
  <c r="R39" i="28"/>
  <c r="Q39" i="28"/>
  <c r="P39" i="28"/>
  <c r="O39" i="28"/>
  <c r="N39" i="28"/>
  <c r="U38" i="28"/>
  <c r="V38" i="28" s="1"/>
  <c r="W38" i="28" s="1"/>
  <c r="X38" i="28" s="1"/>
  <c r="Y38" i="28" s="1"/>
  <c r="Z38" i="28" s="1"/>
  <c r="AA38" i="28" s="1"/>
  <c r="AB38" i="28" s="1"/>
  <c r="AC38" i="28" s="1"/>
  <c r="AD38" i="28" s="1"/>
  <c r="AE38" i="28" s="1"/>
  <c r="AF38" i="28" s="1"/>
  <c r="AG38" i="28" s="1"/>
  <c r="AH38" i="28" s="1"/>
  <c r="AI38" i="28" s="1"/>
  <c r="AJ38" i="28" s="1"/>
  <c r="AK38" i="28" s="1"/>
  <c r="AL38" i="28" s="1"/>
  <c r="AM38" i="28" s="1"/>
  <c r="AN38" i="28" s="1"/>
  <c r="AO38" i="28" s="1"/>
  <c r="AP38" i="28" s="1"/>
  <c r="AQ38" i="28" s="1"/>
  <c r="AR38" i="28" s="1"/>
  <c r="AS38" i="28" s="1"/>
  <c r="AT38" i="28" s="1"/>
  <c r="AU38" i="28" s="1"/>
  <c r="AV38" i="28" s="1"/>
  <c r="AW38" i="28" s="1"/>
  <c r="AX38" i="28" s="1"/>
  <c r="AY38" i="28" s="1"/>
  <c r="AZ38" i="28" s="1"/>
  <c r="BA38" i="28" s="1"/>
  <c r="BB38" i="28" s="1"/>
  <c r="BC38" i="28" s="1"/>
  <c r="BD38" i="28" s="1"/>
  <c r="BE38" i="28" s="1"/>
  <c r="BF38" i="28" s="1"/>
  <c r="BG38" i="28" s="1"/>
  <c r="BH38" i="28" s="1"/>
  <c r="BI38" i="28" s="1"/>
  <c r="BJ38" i="28" s="1"/>
  <c r="BK38" i="28" s="1"/>
  <c r="BL38" i="28" s="1"/>
  <c r="BM38" i="28" s="1"/>
  <c r="BN38" i="28" s="1"/>
  <c r="BO38" i="28" s="1"/>
  <c r="BP38" i="28" s="1"/>
  <c r="BQ38" i="28" s="1"/>
  <c r="T38" i="28"/>
  <c r="S38" i="28"/>
  <c r="R38" i="28"/>
  <c r="Q38" i="28"/>
  <c r="P38" i="28"/>
  <c r="O38" i="28"/>
  <c r="N38" i="28"/>
  <c r="BQ37" i="28"/>
  <c r="BP37" i="28"/>
  <c r="BO37" i="28"/>
  <c r="BN37" i="28"/>
  <c r="BM37" i="28"/>
  <c r="BL37" i="28"/>
  <c r="BK37" i="28"/>
  <c r="BJ37" i="28"/>
  <c r="BI37" i="28"/>
  <c r="BH37" i="28"/>
  <c r="BG37" i="28"/>
  <c r="BF37" i="28"/>
  <c r="BE37" i="28"/>
  <c r="BD37" i="28"/>
  <c r="BC37" i="28"/>
  <c r="BB37" i="28"/>
  <c r="BA37" i="28"/>
  <c r="AZ37" i="28"/>
  <c r="AY37" i="28"/>
  <c r="AX37" i="28"/>
  <c r="AW37" i="28"/>
  <c r="AV37" i="28"/>
  <c r="AU37" i="28"/>
  <c r="AT37" i="28"/>
  <c r="AS37" i="28"/>
  <c r="AR37" i="28"/>
  <c r="AQ37" i="28"/>
  <c r="AP37" i="28"/>
  <c r="AO37" i="28"/>
  <c r="AN37" i="28"/>
  <c r="AM37" i="28"/>
  <c r="AL37" i="28"/>
  <c r="AK37" i="28"/>
  <c r="AJ37" i="28"/>
  <c r="AI37" i="28"/>
  <c r="AH37" i="28"/>
  <c r="AG37" i="28"/>
  <c r="AF37" i="28"/>
  <c r="AE37" i="28"/>
  <c r="AD37" i="28"/>
  <c r="AC37" i="28"/>
  <c r="AB37" i="28"/>
  <c r="AA37" i="28"/>
  <c r="Z37" i="28"/>
  <c r="Y37" i="28"/>
  <c r="X37" i="28"/>
  <c r="W37" i="28"/>
  <c r="V37" i="28"/>
  <c r="U37" i="28"/>
  <c r="T37" i="28"/>
  <c r="S37" i="28"/>
  <c r="R37" i="28"/>
  <c r="Q37" i="28"/>
  <c r="P37" i="28"/>
  <c r="O37" i="28"/>
  <c r="N37" i="28"/>
  <c r="BQ36" i="28"/>
  <c r="BP36" i="28"/>
  <c r="BO36" i="28"/>
  <c r="BN36" i="28"/>
  <c r="BM36" i="28"/>
  <c r="BL36" i="28"/>
  <c r="BK36" i="28"/>
  <c r="BJ36" i="28"/>
  <c r="BI36" i="28"/>
  <c r="BH36" i="28"/>
  <c r="BG36" i="28"/>
  <c r="BF36" i="28"/>
  <c r="BE36" i="28"/>
  <c r="BD36" i="28"/>
  <c r="BC36" i="28"/>
  <c r="BB36" i="28"/>
  <c r="BA36" i="28"/>
  <c r="AZ36" i="28"/>
  <c r="AY36" i="28"/>
  <c r="AX36" i="28"/>
  <c r="AW36" i="28"/>
  <c r="AV36" i="28"/>
  <c r="AU36" i="28"/>
  <c r="AT36" i="28"/>
  <c r="AS36" i="28"/>
  <c r="AR36" i="28"/>
  <c r="AQ36" i="28"/>
  <c r="AP36" i="28"/>
  <c r="AO36" i="28"/>
  <c r="AN36" i="28"/>
  <c r="AM36" i="28"/>
  <c r="AL36" i="28"/>
  <c r="AK36" i="28"/>
  <c r="AJ36" i="28"/>
  <c r="AI36" i="28"/>
  <c r="AH36" i="28"/>
  <c r="AG36" i="28"/>
  <c r="AF36" i="28"/>
  <c r="AE36" i="28"/>
  <c r="AD36" i="28"/>
  <c r="AC36" i="28"/>
  <c r="AB36" i="28"/>
  <c r="AA36" i="28"/>
  <c r="Z36" i="28"/>
  <c r="Y36" i="28"/>
  <c r="X36" i="28"/>
  <c r="W36" i="28"/>
  <c r="V36" i="28"/>
  <c r="U36" i="28"/>
  <c r="T36" i="28"/>
  <c r="S36" i="28"/>
  <c r="R36" i="28"/>
  <c r="Q36" i="28"/>
  <c r="P36" i="28"/>
  <c r="O36" i="28"/>
  <c r="N36" i="28"/>
  <c r="S35" i="28"/>
  <c r="T35" i="28" s="1"/>
  <c r="R35" i="28"/>
  <c r="Q35" i="28"/>
  <c r="P35" i="28"/>
  <c r="O35" i="28"/>
  <c r="N35" i="28"/>
  <c r="S34" i="28"/>
  <c r="R34" i="28"/>
  <c r="Q34" i="28"/>
  <c r="P34" i="28"/>
  <c r="O34" i="28"/>
  <c r="N34" i="28"/>
  <c r="T33" i="28"/>
  <c r="U33" i="28" s="1"/>
  <c r="V33" i="28" s="1"/>
  <c r="W33" i="28" s="1"/>
  <c r="X33" i="28" s="1"/>
  <c r="Y33" i="28" s="1"/>
  <c r="Z33" i="28" s="1"/>
  <c r="AA33" i="28" s="1"/>
  <c r="AB33" i="28" s="1"/>
  <c r="AC33" i="28" s="1"/>
  <c r="AD33" i="28" s="1"/>
  <c r="AE33" i="28" s="1"/>
  <c r="AF33" i="28" s="1"/>
  <c r="AG33" i="28" s="1"/>
  <c r="AH33" i="28" s="1"/>
  <c r="AI33" i="28" s="1"/>
  <c r="AJ33" i="28" s="1"/>
  <c r="AK33" i="28" s="1"/>
  <c r="AL33" i="28" s="1"/>
  <c r="AM33" i="28" s="1"/>
  <c r="AN33" i="28" s="1"/>
  <c r="AO33" i="28" s="1"/>
  <c r="AP33" i="28" s="1"/>
  <c r="AQ33" i="28" s="1"/>
  <c r="AR33" i="28" s="1"/>
  <c r="AS33" i="28" s="1"/>
  <c r="AT33" i="28" s="1"/>
  <c r="AU33" i="28" s="1"/>
  <c r="AV33" i="28" s="1"/>
  <c r="AW33" i="28" s="1"/>
  <c r="AX33" i="28" s="1"/>
  <c r="AY33" i="28" s="1"/>
  <c r="AZ33" i="28" s="1"/>
  <c r="BA33" i="28" s="1"/>
  <c r="BB33" i="28" s="1"/>
  <c r="BC33" i="28" s="1"/>
  <c r="BD33" i="28" s="1"/>
  <c r="BE33" i="28" s="1"/>
  <c r="BF33" i="28" s="1"/>
  <c r="BG33" i="28" s="1"/>
  <c r="BH33" i="28" s="1"/>
  <c r="BI33" i="28" s="1"/>
  <c r="BJ33" i="28" s="1"/>
  <c r="BK33" i="28" s="1"/>
  <c r="BL33" i="28" s="1"/>
  <c r="BM33" i="28" s="1"/>
  <c r="BN33" i="28" s="1"/>
  <c r="BO33" i="28" s="1"/>
  <c r="BP33" i="28" s="1"/>
  <c r="BQ33" i="28" s="1"/>
  <c r="S33" i="28"/>
  <c r="R33" i="28"/>
  <c r="Q33" i="28"/>
  <c r="P33" i="28"/>
  <c r="O33" i="28"/>
  <c r="N33" i="28"/>
  <c r="S32" i="28"/>
  <c r="T32" i="28" s="1"/>
  <c r="R32" i="28"/>
  <c r="Q32" i="28"/>
  <c r="P32" i="28"/>
  <c r="O32" i="28"/>
  <c r="N32" i="28"/>
  <c r="U31" i="28"/>
  <c r="V31" i="28" s="1"/>
  <c r="W31" i="28" s="1"/>
  <c r="X31" i="28" s="1"/>
  <c r="Y31" i="28" s="1"/>
  <c r="Z31" i="28" s="1"/>
  <c r="AA31" i="28" s="1"/>
  <c r="AB31" i="28" s="1"/>
  <c r="AC31" i="28" s="1"/>
  <c r="AD31" i="28" s="1"/>
  <c r="AE31" i="28" s="1"/>
  <c r="AF31" i="28" s="1"/>
  <c r="AG31" i="28" s="1"/>
  <c r="AH31" i="28" s="1"/>
  <c r="AI31" i="28" s="1"/>
  <c r="AJ31" i="28" s="1"/>
  <c r="AK31" i="28" s="1"/>
  <c r="AL31" i="28" s="1"/>
  <c r="AM31" i="28" s="1"/>
  <c r="AN31" i="28" s="1"/>
  <c r="AO31" i="28" s="1"/>
  <c r="AP31" i="28" s="1"/>
  <c r="AQ31" i="28" s="1"/>
  <c r="AR31" i="28" s="1"/>
  <c r="AS31" i="28" s="1"/>
  <c r="AT31" i="28" s="1"/>
  <c r="AU31" i="28" s="1"/>
  <c r="AV31" i="28" s="1"/>
  <c r="AW31" i="28" s="1"/>
  <c r="AX31" i="28" s="1"/>
  <c r="AY31" i="28" s="1"/>
  <c r="AZ31" i="28" s="1"/>
  <c r="BA31" i="28" s="1"/>
  <c r="BB31" i="28" s="1"/>
  <c r="BC31" i="28" s="1"/>
  <c r="BD31" i="28" s="1"/>
  <c r="BE31" i="28" s="1"/>
  <c r="BF31" i="28" s="1"/>
  <c r="BG31" i="28" s="1"/>
  <c r="BH31" i="28" s="1"/>
  <c r="BI31" i="28" s="1"/>
  <c r="BJ31" i="28" s="1"/>
  <c r="BK31" i="28" s="1"/>
  <c r="BL31" i="28" s="1"/>
  <c r="BM31" i="28" s="1"/>
  <c r="BN31" i="28" s="1"/>
  <c r="BO31" i="28" s="1"/>
  <c r="BP31" i="28" s="1"/>
  <c r="BQ31" i="28" s="1"/>
  <c r="S31" i="28"/>
  <c r="T31" i="28" s="1"/>
  <c r="R31" i="28"/>
  <c r="Q31" i="28"/>
  <c r="P31" i="28"/>
  <c r="O31" i="28"/>
  <c r="N31" i="28"/>
  <c r="U30" i="28"/>
  <c r="V30" i="28" s="1"/>
  <c r="T30" i="28"/>
  <c r="S30" i="28"/>
  <c r="R30" i="28"/>
  <c r="Q30" i="28"/>
  <c r="P30" i="28"/>
  <c r="O30" i="28"/>
  <c r="N30" i="28"/>
  <c r="BQ29" i="28"/>
  <c r="BP29" i="28"/>
  <c r="BO29" i="28"/>
  <c r="BN29" i="28"/>
  <c r="BM29" i="28"/>
  <c r="BL29" i="28"/>
  <c r="BK29" i="28"/>
  <c r="BJ29" i="28"/>
  <c r="BI29" i="28"/>
  <c r="BH29" i="28"/>
  <c r="BG29" i="28"/>
  <c r="BF29" i="28"/>
  <c r="BE29" i="28"/>
  <c r="BD29" i="28"/>
  <c r="BC29" i="28"/>
  <c r="BB29" i="28"/>
  <c r="BA29" i="28"/>
  <c r="AZ29" i="28"/>
  <c r="AY29" i="28"/>
  <c r="AX29" i="28"/>
  <c r="AW29" i="28"/>
  <c r="AV29" i="28"/>
  <c r="AU29" i="28"/>
  <c r="AT29" i="28"/>
  <c r="AS29" i="28"/>
  <c r="AR29" i="28"/>
  <c r="AQ29" i="28"/>
  <c r="AP29" i="28"/>
  <c r="AO29" i="28"/>
  <c r="AN29" i="28"/>
  <c r="AM29" i="28"/>
  <c r="AL29" i="28"/>
  <c r="AK29" i="28"/>
  <c r="AJ29" i="28"/>
  <c r="AI29" i="28"/>
  <c r="AH29" i="28"/>
  <c r="AG29" i="28"/>
  <c r="AF29" i="28"/>
  <c r="AE29" i="28"/>
  <c r="AD29" i="28"/>
  <c r="AC29" i="28"/>
  <c r="AB29" i="28"/>
  <c r="AA29" i="28"/>
  <c r="Z29" i="28"/>
  <c r="Y29" i="28"/>
  <c r="X29" i="28"/>
  <c r="W29" i="28"/>
  <c r="V29" i="28"/>
  <c r="U29" i="28"/>
  <c r="T29" i="28"/>
  <c r="S29" i="28"/>
  <c r="R29" i="28"/>
  <c r="Q29" i="28"/>
  <c r="P29" i="28"/>
  <c r="O29" i="28"/>
  <c r="N29" i="28"/>
  <c r="BQ28" i="28"/>
  <c r="BP28" i="28"/>
  <c r="BO28" i="28"/>
  <c r="BN28" i="28"/>
  <c r="BM28" i="28"/>
  <c r="BL28" i="28"/>
  <c r="BK28" i="28"/>
  <c r="BJ28" i="28"/>
  <c r="BI28" i="28"/>
  <c r="BH28" i="28"/>
  <c r="BG28" i="28"/>
  <c r="BF28" i="28"/>
  <c r="BE28" i="28"/>
  <c r="BD28" i="28"/>
  <c r="BC28" i="28"/>
  <c r="BB28" i="28"/>
  <c r="BA28" i="28"/>
  <c r="AZ28" i="28"/>
  <c r="AY28" i="28"/>
  <c r="AX28" i="28"/>
  <c r="AW28" i="28"/>
  <c r="AV28" i="28"/>
  <c r="AU28" i="28"/>
  <c r="AT28" i="28"/>
  <c r="AS28" i="28"/>
  <c r="AR28" i="28"/>
  <c r="AQ28" i="28"/>
  <c r="AP28" i="28"/>
  <c r="AO28" i="28"/>
  <c r="AN28" i="28"/>
  <c r="AM28" i="28"/>
  <c r="AL28" i="28"/>
  <c r="AK28" i="28"/>
  <c r="AJ28" i="28"/>
  <c r="AI28" i="28"/>
  <c r="AH28" i="28"/>
  <c r="AG28" i="28"/>
  <c r="AF28" i="28"/>
  <c r="AE28" i="28"/>
  <c r="AD28" i="28"/>
  <c r="AC28" i="28"/>
  <c r="AB28" i="28"/>
  <c r="AA28" i="28"/>
  <c r="Z28" i="28"/>
  <c r="Y28" i="28"/>
  <c r="X28" i="28"/>
  <c r="W28" i="28"/>
  <c r="V28" i="28"/>
  <c r="U28" i="28"/>
  <c r="T28" i="28"/>
  <c r="S28" i="28"/>
  <c r="R28" i="28"/>
  <c r="Q28" i="28"/>
  <c r="P28" i="28"/>
  <c r="O28" i="28"/>
  <c r="N28" i="28"/>
  <c r="U27" i="28"/>
  <c r="V27" i="28" s="1"/>
  <c r="W27" i="28" s="1"/>
  <c r="X27" i="28" s="1"/>
  <c r="T27" i="28"/>
  <c r="S27" i="28"/>
  <c r="R27" i="28"/>
  <c r="Q27" i="28"/>
  <c r="P27" i="28"/>
  <c r="O27" i="28"/>
  <c r="N27" i="28"/>
  <c r="S26" i="28"/>
  <c r="R26" i="28"/>
  <c r="Q26" i="28"/>
  <c r="P26" i="28"/>
  <c r="O26" i="28"/>
  <c r="N26" i="28"/>
  <c r="S25" i="28"/>
  <c r="R25" i="28"/>
  <c r="Q25" i="28"/>
  <c r="P25" i="28"/>
  <c r="O25" i="28"/>
  <c r="N25" i="28"/>
  <c r="S24" i="28"/>
  <c r="R24" i="28"/>
  <c r="Q24" i="28"/>
  <c r="P24" i="28"/>
  <c r="O24" i="28"/>
  <c r="N24" i="28"/>
  <c r="S23" i="28"/>
  <c r="R23" i="28"/>
  <c r="Q23" i="28"/>
  <c r="P23" i="28"/>
  <c r="O23" i="28"/>
  <c r="N23" i="28"/>
  <c r="S22" i="28"/>
  <c r="R22" i="28"/>
  <c r="Q22" i="28"/>
  <c r="P22" i="28"/>
  <c r="O22" i="28"/>
  <c r="N22" i="28"/>
  <c r="S21" i="28"/>
  <c r="R21" i="28"/>
  <c r="Q21" i="28"/>
  <c r="P21" i="28"/>
  <c r="O21" i="28"/>
  <c r="N21" i="28"/>
  <c r="BQ20" i="28"/>
  <c r="BP20" i="28"/>
  <c r="BO20" i="28"/>
  <c r="BN20" i="28"/>
  <c r="BM20" i="28"/>
  <c r="BL20" i="28"/>
  <c r="BK20" i="28"/>
  <c r="BJ20" i="28"/>
  <c r="BI20" i="28"/>
  <c r="BH20" i="28"/>
  <c r="BG20" i="28"/>
  <c r="BF20" i="28"/>
  <c r="BE20" i="28"/>
  <c r="BD20" i="28"/>
  <c r="BC20" i="28"/>
  <c r="BB20" i="28"/>
  <c r="BA20" i="28"/>
  <c r="AZ20" i="28"/>
  <c r="AY20" i="28"/>
  <c r="AX20" i="28"/>
  <c r="AW20" i="28"/>
  <c r="AV20" i="28"/>
  <c r="AU20" i="28"/>
  <c r="AT20" i="28"/>
  <c r="AS20" i="28"/>
  <c r="AR20" i="28"/>
  <c r="AQ20" i="28"/>
  <c r="AP20" i="28"/>
  <c r="AO20" i="28"/>
  <c r="AN20" i="28"/>
  <c r="AM20" i="28"/>
  <c r="AL20" i="28"/>
  <c r="AK20" i="28"/>
  <c r="AJ20" i="28"/>
  <c r="AI20" i="28"/>
  <c r="AH20" i="28"/>
  <c r="AG20" i="28"/>
  <c r="AF20" i="28"/>
  <c r="AE20" i="28"/>
  <c r="AD20" i="28"/>
  <c r="AC20" i="28"/>
  <c r="AB20" i="28"/>
  <c r="AA20" i="28"/>
  <c r="Z20" i="28"/>
  <c r="Y20" i="28"/>
  <c r="X20" i="28"/>
  <c r="W20" i="28"/>
  <c r="V20" i="28"/>
  <c r="U20" i="28"/>
  <c r="T20" i="28"/>
  <c r="S20" i="28"/>
  <c r="R20" i="28"/>
  <c r="Q20" i="28"/>
  <c r="P20" i="28"/>
  <c r="O20" i="28"/>
  <c r="N20" i="28"/>
  <c r="S19" i="28"/>
  <c r="R19" i="28"/>
  <c r="Q19" i="28"/>
  <c r="P19" i="28"/>
  <c r="O19" i="28"/>
  <c r="N19" i="28"/>
  <c r="BQ18" i="28"/>
  <c r="BP18" i="28"/>
  <c r="BP16" i="28" s="1"/>
  <c r="BP110" i="28" s="1"/>
  <c r="BO18" i="28"/>
  <c r="BO16" i="28" s="1"/>
  <c r="BO110" i="28" s="1"/>
  <c r="BN18" i="28"/>
  <c r="BM18" i="28"/>
  <c r="BL18" i="28"/>
  <c r="BL16" i="28" s="1"/>
  <c r="BL110" i="28" s="1"/>
  <c r="BK18" i="28"/>
  <c r="BK16" i="28" s="1"/>
  <c r="BK110" i="28" s="1"/>
  <c r="BJ18" i="28"/>
  <c r="BI18" i="28"/>
  <c r="BI16" i="28" s="1"/>
  <c r="BI110" i="28" s="1"/>
  <c r="BH18" i="28"/>
  <c r="BH16" i="28" s="1"/>
  <c r="BH110" i="28" s="1"/>
  <c r="BG18" i="28"/>
  <c r="BG16" i="28" s="1"/>
  <c r="BG110" i="28" s="1"/>
  <c r="BG111" i="28" s="1"/>
  <c r="BF18" i="28"/>
  <c r="BE18" i="28"/>
  <c r="BD18" i="28"/>
  <c r="BC18" i="28"/>
  <c r="BC16" i="28" s="1"/>
  <c r="BB18" i="28"/>
  <c r="BB16" i="28" s="1"/>
  <c r="BB110" i="28" s="1"/>
  <c r="BA18" i="28"/>
  <c r="AZ18" i="28"/>
  <c r="AY18" i="28"/>
  <c r="AX18" i="28"/>
  <c r="AW18" i="28"/>
  <c r="AV18" i="28"/>
  <c r="AV16" i="28" s="1"/>
  <c r="AV110" i="28" s="1"/>
  <c r="AU18" i="28"/>
  <c r="AU16" i="28" s="1"/>
  <c r="AU110" i="28" s="1"/>
  <c r="AT18" i="28"/>
  <c r="AS18" i="28"/>
  <c r="AS16" i="28" s="1"/>
  <c r="AS110" i="28" s="1"/>
  <c r="AR18" i="28"/>
  <c r="AR16" i="28" s="1"/>
  <c r="AR110" i="28" s="1"/>
  <c r="AQ18" i="28"/>
  <c r="AQ16" i="28" s="1"/>
  <c r="AQ110" i="28" s="1"/>
  <c r="AP18" i="28"/>
  <c r="AO18" i="28"/>
  <c r="AN18" i="28"/>
  <c r="AN16" i="28" s="1"/>
  <c r="AN110" i="28" s="1"/>
  <c r="AM18" i="28"/>
  <c r="AL18" i="28"/>
  <c r="AL16" i="28" s="1"/>
  <c r="AL110" i="28" s="1"/>
  <c r="AK18" i="28"/>
  <c r="AK16" i="28" s="1"/>
  <c r="AJ18" i="28"/>
  <c r="AJ16" i="28" s="1"/>
  <c r="AJ110" i="28" s="1"/>
  <c r="AI18" i="28"/>
  <c r="AH18" i="28"/>
  <c r="AG18" i="28"/>
  <c r="AF18" i="28"/>
  <c r="AF16" i="28" s="1"/>
  <c r="AF110" i="28" s="1"/>
  <c r="AE18" i="28"/>
  <c r="AE16" i="28" s="1"/>
  <c r="AE110" i="28" s="1"/>
  <c r="AD18" i="28"/>
  <c r="AC18" i="28"/>
  <c r="AC16" i="28" s="1"/>
  <c r="AC110" i="28" s="1"/>
  <c r="AB18" i="28"/>
  <c r="AB16" i="28" s="1"/>
  <c r="AB110" i="28" s="1"/>
  <c r="AA18" i="28"/>
  <c r="AA16" i="28" s="1"/>
  <c r="AA110" i="28" s="1"/>
  <c r="Z18" i="28"/>
  <c r="Y18" i="28"/>
  <c r="X18" i="28"/>
  <c r="W18" i="28"/>
  <c r="V18" i="28"/>
  <c r="V16" i="28" s="1"/>
  <c r="V110" i="28" s="1"/>
  <c r="U18" i="28"/>
  <c r="U16" i="28" s="1"/>
  <c r="U110" i="28" s="1"/>
  <c r="T18" i="28"/>
  <c r="T16" i="28" s="1"/>
  <c r="T110" i="28" s="1"/>
  <c r="S18" i="28"/>
  <c r="R18" i="28"/>
  <c r="Q18" i="28"/>
  <c r="P18" i="28"/>
  <c r="O18" i="28"/>
  <c r="N18" i="28"/>
  <c r="S17" i="28"/>
  <c r="R17" i="28"/>
  <c r="Q17" i="28"/>
  <c r="P17" i="28"/>
  <c r="O17" i="28"/>
  <c r="N17" i="28"/>
  <c r="BQ16" i="28"/>
  <c r="BN16" i="28"/>
  <c r="BN110" i="28" s="1"/>
  <c r="BM16" i="28"/>
  <c r="BM110" i="28" s="1"/>
  <c r="BJ16" i="28"/>
  <c r="BJ110" i="28" s="1"/>
  <c r="BF16" i="28"/>
  <c r="BF110" i="28" s="1"/>
  <c r="BE16" i="28"/>
  <c r="BE110" i="28" s="1"/>
  <c r="BD16" i="28"/>
  <c r="BD110" i="28" s="1"/>
  <c r="BA16" i="28"/>
  <c r="BA110" i="28" s="1"/>
  <c r="AZ16" i="28"/>
  <c r="AZ110" i="28" s="1"/>
  <c r="AY16" i="28"/>
  <c r="AY110" i="28" s="1"/>
  <c r="AX16" i="28"/>
  <c r="AX110" i="28" s="1"/>
  <c r="AW16" i="28"/>
  <c r="AW110" i="28" s="1"/>
  <c r="AT16" i="28"/>
  <c r="AT110" i="28" s="1"/>
  <c r="AP16" i="28"/>
  <c r="AP110" i="28" s="1"/>
  <c r="AO16" i="28"/>
  <c r="AO110" i="28" s="1"/>
  <c r="AM16" i="28"/>
  <c r="AM110" i="28" s="1"/>
  <c r="AI16" i="28"/>
  <c r="AH16" i="28"/>
  <c r="AG16" i="28"/>
  <c r="AG110" i="28" s="1"/>
  <c r="AD16" i="28"/>
  <c r="AD110" i="28" s="1"/>
  <c r="Z16" i="28"/>
  <c r="Z110" i="28" s="1"/>
  <c r="Y16" i="28"/>
  <c r="Y110" i="28" s="1"/>
  <c r="X16" i="28"/>
  <c r="X110" i="28" s="1"/>
  <c r="W16" i="28"/>
  <c r="W110" i="28" s="1"/>
  <c r="S16" i="28"/>
  <c r="R16" i="28"/>
  <c r="R110" i="28" s="1"/>
  <c r="Q16" i="28"/>
  <c r="Q110" i="28" s="1"/>
  <c r="P16" i="28"/>
  <c r="P110" i="28" s="1"/>
  <c r="O16" i="28"/>
  <c r="O110" i="28" s="1"/>
  <c r="N16" i="28"/>
  <c r="N110" i="28" s="1"/>
  <c r="S15" i="28"/>
  <c r="T15" i="28" s="1"/>
  <c r="U15" i="28" s="1"/>
  <c r="V15" i="28" s="1"/>
  <c r="W15" i="28" s="1"/>
  <c r="X15" i="28" s="1"/>
  <c r="Y15" i="28" s="1"/>
  <c r="Z15" i="28" s="1"/>
  <c r="AA15" i="28" s="1"/>
  <c r="AB15" i="28" s="1"/>
  <c r="AC15" i="28" s="1"/>
  <c r="AD15" i="28" s="1"/>
  <c r="AE15" i="28" s="1"/>
  <c r="AF15" i="28" s="1"/>
  <c r="AG15" i="28" s="1"/>
  <c r="AH15" i="28" s="1"/>
  <c r="AI15" i="28" s="1"/>
  <c r="AJ15" i="28" s="1"/>
  <c r="AK15" i="28" s="1"/>
  <c r="AL15" i="28" s="1"/>
  <c r="AM15" i="28" s="1"/>
  <c r="AN15" i="28" s="1"/>
  <c r="AO15" i="28" s="1"/>
  <c r="AP15" i="28" s="1"/>
  <c r="AQ15" i="28" s="1"/>
  <c r="AR15" i="28" s="1"/>
  <c r="AS15" i="28" s="1"/>
  <c r="AT15" i="28" s="1"/>
  <c r="AU15" i="28" s="1"/>
  <c r="AV15" i="28" s="1"/>
  <c r="AW15" i="28" s="1"/>
  <c r="AX15" i="28" s="1"/>
  <c r="AY15" i="28" s="1"/>
  <c r="AZ15" i="28" s="1"/>
  <c r="BA15" i="28" s="1"/>
  <c r="BB15" i="28" s="1"/>
  <c r="BC15" i="28" s="1"/>
  <c r="BD15" i="28" s="1"/>
  <c r="BE15" i="28" s="1"/>
  <c r="BF15" i="28" s="1"/>
  <c r="BG15" i="28" s="1"/>
  <c r="BH15" i="28" s="1"/>
  <c r="BI15" i="28" s="1"/>
  <c r="BJ15" i="28" s="1"/>
  <c r="BK15" i="28" s="1"/>
  <c r="BL15" i="28" s="1"/>
  <c r="BM15" i="28" s="1"/>
  <c r="BN15" i="28" s="1"/>
  <c r="BO15" i="28" s="1"/>
  <c r="BP15" i="28" s="1"/>
  <c r="BQ15" i="28" s="1"/>
  <c r="R15" i="28"/>
  <c r="Q15" i="28"/>
  <c r="P15" i="28"/>
  <c r="O15" i="28"/>
  <c r="N15" i="28"/>
  <c r="S13" i="28"/>
  <c r="R13" i="28"/>
  <c r="Q13" i="28"/>
  <c r="P13" i="28"/>
  <c r="O13" i="28"/>
  <c r="N13" i="28"/>
  <c r="S12" i="28"/>
  <c r="T12" i="28" s="1"/>
  <c r="R12" i="28"/>
  <c r="Q12" i="28"/>
  <c r="P12" i="28"/>
  <c r="O12" i="28"/>
  <c r="N12" i="28"/>
  <c r="S11" i="28"/>
  <c r="R11" i="28"/>
  <c r="Q11" i="28"/>
  <c r="P11" i="28"/>
  <c r="O11" i="28"/>
  <c r="N11" i="28"/>
  <c r="W10" i="28"/>
  <c r="X10" i="28" s="1"/>
  <c r="Y10" i="28" s="1"/>
  <c r="Z10" i="28" s="1"/>
  <c r="AA10" i="28" s="1"/>
  <c r="AB10" i="28" s="1"/>
  <c r="AC10" i="28" s="1"/>
  <c r="AD10" i="28" s="1"/>
  <c r="AE10" i="28" s="1"/>
  <c r="AF10" i="28" s="1"/>
  <c r="AG10" i="28" s="1"/>
  <c r="AH10" i="28" s="1"/>
  <c r="AI10" i="28" s="1"/>
  <c r="AJ10" i="28" s="1"/>
  <c r="AK10" i="28" s="1"/>
  <c r="AL10" i="28" s="1"/>
  <c r="AM10" i="28" s="1"/>
  <c r="AN10" i="28" s="1"/>
  <c r="AO10" i="28" s="1"/>
  <c r="AP10" i="28" s="1"/>
  <c r="AQ10" i="28" s="1"/>
  <c r="AR10" i="28" s="1"/>
  <c r="AS10" i="28" s="1"/>
  <c r="AT10" i="28" s="1"/>
  <c r="AU10" i="28" s="1"/>
  <c r="AV10" i="28" s="1"/>
  <c r="AW10" i="28" s="1"/>
  <c r="AX10" i="28" s="1"/>
  <c r="AY10" i="28" s="1"/>
  <c r="AZ10" i="28" s="1"/>
  <c r="BA10" i="28" s="1"/>
  <c r="BB10" i="28" s="1"/>
  <c r="BC10" i="28" s="1"/>
  <c r="BD10" i="28" s="1"/>
  <c r="BE10" i="28" s="1"/>
  <c r="BF10" i="28" s="1"/>
  <c r="BG10" i="28" s="1"/>
  <c r="BH10" i="28" s="1"/>
  <c r="BI10" i="28" s="1"/>
  <c r="BJ10" i="28" s="1"/>
  <c r="BK10" i="28" s="1"/>
  <c r="BL10" i="28" s="1"/>
  <c r="BM10" i="28" s="1"/>
  <c r="BN10" i="28" s="1"/>
  <c r="BO10" i="28" s="1"/>
  <c r="BP10" i="28" s="1"/>
  <c r="BQ10" i="28" s="1"/>
  <c r="T10" i="28"/>
  <c r="U10" i="28" s="1"/>
  <c r="V10" i="28" s="1"/>
  <c r="S10" i="28"/>
  <c r="R10" i="28"/>
  <c r="Q10" i="28"/>
  <c r="P10" i="28"/>
  <c r="O10" i="28"/>
  <c r="N10" i="28"/>
  <c r="S9" i="28"/>
  <c r="R9" i="28"/>
  <c r="Q9" i="28"/>
  <c r="P9" i="28"/>
  <c r="O9" i="28"/>
  <c r="N9" i="28"/>
  <c r="S8" i="28"/>
  <c r="T8" i="28" s="1"/>
  <c r="U8" i="28" s="1"/>
  <c r="V8" i="28" s="1"/>
  <c r="W8" i="28" s="1"/>
  <c r="X8" i="28" s="1"/>
  <c r="Y8" i="28" s="1"/>
  <c r="Z8" i="28" s="1"/>
  <c r="AA8" i="28" s="1"/>
  <c r="R8" i="28"/>
  <c r="Q8" i="28"/>
  <c r="P8" i="28"/>
  <c r="O8" i="28"/>
  <c r="N8" i="28"/>
  <c r="S7" i="28"/>
  <c r="R7" i="28"/>
  <c r="Q7" i="28"/>
  <c r="P7" i="28"/>
  <c r="O7" i="28"/>
  <c r="N7" i="28"/>
  <c r="S6" i="28"/>
  <c r="R6" i="28"/>
  <c r="Q6" i="28"/>
  <c r="P6" i="28"/>
  <c r="O6" i="28"/>
  <c r="N6" i="28"/>
  <c r="S5" i="28"/>
  <c r="R5" i="28"/>
  <c r="Q5" i="28"/>
  <c r="P5" i="28"/>
  <c r="O5" i="28"/>
  <c r="N5" i="28"/>
  <c r="U8" i="25"/>
  <c r="V8" i="25"/>
  <c r="W8" i="25"/>
  <c r="X8" i="25"/>
  <c r="Y8" i="25"/>
  <c r="Z8" i="25"/>
  <c r="AA8" i="25"/>
  <c r="AB8" i="25"/>
  <c r="AC8" i="25"/>
  <c r="AD8" i="25"/>
  <c r="AE8" i="25"/>
  <c r="AF8" i="25"/>
  <c r="AG8" i="25"/>
  <c r="AH8" i="25"/>
  <c r="AI8" i="25"/>
  <c r="AJ8" i="25"/>
  <c r="AK8" i="25"/>
  <c r="AL8" i="25"/>
  <c r="AM8" i="25"/>
  <c r="AN8" i="25"/>
  <c r="AO8" i="25"/>
  <c r="AP8" i="25"/>
  <c r="AQ8" i="25"/>
  <c r="AR8" i="25"/>
  <c r="AS8" i="25"/>
  <c r="AT8" i="25"/>
  <c r="AU8" i="25"/>
  <c r="AV8" i="25"/>
  <c r="AW8" i="25"/>
  <c r="AX8" i="25"/>
  <c r="AY8" i="25"/>
  <c r="AZ8" i="25"/>
  <c r="BA8" i="25"/>
  <c r="BB8" i="25"/>
  <c r="BC8" i="25"/>
  <c r="BD8" i="25"/>
  <c r="BE8" i="25"/>
  <c r="BF8" i="25"/>
  <c r="BG8" i="25"/>
  <c r="BH8" i="25"/>
  <c r="BI8" i="25"/>
  <c r="BJ8" i="25"/>
  <c r="BK8" i="25"/>
  <c r="BL8" i="25"/>
  <c r="BM8" i="25"/>
  <c r="BN8" i="25"/>
  <c r="BO8" i="25"/>
  <c r="BP8" i="25"/>
  <c r="U9" i="25"/>
  <c r="V9" i="25"/>
  <c r="W9" i="25"/>
  <c r="X9" i="25"/>
  <c r="Y9" i="25"/>
  <c r="Z9" i="25"/>
  <c r="AA9" i="25"/>
  <c r="AB9" i="25"/>
  <c r="AC9" i="25"/>
  <c r="AD9" i="25"/>
  <c r="AE9" i="25"/>
  <c r="AF9" i="25"/>
  <c r="AG9" i="25"/>
  <c r="AH9" i="25"/>
  <c r="AI9" i="25"/>
  <c r="AJ9" i="25"/>
  <c r="AK9" i="25"/>
  <c r="AL9" i="25"/>
  <c r="AM9" i="25"/>
  <c r="AN9" i="25"/>
  <c r="AO9" i="25"/>
  <c r="AP9" i="25"/>
  <c r="AQ9" i="25"/>
  <c r="AR9" i="25"/>
  <c r="AS9" i="25"/>
  <c r="AT9" i="25"/>
  <c r="AU9" i="25"/>
  <c r="AV9" i="25"/>
  <c r="AW9" i="25"/>
  <c r="AX9" i="25"/>
  <c r="AY9" i="25"/>
  <c r="AZ9" i="25"/>
  <c r="BA9" i="25"/>
  <c r="BB9" i="25"/>
  <c r="BC9" i="25"/>
  <c r="BD9" i="25"/>
  <c r="BE9" i="25"/>
  <c r="BF9" i="25"/>
  <c r="BG9" i="25"/>
  <c r="BH9" i="25"/>
  <c r="BI9" i="25"/>
  <c r="BJ9" i="25"/>
  <c r="BK9" i="25"/>
  <c r="BL9" i="25"/>
  <c r="BM9" i="25"/>
  <c r="BN9" i="25"/>
  <c r="BO9" i="25"/>
  <c r="BP9" i="25"/>
  <c r="T9" i="25"/>
  <c r="N22" i="27"/>
  <c r="N21" i="27"/>
  <c r="N20" i="27"/>
  <c r="N19" i="27"/>
  <c r="N18" i="27"/>
  <c r="N17" i="27"/>
  <c r="N16" i="27"/>
  <c r="N15" i="27"/>
  <c r="F24" i="27"/>
  <c r="F23" i="27"/>
  <c r="F22" i="27"/>
  <c r="I22" i="27" s="1"/>
  <c r="F21" i="27"/>
  <c r="I21" i="27" s="1"/>
  <c r="F20" i="27"/>
  <c r="I20" i="27" s="1"/>
  <c r="F19" i="27"/>
  <c r="I19" i="27" s="1"/>
  <c r="F18" i="27"/>
  <c r="F17" i="27"/>
  <c r="F16" i="27"/>
  <c r="F15" i="27"/>
  <c r="F12" i="27"/>
  <c r="F11" i="27"/>
  <c r="I11" i="27" s="1"/>
  <c r="F4" i="27"/>
  <c r="I4" i="27" s="1"/>
  <c r="F5" i="27"/>
  <c r="F6" i="27"/>
  <c r="F7" i="27"/>
  <c r="I7" i="27" s="1"/>
  <c r="F8" i="27"/>
  <c r="I8" i="27" s="1"/>
  <c r="F9" i="27"/>
  <c r="I9" i="27" s="1"/>
  <c r="F10" i="27"/>
  <c r="F3" i="27"/>
  <c r="M22" i="27"/>
  <c r="H22" i="27"/>
  <c r="M21" i="27"/>
  <c r="H21" i="27"/>
  <c r="M20" i="27"/>
  <c r="H20" i="27"/>
  <c r="M19" i="27"/>
  <c r="H19" i="27"/>
  <c r="M18" i="27"/>
  <c r="I18" i="27"/>
  <c r="H18" i="27"/>
  <c r="M17" i="27"/>
  <c r="H17" i="27"/>
  <c r="I17" i="27"/>
  <c r="M16" i="27"/>
  <c r="H16" i="27"/>
  <c r="I16" i="27"/>
  <c r="M15" i="27"/>
  <c r="I15" i="27"/>
  <c r="H15" i="27"/>
  <c r="H14" i="27"/>
  <c r="H13" i="27"/>
  <c r="H12" i="27"/>
  <c r="I12" i="27"/>
  <c r="H11" i="27"/>
  <c r="H10" i="27"/>
  <c r="I10" i="27"/>
  <c r="H9" i="27"/>
  <c r="H8" i="27"/>
  <c r="H7" i="27"/>
  <c r="I6" i="27"/>
  <c r="H6" i="27"/>
  <c r="H5" i="27"/>
  <c r="I5" i="27"/>
  <c r="H4" i="27"/>
  <c r="I3" i="27"/>
  <c r="H3" i="27"/>
  <c r="I9" i="26"/>
  <c r="I10" i="26"/>
  <c r="F9" i="26"/>
  <c r="F10" i="26"/>
  <c r="H21" i="26"/>
  <c r="I21" i="26"/>
  <c r="H22" i="26"/>
  <c r="I22" i="26"/>
  <c r="F21" i="26"/>
  <c r="F22" i="26"/>
  <c r="M21" i="26"/>
  <c r="N21" i="26"/>
  <c r="M22" i="26"/>
  <c r="N22" i="26"/>
  <c r="N19" i="26"/>
  <c r="N20" i="26"/>
  <c r="N18" i="26"/>
  <c r="M19" i="26"/>
  <c r="M20" i="26"/>
  <c r="N16" i="26"/>
  <c r="N17" i="26"/>
  <c r="N15" i="26"/>
  <c r="M16" i="26"/>
  <c r="M17" i="26"/>
  <c r="M18" i="26"/>
  <c r="M15" i="26"/>
  <c r="H12" i="26"/>
  <c r="I4" i="26"/>
  <c r="I5" i="26"/>
  <c r="I6" i="26"/>
  <c r="I7" i="26"/>
  <c r="I8" i="26"/>
  <c r="I11" i="26"/>
  <c r="I12" i="26"/>
  <c r="I15" i="26"/>
  <c r="I16" i="26"/>
  <c r="I17" i="26"/>
  <c r="I18" i="26"/>
  <c r="I19" i="26"/>
  <c r="I20" i="26"/>
  <c r="H19" i="26"/>
  <c r="H20" i="26"/>
  <c r="H4" i="26"/>
  <c r="H5" i="26"/>
  <c r="H6" i="26"/>
  <c r="H7" i="26"/>
  <c r="H8" i="26"/>
  <c r="H9" i="26"/>
  <c r="H10" i="26"/>
  <c r="H11" i="26"/>
  <c r="H13" i="26"/>
  <c r="H14" i="26"/>
  <c r="H15" i="26"/>
  <c r="H16" i="26"/>
  <c r="H17" i="26"/>
  <c r="H18" i="26"/>
  <c r="H3" i="26"/>
  <c r="F24" i="26"/>
  <c r="F23" i="26"/>
  <c r="F20" i="26"/>
  <c r="F16" i="26"/>
  <c r="F17" i="26"/>
  <c r="F18" i="26"/>
  <c r="F19" i="26"/>
  <c r="F15" i="26"/>
  <c r="F12" i="26"/>
  <c r="F11" i="26"/>
  <c r="F4" i="26"/>
  <c r="F5" i="26"/>
  <c r="F6" i="26"/>
  <c r="F7" i="26"/>
  <c r="F8" i="26"/>
  <c r="F3" i="26"/>
  <c r="I3" i="26" s="1"/>
  <c r="BF19" i="21"/>
  <c r="BD17" i="21"/>
  <c r="BA14" i="21"/>
  <c r="AZ13" i="21"/>
  <c r="BA13" i="21"/>
  <c r="BB13" i="21" s="1"/>
  <c r="BB12" i="21"/>
  <c r="AY12" i="21"/>
  <c r="AZ12" i="21"/>
  <c r="BA12" i="21"/>
  <c r="AW11" i="21"/>
  <c r="AX11" i="21"/>
  <c r="AY11" i="21" s="1"/>
  <c r="AZ11" i="21" s="1"/>
  <c r="BA11" i="21" s="1"/>
  <c r="AW10" i="21"/>
  <c r="AX10" i="21" s="1"/>
  <c r="AY10" i="21" s="1"/>
  <c r="AZ10" i="21" s="1"/>
  <c r="O8" i="21" a="1"/>
  <c r="O8" i="21" s="1"/>
  <c r="E10" i="21" a="1"/>
  <c r="E10" i="21" s="1"/>
  <c r="U73" i="6"/>
  <c r="V74" i="6"/>
  <c r="U75" i="6"/>
  <c r="T10" i="6"/>
  <c r="T73" i="6"/>
  <c r="O80" i="6"/>
  <c r="P80" i="6"/>
  <c r="Q80" i="6"/>
  <c r="N80" i="6"/>
  <c r="O85" i="6"/>
  <c r="P85" i="6"/>
  <c r="Q85" i="6"/>
  <c r="R85" i="6"/>
  <c r="R80" i="6" s="1"/>
  <c r="N85" i="6"/>
  <c r="O99" i="6"/>
  <c r="P99" i="6"/>
  <c r="Q99" i="6"/>
  <c r="R99" i="6"/>
  <c r="S99" i="6"/>
  <c r="N99" i="6"/>
  <c r="N97" i="6"/>
  <c r="O78" i="6"/>
  <c r="P78" i="6"/>
  <c r="Q78" i="6"/>
  <c r="R78" i="6"/>
  <c r="S78" i="6"/>
  <c r="N78" i="6"/>
  <c r="O75" i="6"/>
  <c r="P75" i="6"/>
  <c r="Q75" i="6"/>
  <c r="R75" i="6"/>
  <c r="S75" i="6"/>
  <c r="N75" i="6"/>
  <c r="O74" i="6"/>
  <c r="P74" i="6"/>
  <c r="Q74" i="6"/>
  <c r="R74" i="6"/>
  <c r="S74" i="6"/>
  <c r="N74" i="6"/>
  <c r="O77" i="6"/>
  <c r="P77" i="6"/>
  <c r="Q77" i="6"/>
  <c r="R77" i="6"/>
  <c r="S77" i="6"/>
  <c r="S76" i="6"/>
  <c r="N77" i="6"/>
  <c r="O76" i="6"/>
  <c r="P76" i="6"/>
  <c r="Q76" i="6"/>
  <c r="R76" i="6"/>
  <c r="N76" i="6"/>
  <c r="Z74" i="6"/>
  <c r="AA74" i="6"/>
  <c r="AB74" i="6"/>
  <c r="AC74" i="6"/>
  <c r="AD74" i="6"/>
  <c r="AE74" i="6"/>
  <c r="AF74" i="6"/>
  <c r="AG74" i="6"/>
  <c r="AH74" i="6"/>
  <c r="AI74" i="6"/>
  <c r="AJ74" i="6"/>
  <c r="AK74" i="6"/>
  <c r="AL74" i="6"/>
  <c r="AM74" i="6"/>
  <c r="AN74" i="6"/>
  <c r="AO74" i="6"/>
  <c r="AP74" i="6"/>
  <c r="AQ74" i="6"/>
  <c r="AR74" i="6"/>
  <c r="AS74" i="6"/>
  <c r="AT74" i="6"/>
  <c r="AU74" i="6"/>
  <c r="AV74" i="6"/>
  <c r="AW74" i="6"/>
  <c r="AX74" i="6"/>
  <c r="AY74" i="6"/>
  <c r="AZ74" i="6"/>
  <c r="BA74" i="6"/>
  <c r="BB74" i="6"/>
  <c r="BC74" i="6"/>
  <c r="BD74" i="6"/>
  <c r="BE74" i="6"/>
  <c r="BF74" i="6"/>
  <c r="BG74" i="6"/>
  <c r="BH74" i="6"/>
  <c r="BI74" i="6"/>
  <c r="BJ74" i="6"/>
  <c r="BK74" i="6"/>
  <c r="BL74" i="6"/>
  <c r="BM74" i="6"/>
  <c r="BN74" i="6"/>
  <c r="BO74" i="6"/>
  <c r="BP74" i="6"/>
  <c r="BQ74" i="6"/>
  <c r="Y74" i="6"/>
  <c r="W74" i="6"/>
  <c r="W18" i="6"/>
  <c r="X18" i="6"/>
  <c r="Y18" i="6"/>
  <c r="Z18" i="6"/>
  <c r="AA18" i="6"/>
  <c r="AB18" i="6"/>
  <c r="AC18" i="6"/>
  <c r="AD18" i="6"/>
  <c r="AE18" i="6"/>
  <c r="AF18" i="6"/>
  <c r="AG18" i="6"/>
  <c r="AH18" i="6"/>
  <c r="AI18" i="6"/>
  <c r="AJ18" i="6"/>
  <c r="AK18" i="6"/>
  <c r="AL18" i="6"/>
  <c r="AM18" i="6"/>
  <c r="AN18" i="6"/>
  <c r="AO18" i="6"/>
  <c r="AP18" i="6"/>
  <c r="AQ18" i="6"/>
  <c r="AR18" i="6"/>
  <c r="AS18" i="6"/>
  <c r="AT18" i="6"/>
  <c r="AU18" i="6"/>
  <c r="AV18" i="6"/>
  <c r="AW18" i="6"/>
  <c r="AX18" i="6"/>
  <c r="AY18" i="6"/>
  <c r="AZ18" i="6"/>
  <c r="BA18" i="6"/>
  <c r="BB18" i="6"/>
  <c r="BC18" i="6"/>
  <c r="BD18" i="6"/>
  <c r="BE18" i="6"/>
  <c r="BF18" i="6"/>
  <c r="BG18" i="6"/>
  <c r="BH18" i="6"/>
  <c r="BI18" i="6"/>
  <c r="BJ18" i="6"/>
  <c r="BK18" i="6"/>
  <c r="BL18" i="6"/>
  <c r="BM18" i="6"/>
  <c r="BN18" i="6"/>
  <c r="BO18" i="6"/>
  <c r="BP18" i="6"/>
  <c r="BQ18" i="6"/>
  <c r="V18" i="6"/>
  <c r="V3" i="21"/>
  <c r="W3" i="21"/>
  <c r="X3" i="21"/>
  <c r="Y3" i="21"/>
  <c r="Z3" i="21"/>
  <c r="AA3" i="21"/>
  <c r="AB3" i="21"/>
  <c r="AC3" i="21"/>
  <c r="AD3" i="21"/>
  <c r="AE3" i="21"/>
  <c r="AF3" i="21"/>
  <c r="AG3" i="21"/>
  <c r="AH3" i="21"/>
  <c r="AI3" i="21"/>
  <c r="AJ3" i="21"/>
  <c r="AK3" i="21"/>
  <c r="AL3" i="21"/>
  <c r="AM3" i="21"/>
  <c r="AN3" i="21"/>
  <c r="AO3" i="21"/>
  <c r="AP3" i="21"/>
  <c r="AQ3" i="21"/>
  <c r="AR3" i="21"/>
  <c r="AS3" i="21"/>
  <c r="AT3" i="21"/>
  <c r="AU3" i="21"/>
  <c r="AV3" i="21"/>
  <c r="AW3" i="21"/>
  <c r="AX3" i="21"/>
  <c r="AY3" i="21"/>
  <c r="AZ3" i="21"/>
  <c r="BA3" i="21"/>
  <c r="BB3" i="21"/>
  <c r="BC3" i="21"/>
  <c r="BD3" i="21"/>
  <c r="BE3" i="21"/>
  <c r="BF3" i="21"/>
  <c r="U3" i="21"/>
  <c r="T3" i="21"/>
  <c r="S3" i="21"/>
  <c r="Q3" i="21"/>
  <c r="R3" i="21"/>
  <c r="Q17" i="29" l="1"/>
  <c r="R42" i="29" s="1"/>
  <c r="AZ73" i="28"/>
  <c r="AJ73" i="28"/>
  <c r="BE73" i="28"/>
  <c r="AS73" i="28"/>
  <c r="AT73" i="28"/>
  <c r="AQ73" i="28"/>
  <c r="BC73" i="28"/>
  <c r="BG73" i="28"/>
  <c r="BJ73" i="28"/>
  <c r="V73" i="28"/>
  <c r="Y27" i="28"/>
  <c r="AB8" i="28"/>
  <c r="W30" i="28"/>
  <c r="X30" i="28" s="1"/>
  <c r="Y30" i="28" s="1"/>
  <c r="Z30" i="28" s="1"/>
  <c r="AA30" i="28" s="1"/>
  <c r="AB30" i="28" s="1"/>
  <c r="AC30" i="28" s="1"/>
  <c r="AD30" i="28" s="1"/>
  <c r="AE30" i="28" s="1"/>
  <c r="AF30" i="28" s="1"/>
  <c r="AG30" i="28" s="1"/>
  <c r="AH30" i="28" s="1"/>
  <c r="AI30" i="28" s="1"/>
  <c r="AJ30" i="28" s="1"/>
  <c r="AK30" i="28" s="1"/>
  <c r="AL30" i="28" s="1"/>
  <c r="AM30" i="28" s="1"/>
  <c r="AN30" i="28" s="1"/>
  <c r="AO30" i="28" s="1"/>
  <c r="AP30" i="28" s="1"/>
  <c r="AQ30" i="28" s="1"/>
  <c r="AR30" i="28" s="1"/>
  <c r="AS30" i="28" s="1"/>
  <c r="AT30" i="28" s="1"/>
  <c r="AU30" i="28" s="1"/>
  <c r="AV30" i="28" s="1"/>
  <c r="AW30" i="28" s="1"/>
  <c r="AX30" i="28" s="1"/>
  <c r="AY30" i="28" s="1"/>
  <c r="AZ30" i="28" s="1"/>
  <c r="BA30" i="28" s="1"/>
  <c r="BB30" i="28" s="1"/>
  <c r="BC30" i="28" s="1"/>
  <c r="BD30" i="28" s="1"/>
  <c r="BE30" i="28" s="1"/>
  <c r="BF30" i="28" s="1"/>
  <c r="BG30" i="28" s="1"/>
  <c r="BH30" i="28" s="1"/>
  <c r="BI30" i="28" s="1"/>
  <c r="BJ30" i="28" s="1"/>
  <c r="BK30" i="28" s="1"/>
  <c r="BL30" i="28" s="1"/>
  <c r="BM30" i="28" s="1"/>
  <c r="BN30" i="28" s="1"/>
  <c r="BO30" i="28" s="1"/>
  <c r="BP30" i="28" s="1"/>
  <c r="BQ30" i="28" s="1"/>
  <c r="U32" i="28"/>
  <c r="T26" i="28"/>
  <c r="P73" i="28"/>
  <c r="P100" i="28" s="1"/>
  <c r="P105" i="28" s="1"/>
  <c r="P113" i="28" s="1"/>
  <c r="T11" i="28"/>
  <c r="U12" i="28"/>
  <c r="AS111" i="28"/>
  <c r="BA90" i="28"/>
  <c r="BA74" i="28"/>
  <c r="BA73" i="28" s="1"/>
  <c r="BQ90" i="28"/>
  <c r="BQ74" i="28"/>
  <c r="BQ73" i="28" s="1"/>
  <c r="S107" i="28"/>
  <c r="T13" i="28"/>
  <c r="U44" i="28"/>
  <c r="AL90" i="28"/>
  <c r="AL74" i="28"/>
  <c r="AL73" i="28" s="1"/>
  <c r="O96" i="28"/>
  <c r="S97" i="28"/>
  <c r="AC111" i="28"/>
  <c r="X62" i="28"/>
  <c r="Y62" i="28" s="1"/>
  <c r="AY111" i="28"/>
  <c r="AF111" i="28"/>
  <c r="AV111" i="28"/>
  <c r="BL111" i="28"/>
  <c r="W111" i="28"/>
  <c r="BF111" i="28"/>
  <c r="P112" i="28"/>
  <c r="T43" i="28"/>
  <c r="U35" i="28"/>
  <c r="T34" i="28"/>
  <c r="BD111" i="28"/>
  <c r="AG111" i="28"/>
  <c r="AW111" i="28"/>
  <c r="T111" i="28"/>
  <c r="AZ111" i="28"/>
  <c r="R112" i="28"/>
  <c r="Z81" i="28"/>
  <c r="Z74" i="28"/>
  <c r="Z73" i="28" s="1"/>
  <c r="AP74" i="28"/>
  <c r="AP73" i="28" s="1"/>
  <c r="BF81" i="28"/>
  <c r="BF74" i="28"/>
  <c r="BF73" i="28" s="1"/>
  <c r="AI111" i="28"/>
  <c r="AJ111" i="28"/>
  <c r="BP111" i="28"/>
  <c r="S110" i="28"/>
  <c r="O80" i="28"/>
  <c r="O100" i="28" s="1"/>
  <c r="O105" i="28" s="1"/>
  <c r="O113" i="28" s="1"/>
  <c r="AU81" i="28"/>
  <c r="AU74" i="28"/>
  <c r="AU73" i="28" s="1"/>
  <c r="BK81" i="28"/>
  <c r="BK74" i="28"/>
  <c r="BK73" i="28" s="1"/>
  <c r="AK74" i="28"/>
  <c r="AK73" i="28" s="1"/>
  <c r="BA111" i="28"/>
  <c r="AM111" i="28"/>
  <c r="S82" i="28"/>
  <c r="AI81" i="28"/>
  <c r="AI74" i="28"/>
  <c r="AI73" i="28" s="1"/>
  <c r="AY81" i="28"/>
  <c r="AY74" i="28"/>
  <c r="AY73" i="28" s="1"/>
  <c r="BO81" i="28"/>
  <c r="BO74" i="28"/>
  <c r="BO73" i="28" s="1"/>
  <c r="N111" i="28"/>
  <c r="N112" i="28" s="1"/>
  <c r="S112" i="28" s="1"/>
  <c r="S108" i="28"/>
  <c r="AP111" i="28"/>
  <c r="AX111" i="28"/>
  <c r="BI111" i="28"/>
  <c r="AA111" i="28"/>
  <c r="AR111" i="28"/>
  <c r="BN111" i="28"/>
  <c r="S109" i="28"/>
  <c r="AD111" i="28"/>
  <c r="Q80" i="28"/>
  <c r="AW81" i="28"/>
  <c r="AW74" i="28"/>
  <c r="AW73" i="28" s="1"/>
  <c r="BM74" i="28"/>
  <c r="BM73" i="28" s="1"/>
  <c r="BO111" i="28"/>
  <c r="R80" i="28"/>
  <c r="AH74" i="28"/>
  <c r="AH73" i="28" s="1"/>
  <c r="AX74" i="28"/>
  <c r="AX73" i="28" s="1"/>
  <c r="BN74" i="28"/>
  <c r="BN73" i="28" s="1"/>
  <c r="BN81" i="28"/>
  <c r="BH111" i="28"/>
  <c r="AN111" i="28"/>
  <c r="Y111" i="28"/>
  <c r="AO111" i="28"/>
  <c r="BE111" i="28"/>
  <c r="AX81" i="28"/>
  <c r="BQ111" i="28"/>
  <c r="O111" i="28"/>
  <c r="O112" i="28" s="1"/>
  <c r="AK111" i="28"/>
  <c r="W74" i="28"/>
  <c r="W73" i="28" s="1"/>
  <c r="S90" i="28"/>
  <c r="X111" i="28"/>
  <c r="AB111" i="28"/>
  <c r="AB74" i="28"/>
  <c r="AB73" i="28" s="1"/>
  <c r="AR74" i="28"/>
  <c r="AR73" i="28" s="1"/>
  <c r="BH74" i="28"/>
  <c r="BH73" i="28" s="1"/>
  <c r="AQ111" i="28"/>
  <c r="S73" i="28"/>
  <c r="Q73" i="28"/>
  <c r="AB81" i="28"/>
  <c r="BB81" i="28"/>
  <c r="BB74" i="28"/>
  <c r="BB73" i="28" s="1"/>
  <c r="BC111" i="28"/>
  <c r="R73" i="28"/>
  <c r="AF74" i="28"/>
  <c r="AF73" i="28" s="1"/>
  <c r="AF81" i="28"/>
  <c r="AV74" i="28"/>
  <c r="AV73" i="28" s="1"/>
  <c r="AV81" i="28"/>
  <c r="BL74" i="28"/>
  <c r="BL73" i="28" s="1"/>
  <c r="BL81" i="28"/>
  <c r="S96" i="28"/>
  <c r="S81" i="28"/>
  <c r="S80" i="28" s="1"/>
  <c r="N80" i="28"/>
  <c r="N100" i="28" s="1"/>
  <c r="X75" i="6"/>
  <c r="W75" i="6"/>
  <c r="W16" i="6"/>
  <c r="W110" i="6" s="1"/>
  <c r="X74" i="6"/>
  <c r="BM54" i="6"/>
  <c r="BN54" i="6"/>
  <c r="BO54" i="6"/>
  <c r="BP54" i="6"/>
  <c r="BQ54" i="6"/>
  <c r="I7" i="21"/>
  <c r="J10" i="21"/>
  <c r="AB53" i="2"/>
  <c r="BA10" i="21"/>
  <c r="BC10" i="21" s="1"/>
  <c r="BD10" i="21" s="1"/>
  <c r="BE10" i="21" s="1"/>
  <c r="BF10" i="21" s="1"/>
  <c r="X60" i="2"/>
  <c r="Y60" i="2"/>
  <c r="Z60" i="2"/>
  <c r="AA60" i="2"/>
  <c r="AB60" i="2"/>
  <c r="W60" i="2"/>
  <c r="S60" i="6"/>
  <c r="S59" i="6"/>
  <c r="V75" i="6"/>
  <c r="D58" i="21"/>
  <c r="D57" i="21"/>
  <c r="D56" i="21"/>
  <c r="D55" i="21"/>
  <c r="D54" i="21"/>
  <c r="D53" i="21"/>
  <c r="D52" i="21"/>
  <c r="D51" i="21"/>
  <c r="D50" i="21"/>
  <c r="D49" i="21"/>
  <c r="D48" i="21"/>
  <c r="D47" i="21"/>
  <c r="D46" i="21"/>
  <c r="D45" i="21"/>
  <c r="D44" i="21"/>
  <c r="D43" i="21"/>
  <c r="D42" i="21"/>
  <c r="D41" i="21"/>
  <c r="D40" i="21"/>
  <c r="D39" i="21"/>
  <c r="D38" i="21"/>
  <c r="D37" i="21"/>
  <c r="D36" i="21"/>
  <c r="D35" i="21"/>
  <c r="D34" i="21"/>
  <c r="D33" i="21"/>
  <c r="D32" i="21"/>
  <c r="D31" i="21"/>
  <c r="D30" i="21"/>
  <c r="D29" i="21"/>
  <c r="D28" i="21"/>
  <c r="D27" i="21"/>
  <c r="D26" i="21"/>
  <c r="D25" i="21"/>
  <c r="D24" i="21"/>
  <c r="D23" i="21"/>
  <c r="D22" i="21"/>
  <c r="D21" i="21"/>
  <c r="D20" i="21"/>
  <c r="D19" i="21"/>
  <c r="D18" i="21"/>
  <c r="D17" i="21"/>
  <c r="D16" i="21"/>
  <c r="D15" i="21"/>
  <c r="D14" i="21"/>
  <c r="D13" i="21"/>
  <c r="D12" i="21"/>
  <c r="D11" i="21"/>
  <c r="V124" i="6"/>
  <c r="W124" i="6"/>
  <c r="R41" i="29" l="1"/>
  <c r="R48" i="29"/>
  <c r="R47" i="29"/>
  <c r="R46" i="29"/>
  <c r="R43" i="29"/>
  <c r="R51" i="29"/>
  <c r="R50" i="29"/>
  <c r="R49" i="29"/>
  <c r="R45" i="29"/>
  <c r="R44" i="29"/>
  <c r="R100" i="28"/>
  <c r="R105" i="28" s="1"/>
  <c r="R113" i="28" s="1"/>
  <c r="N105" i="28"/>
  <c r="AC8" i="28"/>
  <c r="V35" i="28"/>
  <c r="U34" i="28"/>
  <c r="Z27" i="28"/>
  <c r="S111" i="28"/>
  <c r="Z62" i="28"/>
  <c r="V12" i="28"/>
  <c r="U43" i="28"/>
  <c r="V44" i="28"/>
  <c r="Q100" i="28"/>
  <c r="Q105" i="28" s="1"/>
  <c r="Q113" i="28" s="1"/>
  <c r="T25" i="28"/>
  <c r="T24" i="28" s="1"/>
  <c r="V32" i="28"/>
  <c r="U26" i="28"/>
  <c r="K10" i="21"/>
  <c r="AA62" i="28" l="1"/>
  <c r="W44" i="28"/>
  <c r="V43" i="28"/>
  <c r="AA27" i="28"/>
  <c r="W35" i="28"/>
  <c r="V34" i="28"/>
  <c r="AD8" i="28"/>
  <c r="W12" i="28"/>
  <c r="S105" i="28"/>
  <c r="N113" i="28"/>
  <c r="S113" i="28" s="1"/>
  <c r="U25" i="28"/>
  <c r="S100" i="28"/>
  <c r="W32" i="28"/>
  <c r="V26" i="28"/>
  <c r="L10" i="21"/>
  <c r="X12" i="28" l="1"/>
  <c r="AE8" i="28"/>
  <c r="W34" i="28"/>
  <c r="X35" i="28"/>
  <c r="AB27" i="28"/>
  <c r="V25" i="28"/>
  <c r="X32" i="28"/>
  <c r="W26" i="28"/>
  <c r="W25" i="28" s="1"/>
  <c r="W43" i="28"/>
  <c r="X44" i="28"/>
  <c r="AB62" i="28"/>
  <c r="M10" i="21"/>
  <c r="AC27" i="28" l="1"/>
  <c r="Y12" i="28"/>
  <c r="Y32" i="28"/>
  <c r="X26" i="28"/>
  <c r="AC62" i="28"/>
  <c r="X34" i="28"/>
  <c r="Y35" i="28"/>
  <c r="AF8" i="28"/>
  <c r="Y44" i="28"/>
  <c r="X43" i="28"/>
  <c r="N10" i="21"/>
  <c r="Y43" i="28" l="1"/>
  <c r="Z44" i="28"/>
  <c r="AD62" i="28"/>
  <c r="AG8" i="28"/>
  <c r="Y34" i="28"/>
  <c r="Z35" i="28"/>
  <c r="X25" i="28"/>
  <c r="Z32" i="28"/>
  <c r="Y26" i="28"/>
  <c r="Y25" i="28" s="1"/>
  <c r="Z12" i="28"/>
  <c r="AD27" i="28"/>
  <c r="V90" i="6"/>
  <c r="AA12" i="28" l="1"/>
  <c r="AE62" i="28"/>
  <c r="Z43" i="28"/>
  <c r="AA44" i="28"/>
  <c r="AA32" i="28"/>
  <c r="Z26" i="28"/>
  <c r="Z34" i="28"/>
  <c r="AA35" i="28"/>
  <c r="AH8" i="28"/>
  <c r="AE27" i="28"/>
  <c r="W88" i="6"/>
  <c r="X88" i="6"/>
  <c r="Y88" i="6"/>
  <c r="Z88" i="6"/>
  <c r="AA88" i="6"/>
  <c r="AB88" i="6"/>
  <c r="AC88" i="6"/>
  <c r="AD88" i="6"/>
  <c r="AE88" i="6"/>
  <c r="AF88" i="6"/>
  <c r="AG88" i="6"/>
  <c r="AH88" i="6"/>
  <c r="AI88" i="6"/>
  <c r="AJ88" i="6"/>
  <c r="AK88" i="6"/>
  <c r="AL88" i="6"/>
  <c r="AM88" i="6"/>
  <c r="AN88" i="6"/>
  <c r="AO88" i="6"/>
  <c r="AP88" i="6"/>
  <c r="AQ88" i="6"/>
  <c r="AR88" i="6"/>
  <c r="AS88" i="6"/>
  <c r="AT88" i="6"/>
  <c r="AU88" i="6"/>
  <c r="AV88" i="6"/>
  <c r="AW88" i="6"/>
  <c r="AX88" i="6"/>
  <c r="AY88" i="6"/>
  <c r="AZ88" i="6"/>
  <c r="BA88" i="6"/>
  <c r="BB88" i="6"/>
  <c r="BC88" i="6"/>
  <c r="BD88" i="6"/>
  <c r="BE88" i="6"/>
  <c r="BF88" i="6"/>
  <c r="BG88" i="6"/>
  <c r="BH88" i="6"/>
  <c r="BI88" i="6"/>
  <c r="BJ88" i="6"/>
  <c r="BK88" i="6"/>
  <c r="BL88" i="6"/>
  <c r="BM88" i="6"/>
  <c r="BN88" i="6"/>
  <c r="BO88" i="6"/>
  <c r="BP88" i="6"/>
  <c r="BQ88" i="6"/>
  <c r="V88" i="6"/>
  <c r="W92" i="6"/>
  <c r="X92" i="6"/>
  <c r="Y92" i="6"/>
  <c r="Z92" i="6"/>
  <c r="AA92" i="6"/>
  <c r="AB92" i="6"/>
  <c r="AC92" i="6"/>
  <c r="AD92" i="6"/>
  <c r="AE92" i="6"/>
  <c r="AF92" i="6"/>
  <c r="AG92" i="6"/>
  <c r="AH92" i="6"/>
  <c r="AI92" i="6"/>
  <c r="AJ92" i="6"/>
  <c r="AK92" i="6"/>
  <c r="AL92" i="6"/>
  <c r="AM92" i="6"/>
  <c r="AN92" i="6"/>
  <c r="AO92" i="6"/>
  <c r="AP92" i="6"/>
  <c r="AQ92" i="6"/>
  <c r="AR92" i="6"/>
  <c r="AS92" i="6"/>
  <c r="AT92" i="6"/>
  <c r="AU92" i="6"/>
  <c r="AV92" i="6"/>
  <c r="AW92" i="6"/>
  <c r="AX92" i="6"/>
  <c r="AY92" i="6"/>
  <c r="AZ92" i="6"/>
  <c r="BA92" i="6"/>
  <c r="BB92" i="6"/>
  <c r="BC92" i="6"/>
  <c r="BD92" i="6"/>
  <c r="BE92" i="6"/>
  <c r="BF92" i="6"/>
  <c r="BG92" i="6"/>
  <c r="BH92" i="6"/>
  <c r="BI92" i="6"/>
  <c r="BJ92" i="6"/>
  <c r="BK92" i="6"/>
  <c r="BL92" i="6"/>
  <c r="BM92" i="6"/>
  <c r="BN92" i="6"/>
  <c r="BO92" i="6"/>
  <c r="BP92" i="6"/>
  <c r="BQ92" i="6"/>
  <c r="V92" i="6"/>
  <c r="U86" i="6"/>
  <c r="D10" i="21" s="1"/>
  <c r="F10" i="21" s="1"/>
  <c r="U82" i="6"/>
  <c r="U81" i="6"/>
  <c r="T82" i="6"/>
  <c r="BK30" i="25"/>
  <c r="BF30" i="25"/>
  <c r="BE30" i="25"/>
  <c r="BD30" i="25"/>
  <c r="BC30" i="25"/>
  <c r="AU30" i="25"/>
  <c r="AP30" i="25"/>
  <c r="AO30" i="25"/>
  <c r="AN30" i="25"/>
  <c r="AM30" i="25"/>
  <c r="AE30" i="25"/>
  <c r="Z30" i="25"/>
  <c r="Y30" i="25"/>
  <c r="X30" i="25"/>
  <c r="W30" i="25"/>
  <c r="BP28" i="25"/>
  <c r="BO28" i="25"/>
  <c r="BN28" i="25"/>
  <c r="BM28" i="25"/>
  <c r="BM30" i="25" s="1"/>
  <c r="BL28" i="25"/>
  <c r="BL30" i="25" s="1"/>
  <c r="BK28" i="25"/>
  <c r="BJ28" i="25"/>
  <c r="BI28" i="25"/>
  <c r="BH28" i="25"/>
  <c r="BH30" i="25" s="1"/>
  <c r="BG28" i="25"/>
  <c r="BG30" i="25" s="1"/>
  <c r="BF28" i="25"/>
  <c r="BE28" i="25"/>
  <c r="BD28" i="25"/>
  <c r="BC28" i="25"/>
  <c r="BB28" i="25"/>
  <c r="BA28" i="25"/>
  <c r="AZ28" i="25"/>
  <c r="AY28" i="25"/>
  <c r="AX28" i="25"/>
  <c r="AW28" i="25"/>
  <c r="AW30" i="25" s="1"/>
  <c r="AV28" i="25"/>
  <c r="AV30" i="25" s="1"/>
  <c r="AU28" i="25"/>
  <c r="AT28" i="25"/>
  <c r="AS28" i="25"/>
  <c r="AR28" i="25"/>
  <c r="AR30" i="25" s="1"/>
  <c r="AQ28" i="25"/>
  <c r="AQ30" i="25" s="1"/>
  <c r="AP28" i="25"/>
  <c r="AO28" i="25"/>
  <c r="AN28" i="25"/>
  <c r="AM28" i="25"/>
  <c r="AL28" i="25"/>
  <c r="AK28" i="25"/>
  <c r="AJ28" i="25"/>
  <c r="AI28" i="25"/>
  <c r="AH28" i="25"/>
  <c r="AG28" i="25"/>
  <c r="AG30" i="25" s="1"/>
  <c r="AF28" i="25"/>
  <c r="AF30" i="25" s="1"/>
  <c r="AE28" i="25"/>
  <c r="AD28" i="25"/>
  <c r="AC28" i="25"/>
  <c r="AB28" i="25"/>
  <c r="AB30" i="25" s="1"/>
  <c r="AA28" i="25"/>
  <c r="AA30" i="25" s="1"/>
  <c r="Z28" i="25"/>
  <c r="Y28" i="25"/>
  <c r="X28" i="25"/>
  <c r="W28" i="25"/>
  <c r="V28" i="25"/>
  <c r="U28" i="25"/>
  <c r="T28" i="25"/>
  <c r="S28" i="25"/>
  <c r="BP27" i="25"/>
  <c r="BP30" i="25" s="1"/>
  <c r="BO27" i="25"/>
  <c r="BO30" i="25" s="1"/>
  <c r="BN27" i="25"/>
  <c r="BN30" i="25" s="1"/>
  <c r="BM27" i="25"/>
  <c r="BL27" i="25"/>
  <c r="BK27" i="25"/>
  <c r="BJ27" i="25"/>
  <c r="BJ30" i="25" s="1"/>
  <c r="BI27" i="25"/>
  <c r="BI30" i="25" s="1"/>
  <c r="BH27" i="25"/>
  <c r="BG27" i="25"/>
  <c r="BF27" i="25"/>
  <c r="BE27" i="25"/>
  <c r="BD27" i="25"/>
  <c r="BC27" i="25"/>
  <c r="BB27" i="25"/>
  <c r="BB30" i="25" s="1"/>
  <c r="BA27" i="25"/>
  <c r="BA30" i="25" s="1"/>
  <c r="AZ27" i="25"/>
  <c r="AZ30" i="25" s="1"/>
  <c r="AY27" i="25"/>
  <c r="AY30" i="25" s="1"/>
  <c r="AX27" i="25"/>
  <c r="AX30" i="25" s="1"/>
  <c r="AW27" i="25"/>
  <c r="AV27" i="25"/>
  <c r="AU27" i="25"/>
  <c r="AT27" i="25"/>
  <c r="AT30" i="25" s="1"/>
  <c r="AS27" i="25"/>
  <c r="AS30" i="25" s="1"/>
  <c r="AR27" i="25"/>
  <c r="AQ27" i="25"/>
  <c r="AP27" i="25"/>
  <c r="AO27" i="25"/>
  <c r="AN27" i="25"/>
  <c r="AM27" i="25"/>
  <c r="AL27" i="25"/>
  <c r="AL30" i="25" s="1"/>
  <c r="AK27" i="25"/>
  <c r="AK30" i="25" s="1"/>
  <c r="AJ27" i="25"/>
  <c r="AJ30" i="25" s="1"/>
  <c r="AI27" i="25"/>
  <c r="AI30" i="25" s="1"/>
  <c r="AH27" i="25"/>
  <c r="AH30" i="25" s="1"/>
  <c r="AG27" i="25"/>
  <c r="AF27" i="25"/>
  <c r="AE27" i="25"/>
  <c r="AD27" i="25"/>
  <c r="AD30" i="25" s="1"/>
  <c r="AC27" i="25"/>
  <c r="AC30" i="25" s="1"/>
  <c r="AB27" i="25"/>
  <c r="AA27" i="25"/>
  <c r="Z27" i="25"/>
  <c r="Y27" i="25"/>
  <c r="X27" i="25"/>
  <c r="W27" i="25"/>
  <c r="V27" i="25"/>
  <c r="V30" i="25" s="1"/>
  <c r="U27" i="25"/>
  <c r="U30" i="25" s="1"/>
  <c r="T27" i="25"/>
  <c r="T30" i="25" s="1"/>
  <c r="S27" i="25"/>
  <c r="S30" i="25" s="1"/>
  <c r="BP7" i="25"/>
  <c r="BO7" i="25"/>
  <c r="AZ7" i="25"/>
  <c r="AY7" i="25"/>
  <c r="AJ7" i="25"/>
  <c r="T7" i="25"/>
  <c r="S9" i="25"/>
  <c r="BI7" i="25"/>
  <c r="BH7" i="25"/>
  <c r="BD7" i="25"/>
  <c r="BC7" i="25"/>
  <c r="BB7" i="25"/>
  <c r="BA7" i="25"/>
  <c r="AS7" i="25"/>
  <c r="AR7" i="25"/>
  <c r="AN7" i="25"/>
  <c r="AM7" i="25"/>
  <c r="AL7" i="25"/>
  <c r="AK7" i="25"/>
  <c r="AI7" i="25"/>
  <c r="AC7" i="25"/>
  <c r="AB7" i="25"/>
  <c r="X7" i="25"/>
  <c r="W7" i="25"/>
  <c r="V7" i="25"/>
  <c r="U7" i="25"/>
  <c r="S8" i="25"/>
  <c r="S7" i="25" s="1"/>
  <c r="BN7" i="25"/>
  <c r="BM7" i="25"/>
  <c r="BL7" i="25"/>
  <c r="BK7" i="25"/>
  <c r="BJ7" i="25"/>
  <c r="BG7" i="25"/>
  <c r="BF7" i="25"/>
  <c r="BE7" i="25"/>
  <c r="AX7" i="25"/>
  <c r="AW7" i="25"/>
  <c r="AV7" i="25"/>
  <c r="AU7" i="25"/>
  <c r="AT7" i="25"/>
  <c r="AQ7" i="25"/>
  <c r="AP7" i="25"/>
  <c r="AO7" i="25"/>
  <c r="AH7" i="25"/>
  <c r="AG7" i="25"/>
  <c r="AF7" i="25"/>
  <c r="AE7" i="25"/>
  <c r="AD7" i="25"/>
  <c r="AA7" i="25"/>
  <c r="Z7" i="25"/>
  <c r="Y7" i="25"/>
  <c r="S115" i="24"/>
  <c r="R115" i="24"/>
  <c r="Q115" i="24"/>
  <c r="P115" i="24"/>
  <c r="O115" i="24"/>
  <c r="N115" i="24"/>
  <c r="S114" i="24"/>
  <c r="R114" i="24"/>
  <c r="Q114" i="24"/>
  <c r="P114" i="24"/>
  <c r="O114" i="24"/>
  <c r="N114" i="24"/>
  <c r="O111" i="24"/>
  <c r="R110" i="24"/>
  <c r="O110" i="24"/>
  <c r="N110" i="24"/>
  <c r="S110" i="24" s="1"/>
  <c r="BP109" i="24"/>
  <c r="BM109" i="24"/>
  <c r="BK109" i="24"/>
  <c r="BJ109" i="24"/>
  <c r="BG109" i="24"/>
  <c r="BF109" i="24"/>
  <c r="AZ109" i="24"/>
  <c r="AW109" i="24"/>
  <c r="AU109" i="24"/>
  <c r="AT109" i="24"/>
  <c r="AQ109" i="24"/>
  <c r="AP109" i="24"/>
  <c r="AM109" i="24"/>
  <c r="AL109" i="24"/>
  <c r="AJ109" i="24"/>
  <c r="AG109" i="24"/>
  <c r="AE109" i="24"/>
  <c r="AD109" i="24"/>
  <c r="AA109" i="24"/>
  <c r="Z109" i="24"/>
  <c r="T109" i="24"/>
  <c r="Q109" i="24"/>
  <c r="O109" i="24"/>
  <c r="R108" i="24"/>
  <c r="Q108" i="24"/>
  <c r="Q111" i="24" s="1"/>
  <c r="N108" i="24"/>
  <c r="N107" i="24"/>
  <c r="R106" i="24"/>
  <c r="R107" i="24" s="1"/>
  <c r="Q106" i="24"/>
  <c r="Q107" i="24" s="1"/>
  <c r="Q112" i="24" s="1"/>
  <c r="N106" i="24"/>
  <c r="S99" i="24"/>
  <c r="S98" i="24"/>
  <c r="R97" i="24"/>
  <c r="Q97" i="24"/>
  <c r="Q96" i="24" s="1"/>
  <c r="P97" i="24"/>
  <c r="P96" i="24" s="1"/>
  <c r="P80" i="24" s="1"/>
  <c r="O97" i="24"/>
  <c r="N97" i="24"/>
  <c r="R96" i="24"/>
  <c r="N96" i="24"/>
  <c r="S95" i="24"/>
  <c r="S94" i="24"/>
  <c r="S93" i="24"/>
  <c r="AH92" i="24"/>
  <c r="AF92" i="24"/>
  <c r="AD92" i="24"/>
  <c r="AD90" i="24" s="1"/>
  <c r="S92" i="24"/>
  <c r="Y91" i="24"/>
  <c r="S91" i="24"/>
  <c r="BQ90" i="24"/>
  <c r="BP90" i="24"/>
  <c r="BO90" i="24"/>
  <c r="BN90" i="24"/>
  <c r="BM90" i="24"/>
  <c r="BL90" i="24"/>
  <c r="BK90" i="24"/>
  <c r="BJ90" i="24"/>
  <c r="BI90" i="24"/>
  <c r="BH90" i="24"/>
  <c r="BG90" i="24"/>
  <c r="BF90" i="24"/>
  <c r="BE90" i="24"/>
  <c r="BD90" i="24"/>
  <c r="BC90" i="24"/>
  <c r="BB90" i="24"/>
  <c r="BA90" i="24"/>
  <c r="AZ90" i="24"/>
  <c r="AY90" i="24"/>
  <c r="AX90" i="24"/>
  <c r="AW90" i="24"/>
  <c r="AV90" i="24"/>
  <c r="AU90" i="24"/>
  <c r="AT90" i="24"/>
  <c r="AS90" i="24"/>
  <c r="AR90" i="24"/>
  <c r="AQ90" i="24"/>
  <c r="AP90" i="24"/>
  <c r="AO90" i="24"/>
  <c r="AN90" i="24"/>
  <c r="AM90" i="24"/>
  <c r="AL90" i="24"/>
  <c r="AK90" i="24"/>
  <c r="AJ90" i="24"/>
  <c r="AG90" i="24"/>
  <c r="Y90" i="24"/>
  <c r="X90" i="24"/>
  <c r="W90" i="24"/>
  <c r="V90" i="24"/>
  <c r="U90" i="24"/>
  <c r="T90" i="24"/>
  <c r="S90" i="24"/>
  <c r="R90" i="24"/>
  <c r="Q90" i="24"/>
  <c r="P90" i="24"/>
  <c r="O90" i="24"/>
  <c r="N90" i="24"/>
  <c r="S89" i="24"/>
  <c r="BQ88" i="24"/>
  <c r="BQ86" i="24" s="1"/>
  <c r="BP88" i="24"/>
  <c r="BP86" i="24" s="1"/>
  <c r="BO88" i="24"/>
  <c r="BN88" i="24"/>
  <c r="BM88" i="24"/>
  <c r="BM86" i="24" s="1"/>
  <c r="BL88" i="24"/>
  <c r="BK88" i="24"/>
  <c r="BK86" i="24" s="1"/>
  <c r="BJ88" i="24"/>
  <c r="BI88" i="24"/>
  <c r="BH88" i="24"/>
  <c r="BG88" i="24"/>
  <c r="BF88" i="24"/>
  <c r="BE88" i="24"/>
  <c r="BD88" i="24"/>
  <c r="BC88" i="24"/>
  <c r="BB88" i="24"/>
  <c r="BA88" i="24"/>
  <c r="AZ88" i="24"/>
  <c r="AZ86" i="24" s="1"/>
  <c r="AY88" i="24"/>
  <c r="AX88" i="24"/>
  <c r="AW88" i="24"/>
  <c r="AW86" i="24" s="1"/>
  <c r="AV88" i="24"/>
  <c r="AU88" i="24"/>
  <c r="AU86" i="24" s="1"/>
  <c r="AT88" i="24"/>
  <c r="AT86" i="24" s="1"/>
  <c r="AS88" i="24"/>
  <c r="AR88" i="24"/>
  <c r="AR86" i="24" s="1"/>
  <c r="AQ88" i="24"/>
  <c r="AP88" i="24"/>
  <c r="AO88" i="24"/>
  <c r="AN88" i="24"/>
  <c r="AM88" i="24"/>
  <c r="AL88" i="24"/>
  <c r="AK88" i="24"/>
  <c r="AK86" i="24" s="1"/>
  <c r="AJ88" i="24"/>
  <c r="AJ86" i="24" s="1"/>
  <c r="AI88" i="24"/>
  <c r="AI86" i="24" s="1"/>
  <c r="AH88" i="24"/>
  <c r="AG88" i="24"/>
  <c r="AG86" i="24" s="1"/>
  <c r="AF88" i="24"/>
  <c r="AE88" i="24"/>
  <c r="AE86" i="24" s="1"/>
  <c r="AD88" i="24"/>
  <c r="AD86" i="24" s="1"/>
  <c r="AC88" i="24"/>
  <c r="AB88" i="24"/>
  <c r="AB86" i="24" s="1"/>
  <c r="AA88" i="24"/>
  <c r="Z88" i="24"/>
  <c r="Y88" i="24"/>
  <c r="X88" i="24"/>
  <c r="W88" i="24"/>
  <c r="V88" i="24"/>
  <c r="U88" i="24"/>
  <c r="T88" i="24"/>
  <c r="T86" i="24" s="1"/>
  <c r="S88" i="24"/>
  <c r="S87" i="24"/>
  <c r="BO86" i="24"/>
  <c r="BN86" i="24"/>
  <c r="BL86" i="24"/>
  <c r="BJ86" i="24"/>
  <c r="BI86" i="24"/>
  <c r="BH86" i="24"/>
  <c r="BG86" i="24"/>
  <c r="BF86" i="24"/>
  <c r="BE86" i="24"/>
  <c r="BD86" i="24"/>
  <c r="BC86" i="24"/>
  <c r="BB86" i="24"/>
  <c r="BA86" i="24"/>
  <c r="AY86" i="24"/>
  <c r="AX86" i="24"/>
  <c r="AV86" i="24"/>
  <c r="AS86" i="24"/>
  <c r="AQ86" i="24"/>
  <c r="AP86" i="24"/>
  <c r="AO86" i="24"/>
  <c r="AN86" i="24"/>
  <c r="AM86" i="24"/>
  <c r="AL86" i="24"/>
  <c r="AH86" i="24"/>
  <c r="AF86" i="24"/>
  <c r="AC86" i="24"/>
  <c r="AA86" i="24"/>
  <c r="Z86" i="24"/>
  <c r="Y86" i="24"/>
  <c r="X86" i="24"/>
  <c r="W86" i="24"/>
  <c r="V86" i="24"/>
  <c r="U86" i="24"/>
  <c r="R86" i="24"/>
  <c r="Q86" i="24"/>
  <c r="P86" i="24"/>
  <c r="O86" i="24"/>
  <c r="N86" i="24"/>
  <c r="S86" i="24" s="1"/>
  <c r="BQ85" i="24"/>
  <c r="BP85" i="24"/>
  <c r="BO85" i="24"/>
  <c r="BN85" i="24"/>
  <c r="BM85" i="24"/>
  <c r="BL85" i="24"/>
  <c r="BK85" i="24"/>
  <c r="BK74" i="24" s="1"/>
  <c r="BK73" i="24" s="1"/>
  <c r="BJ85" i="24"/>
  <c r="BI85" i="24"/>
  <c r="BH85" i="24"/>
  <c r="BG85" i="24"/>
  <c r="BF85" i="24"/>
  <c r="BE85" i="24"/>
  <c r="BD85" i="24"/>
  <c r="BC85" i="24"/>
  <c r="BB85" i="24"/>
  <c r="BA85" i="24"/>
  <c r="AZ85" i="24"/>
  <c r="AY85" i="24"/>
  <c r="AX85" i="24"/>
  <c r="AW85" i="24"/>
  <c r="AV85" i="24"/>
  <c r="AU85" i="24"/>
  <c r="AU74" i="24" s="1"/>
  <c r="AU73" i="24" s="1"/>
  <c r="AT85" i="24"/>
  <c r="AS85" i="24"/>
  <c r="AR85" i="24"/>
  <c r="AQ85" i="24"/>
  <c r="AP85" i="24"/>
  <c r="AO85" i="24"/>
  <c r="AN85" i="24"/>
  <c r="AM85" i="24"/>
  <c r="AL85" i="24"/>
  <c r="AK85" i="24"/>
  <c r="AJ85" i="24"/>
  <c r="AI85" i="24"/>
  <c r="AH85" i="24"/>
  <c r="AG85" i="24"/>
  <c r="AF85" i="24"/>
  <c r="AE85" i="24"/>
  <c r="AD85" i="24"/>
  <c r="AC85" i="24"/>
  <c r="AB85" i="24"/>
  <c r="AA85" i="24"/>
  <c r="Z85" i="24"/>
  <c r="Y85" i="24"/>
  <c r="X85" i="24"/>
  <c r="W85" i="24"/>
  <c r="V85" i="24"/>
  <c r="U85" i="24"/>
  <c r="T85" i="24"/>
  <c r="S85" i="24"/>
  <c r="BQ84" i="24"/>
  <c r="BQ82" i="24" s="1"/>
  <c r="BP84" i="24"/>
  <c r="BO84" i="24"/>
  <c r="BO82" i="24" s="1"/>
  <c r="BN84" i="24"/>
  <c r="BN82" i="24" s="1"/>
  <c r="BM84" i="24"/>
  <c r="BM82" i="24" s="1"/>
  <c r="BL84" i="24"/>
  <c r="BL82" i="24" s="1"/>
  <c r="BL81" i="24" s="1"/>
  <c r="BK84" i="24"/>
  <c r="BJ84" i="24"/>
  <c r="BJ82" i="24" s="1"/>
  <c r="BJ74" i="24" s="1"/>
  <c r="BJ73" i="24" s="1"/>
  <c r="BI84" i="24"/>
  <c r="BI82" i="24" s="1"/>
  <c r="BH84" i="24"/>
  <c r="BG84" i="24"/>
  <c r="BF84" i="24"/>
  <c r="BE84" i="24"/>
  <c r="BE82" i="24" s="1"/>
  <c r="BD84" i="24"/>
  <c r="BD82" i="24" s="1"/>
  <c r="BC84" i="24"/>
  <c r="BB84" i="24"/>
  <c r="BA84" i="24"/>
  <c r="BA82" i="24" s="1"/>
  <c r="AZ84" i="24"/>
  <c r="AY84" i="24"/>
  <c r="AY82" i="24" s="1"/>
  <c r="AX84" i="24"/>
  <c r="AX82" i="24" s="1"/>
  <c r="AW84" i="24"/>
  <c r="AV84" i="24"/>
  <c r="AV82" i="24" s="1"/>
  <c r="AV81" i="24" s="1"/>
  <c r="AU84" i="24"/>
  <c r="AT84" i="24"/>
  <c r="AT82" i="24" s="1"/>
  <c r="AS84" i="24"/>
  <c r="AS82" i="24" s="1"/>
  <c r="AR84" i="24"/>
  <c r="AQ84" i="24"/>
  <c r="AP84" i="24"/>
  <c r="AO84" i="24"/>
  <c r="AO82" i="24" s="1"/>
  <c r="AN84" i="24"/>
  <c r="AN82" i="24" s="1"/>
  <c r="AM84" i="24"/>
  <c r="AL84" i="24"/>
  <c r="AK84" i="24"/>
  <c r="AK82" i="24" s="1"/>
  <c r="AJ84" i="24"/>
  <c r="AJ82" i="24" s="1"/>
  <c r="AI84" i="24"/>
  <c r="AI82" i="24" s="1"/>
  <c r="AI81" i="24" s="1"/>
  <c r="AH84" i="24"/>
  <c r="AH82" i="24" s="1"/>
  <c r="AG84" i="24"/>
  <c r="AF84" i="24"/>
  <c r="AE84" i="24"/>
  <c r="AD84" i="24"/>
  <c r="AC84" i="24"/>
  <c r="AC82" i="24" s="1"/>
  <c r="AC81" i="24" s="1"/>
  <c r="AB84" i="24"/>
  <c r="AA84" i="24"/>
  <c r="Z84" i="24"/>
  <c r="Y84" i="24"/>
  <c r="Y82" i="24" s="1"/>
  <c r="X84" i="24"/>
  <c r="X82" i="24" s="1"/>
  <c r="W84" i="24"/>
  <c r="V84" i="24"/>
  <c r="U84" i="24"/>
  <c r="U82" i="24" s="1"/>
  <c r="T84" i="24"/>
  <c r="Q84" i="24"/>
  <c r="Q82" i="24" s="1"/>
  <c r="Q81" i="24" s="1"/>
  <c r="P84" i="24"/>
  <c r="P82" i="24" s="1"/>
  <c r="P81" i="24" s="1"/>
  <c r="S83" i="24"/>
  <c r="BP82" i="24"/>
  <c r="BP81" i="24" s="1"/>
  <c r="BK82" i="24"/>
  <c r="BH82" i="24"/>
  <c r="BG82" i="24"/>
  <c r="BF82" i="24"/>
  <c r="BC82" i="24"/>
  <c r="BB82" i="24"/>
  <c r="AZ82" i="24"/>
  <c r="AZ74" i="24" s="1"/>
  <c r="AZ73" i="24" s="1"/>
  <c r="AW82" i="24"/>
  <c r="AU82" i="24"/>
  <c r="AR82" i="24"/>
  <c r="AR74" i="24" s="1"/>
  <c r="AQ82" i="24"/>
  <c r="AQ81" i="24" s="1"/>
  <c r="AP82" i="24"/>
  <c r="AM82" i="24"/>
  <c r="AL82" i="24"/>
  <c r="AG82" i="24"/>
  <c r="AG81" i="24" s="1"/>
  <c r="AF82" i="24"/>
  <c r="AF81" i="24" s="1"/>
  <c r="AE82" i="24"/>
  <c r="AD82" i="24"/>
  <c r="AD81" i="24" s="1"/>
  <c r="AB82" i="24"/>
  <c r="AA82" i="24"/>
  <c r="AA81" i="24" s="1"/>
  <c r="Z82" i="24"/>
  <c r="W82" i="24"/>
  <c r="W81" i="24" s="1"/>
  <c r="V82" i="24"/>
  <c r="T82" i="24"/>
  <c r="BO81" i="24"/>
  <c r="BN81" i="24"/>
  <c r="BK81" i="24"/>
  <c r="BD81" i="24"/>
  <c r="BA81" i="24"/>
  <c r="AU81" i="24"/>
  <c r="AR81" i="24"/>
  <c r="AN81" i="24"/>
  <c r="AH81" i="24"/>
  <c r="AE81" i="24"/>
  <c r="AB81" i="24"/>
  <c r="Z81" i="24"/>
  <c r="X81" i="24"/>
  <c r="V81" i="24"/>
  <c r="T81" i="24"/>
  <c r="S79" i="24"/>
  <c r="S78" i="24"/>
  <c r="AH77" i="24"/>
  <c r="AG77" i="24"/>
  <c r="AE77" i="24"/>
  <c r="S77" i="24"/>
  <c r="T76" i="24"/>
  <c r="S76" i="24"/>
  <c r="R76" i="24"/>
  <c r="R73" i="24" s="1"/>
  <c r="Q76" i="24"/>
  <c r="Q73" i="24" s="1"/>
  <c r="P76" i="24"/>
  <c r="O76" i="24"/>
  <c r="O73" i="24" s="1"/>
  <c r="N76" i="24"/>
  <c r="AI75" i="24"/>
  <c r="AH75" i="24"/>
  <c r="AG75" i="24"/>
  <c r="AG92" i="24" s="1"/>
  <c r="AG74" i="24" s="1"/>
  <c r="AG73" i="24" s="1"/>
  <c r="AF75" i="24"/>
  <c r="AF77" i="24" s="1"/>
  <c r="AE75" i="24"/>
  <c r="AD75" i="24"/>
  <c r="AD77" i="24" s="1"/>
  <c r="AC75" i="24"/>
  <c r="AC77" i="24" s="1"/>
  <c r="AC92" i="24" s="1"/>
  <c r="AC90" i="24" s="1"/>
  <c r="AB75" i="24"/>
  <c r="AA75" i="24"/>
  <c r="Z75" i="24"/>
  <c r="S75" i="24"/>
  <c r="BP74" i="24"/>
  <c r="BP73" i="24" s="1"/>
  <c r="BO74" i="24"/>
  <c r="BO73" i="24" s="1"/>
  <c r="BN74" i="24"/>
  <c r="BN73" i="24" s="1"/>
  <c r="BL74" i="24"/>
  <c r="BL73" i="24" s="1"/>
  <c r="BD74" i="24"/>
  <c r="BA74" i="24"/>
  <c r="BA73" i="24" s="1"/>
  <c r="AN74" i="24"/>
  <c r="AC74" i="24"/>
  <c r="AC73" i="24" s="1"/>
  <c r="X74" i="24"/>
  <c r="X73" i="24" s="1"/>
  <c r="W74" i="24"/>
  <c r="W73" i="24" s="1"/>
  <c r="T74" i="24"/>
  <c r="T73" i="24" s="1"/>
  <c r="S74" i="24"/>
  <c r="BD73" i="24"/>
  <c r="AR73" i="24"/>
  <c r="AN73" i="24"/>
  <c r="P73" i="24"/>
  <c r="N73" i="24"/>
  <c r="R68" i="24"/>
  <c r="Q68" i="24"/>
  <c r="P68" i="24"/>
  <c r="P106" i="24" s="1"/>
  <c r="P107" i="24" s="1"/>
  <c r="O68" i="24"/>
  <c r="O106" i="24" s="1"/>
  <c r="O107" i="24" s="1"/>
  <c r="O112" i="24" s="1"/>
  <c r="N68" i="24"/>
  <c r="S67" i="24"/>
  <c r="R67" i="24"/>
  <c r="Q67" i="24"/>
  <c r="P67" i="24"/>
  <c r="O67" i="24"/>
  <c r="N67" i="24"/>
  <c r="S66" i="24"/>
  <c r="R66" i="24"/>
  <c r="Q66" i="24"/>
  <c r="P66" i="24"/>
  <c r="O66" i="24"/>
  <c r="N66" i="24"/>
  <c r="S65" i="24"/>
  <c r="R65" i="24"/>
  <c r="Q65" i="24"/>
  <c r="P65" i="24"/>
  <c r="O65" i="24"/>
  <c r="N65" i="24"/>
  <c r="S64" i="24"/>
  <c r="R64" i="24"/>
  <c r="Q64" i="24"/>
  <c r="P64" i="24"/>
  <c r="O64" i="24"/>
  <c r="N64" i="24"/>
  <c r="BQ63" i="24"/>
  <c r="BP63" i="24"/>
  <c r="BO63" i="24"/>
  <c r="BN63" i="24"/>
  <c r="BM63" i="24"/>
  <c r="BL63" i="24"/>
  <c r="BK63" i="24"/>
  <c r="BJ63" i="24"/>
  <c r="BI63" i="24"/>
  <c r="BH63" i="24"/>
  <c r="BG63" i="24"/>
  <c r="BF63" i="24"/>
  <c r="BE63" i="24"/>
  <c r="BD63" i="24"/>
  <c r="BC63" i="24"/>
  <c r="BB63" i="24"/>
  <c r="BA63" i="24"/>
  <c r="AZ63" i="24"/>
  <c r="AY63" i="24"/>
  <c r="AX63" i="24"/>
  <c r="AW63" i="24"/>
  <c r="AV63" i="24"/>
  <c r="AU63" i="24"/>
  <c r="AT63" i="24"/>
  <c r="AS63" i="24"/>
  <c r="AR63" i="24"/>
  <c r="AQ63" i="24"/>
  <c r="AP63" i="24"/>
  <c r="AO63" i="24"/>
  <c r="AN63" i="24"/>
  <c r="AM63" i="24"/>
  <c r="AL63" i="24"/>
  <c r="AK63" i="24"/>
  <c r="AJ63" i="24"/>
  <c r="AI63" i="24"/>
  <c r="AH63" i="24"/>
  <c r="AG63" i="24"/>
  <c r="AF63" i="24"/>
  <c r="AE63" i="24"/>
  <c r="AD63" i="24"/>
  <c r="AC63" i="24"/>
  <c r="AB63" i="24"/>
  <c r="AA63" i="24"/>
  <c r="Z63" i="24"/>
  <c r="Y63" i="24"/>
  <c r="X63" i="24"/>
  <c r="W63" i="24"/>
  <c r="V63" i="24"/>
  <c r="U63" i="24"/>
  <c r="T63" i="24"/>
  <c r="S63" i="24"/>
  <c r="R63" i="24"/>
  <c r="Q63" i="24"/>
  <c r="P63" i="24"/>
  <c r="O63" i="24"/>
  <c r="N63" i="24"/>
  <c r="T62" i="24"/>
  <c r="S62" i="24"/>
  <c r="R62" i="24"/>
  <c r="Q62" i="24"/>
  <c r="P62" i="24"/>
  <c r="O62" i="24"/>
  <c r="N62" i="24"/>
  <c r="S61" i="24"/>
  <c r="R61" i="24"/>
  <c r="Q61" i="24"/>
  <c r="P61" i="24"/>
  <c r="O61" i="24"/>
  <c r="N61" i="24"/>
  <c r="S60" i="24"/>
  <c r="R60" i="24"/>
  <c r="Q60" i="24"/>
  <c r="P60" i="24"/>
  <c r="O60" i="24"/>
  <c r="N60" i="24"/>
  <c r="S59" i="24"/>
  <c r="R59" i="24"/>
  <c r="Q59" i="24"/>
  <c r="P59" i="24"/>
  <c r="O59" i="24"/>
  <c r="N59" i="24"/>
  <c r="S58" i="24"/>
  <c r="R58" i="24"/>
  <c r="Q58" i="24"/>
  <c r="P58" i="24"/>
  <c r="O58" i="24"/>
  <c r="N58" i="24"/>
  <c r="S57" i="24"/>
  <c r="R57" i="24"/>
  <c r="Q57" i="24"/>
  <c r="P57" i="24"/>
  <c r="O57" i="24"/>
  <c r="N57" i="24"/>
  <c r="S56" i="24"/>
  <c r="R56" i="24"/>
  <c r="Q56" i="24"/>
  <c r="P56" i="24"/>
  <c r="O56" i="24"/>
  <c r="N56" i="24"/>
  <c r="BQ55" i="24"/>
  <c r="BQ109" i="24" s="1"/>
  <c r="BP55" i="24"/>
  <c r="BO55" i="24"/>
  <c r="BO109" i="24" s="1"/>
  <c r="BN55" i="24"/>
  <c r="BN109" i="24" s="1"/>
  <c r="BM55" i="24"/>
  <c r="BL55" i="24"/>
  <c r="BL109" i="24" s="1"/>
  <c r="BK55" i="24"/>
  <c r="BJ55" i="24"/>
  <c r="BI55" i="24"/>
  <c r="BI109" i="24" s="1"/>
  <c r="BH55" i="24"/>
  <c r="BH109" i="24" s="1"/>
  <c r="BG55" i="24"/>
  <c r="BF55" i="24"/>
  <c r="BE55" i="24"/>
  <c r="BE109" i="24" s="1"/>
  <c r="BD55" i="24"/>
  <c r="BD109" i="24" s="1"/>
  <c r="BC55" i="24"/>
  <c r="BC109" i="24" s="1"/>
  <c r="BB55" i="24"/>
  <c r="BB109" i="24" s="1"/>
  <c r="BA55" i="24"/>
  <c r="BA109" i="24" s="1"/>
  <c r="AZ55" i="24"/>
  <c r="AY55" i="24"/>
  <c r="AY109" i="24" s="1"/>
  <c r="AX55" i="24"/>
  <c r="AX109" i="24" s="1"/>
  <c r="AW55" i="24"/>
  <c r="AV55" i="24"/>
  <c r="AV109" i="24" s="1"/>
  <c r="AU55" i="24"/>
  <c r="AT55" i="24"/>
  <c r="AS55" i="24"/>
  <c r="AS109" i="24" s="1"/>
  <c r="AR55" i="24"/>
  <c r="AR109" i="24" s="1"/>
  <c r="AQ55" i="24"/>
  <c r="AP55" i="24"/>
  <c r="AO55" i="24"/>
  <c r="AO109" i="24" s="1"/>
  <c r="AN55" i="24"/>
  <c r="AN109" i="24" s="1"/>
  <c r="AM55" i="24"/>
  <c r="AL55" i="24"/>
  <c r="AK55" i="24"/>
  <c r="AK109" i="24" s="1"/>
  <c r="AJ55" i="24"/>
  <c r="AI55" i="24"/>
  <c r="AI109" i="24" s="1"/>
  <c r="AH55" i="24"/>
  <c r="AH109" i="24" s="1"/>
  <c r="AG55" i="24"/>
  <c r="AF55" i="24"/>
  <c r="AF109" i="24" s="1"/>
  <c r="AE55" i="24"/>
  <c r="AD55" i="24"/>
  <c r="AC55" i="24"/>
  <c r="AC109" i="24" s="1"/>
  <c r="AB55" i="24"/>
  <c r="AB109" i="24" s="1"/>
  <c r="AA55" i="24"/>
  <c r="Z55" i="24"/>
  <c r="Y55" i="24"/>
  <c r="Y109" i="24" s="1"/>
  <c r="X55" i="24"/>
  <c r="X109" i="24" s="1"/>
  <c r="W55" i="24"/>
  <c r="W109" i="24" s="1"/>
  <c r="V55" i="24"/>
  <c r="V109" i="24" s="1"/>
  <c r="U55" i="24"/>
  <c r="U109" i="24" s="1"/>
  <c r="T55" i="24"/>
  <c r="S55" i="24"/>
  <c r="R55" i="24"/>
  <c r="R109" i="24" s="1"/>
  <c r="Q55" i="24"/>
  <c r="P55" i="24"/>
  <c r="P109" i="24" s="1"/>
  <c r="O55" i="24"/>
  <c r="N55" i="24"/>
  <c r="N109" i="24" s="1"/>
  <c r="T54" i="24"/>
  <c r="T52" i="24" s="1"/>
  <c r="T108" i="24" s="1"/>
  <c r="S54" i="24"/>
  <c r="R54" i="24"/>
  <c r="Q54" i="24"/>
  <c r="P54" i="24"/>
  <c r="O54" i="24"/>
  <c r="N54" i="24"/>
  <c r="S53" i="24"/>
  <c r="R53" i="24"/>
  <c r="Q53" i="24"/>
  <c r="P53" i="24"/>
  <c r="O53" i="24"/>
  <c r="N53" i="24"/>
  <c r="S52" i="24"/>
  <c r="R52" i="24"/>
  <c r="Q52" i="24"/>
  <c r="P52" i="24"/>
  <c r="P108" i="24" s="1"/>
  <c r="O52" i="24"/>
  <c r="O108" i="24" s="1"/>
  <c r="N52" i="24"/>
  <c r="BF51" i="24"/>
  <c r="BG51" i="24" s="1"/>
  <c r="BH51" i="24" s="1"/>
  <c r="BI51" i="24" s="1"/>
  <c r="BJ51" i="24" s="1"/>
  <c r="BK51" i="24" s="1"/>
  <c r="BL51" i="24" s="1"/>
  <c r="BM51" i="24" s="1"/>
  <c r="BN51" i="24" s="1"/>
  <c r="BO51" i="24" s="1"/>
  <c r="BP51" i="24" s="1"/>
  <c r="BQ51" i="24" s="1"/>
  <c r="T51" i="24"/>
  <c r="U51" i="24" s="1"/>
  <c r="V51" i="24" s="1"/>
  <c r="W51" i="24" s="1"/>
  <c r="X51" i="24" s="1"/>
  <c r="Y51" i="24" s="1"/>
  <c r="Z51" i="24" s="1"/>
  <c r="AA51" i="24" s="1"/>
  <c r="AB51" i="24" s="1"/>
  <c r="AC51" i="24" s="1"/>
  <c r="AD51" i="24" s="1"/>
  <c r="AE51" i="24" s="1"/>
  <c r="AF51" i="24" s="1"/>
  <c r="AG51" i="24" s="1"/>
  <c r="AH51" i="24" s="1"/>
  <c r="AI51" i="24" s="1"/>
  <c r="AJ51" i="24" s="1"/>
  <c r="AK51" i="24" s="1"/>
  <c r="AL51" i="24" s="1"/>
  <c r="AM51" i="24" s="1"/>
  <c r="AN51" i="24" s="1"/>
  <c r="AO51" i="24" s="1"/>
  <c r="AP51" i="24" s="1"/>
  <c r="AQ51" i="24" s="1"/>
  <c r="AR51" i="24" s="1"/>
  <c r="AS51" i="24" s="1"/>
  <c r="AT51" i="24" s="1"/>
  <c r="AU51" i="24" s="1"/>
  <c r="AV51" i="24" s="1"/>
  <c r="AW51" i="24" s="1"/>
  <c r="AX51" i="24" s="1"/>
  <c r="AY51" i="24" s="1"/>
  <c r="AZ51" i="24" s="1"/>
  <c r="BA51" i="24" s="1"/>
  <c r="BB51" i="24" s="1"/>
  <c r="BC51" i="24" s="1"/>
  <c r="BD51" i="24" s="1"/>
  <c r="BE51" i="24" s="1"/>
  <c r="S51" i="24"/>
  <c r="R51" i="24"/>
  <c r="Q51" i="24"/>
  <c r="P51" i="24"/>
  <c r="O51" i="24"/>
  <c r="N51" i="24"/>
  <c r="U50" i="24"/>
  <c r="V50" i="24" s="1"/>
  <c r="W50" i="24" s="1"/>
  <c r="X50" i="24" s="1"/>
  <c r="Y50" i="24" s="1"/>
  <c r="Z50" i="24" s="1"/>
  <c r="AA50" i="24" s="1"/>
  <c r="AB50" i="24" s="1"/>
  <c r="AC50" i="24" s="1"/>
  <c r="AD50" i="24" s="1"/>
  <c r="AE50" i="24" s="1"/>
  <c r="AF50" i="24" s="1"/>
  <c r="AG50" i="24" s="1"/>
  <c r="AH50" i="24" s="1"/>
  <c r="AI50" i="24" s="1"/>
  <c r="AJ50" i="24" s="1"/>
  <c r="AK50" i="24" s="1"/>
  <c r="AL50" i="24" s="1"/>
  <c r="AM50" i="24" s="1"/>
  <c r="AN50" i="24" s="1"/>
  <c r="AO50" i="24" s="1"/>
  <c r="AP50" i="24" s="1"/>
  <c r="AQ50" i="24" s="1"/>
  <c r="AR50" i="24" s="1"/>
  <c r="AS50" i="24" s="1"/>
  <c r="AT50" i="24" s="1"/>
  <c r="AU50" i="24" s="1"/>
  <c r="AV50" i="24" s="1"/>
  <c r="AW50" i="24" s="1"/>
  <c r="AX50" i="24" s="1"/>
  <c r="AY50" i="24" s="1"/>
  <c r="AZ50" i="24" s="1"/>
  <c r="BA50" i="24" s="1"/>
  <c r="BB50" i="24" s="1"/>
  <c r="BC50" i="24" s="1"/>
  <c r="BD50" i="24" s="1"/>
  <c r="BE50" i="24" s="1"/>
  <c r="BF50" i="24" s="1"/>
  <c r="BG50" i="24" s="1"/>
  <c r="BH50" i="24" s="1"/>
  <c r="BI50" i="24" s="1"/>
  <c r="BJ50" i="24" s="1"/>
  <c r="BK50" i="24" s="1"/>
  <c r="BL50" i="24" s="1"/>
  <c r="BM50" i="24" s="1"/>
  <c r="BN50" i="24" s="1"/>
  <c r="BO50" i="24" s="1"/>
  <c r="BP50" i="24" s="1"/>
  <c r="BQ50" i="24" s="1"/>
  <c r="T50" i="24"/>
  <c r="S50" i="24"/>
  <c r="R50" i="24"/>
  <c r="Q50" i="24"/>
  <c r="P50" i="24"/>
  <c r="O50" i="24"/>
  <c r="N50" i="24"/>
  <c r="AC49" i="24"/>
  <c r="AD49" i="24" s="1"/>
  <c r="AE49" i="24" s="1"/>
  <c r="AF49" i="24" s="1"/>
  <c r="AG49" i="24" s="1"/>
  <c r="AH49" i="24" s="1"/>
  <c r="AI49" i="24" s="1"/>
  <c r="AJ49" i="24" s="1"/>
  <c r="AK49" i="24" s="1"/>
  <c r="AL49" i="24" s="1"/>
  <c r="AM49" i="24" s="1"/>
  <c r="AN49" i="24" s="1"/>
  <c r="AO49" i="24" s="1"/>
  <c r="AP49" i="24" s="1"/>
  <c r="AQ49" i="24" s="1"/>
  <c r="AR49" i="24" s="1"/>
  <c r="AS49" i="24" s="1"/>
  <c r="AT49" i="24" s="1"/>
  <c r="AU49" i="24" s="1"/>
  <c r="AV49" i="24" s="1"/>
  <c r="AW49" i="24" s="1"/>
  <c r="AX49" i="24" s="1"/>
  <c r="AY49" i="24" s="1"/>
  <c r="AZ49" i="24" s="1"/>
  <c r="BA49" i="24" s="1"/>
  <c r="BB49" i="24" s="1"/>
  <c r="BC49" i="24" s="1"/>
  <c r="BD49" i="24" s="1"/>
  <c r="BE49" i="24" s="1"/>
  <c r="BF49" i="24" s="1"/>
  <c r="BG49" i="24" s="1"/>
  <c r="BH49" i="24" s="1"/>
  <c r="BI49" i="24" s="1"/>
  <c r="BJ49" i="24" s="1"/>
  <c r="BK49" i="24" s="1"/>
  <c r="BL49" i="24" s="1"/>
  <c r="BM49" i="24" s="1"/>
  <c r="BN49" i="24" s="1"/>
  <c r="BO49" i="24" s="1"/>
  <c r="BP49" i="24" s="1"/>
  <c r="BQ49" i="24" s="1"/>
  <c r="AB49" i="24"/>
  <c r="T49" i="24"/>
  <c r="U49" i="24" s="1"/>
  <c r="V49" i="24" s="1"/>
  <c r="W49" i="24" s="1"/>
  <c r="X49" i="24" s="1"/>
  <c r="Y49" i="24" s="1"/>
  <c r="Z49" i="24" s="1"/>
  <c r="AA49" i="24" s="1"/>
  <c r="S49" i="24"/>
  <c r="R49" i="24"/>
  <c r="Q49" i="24"/>
  <c r="P49" i="24"/>
  <c r="O49" i="24"/>
  <c r="N49" i="24"/>
  <c r="T48" i="24"/>
  <c r="U48" i="24" s="1"/>
  <c r="V48" i="24" s="1"/>
  <c r="W48" i="24" s="1"/>
  <c r="X48" i="24" s="1"/>
  <c r="Y48" i="24" s="1"/>
  <c r="Z48" i="24" s="1"/>
  <c r="AA48" i="24" s="1"/>
  <c r="AB48" i="24" s="1"/>
  <c r="AC48" i="24" s="1"/>
  <c r="AD48" i="24" s="1"/>
  <c r="AE48" i="24" s="1"/>
  <c r="AF48" i="24" s="1"/>
  <c r="AG48" i="24" s="1"/>
  <c r="AH48" i="24" s="1"/>
  <c r="AI48" i="24" s="1"/>
  <c r="AJ48" i="24" s="1"/>
  <c r="AK48" i="24" s="1"/>
  <c r="AL48" i="24" s="1"/>
  <c r="AM48" i="24" s="1"/>
  <c r="AN48" i="24" s="1"/>
  <c r="AO48" i="24" s="1"/>
  <c r="AP48" i="24" s="1"/>
  <c r="AQ48" i="24" s="1"/>
  <c r="AR48" i="24" s="1"/>
  <c r="AS48" i="24" s="1"/>
  <c r="AT48" i="24" s="1"/>
  <c r="AU48" i="24" s="1"/>
  <c r="AV48" i="24" s="1"/>
  <c r="AW48" i="24" s="1"/>
  <c r="AX48" i="24" s="1"/>
  <c r="AY48" i="24" s="1"/>
  <c r="AZ48" i="24" s="1"/>
  <c r="BA48" i="24" s="1"/>
  <c r="BB48" i="24" s="1"/>
  <c r="BC48" i="24" s="1"/>
  <c r="BD48" i="24" s="1"/>
  <c r="BE48" i="24" s="1"/>
  <c r="BF48" i="24" s="1"/>
  <c r="BG48" i="24" s="1"/>
  <c r="BH48" i="24" s="1"/>
  <c r="BI48" i="24" s="1"/>
  <c r="BJ48" i="24" s="1"/>
  <c r="BK48" i="24" s="1"/>
  <c r="BL48" i="24" s="1"/>
  <c r="BM48" i="24" s="1"/>
  <c r="BN48" i="24" s="1"/>
  <c r="BO48" i="24" s="1"/>
  <c r="BP48" i="24" s="1"/>
  <c r="BQ48" i="24" s="1"/>
  <c r="S48" i="24"/>
  <c r="R48" i="24"/>
  <c r="Q48" i="24"/>
  <c r="P48" i="24"/>
  <c r="O48" i="24"/>
  <c r="N48" i="24"/>
  <c r="S47" i="24"/>
  <c r="R47" i="24"/>
  <c r="Q47" i="24"/>
  <c r="P47" i="24"/>
  <c r="O47" i="24"/>
  <c r="N47" i="24"/>
  <c r="S46" i="24"/>
  <c r="R46" i="24"/>
  <c r="Q46" i="24"/>
  <c r="P46" i="24"/>
  <c r="O46" i="24"/>
  <c r="N46" i="24"/>
  <c r="S45" i="24"/>
  <c r="T45" i="24" s="1"/>
  <c r="R45" i="24"/>
  <c r="Q45" i="24"/>
  <c r="P45" i="24"/>
  <c r="O45" i="24"/>
  <c r="N45" i="24"/>
  <c r="U44" i="24"/>
  <c r="S44" i="24"/>
  <c r="T44" i="24" s="1"/>
  <c r="R44" i="24"/>
  <c r="Q44" i="24"/>
  <c r="P44" i="24"/>
  <c r="O44" i="24"/>
  <c r="N44" i="24"/>
  <c r="S43" i="24"/>
  <c r="R43" i="24"/>
  <c r="Q43" i="24"/>
  <c r="P43" i="24"/>
  <c r="O43" i="24"/>
  <c r="N43" i="24"/>
  <c r="S42" i="24"/>
  <c r="R42" i="24"/>
  <c r="Q42" i="24"/>
  <c r="P42" i="24"/>
  <c r="O42" i="24"/>
  <c r="N42" i="24"/>
  <c r="T41" i="24"/>
  <c r="U41" i="24" s="1"/>
  <c r="V41" i="24" s="1"/>
  <c r="W41" i="24" s="1"/>
  <c r="X41" i="24" s="1"/>
  <c r="Y41" i="24" s="1"/>
  <c r="Z41" i="24" s="1"/>
  <c r="AA41" i="24" s="1"/>
  <c r="AB41" i="24" s="1"/>
  <c r="AC41" i="24" s="1"/>
  <c r="AD41" i="24" s="1"/>
  <c r="AE41" i="24" s="1"/>
  <c r="AF41" i="24" s="1"/>
  <c r="AG41" i="24" s="1"/>
  <c r="AH41" i="24" s="1"/>
  <c r="AI41" i="24" s="1"/>
  <c r="AJ41" i="24" s="1"/>
  <c r="AK41" i="24" s="1"/>
  <c r="AL41" i="24" s="1"/>
  <c r="AM41" i="24" s="1"/>
  <c r="AN41" i="24" s="1"/>
  <c r="AO41" i="24" s="1"/>
  <c r="AP41" i="24" s="1"/>
  <c r="AQ41" i="24" s="1"/>
  <c r="AR41" i="24" s="1"/>
  <c r="AS41" i="24" s="1"/>
  <c r="AT41" i="24" s="1"/>
  <c r="AU41" i="24" s="1"/>
  <c r="AV41" i="24" s="1"/>
  <c r="AW41" i="24" s="1"/>
  <c r="AX41" i="24" s="1"/>
  <c r="AY41" i="24" s="1"/>
  <c r="AZ41" i="24" s="1"/>
  <c r="BA41" i="24" s="1"/>
  <c r="BB41" i="24" s="1"/>
  <c r="BC41" i="24" s="1"/>
  <c r="BD41" i="24" s="1"/>
  <c r="BE41" i="24" s="1"/>
  <c r="BF41" i="24" s="1"/>
  <c r="BG41" i="24" s="1"/>
  <c r="BH41" i="24" s="1"/>
  <c r="BI41" i="24" s="1"/>
  <c r="BJ41" i="24" s="1"/>
  <c r="BK41" i="24" s="1"/>
  <c r="BL41" i="24" s="1"/>
  <c r="BM41" i="24" s="1"/>
  <c r="BN41" i="24" s="1"/>
  <c r="BO41" i="24" s="1"/>
  <c r="BP41" i="24" s="1"/>
  <c r="BQ41" i="24" s="1"/>
  <c r="S41" i="24"/>
  <c r="R41" i="24"/>
  <c r="Q41" i="24"/>
  <c r="P41" i="24"/>
  <c r="O41" i="24"/>
  <c r="N41" i="24"/>
  <c r="S40" i="24"/>
  <c r="T40" i="24" s="1"/>
  <c r="U40" i="24" s="1"/>
  <c r="V40" i="24" s="1"/>
  <c r="W40" i="24" s="1"/>
  <c r="X40" i="24" s="1"/>
  <c r="Y40" i="24" s="1"/>
  <c r="Z40" i="24" s="1"/>
  <c r="AA40" i="24" s="1"/>
  <c r="AB40" i="24" s="1"/>
  <c r="AC40" i="24" s="1"/>
  <c r="AD40" i="24" s="1"/>
  <c r="AE40" i="24" s="1"/>
  <c r="AF40" i="24" s="1"/>
  <c r="AG40" i="24" s="1"/>
  <c r="AH40" i="24" s="1"/>
  <c r="AI40" i="24" s="1"/>
  <c r="AJ40" i="24" s="1"/>
  <c r="AK40" i="24" s="1"/>
  <c r="AL40" i="24" s="1"/>
  <c r="AM40" i="24" s="1"/>
  <c r="AN40" i="24" s="1"/>
  <c r="AO40" i="24" s="1"/>
  <c r="AP40" i="24" s="1"/>
  <c r="AQ40" i="24" s="1"/>
  <c r="AR40" i="24" s="1"/>
  <c r="AS40" i="24" s="1"/>
  <c r="AT40" i="24" s="1"/>
  <c r="AU40" i="24" s="1"/>
  <c r="AV40" i="24" s="1"/>
  <c r="AW40" i="24" s="1"/>
  <c r="AX40" i="24" s="1"/>
  <c r="AY40" i="24" s="1"/>
  <c r="AZ40" i="24" s="1"/>
  <c r="BA40" i="24" s="1"/>
  <c r="BB40" i="24" s="1"/>
  <c r="BC40" i="24" s="1"/>
  <c r="BD40" i="24" s="1"/>
  <c r="BE40" i="24" s="1"/>
  <c r="BF40" i="24" s="1"/>
  <c r="BG40" i="24" s="1"/>
  <c r="BH40" i="24" s="1"/>
  <c r="BI40" i="24" s="1"/>
  <c r="BJ40" i="24" s="1"/>
  <c r="BK40" i="24" s="1"/>
  <c r="BL40" i="24" s="1"/>
  <c r="BM40" i="24" s="1"/>
  <c r="BN40" i="24" s="1"/>
  <c r="BO40" i="24" s="1"/>
  <c r="BP40" i="24" s="1"/>
  <c r="BQ40" i="24" s="1"/>
  <c r="R40" i="24"/>
  <c r="Q40" i="24"/>
  <c r="P40" i="24"/>
  <c r="O40" i="24"/>
  <c r="N40" i="24"/>
  <c r="S39" i="24"/>
  <c r="T39" i="24" s="1"/>
  <c r="U39" i="24" s="1"/>
  <c r="V39" i="24" s="1"/>
  <c r="W39" i="24" s="1"/>
  <c r="X39" i="24" s="1"/>
  <c r="Y39" i="24" s="1"/>
  <c r="Z39" i="24" s="1"/>
  <c r="AA39" i="24" s="1"/>
  <c r="AB39" i="24" s="1"/>
  <c r="AC39" i="24" s="1"/>
  <c r="AD39" i="24" s="1"/>
  <c r="AE39" i="24" s="1"/>
  <c r="AF39" i="24" s="1"/>
  <c r="AG39" i="24" s="1"/>
  <c r="AH39" i="24" s="1"/>
  <c r="AI39" i="24" s="1"/>
  <c r="AJ39" i="24" s="1"/>
  <c r="AK39" i="24" s="1"/>
  <c r="AL39" i="24" s="1"/>
  <c r="AM39" i="24" s="1"/>
  <c r="AN39" i="24" s="1"/>
  <c r="AO39" i="24" s="1"/>
  <c r="AP39" i="24" s="1"/>
  <c r="AQ39" i="24" s="1"/>
  <c r="AR39" i="24" s="1"/>
  <c r="AS39" i="24" s="1"/>
  <c r="AT39" i="24" s="1"/>
  <c r="AU39" i="24" s="1"/>
  <c r="AV39" i="24" s="1"/>
  <c r="AW39" i="24" s="1"/>
  <c r="AX39" i="24" s="1"/>
  <c r="AY39" i="24" s="1"/>
  <c r="AZ39" i="24" s="1"/>
  <c r="BA39" i="24" s="1"/>
  <c r="BB39" i="24" s="1"/>
  <c r="BC39" i="24" s="1"/>
  <c r="BD39" i="24" s="1"/>
  <c r="BE39" i="24" s="1"/>
  <c r="BF39" i="24" s="1"/>
  <c r="BG39" i="24" s="1"/>
  <c r="BH39" i="24" s="1"/>
  <c r="BI39" i="24" s="1"/>
  <c r="BJ39" i="24" s="1"/>
  <c r="BK39" i="24" s="1"/>
  <c r="BL39" i="24" s="1"/>
  <c r="BM39" i="24" s="1"/>
  <c r="BN39" i="24" s="1"/>
  <c r="BO39" i="24" s="1"/>
  <c r="BP39" i="24" s="1"/>
  <c r="BQ39" i="24" s="1"/>
  <c r="R39" i="24"/>
  <c r="Q39" i="24"/>
  <c r="P39" i="24"/>
  <c r="O39" i="24"/>
  <c r="N39" i="24"/>
  <c r="AH38" i="24"/>
  <c r="AI38" i="24" s="1"/>
  <c r="AJ38" i="24" s="1"/>
  <c r="AK38" i="24" s="1"/>
  <c r="AL38" i="24" s="1"/>
  <c r="AM38" i="24" s="1"/>
  <c r="AN38" i="24" s="1"/>
  <c r="AO38" i="24" s="1"/>
  <c r="AP38" i="24" s="1"/>
  <c r="AQ38" i="24" s="1"/>
  <c r="AR38" i="24" s="1"/>
  <c r="AS38" i="24" s="1"/>
  <c r="AT38" i="24" s="1"/>
  <c r="AU38" i="24" s="1"/>
  <c r="AV38" i="24" s="1"/>
  <c r="AW38" i="24" s="1"/>
  <c r="AX38" i="24" s="1"/>
  <c r="AY38" i="24" s="1"/>
  <c r="AZ38" i="24" s="1"/>
  <c r="BA38" i="24" s="1"/>
  <c r="BB38" i="24" s="1"/>
  <c r="BC38" i="24" s="1"/>
  <c r="BD38" i="24" s="1"/>
  <c r="BE38" i="24" s="1"/>
  <c r="BF38" i="24" s="1"/>
  <c r="BG38" i="24" s="1"/>
  <c r="BH38" i="24" s="1"/>
  <c r="BI38" i="24" s="1"/>
  <c r="BJ38" i="24" s="1"/>
  <c r="BK38" i="24" s="1"/>
  <c r="BL38" i="24" s="1"/>
  <c r="BM38" i="24" s="1"/>
  <c r="BN38" i="24" s="1"/>
  <c r="BO38" i="24" s="1"/>
  <c r="BP38" i="24" s="1"/>
  <c r="BQ38" i="24" s="1"/>
  <c r="S38" i="24"/>
  <c r="T38" i="24" s="1"/>
  <c r="U38" i="24" s="1"/>
  <c r="V38" i="24" s="1"/>
  <c r="W38" i="24" s="1"/>
  <c r="X38" i="24" s="1"/>
  <c r="Y38" i="24" s="1"/>
  <c r="Z38" i="24" s="1"/>
  <c r="AA38" i="24" s="1"/>
  <c r="AB38" i="24" s="1"/>
  <c r="AC38" i="24" s="1"/>
  <c r="AD38" i="24" s="1"/>
  <c r="AE38" i="24" s="1"/>
  <c r="AF38" i="24" s="1"/>
  <c r="AG38" i="24" s="1"/>
  <c r="R38" i="24"/>
  <c r="Q38" i="24"/>
  <c r="P38" i="24"/>
  <c r="O38" i="24"/>
  <c r="N38" i="24"/>
  <c r="BQ37" i="24"/>
  <c r="BP37" i="24"/>
  <c r="BO37" i="24"/>
  <c r="BN37" i="24"/>
  <c r="BM37" i="24"/>
  <c r="BL37" i="24"/>
  <c r="BK37" i="24"/>
  <c r="BJ37" i="24"/>
  <c r="BI37" i="24"/>
  <c r="BH37" i="24"/>
  <c r="BG37" i="24"/>
  <c r="BF37" i="24"/>
  <c r="BE37" i="24"/>
  <c r="BD37" i="24"/>
  <c r="BC37" i="24"/>
  <c r="BB37" i="24"/>
  <c r="BA37" i="24"/>
  <c r="AZ37" i="24"/>
  <c r="AY37" i="24"/>
  <c r="AX37" i="24"/>
  <c r="AW37" i="24"/>
  <c r="AV37" i="24"/>
  <c r="AU37" i="24"/>
  <c r="AT37" i="24"/>
  <c r="AS37" i="24"/>
  <c r="AR37" i="24"/>
  <c r="AQ37" i="24"/>
  <c r="AP37" i="24"/>
  <c r="AO37" i="24"/>
  <c r="AN37" i="24"/>
  <c r="AM37" i="24"/>
  <c r="AL37" i="24"/>
  <c r="AK37" i="24"/>
  <c r="AJ37" i="24"/>
  <c r="AI37" i="24"/>
  <c r="AH37" i="24"/>
  <c r="AG37" i="24"/>
  <c r="AF37" i="24"/>
  <c r="AE37" i="24"/>
  <c r="AD37" i="24"/>
  <c r="AC37" i="24"/>
  <c r="AB37" i="24"/>
  <c r="AA37" i="24"/>
  <c r="Z37" i="24"/>
  <c r="Y37" i="24"/>
  <c r="X37" i="24"/>
  <c r="W37" i="24"/>
  <c r="V37" i="24"/>
  <c r="U37" i="24"/>
  <c r="T37" i="24"/>
  <c r="S37" i="24"/>
  <c r="R37" i="24"/>
  <c r="Q37" i="24"/>
  <c r="P37" i="24"/>
  <c r="O37" i="24"/>
  <c r="N37" i="24"/>
  <c r="BQ36" i="24"/>
  <c r="BP36" i="24"/>
  <c r="BO36" i="24"/>
  <c r="BN36" i="24"/>
  <c r="BM36" i="24"/>
  <c r="BL36" i="24"/>
  <c r="BK36" i="24"/>
  <c r="BJ36" i="24"/>
  <c r="BI36" i="24"/>
  <c r="BH36" i="24"/>
  <c r="BG36" i="24"/>
  <c r="BF36" i="24"/>
  <c r="BE36" i="24"/>
  <c r="BD36" i="24"/>
  <c r="BC36" i="24"/>
  <c r="BB36" i="24"/>
  <c r="BA36" i="24"/>
  <c r="AZ36" i="24"/>
  <c r="AY36" i="24"/>
  <c r="AX36" i="24"/>
  <c r="AW36" i="24"/>
  <c r="AV36" i="24"/>
  <c r="AU36" i="24"/>
  <c r="AT36" i="24"/>
  <c r="AS36" i="24"/>
  <c r="AR36" i="24"/>
  <c r="AQ36" i="24"/>
  <c r="AP36" i="24"/>
  <c r="AO36" i="24"/>
  <c r="AN36" i="24"/>
  <c r="AM36" i="24"/>
  <c r="AL36" i="24"/>
  <c r="AK36" i="24"/>
  <c r="AJ36" i="24"/>
  <c r="AI36" i="24"/>
  <c r="AH36" i="24"/>
  <c r="AG36" i="24"/>
  <c r="AF36" i="24"/>
  <c r="AE36" i="24"/>
  <c r="AD36" i="24"/>
  <c r="AC36" i="24"/>
  <c r="AB36" i="24"/>
  <c r="AA36" i="24"/>
  <c r="Z36" i="24"/>
  <c r="Y36" i="24"/>
  <c r="X36" i="24"/>
  <c r="W36" i="24"/>
  <c r="V36" i="24"/>
  <c r="U36" i="24"/>
  <c r="T36" i="24"/>
  <c r="S36" i="24"/>
  <c r="R36" i="24"/>
  <c r="Q36" i="24"/>
  <c r="P36" i="24"/>
  <c r="O36" i="24"/>
  <c r="N36" i="24"/>
  <c r="S35" i="24"/>
  <c r="T35" i="24" s="1"/>
  <c r="R35" i="24"/>
  <c r="Q35" i="24"/>
  <c r="P35" i="24"/>
  <c r="O35" i="24"/>
  <c r="N35" i="24"/>
  <c r="S34" i="24"/>
  <c r="R34" i="24"/>
  <c r="Q34" i="24"/>
  <c r="P34" i="24"/>
  <c r="O34" i="24"/>
  <c r="N34" i="24"/>
  <c r="W33" i="24"/>
  <c r="X33" i="24" s="1"/>
  <c r="Y33" i="24" s="1"/>
  <c r="Z33" i="24" s="1"/>
  <c r="AA33" i="24" s="1"/>
  <c r="AB33" i="24" s="1"/>
  <c r="AC33" i="24" s="1"/>
  <c r="AD33" i="24" s="1"/>
  <c r="AE33" i="24" s="1"/>
  <c r="AF33" i="24" s="1"/>
  <c r="AG33" i="24" s="1"/>
  <c r="AH33" i="24" s="1"/>
  <c r="AI33" i="24" s="1"/>
  <c r="AJ33" i="24" s="1"/>
  <c r="AK33" i="24" s="1"/>
  <c r="AL33" i="24" s="1"/>
  <c r="AM33" i="24" s="1"/>
  <c r="AN33" i="24" s="1"/>
  <c r="AO33" i="24" s="1"/>
  <c r="AP33" i="24" s="1"/>
  <c r="AQ33" i="24" s="1"/>
  <c r="AR33" i="24" s="1"/>
  <c r="AS33" i="24" s="1"/>
  <c r="AT33" i="24" s="1"/>
  <c r="AU33" i="24" s="1"/>
  <c r="AV33" i="24" s="1"/>
  <c r="AW33" i="24" s="1"/>
  <c r="AX33" i="24" s="1"/>
  <c r="AY33" i="24" s="1"/>
  <c r="AZ33" i="24" s="1"/>
  <c r="BA33" i="24" s="1"/>
  <c r="BB33" i="24" s="1"/>
  <c r="BC33" i="24" s="1"/>
  <c r="BD33" i="24" s="1"/>
  <c r="BE33" i="24" s="1"/>
  <c r="BF33" i="24" s="1"/>
  <c r="BG33" i="24" s="1"/>
  <c r="BH33" i="24" s="1"/>
  <c r="BI33" i="24" s="1"/>
  <c r="BJ33" i="24" s="1"/>
  <c r="BK33" i="24" s="1"/>
  <c r="BL33" i="24" s="1"/>
  <c r="BM33" i="24" s="1"/>
  <c r="BN33" i="24" s="1"/>
  <c r="BO33" i="24" s="1"/>
  <c r="BP33" i="24" s="1"/>
  <c r="BQ33" i="24" s="1"/>
  <c r="V33" i="24"/>
  <c r="S33" i="24"/>
  <c r="T33" i="24" s="1"/>
  <c r="U33" i="24" s="1"/>
  <c r="R33" i="24"/>
  <c r="Q33" i="24"/>
  <c r="P33" i="24"/>
  <c r="O33" i="24"/>
  <c r="N33" i="24"/>
  <c r="S32" i="24"/>
  <c r="T32" i="24" s="1"/>
  <c r="U32" i="24" s="1"/>
  <c r="V32" i="24" s="1"/>
  <c r="W32" i="24" s="1"/>
  <c r="X32" i="24" s="1"/>
  <c r="Y32" i="24" s="1"/>
  <c r="Z32" i="24" s="1"/>
  <c r="AA32" i="24" s="1"/>
  <c r="AB32" i="24" s="1"/>
  <c r="AC32" i="24" s="1"/>
  <c r="AD32" i="24" s="1"/>
  <c r="AE32" i="24" s="1"/>
  <c r="AF32" i="24" s="1"/>
  <c r="AG32" i="24" s="1"/>
  <c r="AH32" i="24" s="1"/>
  <c r="AI32" i="24" s="1"/>
  <c r="AJ32" i="24" s="1"/>
  <c r="AK32" i="24" s="1"/>
  <c r="AL32" i="24" s="1"/>
  <c r="AM32" i="24" s="1"/>
  <c r="AN32" i="24" s="1"/>
  <c r="AO32" i="24" s="1"/>
  <c r="AP32" i="24" s="1"/>
  <c r="AQ32" i="24" s="1"/>
  <c r="AR32" i="24" s="1"/>
  <c r="AS32" i="24" s="1"/>
  <c r="AT32" i="24" s="1"/>
  <c r="AU32" i="24" s="1"/>
  <c r="AV32" i="24" s="1"/>
  <c r="AW32" i="24" s="1"/>
  <c r="AX32" i="24" s="1"/>
  <c r="AY32" i="24" s="1"/>
  <c r="AZ32" i="24" s="1"/>
  <c r="BA32" i="24" s="1"/>
  <c r="BB32" i="24" s="1"/>
  <c r="BC32" i="24" s="1"/>
  <c r="BD32" i="24" s="1"/>
  <c r="BE32" i="24" s="1"/>
  <c r="BF32" i="24" s="1"/>
  <c r="BG32" i="24" s="1"/>
  <c r="BH32" i="24" s="1"/>
  <c r="BI32" i="24" s="1"/>
  <c r="BJ32" i="24" s="1"/>
  <c r="BK32" i="24" s="1"/>
  <c r="BL32" i="24" s="1"/>
  <c r="BM32" i="24" s="1"/>
  <c r="BN32" i="24" s="1"/>
  <c r="BO32" i="24" s="1"/>
  <c r="BP32" i="24" s="1"/>
  <c r="BQ32" i="24" s="1"/>
  <c r="R32" i="24"/>
  <c r="Q32" i="24"/>
  <c r="P32" i="24"/>
  <c r="O32" i="24"/>
  <c r="N32" i="24"/>
  <c r="Y31" i="24"/>
  <c r="Z31" i="24" s="1"/>
  <c r="AA31" i="24" s="1"/>
  <c r="AB31" i="24" s="1"/>
  <c r="AC31" i="24" s="1"/>
  <c r="AD31" i="24" s="1"/>
  <c r="AE31" i="24" s="1"/>
  <c r="AF31" i="24" s="1"/>
  <c r="AG31" i="24" s="1"/>
  <c r="AH31" i="24" s="1"/>
  <c r="AI31" i="24" s="1"/>
  <c r="AJ31" i="24" s="1"/>
  <c r="AK31" i="24" s="1"/>
  <c r="AL31" i="24" s="1"/>
  <c r="AM31" i="24" s="1"/>
  <c r="AN31" i="24" s="1"/>
  <c r="AO31" i="24" s="1"/>
  <c r="AP31" i="24" s="1"/>
  <c r="AQ31" i="24" s="1"/>
  <c r="AR31" i="24" s="1"/>
  <c r="AS31" i="24" s="1"/>
  <c r="AT31" i="24" s="1"/>
  <c r="AU31" i="24" s="1"/>
  <c r="AV31" i="24" s="1"/>
  <c r="AW31" i="24" s="1"/>
  <c r="AX31" i="24" s="1"/>
  <c r="AY31" i="24" s="1"/>
  <c r="AZ31" i="24" s="1"/>
  <c r="BA31" i="24" s="1"/>
  <c r="BB31" i="24" s="1"/>
  <c r="BC31" i="24" s="1"/>
  <c r="BD31" i="24" s="1"/>
  <c r="BE31" i="24" s="1"/>
  <c r="BF31" i="24" s="1"/>
  <c r="BG31" i="24" s="1"/>
  <c r="BH31" i="24" s="1"/>
  <c r="BI31" i="24" s="1"/>
  <c r="BJ31" i="24" s="1"/>
  <c r="BK31" i="24" s="1"/>
  <c r="BL31" i="24" s="1"/>
  <c r="BM31" i="24" s="1"/>
  <c r="BN31" i="24" s="1"/>
  <c r="BO31" i="24" s="1"/>
  <c r="BP31" i="24" s="1"/>
  <c r="BQ31" i="24" s="1"/>
  <c r="S31" i="24"/>
  <c r="T31" i="24" s="1"/>
  <c r="U31" i="24" s="1"/>
  <c r="V31" i="24" s="1"/>
  <c r="W31" i="24" s="1"/>
  <c r="X31" i="24" s="1"/>
  <c r="R31" i="24"/>
  <c r="Q31" i="24"/>
  <c r="P31" i="24"/>
  <c r="O31" i="24"/>
  <c r="N31" i="24"/>
  <c r="S30" i="24"/>
  <c r="T30" i="24" s="1"/>
  <c r="U30" i="24" s="1"/>
  <c r="R30" i="24"/>
  <c r="Q30" i="24"/>
  <c r="P30" i="24"/>
  <c r="O30" i="24"/>
  <c r="N30" i="24"/>
  <c r="BQ29" i="24"/>
  <c r="BP29" i="24"/>
  <c r="BO29" i="24"/>
  <c r="BN29" i="24"/>
  <c r="BM29" i="24"/>
  <c r="BL29" i="24"/>
  <c r="BK29" i="24"/>
  <c r="BJ29" i="24"/>
  <c r="BI29" i="24"/>
  <c r="BH29" i="24"/>
  <c r="BG29" i="24"/>
  <c r="BF29" i="24"/>
  <c r="BE29" i="24"/>
  <c r="BD29" i="24"/>
  <c r="BC29" i="24"/>
  <c r="BB29" i="24"/>
  <c r="BA29" i="24"/>
  <c r="AZ29" i="24"/>
  <c r="AY29" i="24"/>
  <c r="AX29" i="24"/>
  <c r="AW29" i="24"/>
  <c r="AV29" i="24"/>
  <c r="AU29" i="24"/>
  <c r="AT29" i="24"/>
  <c r="AS29" i="24"/>
  <c r="AR29" i="24"/>
  <c r="AQ29" i="24"/>
  <c r="AP29" i="24"/>
  <c r="AO29" i="24"/>
  <c r="AN29" i="24"/>
  <c r="AM29" i="24"/>
  <c r="AL29" i="24"/>
  <c r="AK29" i="24"/>
  <c r="AJ29" i="24"/>
  <c r="AI29" i="24"/>
  <c r="AH29" i="24"/>
  <c r="AG29" i="24"/>
  <c r="AF29" i="24"/>
  <c r="AE29" i="24"/>
  <c r="AD29" i="24"/>
  <c r="AC29" i="24"/>
  <c r="AB29" i="24"/>
  <c r="AA29" i="24"/>
  <c r="Z29" i="24"/>
  <c r="Y29" i="24"/>
  <c r="X29" i="24"/>
  <c r="W29" i="24"/>
  <c r="V29" i="24"/>
  <c r="U29" i="24"/>
  <c r="T29" i="24"/>
  <c r="S29" i="24"/>
  <c r="R29" i="24"/>
  <c r="Q29" i="24"/>
  <c r="P29" i="24"/>
  <c r="O29" i="24"/>
  <c r="N29" i="24"/>
  <c r="BQ28" i="24"/>
  <c r="BP28" i="24"/>
  <c r="BO28" i="24"/>
  <c r="BN28" i="24"/>
  <c r="BM28" i="24"/>
  <c r="BL28" i="24"/>
  <c r="BK28" i="24"/>
  <c r="BJ28" i="24"/>
  <c r="BI28" i="24"/>
  <c r="BH28" i="24"/>
  <c r="BG28" i="24"/>
  <c r="BF28" i="24"/>
  <c r="BE28" i="24"/>
  <c r="BD28" i="24"/>
  <c r="BC28" i="24"/>
  <c r="BB28" i="24"/>
  <c r="BA28" i="24"/>
  <c r="AZ28" i="24"/>
  <c r="AY28" i="24"/>
  <c r="AX28" i="24"/>
  <c r="AW28" i="24"/>
  <c r="AV28" i="24"/>
  <c r="AU28" i="24"/>
  <c r="AT28" i="24"/>
  <c r="AS28" i="24"/>
  <c r="AR28" i="24"/>
  <c r="AQ28" i="24"/>
  <c r="AP28" i="24"/>
  <c r="AO28" i="24"/>
  <c r="AN28" i="24"/>
  <c r="AM28" i="24"/>
  <c r="AL28" i="24"/>
  <c r="AK28" i="24"/>
  <c r="AJ28" i="24"/>
  <c r="AI28" i="24"/>
  <c r="AH28" i="24"/>
  <c r="AG28" i="24"/>
  <c r="AF28" i="24"/>
  <c r="AE28" i="24"/>
  <c r="AD28" i="24"/>
  <c r="AC28" i="24"/>
  <c r="AB28" i="24"/>
  <c r="AA28" i="24"/>
  <c r="Z28" i="24"/>
  <c r="Y28" i="24"/>
  <c r="X28" i="24"/>
  <c r="W28" i="24"/>
  <c r="V28" i="24"/>
  <c r="U28" i="24"/>
  <c r="T28" i="24"/>
  <c r="S28" i="24"/>
  <c r="R28" i="24"/>
  <c r="Q28" i="24"/>
  <c r="P28" i="24"/>
  <c r="O28" i="24"/>
  <c r="N28" i="24"/>
  <c r="U27" i="24"/>
  <c r="V27" i="24" s="1"/>
  <c r="S27" i="24"/>
  <c r="T27" i="24" s="1"/>
  <c r="R27" i="24"/>
  <c r="Q27" i="24"/>
  <c r="P27" i="24"/>
  <c r="O27" i="24"/>
  <c r="N27" i="24"/>
  <c r="S26" i="24"/>
  <c r="R26" i="24"/>
  <c r="Q26" i="24"/>
  <c r="P26" i="24"/>
  <c r="O26" i="24"/>
  <c r="N26" i="24"/>
  <c r="S25" i="24"/>
  <c r="R25" i="24"/>
  <c r="Q25" i="24"/>
  <c r="P25" i="24"/>
  <c r="O25" i="24"/>
  <c r="N25" i="24"/>
  <c r="S24" i="24"/>
  <c r="R24" i="24"/>
  <c r="Q24" i="24"/>
  <c r="P24" i="24"/>
  <c r="O24" i="24"/>
  <c r="N24" i="24"/>
  <c r="S23" i="24"/>
  <c r="R23" i="24"/>
  <c r="Q23" i="24"/>
  <c r="P23" i="24"/>
  <c r="O23" i="24"/>
  <c r="N23" i="24"/>
  <c r="S22" i="24"/>
  <c r="R22" i="24"/>
  <c r="Q22" i="24"/>
  <c r="P22" i="24"/>
  <c r="O22" i="24"/>
  <c r="N22" i="24"/>
  <c r="S21" i="24"/>
  <c r="R21" i="24"/>
  <c r="Q21" i="24"/>
  <c r="P21" i="24"/>
  <c r="O21" i="24"/>
  <c r="N21" i="24"/>
  <c r="BQ20" i="24"/>
  <c r="BP20" i="24"/>
  <c r="BO20" i="24"/>
  <c r="BN20" i="24"/>
  <c r="BM20" i="24"/>
  <c r="BL20" i="24"/>
  <c r="BK20" i="24"/>
  <c r="BJ20" i="24"/>
  <c r="BI20" i="24"/>
  <c r="BH20" i="24"/>
  <c r="BG20" i="24"/>
  <c r="BF20" i="24"/>
  <c r="BE20" i="24"/>
  <c r="BD20" i="24"/>
  <c r="BC20" i="24"/>
  <c r="BB20" i="24"/>
  <c r="BA20" i="24"/>
  <c r="AZ20" i="24"/>
  <c r="AY20" i="24"/>
  <c r="AX20" i="24"/>
  <c r="AW20" i="24"/>
  <c r="AV20" i="24"/>
  <c r="AU20" i="24"/>
  <c r="AT20" i="24"/>
  <c r="AS20" i="24"/>
  <c r="AR20" i="24"/>
  <c r="AQ20" i="24"/>
  <c r="AP20" i="24"/>
  <c r="AO20" i="24"/>
  <c r="AN20" i="24"/>
  <c r="AM20" i="24"/>
  <c r="AL20" i="24"/>
  <c r="AK20" i="24"/>
  <c r="AJ20" i="24"/>
  <c r="AI20" i="24"/>
  <c r="AH20" i="24"/>
  <c r="AG20" i="24"/>
  <c r="AF20" i="24"/>
  <c r="AE20" i="24"/>
  <c r="AD20" i="24"/>
  <c r="AC20" i="24"/>
  <c r="AB20" i="24"/>
  <c r="AA20" i="24"/>
  <c r="Z20" i="24"/>
  <c r="Y20" i="24"/>
  <c r="X20" i="24"/>
  <c r="W20" i="24"/>
  <c r="V20" i="24"/>
  <c r="U20" i="24"/>
  <c r="T20" i="24"/>
  <c r="S20" i="24"/>
  <c r="R20" i="24"/>
  <c r="Q20" i="24"/>
  <c r="P20" i="24"/>
  <c r="O20" i="24"/>
  <c r="N20" i="24"/>
  <c r="S19" i="24"/>
  <c r="R19" i="24"/>
  <c r="Q19" i="24"/>
  <c r="P19" i="24"/>
  <c r="O19" i="24"/>
  <c r="N19" i="24"/>
  <c r="S18" i="24"/>
  <c r="R18" i="24"/>
  <c r="Q18" i="24"/>
  <c r="P18" i="24"/>
  <c r="O18" i="24"/>
  <c r="N18" i="24"/>
  <c r="S17" i="24"/>
  <c r="R17" i="24"/>
  <c r="Q17" i="24"/>
  <c r="P17" i="24"/>
  <c r="O17" i="24"/>
  <c r="N17" i="24"/>
  <c r="S16" i="24"/>
  <c r="R16" i="24"/>
  <c r="Q16" i="24"/>
  <c r="Q110" i="24" s="1"/>
  <c r="P16" i="24"/>
  <c r="P110" i="24" s="1"/>
  <c r="O16" i="24"/>
  <c r="N16" i="24"/>
  <c r="U15" i="24"/>
  <c r="V15" i="24" s="1"/>
  <c r="W15" i="24" s="1"/>
  <c r="X15" i="24" s="1"/>
  <c r="Y15" i="24" s="1"/>
  <c r="Z15" i="24" s="1"/>
  <c r="AA15" i="24" s="1"/>
  <c r="AB15" i="24" s="1"/>
  <c r="AC15" i="24" s="1"/>
  <c r="AD15" i="24" s="1"/>
  <c r="AE15" i="24" s="1"/>
  <c r="AF15" i="24" s="1"/>
  <c r="AG15" i="24" s="1"/>
  <c r="AH15" i="24" s="1"/>
  <c r="AI15" i="24" s="1"/>
  <c r="AJ15" i="24" s="1"/>
  <c r="AK15" i="24" s="1"/>
  <c r="AL15" i="24" s="1"/>
  <c r="AM15" i="24" s="1"/>
  <c r="AN15" i="24" s="1"/>
  <c r="AO15" i="24" s="1"/>
  <c r="AP15" i="24" s="1"/>
  <c r="AQ15" i="24" s="1"/>
  <c r="AR15" i="24" s="1"/>
  <c r="AS15" i="24" s="1"/>
  <c r="AT15" i="24" s="1"/>
  <c r="AU15" i="24" s="1"/>
  <c r="AV15" i="24" s="1"/>
  <c r="AW15" i="24" s="1"/>
  <c r="AX15" i="24" s="1"/>
  <c r="AY15" i="24" s="1"/>
  <c r="AZ15" i="24" s="1"/>
  <c r="BA15" i="24" s="1"/>
  <c r="BB15" i="24" s="1"/>
  <c r="BC15" i="24" s="1"/>
  <c r="BD15" i="24" s="1"/>
  <c r="BE15" i="24" s="1"/>
  <c r="BF15" i="24" s="1"/>
  <c r="BG15" i="24" s="1"/>
  <c r="BH15" i="24" s="1"/>
  <c r="BI15" i="24" s="1"/>
  <c r="BJ15" i="24" s="1"/>
  <c r="BK15" i="24" s="1"/>
  <c r="BL15" i="24" s="1"/>
  <c r="BM15" i="24" s="1"/>
  <c r="BN15" i="24" s="1"/>
  <c r="BO15" i="24" s="1"/>
  <c r="BP15" i="24" s="1"/>
  <c r="BQ15" i="24" s="1"/>
  <c r="T15" i="24"/>
  <c r="S15" i="24"/>
  <c r="R15" i="24"/>
  <c r="Q15" i="24"/>
  <c r="P15" i="24"/>
  <c r="O15" i="24"/>
  <c r="N15" i="24"/>
  <c r="S13" i="24"/>
  <c r="R13" i="24"/>
  <c r="Q13" i="24"/>
  <c r="P13" i="24"/>
  <c r="O13" i="24"/>
  <c r="N13" i="24"/>
  <c r="T12" i="24"/>
  <c r="U12" i="24" s="1"/>
  <c r="S12" i="24"/>
  <c r="R12" i="24"/>
  <c r="Q12" i="24"/>
  <c r="P12" i="24"/>
  <c r="O12" i="24"/>
  <c r="N12" i="24"/>
  <c r="S11" i="24"/>
  <c r="R11" i="24"/>
  <c r="Q11" i="24"/>
  <c r="P11" i="24"/>
  <c r="O11" i="24"/>
  <c r="N11" i="24"/>
  <c r="T10" i="24"/>
  <c r="U10" i="24" s="1"/>
  <c r="V10" i="24" s="1"/>
  <c r="W10" i="24" s="1"/>
  <c r="X10" i="24" s="1"/>
  <c r="Y10" i="24" s="1"/>
  <c r="Z10" i="24" s="1"/>
  <c r="AA10" i="24" s="1"/>
  <c r="S10" i="24"/>
  <c r="R10" i="24"/>
  <c r="Q10" i="24"/>
  <c r="P10" i="24"/>
  <c r="O10" i="24"/>
  <c r="N10" i="24"/>
  <c r="S9" i="24"/>
  <c r="R9" i="24"/>
  <c r="Q9" i="24"/>
  <c r="P9" i="24"/>
  <c r="O9" i="24"/>
  <c r="N9" i="24"/>
  <c r="T8" i="24"/>
  <c r="U8" i="24" s="1"/>
  <c r="V8" i="24" s="1"/>
  <c r="W8" i="24" s="1"/>
  <c r="X8" i="24" s="1"/>
  <c r="Y8" i="24" s="1"/>
  <c r="Z8" i="24" s="1"/>
  <c r="AA8" i="24" s="1"/>
  <c r="AB8" i="24" s="1"/>
  <c r="AC8" i="24" s="1"/>
  <c r="S8" i="24"/>
  <c r="R8" i="24"/>
  <c r="Q8" i="24"/>
  <c r="P8" i="24"/>
  <c r="O8" i="24"/>
  <c r="N8" i="24"/>
  <c r="S7" i="24"/>
  <c r="R7" i="24"/>
  <c r="Q7" i="24"/>
  <c r="P7" i="24"/>
  <c r="O7" i="24"/>
  <c r="N7" i="24"/>
  <c r="S6" i="24"/>
  <c r="R6" i="24"/>
  <c r="Q6" i="24"/>
  <c r="P6" i="24"/>
  <c r="O6" i="24"/>
  <c r="N6" i="24"/>
  <c r="S5" i="24"/>
  <c r="R5" i="24"/>
  <c r="Q5" i="24"/>
  <c r="P5" i="24"/>
  <c r="O5" i="24"/>
  <c r="N5" i="24"/>
  <c r="O5" i="6"/>
  <c r="P5" i="6"/>
  <c r="Q5" i="6"/>
  <c r="R5" i="6"/>
  <c r="O6" i="6"/>
  <c r="P6" i="6"/>
  <c r="Q6" i="6"/>
  <c r="R6" i="6"/>
  <c r="O7" i="6"/>
  <c r="P7" i="6"/>
  <c r="Q7" i="6"/>
  <c r="R7" i="6"/>
  <c r="O8" i="6"/>
  <c r="P8" i="6"/>
  <c r="Q8" i="6"/>
  <c r="R8" i="6"/>
  <c r="O9" i="6"/>
  <c r="P9" i="6"/>
  <c r="Q9" i="6"/>
  <c r="R9" i="6"/>
  <c r="O10" i="6"/>
  <c r="P10" i="6"/>
  <c r="Q10" i="6"/>
  <c r="R10" i="6"/>
  <c r="O11" i="6"/>
  <c r="P11" i="6"/>
  <c r="Q11" i="6"/>
  <c r="R11" i="6"/>
  <c r="O12" i="6"/>
  <c r="P12" i="6"/>
  <c r="Q12" i="6"/>
  <c r="R12" i="6"/>
  <c r="O13" i="6"/>
  <c r="P13" i="6"/>
  <c r="Q13" i="6"/>
  <c r="R13" i="6"/>
  <c r="O15" i="6"/>
  <c r="P15" i="6"/>
  <c r="Q15" i="6"/>
  <c r="R15" i="6"/>
  <c r="O16" i="6"/>
  <c r="P16" i="6"/>
  <c r="Q16" i="6"/>
  <c r="R16" i="6"/>
  <c r="O17" i="6"/>
  <c r="P17" i="6"/>
  <c r="Q17" i="6"/>
  <c r="R17" i="6"/>
  <c r="O18" i="6"/>
  <c r="P18" i="6"/>
  <c r="Q18" i="6"/>
  <c r="R18" i="6"/>
  <c r="O19" i="6"/>
  <c r="P19" i="6"/>
  <c r="Q19" i="6"/>
  <c r="R19" i="6"/>
  <c r="O20" i="6"/>
  <c r="P20" i="6"/>
  <c r="Q20" i="6"/>
  <c r="R20" i="6"/>
  <c r="O21" i="6"/>
  <c r="P21" i="6"/>
  <c r="Q21" i="6"/>
  <c r="R21" i="6"/>
  <c r="O22" i="6"/>
  <c r="P22" i="6"/>
  <c r="Q22" i="6"/>
  <c r="R22" i="6"/>
  <c r="O23" i="6"/>
  <c r="P23" i="6"/>
  <c r="Q23" i="6"/>
  <c r="R23" i="6"/>
  <c r="O24" i="6"/>
  <c r="P24" i="6"/>
  <c r="Q24" i="6"/>
  <c r="R24" i="6"/>
  <c r="O25" i="6"/>
  <c r="P25" i="6"/>
  <c r="Q25" i="6"/>
  <c r="R25" i="6"/>
  <c r="O26" i="6"/>
  <c r="P26" i="6"/>
  <c r="Q26" i="6"/>
  <c r="R26" i="6"/>
  <c r="O27" i="6"/>
  <c r="P27" i="6"/>
  <c r="Q27" i="6"/>
  <c r="R27" i="6"/>
  <c r="O28" i="6"/>
  <c r="P28" i="6"/>
  <c r="Q28" i="6"/>
  <c r="R28" i="6"/>
  <c r="O29" i="6"/>
  <c r="P29" i="6"/>
  <c r="Q29" i="6"/>
  <c r="R29" i="6"/>
  <c r="O30" i="6"/>
  <c r="P30" i="6"/>
  <c r="Q30" i="6"/>
  <c r="R30" i="6"/>
  <c r="O31" i="6"/>
  <c r="P31" i="6"/>
  <c r="Q31" i="6"/>
  <c r="R31" i="6"/>
  <c r="O32" i="6"/>
  <c r="P32" i="6"/>
  <c r="Q32" i="6"/>
  <c r="R32" i="6"/>
  <c r="O33" i="6"/>
  <c r="P33" i="6"/>
  <c r="Q33" i="6"/>
  <c r="R33" i="6"/>
  <c r="O34" i="6"/>
  <c r="P34" i="6"/>
  <c r="Q34" i="6"/>
  <c r="R34" i="6"/>
  <c r="O35" i="6"/>
  <c r="P35" i="6"/>
  <c r="Q35" i="6"/>
  <c r="R35" i="6"/>
  <c r="O36" i="6"/>
  <c r="P36" i="6"/>
  <c r="Q36" i="6"/>
  <c r="R36" i="6"/>
  <c r="O37" i="6"/>
  <c r="P37" i="6"/>
  <c r="Q37" i="6"/>
  <c r="R37" i="6"/>
  <c r="O38" i="6"/>
  <c r="P38" i="6"/>
  <c r="Q38" i="6"/>
  <c r="R38" i="6"/>
  <c r="O39" i="6"/>
  <c r="P39" i="6"/>
  <c r="Q39" i="6"/>
  <c r="R39" i="6"/>
  <c r="O40" i="6"/>
  <c r="P40" i="6"/>
  <c r="Q40" i="6"/>
  <c r="R40" i="6"/>
  <c r="O41" i="6"/>
  <c r="P41" i="6"/>
  <c r="Q41" i="6"/>
  <c r="R41" i="6"/>
  <c r="O42" i="6"/>
  <c r="P42" i="6"/>
  <c r="Q42" i="6"/>
  <c r="R42" i="6"/>
  <c r="O43" i="6"/>
  <c r="P43" i="6"/>
  <c r="Q43" i="6"/>
  <c r="R43" i="6"/>
  <c r="O44" i="6"/>
  <c r="P44" i="6"/>
  <c r="Q44" i="6"/>
  <c r="R44" i="6"/>
  <c r="O45" i="6"/>
  <c r="P45" i="6"/>
  <c r="Q45" i="6"/>
  <c r="R45" i="6"/>
  <c r="O46" i="6"/>
  <c r="P46" i="6"/>
  <c r="Q46" i="6"/>
  <c r="R46" i="6"/>
  <c r="O47" i="6"/>
  <c r="P47" i="6"/>
  <c r="Q47" i="6"/>
  <c r="R47" i="6"/>
  <c r="O48" i="6"/>
  <c r="P48" i="6"/>
  <c r="Q48" i="6"/>
  <c r="R48" i="6"/>
  <c r="O49" i="6"/>
  <c r="P49" i="6"/>
  <c r="Q49" i="6"/>
  <c r="R49" i="6"/>
  <c r="O50" i="6"/>
  <c r="P50" i="6"/>
  <c r="Q50" i="6"/>
  <c r="R50" i="6"/>
  <c r="O51" i="6"/>
  <c r="P51" i="6"/>
  <c r="Q51" i="6"/>
  <c r="R51" i="6"/>
  <c r="O52" i="6"/>
  <c r="P52" i="6"/>
  <c r="Q52" i="6"/>
  <c r="R52" i="6"/>
  <c r="O53" i="6"/>
  <c r="P53" i="6"/>
  <c r="Q53" i="6"/>
  <c r="R53" i="6"/>
  <c r="O54" i="6"/>
  <c r="P54" i="6"/>
  <c r="Q54" i="6"/>
  <c r="R54" i="6"/>
  <c r="O55" i="6"/>
  <c r="P55" i="6"/>
  <c r="Q55" i="6"/>
  <c r="R55" i="6"/>
  <c r="O56" i="6"/>
  <c r="P56" i="6"/>
  <c r="Q56" i="6"/>
  <c r="R56" i="6"/>
  <c r="O57" i="6"/>
  <c r="P57" i="6"/>
  <c r="Q57" i="6"/>
  <c r="R57" i="6"/>
  <c r="O58" i="6"/>
  <c r="P58" i="6"/>
  <c r="Q58" i="6"/>
  <c r="R58" i="6"/>
  <c r="O59" i="6"/>
  <c r="P59" i="6"/>
  <c r="Q59" i="6"/>
  <c r="R59" i="6"/>
  <c r="O61" i="6"/>
  <c r="P61" i="6"/>
  <c r="Q61" i="6"/>
  <c r="R61" i="6"/>
  <c r="O62" i="6"/>
  <c r="P62" i="6"/>
  <c r="Q62" i="6"/>
  <c r="R62" i="6"/>
  <c r="O63" i="6"/>
  <c r="P63" i="6"/>
  <c r="Q63" i="6"/>
  <c r="R63" i="6"/>
  <c r="O64" i="6"/>
  <c r="P64" i="6"/>
  <c r="Q64" i="6"/>
  <c r="R64" i="6"/>
  <c r="O65" i="6"/>
  <c r="P65" i="6"/>
  <c r="Q65" i="6"/>
  <c r="R65" i="6"/>
  <c r="O66" i="6"/>
  <c r="P66" i="6"/>
  <c r="Q66" i="6"/>
  <c r="R66" i="6"/>
  <c r="O67" i="6"/>
  <c r="P67" i="6"/>
  <c r="Q67" i="6"/>
  <c r="R67" i="6"/>
  <c r="O68" i="6"/>
  <c r="P68" i="6"/>
  <c r="Q68" i="6"/>
  <c r="R68" i="6"/>
  <c r="AB25" i="2"/>
  <c r="AB26" i="2"/>
  <c r="AB24" i="2"/>
  <c r="N5" i="6"/>
  <c r="AB14" i="2"/>
  <c r="X14" i="2"/>
  <c r="Y14" i="2"/>
  <c r="Z14" i="2"/>
  <c r="AA14" i="2"/>
  <c r="W14" i="2"/>
  <c r="W13" i="2"/>
  <c r="W11" i="2"/>
  <c r="X36" i="2"/>
  <c r="Y36" i="2"/>
  <c r="Z36" i="2"/>
  <c r="AA36" i="2"/>
  <c r="W36" i="2"/>
  <c r="X40" i="2"/>
  <c r="Y40" i="2"/>
  <c r="Z40" i="2"/>
  <c r="AA40" i="2"/>
  <c r="W40" i="2"/>
  <c r="W50" i="2"/>
  <c r="X59" i="2"/>
  <c r="Y59" i="2"/>
  <c r="Z59" i="2"/>
  <c r="Z58" i="2" s="1"/>
  <c r="AA59" i="2"/>
  <c r="W59" i="2"/>
  <c r="W58" i="2" s="1"/>
  <c r="W62" i="2"/>
  <c r="P119" i="2"/>
  <c r="X64" i="2"/>
  <c r="Y64" i="2"/>
  <c r="Z64" i="2"/>
  <c r="AA64" i="2"/>
  <c r="X65" i="2"/>
  <c r="Y65" i="2"/>
  <c r="Z65" i="2"/>
  <c r="AA65" i="2"/>
  <c r="AB65" i="2"/>
  <c r="X66" i="2"/>
  <c r="Y66" i="2"/>
  <c r="Z66" i="2"/>
  <c r="AA66" i="2"/>
  <c r="W65" i="2"/>
  <c r="W66" i="2"/>
  <c r="W64" i="2"/>
  <c r="X62" i="2"/>
  <c r="X58" i="2" s="1"/>
  <c r="Y62" i="2"/>
  <c r="Y58" i="2" s="1"/>
  <c r="Z62" i="2"/>
  <c r="AA62" i="2"/>
  <c r="AA58" i="2"/>
  <c r="X50" i="2"/>
  <c r="Y50" i="2"/>
  <c r="Z50" i="2"/>
  <c r="AA50" i="2"/>
  <c r="X49" i="2"/>
  <c r="Y49" i="2"/>
  <c r="Z49" i="2"/>
  <c r="AA49" i="2"/>
  <c r="W49" i="2"/>
  <c r="X48" i="2"/>
  <c r="Y48" i="2"/>
  <c r="Z48" i="2"/>
  <c r="AA48" i="2"/>
  <c r="W48" i="2"/>
  <c r="X44" i="2"/>
  <c r="Y44" i="2"/>
  <c r="Z44" i="2"/>
  <c r="AA44" i="2"/>
  <c r="AA43" i="2" s="1"/>
  <c r="W44" i="2"/>
  <c r="X39" i="2"/>
  <c r="Y39" i="2"/>
  <c r="Z39" i="2"/>
  <c r="AA39" i="2"/>
  <c r="W39" i="2"/>
  <c r="X38" i="2"/>
  <c r="Y38" i="2"/>
  <c r="Z38" i="2"/>
  <c r="AA38" i="2"/>
  <c r="W38" i="2"/>
  <c r="X35" i="2"/>
  <c r="Y35" i="2"/>
  <c r="Z35" i="2"/>
  <c r="AA35" i="2"/>
  <c r="W35" i="2"/>
  <c r="X33" i="2"/>
  <c r="Y33" i="2"/>
  <c r="Z33" i="2"/>
  <c r="AA33" i="2"/>
  <c r="W33" i="2"/>
  <c r="X32" i="2"/>
  <c r="Y32" i="2"/>
  <c r="Z32" i="2"/>
  <c r="AA32" i="2"/>
  <c r="W32" i="2"/>
  <c r="W27" i="2"/>
  <c r="W26" i="2" s="1"/>
  <c r="W31" i="2"/>
  <c r="X28" i="2"/>
  <c r="Y28" i="2"/>
  <c r="Z28" i="2"/>
  <c r="AA28" i="2"/>
  <c r="X29" i="2"/>
  <c r="Y29" i="2"/>
  <c r="Z29" i="2"/>
  <c r="AA29" i="2"/>
  <c r="X30" i="2"/>
  <c r="Y30" i="2"/>
  <c r="Z30" i="2"/>
  <c r="AA30" i="2"/>
  <c r="X31" i="2"/>
  <c r="Y31" i="2"/>
  <c r="Z31" i="2"/>
  <c r="AA31" i="2"/>
  <c r="W30" i="2"/>
  <c r="W29" i="2"/>
  <c r="W28" i="2"/>
  <c r="X27" i="2"/>
  <c r="Y27" i="2"/>
  <c r="Z27" i="2"/>
  <c r="AA27" i="2"/>
  <c r="X10" i="2"/>
  <c r="W10" i="2"/>
  <c r="S17" i="23"/>
  <c r="AV28" i="9" s="1"/>
  <c r="S11" i="23"/>
  <c r="AY7" i="12"/>
  <c r="AT7" i="12"/>
  <c r="AO7" i="12"/>
  <c r="AJ7" i="12"/>
  <c r="AE7" i="12"/>
  <c r="Z7" i="12"/>
  <c r="Y7" i="12"/>
  <c r="Z8" i="12"/>
  <c r="W5" i="12"/>
  <c r="BV18" i="12"/>
  <c r="BU18" i="12"/>
  <c r="BT18" i="12"/>
  <c r="BS18" i="12"/>
  <c r="BR18" i="12"/>
  <c r="BQ18" i="12"/>
  <c r="BP18" i="12"/>
  <c r="BO18" i="12"/>
  <c r="BN18" i="12"/>
  <c r="BM18" i="12"/>
  <c r="BL18" i="12"/>
  <c r="BK18" i="12"/>
  <c r="BJ18" i="12"/>
  <c r="BI18" i="12"/>
  <c r="BH18" i="12"/>
  <c r="BG18" i="12"/>
  <c r="BF18" i="12"/>
  <c r="BE18" i="12"/>
  <c r="BD18" i="12"/>
  <c r="BC18" i="12"/>
  <c r="BB18" i="12"/>
  <c r="BA18" i="12"/>
  <c r="AZ18" i="12"/>
  <c r="AY18" i="12"/>
  <c r="AX18" i="12"/>
  <c r="AW18" i="12"/>
  <c r="AV18" i="12"/>
  <c r="AU18" i="12"/>
  <c r="AT18" i="12"/>
  <c r="AS18" i="12"/>
  <c r="AR18" i="12"/>
  <c r="AQ18" i="12"/>
  <c r="AP18" i="12"/>
  <c r="AO18" i="12"/>
  <c r="AN18" i="12"/>
  <c r="AM18" i="12"/>
  <c r="AL18" i="12"/>
  <c r="AK18" i="12"/>
  <c r="AJ18" i="12"/>
  <c r="AI18" i="12"/>
  <c r="AH18" i="12"/>
  <c r="AG18" i="12"/>
  <c r="AF18" i="12"/>
  <c r="AE18" i="12"/>
  <c r="AD18" i="12"/>
  <c r="AC18" i="12"/>
  <c r="AB18" i="12"/>
  <c r="AA18" i="12"/>
  <c r="Z18" i="12"/>
  <c r="Y18" i="12"/>
  <c r="W18" i="12"/>
  <c r="V18" i="12"/>
  <c r="U18" i="12"/>
  <c r="T18" i="12"/>
  <c r="S18" i="12"/>
  <c r="R18" i="12"/>
  <c r="Q18" i="12"/>
  <c r="P18" i="12"/>
  <c r="O18" i="12"/>
  <c r="Z25" i="28" l="1"/>
  <c r="AB32" i="28"/>
  <c r="AA26" i="28"/>
  <c r="AB44" i="28"/>
  <c r="AA43" i="28"/>
  <c r="AF27" i="28"/>
  <c r="AB35" i="28"/>
  <c r="AA34" i="28"/>
  <c r="AF62" i="28"/>
  <c r="AI8" i="28"/>
  <c r="AB12" i="28"/>
  <c r="O10" i="21"/>
  <c r="H10" i="21"/>
  <c r="AB10" i="24"/>
  <c r="V30" i="24"/>
  <c r="W30" i="24" s="1"/>
  <c r="X30" i="24" s="1"/>
  <c r="Y30" i="24" s="1"/>
  <c r="Z30" i="24" s="1"/>
  <c r="AA30" i="24" s="1"/>
  <c r="AB30" i="24" s="1"/>
  <c r="AC30" i="24" s="1"/>
  <c r="AD30" i="24" s="1"/>
  <c r="AE30" i="24" s="1"/>
  <c r="AF30" i="24" s="1"/>
  <c r="AG30" i="24" s="1"/>
  <c r="AH30" i="24" s="1"/>
  <c r="AI30" i="24" s="1"/>
  <c r="AJ30" i="24" s="1"/>
  <c r="AK30" i="24" s="1"/>
  <c r="AL30" i="24" s="1"/>
  <c r="AM30" i="24" s="1"/>
  <c r="AN30" i="24" s="1"/>
  <c r="AO30" i="24" s="1"/>
  <c r="AP30" i="24" s="1"/>
  <c r="AQ30" i="24" s="1"/>
  <c r="AR30" i="24" s="1"/>
  <c r="AS30" i="24" s="1"/>
  <c r="AT30" i="24" s="1"/>
  <c r="AU30" i="24" s="1"/>
  <c r="AV30" i="24" s="1"/>
  <c r="AW30" i="24" s="1"/>
  <c r="AX30" i="24" s="1"/>
  <c r="AY30" i="24" s="1"/>
  <c r="AZ30" i="24" s="1"/>
  <c r="BA30" i="24" s="1"/>
  <c r="BB30" i="24" s="1"/>
  <c r="BC30" i="24" s="1"/>
  <c r="BD30" i="24" s="1"/>
  <c r="BE30" i="24" s="1"/>
  <c r="BF30" i="24" s="1"/>
  <c r="BG30" i="24" s="1"/>
  <c r="BH30" i="24" s="1"/>
  <c r="BI30" i="24" s="1"/>
  <c r="BJ30" i="24" s="1"/>
  <c r="BK30" i="24" s="1"/>
  <c r="BL30" i="24" s="1"/>
  <c r="BM30" i="24" s="1"/>
  <c r="BN30" i="24" s="1"/>
  <c r="BO30" i="24" s="1"/>
  <c r="BP30" i="24" s="1"/>
  <c r="BQ30" i="24" s="1"/>
  <c r="U26" i="24"/>
  <c r="T43" i="24"/>
  <c r="U45" i="24"/>
  <c r="V45" i="24" s="1"/>
  <c r="W45" i="24" s="1"/>
  <c r="X45" i="24" s="1"/>
  <c r="Y45" i="24" s="1"/>
  <c r="Z45" i="24" s="1"/>
  <c r="AA45" i="24" s="1"/>
  <c r="AB45" i="24" s="1"/>
  <c r="AC45" i="24" s="1"/>
  <c r="AD45" i="24" s="1"/>
  <c r="AE45" i="24" s="1"/>
  <c r="AF45" i="24" s="1"/>
  <c r="AG45" i="24" s="1"/>
  <c r="AH45" i="24" s="1"/>
  <c r="AI45" i="24" s="1"/>
  <c r="AJ45" i="24" s="1"/>
  <c r="AK45" i="24" s="1"/>
  <c r="AL45" i="24" s="1"/>
  <c r="AM45" i="24" s="1"/>
  <c r="AN45" i="24" s="1"/>
  <c r="AO45" i="24" s="1"/>
  <c r="AP45" i="24" s="1"/>
  <c r="AQ45" i="24" s="1"/>
  <c r="AR45" i="24" s="1"/>
  <c r="AS45" i="24" s="1"/>
  <c r="AT45" i="24" s="1"/>
  <c r="AU45" i="24" s="1"/>
  <c r="AV45" i="24" s="1"/>
  <c r="AW45" i="24" s="1"/>
  <c r="AX45" i="24" s="1"/>
  <c r="AY45" i="24" s="1"/>
  <c r="AZ45" i="24" s="1"/>
  <c r="BA45" i="24" s="1"/>
  <c r="BB45" i="24" s="1"/>
  <c r="BC45" i="24" s="1"/>
  <c r="BD45" i="24" s="1"/>
  <c r="BE45" i="24" s="1"/>
  <c r="BF45" i="24" s="1"/>
  <c r="BG45" i="24" s="1"/>
  <c r="BH45" i="24" s="1"/>
  <c r="BI45" i="24" s="1"/>
  <c r="BJ45" i="24" s="1"/>
  <c r="BK45" i="24" s="1"/>
  <c r="BL45" i="24" s="1"/>
  <c r="BM45" i="24" s="1"/>
  <c r="BN45" i="24" s="1"/>
  <c r="BO45" i="24" s="1"/>
  <c r="BP45" i="24" s="1"/>
  <c r="BQ45" i="24" s="1"/>
  <c r="S107" i="24"/>
  <c r="N112" i="24"/>
  <c r="S112" i="24" s="1"/>
  <c r="AH90" i="24"/>
  <c r="AH74" i="24"/>
  <c r="AH73" i="24" s="1"/>
  <c r="BC81" i="24"/>
  <c r="BC74" i="24"/>
  <c r="BC73" i="24" s="1"/>
  <c r="Z77" i="24"/>
  <c r="Z74" i="24" s="1"/>
  <c r="Z73" i="24" s="1"/>
  <c r="Z91" i="24"/>
  <c r="Z90" i="24" s="1"/>
  <c r="Y81" i="24"/>
  <c r="Y74" i="24"/>
  <c r="Y73" i="24" s="1"/>
  <c r="AO81" i="24"/>
  <c r="AO74" i="24"/>
  <c r="AO73" i="24" s="1"/>
  <c r="BE74" i="24"/>
  <c r="BE73" i="24" s="1"/>
  <c r="BE81" i="24"/>
  <c r="W27" i="24"/>
  <c r="U62" i="24"/>
  <c r="AF74" i="24"/>
  <c r="AF73" i="24" s="1"/>
  <c r="AF90" i="24"/>
  <c r="AD8" i="24"/>
  <c r="U35" i="24"/>
  <c r="T34" i="24"/>
  <c r="AT74" i="24"/>
  <c r="AT73" i="24" s="1"/>
  <c r="AT81" i="24"/>
  <c r="V12" i="24"/>
  <c r="P100" i="24"/>
  <c r="P105" i="24" s="1"/>
  <c r="P113" i="24" s="1"/>
  <c r="O96" i="24"/>
  <c r="S97" i="24"/>
  <c r="AD74" i="24"/>
  <c r="AD73" i="24" s="1"/>
  <c r="BJ81" i="24"/>
  <c r="AL74" i="24"/>
  <c r="AL73" i="24" s="1"/>
  <c r="AL81" i="24"/>
  <c r="AS81" i="24"/>
  <c r="AS74" i="24"/>
  <c r="AS73" i="24" s="1"/>
  <c r="BI81" i="24"/>
  <c r="BI74" i="24"/>
  <c r="BI73" i="24" s="1"/>
  <c r="AV74" i="24"/>
  <c r="AV73" i="24" s="1"/>
  <c r="Q80" i="24"/>
  <c r="Q100" i="24" s="1"/>
  <c r="Q105" i="24" s="1"/>
  <c r="Q113" i="24" s="1"/>
  <c r="AX81" i="24"/>
  <c r="AX74" i="24"/>
  <c r="AX73" i="24" s="1"/>
  <c r="S108" i="24"/>
  <c r="N111" i="24"/>
  <c r="AW81" i="24"/>
  <c r="AW74" i="24"/>
  <c r="AW73" i="24" s="1"/>
  <c r="T26" i="24"/>
  <c r="T25" i="24" s="1"/>
  <c r="V44" i="24"/>
  <c r="AE92" i="24"/>
  <c r="V74" i="24"/>
  <c r="V73" i="24" s="1"/>
  <c r="S73" i="24"/>
  <c r="BM81" i="24"/>
  <c r="BM74" i="24"/>
  <c r="BM73" i="24" s="1"/>
  <c r="S96" i="24"/>
  <c r="P111" i="24"/>
  <c r="AY81" i="24"/>
  <c r="AY74" i="24"/>
  <c r="AY73" i="24" s="1"/>
  <c r="AI77" i="24"/>
  <c r="AI92" i="24" s="1"/>
  <c r="AJ81" i="24"/>
  <c r="AJ74" i="24"/>
  <c r="AJ73" i="24" s="1"/>
  <c r="AZ81" i="24"/>
  <c r="BB74" i="24"/>
  <c r="BB73" i="24" s="1"/>
  <c r="BB81" i="24"/>
  <c r="U81" i="24"/>
  <c r="U74" i="24"/>
  <c r="U73" i="24" s="1"/>
  <c r="AK81" i="24"/>
  <c r="AK74" i="24"/>
  <c r="AK73" i="24" s="1"/>
  <c r="BQ81" i="24"/>
  <c r="BQ74" i="24"/>
  <c r="BQ73" i="24" s="1"/>
  <c r="S109" i="24"/>
  <c r="BF74" i="24"/>
  <c r="BF73" i="24" s="1"/>
  <c r="BF81" i="24"/>
  <c r="S106" i="24"/>
  <c r="P112" i="24"/>
  <c r="AA77" i="24"/>
  <c r="AA92" i="24" s="1"/>
  <c r="R111" i="24"/>
  <c r="R112" i="24" s="1"/>
  <c r="AB77" i="24"/>
  <c r="AB92" i="24" s="1"/>
  <c r="AP74" i="24"/>
  <c r="AP73" i="24" s="1"/>
  <c r="AP81" i="24"/>
  <c r="AM81" i="24"/>
  <c r="AM74" i="24"/>
  <c r="AM73" i="24" s="1"/>
  <c r="BG81" i="24"/>
  <c r="BG74" i="24"/>
  <c r="BG73" i="24" s="1"/>
  <c r="BH74" i="24"/>
  <c r="BH73" i="24" s="1"/>
  <c r="BH81" i="24"/>
  <c r="AQ74" i="24"/>
  <c r="AQ73" i="24" s="1"/>
  <c r="BO27" i="9"/>
  <c r="AY27" i="9"/>
  <c r="AI27" i="9"/>
  <c r="S27" i="9"/>
  <c r="BL27" i="9"/>
  <c r="AV27" i="9"/>
  <c r="AV30" i="9" s="1"/>
  <c r="AF27" i="9"/>
  <c r="BK27" i="9"/>
  <c r="AU27" i="9"/>
  <c r="AE27" i="9"/>
  <c r="BJ27" i="9"/>
  <c r="BJ30" i="9" s="1"/>
  <c r="AT27" i="9"/>
  <c r="AT30" i="9" s="1"/>
  <c r="AD27" i="9"/>
  <c r="AD30" i="9" s="1"/>
  <c r="BI27" i="9"/>
  <c r="BI30" i="9" s="1"/>
  <c r="AS27" i="9"/>
  <c r="AS30" i="9" s="1"/>
  <c r="AC27" i="9"/>
  <c r="AC30" i="9" s="1"/>
  <c r="BH27" i="9"/>
  <c r="AR27" i="9"/>
  <c r="AB27" i="9"/>
  <c r="BG27" i="9"/>
  <c r="AQ27" i="9"/>
  <c r="AA27" i="9"/>
  <c r="BF27" i="9"/>
  <c r="AP27" i="9"/>
  <c r="Z27" i="9"/>
  <c r="Z30" i="9" s="1"/>
  <c r="AZ28" i="9"/>
  <c r="U28" i="9"/>
  <c r="BA28" i="9"/>
  <c r="V28" i="9"/>
  <c r="BB28" i="9"/>
  <c r="BC28" i="9"/>
  <c r="AE28" i="9"/>
  <c r="BN28" i="9"/>
  <c r="AI28" i="9"/>
  <c r="AJ28" i="9"/>
  <c r="BD27" i="9"/>
  <c r="T28" i="9"/>
  <c r="AN27" i="9"/>
  <c r="AO27" i="9"/>
  <c r="AO30" i="9" s="1"/>
  <c r="BK28" i="9"/>
  <c r="AX27" i="9"/>
  <c r="AX30" i="9" s="1"/>
  <c r="BA27" i="9"/>
  <c r="W27" i="9"/>
  <c r="W30" i="9" s="1"/>
  <c r="AL28" i="9"/>
  <c r="BE27" i="9"/>
  <c r="BE30" i="9" s="1"/>
  <c r="AU28" i="9"/>
  <c r="AH27" i="9"/>
  <c r="AH30" i="9" s="1"/>
  <c r="BN27" i="9"/>
  <c r="BM28" i="9"/>
  <c r="AW28" i="9"/>
  <c r="AG28" i="9"/>
  <c r="BJ28" i="9"/>
  <c r="AT28" i="9"/>
  <c r="AD28" i="9"/>
  <c r="BI28" i="9"/>
  <c r="AS28" i="9"/>
  <c r="AC28" i="9"/>
  <c r="BH28" i="9"/>
  <c r="AR28" i="9"/>
  <c r="AB28" i="9"/>
  <c r="BG28" i="9"/>
  <c r="AQ28" i="9"/>
  <c r="AA28" i="9"/>
  <c r="BF28" i="9"/>
  <c r="AP28" i="9"/>
  <c r="Z28" i="9"/>
  <c r="BE28" i="9"/>
  <c r="AO28" i="9"/>
  <c r="Y28" i="9"/>
  <c r="BD28" i="9"/>
  <c r="AN28" i="9"/>
  <c r="X28" i="9"/>
  <c r="AF28" i="9"/>
  <c r="T27" i="9"/>
  <c r="T30" i="9" s="1"/>
  <c r="AZ27" i="9"/>
  <c r="AZ30" i="9" s="1"/>
  <c r="U27" i="9"/>
  <c r="U30" i="9" s="1"/>
  <c r="BO28" i="9"/>
  <c r="V27" i="9"/>
  <c r="V30" i="9" s="1"/>
  <c r="BP28" i="9"/>
  <c r="AK28" i="9"/>
  <c r="X27" i="9"/>
  <c r="Y27" i="9"/>
  <c r="AM28" i="9"/>
  <c r="AG27" i="9"/>
  <c r="AG30" i="9" s="1"/>
  <c r="AJ27" i="9"/>
  <c r="AJ30" i="9" s="1"/>
  <c r="BP27" i="9"/>
  <c r="AX28" i="9"/>
  <c r="AL27" i="9"/>
  <c r="AM27" i="9"/>
  <c r="AM30" i="9" s="1"/>
  <c r="W28" i="9"/>
  <c r="AW27" i="9"/>
  <c r="AW30" i="9" s="1"/>
  <c r="BL28" i="9"/>
  <c r="AH28" i="9"/>
  <c r="BB27" i="9"/>
  <c r="BB30" i="9" s="1"/>
  <c r="BC27" i="9"/>
  <c r="BC30" i="9" s="1"/>
  <c r="BM27" i="9"/>
  <c r="AK27" i="9"/>
  <c r="S28" i="9"/>
  <c r="AY28" i="9"/>
  <c r="AA26" i="2"/>
  <c r="AA34" i="2"/>
  <c r="X34" i="2"/>
  <c r="Z43" i="2"/>
  <c r="Y43" i="2"/>
  <c r="X43" i="2"/>
  <c r="W43" i="2"/>
  <c r="Z34" i="2"/>
  <c r="Y34" i="2"/>
  <c r="W34" i="2"/>
  <c r="Z26" i="2"/>
  <c r="Y26" i="2"/>
  <c r="X26" i="2"/>
  <c r="AE8" i="12"/>
  <c r="N18" i="12"/>
  <c r="N5" i="12"/>
  <c r="O5" i="12"/>
  <c r="P5" i="12"/>
  <c r="Q5" i="12"/>
  <c r="R5" i="12"/>
  <c r="S5" i="12"/>
  <c r="T5" i="12"/>
  <c r="U5" i="12"/>
  <c r="V5" i="12"/>
  <c r="N7" i="12"/>
  <c r="O7" i="12"/>
  <c r="P7" i="12"/>
  <c r="Q7" i="12"/>
  <c r="R7" i="12"/>
  <c r="S7" i="12"/>
  <c r="T7" i="12"/>
  <c r="U7" i="12"/>
  <c r="V7" i="12"/>
  <c r="W7" i="12"/>
  <c r="N9" i="12"/>
  <c r="O9" i="12"/>
  <c r="P9" i="12"/>
  <c r="Q9" i="12"/>
  <c r="R9" i="12"/>
  <c r="S9" i="12"/>
  <c r="T9" i="12"/>
  <c r="U9" i="12"/>
  <c r="V9" i="12"/>
  <c r="W9" i="12"/>
  <c r="N19" i="12"/>
  <c r="O19" i="12"/>
  <c r="P19" i="12"/>
  <c r="Q19" i="12"/>
  <c r="R19" i="12"/>
  <c r="S19" i="12"/>
  <c r="T19" i="12"/>
  <c r="U19" i="12"/>
  <c r="V19" i="12"/>
  <c r="W19" i="12"/>
  <c r="AG62" i="28" l="1"/>
  <c r="AC35" i="28"/>
  <c r="AB34" i="28"/>
  <c r="AG27" i="28"/>
  <c r="AC44" i="28"/>
  <c r="AB43" i="28"/>
  <c r="AC32" i="28"/>
  <c r="AB26" i="28"/>
  <c r="AB25" i="28" s="1"/>
  <c r="AJ8" i="28"/>
  <c r="AA25" i="28"/>
  <c r="AC12" i="28"/>
  <c r="P10" i="21"/>
  <c r="AI90" i="24"/>
  <c r="AI74" i="24"/>
  <c r="AI73" i="24" s="1"/>
  <c r="AA74" i="24"/>
  <c r="AA73" i="24" s="1"/>
  <c r="AA90" i="24"/>
  <c r="AB74" i="24"/>
  <c r="AB73" i="24" s="1"/>
  <c r="AB90" i="24"/>
  <c r="W44" i="24"/>
  <c r="V43" i="24"/>
  <c r="U43" i="24"/>
  <c r="U34" i="24"/>
  <c r="V35" i="24"/>
  <c r="V62" i="24"/>
  <c r="W26" i="24"/>
  <c r="X27" i="24"/>
  <c r="W12" i="24"/>
  <c r="AE74" i="24"/>
  <c r="AE73" i="24" s="1"/>
  <c r="AE90" i="24"/>
  <c r="AE8" i="24"/>
  <c r="AC10" i="24"/>
  <c r="S111" i="24"/>
  <c r="V26" i="24"/>
  <c r="AK30" i="9"/>
  <c r="X30" i="9"/>
  <c r="BH30" i="9"/>
  <c r="BO30" i="9"/>
  <c r="AU30" i="9"/>
  <c r="AP30" i="9"/>
  <c r="BF30" i="9"/>
  <c r="BP30" i="9"/>
  <c r="AA30" i="9"/>
  <c r="AQ30" i="9"/>
  <c r="BL30" i="9"/>
  <c r="BD30" i="9"/>
  <c r="AB30" i="9"/>
  <c r="AI30" i="9"/>
  <c r="BM30" i="9"/>
  <c r="BN30" i="9"/>
  <c r="BA30" i="9"/>
  <c r="AE30" i="9"/>
  <c r="AL30" i="9"/>
  <c r="BK30" i="9"/>
  <c r="AF30" i="9"/>
  <c r="AN30" i="9"/>
  <c r="BG30" i="9"/>
  <c r="S30" i="9"/>
  <c r="Y30" i="9"/>
  <c r="AR30" i="9"/>
  <c r="AY30" i="9"/>
  <c r="AB11" i="12"/>
  <c r="AV11" i="12"/>
  <c r="AO11" i="12"/>
  <c r="AU11" i="12"/>
  <c r="AU10" i="12" s="1"/>
  <c r="AV10" i="12" s="1"/>
  <c r="AR11" i="12"/>
  <c r="AQ11" i="12"/>
  <c r="AI11" i="12"/>
  <c r="AH11" i="12"/>
  <c r="Z11" i="12"/>
  <c r="AX11" i="12"/>
  <c r="AY11" i="12" s="1"/>
  <c r="AZ11" i="12" s="1"/>
  <c r="AA11" i="12"/>
  <c r="AA10" i="12" s="1"/>
  <c r="AB10" i="12" s="1"/>
  <c r="AC10" i="12" s="1"/>
  <c r="AK11" i="12"/>
  <c r="AK10" i="12" s="1"/>
  <c r="AC11" i="12"/>
  <c r="AW11" i="12"/>
  <c r="AT11" i="12"/>
  <c r="AJ11" i="12"/>
  <c r="AL11" i="12"/>
  <c r="AD11" i="12"/>
  <c r="AS11" i="12"/>
  <c r="AE11" i="12"/>
  <c r="AP11" i="12"/>
  <c r="AP10" i="12" s="1"/>
  <c r="AM11" i="12"/>
  <c r="AN11" i="12"/>
  <c r="AG11" i="12"/>
  <c r="AF11" i="12"/>
  <c r="AF10" i="12" s="1"/>
  <c r="AG10" i="12" s="1"/>
  <c r="AJ6" i="12"/>
  <c r="AH6" i="12"/>
  <c r="AW6" i="12"/>
  <c r="AF6" i="12"/>
  <c r="AF5" i="12" s="1"/>
  <c r="AF7" i="12" s="1"/>
  <c r="AE6" i="12"/>
  <c r="AD6" i="12"/>
  <c r="AC6" i="12"/>
  <c r="AR6" i="12"/>
  <c r="AA6" i="12"/>
  <c r="AA5" i="12" s="1"/>
  <c r="AA7" i="12" s="1"/>
  <c r="AP6" i="12"/>
  <c r="AP5" i="12" s="1"/>
  <c r="AN6" i="12"/>
  <c r="AK6" i="12"/>
  <c r="AK5" i="12" s="1"/>
  <c r="AI6" i="12"/>
  <c r="AX6" i="12"/>
  <c r="AG6" i="12"/>
  <c r="AV6" i="12"/>
  <c r="AU6" i="12"/>
  <c r="AU5" i="12" s="1"/>
  <c r="AU7" i="12" s="1"/>
  <c r="AT6" i="12"/>
  <c r="AS6" i="12"/>
  <c r="AB6" i="12"/>
  <c r="AQ6" i="12"/>
  <c r="Z6" i="12"/>
  <c r="AO6" i="12"/>
  <c r="AM6" i="12"/>
  <c r="AL6" i="12"/>
  <c r="S27" i="23"/>
  <c r="S26" i="23"/>
  <c r="S25" i="23"/>
  <c r="S24" i="23"/>
  <c r="S22" i="23"/>
  <c r="S21" i="23"/>
  <c r="S20" i="23"/>
  <c r="S19" i="23"/>
  <c r="S16" i="23"/>
  <c r="S15" i="23"/>
  <c r="S14" i="23"/>
  <c r="S13" i="23"/>
  <c r="S10" i="23"/>
  <c r="S9" i="23"/>
  <c r="S8" i="23"/>
  <c r="S7" i="23"/>
  <c r="S50" i="23"/>
  <c r="S49" i="23"/>
  <c r="S48" i="23"/>
  <c r="S47" i="23"/>
  <c r="S46" i="23"/>
  <c r="S45" i="23"/>
  <c r="S44" i="23"/>
  <c r="S43" i="23"/>
  <c r="S42" i="23"/>
  <c r="S41" i="23"/>
  <c r="R34" i="23"/>
  <c r="Q34" i="23"/>
  <c r="P34" i="23"/>
  <c r="O34" i="23"/>
  <c r="N34" i="23"/>
  <c r="R32" i="23"/>
  <c r="Q32" i="23"/>
  <c r="P32" i="23"/>
  <c r="O32" i="23"/>
  <c r="N32" i="23"/>
  <c r="R31" i="23"/>
  <c r="Q31" i="23"/>
  <c r="P31" i="23"/>
  <c r="O31" i="23"/>
  <c r="N31" i="23"/>
  <c r="R29" i="23"/>
  <c r="Q29" i="23"/>
  <c r="P29" i="23"/>
  <c r="O29" i="23"/>
  <c r="N29" i="23"/>
  <c r="AB73" i="6"/>
  <c r="AK8" i="28" l="1"/>
  <c r="AD32" i="28"/>
  <c r="AC26" i="28"/>
  <c r="AC43" i="28"/>
  <c r="AD44" i="28"/>
  <c r="AH27" i="28"/>
  <c r="AD12" i="28"/>
  <c r="AD35" i="28"/>
  <c r="AC34" i="28"/>
  <c r="AH62" i="28"/>
  <c r="Q10" i="21"/>
  <c r="R10" i="21" s="1"/>
  <c r="S10" i="21" s="1"/>
  <c r="T10" i="21" s="1"/>
  <c r="U10" i="21" s="1"/>
  <c r="V10" i="21" s="1"/>
  <c r="W10" i="21" s="1"/>
  <c r="AF73" i="6"/>
  <c r="AA73" i="6"/>
  <c r="AG73" i="6"/>
  <c r="AE73" i="6"/>
  <c r="AD10" i="24"/>
  <c r="X12" i="24"/>
  <c r="W43" i="24"/>
  <c r="X44" i="24"/>
  <c r="V34" i="24"/>
  <c r="W35" i="24"/>
  <c r="X26" i="24"/>
  <c r="Y27" i="24"/>
  <c r="W62" i="24"/>
  <c r="AF8" i="24"/>
  <c r="S31" i="23"/>
  <c r="AI73" i="6"/>
  <c r="AD73" i="6"/>
  <c r="AH73" i="6"/>
  <c r="AC73" i="6"/>
  <c r="Q33" i="23"/>
  <c r="Q35" i="23" s="1"/>
  <c r="P33" i="23"/>
  <c r="P35" i="23" s="1"/>
  <c r="R33" i="23"/>
  <c r="R35" i="23"/>
  <c r="O33" i="23"/>
  <c r="O35" i="23" s="1"/>
  <c r="N33" i="23"/>
  <c r="N35" i="23" s="1"/>
  <c r="P30" i="23"/>
  <c r="P36" i="23" s="1"/>
  <c r="O30" i="23"/>
  <c r="O36" i="23" s="1"/>
  <c r="AL5" i="12"/>
  <c r="AK7" i="12"/>
  <c r="AQ5" i="12"/>
  <c r="AP7" i="12"/>
  <c r="S34" i="23"/>
  <c r="N30" i="23"/>
  <c r="N36" i="23" s="1"/>
  <c r="Q30" i="23"/>
  <c r="Q36" i="23" s="1"/>
  <c r="R30" i="23"/>
  <c r="R36" i="23" s="1"/>
  <c r="BA11" i="12"/>
  <c r="BB11" i="12" s="1"/>
  <c r="BC11" i="12" s="1"/>
  <c r="BD11" i="12" s="1"/>
  <c r="BE11" i="12" s="1"/>
  <c r="BF11" i="12" s="1"/>
  <c r="BG11" i="12" s="1"/>
  <c r="BH11" i="12" s="1"/>
  <c r="BI11" i="12" s="1"/>
  <c r="BJ11" i="12" s="1"/>
  <c r="BK11" i="12" s="1"/>
  <c r="BL11" i="12" s="1"/>
  <c r="BM11" i="12" s="1"/>
  <c r="BN11" i="12" s="1"/>
  <c r="BO11" i="12" s="1"/>
  <c r="BP11" i="12" s="1"/>
  <c r="BQ11" i="12" s="1"/>
  <c r="BR11" i="12" s="1"/>
  <c r="BS11" i="12" s="1"/>
  <c r="BT11" i="12" s="1"/>
  <c r="BU11" i="12" s="1"/>
  <c r="BV11" i="12" s="1"/>
  <c r="AZ10" i="12"/>
  <c r="BA10" i="12" s="1"/>
  <c r="BB10" i="12" s="1"/>
  <c r="BC10" i="12" s="1"/>
  <c r="BD10" i="12" s="1"/>
  <c r="BE10" i="12" s="1"/>
  <c r="BF10" i="12" s="1"/>
  <c r="BG10" i="12" s="1"/>
  <c r="BH10" i="12" s="1"/>
  <c r="BI10" i="12" s="1"/>
  <c r="BJ10" i="12" s="1"/>
  <c r="BK10" i="12" s="1"/>
  <c r="BL10" i="12" s="1"/>
  <c r="BM10" i="12" s="1"/>
  <c r="BN10" i="12" s="1"/>
  <c r="BO10" i="12" s="1"/>
  <c r="BP10" i="12" s="1"/>
  <c r="BQ10" i="12" s="1"/>
  <c r="BR10" i="12" s="1"/>
  <c r="BS10" i="12" s="1"/>
  <c r="BT10" i="12" s="1"/>
  <c r="BU10" i="12" s="1"/>
  <c r="BV10" i="12" s="1"/>
  <c r="AW10" i="12"/>
  <c r="AX10" i="12" s="1"/>
  <c r="AD10" i="12"/>
  <c r="AL10" i="12"/>
  <c r="AM10" i="12" s="1"/>
  <c r="AN10" i="12" s="1"/>
  <c r="AH10" i="12"/>
  <c r="AI10" i="12" s="1"/>
  <c r="AQ10" i="12"/>
  <c r="AR10" i="12" s="1"/>
  <c r="AS10" i="12" s="1"/>
  <c r="AB5" i="12"/>
  <c r="AB7" i="12" s="1"/>
  <c r="AA8" i="12"/>
  <c r="AV5" i="12"/>
  <c r="AG5" i="12"/>
  <c r="S32" i="23"/>
  <c r="S29" i="23"/>
  <c r="S37" i="6"/>
  <c r="S45" i="6"/>
  <c r="T45" i="6" s="1"/>
  <c r="U45" i="6" s="1"/>
  <c r="V45" i="6" s="1"/>
  <c r="W45" i="6" s="1"/>
  <c r="X45" i="6" s="1"/>
  <c r="Y45" i="6" s="1"/>
  <c r="Z45" i="6" s="1"/>
  <c r="AA45" i="6" s="1"/>
  <c r="AB45" i="6" s="1"/>
  <c r="AC45" i="6" s="1"/>
  <c r="AD45" i="6" s="1"/>
  <c r="AE45" i="6" s="1"/>
  <c r="AF45" i="6" s="1"/>
  <c r="AG45" i="6" s="1"/>
  <c r="AH45" i="6" s="1"/>
  <c r="AI45" i="6" s="1"/>
  <c r="AJ45" i="6" s="1"/>
  <c r="AK45" i="6" s="1"/>
  <c r="AL45" i="6" s="1"/>
  <c r="AM45" i="6" s="1"/>
  <c r="AN45" i="6" s="1"/>
  <c r="AO45" i="6" s="1"/>
  <c r="AP45" i="6" s="1"/>
  <c r="AQ45" i="6" s="1"/>
  <c r="AR45" i="6" s="1"/>
  <c r="AS45" i="6" s="1"/>
  <c r="AT45" i="6" s="1"/>
  <c r="AU45" i="6" s="1"/>
  <c r="AV45" i="6" s="1"/>
  <c r="AW45" i="6" s="1"/>
  <c r="AX45" i="6" s="1"/>
  <c r="AY45" i="6" s="1"/>
  <c r="AZ45" i="6" s="1"/>
  <c r="BA45" i="6" s="1"/>
  <c r="BB45" i="6" s="1"/>
  <c r="BC45" i="6" s="1"/>
  <c r="BD45" i="6" s="1"/>
  <c r="BE45" i="6" s="1"/>
  <c r="BF45" i="6" s="1"/>
  <c r="BG45" i="6" s="1"/>
  <c r="BH45" i="6" s="1"/>
  <c r="BI45" i="6" s="1"/>
  <c r="BJ45" i="6" s="1"/>
  <c r="BK45" i="6" s="1"/>
  <c r="BL45" i="6" s="1"/>
  <c r="BM45" i="6" s="1"/>
  <c r="BN45" i="6" s="1"/>
  <c r="BO45" i="6" s="1"/>
  <c r="BP45" i="6" s="1"/>
  <c r="BQ45" i="6" s="1"/>
  <c r="S47" i="6"/>
  <c r="S53" i="6"/>
  <c r="S55" i="6"/>
  <c r="S61" i="6"/>
  <c r="S19" i="6"/>
  <c r="S23" i="6"/>
  <c r="S24" i="6"/>
  <c r="S25" i="6"/>
  <c r="S26" i="6"/>
  <c r="S41" i="6"/>
  <c r="S42" i="6"/>
  <c r="S46" i="6"/>
  <c r="S51" i="6"/>
  <c r="S54" i="6"/>
  <c r="S56" i="6"/>
  <c r="S57" i="6"/>
  <c r="S65" i="6"/>
  <c r="S67" i="6"/>
  <c r="N23" i="6"/>
  <c r="N26" i="6"/>
  <c r="N27" i="6"/>
  <c r="N28" i="6"/>
  <c r="N29" i="6"/>
  <c r="N30" i="6"/>
  <c r="N31" i="6"/>
  <c r="N32" i="6"/>
  <c r="N33" i="6"/>
  <c r="N34" i="6"/>
  <c r="N35" i="6"/>
  <c r="N36" i="6"/>
  <c r="N37" i="6"/>
  <c r="N38" i="6"/>
  <c r="N39" i="6"/>
  <c r="N40" i="6"/>
  <c r="N41" i="6"/>
  <c r="N43" i="6"/>
  <c r="N44" i="6"/>
  <c r="N45" i="6"/>
  <c r="N46" i="6"/>
  <c r="N47" i="6"/>
  <c r="N48" i="6"/>
  <c r="N49" i="6"/>
  <c r="N50" i="6"/>
  <c r="N51" i="6"/>
  <c r="N53" i="6"/>
  <c r="N54" i="6"/>
  <c r="N56" i="6"/>
  <c r="N57" i="6"/>
  <c r="N58" i="6"/>
  <c r="N59" i="6"/>
  <c r="N61" i="6"/>
  <c r="N62" i="6"/>
  <c r="N64" i="6"/>
  <c r="N65" i="6"/>
  <c r="N66" i="6"/>
  <c r="N67" i="6"/>
  <c r="N19" i="6"/>
  <c r="N18" i="6"/>
  <c r="S18" i="6"/>
  <c r="S8" i="6"/>
  <c r="O22" i="4"/>
  <c r="O76" i="4"/>
  <c r="L76" i="4"/>
  <c r="M76" i="4"/>
  <c r="N76" i="4"/>
  <c r="K76" i="4"/>
  <c r="G76" i="4"/>
  <c r="H76" i="4"/>
  <c r="I76" i="4"/>
  <c r="J76" i="4"/>
  <c r="F76" i="4"/>
  <c r="H22" i="4"/>
  <c r="G7" i="4"/>
  <c r="F46" i="4"/>
  <c r="F35" i="4" s="1"/>
  <c r="F59" i="4"/>
  <c r="AI27" i="28" l="1"/>
  <c r="AC25" i="28"/>
  <c r="AL8" i="28"/>
  <c r="AI62" i="28"/>
  <c r="AE35" i="28"/>
  <c r="AD34" i="28"/>
  <c r="AE12" i="28"/>
  <c r="AE44" i="28"/>
  <c r="AD43" i="28"/>
  <c r="AE32" i="28"/>
  <c r="AD26" i="28"/>
  <c r="X10" i="21"/>
  <c r="Y12" i="24"/>
  <c r="X35" i="24"/>
  <c r="W34" i="24"/>
  <c r="AG8" i="24"/>
  <c r="AE10" i="24"/>
  <c r="X43" i="24"/>
  <c r="Y44" i="24"/>
  <c r="X62" i="24"/>
  <c r="Z27" i="24"/>
  <c r="Y26" i="24"/>
  <c r="S33" i="23"/>
  <c r="S35" i="23" s="1"/>
  <c r="AW5" i="12"/>
  <c r="AV7" i="12"/>
  <c r="AH5" i="12"/>
  <c r="AG7" i="12"/>
  <c r="AR5" i="12"/>
  <c r="AQ7" i="12"/>
  <c r="AM5" i="12"/>
  <c r="AL7" i="12"/>
  <c r="S30" i="23"/>
  <c r="S36" i="23" s="1"/>
  <c r="AC5" i="12"/>
  <c r="AC7" i="12" s="1"/>
  <c r="AB8" i="12"/>
  <c r="T47" i="23"/>
  <c r="T46" i="23"/>
  <c r="T45" i="23"/>
  <c r="T44" i="23"/>
  <c r="T43" i="23"/>
  <c r="T42" i="23"/>
  <c r="T41" i="23"/>
  <c r="T50" i="23"/>
  <c r="T49" i="23"/>
  <c r="T48" i="23"/>
  <c r="N10" i="6"/>
  <c r="N8" i="6"/>
  <c r="J58" i="2"/>
  <c r="J39" i="2"/>
  <c r="J20" i="2"/>
  <c r="L142" i="2"/>
  <c r="I58" i="2"/>
  <c r="I39" i="2"/>
  <c r="P27" i="2"/>
  <c r="I31" i="2"/>
  <c r="H58" i="2"/>
  <c r="H39" i="2"/>
  <c r="G58" i="2"/>
  <c r="G39" i="2"/>
  <c r="F117" i="2"/>
  <c r="F58" i="2"/>
  <c r="F39" i="2"/>
  <c r="F38" i="2"/>
  <c r="Y10" i="2"/>
  <c r="Z10" i="2"/>
  <c r="AA10" i="2"/>
  <c r="F22" i="4"/>
  <c r="H7" i="4"/>
  <c r="I7" i="4"/>
  <c r="J7" i="4"/>
  <c r="K7" i="4"/>
  <c r="L7" i="4"/>
  <c r="M7" i="4"/>
  <c r="N7" i="4"/>
  <c r="O7" i="4"/>
  <c r="F7" i="4"/>
  <c r="G22" i="4"/>
  <c r="I22" i="4"/>
  <c r="J22" i="4"/>
  <c r="K22" i="4"/>
  <c r="L22" i="4"/>
  <c r="M22" i="4"/>
  <c r="N22" i="4"/>
  <c r="O78" i="2"/>
  <c r="X55" i="2"/>
  <c r="AA21" i="2"/>
  <c r="AA63" i="2"/>
  <c r="Y63" i="2"/>
  <c r="X63" i="2"/>
  <c r="W63" i="2"/>
  <c r="Z63" i="2"/>
  <c r="AA55" i="2"/>
  <c r="Y55" i="2"/>
  <c r="W55" i="2"/>
  <c r="N55" i="6" s="1"/>
  <c r="Z55" i="2"/>
  <c r="Z21" i="2"/>
  <c r="Y21" i="2"/>
  <c r="X21" i="2"/>
  <c r="W21" i="2"/>
  <c r="N21" i="6" s="1"/>
  <c r="P82" i="2"/>
  <c r="P83" i="2"/>
  <c r="P84" i="2"/>
  <c r="P85" i="2"/>
  <c r="P86" i="2"/>
  <c r="P87" i="2"/>
  <c r="P88" i="2"/>
  <c r="P89" i="2"/>
  <c r="P90" i="2"/>
  <c r="P91" i="2"/>
  <c r="P92" i="2"/>
  <c r="AB49" i="2" s="1"/>
  <c r="S49" i="6" s="1"/>
  <c r="T49" i="6" s="1"/>
  <c r="U49" i="6" s="1"/>
  <c r="V49" i="6" s="1"/>
  <c r="W49" i="6" s="1"/>
  <c r="X49" i="6" s="1"/>
  <c r="Y49" i="6" s="1"/>
  <c r="Z49" i="6" s="1"/>
  <c r="AA49" i="6" s="1"/>
  <c r="AB49" i="6" s="1"/>
  <c r="AC49" i="6" s="1"/>
  <c r="AD49" i="6" s="1"/>
  <c r="AE49" i="6" s="1"/>
  <c r="AF49" i="6" s="1"/>
  <c r="AG49" i="6" s="1"/>
  <c r="AH49" i="6" s="1"/>
  <c r="AI49" i="6" s="1"/>
  <c r="AJ49" i="6" s="1"/>
  <c r="AK49" i="6" s="1"/>
  <c r="AL49" i="6" s="1"/>
  <c r="AM49" i="6" s="1"/>
  <c r="AN49" i="6" s="1"/>
  <c r="AO49" i="6" s="1"/>
  <c r="AP49" i="6" s="1"/>
  <c r="AQ49" i="6" s="1"/>
  <c r="AR49" i="6" s="1"/>
  <c r="AS49" i="6" s="1"/>
  <c r="AT49" i="6" s="1"/>
  <c r="AU49" i="6" s="1"/>
  <c r="AV49" i="6" s="1"/>
  <c r="AW49" i="6" s="1"/>
  <c r="AX49" i="6" s="1"/>
  <c r="AY49" i="6" s="1"/>
  <c r="AZ49" i="6" s="1"/>
  <c r="BA49" i="6" s="1"/>
  <c r="BB49" i="6" s="1"/>
  <c r="BC49" i="6" s="1"/>
  <c r="BD49" i="6" s="1"/>
  <c r="BE49" i="6" s="1"/>
  <c r="BF49" i="6" s="1"/>
  <c r="BG49" i="6" s="1"/>
  <c r="BH49" i="6" s="1"/>
  <c r="BI49" i="6" s="1"/>
  <c r="BJ49" i="6" s="1"/>
  <c r="BK49" i="6" s="1"/>
  <c r="BL49" i="6" s="1"/>
  <c r="BM49" i="6" s="1"/>
  <c r="BN49" i="6" s="1"/>
  <c r="BO49" i="6" s="1"/>
  <c r="BP49" i="6" s="1"/>
  <c r="BQ49" i="6" s="1"/>
  <c r="P93" i="2"/>
  <c r="P94" i="2"/>
  <c r="P95" i="2"/>
  <c r="AB48" i="2" s="1"/>
  <c r="S48" i="6" s="1"/>
  <c r="T48" i="6" s="1"/>
  <c r="U48" i="6" s="1"/>
  <c r="V48" i="6" s="1"/>
  <c r="W48" i="6" s="1"/>
  <c r="X48" i="6" s="1"/>
  <c r="Y48" i="6" s="1"/>
  <c r="Z48" i="6" s="1"/>
  <c r="AA48" i="6" s="1"/>
  <c r="AB48" i="6" s="1"/>
  <c r="AC48" i="6" s="1"/>
  <c r="AD48" i="6" s="1"/>
  <c r="AE48" i="6" s="1"/>
  <c r="AF48" i="6" s="1"/>
  <c r="AG48" i="6" s="1"/>
  <c r="AH48" i="6" s="1"/>
  <c r="AI48" i="6" s="1"/>
  <c r="AJ48" i="6" s="1"/>
  <c r="AK48" i="6" s="1"/>
  <c r="AL48" i="6" s="1"/>
  <c r="AM48" i="6" s="1"/>
  <c r="AN48" i="6" s="1"/>
  <c r="AO48" i="6" s="1"/>
  <c r="AP48" i="6" s="1"/>
  <c r="AQ48" i="6" s="1"/>
  <c r="AR48" i="6" s="1"/>
  <c r="AS48" i="6" s="1"/>
  <c r="AT48" i="6" s="1"/>
  <c r="AU48" i="6" s="1"/>
  <c r="AV48" i="6" s="1"/>
  <c r="AW48" i="6" s="1"/>
  <c r="AX48" i="6" s="1"/>
  <c r="AY48" i="6" s="1"/>
  <c r="AZ48" i="6" s="1"/>
  <c r="BA48" i="6" s="1"/>
  <c r="BB48" i="6" s="1"/>
  <c r="BC48" i="6" s="1"/>
  <c r="BD48" i="6" s="1"/>
  <c r="BE48" i="6" s="1"/>
  <c r="BF48" i="6" s="1"/>
  <c r="BG48" i="6" s="1"/>
  <c r="BH48" i="6" s="1"/>
  <c r="BI48" i="6" s="1"/>
  <c r="BJ48" i="6" s="1"/>
  <c r="BK48" i="6" s="1"/>
  <c r="BL48" i="6" s="1"/>
  <c r="BM48" i="6" s="1"/>
  <c r="BN48" i="6" s="1"/>
  <c r="BO48" i="6" s="1"/>
  <c r="BP48" i="6" s="1"/>
  <c r="BQ48" i="6" s="1"/>
  <c r="P96" i="2"/>
  <c r="P97" i="2"/>
  <c r="P98" i="2"/>
  <c r="P114" i="2"/>
  <c r="G113" i="2"/>
  <c r="H113" i="2"/>
  <c r="I113" i="2"/>
  <c r="J113" i="2"/>
  <c r="K113" i="2"/>
  <c r="L113" i="2"/>
  <c r="M113" i="2"/>
  <c r="N113" i="2"/>
  <c r="O113" i="2"/>
  <c r="F113" i="2"/>
  <c r="F112" i="2" s="1"/>
  <c r="O76" i="2"/>
  <c r="AA42" i="2" s="1"/>
  <c r="P63" i="2"/>
  <c r="P64" i="2"/>
  <c r="P65" i="2"/>
  <c r="P66" i="2"/>
  <c r="P67" i="2"/>
  <c r="AB39" i="2" s="1"/>
  <c r="S39" i="6" s="1"/>
  <c r="T39" i="6" s="1"/>
  <c r="U39" i="6" s="1"/>
  <c r="V39" i="6" s="1"/>
  <c r="W39" i="6" s="1"/>
  <c r="X39" i="6" s="1"/>
  <c r="Y39" i="6" s="1"/>
  <c r="Z39" i="6" s="1"/>
  <c r="AA39" i="6" s="1"/>
  <c r="AB39" i="6" s="1"/>
  <c r="AC39" i="6" s="1"/>
  <c r="AD39" i="6" s="1"/>
  <c r="AE39" i="6" s="1"/>
  <c r="AF39" i="6" s="1"/>
  <c r="AG39" i="6" s="1"/>
  <c r="AH39" i="6" s="1"/>
  <c r="AI39" i="6" s="1"/>
  <c r="AJ39" i="6" s="1"/>
  <c r="AK39" i="6" s="1"/>
  <c r="AL39" i="6" s="1"/>
  <c r="AM39" i="6" s="1"/>
  <c r="AN39" i="6" s="1"/>
  <c r="AO39" i="6" s="1"/>
  <c r="AP39" i="6" s="1"/>
  <c r="AQ39" i="6" s="1"/>
  <c r="AR39" i="6" s="1"/>
  <c r="AS39" i="6" s="1"/>
  <c r="AT39" i="6" s="1"/>
  <c r="AU39" i="6" s="1"/>
  <c r="AV39" i="6" s="1"/>
  <c r="AW39" i="6" s="1"/>
  <c r="AX39" i="6" s="1"/>
  <c r="AY39" i="6" s="1"/>
  <c r="AZ39" i="6" s="1"/>
  <c r="BA39" i="6" s="1"/>
  <c r="BB39" i="6" s="1"/>
  <c r="BC39" i="6" s="1"/>
  <c r="BD39" i="6" s="1"/>
  <c r="BE39" i="6" s="1"/>
  <c r="BF39" i="6" s="1"/>
  <c r="BG39" i="6" s="1"/>
  <c r="BH39" i="6" s="1"/>
  <c r="BI39" i="6" s="1"/>
  <c r="BJ39" i="6" s="1"/>
  <c r="BK39" i="6" s="1"/>
  <c r="BL39" i="6" s="1"/>
  <c r="BM39" i="6" s="1"/>
  <c r="BN39" i="6" s="1"/>
  <c r="BO39" i="6" s="1"/>
  <c r="BP39" i="6" s="1"/>
  <c r="BQ39" i="6" s="1"/>
  <c r="P51" i="2"/>
  <c r="AB29" i="2" s="1"/>
  <c r="S29" i="6" s="1"/>
  <c r="P52" i="2"/>
  <c r="P174" i="3"/>
  <c r="I163" i="3"/>
  <c r="M161" i="3"/>
  <c r="O156" i="3"/>
  <c r="N156" i="3"/>
  <c r="M156" i="3"/>
  <c r="L156" i="3"/>
  <c r="K156" i="3"/>
  <c r="J156" i="3"/>
  <c r="I156" i="3"/>
  <c r="H156" i="3"/>
  <c r="G156" i="3"/>
  <c r="F156" i="3"/>
  <c r="P148" i="3"/>
  <c r="O147" i="3"/>
  <c r="N147" i="3"/>
  <c r="M147" i="3"/>
  <c r="L147" i="3"/>
  <c r="K147" i="3"/>
  <c r="J147" i="3"/>
  <c r="J146" i="3" s="1"/>
  <c r="I147" i="3"/>
  <c r="H147" i="3"/>
  <c r="H146" i="3" s="1"/>
  <c r="G147" i="3"/>
  <c r="F147" i="3"/>
  <c r="O146" i="3"/>
  <c r="N146" i="3"/>
  <c r="M146" i="3"/>
  <c r="L146" i="3"/>
  <c r="K146" i="3"/>
  <c r="I146" i="3"/>
  <c r="G146" i="3"/>
  <c r="F146" i="3"/>
  <c r="P146" i="3" s="1"/>
  <c r="P145" i="3"/>
  <c r="P144" i="3"/>
  <c r="P143" i="3"/>
  <c r="P142" i="3"/>
  <c r="P141" i="3"/>
  <c r="O140" i="3"/>
  <c r="N140" i="3"/>
  <c r="M140" i="3"/>
  <c r="M137" i="3" s="1"/>
  <c r="M136" i="3" s="1"/>
  <c r="M151" i="3" s="1"/>
  <c r="L140" i="3"/>
  <c r="K140" i="3"/>
  <c r="K137" i="3" s="1"/>
  <c r="K136" i="3" s="1"/>
  <c r="K151" i="3" s="1"/>
  <c r="J140" i="3"/>
  <c r="I140" i="3"/>
  <c r="H140" i="3"/>
  <c r="G140" i="3"/>
  <c r="F140" i="3"/>
  <c r="P140" i="3" s="1"/>
  <c r="P139" i="3"/>
  <c r="O138" i="3"/>
  <c r="O137" i="3" s="1"/>
  <c r="O136" i="3" s="1"/>
  <c r="O151" i="3" s="1"/>
  <c r="N138" i="3"/>
  <c r="M138" i="3"/>
  <c r="L138" i="3"/>
  <c r="K138" i="3"/>
  <c r="J138" i="3"/>
  <c r="I138" i="3"/>
  <c r="I137" i="3" s="1"/>
  <c r="I136" i="3" s="1"/>
  <c r="I151" i="3" s="1"/>
  <c r="H138" i="3"/>
  <c r="H137" i="3" s="1"/>
  <c r="H136" i="3" s="1"/>
  <c r="H151" i="3" s="1"/>
  <c r="G138" i="3"/>
  <c r="G137" i="3" s="1"/>
  <c r="G136" i="3" s="1"/>
  <c r="G151" i="3" s="1"/>
  <c r="F138" i="3"/>
  <c r="N137" i="3"/>
  <c r="L137" i="3"/>
  <c r="L136" i="3" s="1"/>
  <c r="L151" i="3" s="1"/>
  <c r="J137" i="3"/>
  <c r="F137" i="3"/>
  <c r="N136" i="3"/>
  <c r="N151" i="3" s="1"/>
  <c r="F136" i="3"/>
  <c r="F151" i="3" s="1"/>
  <c r="P133" i="3"/>
  <c r="O132" i="3"/>
  <c r="N132" i="3"/>
  <c r="M132" i="3"/>
  <c r="M131" i="3" s="1"/>
  <c r="M118" i="3" s="1"/>
  <c r="L132" i="3"/>
  <c r="L131" i="3" s="1"/>
  <c r="K132" i="3"/>
  <c r="K131" i="3" s="1"/>
  <c r="J132" i="3"/>
  <c r="I132" i="3"/>
  <c r="I131" i="3" s="1"/>
  <c r="H132" i="3"/>
  <c r="G132" i="3"/>
  <c r="F132" i="3"/>
  <c r="P132" i="3" s="1"/>
  <c r="O131" i="3"/>
  <c r="N131" i="3"/>
  <c r="J131" i="3"/>
  <c r="H131" i="3"/>
  <c r="G131" i="3"/>
  <c r="F131" i="3"/>
  <c r="P130" i="3"/>
  <c r="O129" i="3"/>
  <c r="N129" i="3"/>
  <c r="M129" i="3"/>
  <c r="L129" i="3"/>
  <c r="L128" i="3" s="1"/>
  <c r="K129" i="3"/>
  <c r="K128" i="3" s="1"/>
  <c r="J129" i="3"/>
  <c r="J128" i="3" s="1"/>
  <c r="I129" i="3"/>
  <c r="I128" i="3" s="1"/>
  <c r="H129" i="3"/>
  <c r="G129" i="3"/>
  <c r="F129" i="3"/>
  <c r="P129" i="3" s="1"/>
  <c r="O128" i="3"/>
  <c r="N128" i="3"/>
  <c r="M128" i="3"/>
  <c r="H128" i="3"/>
  <c r="G128" i="3"/>
  <c r="F128" i="3"/>
  <c r="P127" i="3"/>
  <c r="O126" i="3"/>
  <c r="N126" i="3"/>
  <c r="M126" i="3"/>
  <c r="L126" i="3"/>
  <c r="K126" i="3"/>
  <c r="K125" i="3" s="1"/>
  <c r="J126" i="3"/>
  <c r="J125" i="3" s="1"/>
  <c r="I126" i="3"/>
  <c r="I125" i="3" s="1"/>
  <c r="H126" i="3"/>
  <c r="P126" i="3" s="1"/>
  <c r="G126" i="3"/>
  <c r="F126" i="3"/>
  <c r="O125" i="3"/>
  <c r="N125" i="3"/>
  <c r="N118" i="3" s="1"/>
  <c r="M125" i="3"/>
  <c r="L125" i="3"/>
  <c r="G125" i="3"/>
  <c r="F125" i="3"/>
  <c r="P124" i="3"/>
  <c r="P123" i="3"/>
  <c r="O123" i="3"/>
  <c r="N123" i="3"/>
  <c r="M123" i="3"/>
  <c r="L123" i="3"/>
  <c r="K123" i="3"/>
  <c r="J123" i="3"/>
  <c r="J122" i="3" s="1"/>
  <c r="I123" i="3"/>
  <c r="I122" i="3" s="1"/>
  <c r="H123" i="3"/>
  <c r="H122" i="3" s="1"/>
  <c r="G123" i="3"/>
  <c r="F123" i="3"/>
  <c r="O122" i="3"/>
  <c r="N122" i="3"/>
  <c r="M122" i="3"/>
  <c r="L122" i="3"/>
  <c r="K122" i="3"/>
  <c r="G122" i="3"/>
  <c r="F122" i="3"/>
  <c r="P121" i="3"/>
  <c r="O120" i="3"/>
  <c r="O119" i="3" s="1"/>
  <c r="O118" i="3" s="1"/>
  <c r="N120" i="3"/>
  <c r="M120" i="3"/>
  <c r="L120" i="3"/>
  <c r="K120" i="3"/>
  <c r="J120" i="3"/>
  <c r="I120" i="3"/>
  <c r="I119" i="3" s="1"/>
  <c r="H120" i="3"/>
  <c r="H119" i="3" s="1"/>
  <c r="G120" i="3"/>
  <c r="G119" i="3" s="1"/>
  <c r="G118" i="3" s="1"/>
  <c r="F120" i="3"/>
  <c r="N119" i="3"/>
  <c r="M119" i="3"/>
  <c r="L119" i="3"/>
  <c r="L118" i="3" s="1"/>
  <c r="K119" i="3"/>
  <c r="J119" i="3"/>
  <c r="F119" i="3"/>
  <c r="P110" i="3"/>
  <c r="P109" i="3"/>
  <c r="O108" i="3"/>
  <c r="O107" i="3" s="1"/>
  <c r="N108" i="3"/>
  <c r="M108" i="3"/>
  <c r="L108" i="3"/>
  <c r="K108" i="3"/>
  <c r="J108" i="3"/>
  <c r="I108" i="3"/>
  <c r="I107" i="3" s="1"/>
  <c r="H108" i="3"/>
  <c r="H107" i="3" s="1"/>
  <c r="G108" i="3"/>
  <c r="G107" i="3" s="1"/>
  <c r="F108" i="3"/>
  <c r="N107" i="3"/>
  <c r="M107" i="3"/>
  <c r="L107" i="3"/>
  <c r="L35" i="3" s="1"/>
  <c r="K107" i="3"/>
  <c r="J107" i="3"/>
  <c r="J35" i="3" s="1"/>
  <c r="J113" i="3" s="1"/>
  <c r="F107" i="3"/>
  <c r="P106" i="3"/>
  <c r="O105" i="3"/>
  <c r="O104" i="3" s="1"/>
  <c r="N105" i="3"/>
  <c r="N104" i="3" s="1"/>
  <c r="M105" i="3"/>
  <c r="L105" i="3"/>
  <c r="K105" i="3"/>
  <c r="J105" i="3"/>
  <c r="I105" i="3"/>
  <c r="H105" i="3"/>
  <c r="H104" i="3" s="1"/>
  <c r="G105" i="3"/>
  <c r="G104" i="3" s="1"/>
  <c r="F105" i="3"/>
  <c r="F104" i="3" s="1"/>
  <c r="P104" i="3" s="1"/>
  <c r="M104" i="3"/>
  <c r="L104" i="3"/>
  <c r="K104" i="3"/>
  <c r="J104" i="3"/>
  <c r="I104" i="3"/>
  <c r="P103" i="3"/>
  <c r="P102" i="3"/>
  <c r="O101" i="3"/>
  <c r="N101" i="3"/>
  <c r="M101" i="3"/>
  <c r="L101" i="3"/>
  <c r="K101" i="3"/>
  <c r="J101" i="3"/>
  <c r="I101" i="3"/>
  <c r="H101" i="3"/>
  <c r="G101" i="3"/>
  <c r="F101" i="3"/>
  <c r="P101" i="3" s="1"/>
  <c r="P100" i="3"/>
  <c r="P99" i="3"/>
  <c r="O98" i="3"/>
  <c r="O162" i="3" s="1"/>
  <c r="N98" i="3"/>
  <c r="N162" i="3" s="1"/>
  <c r="M98" i="3"/>
  <c r="M162" i="3" s="1"/>
  <c r="L98" i="3"/>
  <c r="L162" i="3" s="1"/>
  <c r="K98" i="3"/>
  <c r="K36" i="3" s="1"/>
  <c r="K35" i="3" s="1"/>
  <c r="K113" i="3" s="1"/>
  <c r="J98" i="3"/>
  <c r="J162" i="3" s="1"/>
  <c r="I98" i="3"/>
  <c r="I162" i="3" s="1"/>
  <c r="H98" i="3"/>
  <c r="H162" i="3" s="1"/>
  <c r="G98" i="3"/>
  <c r="G162" i="3" s="1"/>
  <c r="F98" i="3"/>
  <c r="P98" i="3" s="1"/>
  <c r="P97" i="3"/>
  <c r="O96" i="3"/>
  <c r="AA52" i="3" s="1"/>
  <c r="AA51" i="3" s="1"/>
  <c r="N96" i="3"/>
  <c r="N161" i="3" s="1"/>
  <c r="M96" i="3"/>
  <c r="L96" i="3"/>
  <c r="L161" i="3" s="1"/>
  <c r="K96" i="3"/>
  <c r="K161" i="3" s="1"/>
  <c r="J96" i="3"/>
  <c r="J161" i="3" s="1"/>
  <c r="I96" i="3"/>
  <c r="I161" i="3" s="1"/>
  <c r="H96" i="3"/>
  <c r="H161" i="3" s="1"/>
  <c r="G96" i="3"/>
  <c r="G161" i="3" s="1"/>
  <c r="F96" i="3"/>
  <c r="F161" i="3" s="1"/>
  <c r="P95" i="3"/>
  <c r="P94" i="3"/>
  <c r="P93" i="3"/>
  <c r="P92" i="3"/>
  <c r="P91" i="3"/>
  <c r="P90" i="3"/>
  <c r="P89" i="3"/>
  <c r="AB50" i="3" s="1"/>
  <c r="P88" i="3"/>
  <c r="P87" i="3"/>
  <c r="P86" i="3"/>
  <c r="P85" i="3"/>
  <c r="P84" i="3"/>
  <c r="P83" i="3"/>
  <c r="P82" i="3"/>
  <c r="P81" i="3"/>
  <c r="AB49" i="3" s="1"/>
  <c r="P80" i="3"/>
  <c r="P79" i="3"/>
  <c r="P78" i="3"/>
  <c r="P77" i="3"/>
  <c r="P76" i="3"/>
  <c r="O75" i="3"/>
  <c r="N75" i="3"/>
  <c r="M75" i="3"/>
  <c r="L75" i="3"/>
  <c r="K75" i="3"/>
  <c r="J75" i="3"/>
  <c r="I75" i="3"/>
  <c r="H75" i="3"/>
  <c r="G75" i="3"/>
  <c r="F75" i="3"/>
  <c r="P75" i="3" s="1"/>
  <c r="P74" i="3"/>
  <c r="P73" i="3"/>
  <c r="P72" i="3"/>
  <c r="P71" i="3"/>
  <c r="P70" i="3"/>
  <c r="O69" i="3"/>
  <c r="N69" i="3"/>
  <c r="Z41" i="3" s="1"/>
  <c r="M69" i="3"/>
  <c r="L69" i="3"/>
  <c r="K69" i="3"/>
  <c r="J69" i="3"/>
  <c r="I69" i="3"/>
  <c r="H69" i="3"/>
  <c r="G69" i="3"/>
  <c r="F69" i="3"/>
  <c r="P69" i="3" s="1"/>
  <c r="AB41" i="3" s="1"/>
  <c r="P68" i="3"/>
  <c r="P67" i="3"/>
  <c r="P66" i="3"/>
  <c r="P65" i="3"/>
  <c r="Z64" i="3"/>
  <c r="Y64" i="3"/>
  <c r="X64" i="3"/>
  <c r="W64" i="3"/>
  <c r="P64" i="3"/>
  <c r="P63" i="3"/>
  <c r="Z62" i="3"/>
  <c r="Y62" i="3"/>
  <c r="X62" i="3"/>
  <c r="W62" i="3"/>
  <c r="P62" i="3"/>
  <c r="P61" i="3"/>
  <c r="P60" i="3"/>
  <c r="AA59" i="3"/>
  <c r="Y59" i="3"/>
  <c r="X59" i="3"/>
  <c r="X58" i="3" s="1"/>
  <c r="X57" i="3" s="1"/>
  <c r="W59" i="3"/>
  <c r="P59" i="3"/>
  <c r="AA58" i="3"/>
  <c r="Y58" i="3"/>
  <c r="Y57" i="3" s="1"/>
  <c r="W58" i="3"/>
  <c r="W57" i="3" s="1"/>
  <c r="P58" i="3"/>
  <c r="AA57" i="3"/>
  <c r="P57" i="3"/>
  <c r="AB56" i="3"/>
  <c r="AA56" i="3"/>
  <c r="Z56" i="3"/>
  <c r="Z54" i="3" s="1"/>
  <c r="Y56" i="3"/>
  <c r="X56" i="3"/>
  <c r="W56" i="3"/>
  <c r="W54" i="3" s="1"/>
  <c r="P56" i="3"/>
  <c r="AB55" i="3"/>
  <c r="AB54" i="3" s="1"/>
  <c r="AA55" i="3"/>
  <c r="Z55" i="3"/>
  <c r="Y55" i="3"/>
  <c r="Y54" i="3" s="1"/>
  <c r="X55" i="3"/>
  <c r="W55" i="3"/>
  <c r="P55" i="3"/>
  <c r="AB39" i="3" s="1"/>
  <c r="AA54" i="3"/>
  <c r="X54" i="3"/>
  <c r="O54" i="3"/>
  <c r="N54" i="3"/>
  <c r="M54" i="3"/>
  <c r="M36" i="3" s="1"/>
  <c r="M35" i="3" s="1"/>
  <c r="M113" i="3" s="1"/>
  <c r="L54" i="3"/>
  <c r="K54" i="3"/>
  <c r="J54" i="3"/>
  <c r="I54" i="3"/>
  <c r="H54" i="3"/>
  <c r="G54" i="3"/>
  <c r="F54" i="3"/>
  <c r="P54" i="3" s="1"/>
  <c r="P53" i="3"/>
  <c r="AB32" i="3" s="1"/>
  <c r="Z52" i="3"/>
  <c r="Z51" i="3" s="1"/>
  <c r="Y52" i="3"/>
  <c r="X52" i="3"/>
  <c r="W52" i="3"/>
  <c r="W51" i="3" s="1"/>
  <c r="P52" i="3"/>
  <c r="Y51" i="3"/>
  <c r="X51" i="3"/>
  <c r="P51" i="3"/>
  <c r="AA50" i="3"/>
  <c r="AA42" i="3" s="1"/>
  <c r="AA24" i="3" s="1"/>
  <c r="Z50" i="3"/>
  <c r="Y50" i="3"/>
  <c r="X50" i="3"/>
  <c r="W50" i="3"/>
  <c r="P50" i="3"/>
  <c r="AA49" i="3"/>
  <c r="Z49" i="3"/>
  <c r="Y49" i="3"/>
  <c r="X49" i="3"/>
  <c r="W49" i="3"/>
  <c r="P49" i="3"/>
  <c r="AB48" i="3"/>
  <c r="AA48" i="3"/>
  <c r="Z48" i="3"/>
  <c r="Y48" i="3"/>
  <c r="X48" i="3"/>
  <c r="W48" i="3"/>
  <c r="P48" i="3"/>
  <c r="AB47" i="3"/>
  <c r="AA47" i="3"/>
  <c r="Z47" i="3"/>
  <c r="Y47" i="3"/>
  <c r="X47" i="3"/>
  <c r="X42" i="3" s="1"/>
  <c r="W47" i="3"/>
  <c r="P47" i="3"/>
  <c r="P46" i="3"/>
  <c r="P45" i="3"/>
  <c r="P44" i="3"/>
  <c r="AB43" i="3"/>
  <c r="AB42" i="3" s="1"/>
  <c r="AA43" i="3"/>
  <c r="Z43" i="3"/>
  <c r="Z42" i="3" s="1"/>
  <c r="Y43" i="3"/>
  <c r="X43" i="3"/>
  <c r="W43" i="3"/>
  <c r="P43" i="3"/>
  <c r="Y42" i="3"/>
  <c r="W42" i="3"/>
  <c r="P42" i="3"/>
  <c r="AA41" i="3"/>
  <c r="Y41" i="3"/>
  <c r="X41" i="3"/>
  <c r="W41" i="3"/>
  <c r="P41" i="3"/>
  <c r="AB40" i="3"/>
  <c r="AA40" i="3"/>
  <c r="Z40" i="3"/>
  <c r="Y40" i="3"/>
  <c r="X40" i="3"/>
  <c r="W40" i="3"/>
  <c r="P40" i="3"/>
  <c r="AA39" i="3"/>
  <c r="Z39" i="3"/>
  <c r="Y39" i="3"/>
  <c r="X39" i="3"/>
  <c r="W39" i="3"/>
  <c r="P39" i="3"/>
  <c r="AB31" i="3" s="1"/>
  <c r="AB38" i="3"/>
  <c r="AA38" i="3"/>
  <c r="Z38" i="3"/>
  <c r="Y38" i="3"/>
  <c r="X38" i="3"/>
  <c r="W38" i="3"/>
  <c r="P38" i="3"/>
  <c r="AB37" i="3"/>
  <c r="AA37" i="3"/>
  <c r="Z37" i="3"/>
  <c r="Y37" i="3"/>
  <c r="X37" i="3"/>
  <c r="W37" i="3"/>
  <c r="O37" i="3"/>
  <c r="N37" i="3"/>
  <c r="N36" i="3" s="1"/>
  <c r="N35" i="3" s="1"/>
  <c r="N113" i="3" s="1"/>
  <c r="M37" i="3"/>
  <c r="L37" i="3"/>
  <c r="K37" i="3"/>
  <c r="J37" i="3"/>
  <c r="I37" i="3"/>
  <c r="H37" i="3"/>
  <c r="H36" i="3" s="1"/>
  <c r="H35" i="3" s="1"/>
  <c r="H113" i="3" s="1"/>
  <c r="G37" i="3"/>
  <c r="F37" i="3"/>
  <c r="F36" i="3" s="1"/>
  <c r="AB36" i="3"/>
  <c r="AA36" i="3"/>
  <c r="Z36" i="3"/>
  <c r="Y36" i="3"/>
  <c r="X36" i="3"/>
  <c r="W36" i="3"/>
  <c r="W33" i="3" s="1"/>
  <c r="O36" i="3"/>
  <c r="O35" i="3" s="1"/>
  <c r="O113" i="3" s="1"/>
  <c r="L36" i="3"/>
  <c r="J36" i="3"/>
  <c r="I36" i="3"/>
  <c r="G36" i="3"/>
  <c r="G35" i="3" s="1"/>
  <c r="G113" i="3" s="1"/>
  <c r="AB35" i="3"/>
  <c r="AA35" i="3"/>
  <c r="Z35" i="3"/>
  <c r="Y35" i="3"/>
  <c r="X35" i="3"/>
  <c r="X33" i="3" s="1"/>
  <c r="W35" i="3"/>
  <c r="L34" i="3"/>
  <c r="AB33" i="3"/>
  <c r="AA33" i="3"/>
  <c r="Z33" i="3"/>
  <c r="Y33" i="3"/>
  <c r="AA32" i="3"/>
  <c r="Z32" i="3"/>
  <c r="Y32" i="3"/>
  <c r="X32" i="3"/>
  <c r="W32" i="3"/>
  <c r="P32" i="3"/>
  <c r="AA31" i="3"/>
  <c r="Z31" i="3"/>
  <c r="Y31" i="3"/>
  <c r="X31" i="3"/>
  <c r="W31" i="3"/>
  <c r="P31" i="3"/>
  <c r="O31" i="3"/>
  <c r="N31" i="3"/>
  <c r="M31" i="3"/>
  <c r="L31" i="3"/>
  <c r="K31" i="3"/>
  <c r="J31" i="3"/>
  <c r="J28" i="3" s="1"/>
  <c r="J5" i="3" s="1"/>
  <c r="I31" i="3"/>
  <c r="H31" i="3"/>
  <c r="H28" i="3" s="1"/>
  <c r="G31" i="3"/>
  <c r="F31" i="3"/>
  <c r="AB30" i="3"/>
  <c r="AA30" i="3"/>
  <c r="Z30" i="3"/>
  <c r="Y30" i="3"/>
  <c r="X30" i="3"/>
  <c r="W30" i="3"/>
  <c r="P30" i="3"/>
  <c r="AB29" i="3"/>
  <c r="AA29" i="3"/>
  <c r="Z29" i="3"/>
  <c r="Y29" i="3"/>
  <c r="X29" i="3"/>
  <c r="W29" i="3"/>
  <c r="O29" i="3"/>
  <c r="N29" i="3"/>
  <c r="M29" i="3"/>
  <c r="L29" i="3"/>
  <c r="K29" i="3"/>
  <c r="J29" i="3"/>
  <c r="I29" i="3"/>
  <c r="H29" i="3"/>
  <c r="P29" i="3" s="1"/>
  <c r="AB21" i="3" s="1"/>
  <c r="AB19" i="3" s="1"/>
  <c r="G29" i="3"/>
  <c r="F29" i="3"/>
  <c r="AB28" i="3"/>
  <c r="AA28" i="3"/>
  <c r="Z28" i="3"/>
  <c r="Y28" i="3"/>
  <c r="X28" i="3"/>
  <c r="W28" i="3"/>
  <c r="W25" i="3" s="1"/>
  <c r="O28" i="3"/>
  <c r="N28" i="3"/>
  <c r="M28" i="3"/>
  <c r="L28" i="3"/>
  <c r="K28" i="3"/>
  <c r="I28" i="3"/>
  <c r="G28" i="3"/>
  <c r="F28" i="3"/>
  <c r="AB27" i="3"/>
  <c r="AA27" i="3"/>
  <c r="Z27" i="3"/>
  <c r="Y27" i="3"/>
  <c r="Y25" i="3" s="1"/>
  <c r="X27" i="3"/>
  <c r="X25" i="3" s="1"/>
  <c r="W27" i="3"/>
  <c r="P27" i="3"/>
  <c r="O26" i="3"/>
  <c r="O163" i="3" s="1"/>
  <c r="N26" i="3"/>
  <c r="N163" i="3" s="1"/>
  <c r="M26" i="3"/>
  <c r="M163" i="3" s="1"/>
  <c r="L26" i="3"/>
  <c r="L163" i="3" s="1"/>
  <c r="K26" i="3"/>
  <c r="K163" i="3" s="1"/>
  <c r="J26" i="3"/>
  <c r="J163" i="3" s="1"/>
  <c r="I26" i="3"/>
  <c r="H26" i="3"/>
  <c r="H163" i="3" s="1"/>
  <c r="G26" i="3"/>
  <c r="G163" i="3" s="1"/>
  <c r="F26" i="3"/>
  <c r="F163" i="3" s="1"/>
  <c r="AB25" i="3"/>
  <c r="AB24" i="3" s="1"/>
  <c r="AB23" i="3" s="1"/>
  <c r="AA25" i="3"/>
  <c r="Z25" i="3"/>
  <c r="P25" i="3"/>
  <c r="O24" i="3"/>
  <c r="N24" i="3"/>
  <c r="M24" i="3"/>
  <c r="L24" i="3"/>
  <c r="K24" i="3"/>
  <c r="J24" i="3"/>
  <c r="I24" i="3"/>
  <c r="H24" i="3"/>
  <c r="G24" i="3"/>
  <c r="F24" i="3"/>
  <c r="P24" i="3" s="1"/>
  <c r="P23" i="3"/>
  <c r="P22" i="3"/>
  <c r="AA21" i="3"/>
  <c r="Z21" i="3"/>
  <c r="Y21" i="3"/>
  <c r="X21" i="3"/>
  <c r="W21" i="3"/>
  <c r="P21" i="3"/>
  <c r="AB20" i="3"/>
  <c r="AA20" i="3"/>
  <c r="AA19" i="3" s="1"/>
  <c r="Z20" i="3"/>
  <c r="Y20" i="3"/>
  <c r="Y19" i="3" s="1"/>
  <c r="X20" i="3"/>
  <c r="W20" i="3"/>
  <c r="O20" i="3"/>
  <c r="N20" i="3"/>
  <c r="M20" i="3"/>
  <c r="L20" i="3"/>
  <c r="K20" i="3"/>
  <c r="W14" i="3" s="1"/>
  <c r="J20" i="3"/>
  <c r="I20" i="3"/>
  <c r="H20" i="3"/>
  <c r="G20" i="3"/>
  <c r="F20" i="3"/>
  <c r="P20" i="3" s="1"/>
  <c r="AB14" i="3" s="1"/>
  <c r="Z19" i="3"/>
  <c r="X19" i="3"/>
  <c r="W19" i="3"/>
  <c r="P19" i="3"/>
  <c r="O18" i="3"/>
  <c r="AA13" i="3" s="1"/>
  <c r="N18" i="3"/>
  <c r="M18" i="3"/>
  <c r="M15" i="3" s="1"/>
  <c r="M5" i="3" s="1"/>
  <c r="L18" i="3"/>
  <c r="K18" i="3"/>
  <c r="J18" i="3"/>
  <c r="I18" i="3"/>
  <c r="H18" i="3"/>
  <c r="G18" i="3"/>
  <c r="F18" i="3"/>
  <c r="P18" i="3" s="1"/>
  <c r="AB13" i="3" s="1"/>
  <c r="P17" i="3"/>
  <c r="AA16" i="3"/>
  <c r="Z16" i="3"/>
  <c r="X16" i="3"/>
  <c r="O16" i="3"/>
  <c r="O15" i="3" s="1"/>
  <c r="N16" i="3"/>
  <c r="M16" i="3"/>
  <c r="L16" i="3"/>
  <c r="K16" i="3"/>
  <c r="J16" i="3"/>
  <c r="I16" i="3"/>
  <c r="I15" i="3" s="1"/>
  <c r="H16" i="3"/>
  <c r="G16" i="3"/>
  <c r="G15" i="3" s="1"/>
  <c r="F16" i="3"/>
  <c r="AA15" i="3"/>
  <c r="Z15" i="3"/>
  <c r="X15" i="3"/>
  <c r="N15" i="3"/>
  <c r="L15" i="3"/>
  <c r="J15" i="3"/>
  <c r="H15" i="3"/>
  <c r="F15" i="3"/>
  <c r="AA14" i="3"/>
  <c r="Z14" i="3"/>
  <c r="Y14" i="3"/>
  <c r="X14" i="3"/>
  <c r="P14" i="3"/>
  <c r="Z13" i="3"/>
  <c r="X13" i="3"/>
  <c r="X11" i="3" s="1"/>
  <c r="W13" i="3"/>
  <c r="P13" i="3"/>
  <c r="AB8" i="3" s="1"/>
  <c r="Z12" i="3"/>
  <c r="Y12" i="3"/>
  <c r="X12" i="3"/>
  <c r="W12" i="3"/>
  <c r="P12" i="3"/>
  <c r="AB10" i="3" s="1"/>
  <c r="Z11" i="3"/>
  <c r="O11" i="3"/>
  <c r="N11" i="3"/>
  <c r="M11" i="3"/>
  <c r="L11" i="3"/>
  <c r="K11" i="3"/>
  <c r="J11" i="3"/>
  <c r="I11" i="3"/>
  <c r="H11" i="3"/>
  <c r="G11" i="3"/>
  <c r="F11" i="3"/>
  <c r="P11" i="3" s="1"/>
  <c r="AA10" i="3"/>
  <c r="Z10" i="3"/>
  <c r="Y10" i="3"/>
  <c r="X10" i="3"/>
  <c r="W10" i="3"/>
  <c r="P10" i="3"/>
  <c r="O9" i="3"/>
  <c r="AA9" i="3" s="1"/>
  <c r="N9" i="3"/>
  <c r="Z9" i="3" s="1"/>
  <c r="M9" i="3"/>
  <c r="Y9" i="3" s="1"/>
  <c r="L9" i="3"/>
  <c r="X9" i="3" s="1"/>
  <c r="K9" i="3"/>
  <c r="W9" i="3" s="1"/>
  <c r="J9" i="3"/>
  <c r="I9" i="3"/>
  <c r="H9" i="3"/>
  <c r="G9" i="3"/>
  <c r="F9" i="3"/>
  <c r="P9" i="3" s="1"/>
  <c r="AB9" i="3" s="1"/>
  <c r="AA8" i="3"/>
  <c r="Z8" i="3"/>
  <c r="Y8" i="3"/>
  <c r="X8" i="3"/>
  <c r="W8" i="3"/>
  <c r="P8" i="3"/>
  <c r="O7" i="3"/>
  <c r="AA7" i="3" s="1"/>
  <c r="AA6" i="3" s="1"/>
  <c r="N7" i="3"/>
  <c r="N6" i="3" s="1"/>
  <c r="N5" i="3" s="1"/>
  <c r="M7" i="3"/>
  <c r="Y7" i="3" s="1"/>
  <c r="Y6" i="3" s="1"/>
  <c r="L7" i="3"/>
  <c r="X7" i="3" s="1"/>
  <c r="X6" i="3" s="1"/>
  <c r="X5" i="3" s="1"/>
  <c r="K7" i="3"/>
  <c r="W7" i="3" s="1"/>
  <c r="W6" i="3" s="1"/>
  <c r="J7" i="3"/>
  <c r="I7" i="3"/>
  <c r="H7" i="3"/>
  <c r="H6" i="3" s="1"/>
  <c r="H5" i="3" s="1"/>
  <c r="G7" i="3"/>
  <c r="F7" i="3"/>
  <c r="F6" i="3" s="1"/>
  <c r="O6" i="3"/>
  <c r="O5" i="3" s="1"/>
  <c r="M6" i="3"/>
  <c r="L6" i="3"/>
  <c r="K6" i="3"/>
  <c r="J6" i="3"/>
  <c r="I6" i="3"/>
  <c r="G6" i="3"/>
  <c r="G5" i="3" s="1"/>
  <c r="L5" i="3"/>
  <c r="AF32" i="28" l="1"/>
  <c r="AE26" i="28"/>
  <c r="AF44" i="28"/>
  <c r="AE43" i="28"/>
  <c r="AF12" i="28"/>
  <c r="AE34" i="28"/>
  <c r="AF35" i="28"/>
  <c r="AJ62" i="28"/>
  <c r="AM8" i="28"/>
  <c r="AJ27" i="28"/>
  <c r="AD25" i="28"/>
  <c r="Y10" i="21"/>
  <c r="Y43" i="24"/>
  <c r="Z44" i="24"/>
  <c r="AF10" i="24"/>
  <c r="Y62" i="24"/>
  <c r="AH8" i="24"/>
  <c r="X34" i="24"/>
  <c r="Y35" i="24"/>
  <c r="AA27" i="24"/>
  <c r="Z26" i="24"/>
  <c r="Z12" i="24"/>
  <c r="N63" i="6"/>
  <c r="AZ9" i="9"/>
  <c r="AF9" i="9"/>
  <c r="BJ8" i="9"/>
  <c r="AP8" i="9"/>
  <c r="V8" i="9"/>
  <c r="AE9" i="9"/>
  <c r="U8" i="9"/>
  <c r="AX9" i="9"/>
  <c r="BH8" i="9"/>
  <c r="T8" i="9"/>
  <c r="Z9" i="9"/>
  <c r="BM9" i="9"/>
  <c r="BC8" i="9"/>
  <c r="BL9" i="9"/>
  <c r="W9" i="9"/>
  <c r="AZ8" i="9"/>
  <c r="AO9" i="9"/>
  <c r="BH9" i="9"/>
  <c r="S9" i="9"/>
  <c r="AY9" i="9"/>
  <c r="BI8" i="9"/>
  <c r="AO8" i="9"/>
  <c r="AD9" i="9"/>
  <c r="AN8" i="9"/>
  <c r="AT9" i="9"/>
  <c r="AS9" i="9"/>
  <c r="X9" i="9"/>
  <c r="BA8" i="9"/>
  <c r="BA7" i="9" s="1"/>
  <c r="V9" i="9"/>
  <c r="BI9" i="9"/>
  <c r="T9" i="9"/>
  <c r="AW8" i="9"/>
  <c r="AJ8" i="9"/>
  <c r="AI8" i="9"/>
  <c r="AH8" i="9"/>
  <c r="AH7" i="9" s="1"/>
  <c r="AP9" i="9"/>
  <c r="AY8" i="9"/>
  <c r="AX8" i="9"/>
  <c r="AM9" i="9"/>
  <c r="AW9" i="9"/>
  <c r="AC9" i="9"/>
  <c r="BG8" i="9"/>
  <c r="AM8" i="9"/>
  <c r="S8" i="9"/>
  <c r="BO9" i="9"/>
  <c r="BE8" i="9"/>
  <c r="BN9" i="9"/>
  <c r="Y9" i="9"/>
  <c r="BB8" i="9"/>
  <c r="AQ9" i="9"/>
  <c r="BJ9" i="9"/>
  <c r="AF8" i="9"/>
  <c r="AF7" i="9" s="1"/>
  <c r="AE8" i="9"/>
  <c r="AD8" i="9"/>
  <c r="AC8" i="9"/>
  <c r="BP9" i="9"/>
  <c r="AV9" i="9"/>
  <c r="AB9" i="9"/>
  <c r="BF8" i="9"/>
  <c r="AL8" i="9"/>
  <c r="AU9" i="9"/>
  <c r="AA9" i="9"/>
  <c r="AK8" i="9"/>
  <c r="BD8" i="9"/>
  <c r="AR9" i="9"/>
  <c r="BK9" i="9"/>
  <c r="AG8" i="9"/>
  <c r="U9" i="9"/>
  <c r="AN9" i="9"/>
  <c r="BG9" i="9"/>
  <c r="BN8" i="9"/>
  <c r="BL8" i="9"/>
  <c r="BK8" i="9"/>
  <c r="BK7" i="9" s="1"/>
  <c r="AV8" i="9"/>
  <c r="AU8" i="9"/>
  <c r="BF9" i="9"/>
  <c r="BE9" i="9"/>
  <c r="AA8" i="9"/>
  <c r="AA7" i="9" s="1"/>
  <c r="AL9" i="9"/>
  <c r="X8" i="9"/>
  <c r="AH9" i="9"/>
  <c r="BO8" i="9"/>
  <c r="BM8" i="9"/>
  <c r="AS8" i="9"/>
  <c r="BA9" i="9"/>
  <c r="Y8" i="9"/>
  <c r="AI9" i="9"/>
  <c r="AT8" i="9"/>
  <c r="BB9" i="9"/>
  <c r="Z8" i="9"/>
  <c r="AK9" i="9"/>
  <c r="AJ9" i="9"/>
  <c r="W8" i="9"/>
  <c r="AG9" i="9"/>
  <c r="BP8" i="9"/>
  <c r="BD9" i="9"/>
  <c r="BD7" i="9" s="1"/>
  <c r="AR8" i="9"/>
  <c r="AR7" i="9" s="1"/>
  <c r="BC9" i="9"/>
  <c r="AQ8" i="9"/>
  <c r="AQ7" i="9" s="1"/>
  <c r="AB8" i="9"/>
  <c r="BT22" i="12"/>
  <c r="BT23" i="12" s="1"/>
  <c r="AZ22" i="12"/>
  <c r="AZ23" i="12" s="1"/>
  <c r="AF22" i="12"/>
  <c r="AF23" i="12" s="1"/>
  <c r="BS22" i="12"/>
  <c r="BS23" i="12" s="1"/>
  <c r="AY22" i="12"/>
  <c r="AY23" i="12" s="1"/>
  <c r="AE22" i="12"/>
  <c r="AE23" i="12" s="1"/>
  <c r="BR22" i="12"/>
  <c r="BR23" i="12" s="1"/>
  <c r="AX22" i="12"/>
  <c r="AX23" i="12" s="1"/>
  <c r="AD22" i="12"/>
  <c r="AD23" i="12" s="1"/>
  <c r="BQ22" i="12"/>
  <c r="BQ23" i="12" s="1"/>
  <c r="AW22" i="12"/>
  <c r="AW23" i="12" s="1"/>
  <c r="AC22" i="12"/>
  <c r="AC23" i="12" s="1"/>
  <c r="BP22" i="12"/>
  <c r="BP23" i="12" s="1"/>
  <c r="AV22" i="12"/>
  <c r="AV23" i="12" s="1"/>
  <c r="AB22" i="12"/>
  <c r="AB23" i="12" s="1"/>
  <c r="BO22" i="12"/>
  <c r="BO23" i="12" s="1"/>
  <c r="AU22" i="12"/>
  <c r="AU23" i="12" s="1"/>
  <c r="BN22" i="12"/>
  <c r="BN23" i="12" s="1"/>
  <c r="AT22" i="12"/>
  <c r="AT23" i="12" s="1"/>
  <c r="Z22" i="12"/>
  <c r="Z23" i="12" s="1"/>
  <c r="BM22" i="12"/>
  <c r="BM23" i="12" s="1"/>
  <c r="AS22" i="12"/>
  <c r="AS23" i="12" s="1"/>
  <c r="BH22" i="12"/>
  <c r="BH23" i="12" s="1"/>
  <c r="AL22" i="12"/>
  <c r="AL23" i="12" s="1"/>
  <c r="BC22" i="12"/>
  <c r="BC23" i="12" s="1"/>
  <c r="BV22" i="12"/>
  <c r="BV23" i="12" s="1"/>
  <c r="AG22" i="12"/>
  <c r="AG23" i="12" s="1"/>
  <c r="AA22" i="12"/>
  <c r="AA23" i="12" s="1"/>
  <c r="BG22" i="12"/>
  <c r="BG23" i="12" s="1"/>
  <c r="BE22" i="12"/>
  <c r="BE23" i="12" s="1"/>
  <c r="BD22" i="12"/>
  <c r="BD23" i="12" s="1"/>
  <c r="BB22" i="12"/>
  <c r="BB23" i="12" s="1"/>
  <c r="BA22" i="12"/>
  <c r="BA23" i="12" s="1"/>
  <c r="BL22" i="12"/>
  <c r="BL23" i="12" s="1"/>
  <c r="AR22" i="12"/>
  <c r="AR23" i="12" s="1"/>
  <c r="Y22" i="12"/>
  <c r="Y23" i="12" s="1"/>
  <c r="BK22" i="12"/>
  <c r="BK23" i="12" s="1"/>
  <c r="AQ22" i="12"/>
  <c r="AQ23" i="12" s="1"/>
  <c r="BJ22" i="12"/>
  <c r="BJ23" i="12" s="1"/>
  <c r="AP22" i="12"/>
  <c r="AP23" i="12" s="1"/>
  <c r="BI22" i="12"/>
  <c r="BI23" i="12" s="1"/>
  <c r="AO22" i="12"/>
  <c r="AO23" i="12" s="1"/>
  <c r="AN22" i="12"/>
  <c r="AN23" i="12" s="1"/>
  <c r="AM22" i="12"/>
  <c r="AM23" i="12" s="1"/>
  <c r="BF22" i="12"/>
  <c r="BF23" i="12" s="1"/>
  <c r="AK22" i="12"/>
  <c r="AK23" i="12" s="1"/>
  <c r="AJ22" i="12"/>
  <c r="AJ23" i="12" s="1"/>
  <c r="AI22" i="12"/>
  <c r="AI23" i="12" s="1"/>
  <c r="AH22" i="12"/>
  <c r="AH23" i="12" s="1"/>
  <c r="BU22" i="12"/>
  <c r="BU23" i="12" s="1"/>
  <c r="AR7" i="12"/>
  <c r="AS5" i="12"/>
  <c r="AS7" i="12" s="1"/>
  <c r="AI5" i="12"/>
  <c r="AI7" i="12" s="1"/>
  <c r="AH7" i="12"/>
  <c r="AN5" i="12"/>
  <c r="AN7" i="12" s="1"/>
  <c r="AM7" i="12"/>
  <c r="AX5" i="12"/>
  <c r="AX7" i="12" s="1"/>
  <c r="AW7" i="12"/>
  <c r="AD5" i="12"/>
  <c r="AC8" i="12"/>
  <c r="P113" i="2"/>
  <c r="AB59" i="2" s="1"/>
  <c r="O149" i="3"/>
  <c r="O155" i="3" s="1"/>
  <c r="O166" i="3" s="1"/>
  <c r="O135" i="3"/>
  <c r="N135" i="3"/>
  <c r="N149" i="3"/>
  <c r="N155" i="3" s="1"/>
  <c r="N166" i="3" s="1"/>
  <c r="Y5" i="3"/>
  <c r="Y67" i="3" s="1"/>
  <c r="X24" i="3"/>
  <c r="X23" i="3" s="1"/>
  <c r="X67" i="3" s="1"/>
  <c r="L113" i="3"/>
  <c r="L111" i="3"/>
  <c r="L158" i="3" s="1"/>
  <c r="J118" i="3"/>
  <c r="I118" i="3"/>
  <c r="P122" i="3"/>
  <c r="P137" i="3"/>
  <c r="J34" i="3"/>
  <c r="J111" i="3"/>
  <c r="J158" i="3" s="1"/>
  <c r="P119" i="3"/>
  <c r="O111" i="3"/>
  <c r="O158" i="3" s="1"/>
  <c r="O34" i="3"/>
  <c r="F5" i="3"/>
  <c r="P6" i="3"/>
  <c r="N111" i="3"/>
  <c r="N158" i="3" s="1"/>
  <c r="N34" i="3"/>
  <c r="Z24" i="3"/>
  <c r="Y24" i="3"/>
  <c r="Y23" i="3" s="1"/>
  <c r="K118" i="3"/>
  <c r="J136" i="3"/>
  <c r="J151" i="3" s="1"/>
  <c r="L135" i="3"/>
  <c r="L149" i="3"/>
  <c r="L155" i="3" s="1"/>
  <c r="L166" i="3" s="1"/>
  <c r="M135" i="3"/>
  <c r="M149" i="3"/>
  <c r="M155" i="3" s="1"/>
  <c r="M166" i="3" s="1"/>
  <c r="M111" i="3"/>
  <c r="M158" i="3" s="1"/>
  <c r="M34" i="3"/>
  <c r="I5" i="3"/>
  <c r="P125" i="3"/>
  <c r="F35" i="3"/>
  <c r="P36" i="3"/>
  <c r="G149" i="3"/>
  <c r="G155" i="3" s="1"/>
  <c r="G166" i="3" s="1"/>
  <c r="G135" i="3"/>
  <c r="H111" i="3"/>
  <c r="H158" i="3" s="1"/>
  <c r="H34" i="3"/>
  <c r="I35" i="3"/>
  <c r="I113" i="3" s="1"/>
  <c r="P128" i="3"/>
  <c r="G111" i="3"/>
  <c r="G158" i="3" s="1"/>
  <c r="G34" i="3"/>
  <c r="P28" i="3"/>
  <c r="W24" i="3"/>
  <c r="W23" i="3" s="1"/>
  <c r="P107" i="3"/>
  <c r="P131" i="3"/>
  <c r="P147" i="3"/>
  <c r="K162" i="3"/>
  <c r="P16" i="3"/>
  <c r="AB12" i="3" s="1"/>
  <c r="P96" i="3"/>
  <c r="AB52" i="3" s="1"/>
  <c r="AB51" i="3" s="1"/>
  <c r="P108" i="3"/>
  <c r="AB64" i="3" s="1"/>
  <c r="AB62" i="3" s="1"/>
  <c r="F118" i="3"/>
  <c r="P120" i="3"/>
  <c r="P138" i="3"/>
  <c r="P7" i="3"/>
  <c r="AB7" i="3" s="1"/>
  <c r="AB6" i="3" s="1"/>
  <c r="P37" i="3"/>
  <c r="Y13" i="3"/>
  <c r="Y11" i="3" s="1"/>
  <c r="K15" i="3"/>
  <c r="K5" i="3" s="1"/>
  <c r="P136" i="3"/>
  <c r="F162" i="3"/>
  <c r="F164" i="3" s="1"/>
  <c r="G160" i="3" s="1"/>
  <c r="G164" i="3" s="1"/>
  <c r="H160" i="3" s="1"/>
  <c r="H164" i="3" s="1"/>
  <c r="I160" i="3" s="1"/>
  <c r="I164" i="3" s="1"/>
  <c r="J160" i="3" s="1"/>
  <c r="J164" i="3" s="1"/>
  <c r="K160" i="3" s="1"/>
  <c r="K164" i="3" s="1"/>
  <c r="L160" i="3" s="1"/>
  <c r="L164" i="3" s="1"/>
  <c r="M160" i="3" s="1"/>
  <c r="M164" i="3" s="1"/>
  <c r="N160" i="3" s="1"/>
  <c r="N164" i="3" s="1"/>
  <c r="O160" i="3" s="1"/>
  <c r="O164" i="3" s="1"/>
  <c r="W16" i="3"/>
  <c r="W15" i="3" s="1"/>
  <c r="W11" i="3" s="1"/>
  <c r="W5" i="3" s="1"/>
  <c r="W67" i="3" s="1"/>
  <c r="P105" i="3"/>
  <c r="AB59" i="3" s="1"/>
  <c r="AB58" i="3" s="1"/>
  <c r="AB57" i="3" s="1"/>
  <c r="O161" i="3"/>
  <c r="Y16" i="3"/>
  <c r="Y15" i="3" s="1"/>
  <c r="AA64" i="3"/>
  <c r="AA62" i="3" s="1"/>
  <c r="AA23" i="3" s="1"/>
  <c r="H125" i="3"/>
  <c r="H118" i="3" s="1"/>
  <c r="Z59" i="3"/>
  <c r="Z58" i="3" s="1"/>
  <c r="Z57" i="3" s="1"/>
  <c r="P26" i="3"/>
  <c r="AB16" i="3" s="1"/>
  <c r="AB15" i="3" s="1"/>
  <c r="Z7" i="3"/>
  <c r="Z6" i="3" s="1"/>
  <c r="Z5" i="3" s="1"/>
  <c r="AA12" i="3"/>
  <c r="AA11" i="3" s="1"/>
  <c r="AA5" i="3" s="1"/>
  <c r="AA67" i="3" s="1"/>
  <c r="AP12" i="9" l="1"/>
  <c r="AP10" i="9" s="1"/>
  <c r="AP12" i="25"/>
  <c r="AP10" i="25" s="1"/>
  <c r="AP6" i="25" s="1"/>
  <c r="AH12" i="9"/>
  <c r="AH10" i="9" s="1"/>
  <c r="AH12" i="25"/>
  <c r="AH10" i="25" s="1"/>
  <c r="AH6" i="25" s="1"/>
  <c r="AS12" i="9"/>
  <c r="AS10" i="9" s="1"/>
  <c r="AS12" i="25"/>
  <c r="AS10" i="25" s="1"/>
  <c r="AS6" i="25" s="1"/>
  <c r="AY12" i="9"/>
  <c r="AY10" i="9" s="1"/>
  <c r="AY12" i="25"/>
  <c r="AY10" i="25" s="1"/>
  <c r="AY6" i="25" s="1"/>
  <c r="U12" i="9"/>
  <c r="U10" i="9" s="1"/>
  <c r="U12" i="25"/>
  <c r="U10" i="25" s="1"/>
  <c r="U6" i="25" s="1"/>
  <c r="AW12" i="9"/>
  <c r="AW10" i="9" s="1"/>
  <c r="AW12" i="25"/>
  <c r="AW10" i="25" s="1"/>
  <c r="AW6" i="25" s="1"/>
  <c r="BJ12" i="9"/>
  <c r="BJ10" i="9" s="1"/>
  <c r="BJ12" i="25"/>
  <c r="BJ10" i="25" s="1"/>
  <c r="BJ6" i="25" s="1"/>
  <c r="Z12" i="9"/>
  <c r="Z10" i="9" s="1"/>
  <c r="Z12" i="25"/>
  <c r="Z10" i="25" s="1"/>
  <c r="Z6" i="25" s="1"/>
  <c r="AZ12" i="9"/>
  <c r="AZ10" i="9" s="1"/>
  <c r="AZ12" i="25"/>
  <c r="AZ10" i="25" s="1"/>
  <c r="AZ6" i="25" s="1"/>
  <c r="AA12" i="9"/>
  <c r="AA10" i="9" s="1"/>
  <c r="AA12" i="25"/>
  <c r="AA10" i="25" s="1"/>
  <c r="AA6" i="25" s="1"/>
  <c r="AF12" i="9"/>
  <c r="AF10" i="9" s="1"/>
  <c r="AF12" i="25"/>
  <c r="AF10" i="25" s="1"/>
  <c r="AF6" i="25" s="1"/>
  <c r="BL12" i="9"/>
  <c r="BL10" i="9" s="1"/>
  <c r="BL12" i="25"/>
  <c r="BL10" i="25" s="1"/>
  <c r="BL6" i="25" s="1"/>
  <c r="AT12" i="9"/>
  <c r="AT10" i="9" s="1"/>
  <c r="AT12" i="25"/>
  <c r="AT10" i="25" s="1"/>
  <c r="AT6" i="25" s="1"/>
  <c r="AG12" i="9"/>
  <c r="AG10" i="9" s="1"/>
  <c r="AG12" i="25"/>
  <c r="AG10" i="25" s="1"/>
  <c r="AG6" i="25" s="1"/>
  <c r="AQ12" i="9"/>
  <c r="AQ10" i="9" s="1"/>
  <c r="AQ6" i="9" s="1"/>
  <c r="AQ12" i="25"/>
  <c r="AQ10" i="25" s="1"/>
  <c r="AQ6" i="25" s="1"/>
  <c r="AI12" i="9"/>
  <c r="AI10" i="9" s="1"/>
  <c r="AI12" i="25"/>
  <c r="AI10" i="25" s="1"/>
  <c r="AI6" i="25" s="1"/>
  <c r="BB12" i="9"/>
  <c r="BB10" i="9" s="1"/>
  <c r="BB12" i="25"/>
  <c r="BB10" i="25" s="1"/>
  <c r="BB6" i="25" s="1"/>
  <c r="AM12" i="9"/>
  <c r="AM10" i="9" s="1"/>
  <c r="AM12" i="25"/>
  <c r="AM10" i="25" s="1"/>
  <c r="AM6" i="25" s="1"/>
  <c r="BE12" i="9"/>
  <c r="BE10" i="9" s="1"/>
  <c r="BE12" i="25"/>
  <c r="BE10" i="25" s="1"/>
  <c r="BE6" i="25" s="1"/>
  <c r="T12" i="9"/>
  <c r="T10" i="9" s="1"/>
  <c r="T12" i="25"/>
  <c r="T10" i="25" s="1"/>
  <c r="T6" i="25" s="1"/>
  <c r="AL12" i="9"/>
  <c r="AL10" i="9" s="1"/>
  <c r="AL12" i="25"/>
  <c r="AL10" i="25" s="1"/>
  <c r="AL6" i="25" s="1"/>
  <c r="BH12" i="9"/>
  <c r="BH10" i="9" s="1"/>
  <c r="BH12" i="25"/>
  <c r="BH10" i="25" s="1"/>
  <c r="BH6" i="25" s="1"/>
  <c r="AB12" i="9"/>
  <c r="AB10" i="9" s="1"/>
  <c r="AB12" i="25"/>
  <c r="AB10" i="25" s="1"/>
  <c r="AB6" i="25" s="1"/>
  <c r="AU12" i="9"/>
  <c r="AU10" i="9" s="1"/>
  <c r="AU12" i="25"/>
  <c r="AU10" i="25" s="1"/>
  <c r="AU6" i="25" s="1"/>
  <c r="AO12" i="9"/>
  <c r="AO10" i="9" s="1"/>
  <c r="AO12" i="25"/>
  <c r="AO10" i="25" s="1"/>
  <c r="AO6" i="25" s="1"/>
  <c r="BN12" i="9"/>
  <c r="BN10" i="9" s="1"/>
  <c r="BN12" i="25"/>
  <c r="BN10" i="25" s="1"/>
  <c r="BN6" i="25" s="1"/>
  <c r="W12" i="9"/>
  <c r="W10" i="9" s="1"/>
  <c r="W12" i="25"/>
  <c r="W10" i="25" s="1"/>
  <c r="W6" i="25" s="1"/>
  <c r="BP12" i="9"/>
  <c r="BP10" i="9" s="1"/>
  <c r="BP12" i="25"/>
  <c r="BP10" i="25" s="1"/>
  <c r="BP6" i="25" s="1"/>
  <c r="X12" i="9"/>
  <c r="X10" i="9" s="1"/>
  <c r="X12" i="25"/>
  <c r="X10" i="25" s="1"/>
  <c r="X6" i="25" s="1"/>
  <c r="AR12" i="9"/>
  <c r="AR10" i="9" s="1"/>
  <c r="AR6" i="9" s="1"/>
  <c r="AR12" i="25"/>
  <c r="AR10" i="25" s="1"/>
  <c r="AR6" i="25" s="1"/>
  <c r="BD12" i="9"/>
  <c r="BD10" i="9" s="1"/>
  <c r="BD6" i="9" s="1"/>
  <c r="BD12" i="25"/>
  <c r="BD10" i="25" s="1"/>
  <c r="BD6" i="25" s="1"/>
  <c r="AK12" i="9"/>
  <c r="AK10" i="9" s="1"/>
  <c r="AK12" i="25"/>
  <c r="AK10" i="25" s="1"/>
  <c r="AK6" i="25" s="1"/>
  <c r="S12" i="9"/>
  <c r="S10" i="9" s="1"/>
  <c r="S12" i="25"/>
  <c r="S10" i="25" s="1"/>
  <c r="S6" i="25" s="1"/>
  <c r="AN12" i="9"/>
  <c r="AN10" i="9" s="1"/>
  <c r="AN12" i="25"/>
  <c r="AN10" i="25" s="1"/>
  <c r="AN6" i="25" s="1"/>
  <c r="BF12" i="9"/>
  <c r="BF10" i="9" s="1"/>
  <c r="BF12" i="25"/>
  <c r="BF10" i="25" s="1"/>
  <c r="BF6" i="25" s="1"/>
  <c r="AC12" i="9"/>
  <c r="AC10" i="9" s="1"/>
  <c r="AC12" i="25"/>
  <c r="AC10" i="25" s="1"/>
  <c r="AC6" i="25" s="1"/>
  <c r="AV12" i="9"/>
  <c r="AV10" i="9" s="1"/>
  <c r="AV12" i="25"/>
  <c r="AV10" i="25" s="1"/>
  <c r="AV6" i="25" s="1"/>
  <c r="BI12" i="9"/>
  <c r="BI10" i="9" s="1"/>
  <c r="BI12" i="25"/>
  <c r="BI10" i="25" s="1"/>
  <c r="BI6" i="25" s="1"/>
  <c r="AE12" i="9"/>
  <c r="AE10" i="9" s="1"/>
  <c r="AE12" i="25"/>
  <c r="AE10" i="25" s="1"/>
  <c r="AE6" i="25" s="1"/>
  <c r="BA12" i="9"/>
  <c r="BA10" i="9" s="1"/>
  <c r="BA6" i="9" s="1"/>
  <c r="BA12" i="25"/>
  <c r="BA10" i="25" s="1"/>
  <c r="BA6" i="25" s="1"/>
  <c r="BK12" i="9"/>
  <c r="BK10" i="9" s="1"/>
  <c r="BK12" i="25"/>
  <c r="BK10" i="25" s="1"/>
  <c r="BK6" i="25" s="1"/>
  <c r="BC12" i="9"/>
  <c r="BC10" i="9" s="1"/>
  <c r="BC12" i="25"/>
  <c r="BC10" i="25" s="1"/>
  <c r="BC6" i="25" s="1"/>
  <c r="AJ12" i="9"/>
  <c r="AJ10" i="9" s="1"/>
  <c r="AJ12" i="25"/>
  <c r="AJ10" i="25" s="1"/>
  <c r="AJ6" i="25" s="1"/>
  <c r="Y12" i="9"/>
  <c r="Y10" i="9" s="1"/>
  <c r="Y12" i="25"/>
  <c r="Y10" i="25" s="1"/>
  <c r="Y6" i="25" s="1"/>
  <c r="BG12" i="9"/>
  <c r="BG10" i="9" s="1"/>
  <c r="BG12" i="25"/>
  <c r="BG10" i="25" s="1"/>
  <c r="BG6" i="25" s="1"/>
  <c r="BM12" i="9"/>
  <c r="BM10" i="9" s="1"/>
  <c r="BM12" i="25"/>
  <c r="BM10" i="25" s="1"/>
  <c r="BM6" i="25" s="1"/>
  <c r="BO12" i="9"/>
  <c r="BO10" i="9" s="1"/>
  <c r="BO12" i="25"/>
  <c r="BO10" i="25" s="1"/>
  <c r="BO6" i="25" s="1"/>
  <c r="AD12" i="9"/>
  <c r="AD10" i="9" s="1"/>
  <c r="AD12" i="25"/>
  <c r="AD10" i="25" s="1"/>
  <c r="AD6" i="25" s="1"/>
  <c r="AX12" i="9"/>
  <c r="AX10" i="9" s="1"/>
  <c r="AX12" i="25"/>
  <c r="AX10" i="25" s="1"/>
  <c r="AX6" i="25" s="1"/>
  <c r="V12" i="9"/>
  <c r="V10" i="9" s="1"/>
  <c r="V12" i="25"/>
  <c r="V10" i="25" s="1"/>
  <c r="V6" i="25" s="1"/>
  <c r="AG44" i="28"/>
  <c r="AF43" i="28"/>
  <c r="AK62" i="28"/>
  <c r="AE25" i="28"/>
  <c r="AN8" i="28"/>
  <c r="AG32" i="28"/>
  <c r="AF26" i="28"/>
  <c r="AG35" i="28"/>
  <c r="AF34" i="28"/>
  <c r="AG12" i="28"/>
  <c r="AK27" i="28"/>
  <c r="Z10" i="21"/>
  <c r="Z62" i="24"/>
  <c r="AG10" i="24"/>
  <c r="Y34" i="24"/>
  <c r="Z35" i="24"/>
  <c r="AI8" i="24"/>
  <c r="Z43" i="24"/>
  <c r="AA44" i="24"/>
  <c r="AA12" i="24"/>
  <c r="AA26" i="24"/>
  <c r="AB27" i="24"/>
  <c r="AZ7" i="9"/>
  <c r="BN7" i="9"/>
  <c r="BN6" i="9" s="1"/>
  <c r="AD7" i="9"/>
  <c r="AD6" i="9" s="1"/>
  <c r="AE7" i="9"/>
  <c r="AE6" i="9" s="1"/>
  <c r="AB7" i="9"/>
  <c r="AF6" i="9"/>
  <c r="AA6" i="9"/>
  <c r="AL7" i="9"/>
  <c r="BK6" i="9"/>
  <c r="AK7" i="9"/>
  <c r="AH6" i="9"/>
  <c r="AI7" i="9"/>
  <c r="AU7" i="9"/>
  <c r="AC7" i="9"/>
  <c r="AX7" i="9"/>
  <c r="BE7" i="9"/>
  <c r="BF7" i="9"/>
  <c r="BF6" i="9" s="1"/>
  <c r="AT7" i="9"/>
  <c r="AT6" i="9" s="1"/>
  <c r="X7" i="9"/>
  <c r="X6" i="9" s="1"/>
  <c r="AZ6" i="9"/>
  <c r="AJ7" i="9"/>
  <c r="U7" i="9"/>
  <c r="V7" i="9"/>
  <c r="V6" i="9" s="1"/>
  <c r="AJ6" i="9"/>
  <c r="BE6" i="9"/>
  <c r="BC7" i="9"/>
  <c r="BC6" i="9" s="1"/>
  <c r="AW7" i="9"/>
  <c r="T6" i="9"/>
  <c r="BB7" i="9"/>
  <c r="BB6" i="9" s="1"/>
  <c r="AG7" i="9"/>
  <c r="AS7" i="9"/>
  <c r="AS6" i="9" s="1"/>
  <c r="S7" i="9"/>
  <c r="S6" i="9" s="1"/>
  <c r="AN7" i="9"/>
  <c r="AN6" i="9" s="1"/>
  <c r="AP7" i="9"/>
  <c r="AP6" i="9" s="1"/>
  <c r="Z7" i="9"/>
  <c r="BH7" i="9"/>
  <c r="BM7" i="9"/>
  <c r="AM7" i="9"/>
  <c r="AM6" i="9" s="1"/>
  <c r="BJ7" i="9"/>
  <c r="BP7" i="9"/>
  <c r="AV7" i="9"/>
  <c r="Y7" i="9"/>
  <c r="Y6" i="9" s="1"/>
  <c r="BO7" i="9"/>
  <c r="BG7" i="9"/>
  <c r="AO7" i="9"/>
  <c r="AO6" i="9" s="1"/>
  <c r="AY7" i="9"/>
  <c r="W7" i="9"/>
  <c r="W6" i="9" s="1"/>
  <c r="BL7" i="9"/>
  <c r="BI7" i="9"/>
  <c r="AD8" i="12"/>
  <c r="AD7" i="12"/>
  <c r="H149" i="3"/>
  <c r="H155" i="3" s="1"/>
  <c r="H166" i="3" s="1"/>
  <c r="H135" i="3"/>
  <c r="F113" i="3"/>
  <c r="P35" i="3"/>
  <c r="F135" i="3"/>
  <c r="F149" i="3"/>
  <c r="P118" i="3"/>
  <c r="P15" i="3"/>
  <c r="P5" i="3"/>
  <c r="F111" i="3"/>
  <c r="F34" i="3"/>
  <c r="I111" i="3"/>
  <c r="I158" i="3" s="1"/>
  <c r="I34" i="3"/>
  <c r="K111" i="3"/>
  <c r="K158" i="3" s="1"/>
  <c r="K34" i="3"/>
  <c r="K149" i="3"/>
  <c r="K155" i="3" s="1"/>
  <c r="K166" i="3" s="1"/>
  <c r="K135" i="3"/>
  <c r="I135" i="3"/>
  <c r="I149" i="3"/>
  <c r="I155" i="3" s="1"/>
  <c r="I166" i="3" s="1"/>
  <c r="AB11" i="3"/>
  <c r="AB5" i="3" s="1"/>
  <c r="AB67" i="3" s="1"/>
  <c r="J149" i="3"/>
  <c r="J155" i="3" s="1"/>
  <c r="J166" i="3" s="1"/>
  <c r="J135" i="3"/>
  <c r="Z23" i="3"/>
  <c r="Z67" i="3" s="1"/>
  <c r="AV6" i="9" l="1"/>
  <c r="BJ6" i="9"/>
  <c r="AI6" i="9"/>
  <c r="AK6" i="9"/>
  <c r="AL6" i="9"/>
  <c r="AU6" i="9"/>
  <c r="Z6" i="9"/>
  <c r="AB6" i="9"/>
  <c r="BI6" i="9"/>
  <c r="BL6" i="9"/>
  <c r="AG6" i="9"/>
  <c r="AX6" i="9"/>
  <c r="BO6" i="9"/>
  <c r="AC6" i="9"/>
  <c r="AW6" i="9"/>
  <c r="BP6" i="9"/>
  <c r="U6" i="9"/>
  <c r="BH6" i="9"/>
  <c r="AY6" i="9"/>
  <c r="BM6" i="9"/>
  <c r="BG6" i="9"/>
  <c r="AO8" i="28"/>
  <c r="AH44" i="28"/>
  <c r="AG43" i="28"/>
  <c r="AH12" i="28"/>
  <c r="AG34" i="28"/>
  <c r="AH35" i="28"/>
  <c r="AF25" i="28"/>
  <c r="AH32" i="28"/>
  <c r="AG26" i="28"/>
  <c r="AG25" i="28" s="1"/>
  <c r="AL62" i="28"/>
  <c r="AL27" i="28"/>
  <c r="AA10" i="21"/>
  <c r="AH10" i="24"/>
  <c r="AA35" i="24"/>
  <c r="Z34" i="24"/>
  <c r="AJ8" i="24"/>
  <c r="AA62" i="24"/>
  <c r="AA43" i="24"/>
  <c r="AB44" i="24"/>
  <c r="AB26" i="24"/>
  <c r="AC27" i="24"/>
  <c r="AB12" i="24"/>
  <c r="F155" i="3"/>
  <c r="F166" i="3" s="1"/>
  <c r="P149" i="3"/>
  <c r="P111" i="3"/>
  <c r="F158" i="3"/>
  <c r="F159" i="3" s="1"/>
  <c r="AM62" i="28" l="1"/>
  <c r="AI12" i="28"/>
  <c r="AI44" i="28"/>
  <c r="AH43" i="28"/>
  <c r="AP8" i="28"/>
  <c r="AI32" i="28"/>
  <c r="AH26" i="28"/>
  <c r="AI35" i="28"/>
  <c r="AH34" i="28"/>
  <c r="AM27" i="28"/>
  <c r="AB10" i="21"/>
  <c r="AD27" i="24"/>
  <c r="AC26" i="24"/>
  <c r="AB43" i="24"/>
  <c r="AC44" i="24"/>
  <c r="AB62" i="24"/>
  <c r="AK8" i="24"/>
  <c r="AB35" i="24"/>
  <c r="AA34" i="24"/>
  <c r="AC12" i="24"/>
  <c r="AI10" i="24"/>
  <c r="G157" i="3"/>
  <c r="G159" i="3" s="1"/>
  <c r="F165" i="3"/>
  <c r="F167" i="3" s="1"/>
  <c r="AJ35" i="28" l="1"/>
  <c r="AI34" i="28"/>
  <c r="AJ12" i="28"/>
  <c r="AH25" i="28"/>
  <c r="AJ32" i="28"/>
  <c r="AI26" i="28"/>
  <c r="AQ8" i="28"/>
  <c r="AI43" i="28"/>
  <c r="AJ44" i="28"/>
  <c r="AN62" i="28"/>
  <c r="AN27" i="28"/>
  <c r="AC10" i="21"/>
  <c r="AL8" i="24"/>
  <c r="AD12" i="24"/>
  <c r="AD26" i="24"/>
  <c r="AE27" i="24"/>
  <c r="AB34" i="24"/>
  <c r="AC35" i="24"/>
  <c r="AC62" i="24"/>
  <c r="AD44" i="24"/>
  <c r="AC43" i="24"/>
  <c r="AJ10" i="24"/>
  <c r="G165" i="3"/>
  <c r="G167" i="3" s="1"/>
  <c r="H157" i="3"/>
  <c r="H159" i="3" s="1"/>
  <c r="AK44" i="28" l="1"/>
  <c r="AJ43" i="28"/>
  <c r="AR8" i="28"/>
  <c r="AK12" i="28"/>
  <c r="AO62" i="28"/>
  <c r="AI25" i="28"/>
  <c r="AK32" i="28"/>
  <c r="AJ26" i="28"/>
  <c r="AJ25" i="28" s="1"/>
  <c r="AK35" i="28"/>
  <c r="AJ34" i="28"/>
  <c r="AO27" i="28"/>
  <c r="AD10" i="21"/>
  <c r="AD62" i="24"/>
  <c r="AE44" i="24"/>
  <c r="AD43" i="24"/>
  <c r="AC34" i="24"/>
  <c r="AD35" i="24"/>
  <c r="AE26" i="24"/>
  <c r="AF27" i="24"/>
  <c r="AE12" i="24"/>
  <c r="AK10" i="24"/>
  <c r="AM8" i="24"/>
  <c r="H167" i="3"/>
  <c r="I157" i="3"/>
  <c r="I159" i="3" s="1"/>
  <c r="H165" i="3"/>
  <c r="AL35" i="28" l="1"/>
  <c r="AK34" i="28"/>
  <c r="AL32" i="28"/>
  <c r="AK26" i="28"/>
  <c r="AK43" i="28"/>
  <c r="AL44" i="28"/>
  <c r="AP62" i="28"/>
  <c r="AL12" i="28"/>
  <c r="AS8" i="28"/>
  <c r="AP27" i="28"/>
  <c r="AE10" i="21"/>
  <c r="AE35" i="24"/>
  <c r="AD34" i="24"/>
  <c r="AL10" i="24"/>
  <c r="AF12" i="24"/>
  <c r="AF26" i="24"/>
  <c r="AG27" i="24"/>
  <c r="AE43" i="24"/>
  <c r="AF44" i="24"/>
  <c r="AE62" i="24"/>
  <c r="AN8" i="24"/>
  <c r="J157" i="3"/>
  <c r="J159" i="3" s="1"/>
  <c r="I165" i="3"/>
  <c r="I167" i="3"/>
  <c r="AM44" i="28" l="1"/>
  <c r="AL43" i="28"/>
  <c r="AQ27" i="28"/>
  <c r="AT8" i="28"/>
  <c r="AM12" i="28"/>
  <c r="AQ62" i="28"/>
  <c r="AK25" i="28"/>
  <c r="AM32" i="28"/>
  <c r="AL26" i="28"/>
  <c r="AM35" i="28"/>
  <c r="AL34" i="28"/>
  <c r="AF10" i="21"/>
  <c r="AG12" i="24"/>
  <c r="AM10" i="24"/>
  <c r="AG26" i="24"/>
  <c r="AH27" i="24"/>
  <c r="AO8" i="24"/>
  <c r="AF62" i="24"/>
  <c r="AG44" i="24"/>
  <c r="AF43" i="24"/>
  <c r="AF35" i="24"/>
  <c r="AE34" i="24"/>
  <c r="K157" i="3"/>
  <c r="K159" i="3" s="1"/>
  <c r="J165" i="3"/>
  <c r="J167" i="3" s="1"/>
  <c r="AN32" i="28" l="1"/>
  <c r="AM26" i="28"/>
  <c r="AU8" i="28"/>
  <c r="AR62" i="28"/>
  <c r="AN12" i="28"/>
  <c r="AR27" i="28"/>
  <c r="AN44" i="28"/>
  <c r="AM43" i="28"/>
  <c r="AN35" i="28"/>
  <c r="AM34" i="28"/>
  <c r="AL25" i="28"/>
  <c r="AG10" i="21"/>
  <c r="AN10" i="24"/>
  <c r="AH12" i="24"/>
  <c r="AG62" i="24"/>
  <c r="AP8" i="24"/>
  <c r="AG43" i="24"/>
  <c r="AH44" i="24"/>
  <c r="AI27" i="24"/>
  <c r="AH26" i="24"/>
  <c r="AG35" i="24"/>
  <c r="AF34" i="24"/>
  <c r="K165" i="3"/>
  <c r="K167" i="3" s="1"/>
  <c r="L157" i="3"/>
  <c r="L159" i="3" s="1"/>
  <c r="AO44" i="28" l="1"/>
  <c r="AN43" i="28"/>
  <c r="AS27" i="28"/>
  <c r="AO12" i="28"/>
  <c r="AS62" i="28"/>
  <c r="AV8" i="28"/>
  <c r="AM25" i="28"/>
  <c r="AO32" i="28"/>
  <c r="AN26" i="28"/>
  <c r="AN34" i="28"/>
  <c r="AO35" i="28"/>
  <c r="AH10" i="21"/>
  <c r="AI44" i="24"/>
  <c r="AH43" i="24"/>
  <c r="AO10" i="24"/>
  <c r="AH62" i="24"/>
  <c r="AI12" i="24"/>
  <c r="AQ8" i="24"/>
  <c r="AH35" i="24"/>
  <c r="AG34" i="24"/>
  <c r="AJ27" i="24"/>
  <c r="AI26" i="24"/>
  <c r="L167" i="3"/>
  <c r="L165" i="3"/>
  <c r="M157" i="3"/>
  <c r="M159" i="3" s="1"/>
  <c r="AT62" i="28" l="1"/>
  <c r="AP32" i="28"/>
  <c r="AO26" i="28"/>
  <c r="AW8" i="28"/>
  <c r="AP12" i="28"/>
  <c r="AT27" i="28"/>
  <c r="AP35" i="28"/>
  <c r="AO34" i="28"/>
  <c r="AO43" i="28"/>
  <c r="AP44" i="28"/>
  <c r="AN25" i="28"/>
  <c r="AI10" i="21"/>
  <c r="AR8" i="24"/>
  <c r="AJ44" i="24"/>
  <c r="AI43" i="24"/>
  <c r="AP10" i="24"/>
  <c r="AJ12" i="24"/>
  <c r="AI62" i="24"/>
  <c r="AK27" i="24"/>
  <c r="AJ26" i="24"/>
  <c r="AI35" i="24"/>
  <c r="AH34" i="24"/>
  <c r="N157" i="3"/>
  <c r="N159" i="3" s="1"/>
  <c r="M165" i="3"/>
  <c r="M167" i="3" s="1"/>
  <c r="AP34" i="28" l="1"/>
  <c r="AQ35" i="28"/>
  <c r="AU27" i="28"/>
  <c r="AQ12" i="28"/>
  <c r="AX8" i="28"/>
  <c r="AO25" i="28"/>
  <c r="AQ32" i="28"/>
  <c r="AP26" i="28"/>
  <c r="AP25" i="28" s="1"/>
  <c r="AU62" i="28"/>
  <c r="AP43" i="28"/>
  <c r="AQ44" i="28"/>
  <c r="AJ10" i="21"/>
  <c r="AJ43" i="24"/>
  <c r="AK44" i="24"/>
  <c r="AS8" i="24"/>
  <c r="AL27" i="24"/>
  <c r="AK26" i="24"/>
  <c r="AJ62" i="24"/>
  <c r="AK12" i="24"/>
  <c r="AQ10" i="24"/>
  <c r="AJ35" i="24"/>
  <c r="AI34" i="24"/>
  <c r="N167" i="3"/>
  <c r="O167" i="3" s="1"/>
  <c r="O157" i="3"/>
  <c r="O159" i="3" s="1"/>
  <c r="O165" i="3" s="1"/>
  <c r="N165" i="3"/>
  <c r="AV62" i="28" l="1"/>
  <c r="AR32" i="28"/>
  <c r="AQ26" i="28"/>
  <c r="AY8" i="28"/>
  <c r="AR12" i="28"/>
  <c r="AV27" i="28"/>
  <c r="AR44" i="28"/>
  <c r="AQ43" i="28"/>
  <c r="AQ34" i="28"/>
  <c r="AR35" i="28"/>
  <c r="AK10" i="21"/>
  <c r="AK62" i="24"/>
  <c r="AM27" i="24"/>
  <c r="AL26" i="24"/>
  <c r="AT8" i="24"/>
  <c r="AK35" i="24"/>
  <c r="AJ34" i="24"/>
  <c r="AR10" i="24"/>
  <c r="AL12" i="24"/>
  <c r="AK43" i="24"/>
  <c r="AL44" i="24"/>
  <c r="O31" i="2"/>
  <c r="E3" i="20"/>
  <c r="T61" i="24" s="1"/>
  <c r="T59" i="24" s="1"/>
  <c r="E2" i="20"/>
  <c r="T98" i="24" s="1"/>
  <c r="T96" i="24" s="1"/>
  <c r="T80" i="24" s="1"/>
  <c r="T100" i="24" s="1"/>
  <c r="T105" i="24" s="1"/>
  <c r="T113" i="24" s="1"/>
  <c r="AW27" i="28" l="1"/>
  <c r="AS12" i="28"/>
  <c r="AS44" i="28"/>
  <c r="AR43" i="28"/>
  <c r="AZ8" i="28"/>
  <c r="AQ25" i="28"/>
  <c r="AS32" i="28"/>
  <c r="AR26" i="28"/>
  <c r="AR25" i="28" s="1"/>
  <c r="AS35" i="28"/>
  <c r="AR34" i="28"/>
  <c r="AW62" i="28"/>
  <c r="AL10" i="21"/>
  <c r="T13" i="24"/>
  <c r="T58" i="24"/>
  <c r="T24" i="24" s="1"/>
  <c r="AM12" i="24"/>
  <c r="AS10" i="24"/>
  <c r="AU8" i="24"/>
  <c r="AK34" i="24"/>
  <c r="AL35" i="24"/>
  <c r="AM26" i="24"/>
  <c r="AN27" i="24"/>
  <c r="AL62" i="24"/>
  <c r="AM44" i="24"/>
  <c r="AL43" i="24"/>
  <c r="C26" i="1"/>
  <c r="C25" i="1"/>
  <c r="C24" i="1"/>
  <c r="C23" i="1"/>
  <c r="C22" i="1"/>
  <c r="C16" i="1"/>
  <c r="C15" i="1"/>
  <c r="C14" i="1"/>
  <c r="C13" i="1"/>
  <c r="C12" i="1"/>
  <c r="C11" i="1"/>
  <c r="C10" i="1"/>
  <c r="C9" i="1"/>
  <c r="AS34" i="28" l="1"/>
  <c r="AT35" i="28"/>
  <c r="AT32" i="28"/>
  <c r="AS26" i="28"/>
  <c r="BA8" i="28"/>
  <c r="AS43" i="28"/>
  <c r="AT44" i="28"/>
  <c r="AT12" i="28"/>
  <c r="AX27" i="28"/>
  <c r="AX62" i="28"/>
  <c r="AM10" i="21"/>
  <c r="AM62" i="24"/>
  <c r="AL34" i="24"/>
  <c r="AM35" i="24"/>
  <c r="AT10" i="24"/>
  <c r="AN12" i="24"/>
  <c r="AN26" i="24"/>
  <c r="AO27" i="24"/>
  <c r="AV8" i="24"/>
  <c r="AN44" i="24"/>
  <c r="AM43" i="24"/>
  <c r="E26" i="22"/>
  <c r="E25" i="22"/>
  <c r="E24" i="22"/>
  <c r="E23" i="22"/>
  <c r="E22" i="22"/>
  <c r="F20" i="22"/>
  <c r="E16" i="22"/>
  <c r="E15" i="22"/>
  <c r="E14" i="22"/>
  <c r="E13" i="22"/>
  <c r="E12" i="22"/>
  <c r="E11" i="22"/>
  <c r="E10" i="22"/>
  <c r="E9" i="22"/>
  <c r="F7" i="22"/>
  <c r="P42" i="4"/>
  <c r="P28" i="4"/>
  <c r="AU12" i="28" l="1"/>
  <c r="BB8" i="28"/>
  <c r="AY62" i="28"/>
  <c r="AY27" i="28"/>
  <c r="AT43" i="28"/>
  <c r="AU44" i="28"/>
  <c r="AS25" i="28"/>
  <c r="AU32" i="28"/>
  <c r="AT26" i="28"/>
  <c r="AT25" i="28" s="1"/>
  <c r="AT34" i="28"/>
  <c r="AU35" i="28"/>
  <c r="AN10" i="21"/>
  <c r="AW8" i="24"/>
  <c r="AO26" i="24"/>
  <c r="AP27" i="24"/>
  <c r="AO12" i="24"/>
  <c r="AN62" i="24"/>
  <c r="AU10" i="24"/>
  <c r="AM34" i="24"/>
  <c r="AN35" i="24"/>
  <c r="AO44" i="24"/>
  <c r="AN43" i="24"/>
  <c r="BQ89" i="8"/>
  <c r="BP89" i="8"/>
  <c r="BO89" i="8"/>
  <c r="BN89" i="8"/>
  <c r="BM89" i="8"/>
  <c r="BL89" i="8"/>
  <c r="BK89" i="8"/>
  <c r="BJ89" i="8"/>
  <c r="BI89" i="8"/>
  <c r="BH89" i="8"/>
  <c r="BG89" i="8"/>
  <c r="BF89" i="8"/>
  <c r="BE89" i="8"/>
  <c r="BD89" i="8"/>
  <c r="BC89" i="8"/>
  <c r="BB89" i="8"/>
  <c r="BA89" i="8"/>
  <c r="AZ89" i="8"/>
  <c r="AY89" i="8"/>
  <c r="AX89" i="8"/>
  <c r="AW89" i="8"/>
  <c r="AV89" i="8"/>
  <c r="AU89" i="8"/>
  <c r="AT89" i="8"/>
  <c r="AS89" i="8"/>
  <c r="AR89" i="8"/>
  <c r="AQ89" i="8"/>
  <c r="AO89" i="8"/>
  <c r="AN89" i="8"/>
  <c r="AM89" i="8"/>
  <c r="AL89" i="8"/>
  <c r="AK89" i="8"/>
  <c r="AJ89" i="8"/>
  <c r="AI89" i="8"/>
  <c r="AH89" i="8"/>
  <c r="AG89" i="8"/>
  <c r="AF89" i="8"/>
  <c r="AE89" i="8"/>
  <c r="AD89" i="8"/>
  <c r="AC89" i="8"/>
  <c r="AB89" i="8"/>
  <c r="AA89" i="8"/>
  <c r="Z89" i="8"/>
  <c r="Y89" i="8"/>
  <c r="X89" i="8"/>
  <c r="W89" i="8"/>
  <c r="V89" i="8"/>
  <c r="U89" i="8"/>
  <c r="BQ87" i="8"/>
  <c r="BP87" i="8"/>
  <c r="BP85" i="8" s="1"/>
  <c r="BO87" i="8"/>
  <c r="BO85" i="8" s="1"/>
  <c r="BN87" i="8"/>
  <c r="BN85" i="8" s="1"/>
  <c r="BM87" i="8"/>
  <c r="BL87" i="8"/>
  <c r="BK87" i="8"/>
  <c r="BK85" i="8" s="1"/>
  <c r="BQ85" i="8"/>
  <c r="BM85" i="8"/>
  <c r="BL85" i="8"/>
  <c r="BQ84" i="8"/>
  <c r="BP84" i="8"/>
  <c r="BO84" i="8"/>
  <c r="BN84" i="8"/>
  <c r="BM84" i="8"/>
  <c r="BL84" i="8"/>
  <c r="BK84" i="8"/>
  <c r="BQ83" i="8"/>
  <c r="BQ81" i="8" s="1"/>
  <c r="BP83" i="8"/>
  <c r="BP81" i="8" s="1"/>
  <c r="BO83" i="8"/>
  <c r="BN83" i="8"/>
  <c r="BM83" i="8"/>
  <c r="BM81" i="8" s="1"/>
  <c r="BL83" i="8"/>
  <c r="BL81" i="8" s="1"/>
  <c r="BK83" i="8"/>
  <c r="BO81" i="8"/>
  <c r="BN81" i="8"/>
  <c r="BN73" i="8" s="1"/>
  <c r="BN72" i="8" s="1"/>
  <c r="BK81" i="8"/>
  <c r="BK80" i="8" s="1"/>
  <c r="V82" i="6"/>
  <c r="T90" i="6"/>
  <c r="AZ62" i="28" l="1"/>
  <c r="AU34" i="28"/>
  <c r="AV35" i="28"/>
  <c r="AV32" i="28"/>
  <c r="AU26" i="28"/>
  <c r="AV44" i="28"/>
  <c r="AU43" i="28"/>
  <c r="AZ27" i="28"/>
  <c r="BC8" i="28"/>
  <c r="AV12" i="28"/>
  <c r="V81" i="6"/>
  <c r="V73" i="6"/>
  <c r="AO10" i="21"/>
  <c r="AP26" i="24"/>
  <c r="AQ27" i="24"/>
  <c r="AN34" i="24"/>
  <c r="AO35" i="24"/>
  <c r="AO62" i="24"/>
  <c r="AV10" i="24"/>
  <c r="AP12" i="24"/>
  <c r="AO43" i="24"/>
  <c r="AP44" i="24"/>
  <c r="AX8" i="24"/>
  <c r="BO73" i="8"/>
  <c r="BO72" i="8" s="1"/>
  <c r="BP73" i="8"/>
  <c r="BP72" i="8" s="1"/>
  <c r="BP80" i="8"/>
  <c r="BQ73" i="8"/>
  <c r="BQ72" i="8" s="1"/>
  <c r="BQ80" i="8"/>
  <c r="BL80" i="8"/>
  <c r="BL73" i="8"/>
  <c r="BL72" i="8" s="1"/>
  <c r="BM80" i="8"/>
  <c r="BM73" i="8"/>
  <c r="BM72" i="8" s="1"/>
  <c r="BK73" i="8"/>
  <c r="BK72" i="8" s="1"/>
  <c r="BN80" i="8"/>
  <c r="BO80" i="8"/>
  <c r="AW12" i="28" l="1"/>
  <c r="BD8" i="28"/>
  <c r="AW44" i="28"/>
  <c r="AV43" i="28"/>
  <c r="AW32" i="28"/>
  <c r="AV26" i="28"/>
  <c r="AV25" i="28" s="1"/>
  <c r="BA62" i="28"/>
  <c r="BA27" i="28"/>
  <c r="AU25" i="28"/>
  <c r="AW35" i="28"/>
  <c r="AV34" i="28"/>
  <c r="AP10" i="21"/>
  <c r="AW10" i="24"/>
  <c r="AQ12" i="24"/>
  <c r="AP62" i="24"/>
  <c r="AQ26" i="24"/>
  <c r="AR27" i="24"/>
  <c r="AY8" i="24"/>
  <c r="AO34" i="24"/>
  <c r="AP35" i="24"/>
  <c r="AQ44" i="24"/>
  <c r="AP43" i="24"/>
  <c r="BJ123" i="8"/>
  <c r="BJ84" i="8" s="1"/>
  <c r="BI123" i="8"/>
  <c r="BI84" i="8" s="1"/>
  <c r="BH123" i="8"/>
  <c r="BH84" i="8" s="1"/>
  <c r="BG123" i="8"/>
  <c r="BG84" i="8" s="1"/>
  <c r="BF123" i="8"/>
  <c r="BF84" i="8" s="1"/>
  <c r="BE123" i="8"/>
  <c r="BE84" i="8" s="1"/>
  <c r="BD123" i="8"/>
  <c r="BD84" i="8" s="1"/>
  <c r="BC123" i="8"/>
  <c r="BC84" i="8" s="1"/>
  <c r="BB123" i="8"/>
  <c r="BB84" i="8" s="1"/>
  <c r="BA123" i="8"/>
  <c r="BA84" i="8" s="1"/>
  <c r="AZ123" i="8"/>
  <c r="AZ84" i="8" s="1"/>
  <c r="AY123" i="8"/>
  <c r="AY84" i="8" s="1"/>
  <c r="AX123" i="8"/>
  <c r="AX84" i="8" s="1"/>
  <c r="AW123" i="8"/>
  <c r="AW84" i="8" s="1"/>
  <c r="AV123" i="8"/>
  <c r="AV84" i="8" s="1"/>
  <c r="AU123" i="8"/>
  <c r="AU84" i="8" s="1"/>
  <c r="AT123" i="8"/>
  <c r="AT84" i="8" s="1"/>
  <c r="AS123" i="8"/>
  <c r="AS84" i="8" s="1"/>
  <c r="AR123" i="8"/>
  <c r="AR84" i="8" s="1"/>
  <c r="AQ123" i="8"/>
  <c r="AQ84" i="8" s="1"/>
  <c r="AP123" i="8"/>
  <c r="AP84" i="8" s="1"/>
  <c r="AO123" i="8"/>
  <c r="AO84" i="8" s="1"/>
  <c r="AN123" i="8"/>
  <c r="AN84" i="8" s="1"/>
  <c r="AM123" i="8"/>
  <c r="AM84" i="8" s="1"/>
  <c r="AL123" i="8"/>
  <c r="AL84" i="8" s="1"/>
  <c r="AK123" i="8"/>
  <c r="AK84" i="8" s="1"/>
  <c r="AJ123" i="8"/>
  <c r="AJ84" i="8" s="1"/>
  <c r="AI123" i="8"/>
  <c r="AI84" i="8" s="1"/>
  <c r="AH123" i="8"/>
  <c r="AH84" i="8" s="1"/>
  <c r="AG123" i="8"/>
  <c r="AG84" i="8" s="1"/>
  <c r="AF123" i="8"/>
  <c r="AF84" i="8" s="1"/>
  <c r="AE123" i="8"/>
  <c r="AE84" i="8" s="1"/>
  <c r="AD123" i="8"/>
  <c r="AD84" i="8" s="1"/>
  <c r="AC123" i="8"/>
  <c r="AC84" i="8" s="1"/>
  <c r="AB123" i="8"/>
  <c r="AB84" i="8" s="1"/>
  <c r="AA123" i="8"/>
  <c r="AA84" i="8" s="1"/>
  <c r="Z123" i="8"/>
  <c r="Z84" i="8" s="1"/>
  <c r="Y123" i="8"/>
  <c r="Y84" i="8" s="1"/>
  <c r="X123" i="8"/>
  <c r="X84" i="8" s="1"/>
  <c r="W123" i="8"/>
  <c r="W84" i="8" s="1"/>
  <c r="V123" i="8"/>
  <c r="V84" i="8" s="1"/>
  <c r="U123" i="8"/>
  <c r="U84" i="8" s="1"/>
  <c r="BJ121" i="8"/>
  <c r="BI121" i="8"/>
  <c r="BH121" i="8"/>
  <c r="BG121" i="8"/>
  <c r="BF121" i="8"/>
  <c r="BE121" i="8"/>
  <c r="BD121" i="8"/>
  <c r="BC121" i="8"/>
  <c r="BB121" i="8"/>
  <c r="BA121" i="8"/>
  <c r="AZ121" i="8"/>
  <c r="AY121" i="8"/>
  <c r="AX121" i="8"/>
  <c r="AW121" i="8"/>
  <c r="AV121" i="8"/>
  <c r="AU121" i="8"/>
  <c r="AT121" i="8"/>
  <c r="AS121" i="8"/>
  <c r="AR121" i="8"/>
  <c r="AQ121" i="8"/>
  <c r="AP121" i="8"/>
  <c r="AO121" i="8"/>
  <c r="AN121" i="8"/>
  <c r="AM121" i="8"/>
  <c r="AL121" i="8"/>
  <c r="AK121" i="8"/>
  <c r="AJ121" i="8"/>
  <c r="AI121" i="8"/>
  <c r="AH121" i="8"/>
  <c r="AG121" i="8"/>
  <c r="AF121" i="8"/>
  <c r="AE121" i="8"/>
  <c r="AD121" i="8"/>
  <c r="AC121" i="8"/>
  <c r="AB121" i="8"/>
  <c r="AA121" i="8"/>
  <c r="Z121" i="8"/>
  <c r="Y121" i="8"/>
  <c r="X121" i="8"/>
  <c r="W121" i="8"/>
  <c r="V121" i="8"/>
  <c r="U121" i="8"/>
  <c r="BJ120" i="8"/>
  <c r="BJ83" i="8" s="1"/>
  <c r="BJ81" i="8" s="1"/>
  <c r="BI120" i="8"/>
  <c r="BH120" i="8"/>
  <c r="BG120" i="8"/>
  <c r="BF120" i="8"/>
  <c r="BE120" i="8"/>
  <c r="BD120" i="8"/>
  <c r="BC120" i="8"/>
  <c r="BB120" i="8"/>
  <c r="BA120" i="8"/>
  <c r="AZ120" i="8"/>
  <c r="AY120" i="8"/>
  <c r="AY83" i="8" s="1"/>
  <c r="AY81" i="8" s="1"/>
  <c r="AX120" i="8"/>
  <c r="AW120" i="8"/>
  <c r="AV120" i="8"/>
  <c r="AV83" i="8" s="1"/>
  <c r="AV81" i="8" s="1"/>
  <c r="AU120" i="8"/>
  <c r="AU83" i="8" s="1"/>
  <c r="AU81" i="8" s="1"/>
  <c r="AT120" i="8"/>
  <c r="AT83" i="8" s="1"/>
  <c r="AT81" i="8" s="1"/>
  <c r="AS120" i="8"/>
  <c r="AR120" i="8"/>
  <c r="AQ120" i="8"/>
  <c r="AP120" i="8"/>
  <c r="AO120" i="8"/>
  <c r="AN120" i="8"/>
  <c r="AM120" i="8"/>
  <c r="AL120" i="8"/>
  <c r="AK120" i="8"/>
  <c r="AJ120" i="8"/>
  <c r="AI120" i="8"/>
  <c r="AI83" i="8" s="1"/>
  <c r="AI81" i="8" s="1"/>
  <c r="AH120" i="8"/>
  <c r="AG120" i="8"/>
  <c r="AF120" i="8"/>
  <c r="AF83" i="8" s="1"/>
  <c r="AF81" i="8" s="1"/>
  <c r="AE120" i="8"/>
  <c r="AE83" i="8" s="1"/>
  <c r="AE81" i="8" s="1"/>
  <c r="AD120" i="8"/>
  <c r="AD83" i="8" s="1"/>
  <c r="AD81" i="8" s="1"/>
  <c r="AC120" i="8"/>
  <c r="AB120" i="8"/>
  <c r="AA120" i="8"/>
  <c r="Z120" i="8"/>
  <c r="Y120" i="8"/>
  <c r="X120" i="8"/>
  <c r="W120" i="8"/>
  <c r="V120" i="8"/>
  <c r="U120" i="8"/>
  <c r="BJ119" i="8"/>
  <c r="BI119" i="8"/>
  <c r="BH119" i="8"/>
  <c r="BG119" i="8"/>
  <c r="BF119" i="8"/>
  <c r="BE119" i="8"/>
  <c r="BD119" i="8"/>
  <c r="BC119" i="8"/>
  <c r="BB119" i="8"/>
  <c r="BA119" i="8"/>
  <c r="AZ119" i="8"/>
  <c r="AY119" i="8"/>
  <c r="AX119" i="8"/>
  <c r="AW119" i="8"/>
  <c r="AV119" i="8"/>
  <c r="AU119" i="8"/>
  <c r="AT119" i="8"/>
  <c r="AS119" i="8"/>
  <c r="AR119" i="8"/>
  <c r="AQ119" i="8"/>
  <c r="AP119" i="8"/>
  <c r="AO119" i="8"/>
  <c r="AN119" i="8"/>
  <c r="AM119" i="8"/>
  <c r="AL119" i="8"/>
  <c r="AK119" i="8"/>
  <c r="AJ119" i="8"/>
  <c r="AI119" i="8"/>
  <c r="AH119" i="8"/>
  <c r="AG119" i="8"/>
  <c r="AF119" i="8"/>
  <c r="AE119" i="8"/>
  <c r="AD119" i="8"/>
  <c r="AC119" i="8"/>
  <c r="AB119" i="8"/>
  <c r="AA119" i="8"/>
  <c r="Z119" i="8"/>
  <c r="Y119" i="8"/>
  <c r="X119" i="8"/>
  <c r="W119" i="8"/>
  <c r="V119" i="8"/>
  <c r="U119" i="8"/>
  <c r="BJ118" i="8"/>
  <c r="BI118" i="8"/>
  <c r="BH118" i="8"/>
  <c r="BG118" i="8"/>
  <c r="BF118" i="8"/>
  <c r="BE118" i="8"/>
  <c r="BD118" i="8"/>
  <c r="BC118" i="8"/>
  <c r="BC87" i="8" s="1"/>
  <c r="BC85" i="8" s="1"/>
  <c r="BB118" i="8"/>
  <c r="BA118" i="8"/>
  <c r="AZ118" i="8"/>
  <c r="AZ87" i="8" s="1"/>
  <c r="AZ85" i="8" s="1"/>
  <c r="AY118" i="8"/>
  <c r="AY87" i="8" s="1"/>
  <c r="AY85" i="8" s="1"/>
  <c r="AX118" i="8"/>
  <c r="AX87" i="8" s="1"/>
  <c r="AX85" i="8" s="1"/>
  <c r="AW118" i="8"/>
  <c r="AV118" i="8"/>
  <c r="AU118" i="8"/>
  <c r="AT118" i="8"/>
  <c r="AS118" i="8"/>
  <c r="AR118" i="8"/>
  <c r="AQ118" i="8"/>
  <c r="AP118" i="8"/>
  <c r="AO118" i="8"/>
  <c r="AN118" i="8"/>
  <c r="AM118" i="8"/>
  <c r="AM87" i="8" s="1"/>
  <c r="AM85" i="8" s="1"/>
  <c r="AL118" i="8"/>
  <c r="AK118" i="8"/>
  <c r="AJ118" i="8"/>
  <c r="AJ87" i="8" s="1"/>
  <c r="AJ85" i="8" s="1"/>
  <c r="AI118" i="8"/>
  <c r="AI87" i="8" s="1"/>
  <c r="AI85" i="8" s="1"/>
  <c r="AH118" i="8"/>
  <c r="AH87" i="8" s="1"/>
  <c r="AH85" i="8" s="1"/>
  <c r="AG118" i="8"/>
  <c r="AF118" i="8"/>
  <c r="AE118" i="8"/>
  <c r="AD118" i="8"/>
  <c r="AC118" i="8"/>
  <c r="AB118" i="8"/>
  <c r="AA118" i="8"/>
  <c r="Z118" i="8"/>
  <c r="Y118" i="8"/>
  <c r="X118" i="8"/>
  <c r="W118" i="8"/>
  <c r="V118" i="8"/>
  <c r="U118" i="8"/>
  <c r="T123" i="8"/>
  <c r="T84" i="8" s="1"/>
  <c r="T121" i="8"/>
  <c r="T120" i="8"/>
  <c r="T119" i="8"/>
  <c r="T118" i="8"/>
  <c r="BB27" i="28" l="1"/>
  <c r="BB62" i="28"/>
  <c r="AX32" i="28"/>
  <c r="AW26" i="28"/>
  <c r="AX12" i="28"/>
  <c r="AX44" i="28"/>
  <c r="AW43" i="28"/>
  <c r="BE8" i="28"/>
  <c r="AX35" i="28"/>
  <c r="AW34" i="28"/>
  <c r="AQ10" i="21"/>
  <c r="T87" i="8"/>
  <c r="T85" i="8" s="1"/>
  <c r="W87" i="8"/>
  <c r="W85" i="8" s="1"/>
  <c r="X87" i="8"/>
  <c r="X85" i="8" s="1"/>
  <c r="AN87" i="8"/>
  <c r="AN85" i="8" s="1"/>
  <c r="BD87" i="8"/>
  <c r="BD85" i="8" s="1"/>
  <c r="AJ83" i="8"/>
  <c r="AJ81" i="8" s="1"/>
  <c r="AJ80" i="8" s="1"/>
  <c r="AZ83" i="8"/>
  <c r="AZ81" i="8" s="1"/>
  <c r="AZ73" i="8" s="1"/>
  <c r="AZ72" i="8" s="1"/>
  <c r="BB83" i="8"/>
  <c r="BB81" i="8" s="1"/>
  <c r="BB73" i="8" s="1"/>
  <c r="BB72" i="8" s="1"/>
  <c r="AP87" i="8"/>
  <c r="AP85" i="8" s="1"/>
  <c r="AL83" i="8"/>
  <c r="AL81" i="8" s="1"/>
  <c r="AL80" i="8" s="1"/>
  <c r="AR87" i="8"/>
  <c r="AR85" i="8" s="1"/>
  <c r="AN83" i="8"/>
  <c r="AN81" i="8" s="1"/>
  <c r="AN80" i="8" s="1"/>
  <c r="Z87" i="8"/>
  <c r="Z85" i="8" s="1"/>
  <c r="BF87" i="8"/>
  <c r="BF85" i="8" s="1"/>
  <c r="V83" i="8"/>
  <c r="V81" i="8" s="1"/>
  <c r="V73" i="8" s="1"/>
  <c r="V72" i="8" s="1"/>
  <c r="P24" i="22" s="1"/>
  <c r="BG87" i="8"/>
  <c r="BG85" i="8" s="1"/>
  <c r="AB87" i="8"/>
  <c r="AB85" i="8" s="1"/>
  <c r="X83" i="8"/>
  <c r="X81" i="8" s="1"/>
  <c r="X80" i="8" s="1"/>
  <c r="BD83" i="8"/>
  <c r="BD81" i="8" s="1"/>
  <c r="AE87" i="8"/>
  <c r="AE85" i="8" s="1"/>
  <c r="AU87" i="8"/>
  <c r="AU85" i="8" s="1"/>
  <c r="AA83" i="8"/>
  <c r="AA81" i="8" s="1"/>
  <c r="AA73" i="8" s="1"/>
  <c r="AA72" i="8" s="1"/>
  <c r="Z24" i="22" s="1"/>
  <c r="AQ83" i="8"/>
  <c r="AQ81" i="8" s="1"/>
  <c r="AQ80" i="8" s="1"/>
  <c r="BG83" i="8"/>
  <c r="BG81" i="8" s="1"/>
  <c r="BG73" i="8" s="1"/>
  <c r="BG72" i="8" s="1"/>
  <c r="AM83" i="8"/>
  <c r="AM81" i="8" s="1"/>
  <c r="AM80" i="8" s="1"/>
  <c r="AV87" i="8"/>
  <c r="AV85" i="8" s="1"/>
  <c r="AB83" i="8"/>
  <c r="AB81" i="8" s="1"/>
  <c r="AB80" i="8" s="1"/>
  <c r="AR83" i="8"/>
  <c r="AR81" i="8" s="1"/>
  <c r="AR80" i="8" s="1"/>
  <c r="BH83" i="8"/>
  <c r="BH81" i="8" s="1"/>
  <c r="BH80" i="8" s="1"/>
  <c r="AA87" i="8"/>
  <c r="AA85" i="8" s="1"/>
  <c r="AQ87" i="8"/>
  <c r="AQ85" i="8" s="1"/>
  <c r="W83" i="8"/>
  <c r="W81" i="8" s="1"/>
  <c r="W80" i="8" s="1"/>
  <c r="BC83" i="8"/>
  <c r="BC81" i="8" s="1"/>
  <c r="BC80" i="8" s="1"/>
  <c r="BH87" i="8"/>
  <c r="BH85" i="8" s="1"/>
  <c r="AF87" i="8"/>
  <c r="AF85" i="8" s="1"/>
  <c r="AP34" i="24"/>
  <c r="AQ35" i="24"/>
  <c r="AR26" i="24"/>
  <c r="AS27" i="24"/>
  <c r="AQ62" i="24"/>
  <c r="AQ43" i="24"/>
  <c r="AR44" i="24"/>
  <c r="AX10" i="24"/>
  <c r="AZ8" i="24"/>
  <c r="AR12" i="24"/>
  <c r="AR73" i="8"/>
  <c r="AR72" i="8" s="1"/>
  <c r="Y87" i="8"/>
  <c r="Y85" i="8" s="1"/>
  <c r="AG87" i="8"/>
  <c r="AG85" i="8" s="1"/>
  <c r="AO87" i="8"/>
  <c r="AO85" i="8" s="1"/>
  <c r="AW87" i="8"/>
  <c r="AW85" i="8" s="1"/>
  <c r="BE87" i="8"/>
  <c r="BE85" i="8" s="1"/>
  <c r="U83" i="8"/>
  <c r="U81" i="8" s="1"/>
  <c r="AC83" i="8"/>
  <c r="AC81" i="8" s="1"/>
  <c r="AK83" i="8"/>
  <c r="AK81" i="8" s="1"/>
  <c r="AS83" i="8"/>
  <c r="AS81" i="8" s="1"/>
  <c r="BA83" i="8"/>
  <c r="BA81" i="8" s="1"/>
  <c r="BI83" i="8"/>
  <c r="BI81" i="8" s="1"/>
  <c r="AY73" i="8"/>
  <c r="AY72" i="8" s="1"/>
  <c r="AY80" i="8"/>
  <c r="T83" i="8"/>
  <c r="T81" i="8" s="1"/>
  <c r="T80" i="8" s="1"/>
  <c r="AD73" i="8"/>
  <c r="AD72" i="8" s="1"/>
  <c r="AD80" i="8"/>
  <c r="AT80" i="8"/>
  <c r="AT73" i="8"/>
  <c r="AT72" i="8" s="1"/>
  <c r="BJ80" i="8"/>
  <c r="BJ73" i="8"/>
  <c r="BJ72" i="8" s="1"/>
  <c r="AU80" i="8"/>
  <c r="AU73" i="8"/>
  <c r="AU72" i="8" s="1"/>
  <c r="AV73" i="8"/>
  <c r="AV72" i="8" s="1"/>
  <c r="AV80" i="8"/>
  <c r="BD73" i="8"/>
  <c r="BD72" i="8" s="1"/>
  <c r="BD80" i="8"/>
  <c r="AF73" i="8"/>
  <c r="AF72" i="8" s="1"/>
  <c r="AF80" i="8"/>
  <c r="U87" i="8"/>
  <c r="U85" i="8" s="1"/>
  <c r="AC87" i="8"/>
  <c r="AC85" i="8" s="1"/>
  <c r="AK87" i="8"/>
  <c r="AK85" i="8" s="1"/>
  <c r="AS87" i="8"/>
  <c r="AS85" i="8" s="1"/>
  <c r="BA87" i="8"/>
  <c r="BA85" i="8" s="1"/>
  <c r="BI87" i="8"/>
  <c r="BI85" i="8" s="1"/>
  <c r="Y83" i="8"/>
  <c r="Y81" i="8" s="1"/>
  <c r="AG83" i="8"/>
  <c r="AG81" i="8" s="1"/>
  <c r="AO83" i="8"/>
  <c r="AO81" i="8" s="1"/>
  <c r="AW83" i="8"/>
  <c r="AW81" i="8" s="1"/>
  <c r="BE83" i="8"/>
  <c r="BE81" i="8" s="1"/>
  <c r="AI73" i="8"/>
  <c r="AI72" i="8" s="1"/>
  <c r="AI80" i="8"/>
  <c r="AJ73" i="8"/>
  <c r="AJ72" i="8" s="1"/>
  <c r="AE80" i="8"/>
  <c r="AE73" i="8"/>
  <c r="AE72" i="8" s="1"/>
  <c r="V87" i="8"/>
  <c r="V85" i="8" s="1"/>
  <c r="AD87" i="8"/>
  <c r="AD85" i="8" s="1"/>
  <c r="AL87" i="8"/>
  <c r="AL85" i="8" s="1"/>
  <c r="AT87" i="8"/>
  <c r="AT85" i="8" s="1"/>
  <c r="BB87" i="8"/>
  <c r="BB85" i="8" s="1"/>
  <c r="BJ87" i="8"/>
  <c r="BJ85" i="8" s="1"/>
  <c r="Z83" i="8"/>
  <c r="Z81" i="8" s="1"/>
  <c r="AH83" i="8"/>
  <c r="AH81" i="8" s="1"/>
  <c r="AP83" i="8"/>
  <c r="AP81" i="8" s="1"/>
  <c r="AP80" i="8" s="1"/>
  <c r="AX83" i="8"/>
  <c r="AX81" i="8" s="1"/>
  <c r="BF83" i="8"/>
  <c r="BF81" i="8" s="1"/>
  <c r="AY35" i="28" l="1"/>
  <c r="AX34" i="28"/>
  <c r="BF8" i="28"/>
  <c r="AY12" i="28"/>
  <c r="AW25" i="28"/>
  <c r="BC27" i="28"/>
  <c r="AX43" i="28"/>
  <c r="AY44" i="28"/>
  <c r="AY32" i="28"/>
  <c r="AX26" i="28"/>
  <c r="AX25" i="28" s="1"/>
  <c r="BC62" i="28"/>
  <c r="AR10" i="21"/>
  <c r="BG80" i="8"/>
  <c r="AB73" i="8"/>
  <c r="AB72" i="8" s="1"/>
  <c r="AB24" i="22" s="1"/>
  <c r="AA80" i="8"/>
  <c r="BB80" i="8"/>
  <c r="AL73" i="8"/>
  <c r="AL72" i="8" s="1"/>
  <c r="AM73" i="8"/>
  <c r="AM72" i="8" s="1"/>
  <c r="W73" i="8"/>
  <c r="W72" i="8" s="1"/>
  <c r="R24" i="22" s="1"/>
  <c r="AQ73" i="8"/>
  <c r="AQ72" i="8" s="1"/>
  <c r="X73" i="8"/>
  <c r="X72" i="8" s="1"/>
  <c r="T24" i="22" s="1"/>
  <c r="AN73" i="8"/>
  <c r="AN72" i="8" s="1"/>
  <c r="V80" i="8"/>
  <c r="BC73" i="8"/>
  <c r="BC72" i="8" s="1"/>
  <c r="AZ80" i="8"/>
  <c r="BH73" i="8"/>
  <c r="BH72" i="8" s="1"/>
  <c r="BA8" i="24"/>
  <c r="AR62" i="24"/>
  <c r="AS12" i="24"/>
  <c r="AQ34" i="24"/>
  <c r="AR35" i="24"/>
  <c r="AY10" i="24"/>
  <c r="AR43" i="24"/>
  <c r="AS44" i="24"/>
  <c r="AS26" i="24"/>
  <c r="AT27" i="24"/>
  <c r="AW80" i="8"/>
  <c r="AW73" i="8"/>
  <c r="AW72" i="8" s="1"/>
  <c r="R24" i="1" s="1"/>
  <c r="AO80" i="8"/>
  <c r="AO73" i="8"/>
  <c r="AO72" i="8" s="1"/>
  <c r="AS80" i="8"/>
  <c r="AS73" i="8"/>
  <c r="AS72" i="8" s="1"/>
  <c r="BF73" i="8"/>
  <c r="BF72" i="8" s="1"/>
  <c r="BF80" i="8"/>
  <c r="AG80" i="8"/>
  <c r="AG73" i="8"/>
  <c r="AG72" i="8" s="1"/>
  <c r="AK80" i="8"/>
  <c r="AK73" i="8"/>
  <c r="AK72" i="8" s="1"/>
  <c r="AX73" i="8"/>
  <c r="AX72" i="8" s="1"/>
  <c r="AX80" i="8"/>
  <c r="Y80" i="8"/>
  <c r="Y73" i="8"/>
  <c r="Y72" i="8" s="1"/>
  <c r="V24" i="22" s="1"/>
  <c r="AC73" i="8"/>
  <c r="AC72" i="8" s="1"/>
  <c r="AD24" i="22" s="1"/>
  <c r="AC80" i="8"/>
  <c r="Z73" i="8"/>
  <c r="Z72" i="8" s="1"/>
  <c r="X24" i="22" s="1"/>
  <c r="Z80" i="8"/>
  <c r="BE80" i="8"/>
  <c r="BE73" i="8"/>
  <c r="BE72" i="8" s="1"/>
  <c r="BA80" i="8"/>
  <c r="BA73" i="8"/>
  <c r="BA72" i="8" s="1"/>
  <c r="U73" i="8"/>
  <c r="U72" i="8" s="1"/>
  <c r="N24" i="22" s="1"/>
  <c r="U80" i="8"/>
  <c r="AH73" i="8"/>
  <c r="AH72" i="8" s="1"/>
  <c r="AH80" i="8"/>
  <c r="BI80" i="8"/>
  <c r="BI73" i="8"/>
  <c r="BI72" i="8" s="1"/>
  <c r="S114" i="8"/>
  <c r="R114" i="8"/>
  <c r="Q114" i="8"/>
  <c r="P114" i="8"/>
  <c r="O114" i="8"/>
  <c r="N114" i="8"/>
  <c r="R113" i="8"/>
  <c r="Q113" i="8"/>
  <c r="P113" i="8"/>
  <c r="O113" i="8"/>
  <c r="N113" i="8"/>
  <c r="S98" i="8"/>
  <c r="S97" i="8"/>
  <c r="S94" i="8"/>
  <c r="S93" i="8"/>
  <c r="S92" i="8"/>
  <c r="S91" i="8"/>
  <c r="S90" i="8"/>
  <c r="R89" i="8"/>
  <c r="Q89" i="8"/>
  <c r="P89" i="8"/>
  <c r="O89" i="8"/>
  <c r="N89" i="8"/>
  <c r="S88" i="8"/>
  <c r="S87" i="8"/>
  <c r="S86" i="8"/>
  <c r="R85" i="8"/>
  <c r="Q85" i="8"/>
  <c r="P85" i="8"/>
  <c r="S85" i="8" s="1"/>
  <c r="O85" i="8"/>
  <c r="N85" i="8"/>
  <c r="S84" i="8"/>
  <c r="S82" i="8"/>
  <c r="S78" i="8"/>
  <c r="S77" i="8"/>
  <c r="S76" i="8"/>
  <c r="R75" i="8"/>
  <c r="R72" i="8" s="1"/>
  <c r="J24" i="1" s="1"/>
  <c r="Q75" i="8"/>
  <c r="Q72" i="8" s="1"/>
  <c r="P75" i="8"/>
  <c r="P72" i="8" s="1"/>
  <c r="O75" i="8"/>
  <c r="O72" i="8" s="1"/>
  <c r="N75" i="8"/>
  <c r="N72" i="8" s="1"/>
  <c r="S74" i="8"/>
  <c r="S73" i="8"/>
  <c r="S66" i="8"/>
  <c r="R66" i="8"/>
  <c r="Q66" i="8"/>
  <c r="P66" i="8"/>
  <c r="O66" i="8"/>
  <c r="N66" i="8"/>
  <c r="S65" i="8"/>
  <c r="R65" i="8"/>
  <c r="Q65" i="8"/>
  <c r="P65" i="8"/>
  <c r="O65" i="8"/>
  <c r="N65" i="8"/>
  <c r="S63" i="8"/>
  <c r="R63" i="8"/>
  <c r="Q63" i="8"/>
  <c r="P63" i="8"/>
  <c r="O63" i="8"/>
  <c r="N63" i="8"/>
  <c r="BQ62" i="8"/>
  <c r="BP62" i="8"/>
  <c r="BO62" i="8"/>
  <c r="BN62" i="8"/>
  <c r="BM62" i="8"/>
  <c r="BL62" i="8"/>
  <c r="BK62" i="8"/>
  <c r="BJ62" i="8"/>
  <c r="BI62" i="8"/>
  <c r="BH62" i="8"/>
  <c r="BG62" i="8"/>
  <c r="BF62" i="8"/>
  <c r="BE62" i="8"/>
  <c r="BD62" i="8"/>
  <c r="BC62" i="8"/>
  <c r="BB62" i="8"/>
  <c r="BA62" i="8"/>
  <c r="AZ62" i="8"/>
  <c r="AY62" i="8"/>
  <c r="AX62" i="8"/>
  <c r="AW62" i="8"/>
  <c r="AV62" i="8"/>
  <c r="AU62" i="8"/>
  <c r="AT62" i="8"/>
  <c r="AS62" i="8"/>
  <c r="AR62" i="8"/>
  <c r="AQ62" i="8"/>
  <c r="AP62" i="8"/>
  <c r="AO62" i="8"/>
  <c r="AN62" i="8"/>
  <c r="AM62" i="8"/>
  <c r="AL62" i="8"/>
  <c r="AK62" i="8"/>
  <c r="AJ62" i="8"/>
  <c r="AI62" i="8"/>
  <c r="AH62" i="8"/>
  <c r="AG62" i="8"/>
  <c r="AF62" i="8"/>
  <c r="AE62" i="8"/>
  <c r="AD62" i="8"/>
  <c r="AC62" i="8"/>
  <c r="AB62" i="8"/>
  <c r="AA62" i="8"/>
  <c r="Z62" i="8"/>
  <c r="Y62" i="8"/>
  <c r="X62" i="8"/>
  <c r="W62" i="8"/>
  <c r="V62" i="8"/>
  <c r="U62" i="8"/>
  <c r="T62" i="8"/>
  <c r="S61" i="8"/>
  <c r="T61" i="8" s="1"/>
  <c r="U61" i="8" s="1"/>
  <c r="V61" i="8" s="1"/>
  <c r="W61" i="8" s="1"/>
  <c r="X61" i="8" s="1"/>
  <c r="Y61" i="8" s="1"/>
  <c r="Z61" i="8" s="1"/>
  <c r="R61" i="8"/>
  <c r="Q61" i="8"/>
  <c r="P61" i="8"/>
  <c r="O61" i="8"/>
  <c r="N61" i="8"/>
  <c r="S60" i="8"/>
  <c r="R60" i="8"/>
  <c r="Q60" i="8"/>
  <c r="P60" i="8"/>
  <c r="O60" i="8"/>
  <c r="N60" i="8"/>
  <c r="BQ54" i="8"/>
  <c r="BQ108" i="8" s="1"/>
  <c r="BP54" i="8"/>
  <c r="BP108" i="8" s="1"/>
  <c r="BO54" i="8"/>
  <c r="BO108" i="8" s="1"/>
  <c r="BN54" i="8"/>
  <c r="BN108" i="8" s="1"/>
  <c r="BM54" i="8"/>
  <c r="BM108" i="8" s="1"/>
  <c r="BL54" i="8"/>
  <c r="BL108" i="8" s="1"/>
  <c r="BK54" i="8"/>
  <c r="BK108" i="8" s="1"/>
  <c r="BJ54" i="8"/>
  <c r="BJ108" i="8" s="1"/>
  <c r="BI54" i="8"/>
  <c r="BI108" i="8" s="1"/>
  <c r="BH54" i="8"/>
  <c r="BH108" i="8" s="1"/>
  <c r="BG54" i="8"/>
  <c r="BG108" i="8" s="1"/>
  <c r="BF54" i="8"/>
  <c r="BF108" i="8" s="1"/>
  <c r="BE54" i="8"/>
  <c r="BE108" i="8" s="1"/>
  <c r="BD54" i="8"/>
  <c r="BD108" i="8" s="1"/>
  <c r="BC54" i="8"/>
  <c r="BC108" i="8" s="1"/>
  <c r="BB54" i="8"/>
  <c r="BB108" i="8" s="1"/>
  <c r="BA54" i="8"/>
  <c r="BA108" i="8" s="1"/>
  <c r="AZ54" i="8"/>
  <c r="AZ108" i="8" s="1"/>
  <c r="AY54" i="8"/>
  <c r="AY108" i="8" s="1"/>
  <c r="AX54" i="8"/>
  <c r="AX108" i="8" s="1"/>
  <c r="AW54" i="8"/>
  <c r="AW108" i="8" s="1"/>
  <c r="AV54" i="8"/>
  <c r="AV108" i="8" s="1"/>
  <c r="AU54" i="8"/>
  <c r="AU108" i="8" s="1"/>
  <c r="AT54" i="8"/>
  <c r="AT108" i="8" s="1"/>
  <c r="AS54" i="8"/>
  <c r="AS108" i="8" s="1"/>
  <c r="AR54" i="8"/>
  <c r="AR108" i="8" s="1"/>
  <c r="AQ54" i="8"/>
  <c r="AQ108" i="8" s="1"/>
  <c r="AP54" i="8"/>
  <c r="AP108" i="8" s="1"/>
  <c r="AO54" i="8"/>
  <c r="AO108" i="8" s="1"/>
  <c r="AN54" i="8"/>
  <c r="AN108" i="8" s="1"/>
  <c r="AM54" i="8"/>
  <c r="AM108" i="8" s="1"/>
  <c r="AL54" i="8"/>
  <c r="AL108" i="8" s="1"/>
  <c r="AK54" i="8"/>
  <c r="AK108" i="8" s="1"/>
  <c r="AJ54" i="8"/>
  <c r="AJ108" i="8" s="1"/>
  <c r="AI54" i="8"/>
  <c r="AI108" i="8" s="1"/>
  <c r="AH54" i="8"/>
  <c r="AH108" i="8" s="1"/>
  <c r="AG54" i="8"/>
  <c r="AG108" i="8" s="1"/>
  <c r="AF54" i="8"/>
  <c r="AF108" i="8" s="1"/>
  <c r="AE54" i="8"/>
  <c r="AE108" i="8" s="1"/>
  <c r="AD54" i="8"/>
  <c r="AD108" i="8" s="1"/>
  <c r="AC54" i="8"/>
  <c r="AC108" i="8" s="1"/>
  <c r="AB54" i="8"/>
  <c r="AB108" i="8" s="1"/>
  <c r="AA54" i="8"/>
  <c r="AA108" i="8" s="1"/>
  <c r="Z54" i="8"/>
  <c r="Z108" i="8" s="1"/>
  <c r="Y54" i="8"/>
  <c r="Y108" i="8" s="1"/>
  <c r="X54" i="8"/>
  <c r="X108" i="8" s="1"/>
  <c r="W54" i="8"/>
  <c r="W108" i="8" s="1"/>
  <c r="V54" i="8"/>
  <c r="V108" i="8" s="1"/>
  <c r="U54" i="8"/>
  <c r="U108" i="8" s="1"/>
  <c r="T54" i="8"/>
  <c r="T108" i="8" s="1"/>
  <c r="T53" i="8"/>
  <c r="T51" i="8" s="1"/>
  <c r="T107" i="8" s="1"/>
  <c r="S53" i="8"/>
  <c r="R53" i="8"/>
  <c r="Q53" i="8"/>
  <c r="P53" i="8"/>
  <c r="O53" i="8"/>
  <c r="N53" i="8"/>
  <c r="S46" i="8"/>
  <c r="R46" i="8"/>
  <c r="Q46" i="8"/>
  <c r="P46" i="8"/>
  <c r="O46" i="8"/>
  <c r="N46" i="8"/>
  <c r="S45" i="8"/>
  <c r="R45" i="8"/>
  <c r="Q45" i="8"/>
  <c r="P45" i="8"/>
  <c r="O45" i="8"/>
  <c r="N45" i="8"/>
  <c r="S44" i="8"/>
  <c r="R44" i="8"/>
  <c r="Q44" i="8"/>
  <c r="P44" i="8"/>
  <c r="O44" i="8"/>
  <c r="N44" i="8"/>
  <c r="S34" i="8"/>
  <c r="R34" i="8"/>
  <c r="Q34" i="8"/>
  <c r="P34" i="8"/>
  <c r="O34" i="8"/>
  <c r="N34" i="8"/>
  <c r="S26" i="8"/>
  <c r="R26" i="8"/>
  <c r="Q26" i="8"/>
  <c r="P26" i="8"/>
  <c r="O26" i="8"/>
  <c r="N26" i="8"/>
  <c r="S22" i="8"/>
  <c r="R22" i="8"/>
  <c r="Q22" i="8"/>
  <c r="P22" i="8"/>
  <c r="O22" i="8"/>
  <c r="N22" i="8"/>
  <c r="BQ19" i="8"/>
  <c r="BP19" i="8"/>
  <c r="BO19" i="8"/>
  <c r="BN19" i="8"/>
  <c r="BM19" i="8"/>
  <c r="BL19" i="8"/>
  <c r="BK19" i="8"/>
  <c r="BJ19" i="8"/>
  <c r="BI19" i="8"/>
  <c r="BH19" i="8"/>
  <c r="BG19" i="8"/>
  <c r="BF19" i="8"/>
  <c r="BE19" i="8"/>
  <c r="BD19" i="8"/>
  <c r="BC19" i="8"/>
  <c r="BB19" i="8"/>
  <c r="BA19" i="8"/>
  <c r="AZ19" i="8"/>
  <c r="AY19" i="8"/>
  <c r="AX19" i="8"/>
  <c r="AW19" i="8"/>
  <c r="AV19" i="8"/>
  <c r="AU19" i="8"/>
  <c r="AT19" i="8"/>
  <c r="AS19" i="8"/>
  <c r="AR19" i="8"/>
  <c r="AQ19" i="8"/>
  <c r="AP19" i="8"/>
  <c r="AO19" i="8"/>
  <c r="AN19" i="8"/>
  <c r="AM19" i="8"/>
  <c r="AL19" i="8"/>
  <c r="AK19" i="8"/>
  <c r="AJ19" i="8"/>
  <c r="AI19" i="8"/>
  <c r="AH19" i="8"/>
  <c r="AG19" i="8"/>
  <c r="AF19" i="8"/>
  <c r="AE19" i="8"/>
  <c r="AD19" i="8"/>
  <c r="AC19" i="8"/>
  <c r="AB19" i="8"/>
  <c r="AA19" i="8"/>
  <c r="Z19" i="8"/>
  <c r="Y19" i="8"/>
  <c r="X19" i="8"/>
  <c r="W19" i="8"/>
  <c r="V19" i="8"/>
  <c r="U19" i="8"/>
  <c r="T19" i="8"/>
  <c r="S18" i="8"/>
  <c r="R18" i="8"/>
  <c r="Q18" i="8"/>
  <c r="P18" i="8"/>
  <c r="O18" i="8"/>
  <c r="N18" i="8"/>
  <c r="S17" i="8"/>
  <c r="R17" i="8"/>
  <c r="Q17" i="8"/>
  <c r="P17" i="8"/>
  <c r="O17" i="8"/>
  <c r="N17" i="8"/>
  <c r="S115" i="6"/>
  <c r="R115" i="6"/>
  <c r="Q115" i="6"/>
  <c r="P115" i="6"/>
  <c r="O115" i="6"/>
  <c r="N115" i="6"/>
  <c r="AZ12" i="28" l="1"/>
  <c r="BG8" i="28"/>
  <c r="AZ32" i="28"/>
  <c r="AY26" i="28"/>
  <c r="AY43" i="28"/>
  <c r="AZ44" i="28"/>
  <c r="BD27" i="28"/>
  <c r="AZ35" i="28"/>
  <c r="AY34" i="28"/>
  <c r="BD62" i="28"/>
  <c r="AS10" i="21"/>
  <c r="AR34" i="24"/>
  <c r="AS35" i="24"/>
  <c r="AZ10" i="24"/>
  <c r="AS62" i="24"/>
  <c r="AS43" i="24"/>
  <c r="AT44" i="24"/>
  <c r="AT12" i="24"/>
  <c r="AT26" i="24"/>
  <c r="AU27" i="24"/>
  <c r="BB8" i="24"/>
  <c r="J25" i="1"/>
  <c r="J25" i="22"/>
  <c r="J24" i="22"/>
  <c r="J26" i="1"/>
  <c r="J26" i="22"/>
  <c r="S89" i="8"/>
  <c r="AP89" i="8"/>
  <c r="AP73" i="8"/>
  <c r="AP72" i="8" s="1"/>
  <c r="T89" i="8"/>
  <c r="AA61" i="8"/>
  <c r="N24" i="1"/>
  <c r="V24" i="1"/>
  <c r="S72" i="8"/>
  <c r="T24" i="1"/>
  <c r="P24" i="1"/>
  <c r="BE27" i="28" l="1"/>
  <c r="AY25" i="28"/>
  <c r="BE62" i="28"/>
  <c r="BA35" i="28"/>
  <c r="AZ34" i="28"/>
  <c r="AZ43" i="28"/>
  <c r="BA44" i="28"/>
  <c r="BA32" i="28"/>
  <c r="AZ26" i="28"/>
  <c r="AZ25" i="28" s="1"/>
  <c r="BH8" i="28"/>
  <c r="BA12" i="28"/>
  <c r="AT10" i="21"/>
  <c r="AU44" i="24"/>
  <c r="AT43" i="24"/>
  <c r="AT62" i="24"/>
  <c r="BA10" i="24"/>
  <c r="AU26" i="24"/>
  <c r="AV27" i="24"/>
  <c r="AU12" i="24"/>
  <c r="AS34" i="24"/>
  <c r="AT35" i="24"/>
  <c r="BC8" i="24"/>
  <c r="AB61" i="8"/>
  <c r="BI8" i="28" l="1"/>
  <c r="BA43" i="28"/>
  <c r="BB44" i="28"/>
  <c r="BB32" i="28"/>
  <c r="BA26" i="28"/>
  <c r="BB35" i="28"/>
  <c r="BA34" i="28"/>
  <c r="BF62" i="28"/>
  <c r="BF27" i="28"/>
  <c r="BB12" i="28"/>
  <c r="AU10" i="21"/>
  <c r="AV26" i="24"/>
  <c r="AW27" i="24"/>
  <c r="AU43" i="24"/>
  <c r="AV44" i="24"/>
  <c r="AV12" i="24"/>
  <c r="BB10" i="24"/>
  <c r="AU62" i="24"/>
  <c r="BD8" i="24"/>
  <c r="AT34" i="24"/>
  <c r="AU35" i="24"/>
  <c r="AC61" i="8"/>
  <c r="BG62" i="28" l="1"/>
  <c r="BC32" i="28"/>
  <c r="BB26" i="28"/>
  <c r="BG27" i="28"/>
  <c r="BC35" i="28"/>
  <c r="BB34" i="28"/>
  <c r="BA25" i="28"/>
  <c r="BB43" i="28"/>
  <c r="BC44" i="28"/>
  <c r="BJ8" i="28"/>
  <c r="BC12" i="28"/>
  <c r="AV10" i="21"/>
  <c r="BE8" i="24"/>
  <c r="BC10" i="24"/>
  <c r="AW12" i="24"/>
  <c r="AV43" i="24"/>
  <c r="AW44" i="24"/>
  <c r="AV35" i="24"/>
  <c r="AU34" i="24"/>
  <c r="AV62" i="24"/>
  <c r="AX27" i="24"/>
  <c r="AW26" i="24"/>
  <c r="AD61" i="8"/>
  <c r="BK8" i="28" l="1"/>
  <c r="BH27" i="28"/>
  <c r="BC43" i="28"/>
  <c r="BD44" i="28"/>
  <c r="BD35" i="28"/>
  <c r="BC34" i="28"/>
  <c r="BB25" i="28"/>
  <c r="BD32" i="28"/>
  <c r="BC26" i="28"/>
  <c r="BC25" i="28" s="1"/>
  <c r="BH62" i="28"/>
  <c r="BD12" i="28"/>
  <c r="AW43" i="24"/>
  <c r="AX44" i="24"/>
  <c r="AW62" i="24"/>
  <c r="AW35" i="24"/>
  <c r="AV34" i="24"/>
  <c r="AX12" i="24"/>
  <c r="BD10" i="24"/>
  <c r="AY27" i="24"/>
  <c r="AX26" i="24"/>
  <c r="BF8" i="24"/>
  <c r="AE61" i="8"/>
  <c r="BI62" i="28" l="1"/>
  <c r="BE32" i="28"/>
  <c r="BD26" i="28"/>
  <c r="BE44" i="28"/>
  <c r="BD43" i="28"/>
  <c r="BD34" i="28"/>
  <c r="BE35" i="28"/>
  <c r="BI27" i="28"/>
  <c r="BL8" i="28"/>
  <c r="BE12" i="28"/>
  <c r="AY12" i="24"/>
  <c r="AY44" i="24"/>
  <c r="AX43" i="24"/>
  <c r="BE10" i="24"/>
  <c r="AX35" i="24"/>
  <c r="AW34" i="24"/>
  <c r="AX62" i="24"/>
  <c r="BG8" i="24"/>
  <c r="AZ27" i="24"/>
  <c r="AY26" i="24"/>
  <c r="AF61" i="8"/>
  <c r="BE43" i="28" l="1"/>
  <c r="BF44" i="28"/>
  <c r="BM8" i="28"/>
  <c r="BJ27" i="28"/>
  <c r="BF35" i="28"/>
  <c r="BE34" i="28"/>
  <c r="BD25" i="28"/>
  <c r="BF32" i="28"/>
  <c r="BE26" i="28"/>
  <c r="BE25" i="28" s="1"/>
  <c r="BJ62" i="28"/>
  <c r="BF12" i="28"/>
  <c r="BH8" i="24"/>
  <c r="AY62" i="24"/>
  <c r="AY35" i="24"/>
  <c r="AX34" i="24"/>
  <c r="BA27" i="24"/>
  <c r="AZ26" i="24"/>
  <c r="BF10" i="24"/>
  <c r="AZ44" i="24"/>
  <c r="AY43" i="24"/>
  <c r="AZ12" i="24"/>
  <c r="AG61" i="8"/>
  <c r="BK62" i="28" l="1"/>
  <c r="BG32" i="28"/>
  <c r="BF26" i="28"/>
  <c r="BG35" i="28"/>
  <c r="BF34" i="28"/>
  <c r="BK27" i="28"/>
  <c r="BN8" i="28"/>
  <c r="BF43" i="28"/>
  <c r="BG44" i="28"/>
  <c r="BG12" i="28"/>
  <c r="BB27" i="24"/>
  <c r="BA26" i="24"/>
  <c r="AZ35" i="24"/>
  <c r="AY34" i="24"/>
  <c r="AZ62" i="24"/>
  <c r="AZ43" i="24"/>
  <c r="BA44" i="24"/>
  <c r="BG10" i="24"/>
  <c r="BA12" i="24"/>
  <c r="BI8" i="24"/>
  <c r="AH61" i="8"/>
  <c r="BH44" i="28" l="1"/>
  <c r="BG43" i="28"/>
  <c r="BO8" i="28"/>
  <c r="BF25" i="28"/>
  <c r="BH12" i="28"/>
  <c r="BL27" i="28"/>
  <c r="BG34" i="28"/>
  <c r="BH35" i="28"/>
  <c r="BH32" i="28"/>
  <c r="BG26" i="28"/>
  <c r="BG25" i="28" s="1"/>
  <c r="BL62" i="28"/>
  <c r="BB12" i="24"/>
  <c r="BH10" i="24"/>
  <c r="BA62" i="24"/>
  <c r="BJ8" i="24"/>
  <c r="BB44" i="24"/>
  <c r="BA43" i="24"/>
  <c r="BA35" i="24"/>
  <c r="AZ34" i="24"/>
  <c r="BC27" i="24"/>
  <c r="BB26" i="24"/>
  <c r="AI61" i="8"/>
  <c r="BH34" i="28" l="1"/>
  <c r="BI35" i="28"/>
  <c r="BM27" i="28"/>
  <c r="BI32" i="28"/>
  <c r="BH26" i="28"/>
  <c r="BI12" i="28"/>
  <c r="BP8" i="28"/>
  <c r="BI44" i="28"/>
  <c r="BH43" i="28"/>
  <c r="BM62" i="28"/>
  <c r="BC44" i="24"/>
  <c r="BB43" i="24"/>
  <c r="BK8" i="24"/>
  <c r="BI10" i="24"/>
  <c r="BC12" i="24"/>
  <c r="BB62" i="24"/>
  <c r="BD27" i="24"/>
  <c r="BC26" i="24"/>
  <c r="BB35" i="24"/>
  <c r="BA34" i="24"/>
  <c r="AJ61" i="8"/>
  <c r="BQ8" i="28" l="1"/>
  <c r="BN27" i="28"/>
  <c r="BJ44" i="28"/>
  <c r="BI43" i="28"/>
  <c r="BJ12" i="28"/>
  <c r="BH25" i="28"/>
  <c r="BJ32" i="28"/>
  <c r="BI26" i="28"/>
  <c r="BI34" i="28"/>
  <c r="BJ35" i="28"/>
  <c r="BN62" i="28"/>
  <c r="BD12" i="24"/>
  <c r="BL8" i="24"/>
  <c r="BD26" i="24"/>
  <c r="BE27" i="24"/>
  <c r="BC62" i="24"/>
  <c r="BJ10" i="24"/>
  <c r="BC35" i="24"/>
  <c r="BB34" i="24"/>
  <c r="BD44" i="24"/>
  <c r="BC43" i="24"/>
  <c r="AK61" i="8"/>
  <c r="BI25" i="28" l="1"/>
  <c r="BK44" i="28"/>
  <c r="BJ43" i="28"/>
  <c r="BK32" i="28"/>
  <c r="BJ26" i="28"/>
  <c r="BJ25" i="28" s="1"/>
  <c r="BK12" i="28"/>
  <c r="BO27" i="28"/>
  <c r="BO62" i="28"/>
  <c r="BJ34" i="28"/>
  <c r="BK35" i="28"/>
  <c r="BK10" i="24"/>
  <c r="BE26" i="24"/>
  <c r="BF27" i="24"/>
  <c r="BD35" i="24"/>
  <c r="BC34" i="24"/>
  <c r="BD62" i="24"/>
  <c r="BM8" i="24"/>
  <c r="BE12" i="24"/>
  <c r="BE44" i="24"/>
  <c r="BD43" i="24"/>
  <c r="AL61" i="8"/>
  <c r="BL12" i="28" l="1"/>
  <c r="BL32" i="28"/>
  <c r="BK26" i="28"/>
  <c r="BK34" i="28"/>
  <c r="BL35" i="28"/>
  <c r="BP62" i="28"/>
  <c r="BP27" i="28"/>
  <c r="BL44" i="28"/>
  <c r="BK43" i="28"/>
  <c r="BN8" i="24"/>
  <c r="BE62" i="24"/>
  <c r="BF12" i="24"/>
  <c r="BD34" i="24"/>
  <c r="BE35" i="24"/>
  <c r="BL10" i="24"/>
  <c r="BF26" i="24"/>
  <c r="BG27" i="24"/>
  <c r="BF44" i="24"/>
  <c r="BE43" i="24"/>
  <c r="AM61" i="8"/>
  <c r="BQ27" i="28" l="1"/>
  <c r="BK25" i="28"/>
  <c r="BM44" i="28"/>
  <c r="BL43" i="28"/>
  <c r="BQ62" i="28"/>
  <c r="BM35" i="28"/>
  <c r="BL34" i="28"/>
  <c r="BM32" i="28"/>
  <c r="BL26" i="28"/>
  <c r="BL25" i="28" s="1"/>
  <c r="BM12" i="28"/>
  <c r="BE34" i="24"/>
  <c r="BF35" i="24"/>
  <c r="BG12" i="24"/>
  <c r="BO8" i="24"/>
  <c r="BG26" i="24"/>
  <c r="BH27" i="24"/>
  <c r="BM10" i="24"/>
  <c r="BF62" i="24"/>
  <c r="BG44" i="24"/>
  <c r="BF43" i="24"/>
  <c r="AN61" i="8"/>
  <c r="BN12" i="28" l="1"/>
  <c r="BN32" i="28"/>
  <c r="BM26" i="28"/>
  <c r="BM34" i="28"/>
  <c r="BN35" i="28"/>
  <c r="BN44" i="28"/>
  <c r="BM43" i="28"/>
  <c r="BG62" i="24"/>
  <c r="BN10" i="24"/>
  <c r="BH26" i="24"/>
  <c r="BI27" i="24"/>
  <c r="BP8" i="24"/>
  <c r="BH12" i="24"/>
  <c r="BF34" i="24"/>
  <c r="BG35" i="24"/>
  <c r="BG43" i="24"/>
  <c r="BH44" i="24"/>
  <c r="AO61" i="8"/>
  <c r="BN43" i="28" l="1"/>
  <c r="BO44" i="28"/>
  <c r="BN34" i="28"/>
  <c r="BO35" i="28"/>
  <c r="BM25" i="28"/>
  <c r="BO32" i="28"/>
  <c r="BN26" i="28"/>
  <c r="BN25" i="28" s="1"/>
  <c r="BO12" i="28"/>
  <c r="BH35" i="24"/>
  <c r="BG34" i="24"/>
  <c r="BI12" i="24"/>
  <c r="BO10" i="24"/>
  <c r="BQ8" i="24"/>
  <c r="BI26" i="24"/>
  <c r="BJ27" i="24"/>
  <c r="BH43" i="24"/>
  <c r="BI44" i="24"/>
  <c r="BH62" i="24"/>
  <c r="AP61" i="8"/>
  <c r="BP12" i="28" l="1"/>
  <c r="BP32" i="28"/>
  <c r="BO26" i="28"/>
  <c r="BO34" i="28"/>
  <c r="BP35" i="28"/>
  <c r="BO43" i="28"/>
  <c r="BP44" i="28"/>
  <c r="BJ44" i="24"/>
  <c r="BI43" i="24"/>
  <c r="BJ26" i="24"/>
  <c r="BK27" i="24"/>
  <c r="BP10" i="24"/>
  <c r="BJ12" i="24"/>
  <c r="BI62" i="24"/>
  <c r="BH34" i="24"/>
  <c r="BI35" i="24"/>
  <c r="AQ61" i="8"/>
  <c r="BQ44" i="28" l="1"/>
  <c r="BP43" i="28"/>
  <c r="BO25" i="28"/>
  <c r="BQ35" i="28"/>
  <c r="BQ34" i="28" s="1"/>
  <c r="BP34" i="28"/>
  <c r="BQ32" i="28"/>
  <c r="BQ26" i="28" s="1"/>
  <c r="BP26" i="28"/>
  <c r="BP25" i="28" s="1"/>
  <c r="BQ12" i="28"/>
  <c r="BJ62" i="24"/>
  <c r="BK12" i="24"/>
  <c r="BK26" i="24"/>
  <c r="BL27" i="24"/>
  <c r="BQ10" i="24"/>
  <c r="BI34" i="24"/>
  <c r="BJ35" i="24"/>
  <c r="BK44" i="24"/>
  <c r="BJ43" i="24"/>
  <c r="AR61" i="8"/>
  <c r="BQ25" i="28" l="1"/>
  <c r="BQ43" i="28"/>
  <c r="BJ34" i="24"/>
  <c r="BK35" i="24"/>
  <c r="BL26" i="24"/>
  <c r="BM27" i="24"/>
  <c r="BL12" i="24"/>
  <c r="BK43" i="24"/>
  <c r="BL44" i="24"/>
  <c r="BK62" i="24"/>
  <c r="AS61" i="8"/>
  <c r="BL62" i="24" l="1"/>
  <c r="BM12" i="24"/>
  <c r="BN27" i="24"/>
  <c r="BM26" i="24"/>
  <c r="BL35" i="24"/>
  <c r="BK34" i="24"/>
  <c r="BM44" i="24"/>
  <c r="BL43" i="24"/>
  <c r="AT61" i="8"/>
  <c r="BN44" i="24" l="1"/>
  <c r="BM43" i="24"/>
  <c r="BM35" i="24"/>
  <c r="BL34" i="24"/>
  <c r="BM62" i="24"/>
  <c r="BO27" i="24"/>
  <c r="BN26" i="24"/>
  <c r="BN12" i="24"/>
  <c r="AU61" i="8"/>
  <c r="BP27" i="24" l="1"/>
  <c r="BO26" i="24"/>
  <c r="BN62" i="24"/>
  <c r="BO12" i="24"/>
  <c r="BM34" i="24"/>
  <c r="BN35" i="24"/>
  <c r="BO44" i="24"/>
  <c r="BN43" i="24"/>
  <c r="AV61" i="8"/>
  <c r="BO62" i="24" l="1"/>
  <c r="BN34" i="24"/>
  <c r="BO35" i="24"/>
  <c r="BP12" i="24"/>
  <c r="BP44" i="24"/>
  <c r="BO43" i="24"/>
  <c r="BP26" i="24"/>
  <c r="BQ27" i="24"/>
  <c r="BQ26" i="24" s="1"/>
  <c r="AW61" i="8"/>
  <c r="BQ44" i="24" l="1"/>
  <c r="BP43" i="24"/>
  <c r="BP35" i="24"/>
  <c r="BO34" i="24"/>
  <c r="BP62" i="24"/>
  <c r="BQ12" i="24"/>
  <c r="AX61" i="8"/>
  <c r="BQ62" i="24" l="1"/>
  <c r="BQ35" i="24"/>
  <c r="BQ34" i="24" s="1"/>
  <c r="BP34" i="24"/>
  <c r="BQ43" i="24"/>
  <c r="AY61" i="8"/>
  <c r="AZ61" i="8" l="1"/>
  <c r="BA61" i="8" l="1"/>
  <c r="BB61" i="8" l="1"/>
  <c r="BC61" i="8" l="1"/>
  <c r="BD61" i="8" l="1"/>
  <c r="BE61" i="8" l="1"/>
  <c r="BF61" i="8" l="1"/>
  <c r="BG61" i="8" l="1"/>
  <c r="BH61" i="8" l="1"/>
  <c r="BI61" i="8" l="1"/>
  <c r="BJ61" i="8" l="1"/>
  <c r="BK61" i="8" l="1"/>
  <c r="BL61" i="8" l="1"/>
  <c r="BM61" i="8" l="1"/>
  <c r="BN61" i="8" l="1"/>
  <c r="BO61" i="8" l="1"/>
  <c r="BP61" i="8" l="1"/>
  <c r="BQ61" i="8" l="1"/>
  <c r="E26" i="1" l="1"/>
  <c r="E25" i="1"/>
  <c r="E15" i="1"/>
  <c r="E14" i="1"/>
  <c r="E24" i="1" l="1"/>
  <c r="O114" i="6" l="1"/>
  <c r="P114" i="6"/>
  <c r="Q114" i="6"/>
  <c r="R114" i="6"/>
  <c r="N114" i="6"/>
  <c r="P18" i="16" l="1"/>
  <c r="S16" i="16"/>
  <c r="R16" i="16"/>
  <c r="Q16" i="16"/>
  <c r="P16" i="16"/>
  <c r="Q18" i="16"/>
  <c r="Q21" i="16" s="1"/>
  <c r="R18" i="16"/>
  <c r="R20" i="16" s="1"/>
  <c r="S18" i="16"/>
  <c r="S20" i="16" s="1"/>
  <c r="T8" i="16"/>
  <c r="G10" i="16" s="1"/>
  <c r="T7" i="16"/>
  <c r="T6" i="16"/>
  <c r="G5" i="16" s="1"/>
  <c r="C10" i="18"/>
  <c r="C9" i="18"/>
  <c r="C4" i="18" s="1"/>
  <c r="N73" i="6"/>
  <c r="P184" i="2"/>
  <c r="S75" i="8" s="1"/>
  <c r="T75" i="8" s="1"/>
  <c r="T73" i="8" s="1"/>
  <c r="T72" i="8" s="1"/>
  <c r="O77" i="4"/>
  <c r="N77" i="4"/>
  <c r="M77" i="4"/>
  <c r="L77" i="4"/>
  <c r="K77" i="4"/>
  <c r="K78" i="4" s="1"/>
  <c r="J77" i="4"/>
  <c r="I77" i="4"/>
  <c r="H77" i="4"/>
  <c r="G77" i="4"/>
  <c r="G78" i="4" s="1"/>
  <c r="F77" i="4"/>
  <c r="N78" i="4" l="1"/>
  <c r="O78" i="4"/>
  <c r="J78" i="4"/>
  <c r="M78" i="4"/>
  <c r="L78" i="4"/>
  <c r="H78" i="4"/>
  <c r="L24" i="1"/>
  <c r="L24" i="22"/>
  <c r="I78" i="4"/>
  <c r="P21" i="16"/>
  <c r="P19" i="16"/>
  <c r="Q19" i="16"/>
  <c r="P20" i="16"/>
  <c r="Q20" i="16"/>
  <c r="R19" i="16"/>
  <c r="R21" i="16"/>
  <c r="S19" i="16"/>
  <c r="S21" i="16"/>
  <c r="P78" i="4" l="1"/>
  <c r="T20" i="16"/>
  <c r="T21" i="16"/>
  <c r="G11" i="16" s="1"/>
  <c r="T19" i="16"/>
  <c r="Q33" i="5"/>
  <c r="Q32" i="5"/>
  <c r="Q31" i="5"/>
  <c r="Q30" i="5"/>
  <c r="Q29" i="5"/>
  <c r="Q28" i="5"/>
  <c r="Q27" i="5"/>
  <c r="Q26" i="5"/>
  <c r="Q24" i="5"/>
  <c r="Q23" i="5"/>
  <c r="Q22" i="5"/>
  <c r="Q21" i="5"/>
  <c r="Q20" i="5"/>
  <c r="Q19" i="5"/>
  <c r="Q18" i="5"/>
  <c r="Q17" i="5"/>
  <c r="Q16" i="5"/>
  <c r="Q15" i="5"/>
  <c r="Q14" i="5"/>
  <c r="Q11" i="5"/>
  <c r="Q10" i="5"/>
  <c r="Q9" i="5"/>
  <c r="Q8" i="5"/>
  <c r="Q7" i="5"/>
  <c r="Q6" i="5"/>
  <c r="Q5" i="5"/>
  <c r="Q4" i="5"/>
  <c r="Q6" i="12"/>
  <c r="O6" i="12"/>
  <c r="S66" i="7"/>
  <c r="R66" i="7"/>
  <c r="Q66" i="7"/>
  <c r="P66" i="7"/>
  <c r="O66" i="7"/>
  <c r="N66" i="7"/>
  <c r="S65" i="7"/>
  <c r="R65" i="7"/>
  <c r="Q65" i="7"/>
  <c r="P65" i="7"/>
  <c r="O65" i="7"/>
  <c r="N65" i="7"/>
  <c r="S63" i="7"/>
  <c r="R63" i="7"/>
  <c r="Q63" i="7"/>
  <c r="P63" i="7"/>
  <c r="O63" i="7"/>
  <c r="N63" i="7"/>
  <c r="S61" i="7"/>
  <c r="R61" i="7"/>
  <c r="Q61" i="7"/>
  <c r="P61" i="7"/>
  <c r="O61" i="7"/>
  <c r="N61" i="7"/>
  <c r="S60" i="7"/>
  <c r="R60" i="7"/>
  <c r="Q60" i="7"/>
  <c r="P60" i="7"/>
  <c r="O60" i="7"/>
  <c r="N60" i="7"/>
  <c r="S53" i="7"/>
  <c r="R53" i="7"/>
  <c r="Q53" i="7"/>
  <c r="P53" i="7"/>
  <c r="O53" i="7"/>
  <c r="N53" i="7"/>
  <c r="S46" i="7"/>
  <c r="R46" i="7"/>
  <c r="Q46" i="7"/>
  <c r="P46" i="7"/>
  <c r="O46" i="7"/>
  <c r="N46" i="7"/>
  <c r="S45" i="7"/>
  <c r="R45" i="7"/>
  <c r="Q45" i="7"/>
  <c r="P45" i="7"/>
  <c r="O45" i="7"/>
  <c r="N45" i="7"/>
  <c r="S44" i="7"/>
  <c r="R44" i="7"/>
  <c r="Q44" i="7"/>
  <c r="P44" i="7"/>
  <c r="O44" i="7"/>
  <c r="N44" i="7"/>
  <c r="S34" i="7"/>
  <c r="R34" i="7"/>
  <c r="Q34" i="7"/>
  <c r="P34" i="7"/>
  <c r="O34" i="7"/>
  <c r="N34" i="7"/>
  <c r="S26" i="7"/>
  <c r="R26" i="7"/>
  <c r="Q26" i="7"/>
  <c r="P26" i="7"/>
  <c r="O26" i="7"/>
  <c r="N26" i="7"/>
  <c r="S22" i="7"/>
  <c r="R22" i="7"/>
  <c r="Q22" i="7"/>
  <c r="P22" i="7"/>
  <c r="O22" i="7"/>
  <c r="N22" i="7"/>
  <c r="S18" i="7"/>
  <c r="R18" i="7"/>
  <c r="Q18" i="7"/>
  <c r="P18" i="7"/>
  <c r="O18" i="7"/>
  <c r="N18" i="7"/>
  <c r="S17" i="7"/>
  <c r="R17" i="7"/>
  <c r="Q17" i="7"/>
  <c r="P17" i="7"/>
  <c r="O17" i="7"/>
  <c r="N17" i="7"/>
  <c r="O31" i="8"/>
  <c r="P31" i="8"/>
  <c r="Q31" i="8"/>
  <c r="R31" i="8"/>
  <c r="N31" i="8"/>
  <c r="O10" i="8"/>
  <c r="Q10" i="8"/>
  <c r="P158" i="2"/>
  <c r="P155" i="2"/>
  <c r="P154" i="2"/>
  <c r="P153" i="2"/>
  <c r="P152" i="2"/>
  <c r="P151" i="2"/>
  <c r="S85" i="6" s="1"/>
  <c r="S80" i="6" s="1"/>
  <c r="P149" i="2"/>
  <c r="P143" i="2"/>
  <c r="P140" i="2"/>
  <c r="P137" i="2"/>
  <c r="P134" i="2"/>
  <c r="P131" i="2"/>
  <c r="P120" i="2"/>
  <c r="AB66" i="2" s="1"/>
  <c r="S66" i="6" s="1"/>
  <c r="P118" i="2"/>
  <c r="AB64" i="2" s="1"/>
  <c r="S64" i="6" s="1"/>
  <c r="P115" i="2"/>
  <c r="AB62" i="2" s="1"/>
  <c r="P111" i="2"/>
  <c r="P110" i="2"/>
  <c r="P108" i="2"/>
  <c r="P107" i="2"/>
  <c r="P105" i="2"/>
  <c r="P103" i="2"/>
  <c r="P101" i="2"/>
  <c r="P100" i="2"/>
  <c r="P99" i="2"/>
  <c r="AB50" i="2" s="1"/>
  <c r="S50" i="6" s="1"/>
  <c r="T50" i="6" s="1"/>
  <c r="U50" i="6" s="1"/>
  <c r="V50" i="6" s="1"/>
  <c r="W50" i="6" s="1"/>
  <c r="X50" i="6" s="1"/>
  <c r="Y50" i="6" s="1"/>
  <c r="Z50" i="6" s="1"/>
  <c r="AA50" i="6" s="1"/>
  <c r="AB50" i="6" s="1"/>
  <c r="AC50" i="6" s="1"/>
  <c r="AD50" i="6" s="1"/>
  <c r="AE50" i="6" s="1"/>
  <c r="AF50" i="6" s="1"/>
  <c r="AG50" i="6" s="1"/>
  <c r="AH50" i="6" s="1"/>
  <c r="AI50" i="6" s="1"/>
  <c r="AJ50" i="6" s="1"/>
  <c r="AK50" i="6" s="1"/>
  <c r="AL50" i="6" s="1"/>
  <c r="AM50" i="6" s="1"/>
  <c r="AN50" i="6" s="1"/>
  <c r="AO50" i="6" s="1"/>
  <c r="AP50" i="6" s="1"/>
  <c r="AQ50" i="6" s="1"/>
  <c r="AR50" i="6" s="1"/>
  <c r="AS50" i="6" s="1"/>
  <c r="AT50" i="6" s="1"/>
  <c r="AU50" i="6" s="1"/>
  <c r="AV50" i="6" s="1"/>
  <c r="AW50" i="6" s="1"/>
  <c r="AX50" i="6" s="1"/>
  <c r="AY50" i="6" s="1"/>
  <c r="AZ50" i="6" s="1"/>
  <c r="BA50" i="6" s="1"/>
  <c r="BB50" i="6" s="1"/>
  <c r="BC50" i="6" s="1"/>
  <c r="BD50" i="6" s="1"/>
  <c r="BE50" i="6" s="1"/>
  <c r="BF50" i="6" s="1"/>
  <c r="BG50" i="6" s="1"/>
  <c r="BH50" i="6" s="1"/>
  <c r="BI50" i="6" s="1"/>
  <c r="BJ50" i="6" s="1"/>
  <c r="BK50" i="6" s="1"/>
  <c r="BL50" i="6" s="1"/>
  <c r="BM50" i="6" s="1"/>
  <c r="BN50" i="6" s="1"/>
  <c r="BO50" i="6" s="1"/>
  <c r="BP50" i="6" s="1"/>
  <c r="BQ50" i="6" s="1"/>
  <c r="P81" i="2"/>
  <c r="P102" i="2"/>
  <c r="P80" i="2"/>
  <c r="P79" i="2"/>
  <c r="AB44" i="2" s="1"/>
  <c r="P77" i="2"/>
  <c r="P75" i="2"/>
  <c r="P74" i="2"/>
  <c r="P73" i="2"/>
  <c r="P72" i="2"/>
  <c r="AB36" i="2" s="1"/>
  <c r="S36" i="6" s="1"/>
  <c r="P71" i="2"/>
  <c r="P70" i="2"/>
  <c r="AB38" i="2" s="1"/>
  <c r="S38" i="6" s="1"/>
  <c r="T38" i="6" s="1"/>
  <c r="U38" i="6" s="1"/>
  <c r="V38" i="6" s="1"/>
  <c r="W38" i="6" s="1"/>
  <c r="X38" i="6" s="1"/>
  <c r="Y38" i="6" s="1"/>
  <c r="Z38" i="6" s="1"/>
  <c r="AA38" i="6" s="1"/>
  <c r="AB38" i="6" s="1"/>
  <c r="AC38" i="6" s="1"/>
  <c r="AD38" i="6" s="1"/>
  <c r="AE38" i="6" s="1"/>
  <c r="AF38" i="6" s="1"/>
  <c r="AG38" i="6" s="1"/>
  <c r="AH38" i="6" s="1"/>
  <c r="AI38" i="6" s="1"/>
  <c r="AJ38" i="6" s="1"/>
  <c r="AK38" i="6" s="1"/>
  <c r="AL38" i="6" s="1"/>
  <c r="AM38" i="6" s="1"/>
  <c r="AN38" i="6" s="1"/>
  <c r="AO38" i="6" s="1"/>
  <c r="AP38" i="6" s="1"/>
  <c r="AQ38" i="6" s="1"/>
  <c r="AR38" i="6" s="1"/>
  <c r="AS38" i="6" s="1"/>
  <c r="AT38" i="6" s="1"/>
  <c r="AU38" i="6" s="1"/>
  <c r="AV38" i="6" s="1"/>
  <c r="AW38" i="6" s="1"/>
  <c r="AX38" i="6" s="1"/>
  <c r="AY38" i="6" s="1"/>
  <c r="AZ38" i="6" s="1"/>
  <c r="BA38" i="6" s="1"/>
  <c r="BB38" i="6" s="1"/>
  <c r="BC38" i="6" s="1"/>
  <c r="BD38" i="6" s="1"/>
  <c r="BE38" i="6" s="1"/>
  <c r="BF38" i="6" s="1"/>
  <c r="BG38" i="6" s="1"/>
  <c r="BH38" i="6" s="1"/>
  <c r="BI38" i="6" s="1"/>
  <c r="BJ38" i="6" s="1"/>
  <c r="BK38" i="6" s="1"/>
  <c r="BL38" i="6" s="1"/>
  <c r="BM38" i="6" s="1"/>
  <c r="BN38" i="6" s="1"/>
  <c r="BO38" i="6" s="1"/>
  <c r="BP38" i="6" s="1"/>
  <c r="BQ38" i="6" s="1"/>
  <c r="P69" i="2"/>
  <c r="P68" i="2"/>
  <c r="P62" i="2"/>
  <c r="P61" i="2"/>
  <c r="P60" i="2"/>
  <c r="P59" i="2"/>
  <c r="P58" i="2"/>
  <c r="P57" i="2"/>
  <c r="P55" i="2"/>
  <c r="P54" i="2"/>
  <c r="P53" i="2"/>
  <c r="AB33" i="2" s="1"/>
  <c r="S33" i="6" s="1"/>
  <c r="P50" i="2"/>
  <c r="AB28" i="2" s="1"/>
  <c r="S28" i="6" s="1"/>
  <c r="P49" i="2"/>
  <c r="AB30" i="2" s="1"/>
  <c r="S30" i="6" s="1"/>
  <c r="T30" i="6" s="1"/>
  <c r="U30" i="6" s="1"/>
  <c r="V30" i="6" s="1"/>
  <c r="W30" i="6" s="1"/>
  <c r="X30" i="6" s="1"/>
  <c r="Y30" i="6" s="1"/>
  <c r="Z30" i="6" s="1"/>
  <c r="AA30" i="6" s="1"/>
  <c r="AB30" i="6" s="1"/>
  <c r="AC30" i="6" s="1"/>
  <c r="AD30" i="6" s="1"/>
  <c r="AE30" i="6" s="1"/>
  <c r="AF30" i="6" s="1"/>
  <c r="AG30" i="6" s="1"/>
  <c r="AH30" i="6" s="1"/>
  <c r="AI30" i="6" s="1"/>
  <c r="AJ30" i="6" s="1"/>
  <c r="AK30" i="6" s="1"/>
  <c r="AL30" i="6" s="1"/>
  <c r="AM30" i="6" s="1"/>
  <c r="AN30" i="6" s="1"/>
  <c r="AO30" i="6" s="1"/>
  <c r="AP30" i="6" s="1"/>
  <c r="AQ30" i="6" s="1"/>
  <c r="AR30" i="6" s="1"/>
  <c r="AS30" i="6" s="1"/>
  <c r="AT30" i="6" s="1"/>
  <c r="AU30" i="6" s="1"/>
  <c r="AV30" i="6" s="1"/>
  <c r="AW30" i="6" s="1"/>
  <c r="AX30" i="6" s="1"/>
  <c r="AY30" i="6" s="1"/>
  <c r="AZ30" i="6" s="1"/>
  <c r="BA30" i="6" s="1"/>
  <c r="BB30" i="6" s="1"/>
  <c r="BC30" i="6" s="1"/>
  <c r="BD30" i="6" s="1"/>
  <c r="BE30" i="6" s="1"/>
  <c r="BF30" i="6" s="1"/>
  <c r="BG30" i="6" s="1"/>
  <c r="BH30" i="6" s="1"/>
  <c r="BI30" i="6" s="1"/>
  <c r="BJ30" i="6" s="1"/>
  <c r="BK30" i="6" s="1"/>
  <c r="BL30" i="6" s="1"/>
  <c r="BM30" i="6" s="1"/>
  <c r="BN30" i="6" s="1"/>
  <c r="BO30" i="6" s="1"/>
  <c r="BP30" i="6" s="1"/>
  <c r="BQ30" i="6" s="1"/>
  <c r="P48" i="2"/>
  <c r="P47" i="2"/>
  <c r="P46" i="2"/>
  <c r="AB31" i="2" s="1"/>
  <c r="S31" i="6" s="1"/>
  <c r="T31" i="6" s="1"/>
  <c r="U31" i="6" s="1"/>
  <c r="V31" i="6" s="1"/>
  <c r="W31" i="6" s="1"/>
  <c r="X31" i="6" s="1"/>
  <c r="Y31" i="6" s="1"/>
  <c r="Z31" i="6" s="1"/>
  <c r="AA31" i="6" s="1"/>
  <c r="AB31" i="6" s="1"/>
  <c r="AC31" i="6" s="1"/>
  <c r="AD31" i="6" s="1"/>
  <c r="AE31" i="6" s="1"/>
  <c r="AF31" i="6" s="1"/>
  <c r="AG31" i="6" s="1"/>
  <c r="AH31" i="6" s="1"/>
  <c r="AI31" i="6" s="1"/>
  <c r="AJ31" i="6" s="1"/>
  <c r="AK31" i="6" s="1"/>
  <c r="AL31" i="6" s="1"/>
  <c r="AM31" i="6" s="1"/>
  <c r="AN31" i="6" s="1"/>
  <c r="AO31" i="6" s="1"/>
  <c r="AP31" i="6" s="1"/>
  <c r="AQ31" i="6" s="1"/>
  <c r="AR31" i="6" s="1"/>
  <c r="AS31" i="6" s="1"/>
  <c r="AT31" i="6" s="1"/>
  <c r="AU31" i="6" s="1"/>
  <c r="AV31" i="6" s="1"/>
  <c r="AW31" i="6" s="1"/>
  <c r="AX31" i="6" s="1"/>
  <c r="AY31" i="6" s="1"/>
  <c r="AZ31" i="6" s="1"/>
  <c r="BA31" i="6" s="1"/>
  <c r="BB31" i="6" s="1"/>
  <c r="BC31" i="6" s="1"/>
  <c r="BD31" i="6" s="1"/>
  <c r="BE31" i="6" s="1"/>
  <c r="BF31" i="6" s="1"/>
  <c r="BG31" i="6" s="1"/>
  <c r="BH31" i="6" s="1"/>
  <c r="BI31" i="6" s="1"/>
  <c r="BJ31" i="6" s="1"/>
  <c r="BK31" i="6" s="1"/>
  <c r="BL31" i="6" s="1"/>
  <c r="BM31" i="6" s="1"/>
  <c r="BN31" i="6" s="1"/>
  <c r="BO31" i="6" s="1"/>
  <c r="BP31" i="6" s="1"/>
  <c r="BQ31" i="6" s="1"/>
  <c r="P45" i="2"/>
  <c r="P44" i="2"/>
  <c r="P43" i="2"/>
  <c r="P42" i="2"/>
  <c r="P41" i="2"/>
  <c r="P40" i="2"/>
  <c r="P39" i="2"/>
  <c r="P38" i="2"/>
  <c r="P32" i="2"/>
  <c r="AB21" i="2" s="1"/>
  <c r="S21" i="6" s="1"/>
  <c r="P25" i="2"/>
  <c r="P23" i="2"/>
  <c r="P22" i="2"/>
  <c r="P21" i="2"/>
  <c r="P19" i="2"/>
  <c r="P17" i="2"/>
  <c r="P14" i="2"/>
  <c r="P13" i="2"/>
  <c r="P12" i="2"/>
  <c r="AB10" i="2" s="1"/>
  <c r="S10" i="6" s="1"/>
  <c r="P10" i="2"/>
  <c r="P8" i="2"/>
  <c r="AB27" i="2" l="1"/>
  <c r="S27" i="6" s="1"/>
  <c r="T27" i="6" s="1"/>
  <c r="U27" i="6" s="1"/>
  <c r="V27" i="6" s="1"/>
  <c r="W27" i="6" s="1"/>
  <c r="X27" i="6" s="1"/>
  <c r="Y27" i="6" s="1"/>
  <c r="Z27" i="6" s="1"/>
  <c r="AA27" i="6" s="1"/>
  <c r="AB27" i="6" s="1"/>
  <c r="AC27" i="6" s="1"/>
  <c r="AD27" i="6" s="1"/>
  <c r="AE27" i="6" s="1"/>
  <c r="AF27" i="6" s="1"/>
  <c r="AG27" i="6" s="1"/>
  <c r="AH27" i="6" s="1"/>
  <c r="AI27" i="6" s="1"/>
  <c r="AJ27" i="6" s="1"/>
  <c r="AK27" i="6" s="1"/>
  <c r="AL27" i="6" s="1"/>
  <c r="AM27" i="6" s="1"/>
  <c r="AN27" i="6" s="1"/>
  <c r="AO27" i="6" s="1"/>
  <c r="AP27" i="6" s="1"/>
  <c r="AQ27" i="6" s="1"/>
  <c r="AR27" i="6" s="1"/>
  <c r="AS27" i="6" s="1"/>
  <c r="AT27" i="6" s="1"/>
  <c r="AU27" i="6" s="1"/>
  <c r="AV27" i="6" s="1"/>
  <c r="AW27" i="6" s="1"/>
  <c r="AX27" i="6" s="1"/>
  <c r="AY27" i="6" s="1"/>
  <c r="AZ27" i="6" s="1"/>
  <c r="BA27" i="6" s="1"/>
  <c r="BB27" i="6" s="1"/>
  <c r="BC27" i="6" s="1"/>
  <c r="BD27" i="6" s="1"/>
  <c r="BE27" i="6" s="1"/>
  <c r="BF27" i="6" s="1"/>
  <c r="BG27" i="6" s="1"/>
  <c r="BH27" i="6" s="1"/>
  <c r="BI27" i="6" s="1"/>
  <c r="BJ27" i="6" s="1"/>
  <c r="BK27" i="6" s="1"/>
  <c r="BL27" i="6" s="1"/>
  <c r="BM27" i="6" s="1"/>
  <c r="BN27" i="6" s="1"/>
  <c r="BO27" i="6" s="1"/>
  <c r="BP27" i="6" s="1"/>
  <c r="BQ27" i="6" s="1"/>
  <c r="AB35" i="2"/>
  <c r="S35" i="6" s="1"/>
  <c r="T35" i="6" s="1"/>
  <c r="U35" i="6" s="1"/>
  <c r="V35" i="6" s="1"/>
  <c r="W35" i="6" s="1"/>
  <c r="X35" i="6" s="1"/>
  <c r="Y35" i="6" s="1"/>
  <c r="Z35" i="6" s="1"/>
  <c r="AA35" i="6" s="1"/>
  <c r="AB35" i="6" s="1"/>
  <c r="AC35" i="6" s="1"/>
  <c r="AD35" i="6" s="1"/>
  <c r="AE35" i="6" s="1"/>
  <c r="AF35" i="6" s="1"/>
  <c r="AG35" i="6" s="1"/>
  <c r="AH35" i="6" s="1"/>
  <c r="AI35" i="6" s="1"/>
  <c r="AJ35" i="6" s="1"/>
  <c r="AK35" i="6" s="1"/>
  <c r="AL35" i="6" s="1"/>
  <c r="AM35" i="6" s="1"/>
  <c r="AN35" i="6" s="1"/>
  <c r="AO35" i="6" s="1"/>
  <c r="AP35" i="6" s="1"/>
  <c r="AQ35" i="6" s="1"/>
  <c r="AR35" i="6" s="1"/>
  <c r="AS35" i="6" s="1"/>
  <c r="AT35" i="6" s="1"/>
  <c r="AU35" i="6" s="1"/>
  <c r="AV35" i="6" s="1"/>
  <c r="AW35" i="6" s="1"/>
  <c r="AX35" i="6" s="1"/>
  <c r="AY35" i="6" s="1"/>
  <c r="AZ35" i="6" s="1"/>
  <c r="BA35" i="6" s="1"/>
  <c r="BB35" i="6" s="1"/>
  <c r="BC35" i="6" s="1"/>
  <c r="BD35" i="6" s="1"/>
  <c r="BE35" i="6" s="1"/>
  <c r="BF35" i="6" s="1"/>
  <c r="BG35" i="6" s="1"/>
  <c r="BH35" i="6" s="1"/>
  <c r="BI35" i="6" s="1"/>
  <c r="BJ35" i="6" s="1"/>
  <c r="BK35" i="6" s="1"/>
  <c r="BL35" i="6" s="1"/>
  <c r="BM35" i="6" s="1"/>
  <c r="BN35" i="6" s="1"/>
  <c r="BO35" i="6" s="1"/>
  <c r="BP35" i="6" s="1"/>
  <c r="BQ35" i="6" s="1"/>
  <c r="AB32" i="2"/>
  <c r="S32" i="6" s="1"/>
  <c r="T32" i="6" s="1"/>
  <c r="U32" i="6" s="1"/>
  <c r="V32" i="6" s="1"/>
  <c r="W32" i="6" s="1"/>
  <c r="X32" i="6" s="1"/>
  <c r="Y32" i="6" s="1"/>
  <c r="Z32" i="6" s="1"/>
  <c r="AA32" i="6" s="1"/>
  <c r="AB32" i="6" s="1"/>
  <c r="AC32" i="6" s="1"/>
  <c r="AD32" i="6" s="1"/>
  <c r="AE32" i="6" s="1"/>
  <c r="AF32" i="6" s="1"/>
  <c r="AG32" i="6" s="1"/>
  <c r="AH32" i="6" s="1"/>
  <c r="AI32" i="6" s="1"/>
  <c r="AJ32" i="6" s="1"/>
  <c r="AK32" i="6" s="1"/>
  <c r="AL32" i="6" s="1"/>
  <c r="AM32" i="6" s="1"/>
  <c r="AN32" i="6" s="1"/>
  <c r="AO32" i="6" s="1"/>
  <c r="AP32" i="6" s="1"/>
  <c r="AQ32" i="6" s="1"/>
  <c r="AR32" i="6" s="1"/>
  <c r="AS32" i="6" s="1"/>
  <c r="AT32" i="6" s="1"/>
  <c r="AU32" i="6" s="1"/>
  <c r="AV32" i="6" s="1"/>
  <c r="AW32" i="6" s="1"/>
  <c r="AX32" i="6" s="1"/>
  <c r="AY32" i="6" s="1"/>
  <c r="AZ32" i="6" s="1"/>
  <c r="BA32" i="6" s="1"/>
  <c r="BB32" i="6" s="1"/>
  <c r="BC32" i="6" s="1"/>
  <c r="BD32" i="6" s="1"/>
  <c r="BE32" i="6" s="1"/>
  <c r="BF32" i="6" s="1"/>
  <c r="BG32" i="6" s="1"/>
  <c r="BH32" i="6" s="1"/>
  <c r="BI32" i="6" s="1"/>
  <c r="BJ32" i="6" s="1"/>
  <c r="BK32" i="6" s="1"/>
  <c r="BL32" i="6" s="1"/>
  <c r="BM32" i="6" s="1"/>
  <c r="BN32" i="6" s="1"/>
  <c r="BO32" i="6" s="1"/>
  <c r="BP32" i="6" s="1"/>
  <c r="BQ32" i="6" s="1"/>
  <c r="S62" i="6"/>
  <c r="AB58" i="2"/>
  <c r="S58" i="6" s="1"/>
  <c r="AB43" i="2"/>
  <c r="S43" i="6" s="1"/>
  <c r="S44" i="6"/>
  <c r="T44" i="6" s="1"/>
  <c r="U44" i="6" s="1"/>
  <c r="V44" i="6" s="1"/>
  <c r="W44" i="6" s="1"/>
  <c r="X44" i="6" s="1"/>
  <c r="Y44" i="6" s="1"/>
  <c r="Z44" i="6" s="1"/>
  <c r="AA44" i="6" s="1"/>
  <c r="AB44" i="6" s="1"/>
  <c r="AC44" i="6" s="1"/>
  <c r="AD44" i="6" s="1"/>
  <c r="AE44" i="6" s="1"/>
  <c r="AF44" i="6" s="1"/>
  <c r="AG44" i="6" s="1"/>
  <c r="AH44" i="6" s="1"/>
  <c r="AI44" i="6" s="1"/>
  <c r="AJ44" i="6" s="1"/>
  <c r="AK44" i="6" s="1"/>
  <c r="AL44" i="6" s="1"/>
  <c r="AM44" i="6" s="1"/>
  <c r="AN44" i="6" s="1"/>
  <c r="AO44" i="6" s="1"/>
  <c r="AP44" i="6" s="1"/>
  <c r="AQ44" i="6" s="1"/>
  <c r="AR44" i="6" s="1"/>
  <c r="AS44" i="6" s="1"/>
  <c r="AT44" i="6" s="1"/>
  <c r="AU44" i="6" s="1"/>
  <c r="AV44" i="6" s="1"/>
  <c r="AW44" i="6" s="1"/>
  <c r="AX44" i="6" s="1"/>
  <c r="AY44" i="6" s="1"/>
  <c r="AZ44" i="6" s="1"/>
  <c r="BA44" i="6" s="1"/>
  <c r="BB44" i="6" s="1"/>
  <c r="BC44" i="6" s="1"/>
  <c r="BD44" i="6" s="1"/>
  <c r="BE44" i="6" s="1"/>
  <c r="BF44" i="6" s="1"/>
  <c r="BG44" i="6" s="1"/>
  <c r="BH44" i="6" s="1"/>
  <c r="BI44" i="6" s="1"/>
  <c r="BJ44" i="6" s="1"/>
  <c r="BK44" i="6" s="1"/>
  <c r="BL44" i="6" s="1"/>
  <c r="BM44" i="6" s="1"/>
  <c r="BN44" i="6" s="1"/>
  <c r="BO44" i="6" s="1"/>
  <c r="BP44" i="6" s="1"/>
  <c r="BQ44" i="6" s="1"/>
  <c r="AB40" i="2"/>
  <c r="S40" i="6" s="1"/>
  <c r="T40" i="6" s="1"/>
  <c r="U40" i="6" s="1"/>
  <c r="V40" i="6" s="1"/>
  <c r="W40" i="6" s="1"/>
  <c r="X40" i="6" s="1"/>
  <c r="Y40" i="6" s="1"/>
  <c r="Z40" i="6" s="1"/>
  <c r="AA40" i="6" s="1"/>
  <c r="AB40" i="6" s="1"/>
  <c r="AC40" i="6" s="1"/>
  <c r="AD40" i="6" s="1"/>
  <c r="AE40" i="6" s="1"/>
  <c r="AF40" i="6" s="1"/>
  <c r="AG40" i="6" s="1"/>
  <c r="AH40" i="6" s="1"/>
  <c r="AI40" i="6" s="1"/>
  <c r="AJ40" i="6" s="1"/>
  <c r="AK40" i="6" s="1"/>
  <c r="AL40" i="6" s="1"/>
  <c r="AM40" i="6" s="1"/>
  <c r="AN40" i="6" s="1"/>
  <c r="AO40" i="6" s="1"/>
  <c r="AP40" i="6" s="1"/>
  <c r="AQ40" i="6" s="1"/>
  <c r="AR40" i="6" s="1"/>
  <c r="AS40" i="6" s="1"/>
  <c r="AT40" i="6" s="1"/>
  <c r="AU40" i="6" s="1"/>
  <c r="AV40" i="6" s="1"/>
  <c r="AW40" i="6" s="1"/>
  <c r="AX40" i="6" s="1"/>
  <c r="AY40" i="6" s="1"/>
  <c r="AZ40" i="6" s="1"/>
  <c r="BA40" i="6" s="1"/>
  <c r="BB40" i="6" s="1"/>
  <c r="BC40" i="6" s="1"/>
  <c r="BD40" i="6" s="1"/>
  <c r="BE40" i="6" s="1"/>
  <c r="BF40" i="6" s="1"/>
  <c r="BG40" i="6" s="1"/>
  <c r="BH40" i="6" s="1"/>
  <c r="BI40" i="6" s="1"/>
  <c r="BJ40" i="6" s="1"/>
  <c r="BK40" i="6" s="1"/>
  <c r="BL40" i="6" s="1"/>
  <c r="BM40" i="6" s="1"/>
  <c r="BN40" i="6" s="1"/>
  <c r="BO40" i="6" s="1"/>
  <c r="BP40" i="6" s="1"/>
  <c r="BQ40" i="6" s="1"/>
  <c r="G6" i="16"/>
  <c r="O20" i="12"/>
  <c r="S36" i="8"/>
  <c r="S36" i="7"/>
  <c r="S8" i="8"/>
  <c r="T8" i="8" s="1"/>
  <c r="U8" i="8" s="1"/>
  <c r="V8" i="8" s="1"/>
  <c r="W8" i="8" s="1"/>
  <c r="X8" i="8" s="1"/>
  <c r="Y8" i="8" s="1"/>
  <c r="Z8" i="8" s="1"/>
  <c r="AA8" i="8" s="1"/>
  <c r="AB8" i="8" s="1"/>
  <c r="AC8" i="8" s="1"/>
  <c r="AD8" i="8" s="1"/>
  <c r="AE8" i="8" s="1"/>
  <c r="AF8" i="8" s="1"/>
  <c r="AG8" i="8" s="1"/>
  <c r="AH8" i="8" s="1"/>
  <c r="AI8" i="8" s="1"/>
  <c r="AJ8" i="8" s="1"/>
  <c r="AK8" i="8" s="1"/>
  <c r="AL8" i="8" s="1"/>
  <c r="AM8" i="8" s="1"/>
  <c r="AN8" i="8" s="1"/>
  <c r="AO8" i="8" s="1"/>
  <c r="AP8" i="8" s="1"/>
  <c r="AQ8" i="8" s="1"/>
  <c r="AR8" i="8" s="1"/>
  <c r="AS8" i="8" s="1"/>
  <c r="AT8" i="8" s="1"/>
  <c r="AU8" i="8" s="1"/>
  <c r="AV8" i="8" s="1"/>
  <c r="AW8" i="8" s="1"/>
  <c r="AX8" i="8" s="1"/>
  <c r="AY8" i="8" s="1"/>
  <c r="AZ8" i="8" s="1"/>
  <c r="BA8" i="8" s="1"/>
  <c r="BB8" i="8" s="1"/>
  <c r="BC8" i="8" s="1"/>
  <c r="BD8" i="8" s="1"/>
  <c r="BE8" i="8" s="1"/>
  <c r="BF8" i="8" s="1"/>
  <c r="BG8" i="8" s="1"/>
  <c r="BH8" i="8" s="1"/>
  <c r="BI8" i="8" s="1"/>
  <c r="BJ8" i="8" s="1"/>
  <c r="BK8" i="8" s="1"/>
  <c r="BL8" i="8" s="1"/>
  <c r="BM8" i="8" s="1"/>
  <c r="BN8" i="8" s="1"/>
  <c r="BO8" i="8" s="1"/>
  <c r="BP8" i="8" s="1"/>
  <c r="BQ8" i="8" s="1"/>
  <c r="S8" i="7"/>
  <c r="S48" i="8"/>
  <c r="S48" i="7"/>
  <c r="S20" i="8"/>
  <c r="S20" i="7"/>
  <c r="N37" i="8"/>
  <c r="N37" i="7"/>
  <c r="Q28" i="8"/>
  <c r="Q28" i="7"/>
  <c r="N54" i="8"/>
  <c r="N108" i="8" s="1"/>
  <c r="N54" i="7"/>
  <c r="S28" i="8"/>
  <c r="S28" i="7"/>
  <c r="N10" i="8"/>
  <c r="N10" i="7"/>
  <c r="N35" i="8"/>
  <c r="N35" i="7"/>
  <c r="N48" i="8"/>
  <c r="N48" i="7"/>
  <c r="O55" i="8"/>
  <c r="O55" i="7"/>
  <c r="O50" i="8"/>
  <c r="O50" i="7"/>
  <c r="O48" i="8"/>
  <c r="O48" i="7"/>
  <c r="O43" i="8"/>
  <c r="O43" i="7"/>
  <c r="O40" i="8"/>
  <c r="O40" i="7"/>
  <c r="O38" i="8"/>
  <c r="O38" i="7"/>
  <c r="O36" i="8"/>
  <c r="O36" i="7"/>
  <c r="O32" i="8"/>
  <c r="O32" i="7"/>
  <c r="O29" i="8"/>
  <c r="O29" i="7"/>
  <c r="O27" i="8"/>
  <c r="O27" i="7"/>
  <c r="Q30" i="8"/>
  <c r="Q30" i="7"/>
  <c r="N8" i="8"/>
  <c r="N8" i="7"/>
  <c r="N36" i="8"/>
  <c r="N36" i="7"/>
  <c r="N49" i="8"/>
  <c r="N49" i="7"/>
  <c r="R56" i="8"/>
  <c r="R56" i="7"/>
  <c r="R49" i="8"/>
  <c r="R49" i="7"/>
  <c r="R47" i="8"/>
  <c r="R47" i="7"/>
  <c r="R39" i="8"/>
  <c r="R39" i="7"/>
  <c r="R37" i="8"/>
  <c r="R37" i="7"/>
  <c r="R35" i="8"/>
  <c r="R35" i="7"/>
  <c r="R30" i="8"/>
  <c r="R30" i="7"/>
  <c r="R28" i="8"/>
  <c r="R28" i="7"/>
  <c r="S10" i="8"/>
  <c r="T10" i="8" s="1"/>
  <c r="U10" i="8" s="1"/>
  <c r="V10" i="8" s="1"/>
  <c r="W10" i="8" s="1"/>
  <c r="X10" i="8" s="1"/>
  <c r="Y10" i="8" s="1"/>
  <c r="Z10" i="8" s="1"/>
  <c r="AA10" i="8" s="1"/>
  <c r="AB10" i="8" s="1"/>
  <c r="AC10" i="8" s="1"/>
  <c r="AD10" i="8" s="1"/>
  <c r="AE10" i="8" s="1"/>
  <c r="AF10" i="8" s="1"/>
  <c r="AG10" i="8" s="1"/>
  <c r="AH10" i="8" s="1"/>
  <c r="AI10" i="8" s="1"/>
  <c r="AJ10" i="8" s="1"/>
  <c r="AK10" i="8" s="1"/>
  <c r="AL10" i="8" s="1"/>
  <c r="AM10" i="8" s="1"/>
  <c r="AN10" i="8" s="1"/>
  <c r="AO10" i="8" s="1"/>
  <c r="AP10" i="8" s="1"/>
  <c r="AQ10" i="8" s="1"/>
  <c r="AR10" i="8" s="1"/>
  <c r="AS10" i="8" s="1"/>
  <c r="AT10" i="8" s="1"/>
  <c r="AU10" i="8" s="1"/>
  <c r="AV10" i="8" s="1"/>
  <c r="AW10" i="8" s="1"/>
  <c r="AX10" i="8" s="1"/>
  <c r="AY10" i="8" s="1"/>
  <c r="AZ10" i="8" s="1"/>
  <c r="BA10" i="8" s="1"/>
  <c r="BB10" i="8" s="1"/>
  <c r="BC10" i="8" s="1"/>
  <c r="BD10" i="8" s="1"/>
  <c r="BE10" i="8" s="1"/>
  <c r="BF10" i="8" s="1"/>
  <c r="BG10" i="8" s="1"/>
  <c r="BH10" i="8" s="1"/>
  <c r="BI10" i="8" s="1"/>
  <c r="BJ10" i="8" s="1"/>
  <c r="BK10" i="8" s="1"/>
  <c r="BL10" i="8" s="1"/>
  <c r="BM10" i="8" s="1"/>
  <c r="BN10" i="8" s="1"/>
  <c r="BO10" i="8" s="1"/>
  <c r="BP10" i="8" s="1"/>
  <c r="BQ10" i="8" s="1"/>
  <c r="S10" i="7"/>
  <c r="N20" i="8"/>
  <c r="N20" i="7"/>
  <c r="Q56" i="8"/>
  <c r="Q56" i="7"/>
  <c r="Q47" i="8"/>
  <c r="Q47" i="7"/>
  <c r="Q35" i="8"/>
  <c r="Q35" i="7"/>
  <c r="S30" i="8"/>
  <c r="S30" i="7"/>
  <c r="N27" i="8"/>
  <c r="N27" i="7"/>
  <c r="N38" i="8"/>
  <c r="N38" i="7"/>
  <c r="P56" i="8"/>
  <c r="P56" i="7"/>
  <c r="P49" i="8"/>
  <c r="P49" i="7"/>
  <c r="P47" i="8"/>
  <c r="P47" i="7"/>
  <c r="P39" i="8"/>
  <c r="P39" i="7"/>
  <c r="P37" i="8"/>
  <c r="P37" i="7"/>
  <c r="P35" i="8"/>
  <c r="P35" i="7"/>
  <c r="P30" i="8"/>
  <c r="P30" i="7"/>
  <c r="P28" i="8"/>
  <c r="P28" i="7"/>
  <c r="Q49" i="8"/>
  <c r="Q49" i="7"/>
  <c r="Q37" i="8"/>
  <c r="Q37" i="7"/>
  <c r="N28" i="8"/>
  <c r="N28" i="7"/>
  <c r="N39" i="8"/>
  <c r="N39" i="7"/>
  <c r="O56" i="8"/>
  <c r="O56" i="7"/>
  <c r="O49" i="8"/>
  <c r="O49" i="7"/>
  <c r="O47" i="8"/>
  <c r="O47" i="7"/>
  <c r="O39" i="8"/>
  <c r="O39" i="7"/>
  <c r="O37" i="8"/>
  <c r="O37" i="7"/>
  <c r="O35" i="8"/>
  <c r="O35" i="7"/>
  <c r="O30" i="8"/>
  <c r="O30" i="7"/>
  <c r="O28" i="8"/>
  <c r="O28" i="7"/>
  <c r="R20" i="8"/>
  <c r="R20" i="7"/>
  <c r="R8" i="8"/>
  <c r="R8" i="7"/>
  <c r="N50" i="8"/>
  <c r="N50" i="7"/>
  <c r="S39" i="8"/>
  <c r="S39" i="7"/>
  <c r="S55" i="8"/>
  <c r="S55" i="7"/>
  <c r="N29" i="8"/>
  <c r="N29" i="7"/>
  <c r="N40" i="8"/>
  <c r="N40" i="7"/>
  <c r="N55" i="8"/>
  <c r="N55" i="7"/>
  <c r="R55" i="8"/>
  <c r="R55" i="7"/>
  <c r="R50" i="8"/>
  <c r="R50" i="7"/>
  <c r="R48" i="8"/>
  <c r="R48" i="7"/>
  <c r="R43" i="8"/>
  <c r="R43" i="7"/>
  <c r="R40" i="8"/>
  <c r="R40" i="7"/>
  <c r="R38" i="8"/>
  <c r="R38" i="7"/>
  <c r="R36" i="8"/>
  <c r="R36" i="7"/>
  <c r="R32" i="8"/>
  <c r="R32" i="7"/>
  <c r="R29" i="8"/>
  <c r="R29" i="7"/>
  <c r="R27" i="8"/>
  <c r="R27" i="7"/>
  <c r="Q20" i="8"/>
  <c r="Q20" i="7"/>
  <c r="R10" i="8"/>
  <c r="R10" i="7"/>
  <c r="S38" i="8"/>
  <c r="S38" i="7"/>
  <c r="S32" i="8"/>
  <c r="T32" i="8" s="1"/>
  <c r="U32" i="8" s="1"/>
  <c r="V32" i="8" s="1"/>
  <c r="W32" i="8" s="1"/>
  <c r="X32" i="8" s="1"/>
  <c r="Y32" i="8" s="1"/>
  <c r="Z32" i="8" s="1"/>
  <c r="AA32" i="8" s="1"/>
  <c r="AB32" i="8" s="1"/>
  <c r="AC32" i="8" s="1"/>
  <c r="AD32" i="8" s="1"/>
  <c r="AE32" i="8" s="1"/>
  <c r="AF32" i="8" s="1"/>
  <c r="AG32" i="8" s="1"/>
  <c r="AH32" i="8" s="1"/>
  <c r="AI32" i="8" s="1"/>
  <c r="AJ32" i="8" s="1"/>
  <c r="AK32" i="8" s="1"/>
  <c r="AL32" i="8" s="1"/>
  <c r="AM32" i="8" s="1"/>
  <c r="AN32" i="8" s="1"/>
  <c r="AO32" i="8" s="1"/>
  <c r="AP32" i="8" s="1"/>
  <c r="AQ32" i="8" s="1"/>
  <c r="AR32" i="8" s="1"/>
  <c r="AS32" i="8" s="1"/>
  <c r="AT32" i="8" s="1"/>
  <c r="AU32" i="8" s="1"/>
  <c r="AV32" i="8" s="1"/>
  <c r="AW32" i="8" s="1"/>
  <c r="AX32" i="8" s="1"/>
  <c r="AY32" i="8" s="1"/>
  <c r="AZ32" i="8" s="1"/>
  <c r="BA32" i="8" s="1"/>
  <c r="BB32" i="8" s="1"/>
  <c r="BC32" i="8" s="1"/>
  <c r="BD32" i="8" s="1"/>
  <c r="BE32" i="8" s="1"/>
  <c r="BF32" i="8" s="1"/>
  <c r="BG32" i="8" s="1"/>
  <c r="BH32" i="8" s="1"/>
  <c r="BI32" i="8" s="1"/>
  <c r="BJ32" i="8" s="1"/>
  <c r="BK32" i="8" s="1"/>
  <c r="BL32" i="8" s="1"/>
  <c r="BM32" i="8" s="1"/>
  <c r="BN32" i="8" s="1"/>
  <c r="BO32" i="8" s="1"/>
  <c r="BP32" i="8" s="1"/>
  <c r="BQ32" i="8" s="1"/>
  <c r="S32" i="7"/>
  <c r="S37" i="8"/>
  <c r="S37" i="7"/>
  <c r="S29" i="8"/>
  <c r="S29" i="7"/>
  <c r="S35" i="8"/>
  <c r="S35" i="7"/>
  <c r="S47" i="8"/>
  <c r="S47" i="7"/>
  <c r="S56" i="8"/>
  <c r="S56" i="7"/>
  <c r="N30" i="8"/>
  <c r="N30" i="7"/>
  <c r="N43" i="8"/>
  <c r="N43" i="7"/>
  <c r="N56" i="8"/>
  <c r="N56" i="7"/>
  <c r="Q55" i="8"/>
  <c r="Q55" i="7"/>
  <c r="Q50" i="8"/>
  <c r="Q50" i="7"/>
  <c r="Q48" i="8"/>
  <c r="Q48" i="7"/>
  <c r="Q43" i="8"/>
  <c r="Q43" i="7"/>
  <c r="Q40" i="8"/>
  <c r="Q40" i="7"/>
  <c r="Q38" i="8"/>
  <c r="Q38" i="7"/>
  <c r="Q36" i="8"/>
  <c r="Q36" i="7"/>
  <c r="Q32" i="8"/>
  <c r="Q32" i="7"/>
  <c r="Q29" i="8"/>
  <c r="Q29" i="7"/>
  <c r="Q27" i="8"/>
  <c r="Q27" i="7"/>
  <c r="P20" i="8"/>
  <c r="P20" i="7"/>
  <c r="P8" i="8"/>
  <c r="P8" i="7"/>
  <c r="Q39" i="8"/>
  <c r="Q39" i="7"/>
  <c r="S27" i="8"/>
  <c r="S27" i="7"/>
  <c r="N32" i="8"/>
  <c r="N32" i="7"/>
  <c r="N47" i="8"/>
  <c r="N47" i="7"/>
  <c r="P55" i="8"/>
  <c r="P55" i="7"/>
  <c r="P50" i="8"/>
  <c r="P50" i="7"/>
  <c r="P48" i="8"/>
  <c r="P48" i="7"/>
  <c r="P43" i="8"/>
  <c r="P43" i="7"/>
  <c r="P40" i="8"/>
  <c r="P40" i="7"/>
  <c r="P38" i="8"/>
  <c r="P38" i="7"/>
  <c r="P36" i="8"/>
  <c r="P36" i="7"/>
  <c r="P32" i="8"/>
  <c r="P32" i="7"/>
  <c r="P29" i="8"/>
  <c r="P29" i="7"/>
  <c r="P27" i="8"/>
  <c r="P27" i="7"/>
  <c r="O20" i="8"/>
  <c r="O20" i="7"/>
  <c r="P10" i="8"/>
  <c r="P10" i="7"/>
  <c r="Q8" i="8"/>
  <c r="O10" i="7"/>
  <c r="Q31" i="7"/>
  <c r="R31" i="7"/>
  <c r="O8" i="8"/>
  <c r="Q10" i="7"/>
  <c r="O8" i="7"/>
  <c r="N31" i="7"/>
  <c r="R20" i="12"/>
  <c r="Q8" i="7"/>
  <c r="O31" i="7"/>
  <c r="P31" i="7"/>
  <c r="P6" i="12"/>
  <c r="R6" i="12"/>
  <c r="N20" i="12"/>
  <c r="S6" i="12"/>
  <c r="P20" i="12"/>
  <c r="Q20" i="12"/>
  <c r="P25" i="8" l="1"/>
  <c r="P25" i="7"/>
  <c r="S25" i="8"/>
  <c r="S25" i="7"/>
  <c r="S33" i="8"/>
  <c r="S33" i="7"/>
  <c r="S49" i="8"/>
  <c r="S49" i="7"/>
  <c r="O33" i="8"/>
  <c r="O33" i="7"/>
  <c r="N25" i="8"/>
  <c r="N25" i="7"/>
  <c r="O25" i="8"/>
  <c r="O25" i="7"/>
  <c r="Q33" i="8"/>
  <c r="Q33" i="7"/>
  <c r="S54" i="8"/>
  <c r="S54" i="7"/>
  <c r="N33" i="8"/>
  <c r="N33" i="7"/>
  <c r="R25" i="8"/>
  <c r="R25" i="7"/>
  <c r="R42" i="8"/>
  <c r="R42" i="7"/>
  <c r="O42" i="8"/>
  <c r="O42" i="7"/>
  <c r="R54" i="8"/>
  <c r="R108" i="8" s="1"/>
  <c r="R54" i="7"/>
  <c r="Q25" i="8"/>
  <c r="Q25" i="7"/>
  <c r="N42" i="8"/>
  <c r="N42" i="7"/>
  <c r="Q42" i="8"/>
  <c r="Q42" i="7"/>
  <c r="P33" i="8"/>
  <c r="P33" i="7"/>
  <c r="S31" i="8"/>
  <c r="S31" i="7"/>
  <c r="R33" i="8"/>
  <c r="R33" i="7"/>
  <c r="O54" i="8"/>
  <c r="O108" i="8" s="1"/>
  <c r="O54" i="7"/>
  <c r="P42" i="8"/>
  <c r="P42" i="7"/>
  <c r="Q54" i="8"/>
  <c r="Q108" i="8" s="1"/>
  <c r="Q54" i="7"/>
  <c r="S50" i="8"/>
  <c r="T50" i="8" s="1"/>
  <c r="U50" i="8" s="1"/>
  <c r="V50" i="8" s="1"/>
  <c r="W50" i="8" s="1"/>
  <c r="X50" i="8" s="1"/>
  <c r="Y50" i="8" s="1"/>
  <c r="Z50" i="8" s="1"/>
  <c r="AA50" i="8" s="1"/>
  <c r="AB50" i="8" s="1"/>
  <c r="AC50" i="8" s="1"/>
  <c r="AD50" i="8" s="1"/>
  <c r="AE50" i="8" s="1"/>
  <c r="AF50" i="8" s="1"/>
  <c r="AG50" i="8" s="1"/>
  <c r="AH50" i="8" s="1"/>
  <c r="AI50" i="8" s="1"/>
  <c r="AJ50" i="8" s="1"/>
  <c r="AK50" i="8" s="1"/>
  <c r="AL50" i="8" s="1"/>
  <c r="AM50" i="8" s="1"/>
  <c r="AN50" i="8" s="1"/>
  <c r="AO50" i="8" s="1"/>
  <c r="AP50" i="8" s="1"/>
  <c r="AQ50" i="8" s="1"/>
  <c r="AR50" i="8" s="1"/>
  <c r="AS50" i="8" s="1"/>
  <c r="AT50" i="8" s="1"/>
  <c r="AU50" i="8" s="1"/>
  <c r="AV50" i="8" s="1"/>
  <c r="AW50" i="8" s="1"/>
  <c r="AX50" i="8" s="1"/>
  <c r="AY50" i="8" s="1"/>
  <c r="AZ50" i="8" s="1"/>
  <c r="BA50" i="8" s="1"/>
  <c r="BB50" i="8" s="1"/>
  <c r="BC50" i="8" s="1"/>
  <c r="BD50" i="8" s="1"/>
  <c r="BE50" i="8" s="1"/>
  <c r="BF50" i="8" s="1"/>
  <c r="BG50" i="8" s="1"/>
  <c r="BH50" i="8" s="1"/>
  <c r="BI50" i="8" s="1"/>
  <c r="BJ50" i="8" s="1"/>
  <c r="BK50" i="8" s="1"/>
  <c r="BL50" i="8" s="1"/>
  <c r="BM50" i="8" s="1"/>
  <c r="BN50" i="8" s="1"/>
  <c r="BO50" i="8" s="1"/>
  <c r="BP50" i="8" s="1"/>
  <c r="BQ50" i="8" s="1"/>
  <c r="S50" i="7"/>
  <c r="P54" i="8"/>
  <c r="P108" i="8" s="1"/>
  <c r="P54" i="7"/>
  <c r="S40" i="8"/>
  <c r="T40" i="8" s="1"/>
  <c r="U40" i="8" s="1"/>
  <c r="V40" i="8" s="1"/>
  <c r="W40" i="8" s="1"/>
  <c r="X40" i="8" s="1"/>
  <c r="Y40" i="8" s="1"/>
  <c r="Z40" i="8" s="1"/>
  <c r="AA40" i="8" s="1"/>
  <c r="AB40" i="8" s="1"/>
  <c r="AC40" i="8" s="1"/>
  <c r="AD40" i="8" s="1"/>
  <c r="AE40" i="8" s="1"/>
  <c r="AF40" i="8" s="1"/>
  <c r="AG40" i="8" s="1"/>
  <c r="AH40" i="8" s="1"/>
  <c r="AI40" i="8" s="1"/>
  <c r="AJ40" i="8" s="1"/>
  <c r="AK40" i="8" s="1"/>
  <c r="AL40" i="8" s="1"/>
  <c r="AM40" i="8" s="1"/>
  <c r="AN40" i="8" s="1"/>
  <c r="AO40" i="8" s="1"/>
  <c r="AP40" i="8" s="1"/>
  <c r="AQ40" i="8" s="1"/>
  <c r="AR40" i="8" s="1"/>
  <c r="AS40" i="8" s="1"/>
  <c r="AT40" i="8" s="1"/>
  <c r="AU40" i="8" s="1"/>
  <c r="AV40" i="8" s="1"/>
  <c r="AW40" i="8" s="1"/>
  <c r="AX40" i="8" s="1"/>
  <c r="AY40" i="8" s="1"/>
  <c r="AZ40" i="8" s="1"/>
  <c r="BA40" i="8" s="1"/>
  <c r="BB40" i="8" s="1"/>
  <c r="BC40" i="8" s="1"/>
  <c r="BD40" i="8" s="1"/>
  <c r="BE40" i="8" s="1"/>
  <c r="BF40" i="8" s="1"/>
  <c r="BG40" i="8" s="1"/>
  <c r="BH40" i="8" s="1"/>
  <c r="BI40" i="8" s="1"/>
  <c r="BJ40" i="8" s="1"/>
  <c r="BK40" i="8" s="1"/>
  <c r="BL40" i="8" s="1"/>
  <c r="BM40" i="8" s="1"/>
  <c r="BN40" i="8" s="1"/>
  <c r="BO40" i="8" s="1"/>
  <c r="BP40" i="8" s="1"/>
  <c r="BQ40" i="8" s="1"/>
  <c r="S40" i="7"/>
  <c r="S43" i="8"/>
  <c r="S43" i="7"/>
  <c r="S108" i="8" l="1"/>
  <c r="S42" i="8"/>
  <c r="S42" i="7"/>
  <c r="J26" i="4"/>
  <c r="K26" i="4"/>
  <c r="L26" i="4"/>
  <c r="M26" i="4"/>
  <c r="N26" i="4"/>
  <c r="O26" i="4"/>
  <c r="H26" i="4"/>
  <c r="I26" i="4"/>
  <c r="G36" i="4" l="1"/>
  <c r="H36" i="4"/>
  <c r="I36" i="4"/>
  <c r="J36" i="4"/>
  <c r="K36" i="4"/>
  <c r="L36" i="4"/>
  <c r="M36" i="4"/>
  <c r="N36" i="4"/>
  <c r="O36" i="4"/>
  <c r="F36" i="4"/>
  <c r="G40" i="4"/>
  <c r="H40" i="4"/>
  <c r="I40" i="4"/>
  <c r="J40" i="4"/>
  <c r="K40" i="4"/>
  <c r="L40" i="4"/>
  <c r="M40" i="4"/>
  <c r="N40" i="4"/>
  <c r="O40" i="4"/>
  <c r="F40" i="4"/>
  <c r="M13" i="5" l="1"/>
  <c r="M12" i="5" s="1"/>
  <c r="M25" i="5"/>
  <c r="M37" i="5" l="1"/>
  <c r="I117" i="2"/>
  <c r="H117" i="2"/>
  <c r="G117" i="2"/>
  <c r="K130" i="2"/>
  <c r="J130" i="2"/>
  <c r="I130" i="2"/>
  <c r="H130" i="2"/>
  <c r="G130" i="2"/>
  <c r="F130" i="2"/>
  <c r="J117" i="2"/>
  <c r="J116" i="2" s="1"/>
  <c r="O117" i="2"/>
  <c r="K117" i="2"/>
  <c r="L117" i="2"/>
  <c r="M117" i="2"/>
  <c r="N117" i="2"/>
  <c r="L52" i="4"/>
  <c r="N64" i="4"/>
  <c r="M64" i="4"/>
  <c r="L64" i="4"/>
  <c r="K64" i="4"/>
  <c r="J64" i="4"/>
  <c r="I64" i="4"/>
  <c r="H64" i="4"/>
  <c r="G64" i="4"/>
  <c r="F64" i="4"/>
  <c r="F58" i="4" s="1"/>
  <c r="N59" i="4"/>
  <c r="M59" i="4"/>
  <c r="L59" i="4"/>
  <c r="K59" i="4"/>
  <c r="J59" i="4"/>
  <c r="I59" i="4"/>
  <c r="H59" i="4"/>
  <c r="G59" i="4"/>
  <c r="N56" i="4"/>
  <c r="M56" i="4"/>
  <c r="L56" i="4"/>
  <c r="K56" i="4"/>
  <c r="J56" i="4"/>
  <c r="I56" i="4"/>
  <c r="H56" i="4"/>
  <c r="G56" i="4"/>
  <c r="F56" i="4"/>
  <c r="N52" i="4"/>
  <c r="M52" i="4"/>
  <c r="K52" i="4"/>
  <c r="J52" i="4"/>
  <c r="I52" i="4"/>
  <c r="H52" i="4"/>
  <c r="G52" i="4"/>
  <c r="F52" i="4"/>
  <c r="N46" i="4"/>
  <c r="M46" i="4"/>
  <c r="L46" i="4"/>
  <c r="K46" i="4"/>
  <c r="J46" i="4"/>
  <c r="I46" i="4"/>
  <c r="H46" i="4"/>
  <c r="G46" i="4"/>
  <c r="G26" i="4"/>
  <c r="F26" i="4"/>
  <c r="N6" i="4"/>
  <c r="M6" i="4"/>
  <c r="L6" i="4"/>
  <c r="K6" i="4"/>
  <c r="J6" i="4"/>
  <c r="I6" i="4"/>
  <c r="H6" i="4"/>
  <c r="G6" i="4"/>
  <c r="F6" i="4"/>
  <c r="O6" i="4"/>
  <c r="O52" i="4"/>
  <c r="O64" i="4"/>
  <c r="O59" i="4"/>
  <c r="J51" i="4" l="1"/>
  <c r="H51" i="4"/>
  <c r="F51" i="4"/>
  <c r="F5" i="4"/>
  <c r="F33" i="4" s="1"/>
  <c r="M116" i="2"/>
  <c r="K116" i="2"/>
  <c r="L116" i="2"/>
  <c r="O116" i="2"/>
  <c r="P117" i="2"/>
  <c r="N116" i="2"/>
  <c r="F50" i="4"/>
  <c r="F70" i="4" s="1"/>
  <c r="I5" i="4"/>
  <c r="I33" i="4" s="1"/>
  <c r="H58" i="4"/>
  <c r="H50" i="4" s="1"/>
  <c r="I58" i="4"/>
  <c r="I51" i="4"/>
  <c r="J58" i="4"/>
  <c r="J50" i="4" s="1"/>
  <c r="I35" i="4"/>
  <c r="J35" i="4"/>
  <c r="J5" i="4"/>
  <c r="J33" i="4" s="1"/>
  <c r="K5" i="4"/>
  <c r="K33" i="4" s="1"/>
  <c r="L58" i="4"/>
  <c r="N35" i="4"/>
  <c r="H5" i="4"/>
  <c r="H33" i="4" s="1"/>
  <c r="G5" i="4"/>
  <c r="G33" i="4" s="1"/>
  <c r="M51" i="4"/>
  <c r="L51" i="4"/>
  <c r="L5" i="4"/>
  <c r="L33" i="4" s="1"/>
  <c r="M58" i="4"/>
  <c r="M35" i="4"/>
  <c r="M5" i="4"/>
  <c r="M33" i="4" s="1"/>
  <c r="N58" i="4"/>
  <c r="N51" i="4"/>
  <c r="N5" i="4"/>
  <c r="N33" i="4" s="1"/>
  <c r="G58" i="4"/>
  <c r="K58" i="4"/>
  <c r="G51" i="4"/>
  <c r="K51" i="4"/>
  <c r="H35" i="4"/>
  <c r="L35" i="4"/>
  <c r="G35" i="4"/>
  <c r="K35" i="4"/>
  <c r="O58" i="4"/>
  <c r="O56" i="4"/>
  <c r="O51" i="4" s="1"/>
  <c r="O46" i="4"/>
  <c r="L130" i="2"/>
  <c r="L129" i="2" s="1"/>
  <c r="M150" i="2"/>
  <c r="M130" i="2"/>
  <c r="M129" i="2" s="1"/>
  <c r="N130" i="2"/>
  <c r="N129" i="2" s="1"/>
  <c r="N78" i="2"/>
  <c r="I116" i="2"/>
  <c r="H116" i="2"/>
  <c r="G116" i="2"/>
  <c r="F116" i="2"/>
  <c r="M112" i="2"/>
  <c r="J112" i="2"/>
  <c r="I112" i="2"/>
  <c r="H112" i="2"/>
  <c r="M109" i="2"/>
  <c r="M106" i="2"/>
  <c r="M104" i="2"/>
  <c r="Y52" i="2" s="1"/>
  <c r="L104" i="2"/>
  <c r="X52" i="2" s="1"/>
  <c r="K104" i="2"/>
  <c r="W52" i="2" s="1"/>
  <c r="J104" i="2"/>
  <c r="I104" i="2"/>
  <c r="H104" i="2"/>
  <c r="G104" i="2"/>
  <c r="F104" i="2"/>
  <c r="I78" i="2"/>
  <c r="M78" i="2"/>
  <c r="L78" i="2"/>
  <c r="K78" i="2"/>
  <c r="J78" i="2"/>
  <c r="H78" i="2"/>
  <c r="G78" i="2"/>
  <c r="F78" i="2"/>
  <c r="N104" i="2"/>
  <c r="Z52" i="2" s="1"/>
  <c r="M76" i="2"/>
  <c r="Y42" i="2" s="1"/>
  <c r="M56" i="2"/>
  <c r="J37" i="2"/>
  <c r="M37" i="2"/>
  <c r="L37" i="2"/>
  <c r="K37" i="2"/>
  <c r="I37" i="2"/>
  <c r="H37" i="2"/>
  <c r="G37" i="2"/>
  <c r="F37" i="2"/>
  <c r="N37" i="2"/>
  <c r="K29" i="2"/>
  <c r="W22" i="2" s="1"/>
  <c r="N11" i="2"/>
  <c r="M20" i="2"/>
  <c r="Y15" i="2" s="1"/>
  <c r="N20" i="2"/>
  <c r="Z15" i="2" s="1"/>
  <c r="N29" i="2"/>
  <c r="Z22" i="2" s="1"/>
  <c r="F76" i="2"/>
  <c r="G76" i="2"/>
  <c r="H76" i="2"/>
  <c r="I76" i="2"/>
  <c r="J76" i="2"/>
  <c r="K76" i="2"/>
  <c r="W42" i="2" s="1"/>
  <c r="N42" i="6" s="1"/>
  <c r="L76" i="2"/>
  <c r="X42" i="2" s="1"/>
  <c r="N76" i="2"/>
  <c r="Z42" i="2" s="1"/>
  <c r="F109" i="2"/>
  <c r="G109" i="2"/>
  <c r="H109" i="2"/>
  <c r="I109" i="2"/>
  <c r="J109" i="2"/>
  <c r="K109" i="2"/>
  <c r="L109" i="2"/>
  <c r="N109" i="2"/>
  <c r="F157" i="2"/>
  <c r="G157" i="2"/>
  <c r="G156" i="2" s="1"/>
  <c r="H157" i="2"/>
  <c r="H156" i="2" s="1"/>
  <c r="I157" i="2"/>
  <c r="I156" i="2" s="1"/>
  <c r="J157" i="2"/>
  <c r="J156" i="2" s="1"/>
  <c r="K157" i="2"/>
  <c r="K156" i="2" s="1"/>
  <c r="L157" i="2"/>
  <c r="L156" i="2" s="1"/>
  <c r="M157" i="2"/>
  <c r="M156" i="2" s="1"/>
  <c r="N157" i="2"/>
  <c r="N156" i="2" s="1"/>
  <c r="F150" i="2"/>
  <c r="G150" i="2"/>
  <c r="H150" i="2"/>
  <c r="I150" i="2"/>
  <c r="J150" i="2"/>
  <c r="K150" i="2"/>
  <c r="K147" i="2" s="1"/>
  <c r="L150" i="2"/>
  <c r="N150" i="2"/>
  <c r="F142" i="2"/>
  <c r="G142" i="2"/>
  <c r="G141" i="2" s="1"/>
  <c r="H142" i="2"/>
  <c r="H141" i="2" s="1"/>
  <c r="I142" i="2"/>
  <c r="I141" i="2" s="1"/>
  <c r="J142" i="2"/>
  <c r="J141" i="2" s="1"/>
  <c r="K142" i="2"/>
  <c r="K141" i="2" s="1"/>
  <c r="L141" i="2"/>
  <c r="M142" i="2"/>
  <c r="M141" i="2" s="1"/>
  <c r="N142" i="2"/>
  <c r="N141" i="2" s="1"/>
  <c r="G139" i="2"/>
  <c r="G138" i="2" s="1"/>
  <c r="F139" i="2"/>
  <c r="H139" i="2"/>
  <c r="H138" i="2" s="1"/>
  <c r="I139" i="2"/>
  <c r="I138" i="2" s="1"/>
  <c r="J139" i="2"/>
  <c r="J138" i="2" s="1"/>
  <c r="K139" i="2"/>
  <c r="K138" i="2" s="1"/>
  <c r="L139" i="2"/>
  <c r="L138" i="2" s="1"/>
  <c r="M139" i="2"/>
  <c r="M138" i="2" s="1"/>
  <c r="N139" i="2"/>
  <c r="N138" i="2" s="1"/>
  <c r="F136" i="2"/>
  <c r="G136" i="2"/>
  <c r="G135" i="2" s="1"/>
  <c r="H136" i="2"/>
  <c r="H135" i="2" s="1"/>
  <c r="I136" i="2"/>
  <c r="I135" i="2" s="1"/>
  <c r="J136" i="2"/>
  <c r="J135" i="2" s="1"/>
  <c r="K136" i="2"/>
  <c r="K135" i="2" s="1"/>
  <c r="L136" i="2"/>
  <c r="L135" i="2" s="1"/>
  <c r="M136" i="2"/>
  <c r="M135" i="2" s="1"/>
  <c r="N136" i="2"/>
  <c r="N135" i="2" s="1"/>
  <c r="F133" i="2"/>
  <c r="G133" i="2"/>
  <c r="G132" i="2" s="1"/>
  <c r="H133" i="2"/>
  <c r="H132" i="2" s="1"/>
  <c r="I133" i="2"/>
  <c r="I132" i="2" s="1"/>
  <c r="J133" i="2"/>
  <c r="J132" i="2" s="1"/>
  <c r="K133" i="2"/>
  <c r="K132" i="2" s="1"/>
  <c r="L133" i="2"/>
  <c r="L132" i="2" s="1"/>
  <c r="M133" i="2"/>
  <c r="M132" i="2" s="1"/>
  <c r="N133" i="2"/>
  <c r="N132" i="2" s="1"/>
  <c r="F129" i="2"/>
  <c r="G129" i="2"/>
  <c r="H129" i="2"/>
  <c r="I129" i="2"/>
  <c r="J129" i="2"/>
  <c r="J128" i="2" s="1"/>
  <c r="K129" i="2"/>
  <c r="F29" i="2"/>
  <c r="G29" i="2"/>
  <c r="H29" i="2"/>
  <c r="I29" i="2"/>
  <c r="J29" i="2"/>
  <c r="L29" i="2"/>
  <c r="X22" i="2" s="1"/>
  <c r="M29" i="2"/>
  <c r="Y22" i="2" s="1"/>
  <c r="F31" i="2"/>
  <c r="G31" i="2"/>
  <c r="H31" i="2"/>
  <c r="J31" i="2"/>
  <c r="K31" i="2"/>
  <c r="L31" i="2"/>
  <c r="M31" i="2"/>
  <c r="N31" i="2"/>
  <c r="F26" i="2"/>
  <c r="G26" i="2"/>
  <c r="H26" i="2"/>
  <c r="I26" i="2"/>
  <c r="J26" i="2"/>
  <c r="K26" i="2"/>
  <c r="W17" i="2" s="1"/>
  <c r="L26" i="2"/>
  <c r="X17" i="2" s="1"/>
  <c r="M26" i="2"/>
  <c r="Y17" i="2" s="1"/>
  <c r="N26" i="2"/>
  <c r="Z17" i="2" s="1"/>
  <c r="F24" i="2"/>
  <c r="G24" i="2"/>
  <c r="H24" i="2"/>
  <c r="I24" i="2"/>
  <c r="J24" i="2"/>
  <c r="K24" i="2"/>
  <c r="L24" i="2"/>
  <c r="M24" i="2"/>
  <c r="N24" i="2"/>
  <c r="F20" i="2"/>
  <c r="G20" i="2"/>
  <c r="H20" i="2"/>
  <c r="I20" i="2"/>
  <c r="K20" i="2"/>
  <c r="W15" i="2" s="1"/>
  <c r="N15" i="6" s="1"/>
  <c r="L20" i="2"/>
  <c r="X15" i="2" s="1"/>
  <c r="F18" i="2"/>
  <c r="G18" i="2"/>
  <c r="H18" i="2"/>
  <c r="I18" i="2"/>
  <c r="J18" i="2"/>
  <c r="K18" i="2"/>
  <c r="N13" i="6" s="1"/>
  <c r="L18" i="2"/>
  <c r="X13" i="2" s="1"/>
  <c r="M18" i="2"/>
  <c r="Y13" i="2" s="1"/>
  <c r="N18" i="2"/>
  <c r="Z13" i="2" s="1"/>
  <c r="F16" i="2"/>
  <c r="G16" i="2"/>
  <c r="H16" i="2"/>
  <c r="I16" i="2"/>
  <c r="J16" i="2"/>
  <c r="K16" i="2"/>
  <c r="W12" i="2" s="1"/>
  <c r="L16" i="2"/>
  <c r="X12" i="2" s="1"/>
  <c r="M16" i="2"/>
  <c r="Y12" i="2" s="1"/>
  <c r="N16" i="2"/>
  <c r="Z12" i="2" s="1"/>
  <c r="F11" i="2"/>
  <c r="G11" i="2"/>
  <c r="H11" i="2"/>
  <c r="I11" i="2"/>
  <c r="J11" i="2"/>
  <c r="L11" i="2"/>
  <c r="M11" i="2"/>
  <c r="F9" i="2"/>
  <c r="G9" i="2"/>
  <c r="H9" i="2"/>
  <c r="I9" i="2"/>
  <c r="J9" i="2"/>
  <c r="K9" i="2"/>
  <c r="W9" i="2" s="1"/>
  <c r="N9" i="6" s="1"/>
  <c r="L9" i="2"/>
  <c r="X9" i="2" s="1"/>
  <c r="M9" i="2"/>
  <c r="Y9" i="2" s="1"/>
  <c r="N9" i="2"/>
  <c r="Z9" i="2" s="1"/>
  <c r="F7" i="2"/>
  <c r="G7" i="2"/>
  <c r="H7" i="2"/>
  <c r="I7" i="2"/>
  <c r="J7" i="2"/>
  <c r="K7" i="2"/>
  <c r="W7" i="2" s="1"/>
  <c r="L7" i="2"/>
  <c r="X7" i="2" s="1"/>
  <c r="M7" i="2"/>
  <c r="Y7" i="2" s="1"/>
  <c r="N7" i="2"/>
  <c r="Z7" i="2" s="1"/>
  <c r="O150" i="2"/>
  <c r="O139" i="2"/>
  <c r="O138" i="2" s="1"/>
  <c r="O133" i="2"/>
  <c r="O132" i="2" s="1"/>
  <c r="O157" i="2"/>
  <c r="O156" i="2" s="1"/>
  <c r="O148" i="2"/>
  <c r="O142" i="2"/>
  <c r="O141" i="2" s="1"/>
  <c r="O136" i="2"/>
  <c r="O135" i="2" s="1"/>
  <c r="O130" i="2"/>
  <c r="O129" i="2" s="1"/>
  <c r="O109" i="2"/>
  <c r="O106" i="2"/>
  <c r="O104" i="2"/>
  <c r="AA52" i="2" s="1"/>
  <c r="O56" i="2"/>
  <c r="O37" i="2"/>
  <c r="P30" i="2"/>
  <c r="O26" i="2"/>
  <c r="AA17" i="2" s="1"/>
  <c r="O24" i="2"/>
  <c r="O20" i="2"/>
  <c r="AA15" i="2" s="1"/>
  <c r="O18" i="2"/>
  <c r="AA13" i="2" s="1"/>
  <c r="O16" i="2"/>
  <c r="AA12" i="2" s="1"/>
  <c r="O11" i="2"/>
  <c r="O9" i="2"/>
  <c r="AA9" i="2" s="1"/>
  <c r="O7" i="2"/>
  <c r="AA7" i="2" s="1"/>
  <c r="J25" i="5"/>
  <c r="M34" i="5"/>
  <c r="M39" i="5" s="1"/>
  <c r="L25" i="5"/>
  <c r="O25" i="5"/>
  <c r="N84" i="24" l="1"/>
  <c r="K146" i="2"/>
  <c r="N82" i="24"/>
  <c r="X6" i="2"/>
  <c r="W6" i="2"/>
  <c r="N7" i="6"/>
  <c r="Z16" i="2"/>
  <c r="AA6" i="2"/>
  <c r="Y16" i="2"/>
  <c r="Y20" i="2"/>
  <c r="P37" i="2"/>
  <c r="W25" i="2"/>
  <c r="N52" i="6"/>
  <c r="AA25" i="2"/>
  <c r="N12" i="6"/>
  <c r="X16" i="2"/>
  <c r="X20" i="2"/>
  <c r="X25" i="2"/>
  <c r="W16" i="2"/>
  <c r="N16" i="6" s="1"/>
  <c r="N17" i="6"/>
  <c r="Z20" i="2"/>
  <c r="Z25" i="2"/>
  <c r="Y25" i="2"/>
  <c r="Z6" i="2"/>
  <c r="P7" i="2"/>
  <c r="W20" i="2"/>
  <c r="N20" i="6" s="1"/>
  <c r="N22" i="6"/>
  <c r="AA16" i="2"/>
  <c r="Y6" i="2"/>
  <c r="P76" i="2"/>
  <c r="R9" i="8"/>
  <c r="R9" i="7"/>
  <c r="P41" i="8"/>
  <c r="P41" i="7"/>
  <c r="O52" i="8"/>
  <c r="O52" i="7"/>
  <c r="R64" i="8"/>
  <c r="R64" i="7"/>
  <c r="P7" i="8"/>
  <c r="P7" i="7"/>
  <c r="Q9" i="8"/>
  <c r="Q9" i="7"/>
  <c r="P96" i="8"/>
  <c r="P95" i="8" s="1"/>
  <c r="P97" i="6"/>
  <c r="Q41" i="8"/>
  <c r="Q41" i="7"/>
  <c r="Q21" i="8"/>
  <c r="Q21" i="7"/>
  <c r="Q52" i="8"/>
  <c r="Q52" i="7"/>
  <c r="P52" i="8"/>
  <c r="P52" i="7"/>
  <c r="K112" i="2"/>
  <c r="Q96" i="8"/>
  <c r="Q95" i="8" s="1"/>
  <c r="Q97" i="6"/>
  <c r="O96" i="8"/>
  <c r="O95" i="8" s="1"/>
  <c r="O97" i="6"/>
  <c r="Q14" i="8"/>
  <c r="Q14" i="7"/>
  <c r="L112" i="2"/>
  <c r="O64" i="8"/>
  <c r="O64" i="7"/>
  <c r="P9" i="8"/>
  <c r="P9" i="7"/>
  <c r="O41" i="8"/>
  <c r="O41" i="7"/>
  <c r="O37" i="5"/>
  <c r="R13" i="8"/>
  <c r="R13" i="7"/>
  <c r="N7" i="8"/>
  <c r="N7" i="7"/>
  <c r="O9" i="8"/>
  <c r="O9" i="7"/>
  <c r="P12" i="8"/>
  <c r="P12" i="7"/>
  <c r="Q13" i="8"/>
  <c r="Q13" i="7"/>
  <c r="N96" i="8"/>
  <c r="N41" i="8"/>
  <c r="N41" i="7"/>
  <c r="P14" i="8"/>
  <c r="P14" i="7"/>
  <c r="P59" i="8"/>
  <c r="P59" i="7"/>
  <c r="R12" i="8"/>
  <c r="R12" i="7"/>
  <c r="Q12" i="8"/>
  <c r="Q12" i="7"/>
  <c r="R14" i="8"/>
  <c r="R14" i="7"/>
  <c r="N9" i="8"/>
  <c r="N9" i="7"/>
  <c r="P13" i="8"/>
  <c r="P13" i="7"/>
  <c r="N112" i="2"/>
  <c r="N64" i="8"/>
  <c r="N64" i="7"/>
  <c r="Q7" i="8"/>
  <c r="Q7" i="7"/>
  <c r="O7" i="8"/>
  <c r="O7" i="7"/>
  <c r="R52" i="8"/>
  <c r="R52" i="7"/>
  <c r="O12" i="8"/>
  <c r="O12" i="7"/>
  <c r="O14" i="8"/>
  <c r="O14" i="7"/>
  <c r="Q16" i="8"/>
  <c r="Q16" i="7"/>
  <c r="N12" i="8"/>
  <c r="N12" i="7"/>
  <c r="O13" i="8"/>
  <c r="O13" i="7"/>
  <c r="N14" i="8"/>
  <c r="N14" i="7"/>
  <c r="P16" i="8"/>
  <c r="P16" i="7"/>
  <c r="N21" i="8"/>
  <c r="N21" i="7"/>
  <c r="Q64" i="8"/>
  <c r="Q64" i="7"/>
  <c r="R41" i="8"/>
  <c r="R41" i="7"/>
  <c r="L37" i="5"/>
  <c r="T11" i="12"/>
  <c r="R96" i="8"/>
  <c r="R95" i="8" s="1"/>
  <c r="R97" i="6"/>
  <c r="J37" i="5"/>
  <c r="R16" i="8"/>
  <c r="R16" i="7"/>
  <c r="N13" i="8"/>
  <c r="N13" i="7"/>
  <c r="O16" i="8"/>
  <c r="O16" i="7"/>
  <c r="P21" i="8"/>
  <c r="P21" i="7"/>
  <c r="P64" i="8"/>
  <c r="P64" i="7"/>
  <c r="R7" i="8"/>
  <c r="R7" i="7"/>
  <c r="O112" i="2"/>
  <c r="N16" i="8"/>
  <c r="N16" i="7"/>
  <c r="O21" i="8"/>
  <c r="O21" i="7"/>
  <c r="N52" i="8"/>
  <c r="N52" i="7"/>
  <c r="S64" i="8"/>
  <c r="S64" i="7"/>
  <c r="P116" i="2"/>
  <c r="O29" i="2"/>
  <c r="F141" i="2"/>
  <c r="P141" i="2" s="1"/>
  <c r="P142" i="2"/>
  <c r="P150" i="2"/>
  <c r="F156" i="2"/>
  <c r="P156" i="2" s="1"/>
  <c r="P157" i="2"/>
  <c r="P109" i="2"/>
  <c r="P9" i="2"/>
  <c r="AB9" i="2" s="1"/>
  <c r="S9" i="6" s="1"/>
  <c r="P11" i="2"/>
  <c r="P16" i="2"/>
  <c r="AB12" i="2" s="1"/>
  <c r="P20" i="2"/>
  <c r="AB15" i="2" s="1"/>
  <c r="S15" i="6" s="1"/>
  <c r="P78" i="2"/>
  <c r="AB63" i="2" s="1"/>
  <c r="S63" i="6" s="1"/>
  <c r="P104" i="2"/>
  <c r="AB52" i="2" s="1"/>
  <c r="S52" i="6" s="1"/>
  <c r="P18" i="2"/>
  <c r="AB13" i="2" s="1"/>
  <c r="S13" i="6" s="1"/>
  <c r="P24" i="2"/>
  <c r="P129" i="2"/>
  <c r="P26" i="2"/>
  <c r="AB17" i="2" s="1"/>
  <c r="F132" i="2"/>
  <c r="P132" i="2" s="1"/>
  <c r="P133" i="2"/>
  <c r="P31" i="2"/>
  <c r="F135" i="2"/>
  <c r="P135" i="2" s="1"/>
  <c r="P136" i="2"/>
  <c r="F138" i="2"/>
  <c r="P138" i="2" s="1"/>
  <c r="P139" i="2"/>
  <c r="P130" i="2"/>
  <c r="O147" i="2"/>
  <c r="R84" i="24" s="1"/>
  <c r="R82" i="24" s="1"/>
  <c r="R81" i="24" s="1"/>
  <c r="R80" i="24" s="1"/>
  <c r="R100" i="24" s="1"/>
  <c r="R105" i="24" s="1"/>
  <c r="R113" i="24" s="1"/>
  <c r="H28" i="2"/>
  <c r="J145" i="2"/>
  <c r="H6" i="2"/>
  <c r="H70" i="4"/>
  <c r="H72" i="4" s="1"/>
  <c r="F72" i="4"/>
  <c r="I50" i="4"/>
  <c r="I70" i="4" s="1"/>
  <c r="I72" i="4" s="1"/>
  <c r="O50" i="4"/>
  <c r="J70" i="4"/>
  <c r="J72" i="4" s="1"/>
  <c r="G28" i="2"/>
  <c r="J6" i="2"/>
  <c r="F6" i="2"/>
  <c r="N28" i="2"/>
  <c r="J28" i="2"/>
  <c r="F28" i="2"/>
  <c r="O6" i="2"/>
  <c r="N15" i="2"/>
  <c r="F15" i="2"/>
  <c r="N6" i="2"/>
  <c r="H128" i="2"/>
  <c r="H145" i="2" s="1"/>
  <c r="I28" i="2"/>
  <c r="K6" i="2"/>
  <c r="K28" i="2"/>
  <c r="G128" i="2"/>
  <c r="G145" i="2" s="1"/>
  <c r="G6" i="2"/>
  <c r="I15" i="2"/>
  <c r="K128" i="2"/>
  <c r="K145" i="2" s="1"/>
  <c r="O36" i="2"/>
  <c r="O35" i="2" s="1"/>
  <c r="O128" i="2"/>
  <c r="O15" i="2"/>
  <c r="I6" i="2"/>
  <c r="K15" i="2"/>
  <c r="G15" i="2"/>
  <c r="H15" i="2"/>
  <c r="N128" i="2"/>
  <c r="N145" i="2" s="1"/>
  <c r="I128" i="2"/>
  <c r="I145" i="2" s="1"/>
  <c r="M15" i="2"/>
  <c r="L28" i="2"/>
  <c r="J15" i="2"/>
  <c r="G50" i="4"/>
  <c r="G70" i="4" s="1"/>
  <c r="G72" i="4" s="1"/>
  <c r="N50" i="4"/>
  <c r="N70" i="4" s="1"/>
  <c r="N72" i="4" s="1"/>
  <c r="K50" i="4"/>
  <c r="K70" i="4" s="1"/>
  <c r="K72" i="4" s="1"/>
  <c r="L50" i="4"/>
  <c r="L70" i="4" s="1"/>
  <c r="L72" i="4" s="1"/>
  <c r="M50" i="4"/>
  <c r="M70" i="4" s="1"/>
  <c r="M72" i="4" s="1"/>
  <c r="O35" i="4"/>
  <c r="O5" i="4"/>
  <c r="O33" i="4" s="1"/>
  <c r="L128" i="2"/>
  <c r="L145" i="2" s="1"/>
  <c r="L15" i="2"/>
  <c r="L6" i="2"/>
  <c r="M128" i="2"/>
  <c r="M145" i="2" s="1"/>
  <c r="M36" i="2"/>
  <c r="M35" i="2" s="1"/>
  <c r="M123" i="2" s="1"/>
  <c r="M28" i="2"/>
  <c r="M6" i="2"/>
  <c r="P13" i="5"/>
  <c r="O13" i="5"/>
  <c r="O12" i="5" s="1"/>
  <c r="N13" i="5"/>
  <c r="N12" i="5" s="1"/>
  <c r="L13" i="5"/>
  <c r="L12" i="5" s="1"/>
  <c r="K13" i="5"/>
  <c r="K12" i="5" s="1"/>
  <c r="J13" i="5"/>
  <c r="J12" i="5" s="1"/>
  <c r="I13" i="5"/>
  <c r="I12" i="5" s="1"/>
  <c r="H13" i="5"/>
  <c r="H12" i="5" s="1"/>
  <c r="P12" i="5"/>
  <c r="G13" i="5"/>
  <c r="P34" i="5"/>
  <c r="P39" i="5" s="1"/>
  <c r="O34" i="5"/>
  <c r="O39" i="5" s="1"/>
  <c r="N34" i="5"/>
  <c r="N39" i="5" s="1"/>
  <c r="L34" i="5"/>
  <c r="L39" i="5" s="1"/>
  <c r="K34" i="5"/>
  <c r="K39" i="5" s="1"/>
  <c r="J34" i="5"/>
  <c r="J39" i="5" s="1"/>
  <c r="I34" i="5"/>
  <c r="I39" i="5" s="1"/>
  <c r="H34" i="5"/>
  <c r="H39" i="5" s="1"/>
  <c r="G34" i="5"/>
  <c r="P25" i="5"/>
  <c r="N25" i="5"/>
  <c r="K25" i="5"/>
  <c r="I25" i="5"/>
  <c r="H25" i="5"/>
  <c r="G25" i="5"/>
  <c r="N81" i="24" l="1"/>
  <c r="Y24" i="2"/>
  <c r="X24" i="2"/>
  <c r="AA24" i="2"/>
  <c r="AB7" i="2"/>
  <c r="AB6" i="2" s="1"/>
  <c r="Z24" i="2"/>
  <c r="AA11" i="2"/>
  <c r="AB16" i="2"/>
  <c r="S16" i="6" s="1"/>
  <c r="S17" i="6"/>
  <c r="Y11" i="2"/>
  <c r="Z11" i="2"/>
  <c r="X11" i="2"/>
  <c r="W5" i="2"/>
  <c r="N6" i="6"/>
  <c r="Z5" i="2"/>
  <c r="N11" i="6"/>
  <c r="W24" i="2"/>
  <c r="N25" i="6"/>
  <c r="H5" i="2"/>
  <c r="H34" i="2" s="1"/>
  <c r="AB11" i="2"/>
  <c r="S12" i="6"/>
  <c r="S11" i="6"/>
  <c r="X5" i="2"/>
  <c r="O70" i="4"/>
  <c r="O72" i="4" s="1"/>
  <c r="O28" i="2"/>
  <c r="P28" i="2" s="1"/>
  <c r="AA22" i="2"/>
  <c r="P29" i="2"/>
  <c r="AB22" i="2" s="1"/>
  <c r="O123" i="2"/>
  <c r="P11" i="8"/>
  <c r="P11" i="7"/>
  <c r="O146" i="2"/>
  <c r="O161" i="2" s="1"/>
  <c r="R83" i="8"/>
  <c r="R81" i="8" s="1"/>
  <c r="R80" i="8" s="1"/>
  <c r="R79" i="8" s="1"/>
  <c r="Q11" i="8"/>
  <c r="Q11" i="7"/>
  <c r="G37" i="5"/>
  <c r="Q25" i="5"/>
  <c r="S21" i="8"/>
  <c r="S21" i="7"/>
  <c r="S12" i="8"/>
  <c r="T12" i="8" s="1"/>
  <c r="U12" i="8" s="1"/>
  <c r="V12" i="8" s="1"/>
  <c r="W12" i="8" s="1"/>
  <c r="X12" i="8" s="1"/>
  <c r="Y12" i="8" s="1"/>
  <c r="Z12" i="8" s="1"/>
  <c r="AA12" i="8" s="1"/>
  <c r="AB12" i="8" s="1"/>
  <c r="AC12" i="8" s="1"/>
  <c r="AD12" i="8" s="1"/>
  <c r="AE12" i="8" s="1"/>
  <c r="AF12" i="8" s="1"/>
  <c r="AG12" i="8" s="1"/>
  <c r="AH12" i="8" s="1"/>
  <c r="AI12" i="8" s="1"/>
  <c r="AJ12" i="8" s="1"/>
  <c r="AK12" i="8" s="1"/>
  <c r="AL12" i="8" s="1"/>
  <c r="AM12" i="8" s="1"/>
  <c r="AN12" i="8" s="1"/>
  <c r="AO12" i="8" s="1"/>
  <c r="AP12" i="8" s="1"/>
  <c r="AQ12" i="8" s="1"/>
  <c r="AR12" i="8" s="1"/>
  <c r="AS12" i="8" s="1"/>
  <c r="AT12" i="8" s="1"/>
  <c r="AU12" i="8" s="1"/>
  <c r="AV12" i="8" s="1"/>
  <c r="AW12" i="8" s="1"/>
  <c r="AX12" i="8" s="1"/>
  <c r="AY12" i="8" s="1"/>
  <c r="AZ12" i="8" s="1"/>
  <c r="BA12" i="8" s="1"/>
  <c r="BB12" i="8" s="1"/>
  <c r="BC12" i="8" s="1"/>
  <c r="BD12" i="8" s="1"/>
  <c r="BE12" i="8" s="1"/>
  <c r="BF12" i="8" s="1"/>
  <c r="BG12" i="8" s="1"/>
  <c r="BH12" i="8" s="1"/>
  <c r="BI12" i="8" s="1"/>
  <c r="BJ12" i="8" s="1"/>
  <c r="BK12" i="8" s="1"/>
  <c r="BL12" i="8" s="1"/>
  <c r="BM12" i="8" s="1"/>
  <c r="BN12" i="8" s="1"/>
  <c r="BO12" i="8" s="1"/>
  <c r="BP12" i="8" s="1"/>
  <c r="BQ12" i="8" s="1"/>
  <c r="S12" i="7"/>
  <c r="S59" i="8"/>
  <c r="S59" i="7"/>
  <c r="N15" i="8"/>
  <c r="N109" i="8" s="1"/>
  <c r="N15" i="7"/>
  <c r="Q51" i="8"/>
  <c r="Q107" i="8" s="1"/>
  <c r="Q51" i="7"/>
  <c r="P6" i="8"/>
  <c r="P6" i="7"/>
  <c r="O51" i="8"/>
  <c r="O107" i="8" s="1"/>
  <c r="O51" i="7"/>
  <c r="Q28" i="4"/>
  <c r="H37" i="5"/>
  <c r="N6" i="8"/>
  <c r="N6" i="7"/>
  <c r="S16" i="8"/>
  <c r="S16" i="7"/>
  <c r="O19" i="8"/>
  <c r="O19" i="7"/>
  <c r="R59" i="8"/>
  <c r="R59" i="7"/>
  <c r="R15" i="8"/>
  <c r="R109" i="8" s="1"/>
  <c r="R15" i="7"/>
  <c r="Q19" i="8"/>
  <c r="Q19" i="7"/>
  <c r="O6" i="8"/>
  <c r="O6" i="7"/>
  <c r="S9" i="8"/>
  <c r="S9" i="7"/>
  <c r="P62" i="8"/>
  <c r="P62" i="7"/>
  <c r="O15" i="8"/>
  <c r="O109" i="8" s="1"/>
  <c r="O15" i="7"/>
  <c r="Q24" i="12"/>
  <c r="N19" i="8"/>
  <c r="N19" i="7"/>
  <c r="N62" i="8"/>
  <c r="N62" i="7"/>
  <c r="P58" i="8"/>
  <c r="P58" i="7"/>
  <c r="N95" i="8"/>
  <c r="S95" i="8" s="1"/>
  <c r="S96" i="8"/>
  <c r="W11" i="12"/>
  <c r="F128" i="2"/>
  <c r="P128" i="2" s="1"/>
  <c r="S41" i="8"/>
  <c r="S41" i="7"/>
  <c r="R6" i="8"/>
  <c r="R6" i="7"/>
  <c r="P15" i="8"/>
  <c r="P109" i="8" s="1"/>
  <c r="P15" i="7"/>
  <c r="Q15" i="8"/>
  <c r="Q109" i="8" s="1"/>
  <c r="Q15" i="7"/>
  <c r="Q6" i="8"/>
  <c r="Q6" i="7"/>
  <c r="Q59" i="8"/>
  <c r="Q59" i="7"/>
  <c r="N11" i="8"/>
  <c r="N11" i="7"/>
  <c r="N37" i="5"/>
  <c r="S13" i="8"/>
  <c r="S13" i="7"/>
  <c r="S62" i="8"/>
  <c r="S62" i="7"/>
  <c r="P51" i="8"/>
  <c r="P107" i="8" s="1"/>
  <c r="P51" i="7"/>
  <c r="R62" i="8"/>
  <c r="R62" i="7"/>
  <c r="G12" i="5"/>
  <c r="Q12" i="5" s="1"/>
  <c r="Q13" i="5"/>
  <c r="N59" i="8"/>
  <c r="N59" i="7"/>
  <c r="P37" i="5"/>
  <c r="S52" i="8"/>
  <c r="S52" i="7"/>
  <c r="N51" i="8"/>
  <c r="N107" i="8" s="1"/>
  <c r="N51" i="7"/>
  <c r="O62" i="8"/>
  <c r="O62" i="7"/>
  <c r="S14" i="8"/>
  <c r="T14" i="8" s="1"/>
  <c r="U14" i="8" s="1"/>
  <c r="V14" i="8" s="1"/>
  <c r="W14" i="8" s="1"/>
  <c r="X14" i="8" s="1"/>
  <c r="Y14" i="8" s="1"/>
  <c r="Z14" i="8" s="1"/>
  <c r="AA14" i="8" s="1"/>
  <c r="AB14" i="8" s="1"/>
  <c r="AC14" i="8" s="1"/>
  <c r="AD14" i="8" s="1"/>
  <c r="AE14" i="8" s="1"/>
  <c r="AF14" i="8" s="1"/>
  <c r="AG14" i="8" s="1"/>
  <c r="AH14" i="8" s="1"/>
  <c r="AI14" i="8" s="1"/>
  <c r="AJ14" i="8" s="1"/>
  <c r="AK14" i="8" s="1"/>
  <c r="AL14" i="8" s="1"/>
  <c r="AM14" i="8" s="1"/>
  <c r="AN14" i="8" s="1"/>
  <c r="AO14" i="8" s="1"/>
  <c r="AP14" i="8" s="1"/>
  <c r="AQ14" i="8" s="1"/>
  <c r="AR14" i="8" s="1"/>
  <c r="AS14" i="8" s="1"/>
  <c r="AT14" i="8" s="1"/>
  <c r="AU14" i="8" s="1"/>
  <c r="AV14" i="8" s="1"/>
  <c r="AW14" i="8" s="1"/>
  <c r="AX14" i="8" s="1"/>
  <c r="AY14" i="8" s="1"/>
  <c r="AZ14" i="8" s="1"/>
  <c r="BA14" i="8" s="1"/>
  <c r="BB14" i="8" s="1"/>
  <c r="BC14" i="8" s="1"/>
  <c r="BD14" i="8" s="1"/>
  <c r="BE14" i="8" s="1"/>
  <c r="BF14" i="8" s="1"/>
  <c r="BG14" i="8" s="1"/>
  <c r="BH14" i="8" s="1"/>
  <c r="BI14" i="8" s="1"/>
  <c r="BJ14" i="8" s="1"/>
  <c r="BK14" i="8" s="1"/>
  <c r="BL14" i="8" s="1"/>
  <c r="BM14" i="8" s="1"/>
  <c r="BN14" i="8" s="1"/>
  <c r="BO14" i="8" s="1"/>
  <c r="BP14" i="8" s="1"/>
  <c r="BQ14" i="8" s="1"/>
  <c r="S14" i="7"/>
  <c r="I37" i="5"/>
  <c r="K37" i="5"/>
  <c r="R11" i="12"/>
  <c r="G39" i="5"/>
  <c r="Q34" i="5"/>
  <c r="R21" i="8"/>
  <c r="R21" i="7"/>
  <c r="P19" i="8"/>
  <c r="P19" i="7"/>
  <c r="Q62" i="8"/>
  <c r="Q62" i="7"/>
  <c r="R51" i="8"/>
  <c r="R107" i="8" s="1"/>
  <c r="R110" i="8" s="1"/>
  <c r="R51" i="7"/>
  <c r="O59" i="8"/>
  <c r="O59" i="7"/>
  <c r="O5" i="2"/>
  <c r="O34" i="2" s="1"/>
  <c r="P6" i="2"/>
  <c r="P15" i="2"/>
  <c r="M5" i="2"/>
  <c r="M34" i="2" s="1"/>
  <c r="J5" i="2"/>
  <c r="J34" i="2" s="1"/>
  <c r="O145" i="2"/>
  <c r="K5" i="2"/>
  <c r="K34" i="2" s="1"/>
  <c r="L5" i="2"/>
  <c r="L34" i="2" s="1"/>
  <c r="N5" i="2"/>
  <c r="N34" i="2" s="1"/>
  <c r="F5" i="2"/>
  <c r="G5" i="2"/>
  <c r="G34" i="2" s="1"/>
  <c r="I5" i="2"/>
  <c r="I34" i="2" s="1"/>
  <c r="O173" i="2"/>
  <c r="N173" i="2"/>
  <c r="M173" i="2"/>
  <c r="L173" i="2"/>
  <c r="K173" i="2"/>
  <c r="O171" i="2"/>
  <c r="N171" i="2"/>
  <c r="M171" i="2"/>
  <c r="L171" i="2"/>
  <c r="K171" i="2"/>
  <c r="O166" i="2"/>
  <c r="N166" i="2"/>
  <c r="M166" i="2"/>
  <c r="L166" i="2"/>
  <c r="K166" i="2"/>
  <c r="N148" i="2"/>
  <c r="N147" i="2" s="1"/>
  <c r="M148" i="2"/>
  <c r="M147" i="2" s="1"/>
  <c r="L148" i="2"/>
  <c r="L147" i="2" s="1"/>
  <c r="O84" i="24" s="1"/>
  <c r="K148" i="2"/>
  <c r="O172" i="2"/>
  <c r="N106" i="2"/>
  <c r="N172" i="2" s="1"/>
  <c r="M172" i="2"/>
  <c r="L106" i="2"/>
  <c r="L172" i="2" s="1"/>
  <c r="K106" i="2"/>
  <c r="K172" i="2" s="1"/>
  <c r="N56" i="2"/>
  <c r="L56" i="2"/>
  <c r="K56" i="2"/>
  <c r="J166" i="2"/>
  <c r="I166" i="2"/>
  <c r="H166" i="2"/>
  <c r="G166" i="2"/>
  <c r="F166" i="2"/>
  <c r="J148" i="2"/>
  <c r="J147" i="2" s="1"/>
  <c r="J146" i="2" s="1"/>
  <c r="J161" i="2" s="1"/>
  <c r="I148" i="2"/>
  <c r="I147" i="2" s="1"/>
  <c r="I146" i="2" s="1"/>
  <c r="I161" i="2" s="1"/>
  <c r="H148" i="2"/>
  <c r="H147" i="2" s="1"/>
  <c r="H146" i="2" s="1"/>
  <c r="H161" i="2" s="1"/>
  <c r="G148" i="2"/>
  <c r="F148" i="2"/>
  <c r="F147" i="2" s="1"/>
  <c r="F146" i="2" s="1"/>
  <c r="F161" i="2" s="1"/>
  <c r="J106" i="2"/>
  <c r="J172" i="2" s="1"/>
  <c r="I106" i="2"/>
  <c r="I172" i="2" s="1"/>
  <c r="H106" i="2"/>
  <c r="H172" i="2" s="1"/>
  <c r="G106" i="2"/>
  <c r="G172" i="2" s="1"/>
  <c r="F106" i="2"/>
  <c r="J171" i="2"/>
  <c r="I171" i="2"/>
  <c r="H171" i="2"/>
  <c r="F171" i="2"/>
  <c r="J56" i="2"/>
  <c r="I56" i="2"/>
  <c r="H56" i="2"/>
  <c r="G56" i="2"/>
  <c r="F56" i="2"/>
  <c r="J173" i="2"/>
  <c r="I173" i="2"/>
  <c r="H173" i="2"/>
  <c r="G173" i="2"/>
  <c r="F173" i="2"/>
  <c r="O82" i="24" l="1"/>
  <c r="S84" i="24"/>
  <c r="N80" i="24"/>
  <c r="S7" i="6"/>
  <c r="W68" i="2"/>
  <c r="N24" i="6"/>
  <c r="AB20" i="2"/>
  <c r="S20" i="6" s="1"/>
  <c r="S22" i="6"/>
  <c r="AA20" i="2"/>
  <c r="Y5" i="2"/>
  <c r="Z68" i="2"/>
  <c r="X68" i="2"/>
  <c r="G147" i="2"/>
  <c r="G146" i="2" s="1"/>
  <c r="G159" i="2" s="1"/>
  <c r="G165" i="2" s="1"/>
  <c r="G176" i="2" s="1"/>
  <c r="S6" i="6"/>
  <c r="N68" i="6"/>
  <c r="O159" i="2"/>
  <c r="O165" i="2" s="1"/>
  <c r="O176" i="2" s="1"/>
  <c r="F145" i="2"/>
  <c r="O5" i="8"/>
  <c r="O5" i="7"/>
  <c r="L146" i="2"/>
  <c r="L161" i="2" s="1"/>
  <c r="O83" i="8"/>
  <c r="O81" i="8" s="1"/>
  <c r="O80" i="8" s="1"/>
  <c r="O79" i="8" s="1"/>
  <c r="O99" i="8" s="1"/>
  <c r="O104" i="8" s="1"/>
  <c r="O112" i="8" s="1"/>
  <c r="S51" i="8"/>
  <c r="S51" i="7"/>
  <c r="Q5" i="8"/>
  <c r="Q5" i="7"/>
  <c r="P57" i="8"/>
  <c r="P57" i="7"/>
  <c r="R58" i="8"/>
  <c r="R58" i="7"/>
  <c r="S113" i="8"/>
  <c r="S114" i="6"/>
  <c r="S19" i="8"/>
  <c r="S19" i="7"/>
  <c r="N146" i="2"/>
  <c r="N161" i="2" s="1"/>
  <c r="Q83" i="8"/>
  <c r="Q81" i="8" s="1"/>
  <c r="Q80" i="8" s="1"/>
  <c r="Q79" i="8" s="1"/>
  <c r="Q99" i="8" s="1"/>
  <c r="Q104" i="8" s="1"/>
  <c r="Q112" i="8" s="1"/>
  <c r="M146" i="2"/>
  <c r="M159" i="2" s="1"/>
  <c r="M165" i="2" s="1"/>
  <c r="M176" i="2" s="1"/>
  <c r="P83" i="8"/>
  <c r="P81" i="8" s="1"/>
  <c r="P80" i="8" s="1"/>
  <c r="P79" i="8" s="1"/>
  <c r="P99" i="8" s="1"/>
  <c r="P104" i="8" s="1"/>
  <c r="P112" i="8" s="1"/>
  <c r="R19" i="8"/>
  <c r="R19" i="7"/>
  <c r="P24" i="12"/>
  <c r="Q11" i="12"/>
  <c r="N24" i="8"/>
  <c r="N24" i="7"/>
  <c r="O24" i="8"/>
  <c r="O24" i="7"/>
  <c r="Q24" i="8"/>
  <c r="Q24" i="7"/>
  <c r="R5" i="8"/>
  <c r="R5" i="7"/>
  <c r="R11" i="8"/>
  <c r="R11" i="7"/>
  <c r="S58" i="8"/>
  <c r="S58" i="7"/>
  <c r="K24" i="22"/>
  <c r="K24" i="1"/>
  <c r="R99" i="8"/>
  <c r="R104" i="8" s="1"/>
  <c r="R112" i="8" s="1"/>
  <c r="S107" i="8"/>
  <c r="N110" i="8"/>
  <c r="P24" i="8"/>
  <c r="P24" i="7"/>
  <c r="O11" i="8"/>
  <c r="O11" i="7"/>
  <c r="N5" i="8"/>
  <c r="N5" i="7"/>
  <c r="O110" i="8"/>
  <c r="Q110" i="8"/>
  <c r="N24" i="12"/>
  <c r="O11" i="12"/>
  <c r="O24" i="12"/>
  <c r="P11" i="12"/>
  <c r="P5" i="8"/>
  <c r="P5" i="7"/>
  <c r="O58" i="8"/>
  <c r="O58" i="7"/>
  <c r="N58" i="8"/>
  <c r="N58" i="7"/>
  <c r="V11" i="12"/>
  <c r="U11" i="12"/>
  <c r="S15" i="8"/>
  <c r="S15" i="7"/>
  <c r="K161" i="2"/>
  <c r="N83" i="8"/>
  <c r="R24" i="8"/>
  <c r="R24" i="7"/>
  <c r="R24" i="12"/>
  <c r="S11" i="12"/>
  <c r="P110" i="8"/>
  <c r="Q58" i="8"/>
  <c r="Q58" i="7"/>
  <c r="S7" i="8"/>
  <c r="S7" i="7"/>
  <c r="S109" i="8"/>
  <c r="P56" i="2"/>
  <c r="AB34" i="2" s="1"/>
  <c r="S34" i="6" s="1"/>
  <c r="F34" i="2"/>
  <c r="P5" i="2"/>
  <c r="P148" i="2"/>
  <c r="P106" i="2"/>
  <c r="N36" i="2"/>
  <c r="N35" i="2" s="1"/>
  <c r="N121" i="2" s="1"/>
  <c r="F36" i="2"/>
  <c r="K36" i="2"/>
  <c r="K35" i="2" s="1"/>
  <c r="K121" i="2" s="1"/>
  <c r="L36" i="2"/>
  <c r="L35" i="2" s="1"/>
  <c r="L123" i="2" s="1"/>
  <c r="J36" i="2"/>
  <c r="J35" i="2" s="1"/>
  <c r="J123" i="2" s="1"/>
  <c r="I36" i="2"/>
  <c r="I35" i="2" s="1"/>
  <c r="I123" i="2" s="1"/>
  <c r="G36" i="2"/>
  <c r="H36" i="2"/>
  <c r="H35" i="2" s="1"/>
  <c r="H123" i="2" s="1"/>
  <c r="M121" i="2"/>
  <c r="M168" i="2" s="1"/>
  <c r="I159" i="2"/>
  <c r="I165" i="2" s="1"/>
  <c r="I176" i="2" s="1"/>
  <c r="J159" i="2"/>
  <c r="J165" i="2" s="1"/>
  <c r="J176" i="2" s="1"/>
  <c r="H159" i="2"/>
  <c r="H165" i="2" s="1"/>
  <c r="H176" i="2" s="1"/>
  <c r="G171" i="2"/>
  <c r="F172" i="2"/>
  <c r="F174" i="2" s="1"/>
  <c r="O81" i="24" l="1"/>
  <c r="S82" i="24"/>
  <c r="N100" i="24"/>
  <c r="G161" i="2"/>
  <c r="AA5" i="2"/>
  <c r="Y68" i="2"/>
  <c r="AB5" i="2"/>
  <c r="S5" i="6" s="1"/>
  <c r="N159" i="2"/>
  <c r="N165" i="2" s="1"/>
  <c r="N176" i="2" s="1"/>
  <c r="L159" i="2"/>
  <c r="L165" i="2" s="1"/>
  <c r="L176" i="2" s="1"/>
  <c r="M161" i="2"/>
  <c r="S11" i="8"/>
  <c r="S11" i="7"/>
  <c r="R23" i="8"/>
  <c r="R23" i="7"/>
  <c r="O57" i="8"/>
  <c r="O57" i="7"/>
  <c r="Q57" i="8"/>
  <c r="Q57" i="7"/>
  <c r="N57" i="8"/>
  <c r="N57" i="7"/>
  <c r="P67" i="8"/>
  <c r="P105" i="8" s="1"/>
  <c r="P106" i="8" s="1"/>
  <c r="P111" i="8" s="1"/>
  <c r="P67" i="7"/>
  <c r="N81" i="8"/>
  <c r="S83" i="8"/>
  <c r="K159" i="2"/>
  <c r="K165" i="2" s="1"/>
  <c r="K176" i="2" s="1"/>
  <c r="P23" i="8"/>
  <c r="P23" i="7"/>
  <c r="J23" i="22"/>
  <c r="J23" i="1"/>
  <c r="R57" i="8"/>
  <c r="R57" i="7"/>
  <c r="S24" i="8"/>
  <c r="S24" i="7"/>
  <c r="R67" i="8"/>
  <c r="R105" i="8" s="1"/>
  <c r="R106" i="8" s="1"/>
  <c r="R111" i="8" s="1"/>
  <c r="R67" i="7"/>
  <c r="S6" i="8"/>
  <c r="S6" i="7"/>
  <c r="S110" i="8"/>
  <c r="S57" i="8"/>
  <c r="S57" i="7"/>
  <c r="X11" i="12"/>
  <c r="P147" i="2"/>
  <c r="F35" i="2"/>
  <c r="F123" i="2" s="1"/>
  <c r="P36" i="2"/>
  <c r="N123" i="2"/>
  <c r="K168" i="2"/>
  <c r="K123" i="2"/>
  <c r="J121" i="2"/>
  <c r="J168" i="2" s="1"/>
  <c r="O121" i="2"/>
  <c r="O168" i="2" s="1"/>
  <c r="L121" i="2"/>
  <c r="L168" i="2" s="1"/>
  <c r="N168" i="2"/>
  <c r="I121" i="2"/>
  <c r="I168" i="2" s="1"/>
  <c r="G170" i="2"/>
  <c r="BJ126" i="7"/>
  <c r="BI126" i="7"/>
  <c r="BH126" i="7"/>
  <c r="BG126" i="7"/>
  <c r="BF126" i="7"/>
  <c r="BE126" i="7"/>
  <c r="BD126" i="7"/>
  <c r="BC126" i="7"/>
  <c r="BB126" i="7"/>
  <c r="BA126" i="7"/>
  <c r="AZ126" i="7"/>
  <c r="AY126" i="7"/>
  <c r="AX126" i="7"/>
  <c r="AW126" i="7"/>
  <c r="AV126" i="7"/>
  <c r="AU126" i="7"/>
  <c r="AT126" i="7"/>
  <c r="AS126" i="7"/>
  <c r="AR126" i="7"/>
  <c r="AQ126" i="7"/>
  <c r="AP126" i="7"/>
  <c r="AO126" i="7"/>
  <c r="AN126" i="7"/>
  <c r="AM126" i="7"/>
  <c r="AL126" i="7"/>
  <c r="AK126" i="7"/>
  <c r="AJ126" i="7"/>
  <c r="AI126" i="7"/>
  <c r="AH126" i="7"/>
  <c r="AG126" i="7"/>
  <c r="AF126" i="7"/>
  <c r="AE126" i="7"/>
  <c r="AD126" i="7"/>
  <c r="AC126" i="7"/>
  <c r="AB126" i="7"/>
  <c r="AA126" i="7"/>
  <c r="Z126" i="7"/>
  <c r="Y126" i="7"/>
  <c r="X126" i="7"/>
  <c r="W126" i="7"/>
  <c r="V126" i="7"/>
  <c r="U126" i="7"/>
  <c r="T126" i="7"/>
  <c r="BJ124" i="7"/>
  <c r="BI124" i="7"/>
  <c r="BH124" i="7"/>
  <c r="BG124" i="7"/>
  <c r="BF124" i="7"/>
  <c r="BE124" i="7"/>
  <c r="BD124" i="7"/>
  <c r="BC124" i="7"/>
  <c r="BB124" i="7"/>
  <c r="BA124" i="7"/>
  <c r="AZ124" i="7"/>
  <c r="AY124" i="7"/>
  <c r="AX124" i="7"/>
  <c r="AW124" i="7"/>
  <c r="AV124" i="7"/>
  <c r="AU124" i="7"/>
  <c r="AT124" i="7"/>
  <c r="AS124" i="7"/>
  <c r="AR124" i="7"/>
  <c r="AQ124" i="7"/>
  <c r="AP124" i="7"/>
  <c r="AO124" i="7"/>
  <c r="AN124" i="7"/>
  <c r="AM124" i="7"/>
  <c r="AL124" i="7"/>
  <c r="AK124" i="7"/>
  <c r="AJ124" i="7"/>
  <c r="AI124" i="7"/>
  <c r="AH124" i="7"/>
  <c r="AG124" i="7"/>
  <c r="AF124" i="7"/>
  <c r="AE124" i="7"/>
  <c r="AD124" i="7"/>
  <c r="AC124" i="7"/>
  <c r="AB124" i="7"/>
  <c r="AA124" i="7"/>
  <c r="Z124" i="7"/>
  <c r="Y124" i="7"/>
  <c r="X124" i="7"/>
  <c r="W124" i="7"/>
  <c r="V124" i="7"/>
  <c r="U124" i="7"/>
  <c r="T124" i="7"/>
  <c r="BJ123" i="7"/>
  <c r="BI123" i="7"/>
  <c r="BH123" i="7"/>
  <c r="BG123" i="7"/>
  <c r="BF123" i="7"/>
  <c r="BE123" i="7"/>
  <c r="BD123" i="7"/>
  <c r="BC123" i="7"/>
  <c r="BB123" i="7"/>
  <c r="BA123" i="7"/>
  <c r="AZ123" i="7"/>
  <c r="AY123" i="7"/>
  <c r="AX123" i="7"/>
  <c r="AW123" i="7"/>
  <c r="AV123" i="7"/>
  <c r="AU123" i="7"/>
  <c r="AT123" i="7"/>
  <c r="AS123" i="7"/>
  <c r="AR123" i="7"/>
  <c r="AQ123" i="7"/>
  <c r="AP123" i="7"/>
  <c r="AO123" i="7"/>
  <c r="AN123" i="7"/>
  <c r="AM123" i="7"/>
  <c r="AL123" i="7"/>
  <c r="AK123" i="7"/>
  <c r="AJ123" i="7"/>
  <c r="AI123" i="7"/>
  <c r="AH123" i="7"/>
  <c r="AG123" i="7"/>
  <c r="AF123" i="7"/>
  <c r="AE123" i="7"/>
  <c r="AD123" i="7"/>
  <c r="AC123" i="7"/>
  <c r="AB123" i="7"/>
  <c r="AA123" i="7"/>
  <c r="Z123" i="7"/>
  <c r="Y123" i="7"/>
  <c r="X123" i="7"/>
  <c r="W123" i="7"/>
  <c r="V123" i="7"/>
  <c r="U123" i="7"/>
  <c r="T123" i="7"/>
  <c r="BJ122" i="7"/>
  <c r="BI122" i="7"/>
  <c r="BH122" i="7"/>
  <c r="BG122" i="7"/>
  <c r="BF122" i="7"/>
  <c r="BE122" i="7"/>
  <c r="BD122" i="7"/>
  <c r="BC122" i="7"/>
  <c r="BB122" i="7"/>
  <c r="BA122" i="7"/>
  <c r="AZ122" i="7"/>
  <c r="AY122" i="7"/>
  <c r="AX122" i="7"/>
  <c r="AW122" i="7"/>
  <c r="AV122" i="7"/>
  <c r="AU122" i="7"/>
  <c r="AT122" i="7"/>
  <c r="AS122" i="7"/>
  <c r="AR122" i="7"/>
  <c r="AQ122" i="7"/>
  <c r="AP122" i="7"/>
  <c r="AO122" i="7"/>
  <c r="AN122" i="7"/>
  <c r="AM122" i="7"/>
  <c r="AL122" i="7"/>
  <c r="AK122" i="7"/>
  <c r="AJ122" i="7"/>
  <c r="AI122" i="7"/>
  <c r="AH122" i="7"/>
  <c r="AG122" i="7"/>
  <c r="AF122" i="7"/>
  <c r="AE122" i="7"/>
  <c r="AD122" i="7"/>
  <c r="AC122" i="7"/>
  <c r="AB122" i="7"/>
  <c r="AA122" i="7"/>
  <c r="Z122" i="7"/>
  <c r="Y122" i="7"/>
  <c r="X122" i="7"/>
  <c r="W122" i="7"/>
  <c r="V122" i="7"/>
  <c r="U122" i="7"/>
  <c r="T122" i="7"/>
  <c r="BJ121" i="7"/>
  <c r="BI121" i="7"/>
  <c r="BH121" i="7"/>
  <c r="BG121" i="7"/>
  <c r="BF121" i="7"/>
  <c r="BE121" i="7"/>
  <c r="BD121" i="7"/>
  <c r="BC121" i="7"/>
  <c r="BB121" i="7"/>
  <c r="BA121" i="7"/>
  <c r="AZ121" i="7"/>
  <c r="AY121" i="7"/>
  <c r="AX121" i="7"/>
  <c r="AW121" i="7"/>
  <c r="AV121" i="7"/>
  <c r="AU121" i="7"/>
  <c r="AT121" i="7"/>
  <c r="AS121" i="7"/>
  <c r="AR121" i="7"/>
  <c r="AQ121" i="7"/>
  <c r="AP121" i="7"/>
  <c r="AO121" i="7"/>
  <c r="AN121" i="7"/>
  <c r="AM121" i="7"/>
  <c r="AL121" i="7"/>
  <c r="AK121" i="7"/>
  <c r="AJ121" i="7"/>
  <c r="AI121" i="7"/>
  <c r="AH121" i="7"/>
  <c r="AG121" i="7"/>
  <c r="AF121" i="7"/>
  <c r="AE121" i="7"/>
  <c r="AD121" i="7"/>
  <c r="AC121" i="7"/>
  <c r="AB121" i="7"/>
  <c r="AA121" i="7"/>
  <c r="Z121" i="7"/>
  <c r="Y121" i="7"/>
  <c r="X121" i="7"/>
  <c r="W121" i="7"/>
  <c r="V121" i="7"/>
  <c r="U121" i="7"/>
  <c r="T121" i="7"/>
  <c r="O80" i="24" l="1"/>
  <c r="S81" i="24"/>
  <c r="N105" i="24"/>
  <c r="AA68" i="2"/>
  <c r="O23" i="8"/>
  <c r="O23" i="7"/>
  <c r="S81" i="8"/>
  <c r="N80" i="8"/>
  <c r="S5" i="8"/>
  <c r="S5" i="7"/>
  <c r="N23" i="8"/>
  <c r="N23" i="7"/>
  <c r="Q23" i="8"/>
  <c r="Q23" i="7"/>
  <c r="K23" i="22"/>
  <c r="K23" i="1"/>
  <c r="S23" i="8"/>
  <c r="S23" i="7"/>
  <c r="P146" i="2"/>
  <c r="F159" i="2"/>
  <c r="H121" i="2"/>
  <c r="H168" i="2" s="1"/>
  <c r="F121" i="2"/>
  <c r="G174" i="2"/>
  <c r="O100" i="24" l="1"/>
  <c r="S80" i="24"/>
  <c r="N113" i="24"/>
  <c r="Z9" i="12"/>
  <c r="AA9" i="12" s="1"/>
  <c r="AB9" i="12" s="1"/>
  <c r="AC9" i="12" s="1"/>
  <c r="AD9" i="12" s="1"/>
  <c r="AE9" i="12" s="1"/>
  <c r="AF9" i="12" s="1"/>
  <c r="AG9" i="12" s="1"/>
  <c r="AH9" i="12" s="1"/>
  <c r="AI9" i="12" s="1"/>
  <c r="AJ9" i="12" s="1"/>
  <c r="AK9" i="12" s="1"/>
  <c r="AL9" i="12" s="1"/>
  <c r="AM9" i="12" s="1"/>
  <c r="AN9" i="12" s="1"/>
  <c r="AO9" i="12" s="1"/>
  <c r="AP9" i="12" s="1"/>
  <c r="AQ9" i="12" s="1"/>
  <c r="AR9" i="12" s="1"/>
  <c r="AS9" i="12" s="1"/>
  <c r="AT9" i="12" s="1"/>
  <c r="AU9" i="12" s="1"/>
  <c r="AV9" i="12" s="1"/>
  <c r="AW9" i="12" s="1"/>
  <c r="AX9" i="12" s="1"/>
  <c r="AY9" i="12" s="1"/>
  <c r="AZ9" i="12" s="1"/>
  <c r="BA9" i="12" s="1"/>
  <c r="BB9" i="12" s="1"/>
  <c r="BC9" i="12" s="1"/>
  <c r="BD9" i="12" s="1"/>
  <c r="BE9" i="12" s="1"/>
  <c r="BF9" i="12" s="1"/>
  <c r="BG9" i="12" s="1"/>
  <c r="BH9" i="12" s="1"/>
  <c r="BI9" i="12" s="1"/>
  <c r="BJ9" i="12" s="1"/>
  <c r="BK9" i="12" s="1"/>
  <c r="BL9" i="12" s="1"/>
  <c r="BM9" i="12" s="1"/>
  <c r="BN9" i="12" s="1"/>
  <c r="BO9" i="12" s="1"/>
  <c r="BP9" i="12" s="1"/>
  <c r="BQ9" i="12" s="1"/>
  <c r="BR9" i="12" s="1"/>
  <c r="BS9" i="12" s="1"/>
  <c r="BT9" i="12" s="1"/>
  <c r="BU9" i="12" s="1"/>
  <c r="BV9" i="12" s="1"/>
  <c r="Y24" i="12"/>
  <c r="N67" i="8"/>
  <c r="N105" i="8" s="1"/>
  <c r="N67" i="7"/>
  <c r="N106" i="6"/>
  <c r="Q67" i="8"/>
  <c r="Q105" i="8" s="1"/>
  <c r="Q106" i="8" s="1"/>
  <c r="Q111" i="8" s="1"/>
  <c r="Q106" i="6"/>
  <c r="Q67" i="7"/>
  <c r="S67" i="8"/>
  <c r="S67" i="7"/>
  <c r="N79" i="8"/>
  <c r="S80" i="8"/>
  <c r="O67" i="8"/>
  <c r="O105" i="8" s="1"/>
  <c r="O106" i="8" s="1"/>
  <c r="O111" i="8" s="1"/>
  <c r="O67" i="7"/>
  <c r="F165" i="2"/>
  <c r="F176" i="2" s="1"/>
  <c r="P159" i="2"/>
  <c r="F168" i="2"/>
  <c r="H170" i="2"/>
  <c r="F20" i="1"/>
  <c r="F7" i="1"/>
  <c r="E23" i="1"/>
  <c r="E22" i="1"/>
  <c r="O105" i="24" l="1"/>
  <c r="S100" i="24"/>
  <c r="Y31" i="12"/>
  <c r="Y28" i="12"/>
  <c r="Y30" i="12"/>
  <c r="Y29" i="12"/>
  <c r="Y27" i="12"/>
  <c r="Y26" i="12"/>
  <c r="Y25" i="12"/>
  <c r="Z24" i="12"/>
  <c r="S79" i="8"/>
  <c r="N99" i="8"/>
  <c r="S105" i="8"/>
  <c r="N106" i="8"/>
  <c r="H174" i="2"/>
  <c r="F169" i="2"/>
  <c r="S17" i="9" l="1"/>
  <c r="S17" i="25"/>
  <c r="S15" i="9"/>
  <c r="S14" i="9" s="1"/>
  <c r="S23" i="9" s="1"/>
  <c r="S32" i="9" s="1"/>
  <c r="T7" i="6" s="1"/>
  <c r="S15" i="25"/>
  <c r="S20" i="9"/>
  <c r="S20" i="25"/>
  <c r="S18" i="9"/>
  <c r="S18" i="25"/>
  <c r="S16" i="9"/>
  <c r="S16" i="25"/>
  <c r="S19" i="9"/>
  <c r="S19" i="25"/>
  <c r="S21" i="9"/>
  <c r="S21" i="25"/>
  <c r="O113" i="24"/>
  <c r="S113" i="24" s="1"/>
  <c r="S105" i="24"/>
  <c r="Z25" i="12"/>
  <c r="Z29" i="12"/>
  <c r="Z27" i="12"/>
  <c r="Z31" i="12"/>
  <c r="Z30" i="12"/>
  <c r="Z26" i="12"/>
  <c r="Z28" i="12"/>
  <c r="AA24" i="12"/>
  <c r="S99" i="8"/>
  <c r="N104" i="8"/>
  <c r="S106" i="8"/>
  <c r="N111" i="8"/>
  <c r="S111" i="8" s="1"/>
  <c r="F175" i="2"/>
  <c r="G167" i="2"/>
  <c r="I170" i="2"/>
  <c r="J58" i="21"/>
  <c r="K58" i="21" s="1"/>
  <c r="L58" i="21" s="1"/>
  <c r="M58" i="21" s="1"/>
  <c r="N58" i="21" s="1"/>
  <c r="O58" i="21" s="1"/>
  <c r="P58" i="21" s="1"/>
  <c r="Q58" i="21" s="1"/>
  <c r="R58" i="21" s="1"/>
  <c r="S58" i="21" s="1"/>
  <c r="T58" i="21" s="1"/>
  <c r="U58" i="21" s="1"/>
  <c r="V58" i="21" s="1"/>
  <c r="W58" i="21" s="1"/>
  <c r="X58" i="21" s="1"/>
  <c r="Y58" i="21" s="1"/>
  <c r="Z58" i="21" s="1"/>
  <c r="AA58" i="21" s="1"/>
  <c r="AB58" i="21" s="1"/>
  <c r="AC58" i="21" s="1"/>
  <c r="AD58" i="21" s="1"/>
  <c r="AE58" i="21" s="1"/>
  <c r="AF58" i="21" s="1"/>
  <c r="AG58" i="21" s="1"/>
  <c r="AH58" i="21" s="1"/>
  <c r="AI58" i="21" s="1"/>
  <c r="AJ58" i="21" s="1"/>
  <c r="AK58" i="21" s="1"/>
  <c r="AL58" i="21" s="1"/>
  <c r="AM58" i="21" s="1"/>
  <c r="AN58" i="21" s="1"/>
  <c r="AO58" i="21" s="1"/>
  <c r="AP58" i="21" s="1"/>
  <c r="AQ58" i="21" s="1"/>
  <c r="AR58" i="21" s="1"/>
  <c r="AS58" i="21" s="1"/>
  <c r="AT58" i="21" s="1"/>
  <c r="AU58" i="21" s="1"/>
  <c r="AV58" i="21" s="1"/>
  <c r="AW58" i="21" s="1"/>
  <c r="AX58" i="21" s="1"/>
  <c r="AY58" i="21" s="1"/>
  <c r="AZ58" i="21" s="1"/>
  <c r="BA58" i="21" s="1"/>
  <c r="BB58" i="21" s="1"/>
  <c r="BC58" i="21" s="1"/>
  <c r="BD58" i="21" s="1"/>
  <c r="BE58" i="21" s="1"/>
  <c r="J57" i="21"/>
  <c r="K57" i="21" s="1"/>
  <c r="L57" i="21" s="1"/>
  <c r="M57" i="21" s="1"/>
  <c r="N57" i="21" s="1"/>
  <c r="O57" i="21" s="1"/>
  <c r="P57" i="21" s="1"/>
  <c r="Q57" i="21" s="1"/>
  <c r="R57" i="21" s="1"/>
  <c r="S57" i="21" s="1"/>
  <c r="T57" i="21" s="1"/>
  <c r="U57" i="21" s="1"/>
  <c r="V57" i="21" s="1"/>
  <c r="W57" i="21" s="1"/>
  <c r="X57" i="21" s="1"/>
  <c r="Y57" i="21" s="1"/>
  <c r="Z57" i="21" s="1"/>
  <c r="AA57" i="21" s="1"/>
  <c r="AB57" i="21" s="1"/>
  <c r="AC57" i="21" s="1"/>
  <c r="AD57" i="21" s="1"/>
  <c r="AE57" i="21" s="1"/>
  <c r="AF57" i="21" s="1"/>
  <c r="AG57" i="21" s="1"/>
  <c r="AH57" i="21" s="1"/>
  <c r="AI57" i="21" s="1"/>
  <c r="AJ57" i="21" s="1"/>
  <c r="AK57" i="21" s="1"/>
  <c r="AL57" i="21" s="1"/>
  <c r="AM57" i="21" s="1"/>
  <c r="AN57" i="21" s="1"/>
  <c r="AO57" i="21" s="1"/>
  <c r="AP57" i="21" s="1"/>
  <c r="AQ57" i="21" s="1"/>
  <c r="AR57" i="21" s="1"/>
  <c r="AS57" i="21" s="1"/>
  <c r="AT57" i="21" s="1"/>
  <c r="AU57" i="21" s="1"/>
  <c r="AV57" i="21" s="1"/>
  <c r="AW57" i="21" s="1"/>
  <c r="AX57" i="21" s="1"/>
  <c r="AY57" i="21" s="1"/>
  <c r="AZ57" i="21" s="1"/>
  <c r="BA57" i="21" s="1"/>
  <c r="BB57" i="21" s="1"/>
  <c r="BC57" i="21" s="1"/>
  <c r="BD57" i="21" s="1"/>
  <c r="J56" i="21"/>
  <c r="K56" i="21" s="1"/>
  <c r="L56" i="21" s="1"/>
  <c r="M56" i="21" s="1"/>
  <c r="N56" i="21" s="1"/>
  <c r="O56" i="21" s="1"/>
  <c r="P56" i="21" s="1"/>
  <c r="Q56" i="21" s="1"/>
  <c r="R56" i="21" s="1"/>
  <c r="S56" i="21" s="1"/>
  <c r="T56" i="21" s="1"/>
  <c r="U56" i="21" s="1"/>
  <c r="V56" i="21" s="1"/>
  <c r="W56" i="21" s="1"/>
  <c r="X56" i="21" s="1"/>
  <c r="Y56" i="21" s="1"/>
  <c r="Z56" i="21" s="1"/>
  <c r="AA56" i="21" s="1"/>
  <c r="AB56" i="21" s="1"/>
  <c r="AC56" i="21" s="1"/>
  <c r="AD56" i="21" s="1"/>
  <c r="AE56" i="21" s="1"/>
  <c r="AF56" i="21" s="1"/>
  <c r="AG56" i="21" s="1"/>
  <c r="AH56" i="21" s="1"/>
  <c r="AI56" i="21" s="1"/>
  <c r="AJ56" i="21" s="1"/>
  <c r="AK56" i="21" s="1"/>
  <c r="AL56" i="21" s="1"/>
  <c r="AM56" i="21" s="1"/>
  <c r="AN56" i="21" s="1"/>
  <c r="AO56" i="21" s="1"/>
  <c r="AP56" i="21" s="1"/>
  <c r="AQ56" i="21" s="1"/>
  <c r="AR56" i="21" s="1"/>
  <c r="AS56" i="21" s="1"/>
  <c r="AT56" i="21" s="1"/>
  <c r="AU56" i="21" s="1"/>
  <c r="AV56" i="21" s="1"/>
  <c r="AW56" i="21" s="1"/>
  <c r="AX56" i="21" s="1"/>
  <c r="AY56" i="21" s="1"/>
  <c r="AZ56" i="21" s="1"/>
  <c r="BA56" i="21" s="1"/>
  <c r="BB56" i="21" s="1"/>
  <c r="BC56" i="21" s="1"/>
  <c r="J55" i="21"/>
  <c r="K55" i="21" s="1"/>
  <c r="L55" i="21" s="1"/>
  <c r="M55" i="21" s="1"/>
  <c r="N55" i="21" s="1"/>
  <c r="O55" i="21" s="1"/>
  <c r="P55" i="21" s="1"/>
  <c r="Q55" i="21" s="1"/>
  <c r="R55" i="21" s="1"/>
  <c r="S55" i="21" s="1"/>
  <c r="T55" i="21" s="1"/>
  <c r="U55" i="21" s="1"/>
  <c r="V55" i="21" s="1"/>
  <c r="W55" i="21" s="1"/>
  <c r="X55" i="21" s="1"/>
  <c r="Y55" i="21" s="1"/>
  <c r="Z55" i="21" s="1"/>
  <c r="AA55" i="21" s="1"/>
  <c r="AB55" i="21" s="1"/>
  <c r="AC55" i="21" s="1"/>
  <c r="AD55" i="21" s="1"/>
  <c r="AE55" i="21" s="1"/>
  <c r="AF55" i="21" s="1"/>
  <c r="AG55" i="21" s="1"/>
  <c r="AH55" i="21" s="1"/>
  <c r="AI55" i="21" s="1"/>
  <c r="AJ55" i="21" s="1"/>
  <c r="AK55" i="21" s="1"/>
  <c r="AL55" i="21" s="1"/>
  <c r="AM55" i="21" s="1"/>
  <c r="AN55" i="21" s="1"/>
  <c r="AO55" i="21" s="1"/>
  <c r="AP55" i="21" s="1"/>
  <c r="AQ55" i="21" s="1"/>
  <c r="AR55" i="21" s="1"/>
  <c r="AS55" i="21" s="1"/>
  <c r="AT55" i="21" s="1"/>
  <c r="AU55" i="21" s="1"/>
  <c r="AV55" i="21" s="1"/>
  <c r="AW55" i="21" s="1"/>
  <c r="AX55" i="21" s="1"/>
  <c r="AY55" i="21" s="1"/>
  <c r="AZ55" i="21" s="1"/>
  <c r="BA55" i="21" s="1"/>
  <c r="BB55" i="21" s="1"/>
  <c r="J54" i="21"/>
  <c r="K54" i="21" s="1"/>
  <c r="L54" i="21" s="1"/>
  <c r="M54" i="21" s="1"/>
  <c r="N54" i="21" s="1"/>
  <c r="O54" i="21" s="1"/>
  <c r="P54" i="21" s="1"/>
  <c r="Q54" i="21" s="1"/>
  <c r="R54" i="21" s="1"/>
  <c r="S54" i="21" s="1"/>
  <c r="T54" i="21" s="1"/>
  <c r="U54" i="21" s="1"/>
  <c r="V54" i="21" s="1"/>
  <c r="W54" i="21" s="1"/>
  <c r="X54" i="21" s="1"/>
  <c r="Y54" i="21" s="1"/>
  <c r="Z54" i="21" s="1"/>
  <c r="AA54" i="21" s="1"/>
  <c r="AB54" i="21" s="1"/>
  <c r="AC54" i="21" s="1"/>
  <c r="AD54" i="21" s="1"/>
  <c r="AE54" i="21" s="1"/>
  <c r="AF54" i="21" s="1"/>
  <c r="AG54" i="21" s="1"/>
  <c r="AH54" i="21" s="1"/>
  <c r="AI54" i="21" s="1"/>
  <c r="AJ54" i="21" s="1"/>
  <c r="AK54" i="21" s="1"/>
  <c r="AL54" i="21" s="1"/>
  <c r="AM54" i="21" s="1"/>
  <c r="AN54" i="21" s="1"/>
  <c r="AO54" i="21" s="1"/>
  <c r="AP54" i="21" s="1"/>
  <c r="AQ54" i="21" s="1"/>
  <c r="AR54" i="21" s="1"/>
  <c r="AS54" i="21" s="1"/>
  <c r="AT54" i="21" s="1"/>
  <c r="AU54" i="21" s="1"/>
  <c r="AV54" i="21" s="1"/>
  <c r="AW54" i="21" s="1"/>
  <c r="AX54" i="21" s="1"/>
  <c r="AY54" i="21" s="1"/>
  <c r="AZ54" i="21" s="1"/>
  <c r="BA54" i="21" s="1"/>
  <c r="J53" i="21"/>
  <c r="K53" i="21" s="1"/>
  <c r="L53" i="21" s="1"/>
  <c r="M53" i="21" s="1"/>
  <c r="N53" i="21" s="1"/>
  <c r="O53" i="21" s="1"/>
  <c r="P53" i="21" s="1"/>
  <c r="Q53" i="21" s="1"/>
  <c r="R53" i="21" s="1"/>
  <c r="S53" i="21" s="1"/>
  <c r="T53" i="21" s="1"/>
  <c r="U53" i="21" s="1"/>
  <c r="V53" i="21" s="1"/>
  <c r="W53" i="21" s="1"/>
  <c r="X53" i="21" s="1"/>
  <c r="Y53" i="21" s="1"/>
  <c r="Z53" i="21" s="1"/>
  <c r="AA53" i="21" s="1"/>
  <c r="AB53" i="21" s="1"/>
  <c r="AC53" i="21" s="1"/>
  <c r="AD53" i="21" s="1"/>
  <c r="AE53" i="21" s="1"/>
  <c r="AF53" i="21" s="1"/>
  <c r="AG53" i="21" s="1"/>
  <c r="AH53" i="21" s="1"/>
  <c r="AI53" i="21" s="1"/>
  <c r="AJ53" i="21" s="1"/>
  <c r="AK53" i="21" s="1"/>
  <c r="AL53" i="21" s="1"/>
  <c r="AM53" i="21" s="1"/>
  <c r="AN53" i="21" s="1"/>
  <c r="AO53" i="21" s="1"/>
  <c r="AP53" i="21" s="1"/>
  <c r="AQ53" i="21" s="1"/>
  <c r="AR53" i="21" s="1"/>
  <c r="AS53" i="21" s="1"/>
  <c r="AT53" i="21" s="1"/>
  <c r="AU53" i="21" s="1"/>
  <c r="AV53" i="21" s="1"/>
  <c r="AW53" i="21" s="1"/>
  <c r="AX53" i="21" s="1"/>
  <c r="AY53" i="21" s="1"/>
  <c r="AZ53" i="21" s="1"/>
  <c r="J52" i="21"/>
  <c r="K52" i="21" s="1"/>
  <c r="L52" i="21" s="1"/>
  <c r="M52" i="21" s="1"/>
  <c r="N52" i="21" s="1"/>
  <c r="O52" i="21" s="1"/>
  <c r="P52" i="21" s="1"/>
  <c r="Q52" i="21" s="1"/>
  <c r="R52" i="21" s="1"/>
  <c r="S52" i="21" s="1"/>
  <c r="T52" i="21" s="1"/>
  <c r="U52" i="21" s="1"/>
  <c r="V52" i="21" s="1"/>
  <c r="W52" i="21" s="1"/>
  <c r="X52" i="21" s="1"/>
  <c r="Y52" i="21" s="1"/>
  <c r="Z52" i="21" s="1"/>
  <c r="AA52" i="21" s="1"/>
  <c r="AB52" i="21" s="1"/>
  <c r="AC52" i="21" s="1"/>
  <c r="AD52" i="21" s="1"/>
  <c r="AE52" i="21" s="1"/>
  <c r="AF52" i="21" s="1"/>
  <c r="AG52" i="21" s="1"/>
  <c r="AH52" i="21" s="1"/>
  <c r="AI52" i="21" s="1"/>
  <c r="AJ52" i="21" s="1"/>
  <c r="AK52" i="21" s="1"/>
  <c r="AL52" i="21" s="1"/>
  <c r="AM52" i="21" s="1"/>
  <c r="AN52" i="21" s="1"/>
  <c r="AO52" i="21" s="1"/>
  <c r="AP52" i="21" s="1"/>
  <c r="AQ52" i="21" s="1"/>
  <c r="AR52" i="21" s="1"/>
  <c r="AS52" i="21" s="1"/>
  <c r="AT52" i="21" s="1"/>
  <c r="AU52" i="21" s="1"/>
  <c r="AV52" i="21" s="1"/>
  <c r="AW52" i="21" s="1"/>
  <c r="AX52" i="21" s="1"/>
  <c r="AY52" i="21" s="1"/>
  <c r="J51" i="21"/>
  <c r="K51" i="21" s="1"/>
  <c r="L51" i="21" s="1"/>
  <c r="M51" i="21" s="1"/>
  <c r="N51" i="21" s="1"/>
  <c r="O51" i="21" s="1"/>
  <c r="P51" i="21" s="1"/>
  <c r="Q51" i="21" s="1"/>
  <c r="R51" i="21" s="1"/>
  <c r="S51" i="21" s="1"/>
  <c r="T51" i="21" s="1"/>
  <c r="U51" i="21" s="1"/>
  <c r="V51" i="21" s="1"/>
  <c r="W51" i="21" s="1"/>
  <c r="X51" i="21" s="1"/>
  <c r="Y51" i="21" s="1"/>
  <c r="Z51" i="21" s="1"/>
  <c r="AA51" i="21" s="1"/>
  <c r="AB51" i="21" s="1"/>
  <c r="AC51" i="21" s="1"/>
  <c r="AD51" i="21" s="1"/>
  <c r="AE51" i="21" s="1"/>
  <c r="AF51" i="21" s="1"/>
  <c r="AG51" i="21" s="1"/>
  <c r="AH51" i="21" s="1"/>
  <c r="AI51" i="21" s="1"/>
  <c r="AJ51" i="21" s="1"/>
  <c r="AK51" i="21" s="1"/>
  <c r="AL51" i="21" s="1"/>
  <c r="AM51" i="21" s="1"/>
  <c r="AN51" i="21" s="1"/>
  <c r="AO51" i="21" s="1"/>
  <c r="AP51" i="21" s="1"/>
  <c r="AQ51" i="21" s="1"/>
  <c r="AR51" i="21" s="1"/>
  <c r="AS51" i="21" s="1"/>
  <c r="AT51" i="21" s="1"/>
  <c r="AU51" i="21" s="1"/>
  <c r="AV51" i="21" s="1"/>
  <c r="AW51" i="21" s="1"/>
  <c r="AX51" i="21" s="1"/>
  <c r="J50" i="21"/>
  <c r="K50" i="21" s="1"/>
  <c r="L50" i="21" s="1"/>
  <c r="M50" i="21" s="1"/>
  <c r="N50" i="21" s="1"/>
  <c r="O50" i="21" s="1"/>
  <c r="P50" i="21" s="1"/>
  <c r="Q50" i="21" s="1"/>
  <c r="R50" i="21" s="1"/>
  <c r="S50" i="21" s="1"/>
  <c r="T50" i="21" s="1"/>
  <c r="U50" i="21" s="1"/>
  <c r="V50" i="21" s="1"/>
  <c r="W50" i="21" s="1"/>
  <c r="X50" i="21" s="1"/>
  <c r="Y50" i="21" s="1"/>
  <c r="Z50" i="21" s="1"/>
  <c r="AA50" i="21" s="1"/>
  <c r="AB50" i="21" s="1"/>
  <c r="AC50" i="21" s="1"/>
  <c r="AD50" i="21" s="1"/>
  <c r="AE50" i="21" s="1"/>
  <c r="AF50" i="21" s="1"/>
  <c r="AG50" i="21" s="1"/>
  <c r="AH50" i="21" s="1"/>
  <c r="AI50" i="21" s="1"/>
  <c r="AJ50" i="21" s="1"/>
  <c r="AK50" i="21" s="1"/>
  <c r="AL50" i="21" s="1"/>
  <c r="AM50" i="21" s="1"/>
  <c r="AN50" i="21" s="1"/>
  <c r="AO50" i="21" s="1"/>
  <c r="AP50" i="21" s="1"/>
  <c r="AQ50" i="21" s="1"/>
  <c r="AR50" i="21" s="1"/>
  <c r="AS50" i="21" s="1"/>
  <c r="AT50" i="21" s="1"/>
  <c r="AU50" i="21" s="1"/>
  <c r="AV50" i="21" s="1"/>
  <c r="AW50" i="21" s="1"/>
  <c r="J49" i="21"/>
  <c r="K49" i="21" s="1"/>
  <c r="L49" i="21" s="1"/>
  <c r="M49" i="21" s="1"/>
  <c r="N49" i="21" s="1"/>
  <c r="O49" i="21" s="1"/>
  <c r="P49" i="21" s="1"/>
  <c r="Q49" i="21" s="1"/>
  <c r="R49" i="21" s="1"/>
  <c r="S49" i="21" s="1"/>
  <c r="T49" i="21" s="1"/>
  <c r="U49" i="21" s="1"/>
  <c r="V49" i="21" s="1"/>
  <c r="W49" i="21" s="1"/>
  <c r="X49" i="21" s="1"/>
  <c r="Y49" i="21" s="1"/>
  <c r="Z49" i="21" s="1"/>
  <c r="AA49" i="21" s="1"/>
  <c r="AB49" i="21" s="1"/>
  <c r="AC49" i="21" s="1"/>
  <c r="AD49" i="21" s="1"/>
  <c r="AE49" i="21" s="1"/>
  <c r="AF49" i="21" s="1"/>
  <c r="AG49" i="21" s="1"/>
  <c r="AH49" i="21" s="1"/>
  <c r="AI49" i="21" s="1"/>
  <c r="AJ49" i="21" s="1"/>
  <c r="AK49" i="21" s="1"/>
  <c r="AL49" i="21" s="1"/>
  <c r="AM49" i="21" s="1"/>
  <c r="AN49" i="21" s="1"/>
  <c r="AO49" i="21" s="1"/>
  <c r="AP49" i="21" s="1"/>
  <c r="AQ49" i="21" s="1"/>
  <c r="AR49" i="21" s="1"/>
  <c r="AS49" i="21" s="1"/>
  <c r="AT49" i="21" s="1"/>
  <c r="AU49" i="21" s="1"/>
  <c r="AV49" i="21" s="1"/>
  <c r="J48" i="21"/>
  <c r="K48" i="21" s="1"/>
  <c r="L48" i="21" s="1"/>
  <c r="M48" i="21" s="1"/>
  <c r="N48" i="21" s="1"/>
  <c r="O48" i="21" s="1"/>
  <c r="P48" i="21" s="1"/>
  <c r="Q48" i="21" s="1"/>
  <c r="R48" i="21" s="1"/>
  <c r="S48" i="21" s="1"/>
  <c r="T48" i="21" s="1"/>
  <c r="U48" i="21" s="1"/>
  <c r="V48" i="21" s="1"/>
  <c r="W48" i="21" s="1"/>
  <c r="X48" i="21" s="1"/>
  <c r="Y48" i="21" s="1"/>
  <c r="Z48" i="21" s="1"/>
  <c r="AA48" i="21" s="1"/>
  <c r="AB48" i="21" s="1"/>
  <c r="AC48" i="21" s="1"/>
  <c r="AD48" i="21" s="1"/>
  <c r="AE48" i="21" s="1"/>
  <c r="AF48" i="21" s="1"/>
  <c r="AG48" i="21" s="1"/>
  <c r="AH48" i="21" s="1"/>
  <c r="AI48" i="21" s="1"/>
  <c r="AJ48" i="21" s="1"/>
  <c r="AK48" i="21" s="1"/>
  <c r="AL48" i="21" s="1"/>
  <c r="AM48" i="21" s="1"/>
  <c r="AN48" i="21" s="1"/>
  <c r="AO48" i="21" s="1"/>
  <c r="AP48" i="21" s="1"/>
  <c r="AQ48" i="21" s="1"/>
  <c r="AR48" i="21" s="1"/>
  <c r="AS48" i="21" s="1"/>
  <c r="AT48" i="21" s="1"/>
  <c r="AU48" i="21" s="1"/>
  <c r="J47" i="21"/>
  <c r="K47" i="21" s="1"/>
  <c r="L47" i="21" s="1"/>
  <c r="M47" i="21" s="1"/>
  <c r="N47" i="21" s="1"/>
  <c r="O47" i="21" s="1"/>
  <c r="P47" i="21" s="1"/>
  <c r="Q47" i="21" s="1"/>
  <c r="R47" i="21" s="1"/>
  <c r="S47" i="21" s="1"/>
  <c r="T47" i="21" s="1"/>
  <c r="U47" i="21" s="1"/>
  <c r="V47" i="21" s="1"/>
  <c r="W47" i="21" s="1"/>
  <c r="X47" i="21" s="1"/>
  <c r="Y47" i="21" s="1"/>
  <c r="Z47" i="21" s="1"/>
  <c r="AA47" i="21" s="1"/>
  <c r="AB47" i="21" s="1"/>
  <c r="AC47" i="21" s="1"/>
  <c r="AD47" i="21" s="1"/>
  <c r="AE47" i="21" s="1"/>
  <c r="AF47" i="21" s="1"/>
  <c r="AG47" i="21" s="1"/>
  <c r="AH47" i="21" s="1"/>
  <c r="AI47" i="21" s="1"/>
  <c r="AJ47" i="21" s="1"/>
  <c r="AK47" i="21" s="1"/>
  <c r="AL47" i="21" s="1"/>
  <c r="AM47" i="21" s="1"/>
  <c r="AN47" i="21" s="1"/>
  <c r="AO47" i="21" s="1"/>
  <c r="AP47" i="21" s="1"/>
  <c r="AQ47" i="21" s="1"/>
  <c r="AR47" i="21" s="1"/>
  <c r="AS47" i="21" s="1"/>
  <c r="AT47" i="21" s="1"/>
  <c r="J46" i="21"/>
  <c r="K46" i="21" s="1"/>
  <c r="L46" i="21" s="1"/>
  <c r="M46" i="21" s="1"/>
  <c r="N46" i="21" s="1"/>
  <c r="O46" i="21" s="1"/>
  <c r="P46" i="21" s="1"/>
  <c r="Q46" i="21" s="1"/>
  <c r="R46" i="21" s="1"/>
  <c r="S46" i="21" s="1"/>
  <c r="T46" i="21" s="1"/>
  <c r="U46" i="21" s="1"/>
  <c r="V46" i="21" s="1"/>
  <c r="W46" i="21" s="1"/>
  <c r="X46" i="21" s="1"/>
  <c r="Y46" i="21" s="1"/>
  <c r="Z46" i="21" s="1"/>
  <c r="AA46" i="21" s="1"/>
  <c r="AB46" i="21" s="1"/>
  <c r="AC46" i="21" s="1"/>
  <c r="AD46" i="21" s="1"/>
  <c r="AE46" i="21" s="1"/>
  <c r="AF46" i="21" s="1"/>
  <c r="AG46" i="21" s="1"/>
  <c r="AH46" i="21" s="1"/>
  <c r="AI46" i="21" s="1"/>
  <c r="AJ46" i="21" s="1"/>
  <c r="AK46" i="21" s="1"/>
  <c r="AL46" i="21" s="1"/>
  <c r="AM46" i="21" s="1"/>
  <c r="AN46" i="21" s="1"/>
  <c r="AO46" i="21" s="1"/>
  <c r="AP46" i="21" s="1"/>
  <c r="AQ46" i="21" s="1"/>
  <c r="AR46" i="21" s="1"/>
  <c r="AS46" i="21" s="1"/>
  <c r="J45" i="21"/>
  <c r="K45" i="21" s="1"/>
  <c r="L45" i="21" s="1"/>
  <c r="M45" i="21" s="1"/>
  <c r="N45" i="21" s="1"/>
  <c r="O45" i="21" s="1"/>
  <c r="P45" i="21" s="1"/>
  <c r="Q45" i="21" s="1"/>
  <c r="R45" i="21" s="1"/>
  <c r="S45" i="21" s="1"/>
  <c r="T45" i="21" s="1"/>
  <c r="U45" i="21" s="1"/>
  <c r="V45" i="21" s="1"/>
  <c r="W45" i="21" s="1"/>
  <c r="X45" i="21" s="1"/>
  <c r="Y45" i="21" s="1"/>
  <c r="Z45" i="21" s="1"/>
  <c r="AA45" i="21" s="1"/>
  <c r="AB45" i="21" s="1"/>
  <c r="AC45" i="21" s="1"/>
  <c r="AD45" i="21" s="1"/>
  <c r="AE45" i="21" s="1"/>
  <c r="AF45" i="21" s="1"/>
  <c r="AG45" i="21" s="1"/>
  <c r="AH45" i="21" s="1"/>
  <c r="AI45" i="21" s="1"/>
  <c r="AJ45" i="21" s="1"/>
  <c r="AK45" i="21" s="1"/>
  <c r="AL45" i="21" s="1"/>
  <c r="AM45" i="21" s="1"/>
  <c r="AN45" i="21" s="1"/>
  <c r="AO45" i="21" s="1"/>
  <c r="AP45" i="21" s="1"/>
  <c r="AQ45" i="21" s="1"/>
  <c r="AR45" i="21" s="1"/>
  <c r="J44" i="21"/>
  <c r="K44" i="21" s="1"/>
  <c r="L44" i="21" s="1"/>
  <c r="M44" i="21" s="1"/>
  <c r="N44" i="21" s="1"/>
  <c r="O44" i="21" s="1"/>
  <c r="P44" i="21" s="1"/>
  <c r="Q44" i="21" s="1"/>
  <c r="R44" i="21" s="1"/>
  <c r="S44" i="21" s="1"/>
  <c r="T44" i="21" s="1"/>
  <c r="U44" i="21" s="1"/>
  <c r="V44" i="21" s="1"/>
  <c r="W44" i="21" s="1"/>
  <c r="X44" i="21" s="1"/>
  <c r="Y44" i="21" s="1"/>
  <c r="Z44" i="21" s="1"/>
  <c r="AA44" i="21" s="1"/>
  <c r="AB44" i="21" s="1"/>
  <c r="AC44" i="21" s="1"/>
  <c r="AD44" i="21" s="1"/>
  <c r="AE44" i="21" s="1"/>
  <c r="AF44" i="21" s="1"/>
  <c r="AG44" i="21" s="1"/>
  <c r="AH44" i="21" s="1"/>
  <c r="AI44" i="21" s="1"/>
  <c r="AJ44" i="21" s="1"/>
  <c r="AK44" i="21" s="1"/>
  <c r="AL44" i="21" s="1"/>
  <c r="AM44" i="21" s="1"/>
  <c r="AN44" i="21" s="1"/>
  <c r="AO44" i="21" s="1"/>
  <c r="AP44" i="21" s="1"/>
  <c r="AQ44" i="21" s="1"/>
  <c r="J43" i="21"/>
  <c r="K43" i="21" s="1"/>
  <c r="L43" i="21" s="1"/>
  <c r="M43" i="21" s="1"/>
  <c r="N43" i="21" s="1"/>
  <c r="O43" i="21" s="1"/>
  <c r="P43" i="21" s="1"/>
  <c r="Q43" i="21" s="1"/>
  <c r="R43" i="21" s="1"/>
  <c r="S43" i="21" s="1"/>
  <c r="T43" i="21" s="1"/>
  <c r="U43" i="21" s="1"/>
  <c r="V43" i="21" s="1"/>
  <c r="W43" i="21" s="1"/>
  <c r="X43" i="21" s="1"/>
  <c r="Y43" i="21" s="1"/>
  <c r="Z43" i="21" s="1"/>
  <c r="AA43" i="21" s="1"/>
  <c r="AB43" i="21" s="1"/>
  <c r="AC43" i="21" s="1"/>
  <c r="AD43" i="21" s="1"/>
  <c r="AE43" i="21" s="1"/>
  <c r="AF43" i="21" s="1"/>
  <c r="AG43" i="21" s="1"/>
  <c r="AH43" i="21" s="1"/>
  <c r="AI43" i="21" s="1"/>
  <c r="AJ43" i="21" s="1"/>
  <c r="AK43" i="21" s="1"/>
  <c r="AL43" i="21" s="1"/>
  <c r="AM43" i="21" s="1"/>
  <c r="AN43" i="21" s="1"/>
  <c r="AO43" i="21" s="1"/>
  <c r="AP43" i="21" s="1"/>
  <c r="J42" i="21"/>
  <c r="K42" i="21" s="1"/>
  <c r="L42" i="21" s="1"/>
  <c r="M42" i="21" s="1"/>
  <c r="N42" i="21" s="1"/>
  <c r="O42" i="21" s="1"/>
  <c r="P42" i="21" s="1"/>
  <c r="Q42" i="21" s="1"/>
  <c r="R42" i="21" s="1"/>
  <c r="S42" i="21" s="1"/>
  <c r="T42" i="21" s="1"/>
  <c r="U42" i="21" s="1"/>
  <c r="V42" i="21" s="1"/>
  <c r="W42" i="21" s="1"/>
  <c r="X42" i="21" s="1"/>
  <c r="Y42" i="21" s="1"/>
  <c r="Z42" i="21" s="1"/>
  <c r="AA42" i="21" s="1"/>
  <c r="AB42" i="21" s="1"/>
  <c r="AC42" i="21" s="1"/>
  <c r="AD42" i="21" s="1"/>
  <c r="AE42" i="21" s="1"/>
  <c r="AF42" i="21" s="1"/>
  <c r="AG42" i="21" s="1"/>
  <c r="AH42" i="21" s="1"/>
  <c r="AI42" i="21" s="1"/>
  <c r="AJ42" i="21" s="1"/>
  <c r="AK42" i="21" s="1"/>
  <c r="AL42" i="21" s="1"/>
  <c r="AM42" i="21" s="1"/>
  <c r="AN42" i="21" s="1"/>
  <c r="AO42" i="21" s="1"/>
  <c r="J41" i="21"/>
  <c r="K41" i="21" s="1"/>
  <c r="L41" i="21" s="1"/>
  <c r="M41" i="21" s="1"/>
  <c r="N41" i="21" s="1"/>
  <c r="O41" i="21" s="1"/>
  <c r="P41" i="21" s="1"/>
  <c r="Q41" i="21" s="1"/>
  <c r="R41" i="21" s="1"/>
  <c r="S41" i="21" s="1"/>
  <c r="T41" i="21" s="1"/>
  <c r="U41" i="21" s="1"/>
  <c r="V41" i="21" s="1"/>
  <c r="W41" i="21" s="1"/>
  <c r="X41" i="21" s="1"/>
  <c r="Y41" i="21" s="1"/>
  <c r="Z41" i="21" s="1"/>
  <c r="AA41" i="21" s="1"/>
  <c r="AB41" i="21" s="1"/>
  <c r="AC41" i="21" s="1"/>
  <c r="AD41" i="21" s="1"/>
  <c r="AE41" i="21" s="1"/>
  <c r="AF41" i="21" s="1"/>
  <c r="AG41" i="21" s="1"/>
  <c r="AH41" i="21" s="1"/>
  <c r="AI41" i="21" s="1"/>
  <c r="AJ41" i="21" s="1"/>
  <c r="AK41" i="21" s="1"/>
  <c r="AL41" i="21" s="1"/>
  <c r="AM41" i="21" s="1"/>
  <c r="AN41" i="21" s="1"/>
  <c r="J40" i="21"/>
  <c r="K40" i="21" s="1"/>
  <c r="L40" i="21" s="1"/>
  <c r="M40" i="21" s="1"/>
  <c r="N40" i="21" s="1"/>
  <c r="O40" i="21" s="1"/>
  <c r="P40" i="21" s="1"/>
  <c r="Q40" i="21" s="1"/>
  <c r="R40" i="21" s="1"/>
  <c r="S40" i="21" s="1"/>
  <c r="T40" i="21" s="1"/>
  <c r="U40" i="21" s="1"/>
  <c r="V40" i="21" s="1"/>
  <c r="W40" i="21" s="1"/>
  <c r="X40" i="21" s="1"/>
  <c r="Y40" i="21" s="1"/>
  <c r="Z40" i="21" s="1"/>
  <c r="AA40" i="21" s="1"/>
  <c r="AB40" i="21" s="1"/>
  <c r="AC40" i="21" s="1"/>
  <c r="AD40" i="21" s="1"/>
  <c r="AE40" i="21" s="1"/>
  <c r="AF40" i="21" s="1"/>
  <c r="AG40" i="21" s="1"/>
  <c r="AH40" i="21" s="1"/>
  <c r="AI40" i="21" s="1"/>
  <c r="AJ40" i="21" s="1"/>
  <c r="AK40" i="21" s="1"/>
  <c r="AL40" i="21" s="1"/>
  <c r="AM40" i="21" s="1"/>
  <c r="J39" i="21"/>
  <c r="K39" i="21" s="1"/>
  <c r="L39" i="21" s="1"/>
  <c r="M39" i="21" s="1"/>
  <c r="N39" i="21" s="1"/>
  <c r="O39" i="21" s="1"/>
  <c r="P39" i="21" s="1"/>
  <c r="Q39" i="21" s="1"/>
  <c r="R39" i="21" s="1"/>
  <c r="S39" i="21" s="1"/>
  <c r="T39" i="21" s="1"/>
  <c r="U39" i="21" s="1"/>
  <c r="V39" i="21" s="1"/>
  <c r="W39" i="21" s="1"/>
  <c r="X39" i="21" s="1"/>
  <c r="Y39" i="21" s="1"/>
  <c r="Z39" i="21" s="1"/>
  <c r="AA39" i="21" s="1"/>
  <c r="AB39" i="21" s="1"/>
  <c r="AC39" i="21" s="1"/>
  <c r="AD39" i="21" s="1"/>
  <c r="AE39" i="21" s="1"/>
  <c r="AF39" i="21" s="1"/>
  <c r="AG39" i="21" s="1"/>
  <c r="AH39" i="21" s="1"/>
  <c r="AI39" i="21" s="1"/>
  <c r="AJ39" i="21" s="1"/>
  <c r="AK39" i="21" s="1"/>
  <c r="AL39" i="21" s="1"/>
  <c r="J38" i="21"/>
  <c r="K38" i="21" s="1"/>
  <c r="L38" i="21" s="1"/>
  <c r="M38" i="21" s="1"/>
  <c r="N38" i="21" s="1"/>
  <c r="O38" i="21" s="1"/>
  <c r="P38" i="21" s="1"/>
  <c r="Q38" i="21" s="1"/>
  <c r="R38" i="21" s="1"/>
  <c r="S38" i="21" s="1"/>
  <c r="T38" i="21" s="1"/>
  <c r="U38" i="21" s="1"/>
  <c r="V38" i="21" s="1"/>
  <c r="W38" i="21" s="1"/>
  <c r="X38" i="21" s="1"/>
  <c r="Y38" i="21" s="1"/>
  <c r="Z38" i="21" s="1"/>
  <c r="AA38" i="21" s="1"/>
  <c r="AB38" i="21" s="1"/>
  <c r="AC38" i="21" s="1"/>
  <c r="AD38" i="21" s="1"/>
  <c r="AE38" i="21" s="1"/>
  <c r="AF38" i="21" s="1"/>
  <c r="AG38" i="21" s="1"/>
  <c r="AH38" i="21" s="1"/>
  <c r="AI38" i="21" s="1"/>
  <c r="AJ38" i="21" s="1"/>
  <c r="AK38" i="21" s="1"/>
  <c r="J37" i="21"/>
  <c r="K37" i="21" s="1"/>
  <c r="L37" i="21" s="1"/>
  <c r="M37" i="21" s="1"/>
  <c r="N37" i="21" s="1"/>
  <c r="O37" i="21" s="1"/>
  <c r="P37" i="21" s="1"/>
  <c r="Q37" i="21" s="1"/>
  <c r="R37" i="21" s="1"/>
  <c r="S37" i="21" s="1"/>
  <c r="T37" i="21" s="1"/>
  <c r="U37" i="21" s="1"/>
  <c r="V37" i="21" s="1"/>
  <c r="W37" i="21" s="1"/>
  <c r="X37" i="21" s="1"/>
  <c r="Y37" i="21" s="1"/>
  <c r="Z37" i="21" s="1"/>
  <c r="AA37" i="21" s="1"/>
  <c r="AB37" i="21" s="1"/>
  <c r="AC37" i="21" s="1"/>
  <c r="AD37" i="21" s="1"/>
  <c r="AE37" i="21" s="1"/>
  <c r="AF37" i="21" s="1"/>
  <c r="AG37" i="21" s="1"/>
  <c r="AH37" i="21" s="1"/>
  <c r="AI37" i="21" s="1"/>
  <c r="AJ37" i="21" s="1"/>
  <c r="J36" i="21"/>
  <c r="K36" i="21" s="1"/>
  <c r="L36" i="21" s="1"/>
  <c r="M36" i="21" s="1"/>
  <c r="N36" i="21" s="1"/>
  <c r="O36" i="21" s="1"/>
  <c r="P36" i="21" s="1"/>
  <c r="Q36" i="21" s="1"/>
  <c r="R36" i="21" s="1"/>
  <c r="S36" i="21" s="1"/>
  <c r="T36" i="21" s="1"/>
  <c r="U36" i="21" s="1"/>
  <c r="V36" i="21" s="1"/>
  <c r="W36" i="21" s="1"/>
  <c r="X36" i="21" s="1"/>
  <c r="Y36" i="21" s="1"/>
  <c r="Z36" i="21" s="1"/>
  <c r="AA36" i="21" s="1"/>
  <c r="AB36" i="21" s="1"/>
  <c r="AC36" i="21" s="1"/>
  <c r="AD36" i="21" s="1"/>
  <c r="AE36" i="21" s="1"/>
  <c r="AF36" i="21" s="1"/>
  <c r="AG36" i="21" s="1"/>
  <c r="AH36" i="21" s="1"/>
  <c r="AI36" i="21" s="1"/>
  <c r="J35" i="21"/>
  <c r="K35" i="21" s="1"/>
  <c r="L35" i="21" s="1"/>
  <c r="M35" i="21" s="1"/>
  <c r="N35" i="21" s="1"/>
  <c r="O35" i="21" s="1"/>
  <c r="P35" i="21" s="1"/>
  <c r="Q35" i="21" s="1"/>
  <c r="R35" i="21" s="1"/>
  <c r="S35" i="21" s="1"/>
  <c r="T35" i="21" s="1"/>
  <c r="U35" i="21" s="1"/>
  <c r="V35" i="21" s="1"/>
  <c r="W35" i="21" s="1"/>
  <c r="X35" i="21" s="1"/>
  <c r="Y35" i="21" s="1"/>
  <c r="Z35" i="21" s="1"/>
  <c r="AA35" i="21" s="1"/>
  <c r="AB35" i="21" s="1"/>
  <c r="AC35" i="21" s="1"/>
  <c r="AD35" i="21" s="1"/>
  <c r="AE35" i="21" s="1"/>
  <c r="AF35" i="21" s="1"/>
  <c r="AG35" i="21" s="1"/>
  <c r="AH35" i="21" s="1"/>
  <c r="J34" i="21"/>
  <c r="K34" i="21" s="1"/>
  <c r="L34" i="21" s="1"/>
  <c r="M34" i="21" s="1"/>
  <c r="N34" i="21" s="1"/>
  <c r="O34" i="21" s="1"/>
  <c r="P34" i="21" s="1"/>
  <c r="Q34" i="21" s="1"/>
  <c r="R34" i="21" s="1"/>
  <c r="S34" i="21" s="1"/>
  <c r="T34" i="21" s="1"/>
  <c r="U34" i="21" s="1"/>
  <c r="V34" i="21" s="1"/>
  <c r="W34" i="21" s="1"/>
  <c r="X34" i="21" s="1"/>
  <c r="Y34" i="21" s="1"/>
  <c r="Z34" i="21" s="1"/>
  <c r="AA34" i="21" s="1"/>
  <c r="AB34" i="21" s="1"/>
  <c r="AC34" i="21" s="1"/>
  <c r="AD34" i="21" s="1"/>
  <c r="AE34" i="21" s="1"/>
  <c r="AF34" i="21" s="1"/>
  <c r="AG34" i="21" s="1"/>
  <c r="J33" i="21"/>
  <c r="K33" i="21" s="1"/>
  <c r="L33" i="21" s="1"/>
  <c r="M33" i="21" s="1"/>
  <c r="N33" i="21" s="1"/>
  <c r="O33" i="21" s="1"/>
  <c r="P33" i="21" s="1"/>
  <c r="Q33" i="21" s="1"/>
  <c r="R33" i="21" s="1"/>
  <c r="S33" i="21" s="1"/>
  <c r="T33" i="21" s="1"/>
  <c r="U33" i="21" s="1"/>
  <c r="V33" i="21" s="1"/>
  <c r="W33" i="21" s="1"/>
  <c r="X33" i="21" s="1"/>
  <c r="Y33" i="21" s="1"/>
  <c r="Z33" i="21" s="1"/>
  <c r="AA33" i="21" s="1"/>
  <c r="AB33" i="21" s="1"/>
  <c r="AC33" i="21" s="1"/>
  <c r="AD33" i="21" s="1"/>
  <c r="AE33" i="21" s="1"/>
  <c r="AF33" i="21" s="1"/>
  <c r="J32" i="21"/>
  <c r="K32" i="21" s="1"/>
  <c r="L32" i="21" s="1"/>
  <c r="M32" i="21" s="1"/>
  <c r="N32" i="21" s="1"/>
  <c r="O32" i="21" s="1"/>
  <c r="P32" i="21" s="1"/>
  <c r="Q32" i="21" s="1"/>
  <c r="R32" i="21" s="1"/>
  <c r="S32" i="21" s="1"/>
  <c r="T32" i="21" s="1"/>
  <c r="U32" i="21" s="1"/>
  <c r="V32" i="21" s="1"/>
  <c r="W32" i="21" s="1"/>
  <c r="X32" i="21" s="1"/>
  <c r="Y32" i="21" s="1"/>
  <c r="Z32" i="21" s="1"/>
  <c r="AA32" i="21" s="1"/>
  <c r="AB32" i="21" s="1"/>
  <c r="AC32" i="21" s="1"/>
  <c r="AD32" i="21" s="1"/>
  <c r="AE32" i="21" s="1"/>
  <c r="J31" i="21"/>
  <c r="K31" i="21" s="1"/>
  <c r="L31" i="21" s="1"/>
  <c r="M31" i="21" s="1"/>
  <c r="N31" i="21" s="1"/>
  <c r="O31" i="21" s="1"/>
  <c r="P31" i="21" s="1"/>
  <c r="Q31" i="21" s="1"/>
  <c r="R31" i="21" s="1"/>
  <c r="S31" i="21" s="1"/>
  <c r="T31" i="21" s="1"/>
  <c r="U31" i="21" s="1"/>
  <c r="V31" i="21" s="1"/>
  <c r="W31" i="21" s="1"/>
  <c r="X31" i="21" s="1"/>
  <c r="Y31" i="21" s="1"/>
  <c r="Z31" i="21" s="1"/>
  <c r="AA31" i="21" s="1"/>
  <c r="AB31" i="21" s="1"/>
  <c r="AC31" i="21" s="1"/>
  <c r="AD31" i="21" s="1"/>
  <c r="J30" i="21"/>
  <c r="K30" i="21" s="1"/>
  <c r="L30" i="21" s="1"/>
  <c r="M30" i="21" s="1"/>
  <c r="N30" i="21" s="1"/>
  <c r="O30" i="21" s="1"/>
  <c r="P30" i="21" s="1"/>
  <c r="Q30" i="21" s="1"/>
  <c r="R30" i="21" s="1"/>
  <c r="S30" i="21" s="1"/>
  <c r="T30" i="21" s="1"/>
  <c r="U30" i="21" s="1"/>
  <c r="V30" i="21" s="1"/>
  <c r="W30" i="21" s="1"/>
  <c r="X30" i="21" s="1"/>
  <c r="Y30" i="21" s="1"/>
  <c r="Z30" i="21" s="1"/>
  <c r="AA30" i="21" s="1"/>
  <c r="AB30" i="21" s="1"/>
  <c r="AC30" i="21" s="1"/>
  <c r="J29" i="21"/>
  <c r="K29" i="21" s="1"/>
  <c r="L29" i="21" s="1"/>
  <c r="M29" i="21" s="1"/>
  <c r="N29" i="21" s="1"/>
  <c r="O29" i="21" s="1"/>
  <c r="P29" i="21" s="1"/>
  <c r="Q29" i="21" s="1"/>
  <c r="R29" i="21" s="1"/>
  <c r="S29" i="21" s="1"/>
  <c r="T29" i="21" s="1"/>
  <c r="U29" i="21" s="1"/>
  <c r="V29" i="21" s="1"/>
  <c r="W29" i="21" s="1"/>
  <c r="X29" i="21" s="1"/>
  <c r="Y29" i="21" s="1"/>
  <c r="Z29" i="21" s="1"/>
  <c r="AA29" i="21" s="1"/>
  <c r="AB29" i="21" s="1"/>
  <c r="J28" i="21"/>
  <c r="K28" i="21" s="1"/>
  <c r="L28" i="21" s="1"/>
  <c r="M28" i="21" s="1"/>
  <c r="N28" i="21" s="1"/>
  <c r="O28" i="21" s="1"/>
  <c r="P28" i="21" s="1"/>
  <c r="Q28" i="21" s="1"/>
  <c r="R28" i="21" s="1"/>
  <c r="S28" i="21" s="1"/>
  <c r="T28" i="21" s="1"/>
  <c r="U28" i="21" s="1"/>
  <c r="V28" i="21" s="1"/>
  <c r="W28" i="21" s="1"/>
  <c r="X28" i="21" s="1"/>
  <c r="Y28" i="21" s="1"/>
  <c r="Z28" i="21" s="1"/>
  <c r="AA28" i="21" s="1"/>
  <c r="J27" i="21"/>
  <c r="K27" i="21" s="1"/>
  <c r="L27" i="21" s="1"/>
  <c r="M27" i="21" s="1"/>
  <c r="N27" i="21" s="1"/>
  <c r="O27" i="21" s="1"/>
  <c r="P27" i="21" s="1"/>
  <c r="Q27" i="21" s="1"/>
  <c r="R27" i="21" s="1"/>
  <c r="S27" i="21" s="1"/>
  <c r="T27" i="21" s="1"/>
  <c r="U27" i="21" s="1"/>
  <c r="V27" i="21" s="1"/>
  <c r="W27" i="21" s="1"/>
  <c r="X27" i="21" s="1"/>
  <c r="Y27" i="21" s="1"/>
  <c r="Z27" i="21" s="1"/>
  <c r="J26" i="21"/>
  <c r="K26" i="21" s="1"/>
  <c r="L26" i="21" s="1"/>
  <c r="M26" i="21" s="1"/>
  <c r="N26" i="21" s="1"/>
  <c r="O26" i="21" s="1"/>
  <c r="P26" i="21" s="1"/>
  <c r="Q26" i="21" s="1"/>
  <c r="R26" i="21" s="1"/>
  <c r="S26" i="21" s="1"/>
  <c r="T26" i="21" s="1"/>
  <c r="U26" i="21" s="1"/>
  <c r="V26" i="21" s="1"/>
  <c r="W26" i="21" s="1"/>
  <c r="X26" i="21" s="1"/>
  <c r="Y26" i="21" s="1"/>
  <c r="J25" i="21"/>
  <c r="K25" i="21" s="1"/>
  <c r="L25" i="21" s="1"/>
  <c r="M25" i="21" s="1"/>
  <c r="N25" i="21" s="1"/>
  <c r="O25" i="21" s="1"/>
  <c r="P25" i="21" s="1"/>
  <c r="Q25" i="21" s="1"/>
  <c r="R25" i="21" s="1"/>
  <c r="S25" i="21" s="1"/>
  <c r="T25" i="21" s="1"/>
  <c r="U25" i="21" s="1"/>
  <c r="V25" i="21" s="1"/>
  <c r="W25" i="21" s="1"/>
  <c r="X25" i="21" s="1"/>
  <c r="J24" i="21"/>
  <c r="K24" i="21" s="1"/>
  <c r="L24" i="21" s="1"/>
  <c r="M24" i="21" s="1"/>
  <c r="N24" i="21" s="1"/>
  <c r="O24" i="21" s="1"/>
  <c r="P24" i="21" s="1"/>
  <c r="Q24" i="21" s="1"/>
  <c r="R24" i="21" s="1"/>
  <c r="S24" i="21" s="1"/>
  <c r="T24" i="21" s="1"/>
  <c r="U24" i="21" s="1"/>
  <c r="V24" i="21" s="1"/>
  <c r="W24" i="21" s="1"/>
  <c r="J23" i="21"/>
  <c r="K23" i="21" s="1"/>
  <c r="L23" i="21" s="1"/>
  <c r="M23" i="21" s="1"/>
  <c r="N23" i="21" s="1"/>
  <c r="O23" i="21" s="1"/>
  <c r="P23" i="21" s="1"/>
  <c r="Q23" i="21" s="1"/>
  <c r="R23" i="21" s="1"/>
  <c r="S23" i="21" s="1"/>
  <c r="T23" i="21" s="1"/>
  <c r="U23" i="21" s="1"/>
  <c r="V23" i="21" s="1"/>
  <c r="J22" i="21"/>
  <c r="K22" i="21" s="1"/>
  <c r="L22" i="21" s="1"/>
  <c r="M22" i="21" s="1"/>
  <c r="N22" i="21" s="1"/>
  <c r="O22" i="21" s="1"/>
  <c r="P22" i="21" s="1"/>
  <c r="Q22" i="21" s="1"/>
  <c r="R22" i="21" s="1"/>
  <c r="S22" i="21" s="1"/>
  <c r="T22" i="21" s="1"/>
  <c r="U22" i="21" s="1"/>
  <c r="J21" i="21"/>
  <c r="K21" i="21" s="1"/>
  <c r="L21" i="21" s="1"/>
  <c r="M21" i="21" s="1"/>
  <c r="N21" i="21" s="1"/>
  <c r="O21" i="21" s="1"/>
  <c r="P21" i="21" s="1"/>
  <c r="Q21" i="21" s="1"/>
  <c r="R21" i="21" s="1"/>
  <c r="S21" i="21" s="1"/>
  <c r="T21" i="21" s="1"/>
  <c r="J20" i="21"/>
  <c r="K20" i="21" s="1"/>
  <c r="L20" i="21" s="1"/>
  <c r="M20" i="21" s="1"/>
  <c r="N20" i="21" s="1"/>
  <c r="O20" i="21" s="1"/>
  <c r="P20" i="21" s="1"/>
  <c r="Q20" i="21" s="1"/>
  <c r="R20" i="21" s="1"/>
  <c r="S20" i="21" s="1"/>
  <c r="J19" i="21"/>
  <c r="K19" i="21" s="1"/>
  <c r="L19" i="21" s="1"/>
  <c r="M19" i="21" s="1"/>
  <c r="N19" i="21" s="1"/>
  <c r="O19" i="21" s="1"/>
  <c r="P19" i="21" s="1"/>
  <c r="Q19" i="21" s="1"/>
  <c r="R19" i="21" s="1"/>
  <c r="J18" i="21"/>
  <c r="K18" i="21" s="1"/>
  <c r="L18" i="21" s="1"/>
  <c r="M18" i="21" s="1"/>
  <c r="N18" i="21" s="1"/>
  <c r="O18" i="21" s="1"/>
  <c r="P18" i="21" s="1"/>
  <c r="Q18" i="21" s="1"/>
  <c r="J16" i="21"/>
  <c r="K16" i="21" s="1"/>
  <c r="L16" i="21" s="1"/>
  <c r="M16" i="21" s="1"/>
  <c r="N16" i="21" s="1"/>
  <c r="O16" i="21" s="1"/>
  <c r="J15" i="21"/>
  <c r="K15" i="21" s="1"/>
  <c r="L15" i="21" s="1"/>
  <c r="M15" i="21" s="1"/>
  <c r="N15" i="21" s="1"/>
  <c r="J14" i="21"/>
  <c r="K14" i="21" s="1"/>
  <c r="L14" i="21" s="1"/>
  <c r="M14" i="21" s="1"/>
  <c r="J13" i="21"/>
  <c r="K13" i="21" s="1"/>
  <c r="L13" i="21" s="1"/>
  <c r="J12" i="21"/>
  <c r="K12" i="21" s="1"/>
  <c r="J17" i="21"/>
  <c r="K17" i="21" s="1"/>
  <c r="L17" i="21" s="1"/>
  <c r="M17" i="21" s="1"/>
  <c r="N17" i="21" s="1"/>
  <c r="O17" i="21" s="1"/>
  <c r="P17" i="21" s="1"/>
  <c r="C5" i="15"/>
  <c r="C4" i="15"/>
  <c r="D9" i="15" s="1"/>
  <c r="S14" i="25" l="1"/>
  <c r="S23" i="25" s="1"/>
  <c r="S32" i="25" s="1"/>
  <c r="T16" i="9"/>
  <c r="T16" i="25"/>
  <c r="T20" i="9"/>
  <c r="T20" i="25"/>
  <c r="T15" i="9"/>
  <c r="T15" i="25"/>
  <c r="T18" i="9"/>
  <c r="T18" i="25"/>
  <c r="T21" i="9"/>
  <c r="T21" i="25"/>
  <c r="T17" i="9"/>
  <c r="T17" i="25"/>
  <c r="T19" i="9"/>
  <c r="T19" i="25"/>
  <c r="T14" i="9"/>
  <c r="T23" i="9" s="1"/>
  <c r="T32" i="9" s="1"/>
  <c r="U7" i="6" s="1"/>
  <c r="AA25" i="12"/>
  <c r="AA27" i="12"/>
  <c r="AA29" i="12"/>
  <c r="AA31" i="12"/>
  <c r="AA26" i="12"/>
  <c r="AA30" i="12"/>
  <c r="AA28" i="12"/>
  <c r="AB24" i="12"/>
  <c r="F9" i="1"/>
  <c r="G9" i="1" s="1"/>
  <c r="F9" i="22"/>
  <c r="G9" i="22" s="1"/>
  <c r="N112" i="8"/>
  <c r="S112" i="8" s="1"/>
  <c r="S104" i="8"/>
  <c r="D19" i="15"/>
  <c r="D20" i="15"/>
  <c r="D22" i="15"/>
  <c r="D21" i="15"/>
  <c r="D18" i="15"/>
  <c r="D10" i="15"/>
  <c r="D14" i="15"/>
  <c r="D13" i="15"/>
  <c r="D16" i="15"/>
  <c r="D15" i="15"/>
  <c r="D12" i="15"/>
  <c r="D11" i="15"/>
  <c r="I174" i="2"/>
  <c r="F177" i="2"/>
  <c r="T14" i="25" l="1"/>
  <c r="T23" i="25" s="1"/>
  <c r="T32" i="25" s="1"/>
  <c r="U18" i="9"/>
  <c r="U18" i="25"/>
  <c r="U21" i="9"/>
  <c r="U21" i="25"/>
  <c r="U17" i="9"/>
  <c r="U17" i="25"/>
  <c r="U20" i="9"/>
  <c r="U20" i="25"/>
  <c r="U16" i="9"/>
  <c r="U16" i="25"/>
  <c r="U19" i="9"/>
  <c r="U19" i="25"/>
  <c r="U15" i="9"/>
  <c r="U14" i="9" s="1"/>
  <c r="U23" i="9" s="1"/>
  <c r="U32" i="9" s="1"/>
  <c r="V7" i="6" s="1"/>
  <c r="U15" i="25"/>
  <c r="U14" i="25" s="1"/>
  <c r="U23" i="25" s="1"/>
  <c r="U32" i="25" s="1"/>
  <c r="T7" i="24"/>
  <c r="T6" i="24" s="1"/>
  <c r="T7" i="28"/>
  <c r="T6" i="28" s="1"/>
  <c r="T5" i="28" s="1"/>
  <c r="T68" i="28" s="1"/>
  <c r="T106" i="28" s="1"/>
  <c r="T107" i="28" s="1"/>
  <c r="T112" i="28" s="1"/>
  <c r="T114" i="28" s="1"/>
  <c r="AB25" i="12"/>
  <c r="AB27" i="12"/>
  <c r="AB31" i="12"/>
  <c r="AB29" i="12"/>
  <c r="AB26" i="12"/>
  <c r="AB30" i="12"/>
  <c r="AB28" i="12"/>
  <c r="AC24" i="12"/>
  <c r="F16" i="1"/>
  <c r="F16" i="22"/>
  <c r="G16" i="22" s="1"/>
  <c r="F23" i="1"/>
  <c r="F23" i="22"/>
  <c r="G23" i="22" s="1"/>
  <c r="F14" i="1"/>
  <c r="G14" i="1" s="1"/>
  <c r="F14" i="22"/>
  <c r="G14" i="22" s="1"/>
  <c r="F24" i="1"/>
  <c r="G24" i="1" s="1"/>
  <c r="F24" i="22"/>
  <c r="G24" i="22" s="1"/>
  <c r="F13" i="1"/>
  <c r="F13" i="22"/>
  <c r="G13" i="22" s="1"/>
  <c r="F22" i="1"/>
  <c r="F22" i="22"/>
  <c r="G22" i="22" s="1"/>
  <c r="F15" i="1"/>
  <c r="G15" i="1" s="1"/>
  <c r="F15" i="22"/>
  <c r="G15" i="22" s="1"/>
  <c r="F11" i="1"/>
  <c r="F11" i="22"/>
  <c r="G11" i="22" s="1"/>
  <c r="F25" i="1"/>
  <c r="G25" i="1" s="1"/>
  <c r="F25" i="22"/>
  <c r="G25" i="22" s="1"/>
  <c r="F12" i="1"/>
  <c r="F12" i="22"/>
  <c r="G12" i="22" s="1"/>
  <c r="F26" i="1"/>
  <c r="G26" i="1" s="1"/>
  <c r="F26" i="22"/>
  <c r="G26" i="22" s="1"/>
  <c r="F10" i="1"/>
  <c r="F10" i="22"/>
  <c r="G10" i="22" s="1"/>
  <c r="T10" i="11"/>
  <c r="AB10" i="11"/>
  <c r="AJ10" i="11"/>
  <c r="AR10" i="11"/>
  <c r="AZ10" i="11"/>
  <c r="BH10" i="11"/>
  <c r="BP10" i="11"/>
  <c r="U10" i="11"/>
  <c r="AC10" i="11"/>
  <c r="AK10" i="11"/>
  <c r="AS10" i="11"/>
  <c r="BA10" i="11"/>
  <c r="BI10" i="11"/>
  <c r="V10" i="11"/>
  <c r="AD10" i="11"/>
  <c r="AL10" i="11"/>
  <c r="AT10" i="11"/>
  <c r="BB10" i="11"/>
  <c r="BJ10" i="11"/>
  <c r="W10" i="11"/>
  <c r="AE10" i="11"/>
  <c r="AM10" i="11"/>
  <c r="AU10" i="11"/>
  <c r="BC10" i="11"/>
  <c r="BK10" i="11"/>
  <c r="X10" i="11"/>
  <c r="AF10" i="11"/>
  <c r="AN10" i="11"/>
  <c r="AV10" i="11"/>
  <c r="BD10" i="11"/>
  <c r="BL10" i="11"/>
  <c r="S10" i="11"/>
  <c r="Y10" i="11"/>
  <c r="AG10" i="11"/>
  <c r="AO10" i="11"/>
  <c r="AW10" i="11"/>
  <c r="BE10" i="11"/>
  <c r="BM10" i="11"/>
  <c r="Z10" i="11"/>
  <c r="AH10" i="11"/>
  <c r="AP10" i="11"/>
  <c r="AX10" i="11"/>
  <c r="BF10" i="11"/>
  <c r="BN10" i="11"/>
  <c r="AI10" i="11"/>
  <c r="AQ10" i="11"/>
  <c r="AY10" i="11"/>
  <c r="BG10" i="11"/>
  <c r="BO10" i="11"/>
  <c r="AA10" i="11"/>
  <c r="AA11" i="11"/>
  <c r="AI11" i="11"/>
  <c r="AQ11" i="11"/>
  <c r="AY11" i="11"/>
  <c r="BG11" i="11"/>
  <c r="BO11" i="11"/>
  <c r="T11" i="11"/>
  <c r="AB11" i="11"/>
  <c r="AJ11" i="11"/>
  <c r="AR11" i="11"/>
  <c r="AZ11" i="11"/>
  <c r="BH11" i="11"/>
  <c r="BP11" i="11"/>
  <c r="U11" i="11"/>
  <c r="AC11" i="11"/>
  <c r="AK11" i="11"/>
  <c r="AS11" i="11"/>
  <c r="BA11" i="11"/>
  <c r="BI11" i="11"/>
  <c r="V11" i="11"/>
  <c r="AD11" i="11"/>
  <c r="AL11" i="11"/>
  <c r="AT11" i="11"/>
  <c r="BB11" i="11"/>
  <c r="BJ11" i="11"/>
  <c r="W11" i="11"/>
  <c r="AE11" i="11"/>
  <c r="AM11" i="11"/>
  <c r="AU11" i="11"/>
  <c r="BC11" i="11"/>
  <c r="BK11" i="11"/>
  <c r="X11" i="11"/>
  <c r="AF11" i="11"/>
  <c r="AN11" i="11"/>
  <c r="AV11" i="11"/>
  <c r="BD11" i="11"/>
  <c r="BL11" i="11"/>
  <c r="S11" i="11"/>
  <c r="Y11" i="11"/>
  <c r="AG11" i="11"/>
  <c r="AO11" i="11"/>
  <c r="AW11" i="11"/>
  <c r="BE11" i="11"/>
  <c r="BM11" i="11"/>
  <c r="AX11" i="11"/>
  <c r="BF11" i="11"/>
  <c r="BN11" i="11"/>
  <c r="AH11" i="11"/>
  <c r="AP11" i="11"/>
  <c r="Z11" i="11"/>
  <c r="J170" i="2"/>
  <c r="V16" i="9" l="1"/>
  <c r="V16" i="25"/>
  <c r="V18" i="9"/>
  <c r="V18" i="25"/>
  <c r="V20" i="9"/>
  <c r="V20" i="25"/>
  <c r="V19" i="9"/>
  <c r="V19" i="25"/>
  <c r="V21" i="9"/>
  <c r="V21" i="25"/>
  <c r="V17" i="9"/>
  <c r="V17" i="25"/>
  <c r="V15" i="9"/>
  <c r="V14" i="9" s="1"/>
  <c r="V23" i="9" s="1"/>
  <c r="V32" i="9" s="1"/>
  <c r="W7" i="6" s="1"/>
  <c r="V15" i="25"/>
  <c r="V14" i="25" s="1"/>
  <c r="V23" i="25" s="1"/>
  <c r="V32" i="25" s="1"/>
  <c r="V7" i="28"/>
  <c r="V6" i="28" s="1"/>
  <c r="V7" i="24"/>
  <c r="V6" i="24" s="1"/>
  <c r="U7" i="24"/>
  <c r="U6" i="24" s="1"/>
  <c r="U7" i="28"/>
  <c r="U6" i="28" s="1"/>
  <c r="AC27" i="12"/>
  <c r="AC29" i="12"/>
  <c r="AC31" i="12"/>
  <c r="AC25" i="12"/>
  <c r="AC30" i="12"/>
  <c r="AC26" i="12"/>
  <c r="AC28" i="12"/>
  <c r="J174" i="2"/>
  <c r="K170" i="2" s="1"/>
  <c r="K174" i="2" s="1"/>
  <c r="L170" i="2" s="1"/>
  <c r="L174" i="2" s="1"/>
  <c r="M170" i="2" s="1"/>
  <c r="M174" i="2" s="1"/>
  <c r="N170" i="2" s="1"/>
  <c r="N174" i="2" s="1"/>
  <c r="O170" i="2" s="1"/>
  <c r="O174" i="2" s="1"/>
  <c r="W20" i="9" l="1"/>
  <c r="W20" i="25"/>
  <c r="W18" i="9"/>
  <c r="W18" i="25"/>
  <c r="W16" i="9"/>
  <c r="W16" i="25"/>
  <c r="W7" i="28"/>
  <c r="W6" i="28" s="1"/>
  <c r="W7" i="24"/>
  <c r="W6" i="24" s="1"/>
  <c r="W15" i="9"/>
  <c r="W14" i="9" s="1"/>
  <c r="W23" i="9" s="1"/>
  <c r="W32" i="9" s="1"/>
  <c r="X7" i="6" s="1"/>
  <c r="W15" i="25"/>
  <c r="W21" i="9"/>
  <c r="W21" i="25"/>
  <c r="W19" i="9"/>
  <c r="W19" i="25"/>
  <c r="W17" i="9"/>
  <c r="W17" i="25"/>
  <c r="F11" i="21"/>
  <c r="P11" i="21" s="1"/>
  <c r="F12" i="21"/>
  <c r="F13" i="21"/>
  <c r="M13" i="21" s="1"/>
  <c r="F14" i="21"/>
  <c r="F15" i="21"/>
  <c r="F16" i="21"/>
  <c r="P16" i="21" s="1"/>
  <c r="F17" i="21"/>
  <c r="F18" i="21"/>
  <c r="F19" i="21"/>
  <c r="F20" i="21"/>
  <c r="T20" i="21" s="1"/>
  <c r="F21" i="21"/>
  <c r="F22" i="21"/>
  <c r="F23" i="21"/>
  <c r="F24" i="21"/>
  <c r="F25" i="21"/>
  <c r="F33" i="21"/>
  <c r="AG33" i="21" s="1"/>
  <c r="F39" i="21"/>
  <c r="F40" i="21"/>
  <c r="AN40" i="21" s="1"/>
  <c r="F41" i="21"/>
  <c r="F42" i="21"/>
  <c r="F43" i="21"/>
  <c r="F44" i="21"/>
  <c r="F45" i="21"/>
  <c r="AS45" i="21" s="1"/>
  <c r="F46" i="21"/>
  <c r="F47" i="21"/>
  <c r="F48" i="21"/>
  <c r="F49" i="21"/>
  <c r="F50" i="21"/>
  <c r="AX50" i="21" s="1"/>
  <c r="F51" i="21"/>
  <c r="AP90" i="6"/>
  <c r="W14" i="25" l="1"/>
  <c r="W23" i="25" s="1"/>
  <c r="W32" i="25" s="1"/>
  <c r="J11" i="21"/>
  <c r="J7" i="21" s="1"/>
  <c r="H51" i="21"/>
  <c r="AY51" i="21"/>
  <c r="H43" i="21"/>
  <c r="AQ43" i="21"/>
  <c r="AI35" i="21"/>
  <c r="H42" i="21"/>
  <c r="AP42" i="21"/>
  <c r="AH34" i="21"/>
  <c r="Z26" i="21"/>
  <c r="H18" i="21"/>
  <c r="R18" i="21"/>
  <c r="H49" i="21"/>
  <c r="AW49" i="21"/>
  <c r="H41" i="21"/>
  <c r="AO41" i="21"/>
  <c r="H48" i="21"/>
  <c r="AV48" i="21"/>
  <c r="AF32" i="21"/>
  <c r="H24" i="21"/>
  <c r="X24" i="21"/>
  <c r="H47" i="21"/>
  <c r="AU47" i="21"/>
  <c r="H39" i="21"/>
  <c r="AM39" i="21"/>
  <c r="AE31" i="21"/>
  <c r="H23" i="21"/>
  <c r="W23" i="21"/>
  <c r="H15" i="21"/>
  <c r="O15" i="21"/>
  <c r="H46" i="21"/>
  <c r="AT46" i="21"/>
  <c r="H12" i="21"/>
  <c r="L12" i="21"/>
  <c r="H22" i="21"/>
  <c r="V22" i="21"/>
  <c r="H14" i="21"/>
  <c r="N14" i="21"/>
  <c r="H19" i="21"/>
  <c r="S19" i="21"/>
  <c r="AC29" i="21"/>
  <c r="H21" i="21"/>
  <c r="U21" i="21"/>
  <c r="H44" i="21"/>
  <c r="AR44" i="21"/>
  <c r="AJ36" i="21"/>
  <c r="H25" i="21"/>
  <c r="Y25" i="21"/>
  <c r="H17" i="21"/>
  <c r="Q17" i="21"/>
  <c r="H33" i="21"/>
  <c r="AH33" i="21" s="1"/>
  <c r="AI33" i="21" s="1"/>
  <c r="AJ33" i="21" s="1"/>
  <c r="AK33" i="21" s="1"/>
  <c r="AL33" i="21" s="1"/>
  <c r="AM33" i="21" s="1"/>
  <c r="AN33" i="21" s="1"/>
  <c r="AO33" i="21" s="1"/>
  <c r="AP33" i="21" s="1"/>
  <c r="AQ33" i="21" s="1"/>
  <c r="AR33" i="21" s="1"/>
  <c r="AS33" i="21" s="1"/>
  <c r="AT33" i="21" s="1"/>
  <c r="AU33" i="21" s="1"/>
  <c r="AV33" i="21" s="1"/>
  <c r="AW33" i="21" s="1"/>
  <c r="AX33" i="21" s="1"/>
  <c r="AY33" i="21" s="1"/>
  <c r="AZ33" i="21" s="1"/>
  <c r="BA33" i="21" s="1"/>
  <c r="BB33" i="21" s="1"/>
  <c r="BC33" i="21" s="1"/>
  <c r="BD33" i="21" s="1"/>
  <c r="BE33" i="21" s="1"/>
  <c r="BF33" i="21" s="1"/>
  <c r="H40" i="21"/>
  <c r="AO40" i="21" s="1"/>
  <c r="AP40" i="21" s="1"/>
  <c r="AQ40" i="21" s="1"/>
  <c r="AR40" i="21" s="1"/>
  <c r="AS40" i="21" s="1"/>
  <c r="AT40" i="21" s="1"/>
  <c r="AU40" i="21" s="1"/>
  <c r="AV40" i="21" s="1"/>
  <c r="AW40" i="21" s="1"/>
  <c r="AX40" i="21" s="1"/>
  <c r="AY40" i="21" s="1"/>
  <c r="AZ40" i="21" s="1"/>
  <c r="BA40" i="21" s="1"/>
  <c r="BB40" i="21" s="1"/>
  <c r="BC40" i="21" s="1"/>
  <c r="BD40" i="21" s="1"/>
  <c r="BE40" i="21" s="1"/>
  <c r="BF40" i="21" s="1"/>
  <c r="H16" i="21"/>
  <c r="Q16" i="21" s="1"/>
  <c r="R16" i="21" s="1"/>
  <c r="S16" i="21" s="1"/>
  <c r="T16" i="21" s="1"/>
  <c r="U16" i="21" s="1"/>
  <c r="V16" i="21" s="1"/>
  <c r="W16" i="21" s="1"/>
  <c r="X16" i="21" s="1"/>
  <c r="Y16" i="21" s="1"/>
  <c r="Z16" i="21" s="1"/>
  <c r="AA16" i="21" s="1"/>
  <c r="AB16" i="21" s="1"/>
  <c r="AC16" i="21" s="1"/>
  <c r="AD16" i="21" s="1"/>
  <c r="AE16" i="21" s="1"/>
  <c r="AF16" i="21" s="1"/>
  <c r="AG16" i="21" s="1"/>
  <c r="AH16" i="21" s="1"/>
  <c r="AI16" i="21" s="1"/>
  <c r="AJ16" i="21" s="1"/>
  <c r="AK16" i="21" s="1"/>
  <c r="AL16" i="21" s="1"/>
  <c r="AM16" i="21" s="1"/>
  <c r="AN16" i="21" s="1"/>
  <c r="AO16" i="21" s="1"/>
  <c r="AP16" i="21" s="1"/>
  <c r="AQ16" i="21" s="1"/>
  <c r="AR16" i="21" s="1"/>
  <c r="AS16" i="21" s="1"/>
  <c r="AT16" i="21" s="1"/>
  <c r="AU16" i="21" s="1"/>
  <c r="AV16" i="21" s="1"/>
  <c r="AW16" i="21" s="1"/>
  <c r="AX16" i="21" s="1"/>
  <c r="AY16" i="21" s="1"/>
  <c r="AZ16" i="21" s="1"/>
  <c r="BA16" i="21" s="1"/>
  <c r="BB16" i="21" s="1"/>
  <c r="BC16" i="21" s="1"/>
  <c r="BD16" i="21" s="1"/>
  <c r="BE16" i="21" s="1"/>
  <c r="BF16" i="21" s="1"/>
  <c r="H11" i="21"/>
  <c r="K11" i="21" s="1"/>
  <c r="H45" i="21"/>
  <c r="AT45" i="21" s="1"/>
  <c r="AU45" i="21" s="1"/>
  <c r="AV45" i="21" s="1"/>
  <c r="AW45" i="21" s="1"/>
  <c r="AX45" i="21" s="1"/>
  <c r="AY45" i="21" s="1"/>
  <c r="AZ45" i="21" s="1"/>
  <c r="BA45" i="21" s="1"/>
  <c r="BB45" i="21" s="1"/>
  <c r="BC45" i="21" s="1"/>
  <c r="BD45" i="21" s="1"/>
  <c r="BE45" i="21" s="1"/>
  <c r="BF45" i="21" s="1"/>
  <c r="H13" i="2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BC13" i="21" s="1"/>
  <c r="BD13" i="21" s="1"/>
  <c r="BF13" i="21" s="1"/>
  <c r="H50" i="21"/>
  <c r="AY50" i="21" s="1"/>
  <c r="AZ50" i="21" s="1"/>
  <c r="BA50" i="21" s="1"/>
  <c r="BB50" i="21" s="1"/>
  <c r="BC50" i="21" s="1"/>
  <c r="BD50" i="21" s="1"/>
  <c r="BE50" i="21" s="1"/>
  <c r="BF50" i="21" s="1"/>
  <c r="H20" i="21"/>
  <c r="U20" i="21" s="1"/>
  <c r="V20" i="21" s="1"/>
  <c r="W20" i="21" s="1"/>
  <c r="X20" i="21" s="1"/>
  <c r="Y20" i="21" s="1"/>
  <c r="Z20" i="21" s="1"/>
  <c r="AA20" i="21" s="1"/>
  <c r="AB20" i="21" s="1"/>
  <c r="AC20" i="21" s="1"/>
  <c r="AD20" i="21" s="1"/>
  <c r="AE20" i="21" s="1"/>
  <c r="AF20" i="21" s="1"/>
  <c r="AG20" i="21" s="1"/>
  <c r="AH20" i="21" s="1"/>
  <c r="AI20" i="21" s="1"/>
  <c r="AJ20" i="21" s="1"/>
  <c r="AK20" i="21" s="1"/>
  <c r="AL20" i="21" s="1"/>
  <c r="AM20" i="21" s="1"/>
  <c r="AN20" i="21" s="1"/>
  <c r="AO20" i="21" s="1"/>
  <c r="AP20" i="21" s="1"/>
  <c r="AQ20" i="21" s="1"/>
  <c r="AR20" i="21" s="1"/>
  <c r="AS20" i="21" s="1"/>
  <c r="AT20" i="21" s="1"/>
  <c r="AU20" i="21" s="1"/>
  <c r="AV20" i="21" s="1"/>
  <c r="AW20" i="21" s="1"/>
  <c r="AX20" i="21" s="1"/>
  <c r="AY20" i="21" s="1"/>
  <c r="AZ20" i="21" s="1"/>
  <c r="BA20" i="21" s="1"/>
  <c r="BB20" i="21" s="1"/>
  <c r="BC20" i="21" s="1"/>
  <c r="BD20" i="21" s="1"/>
  <c r="BE20" i="21" s="1"/>
  <c r="BF20" i="21" s="1"/>
  <c r="X7" i="28" l="1"/>
  <c r="X6" i="28" s="1"/>
  <c r="X7" i="24"/>
  <c r="X6" i="24" s="1"/>
  <c r="L11" i="21"/>
  <c r="K7" i="21"/>
  <c r="AK36" i="21"/>
  <c r="AL36" i="21" s="1"/>
  <c r="AM36" i="21" s="1"/>
  <c r="AN36" i="21" s="1"/>
  <c r="M12" i="21"/>
  <c r="N12" i="21" s="1"/>
  <c r="O12" i="21" s="1"/>
  <c r="P12" i="21" s="1"/>
  <c r="AF31" i="21"/>
  <c r="AG31" i="21" s="1"/>
  <c r="AH31" i="21" s="1"/>
  <c r="AI31" i="21" s="1"/>
  <c r="AS44" i="21"/>
  <c r="AT44" i="21" s="1"/>
  <c r="AU44" i="21" s="1"/>
  <c r="AV44" i="21" s="1"/>
  <c r="AW44" i="21" s="1"/>
  <c r="AX44" i="21" s="1"/>
  <c r="AY44" i="21" s="1"/>
  <c r="AZ44" i="21" s="1"/>
  <c r="BA44" i="21" s="1"/>
  <c r="BB44" i="21" s="1"/>
  <c r="BC44" i="21" s="1"/>
  <c r="BD44" i="21" s="1"/>
  <c r="BE44" i="21" s="1"/>
  <c r="BF44" i="21" s="1"/>
  <c r="T19" i="21"/>
  <c r="U19" i="21" s="1"/>
  <c r="V19" i="21" s="1"/>
  <c r="W19" i="21" s="1"/>
  <c r="X19" i="21" s="1"/>
  <c r="Y19" i="21" s="1"/>
  <c r="Z19" i="21" s="1"/>
  <c r="AA19" i="21" s="1"/>
  <c r="AB19" i="21" s="1"/>
  <c r="AC19" i="21" s="1"/>
  <c r="AD19" i="21" s="1"/>
  <c r="AE19" i="21" s="1"/>
  <c r="AF19" i="21" s="1"/>
  <c r="AG19" i="21" s="1"/>
  <c r="AH19" i="21" s="1"/>
  <c r="AI19" i="21" s="1"/>
  <c r="AJ19" i="21" s="1"/>
  <c r="AK19" i="21" s="1"/>
  <c r="AL19" i="21" s="1"/>
  <c r="AM19" i="21" s="1"/>
  <c r="AN19" i="21" s="1"/>
  <c r="AO19" i="21" s="1"/>
  <c r="AP19" i="21" s="1"/>
  <c r="AQ19" i="21" s="1"/>
  <c r="AR19" i="21" s="1"/>
  <c r="AS19" i="21" s="1"/>
  <c r="AT19" i="21" s="1"/>
  <c r="AU19" i="21" s="1"/>
  <c r="AV19" i="21" s="1"/>
  <c r="AW19" i="21" s="1"/>
  <c r="AX19" i="21" s="1"/>
  <c r="AY19" i="21" s="1"/>
  <c r="AZ19" i="21" s="1"/>
  <c r="BA19" i="21" s="1"/>
  <c r="BB19" i="21" s="1"/>
  <c r="BC19" i="21" s="1"/>
  <c r="BD19" i="21" s="1"/>
  <c r="BE19" i="21" s="1"/>
  <c r="AU46" i="21"/>
  <c r="AV46" i="21" s="1"/>
  <c r="AW46" i="21" s="1"/>
  <c r="AX46" i="21" s="1"/>
  <c r="AY46" i="21" s="1"/>
  <c r="AZ46" i="21" s="1"/>
  <c r="BA46" i="21" s="1"/>
  <c r="BB46" i="21" s="1"/>
  <c r="BC46" i="21" s="1"/>
  <c r="BD46" i="21" s="1"/>
  <c r="BE46" i="21" s="1"/>
  <c r="BF46" i="21" s="1"/>
  <c r="AN39" i="21"/>
  <c r="AO39" i="21" s="1"/>
  <c r="AP39" i="21" s="1"/>
  <c r="AQ39" i="21" s="1"/>
  <c r="AR39" i="21" s="1"/>
  <c r="AS39" i="21" s="1"/>
  <c r="AT39" i="21" s="1"/>
  <c r="AU39" i="21" s="1"/>
  <c r="AV39" i="21" s="1"/>
  <c r="AW39" i="21" s="1"/>
  <c r="AX39" i="21" s="1"/>
  <c r="AY39" i="21" s="1"/>
  <c r="AZ39" i="21" s="1"/>
  <c r="BA39" i="21" s="1"/>
  <c r="BB39" i="21" s="1"/>
  <c r="BC39" i="21" s="1"/>
  <c r="BD39" i="21" s="1"/>
  <c r="BE39" i="21" s="1"/>
  <c r="BF39" i="21" s="1"/>
  <c r="R17" i="21"/>
  <c r="S17" i="21" s="1"/>
  <c r="T17" i="21" s="1"/>
  <c r="U17" i="21" s="1"/>
  <c r="V17" i="21" s="1"/>
  <c r="W17" i="21" s="1"/>
  <c r="X17" i="21" s="1"/>
  <c r="Y17" i="21" s="1"/>
  <c r="Z17" i="21" s="1"/>
  <c r="AA17" i="21" s="1"/>
  <c r="AB17" i="21" s="1"/>
  <c r="AC17" i="21" s="1"/>
  <c r="AD17" i="21" s="1"/>
  <c r="AE17" i="21" s="1"/>
  <c r="AF17" i="21" s="1"/>
  <c r="AG17" i="21" s="1"/>
  <c r="AH17" i="21" s="1"/>
  <c r="AI17" i="21" s="1"/>
  <c r="AJ17" i="21" s="1"/>
  <c r="AK17" i="21" s="1"/>
  <c r="AL17" i="21" s="1"/>
  <c r="AM17" i="21" s="1"/>
  <c r="AN17" i="21" s="1"/>
  <c r="AO17" i="21" s="1"/>
  <c r="AP17" i="21" s="1"/>
  <c r="AQ17" i="21" s="1"/>
  <c r="AR17" i="21" s="1"/>
  <c r="AS17" i="21" s="1"/>
  <c r="AT17" i="21" s="1"/>
  <c r="AU17" i="21" s="1"/>
  <c r="AV17" i="21" s="1"/>
  <c r="AW17" i="21" s="1"/>
  <c r="AX17" i="21" s="1"/>
  <c r="AY17" i="21" s="1"/>
  <c r="AZ17" i="21" s="1"/>
  <c r="BA17" i="21" s="1"/>
  <c r="BB17" i="21" s="1"/>
  <c r="BC17" i="21" s="1"/>
  <c r="BE17" i="21" s="1"/>
  <c r="BF17" i="21" s="1"/>
  <c r="V21" i="2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BB21" i="21" s="1"/>
  <c r="BC21" i="21" s="1"/>
  <c r="BD21" i="21" s="1"/>
  <c r="BE21" i="21" s="1"/>
  <c r="BF21" i="21" s="1"/>
  <c r="O14" i="21"/>
  <c r="P14" i="21" s="1"/>
  <c r="Q14" i="21" s="1"/>
  <c r="R14" i="21" s="1"/>
  <c r="S14" i="21" s="1"/>
  <c r="T14" i="21" s="1"/>
  <c r="U14" i="21" s="1"/>
  <c r="V14" i="21" s="1"/>
  <c r="W14" i="21" s="1"/>
  <c r="X14" i="21" s="1"/>
  <c r="Y14" i="21" s="1"/>
  <c r="Z14" i="21" s="1"/>
  <c r="AA14" i="21" s="1"/>
  <c r="AB14" i="21" s="1"/>
  <c r="AC14" i="21" s="1"/>
  <c r="AD14" i="21" s="1"/>
  <c r="AE14" i="21" s="1"/>
  <c r="AF14" i="21" s="1"/>
  <c r="AG14" i="21" s="1"/>
  <c r="AH14" i="21" s="1"/>
  <c r="AI14" i="21" s="1"/>
  <c r="AJ14" i="21" s="1"/>
  <c r="AK14" i="21" s="1"/>
  <c r="AL14" i="21" s="1"/>
  <c r="AM14" i="21" s="1"/>
  <c r="AN14" i="21" s="1"/>
  <c r="AO14" i="21" s="1"/>
  <c r="AP14" i="21" s="1"/>
  <c r="AQ14" i="21" s="1"/>
  <c r="AR14" i="21" s="1"/>
  <c r="AS14" i="21" s="1"/>
  <c r="AT14" i="21" s="1"/>
  <c r="AU14" i="21" s="1"/>
  <c r="AV14" i="21" s="1"/>
  <c r="AW14" i="21" s="1"/>
  <c r="AX14" i="21" s="1"/>
  <c r="AY14" i="21" s="1"/>
  <c r="AZ14" i="21" s="1"/>
  <c r="BB14" i="21" s="1"/>
  <c r="BC14" i="21" s="1"/>
  <c r="BD14" i="21" s="1"/>
  <c r="BF14" i="21" s="1"/>
  <c r="W22" i="21"/>
  <c r="X22" i="21" s="1"/>
  <c r="Y22" i="21" s="1"/>
  <c r="Z22" i="21" s="1"/>
  <c r="AA22" i="21" s="1"/>
  <c r="AB22" i="21" s="1"/>
  <c r="AC22" i="21" s="1"/>
  <c r="AD22" i="21" s="1"/>
  <c r="AE22" i="21" s="1"/>
  <c r="AF22" i="21" s="1"/>
  <c r="AG22" i="21" s="1"/>
  <c r="AH22" i="21" s="1"/>
  <c r="AI22" i="21" s="1"/>
  <c r="AJ22" i="21" s="1"/>
  <c r="AK22" i="21" s="1"/>
  <c r="AL22" i="21" s="1"/>
  <c r="AM22" i="21" s="1"/>
  <c r="AN22" i="21" s="1"/>
  <c r="AO22" i="21" s="1"/>
  <c r="AP22" i="21" s="1"/>
  <c r="AQ22" i="21" s="1"/>
  <c r="AR22" i="21" s="1"/>
  <c r="AS22" i="21" s="1"/>
  <c r="AT22" i="21" s="1"/>
  <c r="AU22" i="21" s="1"/>
  <c r="AV22" i="21" s="1"/>
  <c r="AW22" i="21" s="1"/>
  <c r="AX22" i="21" s="1"/>
  <c r="AY22" i="21" s="1"/>
  <c r="AZ22" i="21" s="1"/>
  <c r="BA22" i="21" s="1"/>
  <c r="BB22" i="21" s="1"/>
  <c r="BC22" i="21" s="1"/>
  <c r="BD22" i="21" s="1"/>
  <c r="BE22" i="21" s="1"/>
  <c r="BF22" i="21" s="1"/>
  <c r="AA26" i="21"/>
  <c r="AB26" i="21" s="1"/>
  <c r="AC26" i="21" s="1"/>
  <c r="AD26" i="21" s="1"/>
  <c r="P15" i="21"/>
  <c r="Q15" i="21" s="1"/>
  <c r="R15" i="21" s="1"/>
  <c r="S15" i="21" s="1"/>
  <c r="T15" i="21" s="1"/>
  <c r="U15" i="21" s="1"/>
  <c r="V15" i="21" s="1"/>
  <c r="W15" i="21" s="1"/>
  <c r="X15" i="21" s="1"/>
  <c r="Y15" i="21" s="1"/>
  <c r="Z15" i="21" s="1"/>
  <c r="AA15" i="21" s="1"/>
  <c r="AB15" i="21" s="1"/>
  <c r="AC15" i="21" s="1"/>
  <c r="AD15" i="21" s="1"/>
  <c r="AE15" i="21" s="1"/>
  <c r="AF15" i="21" s="1"/>
  <c r="AG15" i="21" s="1"/>
  <c r="AH15" i="21" s="1"/>
  <c r="AI15" i="21" s="1"/>
  <c r="AJ15" i="21" s="1"/>
  <c r="AK15" i="21" s="1"/>
  <c r="AL15" i="21" s="1"/>
  <c r="AM15" i="21" s="1"/>
  <c r="AN15" i="21" s="1"/>
  <c r="AO15" i="21" s="1"/>
  <c r="AP15" i="21" s="1"/>
  <c r="AQ15" i="21" s="1"/>
  <c r="AR15" i="21" s="1"/>
  <c r="AS15" i="21" s="1"/>
  <c r="AT15" i="21" s="1"/>
  <c r="AU15" i="21" s="1"/>
  <c r="AV15" i="21" s="1"/>
  <c r="AW15" i="21" s="1"/>
  <c r="AX15" i="21" s="1"/>
  <c r="AY15" i="21" s="1"/>
  <c r="AZ15" i="21" s="1"/>
  <c r="BA15" i="21" s="1"/>
  <c r="BB15" i="21" s="1"/>
  <c r="BC15" i="21" s="1"/>
  <c r="BD15" i="21" s="1"/>
  <c r="BE15" i="21" s="1"/>
  <c r="AP41" i="21"/>
  <c r="AQ41" i="21" s="1"/>
  <c r="AR41" i="21" s="1"/>
  <c r="AS41" i="21" s="1"/>
  <c r="AT41" i="21" s="1"/>
  <c r="AU41" i="21" s="1"/>
  <c r="AV41" i="21" s="1"/>
  <c r="AW41" i="21" s="1"/>
  <c r="AX41" i="21" s="1"/>
  <c r="AY41" i="21" s="1"/>
  <c r="AZ41" i="21" s="1"/>
  <c r="BA41" i="21" s="1"/>
  <c r="BB41" i="21" s="1"/>
  <c r="BC41" i="21" s="1"/>
  <c r="BD41" i="21" s="1"/>
  <c r="BE41" i="21" s="1"/>
  <c r="BF41" i="21" s="1"/>
  <c r="AZ51" i="21"/>
  <c r="BA51" i="21" s="1"/>
  <c r="BB51" i="21" s="1"/>
  <c r="BC51" i="21" s="1"/>
  <c r="BD51" i="21" s="1"/>
  <c r="BE51" i="21" s="1"/>
  <c r="BF51" i="21" s="1"/>
  <c r="X23" i="21"/>
  <c r="Y23" i="21" s="1"/>
  <c r="Z23" i="21" s="1"/>
  <c r="AA23" i="21" s="1"/>
  <c r="AB23" i="21" s="1"/>
  <c r="AC23" i="21" s="1"/>
  <c r="AD23" i="21" s="1"/>
  <c r="AE23" i="21" s="1"/>
  <c r="AF23" i="21" s="1"/>
  <c r="AG23" i="21" s="1"/>
  <c r="AH23" i="21" s="1"/>
  <c r="AI23" i="21" s="1"/>
  <c r="AJ23" i="21" s="1"/>
  <c r="AK23" i="21" s="1"/>
  <c r="AL23" i="21" s="1"/>
  <c r="AM23" i="21" s="1"/>
  <c r="AN23" i="21" s="1"/>
  <c r="AO23" i="21" s="1"/>
  <c r="AP23" i="21" s="1"/>
  <c r="AQ23" i="21" s="1"/>
  <c r="AR23" i="21" s="1"/>
  <c r="AS23" i="21" s="1"/>
  <c r="AT23" i="21" s="1"/>
  <c r="AU23" i="21" s="1"/>
  <c r="AV23" i="21" s="1"/>
  <c r="AW23" i="21" s="1"/>
  <c r="AX23" i="21" s="1"/>
  <c r="AY23" i="21" s="1"/>
  <c r="AZ23" i="21" s="1"/>
  <c r="BA23" i="21" s="1"/>
  <c r="BB23" i="21" s="1"/>
  <c r="BC23" i="21" s="1"/>
  <c r="BD23" i="21" s="1"/>
  <c r="BE23" i="21" s="1"/>
  <c r="BF23" i="21" s="1"/>
  <c r="AQ42" i="21"/>
  <c r="AR42" i="21" s="1"/>
  <c r="AS42" i="21" s="1"/>
  <c r="AT42" i="21" s="1"/>
  <c r="AU42" i="21" s="1"/>
  <c r="AV42" i="21" s="1"/>
  <c r="AW42" i="21" s="1"/>
  <c r="AX42" i="21" s="1"/>
  <c r="AY42" i="21" s="1"/>
  <c r="AZ42" i="21" s="1"/>
  <c r="BA42" i="21" s="1"/>
  <c r="BB42" i="21" s="1"/>
  <c r="BC42" i="21" s="1"/>
  <c r="BD42" i="21" s="1"/>
  <c r="BE42" i="21" s="1"/>
  <c r="BF42" i="21" s="1"/>
  <c r="S18" i="21"/>
  <c r="T18" i="21" s="1"/>
  <c r="U18" i="21" s="1"/>
  <c r="V18" i="21" s="1"/>
  <c r="W18" i="21" s="1"/>
  <c r="X18" i="21" s="1"/>
  <c r="Y18" i="21" s="1"/>
  <c r="Z18" i="21" s="1"/>
  <c r="AA18" i="21" s="1"/>
  <c r="AB18" i="21" s="1"/>
  <c r="AC18" i="21" s="1"/>
  <c r="AD18" i="21" s="1"/>
  <c r="AE18" i="21" s="1"/>
  <c r="AF18" i="21" s="1"/>
  <c r="AG18" i="21" s="1"/>
  <c r="AH18" i="21" s="1"/>
  <c r="AI18" i="21" s="1"/>
  <c r="AJ18" i="21" s="1"/>
  <c r="AK18" i="21" s="1"/>
  <c r="AL18" i="21" s="1"/>
  <c r="AM18" i="21" s="1"/>
  <c r="AN18" i="21" s="1"/>
  <c r="AO18" i="21" s="1"/>
  <c r="AP18" i="21" s="1"/>
  <c r="AQ18" i="21" s="1"/>
  <c r="AR18" i="21" s="1"/>
  <c r="AS18" i="21" s="1"/>
  <c r="AT18" i="21" s="1"/>
  <c r="AU18" i="21" s="1"/>
  <c r="AV18" i="21" s="1"/>
  <c r="AW18" i="21" s="1"/>
  <c r="AX18" i="21" s="1"/>
  <c r="AY18" i="21" s="1"/>
  <c r="AZ18" i="21" s="1"/>
  <c r="BA18" i="21" s="1"/>
  <c r="BB18" i="21" s="1"/>
  <c r="BC18" i="21" s="1"/>
  <c r="BD18" i="21" s="1"/>
  <c r="BE18" i="21" s="1"/>
  <c r="BF18" i="21" s="1"/>
  <c r="AJ35" i="21"/>
  <c r="AK35" i="21" s="1"/>
  <c r="AL35" i="21" s="1"/>
  <c r="AM35" i="21" s="1"/>
  <c r="AR43" i="21"/>
  <c r="AS43" i="21" s="1"/>
  <c r="AT43" i="21" s="1"/>
  <c r="AU43" i="21" s="1"/>
  <c r="AV43" i="21" s="1"/>
  <c r="AW43" i="21" s="1"/>
  <c r="AX43" i="21" s="1"/>
  <c r="AY43" i="21" s="1"/>
  <c r="AZ43" i="21" s="1"/>
  <c r="BA43" i="21" s="1"/>
  <c r="BB43" i="21" s="1"/>
  <c r="BC43" i="21" s="1"/>
  <c r="BD43" i="21" s="1"/>
  <c r="BE43" i="21" s="1"/>
  <c r="BF43" i="21" s="1"/>
  <c r="AG32" i="21"/>
  <c r="AH32" i="21" s="1"/>
  <c r="AI32" i="21" s="1"/>
  <c r="AJ32" i="21" s="1"/>
  <c r="AW48" i="21"/>
  <c r="AX48" i="21" s="1"/>
  <c r="AY48" i="21" s="1"/>
  <c r="AZ48" i="21" s="1"/>
  <c r="BA48" i="21" s="1"/>
  <c r="BB48" i="21" s="1"/>
  <c r="BC48" i="21" s="1"/>
  <c r="BD48" i="21" s="1"/>
  <c r="BE48" i="21" s="1"/>
  <c r="BF48" i="21" s="1"/>
  <c r="Z25" i="21"/>
  <c r="AA25" i="21" s="1"/>
  <c r="AB25" i="21" s="1"/>
  <c r="AC25" i="21" s="1"/>
  <c r="AD25" i="21" s="1"/>
  <c r="AE25" i="21" s="1"/>
  <c r="AF25" i="21" s="1"/>
  <c r="AG25" i="21" s="1"/>
  <c r="AH25" i="21" s="1"/>
  <c r="AI25" i="21" s="1"/>
  <c r="AJ25" i="21" s="1"/>
  <c r="AK25" i="21" s="1"/>
  <c r="AL25" i="21" s="1"/>
  <c r="AM25" i="21" s="1"/>
  <c r="AN25" i="21" s="1"/>
  <c r="AO25" i="21" s="1"/>
  <c r="AP25" i="21" s="1"/>
  <c r="AQ25" i="21" s="1"/>
  <c r="AR25" i="21" s="1"/>
  <c r="AS25" i="21" s="1"/>
  <c r="AT25" i="21" s="1"/>
  <c r="AU25" i="21" s="1"/>
  <c r="AV25" i="21" s="1"/>
  <c r="AW25" i="21" s="1"/>
  <c r="AX25" i="21" s="1"/>
  <c r="AY25" i="21" s="1"/>
  <c r="AZ25" i="21" s="1"/>
  <c r="BA25" i="21" s="1"/>
  <c r="BB25" i="21" s="1"/>
  <c r="BC25" i="21" s="1"/>
  <c r="BD25" i="21" s="1"/>
  <c r="BE25" i="21" s="1"/>
  <c r="BF25" i="21" s="1"/>
  <c r="AV47" i="21"/>
  <c r="AW47" i="21" s="1"/>
  <c r="AX47" i="21" s="1"/>
  <c r="AY47" i="21" s="1"/>
  <c r="AZ47" i="21" s="1"/>
  <c r="BA47" i="21" s="1"/>
  <c r="BB47" i="21" s="1"/>
  <c r="BC47" i="21" s="1"/>
  <c r="BD47" i="21" s="1"/>
  <c r="BE47" i="21" s="1"/>
  <c r="BF47" i="21" s="1"/>
  <c r="AI34" i="21"/>
  <c r="AJ34" i="21" s="1"/>
  <c r="AK34" i="21" s="1"/>
  <c r="AL34" i="21" s="1"/>
  <c r="Y24" i="21"/>
  <c r="Z24" i="21" s="1"/>
  <c r="AA24" i="21" s="1"/>
  <c r="AB24" i="21" s="1"/>
  <c r="AC24" i="21" s="1"/>
  <c r="AD24" i="21" s="1"/>
  <c r="AE24" i="21" s="1"/>
  <c r="AF24" i="21" s="1"/>
  <c r="AG24" i="21" s="1"/>
  <c r="AH24" i="21" s="1"/>
  <c r="AI24" i="21" s="1"/>
  <c r="AJ24" i="21" s="1"/>
  <c r="AK24" i="21" s="1"/>
  <c r="AL24" i="21" s="1"/>
  <c r="AM24" i="21" s="1"/>
  <c r="AN24" i="21" s="1"/>
  <c r="AO24" i="21" s="1"/>
  <c r="AP24" i="21" s="1"/>
  <c r="AQ24" i="21" s="1"/>
  <c r="AR24" i="21" s="1"/>
  <c r="AS24" i="21" s="1"/>
  <c r="AT24" i="21" s="1"/>
  <c r="AU24" i="21" s="1"/>
  <c r="AV24" i="21" s="1"/>
  <c r="AW24" i="21" s="1"/>
  <c r="AX24" i="21" s="1"/>
  <c r="AY24" i="21" s="1"/>
  <c r="AZ24" i="21" s="1"/>
  <c r="BA24" i="21" s="1"/>
  <c r="BB24" i="21" s="1"/>
  <c r="BC24" i="21" s="1"/>
  <c r="BD24" i="21" s="1"/>
  <c r="BE24" i="21" s="1"/>
  <c r="BF24" i="21" s="1"/>
  <c r="AX49" i="21"/>
  <c r="AY49" i="21" s="1"/>
  <c r="AZ49" i="21" s="1"/>
  <c r="BA49" i="21" s="1"/>
  <c r="BB49" i="21" s="1"/>
  <c r="BC49" i="21" s="1"/>
  <c r="BD49" i="21" s="1"/>
  <c r="BE49" i="21" s="1"/>
  <c r="BF49" i="21" s="1"/>
  <c r="AD29" i="21"/>
  <c r="AE29" i="21" s="1"/>
  <c r="AF29" i="21" s="1"/>
  <c r="AG29" i="21" s="1"/>
  <c r="N111" i="7"/>
  <c r="R105" i="7"/>
  <c r="Q105" i="7"/>
  <c r="P105" i="7"/>
  <c r="O105" i="7"/>
  <c r="N105" i="7"/>
  <c r="S98" i="7"/>
  <c r="S97" i="7"/>
  <c r="S96" i="7"/>
  <c r="R95" i="7"/>
  <c r="Q95" i="7"/>
  <c r="P95" i="7"/>
  <c r="O95" i="7"/>
  <c r="N95" i="7"/>
  <c r="S94" i="7"/>
  <c r="S93" i="7"/>
  <c r="S92" i="7"/>
  <c r="BQ91" i="7"/>
  <c r="BQ89" i="7" s="1"/>
  <c r="BP91" i="7"/>
  <c r="BP89" i="7" s="1"/>
  <c r="BO91" i="7"/>
  <c r="BO89" i="7" s="1"/>
  <c r="BN91" i="7"/>
  <c r="BN89" i="7" s="1"/>
  <c r="BM91" i="7"/>
  <c r="BM89" i="7" s="1"/>
  <c r="BL91" i="7"/>
  <c r="BK91" i="7"/>
  <c r="BJ91" i="7"/>
  <c r="BJ89" i="7" s="1"/>
  <c r="BI91" i="7"/>
  <c r="BI89" i="7" s="1"/>
  <c r="BH91" i="7"/>
  <c r="BH89" i="7" s="1"/>
  <c r="BG91" i="7"/>
  <c r="BF91" i="7"/>
  <c r="BF89" i="7" s="1"/>
  <c r="BE91" i="7"/>
  <c r="BE89" i="7" s="1"/>
  <c r="BD91" i="7"/>
  <c r="BC91" i="7"/>
  <c r="BC89" i="7" s="1"/>
  <c r="BB91" i="7"/>
  <c r="BB89" i="7" s="1"/>
  <c r="BA91" i="7"/>
  <c r="BA89" i="7" s="1"/>
  <c r="AZ91" i="7"/>
  <c r="AZ89" i="7" s="1"/>
  <c r="AY91" i="7"/>
  <c r="AX91" i="7"/>
  <c r="AX89" i="7" s="1"/>
  <c r="AW91" i="7"/>
  <c r="AW89" i="7" s="1"/>
  <c r="AV91" i="7"/>
  <c r="AU91" i="7"/>
  <c r="AU89" i="7" s="1"/>
  <c r="AT91" i="7"/>
  <c r="AT89" i="7" s="1"/>
  <c r="AS91" i="7"/>
  <c r="AS89" i="7" s="1"/>
  <c r="AR91" i="7"/>
  <c r="AR89" i="7" s="1"/>
  <c r="AQ91" i="7"/>
  <c r="AP91" i="7"/>
  <c r="AP89" i="7" s="1"/>
  <c r="AO91" i="7"/>
  <c r="AO89" i="7" s="1"/>
  <c r="AN91" i="7"/>
  <c r="AM91" i="7"/>
  <c r="AL91" i="7"/>
  <c r="AL89" i="7" s="1"/>
  <c r="AK91" i="7"/>
  <c r="AK89" i="7" s="1"/>
  <c r="AJ91" i="7"/>
  <c r="AJ89" i="7" s="1"/>
  <c r="AI91" i="7"/>
  <c r="AH91" i="7"/>
  <c r="AH89" i="7" s="1"/>
  <c r="AG91" i="7"/>
  <c r="AG89" i="7" s="1"/>
  <c r="AF91" i="7"/>
  <c r="AE91" i="7"/>
  <c r="AD91" i="7"/>
  <c r="AD89" i="7" s="1"/>
  <c r="AC91" i="7"/>
  <c r="AC89" i="7" s="1"/>
  <c r="AB91" i="7"/>
  <c r="AB89" i="7" s="1"/>
  <c r="AA91" i="7"/>
  <c r="AA89" i="7" s="1"/>
  <c r="Z91" i="7"/>
  <c r="Z89" i="7" s="1"/>
  <c r="Y91" i="7"/>
  <c r="Y89" i="7" s="1"/>
  <c r="X91" i="7"/>
  <c r="W91" i="7"/>
  <c r="W89" i="7" s="1"/>
  <c r="V91" i="7"/>
  <c r="V89" i="7" s="1"/>
  <c r="U91" i="7"/>
  <c r="U89" i="7" s="1"/>
  <c r="T91" i="7"/>
  <c r="T89" i="7" s="1"/>
  <c r="S91" i="7"/>
  <c r="S90" i="7"/>
  <c r="BK89" i="7"/>
  <c r="AE89" i="7"/>
  <c r="R89" i="7"/>
  <c r="Q89" i="7"/>
  <c r="P89" i="7"/>
  <c r="O89" i="7"/>
  <c r="N89" i="7"/>
  <c r="S89" i="7" s="1"/>
  <c r="S88" i="7"/>
  <c r="BQ87" i="7"/>
  <c r="BP87" i="7"/>
  <c r="BO87" i="7"/>
  <c r="BN87" i="7"/>
  <c r="BM87" i="7"/>
  <c r="BM105" i="7" s="1"/>
  <c r="BL87" i="7"/>
  <c r="BL85" i="7" s="1"/>
  <c r="BK87" i="7"/>
  <c r="BJ87" i="7"/>
  <c r="BI87" i="7"/>
  <c r="BH87" i="7"/>
  <c r="BG87" i="7"/>
  <c r="BG85" i="7" s="1"/>
  <c r="BF87" i="7"/>
  <c r="BE87" i="7"/>
  <c r="BE85" i="7" s="1"/>
  <c r="BD87" i="7"/>
  <c r="BC87" i="7"/>
  <c r="BC85" i="7" s="1"/>
  <c r="BB87" i="7"/>
  <c r="BA87" i="7"/>
  <c r="AZ87" i="7"/>
  <c r="AY87" i="7"/>
  <c r="AX87" i="7"/>
  <c r="AW87" i="7"/>
  <c r="AV87" i="7"/>
  <c r="AV85" i="7" s="1"/>
  <c r="AU87" i="7"/>
  <c r="AT87" i="7"/>
  <c r="AS87" i="7"/>
  <c r="AR87" i="7"/>
  <c r="AR85" i="7" s="1"/>
  <c r="AQ87" i="7"/>
  <c r="AQ85" i="7" s="1"/>
  <c r="AP87" i="7"/>
  <c r="AP85" i="7" s="1"/>
  <c r="AO87" i="7"/>
  <c r="AN87" i="7"/>
  <c r="AN85" i="7" s="1"/>
  <c r="AM87" i="7"/>
  <c r="AM85" i="7" s="1"/>
  <c r="AL87" i="7"/>
  <c r="AK87" i="7"/>
  <c r="AJ87" i="7"/>
  <c r="AJ85" i="7" s="1"/>
  <c r="AI87" i="7"/>
  <c r="AI85" i="7" s="1"/>
  <c r="AH87" i="7"/>
  <c r="AG87" i="7"/>
  <c r="AG85" i="7" s="1"/>
  <c r="AF87" i="7"/>
  <c r="AF85" i="7" s="1"/>
  <c r="AE87" i="7"/>
  <c r="AD87" i="7"/>
  <c r="AC87" i="7"/>
  <c r="AB87" i="7"/>
  <c r="AA87" i="7"/>
  <c r="AA85" i="7" s="1"/>
  <c r="Z87" i="7"/>
  <c r="Y87" i="7"/>
  <c r="X87" i="7"/>
  <c r="X85" i="7" s="1"/>
  <c r="W87" i="7"/>
  <c r="V87" i="7"/>
  <c r="U87" i="7"/>
  <c r="T87" i="7"/>
  <c r="S87" i="7"/>
  <c r="S86" i="7"/>
  <c r="BN85" i="7"/>
  <c r="BD85" i="7"/>
  <c r="R85" i="7"/>
  <c r="Q85" i="7"/>
  <c r="P85" i="7"/>
  <c r="O85" i="7"/>
  <c r="N85" i="7"/>
  <c r="BQ84" i="7"/>
  <c r="BP84" i="7"/>
  <c r="BO84" i="7"/>
  <c r="BN84" i="7"/>
  <c r="BM84" i="7"/>
  <c r="BL84" i="7"/>
  <c r="BK84" i="7"/>
  <c r="BJ84" i="7"/>
  <c r="BI84" i="7"/>
  <c r="BH84" i="7"/>
  <c r="BG84" i="7"/>
  <c r="BF84" i="7"/>
  <c r="BE84" i="7"/>
  <c r="BD84" i="7"/>
  <c r="BC84" i="7"/>
  <c r="BB84" i="7"/>
  <c r="BA84" i="7"/>
  <c r="AZ84" i="7"/>
  <c r="AY84" i="7"/>
  <c r="AX84" i="7"/>
  <c r="AW84" i="7"/>
  <c r="AV84" i="7"/>
  <c r="AU84" i="7"/>
  <c r="AT84" i="7"/>
  <c r="AS84" i="7"/>
  <c r="AR84" i="7"/>
  <c r="AQ84" i="7"/>
  <c r="AP84" i="7"/>
  <c r="AO84" i="7"/>
  <c r="AN84" i="7"/>
  <c r="AM84" i="7"/>
  <c r="AL84" i="7"/>
  <c r="AK84" i="7"/>
  <c r="AJ84" i="7"/>
  <c r="AI84" i="7"/>
  <c r="AH84" i="7"/>
  <c r="AG84" i="7"/>
  <c r="AF84" i="7"/>
  <c r="AE84" i="7"/>
  <c r="AD84" i="7"/>
  <c r="AC84" i="7"/>
  <c r="AB84" i="7"/>
  <c r="AA84" i="7"/>
  <c r="Z84" i="7"/>
  <c r="Y84" i="7"/>
  <c r="X84" i="7"/>
  <c r="W84" i="7"/>
  <c r="V84" i="7"/>
  <c r="U84" i="7"/>
  <c r="T84" i="7"/>
  <c r="S84" i="7"/>
  <c r="S83" i="7"/>
  <c r="S82" i="7"/>
  <c r="BQ81" i="7"/>
  <c r="BQ80" i="7" s="1"/>
  <c r="BP81" i="7"/>
  <c r="BP80" i="7" s="1"/>
  <c r="BO81" i="7"/>
  <c r="BN81" i="7"/>
  <c r="BN80" i="7" s="1"/>
  <c r="BM81" i="7"/>
  <c r="BM80" i="7" s="1"/>
  <c r="BL81" i="7"/>
  <c r="BL80" i="7" s="1"/>
  <c r="BK81" i="7"/>
  <c r="BK80" i="7" s="1"/>
  <c r="BJ81" i="7"/>
  <c r="BJ80" i="7" s="1"/>
  <c r="BI81" i="7"/>
  <c r="BI80" i="7" s="1"/>
  <c r="BH81" i="7"/>
  <c r="BG81" i="7"/>
  <c r="BF81" i="7"/>
  <c r="BF80" i="7" s="1"/>
  <c r="BE81" i="7"/>
  <c r="BD81" i="7"/>
  <c r="BC81" i="7"/>
  <c r="BC80" i="7" s="1"/>
  <c r="BB81" i="7"/>
  <c r="BB80" i="7" s="1"/>
  <c r="BA81" i="7"/>
  <c r="BA80" i="7" s="1"/>
  <c r="AZ81" i="7"/>
  <c r="AY81" i="7"/>
  <c r="AX81" i="7"/>
  <c r="AX80" i="7" s="1"/>
  <c r="AW81" i="7"/>
  <c r="AW80" i="7" s="1"/>
  <c r="AV81" i="7"/>
  <c r="AV80" i="7" s="1"/>
  <c r="AU81" i="7"/>
  <c r="AU80" i="7" s="1"/>
  <c r="AT81" i="7"/>
  <c r="AT80" i="7" s="1"/>
  <c r="AS81" i="7"/>
  <c r="AS80" i="7" s="1"/>
  <c r="AR81" i="7"/>
  <c r="AQ81" i="7"/>
  <c r="AP81" i="7"/>
  <c r="AP80" i="7" s="1"/>
  <c r="AO81" i="7"/>
  <c r="AO80" i="7" s="1"/>
  <c r="AN81" i="7"/>
  <c r="AN80" i="7" s="1"/>
  <c r="AM81" i="7"/>
  <c r="AM80" i="7" s="1"/>
  <c r="AL81" i="7"/>
  <c r="AL80" i="7" s="1"/>
  <c r="AK81" i="7"/>
  <c r="AK80" i="7" s="1"/>
  <c r="AJ81" i="7"/>
  <c r="AJ80" i="7" s="1"/>
  <c r="AI81" i="7"/>
  <c r="AH81" i="7"/>
  <c r="AH80" i="7" s="1"/>
  <c r="AG81" i="7"/>
  <c r="AG80" i="7" s="1"/>
  <c r="AF81" i="7"/>
  <c r="AF80" i="7" s="1"/>
  <c r="AE81" i="7"/>
  <c r="AE80" i="7" s="1"/>
  <c r="AD81" i="7"/>
  <c r="AD80" i="7" s="1"/>
  <c r="AC81" i="7"/>
  <c r="AC80" i="7" s="1"/>
  <c r="AB81" i="7"/>
  <c r="AA81" i="7"/>
  <c r="Z81" i="7"/>
  <c r="Z80" i="7" s="1"/>
  <c r="Y81" i="7"/>
  <c r="Y80" i="7" s="1"/>
  <c r="X81" i="7"/>
  <c r="X80" i="7" s="1"/>
  <c r="W81" i="7"/>
  <c r="W80" i="7" s="1"/>
  <c r="V81" i="7"/>
  <c r="V80" i="7" s="1"/>
  <c r="U81" i="7"/>
  <c r="U80" i="7" s="1"/>
  <c r="T81" i="7"/>
  <c r="T80" i="7" s="1"/>
  <c r="R81" i="7"/>
  <c r="Q81" i="7"/>
  <c r="Q80" i="7" s="1"/>
  <c r="Q79" i="7" s="1"/>
  <c r="P81" i="7"/>
  <c r="O81" i="7"/>
  <c r="N81" i="7"/>
  <c r="N80" i="7" s="1"/>
  <c r="N79" i="7" s="1"/>
  <c r="BO80" i="7"/>
  <c r="BH80" i="7"/>
  <c r="BG80" i="7"/>
  <c r="BE80" i="7"/>
  <c r="BD80" i="7"/>
  <c r="AZ80" i="7"/>
  <c r="AY80" i="7"/>
  <c r="AR80" i="7"/>
  <c r="AQ80" i="7"/>
  <c r="AI80" i="7"/>
  <c r="AB80" i="7"/>
  <c r="AA80" i="7"/>
  <c r="R80" i="7"/>
  <c r="P80" i="7"/>
  <c r="S78" i="7"/>
  <c r="S77" i="7"/>
  <c r="S76" i="7"/>
  <c r="S75" i="7"/>
  <c r="S74" i="7"/>
  <c r="S73" i="7"/>
  <c r="R72" i="7"/>
  <c r="Q72" i="7"/>
  <c r="P72" i="7"/>
  <c r="O72" i="7"/>
  <c r="N72" i="7"/>
  <c r="BQ62" i="7"/>
  <c r="BP62" i="7"/>
  <c r="BO62" i="7"/>
  <c r="BN62" i="7"/>
  <c r="BM62" i="7"/>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T61" i="7"/>
  <c r="U61" i="7" s="1"/>
  <c r="V61" i="7" s="1"/>
  <c r="W61" i="7" s="1"/>
  <c r="BQ54" i="7"/>
  <c r="BQ111" i="7" s="1"/>
  <c r="BP54" i="7"/>
  <c r="BP111" i="7" s="1"/>
  <c r="BO54" i="7"/>
  <c r="BO111" i="7" s="1"/>
  <c r="BN54" i="7"/>
  <c r="BN111" i="7" s="1"/>
  <c r="BM54" i="7"/>
  <c r="BM111" i="7" s="1"/>
  <c r="BL54" i="7"/>
  <c r="BL111" i="7" s="1"/>
  <c r="BK54" i="7"/>
  <c r="BK111" i="7" s="1"/>
  <c r="BJ54" i="7"/>
  <c r="BJ111" i="7" s="1"/>
  <c r="BI54" i="7"/>
  <c r="BI111" i="7" s="1"/>
  <c r="BH54" i="7"/>
  <c r="BH111" i="7" s="1"/>
  <c r="BG54" i="7"/>
  <c r="BG111" i="7" s="1"/>
  <c r="BF54" i="7"/>
  <c r="BF111" i="7" s="1"/>
  <c r="BE54" i="7"/>
  <c r="BE111" i="7" s="1"/>
  <c r="BD54" i="7"/>
  <c r="BD111" i="7" s="1"/>
  <c r="BC54" i="7"/>
  <c r="BC111" i="7" s="1"/>
  <c r="BB54" i="7"/>
  <c r="BB111" i="7" s="1"/>
  <c r="BA54" i="7"/>
  <c r="BA111" i="7" s="1"/>
  <c r="AZ54" i="7"/>
  <c r="AZ111" i="7" s="1"/>
  <c r="AY54" i="7"/>
  <c r="AY111" i="7" s="1"/>
  <c r="AX54" i="7"/>
  <c r="AX111" i="7" s="1"/>
  <c r="AW54" i="7"/>
  <c r="AW111" i="7" s="1"/>
  <c r="AV54" i="7"/>
  <c r="AV111" i="7" s="1"/>
  <c r="AU54" i="7"/>
  <c r="AU111" i="7" s="1"/>
  <c r="AT54" i="7"/>
  <c r="AT111" i="7" s="1"/>
  <c r="AS54" i="7"/>
  <c r="AS111" i="7" s="1"/>
  <c r="AR54" i="7"/>
  <c r="AR111" i="7" s="1"/>
  <c r="AQ54" i="7"/>
  <c r="AQ111" i="7" s="1"/>
  <c r="AP54" i="7"/>
  <c r="AP111" i="7" s="1"/>
  <c r="AO54" i="7"/>
  <c r="AO111" i="7" s="1"/>
  <c r="AN54" i="7"/>
  <c r="AN111" i="7" s="1"/>
  <c r="AM54" i="7"/>
  <c r="AM111" i="7" s="1"/>
  <c r="AL54" i="7"/>
  <c r="AL111" i="7" s="1"/>
  <c r="AK54" i="7"/>
  <c r="AK111" i="7" s="1"/>
  <c r="AJ54" i="7"/>
  <c r="AJ111" i="7" s="1"/>
  <c r="AI54" i="7"/>
  <c r="AI111" i="7" s="1"/>
  <c r="AH54" i="7"/>
  <c r="AH111" i="7" s="1"/>
  <c r="AG54" i="7"/>
  <c r="AG111" i="7" s="1"/>
  <c r="AF54" i="7"/>
  <c r="AF111" i="7" s="1"/>
  <c r="AE54" i="7"/>
  <c r="AE111" i="7" s="1"/>
  <c r="AD54" i="7"/>
  <c r="AD111" i="7" s="1"/>
  <c r="AC54" i="7"/>
  <c r="AC111" i="7" s="1"/>
  <c r="AB54" i="7"/>
  <c r="AB111" i="7" s="1"/>
  <c r="AA54" i="7"/>
  <c r="AA111" i="7" s="1"/>
  <c r="Z54" i="7"/>
  <c r="Z111" i="7" s="1"/>
  <c r="Y54" i="7"/>
  <c r="Y111" i="7" s="1"/>
  <c r="X54" i="7"/>
  <c r="X111" i="7" s="1"/>
  <c r="W54" i="7"/>
  <c r="W111" i="7" s="1"/>
  <c r="V54" i="7"/>
  <c r="V111" i="7" s="1"/>
  <c r="U54" i="7"/>
  <c r="U111" i="7" s="1"/>
  <c r="T54" i="7"/>
  <c r="T111" i="7" s="1"/>
  <c r="R111" i="7"/>
  <c r="Q111" i="7"/>
  <c r="P111" i="7"/>
  <c r="T53" i="7"/>
  <c r="T51" i="7" s="1"/>
  <c r="T110" i="7" s="1"/>
  <c r="R110" i="7"/>
  <c r="Q110" i="7"/>
  <c r="P110" i="7"/>
  <c r="N110" i="7"/>
  <c r="T50" i="7"/>
  <c r="U50" i="7" s="1"/>
  <c r="V50" i="7" s="1"/>
  <c r="W50" i="7" s="1"/>
  <c r="X50" i="7" s="1"/>
  <c r="Y50" i="7" s="1"/>
  <c r="Z50" i="7" s="1"/>
  <c r="AA50" i="7" s="1"/>
  <c r="AB50" i="7" s="1"/>
  <c r="AC50" i="7" s="1"/>
  <c r="AD50" i="7" s="1"/>
  <c r="AE50" i="7" s="1"/>
  <c r="AF50" i="7" s="1"/>
  <c r="AG50" i="7" s="1"/>
  <c r="AH50" i="7" s="1"/>
  <c r="AI50" i="7" s="1"/>
  <c r="AJ50" i="7" s="1"/>
  <c r="AK50" i="7" s="1"/>
  <c r="AL50" i="7" s="1"/>
  <c r="AM50" i="7" s="1"/>
  <c r="AN50" i="7" s="1"/>
  <c r="AO50" i="7" s="1"/>
  <c r="AP50" i="7" s="1"/>
  <c r="AQ50" i="7" s="1"/>
  <c r="AR50" i="7" s="1"/>
  <c r="AS50" i="7" s="1"/>
  <c r="AT50" i="7" s="1"/>
  <c r="AU50" i="7" s="1"/>
  <c r="AV50" i="7" s="1"/>
  <c r="AW50" i="7" s="1"/>
  <c r="AX50" i="7" s="1"/>
  <c r="AY50" i="7" s="1"/>
  <c r="AZ50" i="7" s="1"/>
  <c r="BA50" i="7" s="1"/>
  <c r="BB50" i="7" s="1"/>
  <c r="BC50" i="7" s="1"/>
  <c r="BD50" i="7" s="1"/>
  <c r="BE50" i="7" s="1"/>
  <c r="BF50" i="7" s="1"/>
  <c r="BG50" i="7" s="1"/>
  <c r="BH50" i="7" s="1"/>
  <c r="BI50" i="7" s="1"/>
  <c r="BJ50" i="7" s="1"/>
  <c r="BK50" i="7" s="1"/>
  <c r="BL50" i="7" s="1"/>
  <c r="BM50" i="7" s="1"/>
  <c r="BN50" i="7" s="1"/>
  <c r="BO50" i="7" s="1"/>
  <c r="BP50" i="7" s="1"/>
  <c r="BQ50" i="7" s="1"/>
  <c r="T40" i="7"/>
  <c r="U40" i="7" s="1"/>
  <c r="V40" i="7" s="1"/>
  <c r="W40" i="7" s="1"/>
  <c r="X40" i="7" s="1"/>
  <c r="Y40" i="7" s="1"/>
  <c r="Z40" i="7" s="1"/>
  <c r="AA40" i="7" s="1"/>
  <c r="AB40" i="7" s="1"/>
  <c r="AC40" i="7" s="1"/>
  <c r="AD40" i="7" s="1"/>
  <c r="AE40" i="7" s="1"/>
  <c r="AF40" i="7" s="1"/>
  <c r="AG40" i="7" s="1"/>
  <c r="AH40" i="7" s="1"/>
  <c r="AI40" i="7" s="1"/>
  <c r="AJ40" i="7" s="1"/>
  <c r="AK40" i="7" s="1"/>
  <c r="AL40" i="7" s="1"/>
  <c r="AM40" i="7" s="1"/>
  <c r="AN40" i="7" s="1"/>
  <c r="AO40" i="7" s="1"/>
  <c r="AP40" i="7" s="1"/>
  <c r="AQ40" i="7" s="1"/>
  <c r="AR40" i="7" s="1"/>
  <c r="AS40" i="7" s="1"/>
  <c r="AT40" i="7" s="1"/>
  <c r="AU40" i="7" s="1"/>
  <c r="AV40" i="7" s="1"/>
  <c r="AW40" i="7" s="1"/>
  <c r="AX40" i="7" s="1"/>
  <c r="AY40" i="7" s="1"/>
  <c r="AZ40" i="7" s="1"/>
  <c r="BA40" i="7" s="1"/>
  <c r="BB40" i="7" s="1"/>
  <c r="BC40" i="7" s="1"/>
  <c r="BD40" i="7" s="1"/>
  <c r="BE40" i="7" s="1"/>
  <c r="BF40" i="7" s="1"/>
  <c r="BG40" i="7" s="1"/>
  <c r="BH40" i="7" s="1"/>
  <c r="BI40" i="7" s="1"/>
  <c r="BJ40" i="7" s="1"/>
  <c r="BK40" i="7" s="1"/>
  <c r="BL40" i="7" s="1"/>
  <c r="BM40" i="7" s="1"/>
  <c r="BN40" i="7" s="1"/>
  <c r="BO40" i="7" s="1"/>
  <c r="BP40" i="7" s="1"/>
  <c r="BQ40" i="7" s="1"/>
  <c r="T32" i="7"/>
  <c r="U32" i="7" s="1"/>
  <c r="V32" i="7" s="1"/>
  <c r="W32" i="7" s="1"/>
  <c r="X32" i="7" s="1"/>
  <c r="Y32" i="7" s="1"/>
  <c r="Z32" i="7" s="1"/>
  <c r="AA32" i="7" s="1"/>
  <c r="AB32" i="7" s="1"/>
  <c r="AC32" i="7" s="1"/>
  <c r="AD32" i="7" s="1"/>
  <c r="AE32" i="7" s="1"/>
  <c r="AF32" i="7" s="1"/>
  <c r="AG32" i="7" s="1"/>
  <c r="AH32" i="7" s="1"/>
  <c r="AI32" i="7" s="1"/>
  <c r="AJ32" i="7" s="1"/>
  <c r="AK32" i="7" s="1"/>
  <c r="AL32" i="7" s="1"/>
  <c r="AM32" i="7" s="1"/>
  <c r="AN32" i="7" s="1"/>
  <c r="AO32" i="7" s="1"/>
  <c r="AP32" i="7" s="1"/>
  <c r="AQ32" i="7" s="1"/>
  <c r="AR32" i="7" s="1"/>
  <c r="AS32" i="7" s="1"/>
  <c r="AT32" i="7" s="1"/>
  <c r="AU32" i="7" s="1"/>
  <c r="AV32" i="7" s="1"/>
  <c r="AW32" i="7" s="1"/>
  <c r="AX32" i="7" s="1"/>
  <c r="AY32" i="7" s="1"/>
  <c r="AZ32" i="7" s="1"/>
  <c r="BA32" i="7" s="1"/>
  <c r="BB32" i="7" s="1"/>
  <c r="BC32" i="7" s="1"/>
  <c r="BD32" i="7" s="1"/>
  <c r="BE32" i="7" s="1"/>
  <c r="BF32" i="7" s="1"/>
  <c r="BG32" i="7" s="1"/>
  <c r="BH32" i="7" s="1"/>
  <c r="BI32" i="7" s="1"/>
  <c r="BJ32" i="7" s="1"/>
  <c r="BK32" i="7" s="1"/>
  <c r="BL32" i="7" s="1"/>
  <c r="BM32" i="7" s="1"/>
  <c r="BN32" i="7" s="1"/>
  <c r="BO32" i="7" s="1"/>
  <c r="BP32" i="7" s="1"/>
  <c r="BQ32" i="7" s="1"/>
  <c r="BQ19" i="7"/>
  <c r="BP19" i="7"/>
  <c r="BO19" i="7"/>
  <c r="BN19" i="7"/>
  <c r="BM19" i="7"/>
  <c r="BL19" i="7"/>
  <c r="BK19" i="7"/>
  <c r="BJ19" i="7"/>
  <c r="BI19" i="7"/>
  <c r="BH19" i="7"/>
  <c r="BG19" i="7"/>
  <c r="BF19" i="7"/>
  <c r="BE19" i="7"/>
  <c r="BD19" i="7"/>
  <c r="BC19" i="7"/>
  <c r="BB19" i="7"/>
  <c r="BA19" i="7"/>
  <c r="AZ19" i="7"/>
  <c r="AY19" i="7"/>
  <c r="AX19" i="7"/>
  <c r="AW19" i="7"/>
  <c r="AV19" i="7"/>
  <c r="AU19" i="7"/>
  <c r="AT19" i="7"/>
  <c r="AS19" i="7"/>
  <c r="AR19" i="7"/>
  <c r="AQ19" i="7"/>
  <c r="AP19" i="7"/>
  <c r="AO19" i="7"/>
  <c r="AN19" i="7"/>
  <c r="AM19" i="7"/>
  <c r="AL19" i="7"/>
  <c r="AK19" i="7"/>
  <c r="AJ19" i="7"/>
  <c r="AI19" i="7"/>
  <c r="AH19" i="7"/>
  <c r="AG19" i="7"/>
  <c r="AF19" i="7"/>
  <c r="AE19" i="7"/>
  <c r="AD19" i="7"/>
  <c r="AC19" i="7"/>
  <c r="AB19" i="7"/>
  <c r="AA19" i="7"/>
  <c r="Z19" i="7"/>
  <c r="Y19" i="7"/>
  <c r="X19" i="7"/>
  <c r="W19" i="7"/>
  <c r="V19" i="7"/>
  <c r="U19" i="7"/>
  <c r="T19" i="7"/>
  <c r="R112" i="7"/>
  <c r="Q112" i="7"/>
  <c r="O112" i="7"/>
  <c r="T14" i="7"/>
  <c r="U14" i="7" s="1"/>
  <c r="V14" i="7" s="1"/>
  <c r="W14" i="7" s="1"/>
  <c r="X14" i="7" s="1"/>
  <c r="Y14" i="7" s="1"/>
  <c r="Z14" i="7" s="1"/>
  <c r="AA14" i="7" s="1"/>
  <c r="AB14" i="7" s="1"/>
  <c r="AC14" i="7" s="1"/>
  <c r="AD14" i="7" s="1"/>
  <c r="AE14" i="7" s="1"/>
  <c r="AF14" i="7" s="1"/>
  <c r="AG14" i="7" s="1"/>
  <c r="AH14" i="7" s="1"/>
  <c r="AI14" i="7" s="1"/>
  <c r="AJ14" i="7" s="1"/>
  <c r="AK14" i="7" s="1"/>
  <c r="AL14" i="7" s="1"/>
  <c r="AM14" i="7" s="1"/>
  <c r="AN14" i="7" s="1"/>
  <c r="AO14" i="7" s="1"/>
  <c r="AP14" i="7" s="1"/>
  <c r="AQ14" i="7" s="1"/>
  <c r="AR14" i="7" s="1"/>
  <c r="AS14" i="7" s="1"/>
  <c r="AT14" i="7" s="1"/>
  <c r="AU14" i="7" s="1"/>
  <c r="AV14" i="7" s="1"/>
  <c r="AW14" i="7" s="1"/>
  <c r="AX14" i="7" s="1"/>
  <c r="AY14" i="7" s="1"/>
  <c r="AZ14" i="7" s="1"/>
  <c r="BA14" i="7" s="1"/>
  <c r="BB14" i="7" s="1"/>
  <c r="BC14" i="7" s="1"/>
  <c r="BD14" i="7" s="1"/>
  <c r="BE14" i="7" s="1"/>
  <c r="BF14" i="7" s="1"/>
  <c r="BG14" i="7" s="1"/>
  <c r="BH14" i="7" s="1"/>
  <c r="BI14" i="7" s="1"/>
  <c r="BJ14" i="7" s="1"/>
  <c r="BK14" i="7" s="1"/>
  <c r="BL14" i="7" s="1"/>
  <c r="BM14" i="7" s="1"/>
  <c r="BN14" i="7" s="1"/>
  <c r="BO14" i="7" s="1"/>
  <c r="BP14" i="7" s="1"/>
  <c r="BQ14" i="7" s="1"/>
  <c r="T13" i="7"/>
  <c r="U13" i="7" s="1"/>
  <c r="V13" i="7" s="1"/>
  <c r="W13" i="7" s="1"/>
  <c r="X13" i="7" s="1"/>
  <c r="Y13" i="7" s="1"/>
  <c r="Z13" i="7" s="1"/>
  <c r="AA13" i="7" s="1"/>
  <c r="AB13" i="7" s="1"/>
  <c r="AC13" i="7" s="1"/>
  <c r="AD13" i="7" s="1"/>
  <c r="AE13" i="7" s="1"/>
  <c r="AF13" i="7" s="1"/>
  <c r="AG13" i="7" s="1"/>
  <c r="AH13" i="7" s="1"/>
  <c r="AI13" i="7" s="1"/>
  <c r="AJ13" i="7" s="1"/>
  <c r="AK13" i="7" s="1"/>
  <c r="AL13" i="7" s="1"/>
  <c r="AM13" i="7" s="1"/>
  <c r="AN13" i="7" s="1"/>
  <c r="AO13" i="7" s="1"/>
  <c r="AP13" i="7" s="1"/>
  <c r="AQ13" i="7" s="1"/>
  <c r="AR13" i="7" s="1"/>
  <c r="AS13" i="7" s="1"/>
  <c r="AT13" i="7" s="1"/>
  <c r="AU13" i="7" s="1"/>
  <c r="AV13" i="7" s="1"/>
  <c r="AW13" i="7" s="1"/>
  <c r="AX13" i="7" s="1"/>
  <c r="AY13" i="7" s="1"/>
  <c r="AZ13" i="7" s="1"/>
  <c r="BA13" i="7" s="1"/>
  <c r="BB13" i="7" s="1"/>
  <c r="BC13" i="7" s="1"/>
  <c r="BD13" i="7" s="1"/>
  <c r="BE13" i="7" s="1"/>
  <c r="BF13" i="7" s="1"/>
  <c r="BG13" i="7" s="1"/>
  <c r="BH13" i="7" s="1"/>
  <c r="BI13" i="7" s="1"/>
  <c r="BJ13" i="7" s="1"/>
  <c r="BK13" i="7" s="1"/>
  <c r="BL13" i="7" s="1"/>
  <c r="BM13" i="7" s="1"/>
  <c r="BN13" i="7" s="1"/>
  <c r="BO13" i="7" s="1"/>
  <c r="BP13" i="7" s="1"/>
  <c r="BQ13" i="7" s="1"/>
  <c r="T12" i="7"/>
  <c r="U12" i="7" s="1"/>
  <c r="V12" i="7" s="1"/>
  <c r="W12" i="7" s="1"/>
  <c r="T10" i="7"/>
  <c r="U10" i="7" s="1"/>
  <c r="V10" i="7" s="1"/>
  <c r="W10" i="7" s="1"/>
  <c r="X10" i="7" s="1"/>
  <c r="Y10" i="7" s="1"/>
  <c r="Z10" i="7" s="1"/>
  <c r="AA10" i="7" s="1"/>
  <c r="AB10" i="7" s="1"/>
  <c r="AC10" i="7" s="1"/>
  <c r="AD10" i="7" s="1"/>
  <c r="AE10" i="7" s="1"/>
  <c r="AF10" i="7" s="1"/>
  <c r="AG10" i="7" s="1"/>
  <c r="AH10" i="7" s="1"/>
  <c r="AI10" i="7" s="1"/>
  <c r="AJ10" i="7" s="1"/>
  <c r="AK10" i="7" s="1"/>
  <c r="AL10" i="7" s="1"/>
  <c r="AM10" i="7" s="1"/>
  <c r="AN10" i="7" s="1"/>
  <c r="AO10" i="7" s="1"/>
  <c r="AP10" i="7" s="1"/>
  <c r="AQ10" i="7" s="1"/>
  <c r="AR10" i="7" s="1"/>
  <c r="AS10" i="7" s="1"/>
  <c r="AT10" i="7" s="1"/>
  <c r="AU10" i="7" s="1"/>
  <c r="AV10" i="7" s="1"/>
  <c r="AW10" i="7" s="1"/>
  <c r="AX10" i="7" s="1"/>
  <c r="AY10" i="7" s="1"/>
  <c r="AZ10" i="7" s="1"/>
  <c r="BA10" i="7" s="1"/>
  <c r="BB10" i="7" s="1"/>
  <c r="BC10" i="7" s="1"/>
  <c r="BD10" i="7" s="1"/>
  <c r="BE10" i="7" s="1"/>
  <c r="BF10" i="7" s="1"/>
  <c r="BG10" i="7" s="1"/>
  <c r="BH10" i="7" s="1"/>
  <c r="BI10" i="7" s="1"/>
  <c r="BJ10" i="7" s="1"/>
  <c r="BK10" i="7" s="1"/>
  <c r="BL10" i="7" s="1"/>
  <c r="BM10" i="7" s="1"/>
  <c r="BN10" i="7" s="1"/>
  <c r="BO10" i="7" s="1"/>
  <c r="BP10" i="7" s="1"/>
  <c r="BQ10" i="7" s="1"/>
  <c r="T8" i="7"/>
  <c r="Q12" i="21" l="1"/>
  <c r="R12" i="21" s="1"/>
  <c r="S12" i="21" s="1"/>
  <c r="T12" i="21" s="1"/>
  <c r="U12" i="21" s="1"/>
  <c r="V12" i="21" s="1"/>
  <c r="W12" i="21" s="1"/>
  <c r="X12" i="21" s="1"/>
  <c r="Y12" i="21" s="1"/>
  <c r="Z12" i="21" s="1"/>
  <c r="AA12" i="21" s="1"/>
  <c r="AB12" i="21" s="1"/>
  <c r="AC12" i="21" s="1"/>
  <c r="AD12" i="21" s="1"/>
  <c r="AE12" i="21" s="1"/>
  <c r="AF12" i="21" s="1"/>
  <c r="AG12" i="21" s="1"/>
  <c r="AH12" i="21" s="1"/>
  <c r="AI12" i="21" s="1"/>
  <c r="AJ12" i="21" s="1"/>
  <c r="AK12" i="21" s="1"/>
  <c r="AL12" i="21" s="1"/>
  <c r="AM12" i="21" s="1"/>
  <c r="AN12" i="21" s="1"/>
  <c r="AO12" i="21" s="1"/>
  <c r="AP12" i="21" s="1"/>
  <c r="AQ12" i="21" s="1"/>
  <c r="AR12" i="21" s="1"/>
  <c r="AS12" i="21" s="1"/>
  <c r="AT12" i="21" s="1"/>
  <c r="AU12" i="21" s="1"/>
  <c r="AV12" i="21" s="1"/>
  <c r="AW12" i="21" s="1"/>
  <c r="AX12" i="21" s="1"/>
  <c r="BD12" i="21" s="1"/>
  <c r="BE12" i="21" s="1"/>
  <c r="BF12" i="21" s="1"/>
  <c r="P7" i="21"/>
  <c r="M11" i="21"/>
  <c r="L7" i="21"/>
  <c r="BN105" i="7"/>
  <c r="Z105" i="7"/>
  <c r="AH105" i="7"/>
  <c r="BF76" i="7"/>
  <c r="AX105" i="7"/>
  <c r="Y105" i="7"/>
  <c r="AO105" i="7"/>
  <c r="AW76" i="7"/>
  <c r="AO85" i="7"/>
  <c r="V105" i="7"/>
  <c r="AD105" i="7"/>
  <c r="AL105" i="7"/>
  <c r="AT105" i="7"/>
  <c r="BB105" i="7"/>
  <c r="BJ105" i="7"/>
  <c r="AY85" i="7"/>
  <c r="AY77" i="7"/>
  <c r="BK77" i="7"/>
  <c r="BK76" i="7"/>
  <c r="BK73" i="7" s="1"/>
  <c r="BK72" i="7" s="1"/>
  <c r="BO76" i="7"/>
  <c r="BO85" i="7"/>
  <c r="Q107" i="7"/>
  <c r="R107" i="7"/>
  <c r="BK85" i="7"/>
  <c r="N99" i="7"/>
  <c r="R79" i="7"/>
  <c r="R99" i="7" s="1"/>
  <c r="R104" i="7" s="1"/>
  <c r="R115" i="7" s="1"/>
  <c r="S105" i="7"/>
  <c r="P79" i="7"/>
  <c r="P99" i="7" s="1"/>
  <c r="P104" i="7" s="1"/>
  <c r="P115" i="7" s="1"/>
  <c r="AI105" i="7"/>
  <c r="AQ105" i="7"/>
  <c r="AX77" i="7"/>
  <c r="V76" i="7"/>
  <c r="BB76" i="7"/>
  <c r="AZ77" i="7"/>
  <c r="AN77" i="7"/>
  <c r="BJ76" i="7"/>
  <c r="T77" i="7"/>
  <c r="AM77" i="7"/>
  <c r="W76" i="7"/>
  <c r="V77" i="7"/>
  <c r="AM89" i="7"/>
  <c r="W77" i="7"/>
  <c r="BE76" i="7"/>
  <c r="AY105" i="7"/>
  <c r="BG76" i="7"/>
  <c r="AE76" i="7"/>
  <c r="AU76" i="7"/>
  <c r="BC76" i="7"/>
  <c r="AG76" i="7"/>
  <c r="AD77" i="7"/>
  <c r="BF85" i="7"/>
  <c r="BO105" i="7"/>
  <c r="Y76" i="7"/>
  <c r="Y85" i="7"/>
  <c r="AH76" i="7"/>
  <c r="BM76" i="7"/>
  <c r="AL77" i="7"/>
  <c r="BN77" i="7"/>
  <c r="AB76" i="7"/>
  <c r="AR76" i="7"/>
  <c r="AI76" i="7"/>
  <c r="BN76" i="7"/>
  <c r="BO77" i="7"/>
  <c r="BO73" i="7" s="1"/>
  <c r="BO72" i="7" s="1"/>
  <c r="AH85" i="7"/>
  <c r="AW85" i="7"/>
  <c r="AY89" i="7"/>
  <c r="AG105" i="7"/>
  <c r="AO76" i="7"/>
  <c r="BM77" i="7"/>
  <c r="AP105" i="7"/>
  <c r="AR77" i="7"/>
  <c r="BB85" i="7"/>
  <c r="BM85" i="7"/>
  <c r="AL76" i="7"/>
  <c r="AX76" i="7"/>
  <c r="Z77" i="7"/>
  <c r="Z85" i="7"/>
  <c r="AT85" i="7"/>
  <c r="AQ89" i="7"/>
  <c r="BF105" i="7"/>
  <c r="Z76" i="7"/>
  <c r="AM76" i="7"/>
  <c r="AY76" i="7"/>
  <c r="AA77" i="7"/>
  <c r="AP77" i="7"/>
  <c r="BB77" i="7"/>
  <c r="AL85" i="7"/>
  <c r="AU85" i="7"/>
  <c r="AI89" i="7"/>
  <c r="AA76" i="7"/>
  <c r="AQ77" i="7"/>
  <c r="BC77" i="7"/>
  <c r="AD85" i="7"/>
  <c r="AD76" i="7"/>
  <c r="AP76" i="7"/>
  <c r="AE77" i="7"/>
  <c r="BF77" i="7"/>
  <c r="BF73" i="7" s="1"/>
  <c r="BF72" i="7" s="1"/>
  <c r="AE85" i="7"/>
  <c r="AA105" i="7"/>
  <c r="BG105" i="7"/>
  <c r="AQ76" i="7"/>
  <c r="AH77" i="7"/>
  <c r="AT77" i="7"/>
  <c r="BG77" i="7"/>
  <c r="AX85" i="7"/>
  <c r="BJ85" i="7"/>
  <c r="AT76" i="7"/>
  <c r="AI77" i="7"/>
  <c r="AI73" i="7" s="1"/>
  <c r="AI72" i="7" s="1"/>
  <c r="AU77" i="7"/>
  <c r="BJ77" i="7"/>
  <c r="V85" i="7"/>
  <c r="BG89" i="7"/>
  <c r="Y77" i="7"/>
  <c r="AG77" i="7"/>
  <c r="AG73" i="7" s="1"/>
  <c r="AG72" i="7" s="1"/>
  <c r="AO77" i="7"/>
  <c r="U8" i="7"/>
  <c r="V8" i="7" s="1"/>
  <c r="W8" i="7" s="1"/>
  <c r="X8" i="7" s="1"/>
  <c r="Y8" i="7" s="1"/>
  <c r="X12" i="7"/>
  <c r="N112" i="7"/>
  <c r="N113" i="7" s="1"/>
  <c r="P112" i="7"/>
  <c r="P107" i="7"/>
  <c r="X61" i="7"/>
  <c r="O111" i="7"/>
  <c r="S111" i="7" s="1"/>
  <c r="O110" i="7"/>
  <c r="S110" i="7" s="1"/>
  <c r="S81" i="7"/>
  <c r="O80" i="7"/>
  <c r="U105" i="7"/>
  <c r="U77" i="7"/>
  <c r="U85" i="7"/>
  <c r="U76" i="7"/>
  <c r="AC105" i="7"/>
  <c r="AC77" i="7"/>
  <c r="AC85" i="7"/>
  <c r="AC76" i="7"/>
  <c r="AK105" i="7"/>
  <c r="AK77" i="7"/>
  <c r="AK85" i="7"/>
  <c r="AK76" i="7"/>
  <c r="AS105" i="7"/>
  <c r="AS77" i="7"/>
  <c r="AS85" i="7"/>
  <c r="AS76" i="7"/>
  <c r="BA105" i="7"/>
  <c r="BA77" i="7"/>
  <c r="BA85" i="7"/>
  <c r="BA76" i="7"/>
  <c r="BI105" i="7"/>
  <c r="BI77" i="7"/>
  <c r="BI85" i="7"/>
  <c r="BI76" i="7"/>
  <c r="BQ105" i="7"/>
  <c r="BQ77" i="7"/>
  <c r="BQ85" i="7"/>
  <c r="BQ76" i="7"/>
  <c r="X89" i="7"/>
  <c r="X77" i="7"/>
  <c r="AF89" i="7"/>
  <c r="AF77" i="7"/>
  <c r="AN89" i="7"/>
  <c r="AN105" i="7"/>
  <c r="AV89" i="7"/>
  <c r="AV77" i="7"/>
  <c r="BD89" i="7"/>
  <c r="BD77" i="7"/>
  <c r="BL89" i="7"/>
  <c r="BL77" i="7"/>
  <c r="Q99" i="7"/>
  <c r="Q104" i="7" s="1"/>
  <c r="Q115" i="7" s="1"/>
  <c r="T105" i="7"/>
  <c r="T76" i="7"/>
  <c r="T73" i="7" s="1"/>
  <c r="T72" i="7" s="1"/>
  <c r="AJ105" i="7"/>
  <c r="AJ76" i="7"/>
  <c r="AZ105" i="7"/>
  <c r="AZ76" i="7"/>
  <c r="BH105" i="7"/>
  <c r="BH76" i="7"/>
  <c r="BP105" i="7"/>
  <c r="BP76" i="7"/>
  <c r="BM73" i="7"/>
  <c r="BM72" i="7" s="1"/>
  <c r="AB85" i="7"/>
  <c r="AR105" i="7"/>
  <c r="S72" i="7"/>
  <c r="T85" i="7"/>
  <c r="T79" i="7" s="1"/>
  <c r="X76" i="7"/>
  <c r="X105" i="7"/>
  <c r="AF76" i="7"/>
  <c r="AF105" i="7"/>
  <c r="AN76" i="7"/>
  <c r="AV76" i="7"/>
  <c r="AV105" i="7"/>
  <c r="BD105" i="7"/>
  <c r="BD76" i="7"/>
  <c r="BL105" i="7"/>
  <c r="BL76" i="7"/>
  <c r="BL73" i="7" s="1"/>
  <c r="BL72" i="7" s="1"/>
  <c r="AW105" i="7"/>
  <c r="AW77" i="7"/>
  <c r="BE77" i="7"/>
  <c r="BE105" i="7"/>
  <c r="S95" i="7"/>
  <c r="AJ77" i="7"/>
  <c r="BP77" i="7"/>
  <c r="BP85" i="7"/>
  <c r="BH85" i="7"/>
  <c r="AB105" i="7"/>
  <c r="N104" i="7"/>
  <c r="AB77" i="7"/>
  <c r="BH77" i="7"/>
  <c r="S85" i="7"/>
  <c r="AZ85" i="7"/>
  <c r="W105" i="7"/>
  <c r="AE105" i="7"/>
  <c r="AM105" i="7"/>
  <c r="AU105" i="7"/>
  <c r="BC105" i="7"/>
  <c r="BK105" i="7"/>
  <c r="W85" i="7"/>
  <c r="G23" i="1"/>
  <c r="E7" i="14"/>
  <c r="D15" i="14" s="1"/>
  <c r="E9" i="14"/>
  <c r="D17" i="14" s="1"/>
  <c r="E10" i="14"/>
  <c r="D18" i="14" s="1"/>
  <c r="E11" i="14"/>
  <c r="D19" i="14" s="1"/>
  <c r="E12" i="14"/>
  <c r="D20" i="14" s="1"/>
  <c r="U5" i="21"/>
  <c r="T5" i="21"/>
  <c r="AE18" i="24" s="1"/>
  <c r="AE16" i="24" s="1"/>
  <c r="AE110" i="24" s="1"/>
  <c r="S5" i="21"/>
  <c r="AD18" i="24" s="1"/>
  <c r="AD16" i="24" s="1"/>
  <c r="AD110" i="24" s="1"/>
  <c r="R5" i="21"/>
  <c r="Q5" i="21"/>
  <c r="AB18" i="24" s="1"/>
  <c r="AB16" i="24" s="1"/>
  <c r="AB110" i="24" s="1"/>
  <c r="P5" i="21"/>
  <c r="AA18" i="24" s="1"/>
  <c r="AA16" i="24" s="1"/>
  <c r="AA110" i="24" s="1"/>
  <c r="O5" i="21"/>
  <c r="Z18" i="24" s="1"/>
  <c r="Z16" i="24" s="1"/>
  <c r="Z110" i="24" s="1"/>
  <c r="N5" i="21"/>
  <c r="Y18" i="24" s="1"/>
  <c r="Y16" i="24" s="1"/>
  <c r="Y110" i="24" s="1"/>
  <c r="M5" i="21"/>
  <c r="X18" i="24" s="1"/>
  <c r="X16" i="24" s="1"/>
  <c r="X110" i="24" s="1"/>
  <c r="L5" i="21"/>
  <c r="W18" i="24" s="1"/>
  <c r="W16" i="24" s="1"/>
  <c r="W110" i="24" s="1"/>
  <c r="K5" i="21"/>
  <c r="V18" i="24" s="1"/>
  <c r="V16" i="24" s="1"/>
  <c r="V110" i="24" s="1"/>
  <c r="J5" i="21"/>
  <c r="I5" i="21"/>
  <c r="T18" i="24" s="1"/>
  <c r="T16" i="24" s="1"/>
  <c r="T54" i="6"/>
  <c r="F52" i="21"/>
  <c r="F53" i="21"/>
  <c r="F54" i="21"/>
  <c r="F55" i="21"/>
  <c r="F56" i="21"/>
  <c r="F57" i="21"/>
  <c r="F58" i="21"/>
  <c r="N86" i="6"/>
  <c r="N11" i="21" l="1"/>
  <c r="M7" i="21"/>
  <c r="U18" i="6"/>
  <c r="U18" i="24"/>
  <c r="U16" i="24" s="1"/>
  <c r="U110" i="24" s="1"/>
  <c r="AC18" i="24"/>
  <c r="AC16" i="24" s="1"/>
  <c r="AC110" i="24" s="1"/>
  <c r="T110" i="24"/>
  <c r="T111" i="24" s="1"/>
  <c r="T11" i="24"/>
  <c r="T5" i="24" s="1"/>
  <c r="T68" i="24" s="1"/>
  <c r="T106" i="24" s="1"/>
  <c r="T107" i="24" s="1"/>
  <c r="T112" i="24" s="1"/>
  <c r="T114" i="24" s="1"/>
  <c r="AF17" i="8"/>
  <c r="AF15" i="8" s="1"/>
  <c r="AF109" i="8" s="1"/>
  <c r="AF18" i="24"/>
  <c r="AF16" i="24" s="1"/>
  <c r="AF110" i="24" s="1"/>
  <c r="AD17" i="7"/>
  <c r="AD15" i="7" s="1"/>
  <c r="AD112" i="7" s="1"/>
  <c r="AD17" i="8"/>
  <c r="AD15" i="8" s="1"/>
  <c r="AD109" i="8" s="1"/>
  <c r="W17" i="7"/>
  <c r="W15" i="7" s="1"/>
  <c r="W112" i="7" s="1"/>
  <c r="W17" i="8"/>
  <c r="W15" i="8" s="1"/>
  <c r="W109" i="8" s="1"/>
  <c r="AE17" i="7"/>
  <c r="AE15" i="7" s="1"/>
  <c r="AE112" i="7" s="1"/>
  <c r="AE17" i="8"/>
  <c r="AE15" i="8" s="1"/>
  <c r="AE109" i="8" s="1"/>
  <c r="AC17" i="7"/>
  <c r="AC15" i="7" s="1"/>
  <c r="AC112" i="7" s="1"/>
  <c r="AC17" i="8"/>
  <c r="AC15" i="8" s="1"/>
  <c r="AC109" i="8" s="1"/>
  <c r="V17" i="7"/>
  <c r="V15" i="7" s="1"/>
  <c r="V17" i="8"/>
  <c r="V15" i="8" s="1"/>
  <c r="V109" i="8" s="1"/>
  <c r="X17" i="7"/>
  <c r="X15" i="7" s="1"/>
  <c r="X112" i="7" s="1"/>
  <c r="X17" i="8"/>
  <c r="X15" i="8" s="1"/>
  <c r="X109" i="8" s="1"/>
  <c r="Y17" i="7"/>
  <c r="Y15" i="7" s="1"/>
  <c r="Y112" i="7" s="1"/>
  <c r="Y17" i="8"/>
  <c r="Y15" i="8" s="1"/>
  <c r="Y109" i="8" s="1"/>
  <c r="BG73" i="7"/>
  <c r="BG72" i="7" s="1"/>
  <c r="U17" i="7"/>
  <c r="U15" i="7" s="1"/>
  <c r="U112" i="7" s="1"/>
  <c r="U17" i="8"/>
  <c r="U15" i="8" s="1"/>
  <c r="U109" i="8" s="1"/>
  <c r="Z17" i="7"/>
  <c r="Z15" i="7" s="1"/>
  <c r="Z112" i="7" s="1"/>
  <c r="Z17" i="8"/>
  <c r="Z15" i="8" s="1"/>
  <c r="Z109" i="8" s="1"/>
  <c r="AA17" i="7"/>
  <c r="AA15" i="7" s="1"/>
  <c r="AA112" i="7" s="1"/>
  <c r="AA17" i="8"/>
  <c r="AA15" i="8" s="1"/>
  <c r="AA109" i="8" s="1"/>
  <c r="BN73" i="7"/>
  <c r="BN72" i="7" s="1"/>
  <c r="T17" i="7"/>
  <c r="T15" i="7" s="1"/>
  <c r="T112" i="7" s="1"/>
  <c r="T17" i="8"/>
  <c r="T15" i="8" s="1"/>
  <c r="T109" i="8" s="1"/>
  <c r="T110" i="8" s="1"/>
  <c r="AB17" i="7"/>
  <c r="AB15" i="7" s="1"/>
  <c r="AB112" i="7" s="1"/>
  <c r="AB17" i="8"/>
  <c r="AB15" i="8" s="1"/>
  <c r="AB109" i="8" s="1"/>
  <c r="AW73" i="7"/>
  <c r="AW72" i="7" s="1"/>
  <c r="V73" i="7"/>
  <c r="V72" i="7" s="1"/>
  <c r="BC73" i="7"/>
  <c r="BC72" i="7" s="1"/>
  <c r="AU73" i="7"/>
  <c r="AU72" i="7" s="1"/>
  <c r="BJ73" i="7"/>
  <c r="BJ72" i="7" s="1"/>
  <c r="AV73" i="7"/>
  <c r="AV72" i="7" s="1"/>
  <c r="AZ73" i="7"/>
  <c r="AZ72" i="7" s="1"/>
  <c r="AT73" i="7"/>
  <c r="AT72" i="7" s="1"/>
  <c r="AM73" i="7"/>
  <c r="AM72" i="7" s="1"/>
  <c r="Y73" i="7"/>
  <c r="Y72" i="7" s="1"/>
  <c r="W73" i="7"/>
  <c r="W72" i="7" s="1"/>
  <c r="AF17" i="7"/>
  <c r="AF15" i="7" s="1"/>
  <c r="AF112" i="7" s="1"/>
  <c r="U11" i="7"/>
  <c r="T18" i="6"/>
  <c r="V112" i="7"/>
  <c r="V11" i="7"/>
  <c r="W11" i="7"/>
  <c r="T11" i="7"/>
  <c r="AB73" i="7"/>
  <c r="AB72" i="7" s="1"/>
  <c r="BE73" i="7"/>
  <c r="BE72" i="7" s="1"/>
  <c r="AK73" i="7"/>
  <c r="AK72" i="7" s="1"/>
  <c r="AP73" i="7"/>
  <c r="AP72" i="7" s="1"/>
  <c r="AY73" i="7"/>
  <c r="AY72" i="7" s="1"/>
  <c r="AN73" i="7"/>
  <c r="AN72" i="7" s="1"/>
  <c r="AX73" i="7"/>
  <c r="AX72" i="7" s="1"/>
  <c r="H58" i="21"/>
  <c r="BF58" i="21"/>
  <c r="H57" i="21"/>
  <c r="BE57" i="21"/>
  <c r="BF57" i="21" s="1"/>
  <c r="AD73" i="7"/>
  <c r="AD72" i="7" s="1"/>
  <c r="BB73" i="7"/>
  <c r="BB72" i="7" s="1"/>
  <c r="H56" i="21"/>
  <c r="BD56" i="21"/>
  <c r="BE56" i="21" s="1"/>
  <c r="BF56" i="21" s="1"/>
  <c r="AC73" i="7"/>
  <c r="AC72" i="7" s="1"/>
  <c r="H55" i="21"/>
  <c r="BC55" i="21"/>
  <c r="BD55" i="21" s="1"/>
  <c r="BE55" i="21" s="1"/>
  <c r="BF55" i="21" s="1"/>
  <c r="H54" i="21"/>
  <c r="BB54" i="21"/>
  <c r="BC54" i="21" s="1"/>
  <c r="BD54" i="21" s="1"/>
  <c r="BE54" i="21" s="1"/>
  <c r="BF54" i="21" s="1"/>
  <c r="H53" i="21"/>
  <c r="BA53" i="21"/>
  <c r="BB53" i="21" s="1"/>
  <c r="BC53" i="21" s="1"/>
  <c r="BD53" i="21" s="1"/>
  <c r="BE53" i="21" s="1"/>
  <c r="BF53" i="21" s="1"/>
  <c r="H52" i="21"/>
  <c r="AZ52" i="21"/>
  <c r="BA52" i="21" s="1"/>
  <c r="BB52" i="21" s="1"/>
  <c r="BC52" i="21" s="1"/>
  <c r="BD52" i="21" s="1"/>
  <c r="BE52" i="21" s="1"/>
  <c r="Z73" i="7"/>
  <c r="Z72" i="7" s="1"/>
  <c r="AL73" i="7"/>
  <c r="AL72" i="7" s="1"/>
  <c r="AO73" i="7"/>
  <c r="AO72" i="7" s="1"/>
  <c r="AA73" i="7"/>
  <c r="AA72" i="7" s="1"/>
  <c r="U73" i="7"/>
  <c r="U72" i="7" s="1"/>
  <c r="AE73" i="7"/>
  <c r="AE72" i="7" s="1"/>
  <c r="AR73" i="7"/>
  <c r="AR72" i="7" s="1"/>
  <c r="AH73" i="7"/>
  <c r="AH72" i="7" s="1"/>
  <c r="BQ73" i="7"/>
  <c r="BQ72" i="7" s="1"/>
  <c r="BA73" i="7"/>
  <c r="BA72" i="7" s="1"/>
  <c r="AQ73" i="7"/>
  <c r="AQ72" i="7" s="1"/>
  <c r="AF73" i="7"/>
  <c r="AF72" i="7" s="1"/>
  <c r="AS73" i="7"/>
  <c r="AS72" i="7" s="1"/>
  <c r="BD73" i="7"/>
  <c r="BD72" i="7" s="1"/>
  <c r="X73" i="7"/>
  <c r="X72" i="7" s="1"/>
  <c r="BI73" i="7"/>
  <c r="BI72" i="7" s="1"/>
  <c r="BH73" i="7"/>
  <c r="BH72" i="7" s="1"/>
  <c r="O107" i="7"/>
  <c r="O109" i="7"/>
  <c r="Z8" i="7"/>
  <c r="AJ73" i="7"/>
  <c r="AJ72" i="7" s="1"/>
  <c r="X11" i="7"/>
  <c r="Y12" i="7"/>
  <c r="S80" i="7"/>
  <c r="O79" i="7"/>
  <c r="S112" i="7"/>
  <c r="BP73" i="7"/>
  <c r="BP72" i="7" s="1"/>
  <c r="T99" i="7"/>
  <c r="T104" i="7" s="1"/>
  <c r="T115" i="7" s="1"/>
  <c r="N115" i="7"/>
  <c r="Y61" i="7"/>
  <c r="G22" i="1"/>
  <c r="O11" i="21" l="1"/>
  <c r="N7" i="21"/>
  <c r="BF52" i="21"/>
  <c r="V5" i="21"/>
  <c r="AG18" i="24" s="1"/>
  <c r="AG16" i="24" s="1"/>
  <c r="AG110" i="24" s="1"/>
  <c r="AC5" i="21"/>
  <c r="J2" i="21"/>
  <c r="AQ5" i="21"/>
  <c r="AL5" i="21"/>
  <c r="X5" i="21"/>
  <c r="AJ5" i="21"/>
  <c r="AB5" i="21"/>
  <c r="AY5" i="21"/>
  <c r="AW5" i="21"/>
  <c r="BD5" i="21"/>
  <c r="AO5" i="21"/>
  <c r="BC5" i="21"/>
  <c r="O113" i="7"/>
  <c r="O99" i="7"/>
  <c r="S79" i="7"/>
  <c r="Z12" i="7"/>
  <c r="Y11" i="7"/>
  <c r="Z61" i="7"/>
  <c r="AA8" i="7"/>
  <c r="Q11" i="21" l="1"/>
  <c r="O7" i="21"/>
  <c r="BN17" i="8"/>
  <c r="BN15" i="8" s="1"/>
  <c r="BN109" i="8" s="1"/>
  <c r="BN18" i="24"/>
  <c r="BN16" i="24" s="1"/>
  <c r="BN110" i="24" s="1"/>
  <c r="BH17" i="8"/>
  <c r="BH15" i="8" s="1"/>
  <c r="BH109" i="8" s="1"/>
  <c r="BH18" i="24"/>
  <c r="BH16" i="24" s="1"/>
  <c r="BH110" i="24" s="1"/>
  <c r="BB17" i="8"/>
  <c r="BB15" i="8" s="1"/>
  <c r="BB109" i="8" s="1"/>
  <c r="BB18" i="24"/>
  <c r="BB16" i="24" s="1"/>
  <c r="BB110" i="24" s="1"/>
  <c r="AZ17" i="8"/>
  <c r="AZ15" i="8" s="1"/>
  <c r="AZ109" i="8" s="1"/>
  <c r="AZ18" i="24"/>
  <c r="AZ16" i="24" s="1"/>
  <c r="AZ110" i="24" s="1"/>
  <c r="BJ17" i="8"/>
  <c r="BJ15" i="8" s="1"/>
  <c r="BJ109" i="8" s="1"/>
  <c r="BJ18" i="24"/>
  <c r="BJ16" i="24" s="1"/>
  <c r="BJ110" i="24" s="1"/>
  <c r="AU17" i="8"/>
  <c r="AU15" i="8" s="1"/>
  <c r="AU109" i="8" s="1"/>
  <c r="AU18" i="24"/>
  <c r="AU16" i="24" s="1"/>
  <c r="AU110" i="24" s="1"/>
  <c r="BO17" i="8"/>
  <c r="BO15" i="8" s="1"/>
  <c r="BO109" i="8" s="1"/>
  <c r="BO18" i="24"/>
  <c r="BO16" i="24" s="1"/>
  <c r="BO110" i="24" s="1"/>
  <c r="AM17" i="8"/>
  <c r="AM15" i="8" s="1"/>
  <c r="AM109" i="8" s="1"/>
  <c r="AM18" i="24"/>
  <c r="AM16" i="24" s="1"/>
  <c r="AM110" i="24" s="1"/>
  <c r="AI17" i="8"/>
  <c r="AI15" i="8" s="1"/>
  <c r="AI109" i="8" s="1"/>
  <c r="AI18" i="24"/>
  <c r="AI16" i="24" s="1"/>
  <c r="AI110" i="24" s="1"/>
  <c r="AW17" i="8"/>
  <c r="AW15" i="8" s="1"/>
  <c r="AW109" i="8" s="1"/>
  <c r="AW18" i="24"/>
  <c r="AW16" i="24" s="1"/>
  <c r="AW110" i="24" s="1"/>
  <c r="AN17" i="8"/>
  <c r="AN15" i="8" s="1"/>
  <c r="AN109" i="8" s="1"/>
  <c r="AN18" i="24"/>
  <c r="AN16" i="24" s="1"/>
  <c r="AN110" i="24" s="1"/>
  <c r="AG17" i="8"/>
  <c r="AG15" i="8" s="1"/>
  <c r="AG109" i="8" s="1"/>
  <c r="AG17" i="7"/>
  <c r="AG15" i="7" s="1"/>
  <c r="AG112" i="7" s="1"/>
  <c r="AH5" i="21"/>
  <c r="Y5" i="21"/>
  <c r="AJ18" i="24" s="1"/>
  <c r="AJ16" i="24" s="1"/>
  <c r="AJ110" i="24" s="1"/>
  <c r="AM5" i="21"/>
  <c r="AV5" i="21"/>
  <c r="BB5" i="21"/>
  <c r="AF5" i="21"/>
  <c r="AU5" i="21"/>
  <c r="AP5" i="21"/>
  <c r="AN5" i="21"/>
  <c r="AS5" i="21"/>
  <c r="AN17" i="7"/>
  <c r="AN15" i="7" s="1"/>
  <c r="AN112" i="7" s="1"/>
  <c r="AM17" i="7"/>
  <c r="AM15" i="7" s="1"/>
  <c r="AM112" i="7" s="1"/>
  <c r="AW17" i="7"/>
  <c r="AW15" i="7" s="1"/>
  <c r="AW112" i="7" s="1"/>
  <c r="Z5" i="21"/>
  <c r="BH17" i="7"/>
  <c r="BH15" i="7" s="1"/>
  <c r="BH112" i="7" s="1"/>
  <c r="BA5" i="21"/>
  <c r="AT5" i="21"/>
  <c r="AG5" i="21"/>
  <c r="W5" i="21"/>
  <c r="BE5" i="21"/>
  <c r="AX5" i="21"/>
  <c r="AE5" i="21"/>
  <c r="K2" i="21"/>
  <c r="AZ17" i="7"/>
  <c r="AZ15" i="7" s="1"/>
  <c r="AZ112" i="7" s="1"/>
  <c r="BJ17" i="7"/>
  <c r="BJ15" i="7" s="1"/>
  <c r="BJ112" i="7" s="1"/>
  <c r="AZ5" i="21"/>
  <c r="AA5" i="21"/>
  <c r="AI17" i="7"/>
  <c r="AI15" i="7" s="1"/>
  <c r="AI112" i="7" s="1"/>
  <c r="BF5" i="21"/>
  <c r="AD5" i="21"/>
  <c r="BO17" i="7"/>
  <c r="BO15" i="7" s="1"/>
  <c r="BO112" i="7" s="1"/>
  <c r="BB17" i="7"/>
  <c r="BB15" i="7" s="1"/>
  <c r="BB112" i="7" s="1"/>
  <c r="AU17" i="7"/>
  <c r="AU15" i="7" s="1"/>
  <c r="AU112" i="7" s="1"/>
  <c r="AR5" i="21"/>
  <c r="BN17" i="7"/>
  <c r="BN15" i="7" s="1"/>
  <c r="BN112" i="7" s="1"/>
  <c r="AK5" i="21"/>
  <c r="AI5" i="21"/>
  <c r="O104" i="7"/>
  <c r="S99" i="7"/>
  <c r="AA12" i="7"/>
  <c r="Z11" i="7"/>
  <c r="P109" i="7"/>
  <c r="N107" i="7"/>
  <c r="AA61" i="7"/>
  <c r="AB8" i="7"/>
  <c r="P2" i="21" l="1"/>
  <c r="V54" i="6" s="1"/>
  <c r="O2" i="21"/>
  <c r="U54" i="6" s="1"/>
  <c r="R11" i="21"/>
  <c r="Q7" i="21"/>
  <c r="BL17" i="8"/>
  <c r="BL15" i="8" s="1"/>
  <c r="BL109" i="8" s="1"/>
  <c r="BL18" i="24"/>
  <c r="BL16" i="24" s="1"/>
  <c r="BL110" i="24" s="1"/>
  <c r="AL17" i="8"/>
  <c r="AL15" i="8" s="1"/>
  <c r="AL109" i="8" s="1"/>
  <c r="AL18" i="24"/>
  <c r="AL16" i="24" s="1"/>
  <c r="AL110" i="24" s="1"/>
  <c r="AK17" i="8"/>
  <c r="AK15" i="8" s="1"/>
  <c r="AK109" i="8" s="1"/>
  <c r="AK18" i="24"/>
  <c r="AK16" i="24" s="1"/>
  <c r="AK110" i="24" s="1"/>
  <c r="AS17" i="8"/>
  <c r="AS15" i="8" s="1"/>
  <c r="AS109" i="8" s="1"/>
  <c r="AS18" i="24"/>
  <c r="AS16" i="24" s="1"/>
  <c r="AS110" i="24" s="1"/>
  <c r="AQ17" i="8"/>
  <c r="AQ15" i="8" s="1"/>
  <c r="AQ109" i="8" s="1"/>
  <c r="AQ18" i="24"/>
  <c r="AQ16" i="24" s="1"/>
  <c r="AQ110" i="24" s="1"/>
  <c r="AO17" i="8"/>
  <c r="AO15" i="8" s="1"/>
  <c r="AO109" i="8" s="1"/>
  <c r="AO18" i="24"/>
  <c r="AO16" i="24" s="1"/>
  <c r="AO110" i="24" s="1"/>
  <c r="BQ17" i="8"/>
  <c r="BQ15" i="8" s="1"/>
  <c r="BQ109" i="8" s="1"/>
  <c r="BQ18" i="24"/>
  <c r="BQ16" i="24" s="1"/>
  <c r="BQ110" i="24" s="1"/>
  <c r="AX17" i="8"/>
  <c r="AX15" i="8" s="1"/>
  <c r="AX109" i="8" s="1"/>
  <c r="AX18" i="24"/>
  <c r="AX16" i="24" s="1"/>
  <c r="AX110" i="24" s="1"/>
  <c r="BF17" i="8"/>
  <c r="BF15" i="8" s="1"/>
  <c r="BF109" i="8" s="1"/>
  <c r="BF18" i="24"/>
  <c r="BF16" i="24" s="1"/>
  <c r="BF110" i="24" s="1"/>
  <c r="AT17" i="8"/>
  <c r="AT15" i="8" s="1"/>
  <c r="AT109" i="8" s="1"/>
  <c r="AT18" i="24"/>
  <c r="AT16" i="24" s="1"/>
  <c r="AT110" i="24" s="1"/>
  <c r="BC17" i="8"/>
  <c r="BC15" i="8" s="1"/>
  <c r="BC109" i="8" s="1"/>
  <c r="BC18" i="24"/>
  <c r="BC16" i="24" s="1"/>
  <c r="BC110" i="24" s="1"/>
  <c r="AP17" i="8"/>
  <c r="AP15" i="8" s="1"/>
  <c r="AP109" i="8" s="1"/>
  <c r="AP18" i="24"/>
  <c r="AP16" i="24" s="1"/>
  <c r="AP110" i="24" s="1"/>
  <c r="AR17" i="8"/>
  <c r="AR15" i="8" s="1"/>
  <c r="AR109" i="8" s="1"/>
  <c r="AR18" i="24"/>
  <c r="AR16" i="24" s="1"/>
  <c r="AR110" i="24" s="1"/>
  <c r="BE17" i="8"/>
  <c r="BE15" i="8" s="1"/>
  <c r="BE109" i="8" s="1"/>
  <c r="BE18" i="24"/>
  <c r="BE16" i="24" s="1"/>
  <c r="BE110" i="24" s="1"/>
  <c r="BG17" i="8"/>
  <c r="BG15" i="8" s="1"/>
  <c r="BG109" i="8" s="1"/>
  <c r="BG18" i="24"/>
  <c r="BG16" i="24" s="1"/>
  <c r="BG110" i="24" s="1"/>
  <c r="BK17" i="8"/>
  <c r="BK15" i="8" s="1"/>
  <c r="BK109" i="8" s="1"/>
  <c r="BK18" i="24"/>
  <c r="BK16" i="24" s="1"/>
  <c r="BK110" i="24" s="1"/>
  <c r="AV17" i="8"/>
  <c r="AV15" i="8" s="1"/>
  <c r="AV109" i="8" s="1"/>
  <c r="AV18" i="24"/>
  <c r="AV16" i="24" s="1"/>
  <c r="AV110" i="24" s="1"/>
  <c r="BI17" i="8"/>
  <c r="BI15" i="8" s="1"/>
  <c r="BI109" i="8" s="1"/>
  <c r="BI18" i="24"/>
  <c r="BI16" i="24" s="1"/>
  <c r="BI110" i="24" s="1"/>
  <c r="AY17" i="8"/>
  <c r="AY15" i="8" s="1"/>
  <c r="AY109" i="8" s="1"/>
  <c r="AY18" i="24"/>
  <c r="AY16" i="24" s="1"/>
  <c r="AY110" i="24" s="1"/>
  <c r="AH17" i="8"/>
  <c r="AH15" i="8" s="1"/>
  <c r="AH109" i="8" s="1"/>
  <c r="AH18" i="24"/>
  <c r="AH16" i="24" s="1"/>
  <c r="AH110" i="24" s="1"/>
  <c r="BM17" i="8"/>
  <c r="BM15" i="8" s="1"/>
  <c r="BM109" i="8" s="1"/>
  <c r="BM18" i="24"/>
  <c r="BM16" i="24" s="1"/>
  <c r="BM110" i="24" s="1"/>
  <c r="BD17" i="8"/>
  <c r="BD15" i="8" s="1"/>
  <c r="BD109" i="8" s="1"/>
  <c r="BD18" i="24"/>
  <c r="BD16" i="24" s="1"/>
  <c r="BD110" i="24" s="1"/>
  <c r="BP17" i="8"/>
  <c r="BP15" i="8" s="1"/>
  <c r="BP109" i="8" s="1"/>
  <c r="BP18" i="24"/>
  <c r="BP16" i="24" s="1"/>
  <c r="BP110" i="24" s="1"/>
  <c r="BA17" i="8"/>
  <c r="BA15" i="8" s="1"/>
  <c r="BA109" i="8" s="1"/>
  <c r="BA18" i="24"/>
  <c r="BA16" i="24" s="1"/>
  <c r="BA110" i="24" s="1"/>
  <c r="U53" i="8"/>
  <c r="U51" i="8" s="1"/>
  <c r="U107" i="8" s="1"/>
  <c r="U110" i="8" s="1"/>
  <c r="U54" i="24"/>
  <c r="U52" i="24" s="1"/>
  <c r="V53" i="8"/>
  <c r="V51" i="8" s="1"/>
  <c r="V107" i="8" s="1"/>
  <c r="V110" i="8" s="1"/>
  <c r="V54" i="24"/>
  <c r="V52" i="24" s="1"/>
  <c r="AJ17" i="8"/>
  <c r="AJ15" i="8" s="1"/>
  <c r="AJ109" i="8" s="1"/>
  <c r="AJ17" i="7"/>
  <c r="AJ15" i="7" s="1"/>
  <c r="AJ112" i="7" s="1"/>
  <c r="BA17" i="7"/>
  <c r="BA15" i="7" s="1"/>
  <c r="BA112" i="7" s="1"/>
  <c r="AS17" i="7"/>
  <c r="AS15" i="7" s="1"/>
  <c r="AS112" i="7" s="1"/>
  <c r="BG17" i="7"/>
  <c r="BG15" i="7" s="1"/>
  <c r="BG112" i="7" s="1"/>
  <c r="BD17" i="7"/>
  <c r="BD15" i="7" s="1"/>
  <c r="BD112" i="7" s="1"/>
  <c r="AX17" i="7"/>
  <c r="AX15" i="7" s="1"/>
  <c r="AX112" i="7" s="1"/>
  <c r="BF17" i="7"/>
  <c r="BF15" i="7" s="1"/>
  <c r="BF112" i="7" s="1"/>
  <c r="BM17" i="7"/>
  <c r="BM15" i="7" s="1"/>
  <c r="BM112" i="7" s="1"/>
  <c r="AQ17" i="7"/>
  <c r="AQ15" i="7" s="1"/>
  <c r="AQ112" i="7" s="1"/>
  <c r="AY17" i="7"/>
  <c r="AY15" i="7" s="1"/>
  <c r="AY112" i="7" s="1"/>
  <c r="V53" i="7"/>
  <c r="V51" i="7" s="1"/>
  <c r="AV17" i="7"/>
  <c r="AV15" i="7" s="1"/>
  <c r="AV112" i="7" s="1"/>
  <c r="BQ17" i="7"/>
  <c r="BQ15" i="7" s="1"/>
  <c r="BQ112" i="7" s="1"/>
  <c r="BK17" i="7"/>
  <c r="BK15" i="7" s="1"/>
  <c r="BK112" i="7" s="1"/>
  <c r="BI17" i="7"/>
  <c r="BI15" i="7" s="1"/>
  <c r="BI112" i="7" s="1"/>
  <c r="AK17" i="7"/>
  <c r="AK15" i="7" s="1"/>
  <c r="AK112" i="7" s="1"/>
  <c r="AH17" i="7"/>
  <c r="AH15" i="7" s="1"/>
  <c r="AH112" i="7" s="1"/>
  <c r="AO17" i="7"/>
  <c r="AO15" i="7" s="1"/>
  <c r="AO112" i="7" s="1"/>
  <c r="AR17" i="7"/>
  <c r="AR15" i="7" s="1"/>
  <c r="AR112" i="7" s="1"/>
  <c r="BP17" i="7"/>
  <c r="BP15" i="7" s="1"/>
  <c r="BP112" i="7" s="1"/>
  <c r="AL17" i="7"/>
  <c r="AL15" i="7" s="1"/>
  <c r="AL112" i="7" s="1"/>
  <c r="U53" i="7"/>
  <c r="U51" i="7" s="1"/>
  <c r="BL17" i="7"/>
  <c r="BL15" i="7" s="1"/>
  <c r="BL112" i="7" s="1"/>
  <c r="BC17" i="7"/>
  <c r="BC15" i="7" s="1"/>
  <c r="BC112" i="7" s="1"/>
  <c r="L2" i="21"/>
  <c r="BE17" i="7"/>
  <c r="BE15" i="7" s="1"/>
  <c r="BE112" i="7" s="1"/>
  <c r="AT17" i="7"/>
  <c r="AT15" i="7" s="1"/>
  <c r="AT112" i="7" s="1"/>
  <c r="AP17" i="7"/>
  <c r="AP15" i="7" s="1"/>
  <c r="AP112" i="7" s="1"/>
  <c r="O115" i="7"/>
  <c r="S115" i="7" s="1"/>
  <c r="S104" i="7"/>
  <c r="AC8" i="7"/>
  <c r="P113" i="7"/>
  <c r="AB61" i="7"/>
  <c r="AA11" i="7"/>
  <c r="AB12" i="7"/>
  <c r="N108" i="7"/>
  <c r="S107" i="7"/>
  <c r="Q2" i="21" l="1"/>
  <c r="W54" i="6" s="1"/>
  <c r="S11" i="21"/>
  <c r="R7" i="21"/>
  <c r="V108" i="24"/>
  <c r="V111" i="24" s="1"/>
  <c r="V25" i="24"/>
  <c r="U108" i="24"/>
  <c r="U111" i="24" s="1"/>
  <c r="U25" i="24"/>
  <c r="W53" i="8"/>
  <c r="W51" i="8" s="1"/>
  <c r="W107" i="8" s="1"/>
  <c r="W110" i="8" s="1"/>
  <c r="W54" i="24"/>
  <c r="W52" i="24" s="1"/>
  <c r="U110" i="7"/>
  <c r="W53" i="7"/>
  <c r="W51" i="7" s="1"/>
  <c r="V110" i="7"/>
  <c r="Q109" i="7"/>
  <c r="AC61" i="7"/>
  <c r="AD8" i="7"/>
  <c r="O106" i="7"/>
  <c r="N114" i="7"/>
  <c r="AC12" i="7"/>
  <c r="AB11" i="7"/>
  <c r="T11" i="21" l="1"/>
  <c r="S7" i="21"/>
  <c r="W108" i="24"/>
  <c r="W111" i="24" s="1"/>
  <c r="W25" i="24"/>
  <c r="M2" i="21"/>
  <c r="W110" i="7"/>
  <c r="AE8" i="7"/>
  <c r="Q113" i="7"/>
  <c r="AC11" i="7"/>
  <c r="AD12" i="7"/>
  <c r="N116" i="7"/>
  <c r="AD61" i="7"/>
  <c r="O108" i="7"/>
  <c r="U11" i="21" l="1"/>
  <c r="T7" i="21"/>
  <c r="N2" i="21"/>
  <c r="Y53" i="8" s="1"/>
  <c r="Y51" i="8" s="1"/>
  <c r="Y107" i="8" s="1"/>
  <c r="Y110" i="8" s="1"/>
  <c r="X53" i="8"/>
  <c r="X51" i="8" s="1"/>
  <c r="X107" i="8" s="1"/>
  <c r="X110" i="8" s="1"/>
  <c r="X54" i="24"/>
  <c r="X52" i="24" s="1"/>
  <c r="X53" i="7"/>
  <c r="X51" i="7" s="1"/>
  <c r="R109" i="7"/>
  <c r="O114" i="7"/>
  <c r="O116" i="7" s="1"/>
  <c r="P106" i="7"/>
  <c r="AE61" i="7"/>
  <c r="AD11" i="7"/>
  <c r="AE12" i="7"/>
  <c r="AF8" i="7"/>
  <c r="Y53" i="7" l="1"/>
  <c r="Y51" i="7" s="1"/>
  <c r="Y110" i="7" s="1"/>
  <c r="Y54" i="24"/>
  <c r="Y52" i="24" s="1"/>
  <c r="Y25" i="24" s="1"/>
  <c r="V11" i="21"/>
  <c r="U7" i="21"/>
  <c r="Y108" i="24"/>
  <c r="Y111" i="24" s="1"/>
  <c r="X108" i="24"/>
  <c r="X111" i="24" s="1"/>
  <c r="X25" i="24"/>
  <c r="X110" i="7"/>
  <c r="AF61" i="7"/>
  <c r="P108" i="7"/>
  <c r="AG8" i="7"/>
  <c r="R113" i="7"/>
  <c r="S109" i="7"/>
  <c r="AE11" i="7"/>
  <c r="AF12" i="7"/>
  <c r="W11" i="21" l="1"/>
  <c r="V7" i="21"/>
  <c r="Z53" i="8"/>
  <c r="Z51" i="8" s="1"/>
  <c r="Z107" i="8" s="1"/>
  <c r="Z110" i="8" s="1"/>
  <c r="Z54" i="24"/>
  <c r="Z52" i="24" s="1"/>
  <c r="Z53" i="7"/>
  <c r="Z51" i="7" s="1"/>
  <c r="AH8" i="7"/>
  <c r="Q106" i="7"/>
  <c r="P114" i="7"/>
  <c r="AF11" i="7"/>
  <c r="AG12" i="7"/>
  <c r="T109" i="7"/>
  <c r="T113" i="7" s="1"/>
  <c r="S113" i="7"/>
  <c r="AG61" i="7"/>
  <c r="X11" i="21" l="1"/>
  <c r="W7" i="21"/>
  <c r="Z108" i="24"/>
  <c r="Z111" i="24" s="1"/>
  <c r="Z25" i="24"/>
  <c r="AB53" i="8"/>
  <c r="AB51" i="8" s="1"/>
  <c r="AB107" i="8" s="1"/>
  <c r="AB110" i="8" s="1"/>
  <c r="AB54" i="24"/>
  <c r="AB52" i="24" s="1"/>
  <c r="AA53" i="8"/>
  <c r="AA51" i="8" s="1"/>
  <c r="AA107" i="8" s="1"/>
  <c r="AA110" i="8" s="1"/>
  <c r="AA54" i="24"/>
  <c r="AA52" i="24" s="1"/>
  <c r="AB53" i="7"/>
  <c r="AB51" i="7" s="1"/>
  <c r="AA53" i="7"/>
  <c r="AA51" i="7" s="1"/>
  <c r="Z110" i="7"/>
  <c r="AH12" i="7"/>
  <c r="AG11" i="7"/>
  <c r="U109" i="7"/>
  <c r="U113" i="7" s="1"/>
  <c r="Q108" i="7"/>
  <c r="AI8" i="7"/>
  <c r="AH61" i="7"/>
  <c r="P116" i="7"/>
  <c r="Y11" i="21" l="1"/>
  <c r="Y7" i="21" s="1"/>
  <c r="X7" i="21"/>
  <c r="AB108" i="24"/>
  <c r="AB111" i="24" s="1"/>
  <c r="AB25" i="24"/>
  <c r="AA108" i="24"/>
  <c r="AA111" i="24" s="1"/>
  <c r="AA25" i="24"/>
  <c r="S2" i="21"/>
  <c r="Y54" i="6" s="1"/>
  <c r="AA110" i="7"/>
  <c r="R2" i="21"/>
  <c r="X54" i="6" s="1"/>
  <c r="AB110" i="7"/>
  <c r="Q114" i="7"/>
  <c r="Q116" i="7" s="1"/>
  <c r="R106" i="7"/>
  <c r="AJ8" i="7"/>
  <c r="AI12" i="7"/>
  <c r="AH11" i="7"/>
  <c r="AI61" i="7"/>
  <c r="V109" i="7"/>
  <c r="V113" i="7" s="1"/>
  <c r="Z11" i="21" l="1"/>
  <c r="Z7" i="21" s="1"/>
  <c r="Z2" i="21" s="1"/>
  <c r="AC53" i="8"/>
  <c r="AC51" i="8" s="1"/>
  <c r="AC107" i="8" s="1"/>
  <c r="AC110" i="8" s="1"/>
  <c r="AC54" i="24"/>
  <c r="AC52" i="24" s="1"/>
  <c r="AD53" i="8"/>
  <c r="AD51" i="8" s="1"/>
  <c r="AD107" i="8" s="1"/>
  <c r="AD110" i="8" s="1"/>
  <c r="AD54" i="24"/>
  <c r="AD52" i="24" s="1"/>
  <c r="AC53" i="7"/>
  <c r="AC51" i="7" s="1"/>
  <c r="AD53" i="7"/>
  <c r="AD51" i="7" s="1"/>
  <c r="T2" i="21"/>
  <c r="Z54" i="6" s="1"/>
  <c r="AK8" i="7"/>
  <c r="AJ12" i="7"/>
  <c r="AI11" i="7"/>
  <c r="W109" i="7"/>
  <c r="W113" i="7" s="1"/>
  <c r="AJ61" i="7"/>
  <c r="R108" i="7"/>
  <c r="S106" i="7"/>
  <c r="AA11" i="21" l="1"/>
  <c r="AD108" i="24"/>
  <c r="AD111" i="24" s="1"/>
  <c r="AD25" i="24"/>
  <c r="AE53" i="8"/>
  <c r="AE51" i="8" s="1"/>
  <c r="AE107" i="8" s="1"/>
  <c r="AE110" i="8" s="1"/>
  <c r="AE54" i="24"/>
  <c r="AE52" i="24" s="1"/>
  <c r="AC108" i="24"/>
  <c r="AC111" i="24" s="1"/>
  <c r="AC25" i="24"/>
  <c r="AE53" i="7"/>
  <c r="AE51" i="7" s="1"/>
  <c r="AC110" i="7"/>
  <c r="U2" i="21"/>
  <c r="AA54" i="6" s="1"/>
  <c r="AD110" i="7"/>
  <c r="R114" i="7"/>
  <c r="S108" i="7"/>
  <c r="AK12" i="7"/>
  <c r="AJ11" i="7"/>
  <c r="AK61" i="7"/>
  <c r="X109" i="7"/>
  <c r="X113" i="7" s="1"/>
  <c r="AL8" i="7"/>
  <c r="AB11" i="21" l="1"/>
  <c r="AE108" i="24"/>
  <c r="AE111" i="24" s="1"/>
  <c r="AE25" i="24"/>
  <c r="AF53" i="8"/>
  <c r="AF51" i="8" s="1"/>
  <c r="AF107" i="8" s="1"/>
  <c r="AF110" i="8" s="1"/>
  <c r="AF54" i="24"/>
  <c r="AF52" i="24" s="1"/>
  <c r="AF53" i="7"/>
  <c r="AF51" i="7" s="1"/>
  <c r="AE110" i="7"/>
  <c r="V2" i="21"/>
  <c r="AB54" i="6" s="1"/>
  <c r="Y109" i="7"/>
  <c r="Y113" i="7" s="1"/>
  <c r="AK11" i="7"/>
  <c r="AL12" i="7"/>
  <c r="AM8" i="7"/>
  <c r="AL61" i="7"/>
  <c r="R116" i="7"/>
  <c r="S116" i="7" s="1"/>
  <c r="S114" i="7"/>
  <c r="AC11" i="21" l="1"/>
  <c r="AG53" i="8"/>
  <c r="AG51" i="8" s="1"/>
  <c r="AG107" i="8" s="1"/>
  <c r="AG110" i="8" s="1"/>
  <c r="AG54" i="24"/>
  <c r="AG52" i="24" s="1"/>
  <c r="AF108" i="24"/>
  <c r="AF111" i="24" s="1"/>
  <c r="AF25" i="24"/>
  <c r="AG53" i="7"/>
  <c r="AG51" i="7" s="1"/>
  <c r="AF110" i="7"/>
  <c r="W2" i="21"/>
  <c r="AC54" i="6" s="1"/>
  <c r="AM61" i="7"/>
  <c r="Z109" i="7"/>
  <c r="Z113" i="7" s="1"/>
  <c r="AN8" i="7"/>
  <c r="AL11" i="7"/>
  <c r="AM12" i="7"/>
  <c r="AD11" i="21" l="1"/>
  <c r="AH53" i="8"/>
  <c r="AH51" i="8" s="1"/>
  <c r="AH107" i="8" s="1"/>
  <c r="AH110" i="8" s="1"/>
  <c r="AH54" i="24"/>
  <c r="AH52" i="24" s="1"/>
  <c r="AG108" i="24"/>
  <c r="AG111" i="24" s="1"/>
  <c r="AG25" i="24"/>
  <c r="X2" i="21"/>
  <c r="AD54" i="6" s="1"/>
  <c r="AG110" i="7"/>
  <c r="AH53" i="7"/>
  <c r="AH51" i="7" s="1"/>
  <c r="AA109" i="7"/>
  <c r="AA113" i="7" s="1"/>
  <c r="AO8" i="7"/>
  <c r="AN12" i="7"/>
  <c r="AM11" i="7"/>
  <c r="AN61" i="7"/>
  <c r="AE11" i="21" l="1"/>
  <c r="AI53" i="8"/>
  <c r="AI51" i="8" s="1"/>
  <c r="AI107" i="8" s="1"/>
  <c r="AI110" i="8" s="1"/>
  <c r="AI54" i="24"/>
  <c r="AI52" i="24" s="1"/>
  <c r="AH108" i="24"/>
  <c r="AH111" i="24" s="1"/>
  <c r="AH25" i="24"/>
  <c r="Y2" i="21"/>
  <c r="AE54" i="6" s="1"/>
  <c r="AI53" i="7"/>
  <c r="AI51" i="7" s="1"/>
  <c r="AH110" i="7"/>
  <c r="AN11" i="7"/>
  <c r="AO12" i="7"/>
  <c r="AB109" i="7"/>
  <c r="AB113" i="7" s="1"/>
  <c r="AO61" i="7"/>
  <c r="AP8" i="7"/>
  <c r="AF11" i="21" l="1"/>
  <c r="AI108" i="24"/>
  <c r="AI111" i="24" s="1"/>
  <c r="AI25" i="24"/>
  <c r="AJ53" i="8"/>
  <c r="AJ51" i="8" s="1"/>
  <c r="AJ107" i="8" s="1"/>
  <c r="AJ110" i="8" s="1"/>
  <c r="AJ54" i="24"/>
  <c r="AJ52" i="24" s="1"/>
  <c r="AI110" i="7"/>
  <c r="AJ53" i="7"/>
  <c r="AJ51" i="7" s="1"/>
  <c r="AF54" i="6"/>
  <c r="AF52" i="6" s="1"/>
  <c r="AC109" i="7"/>
  <c r="AC113" i="7" s="1"/>
  <c r="AP12" i="7"/>
  <c r="AO11" i="7"/>
  <c r="AP61" i="7"/>
  <c r="AQ8" i="7"/>
  <c r="AG11" i="21" l="1"/>
  <c r="AK53" i="8"/>
  <c r="AK51" i="8" s="1"/>
  <c r="AK107" i="8" s="1"/>
  <c r="AK110" i="8" s="1"/>
  <c r="AK54" i="24"/>
  <c r="AK52" i="24" s="1"/>
  <c r="AJ108" i="24"/>
  <c r="AJ111" i="24" s="1"/>
  <c r="AJ25" i="24"/>
  <c r="AJ110" i="7"/>
  <c r="AK53" i="7"/>
  <c r="AK51" i="7" s="1"/>
  <c r="AQ61" i="7"/>
  <c r="AR8" i="7"/>
  <c r="AQ12" i="7"/>
  <c r="AP11" i="7"/>
  <c r="AD109" i="7"/>
  <c r="AD113" i="7" s="1"/>
  <c r="AH11" i="21" l="1"/>
  <c r="AK108" i="24"/>
  <c r="AK111" i="24" s="1"/>
  <c r="AK25" i="24"/>
  <c r="AK110" i="7"/>
  <c r="AR12" i="7"/>
  <c r="AQ11" i="7"/>
  <c r="AR61" i="7"/>
  <c r="AS8" i="7"/>
  <c r="AE109" i="7"/>
  <c r="AE113" i="7" s="1"/>
  <c r="AI11" i="21" l="1"/>
  <c r="AT8" i="7"/>
  <c r="AS61" i="7"/>
  <c r="AF109" i="7"/>
  <c r="AF113" i="7" s="1"/>
  <c r="AS12" i="7"/>
  <c r="AR11" i="7"/>
  <c r="AJ11" i="21" l="1"/>
  <c r="AG109" i="7"/>
  <c r="AG113" i="7" s="1"/>
  <c r="AS11" i="7"/>
  <c r="AT12" i="7"/>
  <c r="AU8" i="7"/>
  <c r="AT61" i="7"/>
  <c r="AK11" i="21" l="1"/>
  <c r="AT11" i="7"/>
  <c r="AU12" i="7"/>
  <c r="AV8" i="7"/>
  <c r="AH109" i="7"/>
  <c r="AH113" i="7" s="1"/>
  <c r="AU61" i="7"/>
  <c r="AL11" i="21" l="1"/>
  <c r="AV61" i="7"/>
  <c r="AV12" i="7"/>
  <c r="AU11" i="7"/>
  <c r="AI109" i="7"/>
  <c r="AI113" i="7" s="1"/>
  <c r="AW8" i="7"/>
  <c r="AM11" i="21" l="1"/>
  <c r="AV11" i="7"/>
  <c r="AW12" i="7"/>
  <c r="AW61" i="7"/>
  <c r="AJ109" i="7"/>
  <c r="AJ113" i="7" s="1"/>
  <c r="AX8" i="7"/>
  <c r="AN11" i="21" l="1"/>
  <c r="AX61" i="7"/>
  <c r="AK109" i="7"/>
  <c r="AK113" i="7" s="1"/>
  <c r="AX12" i="7"/>
  <c r="AW11" i="7"/>
  <c r="AY8" i="7"/>
  <c r="AO11" i="21" l="1"/>
  <c r="AZ8" i="7"/>
  <c r="AY12" i="7"/>
  <c r="AX11" i="7"/>
  <c r="AL109" i="7"/>
  <c r="AL113" i="7" s="1"/>
  <c r="AY61" i="7"/>
  <c r="AP11" i="21" l="1"/>
  <c r="AM109" i="7"/>
  <c r="AM113" i="7" s="1"/>
  <c r="AY11" i="7"/>
  <c r="AZ12" i="7"/>
  <c r="AZ61" i="7"/>
  <c r="BA8" i="7"/>
  <c r="AQ11" i="21" l="1"/>
  <c r="BA61" i="7"/>
  <c r="AN109" i="7"/>
  <c r="AN113" i="7" s="1"/>
  <c r="BA12" i="7"/>
  <c r="AZ11" i="7"/>
  <c r="BB8" i="7"/>
  <c r="AR11" i="21" l="1"/>
  <c r="BB61" i="7"/>
  <c r="BA11" i="7"/>
  <c r="BB12" i="7"/>
  <c r="BC8" i="7"/>
  <c r="AO109" i="7"/>
  <c r="AO113" i="7" s="1"/>
  <c r="AS11" i="21" l="1"/>
  <c r="BB11" i="7"/>
  <c r="BC12" i="7"/>
  <c r="BD8" i="7"/>
  <c r="AP109" i="7"/>
  <c r="AP113" i="7" s="1"/>
  <c r="BC61" i="7"/>
  <c r="AT11" i="21" l="1"/>
  <c r="AQ109" i="7"/>
  <c r="AQ113" i="7" s="1"/>
  <c r="BE8" i="7"/>
  <c r="BD61" i="7"/>
  <c r="BD12" i="7"/>
  <c r="BC11" i="7"/>
  <c r="AU11" i="21" l="1"/>
  <c r="BF8" i="7"/>
  <c r="AR109" i="7"/>
  <c r="AR113" i="7" s="1"/>
  <c r="BE61" i="7"/>
  <c r="BD11" i="7"/>
  <c r="BE12" i="7"/>
  <c r="AV11" i="21" l="1"/>
  <c r="AS109" i="7"/>
  <c r="AS113" i="7" s="1"/>
  <c r="BG8" i="7"/>
  <c r="BF61" i="7"/>
  <c r="BF12" i="7"/>
  <c r="BE11" i="7"/>
  <c r="BH8" i="7" l="1"/>
  <c r="BG12" i="7"/>
  <c r="BF11" i="7"/>
  <c r="BG61" i="7"/>
  <c r="AT109" i="7"/>
  <c r="AT113" i="7" s="1"/>
  <c r="BI8" i="7" l="1"/>
  <c r="BH12" i="7"/>
  <c r="BG11" i="7"/>
  <c r="AU109" i="7"/>
  <c r="AU113" i="7" s="1"/>
  <c r="BH61" i="7"/>
  <c r="BI12" i="7" l="1"/>
  <c r="BH11" i="7"/>
  <c r="AV109" i="7"/>
  <c r="AV113" i="7" s="1"/>
  <c r="BI61" i="7"/>
  <c r="BJ8" i="7"/>
  <c r="AW109" i="7" l="1"/>
  <c r="AW113" i="7" s="1"/>
  <c r="BK8" i="7"/>
  <c r="BI11" i="7"/>
  <c r="BJ12" i="7"/>
  <c r="BJ61" i="7"/>
  <c r="BB11" i="21" l="1"/>
  <c r="BK61" i="7"/>
  <c r="BL8" i="7"/>
  <c r="BJ11" i="7"/>
  <c r="BK12" i="7"/>
  <c r="AX109" i="7"/>
  <c r="AX113" i="7" s="1"/>
  <c r="BL61" i="7" l="1"/>
  <c r="BL12" i="7"/>
  <c r="BK11" i="7"/>
  <c r="AY109" i="7"/>
  <c r="AY113" i="7" s="1"/>
  <c r="BM8" i="7"/>
  <c r="BD11" i="21" l="1"/>
  <c r="AZ109" i="7"/>
  <c r="AZ113" i="7" s="1"/>
  <c r="BN8" i="7"/>
  <c r="BL11" i="7"/>
  <c r="BM12" i="7"/>
  <c r="BM61" i="7"/>
  <c r="BE11" i="21" l="1"/>
  <c r="BN61" i="7"/>
  <c r="BO8" i="7"/>
  <c r="BA109" i="7"/>
  <c r="BA113" i="7" s="1"/>
  <c r="BN12" i="7"/>
  <c r="BM11" i="7"/>
  <c r="BF11" i="21" l="1"/>
  <c r="BB109" i="7"/>
  <c r="BB113" i="7" s="1"/>
  <c r="BP8" i="7"/>
  <c r="BO61" i="7"/>
  <c r="BO12" i="7"/>
  <c r="BN11" i="7"/>
  <c r="BP61" i="7" l="1"/>
  <c r="BO11" i="7"/>
  <c r="BP12" i="7"/>
  <c r="BC109" i="7"/>
  <c r="BC113" i="7" s="1"/>
  <c r="BQ8" i="7"/>
  <c r="BD109" i="7" l="1"/>
  <c r="BD113" i="7" s="1"/>
  <c r="BQ12" i="7"/>
  <c r="BQ11" i="7" s="1"/>
  <c r="BP11" i="7"/>
  <c r="BQ61" i="7"/>
  <c r="BE109" i="7" l="1"/>
  <c r="BE113" i="7" s="1"/>
  <c r="BF109" i="7" l="1"/>
  <c r="BF113" i="7" s="1"/>
  <c r="BG109" i="7" l="1"/>
  <c r="BG113" i="7" s="1"/>
  <c r="BH109" i="7" l="1"/>
  <c r="BH113" i="7" s="1"/>
  <c r="BI109" i="7" l="1"/>
  <c r="BI113" i="7" s="1"/>
  <c r="R35" i="10"/>
  <c r="Q35" i="10"/>
  <c r="P35" i="10"/>
  <c r="O35" i="10"/>
  <c r="N35" i="10"/>
  <c r="R34" i="10"/>
  <c r="R36" i="10" s="1"/>
  <c r="Q34" i="10"/>
  <c r="P34" i="10"/>
  <c r="O34" i="10"/>
  <c r="N34" i="10"/>
  <c r="R26" i="10"/>
  <c r="Q26" i="10"/>
  <c r="P26" i="10"/>
  <c r="O26" i="10"/>
  <c r="N26" i="10"/>
  <c r="R15" i="10"/>
  <c r="Q15" i="10"/>
  <c r="P15" i="10"/>
  <c r="O15" i="10"/>
  <c r="N15" i="10"/>
  <c r="D8" i="14"/>
  <c r="C8" i="14"/>
  <c r="L33" i="16"/>
  <c r="C7" i="18"/>
  <c r="C13" i="18" s="1"/>
  <c r="G12" i="16" s="1"/>
  <c r="N116" i="17"/>
  <c r="M116" i="17"/>
  <c r="L116" i="17"/>
  <c r="K116" i="17"/>
  <c r="O116" i="17" s="1"/>
  <c r="N115" i="17"/>
  <c r="M115" i="17"/>
  <c r="L115" i="17"/>
  <c r="K115" i="17"/>
  <c r="O115" i="17" s="1"/>
  <c r="N114" i="17"/>
  <c r="M114" i="17"/>
  <c r="L114" i="17"/>
  <c r="K114" i="17"/>
  <c r="O114" i="17" s="1"/>
  <c r="N96" i="17"/>
  <c r="M96" i="17"/>
  <c r="L96" i="17"/>
  <c r="K96" i="17"/>
  <c r="N94" i="17"/>
  <c r="M94" i="17"/>
  <c r="L94" i="17"/>
  <c r="K94" i="17"/>
  <c r="N92" i="17"/>
  <c r="M92" i="17"/>
  <c r="L92" i="17"/>
  <c r="K92" i="17"/>
  <c r="N91" i="17"/>
  <c r="M91" i="17"/>
  <c r="L91" i="17"/>
  <c r="K91" i="17"/>
  <c r="N90" i="17"/>
  <c r="M90" i="17"/>
  <c r="L90" i="17"/>
  <c r="K90" i="17"/>
  <c r="N89" i="17"/>
  <c r="M89" i="17"/>
  <c r="L89" i="17"/>
  <c r="K89" i="17"/>
  <c r="N88" i="17"/>
  <c r="M88" i="17"/>
  <c r="L88" i="17"/>
  <c r="K88" i="17"/>
  <c r="N86" i="17"/>
  <c r="M86" i="17"/>
  <c r="L86" i="17"/>
  <c r="K86" i="17"/>
  <c r="N85" i="17"/>
  <c r="M85" i="17"/>
  <c r="L85" i="17"/>
  <c r="K85" i="17"/>
  <c r="N84" i="17"/>
  <c r="M84" i="17"/>
  <c r="L84" i="17"/>
  <c r="K84" i="17"/>
  <c r="N82" i="17"/>
  <c r="M82" i="17"/>
  <c r="L82" i="17"/>
  <c r="K82" i="17"/>
  <c r="N81" i="17"/>
  <c r="M81" i="17"/>
  <c r="L81" i="17"/>
  <c r="K81" i="17"/>
  <c r="N80" i="17"/>
  <c r="M80" i="17"/>
  <c r="L80" i="17"/>
  <c r="K80" i="17"/>
  <c r="N76" i="17"/>
  <c r="M76" i="17"/>
  <c r="L76" i="17"/>
  <c r="K76" i="17"/>
  <c r="N75" i="17"/>
  <c r="M75" i="17"/>
  <c r="L75" i="17"/>
  <c r="K75" i="17"/>
  <c r="N74" i="17"/>
  <c r="M74" i="17"/>
  <c r="L74" i="17"/>
  <c r="K74" i="17"/>
  <c r="N73" i="17"/>
  <c r="M73" i="17"/>
  <c r="L73" i="17"/>
  <c r="K73" i="17"/>
  <c r="N72" i="17"/>
  <c r="M72" i="17"/>
  <c r="L72" i="17"/>
  <c r="K72" i="17"/>
  <c r="N64" i="17"/>
  <c r="M64" i="17"/>
  <c r="L64" i="17"/>
  <c r="K64" i="17"/>
  <c r="N63" i="17"/>
  <c r="M63" i="17"/>
  <c r="L63" i="17"/>
  <c r="K63" i="17"/>
  <c r="N62" i="17"/>
  <c r="M62" i="17"/>
  <c r="L62" i="17"/>
  <c r="K62" i="17"/>
  <c r="N61" i="17"/>
  <c r="M61" i="17"/>
  <c r="L61" i="17"/>
  <c r="K61" i="17"/>
  <c r="N57" i="17"/>
  <c r="M57" i="17"/>
  <c r="L57" i="17"/>
  <c r="K57" i="17"/>
  <c r="N54" i="17"/>
  <c r="M54" i="17"/>
  <c r="L54" i="17"/>
  <c r="K54" i="17"/>
  <c r="N53" i="17"/>
  <c r="M53" i="17"/>
  <c r="L53" i="17"/>
  <c r="K53" i="17"/>
  <c r="N51" i="17"/>
  <c r="M51" i="17"/>
  <c r="L51" i="17"/>
  <c r="K51" i="17"/>
  <c r="N50" i="17"/>
  <c r="M50" i="17"/>
  <c r="L50" i="17"/>
  <c r="K50" i="17"/>
  <c r="N44" i="17"/>
  <c r="M44" i="17"/>
  <c r="L44" i="17"/>
  <c r="K44" i="17"/>
  <c r="N43" i="17"/>
  <c r="M43" i="17"/>
  <c r="L43" i="17"/>
  <c r="K43" i="17"/>
  <c r="N21" i="17"/>
  <c r="M21" i="17"/>
  <c r="L21" i="17"/>
  <c r="K21" i="17"/>
  <c r="N20" i="17"/>
  <c r="M20" i="17"/>
  <c r="L20" i="17"/>
  <c r="K20" i="17"/>
  <c r="N19" i="17"/>
  <c r="M19" i="17"/>
  <c r="L19" i="17"/>
  <c r="K19" i="17"/>
  <c r="N17" i="17"/>
  <c r="M17" i="17"/>
  <c r="L17" i="17"/>
  <c r="K17" i="17"/>
  <c r="N16" i="17"/>
  <c r="M16" i="17"/>
  <c r="L16" i="17"/>
  <c r="K16" i="17"/>
  <c r="N15" i="17"/>
  <c r="M15" i="17"/>
  <c r="L15" i="17"/>
  <c r="K15" i="17"/>
  <c r="S20" i="12"/>
  <c r="T20" i="12"/>
  <c r="U20" i="12"/>
  <c r="V20" i="12"/>
  <c r="W24" i="12"/>
  <c r="V24" i="12"/>
  <c r="U24" i="12"/>
  <c r="T24" i="12"/>
  <c r="S24" i="12"/>
  <c r="N36" i="10" l="1"/>
  <c r="P36" i="10"/>
  <c r="Q36" i="10"/>
  <c r="O43" i="17"/>
  <c r="O50" i="17"/>
  <c r="O53" i="17"/>
  <c r="O57" i="17"/>
  <c r="O44" i="17"/>
  <c r="O54" i="17"/>
  <c r="C20" i="14"/>
  <c r="E20" i="14" s="1"/>
  <c r="C16" i="14"/>
  <c r="C17" i="14"/>
  <c r="E17" i="14" s="1"/>
  <c r="C18" i="14"/>
  <c r="E18" i="14" s="1"/>
  <c r="C15" i="14"/>
  <c r="E15" i="14" s="1"/>
  <c r="C19" i="14"/>
  <c r="E19" i="14" s="1"/>
  <c r="O96" i="17"/>
  <c r="O19" i="17"/>
  <c r="O61" i="17"/>
  <c r="O62" i="17"/>
  <c r="O64" i="17"/>
  <c r="O72" i="17"/>
  <c r="O73" i="17"/>
  <c r="O76" i="17"/>
  <c r="O80" i="17"/>
  <c r="O81" i="17"/>
  <c r="O84" i="17"/>
  <c r="O86" i="17"/>
  <c r="O88" i="17"/>
  <c r="O91" i="17"/>
  <c r="O94" i="17"/>
  <c r="E8" i="14"/>
  <c r="D16" i="14" s="1"/>
  <c r="O36" i="10"/>
  <c r="O89" i="17"/>
  <c r="BJ109" i="7"/>
  <c r="BJ113" i="7" s="1"/>
  <c r="O51" i="17"/>
  <c r="O15" i="17"/>
  <c r="O17" i="17"/>
  <c r="O20" i="17"/>
  <c r="O90" i="17"/>
  <c r="O92" i="17"/>
  <c r="O16" i="17"/>
  <c r="O21" i="17"/>
  <c r="O63" i="17"/>
  <c r="O82" i="17"/>
  <c r="O85" i="17"/>
  <c r="O75" i="17"/>
  <c r="O74" i="17"/>
  <c r="C12" i="18"/>
  <c r="G7" i="16" s="1"/>
  <c r="C21" i="14" l="1"/>
  <c r="E16" i="14"/>
  <c r="E21" i="14" s="1"/>
  <c r="F17" i="14" s="1"/>
  <c r="BK109" i="7"/>
  <c r="BK113" i="7" s="1"/>
  <c r="W6" i="12"/>
  <c r="V6" i="12"/>
  <c r="U6" i="12"/>
  <c r="T6" i="12"/>
  <c r="X6" i="12" l="1"/>
  <c r="AY6" i="12" s="1"/>
  <c r="AZ6" i="12" s="1"/>
  <c r="AZ5" i="12" s="1"/>
  <c r="AZ7" i="12" s="1"/>
  <c r="BA6" i="12"/>
  <c r="BB6" i="12" s="1"/>
  <c r="BC6" i="12" s="1"/>
  <c r="BD6" i="12" s="1"/>
  <c r="BE6" i="12" s="1"/>
  <c r="BF6" i="12" s="1"/>
  <c r="BG6" i="12" s="1"/>
  <c r="BH6" i="12" s="1"/>
  <c r="BI6" i="12" s="1"/>
  <c r="BJ6" i="12" s="1"/>
  <c r="BK6" i="12" s="1"/>
  <c r="BL6" i="12" s="1"/>
  <c r="BM6" i="12" s="1"/>
  <c r="BN6" i="12" s="1"/>
  <c r="BO6" i="12" s="1"/>
  <c r="BP6" i="12" s="1"/>
  <c r="BQ6" i="12" s="1"/>
  <c r="BR6" i="12" s="1"/>
  <c r="BS6" i="12" s="1"/>
  <c r="BT6" i="12" s="1"/>
  <c r="BU6" i="12" s="1"/>
  <c r="BV6" i="12" s="1"/>
  <c r="Y8" i="12"/>
  <c r="F19" i="14"/>
  <c r="F15" i="14"/>
  <c r="F21" i="14" s="1"/>
  <c r="F20" i="14"/>
  <c r="F16" i="14"/>
  <c r="F18" i="14"/>
  <c r="BL109" i="7"/>
  <c r="BL113" i="7" s="1"/>
  <c r="W20" i="12"/>
  <c r="W16" i="12" s="1"/>
  <c r="AF24" i="12"/>
  <c r="AE24" i="12"/>
  <c r="AT24" i="12"/>
  <c r="AJ24" i="12"/>
  <c r="AO24" i="12"/>
  <c r="AP24" i="12"/>
  <c r="AK24" i="12"/>
  <c r="AF29" i="12" l="1"/>
  <c r="AF31" i="12"/>
  <c r="AF26" i="12"/>
  <c r="AF30" i="12"/>
  <c r="AF27" i="12"/>
  <c r="AF28" i="12"/>
  <c r="AF25" i="12"/>
  <c r="AK26" i="12"/>
  <c r="AK30" i="12"/>
  <c r="AK28" i="12"/>
  <c r="AK29" i="12"/>
  <c r="AK25" i="12"/>
  <c r="AK31" i="12"/>
  <c r="AK27" i="12"/>
  <c r="AP30" i="12"/>
  <c r="AP25" i="12"/>
  <c r="AP27" i="12"/>
  <c r="AP29" i="12"/>
  <c r="AP26" i="12"/>
  <c r="AP31" i="12"/>
  <c r="AP28" i="12"/>
  <c r="AO28" i="12"/>
  <c r="AO30" i="12"/>
  <c r="AO25" i="12"/>
  <c r="AO29" i="12"/>
  <c r="AO26" i="12"/>
  <c r="AO31" i="12"/>
  <c r="AO27" i="12"/>
  <c r="AJ26" i="12"/>
  <c r="AJ28" i="12"/>
  <c r="AJ30" i="12"/>
  <c r="AJ27" i="12"/>
  <c r="AJ29" i="12"/>
  <c r="AJ25" i="12"/>
  <c r="AJ31" i="12"/>
  <c r="AT25" i="12"/>
  <c r="AT29" i="12"/>
  <c r="AT27" i="12"/>
  <c r="AT31" i="12"/>
  <c r="AT26" i="12"/>
  <c r="AT28" i="12"/>
  <c r="AT30" i="12"/>
  <c r="AE29" i="12"/>
  <c r="AE31" i="12"/>
  <c r="AE26" i="12"/>
  <c r="AE30" i="12"/>
  <c r="AE27" i="12"/>
  <c r="AE28" i="12"/>
  <c r="AE25" i="12"/>
  <c r="BA5" i="12"/>
  <c r="Y21" i="12"/>
  <c r="AG24" i="12"/>
  <c r="AI23" i="10"/>
  <c r="AD23" i="10"/>
  <c r="Y23" i="10"/>
  <c r="AJ12" i="10"/>
  <c r="T12" i="10"/>
  <c r="S23" i="10"/>
  <c r="U12" i="10"/>
  <c r="AJ23" i="10"/>
  <c r="T23" i="10"/>
  <c r="S12" i="10"/>
  <c r="U23" i="10"/>
  <c r="AA23" i="10"/>
  <c r="AE23" i="10"/>
  <c r="AN23" i="10"/>
  <c r="Z23" i="10"/>
  <c r="AE12" i="10"/>
  <c r="AI12" i="10"/>
  <c r="AD12" i="10"/>
  <c r="AN12" i="10"/>
  <c r="Y12" i="10"/>
  <c r="Z12" i="10"/>
  <c r="BM109" i="7"/>
  <c r="BM113" i="7" s="1"/>
  <c r="AL24" i="12"/>
  <c r="AQ24" i="12"/>
  <c r="AU24" i="12"/>
  <c r="AI24" i="12"/>
  <c r="AH24" i="12"/>
  <c r="AD16" i="9" l="1"/>
  <c r="AD16" i="25"/>
  <c r="AN21" i="9"/>
  <c r="AN21" i="25"/>
  <c r="Z18" i="9"/>
  <c r="Z18" i="25"/>
  <c r="Z17" i="9"/>
  <c r="Z17" i="25"/>
  <c r="AD18" i="9"/>
  <c r="AD18" i="25"/>
  <c r="Z20" i="9"/>
  <c r="Z20" i="25"/>
  <c r="Y18" i="9"/>
  <c r="Y18" i="25"/>
  <c r="Y17" i="9"/>
  <c r="Y17" i="25"/>
  <c r="AE17" i="9"/>
  <c r="AE17" i="25"/>
  <c r="AE15" i="9"/>
  <c r="AE15" i="25"/>
  <c r="Y19" i="9"/>
  <c r="Y19" i="25"/>
  <c r="AN20" i="9"/>
  <c r="AN20" i="25"/>
  <c r="AN18" i="9"/>
  <c r="AN18" i="25"/>
  <c r="AN16" i="9"/>
  <c r="AN16" i="25"/>
  <c r="Z15" i="9"/>
  <c r="Z14" i="9" s="1"/>
  <c r="Z23" i="9" s="1"/>
  <c r="Z32" i="9" s="1"/>
  <c r="AA7" i="6" s="1"/>
  <c r="Z15" i="25"/>
  <c r="Z14" i="25" s="1"/>
  <c r="Z23" i="25" s="1"/>
  <c r="Z32" i="25" s="1"/>
  <c r="AN19" i="9"/>
  <c r="AN19" i="25"/>
  <c r="AJ21" i="9"/>
  <c r="AJ21" i="25"/>
  <c r="AD21" i="9"/>
  <c r="AD21" i="25"/>
  <c r="AJ16" i="9"/>
  <c r="AJ16" i="25"/>
  <c r="Z16" i="9"/>
  <c r="Z16" i="25"/>
  <c r="AD17" i="9"/>
  <c r="AD17" i="25"/>
  <c r="AD20" i="9"/>
  <c r="AD20" i="25"/>
  <c r="Y20" i="9"/>
  <c r="Y20" i="25"/>
  <c r="AE21" i="9"/>
  <c r="AE21" i="25"/>
  <c r="AI17" i="9"/>
  <c r="AI17" i="25"/>
  <c r="AE19" i="9"/>
  <c r="AE19" i="25"/>
  <c r="AI16" i="9"/>
  <c r="AI16" i="25"/>
  <c r="AE20" i="9"/>
  <c r="AE20" i="25"/>
  <c r="AE16" i="9"/>
  <c r="AE14" i="9" s="1"/>
  <c r="AE23" i="9" s="1"/>
  <c r="AE32" i="9" s="1"/>
  <c r="AF7" i="6" s="1"/>
  <c r="AE16" i="25"/>
  <c r="AI18" i="9"/>
  <c r="AI14" i="9" s="1"/>
  <c r="AI23" i="9" s="1"/>
  <c r="AI32" i="9" s="1"/>
  <c r="AJ7" i="6" s="1"/>
  <c r="AI18" i="25"/>
  <c r="AN15" i="9"/>
  <c r="AN14" i="9" s="1"/>
  <c r="AN23" i="9" s="1"/>
  <c r="AN32" i="9" s="1"/>
  <c r="AO7" i="6" s="1"/>
  <c r="AN15" i="25"/>
  <c r="AN14" i="25" s="1"/>
  <c r="AN23" i="25" s="1"/>
  <c r="AN32" i="25" s="1"/>
  <c r="AD15" i="9"/>
  <c r="AD14" i="9" s="1"/>
  <c r="AD23" i="9" s="1"/>
  <c r="AD32" i="9" s="1"/>
  <c r="AE7" i="6" s="1"/>
  <c r="AD15" i="25"/>
  <c r="AJ19" i="9"/>
  <c r="AJ19" i="25"/>
  <c r="Z21" i="9"/>
  <c r="Z21" i="25"/>
  <c r="AJ15" i="9"/>
  <c r="AJ14" i="9" s="1"/>
  <c r="AJ23" i="9" s="1"/>
  <c r="AJ32" i="9" s="1"/>
  <c r="AK7" i="6" s="1"/>
  <c r="AJ15" i="25"/>
  <c r="AJ20" i="9"/>
  <c r="AJ20" i="25"/>
  <c r="Y16" i="9"/>
  <c r="Y16" i="25"/>
  <c r="Y21" i="9"/>
  <c r="Y21" i="25"/>
  <c r="AI21" i="9"/>
  <c r="AI21" i="25"/>
  <c r="AE18" i="9"/>
  <c r="AE18" i="25"/>
  <c r="AI19" i="9"/>
  <c r="AI19" i="25"/>
  <c r="AI15" i="9"/>
  <c r="AI15" i="25"/>
  <c r="AI20" i="9"/>
  <c r="AI20" i="25"/>
  <c r="AN17" i="9"/>
  <c r="AN17" i="25"/>
  <c r="AJ18" i="9"/>
  <c r="AJ18" i="25"/>
  <c r="Y15" i="9"/>
  <c r="Y14" i="9" s="1"/>
  <c r="Y23" i="9" s="1"/>
  <c r="Y32" i="9" s="1"/>
  <c r="Z7" i="6" s="1"/>
  <c r="Y15" i="25"/>
  <c r="AD19" i="9"/>
  <c r="AD19" i="25"/>
  <c r="AJ17" i="9"/>
  <c r="AJ17" i="25"/>
  <c r="Z19" i="9"/>
  <c r="Z19" i="25"/>
  <c r="BB5" i="12"/>
  <c r="BA7" i="12"/>
  <c r="Z21" i="12"/>
  <c r="AL26" i="12"/>
  <c r="AL28" i="12"/>
  <c r="AL30" i="12"/>
  <c r="AL29" i="12"/>
  <c r="AL25" i="12"/>
  <c r="AL31" i="12"/>
  <c r="AL27" i="12"/>
  <c r="AQ30" i="12"/>
  <c r="AQ25" i="12"/>
  <c r="AQ29" i="12"/>
  <c r="AQ27" i="12"/>
  <c r="AQ26" i="12"/>
  <c r="AQ31" i="12"/>
  <c r="AQ28" i="12"/>
  <c r="AA12" i="10"/>
  <c r="AG31" i="12"/>
  <c r="AG26" i="12"/>
  <c r="AG28" i="12"/>
  <c r="AG30" i="12"/>
  <c r="AG27" i="12"/>
  <c r="AG29" i="12"/>
  <c r="AG25" i="12"/>
  <c r="AU25" i="12"/>
  <c r="AU27" i="12"/>
  <c r="AU29" i="12"/>
  <c r="AU31" i="12"/>
  <c r="AU26" i="12"/>
  <c r="AU28" i="12"/>
  <c r="AU30" i="12"/>
  <c r="AH31" i="12"/>
  <c r="AH26" i="12"/>
  <c r="AH30" i="12"/>
  <c r="AH28" i="12"/>
  <c r="AH27" i="12"/>
  <c r="AH29" i="12"/>
  <c r="AH25" i="12"/>
  <c r="AI28" i="12"/>
  <c r="AI26" i="12"/>
  <c r="AI30" i="12"/>
  <c r="AI27" i="12"/>
  <c r="AI29" i="12"/>
  <c r="AI31" i="12"/>
  <c r="AI25" i="12"/>
  <c r="AA21" i="12"/>
  <c r="T36" i="6"/>
  <c r="K34" i="17" s="1"/>
  <c r="T29" i="6"/>
  <c r="T37" i="6"/>
  <c r="K35" i="17" s="1"/>
  <c r="T28" i="6"/>
  <c r="T6" i="10"/>
  <c r="Z20" i="11"/>
  <c r="Y17" i="11"/>
  <c r="AD20" i="11"/>
  <c r="S18" i="11"/>
  <c r="Z16" i="11"/>
  <c r="AJ14" i="11"/>
  <c r="AE19" i="11"/>
  <c r="AN14" i="11"/>
  <c r="U17" i="11"/>
  <c r="Y13" i="11"/>
  <c r="T14" i="11"/>
  <c r="AI19" i="11"/>
  <c r="AD16" i="11"/>
  <c r="S19" i="11"/>
  <c r="AE15" i="11"/>
  <c r="Z19" i="11"/>
  <c r="AJ17" i="11"/>
  <c r="AN13" i="11"/>
  <c r="U13" i="11"/>
  <c r="Y20" i="11"/>
  <c r="T17" i="11"/>
  <c r="AI18" i="11"/>
  <c r="AD19" i="11"/>
  <c r="S20" i="11"/>
  <c r="AN18" i="11"/>
  <c r="AE14" i="11"/>
  <c r="Z18" i="11"/>
  <c r="AJ16" i="11"/>
  <c r="AE13" i="11"/>
  <c r="AN20" i="11"/>
  <c r="U16" i="11"/>
  <c r="Y19" i="11"/>
  <c r="T16" i="11"/>
  <c r="AI17" i="11"/>
  <c r="AD15" i="11"/>
  <c r="S17" i="11"/>
  <c r="AJ18" i="11"/>
  <c r="T36" i="8"/>
  <c r="T35" i="8"/>
  <c r="T28" i="8"/>
  <c r="T27" i="8"/>
  <c r="Z17" i="11"/>
  <c r="AJ15" i="11"/>
  <c r="AE20" i="11"/>
  <c r="AN19" i="11"/>
  <c r="U15" i="11"/>
  <c r="Y18" i="11"/>
  <c r="T15" i="11"/>
  <c r="AI16" i="11"/>
  <c r="AD14" i="11"/>
  <c r="S13" i="11"/>
  <c r="AI15" i="11"/>
  <c r="U35" i="8"/>
  <c r="U36" i="8"/>
  <c r="Z15" i="11"/>
  <c r="AJ13" i="11"/>
  <c r="AE18" i="11"/>
  <c r="AN17" i="11"/>
  <c r="U14" i="11"/>
  <c r="Y16" i="11"/>
  <c r="T13" i="11"/>
  <c r="AI14" i="11"/>
  <c r="AD13" i="11"/>
  <c r="S15" i="11"/>
  <c r="T18" i="11"/>
  <c r="Z14" i="11"/>
  <c r="AJ20" i="11"/>
  <c r="AE17" i="11"/>
  <c r="AN16" i="11"/>
  <c r="U19" i="11"/>
  <c r="Y15" i="11"/>
  <c r="T20" i="11"/>
  <c r="AI13" i="11"/>
  <c r="AD18" i="11"/>
  <c r="S16" i="11"/>
  <c r="U20" i="11"/>
  <c r="Z13" i="11"/>
  <c r="AJ19" i="11"/>
  <c r="AE16" i="11"/>
  <c r="AN15" i="11"/>
  <c r="U18" i="11"/>
  <c r="Y14" i="11"/>
  <c r="T19" i="11"/>
  <c r="AI20" i="11"/>
  <c r="AD17" i="11"/>
  <c r="S14" i="11"/>
  <c r="V23" i="10"/>
  <c r="AC23" i="10"/>
  <c r="AO12" i="10"/>
  <c r="AK12" i="10"/>
  <c r="AO23" i="10"/>
  <c r="AK23" i="10"/>
  <c r="AA20" i="10"/>
  <c r="U20" i="10"/>
  <c r="U31" i="10" s="1"/>
  <c r="T20" i="10"/>
  <c r="T31" i="10" s="1"/>
  <c r="AJ20" i="10"/>
  <c r="AJ31" i="10" s="1"/>
  <c r="AC12" i="10"/>
  <c r="AF23" i="10"/>
  <c r="S6" i="10"/>
  <c r="AB12" i="10"/>
  <c r="AB23" i="10"/>
  <c r="AF12" i="10"/>
  <c r="V12" i="10"/>
  <c r="Z20" i="10"/>
  <c r="Z31" i="10" s="1"/>
  <c r="AN20" i="10"/>
  <c r="AN31" i="10" s="1"/>
  <c r="AE20" i="10"/>
  <c r="AE31" i="10" s="1"/>
  <c r="S20" i="10"/>
  <c r="S31" i="10" s="1"/>
  <c r="Y20" i="10"/>
  <c r="Y31" i="10" s="1"/>
  <c r="AD20" i="10"/>
  <c r="AD31" i="10" s="1"/>
  <c r="AI20" i="10"/>
  <c r="AI31" i="10" s="1"/>
  <c r="BN109" i="7"/>
  <c r="BN113" i="7" s="1"/>
  <c r="AV24" i="12"/>
  <c r="AR24" i="12"/>
  <c r="AS24" i="12"/>
  <c r="AM24" i="12"/>
  <c r="AN24" i="12"/>
  <c r="AD24" i="12"/>
  <c r="AB15" i="9" l="1"/>
  <c r="AB15" i="25"/>
  <c r="AA17" i="9"/>
  <c r="AA17" i="25"/>
  <c r="AF19" i="9"/>
  <c r="AF19" i="25"/>
  <c r="AD14" i="25"/>
  <c r="AD23" i="25" s="1"/>
  <c r="AD32" i="25" s="1"/>
  <c r="AB19" i="9"/>
  <c r="AB19" i="25"/>
  <c r="AA20" i="9"/>
  <c r="AA20" i="25"/>
  <c r="AF20" i="9"/>
  <c r="AF20" i="25"/>
  <c r="AA18" i="9"/>
  <c r="AA14" i="9" s="1"/>
  <c r="AA23" i="9" s="1"/>
  <c r="AA32" i="9" s="1"/>
  <c r="AB7" i="6" s="1"/>
  <c r="AA18" i="25"/>
  <c r="AO7" i="24"/>
  <c r="AO6" i="24" s="1"/>
  <c r="AO7" i="28"/>
  <c r="AO6" i="28" s="1"/>
  <c r="AA7" i="24"/>
  <c r="AA6" i="24" s="1"/>
  <c r="AA7" i="28"/>
  <c r="AA6" i="28" s="1"/>
  <c r="AB18" i="9"/>
  <c r="AB18" i="25"/>
  <c r="AA16" i="9"/>
  <c r="AA16" i="25"/>
  <c r="AF16" i="9"/>
  <c r="AF16" i="25"/>
  <c r="AB20" i="9"/>
  <c r="AB20" i="25"/>
  <c r="AA21" i="9"/>
  <c r="AA21" i="25"/>
  <c r="Y14" i="25"/>
  <c r="Y23" i="25" s="1"/>
  <c r="Y32" i="25" s="1"/>
  <c r="AB16" i="9"/>
  <c r="AB14" i="9" s="1"/>
  <c r="AB23" i="9" s="1"/>
  <c r="AB32" i="9" s="1"/>
  <c r="AC7" i="6" s="1"/>
  <c r="AB16" i="25"/>
  <c r="AF18" i="9"/>
  <c r="AF18" i="25"/>
  <c r="AB21" i="9"/>
  <c r="AB21" i="25"/>
  <c r="AK18" i="9"/>
  <c r="AK18" i="25"/>
  <c r="AB17" i="9"/>
  <c r="AB17" i="25"/>
  <c r="AO20" i="9"/>
  <c r="AO20" i="25"/>
  <c r="AK21" i="9"/>
  <c r="AK21" i="25"/>
  <c r="AO18" i="9"/>
  <c r="AO18" i="25"/>
  <c r="AK16" i="9"/>
  <c r="AK16" i="25"/>
  <c r="AC15" i="9"/>
  <c r="AC15" i="25"/>
  <c r="AO16" i="9"/>
  <c r="AO16" i="25"/>
  <c r="AK17" i="9"/>
  <c r="AK17" i="25"/>
  <c r="AC21" i="9"/>
  <c r="AC21" i="25"/>
  <c r="AO21" i="9"/>
  <c r="AO21" i="25"/>
  <c r="AK19" i="9"/>
  <c r="AK19" i="25"/>
  <c r="AJ14" i="25"/>
  <c r="AJ23" i="25" s="1"/>
  <c r="AJ32" i="25" s="1"/>
  <c r="AC19" i="9"/>
  <c r="AC19" i="25"/>
  <c r="AO19" i="9"/>
  <c r="AO19" i="25"/>
  <c r="AK15" i="9"/>
  <c r="AK15" i="25"/>
  <c r="AC17" i="9"/>
  <c r="AC14" i="9" s="1"/>
  <c r="AC23" i="9" s="1"/>
  <c r="AC32" i="9" s="1"/>
  <c r="AD7" i="6" s="1"/>
  <c r="AC17" i="25"/>
  <c r="AO17" i="9"/>
  <c r="AO17" i="25"/>
  <c r="AK20" i="9"/>
  <c r="AK20" i="25"/>
  <c r="AI14" i="25"/>
  <c r="AI23" i="25" s="1"/>
  <c r="AI32" i="25" s="1"/>
  <c r="AE14" i="25"/>
  <c r="AE23" i="25" s="1"/>
  <c r="AE32" i="25" s="1"/>
  <c r="AC20" i="9"/>
  <c r="AC20" i="25"/>
  <c r="AO15" i="9"/>
  <c r="AO14" i="9" s="1"/>
  <c r="AO23" i="9" s="1"/>
  <c r="AO32" i="9" s="1"/>
  <c r="AP7" i="6" s="1"/>
  <c r="AO15" i="25"/>
  <c r="AF17" i="9"/>
  <c r="AF17" i="25"/>
  <c r="AC16" i="9"/>
  <c r="AC16" i="25"/>
  <c r="AA15" i="9"/>
  <c r="AA15" i="25"/>
  <c r="AF21" i="9"/>
  <c r="AF21" i="25"/>
  <c r="AC18" i="9"/>
  <c r="AC18" i="25"/>
  <c r="AA19" i="9"/>
  <c r="AA19" i="25"/>
  <c r="AF15" i="9"/>
  <c r="AF14" i="9" s="1"/>
  <c r="AF23" i="9" s="1"/>
  <c r="AF32" i="9" s="1"/>
  <c r="AG7" i="6" s="1"/>
  <c r="AF15" i="25"/>
  <c r="AK14" i="9"/>
  <c r="AK23" i="9" s="1"/>
  <c r="AK32" i="9" s="1"/>
  <c r="AL7" i="6" s="1"/>
  <c r="BC5" i="12"/>
  <c r="BB7" i="12"/>
  <c r="AM26" i="12"/>
  <c r="AM28" i="12"/>
  <c r="AM30" i="12"/>
  <c r="AM29" i="12"/>
  <c r="AM25" i="12"/>
  <c r="AM31" i="12"/>
  <c r="AM27" i="12"/>
  <c r="AS25" i="12"/>
  <c r="AS27" i="12"/>
  <c r="AS31" i="12"/>
  <c r="AS29" i="12"/>
  <c r="AS30" i="12"/>
  <c r="AS26" i="12"/>
  <c r="AS28" i="12"/>
  <c r="AN28" i="12"/>
  <c r="AN30" i="12"/>
  <c r="AN25" i="12"/>
  <c r="AN29" i="12"/>
  <c r="AN26" i="12"/>
  <c r="AN27" i="12"/>
  <c r="AN31" i="12"/>
  <c r="AA31" i="10"/>
  <c r="AD27" i="12"/>
  <c r="AD29" i="12"/>
  <c r="AD31" i="12"/>
  <c r="AD30" i="12"/>
  <c r="AD26" i="12"/>
  <c r="AD28" i="12"/>
  <c r="AD25" i="12"/>
  <c r="AR27" i="12"/>
  <c r="AR25" i="12"/>
  <c r="AR29" i="12"/>
  <c r="AR30" i="12"/>
  <c r="AR26" i="12"/>
  <c r="AR31" i="12"/>
  <c r="AR28" i="12"/>
  <c r="AV25" i="12"/>
  <c r="AV27" i="12"/>
  <c r="AV29" i="12"/>
  <c r="AV31" i="12"/>
  <c r="AV28" i="12"/>
  <c r="AV26" i="12"/>
  <c r="AV30" i="12"/>
  <c r="AB21" i="12"/>
  <c r="U27" i="8"/>
  <c r="U28" i="8"/>
  <c r="U36" i="6"/>
  <c r="L34" i="17" s="1"/>
  <c r="U29" i="6"/>
  <c r="U37" i="6"/>
  <c r="L35" i="17" s="1"/>
  <c r="U28" i="6"/>
  <c r="AC13" i="11"/>
  <c r="V16" i="11"/>
  <c r="AA13" i="11"/>
  <c r="AK19" i="11"/>
  <c r="AF16" i="11"/>
  <c r="AO18" i="11"/>
  <c r="AC20" i="11"/>
  <c r="AB17" i="11"/>
  <c r="AF17" i="11"/>
  <c r="V20" i="11"/>
  <c r="AA20" i="11"/>
  <c r="AK18" i="11"/>
  <c r="AF15" i="11"/>
  <c r="AO16" i="11"/>
  <c r="AC16" i="11"/>
  <c r="AB16" i="11"/>
  <c r="Z12" i="11"/>
  <c r="AI12" i="11"/>
  <c r="T12" i="11"/>
  <c r="S12" i="11"/>
  <c r="U12" i="11"/>
  <c r="V19" i="11"/>
  <c r="AB14" i="11"/>
  <c r="V15" i="11"/>
  <c r="AA19" i="11"/>
  <c r="AK17" i="11"/>
  <c r="AF18" i="11"/>
  <c r="AO15" i="11"/>
  <c r="AC15" i="11"/>
  <c r="AB15" i="11"/>
  <c r="S7" i="11"/>
  <c r="V14" i="11"/>
  <c r="AA15" i="11"/>
  <c r="AK13" i="11"/>
  <c r="AF14" i="11"/>
  <c r="AO14" i="11"/>
  <c r="AC14" i="11"/>
  <c r="AB13" i="11"/>
  <c r="AJ12" i="11"/>
  <c r="AN12" i="11"/>
  <c r="Y12" i="11"/>
  <c r="AK14" i="11"/>
  <c r="T7" i="11"/>
  <c r="V13" i="11"/>
  <c r="AA18" i="11"/>
  <c r="AK20" i="11"/>
  <c r="AF13" i="11"/>
  <c r="AO13" i="11"/>
  <c r="AC19" i="11"/>
  <c r="AB20" i="11"/>
  <c r="AA14" i="11"/>
  <c r="V18" i="11"/>
  <c r="AA17" i="11"/>
  <c r="AK16" i="11"/>
  <c r="AF20" i="11"/>
  <c r="AO17" i="11"/>
  <c r="AC18" i="11"/>
  <c r="AB19" i="11"/>
  <c r="AD12" i="11"/>
  <c r="AE12" i="11"/>
  <c r="AO19" i="11"/>
  <c r="V17" i="11"/>
  <c r="AA16" i="11"/>
  <c r="AK15" i="11"/>
  <c r="AF19" i="11"/>
  <c r="AO20" i="11"/>
  <c r="AC17" i="11"/>
  <c r="AB18" i="11"/>
  <c r="AN22" i="10"/>
  <c r="AI22" i="10"/>
  <c r="W23" i="10"/>
  <c r="AM23" i="10"/>
  <c r="AL23" i="10"/>
  <c r="AD21" i="10"/>
  <c r="AE21" i="10"/>
  <c r="AJ21" i="10"/>
  <c r="T11" i="10"/>
  <c r="AC20" i="10"/>
  <c r="AC31" i="10" s="1"/>
  <c r="X12" i="10"/>
  <c r="AG12" i="10"/>
  <c r="AP12" i="10"/>
  <c r="AB20" i="10"/>
  <c r="AB31" i="10" s="1"/>
  <c r="S7" i="10"/>
  <c r="AA22" i="10"/>
  <c r="AA21" i="10"/>
  <c r="AH23" i="10"/>
  <c r="Z21" i="10"/>
  <c r="S21" i="10"/>
  <c r="S11" i="10"/>
  <c r="AN21" i="10"/>
  <c r="U21" i="10"/>
  <c r="X23" i="10"/>
  <c r="AG23" i="10"/>
  <c r="AP23" i="10"/>
  <c r="AI21" i="10"/>
  <c r="AH12" i="10"/>
  <c r="W12" i="10"/>
  <c r="AM12" i="10"/>
  <c r="AL12" i="10"/>
  <c r="Y21" i="10"/>
  <c r="AF20" i="10"/>
  <c r="AF31" i="10" s="1"/>
  <c r="T21" i="10"/>
  <c r="AK20" i="10"/>
  <c r="AK31" i="10" s="1"/>
  <c r="AO20" i="10"/>
  <c r="AO31" i="10" s="1"/>
  <c r="T7" i="10"/>
  <c r="V20" i="10"/>
  <c r="V31" i="10" s="1"/>
  <c r="BO109" i="7"/>
  <c r="BO113" i="7" s="1"/>
  <c r="AW24" i="12"/>
  <c r="X16" i="9" l="1"/>
  <c r="X16" i="25"/>
  <c r="AP16" i="9"/>
  <c r="AP16" i="25"/>
  <c r="X20" i="9"/>
  <c r="X20" i="25"/>
  <c r="AM21" i="9"/>
  <c r="AM21" i="25"/>
  <c r="AO14" i="25"/>
  <c r="AO23" i="25" s="1"/>
  <c r="AO32" i="25" s="1"/>
  <c r="AP21" i="9"/>
  <c r="AP21" i="25"/>
  <c r="X19" i="9"/>
  <c r="X14" i="9" s="1"/>
  <c r="X23" i="9" s="1"/>
  <c r="X32" i="9" s="1"/>
  <c r="Y7" i="6" s="1"/>
  <c r="X19" i="25"/>
  <c r="AM15" i="9"/>
  <c r="AM15" i="25"/>
  <c r="AF14" i="25"/>
  <c r="AF23" i="25" s="1"/>
  <c r="AF32" i="25" s="1"/>
  <c r="AK7" i="24"/>
  <c r="AK6" i="24" s="1"/>
  <c r="AK7" i="28"/>
  <c r="AK6" i="28" s="1"/>
  <c r="AM19" i="9"/>
  <c r="AM19" i="25"/>
  <c r="AP19" i="9"/>
  <c r="AP19" i="25"/>
  <c r="X17" i="9"/>
  <c r="X17" i="25"/>
  <c r="AG21" i="9"/>
  <c r="AG21" i="25"/>
  <c r="AP15" i="9"/>
  <c r="AP14" i="9" s="1"/>
  <c r="AP23" i="9" s="1"/>
  <c r="AP32" i="9" s="1"/>
  <c r="AQ7" i="6" s="1"/>
  <c r="AP15" i="25"/>
  <c r="AP14" i="25" s="1"/>
  <c r="AP23" i="25" s="1"/>
  <c r="AP32" i="25" s="1"/>
  <c r="AH21" i="9"/>
  <c r="AH21" i="25"/>
  <c r="AG15" i="9"/>
  <c r="AG15" i="25"/>
  <c r="AJ7" i="24"/>
  <c r="AJ6" i="24" s="1"/>
  <c r="AJ7" i="28"/>
  <c r="AJ6" i="28" s="1"/>
  <c r="AP20" i="9"/>
  <c r="AP20" i="25"/>
  <c r="AP18" i="9"/>
  <c r="AP18" i="25"/>
  <c r="AM17" i="9"/>
  <c r="AM17" i="25"/>
  <c r="AH16" i="9"/>
  <c r="AH16" i="25"/>
  <c r="AF7" i="28"/>
  <c r="AF6" i="28" s="1"/>
  <c r="AF7" i="24"/>
  <c r="AF6" i="24" s="1"/>
  <c r="AG19" i="9"/>
  <c r="AG19" i="25"/>
  <c r="AL21" i="9"/>
  <c r="AL21" i="25"/>
  <c r="AL16" i="9"/>
  <c r="AL16" i="25"/>
  <c r="AH19" i="9"/>
  <c r="AH19" i="25"/>
  <c r="AG18" i="9"/>
  <c r="AG18" i="25"/>
  <c r="AE7" i="28"/>
  <c r="AE6" i="28" s="1"/>
  <c r="AE7" i="24"/>
  <c r="AE6" i="24" s="1"/>
  <c r="AL18" i="9"/>
  <c r="AL18" i="25"/>
  <c r="X21" i="9"/>
  <c r="X21" i="25"/>
  <c r="AL19" i="9"/>
  <c r="AL19" i="25"/>
  <c r="AA14" i="25"/>
  <c r="AA23" i="25" s="1"/>
  <c r="AA32" i="25" s="1"/>
  <c r="Z7" i="28"/>
  <c r="Z6" i="28" s="1"/>
  <c r="Z7" i="24"/>
  <c r="Z6" i="24" s="1"/>
  <c r="AH20" i="9"/>
  <c r="AH20" i="25"/>
  <c r="AH18" i="9"/>
  <c r="AH18" i="25"/>
  <c r="AL17" i="9"/>
  <c r="AL17" i="25"/>
  <c r="AK14" i="25"/>
  <c r="AK23" i="25" s="1"/>
  <c r="AK32" i="25" s="1"/>
  <c r="AG17" i="9"/>
  <c r="AG17" i="25"/>
  <c r="AG20" i="9"/>
  <c r="AG20" i="25"/>
  <c r="AL15" i="9"/>
  <c r="AL14" i="9" s="1"/>
  <c r="AL23" i="9" s="1"/>
  <c r="AL32" i="9" s="1"/>
  <c r="AM7" i="6" s="1"/>
  <c r="AL15" i="25"/>
  <c r="AM18" i="9"/>
  <c r="AM14" i="9" s="1"/>
  <c r="AM23" i="9" s="1"/>
  <c r="AM32" i="9" s="1"/>
  <c r="AN7" i="6" s="1"/>
  <c r="AM18" i="25"/>
  <c r="X15" i="9"/>
  <c r="X15" i="25"/>
  <c r="AM16" i="9"/>
  <c r="AM16" i="25"/>
  <c r="AC14" i="25"/>
  <c r="AC23" i="25" s="1"/>
  <c r="AC32" i="25" s="1"/>
  <c r="AB14" i="25"/>
  <c r="AB23" i="25" s="1"/>
  <c r="AB32" i="25" s="1"/>
  <c r="AP17" i="9"/>
  <c r="AP17" i="25"/>
  <c r="AH17" i="9"/>
  <c r="AH17" i="25"/>
  <c r="AL20" i="9"/>
  <c r="AL20" i="25"/>
  <c r="AH15" i="9"/>
  <c r="AH14" i="9" s="1"/>
  <c r="AH23" i="9" s="1"/>
  <c r="AH32" i="9" s="1"/>
  <c r="AI7" i="6" s="1"/>
  <c r="AH15" i="25"/>
  <c r="AH14" i="25" s="1"/>
  <c r="AH23" i="25" s="1"/>
  <c r="AH32" i="25" s="1"/>
  <c r="AG16" i="9"/>
  <c r="AG14" i="9" s="1"/>
  <c r="AG23" i="9" s="1"/>
  <c r="AG32" i="9" s="1"/>
  <c r="AH7" i="6" s="1"/>
  <c r="AG16" i="25"/>
  <c r="X18" i="9"/>
  <c r="X18" i="25"/>
  <c r="AM20" i="9"/>
  <c r="AM20" i="25"/>
  <c r="BD5" i="12"/>
  <c r="BC7" i="12"/>
  <c r="AW31" i="12"/>
  <c r="AW27" i="12"/>
  <c r="AW29" i="12"/>
  <c r="AW28" i="12"/>
  <c r="AW25" i="12"/>
  <c r="AW26" i="12"/>
  <c r="AW30" i="12"/>
  <c r="AC21" i="12"/>
  <c r="AK12" i="11"/>
  <c r="AP13" i="11"/>
  <c r="AG17" i="11"/>
  <c r="AL17" i="11"/>
  <c r="X20" i="11"/>
  <c r="AP20" i="11"/>
  <c r="AF12" i="11"/>
  <c r="AL16" i="11"/>
  <c r="AM19" i="11"/>
  <c r="AG13" i="11"/>
  <c r="AP16" i="11"/>
  <c r="W19" i="11"/>
  <c r="AH15" i="11"/>
  <c r="X17" i="11"/>
  <c r="W17" i="11"/>
  <c r="AL20" i="11"/>
  <c r="AL19" i="11"/>
  <c r="AM14" i="11"/>
  <c r="AG20" i="11"/>
  <c r="AP19" i="11"/>
  <c r="W15" i="11"/>
  <c r="AH14" i="11"/>
  <c r="X16" i="11"/>
  <c r="AL18" i="11"/>
  <c r="AM16" i="11"/>
  <c r="AM15" i="11"/>
  <c r="X19" i="11"/>
  <c r="AL15" i="11"/>
  <c r="AM13" i="11"/>
  <c r="AG19" i="11"/>
  <c r="AP18" i="11"/>
  <c r="W14" i="11"/>
  <c r="AH13" i="11"/>
  <c r="X15" i="11"/>
  <c r="AM17" i="11"/>
  <c r="AG14" i="11"/>
  <c r="AB12" i="11"/>
  <c r="W16" i="11"/>
  <c r="AL14" i="11"/>
  <c r="AM20" i="11"/>
  <c r="AG18" i="11"/>
  <c r="AP17" i="11"/>
  <c r="W13" i="11"/>
  <c r="AH20" i="11"/>
  <c r="X14" i="11"/>
  <c r="AA12" i="11"/>
  <c r="S8" i="11"/>
  <c r="AH18" i="11"/>
  <c r="AH17" i="11"/>
  <c r="T8" i="11"/>
  <c r="AL13" i="11"/>
  <c r="AM18" i="11"/>
  <c r="AG16" i="11"/>
  <c r="AP15" i="11"/>
  <c r="W20" i="11"/>
  <c r="AH16" i="11"/>
  <c r="X18" i="11"/>
  <c r="AC12" i="11"/>
  <c r="AG15" i="11"/>
  <c r="AP14" i="11"/>
  <c r="W18" i="11"/>
  <c r="AH19" i="11"/>
  <c r="X13" i="11"/>
  <c r="AO12" i="11"/>
  <c r="V12" i="11"/>
  <c r="T32" i="10"/>
  <c r="AQ23" i="10"/>
  <c r="T22" i="10"/>
  <c r="T33" i="10" s="1"/>
  <c r="AP20" i="10"/>
  <c r="AP31" i="10" s="1"/>
  <c r="AB21" i="10"/>
  <c r="U28" i="7"/>
  <c r="L27" i="17"/>
  <c r="AC21" i="10"/>
  <c r="AE22" i="10"/>
  <c r="AD22" i="10"/>
  <c r="X20" i="10"/>
  <c r="X31" i="10" s="1"/>
  <c r="AH20" i="10"/>
  <c r="AH31" i="10" s="1"/>
  <c r="T28" i="7"/>
  <c r="K27" i="17"/>
  <c r="V21" i="10"/>
  <c r="Y22" i="10"/>
  <c r="Z22" i="10"/>
  <c r="S32" i="10"/>
  <c r="AL20" i="10"/>
  <c r="AL31" i="10" s="1"/>
  <c r="AM20" i="10"/>
  <c r="AM31" i="10" s="1"/>
  <c r="W20" i="10"/>
  <c r="W31" i="10" s="1"/>
  <c r="AK21" i="10"/>
  <c r="AG20" i="10"/>
  <c r="AG31" i="10" s="1"/>
  <c r="AO21" i="10"/>
  <c r="AJ22" i="10"/>
  <c r="AQ12" i="10"/>
  <c r="AF21" i="10"/>
  <c r="U22" i="10"/>
  <c r="Z28" i="7"/>
  <c r="Y11" i="10"/>
  <c r="S22" i="10"/>
  <c r="S33" i="10" s="1"/>
  <c r="BP109" i="7"/>
  <c r="BP113" i="7" s="1"/>
  <c r="AX24" i="12"/>
  <c r="AQ19" i="9" l="1"/>
  <c r="AQ19" i="25"/>
  <c r="AB7" i="24"/>
  <c r="AB6" i="24" s="1"/>
  <c r="AB7" i="28"/>
  <c r="AB6" i="28" s="1"/>
  <c r="AM14" i="25"/>
  <c r="AM23" i="25" s="1"/>
  <c r="AM32" i="25" s="1"/>
  <c r="AQ17" i="9"/>
  <c r="AQ17" i="25"/>
  <c r="AI7" i="24"/>
  <c r="AI6" i="24" s="1"/>
  <c r="AI7" i="28"/>
  <c r="AI6" i="28" s="1"/>
  <c r="AL14" i="25"/>
  <c r="AL23" i="25" s="1"/>
  <c r="AL32" i="25" s="1"/>
  <c r="AQ18" i="9"/>
  <c r="AQ18" i="25"/>
  <c r="AQ7" i="24"/>
  <c r="AQ6" i="24" s="1"/>
  <c r="AQ7" i="28"/>
  <c r="AQ6" i="28" s="1"/>
  <c r="AP7" i="24"/>
  <c r="AP6" i="24" s="1"/>
  <c r="AP7" i="28"/>
  <c r="AP6" i="28" s="1"/>
  <c r="AQ21" i="9"/>
  <c r="AQ21" i="25"/>
  <c r="AL7" i="24"/>
  <c r="AL6" i="24" s="1"/>
  <c r="AL7" i="28"/>
  <c r="AL6" i="28" s="1"/>
  <c r="AC7" i="24"/>
  <c r="AC6" i="24" s="1"/>
  <c r="AC7" i="28"/>
  <c r="AC6" i="28" s="1"/>
  <c r="AG14" i="25"/>
  <c r="AG23" i="25" s="1"/>
  <c r="AG32" i="25" s="1"/>
  <c r="AD7" i="24"/>
  <c r="AD6" i="24" s="1"/>
  <c r="AD7" i="28"/>
  <c r="AD6" i="28" s="1"/>
  <c r="AQ20" i="9"/>
  <c r="AQ20" i="25"/>
  <c r="AQ16" i="9"/>
  <c r="AQ14" i="9" s="1"/>
  <c r="AQ23" i="9" s="1"/>
  <c r="AQ32" i="9" s="1"/>
  <c r="AR7" i="6" s="1"/>
  <c r="AQ16" i="25"/>
  <c r="X14" i="25"/>
  <c r="X23" i="25" s="1"/>
  <c r="X32" i="25" s="1"/>
  <c r="AG7" i="28"/>
  <c r="AG6" i="28" s="1"/>
  <c r="AG7" i="24"/>
  <c r="AG6" i="24" s="1"/>
  <c r="AQ15" i="9"/>
  <c r="AQ15" i="25"/>
  <c r="BE5" i="12"/>
  <c r="BD7" i="12"/>
  <c r="AX27" i="12"/>
  <c r="AX29" i="12"/>
  <c r="AX31" i="12"/>
  <c r="AX28" i="12"/>
  <c r="AX25" i="12"/>
  <c r="AX30" i="12"/>
  <c r="AX26" i="12"/>
  <c r="AE21" i="12"/>
  <c r="AL12" i="11"/>
  <c r="X12" i="11"/>
  <c r="AQ16" i="11"/>
  <c r="AQ14" i="11"/>
  <c r="AQ13" i="11"/>
  <c r="W12" i="11"/>
  <c r="AQ20" i="11"/>
  <c r="AQ19" i="11"/>
  <c r="S9" i="11"/>
  <c r="S6" i="11" s="1"/>
  <c r="S21" i="11" s="1"/>
  <c r="T7" i="8" s="1"/>
  <c r="T6" i="8" s="1"/>
  <c r="AQ15" i="11"/>
  <c r="AH12" i="11"/>
  <c r="AM12" i="11"/>
  <c r="T9" i="11"/>
  <c r="T6" i="11" s="1"/>
  <c r="T21" i="11" s="1"/>
  <c r="U7" i="8" s="1"/>
  <c r="U6" i="8" s="1"/>
  <c r="AQ18" i="11"/>
  <c r="AP12" i="11"/>
  <c r="AQ17" i="11"/>
  <c r="AG12" i="11"/>
  <c r="Y33" i="10"/>
  <c r="AH21" i="10"/>
  <c r="AR12" i="10"/>
  <c r="AK22" i="10"/>
  <c r="AF22" i="10"/>
  <c r="AB22" i="10"/>
  <c r="AM22" i="10"/>
  <c r="AG21" i="10"/>
  <c r="AM21" i="10"/>
  <c r="AL21" i="10"/>
  <c r="AR23" i="10"/>
  <c r="AO22" i="10"/>
  <c r="W21" i="10"/>
  <c r="V22" i="10"/>
  <c r="X22" i="10"/>
  <c r="X21" i="10"/>
  <c r="AC22" i="10"/>
  <c r="AQ20" i="10"/>
  <c r="AQ31" i="10" s="1"/>
  <c r="AP22" i="10"/>
  <c r="AP21" i="10"/>
  <c r="BQ109" i="7"/>
  <c r="BQ113" i="7" s="1"/>
  <c r="AY24" i="12"/>
  <c r="AM7" i="28" l="1"/>
  <c r="AM6" i="28" s="1"/>
  <c r="AM7" i="24"/>
  <c r="AM6" i="24" s="1"/>
  <c r="Y7" i="28"/>
  <c r="Y6" i="28" s="1"/>
  <c r="Y7" i="24"/>
  <c r="Y6" i="24" s="1"/>
  <c r="AR16" i="9"/>
  <c r="AR16" i="25"/>
  <c r="AR20" i="9"/>
  <c r="AR20" i="25"/>
  <c r="AR15" i="9"/>
  <c r="AR14" i="9" s="1"/>
  <c r="AR23" i="9" s="1"/>
  <c r="AR32" i="9" s="1"/>
  <c r="AS7" i="6" s="1"/>
  <c r="AR15" i="25"/>
  <c r="AR21" i="9"/>
  <c r="AR21" i="25"/>
  <c r="AH7" i="28"/>
  <c r="AH6" i="28" s="1"/>
  <c r="AH7" i="24"/>
  <c r="AH6" i="24" s="1"/>
  <c r="AR17" i="9"/>
  <c r="AR17" i="25"/>
  <c r="AQ14" i="25"/>
  <c r="AQ23" i="25" s="1"/>
  <c r="AQ32" i="25" s="1"/>
  <c r="AR18" i="9"/>
  <c r="AR18" i="25"/>
  <c r="AR19" i="9"/>
  <c r="AR19" i="25"/>
  <c r="AN7" i="24"/>
  <c r="AN6" i="24" s="1"/>
  <c r="AN7" i="28"/>
  <c r="AN6" i="28" s="1"/>
  <c r="BF5" i="12"/>
  <c r="BE7" i="12"/>
  <c r="AY29" i="12"/>
  <c r="AY31" i="12"/>
  <c r="AY26" i="12"/>
  <c r="AY28" i="12"/>
  <c r="AY25" i="12"/>
  <c r="AY27" i="12"/>
  <c r="AY30" i="12"/>
  <c r="AJ8" i="12"/>
  <c r="AJ21" i="12" s="1"/>
  <c r="Z36" i="8"/>
  <c r="Z37" i="6"/>
  <c r="Z35" i="8"/>
  <c r="Z28" i="6"/>
  <c r="Z28" i="8"/>
  <c r="Z36" i="6"/>
  <c r="Y6" i="10"/>
  <c r="Z27" i="8"/>
  <c r="Z29" i="6"/>
  <c r="AR18" i="11"/>
  <c r="AQ12" i="11"/>
  <c r="AR13" i="11"/>
  <c r="AR14" i="11"/>
  <c r="AR17" i="11"/>
  <c r="AR16" i="11"/>
  <c r="AR20" i="11"/>
  <c r="AR15" i="11"/>
  <c r="AR19" i="11"/>
  <c r="AE11" i="10"/>
  <c r="AE33" i="10" s="1"/>
  <c r="AE28" i="7"/>
  <c r="AD11" i="10"/>
  <c r="AD33" i="10" s="1"/>
  <c r="W22" i="10"/>
  <c r="AH22" i="10"/>
  <c r="AS23" i="10"/>
  <c r="AR20" i="10"/>
  <c r="AR31" i="10" s="1"/>
  <c r="AS12" i="10"/>
  <c r="AQ22" i="10"/>
  <c r="AQ21" i="10"/>
  <c r="AL22" i="10"/>
  <c r="AG22" i="10"/>
  <c r="AZ24" i="12"/>
  <c r="AS17" i="9" l="1"/>
  <c r="AS17" i="25"/>
  <c r="AS18" i="9"/>
  <c r="AS18" i="25"/>
  <c r="AS15" i="9"/>
  <c r="AS14" i="9" s="1"/>
  <c r="AS23" i="9" s="1"/>
  <c r="AS32" i="9" s="1"/>
  <c r="AT7" i="6" s="1"/>
  <c r="AS15" i="25"/>
  <c r="AR14" i="25"/>
  <c r="AR23" i="25" s="1"/>
  <c r="AR32" i="25" s="1"/>
  <c r="AS16" i="9"/>
  <c r="AS16" i="25"/>
  <c r="AS21" i="9"/>
  <c r="AS21" i="25"/>
  <c r="AS19" i="9"/>
  <c r="AS19" i="25"/>
  <c r="AS20" i="9"/>
  <c r="AS20" i="25"/>
  <c r="AR7" i="24"/>
  <c r="AR6" i="24" s="1"/>
  <c r="AR7" i="28"/>
  <c r="AR6" i="28" s="1"/>
  <c r="BG5" i="12"/>
  <c r="BF7" i="12"/>
  <c r="AZ29" i="12"/>
  <c r="AZ31" i="12"/>
  <c r="AZ26" i="12"/>
  <c r="AZ28" i="12"/>
  <c r="AZ25" i="12"/>
  <c r="AZ27" i="12"/>
  <c r="AZ30" i="12"/>
  <c r="Y8" i="11"/>
  <c r="AE36" i="6"/>
  <c r="AE29" i="6"/>
  <c r="AE35" i="8"/>
  <c r="AE28" i="6"/>
  <c r="AE36" i="8"/>
  <c r="AE37" i="6"/>
  <c r="AE27" i="8"/>
  <c r="AD6" i="10"/>
  <c r="AE28" i="8"/>
  <c r="Y7" i="11"/>
  <c r="Y7" i="10"/>
  <c r="Y32" i="10" s="1"/>
  <c r="AK8" i="12"/>
  <c r="AK21" i="12" s="1"/>
  <c r="AS19" i="11"/>
  <c r="AS18" i="11"/>
  <c r="AR12" i="11"/>
  <c r="AS17" i="11"/>
  <c r="AS13" i="11"/>
  <c r="AS16" i="11"/>
  <c r="AS15" i="11"/>
  <c r="AS20" i="11"/>
  <c r="AS14" i="11"/>
  <c r="AF28" i="7"/>
  <c r="AR21" i="10"/>
  <c r="AT12" i="10"/>
  <c r="AS20" i="10"/>
  <c r="AS31" i="10" s="1"/>
  <c r="AT23" i="10"/>
  <c r="BA24" i="12"/>
  <c r="AS7" i="28" l="1"/>
  <c r="AS6" i="28" s="1"/>
  <c r="AS7" i="24"/>
  <c r="AS6" i="24" s="1"/>
  <c r="AT19" i="9"/>
  <c r="AT19" i="25"/>
  <c r="AT17" i="9"/>
  <c r="AT17" i="25"/>
  <c r="AT15" i="9"/>
  <c r="AT14" i="9" s="1"/>
  <c r="AT23" i="9" s="1"/>
  <c r="AT32" i="9" s="1"/>
  <c r="AU7" i="6" s="1"/>
  <c r="AT15" i="25"/>
  <c r="AT21" i="9"/>
  <c r="AT21" i="25"/>
  <c r="AT20" i="9"/>
  <c r="AT20" i="25"/>
  <c r="AT18" i="9"/>
  <c r="AT18" i="25"/>
  <c r="AT16" i="9"/>
  <c r="AT16" i="25"/>
  <c r="AS14" i="25"/>
  <c r="AS23" i="25" s="1"/>
  <c r="AS32" i="25" s="1"/>
  <c r="BH5" i="12"/>
  <c r="BG7" i="12"/>
  <c r="BA31" i="12"/>
  <c r="BA26" i="12"/>
  <c r="BA28" i="12"/>
  <c r="BA29" i="12"/>
  <c r="BA25" i="12"/>
  <c r="BA30" i="12"/>
  <c r="BA27" i="12"/>
  <c r="AD7" i="11"/>
  <c r="AD7" i="10"/>
  <c r="AD32" i="10" s="1"/>
  <c r="AL8" i="12"/>
  <c r="AL21" i="12" s="1"/>
  <c r="Y9" i="11"/>
  <c r="Y6" i="11" s="1"/>
  <c r="Y21" i="11" s="1"/>
  <c r="Z7" i="8" s="1"/>
  <c r="Z6" i="8" s="1"/>
  <c r="AF35" i="8"/>
  <c r="AF27" i="8"/>
  <c r="AF28" i="8"/>
  <c r="AF36" i="6"/>
  <c r="AE6" i="10"/>
  <c r="AF37" i="6"/>
  <c r="AF29" i="6"/>
  <c r="AF28" i="6"/>
  <c r="AF36" i="8"/>
  <c r="AT20" i="11"/>
  <c r="AT15" i="11"/>
  <c r="AS12" i="11"/>
  <c r="AT17" i="11"/>
  <c r="AT14" i="11"/>
  <c r="AT13" i="11"/>
  <c r="AT18" i="11"/>
  <c r="AT19" i="11"/>
  <c r="AT16" i="11"/>
  <c r="AG28" i="7"/>
  <c r="AF11" i="10"/>
  <c r="AF33" i="10" s="1"/>
  <c r="AS21" i="10"/>
  <c r="AR22" i="10"/>
  <c r="AU12" i="10"/>
  <c r="AU23" i="10"/>
  <c r="AT20" i="10"/>
  <c r="AT31" i="10" s="1"/>
  <c r="BB24" i="12"/>
  <c r="AT14" i="25" l="1"/>
  <c r="AT23" i="25" s="1"/>
  <c r="AT32" i="25" s="1"/>
  <c r="AU21" i="9"/>
  <c r="AU21" i="25"/>
  <c r="AU20" i="9"/>
  <c r="AU20" i="25"/>
  <c r="AU18" i="9"/>
  <c r="AU18" i="25"/>
  <c r="AU17" i="9"/>
  <c r="AU17" i="25"/>
  <c r="AU15" i="9"/>
  <c r="AU14" i="9" s="1"/>
  <c r="AU23" i="9" s="1"/>
  <c r="AU32" i="9" s="1"/>
  <c r="AV7" i="6" s="1"/>
  <c r="AU15" i="25"/>
  <c r="AU19" i="9"/>
  <c r="AU19" i="25"/>
  <c r="AU16" i="9"/>
  <c r="AU16" i="25"/>
  <c r="AT7" i="28"/>
  <c r="AT6" i="28" s="1"/>
  <c r="AT7" i="24"/>
  <c r="AT6" i="24" s="1"/>
  <c r="BI5" i="12"/>
  <c r="BH7" i="12"/>
  <c r="BB31" i="12"/>
  <c r="BB26" i="12"/>
  <c r="BB28" i="12"/>
  <c r="BB29" i="12"/>
  <c r="BB25" i="12"/>
  <c r="BB30" i="12"/>
  <c r="BB27" i="12"/>
  <c r="AE8" i="11"/>
  <c r="AD8" i="11"/>
  <c r="AG36" i="8"/>
  <c r="AG29" i="6"/>
  <c r="AF6" i="10"/>
  <c r="AG35" i="8"/>
  <c r="AG27" i="8"/>
  <c r="AG28" i="6"/>
  <c r="AG36" i="6"/>
  <c r="AG37" i="6"/>
  <c r="AG28" i="8"/>
  <c r="AM8" i="12"/>
  <c r="AM21" i="12" s="1"/>
  <c r="AE7" i="10"/>
  <c r="AE32" i="10" s="1"/>
  <c r="AE7" i="11"/>
  <c r="AU19" i="11"/>
  <c r="AU14" i="11"/>
  <c r="AU15" i="11"/>
  <c r="AU18" i="11"/>
  <c r="AU13" i="11"/>
  <c r="AU20" i="11"/>
  <c r="AU17" i="11"/>
  <c r="AU16" i="11"/>
  <c r="AT12" i="11"/>
  <c r="AH11" i="10"/>
  <c r="AH33" i="10" s="1"/>
  <c r="AG11" i="10"/>
  <c r="AG33" i="10" s="1"/>
  <c r="AH28" i="7"/>
  <c r="AV12" i="10"/>
  <c r="AS22" i="10"/>
  <c r="AV23" i="10"/>
  <c r="AU20" i="10"/>
  <c r="AU31" i="10" s="1"/>
  <c r="AT21" i="10"/>
  <c r="BC24" i="12"/>
  <c r="AU14" i="25" l="1"/>
  <c r="AU23" i="25" s="1"/>
  <c r="AU32" i="25" s="1"/>
  <c r="AV16" i="9"/>
  <c r="AV16" i="25"/>
  <c r="AV17" i="9"/>
  <c r="AV17" i="25"/>
  <c r="AV20" i="9"/>
  <c r="AV20" i="25"/>
  <c r="AV18" i="9"/>
  <c r="AV18" i="25"/>
  <c r="AV15" i="9"/>
  <c r="AV14" i="9" s="1"/>
  <c r="AV23" i="9" s="1"/>
  <c r="AV32" i="9" s="1"/>
  <c r="AW7" i="6" s="1"/>
  <c r="AV15" i="25"/>
  <c r="AV19" i="9"/>
  <c r="AV19" i="25"/>
  <c r="AV21" i="9"/>
  <c r="AV21" i="25"/>
  <c r="AU7" i="24"/>
  <c r="AU6" i="24" s="1"/>
  <c r="AU7" i="28"/>
  <c r="AU6" i="28" s="1"/>
  <c r="BJ5" i="12"/>
  <c r="BI7" i="12"/>
  <c r="BC28" i="12"/>
  <c r="BC26" i="12"/>
  <c r="BC30" i="12"/>
  <c r="BC25" i="12"/>
  <c r="BC31" i="12"/>
  <c r="BC27" i="12"/>
  <c r="BC29" i="12"/>
  <c r="AD9" i="11"/>
  <c r="AD6" i="11" s="1"/>
  <c r="AD21" i="11" s="1"/>
  <c r="AE7" i="8" s="1"/>
  <c r="AE6" i="8" s="1"/>
  <c r="AE9" i="11"/>
  <c r="AE6" i="11" s="1"/>
  <c r="AE21" i="11" s="1"/>
  <c r="AF7" i="8" s="1"/>
  <c r="AF6" i="8" s="1"/>
  <c r="AH37" i="6"/>
  <c r="AH36" i="8"/>
  <c r="AH29" i="6"/>
  <c r="AH35" i="8"/>
  <c r="AH28" i="6"/>
  <c r="AH36" i="6"/>
  <c r="AH28" i="8"/>
  <c r="AH27" i="8"/>
  <c r="AG6" i="10"/>
  <c r="AN8" i="12"/>
  <c r="AN21" i="12" s="1"/>
  <c r="AF8" i="11"/>
  <c r="AF7" i="11"/>
  <c r="AF7" i="10"/>
  <c r="AF32" i="10" s="1"/>
  <c r="AV20" i="11"/>
  <c r="AV19" i="11"/>
  <c r="AV17" i="11"/>
  <c r="AU12" i="11"/>
  <c r="AV16" i="11"/>
  <c r="AV15" i="11"/>
  <c r="AV18" i="11"/>
  <c r="AV14" i="11"/>
  <c r="AV13" i="11"/>
  <c r="AI28" i="7"/>
  <c r="AW23" i="10"/>
  <c r="AV20" i="10"/>
  <c r="AV31" i="10" s="1"/>
  <c r="AU21" i="10"/>
  <c r="AW12" i="10"/>
  <c r="AT22" i="10"/>
  <c r="BD24" i="12"/>
  <c r="AW17" i="9" l="1"/>
  <c r="AW17" i="25"/>
  <c r="AW19" i="9"/>
  <c r="AW19" i="25"/>
  <c r="AW18" i="9"/>
  <c r="AW18" i="25"/>
  <c r="AV14" i="25"/>
  <c r="AV23" i="25" s="1"/>
  <c r="AV32" i="25" s="1"/>
  <c r="AW21" i="9"/>
  <c r="AW21" i="25"/>
  <c r="AW15" i="9"/>
  <c r="AW14" i="9" s="1"/>
  <c r="AW23" i="9" s="1"/>
  <c r="AW32" i="9" s="1"/>
  <c r="AX7" i="6" s="1"/>
  <c r="AW15" i="25"/>
  <c r="AW20" i="9"/>
  <c r="AW20" i="25"/>
  <c r="AW16" i="9"/>
  <c r="AW16" i="25"/>
  <c r="AV7" i="24"/>
  <c r="AV6" i="24" s="1"/>
  <c r="AV7" i="28"/>
  <c r="AV6" i="28" s="1"/>
  <c r="BK5" i="12"/>
  <c r="BJ7" i="12"/>
  <c r="BD26" i="12"/>
  <c r="BD28" i="12"/>
  <c r="BD30" i="12"/>
  <c r="BD25" i="12"/>
  <c r="BD31" i="12"/>
  <c r="BD27" i="12"/>
  <c r="BD29" i="12"/>
  <c r="AO8" i="12"/>
  <c r="AO21" i="12" s="1"/>
  <c r="AG8" i="11"/>
  <c r="AI36" i="6"/>
  <c r="AI29" i="6"/>
  <c r="AI28" i="6"/>
  <c r="AI37" i="6"/>
  <c r="AH6" i="10"/>
  <c r="AI36" i="8"/>
  <c r="AI27" i="8"/>
  <c r="AI35" i="8"/>
  <c r="AI28" i="8"/>
  <c r="AG7" i="10"/>
  <c r="AG32" i="10" s="1"/>
  <c r="AG7" i="11"/>
  <c r="AF9" i="11"/>
  <c r="AF6" i="11" s="1"/>
  <c r="AF21" i="11" s="1"/>
  <c r="AG7" i="8" s="1"/>
  <c r="AG6" i="8" s="1"/>
  <c r="AV12" i="11"/>
  <c r="AW14" i="11"/>
  <c r="AW20" i="11"/>
  <c r="AW19" i="11"/>
  <c r="AW17" i="11"/>
  <c r="AW18" i="11"/>
  <c r="AW16" i="11"/>
  <c r="AW13" i="11"/>
  <c r="AW15" i="11"/>
  <c r="AJ28" i="7"/>
  <c r="AI11" i="10"/>
  <c r="AI33" i="10" s="1"/>
  <c r="AW20" i="10"/>
  <c r="AW31" i="10" s="1"/>
  <c r="AV22" i="10"/>
  <c r="AX12" i="10"/>
  <c r="AU22" i="10"/>
  <c r="AX23" i="10"/>
  <c r="AV21" i="10"/>
  <c r="BE24" i="12"/>
  <c r="AW14" i="25" l="1"/>
  <c r="AW23" i="25" s="1"/>
  <c r="AW32" i="25" s="1"/>
  <c r="AX17" i="9"/>
  <c r="AX17" i="25"/>
  <c r="AX21" i="9"/>
  <c r="AX21" i="25"/>
  <c r="AX15" i="9"/>
  <c r="AX14" i="9" s="1"/>
  <c r="AX23" i="9" s="1"/>
  <c r="AX32" i="9" s="1"/>
  <c r="AY7" i="6" s="1"/>
  <c r="AX15" i="25"/>
  <c r="AW7" i="24"/>
  <c r="AW6" i="24" s="1"/>
  <c r="AW7" i="28"/>
  <c r="AW6" i="28" s="1"/>
  <c r="AX16" i="9"/>
  <c r="AX16" i="25"/>
  <c r="AX19" i="9"/>
  <c r="AX19" i="25"/>
  <c r="AX20" i="9"/>
  <c r="AX20" i="25"/>
  <c r="AX18" i="9"/>
  <c r="AX18" i="25"/>
  <c r="BL5" i="12"/>
  <c r="BK7" i="12"/>
  <c r="BE26" i="12"/>
  <c r="BE30" i="12"/>
  <c r="BE28" i="12"/>
  <c r="BE25" i="12"/>
  <c r="BE31" i="12"/>
  <c r="BE27" i="12"/>
  <c r="BE29" i="12"/>
  <c r="AH8" i="11"/>
  <c r="AH7" i="11"/>
  <c r="AH7" i="10"/>
  <c r="AH32" i="10" s="1"/>
  <c r="AG9" i="11"/>
  <c r="AG6" i="11" s="1"/>
  <c r="AG21" i="11" s="1"/>
  <c r="AH7" i="8" s="1"/>
  <c r="AH6" i="8" s="1"/>
  <c r="AP8" i="12"/>
  <c r="AP21" i="12" s="1"/>
  <c r="AJ28" i="6"/>
  <c r="AJ35" i="8"/>
  <c r="AI6" i="10"/>
  <c r="AJ27" i="8"/>
  <c r="AJ29" i="6"/>
  <c r="AJ28" i="8"/>
  <c r="AJ36" i="6"/>
  <c r="AJ37" i="6"/>
  <c r="AJ36" i="8"/>
  <c r="AX19" i="11"/>
  <c r="AX18" i="11"/>
  <c r="AX17" i="11"/>
  <c r="AX15" i="11"/>
  <c r="AW12" i="11"/>
  <c r="AX14" i="11"/>
  <c r="AX20" i="11"/>
  <c r="AX13" i="11"/>
  <c r="AX16" i="11"/>
  <c r="AK28" i="7"/>
  <c r="AK11" i="10"/>
  <c r="AK33" i="10" s="1"/>
  <c r="AJ11" i="10"/>
  <c r="AJ33" i="10" s="1"/>
  <c r="AX20" i="10"/>
  <c r="AX31" i="10" s="1"/>
  <c r="AY23" i="10"/>
  <c r="AY12" i="10"/>
  <c r="AW21" i="10"/>
  <c r="BF24" i="12"/>
  <c r="AY19" i="9" l="1"/>
  <c r="AY19" i="25"/>
  <c r="AY17" i="9"/>
  <c r="AY17" i="25"/>
  <c r="AY16" i="9"/>
  <c r="AY16" i="25"/>
  <c r="AY18" i="9"/>
  <c r="AY18" i="25"/>
  <c r="AX14" i="25"/>
  <c r="AX23" i="25" s="1"/>
  <c r="AX32" i="25" s="1"/>
  <c r="AY21" i="9"/>
  <c r="AY21" i="25"/>
  <c r="AY15" i="9"/>
  <c r="AY14" i="9" s="1"/>
  <c r="AY23" i="9" s="1"/>
  <c r="AY32" i="9" s="1"/>
  <c r="AZ7" i="6" s="1"/>
  <c r="AY15" i="25"/>
  <c r="AY20" i="9"/>
  <c r="AY20" i="25"/>
  <c r="AX7" i="24"/>
  <c r="AX6" i="24" s="1"/>
  <c r="AX7" i="28"/>
  <c r="AX6" i="28" s="1"/>
  <c r="BM5" i="12"/>
  <c r="BL7" i="12"/>
  <c r="BF26" i="12"/>
  <c r="BF28" i="12"/>
  <c r="BF30" i="12"/>
  <c r="BF25" i="12"/>
  <c r="BF31" i="12"/>
  <c r="BF27" i="12"/>
  <c r="BF29" i="12"/>
  <c r="AK28" i="8"/>
  <c r="AK27" i="8"/>
  <c r="AK36" i="6"/>
  <c r="AK37" i="6"/>
  <c r="AK28" i="6"/>
  <c r="AK35" i="8"/>
  <c r="AK36" i="8"/>
  <c r="AK29" i="6"/>
  <c r="AJ6" i="10"/>
  <c r="AH9" i="11"/>
  <c r="AH6" i="11" s="1"/>
  <c r="AH21" i="11" s="1"/>
  <c r="AI7" i="8" s="1"/>
  <c r="AI6" i="8" s="1"/>
  <c r="AQ8" i="12"/>
  <c r="AQ21" i="12" s="1"/>
  <c r="AI8" i="11"/>
  <c r="AI7" i="11"/>
  <c r="AI7" i="10"/>
  <c r="AI32" i="10" s="1"/>
  <c r="AY17" i="11"/>
  <c r="AY16" i="11"/>
  <c r="AY15" i="11"/>
  <c r="AY18" i="11"/>
  <c r="AY14" i="11"/>
  <c r="AY20" i="11"/>
  <c r="AY19" i="11"/>
  <c r="AX12" i="11"/>
  <c r="AY13" i="11"/>
  <c r="AL28" i="7"/>
  <c r="AX22" i="10"/>
  <c r="AX21" i="10"/>
  <c r="AY20" i="10"/>
  <c r="AY31" i="10" s="1"/>
  <c r="AZ12" i="10"/>
  <c r="AZ23" i="10"/>
  <c r="AW22" i="10"/>
  <c r="BG24" i="12"/>
  <c r="AY14" i="25" l="1"/>
  <c r="AY23" i="25" s="1"/>
  <c r="AY32" i="25" s="1"/>
  <c r="AZ19" i="9"/>
  <c r="AZ19" i="25"/>
  <c r="AZ17" i="9"/>
  <c r="AZ17" i="25"/>
  <c r="AY7" i="24"/>
  <c r="AY6" i="24" s="1"/>
  <c r="AY7" i="28"/>
  <c r="AY6" i="28" s="1"/>
  <c r="AZ21" i="9"/>
  <c r="AZ21" i="25"/>
  <c r="AZ15" i="9"/>
  <c r="AZ14" i="9" s="1"/>
  <c r="AZ23" i="9" s="1"/>
  <c r="AZ32" i="9" s="1"/>
  <c r="BA7" i="6" s="1"/>
  <c r="AZ15" i="25"/>
  <c r="AZ20" i="9"/>
  <c r="AZ20" i="25"/>
  <c r="AZ18" i="9"/>
  <c r="AZ18" i="25"/>
  <c r="AZ16" i="9"/>
  <c r="AZ16" i="25"/>
  <c r="BN5" i="12"/>
  <c r="BM7" i="12"/>
  <c r="BG26" i="12"/>
  <c r="BG28" i="12"/>
  <c r="BG30" i="12"/>
  <c r="BG31" i="12"/>
  <c r="BG27" i="12"/>
  <c r="BG25" i="12"/>
  <c r="BG29" i="12"/>
  <c r="AL36" i="6"/>
  <c r="AL37" i="6"/>
  <c r="AL29" i="6"/>
  <c r="AL28" i="6"/>
  <c r="AK6" i="10"/>
  <c r="AL36" i="8"/>
  <c r="AL27" i="8"/>
  <c r="AL35" i="8"/>
  <c r="AL28" i="8"/>
  <c r="AJ8" i="11"/>
  <c r="AR8" i="12"/>
  <c r="AR21" i="12" s="1"/>
  <c r="AJ9" i="11"/>
  <c r="AI9" i="11"/>
  <c r="AI6" i="11" s="1"/>
  <c r="AI21" i="11" s="1"/>
  <c r="AJ7" i="8" s="1"/>
  <c r="AJ6" i="8" s="1"/>
  <c r="AJ7" i="10"/>
  <c r="AJ32" i="10" s="1"/>
  <c r="AJ7" i="11"/>
  <c r="AZ14" i="11"/>
  <c r="AZ17" i="11"/>
  <c r="AY12" i="11"/>
  <c r="AZ16" i="11"/>
  <c r="AZ18" i="11"/>
  <c r="AZ20" i="11"/>
  <c r="AZ15" i="11"/>
  <c r="AZ13" i="11"/>
  <c r="AZ19" i="11"/>
  <c r="AL11" i="10"/>
  <c r="AL33" i="10" s="1"/>
  <c r="AM28" i="7"/>
  <c r="AY22" i="10"/>
  <c r="AY21" i="10"/>
  <c r="AZ20" i="10"/>
  <c r="AZ31" i="10" s="1"/>
  <c r="BA12" i="10"/>
  <c r="BA23" i="10"/>
  <c r="BH24" i="12"/>
  <c r="BA19" i="9" l="1"/>
  <c r="BA19" i="25"/>
  <c r="BA21" i="9"/>
  <c r="BA21" i="25"/>
  <c r="AZ14" i="25"/>
  <c r="AZ23" i="25" s="1"/>
  <c r="AZ32" i="25" s="1"/>
  <c r="BA15" i="9"/>
  <c r="BA14" i="9" s="1"/>
  <c r="BA23" i="9" s="1"/>
  <c r="BA32" i="9" s="1"/>
  <c r="BB7" i="6" s="1"/>
  <c r="BA15" i="25"/>
  <c r="BA17" i="9"/>
  <c r="BA17" i="25"/>
  <c r="BA20" i="9"/>
  <c r="BA20" i="25"/>
  <c r="BA18" i="9"/>
  <c r="BA18" i="25"/>
  <c r="BA16" i="9"/>
  <c r="BA16" i="25"/>
  <c r="AZ7" i="28"/>
  <c r="AZ6" i="28" s="1"/>
  <c r="AZ7" i="24"/>
  <c r="AZ6" i="24" s="1"/>
  <c r="BO5" i="12"/>
  <c r="BN7" i="12"/>
  <c r="AK9" i="11"/>
  <c r="BH28" i="12"/>
  <c r="BH30" i="12"/>
  <c r="BH25" i="12"/>
  <c r="BH31" i="12"/>
  <c r="BH27" i="12"/>
  <c r="BH26" i="12"/>
  <c r="BH29" i="12"/>
  <c r="AJ6" i="11"/>
  <c r="AJ21" i="11" s="1"/>
  <c r="AK7" i="8" s="1"/>
  <c r="AK6" i="8" s="1"/>
  <c r="AK8" i="11"/>
  <c r="AM36" i="6"/>
  <c r="AM29" i="6"/>
  <c r="AM28" i="6"/>
  <c r="AM36" i="8"/>
  <c r="AL9" i="11"/>
  <c r="AM37" i="6"/>
  <c r="AL6" i="10"/>
  <c r="AM28" i="8"/>
  <c r="AM35" i="8"/>
  <c r="AM27" i="8"/>
  <c r="AK7" i="11"/>
  <c r="AK7" i="10"/>
  <c r="AK32" i="10" s="1"/>
  <c r="AS8" i="12"/>
  <c r="AS21" i="12" s="1"/>
  <c r="BA20" i="11"/>
  <c r="BA17" i="11"/>
  <c r="AZ12" i="11"/>
  <c r="BA16" i="11"/>
  <c r="BA15" i="11"/>
  <c r="BA13" i="11"/>
  <c r="BA14" i="11"/>
  <c r="BA19" i="11"/>
  <c r="BA18" i="11"/>
  <c r="AM11" i="10"/>
  <c r="AM33" i="10" s="1"/>
  <c r="AN28" i="7"/>
  <c r="AZ22" i="10"/>
  <c r="BA20" i="10"/>
  <c r="BA31" i="10" s="1"/>
  <c r="AZ21" i="10"/>
  <c r="BB12" i="10"/>
  <c r="BB23" i="10"/>
  <c r="BI24" i="12"/>
  <c r="BB19" i="9" l="1"/>
  <c r="BB19" i="25"/>
  <c r="BB21" i="9"/>
  <c r="BB21" i="25"/>
  <c r="BA14" i="25"/>
  <c r="BA23" i="25" s="1"/>
  <c r="BA32" i="25" s="1"/>
  <c r="BA7" i="28"/>
  <c r="BA6" i="28" s="1"/>
  <c r="BA7" i="24"/>
  <c r="BA6" i="24" s="1"/>
  <c r="BB16" i="9"/>
  <c r="BB16" i="25"/>
  <c r="BB17" i="9"/>
  <c r="BB17" i="25"/>
  <c r="BB15" i="9"/>
  <c r="BB14" i="9" s="1"/>
  <c r="BB23" i="9" s="1"/>
  <c r="BB32" i="9" s="1"/>
  <c r="BC7" i="6" s="1"/>
  <c r="BB15" i="25"/>
  <c r="BB20" i="9"/>
  <c r="BB20" i="25"/>
  <c r="BB18" i="9"/>
  <c r="BB18" i="25"/>
  <c r="BP5" i="12"/>
  <c r="BO7" i="12"/>
  <c r="BI28" i="12"/>
  <c r="BI30" i="12"/>
  <c r="BI25" i="12"/>
  <c r="BI27" i="12"/>
  <c r="BI29" i="12"/>
  <c r="BI31" i="12"/>
  <c r="BI26" i="12"/>
  <c r="AK6" i="11"/>
  <c r="AK21" i="11" s="1"/>
  <c r="AL7" i="8" s="1"/>
  <c r="AL6" i="8" s="1"/>
  <c r="AN36" i="6"/>
  <c r="AN36" i="8"/>
  <c r="AN37" i="6"/>
  <c r="AN35" i="8"/>
  <c r="AN28" i="8"/>
  <c r="AN28" i="6"/>
  <c r="AN29" i="6"/>
  <c r="AM6" i="10"/>
  <c r="AN27" i="8"/>
  <c r="AL7" i="10"/>
  <c r="AL32" i="10" s="1"/>
  <c r="AL7" i="11"/>
  <c r="AL8" i="11"/>
  <c r="AT8" i="12"/>
  <c r="AT21" i="12" s="1"/>
  <c r="BB15" i="11"/>
  <c r="BB14" i="11"/>
  <c r="BB13" i="11"/>
  <c r="BA12" i="11"/>
  <c r="BB19" i="11"/>
  <c r="BB18" i="11"/>
  <c r="BB20" i="11"/>
  <c r="BB17" i="11"/>
  <c r="BB16" i="11"/>
  <c r="AO11" i="10"/>
  <c r="AO33" i="10" s="1"/>
  <c r="AO28" i="7"/>
  <c r="AN11" i="10"/>
  <c r="AN33" i="10" s="1"/>
  <c r="BC12" i="10"/>
  <c r="BA21" i="10"/>
  <c r="BC23" i="10"/>
  <c r="BB20" i="10"/>
  <c r="BB31" i="10" s="1"/>
  <c r="BJ24" i="12"/>
  <c r="BC19" i="9" l="1"/>
  <c r="BC19" i="25"/>
  <c r="BB14" i="25"/>
  <c r="BB23" i="25" s="1"/>
  <c r="BB32" i="25" s="1"/>
  <c r="BC16" i="9"/>
  <c r="BC16" i="25"/>
  <c r="BC17" i="9"/>
  <c r="BC17" i="25"/>
  <c r="BB7" i="28"/>
  <c r="BB6" i="28" s="1"/>
  <c r="BB7" i="24"/>
  <c r="BB6" i="24" s="1"/>
  <c r="BC21" i="9"/>
  <c r="BC21" i="25"/>
  <c r="BC15" i="9"/>
  <c r="BC14" i="9" s="1"/>
  <c r="BC23" i="9" s="1"/>
  <c r="BC32" i="9" s="1"/>
  <c r="BD7" i="6" s="1"/>
  <c r="BC15" i="25"/>
  <c r="BC20" i="9"/>
  <c r="BC20" i="25"/>
  <c r="BC18" i="9"/>
  <c r="BC18" i="25"/>
  <c r="BQ5" i="12"/>
  <c r="BP7" i="12"/>
  <c r="BJ30" i="12"/>
  <c r="BJ25" i="12"/>
  <c r="BJ27" i="12"/>
  <c r="BJ28" i="12"/>
  <c r="BJ31" i="12"/>
  <c r="BJ29" i="12"/>
  <c r="BJ26" i="12"/>
  <c r="AL6" i="11"/>
  <c r="AL21" i="11" s="1"/>
  <c r="AM7" i="8" s="1"/>
  <c r="AM6" i="8" s="1"/>
  <c r="AU8" i="12"/>
  <c r="AU21" i="12" s="1"/>
  <c r="AM8" i="11"/>
  <c r="AM7" i="11"/>
  <c r="AM7" i="10"/>
  <c r="AM32" i="10" s="1"/>
  <c r="AO36" i="6"/>
  <c r="AO37" i="6"/>
  <c r="AO29" i="6"/>
  <c r="AN6" i="10"/>
  <c r="AO28" i="6"/>
  <c r="AO36" i="8"/>
  <c r="AO35" i="8"/>
  <c r="AO27" i="8"/>
  <c r="AO28" i="8"/>
  <c r="BC19" i="11"/>
  <c r="BC14" i="11"/>
  <c r="BC13" i="11"/>
  <c r="BC20" i="11"/>
  <c r="BC18" i="11"/>
  <c r="BC17" i="11"/>
  <c r="BC16" i="11"/>
  <c r="BC15" i="11"/>
  <c r="BB12" i="11"/>
  <c r="AP11" i="10"/>
  <c r="AP33" i="10" s="1"/>
  <c r="AP28" i="7"/>
  <c r="BB22" i="10"/>
  <c r="BD23" i="10"/>
  <c r="BD12" i="10"/>
  <c r="BB21" i="10"/>
  <c r="BC20" i="10"/>
  <c r="BC31" i="10" s="1"/>
  <c r="BA22" i="10"/>
  <c r="BK24" i="12"/>
  <c r="BD16" i="9" l="1"/>
  <c r="BD16" i="25"/>
  <c r="BD19" i="9"/>
  <c r="BD19" i="25"/>
  <c r="BD18" i="9"/>
  <c r="BD18" i="25"/>
  <c r="BC14" i="25"/>
  <c r="BC23" i="25" s="1"/>
  <c r="BC32" i="25" s="1"/>
  <c r="BD21" i="9"/>
  <c r="BD21" i="25"/>
  <c r="BD17" i="9"/>
  <c r="BD17" i="25"/>
  <c r="BD15" i="9"/>
  <c r="BD14" i="9" s="1"/>
  <c r="BD23" i="9" s="1"/>
  <c r="BD32" i="9" s="1"/>
  <c r="BE7" i="6" s="1"/>
  <c r="BD15" i="25"/>
  <c r="BD20" i="9"/>
  <c r="BD20" i="25"/>
  <c r="BC7" i="28"/>
  <c r="BC6" i="28" s="1"/>
  <c r="BC7" i="24"/>
  <c r="BC6" i="24" s="1"/>
  <c r="BR5" i="12"/>
  <c r="BQ7" i="12"/>
  <c r="AM9" i="11"/>
  <c r="BK30" i="12"/>
  <c r="BK25" i="12"/>
  <c r="BK27" i="12"/>
  <c r="BK29" i="12"/>
  <c r="BK28" i="12"/>
  <c r="BK31" i="12"/>
  <c r="BK26" i="12"/>
  <c r="AM6" i="11"/>
  <c r="AM21" i="11" s="1"/>
  <c r="AN7" i="8" s="1"/>
  <c r="AN6" i="8" s="1"/>
  <c r="AN7" i="11"/>
  <c r="AN7" i="10"/>
  <c r="AN32" i="10" s="1"/>
  <c r="AV8" i="12"/>
  <c r="AV21" i="12" s="1"/>
  <c r="AP37" i="6"/>
  <c r="AP29" i="6"/>
  <c r="AP27" i="8"/>
  <c r="AP36" i="6"/>
  <c r="AP28" i="8"/>
  <c r="AP28" i="6"/>
  <c r="AP35" i="8"/>
  <c r="AO6" i="10"/>
  <c r="AP36" i="8"/>
  <c r="BC12" i="11"/>
  <c r="BD20" i="11"/>
  <c r="BD16" i="11"/>
  <c r="BD19" i="11"/>
  <c r="BD15" i="11"/>
  <c r="BD17" i="11"/>
  <c r="BD14" i="11"/>
  <c r="BD18" i="11"/>
  <c r="BD13" i="11"/>
  <c r="AQ28" i="7"/>
  <c r="BE12" i="10"/>
  <c r="BC21" i="10"/>
  <c r="BE23" i="10"/>
  <c r="BD20" i="10"/>
  <c r="BD31" i="10" s="1"/>
  <c r="BL24" i="12"/>
  <c r="BE16" i="9" l="1"/>
  <c r="BE16" i="25"/>
  <c r="BD14" i="25"/>
  <c r="BD23" i="25" s="1"/>
  <c r="BD32" i="25" s="1"/>
  <c r="BE21" i="9"/>
  <c r="BE21" i="25"/>
  <c r="BE18" i="9"/>
  <c r="BE18" i="25"/>
  <c r="BE15" i="9"/>
  <c r="BE14" i="9" s="1"/>
  <c r="BE23" i="9" s="1"/>
  <c r="BE32" i="9" s="1"/>
  <c r="BF7" i="6" s="1"/>
  <c r="BE15" i="25"/>
  <c r="BE20" i="9"/>
  <c r="BE20" i="25"/>
  <c r="BE19" i="9"/>
  <c r="BE19" i="25"/>
  <c r="BE17" i="9"/>
  <c r="BE17" i="25"/>
  <c r="BD7" i="24"/>
  <c r="BD6" i="24" s="1"/>
  <c r="BD7" i="28"/>
  <c r="BD6" i="28" s="1"/>
  <c r="BS5" i="12"/>
  <c r="BR7" i="12"/>
  <c r="BL27" i="12"/>
  <c r="BL25" i="12"/>
  <c r="BL29" i="12"/>
  <c r="BL31" i="12"/>
  <c r="BL26" i="12"/>
  <c r="BL30" i="12"/>
  <c r="BL28" i="12"/>
  <c r="AO8" i="11"/>
  <c r="AN8" i="11"/>
  <c r="AQ29" i="6"/>
  <c r="AQ28" i="6"/>
  <c r="AQ36" i="8"/>
  <c r="AQ36" i="6"/>
  <c r="AQ37" i="6"/>
  <c r="AQ35" i="8"/>
  <c r="AQ28" i="8"/>
  <c r="AQ27" i="8"/>
  <c r="AP6" i="10"/>
  <c r="AO7" i="11"/>
  <c r="AO7" i="10"/>
  <c r="AO32" i="10" s="1"/>
  <c r="AW8" i="12"/>
  <c r="AW21" i="12" s="1"/>
  <c r="BE19" i="11"/>
  <c r="BE14" i="11"/>
  <c r="BE16" i="11"/>
  <c r="BE15" i="11"/>
  <c r="BD12" i="11"/>
  <c r="BE13" i="11"/>
  <c r="BE18" i="11"/>
  <c r="BE17" i="11"/>
  <c r="BE20" i="11"/>
  <c r="AR28" i="7"/>
  <c r="AQ11" i="10"/>
  <c r="AQ33" i="10" s="1"/>
  <c r="AR11" i="10"/>
  <c r="AR33" i="10" s="1"/>
  <c r="BE20" i="10"/>
  <c r="BE31" i="10" s="1"/>
  <c r="BD22" i="10"/>
  <c r="BC22" i="10"/>
  <c r="BF12" i="10"/>
  <c r="BD21" i="10"/>
  <c r="BF23" i="10"/>
  <c r="BM24" i="12"/>
  <c r="BF18" i="9" l="1"/>
  <c r="BF18" i="25"/>
  <c r="BF16" i="9"/>
  <c r="BF16" i="25"/>
  <c r="BF21" i="9"/>
  <c r="BF21" i="25"/>
  <c r="BF19" i="9"/>
  <c r="BF19" i="25"/>
  <c r="BF15" i="9"/>
  <c r="BF14" i="9" s="1"/>
  <c r="BF23" i="9" s="1"/>
  <c r="BF32" i="9" s="1"/>
  <c r="BG7" i="6" s="1"/>
  <c r="BF15" i="25"/>
  <c r="BF20" i="9"/>
  <c r="BF20" i="25"/>
  <c r="BE14" i="25"/>
  <c r="BE23" i="25" s="1"/>
  <c r="BE32" i="25" s="1"/>
  <c r="BF17" i="9"/>
  <c r="BF17" i="25"/>
  <c r="BE7" i="28"/>
  <c r="BE6" i="28" s="1"/>
  <c r="BE7" i="24"/>
  <c r="BE6" i="24" s="1"/>
  <c r="BT5" i="12"/>
  <c r="BS7" i="12"/>
  <c r="BM25" i="12"/>
  <c r="BM27" i="12"/>
  <c r="BM29" i="12"/>
  <c r="BM31" i="12"/>
  <c r="BM30" i="12"/>
  <c r="BM26" i="12"/>
  <c r="BM28" i="12"/>
  <c r="AP8" i="11"/>
  <c r="AO9" i="11"/>
  <c r="AO6" i="11" s="1"/>
  <c r="AO21" i="11" s="1"/>
  <c r="AP7" i="8" s="1"/>
  <c r="AP6" i="8" s="1"/>
  <c r="AP7" i="11"/>
  <c r="AP7" i="10"/>
  <c r="AP32" i="10" s="1"/>
  <c r="AR36" i="6"/>
  <c r="AR28" i="6"/>
  <c r="AR29" i="6"/>
  <c r="AQ6" i="10"/>
  <c r="AR27" i="8"/>
  <c r="AR36" i="8"/>
  <c r="AR28" i="8"/>
  <c r="AR37" i="6"/>
  <c r="AR35" i="8"/>
  <c r="AN9" i="11"/>
  <c r="AN6" i="11" s="1"/>
  <c r="AN21" i="11" s="1"/>
  <c r="AO7" i="8" s="1"/>
  <c r="AO6" i="8" s="1"/>
  <c r="AX8" i="12"/>
  <c r="AX21" i="12" s="1"/>
  <c r="BF15" i="11"/>
  <c r="BF13" i="11"/>
  <c r="BF14" i="11"/>
  <c r="BF19" i="11"/>
  <c r="BF20" i="11"/>
  <c r="BF16" i="11"/>
  <c r="BF18" i="11"/>
  <c r="BE12" i="11"/>
  <c r="BF17" i="11"/>
  <c r="AS11" i="10"/>
  <c r="AS33" i="10" s="1"/>
  <c r="AS28" i="7"/>
  <c r="BE21" i="10"/>
  <c r="BG12" i="10"/>
  <c r="BG23" i="10"/>
  <c r="BF20" i="10"/>
  <c r="BF31" i="10" s="1"/>
  <c r="BN24" i="12"/>
  <c r="BG20" i="9" l="1"/>
  <c r="BG20" i="25"/>
  <c r="BG21" i="9"/>
  <c r="BG21" i="25"/>
  <c r="BF7" i="24"/>
  <c r="BF6" i="24" s="1"/>
  <c r="BF7" i="28"/>
  <c r="BF6" i="28" s="1"/>
  <c r="BF14" i="25"/>
  <c r="BF23" i="25" s="1"/>
  <c r="BF32" i="25" s="1"/>
  <c r="BG19" i="9"/>
  <c r="BG19" i="25"/>
  <c r="BG17" i="9"/>
  <c r="BG17" i="25"/>
  <c r="BG18" i="9"/>
  <c r="BG18" i="25"/>
  <c r="BG15" i="9"/>
  <c r="BG14" i="9" s="1"/>
  <c r="BG23" i="9" s="1"/>
  <c r="BG32" i="9" s="1"/>
  <c r="BH7" i="6" s="1"/>
  <c r="BG15" i="25"/>
  <c r="BG14" i="25" s="1"/>
  <c r="BG23" i="25" s="1"/>
  <c r="BG32" i="25" s="1"/>
  <c r="BG16" i="9"/>
  <c r="BG16" i="25"/>
  <c r="BU5" i="12"/>
  <c r="BT7" i="12"/>
  <c r="BN25" i="12"/>
  <c r="BN29" i="12"/>
  <c r="BN27" i="12"/>
  <c r="BN31" i="12"/>
  <c r="BN30" i="12"/>
  <c r="BN26" i="12"/>
  <c r="BN28" i="12"/>
  <c r="AQ8" i="11"/>
  <c r="AQ7" i="11"/>
  <c r="AQ7" i="10"/>
  <c r="AQ32" i="10" s="1"/>
  <c r="AS37" i="6"/>
  <c r="AS35" i="8"/>
  <c r="AR6" i="10"/>
  <c r="AS36" i="6"/>
  <c r="AS29" i="6"/>
  <c r="AS28" i="8"/>
  <c r="AS36" i="8"/>
  <c r="AS28" i="6"/>
  <c r="AS27" i="8"/>
  <c r="AY8" i="12"/>
  <c r="AY21" i="12" s="1"/>
  <c r="AP9" i="11"/>
  <c r="AP6" i="11" s="1"/>
  <c r="AP21" i="11" s="1"/>
  <c r="AQ7" i="8" s="1"/>
  <c r="AQ6" i="8" s="1"/>
  <c r="BF12" i="11"/>
  <c r="BG17" i="11"/>
  <c r="BG18" i="11"/>
  <c r="BG16" i="11"/>
  <c r="BG13" i="11"/>
  <c r="BG14" i="11"/>
  <c r="BG20" i="11"/>
  <c r="BG15" i="11"/>
  <c r="BG19" i="11"/>
  <c r="AT11" i="10"/>
  <c r="AT33" i="10" s="1"/>
  <c r="AT28" i="7"/>
  <c r="BE22" i="10"/>
  <c r="BH12" i="10"/>
  <c r="BF21" i="10"/>
  <c r="BH23" i="10"/>
  <c r="BG20" i="10"/>
  <c r="BG31" i="10" s="1"/>
  <c r="BO24" i="12"/>
  <c r="BH16" i="9" l="1"/>
  <c r="BH16" i="25"/>
  <c r="BH21" i="9"/>
  <c r="BH21" i="25"/>
  <c r="BH7" i="24"/>
  <c r="BH6" i="24" s="1"/>
  <c r="BH7" i="28"/>
  <c r="BH6" i="28" s="1"/>
  <c r="BG7" i="28"/>
  <c r="BG6" i="28" s="1"/>
  <c r="BG7" i="24"/>
  <c r="BG6" i="24" s="1"/>
  <c r="BH20" i="9"/>
  <c r="BH20" i="25"/>
  <c r="BH19" i="9"/>
  <c r="BH19" i="25"/>
  <c r="BH18" i="9"/>
  <c r="BH18" i="25"/>
  <c r="BH17" i="9"/>
  <c r="BH14" i="9" s="1"/>
  <c r="BH23" i="9" s="1"/>
  <c r="BH32" i="9" s="1"/>
  <c r="BI7" i="6" s="1"/>
  <c r="BH17" i="25"/>
  <c r="BH15" i="9"/>
  <c r="BH15" i="25"/>
  <c r="BV5" i="12"/>
  <c r="BV7" i="12" s="1"/>
  <c r="BU7" i="12"/>
  <c r="BO25" i="12"/>
  <c r="BO27" i="12"/>
  <c r="BO29" i="12"/>
  <c r="BO31" i="12"/>
  <c r="BO26" i="12"/>
  <c r="BO30" i="12"/>
  <c r="BO28" i="12"/>
  <c r="AR7" i="10"/>
  <c r="AR32" i="10" s="1"/>
  <c r="AR7" i="11"/>
  <c r="AZ8" i="12"/>
  <c r="AZ21" i="12" s="1"/>
  <c r="AQ9" i="11"/>
  <c r="AQ6" i="11" s="1"/>
  <c r="AQ21" i="11" s="1"/>
  <c r="AR7" i="8" s="1"/>
  <c r="AR6" i="8" s="1"/>
  <c r="AT29" i="6"/>
  <c r="AT37" i="6"/>
  <c r="AS6" i="10"/>
  <c r="AT27" i="8"/>
  <c r="AT36" i="6"/>
  <c r="AT28" i="8"/>
  <c r="AT28" i="6"/>
  <c r="AT35" i="8"/>
  <c r="AT36" i="8"/>
  <c r="BH14" i="11"/>
  <c r="BG12" i="11"/>
  <c r="BH17" i="11"/>
  <c r="BH13" i="11"/>
  <c r="BH19" i="11"/>
  <c r="BH15" i="11"/>
  <c r="BH20" i="11"/>
  <c r="BH16" i="11"/>
  <c r="BH18" i="11"/>
  <c r="AU28" i="7"/>
  <c r="BG21" i="10"/>
  <c r="BI12" i="10"/>
  <c r="BF22" i="10"/>
  <c r="BI23" i="10"/>
  <c r="BH20" i="10"/>
  <c r="BH31" i="10" s="1"/>
  <c r="BP24" i="12"/>
  <c r="BI18" i="9" l="1"/>
  <c r="BI18" i="25"/>
  <c r="BI21" i="9"/>
  <c r="BI21" i="25"/>
  <c r="BI19" i="9"/>
  <c r="BI19" i="25"/>
  <c r="BI17" i="9"/>
  <c r="BI17" i="25"/>
  <c r="BI15" i="9"/>
  <c r="BI14" i="9" s="1"/>
  <c r="BI23" i="9" s="1"/>
  <c r="BI32" i="9" s="1"/>
  <c r="BJ7" i="6" s="1"/>
  <c r="BI15" i="25"/>
  <c r="BH14" i="25"/>
  <c r="BH23" i="25" s="1"/>
  <c r="BH32" i="25" s="1"/>
  <c r="BI20" i="9"/>
  <c r="BI20" i="25"/>
  <c r="BI16" i="9"/>
  <c r="BI16" i="25"/>
  <c r="BP25" i="12"/>
  <c r="BP27" i="12"/>
  <c r="BP31" i="12"/>
  <c r="BP29" i="12"/>
  <c r="BP30" i="12"/>
  <c r="BP26" i="12"/>
  <c r="BP28" i="12"/>
  <c r="AS7" i="11"/>
  <c r="AS7" i="10"/>
  <c r="AS32" i="10" s="1"/>
  <c r="BA8" i="12"/>
  <c r="BA21" i="12" s="1"/>
  <c r="AS8" i="11"/>
  <c r="AR8" i="11"/>
  <c r="AU28" i="6"/>
  <c r="AT6" i="10"/>
  <c r="AU35" i="8"/>
  <c r="AU36" i="6"/>
  <c r="AU36" i="8"/>
  <c r="AU29" i="6"/>
  <c r="AU37" i="6"/>
  <c r="AU28" i="8"/>
  <c r="AU27" i="8"/>
  <c r="BI20" i="11"/>
  <c r="BI13" i="11"/>
  <c r="BH12" i="11"/>
  <c r="BI16" i="11"/>
  <c r="BI15" i="11"/>
  <c r="BI14" i="11"/>
  <c r="BI19" i="11"/>
  <c r="BI18" i="11"/>
  <c r="BI17" i="11"/>
  <c r="AV11" i="10"/>
  <c r="AV33" i="10" s="1"/>
  <c r="AU11" i="10"/>
  <c r="AU33" i="10" s="1"/>
  <c r="AV28" i="7"/>
  <c r="BJ12" i="10"/>
  <c r="BJ23" i="10"/>
  <c r="BG22" i="10"/>
  <c r="BH21" i="10"/>
  <c r="BI20" i="10"/>
  <c r="BI31" i="10" s="1"/>
  <c r="BQ24" i="12"/>
  <c r="BI14" i="25" l="1"/>
  <c r="BI23" i="25" s="1"/>
  <c r="BI32" i="25" s="1"/>
  <c r="BJ18" i="9"/>
  <c r="BJ18" i="25"/>
  <c r="BJ16" i="9"/>
  <c r="BJ16" i="25"/>
  <c r="BJ20" i="9"/>
  <c r="BJ20" i="25"/>
  <c r="BJ19" i="9"/>
  <c r="BJ19" i="25"/>
  <c r="BJ17" i="9"/>
  <c r="BJ17" i="25"/>
  <c r="BI7" i="24"/>
  <c r="BI6" i="24" s="1"/>
  <c r="BI7" i="28"/>
  <c r="BI6" i="28" s="1"/>
  <c r="BJ21" i="9"/>
  <c r="BJ21" i="25"/>
  <c r="BJ15" i="9"/>
  <c r="BJ14" i="9" s="1"/>
  <c r="BJ23" i="9" s="1"/>
  <c r="BJ32" i="9" s="1"/>
  <c r="BK7" i="6" s="1"/>
  <c r="BJ15" i="25"/>
  <c r="BQ27" i="12"/>
  <c r="BQ29" i="12"/>
  <c r="BQ31" i="12"/>
  <c r="BQ30" i="12"/>
  <c r="BQ26" i="12"/>
  <c r="BQ25" i="12"/>
  <c r="BQ28" i="12"/>
  <c r="AV28" i="6"/>
  <c r="AV29" i="6"/>
  <c r="AV35" i="8"/>
  <c r="AV27" i="8"/>
  <c r="AV36" i="8"/>
  <c r="AV37" i="6"/>
  <c r="AV36" i="6"/>
  <c r="AU6" i="10"/>
  <c r="AV28" i="8"/>
  <c r="AT7" i="10"/>
  <c r="AT32" i="10" s="1"/>
  <c r="AT7" i="11"/>
  <c r="AR9" i="11"/>
  <c r="AR6" i="11" s="1"/>
  <c r="AR21" i="11" s="1"/>
  <c r="AS7" i="8" s="1"/>
  <c r="AS6" i="8" s="1"/>
  <c r="BB8" i="12"/>
  <c r="BB21" i="12" s="1"/>
  <c r="AS9" i="11"/>
  <c r="AS6" i="11" s="1"/>
  <c r="AS21" i="11" s="1"/>
  <c r="AT7" i="8" s="1"/>
  <c r="AT6" i="8" s="1"/>
  <c r="BJ20" i="11"/>
  <c r="BJ16" i="11"/>
  <c r="BJ19" i="11"/>
  <c r="BJ15" i="11"/>
  <c r="BI12" i="11"/>
  <c r="BJ14" i="11"/>
  <c r="BJ17" i="11"/>
  <c r="BJ13" i="11"/>
  <c r="BJ18" i="11"/>
  <c r="AW11" i="10"/>
  <c r="AW33" i="10" s="1"/>
  <c r="AW28" i="7"/>
  <c r="BI21" i="10"/>
  <c r="BK23" i="10"/>
  <c r="BH22" i="10"/>
  <c r="BJ20" i="10"/>
  <c r="BJ31" i="10" s="1"/>
  <c r="BK12" i="10"/>
  <c r="BR24" i="12"/>
  <c r="BK18" i="9" l="1"/>
  <c r="BK18" i="25"/>
  <c r="BK15" i="9"/>
  <c r="BK14" i="9" s="1"/>
  <c r="BK23" i="9" s="1"/>
  <c r="BK32" i="9" s="1"/>
  <c r="BL7" i="6" s="1"/>
  <c r="BK15" i="25"/>
  <c r="BK21" i="9"/>
  <c r="BK21" i="25"/>
  <c r="BK19" i="9"/>
  <c r="BK19" i="25"/>
  <c r="BK17" i="9"/>
  <c r="BK17" i="25"/>
  <c r="BK16" i="9"/>
  <c r="BK16" i="25"/>
  <c r="BK20" i="9"/>
  <c r="BK20" i="25"/>
  <c r="BJ14" i="25"/>
  <c r="BJ23" i="25" s="1"/>
  <c r="BJ32" i="25" s="1"/>
  <c r="BJ7" i="28"/>
  <c r="BJ6" i="28" s="1"/>
  <c r="BJ7" i="24"/>
  <c r="BJ6" i="24" s="1"/>
  <c r="BR27" i="12"/>
  <c r="BR29" i="12"/>
  <c r="BR31" i="12"/>
  <c r="BR30" i="12"/>
  <c r="BR26" i="12"/>
  <c r="BR28" i="12"/>
  <c r="BR25" i="12"/>
  <c r="AW36" i="6"/>
  <c r="AW29" i="6"/>
  <c r="AW36" i="8"/>
  <c r="AW28" i="6"/>
  <c r="AW37" i="6"/>
  <c r="AV6" i="10"/>
  <c r="AW27" i="8"/>
  <c r="AW28" i="8"/>
  <c r="AW35" i="8"/>
  <c r="AU8" i="11"/>
  <c r="AT8" i="11"/>
  <c r="BC8" i="12"/>
  <c r="BC21" i="12" s="1"/>
  <c r="AU7" i="10"/>
  <c r="AU32" i="10" s="1"/>
  <c r="AU7" i="11"/>
  <c r="BK15" i="11"/>
  <c r="BK18" i="11"/>
  <c r="BK14" i="11"/>
  <c r="BK13" i="11"/>
  <c r="BJ12" i="11"/>
  <c r="BK19" i="11"/>
  <c r="BK20" i="11"/>
  <c r="BK17" i="11"/>
  <c r="BK16" i="11"/>
  <c r="AX11" i="10"/>
  <c r="AX33" i="10" s="1"/>
  <c r="AX28" i="7"/>
  <c r="BL12" i="10"/>
  <c r="BK20" i="10"/>
  <c r="BK31" i="10" s="1"/>
  <c r="BJ22" i="10"/>
  <c r="BL23" i="10"/>
  <c r="BJ21" i="10"/>
  <c r="BI22" i="10"/>
  <c r="BS24" i="12"/>
  <c r="BK7" i="24" l="1"/>
  <c r="BK6" i="24" s="1"/>
  <c r="BK7" i="28"/>
  <c r="BK6" i="28" s="1"/>
  <c r="BL15" i="9"/>
  <c r="BL14" i="9" s="1"/>
  <c r="BL23" i="9" s="1"/>
  <c r="BL32" i="9" s="1"/>
  <c r="BM7" i="6" s="1"/>
  <c r="BL15" i="25"/>
  <c r="BL16" i="9"/>
  <c r="BL16" i="25"/>
  <c r="BL20" i="9"/>
  <c r="BL20" i="25"/>
  <c r="BL21" i="9"/>
  <c r="BL21" i="25"/>
  <c r="BK14" i="25"/>
  <c r="BK23" i="25" s="1"/>
  <c r="BK32" i="25" s="1"/>
  <c r="BL18" i="9"/>
  <c r="BL18" i="25"/>
  <c r="BL19" i="9"/>
  <c r="BL19" i="25"/>
  <c r="BL17" i="9"/>
  <c r="BL17" i="25"/>
  <c r="BS29" i="12"/>
  <c r="BS31" i="12"/>
  <c r="BS26" i="12"/>
  <c r="BS30" i="12"/>
  <c r="BS27" i="12"/>
  <c r="BS28" i="12"/>
  <c r="BS25" i="12"/>
  <c r="AX29" i="6"/>
  <c r="AX36" i="8"/>
  <c r="AX36" i="6"/>
  <c r="AX28" i="6"/>
  <c r="AX28" i="8"/>
  <c r="AX27" i="8"/>
  <c r="AX37" i="6"/>
  <c r="AW6" i="10"/>
  <c r="AX35" i="8"/>
  <c r="BD8" i="12"/>
  <c r="BD21" i="12" s="1"/>
  <c r="AT9" i="11"/>
  <c r="AT6" i="11" s="1"/>
  <c r="AT21" i="11" s="1"/>
  <c r="AU7" i="8" s="1"/>
  <c r="AU6" i="8" s="1"/>
  <c r="AV8" i="11"/>
  <c r="AU9" i="11"/>
  <c r="AU6" i="11" s="1"/>
  <c r="AU21" i="11" s="1"/>
  <c r="AV7" i="8" s="1"/>
  <c r="AV6" i="8" s="1"/>
  <c r="AV7" i="11"/>
  <c r="AV7" i="10"/>
  <c r="AV32" i="10" s="1"/>
  <c r="BL14" i="11"/>
  <c r="BL13" i="11"/>
  <c r="BL20" i="11"/>
  <c r="BL19" i="11"/>
  <c r="BL17" i="11"/>
  <c r="BK12" i="11"/>
  <c r="BL16" i="11"/>
  <c r="BL15" i="11"/>
  <c r="BL18" i="11"/>
  <c r="AY11" i="10"/>
  <c r="AY33" i="10" s="1"/>
  <c r="AY28" i="7"/>
  <c r="BM23" i="10"/>
  <c r="BK22" i="10"/>
  <c r="BL20" i="10"/>
  <c r="BL31" i="10" s="1"/>
  <c r="BM12" i="10"/>
  <c r="BK21" i="10"/>
  <c r="BT24" i="12"/>
  <c r="BL7" i="28" l="1"/>
  <c r="BL6" i="28" s="1"/>
  <c r="BL7" i="24"/>
  <c r="BL6" i="24" s="1"/>
  <c r="BM20" i="9"/>
  <c r="BM20" i="25"/>
  <c r="BM17" i="9"/>
  <c r="BM17" i="25"/>
  <c r="BM15" i="9"/>
  <c r="BM14" i="9" s="1"/>
  <c r="BM23" i="9" s="1"/>
  <c r="BM32" i="9" s="1"/>
  <c r="BN7" i="6" s="1"/>
  <c r="BM15" i="25"/>
  <c r="BM21" i="9"/>
  <c r="BM21" i="25"/>
  <c r="BM18" i="9"/>
  <c r="BM18" i="25"/>
  <c r="BM16" i="9"/>
  <c r="BM16" i="25"/>
  <c r="BL14" i="25"/>
  <c r="BL23" i="25" s="1"/>
  <c r="BL32" i="25" s="1"/>
  <c r="BM19" i="9"/>
  <c r="BM19" i="25"/>
  <c r="BT29" i="12"/>
  <c r="BT31" i="12"/>
  <c r="BT26" i="12"/>
  <c r="BT28" i="12"/>
  <c r="BT30" i="12"/>
  <c r="BT27" i="12"/>
  <c r="BT25" i="12"/>
  <c r="AW8" i="11"/>
  <c r="AY27" i="8"/>
  <c r="AY36" i="6"/>
  <c r="AY37" i="6"/>
  <c r="AY29" i="6"/>
  <c r="AY35" i="8"/>
  <c r="AY28" i="8"/>
  <c r="AY28" i="6"/>
  <c r="AX6" i="10"/>
  <c r="AY36" i="8"/>
  <c r="AV9" i="11"/>
  <c r="AV6" i="11" s="1"/>
  <c r="AV21" i="11" s="1"/>
  <c r="AW7" i="8" s="1"/>
  <c r="AW6" i="8" s="1"/>
  <c r="BE8" i="12"/>
  <c r="BE21" i="12" s="1"/>
  <c r="AW7" i="10"/>
  <c r="AW32" i="10" s="1"/>
  <c r="AW7" i="11"/>
  <c r="BM18" i="11"/>
  <c r="BM16" i="11"/>
  <c r="BL12" i="11"/>
  <c r="BM20" i="11"/>
  <c r="BM15" i="11"/>
  <c r="BM19" i="11"/>
  <c r="BM14" i="11"/>
  <c r="BM17" i="11"/>
  <c r="BM13" i="11"/>
  <c r="AZ11" i="10"/>
  <c r="AZ33" i="10" s="1"/>
  <c r="AZ28" i="7"/>
  <c r="BL22" i="10"/>
  <c r="BN12" i="10"/>
  <c r="BN23" i="10"/>
  <c r="BM20" i="10"/>
  <c r="BM31" i="10" s="1"/>
  <c r="BL21" i="10"/>
  <c r="BU24" i="12"/>
  <c r="BV24" i="12"/>
  <c r="BM7" i="28" l="1"/>
  <c r="BM6" i="28" s="1"/>
  <c r="BM7" i="24"/>
  <c r="BM6" i="24" s="1"/>
  <c r="BM14" i="25"/>
  <c r="BM23" i="25" s="1"/>
  <c r="BM32" i="25" s="1"/>
  <c r="BN18" i="9"/>
  <c r="BN18" i="25"/>
  <c r="BN16" i="9"/>
  <c r="BN16" i="25"/>
  <c r="BN21" i="9"/>
  <c r="BN21" i="25"/>
  <c r="BN15" i="9"/>
  <c r="BN14" i="9" s="1"/>
  <c r="BN23" i="9" s="1"/>
  <c r="BN32" i="9" s="1"/>
  <c r="BO7" i="6" s="1"/>
  <c r="BN15" i="25"/>
  <c r="BN17" i="9"/>
  <c r="BN17" i="25"/>
  <c r="BN20" i="9"/>
  <c r="BN20" i="25"/>
  <c r="BN19" i="9"/>
  <c r="BN19" i="25"/>
  <c r="BU31" i="12"/>
  <c r="BU26" i="12"/>
  <c r="BU28" i="12"/>
  <c r="BU30" i="12"/>
  <c r="BU27" i="12"/>
  <c r="BU29" i="12"/>
  <c r="BU25" i="12"/>
  <c r="BV31" i="12"/>
  <c r="BV26" i="12"/>
  <c r="BV28" i="12"/>
  <c r="BV30" i="12"/>
  <c r="BV27" i="12"/>
  <c r="BV29" i="12"/>
  <c r="BV25" i="12"/>
  <c r="BF8" i="12"/>
  <c r="BF21" i="12" s="1"/>
  <c r="AX8" i="11"/>
  <c r="AZ36" i="6"/>
  <c r="AZ37" i="6"/>
  <c r="AZ29" i="6"/>
  <c r="AY6" i="10"/>
  <c r="AZ36" i="8"/>
  <c r="AZ35" i="8"/>
  <c r="AZ28" i="6"/>
  <c r="AZ27" i="8"/>
  <c r="AZ28" i="8"/>
  <c r="AX7" i="10"/>
  <c r="AX32" i="10" s="1"/>
  <c r="AX7" i="11"/>
  <c r="AW9" i="11"/>
  <c r="AW6" i="11" s="1"/>
  <c r="AW21" i="11" s="1"/>
  <c r="AX7" i="8" s="1"/>
  <c r="AX6" i="8" s="1"/>
  <c r="BN19" i="11"/>
  <c r="BN18" i="11"/>
  <c r="BN17" i="11"/>
  <c r="BN20" i="11"/>
  <c r="BN16" i="11"/>
  <c r="BN15" i="11"/>
  <c r="BM12" i="11"/>
  <c r="BN14" i="11"/>
  <c r="BN13" i="11"/>
  <c r="BA11" i="10"/>
  <c r="BA33" i="10" s="1"/>
  <c r="BA28" i="7"/>
  <c r="BP12" i="10"/>
  <c r="BM22" i="10"/>
  <c r="BO12" i="10"/>
  <c r="BP23" i="10"/>
  <c r="BO23" i="10"/>
  <c r="BM21" i="10"/>
  <c r="BN20" i="10"/>
  <c r="BN31" i="10" s="1"/>
  <c r="F8" i="16"/>
  <c r="I7" i="16"/>
  <c r="I6" i="16"/>
  <c r="I5" i="16"/>
  <c r="F13" i="16"/>
  <c r="I12" i="16"/>
  <c r="I11" i="16"/>
  <c r="I10" i="16"/>
  <c r="H18" i="16"/>
  <c r="G18" i="16"/>
  <c r="F18" i="16"/>
  <c r="I17" i="16"/>
  <c r="I16" i="16"/>
  <c r="I15" i="16"/>
  <c r="I14" i="16"/>
  <c r="H23" i="16"/>
  <c r="G23" i="16"/>
  <c r="F23" i="16"/>
  <c r="I22" i="16"/>
  <c r="I21" i="16"/>
  <c r="I20" i="16"/>
  <c r="I19" i="16"/>
  <c r="I27" i="16"/>
  <c r="I26" i="16"/>
  <c r="I25" i="16"/>
  <c r="H28" i="16"/>
  <c r="F28" i="16"/>
  <c r="H31" i="16"/>
  <c r="M31" i="16" s="1"/>
  <c r="H32" i="16"/>
  <c r="M32" i="16" s="1"/>
  <c r="G32" i="16"/>
  <c r="F32" i="16"/>
  <c r="G31" i="16"/>
  <c r="F31" i="16"/>
  <c r="H30" i="16"/>
  <c r="M30" i="16" s="1"/>
  <c r="G30" i="16"/>
  <c r="F30" i="16"/>
  <c r="F29" i="16"/>
  <c r="BP18" i="9" l="1"/>
  <c r="BP18" i="25"/>
  <c r="BP16" i="9"/>
  <c r="BP16" i="25"/>
  <c r="BO19" i="9"/>
  <c r="BO19" i="25"/>
  <c r="BP15" i="9"/>
  <c r="BP14" i="9" s="1"/>
  <c r="BP23" i="9" s="1"/>
  <c r="BP32" i="9" s="1"/>
  <c r="BQ7" i="6" s="1"/>
  <c r="BP15" i="25"/>
  <c r="BO17" i="9"/>
  <c r="BO17" i="25"/>
  <c r="BP17" i="9"/>
  <c r="BP17" i="25"/>
  <c r="BP20" i="9"/>
  <c r="BP20" i="25"/>
  <c r="BN14" i="25"/>
  <c r="BN23" i="25" s="1"/>
  <c r="BN32" i="25" s="1"/>
  <c r="BO15" i="9"/>
  <c r="BO15" i="25"/>
  <c r="BO20" i="9"/>
  <c r="BO20" i="25"/>
  <c r="BO21" i="9"/>
  <c r="BO21" i="25"/>
  <c r="BP19" i="9"/>
  <c r="BP19" i="25"/>
  <c r="BP21" i="9"/>
  <c r="BP21" i="25"/>
  <c r="BO18" i="9"/>
  <c r="BO18" i="25"/>
  <c r="BO16" i="9"/>
  <c r="BO16" i="25"/>
  <c r="BN7" i="28"/>
  <c r="BN6" i="28" s="1"/>
  <c r="BN7" i="24"/>
  <c r="BN6" i="24" s="1"/>
  <c r="BO14" i="9"/>
  <c r="BO23" i="9" s="1"/>
  <c r="BO32" i="9" s="1"/>
  <c r="BP7" i="6" s="1"/>
  <c r="AY8" i="11"/>
  <c r="BA28" i="8"/>
  <c r="BA36" i="8"/>
  <c r="BA27" i="8"/>
  <c r="BA36" i="6"/>
  <c r="BA28" i="6"/>
  <c r="BA37" i="6"/>
  <c r="AZ6" i="10"/>
  <c r="BA29" i="6"/>
  <c r="BA35" i="8"/>
  <c r="AY7" i="11"/>
  <c r="AY7" i="10"/>
  <c r="AY32" i="10" s="1"/>
  <c r="AX9" i="11"/>
  <c r="AX6" i="11" s="1"/>
  <c r="AX21" i="11" s="1"/>
  <c r="AY7" i="8" s="1"/>
  <c r="AY6" i="8" s="1"/>
  <c r="BG8" i="12"/>
  <c r="BG21" i="12" s="1"/>
  <c r="BN12" i="11"/>
  <c r="BP14" i="11"/>
  <c r="BO18" i="11"/>
  <c r="BP17" i="11"/>
  <c r="BO17" i="11"/>
  <c r="BP16" i="11"/>
  <c r="BO16" i="11"/>
  <c r="BP20" i="11"/>
  <c r="BO14" i="11"/>
  <c r="BP13" i="11"/>
  <c r="BO13" i="11"/>
  <c r="BP15" i="11"/>
  <c r="BP19" i="11"/>
  <c r="BO20" i="11"/>
  <c r="BO15" i="11"/>
  <c r="BP18" i="11"/>
  <c r="BO19" i="11"/>
  <c r="BB28" i="7"/>
  <c r="BP20" i="10"/>
  <c r="BP31" i="10" s="1"/>
  <c r="BO20" i="10"/>
  <c r="BO31" i="10" s="1"/>
  <c r="BN21" i="10"/>
  <c r="I18" i="16"/>
  <c r="I23" i="16"/>
  <c r="I30" i="16"/>
  <c r="I31" i="16"/>
  <c r="I32" i="16"/>
  <c r="F33" i="16"/>
  <c r="K103" i="17"/>
  <c r="BO7" i="28" l="1"/>
  <c r="BO6" i="28" s="1"/>
  <c r="BO7" i="24"/>
  <c r="BO6" i="24" s="1"/>
  <c r="BP14" i="25"/>
  <c r="BP23" i="25" s="1"/>
  <c r="BP32" i="25" s="1"/>
  <c r="BO14" i="25"/>
  <c r="BO23" i="25" s="1"/>
  <c r="BO32" i="25" s="1"/>
  <c r="BB28" i="8"/>
  <c r="BB27" i="8"/>
  <c r="BB36" i="6"/>
  <c r="BB29" i="6"/>
  <c r="BB35" i="8"/>
  <c r="BB37" i="6"/>
  <c r="BB36" i="8"/>
  <c r="BB28" i="6"/>
  <c r="BA6" i="10"/>
  <c r="BH8" i="12"/>
  <c r="BH21" i="12" s="1"/>
  <c r="AZ8" i="11"/>
  <c r="BA9" i="11"/>
  <c r="AZ7" i="10"/>
  <c r="AZ32" i="10" s="1"/>
  <c r="AZ7" i="11"/>
  <c r="AY9" i="11"/>
  <c r="AY6" i="11" s="1"/>
  <c r="AY21" i="11" s="1"/>
  <c r="AZ7" i="8" s="1"/>
  <c r="AZ6" i="8" s="1"/>
  <c r="BP12" i="11"/>
  <c r="T34" i="8"/>
  <c r="T44" i="8"/>
  <c r="U44" i="8" s="1"/>
  <c r="V44" i="8" s="1"/>
  <c r="W44" i="8" s="1"/>
  <c r="X44" i="8" s="1"/>
  <c r="Y44" i="8" s="1"/>
  <c r="Z44" i="8" s="1"/>
  <c r="AA44" i="8" s="1"/>
  <c r="AB44" i="8" s="1"/>
  <c r="AC44" i="8" s="1"/>
  <c r="AD44" i="8" s="1"/>
  <c r="AE44" i="8" s="1"/>
  <c r="AF44" i="8" s="1"/>
  <c r="AG44" i="8" s="1"/>
  <c r="AH44" i="8" s="1"/>
  <c r="AI44" i="8" s="1"/>
  <c r="AJ44" i="8" s="1"/>
  <c r="AK44" i="8" s="1"/>
  <c r="AL44" i="8" s="1"/>
  <c r="AM44" i="8" s="1"/>
  <c r="AN44" i="8" s="1"/>
  <c r="AO44" i="8" s="1"/>
  <c r="AP44" i="8" s="1"/>
  <c r="AQ44" i="8" s="1"/>
  <c r="AR44" i="8" s="1"/>
  <c r="AS44" i="8" s="1"/>
  <c r="AT44" i="8" s="1"/>
  <c r="AU44" i="8" s="1"/>
  <c r="AV44" i="8" s="1"/>
  <c r="AW44" i="8" s="1"/>
  <c r="AX44" i="8" s="1"/>
  <c r="AY44" i="8" s="1"/>
  <c r="AZ44" i="8" s="1"/>
  <c r="BA44" i="8" s="1"/>
  <c r="BB44" i="8" s="1"/>
  <c r="BC44" i="8" s="1"/>
  <c r="BD44" i="8" s="1"/>
  <c r="BE44" i="8" s="1"/>
  <c r="BF44" i="8" s="1"/>
  <c r="BG44" i="8" s="1"/>
  <c r="BH44" i="8" s="1"/>
  <c r="BI44" i="8" s="1"/>
  <c r="BJ44" i="8" s="1"/>
  <c r="BK44" i="8" s="1"/>
  <c r="BL44" i="8" s="1"/>
  <c r="BM44" i="8" s="1"/>
  <c r="BN44" i="8" s="1"/>
  <c r="BO44" i="8" s="1"/>
  <c r="BP44" i="8" s="1"/>
  <c r="BQ44" i="8" s="1"/>
  <c r="T26" i="8"/>
  <c r="T48" i="8"/>
  <c r="U48" i="8" s="1"/>
  <c r="V48" i="8" s="1"/>
  <c r="W48" i="8" s="1"/>
  <c r="X48" i="8" s="1"/>
  <c r="Y48" i="8" s="1"/>
  <c r="Z48" i="8" s="1"/>
  <c r="AA48" i="8" s="1"/>
  <c r="AB48" i="8" s="1"/>
  <c r="AC48" i="8" s="1"/>
  <c r="AD48" i="8" s="1"/>
  <c r="AE48" i="8" s="1"/>
  <c r="AF48" i="8" s="1"/>
  <c r="AG48" i="8" s="1"/>
  <c r="AH48" i="8" s="1"/>
  <c r="AI48" i="8" s="1"/>
  <c r="AJ48" i="8" s="1"/>
  <c r="AK48" i="8" s="1"/>
  <c r="AL48" i="8" s="1"/>
  <c r="AM48" i="8" s="1"/>
  <c r="AN48" i="8" s="1"/>
  <c r="AO48" i="8" s="1"/>
  <c r="AP48" i="8" s="1"/>
  <c r="AQ48" i="8" s="1"/>
  <c r="AR48" i="8" s="1"/>
  <c r="AS48" i="8" s="1"/>
  <c r="AT48" i="8" s="1"/>
  <c r="AU48" i="8" s="1"/>
  <c r="AV48" i="8" s="1"/>
  <c r="AW48" i="8" s="1"/>
  <c r="AX48" i="8" s="1"/>
  <c r="AY48" i="8" s="1"/>
  <c r="AZ48" i="8" s="1"/>
  <c r="BA48" i="8" s="1"/>
  <c r="BB48" i="8" s="1"/>
  <c r="BC48" i="8" s="1"/>
  <c r="BD48" i="8" s="1"/>
  <c r="BE48" i="8" s="1"/>
  <c r="BF48" i="8" s="1"/>
  <c r="BG48" i="8" s="1"/>
  <c r="BH48" i="8" s="1"/>
  <c r="BI48" i="8" s="1"/>
  <c r="BJ48" i="8" s="1"/>
  <c r="BK48" i="8" s="1"/>
  <c r="BL48" i="8" s="1"/>
  <c r="BM48" i="8" s="1"/>
  <c r="BN48" i="8" s="1"/>
  <c r="BO48" i="8" s="1"/>
  <c r="BP48" i="8" s="1"/>
  <c r="BQ48" i="8" s="1"/>
  <c r="T37" i="8"/>
  <c r="U37" i="8" s="1"/>
  <c r="V37" i="8" s="1"/>
  <c r="W37" i="8" s="1"/>
  <c r="X37" i="8" s="1"/>
  <c r="Y37" i="8" s="1"/>
  <c r="Z37" i="8" s="1"/>
  <c r="AA37" i="8" s="1"/>
  <c r="AB37" i="8" s="1"/>
  <c r="AC37" i="8" s="1"/>
  <c r="AD37" i="8" s="1"/>
  <c r="AE37" i="8" s="1"/>
  <c r="AF37" i="8" s="1"/>
  <c r="AG37" i="8" s="1"/>
  <c r="AH37" i="8" s="1"/>
  <c r="AI37" i="8" s="1"/>
  <c r="AJ37" i="8" s="1"/>
  <c r="AK37" i="8" s="1"/>
  <c r="AL37" i="8" s="1"/>
  <c r="AM37" i="8" s="1"/>
  <c r="AN37" i="8" s="1"/>
  <c r="AO37" i="8" s="1"/>
  <c r="AP37" i="8" s="1"/>
  <c r="AQ37" i="8" s="1"/>
  <c r="AR37" i="8" s="1"/>
  <c r="AS37" i="8" s="1"/>
  <c r="AT37" i="8" s="1"/>
  <c r="AU37" i="8" s="1"/>
  <c r="AV37" i="8" s="1"/>
  <c r="AW37" i="8" s="1"/>
  <c r="AX37" i="8" s="1"/>
  <c r="AY37" i="8" s="1"/>
  <c r="AZ37" i="8" s="1"/>
  <c r="BA37" i="8" s="1"/>
  <c r="BB37" i="8" s="1"/>
  <c r="BC37" i="8" s="1"/>
  <c r="BD37" i="8" s="1"/>
  <c r="BE37" i="8" s="1"/>
  <c r="BF37" i="8" s="1"/>
  <c r="BG37" i="8" s="1"/>
  <c r="BH37" i="8" s="1"/>
  <c r="BI37" i="8" s="1"/>
  <c r="BJ37" i="8" s="1"/>
  <c r="BK37" i="8" s="1"/>
  <c r="BL37" i="8" s="1"/>
  <c r="BM37" i="8" s="1"/>
  <c r="BN37" i="8" s="1"/>
  <c r="BO37" i="8" s="1"/>
  <c r="BP37" i="8" s="1"/>
  <c r="BQ37" i="8" s="1"/>
  <c r="T30" i="8"/>
  <c r="U30" i="8" s="1"/>
  <c r="V30" i="8" s="1"/>
  <c r="W30" i="8" s="1"/>
  <c r="X30" i="8" s="1"/>
  <c r="Y30" i="8" s="1"/>
  <c r="Z30" i="8" s="1"/>
  <c r="AA30" i="8" s="1"/>
  <c r="AB30" i="8" s="1"/>
  <c r="AC30" i="8" s="1"/>
  <c r="AD30" i="8" s="1"/>
  <c r="AE30" i="8" s="1"/>
  <c r="AF30" i="8" s="1"/>
  <c r="AG30" i="8" s="1"/>
  <c r="AH30" i="8" s="1"/>
  <c r="AI30" i="8" s="1"/>
  <c r="AJ30" i="8" s="1"/>
  <c r="AK30" i="8" s="1"/>
  <c r="AL30" i="8" s="1"/>
  <c r="AM30" i="8" s="1"/>
  <c r="AN30" i="8" s="1"/>
  <c r="AO30" i="8" s="1"/>
  <c r="AP30" i="8" s="1"/>
  <c r="AQ30" i="8" s="1"/>
  <c r="AR30" i="8" s="1"/>
  <c r="AS30" i="8" s="1"/>
  <c r="AT30" i="8" s="1"/>
  <c r="AU30" i="8" s="1"/>
  <c r="AV30" i="8" s="1"/>
  <c r="AW30" i="8" s="1"/>
  <c r="AX30" i="8" s="1"/>
  <c r="AY30" i="8" s="1"/>
  <c r="AZ30" i="8" s="1"/>
  <c r="BA30" i="8" s="1"/>
  <c r="BB30" i="8" s="1"/>
  <c r="BC30" i="8" s="1"/>
  <c r="BD30" i="8" s="1"/>
  <c r="BE30" i="8" s="1"/>
  <c r="BF30" i="8" s="1"/>
  <c r="BG30" i="8" s="1"/>
  <c r="BH30" i="8" s="1"/>
  <c r="BI30" i="8" s="1"/>
  <c r="BJ30" i="8" s="1"/>
  <c r="BK30" i="8" s="1"/>
  <c r="BL30" i="8" s="1"/>
  <c r="BM30" i="8" s="1"/>
  <c r="BN30" i="8" s="1"/>
  <c r="BO30" i="8" s="1"/>
  <c r="BP30" i="8" s="1"/>
  <c r="BQ30" i="8" s="1"/>
  <c r="T47" i="8"/>
  <c r="U47" i="8" s="1"/>
  <c r="V47" i="8" s="1"/>
  <c r="W47" i="8" s="1"/>
  <c r="X47" i="8" s="1"/>
  <c r="Y47" i="8" s="1"/>
  <c r="Z47" i="8" s="1"/>
  <c r="AA47" i="8" s="1"/>
  <c r="AB47" i="8" s="1"/>
  <c r="AC47" i="8" s="1"/>
  <c r="AD47" i="8" s="1"/>
  <c r="AE47" i="8" s="1"/>
  <c r="AF47" i="8" s="1"/>
  <c r="AG47" i="8" s="1"/>
  <c r="AH47" i="8" s="1"/>
  <c r="AI47" i="8" s="1"/>
  <c r="AJ47" i="8" s="1"/>
  <c r="AK47" i="8" s="1"/>
  <c r="AL47" i="8" s="1"/>
  <c r="AM47" i="8" s="1"/>
  <c r="AN47" i="8" s="1"/>
  <c r="AO47" i="8" s="1"/>
  <c r="AP47" i="8" s="1"/>
  <c r="AQ47" i="8" s="1"/>
  <c r="AR47" i="8" s="1"/>
  <c r="AS47" i="8" s="1"/>
  <c r="AT47" i="8" s="1"/>
  <c r="AU47" i="8" s="1"/>
  <c r="AV47" i="8" s="1"/>
  <c r="AW47" i="8" s="1"/>
  <c r="AX47" i="8" s="1"/>
  <c r="AY47" i="8" s="1"/>
  <c r="AZ47" i="8" s="1"/>
  <c r="BA47" i="8" s="1"/>
  <c r="BB47" i="8" s="1"/>
  <c r="BC47" i="8" s="1"/>
  <c r="BD47" i="8" s="1"/>
  <c r="BE47" i="8" s="1"/>
  <c r="BF47" i="8" s="1"/>
  <c r="BG47" i="8" s="1"/>
  <c r="BH47" i="8" s="1"/>
  <c r="BI47" i="8" s="1"/>
  <c r="BJ47" i="8" s="1"/>
  <c r="BK47" i="8" s="1"/>
  <c r="BL47" i="8" s="1"/>
  <c r="BM47" i="8" s="1"/>
  <c r="BN47" i="8" s="1"/>
  <c r="BO47" i="8" s="1"/>
  <c r="BP47" i="8" s="1"/>
  <c r="BQ47" i="8" s="1"/>
  <c r="T38" i="8"/>
  <c r="U38" i="8" s="1"/>
  <c r="V38" i="8" s="1"/>
  <c r="W38" i="8" s="1"/>
  <c r="X38" i="8" s="1"/>
  <c r="Y38" i="8" s="1"/>
  <c r="Z38" i="8" s="1"/>
  <c r="AA38" i="8" s="1"/>
  <c r="AB38" i="8" s="1"/>
  <c r="AC38" i="8" s="1"/>
  <c r="AD38" i="8" s="1"/>
  <c r="AE38" i="8" s="1"/>
  <c r="AF38" i="8" s="1"/>
  <c r="AG38" i="8" s="1"/>
  <c r="AH38" i="8" s="1"/>
  <c r="AI38" i="8" s="1"/>
  <c r="AJ38" i="8" s="1"/>
  <c r="AK38" i="8" s="1"/>
  <c r="AL38" i="8" s="1"/>
  <c r="AM38" i="8" s="1"/>
  <c r="AN38" i="8" s="1"/>
  <c r="AO38" i="8" s="1"/>
  <c r="AP38" i="8" s="1"/>
  <c r="AQ38" i="8" s="1"/>
  <c r="AR38" i="8" s="1"/>
  <c r="AS38" i="8" s="1"/>
  <c r="AT38" i="8" s="1"/>
  <c r="AU38" i="8" s="1"/>
  <c r="AV38" i="8" s="1"/>
  <c r="AW38" i="8" s="1"/>
  <c r="AX38" i="8" s="1"/>
  <c r="AY38" i="8" s="1"/>
  <c r="AZ38" i="8" s="1"/>
  <c r="BA38" i="8" s="1"/>
  <c r="BB38" i="8" s="1"/>
  <c r="BC38" i="8" s="1"/>
  <c r="BD38" i="8" s="1"/>
  <c r="BE38" i="8" s="1"/>
  <c r="BF38" i="8" s="1"/>
  <c r="BG38" i="8" s="1"/>
  <c r="BH38" i="8" s="1"/>
  <c r="BI38" i="8" s="1"/>
  <c r="BJ38" i="8" s="1"/>
  <c r="BK38" i="8" s="1"/>
  <c r="BL38" i="8" s="1"/>
  <c r="BM38" i="8" s="1"/>
  <c r="BN38" i="8" s="1"/>
  <c r="BO38" i="8" s="1"/>
  <c r="BP38" i="8" s="1"/>
  <c r="BQ38" i="8" s="1"/>
  <c r="T39" i="8"/>
  <c r="U39" i="8" s="1"/>
  <c r="V39" i="8" s="1"/>
  <c r="W39" i="8" s="1"/>
  <c r="X39" i="8" s="1"/>
  <c r="Y39" i="8" s="1"/>
  <c r="Z39" i="8" s="1"/>
  <c r="AA39" i="8" s="1"/>
  <c r="AB39" i="8" s="1"/>
  <c r="AC39" i="8" s="1"/>
  <c r="AD39" i="8" s="1"/>
  <c r="AE39" i="8" s="1"/>
  <c r="AF39" i="8" s="1"/>
  <c r="AG39" i="8" s="1"/>
  <c r="AH39" i="8" s="1"/>
  <c r="AI39" i="8" s="1"/>
  <c r="AJ39" i="8" s="1"/>
  <c r="AK39" i="8" s="1"/>
  <c r="AL39" i="8" s="1"/>
  <c r="AM39" i="8" s="1"/>
  <c r="AN39" i="8" s="1"/>
  <c r="AO39" i="8" s="1"/>
  <c r="AP39" i="8" s="1"/>
  <c r="AQ39" i="8" s="1"/>
  <c r="AR39" i="8" s="1"/>
  <c r="AS39" i="8" s="1"/>
  <c r="AT39" i="8" s="1"/>
  <c r="AU39" i="8" s="1"/>
  <c r="AV39" i="8" s="1"/>
  <c r="AW39" i="8" s="1"/>
  <c r="AX39" i="8" s="1"/>
  <c r="AY39" i="8" s="1"/>
  <c r="AZ39" i="8" s="1"/>
  <c r="BA39" i="8" s="1"/>
  <c r="BB39" i="8" s="1"/>
  <c r="BC39" i="8" s="1"/>
  <c r="BD39" i="8" s="1"/>
  <c r="BE39" i="8" s="1"/>
  <c r="BF39" i="8" s="1"/>
  <c r="BG39" i="8" s="1"/>
  <c r="BH39" i="8" s="1"/>
  <c r="BI39" i="8" s="1"/>
  <c r="BJ39" i="8" s="1"/>
  <c r="BK39" i="8" s="1"/>
  <c r="BL39" i="8" s="1"/>
  <c r="BM39" i="8" s="1"/>
  <c r="BN39" i="8" s="1"/>
  <c r="BO39" i="8" s="1"/>
  <c r="BP39" i="8" s="1"/>
  <c r="BQ39" i="8" s="1"/>
  <c r="T29" i="8"/>
  <c r="U29" i="8" s="1"/>
  <c r="V29" i="8" s="1"/>
  <c r="W29" i="8" s="1"/>
  <c r="X29" i="8" s="1"/>
  <c r="Y29" i="8" s="1"/>
  <c r="Z29" i="8" s="1"/>
  <c r="AA29" i="8" s="1"/>
  <c r="AB29" i="8" s="1"/>
  <c r="AC29" i="8" s="1"/>
  <c r="AD29" i="8" s="1"/>
  <c r="AE29" i="8" s="1"/>
  <c r="AF29" i="8" s="1"/>
  <c r="AG29" i="8" s="1"/>
  <c r="AH29" i="8" s="1"/>
  <c r="AI29" i="8" s="1"/>
  <c r="AJ29" i="8" s="1"/>
  <c r="AK29" i="8" s="1"/>
  <c r="AL29" i="8" s="1"/>
  <c r="AM29" i="8" s="1"/>
  <c r="AN29" i="8" s="1"/>
  <c r="AO29" i="8" s="1"/>
  <c r="AP29" i="8" s="1"/>
  <c r="AQ29" i="8" s="1"/>
  <c r="AR29" i="8" s="1"/>
  <c r="AS29" i="8" s="1"/>
  <c r="AT29" i="8" s="1"/>
  <c r="AU29" i="8" s="1"/>
  <c r="AV29" i="8" s="1"/>
  <c r="AW29" i="8" s="1"/>
  <c r="AX29" i="8" s="1"/>
  <c r="AY29" i="8" s="1"/>
  <c r="AZ29" i="8" s="1"/>
  <c r="BA29" i="8" s="1"/>
  <c r="BB29" i="8" s="1"/>
  <c r="BC29" i="8" s="1"/>
  <c r="BD29" i="8" s="1"/>
  <c r="BE29" i="8" s="1"/>
  <c r="BF29" i="8" s="1"/>
  <c r="BG29" i="8" s="1"/>
  <c r="BH29" i="8" s="1"/>
  <c r="BI29" i="8" s="1"/>
  <c r="BJ29" i="8" s="1"/>
  <c r="BK29" i="8" s="1"/>
  <c r="BL29" i="8" s="1"/>
  <c r="BM29" i="8" s="1"/>
  <c r="BN29" i="8" s="1"/>
  <c r="BO29" i="8" s="1"/>
  <c r="BP29" i="8" s="1"/>
  <c r="BQ29" i="8" s="1"/>
  <c r="T31" i="8"/>
  <c r="U31" i="8" s="1"/>
  <c r="V31" i="8" s="1"/>
  <c r="W31" i="8" s="1"/>
  <c r="X31" i="8" s="1"/>
  <c r="Y31" i="8" s="1"/>
  <c r="Z31" i="8" s="1"/>
  <c r="AA31" i="8" s="1"/>
  <c r="AB31" i="8" s="1"/>
  <c r="AC31" i="8" s="1"/>
  <c r="AD31" i="8" s="1"/>
  <c r="AE31" i="8" s="1"/>
  <c r="AF31" i="8" s="1"/>
  <c r="AG31" i="8" s="1"/>
  <c r="AH31" i="8" s="1"/>
  <c r="AI31" i="8" s="1"/>
  <c r="AJ31" i="8" s="1"/>
  <c r="AK31" i="8" s="1"/>
  <c r="AL31" i="8" s="1"/>
  <c r="AM31" i="8" s="1"/>
  <c r="AN31" i="8" s="1"/>
  <c r="AO31" i="8" s="1"/>
  <c r="AP31" i="8" s="1"/>
  <c r="AQ31" i="8" s="1"/>
  <c r="AR31" i="8" s="1"/>
  <c r="AS31" i="8" s="1"/>
  <c r="AT31" i="8" s="1"/>
  <c r="AU31" i="8" s="1"/>
  <c r="AV31" i="8" s="1"/>
  <c r="AW31" i="8" s="1"/>
  <c r="AX31" i="8" s="1"/>
  <c r="AY31" i="8" s="1"/>
  <c r="AZ31" i="8" s="1"/>
  <c r="BA31" i="8" s="1"/>
  <c r="BB31" i="8" s="1"/>
  <c r="BC31" i="8" s="1"/>
  <c r="BD31" i="8" s="1"/>
  <c r="BE31" i="8" s="1"/>
  <c r="BF31" i="8" s="1"/>
  <c r="BG31" i="8" s="1"/>
  <c r="BH31" i="8" s="1"/>
  <c r="BI31" i="8" s="1"/>
  <c r="BJ31" i="8" s="1"/>
  <c r="BK31" i="8" s="1"/>
  <c r="BL31" i="8" s="1"/>
  <c r="BM31" i="8" s="1"/>
  <c r="BN31" i="8" s="1"/>
  <c r="BO31" i="8" s="1"/>
  <c r="BP31" i="8" s="1"/>
  <c r="BQ31" i="8" s="1"/>
  <c r="T49" i="8"/>
  <c r="U49" i="8" s="1"/>
  <c r="V49" i="8" s="1"/>
  <c r="W49" i="8" s="1"/>
  <c r="X49" i="8" s="1"/>
  <c r="Y49" i="8" s="1"/>
  <c r="Z49" i="8" s="1"/>
  <c r="AA49" i="8" s="1"/>
  <c r="AB49" i="8" s="1"/>
  <c r="AC49" i="8" s="1"/>
  <c r="AD49" i="8" s="1"/>
  <c r="AE49" i="8" s="1"/>
  <c r="AF49" i="8" s="1"/>
  <c r="AG49" i="8" s="1"/>
  <c r="AH49" i="8" s="1"/>
  <c r="AI49" i="8" s="1"/>
  <c r="AJ49" i="8" s="1"/>
  <c r="AK49" i="8" s="1"/>
  <c r="AL49" i="8" s="1"/>
  <c r="AM49" i="8" s="1"/>
  <c r="AN49" i="8" s="1"/>
  <c r="AO49" i="8" s="1"/>
  <c r="AP49" i="8" s="1"/>
  <c r="AQ49" i="8" s="1"/>
  <c r="AR49" i="8" s="1"/>
  <c r="AS49" i="8" s="1"/>
  <c r="AT49" i="8" s="1"/>
  <c r="AU49" i="8" s="1"/>
  <c r="AV49" i="8" s="1"/>
  <c r="AW49" i="8" s="1"/>
  <c r="AX49" i="8" s="1"/>
  <c r="AY49" i="8" s="1"/>
  <c r="AZ49" i="8" s="1"/>
  <c r="BA49" i="8" s="1"/>
  <c r="BB49" i="8" s="1"/>
  <c r="BC49" i="8" s="1"/>
  <c r="BD49" i="8" s="1"/>
  <c r="BE49" i="8" s="1"/>
  <c r="BF49" i="8" s="1"/>
  <c r="BG49" i="8" s="1"/>
  <c r="BH49" i="8" s="1"/>
  <c r="BI49" i="8" s="1"/>
  <c r="BJ49" i="8" s="1"/>
  <c r="BK49" i="8" s="1"/>
  <c r="BL49" i="8" s="1"/>
  <c r="BM49" i="8" s="1"/>
  <c r="BN49" i="8" s="1"/>
  <c r="BO49" i="8" s="1"/>
  <c r="BP49" i="8" s="1"/>
  <c r="BQ49" i="8" s="1"/>
  <c r="T43" i="8"/>
  <c r="BO12" i="11"/>
  <c r="BB11" i="10"/>
  <c r="BB33" i="10" s="1"/>
  <c r="BC11" i="10"/>
  <c r="BC33" i="10" s="1"/>
  <c r="BC28" i="7"/>
  <c r="T48" i="7"/>
  <c r="U48" i="7" s="1"/>
  <c r="V48" i="7" s="1"/>
  <c r="W48" i="7" s="1"/>
  <c r="X48" i="7" s="1"/>
  <c r="Y48" i="7" s="1"/>
  <c r="Z48" i="7" s="1"/>
  <c r="AA48" i="7" s="1"/>
  <c r="AB48" i="7" s="1"/>
  <c r="AC48" i="7" s="1"/>
  <c r="AD48" i="7" s="1"/>
  <c r="AE48" i="7" s="1"/>
  <c r="AF48" i="7" s="1"/>
  <c r="AG48" i="7" s="1"/>
  <c r="AH48" i="7" s="1"/>
  <c r="AI48" i="7" s="1"/>
  <c r="AJ48" i="7" s="1"/>
  <c r="AK48" i="7" s="1"/>
  <c r="AL48" i="7" s="1"/>
  <c r="AM48" i="7" s="1"/>
  <c r="AN48" i="7" s="1"/>
  <c r="AO48" i="7" s="1"/>
  <c r="AP48" i="7" s="1"/>
  <c r="AQ48" i="7" s="1"/>
  <c r="AR48" i="7" s="1"/>
  <c r="AS48" i="7" s="1"/>
  <c r="AT48" i="7" s="1"/>
  <c r="AU48" i="7" s="1"/>
  <c r="AV48" i="7" s="1"/>
  <c r="AW48" i="7" s="1"/>
  <c r="AX48" i="7" s="1"/>
  <c r="AY48" i="7" s="1"/>
  <c r="AZ48" i="7" s="1"/>
  <c r="BA48" i="7" s="1"/>
  <c r="BB48" i="7" s="1"/>
  <c r="BC48" i="7" s="1"/>
  <c r="BD48" i="7" s="1"/>
  <c r="BE48" i="7" s="1"/>
  <c r="BF48" i="7" s="1"/>
  <c r="BG48" i="7" s="1"/>
  <c r="BH48" i="7" s="1"/>
  <c r="BI48" i="7" s="1"/>
  <c r="BJ48" i="7" s="1"/>
  <c r="BK48" i="7" s="1"/>
  <c r="BL48" i="7" s="1"/>
  <c r="BM48" i="7" s="1"/>
  <c r="BN48" i="7" s="1"/>
  <c r="BO48" i="7" s="1"/>
  <c r="BP48" i="7" s="1"/>
  <c r="BQ48" i="7" s="1"/>
  <c r="T38" i="7"/>
  <c r="U38" i="7" s="1"/>
  <c r="V38" i="7" s="1"/>
  <c r="W38" i="7" s="1"/>
  <c r="X38" i="7" s="1"/>
  <c r="Y38" i="7" s="1"/>
  <c r="Z38" i="7" s="1"/>
  <c r="AA38" i="7" s="1"/>
  <c r="AB38" i="7" s="1"/>
  <c r="AC38" i="7" s="1"/>
  <c r="AD38" i="7" s="1"/>
  <c r="AE38" i="7" s="1"/>
  <c r="AF38" i="7" s="1"/>
  <c r="AG38" i="7" s="1"/>
  <c r="AH38" i="7" s="1"/>
  <c r="AI38" i="7" s="1"/>
  <c r="AJ38" i="7" s="1"/>
  <c r="AK38" i="7" s="1"/>
  <c r="AL38" i="7" s="1"/>
  <c r="AM38" i="7" s="1"/>
  <c r="AN38" i="7" s="1"/>
  <c r="AO38" i="7" s="1"/>
  <c r="AP38" i="7" s="1"/>
  <c r="AQ38" i="7" s="1"/>
  <c r="AR38" i="7" s="1"/>
  <c r="AS38" i="7" s="1"/>
  <c r="AT38" i="7" s="1"/>
  <c r="AU38" i="7" s="1"/>
  <c r="AV38" i="7" s="1"/>
  <c r="AW38" i="7" s="1"/>
  <c r="AX38" i="7" s="1"/>
  <c r="AY38" i="7" s="1"/>
  <c r="AZ38" i="7" s="1"/>
  <c r="BA38" i="7" s="1"/>
  <c r="BB38" i="7" s="1"/>
  <c r="BC38" i="7" s="1"/>
  <c r="BD38" i="7" s="1"/>
  <c r="BE38" i="7" s="1"/>
  <c r="BF38" i="7" s="1"/>
  <c r="BG38" i="7" s="1"/>
  <c r="BH38" i="7" s="1"/>
  <c r="BI38" i="7" s="1"/>
  <c r="BJ38" i="7" s="1"/>
  <c r="BK38" i="7" s="1"/>
  <c r="BL38" i="7" s="1"/>
  <c r="BM38" i="7" s="1"/>
  <c r="BN38" i="7" s="1"/>
  <c r="BO38" i="7" s="1"/>
  <c r="BP38" i="7" s="1"/>
  <c r="BQ38" i="7" s="1"/>
  <c r="T30" i="7"/>
  <c r="U30" i="7" s="1"/>
  <c r="V30" i="7" s="1"/>
  <c r="W30" i="7" s="1"/>
  <c r="X30" i="7" s="1"/>
  <c r="Y30" i="7" s="1"/>
  <c r="Z30" i="7" s="1"/>
  <c r="AA30" i="7" s="1"/>
  <c r="AB30" i="7" s="1"/>
  <c r="AC30" i="7" s="1"/>
  <c r="AD30" i="7" s="1"/>
  <c r="AE30" i="7" s="1"/>
  <c r="AF30" i="7" s="1"/>
  <c r="AG30" i="7" s="1"/>
  <c r="AH30" i="7" s="1"/>
  <c r="AI30" i="7" s="1"/>
  <c r="AJ30" i="7" s="1"/>
  <c r="AK30" i="7" s="1"/>
  <c r="AL30" i="7" s="1"/>
  <c r="AM30" i="7" s="1"/>
  <c r="AN30" i="7" s="1"/>
  <c r="AO30" i="7" s="1"/>
  <c r="AP30" i="7" s="1"/>
  <c r="AQ30" i="7" s="1"/>
  <c r="AR30" i="7" s="1"/>
  <c r="AS30" i="7" s="1"/>
  <c r="AT30" i="7" s="1"/>
  <c r="AU30" i="7" s="1"/>
  <c r="AV30" i="7" s="1"/>
  <c r="AW30" i="7" s="1"/>
  <c r="AX30" i="7" s="1"/>
  <c r="AY30" i="7" s="1"/>
  <c r="AZ30" i="7" s="1"/>
  <c r="BA30" i="7" s="1"/>
  <c r="BB30" i="7" s="1"/>
  <c r="BC30" i="7" s="1"/>
  <c r="BD30" i="7" s="1"/>
  <c r="BE30" i="7" s="1"/>
  <c r="BF30" i="7" s="1"/>
  <c r="BG30" i="7" s="1"/>
  <c r="BH30" i="7" s="1"/>
  <c r="BI30" i="7" s="1"/>
  <c r="BJ30" i="7" s="1"/>
  <c r="BK30" i="7" s="1"/>
  <c r="BL30" i="7" s="1"/>
  <c r="BM30" i="7" s="1"/>
  <c r="BN30" i="7" s="1"/>
  <c r="BO30" i="7" s="1"/>
  <c r="BP30" i="7" s="1"/>
  <c r="BQ30" i="7" s="1"/>
  <c r="T37" i="7"/>
  <c r="U37" i="7" s="1"/>
  <c r="V37" i="7" s="1"/>
  <c r="W37" i="7" s="1"/>
  <c r="X37" i="7" s="1"/>
  <c r="Y37" i="7" s="1"/>
  <c r="Z37" i="7" s="1"/>
  <c r="AA37" i="7" s="1"/>
  <c r="AB37" i="7" s="1"/>
  <c r="AC37" i="7" s="1"/>
  <c r="AD37" i="7" s="1"/>
  <c r="AE37" i="7" s="1"/>
  <c r="AF37" i="7" s="1"/>
  <c r="AG37" i="7" s="1"/>
  <c r="AH37" i="7" s="1"/>
  <c r="AI37" i="7" s="1"/>
  <c r="AJ37" i="7" s="1"/>
  <c r="AK37" i="7" s="1"/>
  <c r="AL37" i="7" s="1"/>
  <c r="AM37" i="7" s="1"/>
  <c r="AN37" i="7" s="1"/>
  <c r="AO37" i="7" s="1"/>
  <c r="AP37" i="7" s="1"/>
  <c r="AQ37" i="7" s="1"/>
  <c r="AR37" i="7" s="1"/>
  <c r="AS37" i="7" s="1"/>
  <c r="AT37" i="7" s="1"/>
  <c r="AU37" i="7" s="1"/>
  <c r="AV37" i="7" s="1"/>
  <c r="AW37" i="7" s="1"/>
  <c r="AX37" i="7" s="1"/>
  <c r="AY37" i="7" s="1"/>
  <c r="AZ37" i="7" s="1"/>
  <c r="BA37" i="7" s="1"/>
  <c r="BB37" i="7" s="1"/>
  <c r="BC37" i="7" s="1"/>
  <c r="BD37" i="7" s="1"/>
  <c r="BE37" i="7" s="1"/>
  <c r="BF37" i="7" s="1"/>
  <c r="BG37" i="7" s="1"/>
  <c r="BH37" i="7" s="1"/>
  <c r="BI37" i="7" s="1"/>
  <c r="BJ37" i="7" s="1"/>
  <c r="BK37" i="7" s="1"/>
  <c r="BL37" i="7" s="1"/>
  <c r="BM37" i="7" s="1"/>
  <c r="BN37" i="7" s="1"/>
  <c r="BO37" i="7" s="1"/>
  <c r="BP37" i="7" s="1"/>
  <c r="BQ37" i="7" s="1"/>
  <c r="T26" i="7"/>
  <c r="T29" i="7"/>
  <c r="U29" i="7" s="1"/>
  <c r="V29" i="7" s="1"/>
  <c r="W29" i="7" s="1"/>
  <c r="X29" i="7" s="1"/>
  <c r="Y29" i="7" s="1"/>
  <c r="Z29" i="7" s="1"/>
  <c r="AA29" i="7" s="1"/>
  <c r="AB29" i="7" s="1"/>
  <c r="AC29" i="7" s="1"/>
  <c r="AD29" i="7" s="1"/>
  <c r="AE29" i="7" s="1"/>
  <c r="AF29" i="7" s="1"/>
  <c r="AG29" i="7" s="1"/>
  <c r="AH29" i="7" s="1"/>
  <c r="AI29" i="7" s="1"/>
  <c r="AJ29" i="7" s="1"/>
  <c r="AK29" i="7" s="1"/>
  <c r="AL29" i="7" s="1"/>
  <c r="AM29" i="7" s="1"/>
  <c r="AN29" i="7" s="1"/>
  <c r="AO29" i="7" s="1"/>
  <c r="AP29" i="7" s="1"/>
  <c r="AQ29" i="7" s="1"/>
  <c r="AR29" i="7" s="1"/>
  <c r="AS29" i="7" s="1"/>
  <c r="AT29" i="7" s="1"/>
  <c r="AU29" i="7" s="1"/>
  <c r="AV29" i="7" s="1"/>
  <c r="AW29" i="7" s="1"/>
  <c r="AX29" i="7" s="1"/>
  <c r="AY29" i="7" s="1"/>
  <c r="AZ29" i="7" s="1"/>
  <c r="BA29" i="7" s="1"/>
  <c r="BB29" i="7" s="1"/>
  <c r="BC29" i="7" s="1"/>
  <c r="BD29" i="7" s="1"/>
  <c r="BE29" i="7" s="1"/>
  <c r="BF29" i="7" s="1"/>
  <c r="BG29" i="7" s="1"/>
  <c r="BH29" i="7" s="1"/>
  <c r="BI29" i="7" s="1"/>
  <c r="BJ29" i="7" s="1"/>
  <c r="BK29" i="7" s="1"/>
  <c r="BL29" i="7" s="1"/>
  <c r="BM29" i="7" s="1"/>
  <c r="BN29" i="7" s="1"/>
  <c r="BO29" i="7" s="1"/>
  <c r="BP29" i="7" s="1"/>
  <c r="BQ29" i="7" s="1"/>
  <c r="T31" i="7"/>
  <c r="U31" i="7" s="1"/>
  <c r="V31" i="7" s="1"/>
  <c r="W31" i="7" s="1"/>
  <c r="X31" i="7" s="1"/>
  <c r="Y31" i="7" s="1"/>
  <c r="Z31" i="7" s="1"/>
  <c r="AA31" i="7" s="1"/>
  <c r="AB31" i="7" s="1"/>
  <c r="AC31" i="7" s="1"/>
  <c r="AD31" i="7" s="1"/>
  <c r="AE31" i="7" s="1"/>
  <c r="AF31" i="7" s="1"/>
  <c r="AG31" i="7" s="1"/>
  <c r="AH31" i="7" s="1"/>
  <c r="AI31" i="7" s="1"/>
  <c r="AJ31" i="7" s="1"/>
  <c r="AK31" i="7" s="1"/>
  <c r="AL31" i="7" s="1"/>
  <c r="AM31" i="7" s="1"/>
  <c r="AN31" i="7" s="1"/>
  <c r="AO31" i="7" s="1"/>
  <c r="AP31" i="7" s="1"/>
  <c r="AQ31" i="7" s="1"/>
  <c r="AR31" i="7" s="1"/>
  <c r="AS31" i="7" s="1"/>
  <c r="AT31" i="7" s="1"/>
  <c r="AU31" i="7" s="1"/>
  <c r="AV31" i="7" s="1"/>
  <c r="AW31" i="7" s="1"/>
  <c r="AX31" i="7" s="1"/>
  <c r="AY31" i="7" s="1"/>
  <c r="AZ31" i="7" s="1"/>
  <c r="BA31" i="7" s="1"/>
  <c r="BB31" i="7" s="1"/>
  <c r="BC31" i="7" s="1"/>
  <c r="BD31" i="7" s="1"/>
  <c r="BE31" i="7" s="1"/>
  <c r="BF31" i="7" s="1"/>
  <c r="BG31" i="7" s="1"/>
  <c r="BH31" i="7" s="1"/>
  <c r="BI31" i="7" s="1"/>
  <c r="BJ31" i="7" s="1"/>
  <c r="BK31" i="7" s="1"/>
  <c r="BL31" i="7" s="1"/>
  <c r="BM31" i="7" s="1"/>
  <c r="BN31" i="7" s="1"/>
  <c r="BO31" i="7" s="1"/>
  <c r="BP31" i="7" s="1"/>
  <c r="BQ31" i="7" s="1"/>
  <c r="T47" i="7"/>
  <c r="U47" i="7" s="1"/>
  <c r="V47" i="7" s="1"/>
  <c r="W47" i="7" s="1"/>
  <c r="X47" i="7" s="1"/>
  <c r="Y47" i="7" s="1"/>
  <c r="Z47" i="7" s="1"/>
  <c r="AA47" i="7" s="1"/>
  <c r="AB47" i="7" s="1"/>
  <c r="AC47" i="7" s="1"/>
  <c r="AD47" i="7" s="1"/>
  <c r="AE47" i="7" s="1"/>
  <c r="AF47" i="7" s="1"/>
  <c r="AG47" i="7" s="1"/>
  <c r="AH47" i="7" s="1"/>
  <c r="AI47" i="7" s="1"/>
  <c r="AJ47" i="7" s="1"/>
  <c r="AK47" i="7" s="1"/>
  <c r="AL47" i="7" s="1"/>
  <c r="AM47" i="7" s="1"/>
  <c r="AN47" i="7" s="1"/>
  <c r="AO47" i="7" s="1"/>
  <c r="AP47" i="7" s="1"/>
  <c r="AQ47" i="7" s="1"/>
  <c r="AR47" i="7" s="1"/>
  <c r="AS47" i="7" s="1"/>
  <c r="AT47" i="7" s="1"/>
  <c r="AU47" i="7" s="1"/>
  <c r="AV47" i="7" s="1"/>
  <c r="AW47" i="7" s="1"/>
  <c r="AX47" i="7" s="1"/>
  <c r="AY47" i="7" s="1"/>
  <c r="AZ47" i="7" s="1"/>
  <c r="BA47" i="7" s="1"/>
  <c r="BB47" i="7" s="1"/>
  <c r="BC47" i="7" s="1"/>
  <c r="BD47" i="7" s="1"/>
  <c r="BE47" i="7" s="1"/>
  <c r="BF47" i="7" s="1"/>
  <c r="BG47" i="7" s="1"/>
  <c r="BH47" i="7" s="1"/>
  <c r="BI47" i="7" s="1"/>
  <c r="BJ47" i="7" s="1"/>
  <c r="BK47" i="7" s="1"/>
  <c r="BL47" i="7" s="1"/>
  <c r="BM47" i="7" s="1"/>
  <c r="BN47" i="7" s="1"/>
  <c r="BO47" i="7" s="1"/>
  <c r="BP47" i="7" s="1"/>
  <c r="BQ47" i="7" s="1"/>
  <c r="T34" i="7"/>
  <c r="T39" i="7"/>
  <c r="U39" i="7" s="1"/>
  <c r="V39" i="7" s="1"/>
  <c r="W39" i="7" s="1"/>
  <c r="X39" i="7" s="1"/>
  <c r="Y39" i="7" s="1"/>
  <c r="Z39" i="7" s="1"/>
  <c r="AA39" i="7" s="1"/>
  <c r="AB39" i="7" s="1"/>
  <c r="AC39" i="7" s="1"/>
  <c r="AD39" i="7" s="1"/>
  <c r="AE39" i="7" s="1"/>
  <c r="AF39" i="7" s="1"/>
  <c r="AG39" i="7" s="1"/>
  <c r="AH39" i="7" s="1"/>
  <c r="AI39" i="7" s="1"/>
  <c r="AJ39" i="7" s="1"/>
  <c r="AK39" i="7" s="1"/>
  <c r="AL39" i="7" s="1"/>
  <c r="AM39" i="7" s="1"/>
  <c r="AN39" i="7" s="1"/>
  <c r="AO39" i="7" s="1"/>
  <c r="AP39" i="7" s="1"/>
  <c r="AQ39" i="7" s="1"/>
  <c r="AR39" i="7" s="1"/>
  <c r="AS39" i="7" s="1"/>
  <c r="AT39" i="7" s="1"/>
  <c r="AU39" i="7" s="1"/>
  <c r="AV39" i="7" s="1"/>
  <c r="AW39" i="7" s="1"/>
  <c r="AX39" i="7" s="1"/>
  <c r="AY39" i="7" s="1"/>
  <c r="AZ39" i="7" s="1"/>
  <c r="BA39" i="7" s="1"/>
  <c r="BB39" i="7" s="1"/>
  <c r="BC39" i="7" s="1"/>
  <c r="BD39" i="7" s="1"/>
  <c r="BE39" i="7" s="1"/>
  <c r="BF39" i="7" s="1"/>
  <c r="BG39" i="7" s="1"/>
  <c r="BH39" i="7" s="1"/>
  <c r="BI39" i="7" s="1"/>
  <c r="BJ39" i="7" s="1"/>
  <c r="BK39" i="7" s="1"/>
  <c r="BL39" i="7" s="1"/>
  <c r="BM39" i="7" s="1"/>
  <c r="BN39" i="7" s="1"/>
  <c r="BO39" i="7" s="1"/>
  <c r="BP39" i="7" s="1"/>
  <c r="BQ39" i="7" s="1"/>
  <c r="T49" i="7"/>
  <c r="U49" i="7" s="1"/>
  <c r="V49" i="7" s="1"/>
  <c r="W49" i="7" s="1"/>
  <c r="X49" i="7" s="1"/>
  <c r="Y49" i="7" s="1"/>
  <c r="Z49" i="7" s="1"/>
  <c r="AA49" i="7" s="1"/>
  <c r="AB49" i="7" s="1"/>
  <c r="AC49" i="7" s="1"/>
  <c r="AD49" i="7" s="1"/>
  <c r="AE49" i="7" s="1"/>
  <c r="AF49" i="7" s="1"/>
  <c r="AG49" i="7" s="1"/>
  <c r="AH49" i="7" s="1"/>
  <c r="AI49" i="7" s="1"/>
  <c r="AJ49" i="7" s="1"/>
  <c r="AK49" i="7" s="1"/>
  <c r="AL49" i="7" s="1"/>
  <c r="AM49" i="7" s="1"/>
  <c r="AN49" i="7" s="1"/>
  <c r="AO49" i="7" s="1"/>
  <c r="AP49" i="7" s="1"/>
  <c r="AQ49" i="7" s="1"/>
  <c r="AR49" i="7" s="1"/>
  <c r="AS49" i="7" s="1"/>
  <c r="AT49" i="7" s="1"/>
  <c r="AU49" i="7" s="1"/>
  <c r="AV49" i="7" s="1"/>
  <c r="AW49" i="7" s="1"/>
  <c r="AX49" i="7" s="1"/>
  <c r="AY49" i="7" s="1"/>
  <c r="AZ49" i="7" s="1"/>
  <c r="BA49" i="7" s="1"/>
  <c r="BB49" i="7" s="1"/>
  <c r="BC49" i="7" s="1"/>
  <c r="BD49" i="7" s="1"/>
  <c r="BE49" i="7" s="1"/>
  <c r="BF49" i="7" s="1"/>
  <c r="BG49" i="7" s="1"/>
  <c r="BH49" i="7" s="1"/>
  <c r="BI49" i="7" s="1"/>
  <c r="BJ49" i="7" s="1"/>
  <c r="BK49" i="7" s="1"/>
  <c r="BL49" i="7" s="1"/>
  <c r="BM49" i="7" s="1"/>
  <c r="BN49" i="7" s="1"/>
  <c r="BO49" i="7" s="1"/>
  <c r="BP49" i="7" s="1"/>
  <c r="BQ49" i="7" s="1"/>
  <c r="T44" i="7"/>
  <c r="U44" i="7" s="1"/>
  <c r="V44" i="7" s="1"/>
  <c r="W44" i="7" s="1"/>
  <c r="X44" i="7" s="1"/>
  <c r="Y44" i="7" s="1"/>
  <c r="Z44" i="7" s="1"/>
  <c r="AA44" i="7" s="1"/>
  <c r="AB44" i="7" s="1"/>
  <c r="AC44" i="7" s="1"/>
  <c r="AD44" i="7" s="1"/>
  <c r="AE44" i="7" s="1"/>
  <c r="AF44" i="7" s="1"/>
  <c r="AG44" i="7" s="1"/>
  <c r="AH44" i="7" s="1"/>
  <c r="AI44" i="7" s="1"/>
  <c r="AJ44" i="7" s="1"/>
  <c r="AK44" i="7" s="1"/>
  <c r="AL44" i="7" s="1"/>
  <c r="AM44" i="7" s="1"/>
  <c r="AN44" i="7" s="1"/>
  <c r="AO44" i="7" s="1"/>
  <c r="AP44" i="7" s="1"/>
  <c r="AQ44" i="7" s="1"/>
  <c r="AR44" i="7" s="1"/>
  <c r="AS44" i="7" s="1"/>
  <c r="AT44" i="7" s="1"/>
  <c r="AU44" i="7" s="1"/>
  <c r="AV44" i="7" s="1"/>
  <c r="AW44" i="7" s="1"/>
  <c r="AX44" i="7" s="1"/>
  <c r="AY44" i="7" s="1"/>
  <c r="AZ44" i="7" s="1"/>
  <c r="BA44" i="7" s="1"/>
  <c r="BB44" i="7" s="1"/>
  <c r="BC44" i="7" s="1"/>
  <c r="BD44" i="7" s="1"/>
  <c r="BE44" i="7" s="1"/>
  <c r="BF44" i="7" s="1"/>
  <c r="BG44" i="7" s="1"/>
  <c r="BH44" i="7" s="1"/>
  <c r="BI44" i="7" s="1"/>
  <c r="BJ44" i="7" s="1"/>
  <c r="BK44" i="7" s="1"/>
  <c r="BL44" i="7" s="1"/>
  <c r="BM44" i="7" s="1"/>
  <c r="BN44" i="7" s="1"/>
  <c r="BO44" i="7" s="1"/>
  <c r="BP44" i="7" s="1"/>
  <c r="BQ44" i="7" s="1"/>
  <c r="T43" i="7"/>
  <c r="BO21" i="10"/>
  <c r="BP22" i="10"/>
  <c r="BN22" i="10"/>
  <c r="BP21" i="10"/>
  <c r="BQ16" i="6"/>
  <c r="BP16" i="6"/>
  <c r="BP110" i="6" s="1"/>
  <c r="BO16" i="6"/>
  <c r="BO110" i="6" s="1"/>
  <c r="BN16" i="6"/>
  <c r="BN110" i="6" s="1"/>
  <c r="BM16" i="6"/>
  <c r="BL16" i="6"/>
  <c r="BL110" i="6" s="1"/>
  <c r="BK16" i="6"/>
  <c r="BJ16" i="6"/>
  <c r="BI16" i="6"/>
  <c r="BH16" i="6"/>
  <c r="BH110" i="6" s="1"/>
  <c r="BG16" i="6"/>
  <c r="BG110" i="6" s="1"/>
  <c r="BF16" i="6"/>
  <c r="BF110" i="6" s="1"/>
  <c r="BE16" i="6"/>
  <c r="BD16" i="6"/>
  <c r="BD110" i="6" s="1"/>
  <c r="BC16" i="6"/>
  <c r="BC110" i="6" s="1"/>
  <c r="BB16" i="6"/>
  <c r="BB110" i="6" s="1"/>
  <c r="BA16" i="6"/>
  <c r="AZ16" i="6"/>
  <c r="AZ110" i="6" s="1"/>
  <c r="AY16" i="6"/>
  <c r="AY110" i="6" s="1"/>
  <c r="AX16" i="6"/>
  <c r="AX110" i="6" s="1"/>
  <c r="AW16" i="6"/>
  <c r="AV16" i="6"/>
  <c r="AV110" i="6" s="1"/>
  <c r="AU16" i="6"/>
  <c r="AU110" i="6" s="1"/>
  <c r="AT16" i="6"/>
  <c r="AS16" i="6"/>
  <c r="AR16" i="6"/>
  <c r="AR110" i="6" s="1"/>
  <c r="AQ16" i="6"/>
  <c r="AQ110" i="6" s="1"/>
  <c r="AP16" i="6"/>
  <c r="AP110" i="6" s="1"/>
  <c r="AO16" i="6"/>
  <c r="AN16" i="6"/>
  <c r="AN110" i="6" s="1"/>
  <c r="AM16" i="6"/>
  <c r="AL16" i="6"/>
  <c r="AK16" i="6"/>
  <c r="AJ16" i="6"/>
  <c r="AJ110" i="6" s="1"/>
  <c r="AI16" i="6"/>
  <c r="AI110" i="6" s="1"/>
  <c r="AH16" i="6"/>
  <c r="AH110" i="6" s="1"/>
  <c r="AG16" i="6"/>
  <c r="AF16" i="6"/>
  <c r="AF110" i="6" s="1"/>
  <c r="AE16" i="6"/>
  <c r="AD16" i="6"/>
  <c r="AC16" i="6"/>
  <c r="AB16" i="6"/>
  <c r="AB110" i="6" s="1"/>
  <c r="AA16" i="6"/>
  <c r="AA110" i="6" s="1"/>
  <c r="Z16" i="6"/>
  <c r="Z110" i="6" s="1"/>
  <c r="Y16" i="6"/>
  <c r="X16" i="6"/>
  <c r="X110" i="6" s="1"/>
  <c r="N110" i="17"/>
  <c r="V16" i="6"/>
  <c r="V110" i="6" s="1"/>
  <c r="M110" i="17" s="1"/>
  <c r="U16" i="6"/>
  <c r="T16" i="6"/>
  <c r="R110" i="6"/>
  <c r="Q110" i="6"/>
  <c r="P110" i="6"/>
  <c r="O110" i="6"/>
  <c r="N110" i="6"/>
  <c r="N103" i="17"/>
  <c r="M103" i="17"/>
  <c r="L103" i="17"/>
  <c r="S98" i="6"/>
  <c r="S97" i="6"/>
  <c r="S95" i="6"/>
  <c r="S94" i="6"/>
  <c r="S93" i="6"/>
  <c r="S92" i="6"/>
  <c r="S91" i="6"/>
  <c r="S89" i="6"/>
  <c r="S88" i="6"/>
  <c r="S87" i="6"/>
  <c r="S84" i="6"/>
  <c r="S83" i="6"/>
  <c r="S79" i="6"/>
  <c r="T62" i="6"/>
  <c r="T51" i="6"/>
  <c r="T41" i="6"/>
  <c r="T33" i="6"/>
  <c r="T15" i="6"/>
  <c r="T12" i="6"/>
  <c r="T8" i="6"/>
  <c r="R96" i="6"/>
  <c r="Q96" i="6"/>
  <c r="P96" i="6"/>
  <c r="O96" i="6"/>
  <c r="N96" i="6"/>
  <c r="BQ90" i="6"/>
  <c r="BP90" i="6"/>
  <c r="BO90" i="6"/>
  <c r="BN90" i="6"/>
  <c r="BM90" i="6"/>
  <c r="BL90" i="6"/>
  <c r="BK90" i="6"/>
  <c r="BJ90" i="6"/>
  <c r="BI90" i="6"/>
  <c r="BH90" i="6"/>
  <c r="BG90" i="6"/>
  <c r="BF90" i="6"/>
  <c r="BE90" i="6"/>
  <c r="BD90" i="6"/>
  <c r="BC90" i="6"/>
  <c r="BB90" i="6"/>
  <c r="BA90" i="6"/>
  <c r="AZ90" i="6"/>
  <c r="AY90" i="6"/>
  <c r="AX90" i="6"/>
  <c r="AW90" i="6"/>
  <c r="AV90" i="6"/>
  <c r="AU90" i="6"/>
  <c r="AT90" i="6"/>
  <c r="AS90" i="6"/>
  <c r="AR90" i="6"/>
  <c r="AQ90" i="6"/>
  <c r="AO90" i="6"/>
  <c r="AN90" i="6"/>
  <c r="AM90" i="6"/>
  <c r="AL90" i="6"/>
  <c r="AK90" i="6"/>
  <c r="AJ90" i="6"/>
  <c r="AI90" i="6"/>
  <c r="AH90" i="6"/>
  <c r="AG90" i="6"/>
  <c r="AF90" i="6"/>
  <c r="AE90" i="6"/>
  <c r="AD90" i="6"/>
  <c r="AC90" i="6"/>
  <c r="AB90" i="6"/>
  <c r="AA90" i="6"/>
  <c r="Z90" i="6"/>
  <c r="Y90" i="6"/>
  <c r="X90" i="6"/>
  <c r="W90" i="6"/>
  <c r="N87" i="17" s="1"/>
  <c r="M87" i="17"/>
  <c r="U90" i="6"/>
  <c r="L87" i="17" s="1"/>
  <c r="K87" i="17"/>
  <c r="R90" i="6"/>
  <c r="Q90" i="6"/>
  <c r="P90" i="6"/>
  <c r="O90" i="6"/>
  <c r="N90" i="6"/>
  <c r="BQ86" i="6"/>
  <c r="BP86" i="6"/>
  <c r="BO86" i="6"/>
  <c r="BN86" i="6"/>
  <c r="BM86" i="6"/>
  <c r="BL86" i="6"/>
  <c r="BK86" i="6"/>
  <c r="BJ86" i="6"/>
  <c r="BI86" i="6"/>
  <c r="BH86" i="6"/>
  <c r="BG86" i="6"/>
  <c r="BF86" i="6"/>
  <c r="BE86" i="6"/>
  <c r="BD86" i="6"/>
  <c r="BC86" i="6"/>
  <c r="BB86" i="6"/>
  <c r="BA86" i="6"/>
  <c r="AZ86" i="6"/>
  <c r="AY86" i="6"/>
  <c r="AX86" i="6"/>
  <c r="AW86" i="6"/>
  <c r="AV86" i="6"/>
  <c r="AU86" i="6"/>
  <c r="AT86" i="6"/>
  <c r="AS86" i="6"/>
  <c r="AR86" i="6"/>
  <c r="AQ86" i="6"/>
  <c r="AP86" i="6"/>
  <c r="AO86" i="6"/>
  <c r="AN86" i="6"/>
  <c r="AM86" i="6"/>
  <c r="AL86" i="6"/>
  <c r="AK86" i="6"/>
  <c r="AJ86" i="6"/>
  <c r="AI86" i="6"/>
  <c r="AH86" i="6"/>
  <c r="AG86" i="6"/>
  <c r="AF86" i="6"/>
  <c r="AE86" i="6"/>
  <c r="AD86" i="6"/>
  <c r="AC86" i="6"/>
  <c r="AB86" i="6"/>
  <c r="AA86" i="6"/>
  <c r="Z86" i="6"/>
  <c r="Y86" i="6"/>
  <c r="X86" i="6"/>
  <c r="W86" i="6"/>
  <c r="N83" i="17" s="1"/>
  <c r="V86" i="6"/>
  <c r="L83" i="17"/>
  <c r="T86" i="6"/>
  <c r="K83" i="17" s="1"/>
  <c r="R86" i="6"/>
  <c r="Q86" i="6"/>
  <c r="P86" i="6"/>
  <c r="O86" i="6"/>
  <c r="BQ82" i="6"/>
  <c r="BP82" i="6"/>
  <c r="BP73" i="6" s="1"/>
  <c r="BO82" i="6"/>
  <c r="BN82" i="6"/>
  <c r="BM82" i="6"/>
  <c r="BL82" i="6"/>
  <c r="BL73" i="6" s="1"/>
  <c r="BK82" i="6"/>
  <c r="BJ82" i="6"/>
  <c r="BI82" i="6"/>
  <c r="BH82" i="6"/>
  <c r="BH73" i="6" s="1"/>
  <c r="BG82" i="6"/>
  <c r="BF82" i="6"/>
  <c r="BE82" i="6"/>
  <c r="BD82" i="6"/>
  <c r="BD73" i="6" s="1"/>
  <c r="BC82" i="6"/>
  <c r="BB82" i="6"/>
  <c r="BA82" i="6"/>
  <c r="AZ82" i="6"/>
  <c r="AZ73" i="6" s="1"/>
  <c r="AY82" i="6"/>
  <c r="AX82" i="6"/>
  <c r="AW82" i="6"/>
  <c r="AV82" i="6"/>
  <c r="AU82" i="6"/>
  <c r="AT82" i="6"/>
  <c r="AS82" i="6"/>
  <c r="AR82" i="6"/>
  <c r="AR73" i="6" s="1"/>
  <c r="AQ82" i="6"/>
  <c r="AP82" i="6"/>
  <c r="AO82" i="6"/>
  <c r="AN82" i="6"/>
  <c r="AN73" i="6" s="1"/>
  <c r="AM82" i="6"/>
  <c r="AL82" i="6"/>
  <c r="AK82" i="6"/>
  <c r="AJ82" i="6"/>
  <c r="AJ73" i="6" s="1"/>
  <c r="AI82" i="6"/>
  <c r="AH82" i="6"/>
  <c r="AG82" i="6"/>
  <c r="AF82" i="6"/>
  <c r="AE82" i="6"/>
  <c r="AD82" i="6"/>
  <c r="AC82" i="6"/>
  <c r="AB82" i="6"/>
  <c r="AA82" i="6"/>
  <c r="Z82" i="6"/>
  <c r="Z73" i="6" s="1"/>
  <c r="Y82" i="6"/>
  <c r="Y73" i="6" s="1"/>
  <c r="X82" i="6"/>
  <c r="X73" i="6" s="1"/>
  <c r="W82" i="6"/>
  <c r="R82" i="6"/>
  <c r="R81" i="6" s="1"/>
  <c r="Q82" i="6"/>
  <c r="Q81" i="6" s="1"/>
  <c r="P82" i="6"/>
  <c r="P81" i="6" s="1"/>
  <c r="O82" i="6"/>
  <c r="O81" i="6" s="1"/>
  <c r="N82" i="6"/>
  <c r="BH81" i="6"/>
  <c r="R73" i="6"/>
  <c r="Q73" i="6"/>
  <c r="P73" i="6"/>
  <c r="O73" i="6"/>
  <c r="BQ63" i="6"/>
  <c r="BP63" i="6"/>
  <c r="BO63" i="6"/>
  <c r="BN63" i="6"/>
  <c r="BM63" i="6"/>
  <c r="BL63" i="6"/>
  <c r="BK63" i="6"/>
  <c r="BJ63" i="6"/>
  <c r="BI63" i="6"/>
  <c r="BH63" i="6"/>
  <c r="BG63" i="6"/>
  <c r="BF63" i="6"/>
  <c r="BE63" i="6"/>
  <c r="BD63" i="6"/>
  <c r="BC63" i="6"/>
  <c r="BB63" i="6"/>
  <c r="BA63" i="6"/>
  <c r="AZ63" i="6"/>
  <c r="AY63" i="6"/>
  <c r="AX63" i="6"/>
  <c r="AW63" i="6"/>
  <c r="AV63" i="6"/>
  <c r="AU63" i="6"/>
  <c r="AT63" i="6"/>
  <c r="AS63" i="6"/>
  <c r="AR63" i="6"/>
  <c r="AQ63" i="6"/>
  <c r="AP63" i="6"/>
  <c r="AO63" i="6"/>
  <c r="AN63" i="6"/>
  <c r="AM63" i="6"/>
  <c r="AL63" i="6"/>
  <c r="AK63" i="6"/>
  <c r="AJ63" i="6"/>
  <c r="AI63" i="6"/>
  <c r="AH63" i="6"/>
  <c r="AG63" i="6"/>
  <c r="AF63" i="6"/>
  <c r="AE63" i="6"/>
  <c r="AD63" i="6"/>
  <c r="AC63" i="6"/>
  <c r="AB63" i="6"/>
  <c r="AA63" i="6"/>
  <c r="Z63" i="6"/>
  <c r="Y63" i="6"/>
  <c r="X63" i="6"/>
  <c r="W63" i="6"/>
  <c r="N60" i="17" s="1"/>
  <c r="V63" i="6"/>
  <c r="M60" i="17" s="1"/>
  <c r="U63" i="6"/>
  <c r="L60" i="17" s="1"/>
  <c r="T63" i="6"/>
  <c r="K60" i="17" s="1"/>
  <c r="BQ55" i="6"/>
  <c r="BQ109" i="6" s="1"/>
  <c r="BP55" i="6"/>
  <c r="BP109" i="6" s="1"/>
  <c r="BO55" i="6"/>
  <c r="BO109" i="6" s="1"/>
  <c r="BN55" i="6"/>
  <c r="BN109" i="6" s="1"/>
  <c r="BM55" i="6"/>
  <c r="BM109" i="6" s="1"/>
  <c r="BL55" i="6"/>
  <c r="BL109" i="6" s="1"/>
  <c r="BK55" i="6"/>
  <c r="BK109" i="6" s="1"/>
  <c r="BJ55" i="6"/>
  <c r="BJ109" i="6" s="1"/>
  <c r="BI55" i="6"/>
  <c r="BI109" i="6" s="1"/>
  <c r="BH55" i="6"/>
  <c r="BH109" i="6" s="1"/>
  <c r="BG55" i="6"/>
  <c r="BG109" i="6" s="1"/>
  <c r="BF55" i="6"/>
  <c r="BF109" i="6" s="1"/>
  <c r="BE55" i="6"/>
  <c r="BE109" i="6" s="1"/>
  <c r="BD55" i="6"/>
  <c r="BD109" i="6" s="1"/>
  <c r="BC55" i="6"/>
  <c r="BC109" i="6" s="1"/>
  <c r="BB55" i="6"/>
  <c r="BB109" i="6" s="1"/>
  <c r="BA55" i="6"/>
  <c r="BA109" i="6" s="1"/>
  <c r="AZ55" i="6"/>
  <c r="AZ109" i="6" s="1"/>
  <c r="AY55" i="6"/>
  <c r="AY109" i="6" s="1"/>
  <c r="AX55" i="6"/>
  <c r="AX109" i="6" s="1"/>
  <c r="AW55" i="6"/>
  <c r="AW109" i="6" s="1"/>
  <c r="AV55" i="6"/>
  <c r="AV109" i="6" s="1"/>
  <c r="AU55" i="6"/>
  <c r="AU109" i="6" s="1"/>
  <c r="AT55" i="6"/>
  <c r="AT109" i="6" s="1"/>
  <c r="AS55" i="6"/>
  <c r="AS109" i="6" s="1"/>
  <c r="AR55" i="6"/>
  <c r="AR109" i="6" s="1"/>
  <c r="AQ55" i="6"/>
  <c r="AQ109" i="6" s="1"/>
  <c r="AP55" i="6"/>
  <c r="AP109" i="6" s="1"/>
  <c r="AO55" i="6"/>
  <c r="AO109" i="6" s="1"/>
  <c r="AN55" i="6"/>
  <c r="AN109" i="6" s="1"/>
  <c r="AM55" i="6"/>
  <c r="AM109" i="6" s="1"/>
  <c r="AL55" i="6"/>
  <c r="AL109" i="6" s="1"/>
  <c r="AK55" i="6"/>
  <c r="AK109" i="6" s="1"/>
  <c r="AJ55" i="6"/>
  <c r="AJ109" i="6" s="1"/>
  <c r="AI55" i="6"/>
  <c r="AI109" i="6" s="1"/>
  <c r="AH55" i="6"/>
  <c r="AH109" i="6" s="1"/>
  <c r="AG55" i="6"/>
  <c r="AG109" i="6" s="1"/>
  <c r="AF55" i="6"/>
  <c r="AF109" i="6" s="1"/>
  <c r="AE55" i="6"/>
  <c r="AE109" i="6" s="1"/>
  <c r="AD55" i="6"/>
  <c r="AD109" i="6" s="1"/>
  <c r="AC55" i="6"/>
  <c r="AC109" i="6" s="1"/>
  <c r="AB55" i="6"/>
  <c r="AB109" i="6" s="1"/>
  <c r="AA55" i="6"/>
  <c r="AA109" i="6" s="1"/>
  <c r="Z55" i="6"/>
  <c r="Z109" i="6" s="1"/>
  <c r="Y55" i="6"/>
  <c r="Y109" i="6" s="1"/>
  <c r="X55" i="6"/>
  <c r="X109" i="6" s="1"/>
  <c r="W55" i="6"/>
  <c r="N52" i="17" s="1"/>
  <c r="V55" i="6"/>
  <c r="M52" i="17" s="1"/>
  <c r="U55" i="6"/>
  <c r="L52" i="17" s="1"/>
  <c r="T55" i="6"/>
  <c r="R109" i="6"/>
  <c r="Q109" i="6"/>
  <c r="P109" i="6"/>
  <c r="O109" i="6"/>
  <c r="AE52" i="6"/>
  <c r="AD52" i="6"/>
  <c r="AC52" i="6"/>
  <c r="AB52" i="6"/>
  <c r="AA52" i="6"/>
  <c r="Z52" i="6"/>
  <c r="Y52" i="6"/>
  <c r="X52" i="6"/>
  <c r="W52" i="6"/>
  <c r="V52" i="6"/>
  <c r="V108" i="6" s="1"/>
  <c r="U52" i="6"/>
  <c r="U108" i="6" s="1"/>
  <c r="F28" i="21" s="1"/>
  <c r="T52" i="6"/>
  <c r="R108" i="6"/>
  <c r="Q108" i="6"/>
  <c r="P108" i="6"/>
  <c r="O108" i="6"/>
  <c r="BQ20" i="6"/>
  <c r="BP20" i="6"/>
  <c r="BO20" i="6"/>
  <c r="BN20" i="6"/>
  <c r="BM20" i="6"/>
  <c r="BL20" i="6"/>
  <c r="BK20" i="6"/>
  <c r="BJ20" i="6"/>
  <c r="BI20" i="6"/>
  <c r="BH20" i="6"/>
  <c r="BG20" i="6"/>
  <c r="BF20" i="6"/>
  <c r="BE20" i="6"/>
  <c r="BD20" i="6"/>
  <c r="BC20" i="6"/>
  <c r="BB20" i="6"/>
  <c r="BA20" i="6"/>
  <c r="AZ20" i="6"/>
  <c r="AY20" i="6"/>
  <c r="AX20" i="6"/>
  <c r="AW20" i="6"/>
  <c r="AV20" i="6"/>
  <c r="AU20" i="6"/>
  <c r="AT20" i="6"/>
  <c r="AS20" i="6"/>
  <c r="AR20" i="6"/>
  <c r="AQ20" i="6"/>
  <c r="AP20" i="6"/>
  <c r="AO20" i="6"/>
  <c r="AN20" i="6"/>
  <c r="AM20" i="6"/>
  <c r="AL20" i="6"/>
  <c r="AK20" i="6"/>
  <c r="AJ20" i="6"/>
  <c r="AI20" i="6"/>
  <c r="AH20" i="6"/>
  <c r="AG20" i="6"/>
  <c r="AF20" i="6"/>
  <c r="AE20" i="6"/>
  <c r="AD20" i="6"/>
  <c r="AC20" i="6"/>
  <c r="AB20" i="6"/>
  <c r="AA20" i="6"/>
  <c r="Z20" i="6"/>
  <c r="Y20" i="6"/>
  <c r="X20" i="6"/>
  <c r="W20" i="6"/>
  <c r="N18" i="17" s="1"/>
  <c r="V20" i="6"/>
  <c r="M18" i="17" s="1"/>
  <c r="U20" i="6"/>
  <c r="L18" i="17" s="1"/>
  <c r="T20" i="6"/>
  <c r="K18" i="17" s="1"/>
  <c r="BP7" i="24" l="1"/>
  <c r="BP6" i="24" s="1"/>
  <c r="BP7" i="28"/>
  <c r="BP6" i="28" s="1"/>
  <c r="BQ7" i="28"/>
  <c r="BQ6" i="28" s="1"/>
  <c r="BQ7" i="24"/>
  <c r="BQ6" i="24" s="1"/>
  <c r="AB28" i="21"/>
  <c r="H28" i="21"/>
  <c r="AC28" i="21" s="1"/>
  <c r="AD28" i="21" s="1"/>
  <c r="AE28" i="21" s="1"/>
  <c r="AF28" i="21" s="1"/>
  <c r="AG28" i="21" s="1"/>
  <c r="AH28" i="21" s="1"/>
  <c r="AI28" i="21" s="1"/>
  <c r="AJ28" i="21" s="1"/>
  <c r="AK28" i="21" s="1"/>
  <c r="AL28" i="21" s="1"/>
  <c r="AM28" i="21" s="1"/>
  <c r="AN28" i="21" s="1"/>
  <c r="AO28" i="21" s="1"/>
  <c r="AP28" i="21" s="1"/>
  <c r="AQ28" i="21" s="1"/>
  <c r="AR28" i="21" s="1"/>
  <c r="AS28" i="21" s="1"/>
  <c r="AT28" i="21" s="1"/>
  <c r="AU28" i="21" s="1"/>
  <c r="AV28" i="21" s="1"/>
  <c r="AW28" i="21" s="1"/>
  <c r="AX28" i="21" s="1"/>
  <c r="AY28" i="21" s="1"/>
  <c r="AZ28" i="21" s="1"/>
  <c r="BA28" i="21" s="1"/>
  <c r="BB28" i="21" s="1"/>
  <c r="BC28" i="21" s="1"/>
  <c r="BD28" i="21" s="1"/>
  <c r="BE28" i="21" s="1"/>
  <c r="BF28" i="21" s="1"/>
  <c r="V111" i="6"/>
  <c r="M83" i="17"/>
  <c r="T6" i="6"/>
  <c r="G6" i="20"/>
  <c r="AZ81" i="6"/>
  <c r="S86" i="6"/>
  <c r="T34" i="6"/>
  <c r="K32" i="17" s="1"/>
  <c r="T26" i="6"/>
  <c r="BI8" i="12"/>
  <c r="BI21" i="12" s="1"/>
  <c r="BA7" i="11"/>
  <c r="BA7" i="10"/>
  <c r="BA32" i="10" s="1"/>
  <c r="AZ9" i="11"/>
  <c r="AZ6" i="11" s="1"/>
  <c r="AZ21" i="11" s="1"/>
  <c r="BA7" i="8" s="1"/>
  <c r="BA6" i="8" s="1"/>
  <c r="BC28" i="6"/>
  <c r="BC29" i="6"/>
  <c r="BB6" i="10"/>
  <c r="BC36" i="6"/>
  <c r="BC27" i="8"/>
  <c r="BC36" i="8"/>
  <c r="BC37" i="6"/>
  <c r="BC28" i="8"/>
  <c r="BC35" i="8"/>
  <c r="BA8" i="11"/>
  <c r="AN81" i="6"/>
  <c r="M6" i="20"/>
  <c r="U6" i="20"/>
  <c r="AC6" i="20"/>
  <c r="AK6" i="20"/>
  <c r="AS6" i="20"/>
  <c r="BA6" i="20"/>
  <c r="T42" i="8"/>
  <c r="U43" i="8"/>
  <c r="U26" i="8"/>
  <c r="T25" i="8"/>
  <c r="I6" i="20"/>
  <c r="Y6" i="20"/>
  <c r="AO6" i="20"/>
  <c r="AW6" i="20"/>
  <c r="U34" i="8"/>
  <c r="T33" i="8"/>
  <c r="K79" i="17"/>
  <c r="C56" i="20"/>
  <c r="U58" i="20" s="1"/>
  <c r="C128" i="20"/>
  <c r="AS130" i="20" s="1"/>
  <c r="X81" i="6"/>
  <c r="BL81" i="6"/>
  <c r="L79" i="17"/>
  <c r="F6" i="20"/>
  <c r="AC81" i="6"/>
  <c r="N6" i="20"/>
  <c r="AK81" i="6"/>
  <c r="AS81" i="6"/>
  <c r="BA81" i="6"/>
  <c r="BI81" i="6"/>
  <c r="BQ81" i="6"/>
  <c r="C32" i="20"/>
  <c r="M34" i="20" s="1"/>
  <c r="C80" i="20"/>
  <c r="AC82" i="20" s="1"/>
  <c r="C152" i="20"/>
  <c r="BA154" i="20" s="1"/>
  <c r="AB81" i="6"/>
  <c r="BP81" i="6"/>
  <c r="C14" i="20"/>
  <c r="G16" i="20" s="1"/>
  <c r="M71" i="17"/>
  <c r="AD81" i="6"/>
  <c r="O6" i="20"/>
  <c r="AL81" i="6"/>
  <c r="AT81" i="6"/>
  <c r="BB81" i="6"/>
  <c r="BJ81" i="6"/>
  <c r="C104" i="20"/>
  <c r="AK106" i="20" s="1"/>
  <c r="AJ81" i="6"/>
  <c r="N79" i="17"/>
  <c r="AE81" i="6"/>
  <c r="P6" i="20"/>
  <c r="AM81" i="6"/>
  <c r="AU81" i="6"/>
  <c r="BC81" i="6"/>
  <c r="BK81" i="6"/>
  <c r="C20" i="20"/>
  <c r="I22" i="20" s="1"/>
  <c r="AF81" i="6"/>
  <c r="Q6" i="20"/>
  <c r="C68" i="20"/>
  <c r="Y70" i="20" s="1"/>
  <c r="AV81" i="6"/>
  <c r="C116" i="20"/>
  <c r="AO118" i="20" s="1"/>
  <c r="C140" i="20"/>
  <c r="AW142" i="20" s="1"/>
  <c r="AR81" i="6"/>
  <c r="Y81" i="6"/>
  <c r="J6" i="20"/>
  <c r="AG81" i="6"/>
  <c r="R6" i="20"/>
  <c r="AO81" i="6"/>
  <c r="AW81" i="6"/>
  <c r="BE81" i="6"/>
  <c r="BM81" i="6"/>
  <c r="Z81" i="6"/>
  <c r="K6" i="20"/>
  <c r="AH81" i="6"/>
  <c r="S6" i="20"/>
  <c r="AP81" i="6"/>
  <c r="AX81" i="6"/>
  <c r="BF81" i="6"/>
  <c r="BN81" i="6"/>
  <c r="BD81" i="6"/>
  <c r="AA81" i="6"/>
  <c r="L6" i="20"/>
  <c r="AI81" i="6"/>
  <c r="T6" i="20"/>
  <c r="AQ81" i="6"/>
  <c r="AY81" i="6"/>
  <c r="BG81" i="6"/>
  <c r="BO81" i="6"/>
  <c r="Z108" i="6"/>
  <c r="Y108" i="6"/>
  <c r="AA108" i="6"/>
  <c r="AB108" i="6"/>
  <c r="L49" i="17"/>
  <c r="M108" i="17"/>
  <c r="AD108" i="6"/>
  <c r="AE108" i="6"/>
  <c r="X108" i="6"/>
  <c r="AF108" i="6"/>
  <c r="S96" i="6"/>
  <c r="BD11" i="10"/>
  <c r="BD33" i="10" s="1"/>
  <c r="BD28" i="7"/>
  <c r="S110" i="6"/>
  <c r="T81" i="6"/>
  <c r="S90" i="6"/>
  <c r="T33" i="7"/>
  <c r="U34" i="7"/>
  <c r="U26" i="7"/>
  <c r="O60" i="17"/>
  <c r="P100" i="6"/>
  <c r="P105" i="6" s="1"/>
  <c r="P113" i="6" s="1"/>
  <c r="BO22" i="10"/>
  <c r="U43" i="7"/>
  <c r="T42" i="7"/>
  <c r="S82" i="6"/>
  <c r="O103" i="17"/>
  <c r="M49" i="17"/>
  <c r="K13" i="17"/>
  <c r="U15" i="6"/>
  <c r="K45" i="17"/>
  <c r="U109" i="6"/>
  <c r="L109" i="17" s="1"/>
  <c r="O18" i="17"/>
  <c r="W108" i="6"/>
  <c r="N108" i="17" s="1"/>
  <c r="N49" i="17"/>
  <c r="Q100" i="6"/>
  <c r="Q105" i="6" s="1"/>
  <c r="Q113" i="6" s="1"/>
  <c r="O83" i="17"/>
  <c r="K30" i="17"/>
  <c r="K38" i="17"/>
  <c r="K46" i="17"/>
  <c r="N108" i="6"/>
  <c r="S108" i="6" s="1"/>
  <c r="K14" i="17"/>
  <c r="T110" i="6"/>
  <c r="V109" i="6"/>
  <c r="M109" i="17" s="1"/>
  <c r="S73" i="6"/>
  <c r="K31" i="17"/>
  <c r="U33" i="6"/>
  <c r="U41" i="6"/>
  <c r="K39" i="17"/>
  <c r="K47" i="17"/>
  <c r="N109" i="6"/>
  <c r="S109" i="6" s="1"/>
  <c r="L14" i="17"/>
  <c r="W109" i="6"/>
  <c r="N109" i="17" s="1"/>
  <c r="L78" i="17"/>
  <c r="U51" i="6"/>
  <c r="K48" i="17"/>
  <c r="M14" i="17"/>
  <c r="AD110" i="6"/>
  <c r="BJ110" i="6"/>
  <c r="W81" i="6"/>
  <c r="N78" i="17" s="1"/>
  <c r="K8" i="17"/>
  <c r="U8" i="6"/>
  <c r="K25" i="17"/>
  <c r="K33" i="17"/>
  <c r="K41" i="17"/>
  <c r="N14" i="17"/>
  <c r="AE110" i="6"/>
  <c r="BK110" i="6"/>
  <c r="K29" i="17"/>
  <c r="K52" i="17"/>
  <c r="O52" i="17" s="1"/>
  <c r="T109" i="6"/>
  <c r="K109" i="17" s="1"/>
  <c r="M78" i="17"/>
  <c r="M79" i="17"/>
  <c r="K9" i="17"/>
  <c r="U10" i="6"/>
  <c r="K42" i="17"/>
  <c r="AL110" i="6"/>
  <c r="K37" i="17"/>
  <c r="K49" i="17"/>
  <c r="T108" i="6"/>
  <c r="K108" i="17" s="1"/>
  <c r="K11" i="17"/>
  <c r="U12" i="6"/>
  <c r="U62" i="6"/>
  <c r="K59" i="17"/>
  <c r="AM110" i="6"/>
  <c r="T43" i="6"/>
  <c r="K40" i="17" s="1"/>
  <c r="N81" i="6"/>
  <c r="S81" i="6" s="1"/>
  <c r="K28" i="17"/>
  <c r="K36" i="17"/>
  <c r="AT110" i="6"/>
  <c r="O87" i="17"/>
  <c r="U110" i="6"/>
  <c r="L110" i="17" s="1"/>
  <c r="AC110" i="6"/>
  <c r="AK110" i="6"/>
  <c r="AS110" i="6"/>
  <c r="BA110" i="6"/>
  <c r="BI110" i="6"/>
  <c r="BQ110" i="6"/>
  <c r="Y110" i="6"/>
  <c r="AG110" i="6"/>
  <c r="AO110" i="6"/>
  <c r="AW110" i="6"/>
  <c r="BE110" i="6"/>
  <c r="BM110" i="6"/>
  <c r="AC108" i="6"/>
  <c r="R100" i="6"/>
  <c r="R105" i="6" s="1"/>
  <c r="R113" i="6" s="1"/>
  <c r="O100" i="6"/>
  <c r="O105" i="6" s="1"/>
  <c r="O113" i="6" s="1"/>
  <c r="O106" i="6"/>
  <c r="P106" i="6"/>
  <c r="E6" i="20" l="1"/>
  <c r="M70" i="17"/>
  <c r="L108" i="17"/>
  <c r="O108" i="17" s="1"/>
  <c r="AX6" i="20"/>
  <c r="BM73" i="6"/>
  <c r="BB6" i="20"/>
  <c r="BQ73" i="6"/>
  <c r="AP6" i="20"/>
  <c r="BE73" i="6"/>
  <c r="AH6" i="20"/>
  <c r="AW73" i="6"/>
  <c r="AR6" i="20"/>
  <c r="BG73" i="6"/>
  <c r="AF6" i="20"/>
  <c r="AU73" i="6"/>
  <c r="W6" i="20"/>
  <c r="AL73" i="6"/>
  <c r="AG6" i="20"/>
  <c r="AV73" i="6"/>
  <c r="AM6" i="20"/>
  <c r="BB73" i="6"/>
  <c r="AA6" i="20"/>
  <c r="AP73" i="6"/>
  <c r="AD6" i="20"/>
  <c r="AS73" i="6"/>
  <c r="H6" i="20"/>
  <c r="W73" i="6"/>
  <c r="N70" i="17" s="1"/>
  <c r="AY6" i="20"/>
  <c r="BN73" i="6"/>
  <c r="AV6" i="20"/>
  <c r="BK73" i="6"/>
  <c r="AQ6" i="20"/>
  <c r="BF73" i="6"/>
  <c r="AE6" i="20"/>
  <c r="AT73" i="6"/>
  <c r="AJ6" i="20"/>
  <c r="AY73" i="6"/>
  <c r="X6" i="20"/>
  <c r="AM73" i="6"/>
  <c r="AU6" i="20"/>
  <c r="BJ73" i="6"/>
  <c r="Z6" i="20"/>
  <c r="AO73" i="6"/>
  <c r="AT6" i="20"/>
  <c r="BI73" i="6"/>
  <c r="AN6" i="20"/>
  <c r="BC73" i="6"/>
  <c r="AL6" i="20"/>
  <c r="BA73" i="6"/>
  <c r="V6" i="20"/>
  <c r="AK73" i="6"/>
  <c r="AZ6" i="20"/>
  <c r="BO73" i="6"/>
  <c r="AI6" i="20"/>
  <c r="AX73" i="6"/>
  <c r="AB6" i="20"/>
  <c r="AQ73" i="6"/>
  <c r="T25" i="6"/>
  <c r="BA6" i="11"/>
  <c r="BA21" i="11" s="1"/>
  <c r="BB7" i="8" s="1"/>
  <c r="BB6" i="8" s="1"/>
  <c r="BB7" i="11"/>
  <c r="BB7" i="10"/>
  <c r="BB32" i="10" s="1"/>
  <c r="BD36" i="6"/>
  <c r="BD28" i="6"/>
  <c r="BD37" i="6"/>
  <c r="BD29" i="6"/>
  <c r="BD28" i="8"/>
  <c r="BD35" i="8"/>
  <c r="BD27" i="8"/>
  <c r="BD36" i="8"/>
  <c r="BC6" i="10"/>
  <c r="BJ8" i="12"/>
  <c r="BJ21" i="12" s="1"/>
  <c r="BB8" i="11"/>
  <c r="T24" i="8"/>
  <c r="V26" i="8"/>
  <c r="U25" i="8"/>
  <c r="V34" i="8"/>
  <c r="U33" i="8"/>
  <c r="V43" i="8"/>
  <c r="U42" i="8"/>
  <c r="O79" i="17"/>
  <c r="BA141" i="20"/>
  <c r="AY140" i="20"/>
  <c r="AZ141" i="20"/>
  <c r="AX140" i="20"/>
  <c r="AY141" i="20"/>
  <c r="AX141" i="20"/>
  <c r="BA140" i="20"/>
  <c r="BB140" i="20"/>
  <c r="AZ140" i="20"/>
  <c r="BB141" i="20"/>
  <c r="AW105" i="20"/>
  <c r="AO105" i="20"/>
  <c r="AY104" i="20"/>
  <c r="AQ104" i="20"/>
  <c r="AV105" i="20"/>
  <c r="AN105" i="20"/>
  <c r="AX104" i="20"/>
  <c r="AP104" i="20"/>
  <c r="AU105" i="20"/>
  <c r="AM105" i="20"/>
  <c r="AW104" i="20"/>
  <c r="AO104" i="20"/>
  <c r="BB105" i="20"/>
  <c r="AT105" i="20"/>
  <c r="AL105" i="20"/>
  <c r="AV104" i="20"/>
  <c r="AN104" i="20"/>
  <c r="AY105" i="20"/>
  <c r="AQ105" i="20"/>
  <c r="BA104" i="20"/>
  <c r="AS104" i="20"/>
  <c r="BB104" i="20"/>
  <c r="BA105" i="20"/>
  <c r="AZ104" i="20"/>
  <c r="AS105" i="20"/>
  <c r="AR104" i="20"/>
  <c r="AR105" i="20"/>
  <c r="AM104" i="20"/>
  <c r="AZ105" i="20"/>
  <c r="AP105" i="20"/>
  <c r="AU104" i="20"/>
  <c r="AT104" i="20"/>
  <c r="AL104" i="20"/>
  <c r="AL106" i="20" s="1"/>
  <c r="AX105" i="20"/>
  <c r="AW129" i="20"/>
  <c r="AY128" i="20"/>
  <c r="AV129" i="20"/>
  <c r="AX128" i="20"/>
  <c r="AU129" i="20"/>
  <c r="AW128" i="20"/>
  <c r="BB129" i="20"/>
  <c r="AT129" i="20"/>
  <c r="AV128" i="20"/>
  <c r="AY129" i="20"/>
  <c r="BA128" i="20"/>
  <c r="AT128" i="20"/>
  <c r="AT130" i="20" s="1"/>
  <c r="BA129" i="20"/>
  <c r="AZ129" i="20"/>
  <c r="BB128" i="20"/>
  <c r="AZ128" i="20"/>
  <c r="AX129" i="20"/>
  <c r="AU128" i="20"/>
  <c r="AR21" i="20"/>
  <c r="AJ21" i="20"/>
  <c r="AB21" i="20"/>
  <c r="T21" i="20"/>
  <c r="L21" i="20"/>
  <c r="AR20" i="20"/>
  <c r="AJ20" i="20"/>
  <c r="AB20" i="20"/>
  <c r="T20" i="20"/>
  <c r="L20" i="20"/>
  <c r="AQ21" i="20"/>
  <c r="AI21" i="20"/>
  <c r="AA21" i="20"/>
  <c r="S21" i="20"/>
  <c r="K21" i="20"/>
  <c r="AQ20" i="20"/>
  <c r="AI20" i="20"/>
  <c r="AA20" i="20"/>
  <c r="S20" i="20"/>
  <c r="K20" i="20"/>
  <c r="AP21" i="20"/>
  <c r="AH21" i="20"/>
  <c r="Z21" i="20"/>
  <c r="R21" i="20"/>
  <c r="J21" i="20"/>
  <c r="AP20" i="20"/>
  <c r="AH20" i="20"/>
  <c r="Z20" i="20"/>
  <c r="R20" i="20"/>
  <c r="J20" i="20"/>
  <c r="J22" i="20" s="1"/>
  <c r="AW21" i="20"/>
  <c r="AO21" i="20"/>
  <c r="AG21" i="20"/>
  <c r="Y21" i="20"/>
  <c r="Q21" i="20"/>
  <c r="AW20" i="20"/>
  <c r="AO20" i="20"/>
  <c r="AG20" i="20"/>
  <c r="AV21" i="20"/>
  <c r="AN21" i="20"/>
  <c r="AF21" i="20"/>
  <c r="X21" i="20"/>
  <c r="P21" i="20"/>
  <c r="AV20" i="20"/>
  <c r="AN20" i="20"/>
  <c r="AF20" i="20"/>
  <c r="X20" i="20"/>
  <c r="P20" i="20"/>
  <c r="AU21" i="20"/>
  <c r="AM21" i="20"/>
  <c r="AE21" i="20"/>
  <c r="W21" i="20"/>
  <c r="O21" i="20"/>
  <c r="AU20" i="20"/>
  <c r="AM20" i="20"/>
  <c r="AE20" i="20"/>
  <c r="W20" i="20"/>
  <c r="O20" i="20"/>
  <c r="AT21" i="20"/>
  <c r="AL21" i="20"/>
  <c r="AD21" i="20"/>
  <c r="V21" i="20"/>
  <c r="N21" i="20"/>
  <c r="AT20" i="20"/>
  <c r="AL20" i="20"/>
  <c r="AD20" i="20"/>
  <c r="V20" i="20"/>
  <c r="N20" i="20"/>
  <c r="AS21" i="20"/>
  <c r="AK21" i="20"/>
  <c r="AC21" i="20"/>
  <c r="U21" i="20"/>
  <c r="M21" i="20"/>
  <c r="AS20" i="20"/>
  <c r="AK20" i="20"/>
  <c r="AC20" i="20"/>
  <c r="U20" i="20"/>
  <c r="Y20" i="20"/>
  <c r="Q20" i="20"/>
  <c r="M20" i="20"/>
  <c r="BB153" i="20"/>
  <c r="BB152" i="20"/>
  <c r="AU57" i="20"/>
  <c r="AM57" i="20"/>
  <c r="AE57" i="20"/>
  <c r="W57" i="20"/>
  <c r="AW56" i="20"/>
  <c r="AO56" i="20"/>
  <c r="AG56" i="20"/>
  <c r="Y56" i="20"/>
  <c r="BB57" i="20"/>
  <c r="AT57" i="20"/>
  <c r="AL57" i="20"/>
  <c r="AD57" i="20"/>
  <c r="V57" i="20"/>
  <c r="AV56" i="20"/>
  <c r="AN56" i="20"/>
  <c r="AF56" i="20"/>
  <c r="X56" i="20"/>
  <c r="AZ57" i="20"/>
  <c r="AR57" i="20"/>
  <c r="AJ57" i="20"/>
  <c r="AB57" i="20"/>
  <c r="BB56" i="20"/>
  <c r="AT56" i="20"/>
  <c r="AL56" i="20"/>
  <c r="AD56" i="20"/>
  <c r="V56" i="20"/>
  <c r="V58" i="20" s="1"/>
  <c r="AY57" i="20"/>
  <c r="AQ57" i="20"/>
  <c r="AI57" i="20"/>
  <c r="AA57" i="20"/>
  <c r="BA56" i="20"/>
  <c r="AS56" i="20"/>
  <c r="AK56" i="20"/>
  <c r="AC56" i="20"/>
  <c r="AX57" i="20"/>
  <c r="AP57" i="20"/>
  <c r="AH57" i="20"/>
  <c r="Z57" i="20"/>
  <c r="AZ56" i="20"/>
  <c r="AR56" i="20"/>
  <c r="AJ56" i="20"/>
  <c r="AB56" i="20"/>
  <c r="AW57" i="20"/>
  <c r="AO57" i="20"/>
  <c r="AG57" i="20"/>
  <c r="Y57" i="20"/>
  <c r="AY56" i="20"/>
  <c r="AQ56" i="20"/>
  <c r="AI56" i="20"/>
  <c r="AA56" i="20"/>
  <c r="AK57" i="20"/>
  <c r="AM56" i="20"/>
  <c r="AF57" i="20"/>
  <c r="AH56" i="20"/>
  <c r="X57" i="20"/>
  <c r="Z56" i="20"/>
  <c r="AV57" i="20"/>
  <c r="AX56" i="20"/>
  <c r="AS57" i="20"/>
  <c r="AU56" i="20"/>
  <c r="BA57" i="20"/>
  <c r="AN57" i="20"/>
  <c r="AC57" i="20"/>
  <c r="AP56" i="20"/>
  <c r="AE56" i="20"/>
  <c r="W56" i="20"/>
  <c r="BA117" i="20"/>
  <c r="AS117" i="20"/>
  <c r="AY116" i="20"/>
  <c r="AQ116" i="20"/>
  <c r="AZ117" i="20"/>
  <c r="AR117" i="20"/>
  <c r="AX116" i="20"/>
  <c r="AP116" i="20"/>
  <c r="AP118" i="20" s="1"/>
  <c r="AY117" i="20"/>
  <c r="AQ117" i="20"/>
  <c r="AW116" i="20"/>
  <c r="AX117" i="20"/>
  <c r="AP117" i="20"/>
  <c r="AV116" i="20"/>
  <c r="AU117" i="20"/>
  <c r="BA116" i="20"/>
  <c r="AS116" i="20"/>
  <c r="BB116" i="20"/>
  <c r="AZ116" i="20"/>
  <c r="AW117" i="20"/>
  <c r="AR116" i="20"/>
  <c r="AV117" i="20"/>
  <c r="BB117" i="20"/>
  <c r="AT117" i="20"/>
  <c r="AT116" i="20"/>
  <c r="AU116" i="20"/>
  <c r="AX81" i="20"/>
  <c r="AP81" i="20"/>
  <c r="AH81" i="20"/>
  <c r="AW81" i="20"/>
  <c r="AO81" i="20"/>
  <c r="AG81" i="20"/>
  <c r="AV81" i="20"/>
  <c r="AN81" i="20"/>
  <c r="AF81" i="20"/>
  <c r="AU81" i="20"/>
  <c r="AM81" i="20"/>
  <c r="AE81" i="20"/>
  <c r="BA81" i="20"/>
  <c r="AK81" i="20"/>
  <c r="AY80" i="20"/>
  <c r="AQ80" i="20"/>
  <c r="AI80" i="20"/>
  <c r="AZ81" i="20"/>
  <c r="AJ81" i="20"/>
  <c r="AX80" i="20"/>
  <c r="AP80" i="20"/>
  <c r="AH80" i="20"/>
  <c r="AY81" i="20"/>
  <c r="AI81" i="20"/>
  <c r="AW80" i="20"/>
  <c r="AO80" i="20"/>
  <c r="AG80" i="20"/>
  <c r="AR81" i="20"/>
  <c r="BB80" i="20"/>
  <c r="AT80" i="20"/>
  <c r="AL80" i="20"/>
  <c r="AD80" i="20"/>
  <c r="AD82" i="20" s="1"/>
  <c r="AQ81" i="20"/>
  <c r="BA80" i="20"/>
  <c r="AS80" i="20"/>
  <c r="AK80" i="20"/>
  <c r="AT81" i="20"/>
  <c r="AR80" i="20"/>
  <c r="AS81" i="20"/>
  <c r="AN80" i="20"/>
  <c r="AD81" i="20"/>
  <c r="AJ80" i="20"/>
  <c r="AF80" i="20"/>
  <c r="AZ80" i="20"/>
  <c r="AE80" i="20"/>
  <c r="AV80" i="20"/>
  <c r="AL81" i="20"/>
  <c r="AU80" i="20"/>
  <c r="BB81" i="20"/>
  <c r="AM80" i="20"/>
  <c r="BA69" i="20"/>
  <c r="AS69" i="20"/>
  <c r="AK69" i="20"/>
  <c r="AC69" i="20"/>
  <c r="AY68" i="20"/>
  <c r="AQ68" i="20"/>
  <c r="AI68" i="20"/>
  <c r="AA68" i="20"/>
  <c r="AZ69" i="20"/>
  <c r="AR69" i="20"/>
  <c r="AJ69" i="20"/>
  <c r="AB69" i="20"/>
  <c r="AX68" i="20"/>
  <c r="AP68" i="20"/>
  <c r="AH68" i="20"/>
  <c r="Z68" i="20"/>
  <c r="Z70" i="20" s="1"/>
  <c r="AY69" i="20"/>
  <c r="AQ69" i="20"/>
  <c r="AI69" i="20"/>
  <c r="AA69" i="20"/>
  <c r="AW68" i="20"/>
  <c r="AO68" i="20"/>
  <c r="AG68" i="20"/>
  <c r="AV69" i="20"/>
  <c r="AN69" i="20"/>
  <c r="AF69" i="20"/>
  <c r="BB68" i="20"/>
  <c r="AT68" i="20"/>
  <c r="AL68" i="20"/>
  <c r="AD68" i="20"/>
  <c r="AU69" i="20"/>
  <c r="AM69" i="20"/>
  <c r="AE69" i="20"/>
  <c r="BA68" i="20"/>
  <c r="AS68" i="20"/>
  <c r="AK68" i="20"/>
  <c r="AC68" i="20"/>
  <c r="AT69" i="20"/>
  <c r="AF68" i="20"/>
  <c r="AP69" i="20"/>
  <c r="AZ68" i="20"/>
  <c r="AE68" i="20"/>
  <c r="AL69" i="20"/>
  <c r="AU68" i="20"/>
  <c r="AH69" i="20"/>
  <c r="AR68" i="20"/>
  <c r="BB69" i="20"/>
  <c r="AG69" i="20"/>
  <c r="AN68" i="20"/>
  <c r="AX69" i="20"/>
  <c r="AD69" i="20"/>
  <c r="AM68" i="20"/>
  <c r="AB68" i="20"/>
  <c r="AW69" i="20"/>
  <c r="Z69" i="20"/>
  <c r="AV68" i="20"/>
  <c r="AO69" i="20"/>
  <c r="AJ68" i="20"/>
  <c r="AU14" i="20"/>
  <c r="AR15" i="20"/>
  <c r="AN15" i="20"/>
  <c r="AJ15" i="20"/>
  <c r="AF15" i="20"/>
  <c r="AB15" i="20"/>
  <c r="X15" i="20"/>
  <c r="T15" i="20"/>
  <c r="P15" i="20"/>
  <c r="L15" i="20"/>
  <c r="H14" i="20"/>
  <c r="H16" i="20" s="1"/>
  <c r="P14" i="20"/>
  <c r="H15" i="20"/>
  <c r="K14" i="20"/>
  <c r="AQ14" i="20"/>
  <c r="AI14" i="20"/>
  <c r="S14" i="20"/>
  <c r="U15" i="20"/>
  <c r="AR14" i="20"/>
  <c r="AN14" i="20"/>
  <c r="AJ14" i="20"/>
  <c r="AF14" i="20"/>
  <c r="AB14" i="20"/>
  <c r="X14" i="20"/>
  <c r="T14" i="20"/>
  <c r="L14" i="20"/>
  <c r="O15" i="20"/>
  <c r="AM14" i="20"/>
  <c r="Z14" i="20"/>
  <c r="Y15" i="20"/>
  <c r="AQ15" i="20"/>
  <c r="AM15" i="20"/>
  <c r="AI15" i="20"/>
  <c r="AE15" i="20"/>
  <c r="Z15" i="20"/>
  <c r="W15" i="20"/>
  <c r="S15" i="20"/>
  <c r="AU15" i="20"/>
  <c r="AE14" i="20"/>
  <c r="K15" i="20"/>
  <c r="I15" i="20"/>
  <c r="O14" i="20"/>
  <c r="AT15" i="20"/>
  <c r="AP15" i="20"/>
  <c r="AL15" i="20"/>
  <c r="AH15" i="20"/>
  <c r="AD15" i="20"/>
  <c r="AA15" i="20"/>
  <c r="V15" i="20"/>
  <c r="R15" i="20"/>
  <c r="N15" i="20"/>
  <c r="J15" i="20"/>
  <c r="AT14" i="20"/>
  <c r="AH14" i="20"/>
  <c r="AA14" i="20"/>
  <c r="R14" i="20"/>
  <c r="N14" i="20"/>
  <c r="AK15" i="20"/>
  <c r="Q15" i="20"/>
  <c r="AP14" i="20"/>
  <c r="AL14" i="20"/>
  <c r="AD14" i="20"/>
  <c r="V14" i="20"/>
  <c r="J14" i="20"/>
  <c r="AS15" i="20"/>
  <c r="AG15" i="20"/>
  <c r="AO15" i="20"/>
  <c r="M15" i="20"/>
  <c r="AS14" i="20"/>
  <c r="AO14" i="20"/>
  <c r="AK14" i="20"/>
  <c r="AG14" i="20"/>
  <c r="AC14" i="20"/>
  <c r="Y14" i="20"/>
  <c r="U14" i="20"/>
  <c r="Q14" i="20"/>
  <c r="M14" i="20"/>
  <c r="I14" i="20"/>
  <c r="W14" i="20"/>
  <c r="AC15" i="20"/>
  <c r="BA33" i="20"/>
  <c r="AS33" i="20"/>
  <c r="AK33" i="20"/>
  <c r="AC33" i="20"/>
  <c r="U33" i="20"/>
  <c r="BA32" i="20"/>
  <c r="AS32" i="20"/>
  <c r="AK32" i="20"/>
  <c r="AC32" i="20"/>
  <c r="U32" i="20"/>
  <c r="AX33" i="20"/>
  <c r="AP33" i="20"/>
  <c r="AH33" i="20"/>
  <c r="Z33" i="20"/>
  <c r="R33" i="20"/>
  <c r="AX32" i="20"/>
  <c r="AP32" i="20"/>
  <c r="AH32" i="20"/>
  <c r="Z32" i="20"/>
  <c r="R32" i="20"/>
  <c r="AV33" i="20"/>
  <c r="AN33" i="20"/>
  <c r="AF33" i="20"/>
  <c r="X33" i="20"/>
  <c r="P33" i="20"/>
  <c r="AV32" i="20"/>
  <c r="AN32" i="20"/>
  <c r="AF32" i="20"/>
  <c r="X32" i="20"/>
  <c r="P32" i="20"/>
  <c r="AU33" i="20"/>
  <c r="AM33" i="20"/>
  <c r="AE33" i="20"/>
  <c r="W33" i="20"/>
  <c r="O33" i="20"/>
  <c r="AU32" i="20"/>
  <c r="AM32" i="20"/>
  <c r="AE32" i="20"/>
  <c r="W32" i="20"/>
  <c r="O32" i="20"/>
  <c r="AR33" i="20"/>
  <c r="AB33" i="20"/>
  <c r="AZ32" i="20"/>
  <c r="AJ32" i="20"/>
  <c r="T32" i="20"/>
  <c r="AQ33" i="20"/>
  <c r="AA33" i="20"/>
  <c r="AY32" i="20"/>
  <c r="AI32" i="20"/>
  <c r="S32" i="20"/>
  <c r="AO33" i="20"/>
  <c r="Y33" i="20"/>
  <c r="AW32" i="20"/>
  <c r="AG32" i="20"/>
  <c r="Q32" i="20"/>
  <c r="AL33" i="20"/>
  <c r="V33" i="20"/>
  <c r="AT32" i="20"/>
  <c r="AD32" i="20"/>
  <c r="N32" i="20"/>
  <c r="N34" i="20" s="1"/>
  <c r="AZ33" i="20"/>
  <c r="AJ33" i="20"/>
  <c r="T33" i="20"/>
  <c r="AR32" i="20"/>
  <c r="AB32" i="20"/>
  <c r="AY33" i="20"/>
  <c r="AI33" i="20"/>
  <c r="S33" i="20"/>
  <c r="AQ32" i="20"/>
  <c r="AA32" i="20"/>
  <c r="AW33" i="20"/>
  <c r="AG33" i="20"/>
  <c r="Q33" i="20"/>
  <c r="AO32" i="20"/>
  <c r="Y32" i="20"/>
  <c r="AT33" i="20"/>
  <c r="AD33" i="20"/>
  <c r="N33" i="20"/>
  <c r="AL32" i="20"/>
  <c r="V32" i="20"/>
  <c r="C83" i="20"/>
  <c r="AD85" i="20" s="1"/>
  <c r="C146" i="20"/>
  <c r="AY148" i="20" s="1"/>
  <c r="C50" i="20"/>
  <c r="S52" i="20" s="1"/>
  <c r="C95" i="20"/>
  <c r="AH97" i="20" s="1"/>
  <c r="C86" i="20"/>
  <c r="AE88" i="20" s="1"/>
  <c r="C77" i="20"/>
  <c r="AB79" i="20" s="1"/>
  <c r="C44" i="20"/>
  <c r="Q46" i="20" s="1"/>
  <c r="C89" i="20"/>
  <c r="AF91" i="20" s="1"/>
  <c r="C155" i="20"/>
  <c r="BB157" i="20" s="1"/>
  <c r="C59" i="20"/>
  <c r="V61" i="20" s="1"/>
  <c r="C113" i="20"/>
  <c r="AN115" i="20" s="1"/>
  <c r="C122" i="20"/>
  <c r="AQ124" i="20" s="1"/>
  <c r="C26" i="20"/>
  <c r="K28" i="20" s="1"/>
  <c r="C71" i="20"/>
  <c r="Z73" i="20" s="1"/>
  <c r="C62" i="20"/>
  <c r="W64" i="20" s="1"/>
  <c r="C53" i="20"/>
  <c r="T55" i="20" s="1"/>
  <c r="C65" i="20"/>
  <c r="X67" i="20" s="1"/>
  <c r="C149" i="20"/>
  <c r="AZ151" i="20" s="1"/>
  <c r="C35" i="20"/>
  <c r="N37" i="20" s="1"/>
  <c r="C98" i="20"/>
  <c r="AI100" i="20" s="1"/>
  <c r="C143" i="20"/>
  <c r="AX145" i="20" s="1"/>
  <c r="C47" i="20"/>
  <c r="R49" i="20" s="1"/>
  <c r="C134" i="20"/>
  <c r="AU136" i="20" s="1"/>
  <c r="C38" i="20"/>
  <c r="O40" i="20" s="1"/>
  <c r="C131" i="20"/>
  <c r="AT133" i="20" s="1"/>
  <c r="C125" i="20"/>
  <c r="AR127" i="20" s="1"/>
  <c r="C29" i="20"/>
  <c r="C92" i="20"/>
  <c r="AG94" i="20" s="1"/>
  <c r="C137" i="20"/>
  <c r="AV139" i="20" s="1"/>
  <c r="C41" i="20"/>
  <c r="P43" i="20" s="1"/>
  <c r="C107" i="20"/>
  <c r="AL109" i="20" s="1"/>
  <c r="C11" i="20"/>
  <c r="F13" i="20" s="1"/>
  <c r="L71" i="17"/>
  <c r="L70" i="17"/>
  <c r="K70" i="17"/>
  <c r="C8" i="20"/>
  <c r="K71" i="17"/>
  <c r="C101" i="20"/>
  <c r="AJ103" i="20" s="1"/>
  <c r="C17" i="20"/>
  <c r="H19" i="20" s="1"/>
  <c r="N71" i="17"/>
  <c r="C74" i="20"/>
  <c r="AA76" i="20" s="1"/>
  <c r="C119" i="20"/>
  <c r="AP121" i="20" s="1"/>
  <c r="C23" i="20"/>
  <c r="J25" i="20" s="1"/>
  <c r="C110" i="20"/>
  <c r="AM112" i="20" s="1"/>
  <c r="K78" i="17"/>
  <c r="O78" i="17" s="1"/>
  <c r="N100" i="6"/>
  <c r="K110" i="17"/>
  <c r="O110" i="17" s="1"/>
  <c r="T111" i="6"/>
  <c r="BE11" i="10"/>
  <c r="BE33" i="10" s="1"/>
  <c r="BE28" i="7"/>
  <c r="N111" i="6"/>
  <c r="O111" i="6" s="1"/>
  <c r="U33" i="7"/>
  <c r="V34" i="7"/>
  <c r="O109" i="17"/>
  <c r="V43" i="7"/>
  <c r="U42" i="7"/>
  <c r="V26" i="7"/>
  <c r="O49" i="17"/>
  <c r="V8" i="6"/>
  <c r="L8" i="17"/>
  <c r="L30" i="17"/>
  <c r="L28" i="17"/>
  <c r="L42" i="17"/>
  <c r="L47" i="17"/>
  <c r="V10" i="6"/>
  <c r="L9" i="17"/>
  <c r="O14" i="17"/>
  <c r="L41" i="17"/>
  <c r="U43" i="6"/>
  <c r="L40" i="17" s="1"/>
  <c r="V41" i="6"/>
  <c r="L39" i="17"/>
  <c r="L46" i="17"/>
  <c r="V62" i="6"/>
  <c r="L59" i="17"/>
  <c r="L33" i="17"/>
  <c r="U34" i="6"/>
  <c r="L32" i="17" s="1"/>
  <c r="V51" i="6"/>
  <c r="L48" i="17"/>
  <c r="L31" i="17"/>
  <c r="V33" i="6"/>
  <c r="L45" i="17"/>
  <c r="L11" i="17"/>
  <c r="V12" i="6"/>
  <c r="L37" i="17"/>
  <c r="L29" i="17"/>
  <c r="L25" i="17"/>
  <c r="L38" i="17"/>
  <c r="L13" i="17"/>
  <c r="V15" i="6"/>
  <c r="L36" i="17"/>
  <c r="R106" i="6"/>
  <c r="L31" i="20" l="1"/>
  <c r="M29" i="20"/>
  <c r="AA70" i="20"/>
  <c r="AB70" i="20" s="1"/>
  <c r="AC70" i="20" s="1"/>
  <c r="AD70" i="20" s="1"/>
  <c r="AE70" i="20" s="1"/>
  <c r="AF70" i="20" s="1"/>
  <c r="AG70" i="20" s="1"/>
  <c r="AH70" i="20" s="1"/>
  <c r="AI70" i="20" s="1"/>
  <c r="AJ70" i="20" s="1"/>
  <c r="AK70" i="20" s="1"/>
  <c r="AL70" i="20" s="1"/>
  <c r="AM70" i="20" s="1"/>
  <c r="AN70" i="20" s="1"/>
  <c r="AO70" i="20" s="1"/>
  <c r="AP70" i="20" s="1"/>
  <c r="AQ70" i="20" s="1"/>
  <c r="AR70" i="20" s="1"/>
  <c r="AS70" i="20" s="1"/>
  <c r="AT70" i="20" s="1"/>
  <c r="AU70" i="20" s="1"/>
  <c r="AV70" i="20" s="1"/>
  <c r="AW70" i="20" s="1"/>
  <c r="AX70" i="20" s="1"/>
  <c r="AY70" i="20" s="1"/>
  <c r="AZ70" i="20" s="1"/>
  <c r="BA70" i="20" s="1"/>
  <c r="BB70" i="20" s="1"/>
  <c r="BK8" i="12"/>
  <c r="BK21" i="12" s="1"/>
  <c r="BE37" i="6"/>
  <c r="BE28" i="6"/>
  <c r="BE35" i="8"/>
  <c r="BE28" i="8"/>
  <c r="BE36" i="6"/>
  <c r="BE29" i="6"/>
  <c r="BE36" i="8"/>
  <c r="BE27" i="8"/>
  <c r="BD6" i="10"/>
  <c r="BC8" i="11"/>
  <c r="BC7" i="10"/>
  <c r="BC32" i="10" s="1"/>
  <c r="BC7" i="11"/>
  <c r="BB9" i="11"/>
  <c r="BB6" i="11" s="1"/>
  <c r="BB21" i="11" s="1"/>
  <c r="BC7" i="8" s="1"/>
  <c r="BC6" i="8" s="1"/>
  <c r="U24" i="8"/>
  <c r="W43" i="8"/>
  <c r="V42" i="8"/>
  <c r="W26" i="8"/>
  <c r="F8" i="20"/>
  <c r="F2" i="20" s="1"/>
  <c r="U98" i="24" s="1"/>
  <c r="U96" i="24" s="1"/>
  <c r="U80" i="24" s="1"/>
  <c r="U100" i="24" s="1"/>
  <c r="U105" i="24" s="1"/>
  <c r="U113" i="24" s="1"/>
  <c r="E10" i="20"/>
  <c r="E5" i="20" s="1"/>
  <c r="T115" i="24" s="1"/>
  <c r="AM106" i="20"/>
  <c r="AN106" i="20" s="1"/>
  <c r="AO106" i="20" s="1"/>
  <c r="AP106" i="20" s="1"/>
  <c r="AQ106" i="20" s="1"/>
  <c r="AR106" i="20" s="1"/>
  <c r="AS106" i="20" s="1"/>
  <c r="AT106" i="20" s="1"/>
  <c r="AU106" i="20" s="1"/>
  <c r="AV106" i="20" s="1"/>
  <c r="AW106" i="20" s="1"/>
  <c r="AX106" i="20" s="1"/>
  <c r="AY106" i="20" s="1"/>
  <c r="AZ106" i="20" s="1"/>
  <c r="BA106" i="20" s="1"/>
  <c r="BB106" i="20" s="1"/>
  <c r="W34" i="8"/>
  <c r="O34" i="20"/>
  <c r="P34" i="20" s="1"/>
  <c r="Q34" i="20" s="1"/>
  <c r="R34" i="20" s="1"/>
  <c r="S34" i="20" s="1"/>
  <c r="T34" i="20" s="1"/>
  <c r="U34" i="20" s="1"/>
  <c r="V34" i="20" s="1"/>
  <c r="W34" i="20" s="1"/>
  <c r="X34" i="20" s="1"/>
  <c r="Y34" i="20" s="1"/>
  <c r="Z34" i="20" s="1"/>
  <c r="AA34" i="20" s="1"/>
  <c r="AB34" i="20" s="1"/>
  <c r="AC34" i="20" s="1"/>
  <c r="AD34" i="20" s="1"/>
  <c r="AE34" i="20" s="1"/>
  <c r="AF34" i="20" s="1"/>
  <c r="AG34" i="20" s="1"/>
  <c r="AH34" i="20" s="1"/>
  <c r="AI34" i="20" s="1"/>
  <c r="AJ34" i="20" s="1"/>
  <c r="AK34" i="20" s="1"/>
  <c r="AL34" i="20" s="1"/>
  <c r="AM34" i="20" s="1"/>
  <c r="AN34" i="20" s="1"/>
  <c r="AO34" i="20" s="1"/>
  <c r="AP34" i="20" s="1"/>
  <c r="AQ34" i="20" s="1"/>
  <c r="AR34" i="20" s="1"/>
  <c r="AS34" i="20" s="1"/>
  <c r="AT34" i="20" s="1"/>
  <c r="AU34" i="20" s="1"/>
  <c r="AV34" i="20" s="1"/>
  <c r="AW34" i="20" s="1"/>
  <c r="AX34" i="20" s="1"/>
  <c r="AY34" i="20" s="1"/>
  <c r="AZ34" i="20" s="1"/>
  <c r="BA34" i="20" s="1"/>
  <c r="G8" i="20"/>
  <c r="G9" i="20"/>
  <c r="BB154" i="20"/>
  <c r="AX142" i="20"/>
  <c r="AY142" i="20" s="1"/>
  <c r="AZ142" i="20" s="1"/>
  <c r="BA142" i="20" s="1"/>
  <c r="BB142" i="20" s="1"/>
  <c r="AU111" i="20"/>
  <c r="AU110" i="20"/>
  <c r="BB111" i="20"/>
  <c r="AT111" i="20"/>
  <c r="BB110" i="20"/>
  <c r="AT110" i="20"/>
  <c r="BA111" i="20"/>
  <c r="AS111" i="20"/>
  <c r="BA110" i="20"/>
  <c r="AS110" i="20"/>
  <c r="AZ111" i="20"/>
  <c r="AR111" i="20"/>
  <c r="AZ110" i="20"/>
  <c r="AR110" i="20"/>
  <c r="AW111" i="20"/>
  <c r="AO111" i="20"/>
  <c r="AW110" i="20"/>
  <c r="AO110" i="20"/>
  <c r="AY110" i="20"/>
  <c r="AX110" i="20"/>
  <c r="AY111" i="20"/>
  <c r="AV110" i="20"/>
  <c r="AQ111" i="20"/>
  <c r="AN110" i="20"/>
  <c r="AN112" i="20" s="1"/>
  <c r="AP111" i="20"/>
  <c r="AX111" i="20"/>
  <c r="AV111" i="20"/>
  <c r="AQ110" i="20"/>
  <c r="AP110" i="20"/>
  <c r="AN111" i="20"/>
  <c r="BA102" i="20"/>
  <c r="AS102" i="20"/>
  <c r="AK102" i="20"/>
  <c r="AV101" i="20"/>
  <c r="AN101" i="20"/>
  <c r="AZ102" i="20"/>
  <c r="AR102" i="20"/>
  <c r="AU101" i="20"/>
  <c r="AM101" i="20"/>
  <c r="AY102" i="20"/>
  <c r="AQ102" i="20"/>
  <c r="BB101" i="20"/>
  <c r="AT101" i="20"/>
  <c r="AL101" i="20"/>
  <c r="AX102" i="20"/>
  <c r="AP102" i="20"/>
  <c r="BA101" i="20"/>
  <c r="AS101" i="20"/>
  <c r="AK101" i="20"/>
  <c r="AK103" i="20" s="1"/>
  <c r="AU102" i="20"/>
  <c r="AM102" i="20"/>
  <c r="BB102" i="20"/>
  <c r="AY101" i="20"/>
  <c r="AW102" i="20"/>
  <c r="AX101" i="20"/>
  <c r="AV102" i="20"/>
  <c r="AW101" i="20"/>
  <c r="AN102" i="20"/>
  <c r="AP101" i="20"/>
  <c r="AL102" i="20"/>
  <c r="AO101" i="20"/>
  <c r="AO102" i="20"/>
  <c r="AZ101" i="20"/>
  <c r="AQ101" i="20"/>
  <c r="AT102" i="20"/>
  <c r="AR101" i="20"/>
  <c r="AO12" i="20"/>
  <c r="AG12" i="20"/>
  <c r="Y12" i="20"/>
  <c r="Q12" i="20"/>
  <c r="I12" i="20"/>
  <c r="AO11" i="20"/>
  <c r="AG11" i="20"/>
  <c r="Y11" i="20"/>
  <c r="Q11" i="20"/>
  <c r="I11" i="20"/>
  <c r="AN12" i="20"/>
  <c r="AF12" i="20"/>
  <c r="X12" i="20"/>
  <c r="P12" i="20"/>
  <c r="H12" i="20"/>
  <c r="AN11" i="20"/>
  <c r="AF11" i="20"/>
  <c r="X11" i="20"/>
  <c r="P11" i="20"/>
  <c r="AM12" i="20"/>
  <c r="AE12" i="20"/>
  <c r="W12" i="20"/>
  <c r="O12" i="20"/>
  <c r="G12" i="20"/>
  <c r="AM11" i="20"/>
  <c r="AE11" i="20"/>
  <c r="W11" i="20"/>
  <c r="O11" i="20"/>
  <c r="G11" i="20"/>
  <c r="AS12" i="20"/>
  <c r="AK12" i="20"/>
  <c r="AC12" i="20"/>
  <c r="U12" i="20"/>
  <c r="M12" i="20"/>
  <c r="AS11" i="20"/>
  <c r="AK11" i="20"/>
  <c r="AC11" i="20"/>
  <c r="U11" i="20"/>
  <c r="M11" i="20"/>
  <c r="AR12" i="20"/>
  <c r="AJ12" i="20"/>
  <c r="AQ12" i="20"/>
  <c r="AI12" i="20"/>
  <c r="AA12" i="20"/>
  <c r="S12" i="20"/>
  <c r="K12" i="20"/>
  <c r="AQ11" i="20"/>
  <c r="AI11" i="20"/>
  <c r="AA11" i="20"/>
  <c r="S11" i="20"/>
  <c r="K11" i="20"/>
  <c r="AL12" i="20"/>
  <c r="N12" i="20"/>
  <c r="AH11" i="20"/>
  <c r="L11" i="20"/>
  <c r="AT11" i="20"/>
  <c r="AH12" i="20"/>
  <c r="L12" i="20"/>
  <c r="AD11" i="20"/>
  <c r="J11" i="20"/>
  <c r="Z11" i="20"/>
  <c r="AD12" i="20"/>
  <c r="J12" i="20"/>
  <c r="AB11" i="20"/>
  <c r="H11" i="20"/>
  <c r="AB12" i="20"/>
  <c r="Z12" i="20"/>
  <c r="AR11" i="20"/>
  <c r="V11" i="20"/>
  <c r="AT12" i="20"/>
  <c r="R11" i="20"/>
  <c r="V12" i="20"/>
  <c r="AP11" i="20"/>
  <c r="T11" i="20"/>
  <c r="T12" i="20"/>
  <c r="AL11" i="20"/>
  <c r="AP12" i="20"/>
  <c r="R12" i="20"/>
  <c r="AJ11" i="20"/>
  <c r="N11" i="20"/>
  <c r="BB36" i="20"/>
  <c r="AT36" i="20"/>
  <c r="AL36" i="20"/>
  <c r="AD36" i="20"/>
  <c r="V36" i="20"/>
  <c r="BB35" i="20"/>
  <c r="AT35" i="20"/>
  <c r="AL35" i="20"/>
  <c r="AD35" i="20"/>
  <c r="V35" i="20"/>
  <c r="AY36" i="20"/>
  <c r="AQ36" i="20"/>
  <c r="AI36" i="20"/>
  <c r="AA36" i="20"/>
  <c r="S36" i="20"/>
  <c r="AY35" i="20"/>
  <c r="AQ35" i="20"/>
  <c r="AI35" i="20"/>
  <c r="AA35" i="20"/>
  <c r="S35" i="20"/>
  <c r="AW36" i="20"/>
  <c r="AO36" i="20"/>
  <c r="AG36" i="20"/>
  <c r="Y36" i="20"/>
  <c r="Q36" i="20"/>
  <c r="AW35" i="20"/>
  <c r="AO35" i="20"/>
  <c r="AG35" i="20"/>
  <c r="Y35" i="20"/>
  <c r="Q35" i="20"/>
  <c r="AV36" i="20"/>
  <c r="AN36" i="20"/>
  <c r="AF36" i="20"/>
  <c r="X36" i="20"/>
  <c r="P36" i="20"/>
  <c r="AV35" i="20"/>
  <c r="AN35" i="20"/>
  <c r="AF35" i="20"/>
  <c r="X35" i="20"/>
  <c r="P35" i="20"/>
  <c r="AS36" i="20"/>
  <c r="AC36" i="20"/>
  <c r="BA35" i="20"/>
  <c r="AK35" i="20"/>
  <c r="U35" i="20"/>
  <c r="AR36" i="20"/>
  <c r="AB36" i="20"/>
  <c r="AZ35" i="20"/>
  <c r="AJ35" i="20"/>
  <c r="T35" i="20"/>
  <c r="AP36" i="20"/>
  <c r="Z36" i="20"/>
  <c r="AX35" i="20"/>
  <c r="AH35" i="20"/>
  <c r="R35" i="20"/>
  <c r="AM36" i="20"/>
  <c r="W36" i="20"/>
  <c r="AU35" i="20"/>
  <c r="AE35" i="20"/>
  <c r="O35" i="20"/>
  <c r="O37" i="20" s="1"/>
  <c r="BA36" i="20"/>
  <c r="AK36" i="20"/>
  <c r="U36" i="20"/>
  <c r="AS35" i="20"/>
  <c r="AC35" i="20"/>
  <c r="AZ36" i="20"/>
  <c r="AJ36" i="20"/>
  <c r="T36" i="20"/>
  <c r="AR35" i="20"/>
  <c r="AB35" i="20"/>
  <c r="AX36" i="20"/>
  <c r="AH36" i="20"/>
  <c r="R36" i="20"/>
  <c r="AP35" i="20"/>
  <c r="Z35" i="20"/>
  <c r="AU36" i="20"/>
  <c r="AE36" i="20"/>
  <c r="O36" i="20"/>
  <c r="AM35" i="20"/>
  <c r="W35" i="20"/>
  <c r="AY54" i="20"/>
  <c r="AQ54" i="20"/>
  <c r="AI54" i="20"/>
  <c r="AA54" i="20"/>
  <c r="BB53" i="20"/>
  <c r="AT53" i="20"/>
  <c r="AL53" i="20"/>
  <c r="AD53" i="20"/>
  <c r="V53" i="20"/>
  <c r="AX54" i="20"/>
  <c r="AP54" i="20"/>
  <c r="AH54" i="20"/>
  <c r="Z54" i="20"/>
  <c r="BA53" i="20"/>
  <c r="AS53" i="20"/>
  <c r="AK53" i="20"/>
  <c r="AC53" i="20"/>
  <c r="U53" i="20"/>
  <c r="U55" i="20" s="1"/>
  <c r="AV54" i="20"/>
  <c r="AN54" i="20"/>
  <c r="AF54" i="20"/>
  <c r="X54" i="20"/>
  <c r="AY53" i="20"/>
  <c r="AQ53" i="20"/>
  <c r="AI53" i="20"/>
  <c r="AA53" i="20"/>
  <c r="AU54" i="20"/>
  <c r="AM54" i="20"/>
  <c r="AE54" i="20"/>
  <c r="W54" i="20"/>
  <c r="AX53" i="20"/>
  <c r="AP53" i="20"/>
  <c r="AH53" i="20"/>
  <c r="Z53" i="20"/>
  <c r="BB54" i="20"/>
  <c r="AT54" i="20"/>
  <c r="AL54" i="20"/>
  <c r="AD54" i="20"/>
  <c r="V54" i="20"/>
  <c r="AW53" i="20"/>
  <c r="AO53" i="20"/>
  <c r="AG53" i="20"/>
  <c r="Y53" i="20"/>
  <c r="BA54" i="20"/>
  <c r="AS54" i="20"/>
  <c r="AK54" i="20"/>
  <c r="AC54" i="20"/>
  <c r="U54" i="20"/>
  <c r="AV53" i="20"/>
  <c r="AN53" i="20"/>
  <c r="AF53" i="20"/>
  <c r="X53" i="20"/>
  <c r="AO54" i="20"/>
  <c r="AR53" i="20"/>
  <c r="AJ54" i="20"/>
  <c r="AM53" i="20"/>
  <c r="AB54" i="20"/>
  <c r="AE53" i="20"/>
  <c r="AZ54" i="20"/>
  <c r="W53" i="20"/>
  <c r="AW54" i="20"/>
  <c r="AZ53" i="20"/>
  <c r="AG54" i="20"/>
  <c r="Y54" i="20"/>
  <c r="AU53" i="20"/>
  <c r="AJ53" i="20"/>
  <c r="AB53" i="20"/>
  <c r="AR54" i="20"/>
  <c r="AW114" i="20"/>
  <c r="AO114" i="20"/>
  <c r="AV113" i="20"/>
  <c r="AV114" i="20"/>
  <c r="AU113" i="20"/>
  <c r="AU114" i="20"/>
  <c r="BB113" i="20"/>
  <c r="AT113" i="20"/>
  <c r="BB114" i="20"/>
  <c r="AT114" i="20"/>
  <c r="BA113" i="20"/>
  <c r="AS113" i="20"/>
  <c r="AY114" i="20"/>
  <c r="AQ114" i="20"/>
  <c r="AX113" i="20"/>
  <c r="AP113" i="20"/>
  <c r="AX114" i="20"/>
  <c r="AQ113" i="20"/>
  <c r="AS114" i="20"/>
  <c r="AO113" i="20"/>
  <c r="AO115" i="20" s="1"/>
  <c r="AR114" i="20"/>
  <c r="AY113" i="20"/>
  <c r="BA114" i="20"/>
  <c r="AW113" i="20"/>
  <c r="AZ114" i="20"/>
  <c r="AP114" i="20"/>
  <c r="AZ113" i="20"/>
  <c r="AR113" i="20"/>
  <c r="AW90" i="20"/>
  <c r="AO90" i="20"/>
  <c r="AG90" i="20"/>
  <c r="AV89" i="20"/>
  <c r="AN89" i="20"/>
  <c r="AV90" i="20"/>
  <c r="AN90" i="20"/>
  <c r="AU89" i="20"/>
  <c r="AM89" i="20"/>
  <c r="AU90" i="20"/>
  <c r="AM90" i="20"/>
  <c r="BB89" i="20"/>
  <c r="AT89" i="20"/>
  <c r="AL89" i="20"/>
  <c r="BB90" i="20"/>
  <c r="AT90" i="20"/>
  <c r="AL90" i="20"/>
  <c r="BA89" i="20"/>
  <c r="AS89" i="20"/>
  <c r="AK89" i="20"/>
  <c r="AZ90" i="20"/>
  <c r="AJ90" i="20"/>
  <c r="AQ89" i="20"/>
  <c r="AY90" i="20"/>
  <c r="AI90" i="20"/>
  <c r="AP89" i="20"/>
  <c r="AX90" i="20"/>
  <c r="AH90" i="20"/>
  <c r="AO89" i="20"/>
  <c r="AQ90" i="20"/>
  <c r="AX89" i="20"/>
  <c r="AH89" i="20"/>
  <c r="AP90" i="20"/>
  <c r="AW89" i="20"/>
  <c r="AG89" i="20"/>
  <c r="AG91" i="20" s="1"/>
  <c r="AZ89" i="20"/>
  <c r="AY89" i="20"/>
  <c r="AJ89" i="20"/>
  <c r="BA90" i="20"/>
  <c r="AI89" i="20"/>
  <c r="AS90" i="20"/>
  <c r="AR90" i="20"/>
  <c r="AK90" i="20"/>
  <c r="AR89" i="20"/>
  <c r="AW51" i="20"/>
  <c r="AO51" i="20"/>
  <c r="AG51" i="20"/>
  <c r="Y51" i="20"/>
  <c r="BA50" i="20"/>
  <c r="AS50" i="20"/>
  <c r="AK50" i="20"/>
  <c r="AC50" i="20"/>
  <c r="U50" i="20"/>
  <c r="AV51" i="20"/>
  <c r="AN51" i="20"/>
  <c r="AF51" i="20"/>
  <c r="X51" i="20"/>
  <c r="AZ50" i="20"/>
  <c r="AR50" i="20"/>
  <c r="AJ50" i="20"/>
  <c r="AB50" i="20"/>
  <c r="T50" i="20"/>
  <c r="T52" i="20" s="1"/>
  <c r="BB51" i="20"/>
  <c r="AT51" i="20"/>
  <c r="AL51" i="20"/>
  <c r="AD51" i="20"/>
  <c r="V51" i="20"/>
  <c r="AX50" i="20"/>
  <c r="AP50" i="20"/>
  <c r="AH50" i="20"/>
  <c r="Z50" i="20"/>
  <c r="BA51" i="20"/>
  <c r="AS51" i="20"/>
  <c r="AK51" i="20"/>
  <c r="AC51" i="20"/>
  <c r="U51" i="20"/>
  <c r="AW50" i="20"/>
  <c r="AO50" i="20"/>
  <c r="AG50" i="20"/>
  <c r="Y50" i="20"/>
  <c r="AZ51" i="20"/>
  <c r="AR51" i="20"/>
  <c r="AJ51" i="20"/>
  <c r="AB51" i="20"/>
  <c r="T51" i="20"/>
  <c r="AV50" i="20"/>
  <c r="AN50" i="20"/>
  <c r="AF50" i="20"/>
  <c r="X50" i="20"/>
  <c r="AY51" i="20"/>
  <c r="AQ51" i="20"/>
  <c r="AI51" i="20"/>
  <c r="AA51" i="20"/>
  <c r="AU50" i="20"/>
  <c r="AM50" i="20"/>
  <c r="AE50" i="20"/>
  <c r="W50" i="20"/>
  <c r="AU51" i="20"/>
  <c r="AY50" i="20"/>
  <c r="AP51" i="20"/>
  <c r="AT50" i="20"/>
  <c r="AH51" i="20"/>
  <c r="AL50" i="20"/>
  <c r="Z51" i="20"/>
  <c r="AD50" i="20"/>
  <c r="W51" i="20"/>
  <c r="AA50" i="20"/>
  <c r="BB50" i="20"/>
  <c r="AQ50" i="20"/>
  <c r="AI50" i="20"/>
  <c r="V50" i="20"/>
  <c r="AX51" i="20"/>
  <c r="AM51" i="20"/>
  <c r="AE51" i="20"/>
  <c r="AU39" i="20"/>
  <c r="AM39" i="20"/>
  <c r="AE39" i="20"/>
  <c r="W39" i="20"/>
  <c r="AU38" i="20"/>
  <c r="AM38" i="20"/>
  <c r="AE38" i="20"/>
  <c r="W38" i="20"/>
  <c r="AZ39" i="20"/>
  <c r="AR39" i="20"/>
  <c r="AJ39" i="20"/>
  <c r="AB39" i="20"/>
  <c r="T39" i="20"/>
  <c r="AZ38" i="20"/>
  <c r="AR38" i="20"/>
  <c r="AJ38" i="20"/>
  <c r="AB38" i="20"/>
  <c r="T38" i="20"/>
  <c r="AX39" i="20"/>
  <c r="AP39" i="20"/>
  <c r="AH39" i="20"/>
  <c r="Z39" i="20"/>
  <c r="R39" i="20"/>
  <c r="AX38" i="20"/>
  <c r="AP38" i="20"/>
  <c r="AH38" i="20"/>
  <c r="Z38" i="20"/>
  <c r="R38" i="20"/>
  <c r="AW39" i="20"/>
  <c r="AO39" i="20"/>
  <c r="AG39" i="20"/>
  <c r="Y39" i="20"/>
  <c r="Q39" i="20"/>
  <c r="AW38" i="20"/>
  <c r="AO38" i="20"/>
  <c r="AG38" i="20"/>
  <c r="Y38" i="20"/>
  <c r="Q38" i="20"/>
  <c r="AT39" i="20"/>
  <c r="AD39" i="20"/>
  <c r="BB38" i="20"/>
  <c r="AL38" i="20"/>
  <c r="V38" i="20"/>
  <c r="AS39" i="20"/>
  <c r="AC39" i="20"/>
  <c r="BA38" i="20"/>
  <c r="AK38" i="20"/>
  <c r="U38" i="20"/>
  <c r="AQ39" i="20"/>
  <c r="AA39" i="20"/>
  <c r="AY38" i="20"/>
  <c r="AI38" i="20"/>
  <c r="S38" i="20"/>
  <c r="AN39" i="20"/>
  <c r="X39" i="20"/>
  <c r="AV38" i="20"/>
  <c r="AF38" i="20"/>
  <c r="P38" i="20"/>
  <c r="P40" i="20" s="1"/>
  <c r="BB39" i="20"/>
  <c r="AL39" i="20"/>
  <c r="V39" i="20"/>
  <c r="AT38" i="20"/>
  <c r="AD38" i="20"/>
  <c r="BA39" i="20"/>
  <c r="AK39" i="20"/>
  <c r="U39" i="20"/>
  <c r="AS38" i="20"/>
  <c r="AC38" i="20"/>
  <c r="AY39" i="20"/>
  <c r="AI39" i="20"/>
  <c r="S39" i="20"/>
  <c r="AQ38" i="20"/>
  <c r="AA38" i="20"/>
  <c r="AV39" i="20"/>
  <c r="AF39" i="20"/>
  <c r="P39" i="20"/>
  <c r="AN38" i="20"/>
  <c r="X38" i="20"/>
  <c r="AU87" i="20"/>
  <c r="AM87" i="20"/>
  <c r="AU86" i="20"/>
  <c r="AM86" i="20"/>
  <c r="BB87" i="20"/>
  <c r="AT87" i="20"/>
  <c r="AL87" i="20"/>
  <c r="BB86" i="20"/>
  <c r="AT86" i="20"/>
  <c r="AL86" i="20"/>
  <c r="BA87" i="20"/>
  <c r="AS87" i="20"/>
  <c r="AK87" i="20"/>
  <c r="BA86" i="20"/>
  <c r="AS86" i="20"/>
  <c r="AK86" i="20"/>
  <c r="AZ87" i="20"/>
  <c r="AR87" i="20"/>
  <c r="AJ87" i="20"/>
  <c r="AZ86" i="20"/>
  <c r="AR86" i="20"/>
  <c r="AJ86" i="20"/>
  <c r="AX87" i="20"/>
  <c r="AH87" i="20"/>
  <c r="AP86" i="20"/>
  <c r="AW87" i="20"/>
  <c r="AG87" i="20"/>
  <c r="AO86" i="20"/>
  <c r="AV87" i="20"/>
  <c r="AF87" i="20"/>
  <c r="AN86" i="20"/>
  <c r="AO87" i="20"/>
  <c r="AW86" i="20"/>
  <c r="AG86" i="20"/>
  <c r="AN87" i="20"/>
  <c r="AV86" i="20"/>
  <c r="AF86" i="20"/>
  <c r="AF88" i="20" s="1"/>
  <c r="AI87" i="20"/>
  <c r="AY86" i="20"/>
  <c r="AQ86" i="20"/>
  <c r="AI86" i="20"/>
  <c r="AY87" i="20"/>
  <c r="AH86" i="20"/>
  <c r="AQ87" i="20"/>
  <c r="AP87" i="20"/>
  <c r="AX86" i="20"/>
  <c r="AZ30" i="20"/>
  <c r="AR30" i="20"/>
  <c r="AJ30" i="20"/>
  <c r="AB30" i="20"/>
  <c r="T30" i="20"/>
  <c r="AZ29" i="20"/>
  <c r="AR29" i="20"/>
  <c r="AJ29" i="20"/>
  <c r="AB29" i="20"/>
  <c r="T29" i="20"/>
  <c r="AW30" i="20"/>
  <c r="AO30" i="20"/>
  <c r="AG30" i="20"/>
  <c r="Y30" i="20"/>
  <c r="Q30" i="20"/>
  <c r="AW29" i="20"/>
  <c r="AO29" i="20"/>
  <c r="AG29" i="20"/>
  <c r="Y29" i="20"/>
  <c r="Q29" i="20"/>
  <c r="AU30" i="20"/>
  <c r="AM30" i="20"/>
  <c r="AE30" i="20"/>
  <c r="W30" i="20"/>
  <c r="O30" i="20"/>
  <c r="AU29" i="20"/>
  <c r="AM29" i="20"/>
  <c r="AE29" i="20"/>
  <c r="W29" i="20"/>
  <c r="O29" i="20"/>
  <c r="AT30" i="20"/>
  <c r="AL30" i="20"/>
  <c r="AD30" i="20"/>
  <c r="V30" i="20"/>
  <c r="N30" i="20"/>
  <c r="AT29" i="20"/>
  <c r="AL29" i="20"/>
  <c r="AD29" i="20"/>
  <c r="V29" i="20"/>
  <c r="N29" i="20"/>
  <c r="AQ30" i="20"/>
  <c r="AA30" i="20"/>
  <c r="AY29" i="20"/>
  <c r="AI29" i="20"/>
  <c r="S29" i="20"/>
  <c r="AP30" i="20"/>
  <c r="Z30" i="20"/>
  <c r="AX29" i="20"/>
  <c r="AH29" i="20"/>
  <c r="R29" i="20"/>
  <c r="AN30" i="20"/>
  <c r="X30" i="20"/>
  <c r="AV29" i="20"/>
  <c r="AF29" i="20"/>
  <c r="P29" i="20"/>
  <c r="AK30" i="20"/>
  <c r="U30" i="20"/>
  <c r="AS29" i="20"/>
  <c r="AC29" i="20"/>
  <c r="M31" i="20"/>
  <c r="AY30" i="20"/>
  <c r="AI30" i="20"/>
  <c r="S30" i="20"/>
  <c r="AQ29" i="20"/>
  <c r="AA29" i="20"/>
  <c r="AX30" i="20"/>
  <c r="AH30" i="20"/>
  <c r="R30" i="20"/>
  <c r="AP29" i="20"/>
  <c r="Z29" i="20"/>
  <c r="AV30" i="20"/>
  <c r="AF30" i="20"/>
  <c r="P30" i="20"/>
  <c r="AN29" i="20"/>
  <c r="X29" i="20"/>
  <c r="AS30" i="20"/>
  <c r="AC30" i="20"/>
  <c r="M30" i="20"/>
  <c r="AK29" i="20"/>
  <c r="U29" i="20"/>
  <c r="AY72" i="20"/>
  <c r="AQ72" i="20"/>
  <c r="AI72" i="20"/>
  <c r="AA72" i="20"/>
  <c r="AV71" i="20"/>
  <c r="AN71" i="20"/>
  <c r="AF71" i="20"/>
  <c r="AX72" i="20"/>
  <c r="AP72" i="20"/>
  <c r="AH72" i="20"/>
  <c r="AU71" i="20"/>
  <c r="AM71" i="20"/>
  <c r="AE71" i="20"/>
  <c r="AW72" i="20"/>
  <c r="AO72" i="20"/>
  <c r="AG72" i="20"/>
  <c r="BB71" i="20"/>
  <c r="AT71" i="20"/>
  <c r="AL71" i="20"/>
  <c r="AD71" i="20"/>
  <c r="BB72" i="20"/>
  <c r="AT72" i="20"/>
  <c r="AL72" i="20"/>
  <c r="AD72" i="20"/>
  <c r="AY71" i="20"/>
  <c r="AQ71" i="20"/>
  <c r="AI71" i="20"/>
  <c r="AA71" i="20"/>
  <c r="AA73" i="20" s="1"/>
  <c r="BA72" i="20"/>
  <c r="AS72" i="20"/>
  <c r="AK72" i="20"/>
  <c r="AC72" i="20"/>
  <c r="AX71" i="20"/>
  <c r="AP71" i="20"/>
  <c r="AH71" i="20"/>
  <c r="AZ72" i="20"/>
  <c r="AE72" i="20"/>
  <c r="AK71" i="20"/>
  <c r="AV72" i="20"/>
  <c r="AB72" i="20"/>
  <c r="AJ71" i="20"/>
  <c r="AR72" i="20"/>
  <c r="AZ71" i="20"/>
  <c r="AC71" i="20"/>
  <c r="AN72" i="20"/>
  <c r="AW71" i="20"/>
  <c r="AB71" i="20"/>
  <c r="AM72" i="20"/>
  <c r="AS71" i="20"/>
  <c r="AJ72" i="20"/>
  <c r="AR71" i="20"/>
  <c r="BA71" i="20"/>
  <c r="AO71" i="20"/>
  <c r="AU72" i="20"/>
  <c r="AF72" i="20"/>
  <c r="AG71" i="20"/>
  <c r="AY75" i="20"/>
  <c r="AQ75" i="20"/>
  <c r="AI75" i="20"/>
  <c r="AU74" i="20"/>
  <c r="AM74" i="20"/>
  <c r="AE74" i="20"/>
  <c r="AX75" i="20"/>
  <c r="AP75" i="20"/>
  <c r="AH75" i="20"/>
  <c r="BB74" i="20"/>
  <c r="AT74" i="20"/>
  <c r="AL74" i="20"/>
  <c r="AD74" i="20"/>
  <c r="AW75" i="20"/>
  <c r="AO75" i="20"/>
  <c r="AG75" i="20"/>
  <c r="BA74" i="20"/>
  <c r="AS74" i="20"/>
  <c r="AK74" i="20"/>
  <c r="AC74" i="20"/>
  <c r="BB75" i="20"/>
  <c r="AT75" i="20"/>
  <c r="AL75" i="20"/>
  <c r="AD75" i="20"/>
  <c r="AX74" i="20"/>
  <c r="AP74" i="20"/>
  <c r="AH74" i="20"/>
  <c r="BA75" i="20"/>
  <c r="AS75" i="20"/>
  <c r="AK75" i="20"/>
  <c r="AC75" i="20"/>
  <c r="AW74" i="20"/>
  <c r="AO74" i="20"/>
  <c r="AG74" i="20"/>
  <c r="AM75" i="20"/>
  <c r="AR74" i="20"/>
  <c r="AJ75" i="20"/>
  <c r="AQ74" i="20"/>
  <c r="AZ75" i="20"/>
  <c r="AE75" i="20"/>
  <c r="AJ74" i="20"/>
  <c r="AV75" i="20"/>
  <c r="AB75" i="20"/>
  <c r="AI74" i="20"/>
  <c r="AU75" i="20"/>
  <c r="AZ74" i="20"/>
  <c r="AF74" i="20"/>
  <c r="AR75" i="20"/>
  <c r="AY74" i="20"/>
  <c r="AB74" i="20"/>
  <c r="AB76" i="20" s="1"/>
  <c r="AN75" i="20"/>
  <c r="AV74" i="20"/>
  <c r="AF75" i="20"/>
  <c r="AN74" i="20"/>
  <c r="AW138" i="20"/>
  <c r="BB137" i="20"/>
  <c r="BB138" i="20"/>
  <c r="BA137" i="20"/>
  <c r="AY138" i="20"/>
  <c r="AX137" i="20"/>
  <c r="AZ138" i="20"/>
  <c r="AX138" i="20"/>
  <c r="AZ137" i="20"/>
  <c r="BA138" i="20"/>
  <c r="AY137" i="20"/>
  <c r="AW137" i="20"/>
  <c r="BA126" i="20"/>
  <c r="AS126" i="20"/>
  <c r="AV125" i="20"/>
  <c r="AZ126" i="20"/>
  <c r="AU125" i="20"/>
  <c r="AY126" i="20"/>
  <c r="BB125" i="20"/>
  <c r="AT125" i="20"/>
  <c r="AX126" i="20"/>
  <c r="BA125" i="20"/>
  <c r="AS125" i="20"/>
  <c r="AS127" i="20" s="1"/>
  <c r="AU126" i="20"/>
  <c r="AX125" i="20"/>
  <c r="BB126" i="20"/>
  <c r="AW126" i="20"/>
  <c r="AZ125" i="20"/>
  <c r="AY125" i="20"/>
  <c r="AW125" i="20"/>
  <c r="AV126" i="20"/>
  <c r="AT126" i="20"/>
  <c r="AY144" i="20"/>
  <c r="BB143" i="20"/>
  <c r="BA143" i="20"/>
  <c r="BA144" i="20"/>
  <c r="AZ144" i="20"/>
  <c r="AZ143" i="20"/>
  <c r="AY143" i="20"/>
  <c r="BB144" i="20"/>
  <c r="BA150" i="20"/>
  <c r="BB149" i="20"/>
  <c r="BA149" i="20"/>
  <c r="BB150" i="20"/>
  <c r="AY27" i="20"/>
  <c r="AQ27" i="20"/>
  <c r="AI27" i="20"/>
  <c r="AA27" i="20"/>
  <c r="S27" i="20"/>
  <c r="AY26" i="20"/>
  <c r="AQ26" i="20"/>
  <c r="AI26" i="20"/>
  <c r="AA26" i="20"/>
  <c r="S26" i="20"/>
  <c r="AV27" i="20"/>
  <c r="AN27" i="20"/>
  <c r="AF27" i="20"/>
  <c r="X27" i="20"/>
  <c r="P27" i="20"/>
  <c r="AV26" i="20"/>
  <c r="AN26" i="20"/>
  <c r="AF26" i="20"/>
  <c r="X26" i="20"/>
  <c r="P26" i="20"/>
  <c r="AT27" i="20"/>
  <c r="AL27" i="20"/>
  <c r="AD27" i="20"/>
  <c r="V27" i="20"/>
  <c r="N27" i="20"/>
  <c r="AT26" i="20"/>
  <c r="AL26" i="20"/>
  <c r="AD26" i="20"/>
  <c r="V26" i="20"/>
  <c r="N26" i="20"/>
  <c r="AS27" i="20"/>
  <c r="AK27" i="20"/>
  <c r="AC27" i="20"/>
  <c r="U27" i="20"/>
  <c r="M27" i="20"/>
  <c r="AS26" i="20"/>
  <c r="AK26" i="20"/>
  <c r="AC26" i="20"/>
  <c r="U26" i="20"/>
  <c r="M26" i="20"/>
  <c r="AP27" i="20"/>
  <c r="Z27" i="20"/>
  <c r="AX26" i="20"/>
  <c r="AH26" i="20"/>
  <c r="R26" i="20"/>
  <c r="AO27" i="20"/>
  <c r="Y27" i="20"/>
  <c r="AW26" i="20"/>
  <c r="AG26" i="20"/>
  <c r="Q26" i="20"/>
  <c r="AM27" i="20"/>
  <c r="W27" i="20"/>
  <c r="AU26" i="20"/>
  <c r="AE26" i="20"/>
  <c r="O26" i="20"/>
  <c r="AJ27" i="20"/>
  <c r="T27" i="20"/>
  <c r="AR26" i="20"/>
  <c r="AB26" i="20"/>
  <c r="L26" i="20"/>
  <c r="L28" i="20" s="1"/>
  <c r="AX27" i="20"/>
  <c r="AH27" i="20"/>
  <c r="R27" i="20"/>
  <c r="AP26" i="20"/>
  <c r="Z26" i="20"/>
  <c r="AW27" i="20"/>
  <c r="AG27" i="20"/>
  <c r="Q27" i="20"/>
  <c r="AO26" i="20"/>
  <c r="Y26" i="20"/>
  <c r="AU27" i="20"/>
  <c r="AE27" i="20"/>
  <c r="O27" i="20"/>
  <c r="AM26" i="20"/>
  <c r="W26" i="20"/>
  <c r="AR27" i="20"/>
  <c r="AB27" i="20"/>
  <c r="L27" i="20"/>
  <c r="AJ26" i="20"/>
  <c r="T26" i="20"/>
  <c r="AU60" i="20"/>
  <c r="BA60" i="20"/>
  <c r="AX60" i="20"/>
  <c r="AW60" i="20"/>
  <c r="AS60" i="20"/>
  <c r="AK60" i="20"/>
  <c r="AC60" i="20"/>
  <c r="BB59" i="20"/>
  <c r="AT59" i="20"/>
  <c r="AL59" i="20"/>
  <c r="AD59" i="20"/>
  <c r="AR60" i="20"/>
  <c r="AJ60" i="20"/>
  <c r="AB60" i="20"/>
  <c r="BA59" i="20"/>
  <c r="AS59" i="20"/>
  <c r="AK59" i="20"/>
  <c r="AC59" i="20"/>
  <c r="BB60" i="20"/>
  <c r="AP60" i="20"/>
  <c r="AH60" i="20"/>
  <c r="Z60" i="20"/>
  <c r="AY59" i="20"/>
  <c r="AQ59" i="20"/>
  <c r="AI59" i="20"/>
  <c r="AA59" i="20"/>
  <c r="AZ60" i="20"/>
  <c r="AO60" i="20"/>
  <c r="AG60" i="20"/>
  <c r="Y60" i="20"/>
  <c r="AX59" i="20"/>
  <c r="AP59" i="20"/>
  <c r="AH59" i="20"/>
  <c r="Z59" i="20"/>
  <c r="AY60" i="20"/>
  <c r="AN60" i="20"/>
  <c r="AF60" i="20"/>
  <c r="X60" i="20"/>
  <c r="AW59" i="20"/>
  <c r="AO59" i="20"/>
  <c r="AG59" i="20"/>
  <c r="Y59" i="20"/>
  <c r="AV60" i="20"/>
  <c r="AM60" i="20"/>
  <c r="AE60" i="20"/>
  <c r="W60" i="20"/>
  <c r="AV59" i="20"/>
  <c r="AN59" i="20"/>
  <c r="AF59" i="20"/>
  <c r="X59" i="20"/>
  <c r="AI60" i="20"/>
  <c r="AJ59" i="20"/>
  <c r="AD60" i="20"/>
  <c r="AE59" i="20"/>
  <c r="W59" i="20"/>
  <c r="W61" i="20" s="1"/>
  <c r="AT60" i="20"/>
  <c r="AU59" i="20"/>
  <c r="AQ60" i="20"/>
  <c r="AR59" i="20"/>
  <c r="AL60" i="20"/>
  <c r="AA60" i="20"/>
  <c r="AZ59" i="20"/>
  <c r="AM59" i="20"/>
  <c r="AB59" i="20"/>
  <c r="AU130" i="20"/>
  <c r="AV130" i="20" s="1"/>
  <c r="AW130" i="20" s="1"/>
  <c r="AX130" i="20" s="1"/>
  <c r="AY130" i="20" s="1"/>
  <c r="AZ130" i="20" s="1"/>
  <c r="BA130" i="20" s="1"/>
  <c r="BB130" i="20" s="1"/>
  <c r="AQ118" i="20"/>
  <c r="AR118" i="20" s="1"/>
  <c r="AS118" i="20" s="1"/>
  <c r="AT118" i="20" s="1"/>
  <c r="AU118" i="20" s="1"/>
  <c r="AV118" i="20" s="1"/>
  <c r="AW118" i="20" s="1"/>
  <c r="AX118" i="20" s="1"/>
  <c r="AY118" i="20" s="1"/>
  <c r="AZ118" i="20" s="1"/>
  <c r="BA118" i="20" s="1"/>
  <c r="BB118" i="20" s="1"/>
  <c r="AN9" i="20"/>
  <c r="AF9" i="20"/>
  <c r="X9" i="20"/>
  <c r="P9" i="20"/>
  <c r="H9" i="20"/>
  <c r="AN8" i="20"/>
  <c r="AF8" i="20"/>
  <c r="X8" i="20"/>
  <c r="P8" i="20"/>
  <c r="H8" i="20"/>
  <c r="H2" i="20" s="1"/>
  <c r="AM9" i="20"/>
  <c r="AE9" i="20"/>
  <c r="W9" i="20"/>
  <c r="O9" i="20"/>
  <c r="AM8" i="20"/>
  <c r="AE8" i="20"/>
  <c r="W8" i="20"/>
  <c r="O8" i="20"/>
  <c r="AL9" i="20"/>
  <c r="AD9" i="20"/>
  <c r="V9" i="20"/>
  <c r="N9" i="20"/>
  <c r="F9" i="20"/>
  <c r="F3" i="20" s="1"/>
  <c r="AL8" i="20"/>
  <c r="AD8" i="20"/>
  <c r="V8" i="20"/>
  <c r="N8" i="20"/>
  <c r="AR9" i="20"/>
  <c r="AJ9" i="20"/>
  <c r="AB9" i="20"/>
  <c r="T9" i="20"/>
  <c r="L9" i="20"/>
  <c r="AR8" i="20"/>
  <c r="AJ8" i="20"/>
  <c r="AB8" i="20"/>
  <c r="T8" i="20"/>
  <c r="L8" i="20"/>
  <c r="AQ9" i="20"/>
  <c r="AI9" i="20"/>
  <c r="AA9" i="20"/>
  <c r="S9" i="20"/>
  <c r="K9" i="20"/>
  <c r="AQ8" i="20"/>
  <c r="AI8" i="20"/>
  <c r="AA8" i="20"/>
  <c r="S8" i="20"/>
  <c r="K8" i="20"/>
  <c r="AP9" i="20"/>
  <c r="AH9" i="20"/>
  <c r="Z9" i="20"/>
  <c r="R9" i="20"/>
  <c r="J9" i="20"/>
  <c r="AP8" i="20"/>
  <c r="AH8" i="20"/>
  <c r="Z8" i="20"/>
  <c r="R8" i="20"/>
  <c r="J8" i="20"/>
  <c r="U9" i="20"/>
  <c r="AC8" i="20"/>
  <c r="AO9" i="20"/>
  <c r="Q9" i="20"/>
  <c r="Y8" i="20"/>
  <c r="I9" i="20"/>
  <c r="AS9" i="20"/>
  <c r="M9" i="20"/>
  <c r="U8" i="20"/>
  <c r="Q8" i="20"/>
  <c r="AK9" i="20"/>
  <c r="AS8" i="20"/>
  <c r="M8" i="20"/>
  <c r="AC9" i="20"/>
  <c r="AG9" i="20"/>
  <c r="AO8" i="20"/>
  <c r="I8" i="20"/>
  <c r="AK8" i="20"/>
  <c r="Y9" i="20"/>
  <c r="AG8" i="20"/>
  <c r="BA93" i="20"/>
  <c r="AS93" i="20"/>
  <c r="AK93" i="20"/>
  <c r="AY92" i="20"/>
  <c r="AQ92" i="20"/>
  <c r="AI92" i="20"/>
  <c r="AZ93" i="20"/>
  <c r="AR93" i="20"/>
  <c r="AJ93" i="20"/>
  <c r="AX92" i="20"/>
  <c r="AP92" i="20"/>
  <c r="AH92" i="20"/>
  <c r="AH94" i="20" s="1"/>
  <c r="AY93" i="20"/>
  <c r="AQ93" i="20"/>
  <c r="AI93" i="20"/>
  <c r="AW92" i="20"/>
  <c r="AO92" i="20"/>
  <c r="AX93" i="20"/>
  <c r="AP93" i="20"/>
  <c r="AH93" i="20"/>
  <c r="AV92" i="20"/>
  <c r="AN92" i="20"/>
  <c r="AN93" i="20"/>
  <c r="AT92" i="20"/>
  <c r="AM93" i="20"/>
  <c r="AS92" i="20"/>
  <c r="BB93" i="20"/>
  <c r="AL93" i="20"/>
  <c r="AR92" i="20"/>
  <c r="AU93" i="20"/>
  <c r="BA92" i="20"/>
  <c r="AK92" i="20"/>
  <c r="AT93" i="20"/>
  <c r="AZ92" i="20"/>
  <c r="AJ92" i="20"/>
  <c r="BB92" i="20"/>
  <c r="AU92" i="20"/>
  <c r="AL92" i="20"/>
  <c r="AW93" i="20"/>
  <c r="AV93" i="20"/>
  <c r="AO93" i="20"/>
  <c r="AM92" i="20"/>
  <c r="BB135" i="20"/>
  <c r="BB134" i="20"/>
  <c r="BA135" i="20"/>
  <c r="BA134" i="20"/>
  <c r="AZ135" i="20"/>
  <c r="AZ134" i="20"/>
  <c r="AW135" i="20"/>
  <c r="AW134" i="20"/>
  <c r="AY134" i="20"/>
  <c r="AX134" i="20"/>
  <c r="AV134" i="20"/>
  <c r="AY135" i="20"/>
  <c r="AX135" i="20"/>
  <c r="AV135" i="20"/>
  <c r="AU63" i="20"/>
  <c r="AM63" i="20"/>
  <c r="AE63" i="20"/>
  <c r="AU62" i="20"/>
  <c r="AM62" i="20"/>
  <c r="AE62" i="20"/>
  <c r="BB63" i="20"/>
  <c r="AT63" i="20"/>
  <c r="AL63" i="20"/>
  <c r="AD63" i="20"/>
  <c r="BB62" i="20"/>
  <c r="AT62" i="20"/>
  <c r="AL62" i="20"/>
  <c r="AD62" i="20"/>
  <c r="BA63" i="20"/>
  <c r="AS63" i="20"/>
  <c r="AK63" i="20"/>
  <c r="AC63" i="20"/>
  <c r="BA62" i="20"/>
  <c r="AS62" i="20"/>
  <c r="AK62" i="20"/>
  <c r="AC62" i="20"/>
  <c r="AX63" i="20"/>
  <c r="AP63" i="20"/>
  <c r="AH63" i="20"/>
  <c r="Z63" i="20"/>
  <c r="AX62" i="20"/>
  <c r="AP62" i="20"/>
  <c r="AH62" i="20"/>
  <c r="Z62" i="20"/>
  <c r="AW63" i="20"/>
  <c r="AO63" i="20"/>
  <c r="AG63" i="20"/>
  <c r="Y63" i="20"/>
  <c r="AW62" i="20"/>
  <c r="AO62" i="20"/>
  <c r="AG62" i="20"/>
  <c r="Y62" i="20"/>
  <c r="AN63" i="20"/>
  <c r="AY62" i="20"/>
  <c r="AB62" i="20"/>
  <c r="AJ63" i="20"/>
  <c r="AV62" i="20"/>
  <c r="AA62" i="20"/>
  <c r="AZ63" i="20"/>
  <c r="AF63" i="20"/>
  <c r="AQ62" i="20"/>
  <c r="AY63" i="20"/>
  <c r="AB63" i="20"/>
  <c r="AN62" i="20"/>
  <c r="AV63" i="20"/>
  <c r="AA63" i="20"/>
  <c r="AJ62" i="20"/>
  <c r="AR63" i="20"/>
  <c r="X63" i="20"/>
  <c r="AI62" i="20"/>
  <c r="AI63" i="20"/>
  <c r="AZ62" i="20"/>
  <c r="AF62" i="20"/>
  <c r="AQ63" i="20"/>
  <c r="AR62" i="20"/>
  <c r="X62" i="20"/>
  <c r="X64" i="20" s="1"/>
  <c r="AY96" i="20"/>
  <c r="AQ96" i="20"/>
  <c r="AI96" i="20"/>
  <c r="AV95" i="20"/>
  <c r="AN95" i="20"/>
  <c r="AX96" i="20"/>
  <c r="AP96" i="20"/>
  <c r="AU95" i="20"/>
  <c r="AM95" i="20"/>
  <c r="AW96" i="20"/>
  <c r="AO96" i="20"/>
  <c r="BB95" i="20"/>
  <c r="AT95" i="20"/>
  <c r="AL95" i="20"/>
  <c r="AV96" i="20"/>
  <c r="AN96" i="20"/>
  <c r="BA95" i="20"/>
  <c r="AS95" i="20"/>
  <c r="AK95" i="20"/>
  <c r="AT96" i="20"/>
  <c r="AY95" i="20"/>
  <c r="AI95" i="20"/>
  <c r="AI97" i="20" s="1"/>
  <c r="AS96" i="20"/>
  <c r="AX95" i="20"/>
  <c r="AR96" i="20"/>
  <c r="AW95" i="20"/>
  <c r="BA96" i="20"/>
  <c r="AK96" i="20"/>
  <c r="AP95" i="20"/>
  <c r="AZ96" i="20"/>
  <c r="AJ96" i="20"/>
  <c r="AO95" i="20"/>
  <c r="AZ95" i="20"/>
  <c r="AR95" i="20"/>
  <c r="AJ95" i="20"/>
  <c r="BB96" i="20"/>
  <c r="AU96" i="20"/>
  <c r="AM96" i="20"/>
  <c r="AL96" i="20"/>
  <c r="AQ95" i="20"/>
  <c r="I16" i="20"/>
  <c r="J16" i="20" s="1"/>
  <c r="K16" i="20" s="1"/>
  <c r="L16" i="20" s="1"/>
  <c r="M16" i="20" s="1"/>
  <c r="N16" i="20" s="1"/>
  <c r="O16" i="20" s="1"/>
  <c r="P16" i="20" s="1"/>
  <c r="Q16" i="20" s="1"/>
  <c r="R16" i="20" s="1"/>
  <c r="S16" i="20" s="1"/>
  <c r="T16" i="20" s="1"/>
  <c r="U16" i="20" s="1"/>
  <c r="V16" i="20" s="1"/>
  <c r="W16" i="20" s="1"/>
  <c r="X16" i="20" s="1"/>
  <c r="Y16" i="20" s="1"/>
  <c r="Z16" i="20" s="1"/>
  <c r="AA16" i="20" s="1"/>
  <c r="AB16" i="20" s="1"/>
  <c r="AC16" i="20" s="1"/>
  <c r="AD16" i="20" s="1"/>
  <c r="AE16" i="20" s="1"/>
  <c r="AF16" i="20" s="1"/>
  <c r="AG16" i="20" s="1"/>
  <c r="AH16" i="20" s="1"/>
  <c r="AI16" i="20" s="1"/>
  <c r="AJ16" i="20" s="1"/>
  <c r="AK16" i="20" s="1"/>
  <c r="AL16" i="20" s="1"/>
  <c r="AM16" i="20" s="1"/>
  <c r="AN16" i="20" s="1"/>
  <c r="AO16" i="20" s="1"/>
  <c r="AP16" i="20" s="1"/>
  <c r="AQ16" i="20" s="1"/>
  <c r="AR16" i="20" s="1"/>
  <c r="AS16" i="20" s="1"/>
  <c r="AT16" i="20" s="1"/>
  <c r="AU16" i="20" s="1"/>
  <c r="W58" i="20"/>
  <c r="X58" i="20" s="1"/>
  <c r="Y58" i="20" s="1"/>
  <c r="Z58" i="20" s="1"/>
  <c r="AA58" i="20" s="1"/>
  <c r="AB58" i="20" s="1"/>
  <c r="AC58" i="20" s="1"/>
  <c r="AD58" i="20" s="1"/>
  <c r="AE58" i="20" s="1"/>
  <c r="AF58" i="20" s="1"/>
  <c r="AG58" i="20" s="1"/>
  <c r="AH58" i="20" s="1"/>
  <c r="AI58" i="20" s="1"/>
  <c r="AJ58" i="20" s="1"/>
  <c r="AK58" i="20" s="1"/>
  <c r="AL58" i="20" s="1"/>
  <c r="AM58" i="20" s="1"/>
  <c r="AN58" i="20" s="1"/>
  <c r="AO58" i="20" s="1"/>
  <c r="AP58" i="20" s="1"/>
  <c r="AQ58" i="20" s="1"/>
  <c r="AR58" i="20" s="1"/>
  <c r="AS58" i="20" s="1"/>
  <c r="AT58" i="20" s="1"/>
  <c r="AU58" i="20" s="1"/>
  <c r="AV58" i="20" s="1"/>
  <c r="AW58" i="20" s="1"/>
  <c r="AX58" i="20" s="1"/>
  <c r="AY58" i="20" s="1"/>
  <c r="AZ58" i="20" s="1"/>
  <c r="BA58" i="20" s="1"/>
  <c r="BB58" i="20" s="1"/>
  <c r="AU132" i="20"/>
  <c r="AV131" i="20"/>
  <c r="BB132" i="20"/>
  <c r="AU131" i="20"/>
  <c r="AU133" i="20" s="1"/>
  <c r="BA132" i="20"/>
  <c r="BB131" i="20"/>
  <c r="AZ132" i="20"/>
  <c r="BA131" i="20"/>
  <c r="AW132" i="20"/>
  <c r="AX131" i="20"/>
  <c r="AW131" i="20"/>
  <c r="AV132" i="20"/>
  <c r="AZ131" i="20"/>
  <c r="AY132" i="20"/>
  <c r="AX132" i="20"/>
  <c r="AY131" i="20"/>
  <c r="AY99" i="20"/>
  <c r="AQ99" i="20"/>
  <c r="AU98" i="20"/>
  <c r="AM98" i="20"/>
  <c r="AX99" i="20"/>
  <c r="AP99" i="20"/>
  <c r="BB98" i="20"/>
  <c r="AT98" i="20"/>
  <c r="AL98" i="20"/>
  <c r="AW99" i="20"/>
  <c r="AO99" i="20"/>
  <c r="BA98" i="20"/>
  <c r="AS98" i="20"/>
  <c r="AK98" i="20"/>
  <c r="AV99" i="20"/>
  <c r="AN99" i="20"/>
  <c r="AZ98" i="20"/>
  <c r="AR98" i="20"/>
  <c r="AJ98" i="20"/>
  <c r="AJ100" i="20" s="1"/>
  <c r="BB99" i="20"/>
  <c r="AL99" i="20"/>
  <c r="AP98" i="20"/>
  <c r="BA99" i="20"/>
  <c r="AK99" i="20"/>
  <c r="AO98" i="20"/>
  <c r="AZ99" i="20"/>
  <c r="AJ99" i="20"/>
  <c r="AN98" i="20"/>
  <c r="AS99" i="20"/>
  <c r="AW98" i="20"/>
  <c r="AR99" i="20"/>
  <c r="AV98" i="20"/>
  <c r="AY98" i="20"/>
  <c r="AX98" i="20"/>
  <c r="AU99" i="20"/>
  <c r="AT99" i="20"/>
  <c r="AM99" i="20"/>
  <c r="AQ98" i="20"/>
  <c r="AY123" i="20"/>
  <c r="AU122" i="20"/>
  <c r="AX123" i="20"/>
  <c r="BB122" i="20"/>
  <c r="AT122" i="20"/>
  <c r="AW123" i="20"/>
  <c r="BA122" i="20"/>
  <c r="AS122" i="20"/>
  <c r="AV123" i="20"/>
  <c r="AZ122" i="20"/>
  <c r="AR122" i="20"/>
  <c r="AR124" i="20" s="1"/>
  <c r="BA123" i="20"/>
  <c r="AS123" i="20"/>
  <c r="AW122" i="20"/>
  <c r="AV122" i="20"/>
  <c r="BB123" i="20"/>
  <c r="AZ123" i="20"/>
  <c r="AR123" i="20"/>
  <c r="AY122" i="20"/>
  <c r="AU123" i="20"/>
  <c r="AX122" i="20"/>
  <c r="AT123" i="20"/>
  <c r="AV84" i="20"/>
  <c r="AN84" i="20"/>
  <c r="AF84" i="20"/>
  <c r="AW83" i="20"/>
  <c r="AO83" i="20"/>
  <c r="AG83" i="20"/>
  <c r="AU84" i="20"/>
  <c r="AM84" i="20"/>
  <c r="AE84" i="20"/>
  <c r="AV83" i="20"/>
  <c r="AN83" i="20"/>
  <c r="AF83" i="20"/>
  <c r="BB84" i="20"/>
  <c r="AT84" i="20"/>
  <c r="AL84" i="20"/>
  <c r="AU83" i="20"/>
  <c r="AM83" i="20"/>
  <c r="AE83" i="20"/>
  <c r="AE85" i="20" s="1"/>
  <c r="BA84" i="20"/>
  <c r="AS84" i="20"/>
  <c r="AK84" i="20"/>
  <c r="BB83" i="20"/>
  <c r="AT83" i="20"/>
  <c r="AL83" i="20"/>
  <c r="AY84" i="20"/>
  <c r="AI84" i="20"/>
  <c r="AR83" i="20"/>
  <c r="AX84" i="20"/>
  <c r="AH84" i="20"/>
  <c r="AQ83" i="20"/>
  <c r="AW84" i="20"/>
  <c r="AG84" i="20"/>
  <c r="AP83" i="20"/>
  <c r="AP84" i="20"/>
  <c r="AY83" i="20"/>
  <c r="AI83" i="20"/>
  <c r="AO84" i="20"/>
  <c r="AX83" i="20"/>
  <c r="AH83" i="20"/>
  <c r="AQ84" i="20"/>
  <c r="AJ84" i="20"/>
  <c r="AZ83" i="20"/>
  <c r="AS83" i="20"/>
  <c r="AK83" i="20"/>
  <c r="AZ84" i="20"/>
  <c r="AJ83" i="20"/>
  <c r="AR84" i="20"/>
  <c r="BA83" i="20"/>
  <c r="K22" i="20"/>
  <c r="L22" i="20" s="1"/>
  <c r="M22" i="20" s="1"/>
  <c r="N22" i="20" s="1"/>
  <c r="O22" i="20" s="1"/>
  <c r="P22" i="20" s="1"/>
  <c r="Q22" i="20" s="1"/>
  <c r="R22" i="20" s="1"/>
  <c r="S22" i="20" s="1"/>
  <c r="T22" i="20" s="1"/>
  <c r="U22" i="20" s="1"/>
  <c r="V22" i="20" s="1"/>
  <c r="W22" i="20" s="1"/>
  <c r="X22" i="20" s="1"/>
  <c r="Y22" i="20" s="1"/>
  <c r="Z22" i="20" s="1"/>
  <c r="AA22" i="20" s="1"/>
  <c r="AB22" i="20" s="1"/>
  <c r="AC22" i="20" s="1"/>
  <c r="AD22" i="20" s="1"/>
  <c r="AE22" i="20" s="1"/>
  <c r="AF22" i="20" s="1"/>
  <c r="AG22" i="20" s="1"/>
  <c r="AH22" i="20" s="1"/>
  <c r="AI22" i="20" s="1"/>
  <c r="AJ22" i="20" s="1"/>
  <c r="AK22" i="20" s="1"/>
  <c r="AL22" i="20" s="1"/>
  <c r="AM22" i="20" s="1"/>
  <c r="AN22" i="20" s="1"/>
  <c r="AO22" i="20" s="1"/>
  <c r="AP22" i="20" s="1"/>
  <c r="AQ22" i="20" s="1"/>
  <c r="AR22" i="20" s="1"/>
  <c r="AS22" i="20" s="1"/>
  <c r="AT22" i="20" s="1"/>
  <c r="AU22" i="20" s="1"/>
  <c r="AV22" i="20" s="1"/>
  <c r="AW22" i="20" s="1"/>
  <c r="AX24" i="20"/>
  <c r="AP24" i="20"/>
  <c r="AH24" i="20"/>
  <c r="Z24" i="20"/>
  <c r="AU24" i="20"/>
  <c r="AM24" i="20"/>
  <c r="AE24" i="20"/>
  <c r="AS24" i="20"/>
  <c r="AR24" i="20"/>
  <c r="AO24" i="20"/>
  <c r="AD24" i="20"/>
  <c r="U24" i="20"/>
  <c r="M24" i="20"/>
  <c r="AS23" i="20"/>
  <c r="AK23" i="20"/>
  <c r="AC23" i="20"/>
  <c r="U23" i="20"/>
  <c r="M23" i="20"/>
  <c r="AN24" i="20"/>
  <c r="AC24" i="20"/>
  <c r="T24" i="20"/>
  <c r="L24" i="20"/>
  <c r="AR23" i="20"/>
  <c r="AJ23" i="20"/>
  <c r="AB23" i="20"/>
  <c r="T23" i="20"/>
  <c r="L23" i="20"/>
  <c r="AL24" i="20"/>
  <c r="AB24" i="20"/>
  <c r="S24" i="20"/>
  <c r="K24" i="20"/>
  <c r="AQ23" i="20"/>
  <c r="AI23" i="20"/>
  <c r="AA23" i="20"/>
  <c r="S23" i="20"/>
  <c r="K23" i="20"/>
  <c r="K25" i="20" s="1"/>
  <c r="AK24" i="20"/>
  <c r="AA24" i="20"/>
  <c r="R24" i="20"/>
  <c r="AX23" i="20"/>
  <c r="AP23" i="20"/>
  <c r="AH23" i="20"/>
  <c r="Z23" i="20"/>
  <c r="R23" i="20"/>
  <c r="AW24" i="20"/>
  <c r="AJ24" i="20"/>
  <c r="Y24" i="20"/>
  <c r="Q24" i="20"/>
  <c r="AW23" i="20"/>
  <c r="AO23" i="20"/>
  <c r="AG23" i="20"/>
  <c r="Y23" i="20"/>
  <c r="Q23" i="20"/>
  <c r="AV24" i="20"/>
  <c r="AI24" i="20"/>
  <c r="X24" i="20"/>
  <c r="P24" i="20"/>
  <c r="AV23" i="20"/>
  <c r="AN23" i="20"/>
  <c r="AF23" i="20"/>
  <c r="X23" i="20"/>
  <c r="P23" i="20"/>
  <c r="AT24" i="20"/>
  <c r="AG24" i="20"/>
  <c r="W24" i="20"/>
  <c r="O24" i="20"/>
  <c r="AU23" i="20"/>
  <c r="AM23" i="20"/>
  <c r="AE23" i="20"/>
  <c r="W23" i="20"/>
  <c r="O23" i="20"/>
  <c r="AQ24" i="20"/>
  <c r="AF24" i="20"/>
  <c r="V24" i="20"/>
  <c r="N24" i="20"/>
  <c r="AT23" i="20"/>
  <c r="AL23" i="20"/>
  <c r="AD23" i="20"/>
  <c r="V23" i="20"/>
  <c r="N23" i="20"/>
  <c r="AU108" i="20"/>
  <c r="AM108" i="20"/>
  <c r="AV107" i="20"/>
  <c r="AN107" i="20"/>
  <c r="BB108" i="20"/>
  <c r="AT108" i="20"/>
  <c r="AU107" i="20"/>
  <c r="AM107" i="20"/>
  <c r="AM109" i="20" s="1"/>
  <c r="BA108" i="20"/>
  <c r="AS108" i="20"/>
  <c r="BB107" i="20"/>
  <c r="AT107" i="20"/>
  <c r="AZ108" i="20"/>
  <c r="AR108" i="20"/>
  <c r="BA107" i="20"/>
  <c r="AS107" i="20"/>
  <c r="AW108" i="20"/>
  <c r="AO108" i="20"/>
  <c r="AX107" i="20"/>
  <c r="AP107" i="20"/>
  <c r="AV108" i="20"/>
  <c r="AQ107" i="20"/>
  <c r="AQ108" i="20"/>
  <c r="AO107" i="20"/>
  <c r="AP108" i="20"/>
  <c r="AY107" i="20"/>
  <c r="AY108" i="20"/>
  <c r="AW107" i="20"/>
  <c r="AR107" i="20"/>
  <c r="AX108" i="20"/>
  <c r="AN108" i="20"/>
  <c r="AZ107" i="20"/>
  <c r="AY45" i="20"/>
  <c r="AQ45" i="20"/>
  <c r="AI45" i="20"/>
  <c r="AA45" i="20"/>
  <c r="S45" i="20"/>
  <c r="AW44" i="20"/>
  <c r="AO44" i="20"/>
  <c r="AG44" i="20"/>
  <c r="Y44" i="20"/>
  <c r="AX45" i="20"/>
  <c r="AP45" i="20"/>
  <c r="AH45" i="20"/>
  <c r="Z45" i="20"/>
  <c r="R45" i="20"/>
  <c r="AV44" i="20"/>
  <c r="AN44" i="20"/>
  <c r="AF44" i="20"/>
  <c r="X44" i="20"/>
  <c r="AV45" i="20"/>
  <c r="AN45" i="20"/>
  <c r="AF45" i="20"/>
  <c r="X45" i="20"/>
  <c r="BB44" i="20"/>
  <c r="AT44" i="20"/>
  <c r="AL44" i="20"/>
  <c r="AD44" i="20"/>
  <c r="V44" i="20"/>
  <c r="AU45" i="20"/>
  <c r="AM45" i="20"/>
  <c r="AE45" i="20"/>
  <c r="W45" i="20"/>
  <c r="BA44" i="20"/>
  <c r="AS44" i="20"/>
  <c r="AK44" i="20"/>
  <c r="AC44" i="20"/>
  <c r="U44" i="20"/>
  <c r="BB45" i="20"/>
  <c r="AT45" i="20"/>
  <c r="BA45" i="20"/>
  <c r="AS45" i="20"/>
  <c r="AK45" i="20"/>
  <c r="U45" i="20"/>
  <c r="AQ44" i="20"/>
  <c r="AA44" i="20"/>
  <c r="AJ45" i="20"/>
  <c r="T45" i="20"/>
  <c r="AP44" i="20"/>
  <c r="Z44" i="20"/>
  <c r="AZ45" i="20"/>
  <c r="AD45" i="20"/>
  <c r="AZ44" i="20"/>
  <c r="AJ44" i="20"/>
  <c r="T44" i="20"/>
  <c r="AR45" i="20"/>
  <c r="AB45" i="20"/>
  <c r="AX44" i="20"/>
  <c r="AH44" i="20"/>
  <c r="R44" i="20"/>
  <c r="R46" i="20" s="1"/>
  <c r="AO45" i="20"/>
  <c r="Y45" i="20"/>
  <c r="AU44" i="20"/>
  <c r="AE44" i="20"/>
  <c r="AY44" i="20"/>
  <c r="AR44" i="20"/>
  <c r="AW45" i="20"/>
  <c r="AM44" i="20"/>
  <c r="AL45" i="20"/>
  <c r="AI44" i="20"/>
  <c r="AG45" i="20"/>
  <c r="AB44" i="20"/>
  <c r="AC45" i="20"/>
  <c r="W44" i="20"/>
  <c r="V45" i="20"/>
  <c r="S44" i="20"/>
  <c r="BB146" i="20"/>
  <c r="BA146" i="20"/>
  <c r="AZ146" i="20"/>
  <c r="BA147" i="20"/>
  <c r="AZ147" i="20"/>
  <c r="BB147" i="20"/>
  <c r="AY120" i="20"/>
  <c r="AQ120" i="20"/>
  <c r="AV119" i="20"/>
  <c r="AX120" i="20"/>
  <c r="AU119" i="20"/>
  <c r="AW120" i="20"/>
  <c r="BB119" i="20"/>
  <c r="AT119" i="20"/>
  <c r="AV120" i="20"/>
  <c r="BA119" i="20"/>
  <c r="AS119" i="20"/>
  <c r="BA120" i="20"/>
  <c r="AS120" i="20"/>
  <c r="AX119" i="20"/>
  <c r="AY119" i="20"/>
  <c r="AW119" i="20"/>
  <c r="BB120" i="20"/>
  <c r="AR119" i="20"/>
  <c r="AT120" i="20"/>
  <c r="AR120" i="20"/>
  <c r="AZ120" i="20"/>
  <c r="AU120" i="20"/>
  <c r="AZ119" i="20"/>
  <c r="AQ119" i="20"/>
  <c r="AQ121" i="20" s="1"/>
  <c r="AQ18" i="20"/>
  <c r="AI18" i="20"/>
  <c r="AA18" i="20"/>
  <c r="S18" i="20"/>
  <c r="K18" i="20"/>
  <c r="AQ17" i="20"/>
  <c r="AI17" i="20"/>
  <c r="AA17" i="20"/>
  <c r="S17" i="20"/>
  <c r="K17" i="20"/>
  <c r="AP18" i="20"/>
  <c r="AH18" i="20"/>
  <c r="Z18" i="20"/>
  <c r="R18" i="20"/>
  <c r="J18" i="20"/>
  <c r="AP17" i="20"/>
  <c r="AH17" i="20"/>
  <c r="Z17" i="20"/>
  <c r="R17" i="20"/>
  <c r="J17" i="20"/>
  <c r="AO18" i="20"/>
  <c r="AG18" i="20"/>
  <c r="Y18" i="20"/>
  <c r="Q18" i="20"/>
  <c r="I18" i="20"/>
  <c r="AO17" i="20"/>
  <c r="AG17" i="20"/>
  <c r="Y17" i="20"/>
  <c r="Q17" i="20"/>
  <c r="I17" i="20"/>
  <c r="I19" i="20" s="1"/>
  <c r="AU18" i="20"/>
  <c r="AM18" i="20"/>
  <c r="AE18" i="20"/>
  <c r="W18" i="20"/>
  <c r="O18" i="20"/>
  <c r="AU17" i="20"/>
  <c r="AM17" i="20"/>
  <c r="AE17" i="20"/>
  <c r="W17" i="20"/>
  <c r="O17" i="20"/>
  <c r="AT18" i="20"/>
  <c r="AL18" i="20"/>
  <c r="AD18" i="20"/>
  <c r="V18" i="20"/>
  <c r="N18" i="20"/>
  <c r="AT17" i="20"/>
  <c r="AL17" i="20"/>
  <c r="AD17" i="20"/>
  <c r="V17" i="20"/>
  <c r="N17" i="20"/>
  <c r="AS18" i="20"/>
  <c r="AK18" i="20"/>
  <c r="AC18" i="20"/>
  <c r="U18" i="20"/>
  <c r="M18" i="20"/>
  <c r="AS17" i="20"/>
  <c r="AK17" i="20"/>
  <c r="AC17" i="20"/>
  <c r="U17" i="20"/>
  <c r="M17" i="20"/>
  <c r="AN18" i="20"/>
  <c r="AV17" i="20"/>
  <c r="P17" i="20"/>
  <c r="AB18" i="20"/>
  <c r="AJ18" i="20"/>
  <c r="AR17" i="20"/>
  <c r="L17" i="20"/>
  <c r="AF18" i="20"/>
  <c r="AN17" i="20"/>
  <c r="AJ17" i="20"/>
  <c r="X18" i="20"/>
  <c r="AF17" i="20"/>
  <c r="AV18" i="20"/>
  <c r="T18" i="20"/>
  <c r="AB17" i="20"/>
  <c r="P18" i="20"/>
  <c r="X17" i="20"/>
  <c r="AR18" i="20"/>
  <c r="L18" i="20"/>
  <c r="T17" i="20"/>
  <c r="BB42" i="20"/>
  <c r="AZ42" i="20"/>
  <c r="AY42" i="20"/>
  <c r="AW42" i="20"/>
  <c r="AO42" i="20"/>
  <c r="AG42" i="20"/>
  <c r="Y42" i="20"/>
  <c r="Q42" i="20"/>
  <c r="AV41" i="20"/>
  <c r="AN41" i="20"/>
  <c r="AF41" i="20"/>
  <c r="X41" i="20"/>
  <c r="AV42" i="20"/>
  <c r="AN42" i="20"/>
  <c r="AF42" i="20"/>
  <c r="X42" i="20"/>
  <c r="AU41" i="20"/>
  <c r="AM41" i="20"/>
  <c r="AE41" i="20"/>
  <c r="W41" i="20"/>
  <c r="AT42" i="20"/>
  <c r="AL42" i="20"/>
  <c r="AD42" i="20"/>
  <c r="V42" i="20"/>
  <c r="BA41" i="20"/>
  <c r="AS41" i="20"/>
  <c r="AK41" i="20"/>
  <c r="AC41" i="20"/>
  <c r="U41" i="20"/>
  <c r="AR42" i="20"/>
  <c r="AJ42" i="20"/>
  <c r="AB42" i="20"/>
  <c r="T42" i="20"/>
  <c r="AY41" i="20"/>
  <c r="AQ41" i="20"/>
  <c r="AI41" i="20"/>
  <c r="AA41" i="20"/>
  <c r="S41" i="20"/>
  <c r="BA42" i="20"/>
  <c r="AQ42" i="20"/>
  <c r="AI42" i="20"/>
  <c r="AA42" i="20"/>
  <c r="S42" i="20"/>
  <c r="AX41" i="20"/>
  <c r="AP41" i="20"/>
  <c r="AH41" i="20"/>
  <c r="Z41" i="20"/>
  <c r="R41" i="20"/>
  <c r="AX42" i="20"/>
  <c r="AC42" i="20"/>
  <c r="AT41" i="20"/>
  <c r="Y41" i="20"/>
  <c r="AU42" i="20"/>
  <c r="Z42" i="20"/>
  <c r="AR41" i="20"/>
  <c r="V41" i="20"/>
  <c r="AS42" i="20"/>
  <c r="W42" i="20"/>
  <c r="AO41" i="20"/>
  <c r="T41" i="20"/>
  <c r="AP42" i="20"/>
  <c r="U42" i="20"/>
  <c r="AL41" i="20"/>
  <c r="Q41" i="20"/>
  <c r="Q43" i="20" s="1"/>
  <c r="R43" i="20" s="1"/>
  <c r="AM42" i="20"/>
  <c r="R42" i="20"/>
  <c r="AJ41" i="20"/>
  <c r="AK42" i="20"/>
  <c r="BB41" i="20"/>
  <c r="AG41" i="20"/>
  <c r="AH42" i="20"/>
  <c r="AZ41" i="20"/>
  <c r="AD41" i="20"/>
  <c r="AE42" i="20"/>
  <c r="AW41" i="20"/>
  <c r="AB41" i="20"/>
  <c r="AW48" i="20"/>
  <c r="AO48" i="20"/>
  <c r="AG48" i="20"/>
  <c r="Y48" i="20"/>
  <c r="BB47" i="20"/>
  <c r="AT47" i="20"/>
  <c r="AL47" i="20"/>
  <c r="AD47" i="20"/>
  <c r="V47" i="20"/>
  <c r="AV48" i="20"/>
  <c r="AN48" i="20"/>
  <c r="AF48" i="20"/>
  <c r="X48" i="20"/>
  <c r="BA47" i="20"/>
  <c r="AS47" i="20"/>
  <c r="AK47" i="20"/>
  <c r="AC47" i="20"/>
  <c r="U47" i="20"/>
  <c r="BB48" i="20"/>
  <c r="AT48" i="20"/>
  <c r="AL48" i="20"/>
  <c r="AD48" i="20"/>
  <c r="V48" i="20"/>
  <c r="AY47" i="20"/>
  <c r="AQ47" i="20"/>
  <c r="AI47" i="20"/>
  <c r="AA47" i="20"/>
  <c r="S47" i="20"/>
  <c r="S49" i="20" s="1"/>
  <c r="BA48" i="20"/>
  <c r="AS48" i="20"/>
  <c r="AK48" i="20"/>
  <c r="AC48" i="20"/>
  <c r="U48" i="20"/>
  <c r="AX47" i="20"/>
  <c r="AP47" i="20"/>
  <c r="AH47" i="20"/>
  <c r="Z47" i="20"/>
  <c r="AZ48" i="20"/>
  <c r="AR48" i="20"/>
  <c r="AJ48" i="20"/>
  <c r="AB48" i="20"/>
  <c r="T48" i="20"/>
  <c r="AW47" i="20"/>
  <c r="AO47" i="20"/>
  <c r="AG47" i="20"/>
  <c r="Y47" i="20"/>
  <c r="AY48" i="20"/>
  <c r="AQ48" i="20"/>
  <c r="AI48" i="20"/>
  <c r="AA48" i="20"/>
  <c r="S48" i="20"/>
  <c r="AV47" i="20"/>
  <c r="AN47" i="20"/>
  <c r="AF47" i="20"/>
  <c r="X47" i="20"/>
  <c r="W48" i="20"/>
  <c r="AB47" i="20"/>
  <c r="AX48" i="20"/>
  <c r="W47" i="20"/>
  <c r="AP48" i="20"/>
  <c r="AU47" i="20"/>
  <c r="AH48" i="20"/>
  <c r="AM47" i="20"/>
  <c r="AE48" i="20"/>
  <c r="AJ47" i="20"/>
  <c r="AR47" i="20"/>
  <c r="AE47" i="20"/>
  <c r="T47" i="20"/>
  <c r="AU48" i="20"/>
  <c r="AM48" i="20"/>
  <c r="Z48" i="20"/>
  <c r="AZ47" i="20"/>
  <c r="AW66" i="20"/>
  <c r="AO66" i="20"/>
  <c r="AG66" i="20"/>
  <c r="Y66" i="20"/>
  <c r="AV65" i="20"/>
  <c r="AN65" i="20"/>
  <c r="AF65" i="20"/>
  <c r="AV66" i="20"/>
  <c r="AN66" i="20"/>
  <c r="AF66" i="20"/>
  <c r="AU65" i="20"/>
  <c r="AM65" i="20"/>
  <c r="AE65" i="20"/>
  <c r="AU66" i="20"/>
  <c r="AM66" i="20"/>
  <c r="AE66" i="20"/>
  <c r="BB65" i="20"/>
  <c r="AT65" i="20"/>
  <c r="AL65" i="20"/>
  <c r="AD65" i="20"/>
  <c r="AZ66" i="20"/>
  <c r="AR66" i="20"/>
  <c r="AJ66" i="20"/>
  <c r="AB66" i="20"/>
  <c r="AY65" i="20"/>
  <c r="AQ65" i="20"/>
  <c r="AI65" i="20"/>
  <c r="AA65" i="20"/>
  <c r="AY66" i="20"/>
  <c r="AQ66" i="20"/>
  <c r="AI66" i="20"/>
  <c r="AA66" i="20"/>
  <c r="AX65" i="20"/>
  <c r="AP65" i="20"/>
  <c r="AH65" i="20"/>
  <c r="Z65" i="20"/>
  <c r="AP66" i="20"/>
  <c r="AZ65" i="20"/>
  <c r="AC65" i="20"/>
  <c r="AL66" i="20"/>
  <c r="AW65" i="20"/>
  <c r="AB65" i="20"/>
  <c r="BB66" i="20"/>
  <c r="AH66" i="20"/>
  <c r="AR65" i="20"/>
  <c r="BA66" i="20"/>
  <c r="AD66" i="20"/>
  <c r="AO65" i="20"/>
  <c r="AX66" i="20"/>
  <c r="AC66" i="20"/>
  <c r="AK65" i="20"/>
  <c r="AT66" i="20"/>
  <c r="Z66" i="20"/>
  <c r="AJ65" i="20"/>
  <c r="AS66" i="20"/>
  <c r="BA65" i="20"/>
  <c r="AG65" i="20"/>
  <c r="Y65" i="20"/>
  <c r="Y67" i="20" s="1"/>
  <c r="AK66" i="20"/>
  <c r="AS65" i="20"/>
  <c r="BA78" i="20"/>
  <c r="AS78" i="20"/>
  <c r="AK78" i="20"/>
  <c r="AC78" i="20"/>
  <c r="AV77" i="20"/>
  <c r="AN77" i="20"/>
  <c r="AF77" i="20"/>
  <c r="AZ78" i="20"/>
  <c r="AR78" i="20"/>
  <c r="AJ78" i="20"/>
  <c r="AU77" i="20"/>
  <c r="AM77" i="20"/>
  <c r="AE77" i="20"/>
  <c r="AY78" i="20"/>
  <c r="AQ78" i="20"/>
  <c r="AI78" i="20"/>
  <c r="BB77" i="20"/>
  <c r="AT77" i="20"/>
  <c r="AL77" i="20"/>
  <c r="AD77" i="20"/>
  <c r="AV78" i="20"/>
  <c r="AN78" i="20"/>
  <c r="AF78" i="20"/>
  <c r="AY77" i="20"/>
  <c r="AQ77" i="20"/>
  <c r="AI77" i="20"/>
  <c r="AU78" i="20"/>
  <c r="AM78" i="20"/>
  <c r="AE78" i="20"/>
  <c r="AX77" i="20"/>
  <c r="AP77" i="20"/>
  <c r="AH77" i="20"/>
  <c r="AW78" i="20"/>
  <c r="BA77" i="20"/>
  <c r="AG77" i="20"/>
  <c r="AT78" i="20"/>
  <c r="AZ77" i="20"/>
  <c r="AC77" i="20"/>
  <c r="AC79" i="20" s="1"/>
  <c r="AO78" i="20"/>
  <c r="AS77" i="20"/>
  <c r="AL78" i="20"/>
  <c r="AR77" i="20"/>
  <c r="AH78" i="20"/>
  <c r="AO77" i="20"/>
  <c r="BB78" i="20"/>
  <c r="AG78" i="20"/>
  <c r="AK77" i="20"/>
  <c r="AX78" i="20"/>
  <c r="AD78" i="20"/>
  <c r="AW77" i="20"/>
  <c r="AP78" i="20"/>
  <c r="AJ77" i="20"/>
  <c r="AE82" i="20"/>
  <c r="AF82" i="20" s="1"/>
  <c r="AG82" i="20" s="1"/>
  <c r="AH82" i="20" s="1"/>
  <c r="AI82" i="20" s="1"/>
  <c r="AJ82" i="20" s="1"/>
  <c r="AK82" i="20" s="1"/>
  <c r="AL82" i="20" s="1"/>
  <c r="AM82" i="20" s="1"/>
  <c r="AN82" i="20" s="1"/>
  <c r="AO82" i="20" s="1"/>
  <c r="AP82" i="20" s="1"/>
  <c r="AQ82" i="20" s="1"/>
  <c r="AR82" i="20" s="1"/>
  <c r="AS82" i="20" s="1"/>
  <c r="AT82" i="20" s="1"/>
  <c r="AU82" i="20" s="1"/>
  <c r="AV82" i="20" s="1"/>
  <c r="AW82" i="20" s="1"/>
  <c r="AX82" i="20" s="1"/>
  <c r="AY82" i="20" s="1"/>
  <c r="AZ82" i="20" s="1"/>
  <c r="BA82" i="20" s="1"/>
  <c r="BB82" i="20" s="1"/>
  <c r="O70" i="17"/>
  <c r="O71" i="17"/>
  <c r="BF11" i="10"/>
  <c r="BF33" i="10" s="1"/>
  <c r="BF28" i="7"/>
  <c r="W26" i="7"/>
  <c r="W43" i="7"/>
  <c r="V42" i="7"/>
  <c r="V33" i="7"/>
  <c r="W34" i="7"/>
  <c r="M29" i="17"/>
  <c r="W33" i="6"/>
  <c r="M31" i="17"/>
  <c r="M38" i="17"/>
  <c r="W62" i="6"/>
  <c r="M59" i="17"/>
  <c r="M37" i="17"/>
  <c r="W10" i="6"/>
  <c r="M9" i="17"/>
  <c r="M30" i="17"/>
  <c r="M11" i="17"/>
  <c r="W12" i="6"/>
  <c r="W51" i="6"/>
  <c r="M48" i="17"/>
  <c r="M47" i="17"/>
  <c r="M46" i="17"/>
  <c r="M36" i="17"/>
  <c r="M25" i="17"/>
  <c r="W8" i="6"/>
  <c r="M8" i="17"/>
  <c r="W15" i="6"/>
  <c r="M13" i="17"/>
  <c r="M45" i="17"/>
  <c r="M33" i="17"/>
  <c r="W41" i="6"/>
  <c r="M39" i="17"/>
  <c r="M42" i="17"/>
  <c r="M41" i="17"/>
  <c r="V43" i="6"/>
  <c r="M40" i="17" s="1"/>
  <c r="M28" i="17"/>
  <c r="N105" i="6"/>
  <c r="N113" i="6" s="1"/>
  <c r="S100" i="6"/>
  <c r="W98" i="24" l="1"/>
  <c r="W96" i="24" s="1"/>
  <c r="W80" i="24" s="1"/>
  <c r="W100" i="24" s="1"/>
  <c r="W105" i="24" s="1"/>
  <c r="W113" i="24" s="1"/>
  <c r="W98" i="28"/>
  <c r="W96" i="28" s="1"/>
  <c r="W80" i="28" s="1"/>
  <c r="W100" i="28" s="1"/>
  <c r="W105" i="28" s="1"/>
  <c r="W113" i="28" s="1"/>
  <c r="U61" i="24"/>
  <c r="U59" i="24" s="1"/>
  <c r="U61" i="28"/>
  <c r="U59" i="28" s="1"/>
  <c r="Y64" i="20"/>
  <c r="Z64" i="20" s="1"/>
  <c r="AA64" i="20" s="1"/>
  <c r="AB64" i="20" s="1"/>
  <c r="AC64" i="20" s="1"/>
  <c r="AD64" i="20" s="1"/>
  <c r="AE64" i="20" s="1"/>
  <c r="AF64" i="20" s="1"/>
  <c r="AG64" i="20" s="1"/>
  <c r="AH64" i="20" s="1"/>
  <c r="AI64" i="20" s="1"/>
  <c r="AJ64" i="20" s="1"/>
  <c r="AK64" i="20" s="1"/>
  <c r="AL64" i="20" s="1"/>
  <c r="AM64" i="20" s="1"/>
  <c r="AN64" i="20" s="1"/>
  <c r="AO64" i="20" s="1"/>
  <c r="AP64" i="20" s="1"/>
  <c r="AQ64" i="20" s="1"/>
  <c r="AR64" i="20" s="1"/>
  <c r="AS64" i="20" s="1"/>
  <c r="AT64" i="20" s="1"/>
  <c r="AU64" i="20" s="1"/>
  <c r="AV64" i="20" s="1"/>
  <c r="AW64" i="20" s="1"/>
  <c r="AX64" i="20" s="1"/>
  <c r="AY64" i="20" s="1"/>
  <c r="AZ64" i="20" s="1"/>
  <c r="BA64" i="20" s="1"/>
  <c r="BB64" i="20" s="1"/>
  <c r="J3" i="20"/>
  <c r="X61" i="20"/>
  <c r="Y61" i="20" s="1"/>
  <c r="Z61" i="20" s="1"/>
  <c r="AA61" i="20" s="1"/>
  <c r="AB61" i="20" s="1"/>
  <c r="AC61" i="20" s="1"/>
  <c r="AD61" i="20" s="1"/>
  <c r="AE61" i="20" s="1"/>
  <c r="AF61" i="20" s="1"/>
  <c r="AG61" i="20" s="1"/>
  <c r="AH61" i="20" s="1"/>
  <c r="AI61" i="20" s="1"/>
  <c r="AJ61" i="20" s="1"/>
  <c r="AK61" i="20" s="1"/>
  <c r="AL61" i="20" s="1"/>
  <c r="AM61" i="20" s="1"/>
  <c r="AN61" i="20" s="1"/>
  <c r="AO61" i="20" s="1"/>
  <c r="AP61" i="20" s="1"/>
  <c r="AQ61" i="20" s="1"/>
  <c r="AR61" i="20" s="1"/>
  <c r="AS61" i="20" s="1"/>
  <c r="AT61" i="20" s="1"/>
  <c r="AU61" i="20" s="1"/>
  <c r="AV61" i="20" s="1"/>
  <c r="AW61" i="20" s="1"/>
  <c r="AX61" i="20" s="1"/>
  <c r="AY61" i="20" s="1"/>
  <c r="AZ61" i="20" s="1"/>
  <c r="BA61" i="20" s="1"/>
  <c r="BB61" i="20" s="1"/>
  <c r="U58" i="24"/>
  <c r="U24" i="24" s="1"/>
  <c r="U13" i="24"/>
  <c r="U11" i="24" s="1"/>
  <c r="U5" i="24" s="1"/>
  <c r="I2" i="20"/>
  <c r="K3" i="20"/>
  <c r="J2" i="20"/>
  <c r="Y98" i="28" s="1"/>
  <c r="Y96" i="28" s="1"/>
  <c r="Y80" i="28" s="1"/>
  <c r="Y100" i="28" s="1"/>
  <c r="Y105" i="28" s="1"/>
  <c r="Y113" i="28" s="1"/>
  <c r="BA2" i="20"/>
  <c r="BC9" i="11"/>
  <c r="BC6" i="11" s="1"/>
  <c r="BC21" i="11" s="1"/>
  <c r="BD7" i="8" s="1"/>
  <c r="BD6" i="8" s="1"/>
  <c r="BD8" i="11"/>
  <c r="BD9" i="11"/>
  <c r="BD7" i="11"/>
  <c r="BD7" i="10"/>
  <c r="BD32" i="10" s="1"/>
  <c r="BF29" i="6"/>
  <c r="BF28" i="8"/>
  <c r="BF36" i="8"/>
  <c r="BF36" i="6"/>
  <c r="BF28" i="6"/>
  <c r="BF37" i="6"/>
  <c r="BF35" i="8"/>
  <c r="BF27" i="8"/>
  <c r="BE6" i="10"/>
  <c r="BL8" i="12"/>
  <c r="BL21" i="12" s="1"/>
  <c r="S43" i="20"/>
  <c r="T43" i="20" s="1"/>
  <c r="U43" i="20" s="1"/>
  <c r="V43" i="20" s="1"/>
  <c r="W43" i="20" s="1"/>
  <c r="X43" i="20" s="1"/>
  <c r="Y43" i="20" s="1"/>
  <c r="Z43" i="20" s="1"/>
  <c r="AA43" i="20" s="1"/>
  <c r="AB43" i="20" s="1"/>
  <c r="AC43" i="20" s="1"/>
  <c r="AD43" i="20" s="1"/>
  <c r="AE43" i="20" s="1"/>
  <c r="AF43" i="20" s="1"/>
  <c r="AG43" i="20" s="1"/>
  <c r="AH43" i="20" s="1"/>
  <c r="AI43" i="20" s="1"/>
  <c r="AJ43" i="20" s="1"/>
  <c r="AK43" i="20" s="1"/>
  <c r="AL43" i="20" s="1"/>
  <c r="AM43" i="20" s="1"/>
  <c r="AN43" i="20" s="1"/>
  <c r="AO43" i="20" s="1"/>
  <c r="AP43" i="20" s="1"/>
  <c r="AQ43" i="20" s="1"/>
  <c r="AR43" i="20" s="1"/>
  <c r="AS43" i="20" s="1"/>
  <c r="AT43" i="20" s="1"/>
  <c r="AU43" i="20" s="1"/>
  <c r="AV43" i="20" s="1"/>
  <c r="AW43" i="20" s="1"/>
  <c r="AX43" i="20" s="1"/>
  <c r="AY43" i="20" s="1"/>
  <c r="AZ43" i="20" s="1"/>
  <c r="BA43" i="20" s="1"/>
  <c r="BB43" i="20" s="1"/>
  <c r="AW3" i="20"/>
  <c r="BA3" i="20"/>
  <c r="AW2" i="20"/>
  <c r="AU3" i="20"/>
  <c r="AV3" i="20"/>
  <c r="Q2" i="20"/>
  <c r="AU2" i="20"/>
  <c r="N2" i="20"/>
  <c r="AZ3" i="20"/>
  <c r="AT2" i="20"/>
  <c r="AF3" i="20"/>
  <c r="M3" i="20"/>
  <c r="AH3" i="20"/>
  <c r="S3" i="20"/>
  <c r="AR2" i="20"/>
  <c r="AD2" i="20"/>
  <c r="W2" i="20"/>
  <c r="P2" i="20"/>
  <c r="AN3" i="20"/>
  <c r="BB2" i="20"/>
  <c r="AT3" i="20"/>
  <c r="X26" i="8"/>
  <c r="R3" i="20"/>
  <c r="AL3" i="20"/>
  <c r="U3" i="20"/>
  <c r="V2" i="20"/>
  <c r="AY2" i="20"/>
  <c r="AV2" i="20"/>
  <c r="AG3" i="20"/>
  <c r="AS3" i="20"/>
  <c r="R2" i="20"/>
  <c r="AP3" i="20"/>
  <c r="AA3" i="20"/>
  <c r="L3" i="20"/>
  <c r="AL2" i="20"/>
  <c r="AE2" i="20"/>
  <c r="X2" i="20"/>
  <c r="AZ2" i="20"/>
  <c r="AX3" i="20"/>
  <c r="AK2" i="20"/>
  <c r="AC2" i="20"/>
  <c r="AM3" i="20"/>
  <c r="U2" i="20"/>
  <c r="AC3" i="20"/>
  <c r="I3" i="20"/>
  <c r="Z2" i="20"/>
  <c r="K2" i="20"/>
  <c r="AI3" i="20"/>
  <c r="T3" i="20"/>
  <c r="AM2" i="20"/>
  <c r="AF2" i="20"/>
  <c r="G3" i="20"/>
  <c r="AQ2" i="20"/>
  <c r="AB2" i="20"/>
  <c r="AX2" i="20"/>
  <c r="Z3" i="20"/>
  <c r="AJ2" i="20"/>
  <c r="O2" i="20"/>
  <c r="AO2" i="20"/>
  <c r="M2" i="20"/>
  <c r="Y2" i="20"/>
  <c r="AH2" i="20"/>
  <c r="S2" i="20"/>
  <c r="AQ3" i="20"/>
  <c r="AB3" i="20"/>
  <c r="N3" i="20"/>
  <c r="O3" i="20"/>
  <c r="AN2" i="20"/>
  <c r="AB73" i="20"/>
  <c r="AC73" i="20" s="1"/>
  <c r="AD73" i="20" s="1"/>
  <c r="AE73" i="20" s="1"/>
  <c r="AF73" i="20" s="1"/>
  <c r="AG73" i="20" s="1"/>
  <c r="AH73" i="20" s="1"/>
  <c r="AI73" i="20" s="1"/>
  <c r="AJ73" i="20" s="1"/>
  <c r="AK73" i="20" s="1"/>
  <c r="AL73" i="20" s="1"/>
  <c r="AM73" i="20" s="1"/>
  <c r="AN73" i="20" s="1"/>
  <c r="AO73" i="20" s="1"/>
  <c r="AP73" i="20" s="1"/>
  <c r="AQ73" i="20" s="1"/>
  <c r="AR73" i="20" s="1"/>
  <c r="AS73" i="20" s="1"/>
  <c r="AT73" i="20" s="1"/>
  <c r="AU73" i="20" s="1"/>
  <c r="AV73" i="20" s="1"/>
  <c r="AW73" i="20" s="1"/>
  <c r="AX73" i="20" s="1"/>
  <c r="AY73" i="20" s="1"/>
  <c r="AZ73" i="20" s="1"/>
  <c r="BA73" i="20" s="1"/>
  <c r="BB73" i="20" s="1"/>
  <c r="G2" i="20"/>
  <c r="X34" i="8"/>
  <c r="X43" i="8"/>
  <c r="W42" i="8"/>
  <c r="X3" i="20"/>
  <c r="AG2" i="20"/>
  <c r="AS2" i="20"/>
  <c r="Q3" i="20"/>
  <c r="AP2" i="20"/>
  <c r="AA2" i="20"/>
  <c r="L2" i="20"/>
  <c r="AJ3" i="20"/>
  <c r="V3" i="20"/>
  <c r="W3" i="20"/>
  <c r="H3" i="20"/>
  <c r="AY3" i="20"/>
  <c r="Y3" i="20"/>
  <c r="AK3" i="20"/>
  <c r="AO3" i="20"/>
  <c r="AI2" i="20"/>
  <c r="T2" i="20"/>
  <c r="AR3" i="20"/>
  <c r="AD3" i="20"/>
  <c r="AE3" i="20"/>
  <c r="P3" i="20"/>
  <c r="BB3" i="20"/>
  <c r="AG88" i="20"/>
  <c r="AH88" i="20" s="1"/>
  <c r="AI88" i="20" s="1"/>
  <c r="AJ88" i="20" s="1"/>
  <c r="AK88" i="20" s="1"/>
  <c r="AL88" i="20" s="1"/>
  <c r="AM88" i="20" s="1"/>
  <c r="AN88" i="20" s="1"/>
  <c r="AO88" i="20" s="1"/>
  <c r="AP88" i="20" s="1"/>
  <c r="AQ88" i="20" s="1"/>
  <c r="AR88" i="20" s="1"/>
  <c r="AS88" i="20" s="1"/>
  <c r="AT88" i="20" s="1"/>
  <c r="AU88" i="20" s="1"/>
  <c r="AV88" i="20" s="1"/>
  <c r="AW88" i="20" s="1"/>
  <c r="AX88" i="20" s="1"/>
  <c r="AY88" i="20" s="1"/>
  <c r="AZ88" i="20" s="1"/>
  <c r="BA88" i="20" s="1"/>
  <c r="BB88" i="20" s="1"/>
  <c r="Q40" i="20"/>
  <c r="R40" i="20" s="1"/>
  <c r="S40" i="20" s="1"/>
  <c r="T40" i="20" s="1"/>
  <c r="U40" i="20" s="1"/>
  <c r="V40" i="20" s="1"/>
  <c r="W40" i="20" s="1"/>
  <c r="X40" i="20" s="1"/>
  <c r="Y40" i="20" s="1"/>
  <c r="Z40" i="20" s="1"/>
  <c r="AA40" i="20" s="1"/>
  <c r="AB40" i="20" s="1"/>
  <c r="AC40" i="20" s="1"/>
  <c r="AD40" i="20" s="1"/>
  <c r="AE40" i="20" s="1"/>
  <c r="AF40" i="20" s="1"/>
  <c r="AG40" i="20" s="1"/>
  <c r="AH40" i="20" s="1"/>
  <c r="AI40" i="20" s="1"/>
  <c r="AJ40" i="20" s="1"/>
  <c r="AK40" i="20" s="1"/>
  <c r="AL40" i="20" s="1"/>
  <c r="AM40" i="20" s="1"/>
  <c r="AN40" i="20" s="1"/>
  <c r="AO40" i="20" s="1"/>
  <c r="AP40" i="20" s="1"/>
  <c r="AQ40" i="20" s="1"/>
  <c r="AR40" i="20" s="1"/>
  <c r="AS40" i="20" s="1"/>
  <c r="AT40" i="20" s="1"/>
  <c r="AU40" i="20" s="1"/>
  <c r="AV40" i="20" s="1"/>
  <c r="AW40" i="20" s="1"/>
  <c r="AX40" i="20" s="1"/>
  <c r="AY40" i="20" s="1"/>
  <c r="AZ40" i="20" s="1"/>
  <c r="BA40" i="20" s="1"/>
  <c r="BB40" i="20" s="1"/>
  <c r="N31" i="20"/>
  <c r="O31" i="20" s="1"/>
  <c r="P31" i="20" s="1"/>
  <c r="Q31" i="20" s="1"/>
  <c r="R31" i="20" s="1"/>
  <c r="S31" i="20" s="1"/>
  <c r="T31" i="20" s="1"/>
  <c r="U31" i="20" s="1"/>
  <c r="V31" i="20" s="1"/>
  <c r="W31" i="20" s="1"/>
  <c r="X31" i="20" s="1"/>
  <c r="Y31" i="20" s="1"/>
  <c r="Z31" i="20" s="1"/>
  <c r="AA31" i="20" s="1"/>
  <c r="AB31" i="20" s="1"/>
  <c r="AC31" i="20" s="1"/>
  <c r="AD31" i="20" s="1"/>
  <c r="AE31" i="20" s="1"/>
  <c r="AF31" i="20" s="1"/>
  <c r="AG31" i="20" s="1"/>
  <c r="AH31" i="20" s="1"/>
  <c r="AI31" i="20" s="1"/>
  <c r="AJ31" i="20" s="1"/>
  <c r="AK31" i="20" s="1"/>
  <c r="AL31" i="20" s="1"/>
  <c r="AM31" i="20" s="1"/>
  <c r="AN31" i="20" s="1"/>
  <c r="AO31" i="20" s="1"/>
  <c r="AP31" i="20" s="1"/>
  <c r="AQ31" i="20" s="1"/>
  <c r="AR31" i="20" s="1"/>
  <c r="AS31" i="20" s="1"/>
  <c r="AT31" i="20" s="1"/>
  <c r="AU31" i="20" s="1"/>
  <c r="AV31" i="20" s="1"/>
  <c r="AW31" i="20" s="1"/>
  <c r="AX31" i="20" s="1"/>
  <c r="AY31" i="20" s="1"/>
  <c r="AZ31" i="20" s="1"/>
  <c r="V55" i="20"/>
  <c r="W55" i="20" s="1"/>
  <c r="X55" i="20" s="1"/>
  <c r="Y55" i="20" s="1"/>
  <c r="Z55" i="20" s="1"/>
  <c r="AA55" i="20" s="1"/>
  <c r="AB55" i="20" s="1"/>
  <c r="AC55" i="20" s="1"/>
  <c r="AD55" i="20" s="1"/>
  <c r="AE55" i="20" s="1"/>
  <c r="AF55" i="20" s="1"/>
  <c r="AG55" i="20" s="1"/>
  <c r="AH55" i="20" s="1"/>
  <c r="AI55" i="20" s="1"/>
  <c r="AJ55" i="20" s="1"/>
  <c r="AK55" i="20" s="1"/>
  <c r="AL55" i="20" s="1"/>
  <c r="AM55" i="20" s="1"/>
  <c r="AN55" i="20" s="1"/>
  <c r="AO55" i="20" s="1"/>
  <c r="AP55" i="20" s="1"/>
  <c r="AQ55" i="20" s="1"/>
  <c r="AR55" i="20" s="1"/>
  <c r="AS55" i="20" s="1"/>
  <c r="AT55" i="20" s="1"/>
  <c r="AU55" i="20" s="1"/>
  <c r="AV55" i="20" s="1"/>
  <c r="AW55" i="20" s="1"/>
  <c r="AX55" i="20" s="1"/>
  <c r="AY55" i="20" s="1"/>
  <c r="AZ55" i="20" s="1"/>
  <c r="BA55" i="20" s="1"/>
  <c r="BB55" i="20" s="1"/>
  <c r="AH91" i="20"/>
  <c r="AI91" i="20" s="1"/>
  <c r="AJ91" i="20" s="1"/>
  <c r="AK91" i="20" s="1"/>
  <c r="AL91" i="20" s="1"/>
  <c r="AM91" i="20" s="1"/>
  <c r="AN91" i="20" s="1"/>
  <c r="AO91" i="20" s="1"/>
  <c r="AP91" i="20" s="1"/>
  <c r="AQ91" i="20" s="1"/>
  <c r="AR91" i="20" s="1"/>
  <c r="AS91" i="20" s="1"/>
  <c r="AT91" i="20" s="1"/>
  <c r="AU91" i="20" s="1"/>
  <c r="AV91" i="20" s="1"/>
  <c r="AW91" i="20" s="1"/>
  <c r="AX91" i="20" s="1"/>
  <c r="AY91" i="20" s="1"/>
  <c r="AZ91" i="20" s="1"/>
  <c r="BA91" i="20" s="1"/>
  <c r="BB91" i="20" s="1"/>
  <c r="AT127" i="20"/>
  <c r="AU127" i="20" s="1"/>
  <c r="AV127" i="20" s="1"/>
  <c r="AW127" i="20" s="1"/>
  <c r="AX127" i="20" s="1"/>
  <c r="AY127" i="20" s="1"/>
  <c r="AZ127" i="20" s="1"/>
  <c r="BA127" i="20" s="1"/>
  <c r="BB127" i="20" s="1"/>
  <c r="AN109" i="20"/>
  <c r="AO109" i="20" s="1"/>
  <c r="AP109" i="20" s="1"/>
  <c r="AQ109" i="20" s="1"/>
  <c r="AR109" i="20" s="1"/>
  <c r="AS109" i="20" s="1"/>
  <c r="AT109" i="20" s="1"/>
  <c r="AU109" i="20" s="1"/>
  <c r="AV109" i="20" s="1"/>
  <c r="AW109" i="20" s="1"/>
  <c r="AX109" i="20" s="1"/>
  <c r="AY109" i="20" s="1"/>
  <c r="AZ109" i="20" s="1"/>
  <c r="BA109" i="20" s="1"/>
  <c r="BB109" i="20" s="1"/>
  <c r="T49" i="20"/>
  <c r="U49" i="20" s="1"/>
  <c r="V49" i="20" s="1"/>
  <c r="W49" i="20" s="1"/>
  <c r="X49" i="20" s="1"/>
  <c r="Y49" i="20" s="1"/>
  <c r="Z49" i="20" s="1"/>
  <c r="AA49" i="20" s="1"/>
  <c r="AB49" i="20" s="1"/>
  <c r="AC49" i="20" s="1"/>
  <c r="AD49" i="20" s="1"/>
  <c r="AE49" i="20" s="1"/>
  <c r="AF49" i="20" s="1"/>
  <c r="AG49" i="20" s="1"/>
  <c r="AH49" i="20" s="1"/>
  <c r="AI49" i="20" s="1"/>
  <c r="AJ49" i="20" s="1"/>
  <c r="AK49" i="20" s="1"/>
  <c r="AL49" i="20" s="1"/>
  <c r="AM49" i="20" s="1"/>
  <c r="AN49" i="20" s="1"/>
  <c r="AO49" i="20" s="1"/>
  <c r="AP49" i="20" s="1"/>
  <c r="AQ49" i="20" s="1"/>
  <c r="AR49" i="20" s="1"/>
  <c r="AS49" i="20" s="1"/>
  <c r="AT49" i="20" s="1"/>
  <c r="AU49" i="20" s="1"/>
  <c r="AV49" i="20" s="1"/>
  <c r="AW49" i="20" s="1"/>
  <c r="AX49" i="20" s="1"/>
  <c r="AY49" i="20" s="1"/>
  <c r="AZ49" i="20" s="1"/>
  <c r="BA49" i="20" s="1"/>
  <c r="BB49" i="20" s="1"/>
  <c r="AF85" i="20"/>
  <c r="AG85" i="20" s="1"/>
  <c r="AH85" i="20" s="1"/>
  <c r="AI85" i="20" s="1"/>
  <c r="AJ85" i="20" s="1"/>
  <c r="AK85" i="20" s="1"/>
  <c r="AL85" i="20" s="1"/>
  <c r="AM85" i="20" s="1"/>
  <c r="AN85" i="20" s="1"/>
  <c r="AO85" i="20" s="1"/>
  <c r="AP85" i="20" s="1"/>
  <c r="AQ85" i="20" s="1"/>
  <c r="AR85" i="20" s="1"/>
  <c r="AS85" i="20" s="1"/>
  <c r="AT85" i="20" s="1"/>
  <c r="AU85" i="20" s="1"/>
  <c r="AV85" i="20" s="1"/>
  <c r="AW85" i="20" s="1"/>
  <c r="AX85" i="20" s="1"/>
  <c r="AY85" i="20" s="1"/>
  <c r="AZ85" i="20" s="1"/>
  <c r="BA85" i="20" s="1"/>
  <c r="BB85" i="20" s="1"/>
  <c r="AR121" i="20"/>
  <c r="AS121" i="20" s="1"/>
  <c r="AT121" i="20" s="1"/>
  <c r="AU121" i="20" s="1"/>
  <c r="AV121" i="20" s="1"/>
  <c r="AW121" i="20" s="1"/>
  <c r="AX121" i="20" s="1"/>
  <c r="AY121" i="20" s="1"/>
  <c r="AZ121" i="20" s="1"/>
  <c r="BA121" i="20" s="1"/>
  <c r="BB121" i="20" s="1"/>
  <c r="AO112" i="20"/>
  <c r="AP112" i="20" s="1"/>
  <c r="AQ112" i="20" s="1"/>
  <c r="AR112" i="20" s="1"/>
  <c r="AS112" i="20" s="1"/>
  <c r="AT112" i="20" s="1"/>
  <c r="AU112" i="20" s="1"/>
  <c r="AV112" i="20" s="1"/>
  <c r="AW112" i="20" s="1"/>
  <c r="AX112" i="20" s="1"/>
  <c r="AY112" i="20" s="1"/>
  <c r="AZ112" i="20" s="1"/>
  <c r="BA112" i="20" s="1"/>
  <c r="BB112" i="20" s="1"/>
  <c r="J19" i="20"/>
  <c r="K19" i="20" s="1"/>
  <c r="L19" i="20" s="1"/>
  <c r="M19" i="20" s="1"/>
  <c r="N19" i="20" s="1"/>
  <c r="O19" i="20" s="1"/>
  <c r="P19" i="20" s="1"/>
  <c r="Q19" i="20" s="1"/>
  <c r="R19" i="20" s="1"/>
  <c r="S19" i="20" s="1"/>
  <c r="T19" i="20" s="1"/>
  <c r="U19" i="20" s="1"/>
  <c r="V19" i="20" s="1"/>
  <c r="W19" i="20" s="1"/>
  <c r="X19" i="20" s="1"/>
  <c r="Y19" i="20" s="1"/>
  <c r="Z19" i="20" s="1"/>
  <c r="AA19" i="20" s="1"/>
  <c r="AB19" i="20" s="1"/>
  <c r="AC19" i="20" s="1"/>
  <c r="AD19" i="20" s="1"/>
  <c r="AE19" i="20" s="1"/>
  <c r="AF19" i="20" s="1"/>
  <c r="AG19" i="20" s="1"/>
  <c r="AH19" i="20" s="1"/>
  <c r="AI19" i="20" s="1"/>
  <c r="AJ19" i="20" s="1"/>
  <c r="AK19" i="20" s="1"/>
  <c r="AL19" i="20" s="1"/>
  <c r="AM19" i="20" s="1"/>
  <c r="AN19" i="20" s="1"/>
  <c r="AO19" i="20" s="1"/>
  <c r="AP19" i="20" s="1"/>
  <c r="AQ19" i="20" s="1"/>
  <c r="AR19" i="20" s="1"/>
  <c r="AS19" i="20" s="1"/>
  <c r="AT19" i="20" s="1"/>
  <c r="AU19" i="20" s="1"/>
  <c r="AV19" i="20" s="1"/>
  <c r="AJ97" i="20"/>
  <c r="AK97" i="20" s="1"/>
  <c r="AL97" i="20" s="1"/>
  <c r="AM97" i="20" s="1"/>
  <c r="AN97" i="20" s="1"/>
  <c r="AO97" i="20" s="1"/>
  <c r="AP97" i="20" s="1"/>
  <c r="AQ97" i="20" s="1"/>
  <c r="AR97" i="20" s="1"/>
  <c r="AS97" i="20" s="1"/>
  <c r="AT97" i="20" s="1"/>
  <c r="AU97" i="20" s="1"/>
  <c r="AV97" i="20" s="1"/>
  <c r="AW97" i="20" s="1"/>
  <c r="AX97" i="20" s="1"/>
  <c r="AY97" i="20" s="1"/>
  <c r="AZ97" i="20" s="1"/>
  <c r="BA97" i="20" s="1"/>
  <c r="BB97" i="20" s="1"/>
  <c r="AW139" i="20"/>
  <c r="AX139" i="20" s="1"/>
  <c r="AY139" i="20" s="1"/>
  <c r="AZ139" i="20" s="1"/>
  <c r="BA139" i="20" s="1"/>
  <c r="BB139" i="20" s="1"/>
  <c r="AY145" i="20"/>
  <c r="AZ145" i="20" s="1"/>
  <c r="BA145" i="20" s="1"/>
  <c r="BB145" i="20" s="1"/>
  <c r="AZ148" i="20"/>
  <c r="BA148" i="20" s="1"/>
  <c r="BB148" i="20" s="1"/>
  <c r="T60" i="8"/>
  <c r="T58" i="8" s="1"/>
  <c r="T60" i="7"/>
  <c r="T58" i="7" s="1"/>
  <c r="T57" i="7" s="1"/>
  <c r="T61" i="6"/>
  <c r="AV136" i="20"/>
  <c r="AW136" i="20" s="1"/>
  <c r="AX136" i="20" s="1"/>
  <c r="AY136" i="20" s="1"/>
  <c r="AZ136" i="20" s="1"/>
  <c r="BA136" i="20" s="1"/>
  <c r="BB136" i="20" s="1"/>
  <c r="BA151" i="20"/>
  <c r="BB151" i="20" s="1"/>
  <c r="F10" i="20"/>
  <c r="G13" i="20"/>
  <c r="H13" i="20" s="1"/>
  <c r="I13" i="20" s="1"/>
  <c r="J13" i="20" s="1"/>
  <c r="K13" i="20" s="1"/>
  <c r="L13" i="20" s="1"/>
  <c r="M13" i="20" s="1"/>
  <c r="N13" i="20" s="1"/>
  <c r="O13" i="20" s="1"/>
  <c r="P13" i="20" s="1"/>
  <c r="Q13" i="20" s="1"/>
  <c r="R13" i="20" s="1"/>
  <c r="S13" i="20" s="1"/>
  <c r="T13" i="20" s="1"/>
  <c r="U13" i="20" s="1"/>
  <c r="V13" i="20" s="1"/>
  <c r="W13" i="20" s="1"/>
  <c r="X13" i="20" s="1"/>
  <c r="Y13" i="20" s="1"/>
  <c r="Z13" i="20" s="1"/>
  <c r="AA13" i="20" s="1"/>
  <c r="AB13" i="20" s="1"/>
  <c r="AC13" i="20" s="1"/>
  <c r="AD13" i="20" s="1"/>
  <c r="AE13" i="20" s="1"/>
  <c r="AF13" i="20" s="1"/>
  <c r="AG13" i="20" s="1"/>
  <c r="AH13" i="20" s="1"/>
  <c r="AI13" i="20" s="1"/>
  <c r="AJ13" i="20" s="1"/>
  <c r="AK13" i="20" s="1"/>
  <c r="AL13" i="20" s="1"/>
  <c r="AM13" i="20" s="1"/>
  <c r="AN13" i="20" s="1"/>
  <c r="AO13" i="20" s="1"/>
  <c r="AP13" i="20" s="1"/>
  <c r="AQ13" i="20" s="1"/>
  <c r="AR13" i="20" s="1"/>
  <c r="AS13" i="20" s="1"/>
  <c r="AT13" i="20" s="1"/>
  <c r="AC76" i="20"/>
  <c r="AD76" i="20" s="1"/>
  <c r="AE76" i="20" s="1"/>
  <c r="AF76" i="20" s="1"/>
  <c r="AG76" i="20" s="1"/>
  <c r="AH76" i="20" s="1"/>
  <c r="AI76" i="20" s="1"/>
  <c r="AJ76" i="20" s="1"/>
  <c r="AK76" i="20" s="1"/>
  <c r="AL76" i="20" s="1"/>
  <c r="AM76" i="20" s="1"/>
  <c r="AN76" i="20" s="1"/>
  <c r="AO76" i="20" s="1"/>
  <c r="AP76" i="20" s="1"/>
  <c r="AQ76" i="20" s="1"/>
  <c r="AR76" i="20" s="1"/>
  <c r="AS76" i="20" s="1"/>
  <c r="AT76" i="20" s="1"/>
  <c r="AU76" i="20" s="1"/>
  <c r="AV76" i="20" s="1"/>
  <c r="AW76" i="20" s="1"/>
  <c r="AX76" i="20" s="1"/>
  <c r="AY76" i="20" s="1"/>
  <c r="AZ76" i="20" s="1"/>
  <c r="BA76" i="20" s="1"/>
  <c r="BB76" i="20" s="1"/>
  <c r="AL103" i="20"/>
  <c r="AM103" i="20" s="1"/>
  <c r="AN103" i="20" s="1"/>
  <c r="AO103" i="20" s="1"/>
  <c r="AP103" i="20" s="1"/>
  <c r="AQ103" i="20" s="1"/>
  <c r="AR103" i="20" s="1"/>
  <c r="AS103" i="20" s="1"/>
  <c r="AT103" i="20" s="1"/>
  <c r="AU103" i="20" s="1"/>
  <c r="AV103" i="20" s="1"/>
  <c r="AW103" i="20" s="1"/>
  <c r="AX103" i="20" s="1"/>
  <c r="AY103" i="20" s="1"/>
  <c r="AZ103" i="20" s="1"/>
  <c r="BA103" i="20" s="1"/>
  <c r="BB103" i="20" s="1"/>
  <c r="AD79" i="20"/>
  <c r="AE79" i="20" s="1"/>
  <c r="AF79" i="20" s="1"/>
  <c r="AG79" i="20" s="1"/>
  <c r="AH79" i="20" s="1"/>
  <c r="AI79" i="20" s="1"/>
  <c r="AJ79" i="20" s="1"/>
  <c r="AK79" i="20" s="1"/>
  <c r="AL79" i="20" s="1"/>
  <c r="AM79" i="20" s="1"/>
  <c r="AN79" i="20" s="1"/>
  <c r="AO79" i="20" s="1"/>
  <c r="AP79" i="20" s="1"/>
  <c r="AQ79" i="20" s="1"/>
  <c r="AR79" i="20" s="1"/>
  <c r="AS79" i="20" s="1"/>
  <c r="AT79" i="20" s="1"/>
  <c r="AU79" i="20" s="1"/>
  <c r="AV79" i="20" s="1"/>
  <c r="AW79" i="20" s="1"/>
  <c r="AX79" i="20" s="1"/>
  <c r="AY79" i="20" s="1"/>
  <c r="AZ79" i="20" s="1"/>
  <c r="BA79" i="20" s="1"/>
  <c r="BB79" i="20" s="1"/>
  <c r="AS124" i="20"/>
  <c r="AT124" i="20" s="1"/>
  <c r="AU124" i="20" s="1"/>
  <c r="AV124" i="20" s="1"/>
  <c r="AW124" i="20" s="1"/>
  <c r="AX124" i="20" s="1"/>
  <c r="AY124" i="20" s="1"/>
  <c r="AZ124" i="20" s="1"/>
  <c r="BA124" i="20" s="1"/>
  <c r="BB124" i="20" s="1"/>
  <c r="AK100" i="20"/>
  <c r="AL100" i="20" s="1"/>
  <c r="AM100" i="20" s="1"/>
  <c r="AN100" i="20" s="1"/>
  <c r="AO100" i="20" s="1"/>
  <c r="AP100" i="20" s="1"/>
  <c r="AQ100" i="20" s="1"/>
  <c r="AR100" i="20" s="1"/>
  <c r="AS100" i="20" s="1"/>
  <c r="AT100" i="20" s="1"/>
  <c r="AU100" i="20" s="1"/>
  <c r="AV100" i="20" s="1"/>
  <c r="AW100" i="20" s="1"/>
  <c r="AX100" i="20" s="1"/>
  <c r="AY100" i="20" s="1"/>
  <c r="AZ100" i="20" s="1"/>
  <c r="BA100" i="20" s="1"/>
  <c r="BB100" i="20" s="1"/>
  <c r="AV133" i="20"/>
  <c r="AW133" i="20" s="1"/>
  <c r="AX133" i="20" s="1"/>
  <c r="AY133" i="20" s="1"/>
  <c r="AZ133" i="20" s="1"/>
  <c r="BA133" i="20" s="1"/>
  <c r="BB133" i="20" s="1"/>
  <c r="M28" i="20"/>
  <c r="N28" i="20" s="1"/>
  <c r="O28" i="20" s="1"/>
  <c r="P28" i="20" s="1"/>
  <c r="Q28" i="20" s="1"/>
  <c r="R28" i="20" s="1"/>
  <c r="S28" i="20" s="1"/>
  <c r="T28" i="20" s="1"/>
  <c r="U28" i="20" s="1"/>
  <c r="V28" i="20" s="1"/>
  <c r="W28" i="20" s="1"/>
  <c r="X28" i="20" s="1"/>
  <c r="Y28" i="20" s="1"/>
  <c r="Z28" i="20" s="1"/>
  <c r="AA28" i="20" s="1"/>
  <c r="AB28" i="20" s="1"/>
  <c r="AC28" i="20" s="1"/>
  <c r="AD28" i="20" s="1"/>
  <c r="AE28" i="20" s="1"/>
  <c r="AF28" i="20" s="1"/>
  <c r="AG28" i="20" s="1"/>
  <c r="AH28" i="20" s="1"/>
  <c r="AI28" i="20" s="1"/>
  <c r="AJ28" i="20" s="1"/>
  <c r="AK28" i="20" s="1"/>
  <c r="AL28" i="20" s="1"/>
  <c r="AM28" i="20" s="1"/>
  <c r="AN28" i="20" s="1"/>
  <c r="AO28" i="20" s="1"/>
  <c r="AP28" i="20" s="1"/>
  <c r="AQ28" i="20" s="1"/>
  <c r="AR28" i="20" s="1"/>
  <c r="AS28" i="20" s="1"/>
  <c r="AT28" i="20" s="1"/>
  <c r="AU28" i="20" s="1"/>
  <c r="AV28" i="20" s="1"/>
  <c r="AW28" i="20" s="1"/>
  <c r="AX28" i="20" s="1"/>
  <c r="AY28" i="20" s="1"/>
  <c r="S46" i="20"/>
  <c r="T46" i="20" s="1"/>
  <c r="U46" i="20" s="1"/>
  <c r="V46" i="20" s="1"/>
  <c r="W46" i="20" s="1"/>
  <c r="X46" i="20" s="1"/>
  <c r="Y46" i="20" s="1"/>
  <c r="Z46" i="20" s="1"/>
  <c r="AA46" i="20" s="1"/>
  <c r="AB46" i="20" s="1"/>
  <c r="AC46" i="20" s="1"/>
  <c r="AD46" i="20" s="1"/>
  <c r="AE46" i="20" s="1"/>
  <c r="AF46" i="20" s="1"/>
  <c r="AG46" i="20" s="1"/>
  <c r="AH46" i="20" s="1"/>
  <c r="AI46" i="20" s="1"/>
  <c r="AJ46" i="20" s="1"/>
  <c r="AK46" i="20" s="1"/>
  <c r="AL46" i="20" s="1"/>
  <c r="AM46" i="20" s="1"/>
  <c r="AN46" i="20" s="1"/>
  <c r="AO46" i="20" s="1"/>
  <c r="AP46" i="20" s="1"/>
  <c r="AQ46" i="20" s="1"/>
  <c r="AR46" i="20" s="1"/>
  <c r="AS46" i="20" s="1"/>
  <c r="AT46" i="20" s="1"/>
  <c r="AU46" i="20" s="1"/>
  <c r="AV46" i="20" s="1"/>
  <c r="AW46" i="20" s="1"/>
  <c r="AX46" i="20" s="1"/>
  <c r="AY46" i="20" s="1"/>
  <c r="AZ46" i="20" s="1"/>
  <c r="BA46" i="20" s="1"/>
  <c r="BB46" i="20" s="1"/>
  <c r="U52" i="20"/>
  <c r="V52" i="20" s="1"/>
  <c r="W52" i="20" s="1"/>
  <c r="X52" i="20" s="1"/>
  <c r="Y52" i="20" s="1"/>
  <c r="Z52" i="20" s="1"/>
  <c r="AA52" i="20" s="1"/>
  <c r="AB52" i="20" s="1"/>
  <c r="AC52" i="20" s="1"/>
  <c r="AD52" i="20" s="1"/>
  <c r="AE52" i="20" s="1"/>
  <c r="AF52" i="20" s="1"/>
  <c r="AG52" i="20" s="1"/>
  <c r="AH52" i="20" s="1"/>
  <c r="AI52" i="20" s="1"/>
  <c r="AJ52" i="20" s="1"/>
  <c r="AK52" i="20" s="1"/>
  <c r="AL52" i="20" s="1"/>
  <c r="AM52" i="20" s="1"/>
  <c r="AN52" i="20" s="1"/>
  <c r="AO52" i="20" s="1"/>
  <c r="AP52" i="20" s="1"/>
  <c r="AQ52" i="20" s="1"/>
  <c r="AR52" i="20" s="1"/>
  <c r="AS52" i="20" s="1"/>
  <c r="AT52" i="20" s="1"/>
  <c r="AU52" i="20" s="1"/>
  <c r="AV52" i="20" s="1"/>
  <c r="AW52" i="20" s="1"/>
  <c r="AX52" i="20" s="1"/>
  <c r="AY52" i="20" s="1"/>
  <c r="AZ52" i="20" s="1"/>
  <c r="BA52" i="20" s="1"/>
  <c r="BB52" i="20" s="1"/>
  <c r="AP115" i="20"/>
  <c r="AQ115" i="20" s="1"/>
  <c r="AR115" i="20" s="1"/>
  <c r="AS115" i="20" s="1"/>
  <c r="AT115" i="20" s="1"/>
  <c r="AU115" i="20" s="1"/>
  <c r="AV115" i="20" s="1"/>
  <c r="AW115" i="20" s="1"/>
  <c r="AX115" i="20" s="1"/>
  <c r="AY115" i="20" s="1"/>
  <c r="AZ115" i="20" s="1"/>
  <c r="BA115" i="20" s="1"/>
  <c r="BB115" i="20" s="1"/>
  <c r="P37" i="20"/>
  <c r="Q37" i="20" s="1"/>
  <c r="R37" i="20" s="1"/>
  <c r="S37" i="20" s="1"/>
  <c r="T37" i="20" s="1"/>
  <c r="U37" i="20" s="1"/>
  <c r="V37" i="20" s="1"/>
  <c r="W37" i="20" s="1"/>
  <c r="X37" i="20" s="1"/>
  <c r="Y37" i="20" s="1"/>
  <c r="Z37" i="20" s="1"/>
  <c r="AA37" i="20" s="1"/>
  <c r="AB37" i="20" s="1"/>
  <c r="AC37" i="20" s="1"/>
  <c r="AD37" i="20" s="1"/>
  <c r="AE37" i="20" s="1"/>
  <c r="AF37" i="20" s="1"/>
  <c r="AG37" i="20" s="1"/>
  <c r="AH37" i="20" s="1"/>
  <c r="AI37" i="20" s="1"/>
  <c r="AJ37" i="20" s="1"/>
  <c r="AK37" i="20" s="1"/>
  <c r="AL37" i="20" s="1"/>
  <c r="AM37" i="20" s="1"/>
  <c r="AN37" i="20" s="1"/>
  <c r="AO37" i="20" s="1"/>
  <c r="AP37" i="20" s="1"/>
  <c r="AQ37" i="20" s="1"/>
  <c r="AR37" i="20" s="1"/>
  <c r="AS37" i="20" s="1"/>
  <c r="AT37" i="20" s="1"/>
  <c r="AU37" i="20" s="1"/>
  <c r="AV37" i="20" s="1"/>
  <c r="AW37" i="20" s="1"/>
  <c r="AX37" i="20" s="1"/>
  <c r="AY37" i="20" s="1"/>
  <c r="AZ37" i="20" s="1"/>
  <c r="BA37" i="20" s="1"/>
  <c r="Z67" i="20"/>
  <c r="AA67" i="20" s="1"/>
  <c r="AB67" i="20" s="1"/>
  <c r="AC67" i="20" s="1"/>
  <c r="AD67" i="20" s="1"/>
  <c r="AE67" i="20" s="1"/>
  <c r="AF67" i="20" s="1"/>
  <c r="AG67" i="20" s="1"/>
  <c r="AH67" i="20" s="1"/>
  <c r="AI67" i="20" s="1"/>
  <c r="AJ67" i="20" s="1"/>
  <c r="AK67" i="20" s="1"/>
  <c r="AL67" i="20" s="1"/>
  <c r="AM67" i="20" s="1"/>
  <c r="AN67" i="20" s="1"/>
  <c r="AO67" i="20" s="1"/>
  <c r="AP67" i="20" s="1"/>
  <c r="AQ67" i="20" s="1"/>
  <c r="AR67" i="20" s="1"/>
  <c r="AS67" i="20" s="1"/>
  <c r="AT67" i="20" s="1"/>
  <c r="AU67" i="20" s="1"/>
  <c r="AV67" i="20" s="1"/>
  <c r="AW67" i="20" s="1"/>
  <c r="AX67" i="20" s="1"/>
  <c r="AY67" i="20" s="1"/>
  <c r="AZ67" i="20" s="1"/>
  <c r="BA67" i="20" s="1"/>
  <c r="BB67" i="20" s="1"/>
  <c r="L25" i="20"/>
  <c r="M25" i="20" s="1"/>
  <c r="N25" i="20" s="1"/>
  <c r="O25" i="20" s="1"/>
  <c r="P25" i="20" s="1"/>
  <c r="Q25" i="20" s="1"/>
  <c r="R25" i="20" s="1"/>
  <c r="S25" i="20" s="1"/>
  <c r="T25" i="20" s="1"/>
  <c r="U25" i="20" s="1"/>
  <c r="V25" i="20" s="1"/>
  <c r="W25" i="20" s="1"/>
  <c r="X25" i="20" s="1"/>
  <c r="Y25" i="20" s="1"/>
  <c r="Z25" i="20" s="1"/>
  <c r="AA25" i="20" s="1"/>
  <c r="AB25" i="20" s="1"/>
  <c r="AC25" i="20" s="1"/>
  <c r="AD25" i="20" s="1"/>
  <c r="AE25" i="20" s="1"/>
  <c r="AF25" i="20" s="1"/>
  <c r="AG25" i="20" s="1"/>
  <c r="AH25" i="20" s="1"/>
  <c r="AI25" i="20" s="1"/>
  <c r="AJ25" i="20" s="1"/>
  <c r="AK25" i="20" s="1"/>
  <c r="AL25" i="20" s="1"/>
  <c r="AM25" i="20" s="1"/>
  <c r="AN25" i="20" s="1"/>
  <c r="AO25" i="20" s="1"/>
  <c r="AP25" i="20" s="1"/>
  <c r="AQ25" i="20" s="1"/>
  <c r="AR25" i="20" s="1"/>
  <c r="AS25" i="20" s="1"/>
  <c r="AT25" i="20" s="1"/>
  <c r="AU25" i="20" s="1"/>
  <c r="AV25" i="20" s="1"/>
  <c r="AW25" i="20" s="1"/>
  <c r="AX25" i="20" s="1"/>
  <c r="AI94" i="20"/>
  <c r="AJ94" i="20" s="1"/>
  <c r="AK94" i="20" s="1"/>
  <c r="AL94" i="20" s="1"/>
  <c r="AM94" i="20" s="1"/>
  <c r="AN94" i="20" s="1"/>
  <c r="AO94" i="20" s="1"/>
  <c r="AP94" i="20" s="1"/>
  <c r="AQ94" i="20" s="1"/>
  <c r="AR94" i="20" s="1"/>
  <c r="AS94" i="20" s="1"/>
  <c r="AT94" i="20" s="1"/>
  <c r="AU94" i="20" s="1"/>
  <c r="AV94" i="20" s="1"/>
  <c r="AW94" i="20" s="1"/>
  <c r="AX94" i="20" s="1"/>
  <c r="AY94" i="20" s="1"/>
  <c r="AZ94" i="20" s="1"/>
  <c r="BA94" i="20" s="1"/>
  <c r="BB94" i="20" s="1"/>
  <c r="BG28" i="7"/>
  <c r="S105" i="6"/>
  <c r="S113" i="6"/>
  <c r="X26" i="7"/>
  <c r="W33" i="7"/>
  <c r="X34" i="7"/>
  <c r="W42" i="7"/>
  <c r="X43" i="7"/>
  <c r="N47" i="17"/>
  <c r="O47" i="17" s="1"/>
  <c r="N42" i="17"/>
  <c r="O42" i="17" s="1"/>
  <c r="N45" i="17"/>
  <c r="O45" i="17" s="1"/>
  <c r="N46" i="17"/>
  <c r="O46" i="17" s="1"/>
  <c r="X10" i="6"/>
  <c r="Y10" i="6" s="1"/>
  <c r="Z10" i="6" s="1"/>
  <c r="AA10" i="6" s="1"/>
  <c r="AB10" i="6" s="1"/>
  <c r="AC10" i="6" s="1"/>
  <c r="AD10" i="6" s="1"/>
  <c r="AE10" i="6" s="1"/>
  <c r="AF10" i="6" s="1"/>
  <c r="AG10" i="6" s="1"/>
  <c r="AH10" i="6" s="1"/>
  <c r="AI10" i="6" s="1"/>
  <c r="AJ10" i="6" s="1"/>
  <c r="AK10" i="6" s="1"/>
  <c r="AL10" i="6" s="1"/>
  <c r="AM10" i="6" s="1"/>
  <c r="AN10" i="6" s="1"/>
  <c r="AO10" i="6" s="1"/>
  <c r="AP10" i="6" s="1"/>
  <c r="AQ10" i="6" s="1"/>
  <c r="AR10" i="6" s="1"/>
  <c r="AS10" i="6" s="1"/>
  <c r="AT10" i="6" s="1"/>
  <c r="AU10" i="6" s="1"/>
  <c r="AV10" i="6" s="1"/>
  <c r="AW10" i="6" s="1"/>
  <c r="AX10" i="6" s="1"/>
  <c r="AY10" i="6" s="1"/>
  <c r="AZ10" i="6" s="1"/>
  <c r="BA10" i="6" s="1"/>
  <c r="BB10" i="6" s="1"/>
  <c r="BC10" i="6" s="1"/>
  <c r="BD10" i="6" s="1"/>
  <c r="BE10" i="6" s="1"/>
  <c r="BF10" i="6" s="1"/>
  <c r="BG10" i="6" s="1"/>
  <c r="BH10" i="6" s="1"/>
  <c r="BI10" i="6" s="1"/>
  <c r="BJ10" i="6" s="1"/>
  <c r="BK10" i="6" s="1"/>
  <c r="BL10" i="6" s="1"/>
  <c r="BM10" i="6" s="1"/>
  <c r="BN10" i="6" s="1"/>
  <c r="BO10" i="6" s="1"/>
  <c r="BP10" i="6" s="1"/>
  <c r="BQ10" i="6" s="1"/>
  <c r="N9" i="17"/>
  <c r="O9" i="17" s="1"/>
  <c r="X62" i="6"/>
  <c r="N59" i="17"/>
  <c r="O59" i="17" s="1"/>
  <c r="N25" i="17"/>
  <c r="O25" i="17" s="1"/>
  <c r="X51" i="6"/>
  <c r="Y51" i="6" s="1"/>
  <c r="Z51" i="6" s="1"/>
  <c r="AA51" i="6" s="1"/>
  <c r="AB51" i="6" s="1"/>
  <c r="AC51" i="6" s="1"/>
  <c r="AD51" i="6" s="1"/>
  <c r="AE51" i="6" s="1"/>
  <c r="AF51" i="6" s="1"/>
  <c r="AG51" i="6" s="1"/>
  <c r="AH51" i="6" s="1"/>
  <c r="AI51" i="6" s="1"/>
  <c r="AJ51" i="6" s="1"/>
  <c r="AK51" i="6" s="1"/>
  <c r="AL51" i="6" s="1"/>
  <c r="AM51" i="6" s="1"/>
  <c r="AN51" i="6" s="1"/>
  <c r="AO51" i="6" s="1"/>
  <c r="AP51" i="6" s="1"/>
  <c r="AQ51" i="6" s="1"/>
  <c r="AR51" i="6" s="1"/>
  <c r="AS51" i="6" s="1"/>
  <c r="AT51" i="6" s="1"/>
  <c r="AU51" i="6" s="1"/>
  <c r="AV51" i="6" s="1"/>
  <c r="AW51" i="6" s="1"/>
  <c r="AX51" i="6" s="1"/>
  <c r="AY51" i="6" s="1"/>
  <c r="AZ51" i="6" s="1"/>
  <c r="BA51" i="6" s="1"/>
  <c r="BB51" i="6" s="1"/>
  <c r="BC51" i="6" s="1"/>
  <c r="BD51" i="6" s="1"/>
  <c r="BE51" i="6" s="1"/>
  <c r="BF51" i="6" s="1"/>
  <c r="BG51" i="6" s="1"/>
  <c r="BH51" i="6" s="1"/>
  <c r="BI51" i="6" s="1"/>
  <c r="BJ51" i="6" s="1"/>
  <c r="BK51" i="6" s="1"/>
  <c r="BL51" i="6" s="1"/>
  <c r="BM51" i="6" s="1"/>
  <c r="BN51" i="6" s="1"/>
  <c r="BO51" i="6" s="1"/>
  <c r="BP51" i="6" s="1"/>
  <c r="BQ51" i="6" s="1"/>
  <c r="N48" i="17"/>
  <c r="O48" i="17" s="1"/>
  <c r="N38" i="17"/>
  <c r="O38" i="17" s="1"/>
  <c r="X15" i="6"/>
  <c r="Y15" i="6" s="1"/>
  <c r="Z15" i="6" s="1"/>
  <c r="AA15" i="6" s="1"/>
  <c r="AB15" i="6" s="1"/>
  <c r="AC15" i="6" s="1"/>
  <c r="AD15" i="6" s="1"/>
  <c r="AE15" i="6" s="1"/>
  <c r="AF15" i="6" s="1"/>
  <c r="AG15" i="6" s="1"/>
  <c r="AH15" i="6" s="1"/>
  <c r="AI15" i="6" s="1"/>
  <c r="AJ15" i="6" s="1"/>
  <c r="AK15" i="6" s="1"/>
  <c r="AL15" i="6" s="1"/>
  <c r="AM15" i="6" s="1"/>
  <c r="AN15" i="6" s="1"/>
  <c r="AO15" i="6" s="1"/>
  <c r="AP15" i="6" s="1"/>
  <c r="AQ15" i="6" s="1"/>
  <c r="AR15" i="6" s="1"/>
  <c r="AS15" i="6" s="1"/>
  <c r="AT15" i="6" s="1"/>
  <c r="AU15" i="6" s="1"/>
  <c r="AV15" i="6" s="1"/>
  <c r="AW15" i="6" s="1"/>
  <c r="AX15" i="6" s="1"/>
  <c r="AY15" i="6" s="1"/>
  <c r="AZ15" i="6" s="1"/>
  <c r="BA15" i="6" s="1"/>
  <c r="BB15" i="6" s="1"/>
  <c r="BC15" i="6" s="1"/>
  <c r="BD15" i="6" s="1"/>
  <c r="BE15" i="6" s="1"/>
  <c r="BF15" i="6" s="1"/>
  <c r="BG15" i="6" s="1"/>
  <c r="BH15" i="6" s="1"/>
  <c r="BI15" i="6" s="1"/>
  <c r="BJ15" i="6" s="1"/>
  <c r="BK15" i="6" s="1"/>
  <c r="BL15" i="6" s="1"/>
  <c r="BM15" i="6" s="1"/>
  <c r="BN15" i="6" s="1"/>
  <c r="BO15" i="6" s="1"/>
  <c r="BP15" i="6" s="1"/>
  <c r="BQ15" i="6" s="1"/>
  <c r="N13" i="17"/>
  <c r="O13" i="17" s="1"/>
  <c r="N37" i="17"/>
  <c r="O37" i="17" s="1"/>
  <c r="N28" i="17"/>
  <c r="O28" i="17" s="1"/>
  <c r="X41" i="6"/>
  <c r="Y41" i="6" s="1"/>
  <c r="Z41" i="6" s="1"/>
  <c r="AA41" i="6" s="1"/>
  <c r="AB41" i="6" s="1"/>
  <c r="AC41" i="6" s="1"/>
  <c r="AD41" i="6" s="1"/>
  <c r="AE41" i="6" s="1"/>
  <c r="AF41" i="6" s="1"/>
  <c r="AG41" i="6" s="1"/>
  <c r="AH41" i="6" s="1"/>
  <c r="AI41" i="6" s="1"/>
  <c r="AJ41" i="6" s="1"/>
  <c r="AK41" i="6" s="1"/>
  <c r="AL41" i="6" s="1"/>
  <c r="AM41" i="6" s="1"/>
  <c r="AN41" i="6" s="1"/>
  <c r="AO41" i="6" s="1"/>
  <c r="AP41" i="6" s="1"/>
  <c r="AQ41" i="6" s="1"/>
  <c r="AR41" i="6" s="1"/>
  <c r="AS41" i="6" s="1"/>
  <c r="AT41" i="6" s="1"/>
  <c r="AU41" i="6" s="1"/>
  <c r="AV41" i="6" s="1"/>
  <c r="AW41" i="6" s="1"/>
  <c r="AX41" i="6" s="1"/>
  <c r="AY41" i="6" s="1"/>
  <c r="AZ41" i="6" s="1"/>
  <c r="BA41" i="6" s="1"/>
  <c r="BB41" i="6" s="1"/>
  <c r="BC41" i="6" s="1"/>
  <c r="BD41" i="6" s="1"/>
  <c r="BE41" i="6" s="1"/>
  <c r="BF41" i="6" s="1"/>
  <c r="BG41" i="6" s="1"/>
  <c r="BH41" i="6" s="1"/>
  <c r="BI41" i="6" s="1"/>
  <c r="BJ41" i="6" s="1"/>
  <c r="BK41" i="6" s="1"/>
  <c r="BL41" i="6" s="1"/>
  <c r="BM41" i="6" s="1"/>
  <c r="BN41" i="6" s="1"/>
  <c r="BO41" i="6" s="1"/>
  <c r="BP41" i="6" s="1"/>
  <c r="BQ41" i="6" s="1"/>
  <c r="N39" i="17"/>
  <c r="O39" i="17" s="1"/>
  <c r="N11" i="17"/>
  <c r="O11" i="17" s="1"/>
  <c r="X12" i="6"/>
  <c r="X33" i="6"/>
  <c r="Y33" i="6" s="1"/>
  <c r="Z33" i="6" s="1"/>
  <c r="AA33" i="6" s="1"/>
  <c r="AB33" i="6" s="1"/>
  <c r="AC33" i="6" s="1"/>
  <c r="AD33" i="6" s="1"/>
  <c r="AE33" i="6" s="1"/>
  <c r="AF33" i="6" s="1"/>
  <c r="AG33" i="6" s="1"/>
  <c r="AH33" i="6" s="1"/>
  <c r="AI33" i="6" s="1"/>
  <c r="AJ33" i="6" s="1"/>
  <c r="AK33" i="6" s="1"/>
  <c r="AL33" i="6" s="1"/>
  <c r="AM33" i="6" s="1"/>
  <c r="AN33" i="6" s="1"/>
  <c r="AO33" i="6" s="1"/>
  <c r="AP33" i="6" s="1"/>
  <c r="AQ33" i="6" s="1"/>
  <c r="AR33" i="6" s="1"/>
  <c r="AS33" i="6" s="1"/>
  <c r="AT33" i="6" s="1"/>
  <c r="AU33" i="6" s="1"/>
  <c r="AV33" i="6" s="1"/>
  <c r="AW33" i="6" s="1"/>
  <c r="AX33" i="6" s="1"/>
  <c r="AY33" i="6" s="1"/>
  <c r="AZ33" i="6" s="1"/>
  <c r="BA33" i="6" s="1"/>
  <c r="BB33" i="6" s="1"/>
  <c r="BC33" i="6" s="1"/>
  <c r="BD33" i="6" s="1"/>
  <c r="BE33" i="6" s="1"/>
  <c r="BF33" i="6" s="1"/>
  <c r="BG33" i="6" s="1"/>
  <c r="BH33" i="6" s="1"/>
  <c r="BI33" i="6" s="1"/>
  <c r="BJ33" i="6" s="1"/>
  <c r="BK33" i="6" s="1"/>
  <c r="BL33" i="6" s="1"/>
  <c r="BM33" i="6" s="1"/>
  <c r="BN33" i="6" s="1"/>
  <c r="BO33" i="6" s="1"/>
  <c r="BP33" i="6" s="1"/>
  <c r="BQ33" i="6" s="1"/>
  <c r="N31" i="17"/>
  <c r="O31" i="17" s="1"/>
  <c r="N36" i="17"/>
  <c r="O36" i="17" s="1"/>
  <c r="X8" i="6"/>
  <c r="N8" i="17"/>
  <c r="O8" i="17" s="1"/>
  <c r="N29" i="17"/>
  <c r="O29" i="17" s="1"/>
  <c r="N41" i="17"/>
  <c r="O41" i="17" s="1"/>
  <c r="W43" i="6"/>
  <c r="N40" i="17" s="1"/>
  <c r="O40" i="17" s="1"/>
  <c r="G24" i="16" s="1"/>
  <c r="N33" i="17"/>
  <c r="O33" i="17" s="1"/>
  <c r="N30" i="17"/>
  <c r="O30" i="17" s="1"/>
  <c r="AD61" i="24" l="1"/>
  <c r="AD59" i="24" s="1"/>
  <c r="AD61" i="28"/>
  <c r="AD59" i="28" s="1"/>
  <c r="AU98" i="24"/>
  <c r="AU96" i="24" s="1"/>
  <c r="AU80" i="24" s="1"/>
  <c r="AU100" i="24" s="1"/>
  <c r="AU105" i="24" s="1"/>
  <c r="AU113" i="24" s="1"/>
  <c r="AU98" i="28"/>
  <c r="AU96" i="28" s="1"/>
  <c r="AU80" i="28" s="1"/>
  <c r="AU100" i="28" s="1"/>
  <c r="AU105" i="28" s="1"/>
  <c r="AU113" i="28" s="1"/>
  <c r="BA98" i="24"/>
  <c r="BA96" i="24" s="1"/>
  <c r="BA80" i="24" s="1"/>
  <c r="BA100" i="24" s="1"/>
  <c r="BA105" i="24" s="1"/>
  <c r="BA113" i="24" s="1"/>
  <c r="BA98" i="28"/>
  <c r="BA96" i="28" s="1"/>
  <c r="BA80" i="28" s="1"/>
  <c r="BA100" i="28" s="1"/>
  <c r="BA105" i="28" s="1"/>
  <c r="BA113" i="28" s="1"/>
  <c r="BC61" i="24"/>
  <c r="BC59" i="24" s="1"/>
  <c r="BC61" i="28"/>
  <c r="BC59" i="28" s="1"/>
  <c r="BL98" i="24"/>
  <c r="BL96" i="24" s="1"/>
  <c r="BL80" i="24" s="1"/>
  <c r="BL100" i="24" s="1"/>
  <c r="BL105" i="24" s="1"/>
  <c r="BL113" i="24" s="1"/>
  <c r="BL98" i="28"/>
  <c r="BL96" i="28" s="1"/>
  <c r="BL80" i="28" s="1"/>
  <c r="BL100" i="28" s="1"/>
  <c r="BL105" i="28" s="1"/>
  <c r="BL113" i="28" s="1"/>
  <c r="AK61" i="24"/>
  <c r="AK59" i="24" s="1"/>
  <c r="AK13" i="24" s="1"/>
  <c r="AK11" i="24" s="1"/>
  <c r="AK5" i="24" s="1"/>
  <c r="AK61" i="28"/>
  <c r="AK59" i="28" s="1"/>
  <c r="AC61" i="24"/>
  <c r="AC59" i="24" s="1"/>
  <c r="AC13" i="24" s="1"/>
  <c r="AC11" i="24" s="1"/>
  <c r="AC5" i="24" s="1"/>
  <c r="AC61" i="28"/>
  <c r="AC59" i="28" s="1"/>
  <c r="BB98" i="24"/>
  <c r="BB96" i="24" s="1"/>
  <c r="BB80" i="24" s="1"/>
  <c r="BB100" i="24" s="1"/>
  <c r="BB105" i="24" s="1"/>
  <c r="BB113" i="24" s="1"/>
  <c r="BB98" i="28"/>
  <c r="BB96" i="28" s="1"/>
  <c r="BB80" i="28" s="1"/>
  <c r="BB100" i="28" s="1"/>
  <c r="BB105" i="28" s="1"/>
  <c r="BB113" i="28" s="1"/>
  <c r="AA61" i="24"/>
  <c r="AA59" i="24" s="1"/>
  <c r="AA61" i="28"/>
  <c r="AA59" i="28" s="1"/>
  <c r="AE98" i="24"/>
  <c r="AE96" i="24" s="1"/>
  <c r="AE80" i="24" s="1"/>
  <c r="AE100" i="24" s="1"/>
  <c r="AE105" i="24" s="1"/>
  <c r="AE113" i="24" s="1"/>
  <c r="AE98" i="28"/>
  <c r="AE96" i="28" s="1"/>
  <c r="AE80" i="28" s="1"/>
  <c r="AE100" i="28" s="1"/>
  <c r="AE105" i="28" s="1"/>
  <c r="AE113" i="28" s="1"/>
  <c r="BP61" i="24"/>
  <c r="BP59" i="24" s="1"/>
  <c r="BP61" i="28"/>
  <c r="BP59" i="28" s="1"/>
  <c r="AL98" i="24"/>
  <c r="AL96" i="24" s="1"/>
  <c r="AL80" i="24" s="1"/>
  <c r="AL100" i="24" s="1"/>
  <c r="AL105" i="24" s="1"/>
  <c r="AL113" i="24" s="1"/>
  <c r="AL98" i="28"/>
  <c r="AL96" i="28" s="1"/>
  <c r="AL80" i="28" s="1"/>
  <c r="AL100" i="28" s="1"/>
  <c r="AL105" i="28" s="1"/>
  <c r="AL113" i="28" s="1"/>
  <c r="AP98" i="24"/>
  <c r="AP96" i="24" s="1"/>
  <c r="AP80" i="24" s="1"/>
  <c r="AP100" i="24" s="1"/>
  <c r="AP105" i="24" s="1"/>
  <c r="AP113" i="24" s="1"/>
  <c r="AP98" i="28"/>
  <c r="AP96" i="28" s="1"/>
  <c r="AP80" i="28" s="1"/>
  <c r="AP100" i="28" s="1"/>
  <c r="AP105" i="28" s="1"/>
  <c r="AP113" i="28" s="1"/>
  <c r="AH98" i="24"/>
  <c r="AH96" i="24" s="1"/>
  <c r="AH80" i="24" s="1"/>
  <c r="AH100" i="24" s="1"/>
  <c r="AH105" i="24" s="1"/>
  <c r="AH113" i="24" s="1"/>
  <c r="AH98" i="28"/>
  <c r="AH96" i="28" s="1"/>
  <c r="AH80" i="28" s="1"/>
  <c r="AH100" i="28" s="1"/>
  <c r="AH105" i="28" s="1"/>
  <c r="AH113" i="28" s="1"/>
  <c r="Z98" i="24"/>
  <c r="Z96" i="24" s="1"/>
  <c r="Z80" i="24" s="1"/>
  <c r="Z100" i="24" s="1"/>
  <c r="Z105" i="24" s="1"/>
  <c r="Z113" i="24" s="1"/>
  <c r="Z98" i="28"/>
  <c r="Z96" i="28" s="1"/>
  <c r="Z80" i="28" s="1"/>
  <c r="Z100" i="28" s="1"/>
  <c r="Z105" i="28" s="1"/>
  <c r="Z113" i="28" s="1"/>
  <c r="AG98" i="24"/>
  <c r="AG96" i="24" s="1"/>
  <c r="AG80" i="24" s="1"/>
  <c r="AG100" i="24" s="1"/>
  <c r="AG105" i="24" s="1"/>
  <c r="AG113" i="24" s="1"/>
  <c r="AG98" i="28"/>
  <c r="AG96" i="28" s="1"/>
  <c r="AG80" i="28" s="1"/>
  <c r="AG100" i="28" s="1"/>
  <c r="AG105" i="28" s="1"/>
  <c r="AG113" i="28" s="1"/>
  <c r="BG98" i="24"/>
  <c r="BG96" i="24" s="1"/>
  <c r="BG80" i="24" s="1"/>
  <c r="BG100" i="24" s="1"/>
  <c r="BG105" i="24" s="1"/>
  <c r="BG113" i="24" s="1"/>
  <c r="BG98" i="28"/>
  <c r="BG96" i="28" s="1"/>
  <c r="BG80" i="28" s="1"/>
  <c r="BG100" i="28" s="1"/>
  <c r="BG105" i="28" s="1"/>
  <c r="BG113" i="28" s="1"/>
  <c r="BF61" i="24"/>
  <c r="BF59" i="24" s="1"/>
  <c r="BF61" i="28"/>
  <c r="BF59" i="28" s="1"/>
  <c r="BE98" i="24"/>
  <c r="BE96" i="24" s="1"/>
  <c r="BE80" i="24" s="1"/>
  <c r="BE100" i="24" s="1"/>
  <c r="BE105" i="24" s="1"/>
  <c r="BE113" i="24" s="1"/>
  <c r="BE98" i="28"/>
  <c r="BE96" i="28" s="1"/>
  <c r="BE80" i="28" s="1"/>
  <c r="BE100" i="28" s="1"/>
  <c r="BE105" i="28" s="1"/>
  <c r="BE113" i="28" s="1"/>
  <c r="AW98" i="24"/>
  <c r="AW96" i="24" s="1"/>
  <c r="AW80" i="24" s="1"/>
  <c r="AW100" i="24" s="1"/>
  <c r="AW105" i="24" s="1"/>
  <c r="AW113" i="24" s="1"/>
  <c r="AW98" i="28"/>
  <c r="AW96" i="28" s="1"/>
  <c r="AW80" i="28" s="1"/>
  <c r="AW100" i="28" s="1"/>
  <c r="AW105" i="28" s="1"/>
  <c r="AW113" i="28" s="1"/>
  <c r="AO98" i="24"/>
  <c r="AO96" i="24" s="1"/>
  <c r="AO80" i="24" s="1"/>
  <c r="AO100" i="24" s="1"/>
  <c r="AO105" i="24" s="1"/>
  <c r="AO113" i="24" s="1"/>
  <c r="AO98" i="28"/>
  <c r="AO96" i="28" s="1"/>
  <c r="AO80" i="28" s="1"/>
  <c r="AO100" i="28" s="1"/>
  <c r="AO105" i="28" s="1"/>
  <c r="AO113" i="28" s="1"/>
  <c r="BH61" i="24"/>
  <c r="BH59" i="24" s="1"/>
  <c r="BH58" i="24" s="1"/>
  <c r="BH61" i="28"/>
  <c r="BH59" i="28" s="1"/>
  <c r="AH61" i="24"/>
  <c r="AH59" i="24" s="1"/>
  <c r="AH13" i="24" s="1"/>
  <c r="AH11" i="24" s="1"/>
  <c r="AH5" i="24" s="1"/>
  <c r="AH61" i="28"/>
  <c r="AH59" i="28" s="1"/>
  <c r="Z61" i="24"/>
  <c r="Z59" i="24" s="1"/>
  <c r="Z58" i="24" s="1"/>
  <c r="Z24" i="24" s="1"/>
  <c r="Z61" i="28"/>
  <c r="Z59" i="28" s="1"/>
  <c r="AS98" i="24"/>
  <c r="AS96" i="24" s="1"/>
  <c r="AS80" i="24" s="1"/>
  <c r="AS100" i="24" s="1"/>
  <c r="AS105" i="24" s="1"/>
  <c r="AS113" i="24" s="1"/>
  <c r="AS98" i="28"/>
  <c r="AS96" i="28" s="1"/>
  <c r="AS80" i="28" s="1"/>
  <c r="AS100" i="28" s="1"/>
  <c r="AS105" i="28" s="1"/>
  <c r="AS113" i="28" s="1"/>
  <c r="AF61" i="24"/>
  <c r="AF59" i="24" s="1"/>
  <c r="AF61" i="28"/>
  <c r="AF59" i="28" s="1"/>
  <c r="AN98" i="24"/>
  <c r="AN96" i="24" s="1"/>
  <c r="AN80" i="24" s="1"/>
  <c r="AN100" i="24" s="1"/>
  <c r="AN105" i="24" s="1"/>
  <c r="AN113" i="24" s="1"/>
  <c r="AN98" i="28"/>
  <c r="AN96" i="28" s="1"/>
  <c r="AN80" i="28" s="1"/>
  <c r="AN100" i="28" s="1"/>
  <c r="AN105" i="28" s="1"/>
  <c r="AN113" i="28" s="1"/>
  <c r="X61" i="24"/>
  <c r="X59" i="24" s="1"/>
  <c r="X61" i="28"/>
  <c r="X59" i="28" s="1"/>
  <c r="AV61" i="24"/>
  <c r="AV59" i="24" s="1"/>
  <c r="AV61" i="28"/>
  <c r="AV59" i="28" s="1"/>
  <c r="AW61" i="24"/>
  <c r="AW59" i="24" s="1"/>
  <c r="AW58" i="24" s="1"/>
  <c r="AW61" i="28"/>
  <c r="AW59" i="28" s="1"/>
  <c r="X98" i="24"/>
  <c r="X96" i="24" s="1"/>
  <c r="X80" i="24" s="1"/>
  <c r="X100" i="24" s="1"/>
  <c r="X105" i="24" s="1"/>
  <c r="X113" i="24" s="1"/>
  <c r="X98" i="28"/>
  <c r="X96" i="28" s="1"/>
  <c r="X80" i="28" s="1"/>
  <c r="X100" i="28" s="1"/>
  <c r="X105" i="28" s="1"/>
  <c r="X113" i="28" s="1"/>
  <c r="BP98" i="24"/>
  <c r="BP96" i="24" s="1"/>
  <c r="BP80" i="24" s="1"/>
  <c r="BP100" i="24" s="1"/>
  <c r="BP105" i="24" s="1"/>
  <c r="BP113" i="24" s="1"/>
  <c r="BP98" i="28"/>
  <c r="BP96" i="28" s="1"/>
  <c r="BP80" i="28" s="1"/>
  <c r="BP100" i="28" s="1"/>
  <c r="BP105" i="28" s="1"/>
  <c r="BP113" i="28" s="1"/>
  <c r="BH98" i="24"/>
  <c r="BH96" i="24" s="1"/>
  <c r="BH80" i="24" s="1"/>
  <c r="BH100" i="24" s="1"/>
  <c r="BH105" i="24" s="1"/>
  <c r="BH113" i="24" s="1"/>
  <c r="BH98" i="28"/>
  <c r="BH96" i="28" s="1"/>
  <c r="BH80" i="28" s="1"/>
  <c r="BH100" i="28" s="1"/>
  <c r="BH105" i="28" s="1"/>
  <c r="BH113" i="28" s="1"/>
  <c r="AB98" i="24"/>
  <c r="AB96" i="24" s="1"/>
  <c r="AB80" i="24" s="1"/>
  <c r="AB100" i="24" s="1"/>
  <c r="AB105" i="24" s="1"/>
  <c r="AB113" i="24" s="1"/>
  <c r="AB98" i="28"/>
  <c r="AB96" i="28" s="1"/>
  <c r="AB80" i="28" s="1"/>
  <c r="AB100" i="28" s="1"/>
  <c r="AB105" i="28" s="1"/>
  <c r="AB113" i="28" s="1"/>
  <c r="AR61" i="24"/>
  <c r="AR59" i="24" s="1"/>
  <c r="AR61" i="28"/>
  <c r="AR59" i="28" s="1"/>
  <c r="BK98" i="24"/>
  <c r="BK96" i="24" s="1"/>
  <c r="BK80" i="24" s="1"/>
  <c r="BK100" i="24" s="1"/>
  <c r="BK105" i="24" s="1"/>
  <c r="BK113" i="24" s="1"/>
  <c r="BK98" i="28"/>
  <c r="BK96" i="28" s="1"/>
  <c r="BK80" i="28" s="1"/>
  <c r="BK100" i="28" s="1"/>
  <c r="BK105" i="28" s="1"/>
  <c r="BK113" i="28" s="1"/>
  <c r="AB61" i="24"/>
  <c r="AB59" i="24" s="1"/>
  <c r="AB13" i="24" s="1"/>
  <c r="AB11" i="24" s="1"/>
  <c r="AB5" i="24" s="1"/>
  <c r="AB61" i="28"/>
  <c r="AB59" i="28" s="1"/>
  <c r="AQ61" i="24"/>
  <c r="AQ59" i="24" s="1"/>
  <c r="AQ61" i="28"/>
  <c r="AQ59" i="28" s="1"/>
  <c r="BQ61" i="24"/>
  <c r="BQ59" i="24" s="1"/>
  <c r="BQ61" i="28"/>
  <c r="BQ59" i="28" s="1"/>
  <c r="BD98" i="24"/>
  <c r="BD96" i="24" s="1"/>
  <c r="BD80" i="24" s="1"/>
  <c r="BD100" i="24" s="1"/>
  <c r="BD105" i="24" s="1"/>
  <c r="BD113" i="24" s="1"/>
  <c r="BD98" i="28"/>
  <c r="BD96" i="28" s="1"/>
  <c r="BD80" i="28" s="1"/>
  <c r="BD100" i="28" s="1"/>
  <c r="BD105" i="28" s="1"/>
  <c r="BD113" i="28" s="1"/>
  <c r="AJ98" i="24"/>
  <c r="AJ96" i="24" s="1"/>
  <c r="AJ80" i="24" s="1"/>
  <c r="AJ100" i="24" s="1"/>
  <c r="AJ105" i="24" s="1"/>
  <c r="AJ113" i="24" s="1"/>
  <c r="AJ98" i="28"/>
  <c r="AJ96" i="28" s="1"/>
  <c r="AJ80" i="28" s="1"/>
  <c r="AJ100" i="28" s="1"/>
  <c r="AJ105" i="28" s="1"/>
  <c r="AJ113" i="28" s="1"/>
  <c r="BN98" i="24"/>
  <c r="BN96" i="24" s="1"/>
  <c r="BN80" i="24" s="1"/>
  <c r="BN100" i="24" s="1"/>
  <c r="BN105" i="24" s="1"/>
  <c r="BN113" i="24" s="1"/>
  <c r="BN98" i="28"/>
  <c r="BN96" i="28" s="1"/>
  <c r="BN80" i="28" s="1"/>
  <c r="BN100" i="28" s="1"/>
  <c r="BN105" i="28" s="1"/>
  <c r="BN113" i="28" s="1"/>
  <c r="AU61" i="24"/>
  <c r="AU59" i="24" s="1"/>
  <c r="AU61" i="28"/>
  <c r="AU59" i="28" s="1"/>
  <c r="AX61" i="24"/>
  <c r="AX59" i="24" s="1"/>
  <c r="AX61" i="28"/>
  <c r="AX59" i="28" s="1"/>
  <c r="AI98" i="24"/>
  <c r="AI96" i="24" s="1"/>
  <c r="AI80" i="24" s="1"/>
  <c r="AI100" i="24" s="1"/>
  <c r="AI105" i="24" s="1"/>
  <c r="AI113" i="24" s="1"/>
  <c r="AI98" i="28"/>
  <c r="AI96" i="28" s="1"/>
  <c r="AI80" i="28" s="1"/>
  <c r="AI100" i="28" s="1"/>
  <c r="AI105" i="28" s="1"/>
  <c r="AI113" i="28" s="1"/>
  <c r="AM61" i="24"/>
  <c r="AM59" i="24" s="1"/>
  <c r="AM61" i="28"/>
  <c r="AM59" i="28" s="1"/>
  <c r="AD98" i="24"/>
  <c r="AD96" i="24" s="1"/>
  <c r="AD80" i="24" s="1"/>
  <c r="AD100" i="24" s="1"/>
  <c r="AD105" i="24" s="1"/>
  <c r="AD113" i="24" s="1"/>
  <c r="AD98" i="28"/>
  <c r="AD96" i="28" s="1"/>
  <c r="AD80" i="28" s="1"/>
  <c r="AD100" i="28" s="1"/>
  <c r="AD105" i="28" s="1"/>
  <c r="AD113" i="28" s="1"/>
  <c r="BB61" i="24"/>
  <c r="BB59" i="24" s="1"/>
  <c r="BB58" i="24" s="1"/>
  <c r="BB61" i="28"/>
  <c r="BB59" i="28" s="1"/>
  <c r="AK98" i="24"/>
  <c r="AK96" i="24" s="1"/>
  <c r="AK80" i="24" s="1"/>
  <c r="AK100" i="24" s="1"/>
  <c r="AK105" i="24" s="1"/>
  <c r="AK113" i="24" s="1"/>
  <c r="AK98" i="28"/>
  <c r="AK96" i="28" s="1"/>
  <c r="AK80" i="28" s="1"/>
  <c r="AK100" i="28" s="1"/>
  <c r="AK105" i="28" s="1"/>
  <c r="AK113" i="28" s="1"/>
  <c r="BI98" i="24"/>
  <c r="BI96" i="24" s="1"/>
  <c r="BI80" i="24" s="1"/>
  <c r="BI100" i="24" s="1"/>
  <c r="BI105" i="24" s="1"/>
  <c r="BI113" i="24" s="1"/>
  <c r="BI98" i="28"/>
  <c r="BI96" i="28" s="1"/>
  <c r="BI80" i="28" s="1"/>
  <c r="BI100" i="28" s="1"/>
  <c r="BI105" i="28" s="1"/>
  <c r="BI113" i="28" s="1"/>
  <c r="AP61" i="24"/>
  <c r="AP59" i="24" s="1"/>
  <c r="AP61" i="28"/>
  <c r="AP59" i="28" s="1"/>
  <c r="AT61" i="24"/>
  <c r="AT59" i="24" s="1"/>
  <c r="AT61" i="28"/>
  <c r="AT59" i="28" s="1"/>
  <c r="AX98" i="24"/>
  <c r="AX96" i="24" s="1"/>
  <c r="AX80" i="24" s="1"/>
  <c r="AX100" i="24" s="1"/>
  <c r="AX105" i="24" s="1"/>
  <c r="AX113" i="24" s="1"/>
  <c r="AX98" i="28"/>
  <c r="AX96" i="28" s="1"/>
  <c r="AX80" i="28" s="1"/>
  <c r="AX100" i="28" s="1"/>
  <c r="AX105" i="28" s="1"/>
  <c r="AX113" i="28" s="1"/>
  <c r="AY98" i="24"/>
  <c r="AY96" i="24" s="1"/>
  <c r="AY80" i="24" s="1"/>
  <c r="AY100" i="24" s="1"/>
  <c r="AY105" i="24" s="1"/>
  <c r="AY113" i="24" s="1"/>
  <c r="AY98" i="28"/>
  <c r="AY96" i="28" s="1"/>
  <c r="AY80" i="28" s="1"/>
  <c r="AY100" i="28" s="1"/>
  <c r="AY105" i="28" s="1"/>
  <c r="AY113" i="28" s="1"/>
  <c r="AR98" i="24"/>
  <c r="AR96" i="24" s="1"/>
  <c r="AR80" i="24" s="1"/>
  <c r="AR100" i="24" s="1"/>
  <c r="AR105" i="24" s="1"/>
  <c r="AR113" i="24" s="1"/>
  <c r="AR98" i="28"/>
  <c r="AR96" i="28" s="1"/>
  <c r="AR80" i="28" s="1"/>
  <c r="AR100" i="28" s="1"/>
  <c r="AR105" i="28" s="1"/>
  <c r="AR113" i="28" s="1"/>
  <c r="AJ61" i="24"/>
  <c r="AJ59" i="24" s="1"/>
  <c r="AJ61" i="28"/>
  <c r="AJ59" i="28" s="1"/>
  <c r="BO61" i="24"/>
  <c r="BO59" i="24" s="1"/>
  <c r="BO61" i="28"/>
  <c r="BO59" i="28" s="1"/>
  <c r="Y61" i="24"/>
  <c r="Y59" i="24" s="1"/>
  <c r="Y13" i="24" s="1"/>
  <c r="Y11" i="24" s="1"/>
  <c r="Y5" i="24" s="1"/>
  <c r="Y61" i="28"/>
  <c r="Y59" i="28" s="1"/>
  <c r="BL61" i="24"/>
  <c r="BL59" i="24" s="1"/>
  <c r="BL61" i="28"/>
  <c r="BL59" i="28" s="1"/>
  <c r="AS61" i="24"/>
  <c r="AS59" i="24" s="1"/>
  <c r="AS58" i="24" s="1"/>
  <c r="AS61" i="28"/>
  <c r="AS59" i="28" s="1"/>
  <c r="AO61" i="24"/>
  <c r="AO59" i="24" s="1"/>
  <c r="AO58" i="24" s="1"/>
  <c r="AO61" i="28"/>
  <c r="AO59" i="28" s="1"/>
  <c r="AZ98" i="24"/>
  <c r="AZ96" i="24" s="1"/>
  <c r="AZ80" i="24" s="1"/>
  <c r="AZ100" i="24" s="1"/>
  <c r="AZ105" i="24" s="1"/>
  <c r="AZ113" i="24" s="1"/>
  <c r="AZ98" i="28"/>
  <c r="AZ96" i="28" s="1"/>
  <c r="AZ80" i="28" s="1"/>
  <c r="AZ100" i="28" s="1"/>
  <c r="AZ105" i="28" s="1"/>
  <c r="AZ113" i="28" s="1"/>
  <c r="BA61" i="24"/>
  <c r="BA59" i="24" s="1"/>
  <c r="BA58" i="24" s="1"/>
  <c r="BA61" i="28"/>
  <c r="BA59" i="28" s="1"/>
  <c r="AC98" i="24"/>
  <c r="AC96" i="24" s="1"/>
  <c r="AC80" i="24" s="1"/>
  <c r="AC100" i="24" s="1"/>
  <c r="AC105" i="24" s="1"/>
  <c r="AC113" i="24" s="1"/>
  <c r="AC98" i="28"/>
  <c r="AC96" i="28" s="1"/>
  <c r="AC80" i="28" s="1"/>
  <c r="AC100" i="28" s="1"/>
  <c r="AC105" i="28" s="1"/>
  <c r="AC113" i="28" s="1"/>
  <c r="AY61" i="24"/>
  <c r="AY59" i="24" s="1"/>
  <c r="AY61" i="28"/>
  <c r="AY59" i="28" s="1"/>
  <c r="BE61" i="24"/>
  <c r="BE59" i="24" s="1"/>
  <c r="BE58" i="24" s="1"/>
  <c r="BE61" i="28"/>
  <c r="BE59" i="28" s="1"/>
  <c r="BG61" i="24"/>
  <c r="BG59" i="24" s="1"/>
  <c r="BG61" i="28"/>
  <c r="BG59" i="28" s="1"/>
  <c r="BD61" i="24"/>
  <c r="BD59" i="24" s="1"/>
  <c r="BD61" i="28"/>
  <c r="BD59" i="28" s="1"/>
  <c r="AZ61" i="24"/>
  <c r="AZ59" i="24" s="1"/>
  <c r="AZ61" i="28"/>
  <c r="AZ59" i="28" s="1"/>
  <c r="BM61" i="24"/>
  <c r="BM59" i="24" s="1"/>
  <c r="BM58" i="24" s="1"/>
  <c r="BM61" i="28"/>
  <c r="BM59" i="28" s="1"/>
  <c r="AG61" i="24"/>
  <c r="AG59" i="24" s="1"/>
  <c r="AG13" i="24" s="1"/>
  <c r="AG11" i="24" s="1"/>
  <c r="AG5" i="24" s="1"/>
  <c r="AG61" i="28"/>
  <c r="AG59" i="28" s="1"/>
  <c r="BJ98" i="24"/>
  <c r="BJ96" i="24" s="1"/>
  <c r="BJ80" i="24" s="1"/>
  <c r="BJ100" i="24" s="1"/>
  <c r="BJ105" i="24" s="1"/>
  <c r="BJ113" i="24" s="1"/>
  <c r="BJ98" i="28"/>
  <c r="BJ96" i="28" s="1"/>
  <c r="BJ80" i="28" s="1"/>
  <c r="BJ100" i="28" s="1"/>
  <c r="BJ105" i="28" s="1"/>
  <c r="BJ113" i="28" s="1"/>
  <c r="U58" i="28"/>
  <c r="U24" i="28" s="1"/>
  <c r="U13" i="28"/>
  <c r="U11" i="28" s="1"/>
  <c r="U5" i="28" s="1"/>
  <c r="U68" i="28" s="1"/>
  <c r="U106" i="28" s="1"/>
  <c r="U107" i="28" s="1"/>
  <c r="U112" i="28" s="1"/>
  <c r="U114" i="28" s="1"/>
  <c r="AL61" i="24"/>
  <c r="AL59" i="24" s="1"/>
  <c r="AL61" i="28"/>
  <c r="AL59" i="28" s="1"/>
  <c r="AA98" i="24"/>
  <c r="AA96" i="24" s="1"/>
  <c r="AA80" i="24" s="1"/>
  <c r="AA100" i="24" s="1"/>
  <c r="AA105" i="24" s="1"/>
  <c r="AA113" i="24" s="1"/>
  <c r="AA98" i="28"/>
  <c r="AA96" i="28" s="1"/>
  <c r="AA80" i="28" s="1"/>
  <c r="AA100" i="28" s="1"/>
  <c r="AA105" i="28" s="1"/>
  <c r="AA113" i="28" s="1"/>
  <c r="AV98" i="24"/>
  <c r="AV96" i="24" s="1"/>
  <c r="AV80" i="24" s="1"/>
  <c r="AV100" i="24" s="1"/>
  <c r="AV105" i="24" s="1"/>
  <c r="AV113" i="24" s="1"/>
  <c r="AV98" i="28"/>
  <c r="AV96" i="28" s="1"/>
  <c r="AV80" i="28" s="1"/>
  <c r="AV100" i="28" s="1"/>
  <c r="AV105" i="28" s="1"/>
  <c r="AV113" i="28" s="1"/>
  <c r="BM98" i="24"/>
  <c r="BM96" i="24" s="1"/>
  <c r="BM80" i="24" s="1"/>
  <c r="BM100" i="24" s="1"/>
  <c r="BM105" i="24" s="1"/>
  <c r="BM113" i="24" s="1"/>
  <c r="BM98" i="28"/>
  <c r="BM96" i="28" s="1"/>
  <c r="BM80" i="28" s="1"/>
  <c r="BM100" i="28" s="1"/>
  <c r="BM105" i="28" s="1"/>
  <c r="BM113" i="28" s="1"/>
  <c r="AN61" i="24"/>
  <c r="AN59" i="24" s="1"/>
  <c r="AN58" i="24" s="1"/>
  <c r="AN61" i="28"/>
  <c r="AN59" i="28" s="1"/>
  <c r="V98" i="24"/>
  <c r="V96" i="24" s="1"/>
  <c r="V80" i="24" s="1"/>
  <c r="V100" i="24" s="1"/>
  <c r="V105" i="24" s="1"/>
  <c r="V113" i="24" s="1"/>
  <c r="V98" i="28"/>
  <c r="V96" i="28" s="1"/>
  <c r="V80" i="28" s="1"/>
  <c r="V100" i="28" s="1"/>
  <c r="V105" i="28" s="1"/>
  <c r="V113" i="28" s="1"/>
  <c r="AQ98" i="24"/>
  <c r="AQ96" i="24" s="1"/>
  <c r="AQ80" i="24" s="1"/>
  <c r="AQ100" i="24" s="1"/>
  <c r="AQ105" i="24" s="1"/>
  <c r="AQ113" i="24" s="1"/>
  <c r="AQ98" i="28"/>
  <c r="AQ96" i="28" s="1"/>
  <c r="AQ80" i="28" s="1"/>
  <c r="AQ100" i="28" s="1"/>
  <c r="AQ105" i="28" s="1"/>
  <c r="AQ113" i="28" s="1"/>
  <c r="BO98" i="24"/>
  <c r="BO96" i="24" s="1"/>
  <c r="BO80" i="24" s="1"/>
  <c r="BO100" i="24" s="1"/>
  <c r="BO105" i="24" s="1"/>
  <c r="BO113" i="24" s="1"/>
  <c r="BO98" i="28"/>
  <c r="BO96" i="28" s="1"/>
  <c r="BO80" i="28" s="1"/>
  <c r="BO100" i="28" s="1"/>
  <c r="BO105" i="28" s="1"/>
  <c r="BO113" i="28" s="1"/>
  <c r="AF98" i="24"/>
  <c r="AF96" i="24" s="1"/>
  <c r="AF80" i="24" s="1"/>
  <c r="AF100" i="24" s="1"/>
  <c r="AF105" i="24" s="1"/>
  <c r="AF113" i="24" s="1"/>
  <c r="AF98" i="28"/>
  <c r="AF96" i="28" s="1"/>
  <c r="AF80" i="28" s="1"/>
  <c r="AF100" i="28" s="1"/>
  <c r="AF105" i="28" s="1"/>
  <c r="AF113" i="28" s="1"/>
  <c r="AI61" i="24"/>
  <c r="AI59" i="24" s="1"/>
  <c r="AI61" i="28"/>
  <c r="AI59" i="28" s="1"/>
  <c r="AE61" i="24"/>
  <c r="AE59" i="24" s="1"/>
  <c r="AE58" i="24" s="1"/>
  <c r="AE24" i="24" s="1"/>
  <c r="AE61" i="28"/>
  <c r="AE59" i="28" s="1"/>
  <c r="BN61" i="24"/>
  <c r="BN59" i="24" s="1"/>
  <c r="BN58" i="24" s="1"/>
  <c r="BN61" i="28"/>
  <c r="BN59" i="28" s="1"/>
  <c r="BF98" i="24"/>
  <c r="BF96" i="24" s="1"/>
  <c r="BF80" i="24" s="1"/>
  <c r="BF100" i="24" s="1"/>
  <c r="BF105" i="24" s="1"/>
  <c r="BF113" i="24" s="1"/>
  <c r="BF98" i="28"/>
  <c r="BF96" i="28" s="1"/>
  <c r="BF80" i="28" s="1"/>
  <c r="BF100" i="28" s="1"/>
  <c r="BF105" i="28" s="1"/>
  <c r="BF113" i="28" s="1"/>
  <c r="AM98" i="24"/>
  <c r="AM96" i="24" s="1"/>
  <c r="AM80" i="24" s="1"/>
  <c r="AM100" i="24" s="1"/>
  <c r="AM105" i="24" s="1"/>
  <c r="AM113" i="24" s="1"/>
  <c r="AM98" i="28"/>
  <c r="AM96" i="28" s="1"/>
  <c r="AM80" i="28" s="1"/>
  <c r="AM100" i="28" s="1"/>
  <c r="AM105" i="28" s="1"/>
  <c r="AM113" i="28" s="1"/>
  <c r="BI61" i="24"/>
  <c r="BI59" i="24" s="1"/>
  <c r="BI61" i="28"/>
  <c r="BI59" i="28" s="1"/>
  <c r="BK61" i="24"/>
  <c r="BK59" i="24" s="1"/>
  <c r="BK61" i="28"/>
  <c r="BK59" i="28" s="1"/>
  <c r="W61" i="24"/>
  <c r="W59" i="24" s="1"/>
  <c r="W61" i="28"/>
  <c r="W59" i="28" s="1"/>
  <c r="BC98" i="24"/>
  <c r="BC96" i="24" s="1"/>
  <c r="BC80" i="24" s="1"/>
  <c r="BC100" i="24" s="1"/>
  <c r="BC105" i="24" s="1"/>
  <c r="BC113" i="24" s="1"/>
  <c r="BC98" i="28"/>
  <c r="BC96" i="28" s="1"/>
  <c r="BC80" i="28" s="1"/>
  <c r="BC100" i="28" s="1"/>
  <c r="BC105" i="28" s="1"/>
  <c r="BC113" i="28" s="1"/>
  <c r="V61" i="24"/>
  <c r="V59" i="24" s="1"/>
  <c r="V61" i="28"/>
  <c r="V59" i="28" s="1"/>
  <c r="AT98" i="24"/>
  <c r="AT96" i="24" s="1"/>
  <c r="AT80" i="24" s="1"/>
  <c r="AT100" i="24" s="1"/>
  <c r="AT105" i="24" s="1"/>
  <c r="AT113" i="24" s="1"/>
  <c r="AT98" i="28"/>
  <c r="AT96" i="28" s="1"/>
  <c r="AT80" i="28" s="1"/>
  <c r="AT100" i="28" s="1"/>
  <c r="AT105" i="28" s="1"/>
  <c r="AT113" i="28" s="1"/>
  <c r="BQ98" i="24"/>
  <c r="BQ96" i="24" s="1"/>
  <c r="BQ80" i="24" s="1"/>
  <c r="BQ100" i="24" s="1"/>
  <c r="BQ105" i="24" s="1"/>
  <c r="BQ113" i="24" s="1"/>
  <c r="BQ98" i="28"/>
  <c r="BQ96" i="28" s="1"/>
  <c r="BQ80" i="28" s="1"/>
  <c r="BQ100" i="28" s="1"/>
  <c r="BQ105" i="28" s="1"/>
  <c r="BQ113" i="28" s="1"/>
  <c r="BJ61" i="24"/>
  <c r="BJ59" i="24" s="1"/>
  <c r="BJ58" i="24" s="1"/>
  <c r="BJ61" i="28"/>
  <c r="BJ59" i="28" s="1"/>
  <c r="BP58" i="24"/>
  <c r="BQ58" i="24"/>
  <c r="BL58" i="24"/>
  <c r="BO58" i="24"/>
  <c r="BK58" i="24"/>
  <c r="U68" i="24"/>
  <c r="U106" i="24" s="1"/>
  <c r="U107" i="24" s="1"/>
  <c r="U112" i="24" s="1"/>
  <c r="U114" i="24" s="1"/>
  <c r="W13" i="24"/>
  <c r="W11" i="24" s="1"/>
  <c r="W5" i="24" s="1"/>
  <c r="W58" i="24"/>
  <c r="W24" i="24" s="1"/>
  <c r="AL58" i="24"/>
  <c r="AD13" i="24"/>
  <c r="AD11" i="24" s="1"/>
  <c r="AD5" i="24" s="1"/>
  <c r="AD58" i="24"/>
  <c r="AD24" i="24" s="1"/>
  <c r="BC58" i="24"/>
  <c r="BI58" i="24"/>
  <c r="AA13" i="24"/>
  <c r="AA11" i="24" s="1"/>
  <c r="AA5" i="24" s="1"/>
  <c r="AA58" i="24"/>
  <c r="AA24" i="24" s="1"/>
  <c r="V13" i="24"/>
  <c r="V11" i="24" s="1"/>
  <c r="V5" i="24" s="1"/>
  <c r="V58" i="24"/>
  <c r="V24" i="24" s="1"/>
  <c r="AY58" i="24"/>
  <c r="AQ58" i="24"/>
  <c r="AI13" i="24"/>
  <c r="AI11" i="24" s="1"/>
  <c r="AI5" i="24" s="1"/>
  <c r="AI58" i="24"/>
  <c r="AI24" i="24" s="1"/>
  <c r="AP58" i="24"/>
  <c r="BF58" i="24"/>
  <c r="AX58" i="24"/>
  <c r="AE13" i="24"/>
  <c r="AE11" i="24" s="1"/>
  <c r="AE5" i="24" s="1"/>
  <c r="Y98" i="6"/>
  <c r="Y98" i="24"/>
  <c r="Y96" i="24" s="1"/>
  <c r="Y80" i="24" s="1"/>
  <c r="Y100" i="24" s="1"/>
  <c r="Y105" i="24" s="1"/>
  <c r="Y113" i="24" s="1"/>
  <c r="BD58" i="24"/>
  <c r="AT58" i="24"/>
  <c r="AF13" i="24"/>
  <c r="AF11" i="24" s="1"/>
  <c r="AF5" i="24" s="1"/>
  <c r="AF58" i="24"/>
  <c r="AF24" i="24" s="1"/>
  <c r="X13" i="24"/>
  <c r="X11" i="24" s="1"/>
  <c r="X5" i="24" s="1"/>
  <c r="X58" i="24"/>
  <c r="X24" i="24" s="1"/>
  <c r="AV58" i="24"/>
  <c r="AR58" i="24"/>
  <c r="AB58" i="24"/>
  <c r="AB24" i="24" s="1"/>
  <c r="BG58" i="24"/>
  <c r="AU58" i="24"/>
  <c r="AZ58" i="24"/>
  <c r="AM58" i="24"/>
  <c r="AJ13" i="24"/>
  <c r="AJ11" i="24" s="1"/>
  <c r="AJ5" i="24" s="1"/>
  <c r="AJ58" i="24"/>
  <c r="AJ24" i="24" s="1"/>
  <c r="BE8" i="11"/>
  <c r="BE7" i="11"/>
  <c r="BE7" i="10"/>
  <c r="BE32" i="10" s="1"/>
  <c r="BD6" i="11"/>
  <c r="BD21" i="11" s="1"/>
  <c r="BE7" i="8" s="1"/>
  <c r="BE6" i="8" s="1"/>
  <c r="BM8" i="12"/>
  <c r="BM21" i="12" s="1"/>
  <c r="BG36" i="6"/>
  <c r="BG27" i="8"/>
  <c r="BG37" i="6"/>
  <c r="BG29" i="6"/>
  <c r="BG28" i="6"/>
  <c r="BF6" i="10"/>
  <c r="BG28" i="8"/>
  <c r="BG35" i="8"/>
  <c r="BG36" i="8"/>
  <c r="BA5" i="20"/>
  <c r="G10" i="20"/>
  <c r="G5" i="20" s="1"/>
  <c r="F5" i="20"/>
  <c r="AV5" i="20"/>
  <c r="AW5" i="20"/>
  <c r="AY5" i="20"/>
  <c r="Y34" i="8"/>
  <c r="Y43" i="8"/>
  <c r="X42" i="8"/>
  <c r="Y26" i="8"/>
  <c r="AX5" i="20"/>
  <c r="AU5" i="20"/>
  <c r="AZ5" i="20"/>
  <c r="AT5" i="20"/>
  <c r="BB37" i="20"/>
  <c r="BB5" i="20" s="1"/>
  <c r="T57" i="8"/>
  <c r="T23" i="8" s="1"/>
  <c r="T13" i="8"/>
  <c r="T11" i="8" s="1"/>
  <c r="T5" i="8" s="1"/>
  <c r="T97" i="8"/>
  <c r="T95" i="8" s="1"/>
  <c r="T79" i="8" s="1"/>
  <c r="T97" i="7"/>
  <c r="T95" i="7" s="1"/>
  <c r="T98" i="6"/>
  <c r="T114" i="8"/>
  <c r="L26" i="1" s="1"/>
  <c r="K58" i="17"/>
  <c r="T59" i="6"/>
  <c r="T13" i="6" s="1"/>
  <c r="BH11" i="10"/>
  <c r="BH33" i="10" s="1"/>
  <c r="BG11" i="10"/>
  <c r="BG33" i="10" s="1"/>
  <c r="BH28" i="7"/>
  <c r="X33" i="7"/>
  <c r="Y34" i="7"/>
  <c r="Y43" i="7"/>
  <c r="X42" i="7"/>
  <c r="Y26" i="7"/>
  <c r="N107" i="6"/>
  <c r="N112" i="6" s="1"/>
  <c r="S106" i="6"/>
  <c r="Y12" i="6"/>
  <c r="Y8" i="6"/>
  <c r="G28" i="16"/>
  <c r="I28" i="16" s="1"/>
  <c r="I24" i="16"/>
  <c r="X43" i="6"/>
  <c r="P111" i="6"/>
  <c r="Y62" i="6"/>
  <c r="BI58" i="28" l="1"/>
  <c r="BI24" i="28" s="1"/>
  <c r="BI13" i="28"/>
  <c r="BI11" i="28" s="1"/>
  <c r="BI5" i="28" s="1"/>
  <c r="BI68" i="28" s="1"/>
  <c r="BI106" i="28" s="1"/>
  <c r="BI107" i="28" s="1"/>
  <c r="BI112" i="28" s="1"/>
  <c r="AJ58" i="28"/>
  <c r="AJ24" i="28" s="1"/>
  <c r="AJ13" i="28"/>
  <c r="AJ11" i="28" s="1"/>
  <c r="AJ5" i="28" s="1"/>
  <c r="AJ68" i="28" s="1"/>
  <c r="AJ106" i="28" s="1"/>
  <c r="AJ107" i="28" s="1"/>
  <c r="AJ112" i="28" s="1"/>
  <c r="BB58" i="28"/>
  <c r="BB24" i="28" s="1"/>
  <c r="BB13" i="28"/>
  <c r="BB11" i="28" s="1"/>
  <c r="BB5" i="28" s="1"/>
  <c r="Z58" i="28"/>
  <c r="Z24" i="28" s="1"/>
  <c r="Z13" i="28"/>
  <c r="Z11" i="28" s="1"/>
  <c r="Z5" i="28" s="1"/>
  <c r="Z68" i="28" s="1"/>
  <c r="Z106" i="28" s="1"/>
  <c r="Z107" i="28" s="1"/>
  <c r="Z112" i="28" s="1"/>
  <c r="BP115" i="24"/>
  <c r="BP115" i="28"/>
  <c r="BQ58" i="28"/>
  <c r="BQ24" i="28" s="1"/>
  <c r="BQ13" i="28"/>
  <c r="BQ11" i="28" s="1"/>
  <c r="BQ5" i="28" s="1"/>
  <c r="AH58" i="28"/>
  <c r="AH24" i="28" s="1"/>
  <c r="AH13" i="28"/>
  <c r="AH11" i="28" s="1"/>
  <c r="AH5" i="28" s="1"/>
  <c r="AC58" i="28"/>
  <c r="AC24" i="28" s="1"/>
  <c r="AC13" i="28"/>
  <c r="AC11" i="28" s="1"/>
  <c r="AC5" i="28" s="1"/>
  <c r="AC68" i="28" s="1"/>
  <c r="AC106" i="28" s="1"/>
  <c r="AC107" i="28" s="1"/>
  <c r="AC112" i="28" s="1"/>
  <c r="AW58" i="28"/>
  <c r="AW24" i="28" s="1"/>
  <c r="AW13" i="28"/>
  <c r="AW11" i="28" s="1"/>
  <c r="AW5" i="28" s="1"/>
  <c r="BI115" i="24"/>
  <c r="BI115" i="28"/>
  <c r="AO58" i="28"/>
  <c r="AO24" i="28" s="1"/>
  <c r="AO13" i="28"/>
  <c r="AO11" i="28" s="1"/>
  <c r="AO5" i="28" s="1"/>
  <c r="AM58" i="28"/>
  <c r="AM24" i="28" s="1"/>
  <c r="AM13" i="28"/>
  <c r="AM11" i="28" s="1"/>
  <c r="AM5" i="28" s="1"/>
  <c r="BH58" i="28"/>
  <c r="BH24" i="28" s="1"/>
  <c r="BH13" i="28"/>
  <c r="BH11" i="28" s="1"/>
  <c r="BH5" i="28" s="1"/>
  <c r="BN58" i="28"/>
  <c r="BN24" i="28" s="1"/>
  <c r="BN13" i="28"/>
  <c r="BN11" i="28" s="1"/>
  <c r="BN5" i="28" s="1"/>
  <c r="AG58" i="28"/>
  <c r="AG24" i="28" s="1"/>
  <c r="AG13" i="28"/>
  <c r="AG11" i="28" s="1"/>
  <c r="AG5" i="28" s="1"/>
  <c r="AK58" i="28"/>
  <c r="AK24" i="28" s="1"/>
  <c r="AK13" i="28"/>
  <c r="AK11" i="28" s="1"/>
  <c r="AK5" i="28" s="1"/>
  <c r="AV58" i="28"/>
  <c r="AV24" i="28" s="1"/>
  <c r="AV13" i="28"/>
  <c r="AV11" i="28" s="1"/>
  <c r="AV5" i="28" s="1"/>
  <c r="AV68" i="28" s="1"/>
  <c r="AV106" i="28" s="1"/>
  <c r="AV107" i="28" s="1"/>
  <c r="AV112" i="28" s="1"/>
  <c r="AE58" i="28"/>
  <c r="AE24" i="28" s="1"/>
  <c r="AE13" i="28"/>
  <c r="AE11" i="28" s="1"/>
  <c r="AE5" i="28" s="1"/>
  <c r="AE68" i="28" s="1"/>
  <c r="AE106" i="28" s="1"/>
  <c r="AE107" i="28" s="1"/>
  <c r="AE112" i="28" s="1"/>
  <c r="X58" i="28"/>
  <c r="X24" i="28" s="1"/>
  <c r="X13" i="28"/>
  <c r="X11" i="28" s="1"/>
  <c r="X5" i="28" s="1"/>
  <c r="X68" i="28" s="1"/>
  <c r="X106" i="28" s="1"/>
  <c r="X107" i="28" s="1"/>
  <c r="X112" i="28" s="1"/>
  <c r="BL58" i="28"/>
  <c r="BL24" i="28" s="1"/>
  <c r="BL13" i="28"/>
  <c r="BL11" i="28" s="1"/>
  <c r="BL5" i="28" s="1"/>
  <c r="BL68" i="28" s="1"/>
  <c r="BL106" i="28" s="1"/>
  <c r="BL107" i="28" s="1"/>
  <c r="BL112" i="28" s="1"/>
  <c r="AU58" i="28"/>
  <c r="AU24" i="28" s="1"/>
  <c r="AU13" i="28"/>
  <c r="AU11" i="28" s="1"/>
  <c r="AU5" i="28" s="1"/>
  <c r="AR58" i="28"/>
  <c r="AR24" i="28" s="1"/>
  <c r="AR13" i="28"/>
  <c r="AR11" i="28" s="1"/>
  <c r="AR5" i="28" s="1"/>
  <c r="V115" i="24"/>
  <c r="V115" i="28"/>
  <c r="BA58" i="28"/>
  <c r="BA24" i="28" s="1"/>
  <c r="BA13" i="28"/>
  <c r="BA11" i="28" s="1"/>
  <c r="BA5" i="28" s="1"/>
  <c r="BM115" i="24"/>
  <c r="BM115" i="28"/>
  <c r="V58" i="28"/>
  <c r="V24" i="28" s="1"/>
  <c r="V13" i="28"/>
  <c r="V11" i="28" s="1"/>
  <c r="V5" i="28" s="1"/>
  <c r="V68" i="28" s="1"/>
  <c r="V106" i="28" s="1"/>
  <c r="V107" i="28" s="1"/>
  <c r="V112" i="28" s="1"/>
  <c r="BD58" i="28"/>
  <c r="BD24" i="28" s="1"/>
  <c r="BD13" i="28"/>
  <c r="BD11" i="28" s="1"/>
  <c r="BD5" i="28" s="1"/>
  <c r="AS58" i="28"/>
  <c r="AS24" i="28" s="1"/>
  <c r="AS13" i="28"/>
  <c r="AS11" i="28" s="1"/>
  <c r="AS5" i="28" s="1"/>
  <c r="AX58" i="28"/>
  <c r="AX24" i="28" s="1"/>
  <c r="AX13" i="28"/>
  <c r="AX11" i="28" s="1"/>
  <c r="AX5" i="28" s="1"/>
  <c r="BC58" i="28"/>
  <c r="BC24" i="28" s="1"/>
  <c r="BC13" i="28"/>
  <c r="BC11" i="28" s="1"/>
  <c r="BC5" i="28" s="1"/>
  <c r="BC68" i="28" s="1"/>
  <c r="BC106" i="28" s="1"/>
  <c r="BC107" i="28" s="1"/>
  <c r="BC112" i="28" s="1"/>
  <c r="AH58" i="24"/>
  <c r="AH24" i="24" s="1"/>
  <c r="AH68" i="24" s="1"/>
  <c r="AH106" i="24" s="1"/>
  <c r="AH107" i="24" s="1"/>
  <c r="AH112" i="24" s="1"/>
  <c r="AI58" i="28"/>
  <c r="AI24" i="28" s="1"/>
  <c r="AI13" i="28"/>
  <c r="AI11" i="28" s="1"/>
  <c r="AI5" i="28" s="1"/>
  <c r="BG58" i="28"/>
  <c r="BG24" i="28" s="1"/>
  <c r="BG13" i="28"/>
  <c r="BG11" i="28" s="1"/>
  <c r="BG5" i="28" s="1"/>
  <c r="AP58" i="28"/>
  <c r="AP24" i="28" s="1"/>
  <c r="AP13" i="28"/>
  <c r="AP11" i="28" s="1"/>
  <c r="AP5" i="28" s="1"/>
  <c r="AP68" i="28" s="1"/>
  <c r="AP106" i="28" s="1"/>
  <c r="AP107" i="28" s="1"/>
  <c r="AP112" i="28" s="1"/>
  <c r="BP58" i="28"/>
  <c r="BP24" i="28" s="1"/>
  <c r="BP13" i="28"/>
  <c r="BP11" i="28" s="1"/>
  <c r="BP5" i="28" s="1"/>
  <c r="AG58" i="24"/>
  <c r="AG24" i="24" s="1"/>
  <c r="BJ115" i="24"/>
  <c r="BJ115" i="28"/>
  <c r="BN115" i="24"/>
  <c r="BN115" i="28"/>
  <c r="AC58" i="24"/>
  <c r="AC24" i="24" s="1"/>
  <c r="AC68" i="24" s="1"/>
  <c r="AC106" i="24" s="1"/>
  <c r="AC107" i="24" s="1"/>
  <c r="AC112" i="24" s="1"/>
  <c r="W58" i="28"/>
  <c r="W24" i="28" s="1"/>
  <c r="W13" i="28"/>
  <c r="W11" i="28" s="1"/>
  <c r="W5" i="28" s="1"/>
  <c r="AL58" i="28"/>
  <c r="AL24" i="28" s="1"/>
  <c r="AL13" i="28"/>
  <c r="AL11" i="28" s="1"/>
  <c r="AL5" i="28" s="1"/>
  <c r="AL68" i="28" s="1"/>
  <c r="AL106" i="28" s="1"/>
  <c r="AL107" i="28" s="1"/>
  <c r="AL112" i="28" s="1"/>
  <c r="BE58" i="28"/>
  <c r="BE24" i="28" s="1"/>
  <c r="BE13" i="28"/>
  <c r="BE11" i="28" s="1"/>
  <c r="BE5" i="28" s="1"/>
  <c r="Y58" i="28"/>
  <c r="Y24" i="28" s="1"/>
  <c r="Y13" i="28"/>
  <c r="Y11" i="28" s="1"/>
  <c r="Y5" i="28" s="1"/>
  <c r="Y68" i="28" s="1"/>
  <c r="Y106" i="28" s="1"/>
  <c r="Y107" i="28" s="1"/>
  <c r="Y112" i="28" s="1"/>
  <c r="AF58" i="28"/>
  <c r="AF24" i="28" s="1"/>
  <c r="AF13" i="28"/>
  <c r="AF11" i="28" s="1"/>
  <c r="AF5" i="28" s="1"/>
  <c r="BF58" i="28"/>
  <c r="BF24" i="28" s="1"/>
  <c r="BF13" i="28"/>
  <c r="BF11" i="28" s="1"/>
  <c r="BF5" i="28" s="1"/>
  <c r="BJ58" i="28"/>
  <c r="BJ24" i="28" s="1"/>
  <c r="BJ13" i="28"/>
  <c r="BJ11" i="28" s="1"/>
  <c r="BJ5" i="28" s="1"/>
  <c r="BJ68" i="28" s="1"/>
  <c r="BJ106" i="28" s="1"/>
  <c r="BJ107" i="28" s="1"/>
  <c r="BJ112" i="28" s="1"/>
  <c r="AZ58" i="28"/>
  <c r="AZ24" i="28" s="1"/>
  <c r="AZ13" i="28"/>
  <c r="AZ11" i="28" s="1"/>
  <c r="AZ5" i="28" s="1"/>
  <c r="AZ68" i="28" s="1"/>
  <c r="AZ106" i="28" s="1"/>
  <c r="AZ107" i="28" s="1"/>
  <c r="AZ112" i="28" s="1"/>
  <c r="AT58" i="28"/>
  <c r="AT24" i="28" s="1"/>
  <c r="AT13" i="28"/>
  <c r="AT11" i="28" s="1"/>
  <c r="AT5" i="28" s="1"/>
  <c r="AT68" i="28" s="1"/>
  <c r="AT106" i="28" s="1"/>
  <c r="AT107" i="28" s="1"/>
  <c r="AT112" i="28" s="1"/>
  <c r="BQ115" i="24"/>
  <c r="BQ115" i="28"/>
  <c r="AN58" i="28"/>
  <c r="AN24" i="28" s="1"/>
  <c r="AN13" i="28"/>
  <c r="AN11" i="28" s="1"/>
  <c r="AN5" i="28" s="1"/>
  <c r="BM58" i="28"/>
  <c r="BM24" i="28" s="1"/>
  <c r="BM13" i="28"/>
  <c r="BM11" i="28" s="1"/>
  <c r="BM5" i="28" s="1"/>
  <c r="AQ58" i="28"/>
  <c r="AQ24" i="28" s="1"/>
  <c r="AQ68" i="28" s="1"/>
  <c r="AQ106" i="28" s="1"/>
  <c r="AQ107" i="28" s="1"/>
  <c r="AQ112" i="28" s="1"/>
  <c r="AQ13" i="28"/>
  <c r="AQ11" i="28" s="1"/>
  <c r="AQ5" i="28" s="1"/>
  <c r="AB58" i="28"/>
  <c r="AB24" i="28" s="1"/>
  <c r="AB13" i="28"/>
  <c r="AB11" i="28" s="1"/>
  <c r="AB5" i="28" s="1"/>
  <c r="AB68" i="28" s="1"/>
  <c r="AB106" i="28" s="1"/>
  <c r="AB107" i="28" s="1"/>
  <c r="AB112" i="28" s="1"/>
  <c r="BK115" i="24"/>
  <c r="BK115" i="28"/>
  <c r="Z13" i="24"/>
  <c r="Z11" i="24" s="1"/>
  <c r="Z5" i="24" s="1"/>
  <c r="Z68" i="24" s="1"/>
  <c r="Z106" i="24" s="1"/>
  <c r="Z107" i="24" s="1"/>
  <c r="Z112" i="24" s="1"/>
  <c r="AK58" i="24"/>
  <c r="AK24" i="24" s="1"/>
  <c r="AK68" i="24" s="1"/>
  <c r="AK106" i="24" s="1"/>
  <c r="AK107" i="24" s="1"/>
  <c r="AK112" i="24" s="1"/>
  <c r="Y58" i="24"/>
  <c r="Y24" i="24" s="1"/>
  <c r="Y68" i="24" s="1"/>
  <c r="Y106" i="24" s="1"/>
  <c r="Y107" i="24" s="1"/>
  <c r="Y112" i="24" s="1"/>
  <c r="BK58" i="28"/>
  <c r="BK24" i="28" s="1"/>
  <c r="BK13" i="28"/>
  <c r="BK11" i="28" s="1"/>
  <c r="BK5" i="28" s="1"/>
  <c r="V114" i="28"/>
  <c r="AY58" i="28"/>
  <c r="AY24" i="28" s="1"/>
  <c r="AY68" i="28" s="1"/>
  <c r="AY106" i="28" s="1"/>
  <c r="AY107" i="28" s="1"/>
  <c r="AY112" i="28" s="1"/>
  <c r="AY13" i="28"/>
  <c r="AY11" i="28" s="1"/>
  <c r="AY5" i="28" s="1"/>
  <c r="BO58" i="28"/>
  <c r="BO24" i="28" s="1"/>
  <c r="BO13" i="28"/>
  <c r="BO11" i="28" s="1"/>
  <c r="BO5" i="28" s="1"/>
  <c r="AA58" i="28"/>
  <c r="AA24" i="28" s="1"/>
  <c r="AA13" i="28"/>
  <c r="AA11" i="28" s="1"/>
  <c r="AA5" i="28" s="1"/>
  <c r="AA68" i="28" s="1"/>
  <c r="AA106" i="28" s="1"/>
  <c r="AA107" i="28" s="1"/>
  <c r="AA112" i="28" s="1"/>
  <c r="AD58" i="28"/>
  <c r="AD24" i="28" s="1"/>
  <c r="AD13" i="28"/>
  <c r="AD11" i="28" s="1"/>
  <c r="AD5" i="28" s="1"/>
  <c r="AD68" i="28" s="1"/>
  <c r="AD106" i="28" s="1"/>
  <c r="AD107" i="28" s="1"/>
  <c r="AD112" i="28" s="1"/>
  <c r="BO115" i="24"/>
  <c r="BO115" i="28"/>
  <c r="BL115" i="24"/>
  <c r="BL115" i="28"/>
  <c r="U115" i="24"/>
  <c r="U115" i="28"/>
  <c r="AB68" i="24"/>
  <c r="AB106" i="24" s="1"/>
  <c r="AB107" i="24" s="1"/>
  <c r="AB112" i="24" s="1"/>
  <c r="W68" i="24"/>
  <c r="W106" i="24" s="1"/>
  <c r="W107" i="24" s="1"/>
  <c r="W112" i="24" s="1"/>
  <c r="AA68" i="24"/>
  <c r="AA106" i="24" s="1"/>
  <c r="AA107" i="24" s="1"/>
  <c r="AA112" i="24" s="1"/>
  <c r="AE68" i="24"/>
  <c r="AE106" i="24" s="1"/>
  <c r="AE107" i="24" s="1"/>
  <c r="AE112" i="24" s="1"/>
  <c r="X68" i="24"/>
  <c r="X106" i="24" s="1"/>
  <c r="X107" i="24" s="1"/>
  <c r="X112" i="24" s="1"/>
  <c r="AD68" i="24"/>
  <c r="AD106" i="24" s="1"/>
  <c r="AD107" i="24" s="1"/>
  <c r="AD112" i="24" s="1"/>
  <c r="AJ68" i="24"/>
  <c r="AJ106" i="24" s="1"/>
  <c r="AJ107" i="24" s="1"/>
  <c r="AJ112" i="24" s="1"/>
  <c r="V68" i="24"/>
  <c r="V106" i="24" s="1"/>
  <c r="V107" i="24" s="1"/>
  <c r="V112" i="24" s="1"/>
  <c r="V114" i="24" s="1"/>
  <c r="AF68" i="24"/>
  <c r="AF106" i="24" s="1"/>
  <c r="AF107" i="24" s="1"/>
  <c r="AF112" i="24" s="1"/>
  <c r="AI68" i="24"/>
  <c r="AI106" i="24" s="1"/>
  <c r="AI107" i="24" s="1"/>
  <c r="AI112" i="24" s="1"/>
  <c r="AG68" i="24"/>
  <c r="AG106" i="24" s="1"/>
  <c r="AG107" i="24" s="1"/>
  <c r="AG112" i="24" s="1"/>
  <c r="BH36" i="6"/>
  <c r="BG6" i="10"/>
  <c r="BH37" i="6"/>
  <c r="BH36" i="8"/>
  <c r="BH29" i="6"/>
  <c r="BH28" i="6"/>
  <c r="BH35" i="8"/>
  <c r="BH28" i="8"/>
  <c r="BH27" i="8"/>
  <c r="BF7" i="10"/>
  <c r="BF32" i="10" s="1"/>
  <c r="BF7" i="11"/>
  <c r="BN8" i="12"/>
  <c r="BN21" i="12" s="1"/>
  <c r="BE9" i="11"/>
  <c r="BE6" i="11" s="1"/>
  <c r="BE21" i="11" s="1"/>
  <c r="BF7" i="8" s="1"/>
  <c r="BF6" i="8" s="1"/>
  <c r="Z26" i="8"/>
  <c r="Z43" i="8"/>
  <c r="Y42" i="8"/>
  <c r="Z34" i="8"/>
  <c r="H10" i="20"/>
  <c r="H5" i="20" s="1"/>
  <c r="K95" i="17"/>
  <c r="T96" i="6"/>
  <c r="T99" i="8"/>
  <c r="T104" i="8" s="1"/>
  <c r="T112" i="8" s="1"/>
  <c r="M24" i="1"/>
  <c r="M24" i="22"/>
  <c r="T67" i="8"/>
  <c r="T105" i="8" s="1"/>
  <c r="T106" i="8" s="1"/>
  <c r="T111" i="8" s="1"/>
  <c r="L23" i="22"/>
  <c r="L23" i="1"/>
  <c r="K56" i="17"/>
  <c r="T11" i="6"/>
  <c r="T5" i="6" s="1"/>
  <c r="T58" i="6"/>
  <c r="K55" i="17" s="1"/>
  <c r="M23" i="22"/>
  <c r="M23" i="1"/>
  <c r="L26" i="22"/>
  <c r="BI28" i="7"/>
  <c r="Y42" i="7"/>
  <c r="Z43" i="7"/>
  <c r="Y33" i="7"/>
  <c r="Z34" i="7"/>
  <c r="Z26" i="7"/>
  <c r="Y43" i="6"/>
  <c r="Z12" i="6"/>
  <c r="Z62" i="6"/>
  <c r="Z8" i="6"/>
  <c r="O107" i="6"/>
  <c r="O112" i="6" s="1"/>
  <c r="AU68" i="28" l="1"/>
  <c r="AU106" i="28" s="1"/>
  <c r="AU107" i="28" s="1"/>
  <c r="AU112" i="28" s="1"/>
  <c r="BH68" i="28"/>
  <c r="BH106" i="28" s="1"/>
  <c r="BH107" i="28" s="1"/>
  <c r="BH112" i="28" s="1"/>
  <c r="BK68" i="28"/>
  <c r="BK106" i="28" s="1"/>
  <c r="BK107" i="28" s="1"/>
  <c r="BK112" i="28" s="1"/>
  <c r="AH68" i="28"/>
  <c r="AH106" i="28" s="1"/>
  <c r="AH107" i="28" s="1"/>
  <c r="AH112" i="28" s="1"/>
  <c r="AS68" i="28"/>
  <c r="AS106" i="28" s="1"/>
  <c r="AS107" i="28" s="1"/>
  <c r="AS112" i="28" s="1"/>
  <c r="W115" i="24"/>
  <c r="W115" i="28"/>
  <c r="AI68" i="28"/>
  <c r="AI106" i="28" s="1"/>
  <c r="AI107" i="28" s="1"/>
  <c r="AI112" i="28" s="1"/>
  <c r="AG68" i="28"/>
  <c r="AG106" i="28" s="1"/>
  <c r="AG107" i="28" s="1"/>
  <c r="AG112" i="28" s="1"/>
  <c r="W68" i="28"/>
  <c r="W106" i="28" s="1"/>
  <c r="W107" i="28" s="1"/>
  <c r="W112" i="28" s="1"/>
  <c r="W114" i="28" s="1"/>
  <c r="X114" i="28" s="1"/>
  <c r="Y114" i="28" s="1"/>
  <c r="Z114" i="28" s="1"/>
  <c r="AA114" i="28" s="1"/>
  <c r="AB114" i="28" s="1"/>
  <c r="AC114" i="28" s="1"/>
  <c r="AD114" i="28" s="1"/>
  <c r="AE114" i="28" s="1"/>
  <c r="AF114" i="28" s="1"/>
  <c r="AG114" i="28" s="1"/>
  <c r="AH114" i="28" s="1"/>
  <c r="AX68" i="28"/>
  <c r="AX106" i="28" s="1"/>
  <c r="AX107" i="28" s="1"/>
  <c r="AX112" i="28" s="1"/>
  <c r="BA68" i="28"/>
  <c r="BA106" i="28" s="1"/>
  <c r="BA107" i="28" s="1"/>
  <c r="BA112" i="28" s="1"/>
  <c r="AR68" i="28"/>
  <c r="AR106" i="28" s="1"/>
  <c r="AR107" i="28" s="1"/>
  <c r="AR112" i="28" s="1"/>
  <c r="AK68" i="28"/>
  <c r="AK106" i="28" s="1"/>
  <c r="AK107" i="28" s="1"/>
  <c r="AK112" i="28" s="1"/>
  <c r="BN68" i="28"/>
  <c r="BN106" i="28" s="1"/>
  <c r="BN107" i="28" s="1"/>
  <c r="BN112" i="28" s="1"/>
  <c r="BF68" i="28"/>
  <c r="BF106" i="28" s="1"/>
  <c r="BF107" i="28" s="1"/>
  <c r="BF112" i="28" s="1"/>
  <c r="AM68" i="28"/>
  <c r="AM106" i="28" s="1"/>
  <c r="AM107" i="28" s="1"/>
  <c r="AM112" i="28" s="1"/>
  <c r="AF68" i="28"/>
  <c r="AF106" i="28" s="1"/>
  <c r="AF107" i="28" s="1"/>
  <c r="AF112" i="28" s="1"/>
  <c r="BP68" i="28"/>
  <c r="BP106" i="28" s="1"/>
  <c r="BP107" i="28" s="1"/>
  <c r="BP112" i="28" s="1"/>
  <c r="BD68" i="28"/>
  <c r="BD106" i="28" s="1"/>
  <c r="BD107" i="28" s="1"/>
  <c r="BD112" i="28" s="1"/>
  <c r="AO68" i="28"/>
  <c r="AO106" i="28" s="1"/>
  <c r="AO107" i="28" s="1"/>
  <c r="AO112" i="28" s="1"/>
  <c r="BB68" i="28"/>
  <c r="BB106" i="28" s="1"/>
  <c r="BB107" i="28" s="1"/>
  <c r="BB112" i="28" s="1"/>
  <c r="BQ68" i="28"/>
  <c r="BQ106" i="28" s="1"/>
  <c r="BQ107" i="28" s="1"/>
  <c r="BQ112" i="28" s="1"/>
  <c r="BO68" i="28"/>
  <c r="BO106" i="28" s="1"/>
  <c r="BO107" i="28" s="1"/>
  <c r="BO112" i="28" s="1"/>
  <c r="BM68" i="28"/>
  <c r="BM106" i="28" s="1"/>
  <c r="BM107" i="28" s="1"/>
  <c r="BM112" i="28" s="1"/>
  <c r="AN68" i="28"/>
  <c r="AN106" i="28" s="1"/>
  <c r="AN107" i="28" s="1"/>
  <c r="AN112" i="28" s="1"/>
  <c r="BE68" i="28"/>
  <c r="BE106" i="28" s="1"/>
  <c r="BE107" i="28" s="1"/>
  <c r="BE112" i="28" s="1"/>
  <c r="BG68" i="28"/>
  <c r="BG106" i="28" s="1"/>
  <c r="BG107" i="28" s="1"/>
  <c r="BG112" i="28" s="1"/>
  <c r="AW68" i="28"/>
  <c r="AW106" i="28" s="1"/>
  <c r="AW107" i="28" s="1"/>
  <c r="AW112" i="28" s="1"/>
  <c r="W114" i="24"/>
  <c r="X114" i="24" s="1"/>
  <c r="Y114" i="24" s="1"/>
  <c r="Z114" i="24" s="1"/>
  <c r="AA114" i="24" s="1"/>
  <c r="AB114" i="24" s="1"/>
  <c r="AC114" i="24" s="1"/>
  <c r="AD114" i="24" s="1"/>
  <c r="AE114" i="24" s="1"/>
  <c r="AF114" i="24" s="1"/>
  <c r="AG114" i="24" s="1"/>
  <c r="AH114" i="24" s="1"/>
  <c r="AI114" i="24" s="1"/>
  <c r="AJ114" i="24" s="1"/>
  <c r="AK114" i="24" s="1"/>
  <c r="BF9" i="11"/>
  <c r="BI29" i="6"/>
  <c r="BI27" i="8"/>
  <c r="BI36" i="8"/>
  <c r="BH6" i="10"/>
  <c r="BI36" i="6"/>
  <c r="BI37" i="6"/>
  <c r="BI28" i="8"/>
  <c r="BI28" i="6"/>
  <c r="BI35" i="8"/>
  <c r="BO8" i="12"/>
  <c r="BO21" i="12" s="1"/>
  <c r="BG8" i="11"/>
  <c r="BF8" i="11"/>
  <c r="BG7" i="10"/>
  <c r="BG32" i="10" s="1"/>
  <c r="BG7" i="11"/>
  <c r="AA43" i="8"/>
  <c r="Z42" i="8"/>
  <c r="AA26" i="8"/>
  <c r="Z25" i="8"/>
  <c r="AA34" i="8"/>
  <c r="Z33" i="8"/>
  <c r="T113" i="8"/>
  <c r="L25" i="1" s="1"/>
  <c r="K10" i="17"/>
  <c r="K12" i="17"/>
  <c r="K93" i="17"/>
  <c r="T80" i="6"/>
  <c r="I10" i="20"/>
  <c r="I5" i="20" s="1"/>
  <c r="BJ11" i="10"/>
  <c r="BJ33" i="10" s="1"/>
  <c r="BI11" i="10"/>
  <c r="BI33" i="10" s="1"/>
  <c r="BJ28" i="7"/>
  <c r="AA34" i="7"/>
  <c r="Z33" i="7"/>
  <c r="Z42" i="7"/>
  <c r="AA43" i="7"/>
  <c r="AA26" i="7"/>
  <c r="AA8" i="6"/>
  <c r="AA12" i="6"/>
  <c r="Z43" i="6"/>
  <c r="Q111" i="6"/>
  <c r="R111" i="6" s="1"/>
  <c r="AA62" i="6"/>
  <c r="Z34" i="6"/>
  <c r="AI114" i="28" l="1"/>
  <c r="AJ114" i="28" s="1"/>
  <c r="AK114" i="28" s="1"/>
  <c r="AL114" i="28" s="1"/>
  <c r="AM114" i="28" s="1"/>
  <c r="AN114" i="28" s="1"/>
  <c r="AO114" i="28" s="1"/>
  <c r="AP114" i="28" s="1"/>
  <c r="AQ114" i="28" s="1"/>
  <c r="AR114" i="28" s="1"/>
  <c r="AS114" i="28" s="1"/>
  <c r="AT114" i="28" s="1"/>
  <c r="AU114" i="28" s="1"/>
  <c r="AV114" i="28" s="1"/>
  <c r="AW114" i="28" s="1"/>
  <c r="AX114" i="28" s="1"/>
  <c r="AY114" i="28" s="1"/>
  <c r="AZ114" i="28" s="1"/>
  <c r="BA114" i="28" s="1"/>
  <c r="BB114" i="28" s="1"/>
  <c r="BC114" i="28" s="1"/>
  <c r="BD114" i="28" s="1"/>
  <c r="BE114" i="28" s="1"/>
  <c r="BF114" i="28" s="1"/>
  <c r="BG114" i="28" s="1"/>
  <c r="BH114" i="28" s="1"/>
  <c r="BI114" i="28" s="1"/>
  <c r="BJ114" i="28" s="1"/>
  <c r="BK114" i="28" s="1"/>
  <c r="BL114" i="28" s="1"/>
  <c r="BM114" i="28" s="1"/>
  <c r="BN114" i="28" s="1"/>
  <c r="BO114" i="28" s="1"/>
  <c r="BP114" i="28" s="1"/>
  <c r="BQ114" i="28" s="1"/>
  <c r="X115" i="24"/>
  <c r="X115" i="28"/>
  <c r="BH8" i="11"/>
  <c r="BJ36" i="6"/>
  <c r="BJ37" i="6"/>
  <c r="BI6" i="10"/>
  <c r="BJ29" i="6"/>
  <c r="BJ28" i="6"/>
  <c r="BJ28" i="8"/>
  <c r="BJ27" i="8"/>
  <c r="BJ36" i="8"/>
  <c r="BJ35" i="8"/>
  <c r="BP8" i="12"/>
  <c r="BP21" i="12" s="1"/>
  <c r="BH7" i="10"/>
  <c r="BH32" i="10" s="1"/>
  <c r="BH7" i="11"/>
  <c r="BG9" i="11"/>
  <c r="BG6" i="11" s="1"/>
  <c r="BG21" i="11" s="1"/>
  <c r="BH7" i="8" s="1"/>
  <c r="BH6" i="8" s="1"/>
  <c r="BF6" i="11"/>
  <c r="BF21" i="11" s="1"/>
  <c r="BG7" i="8" s="1"/>
  <c r="BG6" i="8" s="1"/>
  <c r="AA42" i="8"/>
  <c r="AB43" i="8"/>
  <c r="AB34" i="8"/>
  <c r="Z24" i="8"/>
  <c r="AB26" i="8"/>
  <c r="L25" i="22"/>
  <c r="J10" i="20"/>
  <c r="J5" i="20" s="1"/>
  <c r="T100" i="6"/>
  <c r="K77" i="17"/>
  <c r="BK28" i="7"/>
  <c r="AB26" i="7"/>
  <c r="AA42" i="7"/>
  <c r="AB43" i="7"/>
  <c r="AB34" i="7"/>
  <c r="AA33" i="7"/>
  <c r="AB62" i="6"/>
  <c r="AB8" i="6"/>
  <c r="AA43" i="6"/>
  <c r="AB12" i="6"/>
  <c r="Y115" i="24" l="1"/>
  <c r="Y115" i="28"/>
  <c r="BK36" i="6"/>
  <c r="BK36" i="8"/>
  <c r="BK37" i="6"/>
  <c r="BK35" i="8"/>
  <c r="BK29" i="6"/>
  <c r="BK28" i="6"/>
  <c r="BK28" i="8"/>
  <c r="BK27" i="8"/>
  <c r="BJ6" i="10"/>
  <c r="BH9" i="11"/>
  <c r="BH6" i="11" s="1"/>
  <c r="BH21" i="11" s="1"/>
  <c r="BI7" i="8" s="1"/>
  <c r="BI6" i="8" s="1"/>
  <c r="BQ8" i="12"/>
  <c r="BQ21" i="12" s="1"/>
  <c r="BI7" i="10"/>
  <c r="BI32" i="10" s="1"/>
  <c r="BI7" i="11"/>
  <c r="BI8" i="11"/>
  <c r="AC26" i="8"/>
  <c r="AB42" i="8"/>
  <c r="AC43" i="8"/>
  <c r="AC34" i="8"/>
  <c r="K97" i="17"/>
  <c r="T105" i="6"/>
  <c r="K10" i="20"/>
  <c r="K5" i="20" s="1"/>
  <c r="BK11" i="10"/>
  <c r="BK33" i="10" s="1"/>
  <c r="BL11" i="10"/>
  <c r="BL33" i="10" s="1"/>
  <c r="BL28" i="7"/>
  <c r="AC34" i="7"/>
  <c r="AB33" i="7"/>
  <c r="AC26" i="7"/>
  <c r="AC43" i="7"/>
  <c r="AB42" i="7"/>
  <c r="AC12" i="6"/>
  <c r="AB43" i="6"/>
  <c r="P107" i="6"/>
  <c r="AC62" i="6"/>
  <c r="AC8" i="6"/>
  <c r="Z115" i="24" l="1"/>
  <c r="Z115" i="28"/>
  <c r="BL36" i="6"/>
  <c r="BL29" i="6"/>
  <c r="BL28" i="8"/>
  <c r="BL37" i="6"/>
  <c r="BL28" i="6"/>
  <c r="BK6" i="10"/>
  <c r="BL27" i="8"/>
  <c r="BL35" i="8"/>
  <c r="BL36" i="8"/>
  <c r="BR8" i="12"/>
  <c r="BR21" i="12" s="1"/>
  <c r="BJ8" i="11"/>
  <c r="BJ7" i="10"/>
  <c r="BJ32" i="10" s="1"/>
  <c r="BJ7" i="11"/>
  <c r="BI9" i="11"/>
  <c r="BI6" i="11" s="1"/>
  <c r="BI21" i="11" s="1"/>
  <c r="BJ7" i="8" s="1"/>
  <c r="BJ6" i="8" s="1"/>
  <c r="AD34" i="8"/>
  <c r="AD26" i="8"/>
  <c r="AC42" i="8"/>
  <c r="AD43" i="8"/>
  <c r="K102" i="17"/>
  <c r="T113" i="6"/>
  <c r="K113" i="17" s="1"/>
  <c r="L10" i="20"/>
  <c r="L5" i="20" s="1"/>
  <c r="BM11" i="10"/>
  <c r="BM33" i="10" s="1"/>
  <c r="BM28" i="7"/>
  <c r="AD26" i="7"/>
  <c r="AD43" i="7"/>
  <c r="AC42" i="7"/>
  <c r="AC33" i="7"/>
  <c r="AD34" i="7"/>
  <c r="P112" i="6"/>
  <c r="AD12" i="6"/>
  <c r="AD62" i="6"/>
  <c r="S111" i="6"/>
  <c r="AC43" i="6"/>
  <c r="AD8" i="6"/>
  <c r="AA115" i="24" l="1"/>
  <c r="AA115" i="28"/>
  <c r="BM36" i="6"/>
  <c r="BM28" i="6"/>
  <c r="BL6" i="10"/>
  <c r="BM35" i="8"/>
  <c r="BM36" i="8"/>
  <c r="BM28" i="8"/>
  <c r="BM29" i="6"/>
  <c r="BM37" i="6"/>
  <c r="BM27" i="8"/>
  <c r="BK7" i="10"/>
  <c r="BK32" i="10" s="1"/>
  <c r="BK7" i="11"/>
  <c r="BS8" i="12"/>
  <c r="BS21" i="12" s="1"/>
  <c r="BK8" i="11"/>
  <c r="BJ9" i="11"/>
  <c r="BJ6" i="11" s="1"/>
  <c r="BJ21" i="11" s="1"/>
  <c r="BK7" i="8" s="1"/>
  <c r="BK6" i="8" s="1"/>
  <c r="AE26" i="8"/>
  <c r="AE43" i="8"/>
  <c r="AD42" i="8"/>
  <c r="AE34" i="8"/>
  <c r="M10" i="20"/>
  <c r="M5" i="20" s="1"/>
  <c r="BN28" i="7"/>
  <c r="AI27" i="7"/>
  <c r="AU27" i="7"/>
  <c r="BG27" i="7"/>
  <c r="U27" i="7"/>
  <c r="U25" i="7" s="1"/>
  <c r="U24" i="7" s="1"/>
  <c r="AG27" i="7"/>
  <c r="AK27" i="7"/>
  <c r="AO27" i="7"/>
  <c r="AS27" i="7"/>
  <c r="AW27" i="7"/>
  <c r="BA27" i="7"/>
  <c r="BE27" i="7"/>
  <c r="BI27" i="7"/>
  <c r="BM27" i="7"/>
  <c r="BQ27" i="7"/>
  <c r="AD33" i="7"/>
  <c r="AE34" i="7"/>
  <c r="AE26" i="7"/>
  <c r="AE27" i="7"/>
  <c r="AM27" i="7"/>
  <c r="AY27" i="7"/>
  <c r="BK27" i="7"/>
  <c r="Z27" i="7"/>
  <c r="Z25" i="7" s="1"/>
  <c r="Z24" i="7" s="1"/>
  <c r="Z26" i="6"/>
  <c r="Z25" i="6" s="1"/>
  <c r="AH27" i="7"/>
  <c r="AL27" i="7"/>
  <c r="AP27" i="7"/>
  <c r="AT27" i="7"/>
  <c r="AX27" i="7"/>
  <c r="BB27" i="7"/>
  <c r="BF27" i="7"/>
  <c r="BJ27" i="7"/>
  <c r="BN27" i="7"/>
  <c r="AQ27" i="7"/>
  <c r="BC27" i="7"/>
  <c r="BO27" i="7"/>
  <c r="T27" i="7"/>
  <c r="T25" i="7" s="1"/>
  <c r="T24" i="7" s="1"/>
  <c r="T23" i="7" s="1"/>
  <c r="AF27" i="7"/>
  <c r="AJ27" i="7"/>
  <c r="AN27" i="7"/>
  <c r="AR27" i="7"/>
  <c r="AV27" i="7"/>
  <c r="AZ27" i="7"/>
  <c r="BD27" i="7"/>
  <c r="BH27" i="7"/>
  <c r="BL27" i="7"/>
  <c r="BP27" i="7"/>
  <c r="AE43" i="7"/>
  <c r="AD42" i="7"/>
  <c r="AD43" i="6"/>
  <c r="K107" i="17"/>
  <c r="AE62" i="6"/>
  <c r="AE12" i="6"/>
  <c r="Q107" i="6"/>
  <c r="AE8" i="6"/>
  <c r="Z6" i="6"/>
  <c r="E12" i="1"/>
  <c r="E11" i="1"/>
  <c r="E10" i="1"/>
  <c r="E13" i="1"/>
  <c r="E16" i="1"/>
  <c r="E9" i="1"/>
  <c r="AB115" i="24" l="1"/>
  <c r="AB115" i="28"/>
  <c r="BT8" i="12"/>
  <c r="BT21" i="12" s="1"/>
  <c r="BK9" i="11"/>
  <c r="BK6" i="11" s="1"/>
  <c r="BK21" i="11" s="1"/>
  <c r="BL7" i="8" s="1"/>
  <c r="BL6" i="8" s="1"/>
  <c r="BN28" i="8"/>
  <c r="BN27" i="8"/>
  <c r="BN28" i="6"/>
  <c r="BN36" i="8"/>
  <c r="BN36" i="6"/>
  <c r="BN37" i="6"/>
  <c r="BN29" i="6"/>
  <c r="BM6" i="10"/>
  <c r="BN35" i="8"/>
  <c r="BL7" i="10"/>
  <c r="BL32" i="10" s="1"/>
  <c r="BL7" i="11"/>
  <c r="BL8" i="11"/>
  <c r="BL9" i="11"/>
  <c r="AE25" i="8"/>
  <c r="AF26" i="8"/>
  <c r="AE33" i="8"/>
  <c r="AF34" i="8"/>
  <c r="AE42" i="8"/>
  <c r="AF43" i="8"/>
  <c r="N10" i="20"/>
  <c r="N5" i="20" s="1"/>
  <c r="BP11" i="10"/>
  <c r="BP33" i="10" s="1"/>
  <c r="BN11" i="10"/>
  <c r="BN33" i="10" s="1"/>
  <c r="BO11" i="10"/>
  <c r="BO33" i="10" s="1"/>
  <c r="BO28" i="7"/>
  <c r="L26" i="17"/>
  <c r="U26" i="6"/>
  <c r="AE25" i="7"/>
  <c r="AF26" i="7"/>
  <c r="AF34" i="7"/>
  <c r="AE33" i="7"/>
  <c r="AF43" i="7"/>
  <c r="AE42" i="7"/>
  <c r="K26" i="17"/>
  <c r="G13" i="1"/>
  <c r="G12" i="1"/>
  <c r="G10" i="1"/>
  <c r="L7" i="17"/>
  <c r="U6" i="6"/>
  <c r="G11" i="1"/>
  <c r="G16" i="1"/>
  <c r="AE26" i="6"/>
  <c r="K7" i="17"/>
  <c r="AF12" i="6"/>
  <c r="AE34" i="6"/>
  <c r="AF62" i="6"/>
  <c r="K111" i="17"/>
  <c r="K118" i="17"/>
  <c r="O118" i="17" s="1"/>
  <c r="AF8" i="6"/>
  <c r="AE6" i="6"/>
  <c r="AE43" i="6"/>
  <c r="Q112" i="6"/>
  <c r="AC115" i="24" l="1"/>
  <c r="AC115" i="28"/>
  <c r="BL6" i="11"/>
  <c r="BL21" i="11" s="1"/>
  <c r="BM7" i="8" s="1"/>
  <c r="BM6" i="8" s="1"/>
  <c r="BM8" i="11"/>
  <c r="BO28" i="8"/>
  <c r="BO36" i="6"/>
  <c r="BO37" i="6"/>
  <c r="BN6" i="10"/>
  <c r="BO27" i="8"/>
  <c r="BO28" i="6"/>
  <c r="BO29" i="6"/>
  <c r="BO35" i="8"/>
  <c r="BO36" i="8"/>
  <c r="BV8" i="12"/>
  <c r="BV21" i="12" s="1"/>
  <c r="BU8" i="12"/>
  <c r="BU21" i="12" s="1"/>
  <c r="BM7" i="11"/>
  <c r="BM7" i="10"/>
  <c r="BM32" i="10" s="1"/>
  <c r="AG43" i="8"/>
  <c r="AF42" i="8"/>
  <c r="AF33" i="8"/>
  <c r="AG34" i="8"/>
  <c r="AG26" i="8"/>
  <c r="AF25" i="8"/>
  <c r="AE24" i="8"/>
  <c r="O10" i="20"/>
  <c r="O5" i="20" s="1"/>
  <c r="BQ28" i="7"/>
  <c r="BP28" i="7"/>
  <c r="K24" i="17"/>
  <c r="T24" i="6"/>
  <c r="AF25" i="7"/>
  <c r="AG26" i="7"/>
  <c r="AG34" i="7"/>
  <c r="AF33" i="7"/>
  <c r="AE24" i="7"/>
  <c r="U25" i="6"/>
  <c r="L24" i="17"/>
  <c r="AF42" i="7"/>
  <c r="AG43" i="7"/>
  <c r="L6" i="17"/>
  <c r="AF34" i="6"/>
  <c r="AG8" i="6"/>
  <c r="AF6" i="6"/>
  <c r="AG12" i="6"/>
  <c r="U111" i="6"/>
  <c r="L107" i="17"/>
  <c r="AG62" i="6"/>
  <c r="K6" i="17"/>
  <c r="AF43" i="6"/>
  <c r="AE25" i="6"/>
  <c r="R107" i="6"/>
  <c r="AF26" i="6"/>
  <c r="AD115" i="24" l="1"/>
  <c r="AD115" i="28"/>
  <c r="F31" i="21"/>
  <c r="BN9" i="11"/>
  <c r="BN8" i="11"/>
  <c r="BP36" i="6"/>
  <c r="BP37" i="6"/>
  <c r="BP29" i="6"/>
  <c r="BP36" i="8"/>
  <c r="BP28" i="6"/>
  <c r="BP35" i="8"/>
  <c r="BP27" i="8"/>
  <c r="BO6" i="10"/>
  <c r="BP28" i="8"/>
  <c r="BM9" i="11"/>
  <c r="BM6" i="11" s="1"/>
  <c r="BM21" i="11" s="1"/>
  <c r="BN7" i="8" s="1"/>
  <c r="BN6" i="8" s="1"/>
  <c r="BQ27" i="8"/>
  <c r="BQ29" i="6"/>
  <c r="BP6" i="10"/>
  <c r="BQ35" i="8"/>
  <c r="BQ28" i="6"/>
  <c r="BQ36" i="8"/>
  <c r="BQ28" i="8"/>
  <c r="BQ36" i="6"/>
  <c r="BQ37" i="6"/>
  <c r="BN7" i="10"/>
  <c r="BN32" i="10" s="1"/>
  <c r="BN7" i="11"/>
  <c r="L23" i="17"/>
  <c r="AG33" i="8"/>
  <c r="AH34" i="8"/>
  <c r="AF24" i="8"/>
  <c r="AH26" i="8"/>
  <c r="AG25" i="8"/>
  <c r="AG24" i="8" s="1"/>
  <c r="AG42" i="8"/>
  <c r="AH43" i="8"/>
  <c r="P10" i="20"/>
  <c r="P5" i="20" s="1"/>
  <c r="AH26" i="7"/>
  <c r="AG25" i="7"/>
  <c r="AG24" i="7" s="1"/>
  <c r="AF24" i="7"/>
  <c r="AF25" i="6"/>
  <c r="AH34" i="7"/>
  <c r="AG33" i="7"/>
  <c r="K22" i="17"/>
  <c r="K23" i="17"/>
  <c r="AG42" i="7"/>
  <c r="AH43" i="7"/>
  <c r="K5" i="17"/>
  <c r="AH12" i="6"/>
  <c r="AG26" i="6"/>
  <c r="AH62" i="6"/>
  <c r="AH8" i="6"/>
  <c r="AG6" i="6"/>
  <c r="R112" i="6"/>
  <c r="S107" i="6"/>
  <c r="AG43" i="6"/>
  <c r="AG34" i="6"/>
  <c r="L111" i="17"/>
  <c r="L118" i="17"/>
  <c r="AE115" i="24" l="1"/>
  <c r="AE115" i="28"/>
  <c r="H31" i="21"/>
  <c r="AJ31" i="21"/>
  <c r="AK31" i="21" s="1"/>
  <c r="AL31" i="21" s="1"/>
  <c r="AM31" i="21" s="1"/>
  <c r="AN31" i="21" s="1"/>
  <c r="AO31" i="21" s="1"/>
  <c r="AP31" i="21" s="1"/>
  <c r="AQ31" i="21" s="1"/>
  <c r="AR31" i="21" s="1"/>
  <c r="AS31" i="21" s="1"/>
  <c r="AT31" i="21" s="1"/>
  <c r="AU31" i="21" s="1"/>
  <c r="AV31" i="21" s="1"/>
  <c r="AW31" i="21" s="1"/>
  <c r="AX31" i="21" s="1"/>
  <c r="AY31" i="21" s="1"/>
  <c r="AZ31" i="21" s="1"/>
  <c r="BA31" i="21" s="1"/>
  <c r="BB31" i="21" s="1"/>
  <c r="BC31" i="21" s="1"/>
  <c r="BD31" i="21" s="1"/>
  <c r="BE31" i="21" s="1"/>
  <c r="BF31" i="21" s="1"/>
  <c r="BO8" i="11"/>
  <c r="BO7" i="11"/>
  <c r="BO7" i="10"/>
  <c r="BO32" i="10" s="1"/>
  <c r="BP7" i="10"/>
  <c r="BP32" i="10" s="1"/>
  <c r="BP7" i="11"/>
  <c r="BP8" i="11"/>
  <c r="BN6" i="11"/>
  <c r="BN21" i="11" s="1"/>
  <c r="BO7" i="8" s="1"/>
  <c r="BO6" i="8" s="1"/>
  <c r="AI26" i="8"/>
  <c r="AH25" i="8"/>
  <c r="AH42" i="8"/>
  <c r="AI43" i="8"/>
  <c r="AH33" i="8"/>
  <c r="AI34" i="8"/>
  <c r="Q10" i="20"/>
  <c r="Q5" i="20" s="1"/>
  <c r="T68" i="6"/>
  <c r="AI43" i="7"/>
  <c r="AH42" i="7"/>
  <c r="AI34" i="7"/>
  <c r="AH33" i="7"/>
  <c r="AI26" i="7"/>
  <c r="AH25" i="7"/>
  <c r="AH24" i="7" s="1"/>
  <c r="S112" i="6"/>
  <c r="AI62" i="6"/>
  <c r="AH34" i="6"/>
  <c r="AI8" i="6"/>
  <c r="AH6" i="6"/>
  <c r="AH26" i="6"/>
  <c r="AI12" i="6"/>
  <c r="AH43" i="6"/>
  <c r="M107" i="17"/>
  <c r="K104" i="17"/>
  <c r="AF115" i="24" l="1"/>
  <c r="AF115" i="28"/>
  <c r="BP9" i="11"/>
  <c r="BP6" i="11" s="1"/>
  <c r="BP21" i="11" s="1"/>
  <c r="BQ7" i="8" s="1"/>
  <c r="BQ6" i="8" s="1"/>
  <c r="BO9" i="11"/>
  <c r="BO6" i="11" s="1"/>
  <c r="BO21" i="11" s="1"/>
  <c r="BP7" i="8" s="1"/>
  <c r="BP6" i="8" s="1"/>
  <c r="AJ34" i="8"/>
  <c r="AI33" i="8"/>
  <c r="AJ43" i="8"/>
  <c r="AI42" i="8"/>
  <c r="AH24" i="8"/>
  <c r="AJ26" i="8"/>
  <c r="AI25" i="8"/>
  <c r="AI24" i="8" s="1"/>
  <c r="R10" i="20"/>
  <c r="R5" i="20" s="1"/>
  <c r="K65" i="17"/>
  <c r="T106" i="6"/>
  <c r="K105" i="17" s="1"/>
  <c r="AJ26" i="7"/>
  <c r="AI25" i="7"/>
  <c r="AI33" i="7"/>
  <c r="AJ34" i="7"/>
  <c r="AI42" i="7"/>
  <c r="AJ43" i="7"/>
  <c r="AJ8" i="6"/>
  <c r="AI6" i="6"/>
  <c r="AI43" i="6"/>
  <c r="AI34" i="6"/>
  <c r="AJ12" i="6"/>
  <c r="M111" i="17"/>
  <c r="M118" i="17"/>
  <c r="AI26" i="6"/>
  <c r="AJ62" i="6"/>
  <c r="AG115" i="24" l="1"/>
  <c r="AG115" i="28"/>
  <c r="AK26" i="8"/>
  <c r="AJ25" i="8"/>
  <c r="AK43" i="8"/>
  <c r="AJ42" i="8"/>
  <c r="AK34" i="8"/>
  <c r="AJ33" i="8"/>
  <c r="S10" i="20"/>
  <c r="S5" i="20" s="1"/>
  <c r="T107" i="6"/>
  <c r="AJ25" i="7"/>
  <c r="AK26" i="7"/>
  <c r="AI24" i="7"/>
  <c r="AK34" i="7"/>
  <c r="AJ33" i="7"/>
  <c r="AJ42" i="7"/>
  <c r="AK43" i="7"/>
  <c r="AJ34" i="6"/>
  <c r="W111" i="6"/>
  <c r="N107" i="17"/>
  <c r="O107" i="17" s="1"/>
  <c r="AK62" i="6"/>
  <c r="AJ43" i="6"/>
  <c r="AJ26" i="6"/>
  <c r="AK12" i="6"/>
  <c r="AK8" i="6"/>
  <c r="AJ6" i="6"/>
  <c r="AH115" i="24" l="1"/>
  <c r="AH115" i="28"/>
  <c r="AL34" i="8"/>
  <c r="AK33" i="8"/>
  <c r="AL43" i="8"/>
  <c r="AK42" i="8"/>
  <c r="AJ24" i="8"/>
  <c r="AL26" i="8"/>
  <c r="AK25" i="8"/>
  <c r="T10" i="20"/>
  <c r="T5" i="20" s="1"/>
  <c r="T112" i="6"/>
  <c r="T114" i="6" s="1"/>
  <c r="K106" i="17"/>
  <c r="AL34" i="7"/>
  <c r="AK33" i="7"/>
  <c r="AL43" i="7"/>
  <c r="AK42" i="7"/>
  <c r="AL26" i="7"/>
  <c r="AK25" i="7"/>
  <c r="AK24" i="7" s="1"/>
  <c r="AJ24" i="7"/>
  <c r="AK43" i="6"/>
  <c r="N111" i="17"/>
  <c r="O111" i="17" s="1"/>
  <c r="X111" i="6"/>
  <c r="N118" i="17"/>
  <c r="AL12" i="6"/>
  <c r="AK34" i="6"/>
  <c r="AL62" i="6"/>
  <c r="AL8" i="6"/>
  <c r="AK6" i="6"/>
  <c r="AK26" i="6"/>
  <c r="K119" i="17"/>
  <c r="L104" i="17"/>
  <c r="AI115" i="24" l="1"/>
  <c r="AI115" i="28"/>
  <c r="AK24" i="8"/>
  <c r="AL25" i="8"/>
  <c r="AM26" i="8"/>
  <c r="AM43" i="8"/>
  <c r="AL42" i="8"/>
  <c r="AL33" i="8"/>
  <c r="AM34" i="8"/>
  <c r="U10" i="20"/>
  <c r="U5" i="20" s="1"/>
  <c r="K117" i="17"/>
  <c r="K112" i="17"/>
  <c r="AL25" i="7"/>
  <c r="AM26" i="7"/>
  <c r="AL42" i="7"/>
  <c r="AM43" i="7"/>
  <c r="AL33" i="7"/>
  <c r="AM34" i="7"/>
  <c r="AM12" i="6"/>
  <c r="AL34" i="6"/>
  <c r="Y111" i="6"/>
  <c r="AM8" i="6"/>
  <c r="AL6" i="6"/>
  <c r="AM62" i="6"/>
  <c r="AL26" i="6"/>
  <c r="AL43" i="6"/>
  <c r="AJ115" i="24" l="1"/>
  <c r="AJ115" i="28"/>
  <c r="AN34" i="8"/>
  <c r="AM33" i="8"/>
  <c r="AM42" i="8"/>
  <c r="AN43" i="8"/>
  <c r="AM25" i="8"/>
  <c r="AM24" i="8" s="1"/>
  <c r="AN26" i="8"/>
  <c r="AL24" i="8"/>
  <c r="V10" i="20"/>
  <c r="V5" i="20" s="1"/>
  <c r="AM42" i="7"/>
  <c r="AN43" i="7"/>
  <c r="AL24" i="7"/>
  <c r="AN34" i="7"/>
  <c r="AM33" i="7"/>
  <c r="AM25" i="7"/>
  <c r="AM24" i="7" s="1"/>
  <c r="AN26" i="7"/>
  <c r="AM34" i="6"/>
  <c r="AN62" i="6"/>
  <c r="AN12" i="6"/>
  <c r="AM43" i="6"/>
  <c r="AN8" i="6"/>
  <c r="AM6" i="6"/>
  <c r="Z111" i="6"/>
  <c r="AM26" i="6"/>
  <c r="L119" i="17"/>
  <c r="AK115" i="24" l="1"/>
  <c r="AK115" i="28"/>
  <c r="AO26" i="8"/>
  <c r="AN25" i="8"/>
  <c r="AO43" i="8"/>
  <c r="AN42" i="8"/>
  <c r="AN33" i="8"/>
  <c r="AO34" i="8"/>
  <c r="W10" i="20"/>
  <c r="W5" i="20" s="1"/>
  <c r="AN42" i="7"/>
  <c r="AO43" i="7"/>
  <c r="AO34" i="7"/>
  <c r="AN33" i="7"/>
  <c r="AO26" i="7"/>
  <c r="AN25" i="7"/>
  <c r="AO12" i="6"/>
  <c r="AO62" i="6"/>
  <c r="AN43" i="6"/>
  <c r="AN26" i="6"/>
  <c r="AA111" i="6"/>
  <c r="AO8" i="6"/>
  <c r="AN6" i="6"/>
  <c r="AN34" i="6"/>
  <c r="AL115" i="24" l="1"/>
  <c r="AL115" i="28"/>
  <c r="AO33" i="8"/>
  <c r="AP34" i="8"/>
  <c r="AO42" i="8"/>
  <c r="AP43" i="8"/>
  <c r="AN24" i="8"/>
  <c r="AO25" i="8"/>
  <c r="AP26" i="8"/>
  <c r="X10" i="20"/>
  <c r="X5" i="20" s="1"/>
  <c r="AN24" i="7"/>
  <c r="AO42" i="7"/>
  <c r="AP43" i="7"/>
  <c r="AP34" i="7"/>
  <c r="AO33" i="7"/>
  <c r="AP26" i="7"/>
  <c r="AO25" i="7"/>
  <c r="AO34" i="6"/>
  <c r="AP8" i="6"/>
  <c r="AO6" i="6"/>
  <c r="M119" i="17"/>
  <c r="AB111" i="6"/>
  <c r="AO26" i="6"/>
  <c r="AO43" i="6"/>
  <c r="AP62" i="6"/>
  <c r="AP12" i="6"/>
  <c r="AM115" i="24" l="1"/>
  <c r="AM115" i="28"/>
  <c r="AQ26" i="8"/>
  <c r="AP25" i="8"/>
  <c r="AO24" i="8"/>
  <c r="AQ43" i="8"/>
  <c r="AP42" i="8"/>
  <c r="AP33" i="8"/>
  <c r="AQ34" i="8"/>
  <c r="Y10" i="20"/>
  <c r="Y5" i="20" s="1"/>
  <c r="AP33" i="7"/>
  <c r="AQ34" i="7"/>
  <c r="AO24" i="7"/>
  <c r="AQ26" i="7"/>
  <c r="AP25" i="7"/>
  <c r="AP24" i="7" s="1"/>
  <c r="AP42" i="7"/>
  <c r="AQ43" i="7"/>
  <c r="AP26" i="6"/>
  <c r="AQ12" i="6"/>
  <c r="AC111" i="6"/>
  <c r="AQ8" i="6"/>
  <c r="AP6" i="6"/>
  <c r="AQ62" i="6"/>
  <c r="AP43" i="6"/>
  <c r="AP34" i="6"/>
  <c r="AN115" i="24" l="1"/>
  <c r="AN115" i="28"/>
  <c r="AQ33" i="8"/>
  <c r="AR34" i="8"/>
  <c r="AQ25" i="8"/>
  <c r="AR26" i="8"/>
  <c r="AQ42" i="8"/>
  <c r="AR43" i="8"/>
  <c r="AP24" i="8"/>
  <c r="Z10" i="20"/>
  <c r="Z5" i="20" s="1"/>
  <c r="AR43" i="7"/>
  <c r="AQ42" i="7"/>
  <c r="AR26" i="7"/>
  <c r="AQ25" i="7"/>
  <c r="AQ24" i="7" s="1"/>
  <c r="AQ33" i="7"/>
  <c r="AR34" i="7"/>
  <c r="N119" i="17"/>
  <c r="O119" i="17" s="1"/>
  <c r="AQ34" i="6"/>
  <c r="AD111" i="6"/>
  <c r="AQ43" i="6"/>
  <c r="AR12" i="6"/>
  <c r="AR8" i="6"/>
  <c r="AQ6" i="6"/>
  <c r="AR62" i="6"/>
  <c r="AQ26" i="6"/>
  <c r="AO115" i="24" l="1"/>
  <c r="AO115" i="28"/>
  <c r="AS43" i="8"/>
  <c r="AR42" i="8"/>
  <c r="AR33" i="8"/>
  <c r="AS34" i="8"/>
  <c r="AR25" i="8"/>
  <c r="AS26" i="8"/>
  <c r="AQ24" i="8"/>
  <c r="AA10" i="20"/>
  <c r="AA5" i="20" s="1"/>
  <c r="AS26" i="7"/>
  <c r="AR25" i="7"/>
  <c r="AR33" i="7"/>
  <c r="AS34" i="7"/>
  <c r="AS43" i="7"/>
  <c r="AR42" i="7"/>
  <c r="AS12" i="6"/>
  <c r="AE111" i="6"/>
  <c r="AR26" i="6"/>
  <c r="AR43" i="6"/>
  <c r="AR34" i="6"/>
  <c r="AS8" i="6"/>
  <c r="AR6" i="6"/>
  <c r="AS62" i="6"/>
  <c r="AP115" i="24" l="1"/>
  <c r="AP115" i="28"/>
  <c r="AT26" i="8"/>
  <c r="AS25" i="8"/>
  <c r="AS42" i="8"/>
  <c r="AT43" i="8"/>
  <c r="AR24" i="8"/>
  <c r="AT34" i="8"/>
  <c r="AS33" i="8"/>
  <c r="AB10" i="20"/>
  <c r="AB5" i="20" s="1"/>
  <c r="AR24" i="7"/>
  <c r="AT26" i="7"/>
  <c r="AS25" i="7"/>
  <c r="AS42" i="7"/>
  <c r="AT43" i="7"/>
  <c r="AT34" i="7"/>
  <c r="AS33" i="7"/>
  <c r="AS26" i="6"/>
  <c r="AS34" i="6"/>
  <c r="AF111" i="6"/>
  <c r="AT8" i="6"/>
  <c r="AS6" i="6"/>
  <c r="AS43" i="6"/>
  <c r="AT12" i="6"/>
  <c r="AT62" i="6"/>
  <c r="AQ115" i="24" l="1"/>
  <c r="AQ115" i="28"/>
  <c r="AS24" i="8"/>
  <c r="AU34" i="8"/>
  <c r="AT33" i="8"/>
  <c r="AT42" i="8"/>
  <c r="AU43" i="8"/>
  <c r="AU26" i="8"/>
  <c r="AT25" i="8"/>
  <c r="AT24" i="8" s="1"/>
  <c r="AC10" i="20"/>
  <c r="AC5" i="20" s="1"/>
  <c r="AS24" i="7"/>
  <c r="AT42" i="7"/>
  <c r="AU43" i="7"/>
  <c r="AT25" i="7"/>
  <c r="AU26" i="7"/>
  <c r="AU34" i="7"/>
  <c r="AT33" i="7"/>
  <c r="AU12" i="6"/>
  <c r="AT34" i="6"/>
  <c r="AU62" i="6"/>
  <c r="AU8" i="6"/>
  <c r="AT6" i="6"/>
  <c r="AT43" i="6"/>
  <c r="AT26" i="6"/>
  <c r="AR115" i="24" l="1"/>
  <c r="AR115" i="28"/>
  <c r="AU25" i="8"/>
  <c r="AV26" i="8"/>
  <c r="AV43" i="8"/>
  <c r="AU42" i="8"/>
  <c r="AV34" i="8"/>
  <c r="AU33" i="8"/>
  <c r="AD10" i="20"/>
  <c r="AD5" i="20" s="1"/>
  <c r="AV26" i="7"/>
  <c r="AU25" i="7"/>
  <c r="AV43" i="7"/>
  <c r="AU42" i="7"/>
  <c r="AT24" i="7"/>
  <c r="AU33" i="7"/>
  <c r="AV34" i="7"/>
  <c r="AU43" i="6"/>
  <c r="AV8" i="6"/>
  <c r="AU6" i="6"/>
  <c r="AU34" i="6"/>
  <c r="AV62" i="6"/>
  <c r="AU26" i="6"/>
  <c r="AV12" i="6"/>
  <c r="AS115" i="24" l="1"/>
  <c r="AS115" i="28"/>
  <c r="AV33" i="8"/>
  <c r="AW34" i="8"/>
  <c r="AV42" i="8"/>
  <c r="AW43" i="8"/>
  <c r="AW26" i="8"/>
  <c r="AV25" i="8"/>
  <c r="AU24" i="8"/>
  <c r="AE10" i="20"/>
  <c r="AE5" i="20" s="1"/>
  <c r="AW34" i="7"/>
  <c r="AV33" i="7"/>
  <c r="AV42" i="7"/>
  <c r="AW43" i="7"/>
  <c r="AU24" i="7"/>
  <c r="AW26" i="7"/>
  <c r="AV25" i="7"/>
  <c r="AV24" i="7" s="1"/>
  <c r="AW8" i="6"/>
  <c r="AV6" i="6"/>
  <c r="AW12" i="6"/>
  <c r="AV26" i="6"/>
  <c r="AW62" i="6"/>
  <c r="AV34" i="6"/>
  <c r="AV43" i="6"/>
  <c r="AT115" i="24" l="1"/>
  <c r="AT115" i="28"/>
  <c r="AV24" i="8"/>
  <c r="AW25" i="8"/>
  <c r="AX26" i="8"/>
  <c r="AW42" i="8"/>
  <c r="AX43" i="8"/>
  <c r="AX34" i="8"/>
  <c r="AW33" i="8"/>
  <c r="AF10" i="20"/>
  <c r="AF5" i="20" s="1"/>
  <c r="AX26" i="7"/>
  <c r="AW25" i="7"/>
  <c r="AW24" i="7" s="1"/>
  <c r="AX43" i="7"/>
  <c r="AW42" i="7"/>
  <c r="AX34" i="7"/>
  <c r="AW33" i="7"/>
  <c r="AX62" i="6"/>
  <c r="AW26" i="6"/>
  <c r="AW43" i="6"/>
  <c r="AX12" i="6"/>
  <c r="AW34" i="6"/>
  <c r="AX8" i="6"/>
  <c r="AW6" i="6"/>
  <c r="AU115" i="24" l="1"/>
  <c r="AU115" i="28"/>
  <c r="AX33" i="8"/>
  <c r="AY34" i="8"/>
  <c r="AX42" i="8"/>
  <c r="AY43" i="8"/>
  <c r="AY26" i="8"/>
  <c r="AX25" i="8"/>
  <c r="AX24" i="8" s="1"/>
  <c r="AW24" i="8"/>
  <c r="AG10" i="20"/>
  <c r="AG5" i="20" s="1"/>
  <c r="AY26" i="7"/>
  <c r="AX25" i="7"/>
  <c r="AY34" i="7"/>
  <c r="AX33" i="7"/>
  <c r="AX42" i="7"/>
  <c r="AY43" i="7"/>
  <c r="AY12" i="6"/>
  <c r="AX26" i="6"/>
  <c r="AX43" i="6"/>
  <c r="AY62" i="6"/>
  <c r="AX34" i="6"/>
  <c r="AY8" i="6"/>
  <c r="AX6" i="6"/>
  <c r="AV115" i="24" l="1"/>
  <c r="AV115" i="28"/>
  <c r="AY25" i="8"/>
  <c r="AZ26" i="8"/>
  <c r="AZ43" i="8"/>
  <c r="AY42" i="8"/>
  <c r="AY33" i="8"/>
  <c r="AZ34" i="8"/>
  <c r="AH10" i="20"/>
  <c r="AH5" i="20" s="1"/>
  <c r="AX24" i="7"/>
  <c r="AZ34" i="7"/>
  <c r="AY33" i="7"/>
  <c r="AY25" i="7"/>
  <c r="AZ26" i="7"/>
  <c r="AY42" i="7"/>
  <c r="AZ43" i="7"/>
  <c r="AY43" i="6"/>
  <c r="AZ62" i="6"/>
  <c r="AZ8" i="6"/>
  <c r="AY6" i="6"/>
  <c r="AY34" i="6"/>
  <c r="AY26" i="6"/>
  <c r="AZ12" i="6"/>
  <c r="AW115" i="24" l="1"/>
  <c r="AW115" i="28"/>
  <c r="BA43" i="8"/>
  <c r="AZ42" i="8"/>
  <c r="BA34" i="8"/>
  <c r="AZ33" i="8"/>
  <c r="AZ25" i="8"/>
  <c r="AZ24" i="8" s="1"/>
  <c r="BA26" i="8"/>
  <c r="AY24" i="8"/>
  <c r="AI10" i="20"/>
  <c r="AI5" i="20" s="1"/>
  <c r="BA26" i="7"/>
  <c r="AZ25" i="7"/>
  <c r="AZ24" i="7" s="1"/>
  <c r="AY24" i="7"/>
  <c r="BA43" i="7"/>
  <c r="AZ42" i="7"/>
  <c r="BA34" i="7"/>
  <c r="AZ33" i="7"/>
  <c r="AZ34" i="6"/>
  <c r="AZ43" i="6"/>
  <c r="AZ26" i="6"/>
  <c r="BA8" i="6"/>
  <c r="AZ6" i="6"/>
  <c r="BA12" i="6"/>
  <c r="BA62" i="6"/>
  <c r="AX115" i="24" l="1"/>
  <c r="AX115" i="28"/>
  <c r="BA25" i="8"/>
  <c r="BB26" i="8"/>
  <c r="BA33" i="8"/>
  <c r="BB34" i="8"/>
  <c r="BB43" i="8"/>
  <c r="BA42" i="8"/>
  <c r="AJ10" i="20"/>
  <c r="AJ5" i="20" s="1"/>
  <c r="BB34" i="7"/>
  <c r="BA33" i="7"/>
  <c r="BB26" i="7"/>
  <c r="BA25" i="7"/>
  <c r="BA42" i="7"/>
  <c r="BB43" i="7"/>
  <c r="BA26" i="6"/>
  <c r="BA43" i="6"/>
  <c r="BB62" i="6"/>
  <c r="BB8" i="6"/>
  <c r="BA6" i="6"/>
  <c r="BB12" i="6"/>
  <c r="BA34" i="6"/>
  <c r="AY115" i="24" l="1"/>
  <c r="AY115" i="28"/>
  <c r="BB42" i="8"/>
  <c r="BC43" i="8"/>
  <c r="BB33" i="8"/>
  <c r="BC34" i="8"/>
  <c r="BB25" i="8"/>
  <c r="BB24" i="8" s="1"/>
  <c r="BC26" i="8"/>
  <c r="BA24" i="8"/>
  <c r="AK10" i="20"/>
  <c r="AK5" i="20" s="1"/>
  <c r="BC43" i="7"/>
  <c r="BB42" i="7"/>
  <c r="BA24" i="7"/>
  <c r="BB25" i="7"/>
  <c r="BC26" i="7"/>
  <c r="BB33" i="7"/>
  <c r="BC34" i="7"/>
  <c r="BB43" i="6"/>
  <c r="BB34" i="6"/>
  <c r="BC62" i="6"/>
  <c r="BC8" i="6"/>
  <c r="BB6" i="6"/>
  <c r="BC12" i="6"/>
  <c r="BB26" i="6"/>
  <c r="AZ115" i="24" l="1"/>
  <c r="AZ115" i="28"/>
  <c r="BC25" i="8"/>
  <c r="BD26" i="8"/>
  <c r="BD34" i="8"/>
  <c r="BC33" i="8"/>
  <c r="BC42" i="8"/>
  <c r="BD43" i="8"/>
  <c r="AL10" i="20"/>
  <c r="AL5" i="20" s="1"/>
  <c r="BC25" i="7"/>
  <c r="BD26" i="7"/>
  <c r="BB24" i="7"/>
  <c r="BD34" i="7"/>
  <c r="BC33" i="7"/>
  <c r="BC42" i="7"/>
  <c r="BD43" i="7"/>
  <c r="BC26" i="6"/>
  <c r="BD8" i="6"/>
  <c r="BC6" i="6"/>
  <c r="BC34" i="6"/>
  <c r="BD12" i="6"/>
  <c r="BD62" i="6"/>
  <c r="BC43" i="6"/>
  <c r="BA115" i="24" l="1"/>
  <c r="BA115" i="28"/>
  <c r="BE43" i="8"/>
  <c r="BD42" i="8"/>
  <c r="BE34" i="8"/>
  <c r="BD33" i="8"/>
  <c r="BD25" i="8"/>
  <c r="BD24" i="8" s="1"/>
  <c r="BE26" i="8"/>
  <c r="BC24" i="8"/>
  <c r="AM10" i="20"/>
  <c r="AM5" i="20" s="1"/>
  <c r="BD42" i="7"/>
  <c r="BE43" i="7"/>
  <c r="BE34" i="7"/>
  <c r="BD33" i="7"/>
  <c r="BD25" i="7"/>
  <c r="BE26" i="7"/>
  <c r="BC24" i="7"/>
  <c r="BE8" i="6"/>
  <c r="BD6" i="6"/>
  <c r="BE12" i="6"/>
  <c r="BD26" i="6"/>
  <c r="BD43" i="6"/>
  <c r="BD34" i="6"/>
  <c r="BE62" i="6"/>
  <c r="BB115" i="24" l="1"/>
  <c r="BB115" i="28"/>
  <c r="BF26" i="8"/>
  <c r="BE25" i="8"/>
  <c r="BE42" i="8"/>
  <c r="BF43" i="8"/>
  <c r="BF34" i="8"/>
  <c r="BE33" i="8"/>
  <c r="AN10" i="20"/>
  <c r="AN5" i="20" s="1"/>
  <c r="BF34" i="7"/>
  <c r="BE33" i="7"/>
  <c r="BE25" i="7"/>
  <c r="BE24" i="7" s="1"/>
  <c r="BF26" i="7"/>
  <c r="BE42" i="7"/>
  <c r="BF43" i="7"/>
  <c r="BD24" i="7"/>
  <c r="BE43" i="6"/>
  <c r="BF8" i="6"/>
  <c r="BE6" i="6"/>
  <c r="BE26" i="6"/>
  <c r="BE34" i="6"/>
  <c r="BF62" i="6"/>
  <c r="BF12" i="6"/>
  <c r="BC115" i="24" l="1"/>
  <c r="BC115" i="28"/>
  <c r="BF33" i="8"/>
  <c r="BG34" i="8"/>
  <c r="BG43" i="8"/>
  <c r="BF42" i="8"/>
  <c r="BE24" i="8"/>
  <c r="BF25" i="8"/>
  <c r="BG26" i="8"/>
  <c r="AO10" i="20"/>
  <c r="AO5" i="20" s="1"/>
  <c r="BG26" i="7"/>
  <c r="BF25" i="7"/>
  <c r="BG43" i="7"/>
  <c r="BF42" i="7"/>
  <c r="BG34" i="7"/>
  <c r="BF33" i="7"/>
  <c r="BG8" i="6"/>
  <c r="BF6" i="6"/>
  <c r="BF26" i="6"/>
  <c r="BF34" i="6"/>
  <c r="BG62" i="6"/>
  <c r="BG12" i="6"/>
  <c r="BF43" i="6"/>
  <c r="BD115" i="24" l="1"/>
  <c r="BD115" i="28"/>
  <c r="BF24" i="8"/>
  <c r="BH26" i="8"/>
  <c r="BG25" i="8"/>
  <c r="BH43" i="8"/>
  <c r="BG42" i="8"/>
  <c r="BH34" i="8"/>
  <c r="BG33" i="8"/>
  <c r="AP10" i="20"/>
  <c r="AP5" i="20" s="1"/>
  <c r="BF24" i="7"/>
  <c r="BH43" i="7"/>
  <c r="BG42" i="7"/>
  <c r="BG25" i="7"/>
  <c r="BH26" i="7"/>
  <c r="BH34" i="7"/>
  <c r="BG33" i="7"/>
  <c r="BH62" i="6"/>
  <c r="BH8" i="6"/>
  <c r="BG6" i="6"/>
  <c r="BG43" i="6"/>
  <c r="BG34" i="6"/>
  <c r="BH12" i="6"/>
  <c r="BG26" i="6"/>
  <c r="BE115" i="24" l="1"/>
  <c r="BE115" i="28"/>
  <c r="BH33" i="8"/>
  <c r="BI34" i="8"/>
  <c r="BI43" i="8"/>
  <c r="BH42" i="8"/>
  <c r="BG24" i="8"/>
  <c r="BI26" i="8"/>
  <c r="BH25" i="8"/>
  <c r="BH24" i="8" s="1"/>
  <c r="AQ10" i="20"/>
  <c r="AQ5" i="20" s="1"/>
  <c r="BI43" i="7"/>
  <c r="BH42" i="7"/>
  <c r="BH25" i="7"/>
  <c r="BI26" i="7"/>
  <c r="BG24" i="7"/>
  <c r="BI34" i="7"/>
  <c r="BH33" i="7"/>
  <c r="BH34" i="6"/>
  <c r="BH43" i="6"/>
  <c r="BI8" i="6"/>
  <c r="BH6" i="6"/>
  <c r="BI12" i="6"/>
  <c r="BH26" i="6"/>
  <c r="BI62" i="6"/>
  <c r="BF115" i="24" l="1"/>
  <c r="BF115" i="28"/>
  <c r="BI25" i="8"/>
  <c r="BJ26" i="8"/>
  <c r="BJ43" i="8"/>
  <c r="BI42" i="8"/>
  <c r="BI33" i="8"/>
  <c r="BJ34" i="8"/>
  <c r="AR10" i="20"/>
  <c r="AR5" i="20" s="1"/>
  <c r="BJ34" i="7"/>
  <c r="BI33" i="7"/>
  <c r="BJ26" i="7"/>
  <c r="BI25" i="7"/>
  <c r="BH24" i="7"/>
  <c r="BJ43" i="7"/>
  <c r="BI42" i="7"/>
  <c r="BJ12" i="6"/>
  <c r="BI34" i="6"/>
  <c r="BJ62" i="6"/>
  <c r="BJ8" i="6"/>
  <c r="BI6" i="6"/>
  <c r="BI26" i="6"/>
  <c r="BI43" i="6"/>
  <c r="BG115" i="24" l="1"/>
  <c r="BG115" i="28"/>
  <c r="BJ33" i="8"/>
  <c r="BK34" i="8"/>
  <c r="BK43" i="8"/>
  <c r="BJ42" i="8"/>
  <c r="BK26" i="8"/>
  <c r="BJ25" i="8"/>
  <c r="BJ24" i="8" s="1"/>
  <c r="BI24" i="8"/>
  <c r="AS10" i="20"/>
  <c r="AS5" i="20" s="1"/>
  <c r="BK26" i="7"/>
  <c r="BJ25" i="7"/>
  <c r="BK34" i="7"/>
  <c r="BJ33" i="7"/>
  <c r="BK43" i="7"/>
  <c r="BJ42" i="7"/>
  <c r="BI24" i="7"/>
  <c r="BJ34" i="6"/>
  <c r="BK12" i="6"/>
  <c r="BJ26" i="6"/>
  <c r="BK8" i="6"/>
  <c r="BJ6" i="6"/>
  <c r="BJ43" i="6"/>
  <c r="BK62" i="6"/>
  <c r="BH115" i="24" l="1"/>
  <c r="BH115" i="28"/>
  <c r="BK25" i="8"/>
  <c r="BL26" i="8"/>
  <c r="BL43" i="8"/>
  <c r="BK42" i="8"/>
  <c r="BL34" i="8"/>
  <c r="BK33" i="8"/>
  <c r="BL34" i="7"/>
  <c r="BK33" i="7"/>
  <c r="BJ24" i="7"/>
  <c r="BL43" i="7"/>
  <c r="BK42" i="7"/>
  <c r="BK25" i="7"/>
  <c r="BK24" i="7" s="1"/>
  <c r="BL26" i="7"/>
  <c r="BL12" i="6"/>
  <c r="BL62" i="6"/>
  <c r="BL8" i="6"/>
  <c r="BK6" i="6"/>
  <c r="BK43" i="6"/>
  <c r="BK26" i="6"/>
  <c r="BK34" i="6"/>
  <c r="BM34" i="8" l="1"/>
  <c r="BL33" i="8"/>
  <c r="BL42" i="8"/>
  <c r="BM43" i="8"/>
  <c r="BL25" i="8"/>
  <c r="BL24" i="8" s="1"/>
  <c r="BM26" i="8"/>
  <c r="BK24" i="8"/>
  <c r="BM43" i="7"/>
  <c r="BL42" i="7"/>
  <c r="BL25" i="7"/>
  <c r="BM26" i="7"/>
  <c r="BL33" i="7"/>
  <c r="BM34" i="7"/>
  <c r="BM8" i="6"/>
  <c r="BL6" i="6"/>
  <c r="BM62" i="6"/>
  <c r="BL26" i="6"/>
  <c r="BL34" i="6"/>
  <c r="BL43" i="6"/>
  <c r="BM12" i="6"/>
  <c r="BM25" i="8" l="1"/>
  <c r="BN26" i="8"/>
  <c r="BM42" i="8"/>
  <c r="BN43" i="8"/>
  <c r="BM33" i="8"/>
  <c r="BN34" i="8"/>
  <c r="BN26" i="7"/>
  <c r="BM25" i="7"/>
  <c r="BL24" i="7"/>
  <c r="BN34" i="7"/>
  <c r="BM33" i="7"/>
  <c r="BM42" i="7"/>
  <c r="BN43" i="7"/>
  <c r="BM34" i="6"/>
  <c r="BN12" i="6"/>
  <c r="BM26" i="6"/>
  <c r="BN8" i="6"/>
  <c r="BM6" i="6"/>
  <c r="BN62" i="6"/>
  <c r="BM43" i="6"/>
  <c r="BN33" i="8" l="1"/>
  <c r="BO34" i="8"/>
  <c r="BN42" i="8"/>
  <c r="BO43" i="8"/>
  <c r="BO26" i="8"/>
  <c r="BN25" i="8"/>
  <c r="BN24" i="8" s="1"/>
  <c r="BM24" i="8"/>
  <c r="BO34" i="7"/>
  <c r="BN33" i="7"/>
  <c r="BO26" i="7"/>
  <c r="BN25" i="7"/>
  <c r="BM24" i="7"/>
  <c r="BN42" i="7"/>
  <c r="BO43" i="7"/>
  <c r="BN26" i="6"/>
  <c r="BO62" i="6"/>
  <c r="BO12" i="6"/>
  <c r="BO8" i="6"/>
  <c r="BN6" i="6"/>
  <c r="BN43" i="6"/>
  <c r="BN34" i="6"/>
  <c r="BO25" i="8" l="1"/>
  <c r="BP26" i="8"/>
  <c r="BO42" i="8"/>
  <c r="BP43" i="8"/>
  <c r="BO33" i="8"/>
  <c r="BP34" i="8"/>
  <c r="BN24" i="7"/>
  <c r="BP26" i="7"/>
  <c r="BO25" i="7"/>
  <c r="BP43" i="7"/>
  <c r="BO42" i="7"/>
  <c r="BO33" i="7"/>
  <c r="BP34" i="7"/>
  <c r="BP62" i="6"/>
  <c r="BO34" i="6"/>
  <c r="BP8" i="6"/>
  <c r="BO6" i="6"/>
  <c r="BO43" i="6"/>
  <c r="BP12" i="6"/>
  <c r="BO26" i="6"/>
  <c r="BQ34" i="8" l="1"/>
  <c r="BQ33" i="8" s="1"/>
  <c r="BP33" i="8"/>
  <c r="BP42" i="8"/>
  <c r="BQ43" i="8"/>
  <c r="BQ42" i="8" s="1"/>
  <c r="BQ26" i="8"/>
  <c r="BQ25" i="8" s="1"/>
  <c r="BP25" i="8"/>
  <c r="BP24" i="8" s="1"/>
  <c r="BO24" i="8"/>
  <c r="BP25" i="7"/>
  <c r="BQ26" i="7"/>
  <c r="BQ25" i="7" s="1"/>
  <c r="BQ34" i="7"/>
  <c r="BQ33" i="7" s="1"/>
  <c r="BP33" i="7"/>
  <c r="BQ43" i="7"/>
  <c r="BQ42" i="7" s="1"/>
  <c r="BP42" i="7"/>
  <c r="BO24" i="7"/>
  <c r="BQ34" i="6"/>
  <c r="BP34" i="6"/>
  <c r="BQ43" i="6"/>
  <c r="BP43" i="6"/>
  <c r="BQ62" i="6"/>
  <c r="BQ8" i="6"/>
  <c r="BQ6" i="6" s="1"/>
  <c r="BP6" i="6"/>
  <c r="BQ26" i="6"/>
  <c r="BP26" i="6"/>
  <c r="BQ12" i="6"/>
  <c r="BQ24" i="8" l="1"/>
  <c r="BQ24" i="7"/>
  <c r="BQ23" i="7" s="1"/>
  <c r="BP24" i="7"/>
  <c r="BP23" i="7" s="1"/>
  <c r="AF8" i="12" l="1"/>
  <c r="AF21" i="12" l="1"/>
  <c r="AG8" i="12"/>
  <c r="K37" i="16"/>
  <c r="K38" i="16" s="1"/>
  <c r="AA36" i="6" l="1"/>
  <c r="AA28" i="6"/>
  <c r="AA37" i="6"/>
  <c r="AA29" i="6"/>
  <c r="V36" i="6"/>
  <c r="V37" i="6"/>
  <c r="M35" i="17" s="1"/>
  <c r="V29" i="6"/>
  <c r="V28" i="6"/>
  <c r="AA36" i="8"/>
  <c r="AA35" i="8"/>
  <c r="AA28" i="8"/>
  <c r="AA27" i="8"/>
  <c r="AA25" i="8" s="1"/>
  <c r="V36" i="8"/>
  <c r="V28" i="8"/>
  <c r="V27" i="8"/>
  <c r="V35" i="8"/>
  <c r="K31" i="16"/>
  <c r="J30" i="16"/>
  <c r="K32" i="16"/>
  <c r="J31" i="16"/>
  <c r="K30" i="16"/>
  <c r="J32" i="16"/>
  <c r="AG21" i="12"/>
  <c r="U6" i="10"/>
  <c r="AA27" i="7"/>
  <c r="Z6" i="10"/>
  <c r="AI8" i="12"/>
  <c r="AH8" i="12"/>
  <c r="AB36" i="6" l="1"/>
  <c r="AB28" i="6"/>
  <c r="AB37" i="6"/>
  <c r="AB29" i="6"/>
  <c r="W36" i="6"/>
  <c r="W37" i="6"/>
  <c r="N35" i="17" s="1"/>
  <c r="O35" i="17" s="1"/>
  <c r="W29" i="6"/>
  <c r="W28" i="6"/>
  <c r="AA34" i="6"/>
  <c r="V33" i="8"/>
  <c r="V25" i="8"/>
  <c r="AA33" i="8"/>
  <c r="AA24" i="8" s="1"/>
  <c r="M34" i="17"/>
  <c r="V34" i="6"/>
  <c r="M32" i="17" s="1"/>
  <c r="W28" i="8"/>
  <c r="W27" i="8"/>
  <c r="W25" i="8" s="1"/>
  <c r="W36" i="8"/>
  <c r="W35" i="8"/>
  <c r="W33" i="8" s="1"/>
  <c r="U7" i="11"/>
  <c r="AB36" i="8"/>
  <c r="AB35" i="8"/>
  <c r="AB28" i="8"/>
  <c r="AB27" i="8"/>
  <c r="Z7" i="11"/>
  <c r="AB27" i="7"/>
  <c r="AI21" i="12"/>
  <c r="Z7" i="10"/>
  <c r="AA6" i="10"/>
  <c r="V6" i="10"/>
  <c r="V27" i="7"/>
  <c r="AD21" i="12"/>
  <c r="AH21" i="12"/>
  <c r="U11" i="10"/>
  <c r="U33" i="10" s="1"/>
  <c r="U7" i="10"/>
  <c r="AC36" i="6" l="1"/>
  <c r="AC28" i="6"/>
  <c r="AC29" i="6"/>
  <c r="AC37" i="6"/>
  <c r="AD36" i="6"/>
  <c r="AD28" i="6"/>
  <c r="AD37" i="6"/>
  <c r="AD29" i="6"/>
  <c r="Y36" i="6"/>
  <c r="Y37" i="6"/>
  <c r="Y28" i="6"/>
  <c r="Y29" i="6"/>
  <c r="X36" i="6"/>
  <c r="X28" i="6"/>
  <c r="X37" i="6"/>
  <c r="X29" i="6"/>
  <c r="V24" i="8"/>
  <c r="AB25" i="8"/>
  <c r="AB24" i="8" s="1"/>
  <c r="AB33" i="8"/>
  <c r="AB34" i="6"/>
  <c r="AD28" i="8"/>
  <c r="AD27" i="8"/>
  <c r="AD25" i="8" s="1"/>
  <c r="AD36" i="8"/>
  <c r="AD35" i="8"/>
  <c r="AC28" i="8"/>
  <c r="AC27" i="8"/>
  <c r="AC25" i="8" s="1"/>
  <c r="AC35" i="8"/>
  <c r="AC36" i="8"/>
  <c r="W24" i="8"/>
  <c r="Y36" i="8"/>
  <c r="Y35" i="8"/>
  <c r="Y33" i="8" s="1"/>
  <c r="Y28" i="8"/>
  <c r="Y27" i="8"/>
  <c r="Y25" i="8" s="1"/>
  <c r="Z8" i="11"/>
  <c r="V7" i="11"/>
  <c r="AA7" i="11"/>
  <c r="X36" i="8"/>
  <c r="X35" i="8"/>
  <c r="X28" i="8"/>
  <c r="X27" i="8"/>
  <c r="U8" i="11"/>
  <c r="N34" i="17"/>
  <c r="O34" i="17" s="1"/>
  <c r="H9" i="16" s="1"/>
  <c r="H13" i="16" s="1"/>
  <c r="W34" i="6"/>
  <c r="N32" i="17" s="1"/>
  <c r="O32" i="17" s="1"/>
  <c r="X6" i="10"/>
  <c r="V11" i="10"/>
  <c r="V33" i="10" s="1"/>
  <c r="AA7" i="10"/>
  <c r="Z32" i="10"/>
  <c r="U32" i="10"/>
  <c r="W6" i="10"/>
  <c r="AA28" i="7"/>
  <c r="AA25" i="7" s="1"/>
  <c r="AA24" i="7" s="1"/>
  <c r="AA26" i="6"/>
  <c r="AA25" i="6" s="1"/>
  <c r="AC6" i="10"/>
  <c r="M26" i="17"/>
  <c r="V7" i="10"/>
  <c r="V28" i="7"/>
  <c r="V25" i="7" s="1"/>
  <c r="V24" i="7" s="1"/>
  <c r="M27" i="17"/>
  <c r="W27" i="7"/>
  <c r="Z11" i="10"/>
  <c r="Z33" i="10" s="1"/>
  <c r="AB6" i="10"/>
  <c r="D24" i="14"/>
  <c r="D30" i="14"/>
  <c r="X34" i="6" l="1"/>
  <c r="Y24" i="8"/>
  <c r="X25" i="8"/>
  <c r="X24" i="8" s="1"/>
  <c r="AD33" i="8"/>
  <c r="AD24" i="8"/>
  <c r="AC34" i="6"/>
  <c r="U9" i="11"/>
  <c r="U6" i="11" s="1"/>
  <c r="U21" i="11" s="1"/>
  <c r="V7" i="8" s="1"/>
  <c r="V6" i="8" s="1"/>
  <c r="X7" i="11"/>
  <c r="AA8" i="11"/>
  <c r="AD34" i="6"/>
  <c r="G9" i="16"/>
  <c r="W7" i="11"/>
  <c r="X33" i="8"/>
  <c r="AC33" i="8"/>
  <c r="AC24" i="8" s="1"/>
  <c r="AB7" i="11"/>
  <c r="AA6" i="6"/>
  <c r="Z9" i="11"/>
  <c r="Z6" i="11" s="1"/>
  <c r="Z21" i="11" s="1"/>
  <c r="AA7" i="8" s="1"/>
  <c r="AA6" i="8" s="1"/>
  <c r="AC7" i="11"/>
  <c r="Y34" i="6"/>
  <c r="V8" i="11"/>
  <c r="W11" i="10"/>
  <c r="W33" i="10" s="1"/>
  <c r="AC27" i="7"/>
  <c r="V32" i="10"/>
  <c r="AB7" i="10"/>
  <c r="X27" i="7"/>
  <c r="W28" i="7"/>
  <c r="W25" i="7" s="1"/>
  <c r="W24" i="7" s="1"/>
  <c r="N27" i="17"/>
  <c r="O27" i="17" s="1"/>
  <c r="V26" i="6"/>
  <c r="AB11" i="10"/>
  <c r="AB33" i="10" s="1"/>
  <c r="N26" i="17"/>
  <c r="O26" i="17" s="1"/>
  <c r="AC7" i="10"/>
  <c r="AA11" i="10"/>
  <c r="AA33" i="10" s="1"/>
  <c r="W7" i="10"/>
  <c r="AA32" i="10"/>
  <c r="AD27" i="7"/>
  <c r="Y27" i="7"/>
  <c r="AB28" i="7"/>
  <c r="AB25" i="7" s="1"/>
  <c r="AB24" i="7" s="1"/>
  <c r="AB26" i="6"/>
  <c r="AB25" i="6" s="1"/>
  <c r="X11" i="10"/>
  <c r="X33" i="10" s="1"/>
  <c r="X7" i="10"/>
  <c r="AA9" i="11" l="1"/>
  <c r="AA6" i="11" s="1"/>
  <c r="AA21" i="11" s="1"/>
  <c r="AB7" i="8" s="1"/>
  <c r="AB6" i="8" s="1"/>
  <c r="AB8" i="11"/>
  <c r="X8" i="11"/>
  <c r="AC8" i="11"/>
  <c r="V9" i="11"/>
  <c r="V6" i="11" s="1"/>
  <c r="V21" i="11" s="1"/>
  <c r="W7" i="8" s="1"/>
  <c r="W6" i="8" s="1"/>
  <c r="W8" i="11"/>
  <c r="G13" i="16"/>
  <c r="I13" i="16" s="1"/>
  <c r="I9" i="16"/>
  <c r="W26" i="6"/>
  <c r="W25" i="6" s="1"/>
  <c r="N23" i="17" s="1"/>
  <c r="X32" i="10"/>
  <c r="H4" i="16"/>
  <c r="X28" i="7"/>
  <c r="X25" i="7" s="1"/>
  <c r="X24" i="7" s="1"/>
  <c r="X26" i="6"/>
  <c r="X25" i="6" s="1"/>
  <c r="AB32" i="10"/>
  <c r="M24" i="17"/>
  <c r="V25" i="6"/>
  <c r="M23" i="17" s="1"/>
  <c r="AC32" i="10"/>
  <c r="AC28" i="7"/>
  <c r="AC25" i="7" s="1"/>
  <c r="AC24" i="7" s="1"/>
  <c r="AC26" i="6"/>
  <c r="AC25" i="6" s="1"/>
  <c r="Y28" i="7"/>
  <c r="Y25" i="7" s="1"/>
  <c r="Y24" i="7" s="1"/>
  <c r="Y26" i="6"/>
  <c r="Y25" i="6" s="1"/>
  <c r="W32" i="10"/>
  <c r="AD28" i="7"/>
  <c r="AD25" i="7" s="1"/>
  <c r="AD24" i="7" s="1"/>
  <c r="AD26" i="6"/>
  <c r="AD25" i="6" s="1"/>
  <c r="AC11" i="10"/>
  <c r="AC33" i="10" s="1"/>
  <c r="M7" i="17" l="1"/>
  <c r="V6" i="6"/>
  <c r="M6" i="17" s="1"/>
  <c r="X9" i="11"/>
  <c r="X6" i="11" s="1"/>
  <c r="X21" i="11" s="1"/>
  <c r="Y7" i="8" s="1"/>
  <c r="Y6" i="8" s="1"/>
  <c r="AC6" i="6"/>
  <c r="AB9" i="11"/>
  <c r="AB6" i="11" s="1"/>
  <c r="AB21" i="11" s="1"/>
  <c r="AC7" i="8" s="1"/>
  <c r="AC6" i="8" s="1"/>
  <c r="AD6" i="6"/>
  <c r="AC9" i="11"/>
  <c r="AC6" i="11" s="1"/>
  <c r="AC21" i="11" s="1"/>
  <c r="AD7" i="8" s="1"/>
  <c r="AD6" i="8" s="1"/>
  <c r="W9" i="11"/>
  <c r="W6" i="11" s="1"/>
  <c r="W21" i="11" s="1"/>
  <c r="X7" i="8" s="1"/>
  <c r="X6" i="8" s="1"/>
  <c r="N24" i="17"/>
  <c r="O24" i="17" s="1"/>
  <c r="G4" i="16" s="1"/>
  <c r="G29" i="16" s="1"/>
  <c r="AB6" i="6"/>
  <c r="O23" i="17"/>
  <c r="H8" i="16"/>
  <c r="H33" i="16" s="1"/>
  <c r="H29" i="16"/>
  <c r="M29" i="16" s="1"/>
  <c r="M33" i="16" s="1"/>
  <c r="D31" i="14" s="1"/>
  <c r="D32" i="14" s="1"/>
  <c r="N7" i="17" l="1"/>
  <c r="O7" i="17" s="1"/>
  <c r="W6" i="6"/>
  <c r="N6" i="17" s="1"/>
  <c r="O6" i="17" s="1"/>
  <c r="Y6" i="6"/>
  <c r="X6" i="6"/>
  <c r="G8" i="16"/>
  <c r="G33" i="16" s="1"/>
  <c r="I33" i="16" s="1"/>
  <c r="I4" i="16"/>
  <c r="J29" i="16"/>
  <c r="J33" i="16" s="1"/>
  <c r="K29" i="16"/>
  <c r="K33" i="16" s="1"/>
  <c r="D25" i="14" s="1"/>
  <c r="D26" i="14" s="1"/>
  <c r="D45" i="14" s="1"/>
  <c r="I29" i="16"/>
  <c r="I8" i="16" l="1"/>
  <c r="G46" i="14"/>
  <c r="G45" i="14"/>
  <c r="G21" i="14"/>
  <c r="AN14" i="10" l="1"/>
  <c r="BK14" i="10"/>
  <c r="AE14" i="10"/>
  <c r="AT14" i="10"/>
  <c r="BI14" i="10"/>
  <c r="AZ14" i="10"/>
  <c r="AQ14" i="10"/>
  <c r="AH14" i="10"/>
  <c r="BL14" i="10"/>
  <c r="AF14" i="10"/>
  <c r="BC14" i="10"/>
  <c r="AL14" i="10"/>
  <c r="BA14" i="10"/>
  <c r="AR14" i="10"/>
  <c r="BO14" i="10"/>
  <c r="AI14" i="10"/>
  <c r="BF14" i="10"/>
  <c r="AO14" i="10"/>
  <c r="BP14" i="10"/>
  <c r="BG14" i="10"/>
  <c r="AX14" i="10"/>
  <c r="AG14" i="10"/>
  <c r="BD14" i="10"/>
  <c r="AU14" i="10"/>
  <c r="BJ14" i="10"/>
  <c r="AD14" i="10"/>
  <c r="AS14" i="10"/>
  <c r="AJ14" i="10"/>
  <c r="BM14" i="10"/>
  <c r="AV14" i="10"/>
  <c r="J45" i="14"/>
  <c r="AM14" i="10"/>
  <c r="BB14" i="10"/>
  <c r="AK14" i="10"/>
  <c r="BH14" i="10"/>
  <c r="AY14" i="10"/>
  <c r="S14" i="10"/>
  <c r="AP14" i="10"/>
  <c r="BE14" i="10"/>
  <c r="Y14" i="10"/>
  <c r="T14" i="10"/>
  <c r="BN14" i="10"/>
  <c r="AW14" i="10"/>
  <c r="U14" i="10"/>
  <c r="Z14" i="10"/>
  <c r="V14" i="10"/>
  <c r="AA14" i="10"/>
  <c r="AB14" i="10"/>
  <c r="W14" i="10"/>
  <c r="X14" i="10"/>
  <c r="AC14" i="10"/>
  <c r="G18" i="14"/>
  <c r="H18" i="14" s="1"/>
  <c r="D41" i="14" s="1"/>
  <c r="G41" i="14" s="1"/>
  <c r="G15" i="14"/>
  <c r="H15" i="14" s="1"/>
  <c r="D38" i="14" s="1"/>
  <c r="G38" i="14" s="1"/>
  <c r="G16" i="14"/>
  <c r="H16" i="14" s="1"/>
  <c r="D39" i="14" s="1"/>
  <c r="G39" i="14" s="1"/>
  <c r="G17" i="14"/>
  <c r="H17" i="14" s="1"/>
  <c r="D40" i="14" s="1"/>
  <c r="G40" i="14" s="1"/>
  <c r="G19" i="14"/>
  <c r="H19" i="14" s="1"/>
  <c r="D42" i="14" s="1"/>
  <c r="G42" i="14" s="1"/>
  <c r="G20" i="14"/>
  <c r="H20" i="14" s="1"/>
  <c r="D43" i="14" s="1"/>
  <c r="G43" i="14" s="1"/>
  <c r="J46" i="14"/>
  <c r="J38" i="14" l="1"/>
  <c r="M38" i="14"/>
  <c r="J42" i="14"/>
  <c r="M42" i="14"/>
  <c r="M40" i="14"/>
  <c r="J40" i="14"/>
  <c r="BJ25" i="10"/>
  <c r="BJ35" i="10" s="1"/>
  <c r="AD25" i="10"/>
  <c r="AD35" i="10" s="1"/>
  <c r="AS25" i="10"/>
  <c r="AS35" i="10" s="1"/>
  <c r="BP25" i="10"/>
  <c r="BP35" i="10" s="1"/>
  <c r="AJ25" i="10"/>
  <c r="AJ35" i="10" s="1"/>
  <c r="BG25" i="10"/>
  <c r="BG35" i="10" s="1"/>
  <c r="AA25" i="10"/>
  <c r="AA35" i="10" s="1"/>
  <c r="AX25" i="10"/>
  <c r="AX35" i="10" s="1"/>
  <c r="BM25" i="10"/>
  <c r="BM35" i="10" s="1"/>
  <c r="AG25" i="10"/>
  <c r="AG35" i="10" s="1"/>
  <c r="AV25" i="10"/>
  <c r="AV35" i="10" s="1"/>
  <c r="BK25" i="10"/>
  <c r="BK35" i="10" s="1"/>
  <c r="AE25" i="10"/>
  <c r="AE35" i="10" s="1"/>
  <c r="BH25" i="10"/>
  <c r="BH35" i="10" s="1"/>
  <c r="AY25" i="10"/>
  <c r="AY35" i="10" s="1"/>
  <c r="AP25" i="10"/>
  <c r="AP35" i="10" s="1"/>
  <c r="BE25" i="10"/>
  <c r="BE35" i="10" s="1"/>
  <c r="AN25" i="10"/>
  <c r="AN35" i="10" s="1"/>
  <c r="AT25" i="10"/>
  <c r="AT35" i="10" s="1"/>
  <c r="BI25" i="10"/>
  <c r="BI35" i="10" s="1"/>
  <c r="AC25" i="10"/>
  <c r="AC35" i="10" s="1"/>
  <c r="AZ25" i="10"/>
  <c r="AZ35" i="10" s="1"/>
  <c r="T25" i="10"/>
  <c r="T35" i="10" s="1"/>
  <c r="AQ25" i="10"/>
  <c r="AQ35" i="10" s="1"/>
  <c r="BN25" i="10"/>
  <c r="BN35" i="10" s="1"/>
  <c r="AH25" i="10"/>
  <c r="AH35" i="10" s="1"/>
  <c r="AW25" i="10"/>
  <c r="AW35" i="10" s="1"/>
  <c r="BL25" i="10"/>
  <c r="BL35" i="10" s="1"/>
  <c r="AF25" i="10"/>
  <c r="AF35" i="10" s="1"/>
  <c r="AU25" i="10"/>
  <c r="AU35" i="10" s="1"/>
  <c r="AL25" i="10"/>
  <c r="AL35" i="10" s="1"/>
  <c r="BA25" i="10"/>
  <c r="BA35" i="10" s="1"/>
  <c r="U25" i="10"/>
  <c r="U35" i="10" s="1"/>
  <c r="AR25" i="10"/>
  <c r="AR35" i="10" s="1"/>
  <c r="BO25" i="10"/>
  <c r="BO35" i="10" s="1"/>
  <c r="AI25" i="10"/>
  <c r="AI35" i="10" s="1"/>
  <c r="BF25" i="10"/>
  <c r="BF35" i="10" s="1"/>
  <c r="Z25" i="10"/>
  <c r="Z35" i="10" s="1"/>
  <c r="AO25" i="10"/>
  <c r="AO35" i="10" s="1"/>
  <c r="BD25" i="10"/>
  <c r="BD35" i="10" s="1"/>
  <c r="X25" i="10"/>
  <c r="X35" i="10" s="1"/>
  <c r="AM25" i="10"/>
  <c r="AM35" i="10" s="1"/>
  <c r="BB25" i="10"/>
  <c r="BB35" i="10" s="1"/>
  <c r="V25" i="10"/>
  <c r="V35" i="10" s="1"/>
  <c r="AK25" i="10"/>
  <c r="AK35" i="10" s="1"/>
  <c r="AB25" i="10"/>
  <c r="AB35" i="10" s="1"/>
  <c r="S25" i="10"/>
  <c r="S35" i="10" s="1"/>
  <c r="Y25" i="10"/>
  <c r="Y35" i="10" s="1"/>
  <c r="BC25" i="10"/>
  <c r="BC35" i="10" s="1"/>
  <c r="W25" i="10"/>
  <c r="W35" i="10" s="1"/>
  <c r="J43" i="14"/>
  <c r="M43" i="14"/>
  <c r="M41" i="14"/>
  <c r="J41" i="14"/>
  <c r="J39" i="14"/>
  <c r="M39" i="14"/>
  <c r="N39" i="14" l="1"/>
  <c r="N41" i="14"/>
  <c r="N42" i="14"/>
  <c r="M37" i="14"/>
  <c r="N43" i="14"/>
  <c r="N38" i="14"/>
  <c r="N40" i="14"/>
  <c r="W114" i="8"/>
  <c r="R26" i="22" s="1"/>
  <c r="BF114" i="8"/>
  <c r="BC114" i="8"/>
  <c r="AY114" i="8"/>
  <c r="BJ114" i="8"/>
  <c r="BA114" i="8"/>
  <c r="U114" i="8" l="1"/>
  <c r="N26" i="22" s="1"/>
  <c r="U60" i="8"/>
  <c r="U58" i="8" s="1"/>
  <c r="BO114" i="8"/>
  <c r="BO117" i="7"/>
  <c r="BO115" i="6"/>
  <c r="AY60" i="8"/>
  <c r="AY58" i="8" s="1"/>
  <c r="AX114" i="8"/>
  <c r="BJ60" i="8"/>
  <c r="BJ58" i="8" s="1"/>
  <c r="BI114" i="8"/>
  <c r="BA60" i="8"/>
  <c r="BA58" i="8" s="1"/>
  <c r="AZ114" i="8"/>
  <c r="BC60" i="8"/>
  <c r="BC58" i="8" s="1"/>
  <c r="BB114" i="8"/>
  <c r="AZ60" i="8"/>
  <c r="AZ58" i="8" s="1"/>
  <c r="BB60" i="8"/>
  <c r="BB58" i="8" s="1"/>
  <c r="BC115" i="6"/>
  <c r="AZ115" i="6"/>
  <c r="BA115" i="6"/>
  <c r="T115" i="6"/>
  <c r="K120" i="17" s="1"/>
  <c r="BI115" i="6"/>
  <c r="BF115" i="6"/>
  <c r="BJ115" i="6"/>
  <c r="W115" i="6"/>
  <c r="N120" i="17" s="1"/>
  <c r="BB115" i="6"/>
  <c r="AX115" i="6"/>
  <c r="U115" i="6"/>
  <c r="L120" i="17" s="1"/>
  <c r="AY115" i="6"/>
  <c r="U117" i="7"/>
  <c r="BA13" i="10"/>
  <c r="AI13" i="10"/>
  <c r="AH13" i="10"/>
  <c r="BL13" i="10"/>
  <c r="BN13" i="10"/>
  <c r="AU13" i="10"/>
  <c r="X13" i="10"/>
  <c r="BH13" i="10"/>
  <c r="AX13" i="10"/>
  <c r="T13" i="10"/>
  <c r="AG13" i="10"/>
  <c r="AZ13" i="10"/>
  <c r="AT13" i="10"/>
  <c r="W13" i="10"/>
  <c r="AB13" i="10"/>
  <c r="AD13" i="10"/>
  <c r="BC13" i="10"/>
  <c r="AM13" i="10"/>
  <c r="AC13" i="10"/>
  <c r="U13" i="10"/>
  <c r="AK13" i="10"/>
  <c r="BG13" i="10"/>
  <c r="S13" i="10"/>
  <c r="AV13" i="10"/>
  <c r="AF13" i="10"/>
  <c r="V13" i="10"/>
  <c r="AL13" i="10"/>
  <c r="Z13" i="10"/>
  <c r="AE13" i="10"/>
  <c r="AP13" i="10"/>
  <c r="Y13" i="10"/>
  <c r="AA13" i="10"/>
  <c r="AQ13" i="10"/>
  <c r="BP13" i="10"/>
  <c r="AS13" i="10"/>
  <c r="BD13" i="10"/>
  <c r="BJ13" i="10"/>
  <c r="BI13" i="10"/>
  <c r="BB13" i="10"/>
  <c r="AW13" i="10"/>
  <c r="BM13" i="10"/>
  <c r="AN13" i="10"/>
  <c r="AR13" i="10"/>
  <c r="AY13" i="10"/>
  <c r="AJ13" i="10"/>
  <c r="AO13" i="10"/>
  <c r="BE13" i="10"/>
  <c r="BF13" i="10"/>
  <c r="BK13" i="10"/>
  <c r="BO13" i="10"/>
  <c r="N37" i="14"/>
  <c r="BI117" i="7"/>
  <c r="BJ97" i="8"/>
  <c r="BJ95" i="8" s="1"/>
  <c r="T117" i="7"/>
  <c r="X114" i="8"/>
  <c r="T26" i="22" s="1"/>
  <c r="U97" i="8"/>
  <c r="U95" i="8" s="1"/>
  <c r="AZ117" i="7"/>
  <c r="BA117" i="7"/>
  <c r="BB117" i="7"/>
  <c r="BK114" i="8"/>
  <c r="BJ117" i="7"/>
  <c r="BE114" i="8"/>
  <c r="AX117" i="7"/>
  <c r="W117" i="7"/>
  <c r="AY117" i="7"/>
  <c r="BH114" i="8"/>
  <c r="BC117" i="7"/>
  <c r="BF117" i="7"/>
  <c r="U79" i="8" l="1"/>
  <c r="O24" i="22" s="1"/>
  <c r="BJ79" i="8"/>
  <c r="BJ99" i="8" s="1"/>
  <c r="BJ104" i="8" s="1"/>
  <c r="BJ112" i="8" s="1"/>
  <c r="BP114" i="8"/>
  <c r="BP117" i="7"/>
  <c r="BP115" i="6"/>
  <c r="BQ114" i="8"/>
  <c r="V26" i="1" s="1"/>
  <c r="BQ117" i="7"/>
  <c r="BQ115" i="6"/>
  <c r="BC57" i="8"/>
  <c r="BC23" i="8" s="1"/>
  <c r="BA57" i="8"/>
  <c r="BA23" i="8" s="1"/>
  <c r="U57" i="8"/>
  <c r="U23" i="8" s="1"/>
  <c r="O23" i="22" s="1"/>
  <c r="U13" i="8"/>
  <c r="U11" i="8" s="1"/>
  <c r="U5" i="8" s="1"/>
  <c r="N23" i="22" s="1"/>
  <c r="BJ57" i="8"/>
  <c r="BJ23" i="8" s="1"/>
  <c r="BB57" i="8"/>
  <c r="BB23" i="8" s="1"/>
  <c r="AZ57" i="8"/>
  <c r="AZ23" i="8" s="1"/>
  <c r="AY57" i="8"/>
  <c r="AY23" i="8" s="1"/>
  <c r="BC97" i="8"/>
  <c r="BC95" i="8" s="1"/>
  <c r="AY97" i="8"/>
  <c r="AY95" i="8" s="1"/>
  <c r="BB97" i="8"/>
  <c r="BB95" i="8" s="1"/>
  <c r="AZ97" i="8"/>
  <c r="AZ95" i="8" s="1"/>
  <c r="BD60" i="8"/>
  <c r="BD58" i="8" s="1"/>
  <c r="BD114" i="8"/>
  <c r="BG60" i="8"/>
  <c r="BG58" i="8" s="1"/>
  <c r="BG114" i="8"/>
  <c r="T26" i="1" s="1"/>
  <c r="BA97" i="8"/>
  <c r="BA95" i="8" s="1"/>
  <c r="V60" i="8"/>
  <c r="V58" i="8" s="1"/>
  <c r="V114" i="8"/>
  <c r="P26" i="22" s="1"/>
  <c r="BI60" i="8"/>
  <c r="BI58" i="8" s="1"/>
  <c r="W60" i="8"/>
  <c r="W58" i="8" s="1"/>
  <c r="BK60" i="8"/>
  <c r="BK58" i="8" s="1"/>
  <c r="X60" i="8"/>
  <c r="X58" i="8" s="1"/>
  <c r="BF60" i="8"/>
  <c r="BF58" i="8" s="1"/>
  <c r="BE60" i="8"/>
  <c r="BE58" i="8" s="1"/>
  <c r="BH60" i="8"/>
  <c r="BH58" i="8" s="1"/>
  <c r="BJ97" i="7"/>
  <c r="BJ95" i="7" s="1"/>
  <c r="BJ79" i="7" s="1"/>
  <c r="BJ99" i="7" s="1"/>
  <c r="BJ104" i="7" s="1"/>
  <c r="BJ115" i="7" s="1"/>
  <c r="U61" i="6"/>
  <c r="L58" i="17" s="1"/>
  <c r="X115" i="6"/>
  <c r="BG115" i="6"/>
  <c r="BK115" i="6"/>
  <c r="L95" i="17"/>
  <c r="BJ60" i="7"/>
  <c r="BJ58" i="7" s="1"/>
  <c r="BJ57" i="7" s="1"/>
  <c r="BJ23" i="7" s="1"/>
  <c r="BD115" i="6"/>
  <c r="BE115" i="6"/>
  <c r="V115" i="6"/>
  <c r="M120" i="17" s="1"/>
  <c r="O120" i="17" s="1"/>
  <c r="BH115" i="6"/>
  <c r="BJ98" i="6"/>
  <c r="BJ96" i="6" s="1"/>
  <c r="BJ80" i="6" s="1"/>
  <c r="BJ100" i="6" s="1"/>
  <c r="BJ105" i="6" s="1"/>
  <c r="BJ113" i="6" s="1"/>
  <c r="BK98" i="6"/>
  <c r="BK96" i="6" s="1"/>
  <c r="BK80" i="6" s="1"/>
  <c r="BK100" i="6" s="1"/>
  <c r="BK105" i="6" s="1"/>
  <c r="BK113" i="6" s="1"/>
  <c r="AY15" i="10"/>
  <c r="BD15" i="10"/>
  <c r="Z15" i="10"/>
  <c r="U15" i="10"/>
  <c r="AD15" i="10"/>
  <c r="AZ15" i="10"/>
  <c r="BL15" i="10"/>
  <c r="AH24" i="10"/>
  <c r="AH26" i="10" s="1"/>
  <c r="AV24" i="10"/>
  <c r="AV26" i="10" s="1"/>
  <c r="AT24" i="10"/>
  <c r="AT26" i="10" s="1"/>
  <c r="AL24" i="10"/>
  <c r="AL26" i="10" s="1"/>
  <c r="AD24" i="10"/>
  <c r="AD26" i="10" s="1"/>
  <c r="Z24" i="10"/>
  <c r="Z26" i="10" s="1"/>
  <c r="AY24" i="10"/>
  <c r="AY26" i="10" s="1"/>
  <c r="BK24" i="10"/>
  <c r="BK26" i="10" s="1"/>
  <c r="BC24" i="10"/>
  <c r="BC26" i="10" s="1"/>
  <c r="BD24" i="10"/>
  <c r="BD26" i="10" s="1"/>
  <c r="AN24" i="10"/>
  <c r="AN26" i="10" s="1"/>
  <c r="BN24" i="10"/>
  <c r="BN26" i="10" s="1"/>
  <c r="S24" i="10"/>
  <c r="S26" i="10" s="1"/>
  <c r="AZ24" i="10"/>
  <c r="AZ26" i="10" s="1"/>
  <c r="BB24" i="10"/>
  <c r="BB26" i="10" s="1"/>
  <c r="BI24" i="10"/>
  <c r="BI26" i="10" s="1"/>
  <c r="AM24" i="10"/>
  <c r="AM26" i="10" s="1"/>
  <c r="BG24" i="10"/>
  <c r="BG26" i="10" s="1"/>
  <c r="AO24" i="10"/>
  <c r="AO26" i="10" s="1"/>
  <c r="BH24" i="10"/>
  <c r="BH26" i="10" s="1"/>
  <c r="BJ24" i="10"/>
  <c r="BJ26" i="10" s="1"/>
  <c r="U24" i="10"/>
  <c r="U26" i="10" s="1"/>
  <c r="BO24" i="10"/>
  <c r="BO26" i="10" s="1"/>
  <c r="BL24" i="10"/>
  <c r="BL26" i="10" s="1"/>
  <c r="AW24" i="10"/>
  <c r="AW26" i="10" s="1"/>
  <c r="AJ24" i="10"/>
  <c r="AJ26" i="10" s="1"/>
  <c r="AB24" i="10"/>
  <c r="AB26" i="10" s="1"/>
  <c r="AU24" i="10"/>
  <c r="AU26" i="10" s="1"/>
  <c r="AC24" i="10"/>
  <c r="AC26" i="10" s="1"/>
  <c r="BM24" i="10"/>
  <c r="BM26" i="10" s="1"/>
  <c r="AQ24" i="10"/>
  <c r="AQ26" i="10" s="1"/>
  <c r="AX24" i="10"/>
  <c r="AX26" i="10" s="1"/>
  <c r="AS24" i="10"/>
  <c r="AS26" i="10" s="1"/>
  <c r="AG24" i="10"/>
  <c r="AG26" i="10" s="1"/>
  <c r="Y24" i="10"/>
  <c r="Y26" i="10" s="1"/>
  <c r="T24" i="10"/>
  <c r="T26" i="10" s="1"/>
  <c r="W24" i="10"/>
  <c r="W26" i="10" s="1"/>
  <c r="AK24" i="10"/>
  <c r="AK26" i="10" s="1"/>
  <c r="BP24" i="10"/>
  <c r="BP26" i="10" s="1"/>
  <c r="AI24" i="10"/>
  <c r="AI26" i="10" s="1"/>
  <c r="BA24" i="10"/>
  <c r="BA26" i="10" s="1"/>
  <c r="V24" i="10"/>
  <c r="V26" i="10" s="1"/>
  <c r="AA24" i="10"/>
  <c r="AA26" i="10" s="1"/>
  <c r="AR24" i="10"/>
  <c r="AR26" i="10" s="1"/>
  <c r="X24" i="10"/>
  <c r="X26" i="10" s="1"/>
  <c r="BE24" i="10"/>
  <c r="BE26" i="10" s="1"/>
  <c r="AF24" i="10"/>
  <c r="AF26" i="10" s="1"/>
  <c r="BF24" i="10"/>
  <c r="BF26" i="10" s="1"/>
  <c r="AE24" i="10"/>
  <c r="AE26" i="10" s="1"/>
  <c r="AP24" i="10"/>
  <c r="AP26" i="10" s="1"/>
  <c r="AR15" i="10"/>
  <c r="AS15" i="10"/>
  <c r="S15" i="10"/>
  <c r="AC15" i="10"/>
  <c r="AB15" i="10"/>
  <c r="AG15" i="10"/>
  <c r="AH15" i="10"/>
  <c r="BO15" i="10"/>
  <c r="AO15" i="10"/>
  <c r="AN15" i="10"/>
  <c r="BI15" i="10"/>
  <c r="BP15" i="10"/>
  <c r="AP15" i="10"/>
  <c r="V15" i="10"/>
  <c r="BG15" i="10"/>
  <c r="AM15" i="10"/>
  <c r="W15" i="10"/>
  <c r="T15" i="10"/>
  <c r="AU15" i="10"/>
  <c r="AI15" i="10"/>
  <c r="BF15" i="10"/>
  <c r="AW15" i="10"/>
  <c r="AA15" i="10"/>
  <c r="AV15" i="10"/>
  <c r="BH15" i="10"/>
  <c r="BE15" i="10"/>
  <c r="BB15" i="10"/>
  <c r="Y15" i="10"/>
  <c r="AL15" i="10"/>
  <c r="X15" i="10"/>
  <c r="BK15" i="10"/>
  <c r="AJ15" i="10"/>
  <c r="BM15" i="10"/>
  <c r="BJ15" i="10"/>
  <c r="AQ15" i="10"/>
  <c r="AE15" i="10"/>
  <c r="AF15" i="10"/>
  <c r="AK15" i="10"/>
  <c r="BC15" i="10"/>
  <c r="AT15" i="10"/>
  <c r="AX15" i="10"/>
  <c r="BN15" i="10"/>
  <c r="BA15" i="10"/>
  <c r="BJ61" i="6"/>
  <c r="BJ59" i="6" s="1"/>
  <c r="BJ13" i="6" s="1"/>
  <c r="U97" i="7"/>
  <c r="U95" i="7" s="1"/>
  <c r="U79" i="7" s="1"/>
  <c r="U99" i="7" s="1"/>
  <c r="U104" i="7" s="1"/>
  <c r="U115" i="7" s="1"/>
  <c r="V117" i="7"/>
  <c r="U60" i="7"/>
  <c r="U58" i="7" s="1"/>
  <c r="U57" i="7" s="1"/>
  <c r="U23" i="7" s="1"/>
  <c r="BC97" i="7"/>
  <c r="BC95" i="7" s="1"/>
  <c r="BC79" i="7" s="1"/>
  <c r="BC99" i="7" s="1"/>
  <c r="BC104" i="7" s="1"/>
  <c r="BC115" i="7" s="1"/>
  <c r="BC98" i="6"/>
  <c r="BC96" i="6" s="1"/>
  <c r="BC80" i="6" s="1"/>
  <c r="BC100" i="6" s="1"/>
  <c r="BC105" i="6" s="1"/>
  <c r="BC113" i="6" s="1"/>
  <c r="BH117" i="7"/>
  <c r="BG117" i="7"/>
  <c r="AY60" i="7"/>
  <c r="AY58" i="7" s="1"/>
  <c r="AY57" i="7" s="1"/>
  <c r="AY23" i="7" s="1"/>
  <c r="AY61" i="6"/>
  <c r="AY59" i="6" s="1"/>
  <c r="AY13" i="6" s="1"/>
  <c r="BB98" i="6"/>
  <c r="BB96" i="6" s="1"/>
  <c r="BB80" i="6" s="1"/>
  <c r="BB100" i="6" s="1"/>
  <c r="BB105" i="6" s="1"/>
  <c r="BB113" i="6" s="1"/>
  <c r="BB97" i="7"/>
  <c r="BB95" i="7" s="1"/>
  <c r="BB79" i="7" s="1"/>
  <c r="BB99" i="7" s="1"/>
  <c r="BB104" i="7" s="1"/>
  <c r="BB115" i="7" s="1"/>
  <c r="X117" i="7"/>
  <c r="AZ98" i="6"/>
  <c r="AZ96" i="6" s="1"/>
  <c r="AZ80" i="6" s="1"/>
  <c r="AZ100" i="6" s="1"/>
  <c r="AZ105" i="6" s="1"/>
  <c r="AZ113" i="6" s="1"/>
  <c r="AZ97" i="7"/>
  <c r="AZ95" i="7" s="1"/>
  <c r="AZ79" i="7" s="1"/>
  <c r="AZ99" i="7" s="1"/>
  <c r="AZ104" i="7" s="1"/>
  <c r="AZ115" i="7" s="1"/>
  <c r="BA98" i="6"/>
  <c r="BA96" i="6" s="1"/>
  <c r="BA80" i="6" s="1"/>
  <c r="BA100" i="6" s="1"/>
  <c r="BA105" i="6" s="1"/>
  <c r="BA113" i="6" s="1"/>
  <c r="BA97" i="7"/>
  <c r="BA95" i="7" s="1"/>
  <c r="BA79" i="7" s="1"/>
  <c r="BA99" i="7" s="1"/>
  <c r="BA104" i="7" s="1"/>
  <c r="BA115" i="7" s="1"/>
  <c r="BK117" i="7"/>
  <c r="BA61" i="6"/>
  <c r="BA59" i="6" s="1"/>
  <c r="BA13" i="6" s="1"/>
  <c r="BA60" i="7"/>
  <c r="BA58" i="7" s="1"/>
  <c r="BA57" i="7" s="1"/>
  <c r="BA23" i="7" s="1"/>
  <c r="AY97" i="7"/>
  <c r="AY95" i="7" s="1"/>
  <c r="AY79" i="7" s="1"/>
  <c r="AY99" i="7" s="1"/>
  <c r="AY104" i="7" s="1"/>
  <c r="AY115" i="7" s="1"/>
  <c r="AY98" i="6"/>
  <c r="AY96" i="6" s="1"/>
  <c r="AY80" i="6" s="1"/>
  <c r="AY100" i="6" s="1"/>
  <c r="AY105" i="6" s="1"/>
  <c r="AY113" i="6" s="1"/>
  <c r="BL114" i="8"/>
  <c r="BB61" i="6"/>
  <c r="BB59" i="6" s="1"/>
  <c r="BB13" i="6" s="1"/>
  <c r="BB60" i="7"/>
  <c r="BB58" i="7" s="1"/>
  <c r="BB57" i="7" s="1"/>
  <c r="BB23" i="7" s="1"/>
  <c r="BC61" i="6"/>
  <c r="BC59" i="6" s="1"/>
  <c r="BC13" i="6" s="1"/>
  <c r="BC60" i="7"/>
  <c r="BC58" i="7" s="1"/>
  <c r="BC57" i="7" s="1"/>
  <c r="BC23" i="7" s="1"/>
  <c r="BE117" i="7"/>
  <c r="AZ61" i="6"/>
  <c r="AZ59" i="6" s="1"/>
  <c r="AZ13" i="6" s="1"/>
  <c r="AZ60" i="7"/>
  <c r="AZ58" i="7" s="1"/>
  <c r="AZ57" i="7" s="1"/>
  <c r="AZ23" i="7" s="1"/>
  <c r="BD117" i="7"/>
  <c r="AY79" i="8" l="1"/>
  <c r="AY99" i="8" s="1"/>
  <c r="AY104" i="8" s="1"/>
  <c r="AY112" i="8" s="1"/>
  <c r="AZ79" i="8"/>
  <c r="AZ99" i="8" s="1"/>
  <c r="AZ104" i="8" s="1"/>
  <c r="AZ112" i="8" s="1"/>
  <c r="BA79" i="8"/>
  <c r="BA99" i="8" s="1"/>
  <c r="BA104" i="8" s="1"/>
  <c r="BA112" i="8" s="1"/>
  <c r="BC79" i="8"/>
  <c r="BC99" i="8" s="1"/>
  <c r="BC104" i="8" s="1"/>
  <c r="BC112" i="8" s="1"/>
  <c r="BB79" i="8"/>
  <c r="BB99" i="8" s="1"/>
  <c r="BB104" i="8" s="1"/>
  <c r="BB112" i="8" s="1"/>
  <c r="U99" i="8"/>
  <c r="U104" i="8" s="1"/>
  <c r="U112" i="8" s="1"/>
  <c r="BQ97" i="8"/>
  <c r="BQ95" i="8" s="1"/>
  <c r="BQ79" i="8" s="1"/>
  <c r="BQ98" i="6"/>
  <c r="BQ96" i="6" s="1"/>
  <c r="BQ80" i="6" s="1"/>
  <c r="BQ100" i="6" s="1"/>
  <c r="BQ105" i="6" s="1"/>
  <c r="BQ113" i="6" s="1"/>
  <c r="BQ97" i="7"/>
  <c r="BQ95" i="7" s="1"/>
  <c r="BQ79" i="7" s="1"/>
  <c r="BQ99" i="7" s="1"/>
  <c r="BQ104" i="7" s="1"/>
  <c r="BQ115" i="7" s="1"/>
  <c r="BP97" i="8"/>
  <c r="BP95" i="8" s="1"/>
  <c r="BP98" i="6"/>
  <c r="BP96" i="6" s="1"/>
  <c r="BP80" i="6" s="1"/>
  <c r="BP100" i="6" s="1"/>
  <c r="BP105" i="6" s="1"/>
  <c r="BP113" i="6" s="1"/>
  <c r="BP97" i="7"/>
  <c r="BP95" i="7" s="1"/>
  <c r="BP79" i="7" s="1"/>
  <c r="BP99" i="7" s="1"/>
  <c r="BP104" i="7" s="1"/>
  <c r="BP115" i="7" s="1"/>
  <c r="BQ60" i="8"/>
  <c r="BQ58" i="8" s="1"/>
  <c r="BQ60" i="7"/>
  <c r="BQ58" i="7" s="1"/>
  <c r="BQ57" i="7" s="1"/>
  <c r="BQ61" i="6"/>
  <c r="BQ59" i="6" s="1"/>
  <c r="BQ13" i="6" s="1"/>
  <c r="BP60" i="8"/>
  <c r="BP58" i="8" s="1"/>
  <c r="BP60" i="7"/>
  <c r="BP58" i="7" s="1"/>
  <c r="BP57" i="7" s="1"/>
  <c r="BP61" i="6"/>
  <c r="BP59" i="6" s="1"/>
  <c r="BP13" i="6" s="1"/>
  <c r="BF57" i="8"/>
  <c r="BF23" i="8" s="1"/>
  <c r="X57" i="8"/>
  <c r="X23" i="8" s="1"/>
  <c r="U23" i="22" s="1"/>
  <c r="X13" i="8"/>
  <c r="X11" i="8" s="1"/>
  <c r="X5" i="8" s="1"/>
  <c r="T23" i="22" s="1"/>
  <c r="BG57" i="8"/>
  <c r="BG23" i="8" s="1"/>
  <c r="U23" i="1" s="1"/>
  <c r="BA58" i="6"/>
  <c r="BJ58" i="6"/>
  <c r="BK57" i="8"/>
  <c r="BK23" i="8" s="1"/>
  <c r="U67" i="8"/>
  <c r="U105" i="8" s="1"/>
  <c r="U106" i="8" s="1"/>
  <c r="U111" i="8" s="1"/>
  <c r="W57" i="8"/>
  <c r="W23" i="8" s="1"/>
  <c r="S23" i="22" s="1"/>
  <c r="W13" i="8"/>
  <c r="W11" i="8" s="1"/>
  <c r="W5" i="8" s="1"/>
  <c r="R23" i="22" s="1"/>
  <c r="BD57" i="8"/>
  <c r="BD23" i="8" s="1"/>
  <c r="BE57" i="8"/>
  <c r="BE23" i="8" s="1"/>
  <c r="AY58" i="6"/>
  <c r="BI57" i="8"/>
  <c r="BI23" i="8" s="1"/>
  <c r="BC58" i="6"/>
  <c r="BB58" i="6"/>
  <c r="AZ58" i="6"/>
  <c r="BH57" i="8"/>
  <c r="BH23" i="8" s="1"/>
  <c r="V57" i="8"/>
  <c r="V23" i="8" s="1"/>
  <c r="Q23" i="22" s="1"/>
  <c r="V13" i="8"/>
  <c r="V11" i="8" s="1"/>
  <c r="V5" i="8" s="1"/>
  <c r="P23" i="22" s="1"/>
  <c r="U59" i="6"/>
  <c r="U13" i="6" s="1"/>
  <c r="U96" i="6"/>
  <c r="U80" i="6" s="1"/>
  <c r="BK97" i="8"/>
  <c r="BK95" i="8" s="1"/>
  <c r="BG97" i="8"/>
  <c r="BG95" i="8" s="1"/>
  <c r="BG79" i="8" s="1"/>
  <c r="X97" i="8"/>
  <c r="X95" i="8" s="1"/>
  <c r="BE97" i="8"/>
  <c r="BE95" i="8" s="1"/>
  <c r="V97" i="8"/>
  <c r="V95" i="8" s="1"/>
  <c r="BH97" i="8"/>
  <c r="BH95" i="8" s="1"/>
  <c r="BG98" i="6"/>
  <c r="BG96" i="6" s="1"/>
  <c r="BG80" i="6" s="1"/>
  <c r="BG100" i="6" s="1"/>
  <c r="BG105" i="6" s="1"/>
  <c r="BG113" i="6" s="1"/>
  <c r="BD97" i="8"/>
  <c r="BD95" i="8" s="1"/>
  <c r="BG97" i="7"/>
  <c r="BG95" i="7" s="1"/>
  <c r="BG79" i="7" s="1"/>
  <c r="BG99" i="7" s="1"/>
  <c r="BG104" i="7" s="1"/>
  <c r="BG115" i="7" s="1"/>
  <c r="BI97" i="8"/>
  <c r="BI95" i="8" s="1"/>
  <c r="BF97" i="8"/>
  <c r="BF95" i="8" s="1"/>
  <c r="W97" i="8"/>
  <c r="W95" i="8" s="1"/>
  <c r="W60" i="7"/>
  <c r="W58" i="7" s="1"/>
  <c r="W57" i="7" s="1"/>
  <c r="W23" i="7" s="1"/>
  <c r="BL60" i="8"/>
  <c r="BL58" i="8" s="1"/>
  <c r="BK97" i="7"/>
  <c r="BK95" i="7" s="1"/>
  <c r="BK79" i="7" s="1"/>
  <c r="BK99" i="7" s="1"/>
  <c r="BK104" i="7" s="1"/>
  <c r="BK115" i="7" s="1"/>
  <c r="BL115" i="6"/>
  <c r="BD60" i="7"/>
  <c r="BD58" i="7" s="1"/>
  <c r="BD57" i="7" s="1"/>
  <c r="BD23" i="7" s="1"/>
  <c r="V60" i="7"/>
  <c r="V58" i="7" s="1"/>
  <c r="V57" i="7" s="1"/>
  <c r="V23" i="7" s="1"/>
  <c r="AR34" i="10"/>
  <c r="AR36" i="10" s="1"/>
  <c r="AS7" i="7" s="1"/>
  <c r="AS6" i="7" s="1"/>
  <c r="AS5" i="7" s="1"/>
  <c r="AL34" i="10"/>
  <c r="AL36" i="10" s="1"/>
  <c r="AM7" i="7" s="1"/>
  <c r="AM6" i="7" s="1"/>
  <c r="AM5" i="7" s="1"/>
  <c r="BN34" i="10"/>
  <c r="BN36" i="10" s="1"/>
  <c r="BO7" i="7" s="1"/>
  <c r="BO6" i="7" s="1"/>
  <c r="BO5" i="7" s="1"/>
  <c r="BD98" i="6"/>
  <c r="BD96" i="6" s="1"/>
  <c r="BD80" i="6" s="1"/>
  <c r="BD100" i="6" s="1"/>
  <c r="BD105" i="6" s="1"/>
  <c r="BD113" i="6" s="1"/>
  <c r="BD97" i="7"/>
  <c r="BD95" i="7" s="1"/>
  <c r="BD79" i="7" s="1"/>
  <c r="BD99" i="7" s="1"/>
  <c r="BD104" i="7" s="1"/>
  <c r="BD115" i="7" s="1"/>
  <c r="BH34" i="10"/>
  <c r="BH36" i="10" s="1"/>
  <c r="BI7" i="7" s="1"/>
  <c r="BI6" i="7" s="1"/>
  <c r="BI5" i="7" s="1"/>
  <c r="BI34" i="10"/>
  <c r="BI36" i="10" s="1"/>
  <c r="BJ7" i="7" s="1"/>
  <c r="BJ6" i="7" s="1"/>
  <c r="BJ5" i="7" s="1"/>
  <c r="BJ67" i="7" s="1"/>
  <c r="BJ107" i="7" s="1"/>
  <c r="AU34" i="10"/>
  <c r="AU36" i="10" s="1"/>
  <c r="AV7" i="7" s="1"/>
  <c r="AV6" i="7" s="1"/>
  <c r="AV5" i="7" s="1"/>
  <c r="AV34" i="10"/>
  <c r="AV36" i="10" s="1"/>
  <c r="AW7" i="7" s="1"/>
  <c r="AW6" i="7" s="1"/>
  <c r="AW5" i="7" s="1"/>
  <c r="V34" i="10"/>
  <c r="V36" i="10" s="1"/>
  <c r="W7" i="7" s="1"/>
  <c r="W6" i="7" s="1"/>
  <c r="W5" i="7" s="1"/>
  <c r="AG34" i="10"/>
  <c r="AG36" i="10" s="1"/>
  <c r="AH7" i="7" s="1"/>
  <c r="AH6" i="7" s="1"/>
  <c r="AH5" i="7" s="1"/>
  <c r="W34" i="10"/>
  <c r="W36" i="10" s="1"/>
  <c r="X7" i="7" s="1"/>
  <c r="X6" i="7" s="1"/>
  <c r="X5" i="7" s="1"/>
  <c r="BK34" i="10"/>
  <c r="BK36" i="10" s="1"/>
  <c r="BL7" i="7" s="1"/>
  <c r="BL6" i="7" s="1"/>
  <c r="BL5" i="7" s="1"/>
  <c r="BB34" i="10"/>
  <c r="BB36" i="10" s="1"/>
  <c r="BC7" i="7" s="1"/>
  <c r="BC6" i="7" s="1"/>
  <c r="BC5" i="7" s="1"/>
  <c r="BC67" i="7" s="1"/>
  <c r="BC107" i="7" s="1"/>
  <c r="AX34" i="10"/>
  <c r="AX36" i="10" s="1"/>
  <c r="AY7" i="7" s="1"/>
  <c r="AY6" i="7" s="1"/>
  <c r="AY5" i="7" s="1"/>
  <c r="AY67" i="7" s="1"/>
  <c r="AY107" i="7" s="1"/>
  <c r="BD61" i="6"/>
  <c r="BD59" i="6" s="1"/>
  <c r="BD13" i="6" s="1"/>
  <c r="BF34" i="10"/>
  <c r="BF36" i="10" s="1"/>
  <c r="BG7" i="7" s="1"/>
  <c r="BG6" i="7" s="1"/>
  <c r="BG5" i="7" s="1"/>
  <c r="AI34" i="10"/>
  <c r="AI36" i="10" s="1"/>
  <c r="AJ7" i="7" s="1"/>
  <c r="AJ6" i="7" s="1"/>
  <c r="AJ5" i="7" s="1"/>
  <c r="AQ34" i="10"/>
  <c r="AQ36" i="10" s="1"/>
  <c r="AR7" i="7" s="1"/>
  <c r="AR6" i="7" s="1"/>
  <c r="AR5" i="7" s="1"/>
  <c r="AF34" i="10"/>
  <c r="AF36" i="10" s="1"/>
  <c r="AG7" i="7" s="1"/>
  <c r="AG6" i="7" s="1"/>
  <c r="AG5" i="7" s="1"/>
  <c r="BP34" i="10"/>
  <c r="BP36" i="10" s="1"/>
  <c r="BQ7" i="7" s="1"/>
  <c r="BQ6" i="7" s="1"/>
  <c r="BQ5" i="7" s="1"/>
  <c r="BQ67" i="7" s="1"/>
  <c r="BQ107" i="7" s="1"/>
  <c r="BO34" i="10"/>
  <c r="BO36" i="10" s="1"/>
  <c r="BP7" i="7" s="1"/>
  <c r="BP6" i="7" s="1"/>
  <c r="BP5" i="7" s="1"/>
  <c r="BP67" i="7" s="1"/>
  <c r="BP107" i="7" s="1"/>
  <c r="S34" i="10"/>
  <c r="S36" i="10" s="1"/>
  <c r="T7" i="7" s="1"/>
  <c r="T6" i="7" s="1"/>
  <c r="T5" i="7" s="1"/>
  <c r="T67" i="7" s="1"/>
  <c r="T107" i="7" s="1"/>
  <c r="T108" i="7" s="1"/>
  <c r="U106" i="7" s="1"/>
  <c r="T34" i="10"/>
  <c r="T36" i="10" s="1"/>
  <c r="U7" i="7" s="1"/>
  <c r="U6" i="7" s="1"/>
  <c r="U5" i="7" s="1"/>
  <c r="U67" i="7" s="1"/>
  <c r="U107" i="7" s="1"/>
  <c r="AC34" i="10"/>
  <c r="AC36" i="10" s="1"/>
  <c r="AD7" i="7" s="1"/>
  <c r="AD6" i="7" s="1"/>
  <c r="AD5" i="7" s="1"/>
  <c r="AB34" i="10"/>
  <c r="AB36" i="10" s="1"/>
  <c r="AC7" i="7" s="1"/>
  <c r="AC6" i="7" s="1"/>
  <c r="AC5" i="7" s="1"/>
  <c r="AT34" i="10"/>
  <c r="AT36" i="10" s="1"/>
  <c r="AU7" i="7" s="1"/>
  <c r="AU6" i="7" s="1"/>
  <c r="AU5" i="7" s="1"/>
  <c r="AN34" i="10"/>
  <c r="AN36" i="10" s="1"/>
  <c r="AO7" i="7" s="1"/>
  <c r="AO6" i="7" s="1"/>
  <c r="AO5" i="7" s="1"/>
  <c r="Y34" i="10"/>
  <c r="Y36" i="10" s="1"/>
  <c r="Z7" i="7" s="1"/>
  <c r="Z6" i="7" s="1"/>
  <c r="Z5" i="7" s="1"/>
  <c r="AA34" i="10"/>
  <c r="AA36" i="10" s="1"/>
  <c r="AB7" i="7" s="1"/>
  <c r="AB6" i="7" s="1"/>
  <c r="AB5" i="7" s="1"/>
  <c r="AO34" i="10"/>
  <c r="AO36" i="10" s="1"/>
  <c r="AP7" i="7" s="1"/>
  <c r="AP6" i="7" s="1"/>
  <c r="AP5" i="7" s="1"/>
  <c r="AM34" i="10"/>
  <c r="AM36" i="10" s="1"/>
  <c r="AN7" i="7" s="1"/>
  <c r="AN6" i="7" s="1"/>
  <c r="AN5" i="7" s="1"/>
  <c r="AH34" i="10"/>
  <c r="AH36" i="10" s="1"/>
  <c r="AI7" i="7" s="1"/>
  <c r="AI6" i="7" s="1"/>
  <c r="AI5" i="7" s="1"/>
  <c r="BA34" i="10"/>
  <c r="BA36" i="10" s="1"/>
  <c r="BB7" i="7" s="1"/>
  <c r="BB6" i="7" s="1"/>
  <c r="BB5" i="7" s="1"/>
  <c r="BB67" i="7" s="1"/>
  <c r="BB107" i="7" s="1"/>
  <c r="BC34" i="10"/>
  <c r="BC36" i="10" s="1"/>
  <c r="BD7" i="7" s="1"/>
  <c r="BD6" i="7" s="1"/>
  <c r="BD5" i="7" s="1"/>
  <c r="AW34" i="10"/>
  <c r="AW36" i="10" s="1"/>
  <c r="AX7" i="7" s="1"/>
  <c r="AX6" i="7" s="1"/>
  <c r="AX5" i="7" s="1"/>
  <c r="AS34" i="10"/>
  <c r="AS36" i="10" s="1"/>
  <c r="AT7" i="7" s="1"/>
  <c r="AT6" i="7" s="1"/>
  <c r="AT5" i="7" s="1"/>
  <c r="AZ34" i="10"/>
  <c r="AZ36" i="10" s="1"/>
  <c r="BA7" i="7" s="1"/>
  <c r="BA6" i="7" s="1"/>
  <c r="BA5" i="7" s="1"/>
  <c r="BA67" i="7" s="1"/>
  <c r="BA107" i="7" s="1"/>
  <c r="U34" i="10"/>
  <c r="U36" i="10" s="1"/>
  <c r="V7" i="7" s="1"/>
  <c r="V6" i="7" s="1"/>
  <c r="V5" i="7" s="1"/>
  <c r="BM34" i="10"/>
  <c r="BM36" i="10" s="1"/>
  <c r="BN7" i="7" s="1"/>
  <c r="BN6" i="7" s="1"/>
  <c r="BN5" i="7" s="1"/>
  <c r="BG34" i="10"/>
  <c r="BG36" i="10" s="1"/>
  <c r="BH7" i="7" s="1"/>
  <c r="BH6" i="7" s="1"/>
  <c r="BH5" i="7" s="1"/>
  <c r="AP34" i="10"/>
  <c r="AP36" i="10" s="1"/>
  <c r="AQ7" i="7" s="1"/>
  <c r="AQ6" i="7" s="1"/>
  <c r="AQ5" i="7" s="1"/>
  <c r="BL34" i="10"/>
  <c r="BL36" i="10" s="1"/>
  <c r="BM7" i="7" s="1"/>
  <c r="BM6" i="7" s="1"/>
  <c r="BM5" i="7" s="1"/>
  <c r="AD34" i="10"/>
  <c r="AD36" i="10" s="1"/>
  <c r="AE7" i="7" s="1"/>
  <c r="AE6" i="7" s="1"/>
  <c r="AE5" i="7" s="1"/>
  <c r="Z34" i="10"/>
  <c r="Z36" i="10" s="1"/>
  <c r="AA7" i="7" s="1"/>
  <c r="AA6" i="7" s="1"/>
  <c r="AA5" i="7" s="1"/>
  <c r="AY34" i="10"/>
  <c r="AY36" i="10" s="1"/>
  <c r="AZ7" i="7" s="1"/>
  <c r="AZ6" i="7" s="1"/>
  <c r="AZ5" i="7" s="1"/>
  <c r="AZ67" i="7" s="1"/>
  <c r="AZ107" i="7" s="1"/>
  <c r="BD34" i="10"/>
  <c r="BD36" i="10" s="1"/>
  <c r="BE7" i="7" s="1"/>
  <c r="BE6" i="7" s="1"/>
  <c r="BE5" i="7" s="1"/>
  <c r="AK34" i="10"/>
  <c r="AK36" i="10" s="1"/>
  <c r="AL7" i="7" s="1"/>
  <c r="AL6" i="7" s="1"/>
  <c r="AL5" i="7" s="1"/>
  <c r="AE34" i="10"/>
  <c r="AE36" i="10" s="1"/>
  <c r="AF7" i="7" s="1"/>
  <c r="AF6" i="7" s="1"/>
  <c r="AF5" i="7" s="1"/>
  <c r="BJ34" i="10"/>
  <c r="BJ36" i="10" s="1"/>
  <c r="BK7" i="7" s="1"/>
  <c r="BK6" i="7" s="1"/>
  <c r="BK5" i="7" s="1"/>
  <c r="AJ34" i="10"/>
  <c r="AJ36" i="10" s="1"/>
  <c r="AK7" i="7" s="1"/>
  <c r="AK6" i="7" s="1"/>
  <c r="AK5" i="7" s="1"/>
  <c r="X34" i="10"/>
  <c r="X36" i="10" s="1"/>
  <c r="Y7" i="7" s="1"/>
  <c r="Y6" i="7" s="1"/>
  <c r="Y5" i="7" s="1"/>
  <c r="BE34" i="10"/>
  <c r="BE36" i="10" s="1"/>
  <c r="BF7" i="7" s="1"/>
  <c r="BF6" i="7" s="1"/>
  <c r="BF5" i="7" s="1"/>
  <c r="V97" i="7"/>
  <c r="V95" i="7" s="1"/>
  <c r="V79" i="7" s="1"/>
  <c r="V99" i="7" s="1"/>
  <c r="V104" i="7" s="1"/>
  <c r="V115" i="7" s="1"/>
  <c r="V98" i="6"/>
  <c r="Y114" i="8"/>
  <c r="V26" i="22" s="1"/>
  <c r="W98" i="6"/>
  <c r="W96" i="6" s="1"/>
  <c r="W61" i="6"/>
  <c r="N58" i="17" s="1"/>
  <c r="W97" i="7"/>
  <c r="W95" i="7" s="1"/>
  <c r="W79" i="7" s="1"/>
  <c r="W99" i="7" s="1"/>
  <c r="W104" i="7" s="1"/>
  <c r="W115" i="7" s="1"/>
  <c r="V61" i="6"/>
  <c r="BH61" i="6"/>
  <c r="BH59" i="6" s="1"/>
  <c r="BH13" i="6" s="1"/>
  <c r="BH60" i="7"/>
  <c r="BH58" i="7" s="1"/>
  <c r="BH57" i="7" s="1"/>
  <c r="BH23" i="7" s="1"/>
  <c r="Z114" i="8"/>
  <c r="X26" i="22" s="1"/>
  <c r="BH97" i="7"/>
  <c r="BH95" i="7" s="1"/>
  <c r="BH79" i="7" s="1"/>
  <c r="BH99" i="7" s="1"/>
  <c r="BH104" i="7" s="1"/>
  <c r="BH115" i="7" s="1"/>
  <c r="BH98" i="6"/>
  <c r="BH96" i="6" s="1"/>
  <c r="BH80" i="6" s="1"/>
  <c r="BH100" i="6" s="1"/>
  <c r="BH105" i="6" s="1"/>
  <c r="BH113" i="6" s="1"/>
  <c r="BL117" i="7"/>
  <c r="BG61" i="6"/>
  <c r="BG59" i="6" s="1"/>
  <c r="BG13" i="6" s="1"/>
  <c r="BG60" i="7"/>
  <c r="BG58" i="7" s="1"/>
  <c r="BG57" i="7" s="1"/>
  <c r="BG23" i="7" s="1"/>
  <c r="X98" i="6"/>
  <c r="X96" i="6" s="1"/>
  <c r="X97" i="7"/>
  <c r="X95" i="7" s="1"/>
  <c r="X79" i="7" s="1"/>
  <c r="X99" i="7" s="1"/>
  <c r="X104" i="7" s="1"/>
  <c r="X115" i="7" s="1"/>
  <c r="X61" i="6"/>
  <c r="X59" i="6" s="1"/>
  <c r="X13" i="6" s="1"/>
  <c r="X60" i="7"/>
  <c r="X58" i="7" s="1"/>
  <c r="X57" i="7" s="1"/>
  <c r="X23" i="7" s="1"/>
  <c r="BK61" i="6"/>
  <c r="BK59" i="6" s="1"/>
  <c r="BK13" i="6" s="1"/>
  <c r="BK60" i="7"/>
  <c r="BK58" i="7" s="1"/>
  <c r="BK57" i="7" s="1"/>
  <c r="BK23" i="7" s="1"/>
  <c r="BI61" i="6"/>
  <c r="BI59" i="6" s="1"/>
  <c r="BI13" i="6" s="1"/>
  <c r="BI60" i="7"/>
  <c r="BI58" i="7" s="1"/>
  <c r="BI57" i="7" s="1"/>
  <c r="BI23" i="7" s="1"/>
  <c r="BE61" i="6"/>
  <c r="BE59" i="6" s="1"/>
  <c r="BE13" i="6" s="1"/>
  <c r="BE60" i="7"/>
  <c r="BE58" i="7" s="1"/>
  <c r="BE57" i="7" s="1"/>
  <c r="BE23" i="7" s="1"/>
  <c r="BF61" i="6"/>
  <c r="BF59" i="6" s="1"/>
  <c r="BF13" i="6" s="1"/>
  <c r="BF60" i="7"/>
  <c r="BF58" i="7" s="1"/>
  <c r="BF57" i="7" s="1"/>
  <c r="BF23" i="7" s="1"/>
  <c r="BI98" i="6"/>
  <c r="BI96" i="6" s="1"/>
  <c r="BI80" i="6" s="1"/>
  <c r="BI100" i="6" s="1"/>
  <c r="BI105" i="6" s="1"/>
  <c r="BI113" i="6" s="1"/>
  <c r="BI97" i="7"/>
  <c r="BI95" i="7" s="1"/>
  <c r="BI79" i="7" s="1"/>
  <c r="BI99" i="7" s="1"/>
  <c r="BI104" i="7" s="1"/>
  <c r="BI115" i="7" s="1"/>
  <c r="BF97" i="7"/>
  <c r="BF95" i="7" s="1"/>
  <c r="BF79" i="7" s="1"/>
  <c r="BF99" i="7" s="1"/>
  <c r="BF104" i="7" s="1"/>
  <c r="BF115" i="7" s="1"/>
  <c r="BF98" i="6"/>
  <c r="BF96" i="6" s="1"/>
  <c r="BF80" i="6" s="1"/>
  <c r="BF100" i="6" s="1"/>
  <c r="BF105" i="6" s="1"/>
  <c r="BF113" i="6" s="1"/>
  <c r="BE97" i="7"/>
  <c r="BE95" i="7" s="1"/>
  <c r="BE79" i="7" s="1"/>
  <c r="BE99" i="7" s="1"/>
  <c r="BE104" i="7" s="1"/>
  <c r="BE115" i="7" s="1"/>
  <c r="BE98" i="6"/>
  <c r="BE96" i="6" s="1"/>
  <c r="BE80" i="6" s="1"/>
  <c r="BE100" i="6" s="1"/>
  <c r="BE105" i="6" s="1"/>
  <c r="BE113" i="6" s="1"/>
  <c r="BN114" i="8"/>
  <c r="X80" i="6" l="1"/>
  <c r="X100" i="6" s="1"/>
  <c r="X105" i="6" s="1"/>
  <c r="X113" i="6" s="1"/>
  <c r="L93" i="17"/>
  <c r="U100" i="6"/>
  <c r="M95" i="17"/>
  <c r="V96" i="6"/>
  <c r="V80" i="6" s="1"/>
  <c r="V100" i="6" s="1"/>
  <c r="X67" i="7"/>
  <c r="X107" i="7" s="1"/>
  <c r="U113" i="8"/>
  <c r="N25" i="22" s="1"/>
  <c r="BD79" i="8"/>
  <c r="BD99" i="8" s="1"/>
  <c r="BD104" i="8" s="1"/>
  <c r="BD112" i="8" s="1"/>
  <c r="BP79" i="8"/>
  <c r="BP99" i="8" s="1"/>
  <c r="BP104" i="8" s="1"/>
  <c r="BP112" i="8" s="1"/>
  <c r="BH79" i="8"/>
  <c r="BH99" i="8" s="1"/>
  <c r="BH104" i="8" s="1"/>
  <c r="BH112" i="8" s="1"/>
  <c r="V79" i="8"/>
  <c r="Q24" i="22" s="1"/>
  <c r="W79" i="8"/>
  <c r="S24" i="22" s="1"/>
  <c r="BE79" i="8"/>
  <c r="BE99" i="8" s="1"/>
  <c r="BE104" i="8" s="1"/>
  <c r="BE112" i="8" s="1"/>
  <c r="BF79" i="8"/>
  <c r="BF99" i="8" s="1"/>
  <c r="BF104" i="8" s="1"/>
  <c r="BF112" i="8" s="1"/>
  <c r="X79" i="8"/>
  <c r="U24" i="22" s="1"/>
  <c r="BI79" i="8"/>
  <c r="BI99" i="8" s="1"/>
  <c r="BI104" i="8" s="1"/>
  <c r="BI112" i="8" s="1"/>
  <c r="BK79" i="8"/>
  <c r="BK99" i="8" s="1"/>
  <c r="BK104" i="8" s="1"/>
  <c r="BK112" i="8" s="1"/>
  <c r="BQ57" i="8"/>
  <c r="BQ23" i="8" s="1"/>
  <c r="W23" i="1" s="1"/>
  <c r="W67" i="8"/>
  <c r="W105" i="8" s="1"/>
  <c r="W106" i="8" s="1"/>
  <c r="W111" i="8" s="1"/>
  <c r="BP58" i="6"/>
  <c r="BP57" i="8"/>
  <c r="BP23" i="8" s="1"/>
  <c r="BQ58" i="6"/>
  <c r="W24" i="1"/>
  <c r="BQ99" i="8"/>
  <c r="BQ104" i="8" s="1"/>
  <c r="BQ112" i="8" s="1"/>
  <c r="V67" i="8"/>
  <c r="V105" i="8" s="1"/>
  <c r="V106" i="8" s="1"/>
  <c r="V111" i="8" s="1"/>
  <c r="BI58" i="6"/>
  <c r="BK58" i="6"/>
  <c r="BG58" i="6"/>
  <c r="BD58" i="6"/>
  <c r="X67" i="8"/>
  <c r="X105" i="8" s="1"/>
  <c r="X106" i="8" s="1"/>
  <c r="X111" i="8" s="1"/>
  <c r="BF58" i="6"/>
  <c r="X58" i="6"/>
  <c r="X24" i="6" s="1"/>
  <c r="X11" i="6"/>
  <c r="X5" i="6" s="1"/>
  <c r="U58" i="6"/>
  <c r="U24" i="6" s="1"/>
  <c r="L56" i="17"/>
  <c r="BH58" i="6"/>
  <c r="BE58" i="6"/>
  <c r="BL57" i="8"/>
  <c r="BL23" i="8" s="1"/>
  <c r="BG99" i="8"/>
  <c r="BG104" i="8" s="1"/>
  <c r="BG112" i="8" s="1"/>
  <c r="U24" i="1"/>
  <c r="W67" i="7"/>
  <c r="W107" i="7" s="1"/>
  <c r="BN60" i="8"/>
  <c r="BN58" i="8" s="1"/>
  <c r="BM114" i="8"/>
  <c r="BL97" i="8"/>
  <c r="BL95" i="8" s="1"/>
  <c r="Z60" i="8"/>
  <c r="Z58" i="8" s="1"/>
  <c r="Y60" i="8"/>
  <c r="Y58" i="8" s="1"/>
  <c r="BD67" i="7"/>
  <c r="BD107" i="7" s="1"/>
  <c r="V67" i="7"/>
  <c r="V107" i="7" s="1"/>
  <c r="Y115" i="6"/>
  <c r="BM115" i="6"/>
  <c r="BL60" i="7"/>
  <c r="BL58" i="7" s="1"/>
  <c r="BL57" i="7" s="1"/>
  <c r="BL23" i="7" s="1"/>
  <c r="BL67" i="7" s="1"/>
  <c r="BL107" i="7" s="1"/>
  <c r="Z115" i="6"/>
  <c r="BL61" i="6"/>
  <c r="BL59" i="6" s="1"/>
  <c r="BL13" i="6" s="1"/>
  <c r="BN115" i="6"/>
  <c r="BI67" i="7"/>
  <c r="BI107" i="7" s="1"/>
  <c r="Y97" i="8"/>
  <c r="Y95" i="8" s="1"/>
  <c r="BG67" i="7"/>
  <c r="BG107" i="7" s="1"/>
  <c r="T114" i="7"/>
  <c r="T116" i="7" s="1"/>
  <c r="BH67" i="7"/>
  <c r="BH107" i="7" s="1"/>
  <c r="BE67" i="7"/>
  <c r="BE107" i="7" s="1"/>
  <c r="BK67" i="7"/>
  <c r="BK107" i="7" s="1"/>
  <c r="U108" i="7"/>
  <c r="BF67" i="7"/>
  <c r="BF107" i="7" s="1"/>
  <c r="N95" i="17"/>
  <c r="O95" i="17" s="1"/>
  <c r="Z97" i="8"/>
  <c r="Z95" i="8" s="1"/>
  <c r="Y117" i="7"/>
  <c r="W59" i="6"/>
  <c r="W13" i="6" s="1"/>
  <c r="M58" i="17"/>
  <c r="O58" i="17" s="1"/>
  <c r="V59" i="6"/>
  <c r="V13" i="6" s="1"/>
  <c r="V11" i="6" s="1"/>
  <c r="BM117" i="7"/>
  <c r="BL97" i="7"/>
  <c r="BL95" i="7" s="1"/>
  <c r="BL79" i="7" s="1"/>
  <c r="BL99" i="7" s="1"/>
  <c r="BL104" i="7" s="1"/>
  <c r="BL115" i="7" s="1"/>
  <c r="BL98" i="6"/>
  <c r="BL96" i="6" s="1"/>
  <c r="BL80" i="6" s="1"/>
  <c r="BL100" i="6" s="1"/>
  <c r="BL105" i="6" s="1"/>
  <c r="BL113" i="6" s="1"/>
  <c r="Z117" i="7"/>
  <c r="BN117" i="7"/>
  <c r="AA114" i="8"/>
  <c r="Z26" i="22" s="1"/>
  <c r="N93" i="17"/>
  <c r="W80" i="6"/>
  <c r="L77" i="17" l="1"/>
  <c r="X99" i="8"/>
  <c r="X104" i="8" s="1"/>
  <c r="X112" i="8" s="1"/>
  <c r="V99" i="8"/>
  <c r="V104" i="8" s="1"/>
  <c r="V112" i="8" s="1"/>
  <c r="V113" i="8" s="1"/>
  <c r="Z79" i="8"/>
  <c r="Y24" i="22" s="1"/>
  <c r="BL79" i="8"/>
  <c r="BL99" i="8" s="1"/>
  <c r="BL104" i="8" s="1"/>
  <c r="BL112" i="8" s="1"/>
  <c r="Y79" i="8"/>
  <c r="W24" i="22" s="1"/>
  <c r="W99" i="8"/>
  <c r="W104" i="8" s="1"/>
  <c r="W112" i="8" s="1"/>
  <c r="BN57" i="8"/>
  <c r="BN23" i="8" s="1"/>
  <c r="L55" i="17"/>
  <c r="L22" i="17"/>
  <c r="M12" i="17"/>
  <c r="X68" i="6"/>
  <c r="X106" i="6" s="1"/>
  <c r="BL58" i="6"/>
  <c r="Y57" i="8"/>
  <c r="Y23" i="8" s="1"/>
  <c r="W23" i="22" s="1"/>
  <c r="Y13" i="8"/>
  <c r="Y11" i="8" s="1"/>
  <c r="Y5" i="8" s="1"/>
  <c r="V23" i="22" s="1"/>
  <c r="W58" i="6"/>
  <c r="N55" i="17" s="1"/>
  <c r="Z57" i="8"/>
  <c r="Z23" i="8" s="1"/>
  <c r="Y23" i="22" s="1"/>
  <c r="Z13" i="8"/>
  <c r="Z11" i="8" s="1"/>
  <c r="Z5" i="8" s="1"/>
  <c r="X23" i="22" s="1"/>
  <c r="L12" i="17"/>
  <c r="U11" i="6"/>
  <c r="M93" i="17"/>
  <c r="O93" i="17" s="1"/>
  <c r="BO60" i="8"/>
  <c r="BO58" i="8" s="1"/>
  <c r="BO97" i="8"/>
  <c r="BO95" i="8" s="1"/>
  <c r="BN97" i="8"/>
  <c r="BN95" i="8" s="1"/>
  <c r="BM97" i="8"/>
  <c r="BM95" i="8" s="1"/>
  <c r="BM60" i="8"/>
  <c r="BM58" i="8" s="1"/>
  <c r="AA60" i="8"/>
  <c r="AA58" i="8" s="1"/>
  <c r="Z98" i="6"/>
  <c r="Z96" i="6" s="1"/>
  <c r="Z80" i="6" s="1"/>
  <c r="Z100" i="6" s="1"/>
  <c r="Z105" i="6" s="1"/>
  <c r="Z113" i="6" s="1"/>
  <c r="Y61" i="6"/>
  <c r="Y59" i="6" s="1"/>
  <c r="Y13" i="6" s="1"/>
  <c r="AA115" i="6"/>
  <c r="Y97" i="7"/>
  <c r="Y95" i="7" s="1"/>
  <c r="Y79" i="7" s="1"/>
  <c r="Y99" i="7" s="1"/>
  <c r="Y104" i="7" s="1"/>
  <c r="Y115" i="7" s="1"/>
  <c r="Y96" i="6"/>
  <c r="Y80" i="6" s="1"/>
  <c r="Y100" i="6" s="1"/>
  <c r="Y105" i="6" s="1"/>
  <c r="Y113" i="6" s="1"/>
  <c r="V106" i="7"/>
  <c r="V108" i="7" s="1"/>
  <c r="U114" i="7"/>
  <c r="U116" i="7" s="1"/>
  <c r="Y60" i="7"/>
  <c r="Y58" i="7" s="1"/>
  <c r="Y57" i="7" s="1"/>
  <c r="Y23" i="7" s="1"/>
  <c r="Y67" i="7" s="1"/>
  <c r="Y107" i="7" s="1"/>
  <c r="Z97" i="7"/>
  <c r="Z95" i="7" s="1"/>
  <c r="Z79" i="7" s="1"/>
  <c r="Z99" i="7" s="1"/>
  <c r="Z104" i="7" s="1"/>
  <c r="Z115" i="7" s="1"/>
  <c r="N56" i="17"/>
  <c r="M56" i="17"/>
  <c r="V58" i="6"/>
  <c r="BM98" i="6"/>
  <c r="BM96" i="6" s="1"/>
  <c r="BM80" i="6" s="1"/>
  <c r="BM100" i="6" s="1"/>
  <c r="BM105" i="6" s="1"/>
  <c r="BM113" i="6" s="1"/>
  <c r="BM97" i="7"/>
  <c r="BM95" i="7" s="1"/>
  <c r="BM79" i="7" s="1"/>
  <c r="BM99" i="7" s="1"/>
  <c r="BM104" i="7" s="1"/>
  <c r="BM115" i="7" s="1"/>
  <c r="BO61" i="6"/>
  <c r="BO59" i="6" s="1"/>
  <c r="BO13" i="6" s="1"/>
  <c r="BO60" i="7"/>
  <c r="BO58" i="7" s="1"/>
  <c r="BO57" i="7" s="1"/>
  <c r="BO23" i="7" s="1"/>
  <c r="BO67" i="7" s="1"/>
  <c r="BO107" i="7" s="1"/>
  <c r="BN60" i="7"/>
  <c r="BN58" i="7" s="1"/>
  <c r="BN57" i="7" s="1"/>
  <c r="BN23" i="7" s="1"/>
  <c r="BN67" i="7" s="1"/>
  <c r="BN107" i="7" s="1"/>
  <c r="BN61" i="6"/>
  <c r="BN59" i="6" s="1"/>
  <c r="BN13" i="6" s="1"/>
  <c r="M77" i="17"/>
  <c r="W100" i="6"/>
  <c r="N77" i="17"/>
  <c r="AB114" i="8"/>
  <c r="AB26" i="22" s="1"/>
  <c r="BO98" i="6"/>
  <c r="BO96" i="6" s="1"/>
  <c r="BO80" i="6" s="1"/>
  <c r="BO100" i="6" s="1"/>
  <c r="BO105" i="6" s="1"/>
  <c r="BO113" i="6" s="1"/>
  <c r="BO97" i="7"/>
  <c r="BO95" i="7" s="1"/>
  <c r="BO79" i="7" s="1"/>
  <c r="BO99" i="7" s="1"/>
  <c r="BO104" i="7" s="1"/>
  <c r="BO115" i="7" s="1"/>
  <c r="L97" i="17"/>
  <c r="U105" i="6"/>
  <c r="Z60" i="7"/>
  <c r="Z58" i="7" s="1"/>
  <c r="Z57" i="7" s="1"/>
  <c r="Z23" i="7" s="1"/>
  <c r="Z67" i="7" s="1"/>
  <c r="Z107" i="7" s="1"/>
  <c r="Z61" i="6"/>
  <c r="Z59" i="6" s="1"/>
  <c r="Z13" i="6" s="1"/>
  <c r="BN97" i="7"/>
  <c r="BN95" i="7" s="1"/>
  <c r="BN79" i="7" s="1"/>
  <c r="BN99" i="7" s="1"/>
  <c r="BN104" i="7" s="1"/>
  <c r="BN115" i="7" s="1"/>
  <c r="BN98" i="6"/>
  <c r="BN96" i="6" s="1"/>
  <c r="BN80" i="6" s="1"/>
  <c r="BN100" i="6" s="1"/>
  <c r="BN105" i="6" s="1"/>
  <c r="BN113" i="6" s="1"/>
  <c r="AA117" i="7"/>
  <c r="BM61" i="6"/>
  <c r="BM59" i="6" s="1"/>
  <c r="BM13" i="6" s="1"/>
  <c r="BM60" i="7"/>
  <c r="BM58" i="7" s="1"/>
  <c r="BM57" i="7" s="1"/>
  <c r="BM23" i="7" s="1"/>
  <c r="BM67" i="7" s="1"/>
  <c r="BM107" i="7" s="1"/>
  <c r="Y99" i="8" l="1"/>
  <c r="Y104" i="8" s="1"/>
  <c r="Y112" i="8" s="1"/>
  <c r="Z99" i="8"/>
  <c r="Z104" i="8" s="1"/>
  <c r="Z112" i="8" s="1"/>
  <c r="W113" i="8"/>
  <c r="P25" i="22"/>
  <c r="BM79" i="8"/>
  <c r="BM99" i="8" s="1"/>
  <c r="BM104" i="8" s="1"/>
  <c r="BM112" i="8" s="1"/>
  <c r="BN79" i="8"/>
  <c r="BN99" i="8" s="1"/>
  <c r="BN104" i="8" s="1"/>
  <c r="BN112" i="8" s="1"/>
  <c r="BO79" i="8"/>
  <c r="BO99" i="8" s="1"/>
  <c r="BO104" i="8" s="1"/>
  <c r="BO112" i="8" s="1"/>
  <c r="W24" i="6"/>
  <c r="N22" i="17" s="1"/>
  <c r="Y67" i="8"/>
  <c r="Y105" i="8" s="1"/>
  <c r="Y106" i="8" s="1"/>
  <c r="Y111" i="8" s="1"/>
  <c r="AA57" i="8"/>
  <c r="AA23" i="8" s="1"/>
  <c r="AA23" i="22" s="1"/>
  <c r="AA13" i="8"/>
  <c r="AA11" i="8" s="1"/>
  <c r="AA5" i="8" s="1"/>
  <c r="Z23" i="22" s="1"/>
  <c r="M10" i="17"/>
  <c r="V5" i="6"/>
  <c r="M5" i="17" s="1"/>
  <c r="N12" i="17"/>
  <c r="O12" i="17" s="1"/>
  <c r="W11" i="6"/>
  <c r="BM58" i="6"/>
  <c r="BM57" i="8"/>
  <c r="BM23" i="8" s="1"/>
  <c r="L10" i="17"/>
  <c r="U5" i="6"/>
  <c r="BN58" i="6"/>
  <c r="Z58" i="6"/>
  <c r="Z24" i="6" s="1"/>
  <c r="Z11" i="6"/>
  <c r="Z5" i="6" s="1"/>
  <c r="BO58" i="6"/>
  <c r="Y58" i="6"/>
  <c r="Y24" i="6" s="1"/>
  <c r="Y11" i="6"/>
  <c r="Y5" i="6" s="1"/>
  <c r="BO57" i="8"/>
  <c r="BO23" i="8" s="1"/>
  <c r="Z67" i="8"/>
  <c r="Z105" i="8" s="1"/>
  <c r="Z106" i="8" s="1"/>
  <c r="Z111" i="8" s="1"/>
  <c r="AA97" i="8"/>
  <c r="AA95" i="8" s="1"/>
  <c r="AB60" i="8"/>
  <c r="AB58" i="8" s="1"/>
  <c r="AA60" i="7"/>
  <c r="AA58" i="7" s="1"/>
  <c r="AA57" i="7" s="1"/>
  <c r="AA23" i="7" s="1"/>
  <c r="AA67" i="7" s="1"/>
  <c r="AA107" i="7" s="1"/>
  <c r="AA61" i="6"/>
  <c r="AA59" i="6" s="1"/>
  <c r="AA13" i="6" s="1"/>
  <c r="AB115" i="6"/>
  <c r="AB97" i="8"/>
  <c r="AB95" i="8" s="1"/>
  <c r="W106" i="7"/>
  <c r="W108" i="7" s="1"/>
  <c r="V114" i="7"/>
  <c r="V116" i="7" s="1"/>
  <c r="O56" i="17"/>
  <c r="M55" i="17"/>
  <c r="O55" i="17" s="1"/>
  <c r="V24" i="6"/>
  <c r="O77" i="17"/>
  <c r="V105" i="6"/>
  <c r="M97" i="17"/>
  <c r="AC114" i="8"/>
  <c r="L102" i="17"/>
  <c r="U113" i="6"/>
  <c r="AB117" i="7"/>
  <c r="AA97" i="7"/>
  <c r="AA95" i="7" s="1"/>
  <c r="AA79" i="7" s="1"/>
  <c r="AA99" i="7" s="1"/>
  <c r="AA104" i="7" s="1"/>
  <c r="AA115" i="7" s="1"/>
  <c r="AA98" i="6"/>
  <c r="AA96" i="6" s="1"/>
  <c r="AA80" i="6" s="1"/>
  <c r="AA100" i="6" s="1"/>
  <c r="AA105" i="6" s="1"/>
  <c r="AA113" i="6" s="1"/>
  <c r="N97" i="17"/>
  <c r="W105" i="6"/>
  <c r="N26" i="1" l="1"/>
  <c r="AD26" i="22"/>
  <c r="AA79" i="8"/>
  <c r="AA24" i="22" s="1"/>
  <c r="AB79" i="8"/>
  <c r="AC24" i="22" s="1"/>
  <c r="R25" i="22"/>
  <c r="X113" i="8"/>
  <c r="T25" i="22" s="1"/>
  <c r="Z68" i="6"/>
  <c r="Z106" i="6" s="1"/>
  <c r="N10" i="17"/>
  <c r="O10" i="17" s="1"/>
  <c r="W5" i="6"/>
  <c r="AA58" i="6"/>
  <c r="AA24" i="6" s="1"/>
  <c r="AA11" i="6"/>
  <c r="AA5" i="6" s="1"/>
  <c r="L5" i="17"/>
  <c r="U68" i="6"/>
  <c r="Y68" i="6"/>
  <c r="Y106" i="6" s="1"/>
  <c r="AB57" i="8"/>
  <c r="AB23" i="8" s="1"/>
  <c r="AC23" i="22" s="1"/>
  <c r="AB13" i="8"/>
  <c r="AB11" i="8" s="1"/>
  <c r="AB5" i="8" s="1"/>
  <c r="AB23" i="22" s="1"/>
  <c r="AA67" i="8"/>
  <c r="AA105" i="8" s="1"/>
  <c r="AA106" i="8" s="1"/>
  <c r="AA111" i="8" s="1"/>
  <c r="AB61" i="6"/>
  <c r="AB59" i="6" s="1"/>
  <c r="AB13" i="6" s="1"/>
  <c r="AB98" i="6"/>
  <c r="AB96" i="6" s="1"/>
  <c r="AB80" i="6" s="1"/>
  <c r="AB100" i="6" s="1"/>
  <c r="AB105" i="6" s="1"/>
  <c r="AB113" i="6" s="1"/>
  <c r="AB97" i="7"/>
  <c r="AB95" i="7" s="1"/>
  <c r="AB79" i="7" s="1"/>
  <c r="AB99" i="7" s="1"/>
  <c r="AB104" i="7" s="1"/>
  <c r="AB115" i="7" s="1"/>
  <c r="AC115" i="6"/>
  <c r="W114" i="7"/>
  <c r="W116" i="7" s="1"/>
  <c r="X106" i="7"/>
  <c r="X108" i="7" s="1"/>
  <c r="AB60" i="7"/>
  <c r="AB58" i="7" s="1"/>
  <c r="AB57" i="7" s="1"/>
  <c r="AB23" i="7" s="1"/>
  <c r="AB67" i="7" s="1"/>
  <c r="AB107" i="7" s="1"/>
  <c r="M22" i="17"/>
  <c r="O22" i="17" s="1"/>
  <c r="V68" i="6"/>
  <c r="O97" i="17"/>
  <c r="W113" i="6"/>
  <c r="N102" i="17"/>
  <c r="L113" i="17"/>
  <c r="V113" i="6"/>
  <c r="M102" i="17"/>
  <c r="AC117" i="7"/>
  <c r="AB99" i="8" l="1"/>
  <c r="AB104" i="8" s="1"/>
  <c r="AB112" i="8" s="1"/>
  <c r="AA99" i="8"/>
  <c r="AA104" i="8" s="1"/>
  <c r="AA112" i="8" s="1"/>
  <c r="Y113" i="8"/>
  <c r="AB67" i="8"/>
  <c r="AB105" i="8" s="1"/>
  <c r="AB106" i="8" s="1"/>
  <c r="AB111" i="8" s="1"/>
  <c r="L65" i="17"/>
  <c r="U106" i="6"/>
  <c r="F26" i="21" s="1"/>
  <c r="AB58" i="6"/>
  <c r="AB24" i="6" s="1"/>
  <c r="AB11" i="6"/>
  <c r="AB5" i="6" s="1"/>
  <c r="AA68" i="6"/>
  <c r="AA106" i="6" s="1"/>
  <c r="N5" i="17"/>
  <c r="O5" i="17" s="1"/>
  <c r="W68" i="6"/>
  <c r="AC60" i="8"/>
  <c r="AC58" i="8" s="1"/>
  <c r="AD60" i="8"/>
  <c r="AD58" i="8" s="1"/>
  <c r="AD114" i="8"/>
  <c r="AC97" i="8"/>
  <c r="AC95" i="8" s="1"/>
  <c r="AC79" i="8" s="1"/>
  <c r="AE24" i="22" s="1"/>
  <c r="AC60" i="7"/>
  <c r="AC58" i="7" s="1"/>
  <c r="AC57" i="7" s="1"/>
  <c r="AC23" i="7" s="1"/>
  <c r="AC67" i="7" s="1"/>
  <c r="AC107" i="7" s="1"/>
  <c r="AD115" i="6"/>
  <c r="AC61" i="6"/>
  <c r="AC59" i="6" s="1"/>
  <c r="AC13" i="6" s="1"/>
  <c r="Y106" i="7"/>
  <c r="Y108" i="7" s="1"/>
  <c r="X114" i="7"/>
  <c r="X116" i="7" s="1"/>
  <c r="V106" i="6"/>
  <c r="M65" i="17"/>
  <c r="AC97" i="7"/>
  <c r="AC95" i="7" s="1"/>
  <c r="AC79" i="7" s="1"/>
  <c r="AC99" i="7" s="1"/>
  <c r="AC104" i="7" s="1"/>
  <c r="AC115" i="7" s="1"/>
  <c r="AC98" i="6"/>
  <c r="AC96" i="6" s="1"/>
  <c r="AC80" i="6" s="1"/>
  <c r="AC100" i="6" s="1"/>
  <c r="AC105" i="6" s="1"/>
  <c r="AC113" i="6" s="1"/>
  <c r="O102" i="17"/>
  <c r="AE114" i="8"/>
  <c r="N113" i="17"/>
  <c r="AD117" i="7"/>
  <c r="M104" i="17"/>
  <c r="M113" i="17"/>
  <c r="H26" i="21" l="1"/>
  <c r="AE26" i="21"/>
  <c r="AF26" i="21" s="1"/>
  <c r="AG26" i="21" s="1"/>
  <c r="AH26" i="21" s="1"/>
  <c r="AI26" i="21" s="1"/>
  <c r="AJ26" i="21" s="1"/>
  <c r="AK26" i="21" s="1"/>
  <c r="AL26" i="21" s="1"/>
  <c r="AM26" i="21" s="1"/>
  <c r="AN26" i="21" s="1"/>
  <c r="AO26" i="21" s="1"/>
  <c r="AP26" i="21" s="1"/>
  <c r="AQ26" i="21" s="1"/>
  <c r="AR26" i="21" s="1"/>
  <c r="AS26" i="21" s="1"/>
  <c r="AT26" i="21" s="1"/>
  <c r="AU26" i="21" s="1"/>
  <c r="AV26" i="21" s="1"/>
  <c r="AW26" i="21" s="1"/>
  <c r="AX26" i="21" s="1"/>
  <c r="AY26" i="21" s="1"/>
  <c r="AZ26" i="21" s="1"/>
  <c r="BA26" i="21" s="1"/>
  <c r="BB26" i="21" s="1"/>
  <c r="BC26" i="21" s="1"/>
  <c r="BD26" i="21" s="1"/>
  <c r="BE26" i="21" s="1"/>
  <c r="BF26" i="21" s="1"/>
  <c r="M105" i="17"/>
  <c r="F29" i="21"/>
  <c r="V25" i="22"/>
  <c r="Z113" i="8"/>
  <c r="N65" i="17"/>
  <c r="O65" i="17" s="1"/>
  <c r="W106" i="6"/>
  <c r="N105" i="17" s="1"/>
  <c r="AC57" i="8"/>
  <c r="AC23" i="8" s="1"/>
  <c r="AC13" i="8"/>
  <c r="AC11" i="8" s="1"/>
  <c r="AC5" i="8" s="1"/>
  <c r="AC58" i="6"/>
  <c r="AC24" i="6" s="1"/>
  <c r="AC11" i="6"/>
  <c r="AC5" i="6" s="1"/>
  <c r="AB68" i="6"/>
  <c r="AB106" i="6" s="1"/>
  <c r="L105" i="17"/>
  <c r="U107" i="6"/>
  <c r="F27" i="21" s="1"/>
  <c r="AD57" i="8"/>
  <c r="AD23" i="8" s="1"/>
  <c r="AD13" i="8"/>
  <c r="AD11" i="8" s="1"/>
  <c r="AD5" i="8" s="1"/>
  <c r="AC99" i="8"/>
  <c r="AC104" i="8" s="1"/>
  <c r="AC112" i="8" s="1"/>
  <c r="O24" i="1"/>
  <c r="AD97" i="8"/>
  <c r="AD95" i="8" s="1"/>
  <c r="AE60" i="8"/>
  <c r="AE58" i="8" s="1"/>
  <c r="AD61" i="6"/>
  <c r="AD59" i="6" s="1"/>
  <c r="AD13" i="6" s="1"/>
  <c r="AE115" i="6"/>
  <c r="AD60" i="7"/>
  <c r="AD58" i="7" s="1"/>
  <c r="AD57" i="7" s="1"/>
  <c r="AD23" i="7" s="1"/>
  <c r="AD67" i="7" s="1"/>
  <c r="AD107" i="7" s="1"/>
  <c r="Y114" i="7"/>
  <c r="Y116" i="7" s="1"/>
  <c r="Z106" i="7"/>
  <c r="Z108" i="7" s="1"/>
  <c r="V107" i="6"/>
  <c r="O113" i="17"/>
  <c r="AE117" i="7"/>
  <c r="AF114" i="8"/>
  <c r="AD98" i="6"/>
  <c r="AD96" i="6" s="1"/>
  <c r="AD80" i="6" s="1"/>
  <c r="AD100" i="6" s="1"/>
  <c r="AD105" i="6" s="1"/>
  <c r="AD113" i="6" s="1"/>
  <c r="AD97" i="7"/>
  <c r="AD95" i="7" s="1"/>
  <c r="AD79" i="7" s="1"/>
  <c r="AD99" i="7" s="1"/>
  <c r="AD104" i="7" s="1"/>
  <c r="AD115" i="7" s="1"/>
  <c r="AA27" i="21" l="1"/>
  <c r="AA7" i="21" s="1"/>
  <c r="H27" i="21"/>
  <c r="AH29" i="21"/>
  <c r="H29" i="21"/>
  <c r="F30" i="21"/>
  <c r="AD30" i="21"/>
  <c r="H30" i="21"/>
  <c r="O105" i="17"/>
  <c r="O23" i="1"/>
  <c r="AE23" i="22"/>
  <c r="AD79" i="8"/>
  <c r="AD99" i="8" s="1"/>
  <c r="AD104" i="8" s="1"/>
  <c r="AD112" i="8" s="1"/>
  <c r="X25" i="22"/>
  <c r="AA113" i="8"/>
  <c r="N23" i="1"/>
  <c r="AD23" i="22"/>
  <c r="AC67" i="8"/>
  <c r="AC105" i="8" s="1"/>
  <c r="AC106" i="8" s="1"/>
  <c r="AC111" i="8" s="1"/>
  <c r="AD67" i="8"/>
  <c r="AD105" i="8" s="1"/>
  <c r="AD106" i="8" s="1"/>
  <c r="AD111" i="8" s="1"/>
  <c r="AC68" i="6"/>
  <c r="AC106" i="6" s="1"/>
  <c r="AD58" i="6"/>
  <c r="AD24" i="6" s="1"/>
  <c r="AD11" i="6"/>
  <c r="AD5" i="6" s="1"/>
  <c r="AE57" i="8"/>
  <c r="AE23" i="8" s="1"/>
  <c r="AE13" i="8"/>
  <c r="AE11" i="8" s="1"/>
  <c r="AE5" i="8" s="1"/>
  <c r="U112" i="6"/>
  <c r="L106" i="17"/>
  <c r="AE97" i="8"/>
  <c r="AE95" i="8" s="1"/>
  <c r="AF60" i="8"/>
  <c r="AF58" i="8" s="1"/>
  <c r="AE61" i="6"/>
  <c r="AE59" i="6" s="1"/>
  <c r="AE13" i="6" s="1"/>
  <c r="AF115" i="6"/>
  <c r="AE60" i="7"/>
  <c r="AE58" i="7" s="1"/>
  <c r="AE57" i="7" s="1"/>
  <c r="AE23" i="7" s="1"/>
  <c r="AE67" i="7" s="1"/>
  <c r="AE107" i="7" s="1"/>
  <c r="Z114" i="7"/>
  <c r="Z116" i="7" s="1"/>
  <c r="AA106" i="7"/>
  <c r="AA108" i="7" s="1"/>
  <c r="M106" i="17"/>
  <c r="V112" i="6"/>
  <c r="F36" i="21" s="1"/>
  <c r="AF117" i="7"/>
  <c r="AG114" i="8"/>
  <c r="AE97" i="7"/>
  <c r="AE95" i="7" s="1"/>
  <c r="AE79" i="7" s="1"/>
  <c r="AE99" i="7" s="1"/>
  <c r="AE104" i="7" s="1"/>
  <c r="AE115" i="7" s="1"/>
  <c r="AE98" i="6"/>
  <c r="AE96" i="6" s="1"/>
  <c r="AE80" i="6" s="1"/>
  <c r="AE100" i="6" s="1"/>
  <c r="AE105" i="6" s="1"/>
  <c r="AE113" i="6" s="1"/>
  <c r="W107" i="6"/>
  <c r="N104" i="17"/>
  <c r="O104" i="17" s="1"/>
  <c r="U114" i="6" l="1"/>
  <c r="F34" i="21" s="1"/>
  <c r="F32" i="21"/>
  <c r="AB27" i="21"/>
  <c r="AA2" i="21"/>
  <c r="AI29" i="21"/>
  <c r="H36" i="21"/>
  <c r="AO36" i="21"/>
  <c r="AP36" i="21" s="1"/>
  <c r="AQ36" i="21" s="1"/>
  <c r="AR36" i="21" s="1"/>
  <c r="AS36" i="21" s="1"/>
  <c r="AT36" i="21" s="1"/>
  <c r="AU36" i="21" s="1"/>
  <c r="AV36" i="21" s="1"/>
  <c r="AW36" i="21" s="1"/>
  <c r="AX36" i="21" s="1"/>
  <c r="AY36" i="21" s="1"/>
  <c r="AZ36" i="21" s="1"/>
  <c r="BA36" i="21" s="1"/>
  <c r="BB36" i="21" s="1"/>
  <c r="BC36" i="21" s="1"/>
  <c r="BD36" i="21" s="1"/>
  <c r="BE36" i="21" s="1"/>
  <c r="BF36" i="21" s="1"/>
  <c r="F35" i="21"/>
  <c r="AE30" i="21"/>
  <c r="Z25" i="22"/>
  <c r="AB113" i="8"/>
  <c r="AB25" i="22" s="1"/>
  <c r="AE79" i="8"/>
  <c r="AE99" i="8" s="1"/>
  <c r="AE104" i="8" s="1"/>
  <c r="AE112" i="8" s="1"/>
  <c r="AE67" i="8"/>
  <c r="AE105" i="8" s="1"/>
  <c r="AE106" i="8" s="1"/>
  <c r="AE111" i="8" s="1"/>
  <c r="L112" i="17"/>
  <c r="AE58" i="6"/>
  <c r="AE24" i="6" s="1"/>
  <c r="AE11" i="6"/>
  <c r="AE5" i="6" s="1"/>
  <c r="AF57" i="8"/>
  <c r="AF23" i="8" s="1"/>
  <c r="AF13" i="8"/>
  <c r="AF11" i="8" s="1"/>
  <c r="AF5" i="8" s="1"/>
  <c r="AD68" i="6"/>
  <c r="AD106" i="6" s="1"/>
  <c r="AF97" i="8"/>
  <c r="AF95" i="8" s="1"/>
  <c r="AG60" i="8"/>
  <c r="AG58" i="8" s="1"/>
  <c r="AG115" i="6"/>
  <c r="AG97" i="8"/>
  <c r="AG95" i="8" s="1"/>
  <c r="M112" i="17"/>
  <c r="AB106" i="7"/>
  <c r="AB108" i="7" s="1"/>
  <c r="AA114" i="7"/>
  <c r="AA116" i="7" s="1"/>
  <c r="AF97" i="7"/>
  <c r="AF95" i="7" s="1"/>
  <c r="AF79" i="7" s="1"/>
  <c r="AF99" i="7" s="1"/>
  <c r="AF104" i="7" s="1"/>
  <c r="AF115" i="7" s="1"/>
  <c r="AF98" i="6"/>
  <c r="AF96" i="6" s="1"/>
  <c r="AF80" i="6" s="1"/>
  <c r="AF100" i="6" s="1"/>
  <c r="AF105" i="6" s="1"/>
  <c r="AF113" i="6" s="1"/>
  <c r="AG117" i="7"/>
  <c r="AH114" i="8"/>
  <c r="W112" i="6"/>
  <c r="X107" i="6"/>
  <c r="N106" i="17"/>
  <c r="O106" i="17" s="1"/>
  <c r="AF61" i="6"/>
  <c r="AF59" i="6" s="1"/>
  <c r="AF13" i="6" s="1"/>
  <c r="AF60" i="7"/>
  <c r="AF58" i="7" s="1"/>
  <c r="AF57" i="7" s="1"/>
  <c r="AF23" i="7" s="1"/>
  <c r="AF67" i="7" s="1"/>
  <c r="AF107" i="7" s="1"/>
  <c r="V114" i="6" l="1"/>
  <c r="AG54" i="6"/>
  <c r="AG52" i="6" s="1"/>
  <c r="AL53" i="8"/>
  <c r="AL51" i="8" s="1"/>
  <c r="AL107" i="8" s="1"/>
  <c r="AL110" i="8" s="1"/>
  <c r="AL54" i="24"/>
  <c r="AL52" i="24" s="1"/>
  <c r="AL53" i="7"/>
  <c r="AL51" i="7" s="1"/>
  <c r="AL110" i="7" s="1"/>
  <c r="AC27" i="21"/>
  <c r="AB7" i="21"/>
  <c r="H32" i="21"/>
  <c r="AK32" i="21"/>
  <c r="AL32" i="21" s="1"/>
  <c r="AM32" i="21" s="1"/>
  <c r="AN32" i="21" s="1"/>
  <c r="AO32" i="21" s="1"/>
  <c r="AP32" i="21" s="1"/>
  <c r="AQ32" i="21" s="1"/>
  <c r="AR32" i="21" s="1"/>
  <c r="AS32" i="21" s="1"/>
  <c r="AT32" i="21" s="1"/>
  <c r="AU32" i="21" s="1"/>
  <c r="AV32" i="21" s="1"/>
  <c r="AW32" i="21" s="1"/>
  <c r="AX32" i="21" s="1"/>
  <c r="AY32" i="21" s="1"/>
  <c r="AZ32" i="21" s="1"/>
  <c r="BA32" i="21" s="1"/>
  <c r="BB32" i="21" s="1"/>
  <c r="BC32" i="21" s="1"/>
  <c r="BD32" i="21" s="1"/>
  <c r="BE32" i="21" s="1"/>
  <c r="BF32" i="21" s="1"/>
  <c r="H34" i="21"/>
  <c r="AM34" i="21"/>
  <c r="AN34" i="21" s="1"/>
  <c r="AO34" i="21" s="1"/>
  <c r="AP34" i="21" s="1"/>
  <c r="AQ34" i="21" s="1"/>
  <c r="AR34" i="21" s="1"/>
  <c r="AS34" i="21" s="1"/>
  <c r="AT34" i="21" s="1"/>
  <c r="AU34" i="21" s="1"/>
  <c r="AV34" i="21" s="1"/>
  <c r="AW34" i="21" s="1"/>
  <c r="AX34" i="21" s="1"/>
  <c r="AY34" i="21" s="1"/>
  <c r="AZ34" i="21" s="1"/>
  <c r="BA34" i="21" s="1"/>
  <c r="BB34" i="21" s="1"/>
  <c r="BC34" i="21" s="1"/>
  <c r="BD34" i="21" s="1"/>
  <c r="BE34" i="21" s="1"/>
  <c r="BF34" i="21" s="1"/>
  <c r="AJ29" i="21"/>
  <c r="H35" i="21"/>
  <c r="AN35" i="21"/>
  <c r="L117" i="17"/>
  <c r="F37" i="21"/>
  <c r="AK29" i="21"/>
  <c r="AF30" i="21"/>
  <c r="AG79" i="8"/>
  <c r="AG99" i="8" s="1"/>
  <c r="AG104" i="8" s="1"/>
  <c r="AG112" i="8" s="1"/>
  <c r="AF79" i="8"/>
  <c r="AF99" i="8" s="1"/>
  <c r="AF104" i="8" s="1"/>
  <c r="AF112" i="8" s="1"/>
  <c r="AC113" i="8"/>
  <c r="AF67" i="8"/>
  <c r="AF105" i="8" s="1"/>
  <c r="AF106" i="8" s="1"/>
  <c r="AF111" i="8" s="1"/>
  <c r="AG57" i="8"/>
  <c r="AG23" i="8" s="1"/>
  <c r="AG13" i="8"/>
  <c r="AG11" i="8" s="1"/>
  <c r="AG5" i="8" s="1"/>
  <c r="AE68" i="6"/>
  <c r="AE106" i="6" s="1"/>
  <c r="AF58" i="6"/>
  <c r="AF24" i="6" s="1"/>
  <c r="AF11" i="6"/>
  <c r="AF5" i="6" s="1"/>
  <c r="AH60" i="8"/>
  <c r="AH58" i="8" s="1"/>
  <c r="AG60" i="7"/>
  <c r="AG58" i="7" s="1"/>
  <c r="AG57" i="7" s="1"/>
  <c r="AG23" i="7" s="1"/>
  <c r="AG67" i="7" s="1"/>
  <c r="AG107" i="7" s="1"/>
  <c r="AH115" i="6"/>
  <c r="AG97" i="7"/>
  <c r="AG95" i="7" s="1"/>
  <c r="AG79" i="7" s="1"/>
  <c r="AG99" i="7" s="1"/>
  <c r="AG104" i="7" s="1"/>
  <c r="AG115" i="7" s="1"/>
  <c r="AG98" i="6"/>
  <c r="AG96" i="6" s="1"/>
  <c r="AG80" i="6" s="1"/>
  <c r="AG100" i="6" s="1"/>
  <c r="AG105" i="6" s="1"/>
  <c r="AG113" i="6" s="1"/>
  <c r="AC106" i="7"/>
  <c r="AC108" i="7" s="1"/>
  <c r="AB114" i="7"/>
  <c r="AB116" i="7" s="1"/>
  <c r="AG61" i="6"/>
  <c r="AG59" i="6" s="1"/>
  <c r="AG13" i="6" s="1"/>
  <c r="N112" i="17"/>
  <c r="O112" i="17" s="1"/>
  <c r="AI114" i="8"/>
  <c r="AH117" i="7"/>
  <c r="X112" i="6"/>
  <c r="Y107" i="6"/>
  <c r="AO35" i="21" l="1"/>
  <c r="AP35" i="21" s="1"/>
  <c r="AQ35" i="21" s="1"/>
  <c r="AR35" i="21" s="1"/>
  <c r="AS35" i="21" s="1"/>
  <c r="AT35" i="21" s="1"/>
  <c r="AU35" i="21" s="1"/>
  <c r="AV35" i="21" s="1"/>
  <c r="AW35" i="21" s="1"/>
  <c r="AX35" i="21" s="1"/>
  <c r="AY35" i="21" s="1"/>
  <c r="AZ35" i="21" s="1"/>
  <c r="BA35" i="21" s="1"/>
  <c r="BB35" i="21" s="1"/>
  <c r="BC35" i="21" s="1"/>
  <c r="BD35" i="21" s="1"/>
  <c r="BE35" i="21" s="1"/>
  <c r="BF35" i="21" s="1"/>
  <c r="AL25" i="24"/>
  <c r="AL24" i="24" s="1"/>
  <c r="AL108" i="24"/>
  <c r="AL111" i="24" s="1"/>
  <c r="AL13" i="24"/>
  <c r="AL11" i="24" s="1"/>
  <c r="AL5" i="24" s="1"/>
  <c r="AD27" i="21"/>
  <c r="AC7" i="21"/>
  <c r="AB2" i="21"/>
  <c r="AG108" i="6"/>
  <c r="AG111" i="6" s="1"/>
  <c r="AG25" i="6"/>
  <c r="M117" i="17"/>
  <c r="F38" i="21"/>
  <c r="AK37" i="21"/>
  <c r="H37" i="21"/>
  <c r="AG30" i="21"/>
  <c r="AL29" i="21"/>
  <c r="AD113" i="8"/>
  <c r="AE113" i="8" s="1"/>
  <c r="AF113" i="8" s="1"/>
  <c r="N25" i="1"/>
  <c r="AD25" i="22"/>
  <c r="W114" i="6"/>
  <c r="N117" i="17" s="1"/>
  <c r="AF68" i="6"/>
  <c r="AF106" i="6" s="1"/>
  <c r="AG67" i="8"/>
  <c r="AG105" i="8" s="1"/>
  <c r="AG106" i="8" s="1"/>
  <c r="AG111" i="8" s="1"/>
  <c r="AH57" i="8"/>
  <c r="AH23" i="8" s="1"/>
  <c r="AH13" i="8"/>
  <c r="AH11" i="8" s="1"/>
  <c r="AH5" i="8" s="1"/>
  <c r="AG58" i="6"/>
  <c r="AG11" i="6"/>
  <c r="AG5" i="6" s="1"/>
  <c r="AH97" i="7"/>
  <c r="AH95" i="7" s="1"/>
  <c r="AH79" i="7" s="1"/>
  <c r="AH99" i="7" s="1"/>
  <c r="AH104" i="7" s="1"/>
  <c r="AH115" i="7" s="1"/>
  <c r="AH97" i="8"/>
  <c r="AH95" i="8" s="1"/>
  <c r="AI60" i="8"/>
  <c r="AI58" i="8" s="1"/>
  <c r="AI115" i="6"/>
  <c r="AH98" i="6"/>
  <c r="AH96" i="6" s="1"/>
  <c r="AH80" i="6" s="1"/>
  <c r="AH100" i="6" s="1"/>
  <c r="AH105" i="6" s="1"/>
  <c r="AH113" i="6" s="1"/>
  <c r="AC114" i="7"/>
  <c r="AC116" i="7" s="1"/>
  <c r="AD106" i="7"/>
  <c r="AD108" i="7" s="1"/>
  <c r="AI117" i="7"/>
  <c r="AJ114" i="8"/>
  <c r="AH61" i="6"/>
  <c r="AH59" i="6" s="1"/>
  <c r="AH13" i="6" s="1"/>
  <c r="AH60" i="7"/>
  <c r="AH58" i="7" s="1"/>
  <c r="AH57" i="7" s="1"/>
  <c r="AH23" i="7" s="1"/>
  <c r="AH67" i="7" s="1"/>
  <c r="AH107" i="7" s="1"/>
  <c r="Y112" i="6"/>
  <c r="Z107" i="6"/>
  <c r="AL68" i="24" l="1"/>
  <c r="AL106" i="24" s="1"/>
  <c r="AL107" i="24" s="1"/>
  <c r="AL112" i="24" s="1"/>
  <c r="AL114" i="24" s="1"/>
  <c r="AG24" i="6"/>
  <c r="AG68" i="6" s="1"/>
  <c r="AG106" i="6" s="1"/>
  <c r="AE27" i="21"/>
  <c r="AD7" i="21"/>
  <c r="AC2" i="21"/>
  <c r="AH54" i="6"/>
  <c r="AH52" i="6" s="1"/>
  <c r="AM53" i="8"/>
  <c r="AM51" i="8" s="1"/>
  <c r="AM107" i="8" s="1"/>
  <c r="AM110" i="8" s="1"/>
  <c r="AM54" i="24"/>
  <c r="AM52" i="24" s="1"/>
  <c r="AM53" i="7"/>
  <c r="AM51" i="7" s="1"/>
  <c r="AM110" i="7" s="1"/>
  <c r="O117" i="17"/>
  <c r="AL38" i="21"/>
  <c r="H38" i="21"/>
  <c r="AL37" i="21"/>
  <c r="AM37" i="21" s="1"/>
  <c r="AN37" i="21" s="1"/>
  <c r="AO37" i="21" s="1"/>
  <c r="AP37" i="21" s="1"/>
  <c r="AQ37" i="21" s="1"/>
  <c r="AR37" i="21" s="1"/>
  <c r="AS37" i="21" s="1"/>
  <c r="AT37" i="21" s="1"/>
  <c r="AU37" i="21" s="1"/>
  <c r="AV37" i="21" s="1"/>
  <c r="AW37" i="21" s="1"/>
  <c r="AX37" i="21" s="1"/>
  <c r="AY37" i="21" s="1"/>
  <c r="AZ37" i="21" s="1"/>
  <c r="BA37" i="21" s="1"/>
  <c r="BB37" i="21" s="1"/>
  <c r="BC37" i="21" s="1"/>
  <c r="BD37" i="21" s="1"/>
  <c r="BE37" i="21" s="1"/>
  <c r="BF37" i="21" s="1"/>
  <c r="AM29" i="21"/>
  <c r="AH30" i="21"/>
  <c r="AH79" i="8"/>
  <c r="AH99" i="8" s="1"/>
  <c r="AH104" i="8" s="1"/>
  <c r="AH112" i="8" s="1"/>
  <c r="AG113" i="8"/>
  <c r="X114" i="6"/>
  <c r="Y114" i="6" s="1"/>
  <c r="AH67" i="8"/>
  <c r="AH105" i="8" s="1"/>
  <c r="AH106" i="8" s="1"/>
  <c r="AH111" i="8" s="1"/>
  <c r="AH58" i="6"/>
  <c r="AH11" i="6"/>
  <c r="AH5" i="6" s="1"/>
  <c r="AI57" i="8"/>
  <c r="AI23" i="8" s="1"/>
  <c r="AI13" i="8"/>
  <c r="AI11" i="8" s="1"/>
  <c r="AI5" i="8" s="1"/>
  <c r="AI97" i="8"/>
  <c r="AI95" i="8" s="1"/>
  <c r="AI60" i="7"/>
  <c r="AI58" i="7" s="1"/>
  <c r="AI57" i="7" s="1"/>
  <c r="AI23" i="7" s="1"/>
  <c r="AI67" i="7" s="1"/>
  <c r="AI107" i="7" s="1"/>
  <c r="AJ115" i="6"/>
  <c r="AI61" i="6"/>
  <c r="AI59" i="6" s="1"/>
  <c r="AI13" i="6" s="1"/>
  <c r="AE106" i="7"/>
  <c r="AE108" i="7" s="1"/>
  <c r="AD114" i="7"/>
  <c r="AD116" i="7" s="1"/>
  <c r="AA107" i="6"/>
  <c r="Z112" i="6"/>
  <c r="AK114" i="8"/>
  <c r="AI98" i="6"/>
  <c r="AI96" i="6" s="1"/>
  <c r="AI80" i="6" s="1"/>
  <c r="AI100" i="6" s="1"/>
  <c r="AI105" i="6" s="1"/>
  <c r="AI113" i="6" s="1"/>
  <c r="AI97" i="7"/>
  <c r="AI95" i="7" s="1"/>
  <c r="AI79" i="7" s="1"/>
  <c r="AI99" i="7" s="1"/>
  <c r="AI104" i="7" s="1"/>
  <c r="AI115" i="7" s="1"/>
  <c r="AJ117" i="7"/>
  <c r="AI54" i="6" l="1"/>
  <c r="AI52" i="6" s="1"/>
  <c r="AN53" i="8"/>
  <c r="AN51" i="8" s="1"/>
  <c r="AN107" i="8" s="1"/>
  <c r="AN110" i="8" s="1"/>
  <c r="AN54" i="24"/>
  <c r="AN52" i="24" s="1"/>
  <c r="AN53" i="7"/>
  <c r="AN51" i="7" s="1"/>
  <c r="AN110" i="7" s="1"/>
  <c r="AF27" i="21"/>
  <c r="AE7" i="21"/>
  <c r="AM25" i="24"/>
  <c r="AM24" i="24" s="1"/>
  <c r="AM108" i="24"/>
  <c r="AM111" i="24" s="1"/>
  <c r="AM13" i="24"/>
  <c r="AM11" i="24" s="1"/>
  <c r="AM5" i="24" s="1"/>
  <c r="AH108" i="6"/>
  <c r="AH111" i="6" s="1"/>
  <c r="AH25" i="6"/>
  <c r="AH24" i="6" s="1"/>
  <c r="AH68" i="6" s="1"/>
  <c r="AH106" i="6" s="1"/>
  <c r="AD2" i="21"/>
  <c r="AM38" i="21"/>
  <c r="AN38" i="21" s="1"/>
  <c r="AO38" i="21" s="1"/>
  <c r="AP38" i="21" s="1"/>
  <c r="AQ38" i="21" s="1"/>
  <c r="AR38" i="21" s="1"/>
  <c r="AS38" i="21" s="1"/>
  <c r="AT38" i="21" s="1"/>
  <c r="AU38" i="21" s="1"/>
  <c r="AV38" i="21" s="1"/>
  <c r="AW38" i="21" s="1"/>
  <c r="AX38" i="21" s="1"/>
  <c r="AY38" i="21" s="1"/>
  <c r="AZ38" i="21" s="1"/>
  <c r="BA38" i="21" s="1"/>
  <c r="BB38" i="21" s="1"/>
  <c r="BC38" i="21" s="1"/>
  <c r="BD38" i="21" s="1"/>
  <c r="BE38" i="21" s="1"/>
  <c r="BF38" i="21" s="1"/>
  <c r="AI30" i="21"/>
  <c r="AN29" i="21"/>
  <c r="AH113" i="8"/>
  <c r="AI79" i="8"/>
  <c r="AI99" i="8" s="1"/>
  <c r="AI104" i="8" s="1"/>
  <c r="AI112" i="8" s="1"/>
  <c r="Z114" i="6"/>
  <c r="AI67" i="8"/>
  <c r="AI105" i="8" s="1"/>
  <c r="AI106" i="8" s="1"/>
  <c r="AI111" i="8" s="1"/>
  <c r="AI58" i="6"/>
  <c r="AI11" i="6"/>
  <c r="AI5" i="6" s="1"/>
  <c r="AJ60" i="8"/>
  <c r="AJ58" i="8" s="1"/>
  <c r="AJ97" i="8"/>
  <c r="AJ95" i="8" s="1"/>
  <c r="AK60" i="8"/>
  <c r="AK58" i="8" s="1"/>
  <c r="AJ61" i="6"/>
  <c r="AJ59" i="6" s="1"/>
  <c r="AJ13" i="6" s="1"/>
  <c r="AK115" i="6"/>
  <c r="AJ60" i="7"/>
  <c r="AJ58" i="7" s="1"/>
  <c r="AJ57" i="7" s="1"/>
  <c r="AJ23" i="7" s="1"/>
  <c r="AJ67" i="7" s="1"/>
  <c r="AJ107" i="7" s="1"/>
  <c r="AK97" i="8"/>
  <c r="AK95" i="8" s="1"/>
  <c r="AF106" i="7"/>
  <c r="AF108" i="7" s="1"/>
  <c r="AE114" i="7"/>
  <c r="AE116" i="7" s="1"/>
  <c r="AL114" i="8"/>
  <c r="AK117" i="7"/>
  <c r="AA112" i="6"/>
  <c r="AB107" i="6"/>
  <c r="AJ98" i="6"/>
  <c r="AJ96" i="6" s="1"/>
  <c r="AJ80" i="6" s="1"/>
  <c r="AJ100" i="6" s="1"/>
  <c r="AJ105" i="6" s="1"/>
  <c r="AJ113" i="6" s="1"/>
  <c r="AJ97" i="7"/>
  <c r="AJ95" i="7" s="1"/>
  <c r="AJ79" i="7" s="1"/>
  <c r="AJ99" i="7" s="1"/>
  <c r="AJ104" i="7" s="1"/>
  <c r="AJ115" i="7" s="1"/>
  <c r="AM68" i="24" l="1"/>
  <c r="AM106" i="24" s="1"/>
  <c r="AM107" i="24" s="1"/>
  <c r="AM112" i="24" s="1"/>
  <c r="AM114" i="24" s="1"/>
  <c r="AJ54" i="6"/>
  <c r="AJ52" i="6" s="1"/>
  <c r="AO54" i="24"/>
  <c r="AO52" i="24" s="1"/>
  <c r="AO53" i="7"/>
  <c r="AO51" i="7" s="1"/>
  <c r="AO110" i="7" s="1"/>
  <c r="AO53" i="8"/>
  <c r="AO51" i="8" s="1"/>
  <c r="AO107" i="8" s="1"/>
  <c r="AO110" i="8" s="1"/>
  <c r="AN108" i="24"/>
  <c r="AN111" i="24" s="1"/>
  <c r="AN25" i="24"/>
  <c r="AN24" i="24" s="1"/>
  <c r="AN13" i="24"/>
  <c r="AN11" i="24" s="1"/>
  <c r="AN5" i="24" s="1"/>
  <c r="AG27" i="21"/>
  <c r="AF7" i="21"/>
  <c r="AE2" i="21"/>
  <c r="AI108" i="6"/>
  <c r="AI111" i="6" s="1"/>
  <c r="AI25" i="6"/>
  <c r="AI24" i="6" s="1"/>
  <c r="AI68" i="6" s="1"/>
  <c r="AI106" i="6" s="1"/>
  <c r="AJ30" i="21"/>
  <c r="AO29" i="21"/>
  <c r="AA114" i="6"/>
  <c r="AI113" i="8"/>
  <c r="AK79" i="8"/>
  <c r="AK99" i="8" s="1"/>
  <c r="AK104" i="8" s="1"/>
  <c r="AK112" i="8" s="1"/>
  <c r="AJ79" i="8"/>
  <c r="AJ99" i="8" s="1"/>
  <c r="AJ104" i="8" s="1"/>
  <c r="AJ112" i="8" s="1"/>
  <c r="AK57" i="8"/>
  <c r="AK23" i="8" s="1"/>
  <c r="AK13" i="8"/>
  <c r="AK11" i="8" s="1"/>
  <c r="AK5" i="8" s="1"/>
  <c r="AJ57" i="8"/>
  <c r="AJ23" i="8" s="1"/>
  <c r="AJ13" i="8"/>
  <c r="AJ11" i="8" s="1"/>
  <c r="AJ5" i="8" s="1"/>
  <c r="AJ58" i="6"/>
  <c r="AJ11" i="6"/>
  <c r="AJ5" i="6" s="1"/>
  <c r="AL60" i="8"/>
  <c r="AL58" i="8" s="1"/>
  <c r="AK98" i="6"/>
  <c r="AK96" i="6" s="1"/>
  <c r="AK80" i="6" s="1"/>
  <c r="AK100" i="6" s="1"/>
  <c r="AK105" i="6" s="1"/>
  <c r="AK113" i="6" s="1"/>
  <c r="AK97" i="7"/>
  <c r="AK95" i="7" s="1"/>
  <c r="AK79" i="7" s="1"/>
  <c r="AK99" i="7" s="1"/>
  <c r="AK104" i="7" s="1"/>
  <c r="AK115" i="7" s="1"/>
  <c r="AL115" i="6"/>
  <c r="AG106" i="7"/>
  <c r="AG108" i="7" s="1"/>
  <c r="AF114" i="7"/>
  <c r="AF116" i="7" s="1"/>
  <c r="AK60" i="7"/>
  <c r="AK58" i="7" s="1"/>
  <c r="AK57" i="7" s="1"/>
  <c r="AK23" i="7" s="1"/>
  <c r="AK67" i="7" s="1"/>
  <c r="AK107" i="7" s="1"/>
  <c r="AK61" i="6"/>
  <c r="AK59" i="6" s="1"/>
  <c r="AK13" i="6" s="1"/>
  <c r="AM114" i="8"/>
  <c r="P26" i="1" s="1"/>
  <c r="AB112" i="6"/>
  <c r="AC107" i="6"/>
  <c r="AL117" i="7"/>
  <c r="AN68" i="24" l="1"/>
  <c r="AN106" i="24" s="1"/>
  <c r="AN107" i="24" s="1"/>
  <c r="AN112" i="24" s="1"/>
  <c r="AN114" i="24" s="1"/>
  <c r="AH27" i="21"/>
  <c r="AG7" i="21"/>
  <c r="AG2" i="21" s="1"/>
  <c r="AO25" i="24"/>
  <c r="AO24" i="24" s="1"/>
  <c r="AO108" i="24"/>
  <c r="AO111" i="24" s="1"/>
  <c r="AO13" i="24"/>
  <c r="AO11" i="24" s="1"/>
  <c r="AO5" i="24" s="1"/>
  <c r="AJ25" i="6"/>
  <c r="AJ24" i="6" s="1"/>
  <c r="AJ68" i="6" s="1"/>
  <c r="AJ106" i="6" s="1"/>
  <c r="AJ108" i="6"/>
  <c r="AJ111" i="6" s="1"/>
  <c r="AK54" i="6"/>
  <c r="AK52" i="6" s="1"/>
  <c r="AP54" i="24"/>
  <c r="AP52" i="24" s="1"/>
  <c r="AP53" i="8"/>
  <c r="AP51" i="8" s="1"/>
  <c r="AP107" i="8" s="1"/>
  <c r="AP110" i="8" s="1"/>
  <c r="AP53" i="7"/>
  <c r="AP51" i="7" s="1"/>
  <c r="AP110" i="7" s="1"/>
  <c r="AF2" i="21"/>
  <c r="AP29" i="21"/>
  <c r="AK30" i="21"/>
  <c r="AB114" i="6"/>
  <c r="AK58" i="6"/>
  <c r="AK11" i="6"/>
  <c r="AK5" i="6" s="1"/>
  <c r="AJ67" i="8"/>
  <c r="AJ105" i="8" s="1"/>
  <c r="AJ106" i="8" s="1"/>
  <c r="AJ111" i="8" s="1"/>
  <c r="AJ113" i="8" s="1"/>
  <c r="AL57" i="8"/>
  <c r="AL23" i="8" s="1"/>
  <c r="AL13" i="8"/>
  <c r="AL11" i="8" s="1"/>
  <c r="AL5" i="8" s="1"/>
  <c r="AK67" i="8"/>
  <c r="AK105" i="8" s="1"/>
  <c r="AK106" i="8" s="1"/>
  <c r="AK111" i="8" s="1"/>
  <c r="AL97" i="8"/>
  <c r="AL95" i="8" s="1"/>
  <c r="AM60" i="8"/>
  <c r="AM58" i="8" s="1"/>
  <c r="AM115" i="6"/>
  <c r="AL60" i="7"/>
  <c r="AL58" i="7" s="1"/>
  <c r="AL57" i="7" s="1"/>
  <c r="AL23" i="7" s="1"/>
  <c r="AL67" i="7" s="1"/>
  <c r="AL107" i="7" s="1"/>
  <c r="AL61" i="6"/>
  <c r="AL59" i="6" s="1"/>
  <c r="AL13" i="6" s="1"/>
  <c r="AH106" i="7"/>
  <c r="AH108" i="7" s="1"/>
  <c r="AG114" i="7"/>
  <c r="AG116" i="7" s="1"/>
  <c r="AN114" i="8"/>
  <c r="AM117" i="7"/>
  <c r="AL97" i="7"/>
  <c r="AL95" i="7" s="1"/>
  <c r="AL79" i="7" s="1"/>
  <c r="AL99" i="7" s="1"/>
  <c r="AL104" i="7" s="1"/>
  <c r="AL115" i="7" s="1"/>
  <c r="AL98" i="6"/>
  <c r="AL96" i="6" s="1"/>
  <c r="AL80" i="6" s="1"/>
  <c r="AL100" i="6" s="1"/>
  <c r="AL105" i="6" s="1"/>
  <c r="AL113" i="6" s="1"/>
  <c r="AC112" i="6"/>
  <c r="AD107" i="6"/>
  <c r="AL54" i="6" l="1"/>
  <c r="AL52" i="6" s="1"/>
  <c r="AQ53" i="8"/>
  <c r="AQ51" i="8" s="1"/>
  <c r="AQ107" i="8" s="1"/>
  <c r="AQ110" i="8" s="1"/>
  <c r="AQ54" i="24"/>
  <c r="AQ52" i="24" s="1"/>
  <c r="AQ53" i="7"/>
  <c r="AQ51" i="7" s="1"/>
  <c r="AQ110" i="7" s="1"/>
  <c r="AO68" i="24"/>
  <c r="AO106" i="24" s="1"/>
  <c r="AO107" i="24" s="1"/>
  <c r="AO112" i="24" s="1"/>
  <c r="AO114" i="24" s="1"/>
  <c r="AP108" i="24"/>
  <c r="AP111" i="24" s="1"/>
  <c r="AP25" i="24"/>
  <c r="AP24" i="24" s="1"/>
  <c r="AP13" i="24"/>
  <c r="AP11" i="24" s="1"/>
  <c r="AP5" i="24" s="1"/>
  <c r="AM54" i="6"/>
  <c r="AM52" i="6" s="1"/>
  <c r="AR53" i="7"/>
  <c r="AR51" i="7" s="1"/>
  <c r="AR110" i="7" s="1"/>
  <c r="AR53" i="8"/>
  <c r="AR51" i="8" s="1"/>
  <c r="AR107" i="8" s="1"/>
  <c r="AR110" i="8" s="1"/>
  <c r="AR54" i="24"/>
  <c r="AR52" i="24" s="1"/>
  <c r="AK108" i="6"/>
  <c r="AK111" i="6" s="1"/>
  <c r="AK25" i="6"/>
  <c r="AK24" i="6" s="1"/>
  <c r="AK68" i="6" s="1"/>
  <c r="AK106" i="6" s="1"/>
  <c r="AI27" i="21"/>
  <c r="AH7" i="21"/>
  <c r="AH2" i="21" s="1"/>
  <c r="AQ29" i="21"/>
  <c r="AL30" i="21"/>
  <c r="AC114" i="6"/>
  <c r="AL79" i="8"/>
  <c r="AL99" i="8" s="1"/>
  <c r="AL104" i="8" s="1"/>
  <c r="AL112" i="8" s="1"/>
  <c r="AL67" i="8"/>
  <c r="AL105" i="8" s="1"/>
  <c r="AL106" i="8" s="1"/>
  <c r="AL111" i="8" s="1"/>
  <c r="AL58" i="6"/>
  <c r="AL11" i="6"/>
  <c r="AL5" i="6" s="1"/>
  <c r="AK113" i="8"/>
  <c r="AM57" i="8"/>
  <c r="AM23" i="8" s="1"/>
  <c r="Q23" i="1" s="1"/>
  <c r="AM13" i="8"/>
  <c r="AM11" i="8" s="1"/>
  <c r="AM5" i="8" s="1"/>
  <c r="P23" i="1" s="1"/>
  <c r="AN60" i="8"/>
  <c r="AN58" i="8" s="1"/>
  <c r="AM97" i="8"/>
  <c r="AM95" i="8" s="1"/>
  <c r="AM79" i="8" s="1"/>
  <c r="AM98" i="6"/>
  <c r="AM96" i="6" s="1"/>
  <c r="AM80" i="6" s="1"/>
  <c r="AM100" i="6" s="1"/>
  <c r="AM105" i="6" s="1"/>
  <c r="AM113" i="6" s="1"/>
  <c r="AM97" i="7"/>
  <c r="AM95" i="7" s="1"/>
  <c r="AM79" i="7" s="1"/>
  <c r="AM99" i="7" s="1"/>
  <c r="AM104" i="7" s="1"/>
  <c r="AM115" i="7" s="1"/>
  <c r="AN115" i="6"/>
  <c r="AM61" i="6"/>
  <c r="AM59" i="6" s="1"/>
  <c r="AM13" i="6" s="1"/>
  <c r="AI106" i="7"/>
  <c r="AI108" i="7" s="1"/>
  <c r="AH114" i="7"/>
  <c r="AH116" i="7" s="1"/>
  <c r="AM60" i="7"/>
  <c r="AM58" i="7" s="1"/>
  <c r="AM57" i="7" s="1"/>
  <c r="AM23" i="7" s="1"/>
  <c r="AM67" i="7" s="1"/>
  <c r="AM107" i="7" s="1"/>
  <c r="AN97" i="8"/>
  <c r="AN95" i="8" s="1"/>
  <c r="AD112" i="6"/>
  <c r="AE107" i="6"/>
  <c r="AN117" i="7"/>
  <c r="AO114" i="8"/>
  <c r="AP68" i="24" l="1"/>
  <c r="AP106" i="24" s="1"/>
  <c r="AP107" i="24" s="1"/>
  <c r="AP112" i="24" s="1"/>
  <c r="AP114" i="24" s="1"/>
  <c r="AN54" i="6"/>
  <c r="AN52" i="6" s="1"/>
  <c r="AS53" i="8"/>
  <c r="AS51" i="8" s="1"/>
  <c r="AS107" i="8" s="1"/>
  <c r="AS110" i="8" s="1"/>
  <c r="AS54" i="24"/>
  <c r="AS52" i="24" s="1"/>
  <c r="AS53" i="7"/>
  <c r="AS51" i="7" s="1"/>
  <c r="AS110" i="7" s="1"/>
  <c r="AJ27" i="21"/>
  <c r="AI7" i="21"/>
  <c r="AR25" i="24"/>
  <c r="AR24" i="24" s="1"/>
  <c r="AR13" i="24"/>
  <c r="AR11" i="24" s="1"/>
  <c r="AR5" i="24" s="1"/>
  <c r="AR108" i="24"/>
  <c r="AR111" i="24" s="1"/>
  <c r="AQ108" i="24"/>
  <c r="AQ111" i="24" s="1"/>
  <c r="AQ25" i="24"/>
  <c r="AQ24" i="24" s="1"/>
  <c r="AQ13" i="24"/>
  <c r="AQ11" i="24" s="1"/>
  <c r="AQ5" i="24" s="1"/>
  <c r="AM25" i="6"/>
  <c r="AM108" i="6"/>
  <c r="AM111" i="6" s="1"/>
  <c r="AI2" i="21"/>
  <c r="AL108" i="6"/>
  <c r="AL111" i="6" s="1"/>
  <c r="AL25" i="6"/>
  <c r="AL24" i="6" s="1"/>
  <c r="AL68" i="6" s="1"/>
  <c r="AL106" i="6" s="1"/>
  <c r="AM30" i="21"/>
  <c r="AR29" i="21"/>
  <c r="AD114" i="6"/>
  <c r="AL113" i="8"/>
  <c r="AN79" i="8"/>
  <c r="AN99" i="8" s="1"/>
  <c r="AN104" i="8" s="1"/>
  <c r="AN112" i="8" s="1"/>
  <c r="AN60" i="7"/>
  <c r="AN58" i="7" s="1"/>
  <c r="AN57" i="7" s="1"/>
  <c r="AN23" i="7" s="1"/>
  <c r="AN67" i="7" s="1"/>
  <c r="AN107" i="7" s="1"/>
  <c r="AN57" i="8"/>
  <c r="AN23" i="8" s="1"/>
  <c r="AN13" i="8"/>
  <c r="AN11" i="8" s="1"/>
  <c r="AN5" i="8" s="1"/>
  <c r="AM58" i="6"/>
  <c r="AM11" i="6"/>
  <c r="AM5" i="6" s="1"/>
  <c r="AM67" i="8"/>
  <c r="AM105" i="8" s="1"/>
  <c r="AM106" i="8" s="1"/>
  <c r="AM111" i="8" s="1"/>
  <c r="AM99" i="8"/>
  <c r="AM104" i="8" s="1"/>
  <c r="AM112" i="8" s="1"/>
  <c r="Q24" i="1"/>
  <c r="AN61" i="6"/>
  <c r="AN59" i="6" s="1"/>
  <c r="AN13" i="6" s="1"/>
  <c r="AO60" i="8"/>
  <c r="AO58" i="8" s="1"/>
  <c r="AO115" i="6"/>
  <c r="AN98" i="6"/>
  <c r="AN96" i="6" s="1"/>
  <c r="AN80" i="6" s="1"/>
  <c r="AN100" i="6" s="1"/>
  <c r="AN105" i="6" s="1"/>
  <c r="AN113" i="6" s="1"/>
  <c r="AJ106" i="7"/>
  <c r="AJ108" i="7" s="1"/>
  <c r="AI114" i="7"/>
  <c r="AI116" i="7" s="1"/>
  <c r="AN97" i="7"/>
  <c r="AN95" i="7" s="1"/>
  <c r="AN79" i="7" s="1"/>
  <c r="AN99" i="7" s="1"/>
  <c r="AN104" i="7" s="1"/>
  <c r="AN115" i="7" s="1"/>
  <c r="AE112" i="6"/>
  <c r="AF107" i="6"/>
  <c r="AP114" i="8"/>
  <c r="AO117" i="7"/>
  <c r="AQ68" i="24" l="1"/>
  <c r="AQ106" i="24" s="1"/>
  <c r="AQ107" i="24" s="1"/>
  <c r="AQ112" i="24" s="1"/>
  <c r="AQ114" i="24" s="1"/>
  <c r="AR68" i="24"/>
  <c r="AR106" i="24" s="1"/>
  <c r="AR107" i="24" s="1"/>
  <c r="AR112" i="24" s="1"/>
  <c r="AK27" i="21"/>
  <c r="AJ7" i="21"/>
  <c r="AJ2" i="21" s="1"/>
  <c r="AS25" i="24"/>
  <c r="AS24" i="24" s="1"/>
  <c r="AS13" i="24"/>
  <c r="AS11" i="24" s="1"/>
  <c r="AS5" i="24" s="1"/>
  <c r="AS108" i="24"/>
  <c r="AS111" i="24" s="1"/>
  <c r="AO54" i="6"/>
  <c r="AO52" i="6" s="1"/>
  <c r="AT53" i="8"/>
  <c r="AT51" i="8" s="1"/>
  <c r="AT107" i="8" s="1"/>
  <c r="AT110" i="8" s="1"/>
  <c r="AT54" i="24"/>
  <c r="AT52" i="24" s="1"/>
  <c r="AT53" i="7"/>
  <c r="AT51" i="7" s="1"/>
  <c r="AT110" i="7" s="1"/>
  <c r="AM24" i="6"/>
  <c r="AM68" i="6" s="1"/>
  <c r="AM106" i="6" s="1"/>
  <c r="AN108" i="6"/>
  <c r="AN111" i="6" s="1"/>
  <c r="AN25" i="6"/>
  <c r="AS29" i="21"/>
  <c r="AN30" i="21"/>
  <c r="AE114" i="6"/>
  <c r="AM113" i="8"/>
  <c r="AO57" i="8"/>
  <c r="AO23" i="8" s="1"/>
  <c r="AO13" i="8"/>
  <c r="AO11" i="8" s="1"/>
  <c r="AO5" i="8" s="1"/>
  <c r="AN58" i="6"/>
  <c r="AN11" i="6"/>
  <c r="AN5" i="6" s="1"/>
  <c r="AN67" i="8"/>
  <c r="AN105" i="8" s="1"/>
  <c r="AN106" i="8" s="1"/>
  <c r="AN111" i="8" s="1"/>
  <c r="AO97" i="8"/>
  <c r="AO95" i="8" s="1"/>
  <c r="AP60" i="8"/>
  <c r="AP58" i="8" s="1"/>
  <c r="AO60" i="7"/>
  <c r="AO58" i="7" s="1"/>
  <c r="AO57" i="7" s="1"/>
  <c r="AO23" i="7" s="1"/>
  <c r="AO67" i="7" s="1"/>
  <c r="AO107" i="7" s="1"/>
  <c r="AP115" i="6"/>
  <c r="AO61" i="6"/>
  <c r="AO59" i="6" s="1"/>
  <c r="AO13" i="6" s="1"/>
  <c r="AJ114" i="7"/>
  <c r="AJ116" i="7" s="1"/>
  <c r="AK106" i="7"/>
  <c r="AK108" i="7" s="1"/>
  <c r="AO98" i="6"/>
  <c r="AO96" i="6" s="1"/>
  <c r="AO80" i="6" s="1"/>
  <c r="AO100" i="6" s="1"/>
  <c r="AO105" i="6" s="1"/>
  <c r="AO113" i="6" s="1"/>
  <c r="AO97" i="7"/>
  <c r="AO95" i="7" s="1"/>
  <c r="AO79" i="7" s="1"/>
  <c r="AO99" i="7" s="1"/>
  <c r="AO104" i="7" s="1"/>
  <c r="AO115" i="7" s="1"/>
  <c r="AQ114" i="8"/>
  <c r="AF112" i="6"/>
  <c r="AG107" i="6"/>
  <c r="AP117" i="7"/>
  <c r="AR114" i="24" l="1"/>
  <c r="AS68" i="24"/>
  <c r="AS106" i="24" s="1"/>
  <c r="AS107" i="24" s="1"/>
  <c r="AS112" i="24" s="1"/>
  <c r="AN24" i="6"/>
  <c r="AN68" i="6" s="1"/>
  <c r="AN106" i="6" s="1"/>
  <c r="AO108" i="6"/>
  <c r="AO111" i="6" s="1"/>
  <c r="AO25" i="6"/>
  <c r="AL27" i="21"/>
  <c r="AK7" i="21"/>
  <c r="AP54" i="6"/>
  <c r="AP52" i="6" s="1"/>
  <c r="AU54" i="24"/>
  <c r="AU52" i="24" s="1"/>
  <c r="AU53" i="7"/>
  <c r="AU51" i="7" s="1"/>
  <c r="AU110" i="7" s="1"/>
  <c r="AU53" i="8"/>
  <c r="AU51" i="8" s="1"/>
  <c r="AU107" i="8" s="1"/>
  <c r="AU110" i="8" s="1"/>
  <c r="AT108" i="24"/>
  <c r="AT111" i="24" s="1"/>
  <c r="AT25" i="24"/>
  <c r="AT24" i="24" s="1"/>
  <c r="AT13" i="24"/>
  <c r="AT11" i="24" s="1"/>
  <c r="AT5" i="24" s="1"/>
  <c r="AK2" i="21"/>
  <c r="AO30" i="21"/>
  <c r="AT29" i="21"/>
  <c r="AF114" i="6"/>
  <c r="AO79" i="8"/>
  <c r="AO99" i="8" s="1"/>
  <c r="AO104" i="8" s="1"/>
  <c r="AO112" i="8" s="1"/>
  <c r="AO58" i="6"/>
  <c r="AO11" i="6"/>
  <c r="AO5" i="6" s="1"/>
  <c r="AO67" i="8"/>
  <c r="AO105" i="8" s="1"/>
  <c r="AO106" i="8" s="1"/>
  <c r="AO111" i="8" s="1"/>
  <c r="AP57" i="8"/>
  <c r="AP23" i="8" s="1"/>
  <c r="AP13" i="8"/>
  <c r="AP11" i="8" s="1"/>
  <c r="AP5" i="8" s="1"/>
  <c r="P25" i="1"/>
  <c r="AN113" i="8"/>
  <c r="AP97" i="7"/>
  <c r="AP95" i="7" s="1"/>
  <c r="AP79" i="7" s="1"/>
  <c r="AP99" i="7" s="1"/>
  <c r="AP104" i="7" s="1"/>
  <c r="AP115" i="7" s="1"/>
  <c r="AP97" i="8"/>
  <c r="AP95" i="8" s="1"/>
  <c r="AQ60" i="8"/>
  <c r="AQ58" i="8" s="1"/>
  <c r="AP98" i="6"/>
  <c r="AP96" i="6" s="1"/>
  <c r="AP80" i="6" s="1"/>
  <c r="AP100" i="6" s="1"/>
  <c r="AP105" i="6" s="1"/>
  <c r="AP113" i="6" s="1"/>
  <c r="AQ115" i="6"/>
  <c r="AK114" i="7"/>
  <c r="AK116" i="7" s="1"/>
  <c r="AL106" i="7"/>
  <c r="AL108" i="7" s="1"/>
  <c r="AP61" i="6"/>
  <c r="AP59" i="6" s="1"/>
  <c r="AP13" i="6" s="1"/>
  <c r="AP60" i="7"/>
  <c r="AP58" i="7" s="1"/>
  <c r="AP57" i="7" s="1"/>
  <c r="AP23" i="7" s="1"/>
  <c r="AP67" i="7" s="1"/>
  <c r="AP107" i="7" s="1"/>
  <c r="AQ97" i="8"/>
  <c r="AQ95" i="8" s="1"/>
  <c r="AG112" i="6"/>
  <c r="AH107" i="6"/>
  <c r="AR114" i="8"/>
  <c r="AQ117" i="7"/>
  <c r="AS114" i="24" l="1"/>
  <c r="AO24" i="6"/>
  <c r="AO68" i="6" s="1"/>
  <c r="AO106" i="6" s="1"/>
  <c r="AQ54" i="6"/>
  <c r="AQ52" i="6" s="1"/>
  <c r="AV53" i="8"/>
  <c r="AV51" i="8" s="1"/>
  <c r="AV107" i="8" s="1"/>
  <c r="AV110" i="8" s="1"/>
  <c r="AV54" i="24"/>
  <c r="AV52" i="24" s="1"/>
  <c r="AV53" i="7"/>
  <c r="AV51" i="7" s="1"/>
  <c r="AV110" i="7" s="1"/>
  <c r="AU13" i="24"/>
  <c r="AU11" i="24" s="1"/>
  <c r="AU5" i="24" s="1"/>
  <c r="AU25" i="24"/>
  <c r="AU24" i="24" s="1"/>
  <c r="AU108" i="24"/>
  <c r="AU111" i="24" s="1"/>
  <c r="AT68" i="24"/>
  <c r="AT106" i="24" s="1"/>
  <c r="AT107" i="24" s="1"/>
  <c r="AT112" i="24" s="1"/>
  <c r="AP108" i="6"/>
  <c r="AP111" i="6" s="1"/>
  <c r="AP25" i="6"/>
  <c r="AM27" i="21"/>
  <c r="AL7" i="21"/>
  <c r="AU29" i="21"/>
  <c r="AP30" i="21"/>
  <c r="AG114" i="6"/>
  <c r="AQ79" i="8"/>
  <c r="AQ99" i="8" s="1"/>
  <c r="AQ104" i="8" s="1"/>
  <c r="AQ112" i="8" s="1"/>
  <c r="AP79" i="8"/>
  <c r="AP99" i="8" s="1"/>
  <c r="AP104" i="8" s="1"/>
  <c r="AP112" i="8" s="1"/>
  <c r="AP67" i="8"/>
  <c r="AP105" i="8" s="1"/>
  <c r="AP106" i="8" s="1"/>
  <c r="AP111" i="8" s="1"/>
  <c r="AO113" i="8"/>
  <c r="AQ57" i="8"/>
  <c r="AQ23" i="8" s="1"/>
  <c r="AQ13" i="8"/>
  <c r="AQ11" i="8" s="1"/>
  <c r="AQ5" i="8" s="1"/>
  <c r="AP58" i="6"/>
  <c r="AP11" i="6"/>
  <c r="AP5" i="6" s="1"/>
  <c r="AR60" i="8"/>
  <c r="AR58" i="8" s="1"/>
  <c r="AQ61" i="6"/>
  <c r="AQ59" i="6" s="1"/>
  <c r="AQ13" i="6" s="1"/>
  <c r="AQ98" i="6"/>
  <c r="AQ96" i="6" s="1"/>
  <c r="AQ80" i="6" s="1"/>
  <c r="AQ100" i="6" s="1"/>
  <c r="AQ105" i="6" s="1"/>
  <c r="AQ113" i="6" s="1"/>
  <c r="AR115" i="6"/>
  <c r="AQ60" i="7"/>
  <c r="AQ58" i="7" s="1"/>
  <c r="AQ57" i="7" s="1"/>
  <c r="AQ23" i="7" s="1"/>
  <c r="AQ67" i="7" s="1"/>
  <c r="AQ107" i="7" s="1"/>
  <c r="AM106" i="7"/>
  <c r="AM108" i="7" s="1"/>
  <c r="AL114" i="7"/>
  <c r="AL116" i="7" s="1"/>
  <c r="AQ97" i="7"/>
  <c r="AQ95" i="7" s="1"/>
  <c r="AQ79" i="7" s="1"/>
  <c r="AQ99" i="7" s="1"/>
  <c r="AQ104" i="7" s="1"/>
  <c r="AQ115" i="7" s="1"/>
  <c r="AR117" i="7"/>
  <c r="AH112" i="6"/>
  <c r="AI107" i="6"/>
  <c r="AS114" i="8"/>
  <c r="AT114" i="24" l="1"/>
  <c r="AP24" i="6"/>
  <c r="AP68" i="6" s="1"/>
  <c r="AP106" i="6" s="1"/>
  <c r="AN27" i="21"/>
  <c r="AM7" i="21"/>
  <c r="AV13" i="24"/>
  <c r="AV11" i="24" s="1"/>
  <c r="AV5" i="24" s="1"/>
  <c r="AV25" i="24"/>
  <c r="AV24" i="24" s="1"/>
  <c r="AV108" i="24"/>
  <c r="AV111" i="24" s="1"/>
  <c r="AQ25" i="6"/>
  <c r="AQ108" i="6"/>
  <c r="AQ111" i="6" s="1"/>
  <c r="AU68" i="24"/>
  <c r="AU106" i="24" s="1"/>
  <c r="AU107" i="24" s="1"/>
  <c r="AU112" i="24" s="1"/>
  <c r="AU114" i="24" s="1"/>
  <c r="AL2" i="21"/>
  <c r="AY11" i="6"/>
  <c r="AY5" i="6" s="1"/>
  <c r="AV29" i="21"/>
  <c r="AQ30" i="21"/>
  <c r="AH114" i="6"/>
  <c r="AP113" i="8"/>
  <c r="AR57" i="8"/>
  <c r="AR23" i="8" s="1"/>
  <c r="AR13" i="8"/>
  <c r="AR11" i="8" s="1"/>
  <c r="AR5" i="8" s="1"/>
  <c r="AQ58" i="6"/>
  <c r="AQ11" i="6"/>
  <c r="AQ5" i="6" s="1"/>
  <c r="AQ67" i="8"/>
  <c r="AQ105" i="8" s="1"/>
  <c r="AQ106" i="8" s="1"/>
  <c r="AQ111" i="8" s="1"/>
  <c r="AR97" i="8"/>
  <c r="AR95" i="8" s="1"/>
  <c r="AS60" i="8"/>
  <c r="AS58" i="8" s="1"/>
  <c r="AR61" i="6"/>
  <c r="AR59" i="6" s="1"/>
  <c r="AR13" i="6" s="1"/>
  <c r="AR60" i="7"/>
  <c r="AR58" i="7" s="1"/>
  <c r="AR57" i="7" s="1"/>
  <c r="AR23" i="7" s="1"/>
  <c r="AR67" i="7" s="1"/>
  <c r="AR107" i="7" s="1"/>
  <c r="AS115" i="6"/>
  <c r="AS97" i="8"/>
  <c r="AS95" i="8" s="1"/>
  <c r="AM114" i="7"/>
  <c r="AM116" i="7" s="1"/>
  <c r="AN106" i="7"/>
  <c r="AN108" i="7" s="1"/>
  <c r="AJ107" i="6"/>
  <c r="AI112" i="6"/>
  <c r="AT114" i="8"/>
  <c r="AR97" i="7"/>
  <c r="AR95" i="7" s="1"/>
  <c r="AR79" i="7" s="1"/>
  <c r="AR99" i="7" s="1"/>
  <c r="AR104" i="7" s="1"/>
  <c r="AR115" i="7" s="1"/>
  <c r="AR98" i="6"/>
  <c r="AR96" i="6" s="1"/>
  <c r="AR80" i="6" s="1"/>
  <c r="AR100" i="6" s="1"/>
  <c r="AR105" i="6" s="1"/>
  <c r="AR113" i="6" s="1"/>
  <c r="AS117" i="7"/>
  <c r="AQ24" i="6" l="1"/>
  <c r="AQ68" i="6" s="1"/>
  <c r="AQ106" i="6" s="1"/>
  <c r="AV68" i="24"/>
  <c r="AV106" i="24" s="1"/>
  <c r="AV107" i="24" s="1"/>
  <c r="AV112" i="24" s="1"/>
  <c r="AV114" i="24" s="1"/>
  <c r="AO27" i="21"/>
  <c r="AN7" i="21"/>
  <c r="AN2" i="21" s="1"/>
  <c r="AR54" i="6"/>
  <c r="AR52" i="6" s="1"/>
  <c r="AW54" i="24"/>
  <c r="AW52" i="24" s="1"/>
  <c r="AW53" i="7"/>
  <c r="AW51" i="7" s="1"/>
  <c r="AW110" i="7" s="1"/>
  <c r="AW53" i="8"/>
  <c r="AW51" i="8" s="1"/>
  <c r="AW107" i="8" s="1"/>
  <c r="AW110" i="8" s="1"/>
  <c r="AM2" i="21"/>
  <c r="AW29" i="21"/>
  <c r="AR30" i="21"/>
  <c r="AI114" i="6"/>
  <c r="AR79" i="8"/>
  <c r="AR99" i="8" s="1"/>
  <c r="AR104" i="8" s="1"/>
  <c r="AR112" i="8" s="1"/>
  <c r="AS79" i="8"/>
  <c r="AS99" i="8" s="1"/>
  <c r="AS104" i="8" s="1"/>
  <c r="AS112" i="8" s="1"/>
  <c r="AQ113" i="8"/>
  <c r="AS57" i="8"/>
  <c r="AS23" i="8" s="1"/>
  <c r="AS13" i="8"/>
  <c r="AS11" i="8" s="1"/>
  <c r="AS5" i="8" s="1"/>
  <c r="AR58" i="6"/>
  <c r="AR11" i="6"/>
  <c r="AR5" i="6" s="1"/>
  <c r="AR67" i="8"/>
  <c r="AR105" i="8" s="1"/>
  <c r="AR106" i="8" s="1"/>
  <c r="AR111" i="8" s="1"/>
  <c r="AT60" i="8"/>
  <c r="AT58" i="8" s="1"/>
  <c r="AS98" i="6"/>
  <c r="AS96" i="6" s="1"/>
  <c r="AS80" i="6" s="1"/>
  <c r="AS100" i="6" s="1"/>
  <c r="AS105" i="6" s="1"/>
  <c r="AS113" i="6" s="1"/>
  <c r="AS97" i="7"/>
  <c r="AS95" i="7" s="1"/>
  <c r="AS79" i="7" s="1"/>
  <c r="AS99" i="7" s="1"/>
  <c r="AS104" i="7" s="1"/>
  <c r="AS115" i="7" s="1"/>
  <c r="AT115" i="6"/>
  <c r="AN114" i="7"/>
  <c r="AN116" i="7" s="1"/>
  <c r="AO106" i="7"/>
  <c r="AO108" i="7" s="1"/>
  <c r="AT97" i="8"/>
  <c r="AT95" i="8" s="1"/>
  <c r="AU114" i="8"/>
  <c r="AJ112" i="6"/>
  <c r="AK107" i="6"/>
  <c r="AT117" i="7"/>
  <c r="AS61" i="6"/>
  <c r="AS59" i="6" s="1"/>
  <c r="AS13" i="6" s="1"/>
  <c r="AS60" i="7"/>
  <c r="AS58" i="7" s="1"/>
  <c r="AS57" i="7" s="1"/>
  <c r="AS23" i="7" s="1"/>
  <c r="AS67" i="7" s="1"/>
  <c r="AS107" i="7" s="1"/>
  <c r="AT54" i="6" l="1"/>
  <c r="AT52" i="6" s="1"/>
  <c r="AY54" i="24"/>
  <c r="AY52" i="24" s="1"/>
  <c r="AY53" i="7"/>
  <c r="AY51" i="7" s="1"/>
  <c r="AY110" i="7" s="1"/>
  <c r="AY53" i="8"/>
  <c r="AY51" i="8" s="1"/>
  <c r="AW25" i="24"/>
  <c r="AW24" i="24" s="1"/>
  <c r="AW13" i="24"/>
  <c r="AW11" i="24" s="1"/>
  <c r="AW5" i="24" s="1"/>
  <c r="AW108" i="24"/>
  <c r="AW111" i="24" s="1"/>
  <c r="AR108" i="6"/>
  <c r="AR111" i="6" s="1"/>
  <c r="AR25" i="6"/>
  <c r="AR24" i="6" s="1"/>
  <c r="AR68" i="6" s="1"/>
  <c r="AR106" i="6" s="1"/>
  <c r="AP27" i="21"/>
  <c r="AO7" i="21"/>
  <c r="AO2" i="21" s="1"/>
  <c r="AS54" i="6"/>
  <c r="AS52" i="6" s="1"/>
  <c r="AX54" i="24"/>
  <c r="AX52" i="24" s="1"/>
  <c r="AX53" i="8"/>
  <c r="AX51" i="8" s="1"/>
  <c r="AX107" i="8" s="1"/>
  <c r="AX110" i="8" s="1"/>
  <c r="AX53" i="7"/>
  <c r="AX51" i="7" s="1"/>
  <c r="AX110" i="7" s="1"/>
  <c r="AS30" i="21"/>
  <c r="AZ11" i="6"/>
  <c r="AZ5" i="6" s="1"/>
  <c r="AX29" i="21"/>
  <c r="BA11" i="6"/>
  <c r="BA5" i="6" s="1"/>
  <c r="AJ114" i="6"/>
  <c r="AR113" i="8"/>
  <c r="AT79" i="8"/>
  <c r="AT99" i="8" s="1"/>
  <c r="AT104" i="8" s="1"/>
  <c r="AT112" i="8" s="1"/>
  <c r="AS58" i="6"/>
  <c r="AS11" i="6"/>
  <c r="AS5" i="6" s="1"/>
  <c r="AS67" i="8"/>
  <c r="AS105" i="8" s="1"/>
  <c r="AS106" i="8" s="1"/>
  <c r="AS111" i="8" s="1"/>
  <c r="AT57" i="8"/>
  <c r="AT23" i="8" s="1"/>
  <c r="AT13" i="8"/>
  <c r="AT11" i="8" s="1"/>
  <c r="AT5" i="8" s="1"/>
  <c r="AU60" i="8"/>
  <c r="AU58" i="8" s="1"/>
  <c r="AT98" i="6"/>
  <c r="AT96" i="6" s="1"/>
  <c r="AT80" i="6" s="1"/>
  <c r="AT100" i="6" s="1"/>
  <c r="AT105" i="6" s="1"/>
  <c r="AT113" i="6" s="1"/>
  <c r="AU115" i="6"/>
  <c r="AT61" i="6"/>
  <c r="AT59" i="6" s="1"/>
  <c r="AT13" i="6" s="1"/>
  <c r="AT60" i="7"/>
  <c r="AT58" i="7" s="1"/>
  <c r="AT57" i="7" s="1"/>
  <c r="AT23" i="7" s="1"/>
  <c r="AT67" i="7" s="1"/>
  <c r="AT107" i="7" s="1"/>
  <c r="AO114" i="7"/>
  <c r="AO116" i="7" s="1"/>
  <c r="AP106" i="7"/>
  <c r="AP108" i="7" s="1"/>
  <c r="AT97" i="7"/>
  <c r="AT95" i="7" s="1"/>
  <c r="AT79" i="7" s="1"/>
  <c r="AT99" i="7" s="1"/>
  <c r="AT104" i="7" s="1"/>
  <c r="AT115" i="7" s="1"/>
  <c r="AV114" i="8"/>
  <c r="AW114" i="8"/>
  <c r="R26" i="1" s="1"/>
  <c r="AU117" i="7"/>
  <c r="AK112" i="6"/>
  <c r="AL107" i="6"/>
  <c r="AW68" i="24" l="1"/>
  <c r="AW106" i="24" s="1"/>
  <c r="AW107" i="24" s="1"/>
  <c r="AW112" i="24" s="1"/>
  <c r="AW114" i="24" s="1"/>
  <c r="AU54" i="6"/>
  <c r="AU52" i="6" s="1"/>
  <c r="AZ54" i="24"/>
  <c r="AZ52" i="24" s="1"/>
  <c r="AZ53" i="8"/>
  <c r="AZ51" i="8" s="1"/>
  <c r="AZ53" i="7"/>
  <c r="AZ51" i="7" s="1"/>
  <c r="AZ110" i="7" s="1"/>
  <c r="AX108" i="24"/>
  <c r="AX111" i="24" s="1"/>
  <c r="AX13" i="24"/>
  <c r="AX11" i="24" s="1"/>
  <c r="AX5" i="24" s="1"/>
  <c r="AX25" i="24"/>
  <c r="AX24" i="24" s="1"/>
  <c r="AQ27" i="21"/>
  <c r="AP7" i="21"/>
  <c r="AP2" i="21" s="1"/>
  <c r="AT25" i="6"/>
  <c r="AT108" i="6"/>
  <c r="AT111" i="6" s="1"/>
  <c r="AS25" i="6"/>
  <c r="AS24" i="6" s="1"/>
  <c r="AS68" i="6" s="1"/>
  <c r="AS106" i="6" s="1"/>
  <c r="AS108" i="6"/>
  <c r="AS111" i="6" s="1"/>
  <c r="AY13" i="8"/>
  <c r="AY11" i="8" s="1"/>
  <c r="AY5" i="8" s="1"/>
  <c r="AY67" i="8" s="1"/>
  <c r="AY105" i="8" s="1"/>
  <c r="AY106" i="8" s="1"/>
  <c r="AY107" i="8"/>
  <c r="AY110" i="8" s="1"/>
  <c r="AY13" i="24"/>
  <c r="AY11" i="24" s="1"/>
  <c r="AY5" i="24" s="1"/>
  <c r="AY25" i="24"/>
  <c r="AY24" i="24" s="1"/>
  <c r="AY108" i="24"/>
  <c r="AY111" i="24" s="1"/>
  <c r="BB11" i="6"/>
  <c r="BB5" i="6" s="1"/>
  <c r="AT30" i="21"/>
  <c r="AY29" i="21"/>
  <c r="AK114" i="6"/>
  <c r="AS113" i="8"/>
  <c r="AT67" i="8"/>
  <c r="AT105" i="8" s="1"/>
  <c r="AT106" i="8" s="1"/>
  <c r="AT111" i="8" s="1"/>
  <c r="AT58" i="6"/>
  <c r="AT11" i="6"/>
  <c r="AT5" i="6" s="1"/>
  <c r="AU57" i="8"/>
  <c r="AU23" i="8" s="1"/>
  <c r="AU13" i="8"/>
  <c r="AU11" i="8" s="1"/>
  <c r="AU5" i="8" s="1"/>
  <c r="AU97" i="7"/>
  <c r="AU95" i="7" s="1"/>
  <c r="AU79" i="7" s="1"/>
  <c r="AU99" i="7" s="1"/>
  <c r="AU104" i="7" s="1"/>
  <c r="AU115" i="7" s="1"/>
  <c r="AU97" i="8"/>
  <c r="AU95" i="8" s="1"/>
  <c r="AW60" i="8"/>
  <c r="AW58" i="8" s="1"/>
  <c r="AV60" i="8"/>
  <c r="AV58" i="8" s="1"/>
  <c r="AU98" i="6"/>
  <c r="AU96" i="6" s="1"/>
  <c r="AU80" i="6" s="1"/>
  <c r="AU100" i="6" s="1"/>
  <c r="AU105" i="6" s="1"/>
  <c r="AU113" i="6" s="1"/>
  <c r="AW115" i="6"/>
  <c r="AV115" i="6"/>
  <c r="AV97" i="8"/>
  <c r="AV95" i="8" s="1"/>
  <c r="AP114" i="7"/>
  <c r="AP116" i="7" s="1"/>
  <c r="AQ106" i="7"/>
  <c r="AQ108" i="7" s="1"/>
  <c r="AL112" i="6"/>
  <c r="AM107" i="6"/>
  <c r="AU61" i="6"/>
  <c r="AU59" i="6" s="1"/>
  <c r="AU13" i="6" s="1"/>
  <c r="AU60" i="7"/>
  <c r="AU58" i="7" s="1"/>
  <c r="AU57" i="7" s="1"/>
  <c r="AU23" i="7" s="1"/>
  <c r="AU67" i="7" s="1"/>
  <c r="AU107" i="7" s="1"/>
  <c r="AW117" i="7"/>
  <c r="AV117" i="7"/>
  <c r="AY68" i="24" l="1"/>
  <c r="AY106" i="24" s="1"/>
  <c r="AY107" i="24" s="1"/>
  <c r="AY112" i="24" s="1"/>
  <c r="AY111" i="8"/>
  <c r="AV54" i="6"/>
  <c r="AV52" i="6" s="1"/>
  <c r="BA53" i="7"/>
  <c r="BA51" i="7" s="1"/>
  <c r="BA110" i="7" s="1"/>
  <c r="BA53" i="8"/>
  <c r="BA51" i="8" s="1"/>
  <c r="BA54" i="24"/>
  <c r="BA52" i="24" s="1"/>
  <c r="AT24" i="6"/>
  <c r="AT68" i="6" s="1"/>
  <c r="AT106" i="6" s="1"/>
  <c r="AZ107" i="8"/>
  <c r="AZ110" i="8" s="1"/>
  <c r="AZ13" i="8"/>
  <c r="AZ11" i="8" s="1"/>
  <c r="AZ5" i="8" s="1"/>
  <c r="AZ67" i="8" s="1"/>
  <c r="AZ105" i="8" s="1"/>
  <c r="AZ106" i="8" s="1"/>
  <c r="AR27" i="21"/>
  <c r="AQ7" i="21"/>
  <c r="AQ2" i="21" s="1"/>
  <c r="AX68" i="24"/>
  <c r="AX106" i="24" s="1"/>
  <c r="AX107" i="24" s="1"/>
  <c r="AX112" i="24" s="1"/>
  <c r="AX114" i="24" s="1"/>
  <c r="AY114" i="24" s="1"/>
  <c r="AZ108" i="24"/>
  <c r="AZ111" i="24" s="1"/>
  <c r="AZ25" i="24"/>
  <c r="AZ24" i="24" s="1"/>
  <c r="AZ13" i="24"/>
  <c r="AZ11" i="24" s="1"/>
  <c r="AZ5" i="24" s="1"/>
  <c r="AU25" i="6"/>
  <c r="AU108" i="6"/>
  <c r="AU111" i="6" s="1"/>
  <c r="AU30" i="21"/>
  <c r="BC11" i="6"/>
  <c r="BC5" i="6" s="1"/>
  <c r="AZ29" i="21"/>
  <c r="AL114" i="6"/>
  <c r="AT113" i="8"/>
  <c r="AV79" i="8"/>
  <c r="AV99" i="8" s="1"/>
  <c r="AV104" i="8" s="1"/>
  <c r="AV112" i="8" s="1"/>
  <c r="AU79" i="8"/>
  <c r="AU99" i="8" s="1"/>
  <c r="AU104" i="8" s="1"/>
  <c r="AU112" i="8" s="1"/>
  <c r="AU67" i="8"/>
  <c r="AU105" i="8" s="1"/>
  <c r="AU106" i="8" s="1"/>
  <c r="AU111" i="8" s="1"/>
  <c r="AU58" i="6"/>
  <c r="AU11" i="6"/>
  <c r="AU5" i="6" s="1"/>
  <c r="AV57" i="8"/>
  <c r="AV23" i="8" s="1"/>
  <c r="AV13" i="8"/>
  <c r="AV11" i="8" s="1"/>
  <c r="AV5" i="8" s="1"/>
  <c r="AW57" i="8"/>
  <c r="AW23" i="8" s="1"/>
  <c r="S23" i="1" s="1"/>
  <c r="AW13" i="8"/>
  <c r="AW11" i="8" s="1"/>
  <c r="AW5" i="8" s="1"/>
  <c r="R23" i="1" s="1"/>
  <c r="AX60" i="8"/>
  <c r="AX58" i="8" s="1"/>
  <c r="AX97" i="8"/>
  <c r="AX95" i="8" s="1"/>
  <c r="AW97" i="8"/>
  <c r="AW95" i="8" s="1"/>
  <c r="AW79" i="8" s="1"/>
  <c r="AV61" i="6"/>
  <c r="AV59" i="6" s="1"/>
  <c r="AV13" i="6" s="1"/>
  <c r="AV97" i="7"/>
  <c r="AV95" i="7" s="1"/>
  <c r="AV79" i="7" s="1"/>
  <c r="AV99" i="7" s="1"/>
  <c r="AV104" i="7" s="1"/>
  <c r="AV115" i="7" s="1"/>
  <c r="AV60" i="7"/>
  <c r="AV58" i="7" s="1"/>
  <c r="AV57" i="7" s="1"/>
  <c r="AV23" i="7" s="1"/>
  <c r="AV67" i="7" s="1"/>
  <c r="AV107" i="7" s="1"/>
  <c r="AV98" i="6"/>
  <c r="AV96" i="6" s="1"/>
  <c r="AV80" i="6" s="1"/>
  <c r="AV100" i="6" s="1"/>
  <c r="AV105" i="6" s="1"/>
  <c r="AV113" i="6" s="1"/>
  <c r="AR106" i="7"/>
  <c r="AR108" i="7" s="1"/>
  <c r="AQ114" i="7"/>
  <c r="AQ116" i="7" s="1"/>
  <c r="AW61" i="6"/>
  <c r="AW59" i="6" s="1"/>
  <c r="AW13" i="6" s="1"/>
  <c r="AW60" i="7"/>
  <c r="AW58" i="7" s="1"/>
  <c r="AW57" i="7" s="1"/>
  <c r="AW23" i="7" s="1"/>
  <c r="AW67" i="7" s="1"/>
  <c r="AW107" i="7" s="1"/>
  <c r="AW97" i="7"/>
  <c r="AW95" i="7" s="1"/>
  <c r="AW79" i="7" s="1"/>
  <c r="AW99" i="7" s="1"/>
  <c r="AW104" i="7" s="1"/>
  <c r="AW115" i="7" s="1"/>
  <c r="AW98" i="6"/>
  <c r="AW96" i="6" s="1"/>
  <c r="AW80" i="6" s="1"/>
  <c r="AW100" i="6" s="1"/>
  <c r="AW105" i="6" s="1"/>
  <c r="AW113" i="6" s="1"/>
  <c r="AX61" i="6"/>
  <c r="AX59" i="6" s="1"/>
  <c r="AX13" i="6" s="1"/>
  <c r="AX60" i="7"/>
  <c r="AX58" i="7" s="1"/>
  <c r="AX57" i="7" s="1"/>
  <c r="AX23" i="7" s="1"/>
  <c r="AX67" i="7" s="1"/>
  <c r="AX107" i="7" s="1"/>
  <c r="AN107" i="6"/>
  <c r="AM112" i="6"/>
  <c r="AX98" i="6"/>
  <c r="AX96" i="6" s="1"/>
  <c r="AX80" i="6" s="1"/>
  <c r="AX100" i="6" s="1"/>
  <c r="AX105" i="6" s="1"/>
  <c r="AX113" i="6" s="1"/>
  <c r="AX97" i="7"/>
  <c r="AX95" i="7" s="1"/>
  <c r="AX79" i="7" s="1"/>
  <c r="AX99" i="7" s="1"/>
  <c r="AX104" i="7" s="1"/>
  <c r="AX115" i="7" s="1"/>
  <c r="AZ111" i="8" l="1"/>
  <c r="AU24" i="6"/>
  <c r="AU68" i="6" s="1"/>
  <c r="AU106" i="6" s="1"/>
  <c r="AW54" i="6"/>
  <c r="AW52" i="6" s="1"/>
  <c r="BB53" i="8"/>
  <c r="BB51" i="8" s="1"/>
  <c r="BB54" i="24"/>
  <c r="BB52" i="24" s="1"/>
  <c r="BB53" i="7"/>
  <c r="BB51" i="7" s="1"/>
  <c r="BB110" i="7" s="1"/>
  <c r="AZ68" i="24"/>
  <c r="AZ106" i="24" s="1"/>
  <c r="AZ107" i="24" s="1"/>
  <c r="AZ112" i="24" s="1"/>
  <c r="AZ114" i="24" s="1"/>
  <c r="AS27" i="21"/>
  <c r="AR7" i="21"/>
  <c r="AV108" i="6"/>
  <c r="AV111" i="6" s="1"/>
  <c r="AV25" i="6"/>
  <c r="BA13" i="24"/>
  <c r="BA11" i="24" s="1"/>
  <c r="BA5" i="24" s="1"/>
  <c r="BA108" i="24"/>
  <c r="BA111" i="24" s="1"/>
  <c r="BA25" i="24"/>
  <c r="BA24" i="24" s="1"/>
  <c r="BA13" i="8"/>
  <c r="BA11" i="8" s="1"/>
  <c r="BA5" i="8" s="1"/>
  <c r="BA67" i="8" s="1"/>
  <c r="BA105" i="8" s="1"/>
  <c r="BA106" i="8" s="1"/>
  <c r="BA107" i="8"/>
  <c r="BA110" i="8" s="1"/>
  <c r="AV30" i="21"/>
  <c r="BA29" i="21"/>
  <c r="AM114" i="6"/>
  <c r="AX79" i="8"/>
  <c r="AX99" i="8" s="1"/>
  <c r="AX104" i="8" s="1"/>
  <c r="AX112" i="8" s="1"/>
  <c r="AU113" i="8"/>
  <c r="AV58" i="6"/>
  <c r="AV11" i="6"/>
  <c r="AV5" i="6" s="1"/>
  <c r="AV67" i="8"/>
  <c r="AV105" i="8" s="1"/>
  <c r="AV106" i="8" s="1"/>
  <c r="AV111" i="8" s="1"/>
  <c r="AW58" i="6"/>
  <c r="AW11" i="6"/>
  <c r="AW5" i="6" s="1"/>
  <c r="AX57" i="8"/>
  <c r="AX23" i="8" s="1"/>
  <c r="AX13" i="8"/>
  <c r="AX11" i="8" s="1"/>
  <c r="AX5" i="8" s="1"/>
  <c r="AX58" i="6"/>
  <c r="AX11" i="6"/>
  <c r="AX5" i="6" s="1"/>
  <c r="AW67" i="8"/>
  <c r="AW105" i="8" s="1"/>
  <c r="AW106" i="8" s="1"/>
  <c r="AW111" i="8" s="1"/>
  <c r="AW99" i="8"/>
  <c r="AW104" i="8" s="1"/>
  <c r="AW112" i="8" s="1"/>
  <c r="S24" i="1"/>
  <c r="AR114" i="7"/>
  <c r="AR116" i="7" s="1"/>
  <c r="AS106" i="7"/>
  <c r="AS108" i="7" s="1"/>
  <c r="AN112" i="6"/>
  <c r="AO107" i="6"/>
  <c r="AV24" i="6" l="1"/>
  <c r="AV68" i="6" s="1"/>
  <c r="AV106" i="6" s="1"/>
  <c r="AT27" i="21"/>
  <c r="AS7" i="21"/>
  <c r="AS2" i="21" s="1"/>
  <c r="BB25" i="24"/>
  <c r="BB24" i="24" s="1"/>
  <c r="BB13" i="24"/>
  <c r="BB11" i="24" s="1"/>
  <c r="BB5" i="24" s="1"/>
  <c r="BB108" i="24"/>
  <c r="BB111" i="24" s="1"/>
  <c r="BA111" i="8"/>
  <c r="BB107" i="8"/>
  <c r="BB110" i="8" s="1"/>
  <c r="BB13" i="8"/>
  <c r="BB11" i="8" s="1"/>
  <c r="BB5" i="8" s="1"/>
  <c r="BB67" i="8" s="1"/>
  <c r="BB105" i="8" s="1"/>
  <c r="BB106" i="8" s="1"/>
  <c r="BA68" i="24"/>
  <c r="BA106" i="24" s="1"/>
  <c r="BA107" i="24" s="1"/>
  <c r="BA112" i="24" s="1"/>
  <c r="BA114" i="24" s="1"/>
  <c r="AR2" i="21"/>
  <c r="AW25" i="6"/>
  <c r="AW24" i="6" s="1"/>
  <c r="AW68" i="6" s="1"/>
  <c r="AW106" i="6" s="1"/>
  <c r="AW108" i="6"/>
  <c r="AW111" i="6" s="1"/>
  <c r="BB29" i="21"/>
  <c r="BD11" i="6"/>
  <c r="BD5" i="6" s="1"/>
  <c r="AW30" i="21"/>
  <c r="BE11" i="6"/>
  <c r="BE5" i="6" s="1"/>
  <c r="AN114" i="6"/>
  <c r="AV113" i="8"/>
  <c r="AW113" i="8" s="1"/>
  <c r="R25" i="1" s="1"/>
  <c r="AX67" i="8"/>
  <c r="AX105" i="8" s="1"/>
  <c r="AX106" i="8" s="1"/>
  <c r="AX111" i="8" s="1"/>
  <c r="AT106" i="7"/>
  <c r="AT108" i="7" s="1"/>
  <c r="AS114" i="7"/>
  <c r="AS116" i="7" s="1"/>
  <c r="AO112" i="6"/>
  <c r="AP107" i="6"/>
  <c r="BB111" i="8" l="1"/>
  <c r="BB68" i="24"/>
  <c r="BB106" i="24" s="1"/>
  <c r="BB107" i="24" s="1"/>
  <c r="BB112" i="24" s="1"/>
  <c r="BB114" i="24" s="1"/>
  <c r="AX54" i="6"/>
  <c r="AX52" i="6" s="1"/>
  <c r="BC54" i="24"/>
  <c r="BC52" i="24" s="1"/>
  <c r="BC53" i="7"/>
  <c r="BC51" i="7" s="1"/>
  <c r="BC110" i="7" s="1"/>
  <c r="BC53" i="8"/>
  <c r="BC51" i="8" s="1"/>
  <c r="AU27" i="21"/>
  <c r="AT7" i="21"/>
  <c r="AT2" i="21" s="1"/>
  <c r="AY54" i="6"/>
  <c r="AY52" i="6" s="1"/>
  <c r="BD53" i="8"/>
  <c r="BD51" i="8" s="1"/>
  <c r="BD53" i="7"/>
  <c r="BD51" i="7" s="1"/>
  <c r="BD110" i="7" s="1"/>
  <c r="BD54" i="24"/>
  <c r="BD52" i="24" s="1"/>
  <c r="AX30" i="21"/>
  <c r="BC29" i="21"/>
  <c r="AO114" i="6"/>
  <c r="AX113" i="8"/>
  <c r="AY113" i="8" s="1"/>
  <c r="AZ113" i="8" s="1"/>
  <c r="BA113" i="8" s="1"/>
  <c r="AU106" i="7"/>
  <c r="AU108" i="7" s="1"/>
  <c r="AT114" i="7"/>
  <c r="AT116" i="7" s="1"/>
  <c r="AP112" i="6"/>
  <c r="AQ107" i="6"/>
  <c r="BB113" i="8" l="1"/>
  <c r="BC107" i="8"/>
  <c r="BC110" i="8" s="1"/>
  <c r="BC13" i="8"/>
  <c r="BC11" i="8" s="1"/>
  <c r="BC5" i="8" s="1"/>
  <c r="BC67" i="8" s="1"/>
  <c r="BC105" i="8" s="1"/>
  <c r="BC106" i="8" s="1"/>
  <c r="AZ54" i="6"/>
  <c r="AZ52" i="6" s="1"/>
  <c r="BE53" i="8"/>
  <c r="BE51" i="8" s="1"/>
  <c r="BE54" i="24"/>
  <c r="BE52" i="24" s="1"/>
  <c r="BE53" i="7"/>
  <c r="BE51" i="7" s="1"/>
  <c r="BE110" i="7" s="1"/>
  <c r="BD107" i="8"/>
  <c r="BD110" i="8" s="1"/>
  <c r="BD13" i="8"/>
  <c r="BD11" i="8" s="1"/>
  <c r="BD5" i="8" s="1"/>
  <c r="BD67" i="8" s="1"/>
  <c r="BD105" i="8" s="1"/>
  <c r="BD106" i="8" s="1"/>
  <c r="AY25" i="6"/>
  <c r="AY24" i="6" s="1"/>
  <c r="AY68" i="6" s="1"/>
  <c r="AY106" i="6" s="1"/>
  <c r="AY108" i="6"/>
  <c r="AY111" i="6" s="1"/>
  <c r="AV27" i="21"/>
  <c r="AU7" i="21"/>
  <c r="BC13" i="24"/>
  <c r="BC11" i="24" s="1"/>
  <c r="BC5" i="24" s="1"/>
  <c r="BC108" i="24"/>
  <c r="BC111" i="24" s="1"/>
  <c r="BC25" i="24"/>
  <c r="BC24" i="24" s="1"/>
  <c r="AX25" i="6"/>
  <c r="AX24" i="6" s="1"/>
  <c r="AX68" i="6" s="1"/>
  <c r="AX106" i="6" s="1"/>
  <c r="AX108" i="6"/>
  <c r="AX111" i="6" s="1"/>
  <c r="BD13" i="24"/>
  <c r="BD11" i="24" s="1"/>
  <c r="BD5" i="24" s="1"/>
  <c r="BD25" i="24"/>
  <c r="BD24" i="24" s="1"/>
  <c r="BD108" i="24"/>
  <c r="BD111" i="24" s="1"/>
  <c r="BD29" i="21"/>
  <c r="BF11" i="6"/>
  <c r="BF5" i="6" s="1"/>
  <c r="BG11" i="6"/>
  <c r="BG5" i="6" s="1"/>
  <c r="AY30" i="21"/>
  <c r="AP114" i="6"/>
  <c r="AU114" i="7"/>
  <c r="AU116" i="7" s="1"/>
  <c r="AV106" i="7"/>
  <c r="AV108" i="7" s="1"/>
  <c r="AQ112" i="6"/>
  <c r="AR107" i="6"/>
  <c r="BC111" i="8" l="1"/>
  <c r="BD111" i="8"/>
  <c r="BC113" i="8"/>
  <c r="BD68" i="24"/>
  <c r="BD106" i="24" s="1"/>
  <c r="BD107" i="24" s="1"/>
  <c r="BD112" i="24" s="1"/>
  <c r="AW27" i="21"/>
  <c r="AV7" i="21"/>
  <c r="AV2" i="21" s="1"/>
  <c r="AZ108" i="6"/>
  <c r="AZ111" i="6" s="1"/>
  <c r="AZ25" i="6"/>
  <c r="AZ24" i="6" s="1"/>
  <c r="AZ68" i="6" s="1"/>
  <c r="AZ106" i="6" s="1"/>
  <c r="BC68" i="24"/>
  <c r="BC106" i="24" s="1"/>
  <c r="BC107" i="24" s="1"/>
  <c r="BC112" i="24" s="1"/>
  <c r="BC114" i="24" s="1"/>
  <c r="BE108" i="24"/>
  <c r="BE111" i="24" s="1"/>
  <c r="BE25" i="24"/>
  <c r="BE24" i="24" s="1"/>
  <c r="BE13" i="24"/>
  <c r="BE11" i="24" s="1"/>
  <c r="BE5" i="24" s="1"/>
  <c r="BE107" i="8"/>
  <c r="BE110" i="8" s="1"/>
  <c r="BE13" i="8"/>
  <c r="BE11" i="8" s="1"/>
  <c r="BE5" i="8" s="1"/>
  <c r="BE67" i="8" s="1"/>
  <c r="BE105" i="8" s="1"/>
  <c r="BE106" i="8" s="1"/>
  <c r="AU2" i="21"/>
  <c r="BE29" i="21"/>
  <c r="AZ30" i="21"/>
  <c r="BH11" i="6"/>
  <c r="BH5" i="6" s="1"/>
  <c r="AQ114" i="6"/>
  <c r="AW106" i="7"/>
  <c r="AW108" i="7" s="1"/>
  <c r="AV114" i="7"/>
  <c r="AV116" i="7" s="1"/>
  <c r="AR112" i="6"/>
  <c r="AS107" i="6"/>
  <c r="BD113" i="8" l="1"/>
  <c r="BE111" i="8"/>
  <c r="BE113" i="8" s="1"/>
  <c r="BD114" i="24"/>
  <c r="BE68" i="24"/>
  <c r="BE106" i="24" s="1"/>
  <c r="BE107" i="24" s="1"/>
  <c r="BE112" i="24" s="1"/>
  <c r="BA54" i="6"/>
  <c r="BA52" i="6" s="1"/>
  <c r="BF53" i="8"/>
  <c r="BF51" i="8" s="1"/>
  <c r="BF54" i="24"/>
  <c r="BF52" i="24" s="1"/>
  <c r="BF53" i="7"/>
  <c r="BF51" i="7" s="1"/>
  <c r="BF110" i="7" s="1"/>
  <c r="BB54" i="6"/>
  <c r="BB52" i="6" s="1"/>
  <c r="BG53" i="7"/>
  <c r="BG51" i="7" s="1"/>
  <c r="BG110" i="7" s="1"/>
  <c r="BG54" i="24"/>
  <c r="BG52" i="24" s="1"/>
  <c r="BG53" i="8"/>
  <c r="BG51" i="8" s="1"/>
  <c r="AX27" i="21"/>
  <c r="AW7" i="21"/>
  <c r="AW2" i="21" s="1"/>
  <c r="BA30" i="21"/>
  <c r="BI11" i="6"/>
  <c r="BI5" i="6" s="1"/>
  <c r="BF29" i="21"/>
  <c r="AR114" i="6"/>
  <c r="AW114" i="7"/>
  <c r="AW116" i="7" s="1"/>
  <c r="AX106" i="7"/>
  <c r="AX108" i="7" s="1"/>
  <c r="AS112" i="6"/>
  <c r="AT107" i="6"/>
  <c r="BE114" i="24" l="1"/>
  <c r="AY27" i="21"/>
  <c r="AX7" i="21"/>
  <c r="AX2" i="21" s="1"/>
  <c r="BG25" i="24"/>
  <c r="BG24" i="24" s="1"/>
  <c r="BG108" i="24"/>
  <c r="BG111" i="24" s="1"/>
  <c r="BG13" i="24"/>
  <c r="BG11" i="24" s="1"/>
  <c r="BG5" i="24" s="1"/>
  <c r="BB25" i="6"/>
  <c r="BB24" i="6" s="1"/>
  <c r="BB68" i="6" s="1"/>
  <c r="BB106" i="6" s="1"/>
  <c r="BB108" i="6"/>
  <c r="BB111" i="6" s="1"/>
  <c r="BF107" i="8"/>
  <c r="BF110" i="8" s="1"/>
  <c r="BF13" i="8"/>
  <c r="BF11" i="8" s="1"/>
  <c r="BF5" i="8" s="1"/>
  <c r="BF67" i="8" s="1"/>
  <c r="BF105" i="8" s="1"/>
  <c r="BF106" i="8" s="1"/>
  <c r="BC54" i="6"/>
  <c r="BC52" i="6" s="1"/>
  <c r="BH53" i="7"/>
  <c r="BH51" i="7" s="1"/>
  <c r="BH110" i="7" s="1"/>
  <c r="BH53" i="8"/>
  <c r="BH51" i="8" s="1"/>
  <c r="BH54" i="24"/>
  <c r="BH52" i="24" s="1"/>
  <c r="BG107" i="8"/>
  <c r="BG110" i="8" s="1"/>
  <c r="BG13" i="8"/>
  <c r="BG11" i="8" s="1"/>
  <c r="BG5" i="8" s="1"/>
  <c r="BF108" i="24"/>
  <c r="BF111" i="24" s="1"/>
  <c r="BF25" i="24"/>
  <c r="BF24" i="24" s="1"/>
  <c r="BF13" i="24"/>
  <c r="BF11" i="24" s="1"/>
  <c r="BF5" i="24" s="1"/>
  <c r="BA25" i="6"/>
  <c r="BA24" i="6" s="1"/>
  <c r="BA68" i="6" s="1"/>
  <c r="BA106" i="6" s="1"/>
  <c r="BA108" i="6"/>
  <c r="BA111" i="6" s="1"/>
  <c r="BJ11" i="6"/>
  <c r="BJ5" i="6" s="1"/>
  <c r="BB30" i="21"/>
  <c r="AS114" i="6"/>
  <c r="AX114" i="7"/>
  <c r="AX116" i="7" s="1"/>
  <c r="AY106" i="7"/>
  <c r="AY108" i="7" s="1"/>
  <c r="AT112" i="6"/>
  <c r="AU107" i="6"/>
  <c r="BG68" i="24" l="1"/>
  <c r="BG106" i="24" s="1"/>
  <c r="BG107" i="24" s="1"/>
  <c r="BF68" i="24"/>
  <c r="BF106" i="24" s="1"/>
  <c r="BF107" i="24" s="1"/>
  <c r="BF112" i="24" s="1"/>
  <c r="BF114" i="24" s="1"/>
  <c r="BF111" i="8"/>
  <c r="BF113" i="8" s="1"/>
  <c r="BG112" i="24"/>
  <c r="BC108" i="6"/>
  <c r="BC111" i="6" s="1"/>
  <c r="BC25" i="6"/>
  <c r="BC24" i="6" s="1"/>
  <c r="BC68" i="6" s="1"/>
  <c r="BC106" i="6" s="1"/>
  <c r="BD54" i="6"/>
  <c r="BD52" i="6" s="1"/>
  <c r="BI53" i="7"/>
  <c r="BI51" i="7" s="1"/>
  <c r="BI110" i="7" s="1"/>
  <c r="BI54" i="24"/>
  <c r="BI52" i="24" s="1"/>
  <c r="BI53" i="8"/>
  <c r="BI51" i="8" s="1"/>
  <c r="BH108" i="24"/>
  <c r="BH111" i="24" s="1"/>
  <c r="BH25" i="24"/>
  <c r="BH24" i="24" s="1"/>
  <c r="BH13" i="24"/>
  <c r="BH11" i="24" s="1"/>
  <c r="BH5" i="24" s="1"/>
  <c r="T23" i="1"/>
  <c r="BG67" i="8"/>
  <c r="BG105" i="8" s="1"/>
  <c r="BG106" i="8" s="1"/>
  <c r="BG111" i="8" s="1"/>
  <c r="BH107" i="8"/>
  <c r="BH110" i="8" s="1"/>
  <c r="BH13" i="8"/>
  <c r="BH11" i="8" s="1"/>
  <c r="BH5" i="8" s="1"/>
  <c r="BH67" i="8" s="1"/>
  <c r="BH105" i="8" s="1"/>
  <c r="BH106" i="8" s="1"/>
  <c r="AZ27" i="21"/>
  <c r="AY7" i="21"/>
  <c r="BC30" i="21"/>
  <c r="AT114" i="6"/>
  <c r="AY114" i="7"/>
  <c r="AY116" i="7" s="1"/>
  <c r="AZ106" i="7"/>
  <c r="AZ108" i="7" s="1"/>
  <c r="AV107" i="6"/>
  <c r="AU112" i="6"/>
  <c r="BG114" i="24" l="1"/>
  <c r="BG113" i="8"/>
  <c r="T25" i="1" s="1"/>
  <c r="BH111" i="8"/>
  <c r="BH68" i="24"/>
  <c r="BH106" i="24" s="1"/>
  <c r="BH107" i="24" s="1"/>
  <c r="BH112" i="24" s="1"/>
  <c r="BA27" i="21"/>
  <c r="AZ7" i="21"/>
  <c r="AY2" i="21"/>
  <c r="BI107" i="8"/>
  <c r="BI110" i="8" s="1"/>
  <c r="BI13" i="8"/>
  <c r="BI11" i="8" s="1"/>
  <c r="BI5" i="8" s="1"/>
  <c r="BI67" i="8" s="1"/>
  <c r="BI105" i="8" s="1"/>
  <c r="BI106" i="8" s="1"/>
  <c r="BI108" i="24"/>
  <c r="BI111" i="24" s="1"/>
  <c r="BI13" i="24"/>
  <c r="BI11" i="24" s="1"/>
  <c r="BI5" i="24" s="1"/>
  <c r="BI25" i="24"/>
  <c r="BI24" i="24" s="1"/>
  <c r="BD108" i="6"/>
  <c r="BD111" i="6" s="1"/>
  <c r="BD25" i="6"/>
  <c r="BD24" i="6" s="1"/>
  <c r="BD68" i="6" s="1"/>
  <c r="BD106" i="6" s="1"/>
  <c r="BD30" i="21"/>
  <c r="BK11" i="6"/>
  <c r="BK5" i="6" s="1"/>
  <c r="AU114" i="6"/>
  <c r="AZ114" i="7"/>
  <c r="AZ116" i="7" s="1"/>
  <c r="BA106" i="7"/>
  <c r="BA108" i="7" s="1"/>
  <c r="AV112" i="6"/>
  <c r="AW107" i="6"/>
  <c r="BH113" i="8" l="1"/>
  <c r="BH114" i="24"/>
  <c r="BI111" i="8"/>
  <c r="BI113" i="8" s="1"/>
  <c r="BI68" i="24"/>
  <c r="BI106" i="24" s="1"/>
  <c r="BI107" i="24" s="1"/>
  <c r="BI112" i="24" s="1"/>
  <c r="BE54" i="6"/>
  <c r="BE52" i="6" s="1"/>
  <c r="BJ53" i="8"/>
  <c r="BJ51" i="8" s="1"/>
  <c r="BJ53" i="7"/>
  <c r="BJ51" i="7" s="1"/>
  <c r="BJ110" i="7" s="1"/>
  <c r="BJ54" i="24"/>
  <c r="BJ52" i="24" s="1"/>
  <c r="BB27" i="21"/>
  <c r="BA7" i="21"/>
  <c r="BA2" i="21" s="1"/>
  <c r="AZ2" i="21"/>
  <c r="BE30" i="21"/>
  <c r="BL11" i="6"/>
  <c r="BL5" i="6" s="1"/>
  <c r="BM52" i="6"/>
  <c r="AV114" i="6"/>
  <c r="BA114" i="7"/>
  <c r="BA116" i="7" s="1"/>
  <c r="BB106" i="7"/>
  <c r="BB108" i="7" s="1"/>
  <c r="AW112" i="6"/>
  <c r="AX107" i="6"/>
  <c r="BI114" i="24" l="1"/>
  <c r="BG54" i="6"/>
  <c r="BG52" i="6" s="1"/>
  <c r="BL54" i="24"/>
  <c r="BL52" i="24" s="1"/>
  <c r="BL53" i="8"/>
  <c r="BL51" i="8" s="1"/>
  <c r="BL53" i="7"/>
  <c r="BL51" i="7" s="1"/>
  <c r="BL110" i="7" s="1"/>
  <c r="BF54" i="6"/>
  <c r="BF52" i="6" s="1"/>
  <c r="BK53" i="8"/>
  <c r="BK51" i="8" s="1"/>
  <c r="BK53" i="7"/>
  <c r="BK51" i="7" s="1"/>
  <c r="BK110" i="7" s="1"/>
  <c r="BK54" i="24"/>
  <c r="BK52" i="24" s="1"/>
  <c r="BC27" i="21"/>
  <c r="BB7" i="21"/>
  <c r="BJ25" i="24"/>
  <c r="BJ24" i="24" s="1"/>
  <c r="BJ108" i="24"/>
  <c r="BJ111" i="24" s="1"/>
  <c r="BJ13" i="24"/>
  <c r="BJ11" i="24" s="1"/>
  <c r="BJ5" i="24" s="1"/>
  <c r="BJ107" i="8"/>
  <c r="BJ110" i="8" s="1"/>
  <c r="BJ13" i="8"/>
  <c r="BJ11" i="8" s="1"/>
  <c r="BJ5" i="8" s="1"/>
  <c r="BJ67" i="8" s="1"/>
  <c r="BJ105" i="8" s="1"/>
  <c r="BJ106" i="8" s="1"/>
  <c r="BE108" i="6"/>
  <c r="BE111" i="6" s="1"/>
  <c r="BE25" i="6"/>
  <c r="BE24" i="6" s="1"/>
  <c r="BE68" i="6" s="1"/>
  <c r="BE106" i="6" s="1"/>
  <c r="BN52" i="6"/>
  <c r="BF30" i="21"/>
  <c r="BM108" i="6"/>
  <c r="BM111" i="6" s="1"/>
  <c r="BM25" i="6"/>
  <c r="BM24" i="6" s="1"/>
  <c r="BM11" i="6"/>
  <c r="BM5" i="6" s="1"/>
  <c r="AW114" i="6"/>
  <c r="BB114" i="7"/>
  <c r="BB116" i="7" s="1"/>
  <c r="BC106" i="7"/>
  <c r="BC108" i="7" s="1"/>
  <c r="AX112" i="6"/>
  <c r="AY107" i="6"/>
  <c r="BJ111" i="8" l="1"/>
  <c r="BJ113" i="8" s="1"/>
  <c r="BJ68" i="24"/>
  <c r="BJ106" i="24" s="1"/>
  <c r="BJ107" i="24" s="1"/>
  <c r="BJ112" i="24" s="1"/>
  <c r="BJ114" i="24" s="1"/>
  <c r="BD27" i="21"/>
  <c r="BC7" i="21"/>
  <c r="BL107" i="8"/>
  <c r="BL110" i="8" s="1"/>
  <c r="BL13" i="8"/>
  <c r="BL11" i="8" s="1"/>
  <c r="BL5" i="8" s="1"/>
  <c r="BL67" i="8" s="1"/>
  <c r="BL105" i="8" s="1"/>
  <c r="BL106" i="8" s="1"/>
  <c r="BB2" i="21"/>
  <c r="BL108" i="24"/>
  <c r="BL111" i="24" s="1"/>
  <c r="BL25" i="24"/>
  <c r="BL24" i="24" s="1"/>
  <c r="BL13" i="24"/>
  <c r="BL11" i="24" s="1"/>
  <c r="BL5" i="24" s="1"/>
  <c r="BK25" i="24"/>
  <c r="BK24" i="24" s="1"/>
  <c r="BK108" i="24"/>
  <c r="BK111" i="24" s="1"/>
  <c r="BK13" i="24"/>
  <c r="BK11" i="24" s="1"/>
  <c r="BK5" i="24" s="1"/>
  <c r="BK13" i="8"/>
  <c r="BK11" i="8" s="1"/>
  <c r="BK5" i="8" s="1"/>
  <c r="BK67" i="8" s="1"/>
  <c r="BK105" i="8" s="1"/>
  <c r="BK106" i="8" s="1"/>
  <c r="BK107" i="8"/>
  <c r="BK110" i="8" s="1"/>
  <c r="BF25" i="6"/>
  <c r="BF24" i="6" s="1"/>
  <c r="BF68" i="6" s="1"/>
  <c r="BF106" i="6" s="1"/>
  <c r="BF108" i="6"/>
  <c r="BF111" i="6" s="1"/>
  <c r="BG108" i="6"/>
  <c r="BG111" i="6" s="1"/>
  <c r="BG25" i="6"/>
  <c r="BG24" i="6" s="1"/>
  <c r="BG68" i="6" s="1"/>
  <c r="BG106" i="6" s="1"/>
  <c r="BM68" i="6"/>
  <c r="BM106" i="6" s="1"/>
  <c r="BN108" i="6"/>
  <c r="BN111" i="6" s="1"/>
  <c r="BN25" i="6"/>
  <c r="BN24" i="6" s="1"/>
  <c r="BN11" i="6"/>
  <c r="BN5" i="6" s="1"/>
  <c r="BO52" i="6"/>
  <c r="BP52" i="6"/>
  <c r="AX114" i="6"/>
  <c r="BD106" i="7"/>
  <c r="BD108" i="7" s="1"/>
  <c r="BC114" i="7"/>
  <c r="BC116" i="7" s="1"/>
  <c r="AY112" i="6"/>
  <c r="AZ107" i="6"/>
  <c r="BL111" i="8" l="1"/>
  <c r="BK111" i="8"/>
  <c r="BK113" i="8" s="1"/>
  <c r="BK68" i="24"/>
  <c r="BK106" i="24" s="1"/>
  <c r="BK107" i="24" s="1"/>
  <c r="BK112" i="24" s="1"/>
  <c r="BK114" i="24" s="1"/>
  <c r="BL68" i="24"/>
  <c r="BL106" i="24" s="1"/>
  <c r="BL107" i="24" s="1"/>
  <c r="BL112" i="24" s="1"/>
  <c r="BE27" i="21"/>
  <c r="BD7" i="21"/>
  <c r="BH54" i="6"/>
  <c r="BH52" i="6" s="1"/>
  <c r="BM53" i="8"/>
  <c r="BM51" i="8" s="1"/>
  <c r="BM53" i="7"/>
  <c r="BM51" i="7" s="1"/>
  <c r="BM110" i="7" s="1"/>
  <c r="BM54" i="24"/>
  <c r="BM52" i="24" s="1"/>
  <c r="BC2" i="21"/>
  <c r="BQ52" i="6"/>
  <c r="BQ25" i="6" s="1"/>
  <c r="BQ24" i="6" s="1"/>
  <c r="BN68" i="6"/>
  <c r="BN106" i="6" s="1"/>
  <c r="BO108" i="6"/>
  <c r="BO111" i="6" s="1"/>
  <c r="BO25" i="6"/>
  <c r="BO24" i="6" s="1"/>
  <c r="BO11" i="6"/>
  <c r="BO5" i="6" s="1"/>
  <c r="BP108" i="6"/>
  <c r="BP111" i="6" s="1"/>
  <c r="BP25" i="6"/>
  <c r="BP24" i="6" s="1"/>
  <c r="BP11" i="6"/>
  <c r="BP5" i="6" s="1"/>
  <c r="AY114" i="6"/>
  <c r="BD114" i="7"/>
  <c r="BD116" i="7" s="1"/>
  <c r="BE106" i="7"/>
  <c r="BE108" i="7" s="1"/>
  <c r="AZ112" i="6"/>
  <c r="BA107" i="6"/>
  <c r="BL113" i="8" l="1"/>
  <c r="BL114" i="24"/>
  <c r="BF27" i="21"/>
  <c r="BF7" i="21" s="1"/>
  <c r="BE7" i="21"/>
  <c r="BI54" i="6"/>
  <c r="BI52" i="6" s="1"/>
  <c r="BN53" i="8"/>
  <c r="BN51" i="8" s="1"/>
  <c r="BN54" i="24"/>
  <c r="BN52" i="24" s="1"/>
  <c r="BN53" i="7"/>
  <c r="BN51" i="7" s="1"/>
  <c r="BN110" i="7" s="1"/>
  <c r="BM108" i="24"/>
  <c r="BM111" i="24" s="1"/>
  <c r="BM13" i="24"/>
  <c r="BM11" i="24" s="1"/>
  <c r="BM5" i="24" s="1"/>
  <c r="BM25" i="24"/>
  <c r="BM24" i="24" s="1"/>
  <c r="BH108" i="6"/>
  <c r="BH111" i="6" s="1"/>
  <c r="BH25" i="6"/>
  <c r="BH24" i="6" s="1"/>
  <c r="BH68" i="6" s="1"/>
  <c r="BH106" i="6" s="1"/>
  <c r="BM13" i="8"/>
  <c r="BM11" i="8" s="1"/>
  <c r="BM5" i="8" s="1"/>
  <c r="BM67" i="8" s="1"/>
  <c r="BM105" i="8" s="1"/>
  <c r="BM106" i="8" s="1"/>
  <c r="BM107" i="8"/>
  <c r="BM110" i="8" s="1"/>
  <c r="BD2" i="21"/>
  <c r="BQ11" i="6"/>
  <c r="BQ5" i="6" s="1"/>
  <c r="BQ68" i="6" s="1"/>
  <c r="BQ106" i="6" s="1"/>
  <c r="BQ108" i="6"/>
  <c r="BQ111" i="6" s="1"/>
  <c r="BO68" i="6"/>
  <c r="BO106" i="6" s="1"/>
  <c r="BP68" i="6"/>
  <c r="BP106" i="6" s="1"/>
  <c r="AZ114" i="6"/>
  <c r="BE114" i="7"/>
  <c r="BE116" i="7" s="1"/>
  <c r="BF106" i="7"/>
  <c r="BF108" i="7" s="1"/>
  <c r="BA112" i="6"/>
  <c r="BB107" i="6"/>
  <c r="BF2" i="21" l="1"/>
  <c r="BL54" i="6" s="1"/>
  <c r="BL52" i="6" s="1"/>
  <c r="BJ54" i="6"/>
  <c r="BJ52" i="6" s="1"/>
  <c r="BO53" i="8"/>
  <c r="BO51" i="8" s="1"/>
  <c r="BO54" i="24"/>
  <c r="BO52" i="24" s="1"/>
  <c r="BO53" i="7"/>
  <c r="BO51" i="7" s="1"/>
  <c r="BO110" i="7" s="1"/>
  <c r="BN108" i="24"/>
  <c r="BN111" i="24" s="1"/>
  <c r="BN25" i="24"/>
  <c r="BN24" i="24" s="1"/>
  <c r="BN13" i="24"/>
  <c r="BN11" i="24" s="1"/>
  <c r="BN5" i="24" s="1"/>
  <c r="BM111" i="8"/>
  <c r="BM113" i="8" s="1"/>
  <c r="BM68" i="24"/>
  <c r="BM106" i="24" s="1"/>
  <c r="BM107" i="24" s="1"/>
  <c r="BM112" i="24" s="1"/>
  <c r="BM114" i="24" s="1"/>
  <c r="BN107" i="8"/>
  <c r="BN110" i="8" s="1"/>
  <c r="BN13" i="8"/>
  <c r="BN11" i="8" s="1"/>
  <c r="BN5" i="8" s="1"/>
  <c r="BN67" i="8" s="1"/>
  <c r="BN105" i="8" s="1"/>
  <c r="BN106" i="8" s="1"/>
  <c r="BI25" i="6"/>
  <c r="BI24" i="6" s="1"/>
  <c r="BI68" i="6" s="1"/>
  <c r="BI106" i="6" s="1"/>
  <c r="BI108" i="6"/>
  <c r="BI111" i="6" s="1"/>
  <c r="BE2" i="21"/>
  <c r="BA114" i="6"/>
  <c r="BG106" i="7"/>
  <c r="BG108" i="7" s="1"/>
  <c r="BF114" i="7"/>
  <c r="BF116" i="7" s="1"/>
  <c r="BB112" i="6"/>
  <c r="BC107" i="6"/>
  <c r="BN111" i="8" l="1"/>
  <c r="BQ54" i="24"/>
  <c r="BQ52" i="24" s="1"/>
  <c r="BQ25" i="24" s="1"/>
  <c r="BQ24" i="24" s="1"/>
  <c r="BQ53" i="7"/>
  <c r="BQ51" i="7" s="1"/>
  <c r="BQ110" i="7" s="1"/>
  <c r="BQ53" i="8"/>
  <c r="BQ51" i="8" s="1"/>
  <c r="BQ107" i="8" s="1"/>
  <c r="BQ110" i="8" s="1"/>
  <c r="BN113" i="8"/>
  <c r="BK54" i="6"/>
  <c r="BK52" i="6" s="1"/>
  <c r="BP54" i="24"/>
  <c r="BP52" i="24" s="1"/>
  <c r="BP53" i="8"/>
  <c r="BP51" i="8" s="1"/>
  <c r="BP53" i="7"/>
  <c r="BP51" i="7" s="1"/>
  <c r="BP110" i="7" s="1"/>
  <c r="BN68" i="24"/>
  <c r="BN106" i="24" s="1"/>
  <c r="BN107" i="24" s="1"/>
  <c r="BN112" i="24" s="1"/>
  <c r="BN114" i="24" s="1"/>
  <c r="BO13" i="24"/>
  <c r="BO11" i="24" s="1"/>
  <c r="BO5" i="24" s="1"/>
  <c r="BO108" i="24"/>
  <c r="BO111" i="24" s="1"/>
  <c r="BO25" i="24"/>
  <c r="BO24" i="24" s="1"/>
  <c r="BL108" i="6"/>
  <c r="BL111" i="6" s="1"/>
  <c r="BL25" i="6"/>
  <c r="BL24" i="6" s="1"/>
  <c r="BL68" i="6" s="1"/>
  <c r="BL106" i="6" s="1"/>
  <c r="BO107" i="8"/>
  <c r="BO110" i="8" s="1"/>
  <c r="BO13" i="8"/>
  <c r="BO11" i="8" s="1"/>
  <c r="BO5" i="8" s="1"/>
  <c r="BO67" i="8" s="1"/>
  <c r="BO105" i="8" s="1"/>
  <c r="BO106" i="8" s="1"/>
  <c r="BJ25" i="6"/>
  <c r="BJ24" i="6" s="1"/>
  <c r="BJ68" i="6" s="1"/>
  <c r="BJ106" i="6" s="1"/>
  <c r="BJ108" i="6"/>
  <c r="BJ111" i="6" s="1"/>
  <c r="BB114" i="6"/>
  <c r="BH106" i="7"/>
  <c r="BH108" i="7" s="1"/>
  <c r="BG114" i="7"/>
  <c r="BG116" i="7" s="1"/>
  <c r="BD107" i="6"/>
  <c r="BC112" i="6"/>
  <c r="BQ108" i="24" l="1"/>
  <c r="BQ111" i="24" s="1"/>
  <c r="BQ13" i="24"/>
  <c r="BQ11" i="24" s="1"/>
  <c r="BQ5" i="24" s="1"/>
  <c r="BQ68" i="24" s="1"/>
  <c r="BQ106" i="24" s="1"/>
  <c r="BQ107" i="24" s="1"/>
  <c r="BQ13" i="8"/>
  <c r="BQ11" i="8" s="1"/>
  <c r="BQ5" i="8" s="1"/>
  <c r="BQ67" i="8" s="1"/>
  <c r="BQ105" i="8" s="1"/>
  <c r="BQ106" i="8" s="1"/>
  <c r="BQ111" i="8" s="1"/>
  <c r="BO111" i="8"/>
  <c r="BO113" i="8" s="1"/>
  <c r="BO68" i="24"/>
  <c r="BO106" i="24" s="1"/>
  <c r="BO107" i="24" s="1"/>
  <c r="BO112" i="24" s="1"/>
  <c r="BO114" i="24" s="1"/>
  <c r="BP13" i="24"/>
  <c r="BP11" i="24" s="1"/>
  <c r="BP5" i="24" s="1"/>
  <c r="BP108" i="24"/>
  <c r="BP111" i="24" s="1"/>
  <c r="BP25" i="24"/>
  <c r="BP24" i="24" s="1"/>
  <c r="BP107" i="8"/>
  <c r="BP110" i="8" s="1"/>
  <c r="BP13" i="8"/>
  <c r="BP11" i="8" s="1"/>
  <c r="BP5" i="8" s="1"/>
  <c r="BP67" i="8" s="1"/>
  <c r="BP105" i="8" s="1"/>
  <c r="BP106" i="8" s="1"/>
  <c r="BK108" i="6"/>
  <c r="BK111" i="6" s="1"/>
  <c r="BK25" i="6"/>
  <c r="BK24" i="6" s="1"/>
  <c r="BK68" i="6" s="1"/>
  <c r="BK106" i="6" s="1"/>
  <c r="BC114" i="6"/>
  <c r="BH114" i="7"/>
  <c r="BH116" i="7" s="1"/>
  <c r="BI106" i="7"/>
  <c r="BI108" i="7" s="1"/>
  <c r="BD112" i="6"/>
  <c r="BE107" i="6"/>
  <c r="BQ112" i="24" l="1"/>
  <c r="BP111" i="8"/>
  <c r="BP113" i="8" s="1"/>
  <c r="BQ113" i="8" s="1"/>
  <c r="V25" i="1" s="1"/>
  <c r="V23" i="1"/>
  <c r="BP68" i="24"/>
  <c r="BP106" i="24" s="1"/>
  <c r="BP107" i="24" s="1"/>
  <c r="BP112" i="24" s="1"/>
  <c r="BP114" i="24" s="1"/>
  <c r="BD114" i="6"/>
  <c r="BJ106" i="7"/>
  <c r="BJ108" i="7" s="1"/>
  <c r="BI114" i="7"/>
  <c r="BI116" i="7" s="1"/>
  <c r="BE112" i="6"/>
  <c r="BF107" i="6"/>
  <c r="BQ114" i="24" l="1"/>
  <c r="BE114" i="6"/>
  <c r="BJ114" i="7"/>
  <c r="BJ116" i="7" s="1"/>
  <c r="BK106" i="7"/>
  <c r="BK108" i="7" s="1"/>
  <c r="BG107" i="6"/>
  <c r="BF112" i="6"/>
  <c r="BF114" i="6" l="1"/>
  <c r="BL106" i="7"/>
  <c r="BL108" i="7" s="1"/>
  <c r="BK114" i="7"/>
  <c r="BK116" i="7" s="1"/>
  <c r="BG112" i="6"/>
  <c r="BH107" i="6"/>
  <c r="BG114" i="6" l="1"/>
  <c r="BL114" i="7"/>
  <c r="BL116" i="7" s="1"/>
  <c r="BM106" i="7"/>
  <c r="BM108" i="7" s="1"/>
  <c r="BI107" i="6"/>
  <c r="BH112" i="6"/>
  <c r="BH114" i="6" l="1"/>
  <c r="BM114" i="7"/>
  <c r="BM116" i="7" s="1"/>
  <c r="BN106" i="7"/>
  <c r="BN108" i="7" s="1"/>
  <c r="BJ107" i="6"/>
  <c r="BI112" i="6"/>
  <c r="BI114" i="6" l="1"/>
  <c r="BN114" i="7"/>
  <c r="BN116" i="7" s="1"/>
  <c r="BO106" i="7"/>
  <c r="BO108" i="7" s="1"/>
  <c r="BK107" i="6"/>
  <c r="BJ112" i="6"/>
  <c r="BJ114" i="6" l="1"/>
  <c r="BO114" i="7"/>
  <c r="BO116" i="7" s="1"/>
  <c r="BP106" i="7"/>
  <c r="BP108" i="7" s="1"/>
  <c r="BK112" i="6"/>
  <c r="BL107" i="6"/>
  <c r="BK114" i="6" l="1"/>
  <c r="BQ106" i="7"/>
  <c r="BQ108" i="7" s="1"/>
  <c r="BQ114" i="7" s="1"/>
  <c r="BQ116" i="7" s="1"/>
  <c r="BP114" i="7"/>
  <c r="BP116" i="7" s="1"/>
  <c r="BM107" i="6"/>
  <c r="BL112" i="6"/>
  <c r="BL114" i="6" l="1"/>
  <c r="BN107" i="6"/>
  <c r="BM112" i="6"/>
  <c r="BM114" i="6" l="1"/>
  <c r="BO107" i="6"/>
  <c r="BN112" i="6"/>
  <c r="BN114" i="6" l="1"/>
  <c r="BO112" i="6"/>
  <c r="BP107" i="6"/>
  <c r="BO114" i="6" l="1"/>
  <c r="BQ107" i="6"/>
  <c r="BQ112" i="6" s="1"/>
  <c r="BP112" i="6"/>
  <c r="BP114" i="6" l="1"/>
  <c r="BQ114" i="6" s="1"/>
  <c r="P112" i="2"/>
  <c r="G112" i="2"/>
  <c r="G35" i="2" s="1"/>
  <c r="G123" i="2" s="1"/>
  <c r="G121" i="2" l="1"/>
  <c r="P35" i="2"/>
  <c r="Q42" i="4" s="1"/>
  <c r="G168" i="2" l="1"/>
  <c r="G169" i="2" s="1"/>
  <c r="P121" i="2"/>
  <c r="AB68" i="2" s="1"/>
  <c r="S68" i="6" l="1"/>
  <c r="S68" i="28"/>
  <c r="S68" i="24"/>
  <c r="H167" i="2"/>
  <c r="H169" i="2" s="1"/>
  <c r="G175" i="2"/>
  <c r="G177" i="2" s="1"/>
  <c r="H175" i="2" l="1"/>
  <c r="H177" i="2" s="1"/>
  <c r="I167" i="2"/>
  <c r="I169" i="2" s="1"/>
  <c r="J167" i="2" l="1"/>
  <c r="J169" i="2" s="1"/>
  <c r="I175" i="2"/>
  <c r="I177" i="2" s="1"/>
  <c r="J175" i="2" l="1"/>
  <c r="J177" i="2" s="1"/>
  <c r="K167" i="2"/>
  <c r="K169" i="2" s="1"/>
  <c r="K175" i="2" l="1"/>
  <c r="K177" i="2" s="1"/>
  <c r="L167" i="2"/>
  <c r="L169" i="2" s="1"/>
  <c r="M167" i="2" l="1"/>
  <c r="M169" i="2" s="1"/>
  <c r="L175" i="2"/>
  <c r="L177" i="2" s="1"/>
  <c r="M175" i="2" l="1"/>
  <c r="M177" i="2" s="1"/>
  <c r="N167" i="2"/>
  <c r="N169" i="2" s="1"/>
  <c r="N175" i="2" l="1"/>
  <c r="N177" i="2" s="1"/>
  <c r="O167" i="2"/>
  <c r="O169" i="2" s="1"/>
  <c r="O175" i="2" s="1"/>
  <c r="O17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kensetu16</author>
  </authors>
  <commentList>
    <comment ref="E62" authorId="0" shapeId="0" xr:uid="{309A9F81-A692-408A-84E6-6C2BF3401DF8}">
      <text>
        <r>
          <rPr>
            <b/>
            <sz val="9"/>
            <color indexed="81"/>
            <rFont val="MS P ゴシック"/>
            <family val="3"/>
            <charset val="128"/>
          </rPr>
          <t>その他資本剰余金を国県補助金の欄に入れた。（おそらくは国補助金の分と想定したため）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松田卓也</author>
  </authors>
  <commentList>
    <comment ref="E3" authorId="0" shapeId="0" xr:uid="{820A8BEF-DAD9-4EDB-8167-AE80F2F7F237}">
      <text>
        <r>
          <rPr>
            <b/>
            <sz val="9"/>
            <color indexed="81"/>
            <rFont val="MS P ゴシック"/>
            <family val="3"/>
            <charset val="128"/>
          </rPr>
          <t>松田卓也:</t>
        </r>
        <r>
          <rPr>
            <sz val="9"/>
            <color indexed="81"/>
            <rFont val="MS P ゴシック"/>
            <family val="3"/>
            <charset val="128"/>
          </rPr>
          <t xml:space="preserve">
平成30年度版で表記</t>
        </r>
      </text>
    </comment>
    <comment ref="G25" authorId="0" shapeId="0" xr:uid="{91A11275-6EE9-4A0B-8EAC-6BB52F1EE012}">
      <text>
        <r>
          <rPr>
            <b/>
            <sz val="9"/>
            <color indexed="81"/>
            <rFont val="MS P ゴシック"/>
            <family val="3"/>
            <charset val="128"/>
          </rPr>
          <t>松田卓也:</t>
        </r>
        <r>
          <rPr>
            <sz val="9"/>
            <color indexed="81"/>
            <rFont val="MS P ゴシック"/>
            <family val="3"/>
            <charset val="128"/>
          </rPr>
          <t xml:space="preserve">
合計値が資料と一致しているかを確認してください。</t>
        </r>
      </text>
    </comment>
    <comment ref="G34" authorId="0" shapeId="0" xr:uid="{5BB97F2E-40CA-4091-8C5E-42284BD020C0}">
      <text>
        <r>
          <rPr>
            <b/>
            <sz val="9"/>
            <color indexed="81"/>
            <rFont val="MS P ゴシック"/>
            <family val="3"/>
            <charset val="128"/>
          </rPr>
          <t>松田卓也:</t>
        </r>
        <r>
          <rPr>
            <sz val="9"/>
            <color indexed="81"/>
            <rFont val="MS P ゴシック"/>
            <family val="3"/>
            <charset val="128"/>
          </rPr>
          <t xml:space="preserve">
合計値が資料と一致しているかを確認してください。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kensetu16</author>
  </authors>
  <commentList>
    <comment ref="AW53" authorId="0" shapeId="0" xr:uid="{41E5B97B-B159-4490-A780-1AEA747B53FE}">
      <text>
        <r>
          <rPr>
            <b/>
            <sz val="9"/>
            <color indexed="81"/>
            <rFont val="MS P ゴシック"/>
            <family val="3"/>
            <charset val="128"/>
          </rPr>
          <t>木村：誤入力修正済</t>
        </r>
      </text>
    </comment>
    <comment ref="U75" authorId="0" shapeId="0" xr:uid="{7ABEE7D2-B25B-4F6E-AFE8-1B96EBF5A79E}">
      <text>
        <r>
          <rPr>
            <b/>
            <sz val="9"/>
            <color indexed="81"/>
            <rFont val="MS P ゴシック"/>
            <family val="3"/>
            <charset val="128"/>
          </rPr>
          <t>水道操出基準による出資金</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kensetu16</author>
  </authors>
  <commentList>
    <comment ref="AW53" authorId="0" shapeId="0" xr:uid="{8A4067E8-7D7B-44AD-A3AE-2522726E94C1}">
      <text>
        <r>
          <rPr>
            <b/>
            <sz val="9"/>
            <color indexed="81"/>
            <rFont val="MS P ゴシック"/>
            <family val="3"/>
            <charset val="128"/>
          </rPr>
          <t>木村：誤入力修正済</t>
        </r>
      </text>
    </comment>
    <comment ref="U75" authorId="0" shapeId="0" xr:uid="{375C175E-4E09-4475-B196-32461B435955}">
      <text>
        <r>
          <rPr>
            <b/>
            <sz val="9"/>
            <color indexed="81"/>
            <rFont val="MS P ゴシック"/>
            <family val="3"/>
            <charset val="128"/>
          </rPr>
          <t>水道操出基準による出資金</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kensetu16</author>
  </authors>
  <commentList>
    <comment ref="AA74" authorId="0" shapeId="0" xr:uid="{0DE33130-587C-459B-9EC7-95632AEA8827}">
      <text>
        <r>
          <rPr>
            <b/>
            <sz val="9"/>
            <color indexed="81"/>
            <rFont val="MS P ゴシック"/>
            <family val="3"/>
            <charset val="128"/>
          </rPr>
          <t>=IF((AA81+AA84+AA91-AA75-AA76-AA77)&lt;0,0,(AA81+AA84+AA91-AA75-AA76-AA77))</t>
        </r>
      </text>
    </comment>
    <comment ref="Y75" authorId="0" shapeId="0" xr:uid="{7EB04562-102D-46CC-8498-82D875694033}">
      <text>
        <r>
          <rPr>
            <b/>
            <sz val="9"/>
            <color indexed="81"/>
            <rFont val="MS P ゴシック"/>
            <family val="3"/>
            <charset val="128"/>
          </rPr>
          <t>水道操出基準による出資金</t>
        </r>
      </text>
    </comment>
    <comment ref="Z75" authorId="0" shapeId="0" xr:uid="{DC06FAC0-D3E1-4FC3-A968-EEE3D5B4C9A8}">
      <text>
        <r>
          <rPr>
            <b/>
            <sz val="9"/>
            <color indexed="81"/>
            <rFont val="MS P ゴシック"/>
            <family val="3"/>
            <charset val="128"/>
          </rPr>
          <t>６月補正分+耐震化の操出基準分（１/２）</t>
        </r>
      </text>
    </comment>
    <comment ref="AA75" authorId="0" shapeId="0" xr:uid="{3F65C309-0684-456B-823C-7A7A15495D03}">
      <text>
        <r>
          <rPr>
            <b/>
            <sz val="9"/>
            <color indexed="81"/>
            <rFont val="MS P ゴシック"/>
            <family val="3"/>
            <charset val="128"/>
          </rPr>
          <t>＝耐震化+鷲神浄水分</t>
        </r>
      </text>
    </comment>
    <comment ref="AJ92" authorId="0" shapeId="0" xr:uid="{6BAAA4B7-4DC9-4620-8BE4-97CCE76F71ED}">
      <text>
        <r>
          <rPr>
            <b/>
            <sz val="9"/>
            <color indexed="81"/>
            <rFont val="MS P ゴシック"/>
            <family val="3"/>
            <charset val="128"/>
          </rPr>
          <t>仮で１億で計上する。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松田卓也</author>
  </authors>
  <commentList>
    <comment ref="M13" authorId="0" shapeId="0" xr:uid="{B7BF4F00-D19E-4D0C-A43E-4CAA996493A1}">
      <text>
        <r>
          <rPr>
            <b/>
            <sz val="9"/>
            <color indexed="81"/>
            <rFont val="MS P ゴシック"/>
            <family val="3"/>
            <charset val="128"/>
          </rPr>
          <t>松田卓也:</t>
        </r>
        <r>
          <rPr>
            <sz val="9"/>
            <color indexed="81"/>
            <rFont val="MS P ゴシック"/>
            <family val="3"/>
            <charset val="128"/>
          </rPr>
          <t xml:space="preserve">
直近過去5年の加重平均値は1800円と仮定</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<sst xmlns="http://schemas.openxmlformats.org/spreadsheetml/2006/main" count="17205" uniqueCount="3937">
  <si>
    <t>収益的収支（税抜き）</t>
    <rPh sb="0" eb="3">
      <t>シュウエキテキ</t>
    </rPh>
    <rPh sb="3" eb="5">
      <t>シュウシ</t>
    </rPh>
    <rPh sb="6" eb="7">
      <t>ゼイ</t>
    </rPh>
    <rPh sb="7" eb="8">
      <t>ヌ</t>
    </rPh>
    <phoneticPr fontId="4"/>
  </si>
  <si>
    <t>款</t>
    <rPh sb="0" eb="1">
      <t>カン</t>
    </rPh>
    <phoneticPr fontId="4"/>
  </si>
  <si>
    <t>項</t>
    <phoneticPr fontId="4"/>
  </si>
  <si>
    <t>目</t>
  </si>
  <si>
    <t>総括原価の区分</t>
    <rPh sb="0" eb="2">
      <t>ソウカツ</t>
    </rPh>
    <rPh sb="2" eb="4">
      <t>ゲンカ</t>
    </rPh>
    <rPh sb="5" eb="7">
      <t>クブン</t>
    </rPh>
    <phoneticPr fontId="4"/>
  </si>
  <si>
    <t>需要家費</t>
    <rPh sb="0" eb="3">
      <t>ジュヨウカ</t>
    </rPh>
    <rPh sb="3" eb="4">
      <t>ヒ</t>
    </rPh>
    <phoneticPr fontId="4"/>
  </si>
  <si>
    <t>固定費</t>
    <rPh sb="0" eb="3">
      <t>コテイヒ</t>
    </rPh>
    <phoneticPr fontId="4"/>
  </si>
  <si>
    <t>変動費</t>
    <rPh sb="0" eb="2">
      <t>ヘンドウ</t>
    </rPh>
    <rPh sb="2" eb="3">
      <t>ヒ</t>
    </rPh>
    <phoneticPr fontId="4"/>
  </si>
  <si>
    <t>将来設定条件</t>
    <rPh sb="0" eb="2">
      <t>ショウライ</t>
    </rPh>
    <rPh sb="2" eb="4">
      <t>セッテイ</t>
    </rPh>
    <rPh sb="4" eb="6">
      <t>ジョウケン</t>
    </rPh>
    <phoneticPr fontId="4"/>
  </si>
  <si>
    <t>物価</t>
    <rPh sb="0" eb="2">
      <t>ブッカ</t>
    </rPh>
    <phoneticPr fontId="4"/>
  </si>
  <si>
    <t>算出根拠</t>
    <rPh sb="0" eb="2">
      <t>サンシュツ</t>
    </rPh>
    <rPh sb="2" eb="4">
      <t>コンキョ</t>
    </rPh>
    <phoneticPr fontId="4"/>
  </si>
  <si>
    <t>実績期間</t>
    <rPh sb="0" eb="2">
      <t>ジッセキ</t>
    </rPh>
    <rPh sb="2" eb="4">
      <t>キカン</t>
    </rPh>
    <phoneticPr fontId="4"/>
  </si>
  <si>
    <t>H26</t>
    <phoneticPr fontId="4"/>
  </si>
  <si>
    <t>H27</t>
    <phoneticPr fontId="4"/>
  </si>
  <si>
    <t>H28</t>
  </si>
  <si>
    <t>H29</t>
  </si>
  <si>
    <t>H30</t>
  </si>
  <si>
    <t>料金算定期間</t>
    <rPh sb="0" eb="2">
      <t>リョウキン</t>
    </rPh>
    <rPh sb="2" eb="4">
      <t>サンテイ</t>
    </rPh>
    <rPh sb="4" eb="6">
      <t>キカン</t>
    </rPh>
    <phoneticPr fontId="4"/>
  </si>
  <si>
    <t>H31</t>
    <phoneticPr fontId="4"/>
  </si>
  <si>
    <t>R2</t>
    <phoneticPr fontId="4"/>
  </si>
  <si>
    <t>R3</t>
    <phoneticPr fontId="4"/>
  </si>
  <si>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</si>
  <si>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</si>
  <si>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</si>
  <si>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</si>
  <si>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</si>
  <si>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</si>
  <si>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</si>
  <si>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</si>
  <si>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</si>
  <si>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</si>
  <si>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</si>
  <si>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</si>
  <si>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</si>
  <si>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</si>
  <si>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</si>
  <si>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</si>
  <si>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</si>
  <si>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</si>
  <si>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</si>
  <si>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</si>
  <si>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</si>
  <si>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</si>
  <si>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</si>
  <si>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</si>
  <si>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</si>
  <si>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</si>
  <si>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</si>
  <si>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</si>
  <si>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</si>
  <si>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</si>
  <si>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</si>
  <si>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</si>
  <si>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</si>
  <si>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</si>
  <si>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</si>
  <si>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</si>
  <si>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</si>
  <si>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</si>
  <si>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</si>
  <si>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</si>
  <si>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</si>
  <si>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</si>
  <si>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</si>
  <si>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</si>
  <si>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</si>
  <si>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</si>
  <si>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</si>
  <si>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参考期間</t>
    <rPh sb="0" eb="2">
      <t>サンコウ</t>
    </rPh>
    <rPh sb="2" eb="4">
      <t>キカン</t>
    </rPh>
    <phoneticPr fontId="4"/>
  </si>
  <si>
    <t>水道事業収益</t>
    <rPh sb="0" eb="2">
      <t>スイドウ</t>
    </rPh>
    <rPh sb="2" eb="4">
      <t>ジギョウ</t>
    </rPh>
    <rPh sb="4" eb="6">
      <t>シュウエキ</t>
    </rPh>
    <phoneticPr fontId="4"/>
  </si>
  <si>
    <t>営業収益</t>
    <rPh sb="0" eb="2">
      <t>エイギョウ</t>
    </rPh>
    <rPh sb="2" eb="4">
      <t>シュウエキ</t>
    </rPh>
    <phoneticPr fontId="4"/>
  </si>
  <si>
    <t>給水収益</t>
    <rPh sb="0" eb="2">
      <t>キュウスイ</t>
    </rPh>
    <rPh sb="2" eb="4">
      <t>シュウエキ</t>
    </rPh>
    <phoneticPr fontId="4"/>
  </si>
  <si>
    <t>加入金</t>
    <rPh sb="0" eb="2">
      <t>カニュウ</t>
    </rPh>
    <rPh sb="2" eb="3">
      <t>キン</t>
    </rPh>
    <phoneticPr fontId="4"/>
  </si>
  <si>
    <t>その他の営業収益</t>
    <rPh sb="2" eb="3">
      <t>タ</t>
    </rPh>
    <rPh sb="4" eb="6">
      <t>エイギョウ</t>
    </rPh>
    <rPh sb="6" eb="8">
      <t>シュウエキ</t>
    </rPh>
    <phoneticPr fontId="4"/>
  </si>
  <si>
    <t>営業外収益</t>
    <rPh sb="0" eb="3">
      <t>エイギョウガイ</t>
    </rPh>
    <rPh sb="3" eb="5">
      <t>シュウエキ</t>
    </rPh>
    <phoneticPr fontId="4"/>
  </si>
  <si>
    <t>受取利息及び配当金</t>
    <rPh sb="0" eb="2">
      <t>ウケトリ</t>
    </rPh>
    <rPh sb="2" eb="4">
      <t>リソク</t>
    </rPh>
    <rPh sb="4" eb="5">
      <t>オヨ</t>
    </rPh>
    <rPh sb="6" eb="9">
      <t>ハイトウキン</t>
    </rPh>
    <phoneticPr fontId="4"/>
  </si>
  <si>
    <t>他会計補助金</t>
    <rPh sb="0" eb="1">
      <t>タ</t>
    </rPh>
    <rPh sb="1" eb="3">
      <t>カイケイ</t>
    </rPh>
    <rPh sb="3" eb="6">
      <t>ホジョキン</t>
    </rPh>
    <phoneticPr fontId="4"/>
  </si>
  <si>
    <t>雑収益</t>
    <rPh sb="0" eb="3">
      <t>ザツシュウエキ</t>
    </rPh>
    <phoneticPr fontId="4"/>
  </si>
  <si>
    <t>長期前受金戻入益</t>
    <rPh sb="0" eb="2">
      <t>チョウキ</t>
    </rPh>
    <rPh sb="2" eb="5">
      <t>マエウケキン</t>
    </rPh>
    <rPh sb="5" eb="7">
      <t>モドシイレ</t>
    </rPh>
    <rPh sb="7" eb="8">
      <t>エキ</t>
    </rPh>
    <phoneticPr fontId="4"/>
  </si>
  <si>
    <t>H30末の取得資産</t>
    <rPh sb="3" eb="4">
      <t>マツ</t>
    </rPh>
    <rPh sb="5" eb="7">
      <t>シュトク</t>
    </rPh>
    <rPh sb="7" eb="9">
      <t>シサン</t>
    </rPh>
    <phoneticPr fontId="4"/>
  </si>
  <si>
    <t>H31以降の取得資産</t>
    <rPh sb="3" eb="5">
      <t>イコウ</t>
    </rPh>
    <rPh sb="6" eb="8">
      <t>シュトク</t>
    </rPh>
    <rPh sb="8" eb="10">
      <t>シサン</t>
    </rPh>
    <phoneticPr fontId="4"/>
  </si>
  <si>
    <t>引当金戻入益</t>
    <rPh sb="0" eb="2">
      <t>ヒキアテ</t>
    </rPh>
    <rPh sb="2" eb="3">
      <t>キン</t>
    </rPh>
    <rPh sb="3" eb="5">
      <t>モドシイレ</t>
    </rPh>
    <rPh sb="5" eb="6">
      <t>エキ</t>
    </rPh>
    <phoneticPr fontId="4"/>
  </si>
  <si>
    <t>特別利益</t>
    <rPh sb="0" eb="2">
      <t>トクベツ</t>
    </rPh>
    <rPh sb="2" eb="4">
      <t>リエキ</t>
    </rPh>
    <phoneticPr fontId="4"/>
  </si>
  <si>
    <t>固定資産売却益</t>
    <rPh sb="0" eb="2">
      <t>コテイ</t>
    </rPh>
    <rPh sb="2" eb="4">
      <t>シサン</t>
    </rPh>
    <rPh sb="4" eb="7">
      <t>バイキャクエキ</t>
    </rPh>
    <phoneticPr fontId="4"/>
  </si>
  <si>
    <t>過年度修正益</t>
    <rPh sb="0" eb="3">
      <t>カネンド</t>
    </rPh>
    <rPh sb="3" eb="5">
      <t>シュウセイ</t>
    </rPh>
    <rPh sb="5" eb="6">
      <t>エキ</t>
    </rPh>
    <phoneticPr fontId="4"/>
  </si>
  <si>
    <t>その他特別利益</t>
    <rPh sb="2" eb="3">
      <t>タ</t>
    </rPh>
    <rPh sb="3" eb="5">
      <t>トクベツ</t>
    </rPh>
    <rPh sb="5" eb="7">
      <t>リエキ</t>
    </rPh>
    <phoneticPr fontId="4"/>
  </si>
  <si>
    <t>水道事業費用</t>
    <rPh sb="0" eb="2">
      <t>スイドウ</t>
    </rPh>
    <rPh sb="2" eb="4">
      <t>ジギョウ</t>
    </rPh>
    <rPh sb="4" eb="6">
      <t>ヒヨウ</t>
    </rPh>
    <phoneticPr fontId="4"/>
  </si>
  <si>
    <t>営業費用</t>
    <rPh sb="0" eb="2">
      <t>エイギョウ</t>
    </rPh>
    <rPh sb="2" eb="4">
      <t>ヒヨウ</t>
    </rPh>
    <phoneticPr fontId="4"/>
  </si>
  <si>
    <t>原水及び浄水費</t>
    <rPh sb="0" eb="2">
      <t>ゲンスイ</t>
    </rPh>
    <rPh sb="2" eb="3">
      <t>オヨ</t>
    </rPh>
    <rPh sb="4" eb="6">
      <t>ジョウスイ</t>
    </rPh>
    <rPh sb="6" eb="7">
      <t>ヒ</t>
    </rPh>
    <phoneticPr fontId="4"/>
  </si>
  <si>
    <t>人件費</t>
    <rPh sb="0" eb="3">
      <t>ジンケンヒ</t>
    </rPh>
    <phoneticPr fontId="4"/>
  </si>
  <si>
    <t>薬品費</t>
    <rPh sb="0" eb="2">
      <t>ヤクヒン</t>
    </rPh>
    <rPh sb="2" eb="3">
      <t>ヒ</t>
    </rPh>
    <phoneticPr fontId="4"/>
  </si>
  <si>
    <t>修繕費</t>
    <rPh sb="0" eb="3">
      <t>シュウゼンヒ</t>
    </rPh>
    <phoneticPr fontId="4"/>
  </si>
  <si>
    <t>委託料</t>
    <rPh sb="0" eb="3">
      <t>イタクリョウ</t>
    </rPh>
    <phoneticPr fontId="4"/>
  </si>
  <si>
    <t>その他（物価上昇を考慮する）</t>
    <rPh sb="2" eb="3">
      <t>タ</t>
    </rPh>
    <rPh sb="4" eb="6">
      <t>ブッカ</t>
    </rPh>
    <rPh sb="6" eb="8">
      <t>ジョウショウ</t>
    </rPh>
    <rPh sb="9" eb="11">
      <t>コウリョ</t>
    </rPh>
    <phoneticPr fontId="4"/>
  </si>
  <si>
    <t>その他（物価上昇を考慮しない）</t>
    <rPh sb="2" eb="3">
      <t>タ</t>
    </rPh>
    <rPh sb="4" eb="6">
      <t>ブッカ</t>
    </rPh>
    <rPh sb="6" eb="8">
      <t>ジョウショウ</t>
    </rPh>
    <rPh sb="9" eb="11">
      <t>コウリョ</t>
    </rPh>
    <phoneticPr fontId="4"/>
  </si>
  <si>
    <t>配水及び給水費</t>
    <rPh sb="0" eb="2">
      <t>ハイスイ</t>
    </rPh>
    <rPh sb="2" eb="3">
      <t>オヨ</t>
    </rPh>
    <rPh sb="4" eb="6">
      <t>キュウスイ</t>
    </rPh>
    <rPh sb="6" eb="7">
      <t>ヒ</t>
    </rPh>
    <phoneticPr fontId="4"/>
  </si>
  <si>
    <t>動力費</t>
    <rPh sb="0" eb="2">
      <t>ドウリョク</t>
    </rPh>
    <rPh sb="2" eb="3">
      <t>ヒ</t>
    </rPh>
    <phoneticPr fontId="4"/>
  </si>
  <si>
    <t>総係費</t>
    <rPh sb="0" eb="1">
      <t>ソウ</t>
    </rPh>
    <rPh sb="1" eb="2">
      <t>ガカリ</t>
    </rPh>
    <rPh sb="2" eb="3">
      <t>ヒ</t>
    </rPh>
    <phoneticPr fontId="4"/>
  </si>
  <si>
    <t>退職給付費</t>
    <rPh sb="0" eb="2">
      <t>タイショク</t>
    </rPh>
    <rPh sb="2" eb="4">
      <t>キュウフ</t>
    </rPh>
    <rPh sb="4" eb="5">
      <t>ヒ</t>
    </rPh>
    <phoneticPr fontId="4"/>
  </si>
  <si>
    <t>貸倒引当金繰入額</t>
    <rPh sb="0" eb="2">
      <t>カシダオレ</t>
    </rPh>
    <rPh sb="2" eb="4">
      <t>ヒキアテ</t>
    </rPh>
    <rPh sb="4" eb="5">
      <t>キン</t>
    </rPh>
    <rPh sb="5" eb="7">
      <t>クリイレ</t>
    </rPh>
    <rPh sb="7" eb="8">
      <t>ガク</t>
    </rPh>
    <phoneticPr fontId="4"/>
  </si>
  <si>
    <t>退職給与金</t>
    <rPh sb="0" eb="2">
      <t>タイショク</t>
    </rPh>
    <rPh sb="2" eb="4">
      <t>キュウヨ</t>
    </rPh>
    <rPh sb="4" eb="5">
      <t>キン</t>
    </rPh>
    <phoneticPr fontId="4"/>
  </si>
  <si>
    <t>減価償却費</t>
    <rPh sb="0" eb="2">
      <t>ゲンカ</t>
    </rPh>
    <rPh sb="2" eb="4">
      <t>ショウキャク</t>
    </rPh>
    <rPh sb="4" eb="5">
      <t>ヒ</t>
    </rPh>
    <phoneticPr fontId="4"/>
  </si>
  <si>
    <t>資産減耗費</t>
    <rPh sb="0" eb="2">
      <t>シサン</t>
    </rPh>
    <rPh sb="2" eb="4">
      <t>ゲンモウ</t>
    </rPh>
    <rPh sb="4" eb="5">
      <t>ヒ</t>
    </rPh>
    <phoneticPr fontId="4"/>
  </si>
  <si>
    <t>営業外費用</t>
    <rPh sb="0" eb="3">
      <t>エイギョウガイ</t>
    </rPh>
    <rPh sb="3" eb="5">
      <t>ヒヨウ</t>
    </rPh>
    <phoneticPr fontId="4"/>
  </si>
  <si>
    <t>支払利息</t>
    <rPh sb="0" eb="2">
      <t>シハライ</t>
    </rPh>
    <rPh sb="2" eb="4">
      <t>リソク</t>
    </rPh>
    <phoneticPr fontId="4"/>
  </si>
  <si>
    <t>H30末の既往債</t>
    <rPh sb="3" eb="4">
      <t>マツ</t>
    </rPh>
    <rPh sb="5" eb="7">
      <t>キオウ</t>
    </rPh>
    <rPh sb="7" eb="8">
      <t>サイ</t>
    </rPh>
    <phoneticPr fontId="4"/>
  </si>
  <si>
    <t>雑支出</t>
    <rPh sb="0" eb="1">
      <t>ザツ</t>
    </rPh>
    <rPh sb="1" eb="3">
      <t>シシュツ</t>
    </rPh>
    <phoneticPr fontId="4"/>
  </si>
  <si>
    <t>特別損失</t>
    <rPh sb="0" eb="2">
      <t>トクベツ</t>
    </rPh>
    <rPh sb="2" eb="4">
      <t>ソンシツ</t>
    </rPh>
    <phoneticPr fontId="4"/>
  </si>
  <si>
    <t>固定資産売却損</t>
    <rPh sb="0" eb="2">
      <t>コテイ</t>
    </rPh>
    <rPh sb="2" eb="4">
      <t>シサン</t>
    </rPh>
    <rPh sb="4" eb="6">
      <t>バイキャク</t>
    </rPh>
    <rPh sb="6" eb="7">
      <t>ソン</t>
    </rPh>
    <phoneticPr fontId="4"/>
  </si>
  <si>
    <t>過年度修正損</t>
    <rPh sb="0" eb="3">
      <t>カネンド</t>
    </rPh>
    <rPh sb="3" eb="5">
      <t>シュウセイ</t>
    </rPh>
    <rPh sb="5" eb="6">
      <t>ソン</t>
    </rPh>
    <phoneticPr fontId="4"/>
  </si>
  <si>
    <t>臨時損失</t>
    <rPh sb="0" eb="2">
      <t>リンジ</t>
    </rPh>
    <rPh sb="2" eb="4">
      <t>ソンシツ</t>
    </rPh>
    <phoneticPr fontId="4"/>
  </si>
  <si>
    <t>その他特別損失</t>
    <rPh sb="2" eb="3">
      <t>タ</t>
    </rPh>
    <rPh sb="3" eb="5">
      <t>トクベツ</t>
    </rPh>
    <rPh sb="5" eb="7">
      <t>ソンシツ</t>
    </rPh>
    <phoneticPr fontId="4"/>
  </si>
  <si>
    <t>損益</t>
    <rPh sb="0" eb="2">
      <t>ソンエキ</t>
    </rPh>
    <phoneticPr fontId="4"/>
  </si>
  <si>
    <t>資本的収支（税込み）</t>
    <rPh sb="0" eb="3">
      <t>シホンテキ</t>
    </rPh>
    <rPh sb="3" eb="5">
      <t>シュウシ</t>
    </rPh>
    <rPh sb="6" eb="8">
      <t>ゼイコ</t>
    </rPh>
    <phoneticPr fontId="4"/>
  </si>
  <si>
    <t>資本的収入</t>
    <rPh sb="0" eb="3">
      <t>シホンテキ</t>
    </rPh>
    <rPh sb="3" eb="5">
      <t>シュウニュウ</t>
    </rPh>
    <phoneticPr fontId="4"/>
  </si>
  <si>
    <t>企業債</t>
    <rPh sb="0" eb="2">
      <t>キギョウ</t>
    </rPh>
    <rPh sb="2" eb="3">
      <t>サイ</t>
    </rPh>
    <phoneticPr fontId="4"/>
  </si>
  <si>
    <t>出資金</t>
    <rPh sb="0" eb="3">
      <t>シュッシキン</t>
    </rPh>
    <phoneticPr fontId="4"/>
  </si>
  <si>
    <t>国庫補助金</t>
    <rPh sb="0" eb="2">
      <t>コッコ</t>
    </rPh>
    <rPh sb="2" eb="5">
      <t>ホジョキン</t>
    </rPh>
    <phoneticPr fontId="4"/>
  </si>
  <si>
    <t>県補助金</t>
    <rPh sb="0" eb="1">
      <t>ケン</t>
    </rPh>
    <rPh sb="1" eb="4">
      <t>ホジョキン</t>
    </rPh>
    <phoneticPr fontId="4"/>
  </si>
  <si>
    <t>固定資産売却代金</t>
    <rPh sb="0" eb="2">
      <t>コテイ</t>
    </rPh>
    <rPh sb="2" eb="4">
      <t>シサン</t>
    </rPh>
    <rPh sb="4" eb="6">
      <t>バイキャク</t>
    </rPh>
    <rPh sb="6" eb="8">
      <t>ダイキン</t>
    </rPh>
    <phoneticPr fontId="4"/>
  </si>
  <si>
    <t>資本的支出</t>
    <rPh sb="0" eb="3">
      <t>シホンテキ</t>
    </rPh>
    <rPh sb="3" eb="5">
      <t>シシュツ</t>
    </rPh>
    <phoneticPr fontId="4"/>
  </si>
  <si>
    <t>建設改良費</t>
    <rPh sb="0" eb="2">
      <t>ケンセツ</t>
    </rPh>
    <rPh sb="2" eb="4">
      <t>カイリョウ</t>
    </rPh>
    <rPh sb="4" eb="5">
      <t>ヒ</t>
    </rPh>
    <phoneticPr fontId="4"/>
  </si>
  <si>
    <t>事務費</t>
    <rPh sb="0" eb="3">
      <t>ジムヒ</t>
    </rPh>
    <phoneticPr fontId="4"/>
  </si>
  <si>
    <t>固定資産購入費</t>
    <rPh sb="0" eb="2">
      <t>コテイ</t>
    </rPh>
    <rPh sb="2" eb="4">
      <t>シサン</t>
    </rPh>
    <rPh sb="4" eb="6">
      <t>コウニュウ</t>
    </rPh>
    <rPh sb="6" eb="7">
      <t>ヒ</t>
    </rPh>
    <phoneticPr fontId="4"/>
  </si>
  <si>
    <t>原水及び浄水施設費</t>
    <rPh sb="0" eb="2">
      <t>ゲンスイ</t>
    </rPh>
    <rPh sb="2" eb="3">
      <t>オヨ</t>
    </rPh>
    <rPh sb="4" eb="6">
      <t>ジョウスイ</t>
    </rPh>
    <rPh sb="6" eb="8">
      <t>シセツ</t>
    </rPh>
    <rPh sb="8" eb="9">
      <t>ヒ</t>
    </rPh>
    <phoneticPr fontId="4"/>
  </si>
  <si>
    <t>工事請負費</t>
    <rPh sb="0" eb="5">
      <t>コウジウケオイヒ</t>
    </rPh>
    <phoneticPr fontId="4"/>
  </si>
  <si>
    <t>負担金</t>
    <rPh sb="0" eb="3">
      <t>フタンキン</t>
    </rPh>
    <phoneticPr fontId="4"/>
  </si>
  <si>
    <t>給水及び配水施設費</t>
    <rPh sb="0" eb="2">
      <t>キュウスイ</t>
    </rPh>
    <rPh sb="2" eb="3">
      <t>オヨ</t>
    </rPh>
    <rPh sb="4" eb="6">
      <t>ハイスイ</t>
    </rPh>
    <rPh sb="6" eb="8">
      <t>シセツ</t>
    </rPh>
    <rPh sb="8" eb="9">
      <t>ヒ</t>
    </rPh>
    <phoneticPr fontId="4"/>
  </si>
  <si>
    <t>量水器費</t>
    <rPh sb="0" eb="3">
      <t>リョウスイキ</t>
    </rPh>
    <rPh sb="3" eb="4">
      <t>ヒ</t>
    </rPh>
    <phoneticPr fontId="4"/>
  </si>
  <si>
    <t>補償金</t>
    <rPh sb="0" eb="3">
      <t>ホショウキン</t>
    </rPh>
    <phoneticPr fontId="4"/>
  </si>
  <si>
    <t>企業債償還金</t>
    <rPh sb="0" eb="2">
      <t>キギョウ</t>
    </rPh>
    <rPh sb="2" eb="3">
      <t>サイ</t>
    </rPh>
    <rPh sb="3" eb="5">
      <t>ショウカン</t>
    </rPh>
    <rPh sb="5" eb="6">
      <t>キン</t>
    </rPh>
    <phoneticPr fontId="4"/>
  </si>
  <si>
    <t>H31以降の新規債</t>
    <rPh sb="3" eb="5">
      <t>イコウ</t>
    </rPh>
    <rPh sb="6" eb="8">
      <t>シンキ</t>
    </rPh>
    <rPh sb="8" eb="9">
      <t>サイ</t>
    </rPh>
    <phoneticPr fontId="4"/>
  </si>
  <si>
    <t>国庫補助金返還金</t>
    <rPh sb="0" eb="2">
      <t>コッコ</t>
    </rPh>
    <rPh sb="2" eb="5">
      <t>ホジョキン</t>
    </rPh>
    <rPh sb="5" eb="8">
      <t>ヘンカンキン</t>
    </rPh>
    <phoneticPr fontId="4"/>
  </si>
  <si>
    <t>資本的収支不足額</t>
    <rPh sb="0" eb="3">
      <t>シホンテキ</t>
    </rPh>
    <rPh sb="3" eb="5">
      <t>シュウシ</t>
    </rPh>
    <rPh sb="5" eb="7">
      <t>フソク</t>
    </rPh>
    <rPh sb="7" eb="8">
      <t>ガク</t>
    </rPh>
    <phoneticPr fontId="4"/>
  </si>
  <si>
    <t>財政シミュレーション</t>
    <rPh sb="0" eb="2">
      <t>ザイセイ</t>
    </rPh>
    <phoneticPr fontId="4"/>
  </si>
  <si>
    <t>補填財源使用可能額</t>
    <rPh sb="0" eb="2">
      <t>ホテン</t>
    </rPh>
    <rPh sb="2" eb="4">
      <t>ザイゲン</t>
    </rPh>
    <rPh sb="4" eb="6">
      <t>シヨウ</t>
    </rPh>
    <rPh sb="6" eb="8">
      <t>カノウ</t>
    </rPh>
    <rPh sb="8" eb="9">
      <t>ガク</t>
    </rPh>
    <phoneticPr fontId="4"/>
  </si>
  <si>
    <t>消費税資本的収支調整額</t>
    <rPh sb="0" eb="3">
      <t>ショウヒゼイ</t>
    </rPh>
    <rPh sb="3" eb="6">
      <t>シホンテキ</t>
    </rPh>
    <rPh sb="6" eb="8">
      <t>シュウシ</t>
    </rPh>
    <rPh sb="8" eb="10">
      <t>チョウセイ</t>
    </rPh>
    <rPh sb="10" eb="11">
      <t>ガク</t>
    </rPh>
    <phoneticPr fontId="4"/>
  </si>
  <si>
    <t>利益剰余金</t>
    <rPh sb="0" eb="2">
      <t>リエキ</t>
    </rPh>
    <rPh sb="2" eb="5">
      <t>ジョウヨキン</t>
    </rPh>
    <phoneticPr fontId="4"/>
  </si>
  <si>
    <t>積立金・当年度未処分利益剰余金</t>
    <rPh sb="0" eb="2">
      <t>ツミタテ</t>
    </rPh>
    <rPh sb="2" eb="3">
      <t>キン</t>
    </rPh>
    <rPh sb="4" eb="7">
      <t>トウネンド</t>
    </rPh>
    <rPh sb="7" eb="10">
      <t>ミショブン</t>
    </rPh>
    <rPh sb="10" eb="12">
      <t>リエキ</t>
    </rPh>
    <rPh sb="12" eb="15">
      <t>ジョウヨキン</t>
    </rPh>
    <phoneticPr fontId="4"/>
  </si>
  <si>
    <t>当年度純損益</t>
    <rPh sb="0" eb="3">
      <t>トウネンド</t>
    </rPh>
    <rPh sb="3" eb="6">
      <t>ジュンソンエキ</t>
    </rPh>
    <phoneticPr fontId="4"/>
  </si>
  <si>
    <t>小計（現金の裏付けがあるもの）</t>
    <rPh sb="0" eb="2">
      <t>ショウケイ</t>
    </rPh>
    <rPh sb="3" eb="5">
      <t>ゲンキン</t>
    </rPh>
    <rPh sb="6" eb="8">
      <t>ウラヅ</t>
    </rPh>
    <phoneticPr fontId="4"/>
  </si>
  <si>
    <t>損益勘定留保資金</t>
    <rPh sb="0" eb="2">
      <t>ソンエキ</t>
    </rPh>
    <rPh sb="2" eb="4">
      <t>カンジョウ</t>
    </rPh>
    <rPh sb="4" eb="6">
      <t>リュウホ</t>
    </rPh>
    <rPh sb="6" eb="8">
      <t>シキン</t>
    </rPh>
    <phoneticPr fontId="4"/>
  </si>
  <si>
    <t>過年度損益勘定留保資金</t>
    <rPh sb="0" eb="3">
      <t>カネンド</t>
    </rPh>
    <rPh sb="3" eb="5">
      <t>ソンエキ</t>
    </rPh>
    <rPh sb="5" eb="7">
      <t>カンジョウ</t>
    </rPh>
    <rPh sb="7" eb="9">
      <t>リュウホ</t>
    </rPh>
    <rPh sb="9" eb="11">
      <t>シキン</t>
    </rPh>
    <phoneticPr fontId="4"/>
  </si>
  <si>
    <t>当年度発生額</t>
    <rPh sb="0" eb="3">
      <t>トウネンド</t>
    </rPh>
    <rPh sb="3" eb="5">
      <t>ハッセイ</t>
    </rPh>
    <rPh sb="5" eb="6">
      <t>ガク</t>
    </rPh>
    <phoneticPr fontId="4"/>
  </si>
  <si>
    <t>長期前受金戻入益（△）</t>
    <rPh sb="0" eb="2">
      <t>チョウキ</t>
    </rPh>
    <rPh sb="2" eb="5">
      <t>マエウケキン</t>
    </rPh>
    <rPh sb="5" eb="7">
      <t>モドシイレ</t>
    </rPh>
    <rPh sb="7" eb="8">
      <t>エキ</t>
    </rPh>
    <phoneticPr fontId="4"/>
  </si>
  <si>
    <t>計</t>
    <rPh sb="0" eb="1">
      <t>ケイ</t>
    </rPh>
    <phoneticPr fontId="4"/>
  </si>
  <si>
    <t>使用額</t>
    <rPh sb="0" eb="2">
      <t>シヨウ</t>
    </rPh>
    <rPh sb="2" eb="3">
      <t>ガク</t>
    </rPh>
    <phoneticPr fontId="4"/>
  </si>
  <si>
    <t>資金残高</t>
    <rPh sb="0" eb="2">
      <t>シキン</t>
    </rPh>
    <rPh sb="2" eb="4">
      <t>ザンダカ</t>
    </rPh>
    <phoneticPr fontId="4"/>
  </si>
  <si>
    <t>企業債残高</t>
    <rPh sb="0" eb="2">
      <t>キギョウ</t>
    </rPh>
    <rPh sb="2" eb="3">
      <t>サイ</t>
    </rPh>
    <rPh sb="3" eb="5">
      <t>ザンダカ</t>
    </rPh>
    <phoneticPr fontId="4"/>
  </si>
  <si>
    <t>行政区域内人口</t>
    <rPh sb="0" eb="2">
      <t>ギョウセイ</t>
    </rPh>
    <rPh sb="2" eb="4">
      <t>クイキ</t>
    </rPh>
    <rPh sb="4" eb="5">
      <t>ナイ</t>
    </rPh>
    <rPh sb="5" eb="7">
      <t>ジンコウ</t>
    </rPh>
    <phoneticPr fontId="4"/>
  </si>
  <si>
    <t>給水人口</t>
    <rPh sb="0" eb="2">
      <t>キュウスイ</t>
    </rPh>
    <rPh sb="2" eb="4">
      <t>ジンコウ</t>
    </rPh>
    <phoneticPr fontId="4"/>
  </si>
  <si>
    <t>合計</t>
    <rPh sb="0" eb="2">
      <t>ゴウケイ</t>
    </rPh>
    <phoneticPr fontId="4"/>
  </si>
  <si>
    <t>【将来人口推計】</t>
    <phoneticPr fontId="4"/>
  </si>
  <si>
    <t>【水需要予測】</t>
    <phoneticPr fontId="4"/>
  </si>
  <si>
    <t>③合計</t>
    <rPh sb="1" eb="3">
      <t>ゴウケイ</t>
    </rPh>
    <phoneticPr fontId="4"/>
  </si>
  <si>
    <t>②業務営業用水（営農雑用専用栓）</t>
    <rPh sb="1" eb="3">
      <t>ギョウム</t>
    </rPh>
    <rPh sb="3" eb="5">
      <t>エイギョウ</t>
    </rPh>
    <rPh sb="5" eb="7">
      <t>ヨウスイ</t>
    </rPh>
    <rPh sb="8" eb="10">
      <t>エイノウ</t>
    </rPh>
    <rPh sb="10" eb="12">
      <t>ザツヨウ</t>
    </rPh>
    <rPh sb="12" eb="14">
      <t>センヨウ</t>
    </rPh>
    <rPh sb="14" eb="15">
      <t>セン</t>
    </rPh>
    <phoneticPr fontId="4"/>
  </si>
  <si>
    <t>①生活用水（専用栓及び共用栓）</t>
    <rPh sb="1" eb="3">
      <t>セイカツ</t>
    </rPh>
    <rPh sb="3" eb="5">
      <t>ヨウスイ</t>
    </rPh>
    <rPh sb="6" eb="8">
      <t>センヨウ</t>
    </rPh>
    <rPh sb="8" eb="9">
      <t>セン</t>
    </rPh>
    <rPh sb="9" eb="10">
      <t>オヨ</t>
    </rPh>
    <rPh sb="11" eb="13">
      <t>キョウヨウ</t>
    </rPh>
    <rPh sb="13" eb="14">
      <t>セン</t>
    </rPh>
    <phoneticPr fontId="4"/>
  </si>
  <si>
    <t>基本料金</t>
    <rPh sb="0" eb="2">
      <t>キホン</t>
    </rPh>
    <rPh sb="2" eb="4">
      <t>リョウキン</t>
    </rPh>
    <phoneticPr fontId="4"/>
  </si>
  <si>
    <t>従量料金</t>
    <rPh sb="0" eb="2">
      <t>ジュウリョウ</t>
    </rPh>
    <rPh sb="2" eb="4">
      <t>リョウキン</t>
    </rPh>
    <phoneticPr fontId="4"/>
  </si>
  <si>
    <t>10㎥を超える</t>
    <rPh sb="4" eb="5">
      <t>コ</t>
    </rPh>
    <phoneticPr fontId="4"/>
  </si>
  <si>
    <t>【給水収益】</t>
    <rPh sb="1" eb="3">
      <t>キュウスイ</t>
    </rPh>
    <rPh sb="3" eb="5">
      <t>シュウエキ</t>
    </rPh>
    <phoneticPr fontId="4"/>
  </si>
  <si>
    <t>給水延べ戸数</t>
    <rPh sb="0" eb="2">
      <t>キュウスイ</t>
    </rPh>
    <rPh sb="2" eb="3">
      <t>ノ</t>
    </rPh>
    <rPh sb="4" eb="6">
      <t>コスウ</t>
    </rPh>
    <phoneticPr fontId="4"/>
  </si>
  <si>
    <t>控除
項目</t>
    <rPh sb="0" eb="2">
      <t>コウジョ</t>
    </rPh>
    <rPh sb="3" eb="5">
      <t>コウモク</t>
    </rPh>
    <phoneticPr fontId="4"/>
  </si>
  <si>
    <t>計上しない</t>
    <rPh sb="0" eb="2">
      <t>ケイジョウ</t>
    </rPh>
    <phoneticPr fontId="4"/>
  </si>
  <si>
    <t>固定資産除却費</t>
    <rPh sb="0" eb="2">
      <t>コテイ</t>
    </rPh>
    <rPh sb="2" eb="4">
      <t>シサン</t>
    </rPh>
    <rPh sb="4" eb="6">
      <t>ジョキャク</t>
    </rPh>
    <rPh sb="6" eb="7">
      <t>ヒ</t>
    </rPh>
    <phoneticPr fontId="4"/>
  </si>
  <si>
    <t>たな卸資産減耗費</t>
    <rPh sb="2" eb="3">
      <t>オロシ</t>
    </rPh>
    <rPh sb="3" eb="5">
      <t>シサン</t>
    </rPh>
    <rPh sb="5" eb="7">
      <t>ゲンモウ</t>
    </rPh>
    <rPh sb="7" eb="8">
      <t>ヒ</t>
    </rPh>
    <phoneticPr fontId="4"/>
  </si>
  <si>
    <t>●</t>
    <phoneticPr fontId="4"/>
  </si>
  <si>
    <t>【収益】給水収益シート参照</t>
    <rPh sb="1" eb="3">
      <t>シュウエキ</t>
    </rPh>
    <rPh sb="4" eb="6">
      <t>キュウスイ</t>
    </rPh>
    <rPh sb="6" eb="8">
      <t>シュウエキ</t>
    </rPh>
    <rPh sb="11" eb="13">
      <t>サンショウ</t>
    </rPh>
    <phoneticPr fontId="4"/>
  </si>
  <si>
    <t>H26~H30決算の平均値で一定</t>
    <rPh sb="7" eb="9">
      <t>ケッサン</t>
    </rPh>
    <rPh sb="10" eb="13">
      <t>ヘイキンチ</t>
    </rPh>
    <rPh sb="14" eb="16">
      <t>イッテイ</t>
    </rPh>
    <phoneticPr fontId="4"/>
  </si>
  <si>
    <t>予定額</t>
    <rPh sb="0" eb="2">
      <t>ヨテイ</t>
    </rPh>
    <rPh sb="2" eb="3">
      <t>ガク</t>
    </rPh>
    <phoneticPr fontId="4"/>
  </si>
  <si>
    <t>固定資産台帳データに基づく算定額</t>
    <rPh sb="0" eb="2">
      <t>コテイ</t>
    </rPh>
    <rPh sb="2" eb="4">
      <t>シサン</t>
    </rPh>
    <rPh sb="4" eb="6">
      <t>ダイチョウ</t>
    </rPh>
    <rPh sb="10" eb="11">
      <t>モト</t>
    </rPh>
    <rPh sb="13" eb="15">
      <t>サンテイ</t>
    </rPh>
    <rPh sb="15" eb="16">
      <t>ガク</t>
    </rPh>
    <phoneticPr fontId="4"/>
  </si>
  <si>
    <t>償却計算額</t>
    <rPh sb="0" eb="2">
      <t>ショウキャク</t>
    </rPh>
    <rPh sb="2" eb="4">
      <t>ケイサン</t>
    </rPh>
    <rPh sb="4" eb="5">
      <t>ガク</t>
    </rPh>
    <phoneticPr fontId="4"/>
  </si>
  <si>
    <t>更新・廃止に伴う除却等の費用を計上</t>
    <rPh sb="0" eb="2">
      <t>コウシン</t>
    </rPh>
    <rPh sb="3" eb="5">
      <t>ハイシ</t>
    </rPh>
    <rPh sb="6" eb="7">
      <t>トモナ</t>
    </rPh>
    <rPh sb="8" eb="10">
      <t>ジョキャク</t>
    </rPh>
    <rPh sb="10" eb="11">
      <t>トウ</t>
    </rPh>
    <rPh sb="12" eb="14">
      <t>ヒヨウ</t>
    </rPh>
    <rPh sb="15" eb="17">
      <t>ケイジョウ</t>
    </rPh>
    <phoneticPr fontId="4"/>
  </si>
  <si>
    <t>既往債の返済スケジュールに基づく利息発生額</t>
    <rPh sb="0" eb="2">
      <t>キオウ</t>
    </rPh>
    <rPh sb="2" eb="3">
      <t>サイ</t>
    </rPh>
    <rPh sb="4" eb="6">
      <t>ヘンサイ</t>
    </rPh>
    <rPh sb="13" eb="14">
      <t>モト</t>
    </rPh>
    <rPh sb="16" eb="18">
      <t>リソク</t>
    </rPh>
    <rPh sb="18" eb="20">
      <t>ハッセイ</t>
    </rPh>
    <rPh sb="20" eb="21">
      <t>ガク</t>
    </rPh>
    <phoneticPr fontId="4"/>
  </si>
  <si>
    <t>原浄水部門費</t>
    <rPh sb="0" eb="1">
      <t>ゲン</t>
    </rPh>
    <rPh sb="1" eb="3">
      <t>ジョウスイ</t>
    </rPh>
    <rPh sb="3" eb="5">
      <t>ブモン</t>
    </rPh>
    <rPh sb="5" eb="6">
      <t>ヒ</t>
    </rPh>
    <phoneticPr fontId="4"/>
  </si>
  <si>
    <t>配給水部門費</t>
    <rPh sb="0" eb="2">
      <t>ハイキュウ</t>
    </rPh>
    <rPh sb="2" eb="3">
      <t>スイ</t>
    </rPh>
    <rPh sb="3" eb="5">
      <t>ブモン</t>
    </rPh>
    <rPh sb="5" eb="6">
      <t>ヒ</t>
    </rPh>
    <phoneticPr fontId="4"/>
  </si>
  <si>
    <t>その他管理業務費</t>
    <rPh sb="2" eb="3">
      <t>タ</t>
    </rPh>
    <rPh sb="3" eb="5">
      <t>カンリ</t>
    </rPh>
    <rPh sb="5" eb="7">
      <t>ギョウム</t>
    </rPh>
    <rPh sb="7" eb="8">
      <t>ヒ</t>
    </rPh>
    <phoneticPr fontId="4"/>
  </si>
  <si>
    <t>平均値</t>
    <rPh sb="0" eb="3">
      <t>ヘイキンチ</t>
    </rPh>
    <phoneticPr fontId="4"/>
  </si>
  <si>
    <t>前年比</t>
    <rPh sb="0" eb="3">
      <t>ゼンネンヒ</t>
    </rPh>
    <phoneticPr fontId="4"/>
  </si>
  <si>
    <t>指数</t>
    <rPh sb="0" eb="2">
      <t>シスウ</t>
    </rPh>
    <phoneticPr fontId="4"/>
  </si>
  <si>
    <t>出所：総務省統計局</t>
    <rPh sb="0" eb="2">
      <t>シュッショ</t>
    </rPh>
    <rPh sb="3" eb="6">
      <t>ソウムショウ</t>
    </rPh>
    <rPh sb="6" eb="9">
      <t>トウケイキョク</t>
    </rPh>
    <phoneticPr fontId="4"/>
  </si>
  <si>
    <t>上昇率</t>
    <rPh sb="0" eb="2">
      <t>ジョウショウ</t>
    </rPh>
    <rPh sb="2" eb="3">
      <t>リツ</t>
    </rPh>
    <phoneticPr fontId="4"/>
  </si>
  <si>
    <t>（単位：千円）</t>
    <rPh sb="1" eb="3">
      <t>タンイ</t>
    </rPh>
    <rPh sb="4" eb="5">
      <t>セン</t>
    </rPh>
    <rPh sb="5" eb="6">
      <t>エン</t>
    </rPh>
    <phoneticPr fontId="4"/>
  </si>
  <si>
    <t>費用</t>
    <rPh sb="0" eb="2">
      <t>ヒヨウ</t>
    </rPh>
    <phoneticPr fontId="4"/>
  </si>
  <si>
    <t>維持管理費</t>
    <rPh sb="0" eb="2">
      <t>イジ</t>
    </rPh>
    <rPh sb="2" eb="5">
      <t>カンリヒ</t>
    </rPh>
    <phoneticPr fontId="4"/>
  </si>
  <si>
    <t>減価償却費等</t>
    <rPh sb="0" eb="2">
      <t>ゲンカ</t>
    </rPh>
    <rPh sb="2" eb="4">
      <t>ショウキャク</t>
    </rPh>
    <rPh sb="4" eb="5">
      <t>ヒ</t>
    </rPh>
    <rPh sb="5" eb="6">
      <t>トウ</t>
    </rPh>
    <phoneticPr fontId="4"/>
  </si>
  <si>
    <t>資産維持費</t>
    <rPh sb="0" eb="2">
      <t>シサン</t>
    </rPh>
    <rPh sb="2" eb="5">
      <t>イジヒ</t>
    </rPh>
    <phoneticPr fontId="4"/>
  </si>
  <si>
    <t>小計</t>
    <rPh sb="0" eb="2">
      <t>ショウケイ</t>
    </rPh>
    <phoneticPr fontId="4"/>
  </si>
  <si>
    <t>資本
費用</t>
    <rPh sb="0" eb="2">
      <t>シホン</t>
    </rPh>
    <rPh sb="3" eb="5">
      <t>ヒヨウ</t>
    </rPh>
    <phoneticPr fontId="4"/>
  </si>
  <si>
    <t>原浄水
部門費</t>
    <rPh sb="0" eb="1">
      <t>ゲン</t>
    </rPh>
    <rPh sb="1" eb="3">
      <t>ジョウスイ</t>
    </rPh>
    <rPh sb="4" eb="6">
      <t>ブモン</t>
    </rPh>
    <rPh sb="6" eb="7">
      <t>ヒ</t>
    </rPh>
    <phoneticPr fontId="4"/>
  </si>
  <si>
    <t>配給水
部門費</t>
    <rPh sb="0" eb="2">
      <t>ハイキュウ</t>
    </rPh>
    <rPh sb="4" eb="6">
      <t>ブモン</t>
    </rPh>
    <rPh sb="6" eb="7">
      <t>ヒ</t>
    </rPh>
    <phoneticPr fontId="4"/>
  </si>
  <si>
    <t>一般管理業務部門費</t>
    <rPh sb="0" eb="2">
      <t>イッパン</t>
    </rPh>
    <rPh sb="2" eb="4">
      <t>カンリ</t>
    </rPh>
    <rPh sb="4" eb="6">
      <t>ギョウム</t>
    </rPh>
    <rPh sb="6" eb="8">
      <t>ブモン</t>
    </rPh>
    <rPh sb="8" eb="9">
      <t>ヒ</t>
    </rPh>
    <phoneticPr fontId="4"/>
  </si>
  <si>
    <t>検針・集金関係費</t>
    <rPh sb="0" eb="2">
      <t>ケンシン</t>
    </rPh>
    <rPh sb="3" eb="5">
      <t>シュウキン</t>
    </rPh>
    <rPh sb="5" eb="8">
      <t>カンケイヒ</t>
    </rPh>
    <phoneticPr fontId="4"/>
  </si>
  <si>
    <t>量水器関係費</t>
    <rPh sb="0" eb="3">
      <t>リョウスイキ</t>
    </rPh>
    <rPh sb="3" eb="6">
      <t>カンケイヒ</t>
    </rPh>
    <phoneticPr fontId="4"/>
  </si>
  <si>
    <t>（単位：千円）</t>
    <rPh sb="1" eb="3">
      <t>タンイ</t>
    </rPh>
    <rPh sb="4" eb="6">
      <t>センエン</t>
    </rPh>
    <phoneticPr fontId="4"/>
  </si>
  <si>
    <t>減少率（前年比）</t>
    <rPh sb="0" eb="2">
      <t>ゲンショウ</t>
    </rPh>
    <rPh sb="2" eb="3">
      <t>リツ</t>
    </rPh>
    <rPh sb="4" eb="7">
      <t>ゼンネンヒ</t>
    </rPh>
    <phoneticPr fontId="4"/>
  </si>
  <si>
    <t>有収水量（㎥）</t>
    <rPh sb="0" eb="2">
      <t>ユウシュウ</t>
    </rPh>
    <rPh sb="2" eb="4">
      <t>スイリョウ</t>
    </rPh>
    <phoneticPr fontId="4"/>
  </si>
  <si>
    <t>1人1日当たりの
有収水量（㎥）</t>
    <rPh sb="1" eb="2">
      <t>ニン</t>
    </rPh>
    <rPh sb="3" eb="4">
      <t>ニチ</t>
    </rPh>
    <rPh sb="4" eb="5">
      <t>ア</t>
    </rPh>
    <rPh sb="9" eb="11">
      <t>ユウシュウ</t>
    </rPh>
    <rPh sb="11" eb="13">
      <t>スイリョウ</t>
    </rPh>
    <phoneticPr fontId="4"/>
  </si>
  <si>
    <t>計画有収水量（㎥）</t>
    <rPh sb="0" eb="2">
      <t>ケイカク</t>
    </rPh>
    <rPh sb="2" eb="4">
      <t>ユウシュウ</t>
    </rPh>
    <rPh sb="4" eb="6">
      <t>スイリョウ</t>
    </rPh>
    <phoneticPr fontId="4"/>
  </si>
  <si>
    <t>　うち、10㎥以下</t>
    <rPh sb="7" eb="9">
      <t>イカ</t>
    </rPh>
    <phoneticPr fontId="4"/>
  </si>
  <si>
    <t>　うち、10㎥を超える</t>
    <rPh sb="8" eb="9">
      <t>コ</t>
    </rPh>
    <phoneticPr fontId="4"/>
  </si>
  <si>
    <t>財政シミュレーションの見込み値</t>
    <rPh sb="0" eb="2">
      <t>ザイセイ</t>
    </rPh>
    <rPh sb="11" eb="13">
      <t>ミコ</t>
    </rPh>
    <rPh sb="14" eb="15">
      <t>チ</t>
    </rPh>
    <phoneticPr fontId="4"/>
  </si>
  <si>
    <t>固定資産台帳データ</t>
    <rPh sb="0" eb="2">
      <t>コテイ</t>
    </rPh>
    <rPh sb="2" eb="4">
      <t>シサン</t>
    </rPh>
    <rPh sb="4" eb="6">
      <t>ダイチョウ</t>
    </rPh>
    <phoneticPr fontId="4"/>
  </si>
  <si>
    <t>資産維持費の算定</t>
    <rPh sb="0" eb="2">
      <t>シサン</t>
    </rPh>
    <rPh sb="2" eb="5">
      <t>イジヒ</t>
    </rPh>
    <rPh sb="6" eb="8">
      <t>サンテイ</t>
    </rPh>
    <phoneticPr fontId="4"/>
  </si>
  <si>
    <t>対象資産</t>
    <rPh sb="0" eb="2">
      <t>タイショウ</t>
    </rPh>
    <rPh sb="2" eb="4">
      <t>シサン</t>
    </rPh>
    <phoneticPr fontId="4"/>
  </si>
  <si>
    <t>試算維持率</t>
    <rPh sb="0" eb="2">
      <t>シサン</t>
    </rPh>
    <rPh sb="2" eb="4">
      <t>イジ</t>
    </rPh>
    <rPh sb="4" eb="5">
      <t>リツ</t>
    </rPh>
    <phoneticPr fontId="4"/>
  </si>
  <si>
    <t>年</t>
    <rPh sb="0" eb="1">
      <t>ネン</t>
    </rPh>
    <phoneticPr fontId="4"/>
  </si>
  <si>
    <t>％</t>
    <phoneticPr fontId="4"/>
  </si>
  <si>
    <t>円</t>
    <rPh sb="0" eb="1">
      <t>エン</t>
    </rPh>
    <phoneticPr fontId="4"/>
  </si>
  <si>
    <t>H31末帳簿価額（原浄水）</t>
    <rPh sb="3" eb="4">
      <t>マツ</t>
    </rPh>
    <rPh sb="4" eb="6">
      <t>チョウボ</t>
    </rPh>
    <rPh sb="6" eb="8">
      <t>カガク</t>
    </rPh>
    <rPh sb="9" eb="10">
      <t>ゲン</t>
    </rPh>
    <rPh sb="10" eb="12">
      <t>ジョウスイ</t>
    </rPh>
    <phoneticPr fontId="4"/>
  </si>
  <si>
    <t>H31末帳簿価額（配給水）</t>
    <rPh sb="3" eb="4">
      <t>マツ</t>
    </rPh>
    <rPh sb="4" eb="6">
      <t>チョウボ</t>
    </rPh>
    <rPh sb="6" eb="8">
      <t>カガク</t>
    </rPh>
    <rPh sb="9" eb="11">
      <t>ハイキュウ</t>
    </rPh>
    <rPh sb="11" eb="12">
      <t>スイ</t>
    </rPh>
    <phoneticPr fontId="4"/>
  </si>
  <si>
    <t>資産維持費（原浄水）</t>
    <rPh sb="0" eb="2">
      <t>シサン</t>
    </rPh>
    <rPh sb="2" eb="5">
      <t>イジヒ</t>
    </rPh>
    <rPh sb="6" eb="7">
      <t>ゲン</t>
    </rPh>
    <rPh sb="7" eb="9">
      <t>ジョウスイ</t>
    </rPh>
    <phoneticPr fontId="4"/>
  </si>
  <si>
    <t>資産維持費（配給水）</t>
    <rPh sb="0" eb="2">
      <t>シサン</t>
    </rPh>
    <rPh sb="2" eb="5">
      <t>イジヒ</t>
    </rPh>
    <rPh sb="6" eb="8">
      <t>ハイキュウ</t>
    </rPh>
    <rPh sb="8" eb="9">
      <t>スイ</t>
    </rPh>
    <phoneticPr fontId="4"/>
  </si>
  <si>
    <t>準備料金</t>
    <rPh sb="0" eb="2">
      <t>ジュンビ</t>
    </rPh>
    <rPh sb="2" eb="4">
      <t>リョウキン</t>
    </rPh>
    <phoneticPr fontId="4"/>
  </si>
  <si>
    <t>水量料金</t>
    <rPh sb="0" eb="2">
      <t>スイリョウ</t>
    </rPh>
    <rPh sb="2" eb="4">
      <t>リョウキン</t>
    </rPh>
    <phoneticPr fontId="4"/>
  </si>
  <si>
    <t>計画給水区域内人口</t>
    <rPh sb="0" eb="2">
      <t>ケイカク</t>
    </rPh>
    <rPh sb="2" eb="4">
      <t>キュウスイ</t>
    </rPh>
    <rPh sb="4" eb="6">
      <t>クイキ</t>
    </rPh>
    <rPh sb="6" eb="7">
      <t>ナイ</t>
    </rPh>
    <rPh sb="7" eb="9">
      <t>ジンコウ</t>
    </rPh>
    <phoneticPr fontId="4"/>
  </si>
  <si>
    <t>人</t>
    <rPh sb="0" eb="1">
      <t>ニン</t>
    </rPh>
    <phoneticPr fontId="4"/>
  </si>
  <si>
    <t>給水人口（算定期間平均）</t>
    <rPh sb="0" eb="2">
      <t>キュウスイ</t>
    </rPh>
    <rPh sb="2" eb="4">
      <t>ジンコウ</t>
    </rPh>
    <rPh sb="5" eb="7">
      <t>サンテイ</t>
    </rPh>
    <rPh sb="7" eb="9">
      <t>キカン</t>
    </rPh>
    <rPh sb="9" eb="11">
      <t>ヘイキン</t>
    </rPh>
    <phoneticPr fontId="4"/>
  </si>
  <si>
    <t>稼働率</t>
    <rPh sb="0" eb="2">
      <t>カドウ</t>
    </rPh>
    <rPh sb="2" eb="3">
      <t>リツ</t>
    </rPh>
    <phoneticPr fontId="4"/>
  </si>
  <si>
    <t>①固定費</t>
    <rPh sb="1" eb="4">
      <t>コテイヒ</t>
    </rPh>
    <phoneticPr fontId="4"/>
  </si>
  <si>
    <t>準備料金に配分された固定費は、理論流量比（ウィリアム・ヘーゼンの公式に基づく流量比）に料金算定要領の地域の使用実態等を考慮した補正係数を乗じて算定した流量比により各使用者群に配賦する。</t>
    <rPh sb="0" eb="2">
      <t>ジュンビ</t>
    </rPh>
    <rPh sb="2" eb="4">
      <t>リョウキン</t>
    </rPh>
    <rPh sb="5" eb="7">
      <t>ハイブン</t>
    </rPh>
    <rPh sb="10" eb="13">
      <t>コテイヒ</t>
    </rPh>
    <rPh sb="15" eb="17">
      <t>リロン</t>
    </rPh>
    <rPh sb="17" eb="19">
      <t>リュウリョウ</t>
    </rPh>
    <rPh sb="19" eb="20">
      <t>ヒ</t>
    </rPh>
    <rPh sb="32" eb="34">
      <t>コウシキ</t>
    </rPh>
    <rPh sb="35" eb="36">
      <t>モト</t>
    </rPh>
    <rPh sb="38" eb="40">
      <t>リュウリョウ</t>
    </rPh>
    <rPh sb="40" eb="41">
      <t>ヒ</t>
    </rPh>
    <rPh sb="43" eb="45">
      <t>リョウキン</t>
    </rPh>
    <rPh sb="45" eb="47">
      <t>サンテイ</t>
    </rPh>
    <rPh sb="47" eb="49">
      <t>ヨウリョウ</t>
    </rPh>
    <rPh sb="50" eb="52">
      <t>チイキ</t>
    </rPh>
    <rPh sb="53" eb="55">
      <t>シヨウ</t>
    </rPh>
    <rPh sb="55" eb="57">
      <t>ジッタイ</t>
    </rPh>
    <rPh sb="57" eb="58">
      <t>トウ</t>
    </rPh>
    <rPh sb="59" eb="61">
      <t>コウリョ</t>
    </rPh>
    <rPh sb="63" eb="65">
      <t>ホセイ</t>
    </rPh>
    <rPh sb="65" eb="67">
      <t>ケイスウ</t>
    </rPh>
    <rPh sb="68" eb="69">
      <t>ジョウ</t>
    </rPh>
    <rPh sb="71" eb="73">
      <t>サンテイ</t>
    </rPh>
    <rPh sb="75" eb="77">
      <t>リュウリョウ</t>
    </rPh>
    <rPh sb="77" eb="78">
      <t>ヒ</t>
    </rPh>
    <rPh sb="81" eb="82">
      <t>カク</t>
    </rPh>
    <rPh sb="82" eb="85">
      <t>シヨウシャ</t>
    </rPh>
    <rPh sb="85" eb="86">
      <t>グン</t>
    </rPh>
    <rPh sb="87" eb="89">
      <t>ハイフ</t>
    </rPh>
    <phoneticPr fontId="4"/>
  </si>
  <si>
    <t>13ミリ</t>
  </si>
  <si>
    <t>16ミリ</t>
  </si>
  <si>
    <t>20ミリ</t>
  </si>
  <si>
    <t>25ミリ</t>
  </si>
  <si>
    <t>30ミリ</t>
  </si>
  <si>
    <t>40ミリ</t>
  </si>
  <si>
    <t>口径</t>
    <rPh sb="0" eb="2">
      <t>コウケイ</t>
    </rPh>
    <phoneticPr fontId="4"/>
  </si>
  <si>
    <t>理論流量比</t>
    <rPh sb="0" eb="2">
      <t>リロン</t>
    </rPh>
    <rPh sb="2" eb="4">
      <t>リュウリョウ</t>
    </rPh>
    <rPh sb="4" eb="5">
      <t>ヒ</t>
    </rPh>
    <phoneticPr fontId="4"/>
  </si>
  <si>
    <t>補正係数</t>
    <rPh sb="0" eb="2">
      <t>ホセイ</t>
    </rPh>
    <rPh sb="2" eb="4">
      <t>ケイスウ</t>
    </rPh>
    <phoneticPr fontId="4"/>
  </si>
  <si>
    <t>設定流量比</t>
    <rPh sb="0" eb="2">
      <t>セッテイ</t>
    </rPh>
    <rPh sb="2" eb="4">
      <t>リュウリョウ</t>
    </rPh>
    <rPh sb="4" eb="5">
      <t>ヒ</t>
    </rPh>
    <phoneticPr fontId="4"/>
  </si>
  <si>
    <t>直近5年の調定件数</t>
    <rPh sb="0" eb="2">
      <t>チョッキン</t>
    </rPh>
    <rPh sb="3" eb="4">
      <t>ネン</t>
    </rPh>
    <rPh sb="5" eb="7">
      <t>チョウテイ</t>
    </rPh>
    <rPh sb="7" eb="9">
      <t>ケンスウ</t>
    </rPh>
    <phoneticPr fontId="4"/>
  </si>
  <si>
    <t>構成比</t>
    <rPh sb="0" eb="3">
      <t>コウセイヒ</t>
    </rPh>
    <phoneticPr fontId="4"/>
  </si>
  <si>
    <t>乗数</t>
    <rPh sb="0" eb="2">
      <t>ジョウスウ</t>
    </rPh>
    <phoneticPr fontId="4"/>
  </si>
  <si>
    <t>固定費配賦</t>
    <rPh sb="0" eb="3">
      <t>コテイヒ</t>
    </rPh>
    <rPh sb="3" eb="5">
      <t>ハイフ</t>
    </rPh>
    <phoneticPr fontId="4"/>
  </si>
  <si>
    <t>1件当たり</t>
    <rPh sb="1" eb="2">
      <t>ケン</t>
    </rPh>
    <rPh sb="2" eb="3">
      <t>ア</t>
    </rPh>
    <phoneticPr fontId="4"/>
  </si>
  <si>
    <t>〇準備料金</t>
    <rPh sb="1" eb="3">
      <t>ジュンビ</t>
    </rPh>
    <rPh sb="3" eb="5">
      <t>リョウキン</t>
    </rPh>
    <phoneticPr fontId="4"/>
  </si>
  <si>
    <t>〇水量料金</t>
    <rPh sb="1" eb="3">
      <t>スイリョウ</t>
    </rPh>
    <rPh sb="3" eb="5">
      <t>リョウキン</t>
    </rPh>
    <phoneticPr fontId="4"/>
  </si>
  <si>
    <t>算定期間の有収水量合計</t>
    <rPh sb="0" eb="2">
      <t>サンテイ</t>
    </rPh>
    <rPh sb="2" eb="4">
      <t>キカン</t>
    </rPh>
    <rPh sb="5" eb="7">
      <t>ユウシュウ</t>
    </rPh>
    <rPh sb="7" eb="9">
      <t>スイリョウ</t>
    </rPh>
    <rPh sb="9" eb="11">
      <t>ゴウケイ</t>
    </rPh>
    <phoneticPr fontId="4"/>
  </si>
  <si>
    <t>固定費（水量料金）</t>
    <rPh sb="0" eb="3">
      <t>コテイヒ</t>
    </rPh>
    <rPh sb="4" eb="6">
      <t>スイリョウ</t>
    </rPh>
    <rPh sb="6" eb="8">
      <t>リョウキン</t>
    </rPh>
    <phoneticPr fontId="4"/>
  </si>
  <si>
    <t>給水量当たり配賦額</t>
    <rPh sb="0" eb="2">
      <t>キュウスイ</t>
    </rPh>
    <rPh sb="2" eb="3">
      <t>リョウ</t>
    </rPh>
    <rPh sb="3" eb="4">
      <t>ア</t>
    </rPh>
    <rPh sb="6" eb="8">
      <t>ハイフ</t>
    </rPh>
    <rPh sb="8" eb="9">
      <t>ガク</t>
    </rPh>
    <phoneticPr fontId="4"/>
  </si>
  <si>
    <t>②変動費</t>
    <rPh sb="1" eb="3">
      <t>ヘンドウ</t>
    </rPh>
    <rPh sb="3" eb="4">
      <t>ヒ</t>
    </rPh>
    <phoneticPr fontId="4"/>
  </si>
  <si>
    <t>③算定要領に基づく料金体系</t>
    <rPh sb="1" eb="3">
      <t>サンテイ</t>
    </rPh>
    <rPh sb="3" eb="5">
      <t>ヨウリョウ</t>
    </rPh>
    <rPh sb="6" eb="7">
      <t>モト</t>
    </rPh>
    <rPh sb="9" eb="11">
      <t>リョウキン</t>
    </rPh>
    <rPh sb="11" eb="13">
      <t>タイケイ</t>
    </rPh>
    <phoneticPr fontId="4"/>
  </si>
  <si>
    <t>料金</t>
    <rPh sb="0" eb="2">
      <t>リョウキン</t>
    </rPh>
    <phoneticPr fontId="4"/>
  </si>
  <si>
    <t>1㎥あたり</t>
    <phoneticPr fontId="4"/>
  </si>
  <si>
    <t>〇全体で算定</t>
    <rPh sb="1" eb="3">
      <t>ゼンタイ</t>
    </rPh>
    <rPh sb="4" eb="6">
      <t>サンテイ</t>
    </rPh>
    <phoneticPr fontId="4"/>
  </si>
  <si>
    <t>〇専用栓（＝全体算定結果のまま）</t>
    <rPh sb="1" eb="3">
      <t>センヨウ</t>
    </rPh>
    <rPh sb="3" eb="4">
      <t>セン</t>
    </rPh>
    <rPh sb="6" eb="8">
      <t>ゼンタイ</t>
    </rPh>
    <rPh sb="8" eb="10">
      <t>サンテイ</t>
    </rPh>
    <rPh sb="10" eb="12">
      <t>ケッカ</t>
    </rPh>
    <phoneticPr fontId="4"/>
  </si>
  <si>
    <t>10㎥以下</t>
    <rPh sb="2" eb="5">
      <t>リュウベイイカ</t>
    </rPh>
    <phoneticPr fontId="4"/>
  </si>
  <si>
    <t>〇営農（＝全体算定結果÷２）</t>
    <rPh sb="1" eb="3">
      <t>エイノウ</t>
    </rPh>
    <rPh sb="5" eb="7">
      <t>ゼンタイ</t>
    </rPh>
    <rPh sb="7" eb="9">
      <t>サンテイ</t>
    </rPh>
    <rPh sb="9" eb="11">
      <t>ケッカ</t>
    </rPh>
    <phoneticPr fontId="4"/>
  </si>
  <si>
    <t>投資シミュレーション結果</t>
    <rPh sb="0" eb="2">
      <t>トウシ</t>
    </rPh>
    <rPh sb="10" eb="12">
      <t>ケッカ</t>
    </rPh>
    <phoneticPr fontId="4"/>
  </si>
  <si>
    <t>既往債の返済スケジュールに基づく償還予定額</t>
    <rPh sb="0" eb="2">
      <t>キオウ</t>
    </rPh>
    <rPh sb="2" eb="3">
      <t>サイ</t>
    </rPh>
    <rPh sb="4" eb="6">
      <t>ヘンサイ</t>
    </rPh>
    <rPh sb="13" eb="14">
      <t>モト</t>
    </rPh>
    <rPh sb="16" eb="18">
      <t>ショウカン</t>
    </rPh>
    <rPh sb="18" eb="20">
      <t>ヨテイ</t>
    </rPh>
    <rPh sb="20" eb="21">
      <t>ガク</t>
    </rPh>
    <phoneticPr fontId="4"/>
  </si>
  <si>
    <t>新規債の返済スケジュールに基づく償還予定額</t>
    <rPh sb="0" eb="2">
      <t>シンキ</t>
    </rPh>
    <rPh sb="2" eb="3">
      <t>サイ</t>
    </rPh>
    <rPh sb="4" eb="6">
      <t>ヘンサイ</t>
    </rPh>
    <rPh sb="13" eb="14">
      <t>モト</t>
    </rPh>
    <rPh sb="16" eb="18">
      <t>ショウカン</t>
    </rPh>
    <rPh sb="18" eb="20">
      <t>ヨテイ</t>
    </rPh>
    <rPh sb="20" eb="21">
      <t>ガク</t>
    </rPh>
    <phoneticPr fontId="4"/>
  </si>
  <si>
    <t>取・導水管</t>
  </si>
  <si>
    <t>送水管</t>
  </si>
  <si>
    <t>配水本管</t>
  </si>
  <si>
    <t>配水支管</t>
  </si>
  <si>
    <t>更新投資額</t>
    <rPh sb="0" eb="2">
      <t>コウシン</t>
    </rPh>
    <rPh sb="2" eb="4">
      <t>トウシ</t>
    </rPh>
    <rPh sb="4" eb="5">
      <t>ガク</t>
    </rPh>
    <phoneticPr fontId="4"/>
  </si>
  <si>
    <t>構造物及び設備</t>
    <rPh sb="0" eb="3">
      <t>コウゾウブツ</t>
    </rPh>
    <rPh sb="3" eb="4">
      <t>オヨ</t>
    </rPh>
    <rPh sb="5" eb="7">
      <t>セツビ</t>
    </rPh>
    <phoneticPr fontId="4"/>
  </si>
  <si>
    <t>H31</t>
  </si>
  <si>
    <t>R3</t>
  </si>
  <si>
    <t>発行年度</t>
    <rPh sb="0" eb="2">
      <t>ハッコウ</t>
    </rPh>
    <rPh sb="2" eb="4">
      <t>ネンド</t>
    </rPh>
    <phoneticPr fontId="4"/>
  </si>
  <si>
    <t>借入額</t>
    <rPh sb="0" eb="2">
      <t>カリイレ</t>
    </rPh>
    <rPh sb="2" eb="3">
      <t>ガク</t>
    </rPh>
    <phoneticPr fontId="4"/>
  </si>
  <si>
    <t>新規発行額</t>
    <rPh sb="0" eb="2">
      <t>シンキ</t>
    </rPh>
    <rPh sb="2" eb="5">
      <t>ハッコウガク</t>
    </rPh>
    <phoneticPr fontId="4"/>
  </si>
  <si>
    <t>耐用年数</t>
    <rPh sb="0" eb="2">
      <t>タイヨウ</t>
    </rPh>
    <rPh sb="2" eb="4">
      <t>ネンスウ</t>
    </rPh>
    <phoneticPr fontId="4"/>
  </si>
  <si>
    <t>年償却額</t>
    <rPh sb="0" eb="1">
      <t>ネン</t>
    </rPh>
    <rPh sb="1" eb="4">
      <t>ショウキャクガク</t>
    </rPh>
    <phoneticPr fontId="4"/>
  </si>
  <si>
    <t>取得年度</t>
    <rPh sb="0" eb="2">
      <t>シュトク</t>
    </rPh>
    <rPh sb="2" eb="4">
      <t>ネンド</t>
    </rPh>
    <phoneticPr fontId="4"/>
  </si>
  <si>
    <t>収益化（国庫補助）</t>
    <rPh sb="0" eb="3">
      <t>シュウエキカ</t>
    </rPh>
    <rPh sb="4" eb="6">
      <t>コッコ</t>
    </rPh>
    <rPh sb="6" eb="8">
      <t>ホジョ</t>
    </rPh>
    <phoneticPr fontId="4"/>
  </si>
  <si>
    <t>収益化（県補助）</t>
    <rPh sb="0" eb="3">
      <t>シュウエキカ</t>
    </rPh>
    <rPh sb="4" eb="5">
      <t>ケン</t>
    </rPh>
    <rPh sb="5" eb="7">
      <t>ホジョ</t>
    </rPh>
    <phoneticPr fontId="4"/>
  </si>
  <si>
    <t>収益化合計</t>
    <rPh sb="0" eb="3">
      <t>シュウエキカ</t>
    </rPh>
    <rPh sb="3" eb="5">
      <t>ゴウケイ</t>
    </rPh>
    <phoneticPr fontId="4"/>
  </si>
  <si>
    <t>→要領では3.0％で例示されているが、</t>
    <rPh sb="1" eb="3">
      <t>ヨウリョウ</t>
    </rPh>
    <rPh sb="10" eb="12">
      <t>レイジ</t>
    </rPh>
    <phoneticPr fontId="4"/>
  </si>
  <si>
    <t>　　従前それほど大きな修繕がないため、1.0％と仮定</t>
    <phoneticPr fontId="4"/>
  </si>
  <si>
    <t>改定率</t>
    <rPh sb="0" eb="2">
      <t>カイテイ</t>
    </rPh>
    <rPh sb="2" eb="3">
      <t>リツ</t>
    </rPh>
    <phoneticPr fontId="4"/>
  </si>
  <si>
    <t>【現行料金体系を調整した料金体系】</t>
    <phoneticPr fontId="4"/>
  </si>
  <si>
    <t>\'【現行×調整率－簗北】財政シミュ'!T71</t>
  </si>
  <si>
    <t>\'【現行×調整率－簗北】財政シミュ'!U71</t>
  </si>
  <si>
    <t>\'【現行×調整率－簗北】財政シミュ'!V71</t>
  </si>
  <si>
    <t>\'【現行×調整率－簗北】財政シミュ'!W71</t>
  </si>
  <si>
    <t>\'【現行×調整率－簗北】財政シミュ'!X71</t>
  </si>
  <si>
    <t>\'【現行×調整率－簗北】財政シミュ'!Y71</t>
  </si>
  <si>
    <t>\'【現行×調整率－簗北】財政シミュ'!Z71</t>
  </si>
  <si>
    <t>\'【現行×調整率－簗北】財政シミュ'!AA71</t>
  </si>
  <si>
    <t>\'【現行×調整率－簗北】財政シミュ'!AB71</t>
  </si>
  <si>
    <t>\'【現行×調整率－簗北】財政シミュ'!AC71</t>
  </si>
  <si>
    <t>\'【現行×調整率－簗北】財政シミュ'!AD71</t>
  </si>
  <si>
    <t>\'【現行×調整率－簗北】財政シミュ'!AE71</t>
  </si>
  <si>
    <t>\'【現行×調整率－簗北】財政シミュ'!AF71</t>
  </si>
  <si>
    <t>\'【現行×調整率－簗北】財政シミュ'!AG71</t>
  </si>
  <si>
    <t>\'【現行×調整率－簗北】財政シミュ'!AH71</t>
  </si>
  <si>
    <t>\'【現行×調整率－簗北】財政シミュ'!AI71</t>
  </si>
  <si>
    <t>\'【現行×調整率－簗北】財政シミュ'!AJ71</t>
  </si>
  <si>
    <t>\'【現行×調整率－簗北】財政シミュ'!AK71</t>
  </si>
  <si>
    <t>\'【現行×調整率－簗北】財政シミュ'!AL71</t>
  </si>
  <si>
    <t>\'【現行×調整率－簗北】財政シミュ'!AM71</t>
  </si>
  <si>
    <t>\'【現行×調整率－簗北】財政シミュ'!AN71</t>
  </si>
  <si>
    <t>\'【現行×調整率－簗北】財政シミュ'!AO71</t>
  </si>
  <si>
    <t>\'【現行×調整率－簗北】財政シミュ'!AP71</t>
  </si>
  <si>
    <t>\'【現行×調整率－簗北】財政シミュ'!AQ71</t>
  </si>
  <si>
    <t>\'【現行×調整率－簗北】財政シミュ'!AR71</t>
  </si>
  <si>
    <t>\'【現行×調整率－簗北】財政シミュ'!AS71</t>
  </si>
  <si>
    <t>\'【現行×調整率－簗北】財政シミュ'!AT71</t>
  </si>
  <si>
    <t>\'【現行×調整率－簗北】財政シミュ'!AU71</t>
  </si>
  <si>
    <t>\'【現行×調整率－簗北】財政シミュ'!AV71</t>
  </si>
  <si>
    <t>\'【現行×調整率－簗北】財政シミュ'!AW71</t>
  </si>
  <si>
    <t>\'【現行×調整率－簗北】財政シミュ'!AX71</t>
  </si>
  <si>
    <t>\'【現行×調整率－簗北】財政シミュ'!AY71</t>
  </si>
  <si>
    <t>\'【現行×調整率－簗北】財政シミュ'!AZ71</t>
  </si>
  <si>
    <t>\'【現行×調整率－簗北】財政シミュ'!BA71</t>
  </si>
  <si>
    <t>\'【現行×調整率－簗北】財政シミュ'!BB71</t>
  </si>
  <si>
    <t>\'【現行×調整率－簗北】財政シミュ'!BC71</t>
  </si>
  <si>
    <t>\'【現行×調整率－簗北】財政シミュ'!BD71</t>
  </si>
  <si>
    <t>\'【現行×調整率－簗北】財政シミュ'!BE71</t>
  </si>
  <si>
    <t>\'【現行×調整率－簗北】財政シミュ'!BF71</t>
  </si>
  <si>
    <t>\'【現行×調整率－簗北】財政シミュ'!BG71</t>
  </si>
  <si>
    <t>\'【現行×調整率－簗北】財政シミュ'!BH71</t>
  </si>
  <si>
    <t>\'【現行×調整率－簗北】財政シミュ'!BI71</t>
  </si>
  <si>
    <t>\'【現行×調整率－簗北】財政シミュ'!BJ71</t>
  </si>
  <si>
    <t>\'【現行×調整率－簗北】財政シミュ'!BK71</t>
  </si>
  <si>
    <t>\'【現行×調整率－簗北】財政シミュ'!BL71</t>
  </si>
  <si>
    <t>\'【現行×調整率－簗北】財政シミュ'!BM71</t>
  </si>
  <si>
    <t>\'【現行×調整率－簗北】財政シミュ'!BN71</t>
  </si>
  <si>
    <t>\'【現行×調整率－簗北】財政シミュ'!BO71</t>
  </si>
  <si>
    <t>\'【現行×調整率－簗北】財政シミュ'!BP71</t>
  </si>
  <si>
    <t>\'【現行×調整率－簗北】財政シミュ'!BQ71</t>
  </si>
  <si>
    <t>【前提】</t>
    <rPh sb="1" eb="3">
      <t>ゼンテイ</t>
    </rPh>
    <phoneticPr fontId="4"/>
  </si>
  <si>
    <t>①構造物及び設備：</t>
    <rPh sb="1" eb="4">
      <t>コウゾウブツ</t>
    </rPh>
    <rPh sb="4" eb="5">
      <t>オヨ</t>
    </rPh>
    <rPh sb="6" eb="8">
      <t>セツビ</t>
    </rPh>
    <phoneticPr fontId="4"/>
  </si>
  <si>
    <t>②管路：</t>
    <rPh sb="1" eb="3">
      <t>カンロ</t>
    </rPh>
    <phoneticPr fontId="4"/>
  </si>
  <si>
    <t>　総務省提供資産ツールに基づき、法定耐用年数×1.2のタイミングで、基準単価×数量で試算</t>
    <rPh sb="34" eb="36">
      <t>キジュン</t>
    </rPh>
    <rPh sb="36" eb="38">
      <t>タンカ</t>
    </rPh>
    <rPh sb="39" eb="41">
      <t>スウリョウ</t>
    </rPh>
    <rPh sb="42" eb="44">
      <t>シサン</t>
    </rPh>
    <phoneticPr fontId="4"/>
  </si>
  <si>
    <t>　耐用年数が20年未満の資産について、従前、大規模な修繕が1件程度しか発生していないため、法定耐用年数×1.5のタイミングで、それ以外は法定用年数の1.2のタイミングで、試算時点の帳簿価額にデフレーターを加味した金額で試算</t>
    <rPh sb="1" eb="3">
      <t>タイヨウ</t>
    </rPh>
    <rPh sb="3" eb="5">
      <t>ネンスウ</t>
    </rPh>
    <rPh sb="8" eb="9">
      <t>ネン</t>
    </rPh>
    <rPh sb="9" eb="11">
      <t>ミマン</t>
    </rPh>
    <rPh sb="12" eb="14">
      <t>シサン</t>
    </rPh>
    <rPh sb="19" eb="21">
      <t>ジュウゼン</t>
    </rPh>
    <rPh sb="22" eb="25">
      <t>ダイキボ</t>
    </rPh>
    <rPh sb="26" eb="28">
      <t>シュウゼン</t>
    </rPh>
    <rPh sb="30" eb="31">
      <t>ケン</t>
    </rPh>
    <rPh sb="31" eb="33">
      <t>テイド</t>
    </rPh>
    <rPh sb="35" eb="37">
      <t>ハッセイ</t>
    </rPh>
    <rPh sb="45" eb="47">
      <t>ホウテイ</t>
    </rPh>
    <rPh sb="47" eb="49">
      <t>タイヨウ</t>
    </rPh>
    <rPh sb="49" eb="51">
      <t>ネンスウ</t>
    </rPh>
    <rPh sb="65" eb="67">
      <t>イガイ</t>
    </rPh>
    <rPh sb="68" eb="70">
      <t>ホウテイ</t>
    </rPh>
    <rPh sb="70" eb="71">
      <t>ヨウ</t>
    </rPh>
    <rPh sb="71" eb="73">
      <t>ネンスウ</t>
    </rPh>
    <rPh sb="85" eb="87">
      <t>シサン</t>
    </rPh>
    <rPh sb="87" eb="89">
      <t>ジテン</t>
    </rPh>
    <rPh sb="90" eb="92">
      <t>チョウボ</t>
    </rPh>
    <rPh sb="92" eb="94">
      <t>カガク</t>
    </rPh>
    <rPh sb="102" eb="104">
      <t>カミ</t>
    </rPh>
    <rPh sb="106" eb="108">
      <t>キンガク</t>
    </rPh>
    <rPh sb="109" eb="111">
      <t>シサン</t>
    </rPh>
    <phoneticPr fontId="4"/>
  </si>
  <si>
    <t>〇基本料金</t>
    <rPh sb="1" eb="3">
      <t>キホン</t>
    </rPh>
    <rPh sb="3" eb="5">
      <t>リョウキン</t>
    </rPh>
    <phoneticPr fontId="4"/>
  </si>
  <si>
    <t>現行</t>
    <rPh sb="0" eb="2">
      <t>ゲンコウ</t>
    </rPh>
    <phoneticPr fontId="10"/>
  </si>
  <si>
    <t>口径</t>
    <rPh sb="0" eb="2">
      <t>コウケイ</t>
    </rPh>
    <phoneticPr fontId="10"/>
  </si>
  <si>
    <t>料金</t>
    <rPh sb="0" eb="2">
      <t>リョウキン</t>
    </rPh>
    <phoneticPr fontId="10"/>
  </si>
  <si>
    <t>区分</t>
    <rPh sb="0" eb="2">
      <t>クブン</t>
    </rPh>
    <phoneticPr fontId="10"/>
  </si>
  <si>
    <t>実績</t>
    <rPh sb="0" eb="2">
      <t>ジッセキ</t>
    </rPh>
    <phoneticPr fontId="4"/>
  </si>
  <si>
    <t>試算</t>
    <rPh sb="0" eb="2">
      <t>シサン</t>
    </rPh>
    <phoneticPr fontId="4"/>
  </si>
  <si>
    <t>収入</t>
    <rPh sb="0" eb="2">
      <t>シュウニュウ</t>
    </rPh>
    <phoneticPr fontId="4"/>
  </si>
  <si>
    <t>3条</t>
    <rPh sb="1" eb="2">
      <t>ジョウ</t>
    </rPh>
    <phoneticPr fontId="4"/>
  </si>
  <si>
    <t>4条</t>
    <rPh sb="1" eb="2">
      <t>ジョウ</t>
    </rPh>
    <phoneticPr fontId="4"/>
  </si>
  <si>
    <t>資金残高</t>
  </si>
  <si>
    <t>企業債残高</t>
  </si>
  <si>
    <t>【料金体系】</t>
    <rPh sb="1" eb="3">
      <t>リョウキン</t>
    </rPh>
    <rPh sb="3" eb="5">
      <t>タイケイ</t>
    </rPh>
    <phoneticPr fontId="4"/>
  </si>
  <si>
    <t>乖離率</t>
    <rPh sb="0" eb="2">
      <t>カイリ</t>
    </rPh>
    <rPh sb="2" eb="3">
      <t>リツ</t>
    </rPh>
    <phoneticPr fontId="4"/>
  </si>
  <si>
    <t>H21</t>
    <phoneticPr fontId="4"/>
  </si>
  <si>
    <t>H22</t>
    <phoneticPr fontId="4"/>
  </si>
  <si>
    <t>H23</t>
  </si>
  <si>
    <t>H24</t>
  </si>
  <si>
    <t>H25</t>
  </si>
  <si>
    <t>H26</t>
  </si>
  <si>
    <t>H27</t>
  </si>
  <si>
    <t>資産の部</t>
    <rPh sb="0" eb="2">
      <t>シサン</t>
    </rPh>
    <rPh sb="3" eb="4">
      <t>ブ</t>
    </rPh>
    <phoneticPr fontId="4"/>
  </si>
  <si>
    <t>固定資産</t>
    <rPh sb="0" eb="2">
      <t>コテイ</t>
    </rPh>
    <rPh sb="2" eb="4">
      <t>シサン</t>
    </rPh>
    <phoneticPr fontId="4"/>
  </si>
  <si>
    <t>有形固定資産</t>
    <rPh sb="0" eb="2">
      <t>ユウケイ</t>
    </rPh>
    <rPh sb="2" eb="4">
      <t>コテイ</t>
    </rPh>
    <rPh sb="4" eb="6">
      <t>シサン</t>
    </rPh>
    <phoneticPr fontId="4"/>
  </si>
  <si>
    <t>土地</t>
    <rPh sb="0" eb="2">
      <t>トチ</t>
    </rPh>
    <phoneticPr fontId="4"/>
  </si>
  <si>
    <t>建物</t>
    <rPh sb="0" eb="2">
      <t>タテモノ</t>
    </rPh>
    <phoneticPr fontId="4"/>
  </si>
  <si>
    <t>項目</t>
    <rPh sb="0" eb="2">
      <t>コウモク</t>
    </rPh>
    <phoneticPr fontId="4"/>
  </si>
  <si>
    <t>該当箇所</t>
    <rPh sb="0" eb="2">
      <t>ガイトウ</t>
    </rPh>
    <rPh sb="2" eb="4">
      <t>カショ</t>
    </rPh>
    <phoneticPr fontId="4"/>
  </si>
  <si>
    <t>コード</t>
    <phoneticPr fontId="4"/>
  </si>
  <si>
    <t>単位</t>
    <rPh sb="0" eb="2">
      <t>タンイ</t>
    </rPh>
    <phoneticPr fontId="4"/>
  </si>
  <si>
    <t>人口　行政区域内人口</t>
    <rPh sb="0" eb="2">
      <t>ジンコウ</t>
    </rPh>
    <rPh sb="3" eb="5">
      <t>ギョウセイ</t>
    </rPh>
    <rPh sb="5" eb="7">
      <t>クイキ</t>
    </rPh>
    <rPh sb="7" eb="8">
      <t>ナイ</t>
    </rPh>
    <rPh sb="8" eb="10">
      <t>ジンコウ</t>
    </rPh>
    <phoneticPr fontId="4"/>
  </si>
  <si>
    <t>人</t>
    <rPh sb="0" eb="1">
      <t>ヒト</t>
    </rPh>
    <phoneticPr fontId="4"/>
  </si>
  <si>
    <t>（１－６）事業計画と水道普及　水道の普及状況</t>
    <rPh sb="5" eb="7">
      <t>ジギョウ</t>
    </rPh>
    <rPh sb="7" eb="9">
      <t>ケイカク</t>
    </rPh>
    <rPh sb="10" eb="12">
      <t>スイドウ</t>
    </rPh>
    <rPh sb="12" eb="14">
      <t>フキュウ</t>
    </rPh>
    <rPh sb="15" eb="17">
      <t>スイドウ</t>
    </rPh>
    <rPh sb="18" eb="20">
      <t>フキュウ</t>
    </rPh>
    <rPh sb="20" eb="22">
      <t>ジョウキョウ</t>
    </rPh>
    <phoneticPr fontId="4"/>
  </si>
  <si>
    <t>0201</t>
    <phoneticPr fontId="4"/>
  </si>
  <si>
    <t>人口　給水区域内人口</t>
    <rPh sb="0" eb="2">
      <t>ジンコウ</t>
    </rPh>
    <rPh sb="3" eb="5">
      <t>キュウスイ</t>
    </rPh>
    <rPh sb="5" eb="7">
      <t>クイキ</t>
    </rPh>
    <rPh sb="7" eb="8">
      <t>ナイ</t>
    </rPh>
    <rPh sb="8" eb="10">
      <t>ジンコウ</t>
    </rPh>
    <phoneticPr fontId="4"/>
  </si>
  <si>
    <t>0202</t>
    <phoneticPr fontId="4"/>
  </si>
  <si>
    <t>該当ページ</t>
    <rPh sb="0" eb="2">
      <t>ガイトウ</t>
    </rPh>
    <phoneticPr fontId="4"/>
  </si>
  <si>
    <t>人口　計画給水人口</t>
    <rPh sb="0" eb="2">
      <t>ジンコウ</t>
    </rPh>
    <rPh sb="3" eb="5">
      <t>ケイカク</t>
    </rPh>
    <rPh sb="5" eb="7">
      <t>キュウスイ</t>
    </rPh>
    <rPh sb="7" eb="9">
      <t>ジンコウ</t>
    </rPh>
    <phoneticPr fontId="4"/>
  </si>
  <si>
    <t>0204</t>
    <phoneticPr fontId="4"/>
  </si>
  <si>
    <t>人口　現在給水人口</t>
    <rPh sb="0" eb="2">
      <t>ジンコウ</t>
    </rPh>
    <rPh sb="3" eb="5">
      <t>ゲンザイ</t>
    </rPh>
    <rPh sb="5" eb="7">
      <t>キュウスイ</t>
    </rPh>
    <rPh sb="7" eb="9">
      <t>ジンコウ</t>
    </rPh>
    <phoneticPr fontId="4"/>
  </si>
  <si>
    <t>0206</t>
    <phoneticPr fontId="4"/>
  </si>
  <si>
    <t>人口　給水普及率</t>
    <rPh sb="0" eb="2">
      <t>ジンコウ</t>
    </rPh>
    <rPh sb="3" eb="5">
      <t>キュウスイ</t>
    </rPh>
    <rPh sb="5" eb="7">
      <t>フキュウ</t>
    </rPh>
    <rPh sb="7" eb="8">
      <t>リツ</t>
    </rPh>
    <phoneticPr fontId="4"/>
  </si>
  <si>
    <t>0208</t>
    <phoneticPr fontId="4"/>
  </si>
  <si>
    <t>世帯数　行政区域内世帯数</t>
    <rPh sb="0" eb="3">
      <t>セタイスウ</t>
    </rPh>
    <rPh sb="4" eb="6">
      <t>ギョウセイ</t>
    </rPh>
    <rPh sb="6" eb="8">
      <t>クイキ</t>
    </rPh>
    <rPh sb="8" eb="9">
      <t>ナイ</t>
    </rPh>
    <rPh sb="9" eb="12">
      <t>セタイスウ</t>
    </rPh>
    <phoneticPr fontId="4"/>
  </si>
  <si>
    <t>0209</t>
    <phoneticPr fontId="4"/>
  </si>
  <si>
    <t>世帯数　給水区域内世帯数</t>
    <rPh sb="0" eb="3">
      <t>セタイスウ</t>
    </rPh>
    <rPh sb="4" eb="6">
      <t>キュウスイ</t>
    </rPh>
    <rPh sb="6" eb="8">
      <t>クイキ</t>
    </rPh>
    <rPh sb="8" eb="9">
      <t>ナイ</t>
    </rPh>
    <rPh sb="9" eb="12">
      <t>セタイスウ</t>
    </rPh>
    <phoneticPr fontId="4"/>
  </si>
  <si>
    <t>0210</t>
    <phoneticPr fontId="4"/>
  </si>
  <si>
    <t>世帯数　現在給水世帯数</t>
    <rPh sb="0" eb="3">
      <t>セタイスウ</t>
    </rPh>
    <rPh sb="4" eb="6">
      <t>ゲンザイ</t>
    </rPh>
    <rPh sb="6" eb="8">
      <t>キュウスイ</t>
    </rPh>
    <rPh sb="8" eb="11">
      <t>セタイスウ</t>
    </rPh>
    <phoneticPr fontId="4"/>
  </si>
  <si>
    <t>0212</t>
    <phoneticPr fontId="4"/>
  </si>
  <si>
    <t>戸</t>
    <rPh sb="0" eb="1">
      <t>ト</t>
    </rPh>
    <phoneticPr fontId="4"/>
  </si>
  <si>
    <t>（３－４）給水状況　口径別給水契約数及び年間有収水量</t>
    <rPh sb="5" eb="7">
      <t>キュウスイ</t>
    </rPh>
    <rPh sb="7" eb="9">
      <t>ジョウキョウ</t>
    </rPh>
    <rPh sb="10" eb="12">
      <t>コウケイ</t>
    </rPh>
    <rPh sb="12" eb="13">
      <t>ベツ</t>
    </rPh>
    <rPh sb="13" eb="15">
      <t>キュウスイ</t>
    </rPh>
    <rPh sb="15" eb="17">
      <t>ケイヤク</t>
    </rPh>
    <rPh sb="17" eb="18">
      <t>スウ</t>
    </rPh>
    <rPh sb="18" eb="19">
      <t>オヨ</t>
    </rPh>
    <rPh sb="20" eb="22">
      <t>ネンカン</t>
    </rPh>
    <rPh sb="22" eb="24">
      <t>ユウシュウ</t>
    </rPh>
    <rPh sb="24" eb="26">
      <t>スイリョウ</t>
    </rPh>
    <phoneticPr fontId="4"/>
  </si>
  <si>
    <t>5329</t>
    <phoneticPr fontId="4"/>
  </si>
  <si>
    <t>口径別給水契約数　13㎜</t>
    <rPh sb="0" eb="2">
      <t>コウケイ</t>
    </rPh>
    <rPh sb="2" eb="3">
      <t>ベツ</t>
    </rPh>
    <rPh sb="3" eb="5">
      <t>キュウスイ</t>
    </rPh>
    <rPh sb="5" eb="7">
      <t>ケイヤク</t>
    </rPh>
    <rPh sb="7" eb="8">
      <t>スウ</t>
    </rPh>
    <phoneticPr fontId="4"/>
  </si>
  <si>
    <t>件</t>
    <rPh sb="0" eb="1">
      <t>ケン</t>
    </rPh>
    <phoneticPr fontId="4"/>
  </si>
  <si>
    <t>5331</t>
    <phoneticPr fontId="4"/>
  </si>
  <si>
    <t>5332</t>
    <phoneticPr fontId="4"/>
  </si>
  <si>
    <t>5333</t>
  </si>
  <si>
    <t>5334</t>
  </si>
  <si>
    <t>5335</t>
  </si>
  <si>
    <t>5336</t>
  </si>
  <si>
    <t>5337</t>
  </si>
  <si>
    <t>口径別給水契約数　20㎜</t>
    <rPh sb="0" eb="2">
      <t>コウケイ</t>
    </rPh>
    <rPh sb="2" eb="3">
      <t>ベツ</t>
    </rPh>
    <rPh sb="3" eb="5">
      <t>キュウスイ</t>
    </rPh>
    <rPh sb="5" eb="7">
      <t>ケイヤク</t>
    </rPh>
    <rPh sb="7" eb="8">
      <t>スウ</t>
    </rPh>
    <phoneticPr fontId="4"/>
  </si>
  <si>
    <t>口径別給水契約数　25㎜</t>
    <rPh sb="0" eb="2">
      <t>コウケイ</t>
    </rPh>
    <rPh sb="2" eb="3">
      <t>ベツ</t>
    </rPh>
    <rPh sb="3" eb="5">
      <t>キュウスイ</t>
    </rPh>
    <rPh sb="5" eb="7">
      <t>ケイヤク</t>
    </rPh>
    <rPh sb="7" eb="8">
      <t>スウ</t>
    </rPh>
    <phoneticPr fontId="4"/>
  </si>
  <si>
    <t>口径別給水契約数　30㎜</t>
    <rPh sb="0" eb="2">
      <t>コウケイ</t>
    </rPh>
    <rPh sb="2" eb="3">
      <t>ベツ</t>
    </rPh>
    <rPh sb="3" eb="5">
      <t>キュウスイ</t>
    </rPh>
    <rPh sb="5" eb="7">
      <t>ケイヤク</t>
    </rPh>
    <rPh sb="7" eb="8">
      <t>スウ</t>
    </rPh>
    <phoneticPr fontId="4"/>
  </si>
  <si>
    <t>口径別給水契約数　40㎜</t>
    <rPh sb="0" eb="2">
      <t>コウケイ</t>
    </rPh>
    <rPh sb="2" eb="3">
      <t>ベツ</t>
    </rPh>
    <rPh sb="3" eb="5">
      <t>キュウスイ</t>
    </rPh>
    <rPh sb="5" eb="7">
      <t>ケイヤク</t>
    </rPh>
    <rPh sb="7" eb="8">
      <t>スウ</t>
    </rPh>
    <phoneticPr fontId="4"/>
  </si>
  <si>
    <t>口径別給水契約数　50㎜</t>
    <rPh sb="0" eb="2">
      <t>コウケイ</t>
    </rPh>
    <rPh sb="2" eb="3">
      <t>ベツ</t>
    </rPh>
    <rPh sb="3" eb="5">
      <t>キュウスイ</t>
    </rPh>
    <rPh sb="5" eb="7">
      <t>ケイヤク</t>
    </rPh>
    <rPh sb="7" eb="8">
      <t>スウ</t>
    </rPh>
    <phoneticPr fontId="4"/>
  </si>
  <si>
    <t>口径別給水契約数　75㎜</t>
    <rPh sb="0" eb="2">
      <t>コウケイ</t>
    </rPh>
    <rPh sb="2" eb="3">
      <t>ベツ</t>
    </rPh>
    <rPh sb="3" eb="5">
      <t>キュウスイ</t>
    </rPh>
    <rPh sb="5" eb="7">
      <t>ケイヤク</t>
    </rPh>
    <rPh sb="7" eb="8">
      <t>スウ</t>
    </rPh>
    <phoneticPr fontId="4"/>
  </si>
  <si>
    <t>口径別給水契約数　100㎜</t>
    <rPh sb="0" eb="2">
      <t>コウケイ</t>
    </rPh>
    <rPh sb="2" eb="3">
      <t>ベツ</t>
    </rPh>
    <rPh sb="3" eb="5">
      <t>キュウスイ</t>
    </rPh>
    <rPh sb="5" eb="7">
      <t>ケイヤク</t>
    </rPh>
    <rPh sb="7" eb="8">
      <t>スウ</t>
    </rPh>
    <phoneticPr fontId="4"/>
  </si>
  <si>
    <t>5342</t>
    <phoneticPr fontId="4"/>
  </si>
  <si>
    <t>口径別給水契約数　合計</t>
    <rPh sb="0" eb="2">
      <t>コウケイ</t>
    </rPh>
    <rPh sb="2" eb="3">
      <t>ベツ</t>
    </rPh>
    <rPh sb="3" eb="5">
      <t>キュウスイ</t>
    </rPh>
    <rPh sb="5" eb="7">
      <t>ケイヤク</t>
    </rPh>
    <rPh sb="7" eb="8">
      <t>スウ</t>
    </rPh>
    <rPh sb="9" eb="11">
      <t>ゴウケイ</t>
    </rPh>
    <phoneticPr fontId="4"/>
  </si>
  <si>
    <t>口径別給水有収水量　13㎜</t>
    <rPh sb="0" eb="2">
      <t>コウケイ</t>
    </rPh>
    <rPh sb="2" eb="3">
      <t>ベツ</t>
    </rPh>
    <rPh sb="3" eb="5">
      <t>キュウスイ</t>
    </rPh>
    <phoneticPr fontId="4"/>
  </si>
  <si>
    <t>口径別給水有収水量　20㎜</t>
    <rPh sb="0" eb="2">
      <t>コウケイ</t>
    </rPh>
    <rPh sb="2" eb="3">
      <t>ベツ</t>
    </rPh>
    <rPh sb="3" eb="5">
      <t>キュウスイ</t>
    </rPh>
    <phoneticPr fontId="4"/>
  </si>
  <si>
    <t>口径別給水有収水量　25㎜</t>
    <rPh sb="0" eb="2">
      <t>コウケイ</t>
    </rPh>
    <rPh sb="2" eb="3">
      <t>ベツ</t>
    </rPh>
    <rPh sb="3" eb="5">
      <t>キュウスイ</t>
    </rPh>
    <phoneticPr fontId="4"/>
  </si>
  <si>
    <t>口径別給水有収水量　30㎜</t>
    <rPh sb="0" eb="2">
      <t>コウケイ</t>
    </rPh>
    <rPh sb="2" eb="3">
      <t>ベツ</t>
    </rPh>
    <rPh sb="3" eb="5">
      <t>キュウスイ</t>
    </rPh>
    <phoneticPr fontId="4"/>
  </si>
  <si>
    <t>口径別給水有収水量　40㎜</t>
    <rPh sb="0" eb="2">
      <t>コウケイ</t>
    </rPh>
    <rPh sb="2" eb="3">
      <t>ベツ</t>
    </rPh>
    <rPh sb="3" eb="5">
      <t>キュウスイ</t>
    </rPh>
    <phoneticPr fontId="4"/>
  </si>
  <si>
    <t>口径別給水有収水量　50㎜</t>
    <rPh sb="0" eb="2">
      <t>コウケイ</t>
    </rPh>
    <rPh sb="2" eb="3">
      <t>ベツ</t>
    </rPh>
    <rPh sb="3" eb="5">
      <t>キュウスイ</t>
    </rPh>
    <phoneticPr fontId="4"/>
  </si>
  <si>
    <t>口径別給水有収水量　75㎜</t>
    <rPh sb="0" eb="2">
      <t>コウケイ</t>
    </rPh>
    <rPh sb="2" eb="3">
      <t>ベツ</t>
    </rPh>
    <rPh sb="3" eb="5">
      <t>キュウスイ</t>
    </rPh>
    <phoneticPr fontId="4"/>
  </si>
  <si>
    <t>口径別給水有収水量　100㎜</t>
    <rPh sb="0" eb="2">
      <t>コウケイ</t>
    </rPh>
    <rPh sb="2" eb="3">
      <t>ベツ</t>
    </rPh>
    <rPh sb="3" eb="5">
      <t>キュウスイ</t>
    </rPh>
    <phoneticPr fontId="4"/>
  </si>
  <si>
    <t>口径別給水有収水量　合計</t>
    <rPh sb="0" eb="2">
      <t>コウケイ</t>
    </rPh>
    <rPh sb="2" eb="3">
      <t>ベツ</t>
    </rPh>
    <rPh sb="3" eb="5">
      <t>キュウスイ</t>
    </rPh>
    <rPh sb="10" eb="12">
      <t>ゴウケイ</t>
    </rPh>
    <phoneticPr fontId="4"/>
  </si>
  <si>
    <t>5344</t>
    <phoneticPr fontId="4"/>
  </si>
  <si>
    <t>5346</t>
    <phoneticPr fontId="4"/>
  </si>
  <si>
    <t>5347</t>
    <phoneticPr fontId="4"/>
  </si>
  <si>
    <t>5348</t>
  </si>
  <si>
    <t>5349</t>
  </si>
  <si>
    <t>5350</t>
  </si>
  <si>
    <t>5351</t>
  </si>
  <si>
    <t>5352</t>
  </si>
  <si>
    <t>5357</t>
    <phoneticPr fontId="4"/>
  </si>
  <si>
    <t>（３－２）給水状況　取水量・浄水量・給水量</t>
    <rPh sb="5" eb="7">
      <t>キュウスイ</t>
    </rPh>
    <rPh sb="7" eb="9">
      <t>ジョウキョウ</t>
    </rPh>
    <rPh sb="10" eb="12">
      <t>シュスイ</t>
    </rPh>
    <rPh sb="12" eb="13">
      <t>リョウ</t>
    </rPh>
    <rPh sb="14" eb="16">
      <t>ジョウスイ</t>
    </rPh>
    <rPh sb="16" eb="17">
      <t>リョウ</t>
    </rPh>
    <rPh sb="18" eb="20">
      <t>キュウスイ</t>
    </rPh>
    <rPh sb="20" eb="21">
      <t>リョウ</t>
    </rPh>
    <phoneticPr fontId="4"/>
  </si>
  <si>
    <t>年間給水量　年間給水量</t>
    <rPh sb="0" eb="2">
      <t>ネンカン</t>
    </rPh>
    <rPh sb="2" eb="4">
      <t>キュウスイ</t>
    </rPh>
    <rPh sb="4" eb="5">
      <t>リョウ</t>
    </rPh>
    <rPh sb="6" eb="8">
      <t>ネンカン</t>
    </rPh>
    <rPh sb="8" eb="10">
      <t>キュウスイ</t>
    </rPh>
    <rPh sb="10" eb="11">
      <t>リョウ</t>
    </rPh>
    <phoneticPr fontId="4"/>
  </si>
  <si>
    <t>千㎥</t>
    <rPh sb="0" eb="1">
      <t>セン</t>
    </rPh>
    <phoneticPr fontId="4"/>
  </si>
  <si>
    <t>年間給水量　有効水量</t>
    <rPh sb="0" eb="2">
      <t>ネンカン</t>
    </rPh>
    <rPh sb="2" eb="4">
      <t>キュウスイ</t>
    </rPh>
    <rPh sb="4" eb="5">
      <t>リョウ</t>
    </rPh>
    <rPh sb="6" eb="8">
      <t>ユウコウ</t>
    </rPh>
    <rPh sb="8" eb="10">
      <t>スイリョウ</t>
    </rPh>
    <phoneticPr fontId="4"/>
  </si>
  <si>
    <t>年間給水量　内訳　有収水量</t>
    <rPh sb="0" eb="2">
      <t>ネンカン</t>
    </rPh>
    <rPh sb="2" eb="4">
      <t>キュウスイ</t>
    </rPh>
    <rPh sb="4" eb="5">
      <t>リョウ</t>
    </rPh>
    <rPh sb="6" eb="8">
      <t>ウチワケ</t>
    </rPh>
    <rPh sb="9" eb="11">
      <t>ユウシュウ</t>
    </rPh>
    <rPh sb="11" eb="13">
      <t>スイリョウ</t>
    </rPh>
    <rPh sb="12" eb="13">
      <t>リョウ</t>
    </rPh>
    <phoneticPr fontId="4"/>
  </si>
  <si>
    <t>年間給水量　内訳　無収水量</t>
    <rPh sb="0" eb="2">
      <t>ネンカン</t>
    </rPh>
    <rPh sb="2" eb="4">
      <t>キュウスイ</t>
    </rPh>
    <rPh sb="4" eb="5">
      <t>リョウ</t>
    </rPh>
    <rPh sb="6" eb="8">
      <t>ウチワケ</t>
    </rPh>
    <rPh sb="9" eb="10">
      <t>ム</t>
    </rPh>
    <rPh sb="10" eb="11">
      <t>オサム</t>
    </rPh>
    <rPh sb="11" eb="13">
      <t>スイリョウ</t>
    </rPh>
    <phoneticPr fontId="4"/>
  </si>
  <si>
    <t>年間給水量　無効水量</t>
    <rPh sb="0" eb="2">
      <t>ネンカン</t>
    </rPh>
    <rPh sb="2" eb="4">
      <t>キュウスイ</t>
    </rPh>
    <rPh sb="4" eb="5">
      <t>リョウ</t>
    </rPh>
    <rPh sb="6" eb="8">
      <t>ムコウ</t>
    </rPh>
    <rPh sb="8" eb="10">
      <t>スイリョウ</t>
    </rPh>
    <phoneticPr fontId="4"/>
  </si>
  <si>
    <t>5020</t>
    <phoneticPr fontId="4"/>
  </si>
  <si>
    <t>5021</t>
    <phoneticPr fontId="4"/>
  </si>
  <si>
    <t>5022</t>
    <phoneticPr fontId="4"/>
  </si>
  <si>
    <t>5023</t>
    <phoneticPr fontId="4"/>
  </si>
  <si>
    <t>5024</t>
    <phoneticPr fontId="4"/>
  </si>
  <si>
    <t>DS：水道用水供給事業調査表</t>
    <phoneticPr fontId="4"/>
  </si>
  <si>
    <t>水道使用料</t>
    <rPh sb="0" eb="2">
      <t>スイドウ</t>
    </rPh>
    <rPh sb="2" eb="5">
      <t>シヨウリョウ</t>
    </rPh>
    <phoneticPr fontId="4"/>
  </si>
  <si>
    <t>受託工事収益</t>
    <rPh sb="0" eb="2">
      <t>ジュタク</t>
    </rPh>
    <rPh sb="2" eb="4">
      <t>コウジ</t>
    </rPh>
    <rPh sb="4" eb="6">
      <t>シュウエキ</t>
    </rPh>
    <phoneticPr fontId="4"/>
  </si>
  <si>
    <t>手数料</t>
    <rPh sb="0" eb="3">
      <t>テスウリョウ</t>
    </rPh>
    <phoneticPr fontId="4"/>
  </si>
  <si>
    <t>他会計負担金</t>
    <rPh sb="0" eb="1">
      <t>ホカ</t>
    </rPh>
    <rPh sb="1" eb="3">
      <t>カイケイ</t>
    </rPh>
    <rPh sb="3" eb="5">
      <t>フタン</t>
    </rPh>
    <rPh sb="5" eb="6">
      <t>キン</t>
    </rPh>
    <phoneticPr fontId="4"/>
  </si>
  <si>
    <t>預金利息</t>
    <rPh sb="0" eb="2">
      <t>ヨキン</t>
    </rPh>
    <rPh sb="2" eb="4">
      <t>リソク</t>
    </rPh>
    <phoneticPr fontId="4"/>
  </si>
  <si>
    <t>その他雑収益</t>
    <rPh sb="2" eb="3">
      <t>タ</t>
    </rPh>
    <rPh sb="3" eb="6">
      <t>ザツシュウエキ</t>
    </rPh>
    <phoneticPr fontId="4"/>
  </si>
  <si>
    <t>発生品受入益</t>
    <rPh sb="0" eb="2">
      <t>ハッセイ</t>
    </rPh>
    <rPh sb="2" eb="3">
      <t>ヒン</t>
    </rPh>
    <rPh sb="3" eb="5">
      <t>ウケイレ</t>
    </rPh>
    <rPh sb="5" eb="6">
      <t>エキ</t>
    </rPh>
    <phoneticPr fontId="4"/>
  </si>
  <si>
    <t>不用品売却収益</t>
    <rPh sb="0" eb="3">
      <t>フヨウヒン</t>
    </rPh>
    <rPh sb="3" eb="5">
      <t>バイキャク</t>
    </rPh>
    <rPh sb="5" eb="7">
      <t>シュウエキ</t>
    </rPh>
    <phoneticPr fontId="4"/>
  </si>
  <si>
    <t>賃金</t>
    <rPh sb="0" eb="2">
      <t>チンギン</t>
    </rPh>
    <phoneticPr fontId="4"/>
  </si>
  <si>
    <t>備消品費</t>
    <rPh sb="0" eb="4">
      <t>ビショウヒンヒ</t>
    </rPh>
    <phoneticPr fontId="4"/>
  </si>
  <si>
    <t>燃料費</t>
    <rPh sb="0" eb="3">
      <t>ネンリョウヒ</t>
    </rPh>
    <phoneticPr fontId="4"/>
  </si>
  <si>
    <t>光熱水費</t>
    <rPh sb="0" eb="2">
      <t>コウネツ</t>
    </rPh>
    <rPh sb="2" eb="3">
      <t>スイ</t>
    </rPh>
    <rPh sb="3" eb="4">
      <t>ヒ</t>
    </rPh>
    <phoneticPr fontId="4"/>
  </si>
  <si>
    <t>通信運搬費</t>
    <rPh sb="0" eb="2">
      <t>ツウシン</t>
    </rPh>
    <rPh sb="2" eb="4">
      <t>ウンパン</t>
    </rPh>
    <rPh sb="4" eb="5">
      <t>ヒ</t>
    </rPh>
    <phoneticPr fontId="4"/>
  </si>
  <si>
    <t>賃借料</t>
    <rPh sb="0" eb="3">
      <t>チンシャクリョウ</t>
    </rPh>
    <phoneticPr fontId="4"/>
  </si>
  <si>
    <t>材料費</t>
    <rPh sb="0" eb="3">
      <t>ザイリョウヒ</t>
    </rPh>
    <phoneticPr fontId="4"/>
  </si>
  <si>
    <t>受水費</t>
    <rPh sb="0" eb="2">
      <t>ジュスイ</t>
    </rPh>
    <rPh sb="2" eb="3">
      <t>ヒ</t>
    </rPh>
    <phoneticPr fontId="4"/>
  </si>
  <si>
    <t>工事請負費</t>
    <rPh sb="0" eb="2">
      <t>コウジ</t>
    </rPh>
    <rPh sb="2" eb="4">
      <t>ウケオイ</t>
    </rPh>
    <rPh sb="4" eb="5">
      <t>ヒ</t>
    </rPh>
    <phoneticPr fontId="4"/>
  </si>
  <si>
    <t>雑費</t>
    <rPh sb="0" eb="2">
      <t>ザッピ</t>
    </rPh>
    <phoneticPr fontId="4"/>
  </si>
  <si>
    <t>印刷製本費</t>
    <rPh sb="0" eb="2">
      <t>インサツ</t>
    </rPh>
    <rPh sb="2" eb="4">
      <t>セイホン</t>
    </rPh>
    <rPh sb="4" eb="5">
      <t>ヒ</t>
    </rPh>
    <phoneticPr fontId="4"/>
  </si>
  <si>
    <t>備消品費</t>
    <rPh sb="0" eb="3">
      <t>ビショウヒン</t>
    </rPh>
    <rPh sb="3" eb="4">
      <t>ヒ</t>
    </rPh>
    <phoneticPr fontId="4"/>
  </si>
  <si>
    <t>光熱水費</t>
    <rPh sb="0" eb="4">
      <t>コウネツスイヒ</t>
    </rPh>
    <phoneticPr fontId="4"/>
  </si>
  <si>
    <t>受託工事費</t>
    <rPh sb="0" eb="2">
      <t>ジュタク</t>
    </rPh>
    <rPh sb="2" eb="4">
      <t>コウジ</t>
    </rPh>
    <rPh sb="4" eb="5">
      <t>ヒ</t>
    </rPh>
    <phoneticPr fontId="4"/>
  </si>
  <si>
    <t>給料</t>
    <rPh sb="0" eb="2">
      <t>キュウリョウ</t>
    </rPh>
    <phoneticPr fontId="4"/>
  </si>
  <si>
    <t>手当</t>
    <rPh sb="0" eb="2">
      <t>テアテ</t>
    </rPh>
    <phoneticPr fontId="4"/>
  </si>
  <si>
    <t>賞与等引当金繰入額</t>
    <rPh sb="0" eb="2">
      <t>ショウヨ</t>
    </rPh>
    <rPh sb="2" eb="3">
      <t>トウ</t>
    </rPh>
    <rPh sb="3" eb="5">
      <t>ヒキアテ</t>
    </rPh>
    <rPh sb="5" eb="6">
      <t>キン</t>
    </rPh>
    <rPh sb="6" eb="8">
      <t>クリイレ</t>
    </rPh>
    <rPh sb="8" eb="9">
      <t>ガク</t>
    </rPh>
    <phoneticPr fontId="4"/>
  </si>
  <si>
    <t>法定福利費</t>
    <rPh sb="0" eb="2">
      <t>ホウテイ</t>
    </rPh>
    <rPh sb="2" eb="4">
      <t>フクリ</t>
    </rPh>
    <rPh sb="4" eb="5">
      <t>ヒ</t>
    </rPh>
    <phoneticPr fontId="4"/>
  </si>
  <si>
    <t>旅費</t>
    <rPh sb="0" eb="2">
      <t>リョヒ</t>
    </rPh>
    <phoneticPr fontId="4"/>
  </si>
  <si>
    <t>食糧費</t>
    <rPh sb="0" eb="3">
      <t>ショクリョウヒ</t>
    </rPh>
    <phoneticPr fontId="4"/>
  </si>
  <si>
    <t>会費負担金</t>
    <rPh sb="0" eb="2">
      <t>カイヒ</t>
    </rPh>
    <rPh sb="2" eb="4">
      <t>フタン</t>
    </rPh>
    <rPh sb="4" eb="5">
      <t>キン</t>
    </rPh>
    <phoneticPr fontId="4"/>
  </si>
  <si>
    <t>保険料</t>
    <rPh sb="0" eb="3">
      <t>ホケンリョウ</t>
    </rPh>
    <phoneticPr fontId="4"/>
  </si>
  <si>
    <t>公課費</t>
    <rPh sb="0" eb="3">
      <t>コウカヒ</t>
    </rPh>
    <phoneticPr fontId="4"/>
  </si>
  <si>
    <t>有形固定資産減価償却費</t>
    <rPh sb="0" eb="2">
      <t>ユウケイ</t>
    </rPh>
    <rPh sb="2" eb="4">
      <t>コテイ</t>
    </rPh>
    <rPh sb="4" eb="6">
      <t>シサン</t>
    </rPh>
    <rPh sb="6" eb="8">
      <t>ゲンカ</t>
    </rPh>
    <rPh sb="8" eb="10">
      <t>ショウキャク</t>
    </rPh>
    <rPh sb="10" eb="11">
      <t>ヒ</t>
    </rPh>
    <phoneticPr fontId="4"/>
  </si>
  <si>
    <t>棚卸資産減耗費</t>
    <rPh sb="0" eb="1">
      <t>タナ</t>
    </rPh>
    <rPh sb="1" eb="2">
      <t>オロシ</t>
    </rPh>
    <rPh sb="2" eb="4">
      <t>シサン</t>
    </rPh>
    <rPh sb="4" eb="6">
      <t>ゲンモウ</t>
    </rPh>
    <rPh sb="6" eb="7">
      <t>ヒ</t>
    </rPh>
    <phoneticPr fontId="4"/>
  </si>
  <si>
    <t>その他営業費用</t>
    <rPh sb="2" eb="3">
      <t>タ</t>
    </rPh>
    <rPh sb="3" eb="5">
      <t>エイギョウ</t>
    </rPh>
    <rPh sb="5" eb="7">
      <t>ヒヨウ</t>
    </rPh>
    <phoneticPr fontId="4"/>
  </si>
  <si>
    <t>材料売価原価</t>
    <rPh sb="0" eb="2">
      <t>ザイリョウ</t>
    </rPh>
    <rPh sb="2" eb="4">
      <t>バイカ</t>
    </rPh>
    <rPh sb="4" eb="6">
      <t>ゲンカ</t>
    </rPh>
    <phoneticPr fontId="4"/>
  </si>
  <si>
    <t>支払利息及び企業債取扱諸費</t>
    <rPh sb="0" eb="2">
      <t>シハライ</t>
    </rPh>
    <rPh sb="2" eb="4">
      <t>リソク</t>
    </rPh>
    <rPh sb="4" eb="5">
      <t>オヨ</t>
    </rPh>
    <rPh sb="6" eb="8">
      <t>キギョウ</t>
    </rPh>
    <rPh sb="8" eb="9">
      <t>サイ</t>
    </rPh>
    <rPh sb="9" eb="10">
      <t>ト</t>
    </rPh>
    <rPh sb="10" eb="11">
      <t>アツカ</t>
    </rPh>
    <rPh sb="11" eb="13">
      <t>ショヒ</t>
    </rPh>
    <phoneticPr fontId="4"/>
  </si>
  <si>
    <t>企業債利息</t>
    <rPh sb="0" eb="2">
      <t>キギョウ</t>
    </rPh>
    <rPh sb="2" eb="3">
      <t>サイ</t>
    </rPh>
    <rPh sb="3" eb="5">
      <t>リソク</t>
    </rPh>
    <phoneticPr fontId="4"/>
  </si>
  <si>
    <t>手当等</t>
    <rPh sb="0" eb="2">
      <t>テアテ</t>
    </rPh>
    <rPh sb="2" eb="3">
      <t>トウ</t>
    </rPh>
    <phoneticPr fontId="4"/>
  </si>
  <si>
    <t>国県補助金</t>
    <rPh sb="0" eb="1">
      <t>クニ</t>
    </rPh>
    <rPh sb="1" eb="2">
      <t>ケン</t>
    </rPh>
    <rPh sb="2" eb="5">
      <t>ホジョキン</t>
    </rPh>
    <phoneticPr fontId="4"/>
  </si>
  <si>
    <t>メーター費</t>
    <rPh sb="4" eb="5">
      <t>ヒ</t>
    </rPh>
    <phoneticPr fontId="4"/>
  </si>
  <si>
    <t>拡張事業費</t>
    <rPh sb="0" eb="2">
      <t>カクチョウ</t>
    </rPh>
    <rPh sb="2" eb="5">
      <t>ジギョウヒ</t>
    </rPh>
    <phoneticPr fontId="4"/>
  </si>
  <si>
    <t>公有財産購入費</t>
    <rPh sb="0" eb="2">
      <t>コウユウ</t>
    </rPh>
    <rPh sb="2" eb="4">
      <t>ザイサン</t>
    </rPh>
    <rPh sb="4" eb="6">
      <t>コウニュウ</t>
    </rPh>
    <rPh sb="6" eb="7">
      <t>ヒ</t>
    </rPh>
    <phoneticPr fontId="4"/>
  </si>
  <si>
    <t>補助金</t>
    <rPh sb="0" eb="3">
      <t>ホジョキン</t>
    </rPh>
    <phoneticPr fontId="4"/>
  </si>
  <si>
    <t>他会計補助金</t>
    <rPh sb="0" eb="1">
      <t>ホカ</t>
    </rPh>
    <rPh sb="1" eb="3">
      <t>カイケイ</t>
    </rPh>
    <rPh sb="3" eb="6">
      <t>ホジョキン</t>
    </rPh>
    <phoneticPr fontId="4"/>
  </si>
  <si>
    <t>工事負担金</t>
    <rPh sb="0" eb="2">
      <t>コウジ</t>
    </rPh>
    <rPh sb="2" eb="5">
      <t>フタンキン</t>
    </rPh>
    <phoneticPr fontId="4"/>
  </si>
  <si>
    <t>　節</t>
    <rPh sb="1" eb="2">
      <t>セツ</t>
    </rPh>
    <phoneticPr fontId="4"/>
  </si>
  <si>
    <t>過年度損益修正益</t>
    <rPh sb="0" eb="3">
      <t>カネンド</t>
    </rPh>
    <rPh sb="3" eb="5">
      <t>ソンエキ</t>
    </rPh>
    <rPh sb="5" eb="7">
      <t>シュウセイ</t>
    </rPh>
    <rPh sb="7" eb="8">
      <t>エキ</t>
    </rPh>
    <phoneticPr fontId="4"/>
  </si>
  <si>
    <t>構築物</t>
    <rPh sb="0" eb="3">
      <t>コウチクブツ</t>
    </rPh>
    <phoneticPr fontId="4"/>
  </si>
  <si>
    <t>機械及び装置</t>
    <rPh sb="0" eb="2">
      <t>キカイ</t>
    </rPh>
    <rPh sb="2" eb="3">
      <t>オヨ</t>
    </rPh>
    <rPh sb="4" eb="6">
      <t>ソウチ</t>
    </rPh>
    <phoneticPr fontId="4"/>
  </si>
  <si>
    <t>工具器具及び備品</t>
    <rPh sb="0" eb="2">
      <t>コウグ</t>
    </rPh>
    <rPh sb="2" eb="4">
      <t>キグ</t>
    </rPh>
    <rPh sb="4" eb="5">
      <t>オヨ</t>
    </rPh>
    <rPh sb="6" eb="8">
      <t>ビヒン</t>
    </rPh>
    <phoneticPr fontId="4"/>
  </si>
  <si>
    <t>建設仮勘定</t>
    <rPh sb="0" eb="2">
      <t>ケンセツ</t>
    </rPh>
    <rPh sb="2" eb="5">
      <t>カリカンジョウ</t>
    </rPh>
    <phoneticPr fontId="4"/>
  </si>
  <si>
    <t>流動資産</t>
    <rPh sb="0" eb="2">
      <t>リュウドウ</t>
    </rPh>
    <rPh sb="2" eb="4">
      <t>シサン</t>
    </rPh>
    <phoneticPr fontId="4"/>
  </si>
  <si>
    <t>現金預金</t>
    <rPh sb="0" eb="2">
      <t>ゲンキン</t>
    </rPh>
    <rPh sb="2" eb="4">
      <t>ヨキン</t>
    </rPh>
    <phoneticPr fontId="4"/>
  </si>
  <si>
    <t>未収金</t>
    <rPh sb="0" eb="3">
      <t>ミシュウキン</t>
    </rPh>
    <phoneticPr fontId="4"/>
  </si>
  <si>
    <t>貯蔵品</t>
    <rPh sb="0" eb="3">
      <t>チョゾウヒン</t>
    </rPh>
    <phoneticPr fontId="4"/>
  </si>
  <si>
    <t>その他流動資産</t>
    <rPh sb="2" eb="3">
      <t>タ</t>
    </rPh>
    <rPh sb="3" eb="5">
      <t>リュウドウ</t>
    </rPh>
    <rPh sb="5" eb="7">
      <t>シサン</t>
    </rPh>
    <phoneticPr fontId="4"/>
  </si>
  <si>
    <t>前払金</t>
    <rPh sb="0" eb="3">
      <t>マエバライキン</t>
    </rPh>
    <phoneticPr fontId="4"/>
  </si>
  <si>
    <t xml:space="preserve"> 節</t>
    <rPh sb="1" eb="2">
      <t>セツ</t>
    </rPh>
    <phoneticPr fontId="4"/>
  </si>
  <si>
    <t>負債の部</t>
    <rPh sb="0" eb="2">
      <t>フサイ</t>
    </rPh>
    <rPh sb="3" eb="4">
      <t>ブ</t>
    </rPh>
    <phoneticPr fontId="4"/>
  </si>
  <si>
    <t>固定負債</t>
    <rPh sb="0" eb="2">
      <t>コテイ</t>
    </rPh>
    <rPh sb="2" eb="4">
      <t>フサイ</t>
    </rPh>
    <phoneticPr fontId="4"/>
  </si>
  <si>
    <t>引当金</t>
    <rPh sb="0" eb="2">
      <t>ヒキアテ</t>
    </rPh>
    <rPh sb="2" eb="3">
      <t>キン</t>
    </rPh>
    <phoneticPr fontId="4"/>
  </si>
  <si>
    <t>流動負債</t>
    <rPh sb="0" eb="2">
      <t>リュウドウ</t>
    </rPh>
    <rPh sb="2" eb="4">
      <t>フサイ</t>
    </rPh>
    <phoneticPr fontId="4"/>
  </si>
  <si>
    <t>繰延収益</t>
    <rPh sb="0" eb="2">
      <t>クリノベ</t>
    </rPh>
    <rPh sb="2" eb="4">
      <t>シュウエキ</t>
    </rPh>
    <phoneticPr fontId="4"/>
  </si>
  <si>
    <t>自己資本金</t>
    <rPh sb="0" eb="2">
      <t>ジコ</t>
    </rPh>
    <rPh sb="2" eb="4">
      <t>シホン</t>
    </rPh>
    <rPh sb="4" eb="5">
      <t>キン</t>
    </rPh>
    <phoneticPr fontId="4"/>
  </si>
  <si>
    <t>固有資本金</t>
    <rPh sb="0" eb="2">
      <t>コユウ</t>
    </rPh>
    <rPh sb="2" eb="5">
      <t>シホンキン</t>
    </rPh>
    <phoneticPr fontId="4"/>
  </si>
  <si>
    <t>組入資本金</t>
    <rPh sb="0" eb="1">
      <t>ク</t>
    </rPh>
    <rPh sb="1" eb="2">
      <t>イ</t>
    </rPh>
    <rPh sb="2" eb="5">
      <t>シホンキン</t>
    </rPh>
    <phoneticPr fontId="4"/>
  </si>
  <si>
    <t>借入資本金</t>
    <rPh sb="0" eb="2">
      <t>カリイレ</t>
    </rPh>
    <rPh sb="2" eb="5">
      <t>シホンキン</t>
    </rPh>
    <phoneticPr fontId="4"/>
  </si>
  <si>
    <t>資本金</t>
    <rPh sb="0" eb="2">
      <t>シホン</t>
    </rPh>
    <rPh sb="2" eb="3">
      <t>キン</t>
    </rPh>
    <phoneticPr fontId="4"/>
  </si>
  <si>
    <t>剰余金</t>
    <rPh sb="0" eb="3">
      <t>ジョウヨキン</t>
    </rPh>
    <phoneticPr fontId="4"/>
  </si>
  <si>
    <t>(建)減価償却累計額</t>
    <rPh sb="1" eb="2">
      <t>タツル</t>
    </rPh>
    <rPh sb="3" eb="5">
      <t>ゲンカ</t>
    </rPh>
    <rPh sb="5" eb="7">
      <t>ショウキャク</t>
    </rPh>
    <rPh sb="7" eb="10">
      <t>ルイケイガク</t>
    </rPh>
    <phoneticPr fontId="4"/>
  </si>
  <si>
    <t>(構)減価償却累計額</t>
    <rPh sb="1" eb="2">
      <t>カマエ</t>
    </rPh>
    <rPh sb="3" eb="5">
      <t>ゲンカ</t>
    </rPh>
    <rPh sb="5" eb="7">
      <t>ショウキャク</t>
    </rPh>
    <rPh sb="7" eb="10">
      <t>ルイケイガク</t>
    </rPh>
    <phoneticPr fontId="4"/>
  </si>
  <si>
    <t>(機)減価償却累計額</t>
    <rPh sb="1" eb="2">
      <t>キ</t>
    </rPh>
    <rPh sb="3" eb="5">
      <t>ゲンカ</t>
    </rPh>
    <rPh sb="5" eb="7">
      <t>ショウキャク</t>
    </rPh>
    <rPh sb="7" eb="10">
      <t>ルイケイガク</t>
    </rPh>
    <phoneticPr fontId="4"/>
  </si>
  <si>
    <t>(工)減価償却累計額</t>
    <rPh sb="1" eb="2">
      <t>コウ</t>
    </rPh>
    <rPh sb="3" eb="5">
      <t>ゲンカ</t>
    </rPh>
    <rPh sb="5" eb="7">
      <t>ショウキャク</t>
    </rPh>
    <rPh sb="7" eb="10">
      <t>ルイケイガク</t>
    </rPh>
    <phoneticPr fontId="4"/>
  </si>
  <si>
    <t>資本剰余金</t>
    <rPh sb="0" eb="2">
      <t>シホン</t>
    </rPh>
    <rPh sb="2" eb="5">
      <t>ジョウヨキン</t>
    </rPh>
    <phoneticPr fontId="4"/>
  </si>
  <si>
    <t>受贈財産評価額</t>
    <rPh sb="0" eb="2">
      <t>ジュゾウ</t>
    </rPh>
    <rPh sb="2" eb="4">
      <t>ザイサン</t>
    </rPh>
    <rPh sb="4" eb="7">
      <t>ヒョウカガク</t>
    </rPh>
    <phoneticPr fontId="4"/>
  </si>
  <si>
    <t>減債積立金</t>
    <rPh sb="0" eb="2">
      <t>ゲンサイ</t>
    </rPh>
    <rPh sb="2" eb="4">
      <t>ツミタテ</t>
    </rPh>
    <rPh sb="4" eb="5">
      <t>キン</t>
    </rPh>
    <phoneticPr fontId="4"/>
  </si>
  <si>
    <t>利益積立金</t>
    <rPh sb="0" eb="2">
      <t>リエキ</t>
    </rPh>
    <rPh sb="2" eb="4">
      <t>ツミタテ</t>
    </rPh>
    <rPh sb="4" eb="5">
      <t>キン</t>
    </rPh>
    <phoneticPr fontId="4"/>
  </si>
  <si>
    <t>建設改良積立金</t>
    <rPh sb="0" eb="2">
      <t>ケンセツ</t>
    </rPh>
    <rPh sb="2" eb="4">
      <t>カイリョウ</t>
    </rPh>
    <rPh sb="4" eb="6">
      <t>ツミタテ</t>
    </rPh>
    <rPh sb="6" eb="7">
      <t>キン</t>
    </rPh>
    <phoneticPr fontId="4"/>
  </si>
  <si>
    <t>過年度収益化利益額</t>
    <rPh sb="0" eb="3">
      <t>カネンド</t>
    </rPh>
    <rPh sb="3" eb="6">
      <t>シュウエキカ</t>
    </rPh>
    <rPh sb="6" eb="8">
      <t>リエキ</t>
    </rPh>
    <rPh sb="8" eb="9">
      <t>ガク</t>
    </rPh>
    <phoneticPr fontId="4"/>
  </si>
  <si>
    <t>当年度未処分利益剰余金</t>
    <rPh sb="0" eb="3">
      <t>トウネンド</t>
    </rPh>
    <rPh sb="3" eb="6">
      <t>ミショブン</t>
    </rPh>
    <rPh sb="6" eb="8">
      <t>リエキ</t>
    </rPh>
    <rPh sb="8" eb="11">
      <t>ジョウヨキン</t>
    </rPh>
    <phoneticPr fontId="4"/>
  </si>
  <si>
    <t>負債・資本合計</t>
    <rPh sb="0" eb="2">
      <t>フサイ</t>
    </rPh>
    <rPh sb="3" eb="5">
      <t>シホン</t>
    </rPh>
    <rPh sb="5" eb="7">
      <t>ゴウケイ</t>
    </rPh>
    <phoneticPr fontId="4"/>
  </si>
  <si>
    <t>未払金</t>
    <rPh sb="0" eb="1">
      <t>ミ</t>
    </rPh>
    <rPh sb="1" eb="2">
      <t>バラ</t>
    </rPh>
    <rPh sb="2" eb="3">
      <t>キン</t>
    </rPh>
    <phoneticPr fontId="4"/>
  </si>
  <si>
    <t>繰入資本金</t>
    <rPh sb="0" eb="1">
      <t>ク</t>
    </rPh>
    <rPh sb="1" eb="2">
      <t>イ</t>
    </rPh>
    <rPh sb="2" eb="5">
      <t>シホンキン</t>
    </rPh>
    <phoneticPr fontId="4"/>
  </si>
  <si>
    <t>長期前受金</t>
    <rPh sb="0" eb="2">
      <t>チョウキ</t>
    </rPh>
    <rPh sb="2" eb="4">
      <t>マエウ</t>
    </rPh>
    <rPh sb="4" eb="5">
      <t>キン</t>
    </rPh>
    <phoneticPr fontId="4"/>
  </si>
  <si>
    <t>長期前受金収益化累計額</t>
    <rPh sb="0" eb="2">
      <t>チョウキ</t>
    </rPh>
    <rPh sb="2" eb="4">
      <t>マエウ</t>
    </rPh>
    <rPh sb="4" eb="5">
      <t>キン</t>
    </rPh>
    <rPh sb="5" eb="8">
      <t>シュウエキカ</t>
    </rPh>
    <rPh sb="8" eb="11">
      <t>ルイケイガク</t>
    </rPh>
    <phoneticPr fontId="4"/>
  </si>
  <si>
    <t>資本の部</t>
    <rPh sb="0" eb="2">
      <t>シホン</t>
    </rPh>
    <rPh sb="3" eb="4">
      <t>ブ</t>
    </rPh>
    <phoneticPr fontId="4"/>
  </si>
  <si>
    <t>過年度損益修正損</t>
    <rPh sb="0" eb="3">
      <t>カネンド</t>
    </rPh>
    <rPh sb="3" eb="5">
      <t>ソンエキ</t>
    </rPh>
    <rPh sb="5" eb="7">
      <t>シュウセイ</t>
    </rPh>
    <rPh sb="7" eb="8">
      <t>ソン</t>
    </rPh>
    <phoneticPr fontId="4"/>
  </si>
  <si>
    <t>退職給付引当金</t>
    <rPh sb="0" eb="2">
      <t>タイショク</t>
    </rPh>
    <rPh sb="2" eb="4">
      <t>キュウフ</t>
    </rPh>
    <rPh sb="4" eb="6">
      <t>ヒキアテ</t>
    </rPh>
    <rPh sb="6" eb="7">
      <t>キン</t>
    </rPh>
    <phoneticPr fontId="4"/>
  </si>
  <si>
    <t>一時借入金</t>
    <rPh sb="0" eb="2">
      <t>イチジ</t>
    </rPh>
    <rPh sb="2" eb="4">
      <t>カリイレ</t>
    </rPh>
    <rPh sb="4" eb="5">
      <t>キン</t>
    </rPh>
    <phoneticPr fontId="4"/>
  </si>
  <si>
    <t>決算書記載の「負債資本合計」数値</t>
    <rPh sb="0" eb="3">
      <t>ケッサンショ</t>
    </rPh>
    <rPh sb="3" eb="5">
      <t>キサイ</t>
    </rPh>
    <rPh sb="7" eb="9">
      <t>フサイ</t>
    </rPh>
    <rPh sb="9" eb="11">
      <t>シホン</t>
    </rPh>
    <rPh sb="11" eb="13">
      <t>ゴウケイ</t>
    </rPh>
    <rPh sb="14" eb="16">
      <t>スウチ</t>
    </rPh>
    <phoneticPr fontId="4"/>
  </si>
  <si>
    <t>差異の有無</t>
    <rPh sb="0" eb="2">
      <t>サイ</t>
    </rPh>
    <rPh sb="3" eb="5">
      <t>ウム</t>
    </rPh>
    <phoneticPr fontId="4"/>
  </si>
  <si>
    <t>決算書記載の「資産合計」数値</t>
    <rPh sb="0" eb="3">
      <t>ケッサンショ</t>
    </rPh>
    <rPh sb="3" eb="5">
      <t>キサイ</t>
    </rPh>
    <rPh sb="7" eb="9">
      <t>シサン</t>
    </rPh>
    <rPh sb="9" eb="11">
      <t>ゴウケイ</t>
    </rPh>
    <rPh sb="12" eb="14">
      <t>スウチ</t>
    </rPh>
    <phoneticPr fontId="4"/>
  </si>
  <si>
    <t>決算書「水道事業収益」数値</t>
    <rPh sb="0" eb="3">
      <t>ケッサンショ</t>
    </rPh>
    <rPh sb="4" eb="6">
      <t>スイドウ</t>
    </rPh>
    <rPh sb="6" eb="8">
      <t>ジギョウ</t>
    </rPh>
    <rPh sb="8" eb="10">
      <t>シュウエキ</t>
    </rPh>
    <rPh sb="11" eb="13">
      <t>スウチ</t>
    </rPh>
    <phoneticPr fontId="4"/>
  </si>
  <si>
    <t>決算書「水道事業費用」数値</t>
    <rPh sb="0" eb="3">
      <t>ケッサンショ</t>
    </rPh>
    <rPh sb="4" eb="6">
      <t>スイドウ</t>
    </rPh>
    <rPh sb="6" eb="8">
      <t>ジギョウ</t>
    </rPh>
    <rPh sb="8" eb="10">
      <t>ヒヨウ</t>
    </rPh>
    <rPh sb="11" eb="13">
      <t>スウチ</t>
    </rPh>
    <phoneticPr fontId="4"/>
  </si>
  <si>
    <t>決算書「資本的収入」数値</t>
    <rPh sb="0" eb="3">
      <t>ケッサンショ</t>
    </rPh>
    <rPh sb="4" eb="7">
      <t>シホンテキ</t>
    </rPh>
    <rPh sb="7" eb="9">
      <t>シュウニュウ</t>
    </rPh>
    <rPh sb="10" eb="12">
      <t>スウチ</t>
    </rPh>
    <phoneticPr fontId="4"/>
  </si>
  <si>
    <t>決算書「資本的支出」数値</t>
    <rPh sb="0" eb="3">
      <t>ケッサンショ</t>
    </rPh>
    <rPh sb="4" eb="7">
      <t>シホンテキ</t>
    </rPh>
    <rPh sb="7" eb="9">
      <t>シシュツ</t>
    </rPh>
    <rPh sb="10" eb="12">
      <t>スウチ</t>
    </rPh>
    <phoneticPr fontId="4"/>
  </si>
  <si>
    <t>※H23資料なし。（H24資料内、前年度数値より入力）</t>
    <rPh sb="4" eb="6">
      <t>シリョウ</t>
    </rPh>
    <rPh sb="13" eb="15">
      <t>シリョウ</t>
    </rPh>
    <rPh sb="15" eb="16">
      <t>ナイ</t>
    </rPh>
    <rPh sb="17" eb="20">
      <t>ゼンネンド</t>
    </rPh>
    <rPh sb="20" eb="22">
      <t>スウチ</t>
    </rPh>
    <rPh sb="24" eb="26">
      <t>ニュウリョク</t>
    </rPh>
    <phoneticPr fontId="4"/>
  </si>
  <si>
    <t>※以下、削除予定。（確認の後、削除）</t>
    <rPh sb="1" eb="3">
      <t>イカ</t>
    </rPh>
    <rPh sb="4" eb="6">
      <t>サクジョ</t>
    </rPh>
    <rPh sb="6" eb="8">
      <t>ヨテイ</t>
    </rPh>
    <rPh sb="10" eb="12">
      <t>カクニン</t>
    </rPh>
    <rPh sb="13" eb="14">
      <t>ゴ</t>
    </rPh>
    <rPh sb="15" eb="17">
      <t>サクジョ</t>
    </rPh>
    <phoneticPr fontId="4"/>
  </si>
  <si>
    <t>差異の確認（コード：5342)</t>
    <rPh sb="0" eb="2">
      <t>サイ</t>
    </rPh>
    <rPh sb="3" eb="5">
      <t>カクニン</t>
    </rPh>
    <phoneticPr fontId="4"/>
  </si>
  <si>
    <t>差異の確認（コード：5357)</t>
    <rPh sb="0" eb="2">
      <t>サイ</t>
    </rPh>
    <rPh sb="3" eb="5">
      <t>カクニン</t>
    </rPh>
    <phoneticPr fontId="4"/>
  </si>
  <si>
    <t>①生活用水</t>
    <rPh sb="1" eb="3">
      <t>セイカツ</t>
    </rPh>
    <rPh sb="3" eb="5">
      <t>ヨウスイ</t>
    </rPh>
    <phoneticPr fontId="4"/>
  </si>
  <si>
    <t>平均</t>
    <rPh sb="0" eb="2">
      <t>ヘイキン</t>
    </rPh>
    <phoneticPr fontId="4"/>
  </si>
  <si>
    <t>H22~</t>
  </si>
  <si>
    <t>H22~~H30決算の平均値で一定</t>
    <rPh sb="8" eb="10">
      <t>ケッサン</t>
    </rPh>
    <rPh sb="11" eb="14">
      <t>ヘイキンチ</t>
    </rPh>
    <rPh sb="15" eb="17">
      <t>イッテイ</t>
    </rPh>
    <phoneticPr fontId="4"/>
  </si>
  <si>
    <t>H22~~H30決算の平均値に物価上昇率を加味</t>
    <rPh sb="8" eb="10">
      <t>ケッサン</t>
    </rPh>
    <rPh sb="11" eb="14">
      <t>ヘイキンチ</t>
    </rPh>
    <rPh sb="15" eb="17">
      <t>ブッカ</t>
    </rPh>
    <rPh sb="17" eb="19">
      <t>ジョウショウ</t>
    </rPh>
    <rPh sb="19" eb="20">
      <t>リツ</t>
    </rPh>
    <rPh sb="21" eb="23">
      <t>カミ</t>
    </rPh>
    <phoneticPr fontId="4"/>
  </si>
  <si>
    <t>H22~~H30有収水量1㎥あたり費用×有収水量（見込）</t>
    <rPh sb="8" eb="10">
      <t>ユウシュウ</t>
    </rPh>
    <rPh sb="10" eb="12">
      <t>スイリョウ</t>
    </rPh>
    <rPh sb="17" eb="19">
      <t>ヒヨウ</t>
    </rPh>
    <rPh sb="20" eb="22">
      <t>ユウシュウ</t>
    </rPh>
    <rPh sb="22" eb="24">
      <t>スイリョウ</t>
    </rPh>
    <rPh sb="25" eb="27">
      <t>ミコ</t>
    </rPh>
    <phoneticPr fontId="4"/>
  </si>
  <si>
    <t>新規債の返済スケジュール×H22~~H30利率の平均値</t>
    <rPh sb="0" eb="2">
      <t>シンキ</t>
    </rPh>
    <rPh sb="2" eb="3">
      <t>サイ</t>
    </rPh>
    <rPh sb="4" eb="6">
      <t>ヘンサイ</t>
    </rPh>
    <rPh sb="21" eb="23">
      <t>リリツ</t>
    </rPh>
    <rPh sb="24" eb="27">
      <t>ヘイキンチ</t>
    </rPh>
    <phoneticPr fontId="4"/>
  </si>
  <si>
    <t>（前提）</t>
    <rPh sb="1" eb="3">
      <t>ゼンテイ</t>
    </rPh>
    <phoneticPr fontId="4"/>
  </si>
  <si>
    <t>※　行政区域人口、給水人口、給水延べ戸数：直近過去10年間の減少率が継続するものと仮定して試算した。</t>
    <rPh sb="2" eb="4">
      <t>ギョウセイ</t>
    </rPh>
    <rPh sb="4" eb="6">
      <t>クイキ</t>
    </rPh>
    <rPh sb="6" eb="8">
      <t>ジンコウ</t>
    </rPh>
    <rPh sb="9" eb="11">
      <t>キュウスイ</t>
    </rPh>
    <rPh sb="11" eb="13">
      <t>ジンコウ</t>
    </rPh>
    <rPh sb="14" eb="16">
      <t>キュウスイ</t>
    </rPh>
    <rPh sb="16" eb="17">
      <t>ノ</t>
    </rPh>
    <rPh sb="18" eb="20">
      <t>コスウ</t>
    </rPh>
    <rPh sb="21" eb="23">
      <t>チョッキン</t>
    </rPh>
    <rPh sb="23" eb="25">
      <t>カコ</t>
    </rPh>
    <rPh sb="27" eb="29">
      <t>ネンカン</t>
    </rPh>
    <rPh sb="30" eb="33">
      <t>ゲンショウリツ</t>
    </rPh>
    <rPh sb="34" eb="36">
      <t>ケイゾク</t>
    </rPh>
    <rPh sb="41" eb="43">
      <t>カテイ</t>
    </rPh>
    <rPh sb="45" eb="47">
      <t>シサン</t>
    </rPh>
    <phoneticPr fontId="4"/>
  </si>
  <si>
    <t>50ミリ</t>
    <phoneticPr fontId="4"/>
  </si>
  <si>
    <t>75ミリ</t>
    <phoneticPr fontId="4"/>
  </si>
  <si>
    <t>100ミリ</t>
    <phoneticPr fontId="4"/>
  </si>
  <si>
    <t>1～10㎥</t>
    <phoneticPr fontId="4"/>
  </si>
  <si>
    <t>11～20㎥</t>
    <phoneticPr fontId="4"/>
  </si>
  <si>
    <t>21～50㎥</t>
    <phoneticPr fontId="4"/>
  </si>
  <si>
    <t>51～100㎥</t>
    <phoneticPr fontId="4"/>
  </si>
  <si>
    <t>100㎥超</t>
    <rPh sb="4" eb="5">
      <t>チョウ</t>
    </rPh>
    <phoneticPr fontId="4"/>
  </si>
  <si>
    <t>　うち、1～10㎥</t>
    <phoneticPr fontId="4"/>
  </si>
  <si>
    <t>　うち、11～20㎥</t>
    <phoneticPr fontId="4"/>
  </si>
  <si>
    <t>　うち、21～50㎥</t>
    <phoneticPr fontId="4"/>
  </si>
  <si>
    <t>　うち、100㎥超</t>
    <rPh sb="8" eb="9">
      <t>チョウ</t>
    </rPh>
    <phoneticPr fontId="4"/>
  </si>
  <si>
    <t>　うち、51～100㎥</t>
    <phoneticPr fontId="4"/>
  </si>
  <si>
    <t>構成割合</t>
    <rPh sb="0" eb="2">
      <t>コウセイ</t>
    </rPh>
    <rPh sb="2" eb="4">
      <t>ワリアイ</t>
    </rPh>
    <phoneticPr fontId="4"/>
  </si>
  <si>
    <t>　うち、13ミリ</t>
    <phoneticPr fontId="4"/>
  </si>
  <si>
    <t>　うち、20ミリ</t>
    <phoneticPr fontId="4"/>
  </si>
  <si>
    <t>　うち、25ミリ</t>
    <phoneticPr fontId="4"/>
  </si>
  <si>
    <t>　うち、30ミリ</t>
    <phoneticPr fontId="4"/>
  </si>
  <si>
    <t>　うち、40ミリ</t>
    <phoneticPr fontId="4"/>
  </si>
  <si>
    <t>　うち、50ミリ</t>
    <phoneticPr fontId="4"/>
  </si>
  <si>
    <t>　うち、75ミリ</t>
    <phoneticPr fontId="4"/>
  </si>
  <si>
    <t>　うち、100ミリ</t>
    <phoneticPr fontId="4"/>
  </si>
  <si>
    <t>H22~H30決算の平均値で一定</t>
    <rPh sb="7" eb="9">
      <t>ケッサン</t>
    </rPh>
    <rPh sb="10" eb="13">
      <t>ヘイキンチ</t>
    </rPh>
    <rPh sb="14" eb="16">
      <t>イッテイ</t>
    </rPh>
    <phoneticPr fontId="4"/>
  </si>
  <si>
    <t>H22~H30有収水量1㎥あたり費用×有収水量（見込）</t>
    <rPh sb="7" eb="9">
      <t>ユウシュウ</t>
    </rPh>
    <rPh sb="9" eb="11">
      <t>スイリョウ</t>
    </rPh>
    <rPh sb="16" eb="18">
      <t>ヒヨウ</t>
    </rPh>
    <rPh sb="19" eb="21">
      <t>ユウシュウ</t>
    </rPh>
    <rPh sb="21" eb="23">
      <t>スイリョウ</t>
    </rPh>
    <rPh sb="24" eb="26">
      <t>ミコ</t>
    </rPh>
    <phoneticPr fontId="4"/>
  </si>
  <si>
    <t>H22~H30決算の平均値に物価上昇率を加味</t>
    <rPh sb="7" eb="9">
      <t>ケッサン</t>
    </rPh>
    <rPh sb="10" eb="13">
      <t>ヘイキンチ</t>
    </rPh>
    <rPh sb="14" eb="16">
      <t>ブッカ</t>
    </rPh>
    <rPh sb="16" eb="18">
      <t>ジョウショウ</t>
    </rPh>
    <rPh sb="18" eb="19">
      <t>リツ</t>
    </rPh>
    <rPh sb="20" eb="22">
      <t>カミ</t>
    </rPh>
    <phoneticPr fontId="4"/>
  </si>
  <si>
    <t>借入利率算定</t>
    <rPh sb="0" eb="2">
      <t>カリイレ</t>
    </rPh>
    <rPh sb="2" eb="4">
      <t>リリツ</t>
    </rPh>
    <rPh sb="4" eb="6">
      <t>サンテイ</t>
    </rPh>
    <phoneticPr fontId="4"/>
  </si>
  <si>
    <t>利率</t>
    <rPh sb="0" eb="2">
      <t>リリツ</t>
    </rPh>
    <phoneticPr fontId="4"/>
  </si>
  <si>
    <t>取水</t>
  </si>
  <si>
    <t>浄水</t>
  </si>
  <si>
    <t>配水</t>
  </si>
  <si>
    <t>【固定資産台帳集計結果】</t>
    <rPh sb="1" eb="3">
      <t>コテイ</t>
    </rPh>
    <rPh sb="3" eb="5">
      <t>シサン</t>
    </rPh>
    <rPh sb="5" eb="7">
      <t>ダイチョウ</t>
    </rPh>
    <rPh sb="7" eb="9">
      <t>シュウケイ</t>
    </rPh>
    <rPh sb="9" eb="11">
      <t>ケッカ</t>
    </rPh>
    <phoneticPr fontId="4"/>
  </si>
  <si>
    <t>R1</t>
  </si>
  <si>
    <t>DS:固定資産台帳集計結果</t>
    <rPh sb="3" eb="5">
      <t>コテイ</t>
    </rPh>
    <rPh sb="5" eb="7">
      <t>シサン</t>
    </rPh>
    <rPh sb="7" eb="9">
      <t>ダイチョウ</t>
    </rPh>
    <rPh sb="9" eb="11">
      <t>シュウケイ</t>
    </rPh>
    <rPh sb="11" eb="13">
      <t>ケッカ</t>
    </rPh>
    <phoneticPr fontId="4"/>
  </si>
  <si>
    <t>帳簿価額</t>
    <rPh sb="0" eb="2">
      <t>チョウボ</t>
    </rPh>
    <rPh sb="2" eb="4">
      <t>カガク</t>
    </rPh>
    <phoneticPr fontId="4"/>
  </si>
  <si>
    <t>50ミリ</t>
  </si>
  <si>
    <t>75ミリ</t>
  </si>
  <si>
    <t>100ミリ</t>
  </si>
  <si>
    <t>H30</t>
    <phoneticPr fontId="4"/>
  </si>
  <si>
    <t>他市</t>
    <rPh sb="0" eb="2">
      <t>タシ</t>
    </rPh>
    <phoneticPr fontId="4"/>
  </si>
  <si>
    <t>【財政シミュレーション結果】</t>
    <rPh sb="1" eb="3">
      <t>ザイセイ</t>
    </rPh>
    <rPh sb="11" eb="13">
      <t>ケッカ</t>
    </rPh>
    <phoneticPr fontId="4"/>
  </si>
  <si>
    <t>泉崎村水道事業　経営戦略財政シミュレーション結果（法定耐用年数×1.2倍ver）</t>
    <rPh sb="0" eb="2">
      <t>イズミサキ</t>
    </rPh>
    <rPh sb="2" eb="3">
      <t>ムラ</t>
    </rPh>
    <rPh sb="3" eb="5">
      <t>スイドウ</t>
    </rPh>
    <rPh sb="5" eb="7">
      <t>ジギョウ</t>
    </rPh>
    <rPh sb="8" eb="10">
      <t>ケイエイ</t>
    </rPh>
    <rPh sb="10" eb="12">
      <t>センリャク</t>
    </rPh>
    <rPh sb="12" eb="14">
      <t>ザイセイ</t>
    </rPh>
    <rPh sb="22" eb="24">
      <t>ケッカ</t>
    </rPh>
    <rPh sb="25" eb="27">
      <t>ホウテイ</t>
    </rPh>
    <rPh sb="27" eb="29">
      <t>タイヨウ</t>
    </rPh>
    <rPh sb="29" eb="31">
      <t>ネンスウ</t>
    </rPh>
    <rPh sb="35" eb="36">
      <t>バイ</t>
    </rPh>
    <phoneticPr fontId="4"/>
  </si>
  <si>
    <t>R2以降はゼロ</t>
    <rPh sb="2" eb="4">
      <t>イコウ</t>
    </rPh>
    <phoneticPr fontId="4"/>
  </si>
  <si>
    <t>現状の算定式（＝減価償却費＋人件費＋支払利息）で算定</t>
    <rPh sb="0" eb="2">
      <t>ゲンジョウ</t>
    </rPh>
    <rPh sb="3" eb="5">
      <t>サンテイ</t>
    </rPh>
    <rPh sb="5" eb="6">
      <t>シキ</t>
    </rPh>
    <rPh sb="8" eb="10">
      <t>ゲンカ</t>
    </rPh>
    <rPh sb="10" eb="12">
      <t>ショウキャク</t>
    </rPh>
    <rPh sb="12" eb="13">
      <t>ヒ</t>
    </rPh>
    <rPh sb="14" eb="17">
      <t>ジンケンヒ</t>
    </rPh>
    <rPh sb="18" eb="20">
      <t>シハライ</t>
    </rPh>
    <rPh sb="20" eb="22">
      <t>リソク</t>
    </rPh>
    <rPh sb="24" eb="26">
      <t>サンテイ</t>
    </rPh>
    <phoneticPr fontId="4"/>
  </si>
  <si>
    <t>新規債の返済スケジュール×H22~H30利率の平均値（1.79％）</t>
    <rPh sb="0" eb="2">
      <t>シンキ</t>
    </rPh>
    <rPh sb="2" eb="3">
      <t>サイ</t>
    </rPh>
    <rPh sb="4" eb="6">
      <t>ヘンサイ</t>
    </rPh>
    <rPh sb="20" eb="22">
      <t>リリツ</t>
    </rPh>
    <rPh sb="23" eb="26">
      <t>ヘイキンチ</t>
    </rPh>
    <phoneticPr fontId="4"/>
  </si>
  <si>
    <t>返済額</t>
    <rPh sb="0" eb="2">
      <t>ヘンサイ</t>
    </rPh>
    <rPh sb="2" eb="3">
      <t>ガク</t>
    </rPh>
    <phoneticPr fontId="4"/>
  </si>
  <si>
    <t>利息</t>
    <rPh sb="0" eb="2">
      <t>リソク</t>
    </rPh>
    <phoneticPr fontId="4"/>
  </si>
  <si>
    <t>償還年数</t>
    <rPh sb="0" eb="2">
      <t>ショウカン</t>
    </rPh>
    <rPh sb="2" eb="4">
      <t>ネンスウ</t>
    </rPh>
    <phoneticPr fontId="4"/>
  </si>
  <si>
    <t>他町</t>
    <rPh sb="0" eb="1">
      <t>ホカ</t>
    </rPh>
    <rPh sb="1" eb="2">
      <t>マチ</t>
    </rPh>
    <phoneticPr fontId="4"/>
  </si>
  <si>
    <t>女川町水道事業　経営戦略財政シミュレーション結果（法定耐用年数×1.2倍ver）</t>
    <rPh sb="0" eb="3">
      <t>オナガワチョウ</t>
    </rPh>
    <rPh sb="3" eb="5">
      <t>スイドウ</t>
    </rPh>
    <rPh sb="5" eb="7">
      <t>ジギョウ</t>
    </rPh>
    <rPh sb="8" eb="10">
      <t>ケイエイ</t>
    </rPh>
    <rPh sb="10" eb="12">
      <t>センリャク</t>
    </rPh>
    <rPh sb="12" eb="14">
      <t>ザイセイ</t>
    </rPh>
    <rPh sb="22" eb="24">
      <t>ケッカ</t>
    </rPh>
    <rPh sb="25" eb="27">
      <t>ホウテイ</t>
    </rPh>
    <rPh sb="27" eb="29">
      <t>タイヨウ</t>
    </rPh>
    <rPh sb="29" eb="31">
      <t>ネンスウ</t>
    </rPh>
    <rPh sb="35" eb="36">
      <t>バイ</t>
    </rPh>
    <phoneticPr fontId="4"/>
  </si>
  <si>
    <t>↓女川町の状況を確認して入力</t>
    <rPh sb="1" eb="4">
      <t>オナガワチョウ</t>
    </rPh>
    <rPh sb="5" eb="7">
      <t>ジョウキョウ</t>
    </rPh>
    <rPh sb="8" eb="10">
      <t>カクニン</t>
    </rPh>
    <rPh sb="12" eb="14">
      <t>ニュウリョク</t>
    </rPh>
    <phoneticPr fontId="4"/>
  </si>
  <si>
    <t>R4</t>
    <phoneticPr fontId="4"/>
  </si>
  <si>
    <t>R1</t>
    <phoneticPr fontId="4"/>
  </si>
  <si>
    <t>H29</t>
    <phoneticPr fontId="4"/>
  </si>
  <si>
    <t>H28</t>
    <phoneticPr fontId="4"/>
  </si>
  <si>
    <t>水道統計（女川町）</t>
    <rPh sb="0" eb="2">
      <t>スイドウ</t>
    </rPh>
    <rPh sb="2" eb="4">
      <t>トウケイ</t>
    </rPh>
    <rPh sb="5" eb="8">
      <t>オナガワチョウ</t>
    </rPh>
    <phoneticPr fontId="4"/>
  </si>
  <si>
    <t>この色部分を入れる。</t>
    <rPh sb="2" eb="5">
      <t>イロブブン</t>
    </rPh>
    <rPh sb="6" eb="7">
      <t>イ</t>
    </rPh>
    <phoneticPr fontId="4"/>
  </si>
  <si>
    <t>R5</t>
    <phoneticPr fontId="4"/>
  </si>
  <si>
    <t>DS:女川町水道事業会計収益費用明細書</t>
    <rPh sb="3" eb="6">
      <t>オナガワチョウ</t>
    </rPh>
    <rPh sb="6" eb="8">
      <t>スイドウ</t>
    </rPh>
    <rPh sb="8" eb="10">
      <t>ジギョウ</t>
    </rPh>
    <rPh sb="10" eb="12">
      <t>カイケイ</t>
    </rPh>
    <rPh sb="12" eb="14">
      <t>シュウエキ</t>
    </rPh>
    <rPh sb="14" eb="16">
      <t>ヒヨウ</t>
    </rPh>
    <rPh sb="16" eb="19">
      <t>メイサイショ</t>
    </rPh>
    <phoneticPr fontId="4"/>
  </si>
  <si>
    <t>退職手当負担金</t>
    <rPh sb="0" eb="4">
      <t>タイショクテアテ</t>
    </rPh>
    <rPh sb="4" eb="7">
      <t>フタンキン</t>
    </rPh>
    <phoneticPr fontId="4"/>
  </si>
  <si>
    <t>使用料及び賃借料</t>
    <rPh sb="0" eb="4">
      <t>シヨウリョウオヨ</t>
    </rPh>
    <rPh sb="5" eb="8">
      <t>チンシャクリョウ</t>
    </rPh>
    <phoneticPr fontId="4"/>
  </si>
  <si>
    <t>動力費</t>
    <rPh sb="0" eb="3">
      <t>ドウリョクヒ</t>
    </rPh>
    <phoneticPr fontId="4"/>
  </si>
  <si>
    <t>法定福利費</t>
    <rPh sb="0" eb="5">
      <t>ホウテイフクリヒ</t>
    </rPh>
    <phoneticPr fontId="4"/>
  </si>
  <si>
    <t>路面復旧費</t>
    <rPh sb="0" eb="5">
      <t>ロメンフッキュウヒ</t>
    </rPh>
    <phoneticPr fontId="4"/>
  </si>
  <si>
    <t>報償費</t>
    <rPh sb="0" eb="3">
      <t>ホウショウヒ</t>
    </rPh>
    <phoneticPr fontId="4"/>
  </si>
  <si>
    <t>被服費</t>
    <rPh sb="0" eb="3">
      <t>ヒフクヒ</t>
    </rPh>
    <phoneticPr fontId="4"/>
  </si>
  <si>
    <t>研修費</t>
    <rPh sb="0" eb="3">
      <t>ケンシュウヒ</t>
    </rPh>
    <phoneticPr fontId="4"/>
  </si>
  <si>
    <t>交際費</t>
    <rPh sb="0" eb="3">
      <t>コウサイヒ</t>
    </rPh>
    <phoneticPr fontId="4"/>
  </si>
  <si>
    <t>負担金</t>
    <rPh sb="0" eb="2">
      <t>フタン</t>
    </rPh>
    <rPh sb="2" eb="3">
      <t>キン</t>
    </rPh>
    <phoneticPr fontId="4"/>
  </si>
  <si>
    <t>その他引当金繰入額</t>
    <rPh sb="2" eb="3">
      <t>タ</t>
    </rPh>
    <rPh sb="3" eb="6">
      <t>ヒキアテキン</t>
    </rPh>
    <rPh sb="6" eb="9">
      <t>クリイレガク</t>
    </rPh>
    <phoneticPr fontId="4"/>
  </si>
  <si>
    <t>雑支出</t>
    <rPh sb="0" eb="3">
      <t>ザツシシュツ</t>
    </rPh>
    <phoneticPr fontId="4"/>
  </si>
  <si>
    <t>災害臨時損失</t>
    <rPh sb="0" eb="6">
      <t>サイガイリンジソンシツ</t>
    </rPh>
    <phoneticPr fontId="4"/>
  </si>
  <si>
    <t>無形固定資産</t>
    <rPh sb="0" eb="2">
      <t>ムケイ</t>
    </rPh>
    <rPh sb="2" eb="4">
      <t>コテイ</t>
    </rPh>
    <rPh sb="4" eb="6">
      <t>シサン</t>
    </rPh>
    <phoneticPr fontId="4"/>
  </si>
  <si>
    <t>車両運搬具</t>
    <rPh sb="0" eb="5">
      <t>シャリョウウンパング</t>
    </rPh>
    <phoneticPr fontId="4"/>
  </si>
  <si>
    <t>(車)減価償却累計額</t>
    <rPh sb="1" eb="2">
      <t>クルマ</t>
    </rPh>
    <rPh sb="3" eb="5">
      <t>ゲンカ</t>
    </rPh>
    <rPh sb="5" eb="7">
      <t>ショウキャク</t>
    </rPh>
    <rPh sb="7" eb="10">
      <t>ルイケイガク</t>
    </rPh>
    <phoneticPr fontId="4"/>
  </si>
  <si>
    <t>量水器</t>
    <rPh sb="0" eb="3">
      <t>リョウスイキ</t>
    </rPh>
    <phoneticPr fontId="4"/>
  </si>
  <si>
    <t>(量)減価償却累計額</t>
    <rPh sb="1" eb="2">
      <t>リョウ</t>
    </rPh>
    <rPh sb="3" eb="5">
      <t>ゲンカ</t>
    </rPh>
    <rPh sb="5" eb="7">
      <t>ショウキャク</t>
    </rPh>
    <rPh sb="7" eb="10">
      <t>ルイケイガク</t>
    </rPh>
    <phoneticPr fontId="4"/>
  </si>
  <si>
    <t>加入金</t>
    <rPh sb="0" eb="3">
      <t>カニュウキン</t>
    </rPh>
    <phoneticPr fontId="4"/>
  </si>
  <si>
    <t>消費税関係雑収益</t>
    <rPh sb="0" eb="8">
      <t>ショウヒゼイカンケイザツシュウエキ</t>
    </rPh>
    <phoneticPr fontId="4"/>
  </si>
  <si>
    <t>分水収益</t>
    <rPh sb="0" eb="4">
      <t>ブンスイシュウエキ</t>
    </rPh>
    <phoneticPr fontId="4"/>
  </si>
  <si>
    <t>材料売却収益</t>
    <rPh sb="0" eb="4">
      <t>ザイリョウバイキャク</t>
    </rPh>
    <rPh sb="4" eb="6">
      <t>シュウエキ</t>
    </rPh>
    <phoneticPr fontId="4"/>
  </si>
  <si>
    <t>手当+引当金</t>
    <rPh sb="0" eb="2">
      <t>テアテ</t>
    </rPh>
    <phoneticPr fontId="4"/>
  </si>
  <si>
    <t>その他特別損失</t>
    <rPh sb="2" eb="3">
      <t>タ</t>
    </rPh>
    <rPh sb="3" eb="7">
      <t>トクベツソンシツ</t>
    </rPh>
    <phoneticPr fontId="4"/>
  </si>
  <si>
    <t>建設改良費</t>
    <rPh sb="0" eb="5">
      <t>ケンセツカイリョウヒ</t>
    </rPh>
    <phoneticPr fontId="4"/>
  </si>
  <si>
    <t>工事負担金・補償金</t>
    <rPh sb="0" eb="2">
      <t>コウジ</t>
    </rPh>
    <rPh sb="2" eb="5">
      <t>フタンキン</t>
    </rPh>
    <rPh sb="6" eb="9">
      <t>ホショウキン</t>
    </rPh>
    <phoneticPr fontId="0"/>
  </si>
  <si>
    <t>出資金・負担金</t>
    <rPh sb="0" eb="3">
      <t>シュッシキン</t>
    </rPh>
    <rPh sb="4" eb="7">
      <t>フタンキン</t>
    </rPh>
    <phoneticPr fontId="0"/>
  </si>
  <si>
    <t>雑費・国庫補助金返還金</t>
    <rPh sb="0" eb="2">
      <t>ザッピ</t>
    </rPh>
    <rPh sb="3" eb="8">
      <t>コッコホジョキン</t>
    </rPh>
    <rPh sb="8" eb="11">
      <t>ヘンカンキン</t>
    </rPh>
    <phoneticPr fontId="0"/>
  </si>
  <si>
    <t>BS:女川町水道事業会計貸借対照表</t>
    <rPh sb="3" eb="6">
      <t>オナガワチョウ</t>
    </rPh>
    <rPh sb="6" eb="8">
      <t>スイドウ</t>
    </rPh>
    <rPh sb="8" eb="10">
      <t>ジギョウ</t>
    </rPh>
    <rPh sb="10" eb="12">
      <t>カイケイ</t>
    </rPh>
    <rPh sb="12" eb="17">
      <t>タイシャクタイショウヒョウ</t>
    </rPh>
    <phoneticPr fontId="4"/>
  </si>
  <si>
    <t>水利権</t>
    <rPh sb="0" eb="3">
      <t>スイリケン</t>
    </rPh>
    <phoneticPr fontId="4"/>
  </si>
  <si>
    <t>電話加入権</t>
    <rPh sb="0" eb="2">
      <t>デンワ</t>
    </rPh>
    <rPh sb="2" eb="5">
      <t>カニュウケン</t>
    </rPh>
    <phoneticPr fontId="4"/>
  </si>
  <si>
    <t>その他流動負債（未払消費税・預り金）</t>
    <rPh sb="2" eb="3">
      <t>タ</t>
    </rPh>
    <rPh sb="3" eb="5">
      <t>リュウドウ</t>
    </rPh>
    <rPh sb="5" eb="7">
      <t>フサイ</t>
    </rPh>
    <rPh sb="8" eb="13">
      <t>ミバライショウヒゼイ</t>
    </rPh>
    <rPh sb="14" eb="15">
      <t>アズカ</t>
    </rPh>
    <rPh sb="16" eb="17">
      <t>キン</t>
    </rPh>
    <phoneticPr fontId="4"/>
  </si>
  <si>
    <t>その他無形固定資産</t>
    <rPh sb="2" eb="3">
      <t>タ</t>
    </rPh>
    <rPh sb="3" eb="9">
      <t>ムケイコテイシサン</t>
    </rPh>
    <phoneticPr fontId="4"/>
  </si>
  <si>
    <t>送水及び配水施設費</t>
    <rPh sb="0" eb="2">
      <t>ソウスイ</t>
    </rPh>
    <rPh sb="2" eb="3">
      <t>オヨ</t>
    </rPh>
    <rPh sb="4" eb="6">
      <t>ハイスイ</t>
    </rPh>
    <rPh sb="6" eb="8">
      <t>シセツ</t>
    </rPh>
    <rPh sb="8" eb="9">
      <t>ヒ</t>
    </rPh>
    <phoneticPr fontId="4"/>
  </si>
  <si>
    <t>DS：料金調定集計表</t>
    <rPh sb="3" eb="5">
      <t>リョウキン</t>
    </rPh>
    <rPh sb="5" eb="7">
      <t>チョウテイ</t>
    </rPh>
    <rPh sb="7" eb="10">
      <t>シュウケイヒョウ</t>
    </rPh>
    <phoneticPr fontId="4"/>
  </si>
  <si>
    <t>基本水量（件数）</t>
    <rPh sb="0" eb="2">
      <t>キホン</t>
    </rPh>
    <rPh sb="2" eb="4">
      <t>スイリョウ</t>
    </rPh>
    <rPh sb="5" eb="7">
      <t>ケンスウ</t>
    </rPh>
    <phoneticPr fontId="4"/>
  </si>
  <si>
    <t>超過水量（件数）</t>
    <rPh sb="0" eb="2">
      <t>チョウカ</t>
    </rPh>
    <rPh sb="2" eb="4">
      <t>スイリョウ</t>
    </rPh>
    <rPh sb="5" eb="7">
      <t>ケンスウ</t>
    </rPh>
    <phoneticPr fontId="4"/>
  </si>
  <si>
    <t>①湯屋用</t>
    <rPh sb="1" eb="3">
      <t>ユヤ</t>
    </rPh>
    <rPh sb="3" eb="4">
      <t>ヨウ</t>
    </rPh>
    <phoneticPr fontId="4"/>
  </si>
  <si>
    <t>②船舶委託</t>
    <rPh sb="1" eb="3">
      <t>センパク</t>
    </rPh>
    <rPh sb="3" eb="5">
      <t>イタク</t>
    </rPh>
    <phoneticPr fontId="4"/>
  </si>
  <si>
    <t>③船舶直接</t>
    <rPh sb="1" eb="3">
      <t>センパク</t>
    </rPh>
    <rPh sb="3" eb="5">
      <t>チョクセツ</t>
    </rPh>
    <phoneticPr fontId="4"/>
  </si>
  <si>
    <t>④合計</t>
    <rPh sb="1" eb="3">
      <t>ゴウケイ</t>
    </rPh>
    <phoneticPr fontId="4"/>
  </si>
  <si>
    <t>⑤差引</t>
    <rPh sb="1" eb="3">
      <t>サシヒキ</t>
    </rPh>
    <phoneticPr fontId="4"/>
  </si>
  <si>
    <t>DS：年度別調定集計表</t>
    <rPh sb="3" eb="5">
      <t>ネンド</t>
    </rPh>
    <rPh sb="5" eb="6">
      <t>ベツ</t>
    </rPh>
    <rPh sb="6" eb="8">
      <t>チョウテイ</t>
    </rPh>
    <rPh sb="8" eb="11">
      <t>シュウケイヒョウ</t>
    </rPh>
    <phoneticPr fontId="4"/>
  </si>
  <si>
    <t>件数</t>
    <rPh sb="0" eb="2">
      <t>ケンスウ</t>
    </rPh>
    <phoneticPr fontId="4"/>
  </si>
  <si>
    <t>13㎜</t>
    <phoneticPr fontId="4"/>
  </si>
  <si>
    <t>20㎜</t>
    <phoneticPr fontId="4"/>
  </si>
  <si>
    <t>25㎜</t>
    <phoneticPr fontId="4"/>
  </si>
  <si>
    <t>40㎜</t>
    <phoneticPr fontId="4"/>
  </si>
  <si>
    <t>50㎜</t>
    <phoneticPr fontId="4"/>
  </si>
  <si>
    <t>75㎜</t>
    <phoneticPr fontId="4"/>
  </si>
  <si>
    <t>100㎜</t>
    <phoneticPr fontId="4"/>
  </si>
  <si>
    <t>150㎜</t>
    <phoneticPr fontId="4"/>
  </si>
  <si>
    <t>200㎜</t>
    <phoneticPr fontId="4"/>
  </si>
  <si>
    <t>250㎜</t>
    <phoneticPr fontId="4"/>
  </si>
  <si>
    <t>超過水量（水量）</t>
    <rPh sb="0" eb="2">
      <t>チョウカ</t>
    </rPh>
    <rPh sb="2" eb="4">
      <t>スイリョウ</t>
    </rPh>
    <rPh sb="5" eb="7">
      <t>スイリョウ</t>
    </rPh>
    <phoneticPr fontId="4"/>
  </si>
  <si>
    <t>合計　確認用</t>
    <rPh sb="0" eb="2">
      <t>ゴウケイ</t>
    </rPh>
    <rPh sb="3" eb="6">
      <t>カクニンヨウ</t>
    </rPh>
    <phoneticPr fontId="4"/>
  </si>
  <si>
    <t>【調定件数】</t>
    <rPh sb="1" eb="3">
      <t>チョウテイ</t>
    </rPh>
    <rPh sb="3" eb="5">
      <t>ケンスウ</t>
    </rPh>
    <phoneticPr fontId="4"/>
  </si>
  <si>
    <t>用途</t>
    <rPh sb="0" eb="2">
      <t>ヨウト</t>
    </rPh>
    <phoneticPr fontId="4"/>
  </si>
  <si>
    <t>一般用</t>
    <rPh sb="0" eb="2">
      <t>イッパン</t>
    </rPh>
    <rPh sb="2" eb="3">
      <t>ヨウ</t>
    </rPh>
    <phoneticPr fontId="4"/>
  </si>
  <si>
    <t>特殊用（湯屋）</t>
    <rPh sb="0" eb="2">
      <t>トクシュ</t>
    </rPh>
    <rPh sb="2" eb="3">
      <t>ヨウ</t>
    </rPh>
    <rPh sb="4" eb="6">
      <t>ユヤ</t>
    </rPh>
    <phoneticPr fontId="4"/>
  </si>
  <si>
    <t>特殊用（船舶委託）</t>
    <rPh sb="0" eb="2">
      <t>トクシュ</t>
    </rPh>
    <rPh sb="2" eb="3">
      <t>ヨウ</t>
    </rPh>
    <rPh sb="4" eb="6">
      <t>センパク</t>
    </rPh>
    <rPh sb="6" eb="8">
      <t>イタク</t>
    </rPh>
    <phoneticPr fontId="4"/>
  </si>
  <si>
    <t>特殊用（船舶直接）</t>
    <rPh sb="0" eb="2">
      <t>トクシュ</t>
    </rPh>
    <rPh sb="2" eb="3">
      <t>ヨウ</t>
    </rPh>
    <rPh sb="4" eb="6">
      <t>センパク</t>
    </rPh>
    <rPh sb="6" eb="8">
      <t>チョクセツ</t>
    </rPh>
    <phoneticPr fontId="4"/>
  </si>
  <si>
    <t>水量</t>
    <rPh sb="0" eb="2">
      <t>スイリョウ</t>
    </rPh>
    <phoneticPr fontId="4"/>
  </si>
  <si>
    <t>5㎥まで</t>
    <phoneticPr fontId="4"/>
  </si>
  <si>
    <t>6～10㎥まで</t>
    <phoneticPr fontId="4"/>
  </si>
  <si>
    <t>500㎥まで</t>
    <phoneticPr fontId="4"/>
  </si>
  <si>
    <t>1㎥につき</t>
    <phoneticPr fontId="4"/>
  </si>
  <si>
    <t>10㎥まで</t>
    <phoneticPr fontId="4"/>
  </si>
  <si>
    <t>超過料金</t>
    <rPh sb="0" eb="2">
      <t>チョウカ</t>
    </rPh>
    <rPh sb="2" eb="4">
      <t>リョウキン</t>
    </rPh>
    <phoneticPr fontId="4"/>
  </si>
  <si>
    <t>超過100㎥まで</t>
    <rPh sb="0" eb="2">
      <t>チョウカ</t>
    </rPh>
    <phoneticPr fontId="4"/>
  </si>
  <si>
    <t>超過100㎥超</t>
    <rPh sb="0" eb="2">
      <t>チョウカ</t>
    </rPh>
    <rPh sb="6" eb="7">
      <t>チョウ</t>
    </rPh>
    <phoneticPr fontId="4"/>
  </si>
  <si>
    <t>①料金</t>
    <rPh sb="1" eb="3">
      <t>リョウキン</t>
    </rPh>
    <phoneticPr fontId="4"/>
  </si>
  <si>
    <t>②メーター使用料</t>
    <rPh sb="5" eb="8">
      <t>シヨウリョウ</t>
    </rPh>
    <phoneticPr fontId="4"/>
  </si>
  <si>
    <t>1個あたり</t>
    <rPh sb="1" eb="2">
      <t>コ</t>
    </rPh>
    <phoneticPr fontId="4"/>
  </si>
  <si>
    <t>R51</t>
  </si>
  <si>
    <t>R52</t>
  </si>
  <si>
    <t>R53</t>
  </si>
  <si>
    <t>R54</t>
  </si>
  <si>
    <t>R55</t>
  </si>
  <si>
    <t>減少率</t>
  </si>
  <si>
    <t>減少率</t>
    <rPh sb="0" eb="2">
      <t>ゲンショウ</t>
    </rPh>
    <rPh sb="2" eb="3">
      <t>リツ</t>
    </rPh>
    <phoneticPr fontId="4"/>
  </si>
  <si>
    <t>宮城県世帯数推移（千世帯）</t>
  </si>
  <si>
    <t>基本水量（水量）</t>
    <rPh sb="0" eb="2">
      <t>キホン</t>
    </rPh>
    <rPh sb="2" eb="4">
      <t>スイリョウ</t>
    </rPh>
    <phoneticPr fontId="4"/>
  </si>
  <si>
    <t>　うち、基本水量</t>
    <rPh sb="4" eb="6">
      <t>キホン</t>
    </rPh>
    <rPh sb="6" eb="8">
      <t>スイリョウ</t>
    </rPh>
    <phoneticPr fontId="4"/>
  </si>
  <si>
    <t>　うち、超過水量</t>
    <rPh sb="4" eb="6">
      <t>チョウカ</t>
    </rPh>
    <rPh sb="6" eb="8">
      <t>スイリョウ</t>
    </rPh>
    <phoneticPr fontId="4"/>
  </si>
  <si>
    <t>基本水量構成割合（水量）</t>
    <rPh sb="0" eb="2">
      <t>キホン</t>
    </rPh>
    <rPh sb="2" eb="4">
      <t>スイリョウ</t>
    </rPh>
    <rPh sb="4" eb="6">
      <t>コウセイ</t>
    </rPh>
    <rPh sb="6" eb="8">
      <t>ワリアイ</t>
    </rPh>
    <rPh sb="9" eb="11">
      <t>スイリョウ</t>
    </rPh>
    <phoneticPr fontId="4"/>
  </si>
  <si>
    <t>基本水量構成割合（件数）</t>
    <rPh sb="0" eb="2">
      <t>キホン</t>
    </rPh>
    <rPh sb="2" eb="4">
      <t>スイリョウ</t>
    </rPh>
    <rPh sb="4" eb="6">
      <t>コウセイ</t>
    </rPh>
    <rPh sb="6" eb="8">
      <t>ワリアイ</t>
    </rPh>
    <rPh sb="9" eb="11">
      <t>ケンスウ</t>
    </rPh>
    <phoneticPr fontId="4"/>
  </si>
  <si>
    <t>有収水量（件数）</t>
    <rPh sb="0" eb="2">
      <t>ユウシュウ</t>
    </rPh>
    <rPh sb="2" eb="4">
      <t>スイリョウ</t>
    </rPh>
    <rPh sb="5" eb="7">
      <t>ケンスウ</t>
    </rPh>
    <phoneticPr fontId="4"/>
  </si>
  <si>
    <t>①一般用</t>
    <rPh sb="1" eb="3">
      <t>イッパン</t>
    </rPh>
    <rPh sb="3" eb="4">
      <t>ヨウ</t>
    </rPh>
    <phoneticPr fontId="4"/>
  </si>
  <si>
    <t>　うち、5㎥まで</t>
    <phoneticPr fontId="4"/>
  </si>
  <si>
    <t>　うち、10㎥超</t>
    <rPh sb="7" eb="8">
      <t>チョウ</t>
    </rPh>
    <phoneticPr fontId="4"/>
  </si>
  <si>
    <t>【料金】</t>
    <rPh sb="1" eb="3">
      <t>リョウキン</t>
    </rPh>
    <phoneticPr fontId="4"/>
  </si>
  <si>
    <t>【メーター使用料】</t>
    <rPh sb="5" eb="8">
      <t>シヨウリョウ</t>
    </rPh>
    <phoneticPr fontId="4"/>
  </si>
  <si>
    <t>　うち、13ミリ</t>
  </si>
  <si>
    <t>　うち、20ミリ</t>
  </si>
  <si>
    <t>　うち、25ミリ</t>
  </si>
  <si>
    <t>　うち、40ミリ</t>
  </si>
  <si>
    <t>　うち、50ミリ</t>
  </si>
  <si>
    <t>　うち、75ミリ</t>
  </si>
  <si>
    <t>　うち、100ミリ</t>
  </si>
  <si>
    <t>②上記以外</t>
    <rPh sb="1" eb="3">
      <t>ジョウキ</t>
    </rPh>
    <rPh sb="3" eb="5">
      <t>イガイ</t>
    </rPh>
    <phoneticPr fontId="4"/>
  </si>
  <si>
    <t>湯屋</t>
    <rPh sb="0" eb="2">
      <t>ユヤ</t>
    </rPh>
    <phoneticPr fontId="4"/>
  </si>
  <si>
    <t>船舶委託</t>
    <rPh sb="0" eb="2">
      <t>センパク</t>
    </rPh>
    <rPh sb="2" eb="4">
      <t>イタク</t>
    </rPh>
    <phoneticPr fontId="4"/>
  </si>
  <si>
    <t>有収水量（調定額）</t>
    <rPh sb="0" eb="2">
      <t>ユウシュウ</t>
    </rPh>
    <rPh sb="2" eb="4">
      <t>スイリョウ</t>
    </rPh>
    <rPh sb="5" eb="8">
      <t>チョウテイガク</t>
    </rPh>
    <phoneticPr fontId="4"/>
  </si>
  <si>
    <t>総合計</t>
    <rPh sb="0" eb="1">
      <t>ソウ</t>
    </rPh>
    <rPh sb="1" eb="3">
      <t>ゴウケイ</t>
    </rPh>
    <phoneticPr fontId="4"/>
  </si>
  <si>
    <t>1-1　中分類指数（全国）</t>
  </si>
  <si>
    <t>2019年度</t>
  </si>
  <si>
    <t>2020年度</t>
  </si>
  <si>
    <t>2021年度</t>
  </si>
  <si>
    <t>2022年度</t>
  </si>
  <si>
    <t>2023年度</t>
  </si>
  <si>
    <t>2020年基準　消費者物価指数　全国　2023年度年報</t>
    <rPh sb="25" eb="27">
      <t>ネンポウ</t>
    </rPh>
    <phoneticPr fontId="4"/>
  </si>
  <si>
    <t>その他（負担金）</t>
    <rPh sb="2" eb="3">
      <t>タ</t>
    </rPh>
    <rPh sb="4" eb="7">
      <t>フタンキン</t>
    </rPh>
    <phoneticPr fontId="4"/>
  </si>
  <si>
    <t>10年平均値</t>
    <rPh sb="2" eb="3">
      <t>ネン</t>
    </rPh>
    <rPh sb="3" eb="6">
      <t>ヘイキンチ</t>
    </rPh>
    <phoneticPr fontId="4"/>
  </si>
  <si>
    <t>R6</t>
    <phoneticPr fontId="4"/>
  </si>
  <si>
    <t>R7</t>
    <phoneticPr fontId="4"/>
  </si>
  <si>
    <t>R8</t>
    <phoneticPr fontId="4"/>
  </si>
  <si>
    <t>R9</t>
    <phoneticPr fontId="4"/>
  </si>
  <si>
    <t>ここから下が未処理</t>
    <rPh sb="4" eb="5">
      <t>シタ</t>
    </rPh>
    <rPh sb="6" eb="9">
      <t>ミショリ</t>
    </rPh>
    <phoneticPr fontId="4"/>
  </si>
  <si>
    <t>改定後</t>
    <rPh sb="0" eb="3">
      <t>カイテイゴ</t>
    </rPh>
    <phoneticPr fontId="4"/>
  </si>
  <si>
    <t>料金改定後</t>
    <rPh sb="0" eb="5">
      <t>リョウキンカイテイゴ</t>
    </rPh>
    <phoneticPr fontId="4"/>
  </si>
  <si>
    <t>R</t>
    <phoneticPr fontId="4"/>
  </si>
  <si>
    <t>R6以降はゼロ</t>
    <rPh sb="2" eb="4">
      <t>イコウ</t>
    </rPh>
    <phoneticPr fontId="4"/>
  </si>
  <si>
    <t>R1~R5決算の平均値で一定</t>
    <rPh sb="5" eb="7">
      <t>ケッサン</t>
    </rPh>
    <rPh sb="8" eb="11">
      <t>ヘイキンチ</t>
    </rPh>
    <rPh sb="12" eb="14">
      <t>イッテイ</t>
    </rPh>
    <phoneticPr fontId="4"/>
  </si>
  <si>
    <t>R1~R5決算の平均値に物価上昇率を加味</t>
    <rPh sb="5" eb="7">
      <t>ケッサン</t>
    </rPh>
    <rPh sb="8" eb="11">
      <t>ヘイキンチ</t>
    </rPh>
    <rPh sb="12" eb="14">
      <t>ブッカ</t>
    </rPh>
    <rPh sb="14" eb="16">
      <t>ジョウショウ</t>
    </rPh>
    <rPh sb="16" eb="17">
      <t>リツ</t>
    </rPh>
    <rPh sb="18" eb="20">
      <t>カミ</t>
    </rPh>
    <phoneticPr fontId="4"/>
  </si>
  <si>
    <t>R1~R5有収水量1㎥あたり費用×有収水量（見込）</t>
    <rPh sb="5" eb="7">
      <t>ユウシュウ</t>
    </rPh>
    <rPh sb="7" eb="9">
      <t>スイリョウ</t>
    </rPh>
    <rPh sb="14" eb="16">
      <t>ヒヨウ</t>
    </rPh>
    <rPh sb="17" eb="19">
      <t>ユウシュウ</t>
    </rPh>
    <rPh sb="19" eb="21">
      <t>スイリョウ</t>
    </rPh>
    <rPh sb="22" eb="24">
      <t>ミコ</t>
    </rPh>
    <phoneticPr fontId="4"/>
  </si>
  <si>
    <t>工事費+詳細設計費</t>
    <rPh sb="0" eb="3">
      <t>コウジヒ</t>
    </rPh>
    <rPh sb="4" eb="9">
      <t>ショウサイセッケイヒ</t>
    </rPh>
    <phoneticPr fontId="4"/>
  </si>
  <si>
    <t>ここまで配水池等耐震化関係</t>
    <rPh sb="4" eb="7">
      <t>ハイスイチ</t>
    </rPh>
    <rPh sb="7" eb="8">
      <t>トウ</t>
    </rPh>
    <rPh sb="8" eb="11">
      <t>タイシンカ</t>
    </rPh>
    <rPh sb="11" eb="13">
      <t>カンケイ</t>
    </rPh>
    <phoneticPr fontId="4"/>
  </si>
  <si>
    <t>ここから、定額で計算処理</t>
    <rPh sb="5" eb="7">
      <t>テイガク</t>
    </rPh>
    <rPh sb="8" eb="12">
      <t>ケイサンショリ</t>
    </rPh>
    <phoneticPr fontId="4"/>
  </si>
  <si>
    <t>配水本管はここから定額</t>
    <rPh sb="0" eb="2">
      <t>ハイスイ</t>
    </rPh>
    <rPh sb="2" eb="4">
      <t>ホンカン</t>
    </rPh>
    <rPh sb="9" eb="11">
      <t>テイガク</t>
    </rPh>
    <phoneticPr fontId="4"/>
  </si>
  <si>
    <t>現行計画値</t>
    <rPh sb="0" eb="2">
      <t>ゲンコウ</t>
    </rPh>
    <rPh sb="2" eb="4">
      <t>ケイカク</t>
    </rPh>
    <rPh sb="4" eb="5">
      <t>チ</t>
    </rPh>
    <phoneticPr fontId="4"/>
  </si>
  <si>
    <t>R7以降の新規債</t>
    <rPh sb="2" eb="4">
      <t>イコウ</t>
    </rPh>
    <rPh sb="5" eb="7">
      <t>シンキ</t>
    </rPh>
    <rPh sb="7" eb="8">
      <t>サイ</t>
    </rPh>
    <phoneticPr fontId="4"/>
  </si>
  <si>
    <t>R10</t>
    <phoneticPr fontId="4"/>
  </si>
  <si>
    <t>R6末の既往債</t>
    <rPh sb="2" eb="3">
      <t>マツ</t>
    </rPh>
    <rPh sb="4" eb="6">
      <t>キオウ</t>
    </rPh>
    <rPh sb="6" eb="7">
      <t>サイ</t>
    </rPh>
    <phoneticPr fontId="4"/>
  </si>
  <si>
    <t>R11</t>
    <phoneticPr fontId="4"/>
  </si>
  <si>
    <t>R12</t>
    <phoneticPr fontId="4"/>
  </si>
  <si>
    <t>新規債の返済スケジュール×利率の平均値（1.79％）</t>
    <rPh sb="0" eb="2">
      <t>シンキ</t>
    </rPh>
    <rPh sb="2" eb="3">
      <t>サイ</t>
    </rPh>
    <rPh sb="4" eb="6">
      <t>ヘンサイ</t>
    </rPh>
    <rPh sb="13" eb="15">
      <t>リリツ</t>
    </rPh>
    <rPh sb="16" eb="19">
      <t>ヘイキンチ</t>
    </rPh>
    <phoneticPr fontId="4"/>
  </si>
  <si>
    <t>R6末の取得資産</t>
    <rPh sb="2" eb="3">
      <t>マツ</t>
    </rPh>
    <rPh sb="4" eb="6">
      <t>シュトク</t>
    </rPh>
    <rPh sb="6" eb="8">
      <t>シサン</t>
    </rPh>
    <phoneticPr fontId="4"/>
  </si>
  <si>
    <t>R7以降の取得資産</t>
    <rPh sb="2" eb="4">
      <t>イコウ</t>
    </rPh>
    <rPh sb="5" eb="7">
      <t>シュトク</t>
    </rPh>
    <rPh sb="7" eb="9">
      <t>シサン</t>
    </rPh>
    <phoneticPr fontId="4"/>
  </si>
  <si>
    <t>工事負担金</t>
    <rPh sb="0" eb="5">
      <t>コウジフタンキン</t>
    </rPh>
    <phoneticPr fontId="4"/>
  </si>
  <si>
    <t>実績置換</t>
    <rPh sb="0" eb="2">
      <t>ジッセキ</t>
    </rPh>
    <rPh sb="2" eb="4">
      <t>オキカエ</t>
    </rPh>
    <phoneticPr fontId="4"/>
  </si>
  <si>
    <t>予算値</t>
    <rPh sb="0" eb="3">
      <t>ヨサンアタイ</t>
    </rPh>
    <phoneticPr fontId="4"/>
  </si>
  <si>
    <t>料金（税込）</t>
    <rPh sb="0" eb="2">
      <t>リョウキン</t>
    </rPh>
    <rPh sb="3" eb="5">
      <t>ゼイコ</t>
    </rPh>
    <phoneticPr fontId="4"/>
  </si>
  <si>
    <t>基本料金100円上げ、湯屋用500円上げ</t>
    <rPh sb="0" eb="4">
      <t>キホンリョウキン</t>
    </rPh>
    <rPh sb="7" eb="9">
      <t>エンア</t>
    </rPh>
    <rPh sb="11" eb="14">
      <t>ユヤヨウ</t>
    </rPh>
    <rPh sb="17" eb="18">
      <t>エン</t>
    </rPh>
    <rPh sb="18" eb="19">
      <t>ア</t>
    </rPh>
    <phoneticPr fontId="4"/>
  </si>
  <si>
    <t>超過22円ずつ上げ</t>
    <rPh sb="0" eb="2">
      <t>チョウカ</t>
    </rPh>
    <rPh sb="4" eb="5">
      <t>エン</t>
    </rPh>
    <rPh sb="7" eb="8">
      <t>ア</t>
    </rPh>
    <phoneticPr fontId="4"/>
  </si>
  <si>
    <t>品　名</t>
    <rPh sb="0" eb="1">
      <t>ヒン</t>
    </rPh>
    <rPh sb="2" eb="3">
      <t>メイ</t>
    </rPh>
    <phoneticPr fontId="16"/>
  </si>
  <si>
    <t>口　径</t>
    <rPh sb="0" eb="1">
      <t>クチ</t>
    </rPh>
    <rPh sb="2" eb="3">
      <t>ケイ</t>
    </rPh>
    <phoneticPr fontId="16"/>
  </si>
  <si>
    <t>規　　格</t>
    <rPh sb="0" eb="1">
      <t>タダシ</t>
    </rPh>
    <rPh sb="3" eb="4">
      <t>カク</t>
    </rPh>
    <phoneticPr fontId="16"/>
  </si>
  <si>
    <t>数　量</t>
    <rPh sb="0" eb="1">
      <t>スウ</t>
    </rPh>
    <rPh sb="2" eb="3">
      <t>リョウ</t>
    </rPh>
    <phoneticPr fontId="16"/>
  </si>
  <si>
    <t>乾式直読式メーター</t>
    <rPh sb="0" eb="2">
      <t>カンシキ</t>
    </rPh>
    <rPh sb="2" eb="4">
      <t>チョクドク</t>
    </rPh>
    <rPh sb="4" eb="5">
      <t>シキ</t>
    </rPh>
    <phoneticPr fontId="16"/>
  </si>
  <si>
    <t>１３ｍｍ</t>
    <phoneticPr fontId="16"/>
  </si>
  <si>
    <t>２０ｍｍ</t>
    <phoneticPr fontId="16"/>
  </si>
  <si>
    <t>２５ｍｍ</t>
    <phoneticPr fontId="16"/>
  </si>
  <si>
    <t>４０ｍｍ</t>
    <phoneticPr fontId="16"/>
  </si>
  <si>
    <t>５０ｍｍ</t>
    <phoneticPr fontId="16"/>
  </si>
  <si>
    <t>（ねじ込み式）</t>
    <rPh sb="3" eb="4">
      <t>コ</t>
    </rPh>
    <rPh sb="5" eb="6">
      <t>シキ</t>
    </rPh>
    <phoneticPr fontId="16"/>
  </si>
  <si>
    <t>（フランジ式）</t>
    <rPh sb="5" eb="6">
      <t>シキ</t>
    </rPh>
    <phoneticPr fontId="16"/>
  </si>
  <si>
    <t>７５ｍｍ</t>
    <phoneticPr fontId="16"/>
  </si>
  <si>
    <t>１００ｍｍ</t>
    <phoneticPr fontId="16"/>
  </si>
  <si>
    <t>電子式メーター</t>
    <phoneticPr fontId="16"/>
  </si>
  <si>
    <t>電子式メーター（隔測表示器無し）</t>
    <rPh sb="8" eb="10">
      <t>カクソク</t>
    </rPh>
    <rPh sb="10" eb="14">
      <t>ヒョウジキナ</t>
    </rPh>
    <phoneticPr fontId="16"/>
  </si>
  <si>
    <t>（ねじ込み式）（スマートメーターに対応可）</t>
    <rPh sb="3" eb="4">
      <t>コ</t>
    </rPh>
    <rPh sb="5" eb="6">
      <t>シキ</t>
    </rPh>
    <phoneticPr fontId="16"/>
  </si>
  <si>
    <t>（フランジ式）（スマートメーターに対応可）</t>
    <rPh sb="5" eb="6">
      <t>シキ</t>
    </rPh>
    <phoneticPr fontId="16"/>
  </si>
  <si>
    <t>電子式メーター(ポール付）</t>
    <rPh sb="0" eb="2">
      <t>デンシ</t>
    </rPh>
    <rPh sb="2" eb="3">
      <t>シキ</t>
    </rPh>
    <rPh sb="11" eb="12">
      <t>ツキ</t>
    </rPh>
    <phoneticPr fontId="16"/>
  </si>
  <si>
    <t>（ねじ込み式）</t>
    <phoneticPr fontId="16"/>
  </si>
  <si>
    <t>一式</t>
    <rPh sb="0" eb="2">
      <t>イッシキ</t>
    </rPh>
    <phoneticPr fontId="16"/>
  </si>
  <si>
    <t>→ここから推定</t>
    <rPh sb="5" eb="7">
      <t>スイテイ</t>
    </rPh>
    <phoneticPr fontId="4"/>
  </si>
  <si>
    <t>（スマートメーターに対応可）</t>
    <rPh sb="10" eb="12">
      <t>タイオウ</t>
    </rPh>
    <rPh sb="12" eb="13">
      <t>カ</t>
    </rPh>
    <phoneticPr fontId="16"/>
  </si>
  <si>
    <t>÷48か月（4年）</t>
    <rPh sb="4" eb="5">
      <t>ゲツ</t>
    </rPh>
    <rPh sb="7" eb="8">
      <t>ネン</t>
    </rPh>
    <phoneticPr fontId="4"/>
  </si>
  <si>
    <t>現行メーター使用料（税込）</t>
    <rPh sb="0" eb="2">
      <t>ゲンコウ</t>
    </rPh>
    <rPh sb="6" eb="9">
      <t>シヨウリョウ</t>
    </rPh>
    <rPh sb="10" eb="12">
      <t>ゼイコ</t>
    </rPh>
    <phoneticPr fontId="4"/>
  </si>
  <si>
    <t>現行メーター使用料（税抜）</t>
    <rPh sb="0" eb="2">
      <t>ゲンコウ</t>
    </rPh>
    <rPh sb="6" eb="9">
      <t>シヨウリョウ</t>
    </rPh>
    <rPh sb="10" eb="12">
      <t>ゼイヌキ</t>
    </rPh>
    <phoneticPr fontId="4"/>
  </si>
  <si>
    <t>購入額（税込）</t>
    <rPh sb="0" eb="3">
      <t>コウニュウガク</t>
    </rPh>
    <rPh sb="4" eb="6">
      <t>ゼイコ</t>
    </rPh>
    <phoneticPr fontId="16"/>
  </si>
  <si>
    <t>G列－F列</t>
    <rPh sb="1" eb="2">
      <t>レツ</t>
    </rPh>
    <rPh sb="4" eb="5">
      <t>レツ</t>
    </rPh>
    <phoneticPr fontId="4"/>
  </si>
  <si>
    <t>備考</t>
    <rPh sb="0" eb="2">
      <t>ビコウ</t>
    </rPh>
    <phoneticPr fontId="4"/>
  </si>
  <si>
    <t>追加経費として設置委託料を要す</t>
    <rPh sb="0" eb="4">
      <t>ツイカケイヒ</t>
    </rPh>
    <rPh sb="7" eb="12">
      <t>セッチイタクリョウ</t>
    </rPh>
    <rPh sb="13" eb="14">
      <t>ヨウ</t>
    </rPh>
    <phoneticPr fontId="4"/>
  </si>
  <si>
    <t>メーターだけでスマートメータ化すればするほど赤字になる</t>
    <rPh sb="14" eb="15">
      <t>カ</t>
    </rPh>
    <rPh sb="22" eb="24">
      <t>アカジ</t>
    </rPh>
    <phoneticPr fontId="4"/>
  </si>
  <si>
    <t>スマートメーター化経費（レジンキット税込）</t>
    <rPh sb="8" eb="9">
      <t>カ</t>
    </rPh>
    <rPh sb="9" eb="11">
      <t>ケイヒ</t>
    </rPh>
    <rPh sb="18" eb="20">
      <t>ゼイコ</t>
    </rPh>
    <phoneticPr fontId="4"/>
  </si>
  <si>
    <t>スマートメーター化経費（無線端末税込）</t>
    <rPh sb="8" eb="9">
      <t>カ</t>
    </rPh>
    <rPh sb="9" eb="11">
      <t>ケイヒ</t>
    </rPh>
    <rPh sb="12" eb="16">
      <t>ムセンタンマツ</t>
    </rPh>
    <rPh sb="16" eb="18">
      <t>ゼイコ</t>
    </rPh>
    <phoneticPr fontId="4"/>
  </si>
  <si>
    <t>スマートメーター全料金</t>
    <rPh sb="8" eb="11">
      <t>ゼンリョウキン</t>
    </rPh>
    <phoneticPr fontId="4"/>
  </si>
  <si>
    <t>現行料金（対応単価）の7.6倍</t>
    <rPh sb="0" eb="4">
      <t>ゲンコウリョウキン</t>
    </rPh>
    <rPh sb="5" eb="7">
      <t>タイオウ</t>
    </rPh>
    <rPh sb="7" eb="9">
      <t>タンカ</t>
    </rPh>
    <rPh sb="14" eb="15">
      <t>バイ</t>
    </rPh>
    <phoneticPr fontId="4"/>
  </si>
  <si>
    <t>改定額（税込）</t>
    <rPh sb="0" eb="3">
      <t>カイテイガク</t>
    </rPh>
    <rPh sb="4" eb="6">
      <t>ゼイコ</t>
    </rPh>
    <phoneticPr fontId="4"/>
  </si>
  <si>
    <t>現行料金（対応単価）の5.4倍</t>
    <rPh sb="0" eb="4">
      <t>ゲンコウリョウキン</t>
    </rPh>
    <rPh sb="5" eb="7">
      <t>タイオウ</t>
    </rPh>
    <rPh sb="7" eb="9">
      <t>タンカ</t>
    </rPh>
    <rPh sb="14" eb="15">
      <t>バイ</t>
    </rPh>
    <phoneticPr fontId="4"/>
  </si>
  <si>
    <t>現行料金（対応単価）の4.1倍</t>
    <rPh sb="0" eb="4">
      <t>ゲンコウリョウキン</t>
    </rPh>
    <rPh sb="5" eb="7">
      <t>タイオウ</t>
    </rPh>
    <rPh sb="7" eb="9">
      <t>タンカ</t>
    </rPh>
    <rPh sb="14" eb="15">
      <t>バイ</t>
    </rPh>
    <phoneticPr fontId="4"/>
  </si>
  <si>
    <t>現行料金（対応単価）の2.95倍</t>
    <rPh sb="0" eb="4">
      <t>ゲンコウリョウキン</t>
    </rPh>
    <rPh sb="5" eb="7">
      <t>タイオウ</t>
    </rPh>
    <rPh sb="7" eb="9">
      <t>タンカ</t>
    </rPh>
    <rPh sb="15" eb="16">
      <t>バイ</t>
    </rPh>
    <phoneticPr fontId="4"/>
  </si>
  <si>
    <t>メーター料金見直し計算表</t>
    <rPh sb="4" eb="8">
      <t>リョウキンミナオ</t>
    </rPh>
    <rPh sb="9" eb="12">
      <t>ケイサンヒョウ</t>
    </rPh>
    <phoneticPr fontId="4"/>
  </si>
  <si>
    <t>仮算定</t>
    <rPh sb="0" eb="3">
      <t>カリサンテイ</t>
    </rPh>
    <phoneticPr fontId="4"/>
  </si>
  <si>
    <t>令和７年度量水器【購入】乾式に合わせた場合</t>
    <rPh sb="9" eb="11">
      <t>コウニュウ</t>
    </rPh>
    <rPh sb="12" eb="14">
      <t>カンシキ</t>
    </rPh>
    <rPh sb="15" eb="16">
      <t>ア</t>
    </rPh>
    <rPh sb="19" eb="21">
      <t>バアイ</t>
    </rPh>
    <phoneticPr fontId="16"/>
  </si>
  <si>
    <t>令和７年度量水器【購入】スマメに合わせた場合</t>
    <rPh sb="9" eb="11">
      <t>コウニュウ</t>
    </rPh>
    <rPh sb="16" eb="17">
      <t>ア</t>
    </rPh>
    <rPh sb="20" eb="22">
      <t>バアイ</t>
    </rPh>
    <phoneticPr fontId="16"/>
  </si>
  <si>
    <t>÷96か月（8年）</t>
    <rPh sb="4" eb="5">
      <t>ゲツ</t>
    </rPh>
    <rPh sb="7" eb="8">
      <t>ネン</t>
    </rPh>
    <phoneticPr fontId="4"/>
  </si>
  <si>
    <t>他会計補助（元金償還）</t>
    <rPh sb="0" eb="5">
      <t>タカイケイホジョ</t>
    </rPh>
    <rPh sb="6" eb="10">
      <t>ガンキンショウカン</t>
    </rPh>
    <phoneticPr fontId="4"/>
  </si>
  <si>
    <t>有収水量（千㎥）</t>
    <rPh sb="0" eb="2">
      <t>ユウシュウ</t>
    </rPh>
    <rPh sb="2" eb="4">
      <t>スイリョウ</t>
    </rPh>
    <rPh sb="5" eb="6">
      <t>セン</t>
    </rPh>
    <phoneticPr fontId="4"/>
  </si>
  <si>
    <t>メーター含む口径別料金案</t>
    <rPh sb="4" eb="5">
      <t>フク</t>
    </rPh>
    <rPh sb="6" eb="9">
      <t>コウケイベツ</t>
    </rPh>
    <rPh sb="9" eb="11">
      <t>リョウキン</t>
    </rPh>
    <rPh sb="11" eb="12">
      <t>アン</t>
    </rPh>
    <phoneticPr fontId="4"/>
  </si>
  <si>
    <t>使用口径別の基礎となる本来の使用メーター料金</t>
    <rPh sb="0" eb="5">
      <t>シヨウコウケイベツ</t>
    </rPh>
    <rPh sb="6" eb="8">
      <t>キソ</t>
    </rPh>
    <rPh sb="11" eb="13">
      <t>ホンライ</t>
    </rPh>
    <rPh sb="14" eb="16">
      <t>シヨウ</t>
    </rPh>
    <rPh sb="20" eb="22">
      <t>リョウキン</t>
    </rPh>
    <phoneticPr fontId="4"/>
  </si>
  <si>
    <t>合計値</t>
    <rPh sb="0" eb="3">
      <t>ゴウケイチ</t>
    </rPh>
    <phoneticPr fontId="4"/>
  </si>
  <si>
    <t>基本料金</t>
  </si>
  <si>
    <t>基本料金</t>
    <rPh sb="0" eb="4">
      <t>キホンリョウキン</t>
    </rPh>
    <phoneticPr fontId="4"/>
  </si>
  <si>
    <t>これまでの基本料金部分を口径別に割り振った総額</t>
    <rPh sb="5" eb="11">
      <t>キホンリョウキンブブン</t>
    </rPh>
    <rPh sb="12" eb="15">
      <t>コウケイベツ</t>
    </rPh>
    <rPh sb="16" eb="17">
      <t>ワ</t>
    </rPh>
    <rPh sb="18" eb="19">
      <t>フ</t>
    </rPh>
    <rPh sb="21" eb="23">
      <t>ソウガク</t>
    </rPh>
    <phoneticPr fontId="4"/>
  </si>
  <si>
    <t>左記を１件１月あたりに割り振った額</t>
    <rPh sb="0" eb="2">
      <t>サキ</t>
    </rPh>
    <rPh sb="4" eb="5">
      <t>ケン</t>
    </rPh>
    <rPh sb="6" eb="7">
      <t>ガツ</t>
    </rPh>
    <rPh sb="11" eb="12">
      <t>ワ</t>
    </rPh>
    <rPh sb="13" eb="14">
      <t>フ</t>
    </rPh>
    <rPh sb="16" eb="17">
      <t>ガク</t>
    </rPh>
    <phoneticPr fontId="4"/>
  </si>
  <si>
    <t>１件１月当たり</t>
    <rPh sb="1" eb="2">
      <t>ケン</t>
    </rPh>
    <rPh sb="3" eb="5">
      <t>ツキア</t>
    </rPh>
    <phoneticPr fontId="4"/>
  </si>
  <si>
    <t>現行基本料金想定金額</t>
    <rPh sb="0" eb="2">
      <t>ゲンコウ</t>
    </rPh>
    <rPh sb="2" eb="10">
      <t>キホンリョウキンソウテイキンガク</t>
    </rPh>
    <phoneticPr fontId="4"/>
  </si>
  <si>
    <t>年度別</t>
    <rPh sb="0" eb="3">
      <t>ネンドベツ</t>
    </rPh>
    <phoneticPr fontId="4"/>
  </si>
  <si>
    <t>１年割り戻し</t>
    <rPh sb="1" eb="3">
      <t>ネンワ</t>
    </rPh>
    <rPh sb="4" eb="5">
      <t>モド</t>
    </rPh>
    <phoneticPr fontId="4"/>
  </si>
  <si>
    <t>R7.11時点契約件数</t>
    <rPh sb="5" eb="7">
      <t>ジテン</t>
    </rPh>
    <rPh sb="7" eb="11">
      <t>ケイヤクケンスウ</t>
    </rPh>
    <phoneticPr fontId="4"/>
  </si>
  <si>
    <t>11月調定</t>
    <rPh sb="2" eb="3">
      <t>ガツ</t>
    </rPh>
    <rPh sb="3" eb="5">
      <t>チョウテイ</t>
    </rPh>
    <phoneticPr fontId="4"/>
  </si>
  <si>
    <t/>
  </si>
  <si>
    <t>上水</t>
  </si>
  <si>
    <t>使用者番号</t>
  </si>
  <si>
    <t>行政区</t>
  </si>
  <si>
    <t>用途区分上水</t>
  </si>
  <si>
    <t>口径</t>
  </si>
  <si>
    <t>消費税率</t>
  </si>
  <si>
    <t>上水有収水量</t>
  </si>
  <si>
    <t>超過料金</t>
  </si>
  <si>
    <t>消費税</t>
  </si>
  <si>
    <t>ﾒｰﾀｰ料金</t>
  </si>
  <si>
    <t>使用料金</t>
  </si>
  <si>
    <t>0050000614-00</t>
  </si>
  <si>
    <t>西</t>
  </si>
  <si>
    <t>家事用</t>
  </si>
  <si>
    <t>13</t>
  </si>
  <si>
    <t>0100010001-01</t>
  </si>
  <si>
    <t>大沢</t>
  </si>
  <si>
    <t>20</t>
  </si>
  <si>
    <t>0100010002-00</t>
  </si>
  <si>
    <t>営業用</t>
  </si>
  <si>
    <t>0100010200-00</t>
  </si>
  <si>
    <t>40</t>
  </si>
  <si>
    <t>0100020000-00</t>
  </si>
  <si>
    <t>0100030000-00</t>
  </si>
  <si>
    <t>0100040000-01</t>
  </si>
  <si>
    <t>25</t>
  </si>
  <si>
    <t>0100050000-01</t>
  </si>
  <si>
    <t>0100060000-01</t>
  </si>
  <si>
    <t>団体用</t>
  </si>
  <si>
    <t>0100070000-00</t>
  </si>
  <si>
    <t>0100080000-00</t>
  </si>
  <si>
    <t>0100090000-02</t>
  </si>
  <si>
    <t>工業用</t>
  </si>
  <si>
    <t>0100100100-00</t>
  </si>
  <si>
    <t>0100110000-00</t>
  </si>
  <si>
    <t>0100110010-00</t>
  </si>
  <si>
    <t>50</t>
  </si>
  <si>
    <t>0100130000-02</t>
  </si>
  <si>
    <t>0100140000-00</t>
  </si>
  <si>
    <t>0100150000-00</t>
  </si>
  <si>
    <t>0100180000-03</t>
  </si>
  <si>
    <t>0100190000-01</t>
  </si>
  <si>
    <t>0100220000-00</t>
  </si>
  <si>
    <t>0100220100-00</t>
  </si>
  <si>
    <t>0100230000-00</t>
  </si>
  <si>
    <t>0100240000-00</t>
  </si>
  <si>
    <t>0100270000-02</t>
  </si>
  <si>
    <t>0100280000-08</t>
  </si>
  <si>
    <t>0100290000-00</t>
  </si>
  <si>
    <t>0100290100-01</t>
  </si>
  <si>
    <t>0100290200-02</t>
  </si>
  <si>
    <t>0100291100-00</t>
  </si>
  <si>
    <t>0100310000-01</t>
  </si>
  <si>
    <t>0100320000-00</t>
  </si>
  <si>
    <t>0100320100-01</t>
  </si>
  <si>
    <t>0100320400-01</t>
  </si>
  <si>
    <t>0100350000-00</t>
  </si>
  <si>
    <t>0100360000-00</t>
  </si>
  <si>
    <t>0200020000-00</t>
  </si>
  <si>
    <t>浦宿１</t>
  </si>
  <si>
    <t>0200030000-00</t>
  </si>
  <si>
    <t>0200040000-00</t>
  </si>
  <si>
    <t>0200050000-00</t>
  </si>
  <si>
    <t>0200060000-03</t>
  </si>
  <si>
    <t>0200070000-02</t>
  </si>
  <si>
    <t>0200071000-01</t>
  </si>
  <si>
    <t>0200080100-00</t>
  </si>
  <si>
    <t>0200090000-03</t>
  </si>
  <si>
    <t>0200100000-00</t>
  </si>
  <si>
    <t>0200100100-00</t>
  </si>
  <si>
    <t>0200150000-02</t>
  </si>
  <si>
    <t>0200160000-00</t>
  </si>
  <si>
    <t>0200160100-01</t>
  </si>
  <si>
    <t>0200160200-00</t>
  </si>
  <si>
    <t>0200180000-00</t>
  </si>
  <si>
    <t>0200180001-00</t>
  </si>
  <si>
    <t>0200180100-00</t>
  </si>
  <si>
    <t>0200180200-01</t>
  </si>
  <si>
    <t>0200200000-00</t>
  </si>
  <si>
    <t>0200210000-00</t>
  </si>
  <si>
    <t>0200220000-00</t>
  </si>
  <si>
    <t>0200220100-00</t>
  </si>
  <si>
    <t>0200220200-00</t>
  </si>
  <si>
    <t>0200220300-00</t>
  </si>
  <si>
    <t>0200230000-00</t>
  </si>
  <si>
    <t>0200250000-00</t>
  </si>
  <si>
    <t>0200250100-01</t>
  </si>
  <si>
    <t>0200250200-00</t>
  </si>
  <si>
    <t>0200260000-00</t>
  </si>
  <si>
    <t>0200270000-00</t>
  </si>
  <si>
    <t>0200280000-03</t>
  </si>
  <si>
    <t>0200290000-00</t>
  </si>
  <si>
    <t>0200310000-00</t>
  </si>
  <si>
    <t>0200320000-00</t>
  </si>
  <si>
    <t>0200340000-00</t>
  </si>
  <si>
    <t>0200360000-00</t>
  </si>
  <si>
    <t>0200370000-00</t>
  </si>
  <si>
    <t>0200370100-00</t>
  </si>
  <si>
    <t>0200380000-00</t>
  </si>
  <si>
    <t>0200410000-00</t>
  </si>
  <si>
    <t>0200440100-00</t>
  </si>
  <si>
    <t>0200460000-00</t>
  </si>
  <si>
    <t>0200470100-17</t>
  </si>
  <si>
    <t>0200470200-19</t>
  </si>
  <si>
    <t>0200470300-11</t>
  </si>
  <si>
    <t>0200470400-06</t>
  </si>
  <si>
    <t>0200470500-16</t>
  </si>
  <si>
    <t>0200470600-10</t>
  </si>
  <si>
    <t>0200470800-12</t>
  </si>
  <si>
    <t>0200470900-06</t>
  </si>
  <si>
    <t>0200471000-00</t>
  </si>
  <si>
    <t>0200481000-00</t>
  </si>
  <si>
    <t>0200481100-02</t>
  </si>
  <si>
    <t>0200481200-00</t>
  </si>
  <si>
    <t>0200490000-01</t>
  </si>
  <si>
    <t>0200490100-06</t>
  </si>
  <si>
    <t>0200490110-00</t>
  </si>
  <si>
    <t>0200490200-00</t>
  </si>
  <si>
    <t>0200490210-00</t>
  </si>
  <si>
    <t>0200490300-00</t>
  </si>
  <si>
    <t>0200490400-00</t>
  </si>
  <si>
    <t>0200520000-03</t>
  </si>
  <si>
    <t>0200530000-00</t>
  </si>
  <si>
    <t>0200540000-00</t>
  </si>
  <si>
    <t>0200550000-00</t>
  </si>
  <si>
    <t>0200580000-01</t>
  </si>
  <si>
    <t>0200600100-00</t>
  </si>
  <si>
    <t>0200610000-00</t>
  </si>
  <si>
    <t>0200620100-09</t>
  </si>
  <si>
    <t>0200630000-03</t>
  </si>
  <si>
    <t>0200630100-00</t>
  </si>
  <si>
    <t>0200640000-00</t>
  </si>
  <si>
    <t>0200650100-01</t>
  </si>
  <si>
    <t>0200660000-00</t>
  </si>
  <si>
    <t>0200670000-00</t>
  </si>
  <si>
    <t>0200670100-02</t>
  </si>
  <si>
    <t>0200680000-06</t>
  </si>
  <si>
    <t>0200680100-01</t>
  </si>
  <si>
    <t>0200690100-03</t>
  </si>
  <si>
    <t>0200700000-00</t>
  </si>
  <si>
    <t>0200710000-02</t>
  </si>
  <si>
    <t>0200860000-00</t>
  </si>
  <si>
    <t>0200860020-00</t>
  </si>
  <si>
    <t>0200910000-01</t>
  </si>
  <si>
    <t>0200911100-02</t>
  </si>
  <si>
    <t>0200911200-06</t>
  </si>
  <si>
    <t>0200911300-06</t>
  </si>
  <si>
    <t>0200911400-03</t>
  </si>
  <si>
    <t>0200911500-08</t>
  </si>
  <si>
    <t>0200911600-06</t>
  </si>
  <si>
    <t>0200911699-00</t>
  </si>
  <si>
    <t>0200911700-06</t>
  </si>
  <si>
    <t>0200930100-05</t>
  </si>
  <si>
    <t>0200930200-01</t>
  </si>
  <si>
    <t>0200930300-01</t>
  </si>
  <si>
    <t>0200930400-01</t>
  </si>
  <si>
    <t>0200930600-02</t>
  </si>
  <si>
    <t>0200930800-03</t>
  </si>
  <si>
    <t>0200931200-02</t>
  </si>
  <si>
    <t>0200931400-04</t>
  </si>
  <si>
    <t>0200931600-03</t>
  </si>
  <si>
    <t>0200932000-01</t>
  </si>
  <si>
    <t>0200940000-00</t>
  </si>
  <si>
    <t>0200950010-00</t>
  </si>
  <si>
    <t>0200960000-00</t>
  </si>
  <si>
    <t>0200960100-00</t>
  </si>
  <si>
    <t>0200960250-00</t>
  </si>
  <si>
    <t>0200970000-00</t>
  </si>
  <si>
    <t>0200970100-00</t>
  </si>
  <si>
    <t>0200990100-00</t>
  </si>
  <si>
    <t>0201020010-00</t>
  </si>
  <si>
    <t>0201040000-02</t>
  </si>
  <si>
    <t>0201050000-00</t>
  </si>
  <si>
    <t>0201050100-00</t>
  </si>
  <si>
    <t>0201050200-00</t>
  </si>
  <si>
    <t>0201050300-00</t>
  </si>
  <si>
    <t>0201050400-02</t>
  </si>
  <si>
    <t>0201080000-00</t>
  </si>
  <si>
    <t>0201080400-02</t>
  </si>
  <si>
    <t>0201080401-00</t>
  </si>
  <si>
    <t>0201090000-00</t>
  </si>
  <si>
    <t>0201100000-00</t>
  </si>
  <si>
    <t>0201110000-03</t>
  </si>
  <si>
    <t>0201110100-02</t>
  </si>
  <si>
    <t>0201110200-06</t>
  </si>
  <si>
    <t>0201110300-13</t>
  </si>
  <si>
    <t>0201110400-04</t>
  </si>
  <si>
    <t>0201120100-02</t>
  </si>
  <si>
    <t>0201130000-00</t>
  </si>
  <si>
    <t>0201140000-00</t>
  </si>
  <si>
    <t>0201150000-00</t>
  </si>
  <si>
    <t>0201160000-00</t>
  </si>
  <si>
    <t>0201180100-04</t>
  </si>
  <si>
    <t>0201200000-00</t>
  </si>
  <si>
    <t>0201200100-02</t>
  </si>
  <si>
    <t>0201200300-01</t>
  </si>
  <si>
    <t>0201210000-00</t>
  </si>
  <si>
    <t>0201220000-01</t>
  </si>
  <si>
    <t>0201220100-00</t>
  </si>
  <si>
    <t>0201230000-00</t>
  </si>
  <si>
    <t>0201240000-02</t>
  </si>
  <si>
    <t>0201250000-00</t>
  </si>
  <si>
    <t>0201250100-00</t>
  </si>
  <si>
    <t>0201250200-00</t>
  </si>
  <si>
    <t>0201260000-00</t>
  </si>
  <si>
    <t>0201260100-00</t>
  </si>
  <si>
    <t>0201270000-00</t>
  </si>
  <si>
    <t>0201280000-01</t>
  </si>
  <si>
    <t>0201280001-01</t>
  </si>
  <si>
    <t>0201290000-02</t>
  </si>
  <si>
    <t>0201300100-02</t>
  </si>
  <si>
    <t>0201310000-00</t>
  </si>
  <si>
    <t>0201320000-00</t>
  </si>
  <si>
    <t>0201330000-00</t>
  </si>
  <si>
    <t>0201330100-00</t>
  </si>
  <si>
    <t>0201370100-00</t>
  </si>
  <si>
    <t>0201370200-01</t>
  </si>
  <si>
    <t>0201370201-01</t>
  </si>
  <si>
    <t>0201380000-00</t>
  </si>
  <si>
    <t>0201390100-01</t>
  </si>
  <si>
    <t>0201400000-01</t>
  </si>
  <si>
    <t>0201400300-00</t>
  </si>
  <si>
    <t>0201400400-00</t>
  </si>
  <si>
    <t>0201410000-00</t>
  </si>
  <si>
    <t>0201410100-00</t>
  </si>
  <si>
    <t>0201410200-00</t>
  </si>
  <si>
    <t>0201420000-00</t>
  </si>
  <si>
    <t>0201430100-00</t>
  </si>
  <si>
    <t>0201440000-00</t>
  </si>
  <si>
    <t>0201450000-00</t>
  </si>
  <si>
    <t>0201460000-00</t>
  </si>
  <si>
    <t>0201470000-01</t>
  </si>
  <si>
    <t>0201480000-00</t>
  </si>
  <si>
    <t>0201490000-00</t>
  </si>
  <si>
    <t>0201490100-00</t>
  </si>
  <si>
    <t>0201500000-00</t>
  </si>
  <si>
    <t>0201500040-01</t>
  </si>
  <si>
    <t>0201510000-00</t>
  </si>
  <si>
    <t>0201530000-01</t>
  </si>
  <si>
    <t>0201600000-01</t>
  </si>
  <si>
    <t>0201600100-01</t>
  </si>
  <si>
    <t>0201600200-03</t>
  </si>
  <si>
    <t>0201600300-00</t>
  </si>
  <si>
    <t>0201600400-02</t>
  </si>
  <si>
    <t>0201600500-00</t>
  </si>
  <si>
    <t>0201610000-02</t>
  </si>
  <si>
    <t>0201610010-00</t>
  </si>
  <si>
    <t>0201610011-01</t>
  </si>
  <si>
    <t>0201610100-01</t>
  </si>
  <si>
    <t>0201610200-01</t>
  </si>
  <si>
    <t>0201630000-02</t>
  </si>
  <si>
    <t>0201660000-01</t>
  </si>
  <si>
    <t>0201670000-00</t>
  </si>
  <si>
    <t>0201670100-05</t>
  </si>
  <si>
    <t>0201700000-00</t>
  </si>
  <si>
    <t>0201700100-00</t>
  </si>
  <si>
    <t>0201710000-00</t>
  </si>
  <si>
    <t>0201710100-00</t>
  </si>
  <si>
    <t>0201710200-00</t>
  </si>
  <si>
    <t>0201720000-00</t>
  </si>
  <si>
    <t>0201730000-00</t>
  </si>
  <si>
    <t>0201740000-00</t>
  </si>
  <si>
    <t>0201760000-02</t>
  </si>
  <si>
    <t>0201770100-00</t>
  </si>
  <si>
    <t>0201770200-01</t>
  </si>
  <si>
    <t>0201770300-01</t>
  </si>
  <si>
    <t>0201770400-03</t>
  </si>
  <si>
    <t>0201770500-00</t>
  </si>
  <si>
    <t>0201770700-02</t>
  </si>
  <si>
    <t>0201770900-02</t>
  </si>
  <si>
    <t>0201771000-01</t>
  </si>
  <si>
    <t>0201771100-01</t>
  </si>
  <si>
    <t>0201771300-05</t>
  </si>
  <si>
    <t>0201771400-00</t>
  </si>
  <si>
    <t>0300060100-00</t>
  </si>
  <si>
    <t>浦宿２</t>
  </si>
  <si>
    <t>0300070000-03</t>
  </si>
  <si>
    <t>0300080000-02</t>
  </si>
  <si>
    <t>0300090000-00</t>
  </si>
  <si>
    <t>0300100000-00</t>
  </si>
  <si>
    <t>0300110000-00</t>
  </si>
  <si>
    <t>0300120000-01</t>
  </si>
  <si>
    <t>0300120100-00</t>
  </si>
  <si>
    <t>0300180000-00</t>
  </si>
  <si>
    <t>0300190000-00</t>
  </si>
  <si>
    <t>0300200000-01</t>
  </si>
  <si>
    <t>0300200100-01</t>
  </si>
  <si>
    <t>0300220000-03</t>
  </si>
  <si>
    <t>0300230000-02</t>
  </si>
  <si>
    <t>0300250000-02</t>
  </si>
  <si>
    <t>0300260000-00</t>
  </si>
  <si>
    <t>0300270000-01</t>
  </si>
  <si>
    <t>0300310000-03</t>
  </si>
  <si>
    <t>0300310010-00</t>
  </si>
  <si>
    <t>臨時用</t>
  </si>
  <si>
    <t>0300420000-00</t>
  </si>
  <si>
    <t>0300420100-00</t>
  </si>
  <si>
    <t>0300470000-00</t>
  </si>
  <si>
    <t>0300490000-00</t>
  </si>
  <si>
    <t>0300500000-03</t>
  </si>
  <si>
    <t>0300510000-01</t>
  </si>
  <si>
    <t>0300520000-00</t>
  </si>
  <si>
    <t>0300530000-00</t>
  </si>
  <si>
    <t>0300540000-00</t>
  </si>
  <si>
    <t>0300550000-00</t>
  </si>
  <si>
    <t>0300560000-00</t>
  </si>
  <si>
    <t>0300570000-00</t>
  </si>
  <si>
    <t>0300580000-02</t>
  </si>
  <si>
    <t>0300590100-04</t>
  </si>
  <si>
    <t>0300590200-03</t>
  </si>
  <si>
    <t>0300590300-03</t>
  </si>
  <si>
    <t>0300590600-03</t>
  </si>
  <si>
    <t>0300590700-03</t>
  </si>
  <si>
    <t>0300590800-03</t>
  </si>
  <si>
    <t>0300590900-03</t>
  </si>
  <si>
    <t>0300591000-05</t>
  </si>
  <si>
    <t>0300591100-04</t>
  </si>
  <si>
    <t>0300591200-02</t>
  </si>
  <si>
    <t>0300600000-01</t>
  </si>
  <si>
    <t>0300610000-00</t>
  </si>
  <si>
    <t>0300610100-01</t>
  </si>
  <si>
    <t>0300610200-01</t>
  </si>
  <si>
    <t>0300610300-01</t>
  </si>
  <si>
    <t>0300610400-01</t>
  </si>
  <si>
    <t>0300610500-02</t>
  </si>
  <si>
    <t>0300610600-01</t>
  </si>
  <si>
    <t>0300610700-01</t>
  </si>
  <si>
    <t>0300610800-02</t>
  </si>
  <si>
    <t>0300620500-01</t>
  </si>
  <si>
    <t>0300630000-02</t>
  </si>
  <si>
    <t>0300630100-00</t>
  </si>
  <si>
    <t>0300670000-00</t>
  </si>
  <si>
    <t>0300670100-01</t>
  </si>
  <si>
    <t>0300680001-01</t>
  </si>
  <si>
    <t>0300690000-00</t>
  </si>
  <si>
    <t>0300700000-04</t>
  </si>
  <si>
    <t>0300710000-00</t>
  </si>
  <si>
    <t>0300720000-02</t>
  </si>
  <si>
    <t>0300720100-01</t>
  </si>
  <si>
    <t>0300730000-00</t>
  </si>
  <si>
    <t>0300740000-00</t>
  </si>
  <si>
    <t>0300750000-02</t>
  </si>
  <si>
    <t>0300760000-03</t>
  </si>
  <si>
    <t>0300770000-00</t>
  </si>
  <si>
    <t>0300780000-00</t>
  </si>
  <si>
    <t>0300830000-00</t>
  </si>
  <si>
    <t>0300840000-01</t>
  </si>
  <si>
    <t>0300930000-00</t>
  </si>
  <si>
    <t>0300940000-00</t>
  </si>
  <si>
    <t>0301010001-00</t>
  </si>
  <si>
    <t>0301030000-03</t>
  </si>
  <si>
    <t>0301040000-00</t>
  </si>
  <si>
    <t>0301041000-01</t>
  </si>
  <si>
    <t>0301050000-00</t>
  </si>
  <si>
    <t>0301050100-00</t>
  </si>
  <si>
    <t>0301050200-01</t>
  </si>
  <si>
    <t>0301060000-00</t>
  </si>
  <si>
    <t>0301080000-00</t>
  </si>
  <si>
    <t>0301090000-02</t>
  </si>
  <si>
    <t>0301100000-03</t>
  </si>
  <si>
    <t>0301100100-01</t>
  </si>
  <si>
    <t>0301110000-00</t>
  </si>
  <si>
    <t>0301120000-00</t>
  </si>
  <si>
    <t>0301130000-02</t>
  </si>
  <si>
    <t>0301140000-00</t>
  </si>
  <si>
    <t>0301140200-02</t>
  </si>
  <si>
    <t>0301140400-00</t>
  </si>
  <si>
    <t>0301150000-00</t>
  </si>
  <si>
    <t>0301150100-00</t>
  </si>
  <si>
    <t>0301160000-00</t>
  </si>
  <si>
    <t>0301200000-00</t>
  </si>
  <si>
    <t>0301220000-01</t>
  </si>
  <si>
    <t>0301220100-01</t>
  </si>
  <si>
    <t>0301230000-00</t>
  </si>
  <si>
    <t>0301240000-00</t>
  </si>
  <si>
    <t>0301250000-00</t>
  </si>
  <si>
    <t>0301260000-02</t>
  </si>
  <si>
    <t>0301270000-03</t>
  </si>
  <si>
    <t>0301390000-00</t>
  </si>
  <si>
    <t>0301410000-00</t>
  </si>
  <si>
    <t>0301420100-02</t>
  </si>
  <si>
    <t>0301440100-00</t>
  </si>
  <si>
    <t>0301460000-02</t>
  </si>
  <si>
    <t>0301470000-01</t>
  </si>
  <si>
    <t>0301480000-05</t>
  </si>
  <si>
    <t>0301490000-16</t>
  </si>
  <si>
    <t>0301490100-09</t>
  </si>
  <si>
    <t>0301500000-03</t>
  </si>
  <si>
    <t>0301520000-00</t>
  </si>
  <si>
    <t>0301530000-03</t>
  </si>
  <si>
    <t>0301550000-00</t>
  </si>
  <si>
    <t>0301560000-00</t>
  </si>
  <si>
    <t>0301570000-01</t>
  </si>
  <si>
    <t>0301580000-09</t>
  </si>
  <si>
    <t>0301590000-02</t>
  </si>
  <si>
    <t>0301600000-02</t>
  </si>
  <si>
    <t>0301600100-00</t>
  </si>
  <si>
    <t>0301610000-00</t>
  </si>
  <si>
    <t>0301620000-00</t>
  </si>
  <si>
    <t>0301630000-00</t>
  </si>
  <si>
    <t>0301630100-00</t>
  </si>
  <si>
    <t>0301640000-00</t>
  </si>
  <si>
    <t>0301660000-00</t>
  </si>
  <si>
    <t>0301670000-00</t>
  </si>
  <si>
    <t>0301680100-00</t>
  </si>
  <si>
    <t>0301690000-00</t>
  </si>
  <si>
    <t>0301700000-00</t>
  </si>
  <si>
    <t>0301710000-00</t>
  </si>
  <si>
    <t>0301710100-00</t>
  </si>
  <si>
    <t>0301720000-00</t>
  </si>
  <si>
    <t>0301720100-00</t>
  </si>
  <si>
    <t>0301720200-00</t>
  </si>
  <si>
    <t>0301720300-00</t>
  </si>
  <si>
    <t>0301720400-00</t>
  </si>
  <si>
    <t>0301720500-01</t>
  </si>
  <si>
    <t>0301720600-01</t>
  </si>
  <si>
    <t>0301730000-00</t>
  </si>
  <si>
    <t>0301740000-00</t>
  </si>
  <si>
    <t>0301740100-00</t>
  </si>
  <si>
    <t>0301750000-00</t>
  </si>
  <si>
    <t>0301760000-01</t>
  </si>
  <si>
    <t>0301760100-00</t>
  </si>
  <si>
    <t>0301770000-00</t>
  </si>
  <si>
    <t>0301780000-00</t>
  </si>
  <si>
    <t>0301860100-09</t>
  </si>
  <si>
    <t>0301860200-00</t>
  </si>
  <si>
    <t>0301870000-00</t>
  </si>
  <si>
    <t>0301880000-00</t>
  </si>
  <si>
    <t>0301890000-00</t>
  </si>
  <si>
    <t>0301900000-00</t>
  </si>
  <si>
    <t>0301910000-00</t>
  </si>
  <si>
    <t>0301940000-00</t>
  </si>
  <si>
    <t>0301960000-00</t>
  </si>
  <si>
    <t>0301960100-00</t>
  </si>
  <si>
    <t>0301980000-01</t>
  </si>
  <si>
    <t>0301990000-00</t>
  </si>
  <si>
    <t>0302000000-01</t>
  </si>
  <si>
    <t>0302020000-00</t>
  </si>
  <si>
    <t>0302030000-02</t>
  </si>
  <si>
    <t>0302040000-01</t>
  </si>
  <si>
    <t>0302050100-00</t>
  </si>
  <si>
    <t>0302060000-03</t>
  </si>
  <si>
    <t>0302070000-00</t>
  </si>
  <si>
    <t>0302090000-00</t>
  </si>
  <si>
    <t>0302100000-03</t>
  </si>
  <si>
    <t>0302110000-01</t>
  </si>
  <si>
    <t>0302160000-00</t>
  </si>
  <si>
    <t>0302170000-00</t>
  </si>
  <si>
    <t>0302180000-00</t>
  </si>
  <si>
    <t>0302210000-12</t>
  </si>
  <si>
    <t>0302220000-04</t>
  </si>
  <si>
    <t>0302240000-00</t>
  </si>
  <si>
    <t>0302240100-01</t>
  </si>
  <si>
    <t>0302250000-09</t>
  </si>
  <si>
    <t>0302250100-07</t>
  </si>
  <si>
    <t>0302250200-08</t>
  </si>
  <si>
    <t>0302250400-02</t>
  </si>
  <si>
    <t>0302250500-01</t>
  </si>
  <si>
    <t>0302250600-08</t>
  </si>
  <si>
    <t>0302250700-10</t>
  </si>
  <si>
    <t>0302260000-00</t>
  </si>
  <si>
    <t>0302260100-00</t>
  </si>
  <si>
    <t>0302260200-02</t>
  </si>
  <si>
    <t>0302270000-09</t>
  </si>
  <si>
    <t>0302270100-09</t>
  </si>
  <si>
    <t>0302280000-03</t>
  </si>
  <si>
    <t>0302290000-03</t>
  </si>
  <si>
    <t>0302300000-08</t>
  </si>
  <si>
    <t>0302320000-06</t>
  </si>
  <si>
    <t>0302330000-04</t>
  </si>
  <si>
    <t>0302330100-04</t>
  </si>
  <si>
    <t>0302340000-18</t>
  </si>
  <si>
    <t>0302340100-01</t>
  </si>
  <si>
    <t>0302340400-15</t>
  </si>
  <si>
    <t>0302340500-06</t>
  </si>
  <si>
    <t>0302350000-01</t>
  </si>
  <si>
    <t>0302350100-13</t>
  </si>
  <si>
    <t>0302390000-04</t>
  </si>
  <si>
    <t>0400010000-00</t>
  </si>
  <si>
    <t>浦宿３</t>
  </si>
  <si>
    <t>0400020000-00</t>
  </si>
  <si>
    <t>0400020100-02</t>
  </si>
  <si>
    <t>0400030000-00</t>
  </si>
  <si>
    <t>0400040000-00</t>
  </si>
  <si>
    <t>0400040100-01</t>
  </si>
  <si>
    <t>0400050000-01</t>
  </si>
  <si>
    <t>0400060000-00</t>
  </si>
  <si>
    <t>0400070000-00</t>
  </si>
  <si>
    <t>0400090000-00</t>
  </si>
  <si>
    <t>0400100100-01</t>
  </si>
  <si>
    <t>0401090100-00</t>
  </si>
  <si>
    <t>0401100100-00</t>
  </si>
  <si>
    <t>0401100200-01</t>
  </si>
  <si>
    <t>0401110000-00</t>
  </si>
  <si>
    <t>0401370100-00</t>
  </si>
  <si>
    <t>0401400000-01</t>
  </si>
  <si>
    <t>0401410000-02</t>
  </si>
  <si>
    <t>0401420000-01</t>
  </si>
  <si>
    <t>0401450000-04</t>
  </si>
  <si>
    <t>0401470000-03</t>
  </si>
  <si>
    <t>0401480000-01</t>
  </si>
  <si>
    <t>0401490000-04</t>
  </si>
  <si>
    <t>0401500000-05</t>
  </si>
  <si>
    <t>0401510000-02</t>
  </si>
  <si>
    <t>0401520000-01</t>
  </si>
  <si>
    <t>0401530000-01</t>
  </si>
  <si>
    <t>0401540000-01</t>
  </si>
  <si>
    <t>0401550000-01</t>
  </si>
  <si>
    <t>0401590000-01</t>
  </si>
  <si>
    <t>0401590300-01</t>
  </si>
  <si>
    <t>0401590500-01</t>
  </si>
  <si>
    <t>0401590600-01</t>
  </si>
  <si>
    <t>0401590700-01</t>
  </si>
  <si>
    <t>0401590800-01</t>
  </si>
  <si>
    <t>0401590900-06</t>
  </si>
  <si>
    <t>0401591000-01</t>
  </si>
  <si>
    <t>0401591020-01</t>
  </si>
  <si>
    <t>0401591040-03</t>
  </si>
  <si>
    <t>0401591050-01</t>
  </si>
  <si>
    <t>0401591070-05</t>
  </si>
  <si>
    <t>0401591101-01</t>
  </si>
  <si>
    <t>0401591102-01</t>
  </si>
  <si>
    <t>0401591103-01</t>
  </si>
  <si>
    <t>0401591105-04</t>
  </si>
  <si>
    <t>0401591106-02</t>
  </si>
  <si>
    <t>0401591107-01</t>
  </si>
  <si>
    <t>0401591108-01</t>
  </si>
  <si>
    <t>0401591109-01</t>
  </si>
  <si>
    <t>0401591111-01</t>
  </si>
  <si>
    <t>0401591112-06</t>
  </si>
  <si>
    <t>0401591113-04</t>
  </si>
  <si>
    <t>0401591114-02</t>
  </si>
  <si>
    <t>0401591115-01</t>
  </si>
  <si>
    <t>0401591116-01</t>
  </si>
  <si>
    <t>0401591117-02</t>
  </si>
  <si>
    <t>0401591119-01</t>
  </si>
  <si>
    <t>0401591120-03</t>
  </si>
  <si>
    <t>0401591121-01</t>
  </si>
  <si>
    <t>0401591122-01</t>
  </si>
  <si>
    <t>0401591123-01</t>
  </si>
  <si>
    <t>0401591124-06</t>
  </si>
  <si>
    <t>0401591125-01</t>
  </si>
  <si>
    <t>0401591126-07</t>
  </si>
  <si>
    <t>0401591127-01</t>
  </si>
  <si>
    <t>0401591128-04</t>
  </si>
  <si>
    <t>0401591129-09</t>
  </si>
  <si>
    <t>0401591130-04</t>
  </si>
  <si>
    <t>0401591131-01</t>
  </si>
  <si>
    <t>0401591135-01</t>
  </si>
  <si>
    <t>0401591139-01</t>
  </si>
  <si>
    <t>0401591140-07</t>
  </si>
  <si>
    <t>0401591141-01</t>
  </si>
  <si>
    <t>0401591142-03</t>
  </si>
  <si>
    <t>0401591143-03</t>
  </si>
  <si>
    <t>0500000001-01</t>
  </si>
  <si>
    <t>旭が丘</t>
  </si>
  <si>
    <t>0500000002-01</t>
  </si>
  <si>
    <t>0500000003-01</t>
  </si>
  <si>
    <t>0500000004-01</t>
  </si>
  <si>
    <t>0500000005-01</t>
  </si>
  <si>
    <t>0500000006-01</t>
  </si>
  <si>
    <t>0500000007-01</t>
  </si>
  <si>
    <t>0500000008-01</t>
  </si>
  <si>
    <t>0500000009-00</t>
  </si>
  <si>
    <t>0500000012-01</t>
  </si>
  <si>
    <t>0500000013-00</t>
  </si>
  <si>
    <t>0500000014-01</t>
  </si>
  <si>
    <t>0500000015-01</t>
  </si>
  <si>
    <t>0500000016-01</t>
  </si>
  <si>
    <t>0500000017-00</t>
  </si>
  <si>
    <t>0500000018-01</t>
  </si>
  <si>
    <t>0500000019-01</t>
  </si>
  <si>
    <t>0500000020-01</t>
  </si>
  <si>
    <t>0500000021-01</t>
  </si>
  <si>
    <t>0500000022-01</t>
  </si>
  <si>
    <t>0500000023-01</t>
  </si>
  <si>
    <t>0500000025-01</t>
  </si>
  <si>
    <t>0500000026-01</t>
  </si>
  <si>
    <t>0500000027-01</t>
  </si>
  <si>
    <t>0500000028-02</t>
  </si>
  <si>
    <t>0500000029-01</t>
  </si>
  <si>
    <t>0500000030-01</t>
  </si>
  <si>
    <t>0500000031-01</t>
  </si>
  <si>
    <t>0500010000-00</t>
  </si>
  <si>
    <t>0500020000-02</t>
  </si>
  <si>
    <t>0500030000-00</t>
  </si>
  <si>
    <t>0500040000-00</t>
  </si>
  <si>
    <t>0500050000-00</t>
  </si>
  <si>
    <t>0500060000-00</t>
  </si>
  <si>
    <t>0500070000-00</t>
  </si>
  <si>
    <t>0500080000-00</t>
  </si>
  <si>
    <t>0500090000-02</t>
  </si>
  <si>
    <t>0500100000-00</t>
  </si>
  <si>
    <t>0500110000-00</t>
  </si>
  <si>
    <t>0500120000-00</t>
  </si>
  <si>
    <t>0500130000-03</t>
  </si>
  <si>
    <t>0500140000-00</t>
  </si>
  <si>
    <t>0500160000-00</t>
  </si>
  <si>
    <t>0500170000-00</t>
  </si>
  <si>
    <t>0500180000-00</t>
  </si>
  <si>
    <t>0500190000-01</t>
  </si>
  <si>
    <t>0500200000-00</t>
  </si>
  <si>
    <t>0500210000-00</t>
  </si>
  <si>
    <t>0500220000-00</t>
  </si>
  <si>
    <t>0500230000-00</t>
  </si>
  <si>
    <t>0500240000-00</t>
  </si>
  <si>
    <t>0500270000-01</t>
  </si>
  <si>
    <t>0500280000-01</t>
  </si>
  <si>
    <t>0500290000-00</t>
  </si>
  <si>
    <t>0500300000-00</t>
  </si>
  <si>
    <t>0500310000-00</t>
  </si>
  <si>
    <t>0500320000-02</t>
  </si>
  <si>
    <t>0500330000-02</t>
  </si>
  <si>
    <t>0500340000-00</t>
  </si>
  <si>
    <t>0500350000-00</t>
  </si>
  <si>
    <t>0500360000-00</t>
  </si>
  <si>
    <t>0500370000-00</t>
  </si>
  <si>
    <t>0500380000-00</t>
  </si>
  <si>
    <t>0500390000-00</t>
  </si>
  <si>
    <t>0500400000-00</t>
  </si>
  <si>
    <t>0500410000-00</t>
  </si>
  <si>
    <t>0500420000-00</t>
  </si>
  <si>
    <t>0500430000-00</t>
  </si>
  <si>
    <t>0500440000-00</t>
  </si>
  <si>
    <t>0500450000-00</t>
  </si>
  <si>
    <t>0500460000-01</t>
  </si>
  <si>
    <t>0500470000-00</t>
  </si>
  <si>
    <t>0500480000-00</t>
  </si>
  <si>
    <t>0500490000-00</t>
  </si>
  <si>
    <t>0500500000-00</t>
  </si>
  <si>
    <t>0500510000-00</t>
  </si>
  <si>
    <t>0500520000-00</t>
  </si>
  <si>
    <t>0500530000-00</t>
  </si>
  <si>
    <t>0500540000-00</t>
  </si>
  <si>
    <t>0500550000-00</t>
  </si>
  <si>
    <t>0500560000-00</t>
  </si>
  <si>
    <t>0500570000-00</t>
  </si>
  <si>
    <t>0500580000-00</t>
  </si>
  <si>
    <t>0500590000-02</t>
  </si>
  <si>
    <t>0500600000-00</t>
  </si>
  <si>
    <t>0500610000-00</t>
  </si>
  <si>
    <t>0500620000-00</t>
  </si>
  <si>
    <t>0500630000-00</t>
  </si>
  <si>
    <t>0500640000-00</t>
  </si>
  <si>
    <t>0500650000-00</t>
  </si>
  <si>
    <t>0500660000-00</t>
  </si>
  <si>
    <t>0500670000-00</t>
  </si>
  <si>
    <t>0500680000-00</t>
  </si>
  <si>
    <t>0500690000-00</t>
  </si>
  <si>
    <t>0500710000-00</t>
  </si>
  <si>
    <t>0500720000-00</t>
  </si>
  <si>
    <t>0500730000-00</t>
  </si>
  <si>
    <t>0500740000-00</t>
  </si>
  <si>
    <t>0500750000-03</t>
  </si>
  <si>
    <t>0500760000-04</t>
  </si>
  <si>
    <t>0500770000-00</t>
  </si>
  <si>
    <t>0500780000-00</t>
  </si>
  <si>
    <t>0500790000-01</t>
  </si>
  <si>
    <t>0500800000-04</t>
  </si>
  <si>
    <t>0500800100-01</t>
  </si>
  <si>
    <t>0500820000-00</t>
  </si>
  <si>
    <t>0500830000-01</t>
  </si>
  <si>
    <t>0500840000-00</t>
  </si>
  <si>
    <t>0500850000-00</t>
  </si>
  <si>
    <t>0500860000-00</t>
  </si>
  <si>
    <t>0500880000-00</t>
  </si>
  <si>
    <t>0500890000-00</t>
  </si>
  <si>
    <t>0500900000-00</t>
  </si>
  <si>
    <t>0500910000-00</t>
  </si>
  <si>
    <t>0500920000-01</t>
  </si>
  <si>
    <t>0500930000-00</t>
  </si>
  <si>
    <t>0500940000-00</t>
  </si>
  <si>
    <t>0500950000-00</t>
  </si>
  <si>
    <t>0500960000-00</t>
  </si>
  <si>
    <t>0500970000-01</t>
  </si>
  <si>
    <t>0500980000-00</t>
  </si>
  <si>
    <t>0500990000-02</t>
  </si>
  <si>
    <t>0501030000-00</t>
  </si>
  <si>
    <t>0501050000-00</t>
  </si>
  <si>
    <t>0501060000-00</t>
  </si>
  <si>
    <t>0501070000-01</t>
  </si>
  <si>
    <t>0501090000-03</t>
  </si>
  <si>
    <t>0501110000-01</t>
  </si>
  <si>
    <t>0501110100-01</t>
  </si>
  <si>
    <t>0501120000-00</t>
  </si>
  <si>
    <t>0501130000-00</t>
  </si>
  <si>
    <t>0501150000-00</t>
  </si>
  <si>
    <t>0501160000-03</t>
  </si>
  <si>
    <t>0501170000-00</t>
  </si>
  <si>
    <t>0501180000-01</t>
  </si>
  <si>
    <t>0501190000-03</t>
  </si>
  <si>
    <t>0501200000-01</t>
  </si>
  <si>
    <t>0501210000-00</t>
  </si>
  <si>
    <t>0501220000-00</t>
  </si>
  <si>
    <t>0501230000-00</t>
  </si>
  <si>
    <t>0501240100-00</t>
  </si>
  <si>
    <t>0501240200-01</t>
  </si>
  <si>
    <t>0501250000-00</t>
  </si>
  <si>
    <t>0501260000-00</t>
  </si>
  <si>
    <t>0501270000-00</t>
  </si>
  <si>
    <t>0501280000-00</t>
  </si>
  <si>
    <t>0501290000-00</t>
  </si>
  <si>
    <t>0501300000-00</t>
  </si>
  <si>
    <t>0501310000-00</t>
  </si>
  <si>
    <t>0501320000-00</t>
  </si>
  <si>
    <t>0501330000-02</t>
  </si>
  <si>
    <t>0501340000-01</t>
  </si>
  <si>
    <t>0501350000-00</t>
  </si>
  <si>
    <t>0501360000-01</t>
  </si>
  <si>
    <t>0501370000-00</t>
  </si>
  <si>
    <t>0501380000-00</t>
  </si>
  <si>
    <t>0501390000-01</t>
  </si>
  <si>
    <t>0501420000-00</t>
  </si>
  <si>
    <t>0501430000-00</t>
  </si>
  <si>
    <t>0501440000-00</t>
  </si>
  <si>
    <t>0501450000-00</t>
  </si>
  <si>
    <t>0501460000-04</t>
  </si>
  <si>
    <t>0501470000-01</t>
  </si>
  <si>
    <t>0501480000-02</t>
  </si>
  <si>
    <t>0501510000-03</t>
  </si>
  <si>
    <t>0501520000-01</t>
  </si>
  <si>
    <t>0501530000-00</t>
  </si>
  <si>
    <t>0501540000-00</t>
  </si>
  <si>
    <t>0501550000-00</t>
  </si>
  <si>
    <t>0501560000-00</t>
  </si>
  <si>
    <t>0501580000-01</t>
  </si>
  <si>
    <t>0501590000-07</t>
  </si>
  <si>
    <t>0501600000-08</t>
  </si>
  <si>
    <t>0501610000-00</t>
  </si>
  <si>
    <t>0501610100-00</t>
  </si>
  <si>
    <t>0501630000-01</t>
  </si>
  <si>
    <t>0501640000-01</t>
  </si>
  <si>
    <t>0501650000-00</t>
  </si>
  <si>
    <t>0501660000-00</t>
  </si>
  <si>
    <t>0501670000-00</t>
  </si>
  <si>
    <t>0501690000-00</t>
  </si>
  <si>
    <t>0501700000-00</t>
  </si>
  <si>
    <t>0501720000-01</t>
  </si>
  <si>
    <t>0501730000-02</t>
  </si>
  <si>
    <t>0501740000-00</t>
  </si>
  <si>
    <t>0501750000-00</t>
  </si>
  <si>
    <t>0501760000-02</t>
  </si>
  <si>
    <t>0501790000-01</t>
  </si>
  <si>
    <t>0501800000-00</t>
  </si>
  <si>
    <t>0501810000-00</t>
  </si>
  <si>
    <t>0501820000-00</t>
  </si>
  <si>
    <t>0501830000-00</t>
  </si>
  <si>
    <t>0501840000-00</t>
  </si>
  <si>
    <t>0501850000-00</t>
  </si>
  <si>
    <t>0501860000-00</t>
  </si>
  <si>
    <t>0501870000-00</t>
  </si>
  <si>
    <t>0501880000-00</t>
  </si>
  <si>
    <t>0501890000-00</t>
  </si>
  <si>
    <t>0502010000-01</t>
  </si>
  <si>
    <t>0502010001-00</t>
  </si>
  <si>
    <t>0502020000-00</t>
  </si>
  <si>
    <t>0502020002-00</t>
  </si>
  <si>
    <t>0502020003-00</t>
  </si>
  <si>
    <t>0502020006-00</t>
  </si>
  <si>
    <t>0502020007-00</t>
  </si>
  <si>
    <t>0502030000-00</t>
  </si>
  <si>
    <t>0502040000-00</t>
  </si>
  <si>
    <t>0502050000-00</t>
  </si>
  <si>
    <t>0502060000-00</t>
  </si>
  <si>
    <t>0502070000-00</t>
  </si>
  <si>
    <t>0502080000-00</t>
  </si>
  <si>
    <t>0502090000-00</t>
  </si>
  <si>
    <t>0502100000-00</t>
  </si>
  <si>
    <t>0502110000-00</t>
  </si>
  <si>
    <t>0502120000-00</t>
  </si>
  <si>
    <t>0502140000-00</t>
  </si>
  <si>
    <t>0502140100-01</t>
  </si>
  <si>
    <t>0502140200-01</t>
  </si>
  <si>
    <t>0502180000-00</t>
  </si>
  <si>
    <t>0502180100-01</t>
  </si>
  <si>
    <t>0502190000-00</t>
  </si>
  <si>
    <t>0502200000-00</t>
  </si>
  <si>
    <t>0502210000-00</t>
  </si>
  <si>
    <t>0502220000-00</t>
  </si>
  <si>
    <t>0502240000-01</t>
  </si>
  <si>
    <t>0502250000-00</t>
  </si>
  <si>
    <t>0502260000-00</t>
  </si>
  <si>
    <t>0502270000-01</t>
  </si>
  <si>
    <t>0502280000-00</t>
  </si>
  <si>
    <t>0502290000-00</t>
  </si>
  <si>
    <t>0502300000-00</t>
  </si>
  <si>
    <t>0502330000-00</t>
  </si>
  <si>
    <t>0502340000-00</t>
  </si>
  <si>
    <t>0502350000-00</t>
  </si>
  <si>
    <t>0502370000-01</t>
  </si>
  <si>
    <t>0502380000-00</t>
  </si>
  <si>
    <t>0502390000-00</t>
  </si>
  <si>
    <t>0502400000-00</t>
  </si>
  <si>
    <t>0502410000-00</t>
  </si>
  <si>
    <t>0502420000-00</t>
  </si>
  <si>
    <t>0502430000-00</t>
  </si>
  <si>
    <t>0502440000-00</t>
  </si>
  <si>
    <t>0502450000-00</t>
  </si>
  <si>
    <t>0502460000-00</t>
  </si>
  <si>
    <t>0502470000-00</t>
  </si>
  <si>
    <t>0502490000-01</t>
  </si>
  <si>
    <t>0502500000-00</t>
  </si>
  <si>
    <t>0502510000-00</t>
  </si>
  <si>
    <t>0502520000-00</t>
  </si>
  <si>
    <t>0502530000-00</t>
  </si>
  <si>
    <t>0502540000-00</t>
  </si>
  <si>
    <t>0502540100-01</t>
  </si>
  <si>
    <t>0502560000-00</t>
  </si>
  <si>
    <t>0502570000-00</t>
  </si>
  <si>
    <t>0502580000-03</t>
  </si>
  <si>
    <t>0502610000-00</t>
  </si>
  <si>
    <t>0502630000-00</t>
  </si>
  <si>
    <t>0502640000-00</t>
  </si>
  <si>
    <t>0502650000-00</t>
  </si>
  <si>
    <t>0502660000-00</t>
  </si>
  <si>
    <t>0502670000-00</t>
  </si>
  <si>
    <t>0502670100-00</t>
  </si>
  <si>
    <t>0502680000-00</t>
  </si>
  <si>
    <t>0502690000-00</t>
  </si>
  <si>
    <t>0502700000-00</t>
  </si>
  <si>
    <t>0502710000-00</t>
  </si>
  <si>
    <t>0502720000-00</t>
  </si>
  <si>
    <t>0502730000-00</t>
  </si>
  <si>
    <t>0502740000-00</t>
  </si>
  <si>
    <t>0502750000-00</t>
  </si>
  <si>
    <t>0502760000-00</t>
  </si>
  <si>
    <t>0502770000-00</t>
  </si>
  <si>
    <t>0502790000-10</t>
  </si>
  <si>
    <t>0502810000-07</t>
  </si>
  <si>
    <t>0502820000-08</t>
  </si>
  <si>
    <t>0502840000-04</t>
  </si>
  <si>
    <t>0502860000-05</t>
  </si>
  <si>
    <t>0502900000-02</t>
  </si>
  <si>
    <t>0502920000-05</t>
  </si>
  <si>
    <t>0503040000-01</t>
  </si>
  <si>
    <t>0503360000-01</t>
  </si>
  <si>
    <t>0503370000-01</t>
  </si>
  <si>
    <t>0503380000-01</t>
  </si>
  <si>
    <t>0503390000-01</t>
  </si>
  <si>
    <t>0701850100-01</t>
  </si>
  <si>
    <t>上３</t>
  </si>
  <si>
    <t>0701850200-01</t>
  </si>
  <si>
    <t>0701850300-01</t>
  </si>
  <si>
    <t>0701850400-01</t>
  </si>
  <si>
    <t>0701850500-01</t>
  </si>
  <si>
    <t>0701850600-01</t>
  </si>
  <si>
    <t>0701850700-01</t>
  </si>
  <si>
    <t>0701850701-01</t>
  </si>
  <si>
    <t>0701850702-01</t>
  </si>
  <si>
    <t>0701850704-01</t>
  </si>
  <si>
    <t>0701850705-01</t>
  </si>
  <si>
    <t>0701850706-01</t>
  </si>
  <si>
    <t>0701850707-01</t>
  </si>
  <si>
    <t>0701890000-00</t>
  </si>
  <si>
    <t>0701900000-00</t>
  </si>
  <si>
    <t>0701910000-00</t>
  </si>
  <si>
    <t>0701950000-02</t>
  </si>
  <si>
    <t>0701970000-02</t>
  </si>
  <si>
    <t>0800030000-00</t>
  </si>
  <si>
    <t>0800080000-00</t>
  </si>
  <si>
    <t>0800150000-00</t>
  </si>
  <si>
    <t>0800150200-01</t>
  </si>
  <si>
    <t>0800150300-00</t>
  </si>
  <si>
    <t>0800150500-00</t>
  </si>
  <si>
    <t>0800150550-01</t>
  </si>
  <si>
    <t>0800150600-02</t>
  </si>
  <si>
    <t>0800160000-03</t>
  </si>
  <si>
    <t>0800180000-02</t>
  </si>
  <si>
    <t>0800190001-01</t>
  </si>
  <si>
    <t>0800190002-01</t>
  </si>
  <si>
    <t>0800190003-01</t>
  </si>
  <si>
    <t>0800190004-01</t>
  </si>
  <si>
    <t>0800190005-01</t>
  </si>
  <si>
    <t>0800190006-01</t>
  </si>
  <si>
    <t>0800190007-01</t>
  </si>
  <si>
    <t>0800190008-01</t>
  </si>
  <si>
    <t>0800190009-01</t>
  </si>
  <si>
    <t>0800190010-01</t>
  </si>
  <si>
    <t>0800190011-01</t>
  </si>
  <si>
    <t>0800190012-01</t>
  </si>
  <si>
    <t>0800190013-01</t>
  </si>
  <si>
    <t>0800190014-00</t>
  </si>
  <si>
    <t>0800190015-00</t>
  </si>
  <si>
    <t>0800190016-01</t>
  </si>
  <si>
    <t>0800190030-03</t>
  </si>
  <si>
    <t>0800190031-01</t>
  </si>
  <si>
    <t>0800190032-03</t>
  </si>
  <si>
    <t>0800190033-01</t>
  </si>
  <si>
    <t>0800190034-01</t>
  </si>
  <si>
    <t>0800190035-01</t>
  </si>
  <si>
    <t>0800190036-03</t>
  </si>
  <si>
    <t>0800190037-01</t>
  </si>
  <si>
    <t>0800190038-01</t>
  </si>
  <si>
    <t>0800190039-01</t>
  </si>
  <si>
    <t>0800190040-03</t>
  </si>
  <si>
    <t>0800190041-01</t>
  </si>
  <si>
    <t>0800191000-00</t>
  </si>
  <si>
    <t>0800710101-00</t>
  </si>
  <si>
    <t>0800710200-01</t>
  </si>
  <si>
    <t>0800730000-03</t>
  </si>
  <si>
    <t>0800740000-00</t>
  </si>
  <si>
    <t>0800770000-03</t>
  </si>
  <si>
    <t>0800780000-01</t>
  </si>
  <si>
    <t>0800780096-01</t>
  </si>
  <si>
    <t>0800780100-01</t>
  </si>
  <si>
    <t>0800780101-01</t>
  </si>
  <si>
    <t>0800780102-01</t>
  </si>
  <si>
    <t>0800780103-01</t>
  </si>
  <si>
    <t>0800780104-01</t>
  </si>
  <si>
    <t>0800780105-01</t>
  </si>
  <si>
    <t>0800780106-04</t>
  </si>
  <si>
    <t>0800780107-01</t>
  </si>
  <si>
    <t>0800780108-01</t>
  </si>
  <si>
    <t>0800780109-03</t>
  </si>
  <si>
    <t>0800780110-01</t>
  </si>
  <si>
    <t>0800780111-01</t>
  </si>
  <si>
    <t>0800780113-01</t>
  </si>
  <si>
    <t>0800780122-02</t>
  </si>
  <si>
    <t>0800780123-01</t>
  </si>
  <si>
    <t>0800780124-01</t>
  </si>
  <si>
    <t>0800780134-02</t>
  </si>
  <si>
    <t>0800780140-01</t>
  </si>
  <si>
    <t>0800780200-01</t>
  </si>
  <si>
    <t>0800780300-01</t>
  </si>
  <si>
    <t>0800810000-00</t>
  </si>
  <si>
    <t>0800830000-00</t>
  </si>
  <si>
    <t>0800840000-00</t>
  </si>
  <si>
    <t>0800880000-00</t>
  </si>
  <si>
    <t>0800890000-00</t>
  </si>
  <si>
    <t>0800920000-04</t>
  </si>
  <si>
    <t>0800940000-00</t>
  </si>
  <si>
    <t>0800950000-00</t>
  </si>
  <si>
    <t>0800960000-02</t>
  </si>
  <si>
    <t>0800970000-03</t>
  </si>
  <si>
    <t>0801000000-00</t>
  </si>
  <si>
    <t>0801020000-00</t>
  </si>
  <si>
    <t>0801030000-13</t>
  </si>
  <si>
    <t>0801030100-13</t>
  </si>
  <si>
    <t>0801030200-14</t>
  </si>
  <si>
    <t>0801030300-13</t>
  </si>
  <si>
    <t>0801040000-00</t>
  </si>
  <si>
    <t>0801040100-01</t>
  </si>
  <si>
    <t>0801040200-00</t>
  </si>
  <si>
    <t>0801060000-00</t>
  </si>
  <si>
    <t>0801070001-01</t>
  </si>
  <si>
    <t>0801090000-00</t>
  </si>
  <si>
    <t>0801110000-00</t>
  </si>
  <si>
    <t>0801120000-00</t>
  </si>
  <si>
    <t>0801130000-00</t>
  </si>
  <si>
    <t>0801140000-00</t>
  </si>
  <si>
    <t>0801150000-00</t>
  </si>
  <si>
    <t>0801190000-00</t>
  </si>
  <si>
    <t>0801220000-00</t>
  </si>
  <si>
    <t>0801230000-00</t>
  </si>
  <si>
    <t>0801240000-00</t>
  </si>
  <si>
    <t>0801250000-00</t>
  </si>
  <si>
    <t>0801260000-00</t>
  </si>
  <si>
    <t>0801270000-00</t>
  </si>
  <si>
    <t>0801290000-05</t>
  </si>
  <si>
    <t>0801450000-04</t>
  </si>
  <si>
    <t>0801460000-00</t>
  </si>
  <si>
    <t>0801500000-00</t>
  </si>
  <si>
    <t>0801520100-00</t>
  </si>
  <si>
    <t>0801530000-02</t>
  </si>
  <si>
    <t>0801550000-00</t>
  </si>
  <si>
    <t>0850000000-01</t>
  </si>
  <si>
    <t>0850000001-01</t>
  </si>
  <si>
    <t>0850000002-01</t>
  </si>
  <si>
    <t>0850000003-01</t>
  </si>
  <si>
    <t>0850000004-01</t>
  </si>
  <si>
    <t>0850000005-01</t>
  </si>
  <si>
    <t>0850000006-01</t>
  </si>
  <si>
    <t>0850000007-01</t>
  </si>
  <si>
    <t>0850000012-01</t>
  </si>
  <si>
    <t>0850000013-01</t>
  </si>
  <si>
    <t>0850000014-01</t>
  </si>
  <si>
    <t>0850000015-01</t>
  </si>
  <si>
    <t>0850000016-01</t>
  </si>
  <si>
    <t>0850000017-01</t>
  </si>
  <si>
    <t>0850000018-01</t>
  </si>
  <si>
    <t>0900390100-02</t>
  </si>
  <si>
    <t>上２</t>
  </si>
  <si>
    <t>0900400000-00</t>
  </si>
  <si>
    <t>0900410000-00</t>
  </si>
  <si>
    <t>0900420000-00</t>
  </si>
  <si>
    <t>0900420011-00</t>
  </si>
  <si>
    <t>0900420015-00</t>
  </si>
  <si>
    <t>0900420016-00</t>
  </si>
  <si>
    <t>0900420018-01</t>
  </si>
  <si>
    <t>0900420021-00</t>
  </si>
  <si>
    <t>0900420022-00</t>
  </si>
  <si>
    <t>0900420023-00</t>
  </si>
  <si>
    <t>0900420023-01</t>
  </si>
  <si>
    <t>0900420024-00</t>
  </si>
  <si>
    <t>0900420025-00</t>
  </si>
  <si>
    <t>0900420026-00</t>
  </si>
  <si>
    <t>0900420027-00</t>
  </si>
  <si>
    <t>0900420028-00</t>
  </si>
  <si>
    <t>0900420029-00</t>
  </si>
  <si>
    <t>0900420030-00</t>
  </si>
  <si>
    <t>0900420031-00</t>
  </si>
  <si>
    <t>0900420032-00</t>
  </si>
  <si>
    <t>0900420033-00</t>
  </si>
  <si>
    <t>0900420034-00</t>
  </si>
  <si>
    <t>0900420100-07</t>
  </si>
  <si>
    <t>0900440000-01</t>
  </si>
  <si>
    <t>0900450000-00</t>
  </si>
  <si>
    <t>0900460000-02</t>
  </si>
  <si>
    <t>0900470000-05</t>
  </si>
  <si>
    <t>0900480000-00</t>
  </si>
  <si>
    <t>0900490000-06</t>
  </si>
  <si>
    <t>0900500000-03</t>
  </si>
  <si>
    <t>0900510000-00</t>
  </si>
  <si>
    <t>0900530000-06</t>
  </si>
  <si>
    <t>0900850000-00</t>
  </si>
  <si>
    <t>0900860000-00</t>
  </si>
  <si>
    <t>0900870000-02</t>
  </si>
  <si>
    <t>0900890000-00</t>
  </si>
  <si>
    <t>0900890100-00</t>
  </si>
  <si>
    <t>0900900000-01</t>
  </si>
  <si>
    <t>0900910000-00</t>
  </si>
  <si>
    <t>0900920000-00</t>
  </si>
  <si>
    <t>0900970000-01</t>
  </si>
  <si>
    <t>0900980000-00</t>
  </si>
  <si>
    <t>0900990000-00</t>
  </si>
  <si>
    <t>0901000000-02</t>
  </si>
  <si>
    <t>0901020000-00</t>
  </si>
  <si>
    <t>0901030100-00</t>
  </si>
  <si>
    <t>0901040000-00</t>
  </si>
  <si>
    <t>0901050000-00</t>
  </si>
  <si>
    <t>0901060000-00</t>
  </si>
  <si>
    <t>0901070000-00</t>
  </si>
  <si>
    <t>0901080000-01</t>
  </si>
  <si>
    <t>0901090100-01</t>
  </si>
  <si>
    <t>0901100000-01</t>
  </si>
  <si>
    <t>0901100100-01</t>
  </si>
  <si>
    <t>0901110000-02</t>
  </si>
  <si>
    <t>0901120000-00</t>
  </si>
  <si>
    <t>0901130000-01</t>
  </si>
  <si>
    <t>0901140000-00</t>
  </si>
  <si>
    <t>0901150000-00</t>
  </si>
  <si>
    <t>0901160000-00</t>
  </si>
  <si>
    <t>0901160100-03</t>
  </si>
  <si>
    <t>0901170000-01</t>
  </si>
  <si>
    <t>0901180000-05</t>
  </si>
  <si>
    <t>0901190000-00</t>
  </si>
  <si>
    <t>0901200000-00</t>
  </si>
  <si>
    <t>0901210000-00</t>
  </si>
  <si>
    <t>0901210100-00</t>
  </si>
  <si>
    <t>0901220000-00</t>
  </si>
  <si>
    <t>0901230000-02</t>
  </si>
  <si>
    <t>0901250000-02</t>
  </si>
  <si>
    <t>0901250001-01</t>
  </si>
  <si>
    <t>0901250002-01</t>
  </si>
  <si>
    <t>0901260000-00</t>
  </si>
  <si>
    <t>0901270000-00</t>
  </si>
  <si>
    <t>0901280000-00</t>
  </si>
  <si>
    <t>0901290300-01</t>
  </si>
  <si>
    <t>0901310000-04</t>
  </si>
  <si>
    <t>0901470000-01</t>
  </si>
  <si>
    <t>0901480000-02</t>
  </si>
  <si>
    <t>0901500000-02</t>
  </si>
  <si>
    <t>0901510000-00</t>
  </si>
  <si>
    <t>0901540000-02</t>
  </si>
  <si>
    <t>0901560000-02</t>
  </si>
  <si>
    <t>0901570000-00</t>
  </si>
  <si>
    <t>0901590000-01</t>
  </si>
  <si>
    <t>0901610000-00</t>
  </si>
  <si>
    <t>0901630000-00</t>
  </si>
  <si>
    <t>0901650000-00</t>
  </si>
  <si>
    <t>0901660000-01</t>
  </si>
  <si>
    <t>0901680000-00</t>
  </si>
  <si>
    <t>0901690000-01</t>
  </si>
  <si>
    <t>0901700100-01</t>
  </si>
  <si>
    <t>0901700200-00</t>
  </si>
  <si>
    <t>0901700300-01</t>
  </si>
  <si>
    <t>0901700400-01</t>
  </si>
  <si>
    <t>0901700500-01</t>
  </si>
  <si>
    <t>0901700550-01</t>
  </si>
  <si>
    <t>0901700600-01</t>
  </si>
  <si>
    <t>0901700700-04</t>
  </si>
  <si>
    <t>0901700800-01</t>
  </si>
  <si>
    <t>0901700900-01</t>
  </si>
  <si>
    <t>0901700901-01</t>
  </si>
  <si>
    <t>0901700902-01</t>
  </si>
  <si>
    <t>0901700903-01</t>
  </si>
  <si>
    <t>0901700904-01</t>
  </si>
  <si>
    <t>0901700905-01</t>
  </si>
  <si>
    <t>0901700906-01</t>
  </si>
  <si>
    <t>0901700907-01</t>
  </si>
  <si>
    <t>0901700908-01</t>
  </si>
  <si>
    <t>0901700909-01</t>
  </si>
  <si>
    <t>0901700910-01</t>
  </si>
  <si>
    <t>0901700911-01</t>
  </si>
  <si>
    <t>0901700912-01</t>
  </si>
  <si>
    <t>0901700913-01</t>
  </si>
  <si>
    <t>0901700914-01</t>
  </si>
  <si>
    <t>0901700915-01</t>
  </si>
  <si>
    <t>0901700916-00</t>
  </si>
  <si>
    <t>0901700917-01</t>
  </si>
  <si>
    <t>0901730000-00</t>
  </si>
  <si>
    <t>0901760000-03</t>
  </si>
  <si>
    <t>0901770200-02</t>
  </si>
  <si>
    <t>0901780000-01</t>
  </si>
  <si>
    <t>0901780003-01</t>
  </si>
  <si>
    <t>0902000000-01</t>
  </si>
  <si>
    <t>0902100000-01</t>
  </si>
  <si>
    <t>0902200000-01</t>
  </si>
  <si>
    <t>1000100000-00</t>
  </si>
  <si>
    <t>上１</t>
  </si>
  <si>
    <t>1000130000-00</t>
  </si>
  <si>
    <t>1000130100-00</t>
  </si>
  <si>
    <t>1000130500-00</t>
  </si>
  <si>
    <t>1000130600-01</t>
  </si>
  <si>
    <t>1000130700-01</t>
  </si>
  <si>
    <t>1000130800-00</t>
  </si>
  <si>
    <t>1000250000-00</t>
  </si>
  <si>
    <t>1000250100-00</t>
  </si>
  <si>
    <t>1000260000-00</t>
  </si>
  <si>
    <t>1000270000-00</t>
  </si>
  <si>
    <t>1000270100-00</t>
  </si>
  <si>
    <t>1000270200-00</t>
  </si>
  <si>
    <t>1000270300-00</t>
  </si>
  <si>
    <t>1000270400-00</t>
  </si>
  <si>
    <t>1000270600-00</t>
  </si>
  <si>
    <t>1000270700-00</t>
  </si>
  <si>
    <t>1000271000-00</t>
  </si>
  <si>
    <t>1000271100-00</t>
  </si>
  <si>
    <t>1000278900-01</t>
  </si>
  <si>
    <t>1000278950-01</t>
  </si>
  <si>
    <t>1000280000-00</t>
  </si>
  <si>
    <t>1000290000-00</t>
  </si>
  <si>
    <t>1000300000-02</t>
  </si>
  <si>
    <t>1000300100-00</t>
  </si>
  <si>
    <t>1000300200-01</t>
  </si>
  <si>
    <t>1000310000-01</t>
  </si>
  <si>
    <t>1000330000-00</t>
  </si>
  <si>
    <t>1000340000-00</t>
  </si>
  <si>
    <t>1000380000-01</t>
  </si>
  <si>
    <t>1000390000-00</t>
  </si>
  <si>
    <t>1000400000-02</t>
  </si>
  <si>
    <t>1000410000-04</t>
  </si>
  <si>
    <t>1000420000-00</t>
  </si>
  <si>
    <t>1000440000-00</t>
  </si>
  <si>
    <t>1000450000-01</t>
  </si>
  <si>
    <t>1000460000-00</t>
  </si>
  <si>
    <t>1000470000-01</t>
  </si>
  <si>
    <t>1000480000-00</t>
  </si>
  <si>
    <t>1000490000-00</t>
  </si>
  <si>
    <t>1000500000-00</t>
  </si>
  <si>
    <t>1000510000-00</t>
  </si>
  <si>
    <t>1000520000-00</t>
  </si>
  <si>
    <t>1000530000-00</t>
  </si>
  <si>
    <t>1000530100-00</t>
  </si>
  <si>
    <t>1000530200-02</t>
  </si>
  <si>
    <t>1000530300-00</t>
  </si>
  <si>
    <t>1000540100-00</t>
  </si>
  <si>
    <t>1000550000-00</t>
  </si>
  <si>
    <t>1000560000-00</t>
  </si>
  <si>
    <t>1000570000-00</t>
  </si>
  <si>
    <t>1000590000-00</t>
  </si>
  <si>
    <t>1000600000-00</t>
  </si>
  <si>
    <t>1000620000-02</t>
  </si>
  <si>
    <t>1000630000-07</t>
  </si>
  <si>
    <t>1000670000-00</t>
  </si>
  <si>
    <t>1000780000-01</t>
  </si>
  <si>
    <t>1000830000-02</t>
  </si>
  <si>
    <t>1000830100-00</t>
  </si>
  <si>
    <t>1000840000-00</t>
  </si>
  <si>
    <t>1000850000-00</t>
  </si>
  <si>
    <t>1000860000-01</t>
  </si>
  <si>
    <t>1000870000-00</t>
  </si>
  <si>
    <t>1000880000-00</t>
  </si>
  <si>
    <t>1000920500-00</t>
  </si>
  <si>
    <t>1000920502-00</t>
  </si>
  <si>
    <t>1000920503-00</t>
  </si>
  <si>
    <t>1000920504-00</t>
  </si>
  <si>
    <t>1000920505-00</t>
  </si>
  <si>
    <t>1000920506-03</t>
  </si>
  <si>
    <t>1000920507-00</t>
  </si>
  <si>
    <t>1000920508-00</t>
  </si>
  <si>
    <t>1000920509-02</t>
  </si>
  <si>
    <t>1000920510-00</t>
  </si>
  <si>
    <t>1000920511-02</t>
  </si>
  <si>
    <t>1000920512-00</t>
  </si>
  <si>
    <t>1000920513-00</t>
  </si>
  <si>
    <t>1000920514-00</t>
  </si>
  <si>
    <t>1000920515-00</t>
  </si>
  <si>
    <t>1000920516-00</t>
  </si>
  <si>
    <t>1000920517-03</t>
  </si>
  <si>
    <t>1000930091-00</t>
  </si>
  <si>
    <t>1000940400-00</t>
  </si>
  <si>
    <t>1000940500-00</t>
  </si>
  <si>
    <t>1000940600-00</t>
  </si>
  <si>
    <t>1000940800-03</t>
  </si>
  <si>
    <t>1000941100-00</t>
  </si>
  <si>
    <t>1000941200-01</t>
  </si>
  <si>
    <t>1000941300-02</t>
  </si>
  <si>
    <t>1000941400-02</t>
  </si>
  <si>
    <t>1000950000-03</t>
  </si>
  <si>
    <t>1000950400-08</t>
  </si>
  <si>
    <t>1000950500-15</t>
  </si>
  <si>
    <t>1000950600-07</t>
  </si>
  <si>
    <t>1000960000-00</t>
  </si>
  <si>
    <t>1050000001-01</t>
  </si>
  <si>
    <t>1050000002-01</t>
  </si>
  <si>
    <t>1050000003-01</t>
  </si>
  <si>
    <t>1050000004-01</t>
  </si>
  <si>
    <t>1050000005-01</t>
  </si>
  <si>
    <t>1050000006-01</t>
  </si>
  <si>
    <t>1050000007-01</t>
  </si>
  <si>
    <t>1050000008-01</t>
  </si>
  <si>
    <t>1050000009-01</t>
  </si>
  <si>
    <t>1050000010-01</t>
  </si>
  <si>
    <t>1050000011-01</t>
  </si>
  <si>
    <t>1050000012-01</t>
  </si>
  <si>
    <t>1050000014-01</t>
  </si>
  <si>
    <t>1050000015-01</t>
  </si>
  <si>
    <t>1050000016-01</t>
  </si>
  <si>
    <t>1050000017-01</t>
  </si>
  <si>
    <t>1050000018-01</t>
  </si>
  <si>
    <t>1050000101-00</t>
  </si>
  <si>
    <t>1050000102-00</t>
  </si>
  <si>
    <t>1050000103-03</t>
  </si>
  <si>
    <t>1050000104-01</t>
  </si>
  <si>
    <t>1050000105-00</t>
  </si>
  <si>
    <t>1050000106-00</t>
  </si>
  <si>
    <t>1050000107-00</t>
  </si>
  <si>
    <t>1050000108-00</t>
  </si>
  <si>
    <t>1050000110-00</t>
  </si>
  <si>
    <t>1050000111-00</t>
  </si>
  <si>
    <t>1050000112-00</t>
  </si>
  <si>
    <t>1050000113-00</t>
  </si>
  <si>
    <t>1050000114-00</t>
  </si>
  <si>
    <t>1050000116-03</t>
  </si>
  <si>
    <t>1050000117-04</t>
  </si>
  <si>
    <t>1050000118-00</t>
  </si>
  <si>
    <t>1050000119-00</t>
  </si>
  <si>
    <t>1050000120-00</t>
  </si>
  <si>
    <t>1050000122-02</t>
  </si>
  <si>
    <t>1050000123-00</t>
  </si>
  <si>
    <t>1050000124-00</t>
  </si>
  <si>
    <t>1050000125-02</t>
  </si>
  <si>
    <t>1050000126-00</t>
  </si>
  <si>
    <t>1050000127-00</t>
  </si>
  <si>
    <t>1050000128-00</t>
  </si>
  <si>
    <t>1050000131-00</t>
  </si>
  <si>
    <t>1050000132-05</t>
  </si>
  <si>
    <t>1050000133-01</t>
  </si>
  <si>
    <t>1050000134-00</t>
  </si>
  <si>
    <t>1050000135-00</t>
  </si>
  <si>
    <t>1050000136-00</t>
  </si>
  <si>
    <t>1050000137-00</t>
  </si>
  <si>
    <t>1050000138-00</t>
  </si>
  <si>
    <t>1050000139-00</t>
  </si>
  <si>
    <t>1050000140-00</t>
  </si>
  <si>
    <t>1050000141-03</t>
  </si>
  <si>
    <t>1050000142-03</t>
  </si>
  <si>
    <t>1050000143-00</t>
  </si>
  <si>
    <t>1050000144-00</t>
  </si>
  <si>
    <t>1050000146-00</t>
  </si>
  <si>
    <t>1050000147-00</t>
  </si>
  <si>
    <t>1050000149-00</t>
  </si>
  <si>
    <t>1050000150-00</t>
  </si>
  <si>
    <t>1050000151-00</t>
  </si>
  <si>
    <t>1050000152-00</t>
  </si>
  <si>
    <t>1050000153-01</t>
  </si>
  <si>
    <t>1050000154-00</t>
  </si>
  <si>
    <t>1050000155-01</t>
  </si>
  <si>
    <t>1050000157-03</t>
  </si>
  <si>
    <t>1050000158-01</t>
  </si>
  <si>
    <t>1050000160-00</t>
  </si>
  <si>
    <t>1050000162-00</t>
  </si>
  <si>
    <t>1050000502-01</t>
  </si>
  <si>
    <t>1050000622-01</t>
  </si>
  <si>
    <t>1050000682-01</t>
  </si>
  <si>
    <t>1050000684-01</t>
  </si>
  <si>
    <t>1050000685-01</t>
  </si>
  <si>
    <t>1050000686-00</t>
  </si>
  <si>
    <t>1050000687-01</t>
  </si>
  <si>
    <t>1050000688-00</t>
  </si>
  <si>
    <t>1050000689-01</t>
  </si>
  <si>
    <t>1050000690-00</t>
  </si>
  <si>
    <t>1050000691-01</t>
  </si>
  <si>
    <t>1050000692-01</t>
  </si>
  <si>
    <t>1050000693-00</t>
  </si>
  <si>
    <t>1050000694-00</t>
  </si>
  <si>
    <t>1050000695-00</t>
  </si>
  <si>
    <t>1050000696-01</t>
  </si>
  <si>
    <t>1050000697-01</t>
  </si>
  <si>
    <t>1050000698-01</t>
  </si>
  <si>
    <t>1050000699-00</t>
  </si>
  <si>
    <t>1050000700-01</t>
  </si>
  <si>
    <t>1050000702-00</t>
  </si>
  <si>
    <t>1050000703-00</t>
  </si>
  <si>
    <t>1050000704-01</t>
  </si>
  <si>
    <t>1050000707-01</t>
  </si>
  <si>
    <t>1050000741-00</t>
  </si>
  <si>
    <t>1050000749-00</t>
  </si>
  <si>
    <t>1050000750-01</t>
  </si>
  <si>
    <t>1050000763-01</t>
  </si>
  <si>
    <t>1050000765-01</t>
  </si>
  <si>
    <t>1050000767-01</t>
  </si>
  <si>
    <t>1050000770-02</t>
  </si>
  <si>
    <t>1050000771-01</t>
  </si>
  <si>
    <t>1050000772-01</t>
  </si>
  <si>
    <t>1050000775-01</t>
  </si>
  <si>
    <t>1050000778-01</t>
  </si>
  <si>
    <t>1050000779-02</t>
  </si>
  <si>
    <t>1050000780-01</t>
  </si>
  <si>
    <t>1050000782-00</t>
  </si>
  <si>
    <t>1050000783-01</t>
  </si>
  <si>
    <t>1050000801-01</t>
  </si>
  <si>
    <t>1050000826-01</t>
  </si>
  <si>
    <t>1050000829-01</t>
  </si>
  <si>
    <t>1050000833-01</t>
  </si>
  <si>
    <t>1050000834-02</t>
  </si>
  <si>
    <t>1050000835-01</t>
  </si>
  <si>
    <t>1050000840-01</t>
  </si>
  <si>
    <t>1050000841-00</t>
  </si>
  <si>
    <t>1050000846-01</t>
  </si>
  <si>
    <t>1050000863-01</t>
  </si>
  <si>
    <t>1050000883-01</t>
  </si>
  <si>
    <t>1050000886-01</t>
  </si>
  <si>
    <t>1050000900-03</t>
  </si>
  <si>
    <t>1050000902-02</t>
  </si>
  <si>
    <t>1050000903-01</t>
  </si>
  <si>
    <t>1050000904-00</t>
  </si>
  <si>
    <t>1050000905-00</t>
  </si>
  <si>
    <t>1050000906-00</t>
  </si>
  <si>
    <t>1050000907-00</t>
  </si>
  <si>
    <t>1050000921-01</t>
  </si>
  <si>
    <t>1050000941-00</t>
  </si>
  <si>
    <t>1050001103-00</t>
  </si>
  <si>
    <t>1050001104-02</t>
  </si>
  <si>
    <t>1050001105-00</t>
  </si>
  <si>
    <t>1050001106-02</t>
  </si>
  <si>
    <t>1050001780-00</t>
  </si>
  <si>
    <t>1201840000-02</t>
  </si>
  <si>
    <t>1201840100-00</t>
  </si>
  <si>
    <t>1201840200-00</t>
  </si>
  <si>
    <t>1300350000-00</t>
  </si>
  <si>
    <t>1300430000-01</t>
  </si>
  <si>
    <t>1300440100-00</t>
  </si>
  <si>
    <t>1300500000-00</t>
  </si>
  <si>
    <t>1300510000-02</t>
  </si>
  <si>
    <t>1300530000-05</t>
  </si>
  <si>
    <t>1300550000-00</t>
  </si>
  <si>
    <t>1300580000-00</t>
  </si>
  <si>
    <t>1300580100-01</t>
  </si>
  <si>
    <t>1300580200-01</t>
  </si>
  <si>
    <t>1300620000-00</t>
  </si>
  <si>
    <t>1300620100-00</t>
  </si>
  <si>
    <t>1300640000-00</t>
  </si>
  <si>
    <t>1300650000-00</t>
  </si>
  <si>
    <t>1300650100-01</t>
  </si>
  <si>
    <t>1300660000-00</t>
  </si>
  <si>
    <t>1300670000-00</t>
  </si>
  <si>
    <t>1300680000-00</t>
  </si>
  <si>
    <t>1300680100-00</t>
  </si>
  <si>
    <t>1300690000-00</t>
  </si>
  <si>
    <t>1300720000-00</t>
  </si>
  <si>
    <t>1300740000-00</t>
  </si>
  <si>
    <t>1300760000-03</t>
  </si>
  <si>
    <t>1300780000-00</t>
  </si>
  <si>
    <t>1300790000-03</t>
  </si>
  <si>
    <t>1300800000-00</t>
  </si>
  <si>
    <t>1300810000-00</t>
  </si>
  <si>
    <t>1300830000-01</t>
  </si>
  <si>
    <t>1300840000-04</t>
  </si>
  <si>
    <t>1300870000-01</t>
  </si>
  <si>
    <t>1300880000-00</t>
  </si>
  <si>
    <t>1300910000-00</t>
  </si>
  <si>
    <t>1300910100-01</t>
  </si>
  <si>
    <t>1300920000-00</t>
  </si>
  <si>
    <t>1300940000-00</t>
  </si>
  <si>
    <t>1300950000-00</t>
  </si>
  <si>
    <t>1300950100-00</t>
  </si>
  <si>
    <t>1300950200-01</t>
  </si>
  <si>
    <t>1300950201-01</t>
  </si>
  <si>
    <t>1300950202-01</t>
  </si>
  <si>
    <t>1300950300-01</t>
  </si>
  <si>
    <t>1300950301-01</t>
  </si>
  <si>
    <t>1300960000-00</t>
  </si>
  <si>
    <t>1300970000-00</t>
  </si>
  <si>
    <t>1300990000-00</t>
  </si>
  <si>
    <t>1301010000-00</t>
  </si>
  <si>
    <t>1301020000-00</t>
  </si>
  <si>
    <t>1301030000-00</t>
  </si>
  <si>
    <t>1301040000-02</t>
  </si>
  <si>
    <t>1301060000-00</t>
  </si>
  <si>
    <t>1301070000-00</t>
  </si>
  <si>
    <t>1301080000-00</t>
  </si>
  <si>
    <t>1301100000-00</t>
  </si>
  <si>
    <t>1301130000-00</t>
  </si>
  <si>
    <t>1350000005-01</t>
  </si>
  <si>
    <t>1350000006-01</t>
  </si>
  <si>
    <t>1400620000-01</t>
  </si>
  <si>
    <t>産業区</t>
  </si>
  <si>
    <t>1400620100-01</t>
  </si>
  <si>
    <t>1401110010-00</t>
  </si>
  <si>
    <t>75</t>
  </si>
  <si>
    <t>1401110011-01</t>
  </si>
  <si>
    <t>1401110012-01</t>
  </si>
  <si>
    <t>1401110013-00</t>
  </si>
  <si>
    <t>1401330000-02</t>
  </si>
  <si>
    <t>1401360000-00</t>
  </si>
  <si>
    <t>1401380000-03</t>
  </si>
  <si>
    <t>1401390000-01</t>
  </si>
  <si>
    <t>1401440030-01</t>
  </si>
  <si>
    <t>1401550000-02</t>
  </si>
  <si>
    <t>1401910100-00</t>
  </si>
  <si>
    <t>1402230301-01</t>
  </si>
  <si>
    <t>1500000003-01</t>
  </si>
  <si>
    <t>小乗</t>
  </si>
  <si>
    <t>1500030001-00</t>
  </si>
  <si>
    <t>1500160000-01</t>
  </si>
  <si>
    <t>1500270000-05</t>
  </si>
  <si>
    <t>1501090000-02</t>
  </si>
  <si>
    <t>1501090010-02</t>
  </si>
  <si>
    <t>1501090020-03</t>
  </si>
  <si>
    <t>1509100000-01</t>
  </si>
  <si>
    <t>1550000100-01</t>
  </si>
  <si>
    <t>1550000101-01</t>
  </si>
  <si>
    <t>1550000102-01</t>
  </si>
  <si>
    <t>1550000103-00</t>
  </si>
  <si>
    <t>1550000104-06</t>
  </si>
  <si>
    <t>1550000105-01</t>
  </si>
  <si>
    <t>1550000106-01</t>
  </si>
  <si>
    <t>1550000107-01</t>
  </si>
  <si>
    <t>1550000108-01</t>
  </si>
  <si>
    <t>1550000109-01</t>
  </si>
  <si>
    <t>1550000110-01</t>
  </si>
  <si>
    <t>1550000151-01</t>
  </si>
  <si>
    <t>1550000152-01</t>
  </si>
  <si>
    <t>1550000153-01</t>
  </si>
  <si>
    <t>1550000201-01</t>
  </si>
  <si>
    <t>1550000205-01</t>
  </si>
  <si>
    <t>1550000300-01</t>
  </si>
  <si>
    <t>1550000800-01</t>
  </si>
  <si>
    <t>1550000801-00</t>
  </si>
  <si>
    <t>1550000802-00</t>
  </si>
  <si>
    <t>1550000803-00</t>
  </si>
  <si>
    <t>1550000900-01</t>
  </si>
  <si>
    <t>1550001153-01</t>
  </si>
  <si>
    <t>2100910100-04</t>
  </si>
  <si>
    <t>女川南</t>
  </si>
  <si>
    <t>湯屋用</t>
  </si>
  <si>
    <t>2100930000-02</t>
  </si>
  <si>
    <t>2100930010-01</t>
  </si>
  <si>
    <t>2100930011-01</t>
  </si>
  <si>
    <t>2100960000-01</t>
  </si>
  <si>
    <t>2100970000-03</t>
  </si>
  <si>
    <t>2100980000-01</t>
  </si>
  <si>
    <t>2101380000-01</t>
  </si>
  <si>
    <t>2101380200-00</t>
  </si>
  <si>
    <t>2300700000-00</t>
  </si>
  <si>
    <t>女川北</t>
  </si>
  <si>
    <t>2400001000-02</t>
  </si>
  <si>
    <t>2400480050-03</t>
  </si>
  <si>
    <t>2400490001-00</t>
  </si>
  <si>
    <t>2400510000-02</t>
  </si>
  <si>
    <t>2400590001-02</t>
  </si>
  <si>
    <t>2400590002-01</t>
  </si>
  <si>
    <t>2400780000-03</t>
  </si>
  <si>
    <t>2401120000-01</t>
  </si>
  <si>
    <t>2455000002-00</t>
  </si>
  <si>
    <t>大原北</t>
  </si>
  <si>
    <t>2455000003-00</t>
  </si>
  <si>
    <t>2455000004-00</t>
  </si>
  <si>
    <t>2455000005-00</t>
  </si>
  <si>
    <t>2455000006-02</t>
  </si>
  <si>
    <t>2455000007-00</t>
  </si>
  <si>
    <t>2455000009-03</t>
  </si>
  <si>
    <t>2455000010-00</t>
  </si>
  <si>
    <t>2455000011-00</t>
  </si>
  <si>
    <t>2455000012-00</t>
  </si>
  <si>
    <t>2455000014-00</t>
  </si>
  <si>
    <t>2455000015-00</t>
  </si>
  <si>
    <t>2455000016-00</t>
  </si>
  <si>
    <t>2455000017-00</t>
  </si>
  <si>
    <t>2455000018-00</t>
  </si>
  <si>
    <t>2455000019-00</t>
  </si>
  <si>
    <t>2455000020-00</t>
  </si>
  <si>
    <t>2455000021-00</t>
  </si>
  <si>
    <t>2455000022-00</t>
  </si>
  <si>
    <t>2455000025-00</t>
  </si>
  <si>
    <t>2455000026-00</t>
  </si>
  <si>
    <t>2455000027-00</t>
  </si>
  <si>
    <t>2455000028-00</t>
  </si>
  <si>
    <t>2455000029-00</t>
  </si>
  <si>
    <t>2455000030-00</t>
  </si>
  <si>
    <t>2455000031-00</t>
  </si>
  <si>
    <t>2455000032-00</t>
  </si>
  <si>
    <t>2455000035-02</t>
  </si>
  <si>
    <t>2455000036-00</t>
  </si>
  <si>
    <t>2455000037-04</t>
  </si>
  <si>
    <t>2455000038-01</t>
  </si>
  <si>
    <t>2455000039-03</t>
  </si>
  <si>
    <t>2455000040-00</t>
  </si>
  <si>
    <t>2455000041-00</t>
  </si>
  <si>
    <t>2455000043-00</t>
  </si>
  <si>
    <t>2455000044-00</t>
  </si>
  <si>
    <t>2455000045-03</t>
  </si>
  <si>
    <t>2455000046-04</t>
  </si>
  <si>
    <t>2455000047-00</t>
  </si>
  <si>
    <t>2455000049-00</t>
  </si>
  <si>
    <t>2455000050-00</t>
  </si>
  <si>
    <t>2455000051-01</t>
  </si>
  <si>
    <t>2455000052-00</t>
  </si>
  <si>
    <t>2455000053-00</t>
  </si>
  <si>
    <t>2455000054-00</t>
  </si>
  <si>
    <t>2455000055-00</t>
  </si>
  <si>
    <t>2455000056-00</t>
  </si>
  <si>
    <t>2455000057-00</t>
  </si>
  <si>
    <t>2455000058-03</t>
  </si>
  <si>
    <t>2455000059-00</t>
  </si>
  <si>
    <t>2455000060-01</t>
  </si>
  <si>
    <t>2455000061-00</t>
  </si>
  <si>
    <t>2455000062-00</t>
  </si>
  <si>
    <t>2455000063-03</t>
  </si>
  <si>
    <t>2455000064-00</t>
  </si>
  <si>
    <t>2455000065-05</t>
  </si>
  <si>
    <t>2455000066-00</t>
  </si>
  <si>
    <t>2455000067-00</t>
  </si>
  <si>
    <t>2455000068-03</t>
  </si>
  <si>
    <t>2455000069-02</t>
  </si>
  <si>
    <t>2455000070-02</t>
  </si>
  <si>
    <t>2455000071-00</t>
  </si>
  <si>
    <t>2455000072-03</t>
  </si>
  <si>
    <t>2455000073-00</t>
  </si>
  <si>
    <t>2455000074-03</t>
  </si>
  <si>
    <t>2455000075-03</t>
  </si>
  <si>
    <t>2455000076-00</t>
  </si>
  <si>
    <t>2455000077-00</t>
  </si>
  <si>
    <t>2455000078-03</t>
  </si>
  <si>
    <t>2455000079-00</t>
  </si>
  <si>
    <t>2455000080-00</t>
  </si>
  <si>
    <t>2455000081-00</t>
  </si>
  <si>
    <t>2455000082-00</t>
  </si>
  <si>
    <t>2455000083-00</t>
  </si>
  <si>
    <t>2455000084-00</t>
  </si>
  <si>
    <t>2455000085-00</t>
  </si>
  <si>
    <t>2455000086-00</t>
  </si>
  <si>
    <t>2455000087-04</t>
  </si>
  <si>
    <t>2455000088-00</t>
  </si>
  <si>
    <t>2455000089-03</t>
  </si>
  <si>
    <t>2455000090-00</t>
  </si>
  <si>
    <t>2455000091-00</t>
  </si>
  <si>
    <t>2455000092-00</t>
  </si>
  <si>
    <t>2455000093-00</t>
  </si>
  <si>
    <t>2455000094-00</t>
  </si>
  <si>
    <t>2455000095-00</t>
  </si>
  <si>
    <t>2455000096-00</t>
  </si>
  <si>
    <t>2455000097-00</t>
  </si>
  <si>
    <t>2455000098-00</t>
  </si>
  <si>
    <t>2455000100-00</t>
  </si>
  <si>
    <t>2455000101-00</t>
  </si>
  <si>
    <t>2455000102-00</t>
  </si>
  <si>
    <t>2455000103-02</t>
  </si>
  <si>
    <t>2455000105-00</t>
  </si>
  <si>
    <t>2455000106-03</t>
  </si>
  <si>
    <t>2455000107-00</t>
  </si>
  <si>
    <t>2455000108-00</t>
  </si>
  <si>
    <t>2455000109-00</t>
  </si>
  <si>
    <t>2455000110-00</t>
  </si>
  <si>
    <t>2455000111-00</t>
  </si>
  <si>
    <t>2455000112-00</t>
  </si>
  <si>
    <t>2455000113-00</t>
  </si>
  <si>
    <t>2455000114-00</t>
  </si>
  <si>
    <t>2455000115-00</t>
  </si>
  <si>
    <t>2455000116-00</t>
  </si>
  <si>
    <t>2455000117-03</t>
  </si>
  <si>
    <t>2455000118-00</t>
  </si>
  <si>
    <t>2455000119-00</t>
  </si>
  <si>
    <t>2455000120-00</t>
  </si>
  <si>
    <t>2455000121-00</t>
  </si>
  <si>
    <t>2455000122-00</t>
  </si>
  <si>
    <t>2455000123-00</t>
  </si>
  <si>
    <t>2455000125-00</t>
  </si>
  <si>
    <t>2455000126-00</t>
  </si>
  <si>
    <t>2455000127-00</t>
  </si>
  <si>
    <t>2455000128-00</t>
  </si>
  <si>
    <t>2455000129-00</t>
  </si>
  <si>
    <t>2455000130-00</t>
  </si>
  <si>
    <t>2455000131-01</t>
  </si>
  <si>
    <t>2455000132-00</t>
  </si>
  <si>
    <t>2455000133-00</t>
  </si>
  <si>
    <t>2455000134-00</t>
  </si>
  <si>
    <t>2455000135-03</t>
  </si>
  <si>
    <t>2455000136-00</t>
  </si>
  <si>
    <t>2455000137-00</t>
  </si>
  <si>
    <t>2455000138-00</t>
  </si>
  <si>
    <t>2455000139-02</t>
  </si>
  <si>
    <t>2455000140-00</t>
  </si>
  <si>
    <t>2455000142-00</t>
  </si>
  <si>
    <t>2455000144-00</t>
  </si>
  <si>
    <t>2455000145-00</t>
  </si>
  <si>
    <t>2455000146-00</t>
  </si>
  <si>
    <t>2455000147-00</t>
  </si>
  <si>
    <t>2455000148-00</t>
  </si>
  <si>
    <t>2455000150-00</t>
  </si>
  <si>
    <t>2455000151-00</t>
  </si>
  <si>
    <t>2455000152-00</t>
  </si>
  <si>
    <t>2455000154-00</t>
  </si>
  <si>
    <t>2455000155-00</t>
  </si>
  <si>
    <t>2455000156-00</t>
  </si>
  <si>
    <t>2455000157-03</t>
  </si>
  <si>
    <t>2455000158-03</t>
  </si>
  <si>
    <t>2455000159-00</t>
  </si>
  <si>
    <t>2455000161-00</t>
  </si>
  <si>
    <t>2455000162-00</t>
  </si>
  <si>
    <t>2455000163-00</t>
  </si>
  <si>
    <t>2455000164-00</t>
  </si>
  <si>
    <t>2455000165-00</t>
  </si>
  <si>
    <t>2455000167-02</t>
  </si>
  <si>
    <t>2455000169-03</t>
  </si>
  <si>
    <t>2455000170-00</t>
  </si>
  <si>
    <t>2455000171-07</t>
  </si>
  <si>
    <t>2455000172-00</t>
  </si>
  <si>
    <t>2455000174-03</t>
  </si>
  <si>
    <t>2455000175-00</t>
  </si>
  <si>
    <t>2455000176-04</t>
  </si>
  <si>
    <t>2455000177-06</t>
  </si>
  <si>
    <t>2455000179-00</t>
  </si>
  <si>
    <t>2455000180-00</t>
  </si>
  <si>
    <t>2455000181-00</t>
  </si>
  <si>
    <t>2455000182-01</t>
  </si>
  <si>
    <t>2455000183-00</t>
  </si>
  <si>
    <t>2455000184-00</t>
  </si>
  <si>
    <t>2455000185-03</t>
  </si>
  <si>
    <t>2455000186-02</t>
  </si>
  <si>
    <t>2455000187-00</t>
  </si>
  <si>
    <t>2455000188-05</t>
  </si>
  <si>
    <t>2455000189-00</t>
  </si>
  <si>
    <t>2455000190-05</t>
  </si>
  <si>
    <t>2455000191-07</t>
  </si>
  <si>
    <t>2455000193-00</t>
  </si>
  <si>
    <t>2455000194-06</t>
  </si>
  <si>
    <t>2455000195-00</t>
  </si>
  <si>
    <t>2455000196-00</t>
  </si>
  <si>
    <t>2455000197-00</t>
  </si>
  <si>
    <t>2455000198-00</t>
  </si>
  <si>
    <t>2455000200-01</t>
  </si>
  <si>
    <t>2455000201-01</t>
  </si>
  <si>
    <t>2455000202-01</t>
  </si>
  <si>
    <t>2455000203-01</t>
  </si>
  <si>
    <t>2455000204-01</t>
  </si>
  <si>
    <t>2455000205-01</t>
  </si>
  <si>
    <t>2455000206-01</t>
  </si>
  <si>
    <t>2455000208-01</t>
  </si>
  <si>
    <t>2455000209-01</t>
  </si>
  <si>
    <t>2455000210-01</t>
  </si>
  <si>
    <t>2460000030-00</t>
  </si>
  <si>
    <t>2460000031-03</t>
  </si>
  <si>
    <t>2460000035-01</t>
  </si>
  <si>
    <t>2460000038-01</t>
  </si>
  <si>
    <t>2460000041-01</t>
  </si>
  <si>
    <t>2460000042-02</t>
  </si>
  <si>
    <t>2460000043-01</t>
  </si>
  <si>
    <t>2460000044-02</t>
  </si>
  <si>
    <t>2460000045-02</t>
  </si>
  <si>
    <t>2460000046-00</t>
  </si>
  <si>
    <t>2460000047-04</t>
  </si>
  <si>
    <t>2460000048-01</t>
  </si>
  <si>
    <t>2460000049-01</t>
  </si>
  <si>
    <t>2460000050-00</t>
  </si>
  <si>
    <t>2460000051-01</t>
  </si>
  <si>
    <t>2460000053-01</t>
  </si>
  <si>
    <t>2460000054-01</t>
  </si>
  <si>
    <t>2460000055-00</t>
  </si>
  <si>
    <t>2460000056-03</t>
  </si>
  <si>
    <t>2460000060-01</t>
  </si>
  <si>
    <t>2460000061-01</t>
  </si>
  <si>
    <t>2460000062-01</t>
  </si>
  <si>
    <t>2460000064-01</t>
  </si>
  <si>
    <t>2460000065-01</t>
  </si>
  <si>
    <t>2460000066-02</t>
  </si>
  <si>
    <t>2460000067-00</t>
  </si>
  <si>
    <t>2460000068-01</t>
  </si>
  <si>
    <t>2460000069-01</t>
  </si>
  <si>
    <t>2460000070-01</t>
  </si>
  <si>
    <t>2460000071-04</t>
  </si>
  <si>
    <t>2460000072-02</t>
  </si>
  <si>
    <t>2460000073-00</t>
  </si>
  <si>
    <t>2460000201-00</t>
  </si>
  <si>
    <t>2460000202-01</t>
  </si>
  <si>
    <t>2460000203-01</t>
  </si>
  <si>
    <t>2460000204-01</t>
  </si>
  <si>
    <t>2460000205-01</t>
  </si>
  <si>
    <t>2460000206-01</t>
  </si>
  <si>
    <t>2460000207-02</t>
  </si>
  <si>
    <t>2460000209-00</t>
  </si>
  <si>
    <t>2460000210-03</t>
  </si>
  <si>
    <t>2500001000-01</t>
  </si>
  <si>
    <t>2500651000-00</t>
  </si>
  <si>
    <t>2500652000-00</t>
  </si>
  <si>
    <t>2501280000-01</t>
  </si>
  <si>
    <t>2550000000-01</t>
  </si>
  <si>
    <t>2550000001-01</t>
  </si>
  <si>
    <t>2550000002-00</t>
  </si>
  <si>
    <t>2550000003-02</t>
  </si>
  <si>
    <t>2550000005-01</t>
  </si>
  <si>
    <t>2550000006-01</t>
  </si>
  <si>
    <t>2550000007-01</t>
  </si>
  <si>
    <t>2550000008-02</t>
  </si>
  <si>
    <t>2550000009-01</t>
  </si>
  <si>
    <t>2550000010-01</t>
  </si>
  <si>
    <t>2550000011-04</t>
  </si>
  <si>
    <t>2550000012-01</t>
  </si>
  <si>
    <t>2550000013-01</t>
  </si>
  <si>
    <t>2550000014-01</t>
  </si>
  <si>
    <t>2550000015-01</t>
  </si>
  <si>
    <t>2550000016-01</t>
  </si>
  <si>
    <t>2550000018-00</t>
  </si>
  <si>
    <t>2550000019-01</t>
  </si>
  <si>
    <t>2550000020-01</t>
  </si>
  <si>
    <t>2550000021-01</t>
  </si>
  <si>
    <t>2550000022-01</t>
  </si>
  <si>
    <t>2550000023-01</t>
  </si>
  <si>
    <t>2550000025-01</t>
  </si>
  <si>
    <t>2550000026-01</t>
  </si>
  <si>
    <t>2550000032-01</t>
  </si>
  <si>
    <t>2550000033-01</t>
  </si>
  <si>
    <t>2550000035-02</t>
  </si>
  <si>
    <t>2550000100-01</t>
  </si>
  <si>
    <t>2550000387-01</t>
  </si>
  <si>
    <t>2550000390-01</t>
  </si>
  <si>
    <t>2550000397-01</t>
  </si>
  <si>
    <t>2550000417-01</t>
  </si>
  <si>
    <t>2550000423-00</t>
  </si>
  <si>
    <t>2550000425-00</t>
  </si>
  <si>
    <t>2550000430-01</t>
  </si>
  <si>
    <t>2550000440-01</t>
  </si>
  <si>
    <t>2550000491-01</t>
  </si>
  <si>
    <t>2550000492-00</t>
  </si>
  <si>
    <t>2550000500-02</t>
  </si>
  <si>
    <t>2550000520-01</t>
  </si>
  <si>
    <t>2550000525-00</t>
  </si>
  <si>
    <t>2550000526-01</t>
  </si>
  <si>
    <t>2550000547-01</t>
  </si>
  <si>
    <t>2550000561-00</t>
  </si>
  <si>
    <t>2550000568-01</t>
  </si>
  <si>
    <t>2550000611-00</t>
  </si>
  <si>
    <t>2550000621-02</t>
  </si>
  <si>
    <t>2550000623-01</t>
  </si>
  <si>
    <t>2550000704-01</t>
  </si>
  <si>
    <t>2550000801-01</t>
  </si>
  <si>
    <t>2550000802-01</t>
  </si>
  <si>
    <t>2550000803-01</t>
  </si>
  <si>
    <t>2550000804-01</t>
  </si>
  <si>
    <t>2550000900-00</t>
  </si>
  <si>
    <t>2650000000-00</t>
  </si>
  <si>
    <t>2650000001-01</t>
  </si>
  <si>
    <t>2650000002-00</t>
  </si>
  <si>
    <t>2650000003-00</t>
  </si>
  <si>
    <t>2650000006-00</t>
  </si>
  <si>
    <t>2650000009-01</t>
  </si>
  <si>
    <t>2650000011-01</t>
  </si>
  <si>
    <t>2700630100-05</t>
  </si>
  <si>
    <t>清水</t>
  </si>
  <si>
    <t>2700630101-01</t>
  </si>
  <si>
    <t>2700630105-01</t>
  </si>
  <si>
    <t>2700630201-01</t>
  </si>
  <si>
    <t>2700630202-01</t>
  </si>
  <si>
    <t>2700630203-01</t>
  </si>
  <si>
    <t>2800610000-01</t>
  </si>
  <si>
    <t>2800650000-00</t>
  </si>
  <si>
    <t>2800650100-00</t>
  </si>
  <si>
    <t>2800650300-01</t>
  </si>
  <si>
    <t>2800650302-02</t>
  </si>
  <si>
    <t>2800650303-03</t>
  </si>
  <si>
    <t>2800660000-00</t>
  </si>
  <si>
    <t>2800670000-00</t>
  </si>
  <si>
    <t>2800670100-00</t>
  </si>
  <si>
    <t>2800690000-02</t>
  </si>
  <si>
    <t>2800700000-00</t>
  </si>
  <si>
    <t>2800710000-00</t>
  </si>
  <si>
    <t>2800720000-00</t>
  </si>
  <si>
    <t>2800730000-00</t>
  </si>
  <si>
    <t>2800740000-00</t>
  </si>
  <si>
    <t>2800750000-00</t>
  </si>
  <si>
    <t>2800760000-03</t>
  </si>
  <si>
    <t>2800770000-01</t>
  </si>
  <si>
    <t>2800830000-00</t>
  </si>
  <si>
    <t>2900590200-01</t>
  </si>
  <si>
    <t>2900590600-00</t>
  </si>
  <si>
    <t>2900590700-00</t>
  </si>
  <si>
    <t>2900590900-02</t>
  </si>
  <si>
    <t>3000080000-00</t>
  </si>
  <si>
    <t>宮ケ崎</t>
  </si>
  <si>
    <t>3000120000-00</t>
  </si>
  <si>
    <t>3000160000-02</t>
  </si>
  <si>
    <t>3000190000-00</t>
  </si>
  <si>
    <t>3000200000-00</t>
  </si>
  <si>
    <t>3000220000-00</t>
  </si>
  <si>
    <t>3000230000-05</t>
  </si>
  <si>
    <t>3000240000-00</t>
  </si>
  <si>
    <t>3000320200-00</t>
  </si>
  <si>
    <t>3000590000-00</t>
  </si>
  <si>
    <t>3000600000-00</t>
  </si>
  <si>
    <t>3000600001-00</t>
  </si>
  <si>
    <t>3000620093-00</t>
  </si>
  <si>
    <t>3000620100-01</t>
  </si>
  <si>
    <t>3000670000-00</t>
  </si>
  <si>
    <t>3000730000-00</t>
  </si>
  <si>
    <t>3000750000-00</t>
  </si>
  <si>
    <t>3000790000-00</t>
  </si>
  <si>
    <t>3000800000-00</t>
  </si>
  <si>
    <t>3000810000-00</t>
  </si>
  <si>
    <t>3000820000-00</t>
  </si>
  <si>
    <t>3000840000-00</t>
  </si>
  <si>
    <t>3000880000-00</t>
  </si>
  <si>
    <t>3000890000-00</t>
  </si>
  <si>
    <t>3000900000-00</t>
  </si>
  <si>
    <t>3000920000-02</t>
  </si>
  <si>
    <t>3000950000-03</t>
  </si>
  <si>
    <t>3000960000-00</t>
  </si>
  <si>
    <t>3000970000-02</t>
  </si>
  <si>
    <t>3000980000-01</t>
  </si>
  <si>
    <t>3001000000-00</t>
  </si>
  <si>
    <t>3001010000-00</t>
  </si>
  <si>
    <t>3001010010-00</t>
  </si>
  <si>
    <t>3001010020-00</t>
  </si>
  <si>
    <t>3001010200-00</t>
  </si>
  <si>
    <t>3001050000-00</t>
  </si>
  <si>
    <t>3001070000-02</t>
  </si>
  <si>
    <t>3001090000-00</t>
  </si>
  <si>
    <t>3001110000-00</t>
  </si>
  <si>
    <t>3001120000-03</t>
  </si>
  <si>
    <t>3001120100-00</t>
  </si>
  <si>
    <t>3001360000-01</t>
  </si>
  <si>
    <t>3001380000-01</t>
  </si>
  <si>
    <t>3001500000-03</t>
  </si>
  <si>
    <t>3001620100-00</t>
  </si>
  <si>
    <t>石浜</t>
  </si>
  <si>
    <t>3001670020-05</t>
  </si>
  <si>
    <t>3001680200-01</t>
  </si>
  <si>
    <t>3001720000-03</t>
  </si>
  <si>
    <t>3001730100-01</t>
  </si>
  <si>
    <t>3001750000-03</t>
  </si>
  <si>
    <t>3001840100-00</t>
  </si>
  <si>
    <t>100</t>
  </si>
  <si>
    <t>3001840101-00</t>
  </si>
  <si>
    <t>3001840102-00</t>
  </si>
  <si>
    <t>3001840103-00</t>
  </si>
  <si>
    <t>3001990000-01</t>
  </si>
  <si>
    <t>3050000000-00</t>
  </si>
  <si>
    <t>3050000201-04</t>
  </si>
  <si>
    <t>3050000202-02</t>
  </si>
  <si>
    <t>3050000203-04</t>
  </si>
  <si>
    <t>3050000204-01</t>
  </si>
  <si>
    <t>3050000211-03</t>
  </si>
  <si>
    <t>3050000212-04</t>
  </si>
  <si>
    <t>3050000213-04</t>
  </si>
  <si>
    <t>3050000214-01</t>
  </si>
  <si>
    <t>3050000215-01</t>
  </si>
  <si>
    <t>3050000216-01</t>
  </si>
  <si>
    <t>3050000217-01</t>
  </si>
  <si>
    <t>3050000218-03</t>
  </si>
  <si>
    <t>3050000221-01</t>
  </si>
  <si>
    <t>3050000222-00</t>
  </si>
  <si>
    <t>3050000223-01</t>
  </si>
  <si>
    <t>3050000224-01</t>
  </si>
  <si>
    <t>3050000225-01</t>
  </si>
  <si>
    <t>3050000226-03</t>
  </si>
  <si>
    <t>3050000227-02</t>
  </si>
  <si>
    <t>3050000228-01</t>
  </si>
  <si>
    <t>3050000233-01</t>
  </si>
  <si>
    <t>3050000234-01</t>
  </si>
  <si>
    <t>3050000235-01</t>
  </si>
  <si>
    <t>3050000236-03</t>
  </si>
  <si>
    <t>3050000237-01</t>
  </si>
  <si>
    <t>3050000238-04</t>
  </si>
  <si>
    <t>3050000240-01</t>
  </si>
  <si>
    <t>3050000241-01</t>
  </si>
  <si>
    <t>3050000242-01</t>
  </si>
  <si>
    <t>3050000243-01</t>
  </si>
  <si>
    <t>3050000244-01</t>
  </si>
  <si>
    <t>3050000245-01</t>
  </si>
  <si>
    <t>3050000246-01</t>
  </si>
  <si>
    <t>3050000251-02</t>
  </si>
  <si>
    <t>3050000252-01</t>
  </si>
  <si>
    <t>3050000253-01</t>
  </si>
  <si>
    <t>3050000254-01</t>
  </si>
  <si>
    <t>3050000261-01</t>
  </si>
  <si>
    <t>3050000262-01</t>
  </si>
  <si>
    <t>3050000263-01</t>
  </si>
  <si>
    <t>3050000264-01</t>
  </si>
  <si>
    <t>3050000265-01</t>
  </si>
  <si>
    <t>3050000266-01</t>
  </si>
  <si>
    <t>3050000267-05</t>
  </si>
  <si>
    <t>3050000271-01</t>
  </si>
  <si>
    <t>3050000272-01</t>
  </si>
  <si>
    <t>3050000273-05</t>
  </si>
  <si>
    <t>3050000274-01</t>
  </si>
  <si>
    <t>3050000281-04</t>
  </si>
  <si>
    <t>3050000282-01</t>
  </si>
  <si>
    <t>3050000283-01</t>
  </si>
  <si>
    <t>3050000284-05</t>
  </si>
  <si>
    <t>3050000291-01</t>
  </si>
  <si>
    <t>3050000292-01</t>
  </si>
  <si>
    <t>3050000301-01</t>
  </si>
  <si>
    <t>3050000302-01</t>
  </si>
  <si>
    <t>3050000311-01</t>
  </si>
  <si>
    <t>3050000312-02</t>
  </si>
  <si>
    <t>3050000315-01</t>
  </si>
  <si>
    <t>3050000321-01</t>
  </si>
  <si>
    <t>3050000323-01</t>
  </si>
  <si>
    <t>3050000332-01</t>
  </si>
  <si>
    <t>3050000341-01</t>
  </si>
  <si>
    <t>3050000342-01</t>
  </si>
  <si>
    <t>3050000351-03</t>
  </si>
  <si>
    <t>3050000353-01</t>
  </si>
  <si>
    <t>3050000355-01</t>
  </si>
  <si>
    <t>3050000356-03</t>
  </si>
  <si>
    <t>3050000357-01</t>
  </si>
  <si>
    <t>3050000361-01</t>
  </si>
  <si>
    <t>3050000362-01</t>
  </si>
  <si>
    <t>3050000371-01</t>
  </si>
  <si>
    <t>3050000372-01</t>
  </si>
  <si>
    <t>3050000373-01</t>
  </si>
  <si>
    <t>3050000374-01</t>
  </si>
  <si>
    <t>3050000375-01</t>
  </si>
  <si>
    <t>3050000381-01</t>
  </si>
  <si>
    <t>3050000384-01</t>
  </si>
  <si>
    <t>3050000385-00</t>
  </si>
  <si>
    <t>3050000386-01</t>
  </si>
  <si>
    <t>3050000391-01</t>
  </si>
  <si>
    <t>3050000392-05</t>
  </si>
  <si>
    <t>3050000393-01</t>
  </si>
  <si>
    <t>3050000395-01</t>
  </si>
  <si>
    <t>3050000397-01</t>
  </si>
  <si>
    <t>3050000500-01</t>
  </si>
  <si>
    <t>3050000503-01</t>
  </si>
  <si>
    <t>3050000533-01</t>
  </si>
  <si>
    <t>3050000570-01</t>
  </si>
  <si>
    <t>3050000641-00</t>
  </si>
  <si>
    <t>3050000643-01</t>
  </si>
  <si>
    <t>3050000644-00</t>
  </si>
  <si>
    <t>3050000654-00</t>
  </si>
  <si>
    <t>3050000692-01</t>
  </si>
  <si>
    <t>3050000693-01</t>
  </si>
  <si>
    <t>3050000750-02</t>
  </si>
  <si>
    <t>3050000764-01</t>
  </si>
  <si>
    <t>3050000765-01</t>
  </si>
  <si>
    <t>3050001610-01</t>
  </si>
  <si>
    <t>3050505000-01</t>
  </si>
  <si>
    <t>3100220100-01</t>
  </si>
  <si>
    <t>3100220200-01</t>
  </si>
  <si>
    <t>3100240000-04</t>
  </si>
  <si>
    <t>3100240100-01</t>
  </si>
  <si>
    <t>3100760100-00</t>
  </si>
  <si>
    <t>3101300100-20</t>
  </si>
  <si>
    <t>3107400000-00</t>
  </si>
  <si>
    <t>3110000100-01</t>
  </si>
  <si>
    <t>3110000300-00</t>
  </si>
  <si>
    <t>3201400000-02</t>
  </si>
  <si>
    <t>3250000001-00</t>
  </si>
  <si>
    <t>3250000002-01</t>
  </si>
  <si>
    <t>3250000004-01</t>
  </si>
  <si>
    <t>3250000005-01</t>
  </si>
  <si>
    <t>3250000006-01</t>
  </si>
  <si>
    <t>3250000007-01</t>
  </si>
  <si>
    <t>3250000008-01</t>
  </si>
  <si>
    <t>3250000009-01</t>
  </si>
  <si>
    <t>3250000010-01</t>
  </si>
  <si>
    <t>3250000011-01</t>
  </si>
  <si>
    <t>3250000013-01</t>
  </si>
  <si>
    <t>3250000014-01</t>
  </si>
  <si>
    <t>3250000015-01</t>
  </si>
  <si>
    <t>3250000016-01</t>
  </si>
  <si>
    <t>3250000017-04</t>
  </si>
  <si>
    <t>3250000018-01</t>
  </si>
  <si>
    <t>3250000051-02</t>
  </si>
  <si>
    <t>3250000052-01</t>
  </si>
  <si>
    <t>3250000053-01</t>
  </si>
  <si>
    <t>3250000054-01</t>
  </si>
  <si>
    <t>3250000057-01</t>
  </si>
  <si>
    <t>3250000058-00</t>
  </si>
  <si>
    <t>3250000059-01</t>
  </si>
  <si>
    <t>3250000063-01</t>
  </si>
  <si>
    <t>3250000064-01</t>
  </si>
  <si>
    <t>3250000065-01</t>
  </si>
  <si>
    <t>3250000068-01</t>
  </si>
  <si>
    <t>3250000070-00</t>
  </si>
  <si>
    <t>3250000071-01</t>
  </si>
  <si>
    <t>3250000073-01</t>
  </si>
  <si>
    <t>3250000075-01</t>
  </si>
  <si>
    <t>3250000078-01</t>
  </si>
  <si>
    <t>3250000079-01</t>
  </si>
  <si>
    <t>3250000083-01</t>
  </si>
  <si>
    <t>3250000106-00</t>
  </si>
  <si>
    <t>3250000114-01</t>
  </si>
  <si>
    <t>3250000121-01</t>
  </si>
  <si>
    <t>3250000129-01</t>
  </si>
  <si>
    <t>3250000130-01</t>
  </si>
  <si>
    <t>3250000132-01</t>
  </si>
  <si>
    <t>3250000133-00</t>
  </si>
  <si>
    <t>3250000142-01</t>
  </si>
  <si>
    <t>3250000143-00</t>
  </si>
  <si>
    <t>3250000144-01</t>
  </si>
  <si>
    <t>3250000150-00</t>
  </si>
  <si>
    <t>3250000160-00</t>
  </si>
  <si>
    <t>3250000161-00</t>
  </si>
  <si>
    <t>3250000164-00</t>
  </si>
  <si>
    <t>3500000001-01</t>
  </si>
  <si>
    <t>大原南</t>
  </si>
  <si>
    <t>3500000002-01</t>
  </si>
  <si>
    <t>3500000003-01</t>
  </si>
  <si>
    <t>3500000004-01</t>
  </si>
  <si>
    <t>3500000005-01</t>
  </si>
  <si>
    <t>3500000006-01</t>
  </si>
  <si>
    <t>3500000007-01</t>
  </si>
  <si>
    <t>3500000008-01</t>
  </si>
  <si>
    <t>3500000009-01</t>
  </si>
  <si>
    <t>3500000010-01</t>
  </si>
  <si>
    <t>3500000011-01</t>
  </si>
  <si>
    <t>3500000012-01</t>
  </si>
  <si>
    <t>3500000013-01</t>
  </si>
  <si>
    <t>3500000014-01</t>
  </si>
  <si>
    <t>3500000015-01</t>
  </si>
  <si>
    <t>3500000016-01</t>
  </si>
  <si>
    <t>3500000017-01</t>
  </si>
  <si>
    <t>3500000018-01</t>
  </si>
  <si>
    <t>3500000019-01</t>
  </si>
  <si>
    <t>3500000020-01</t>
  </si>
  <si>
    <t>3500000021-01</t>
  </si>
  <si>
    <t>3500000022-03</t>
  </si>
  <si>
    <t>3500000023-01</t>
  </si>
  <si>
    <t>3500000024-01</t>
  </si>
  <si>
    <t>3500000025-01</t>
  </si>
  <si>
    <t>3500000026-01</t>
  </si>
  <si>
    <t>3500000027-01</t>
  </si>
  <si>
    <t>3500000028-01</t>
  </si>
  <si>
    <t>3500000029-00</t>
  </si>
  <si>
    <t>3500000030-00</t>
  </si>
  <si>
    <t>3500000031-01</t>
  </si>
  <si>
    <t>3500000032-01</t>
  </si>
  <si>
    <t>3500000033-01</t>
  </si>
  <si>
    <t>3500000034-02</t>
  </si>
  <si>
    <t>3500000035-00</t>
  </si>
  <si>
    <t>3500000201-02</t>
  </si>
  <si>
    <t>3500000202-00</t>
  </si>
  <si>
    <t>3500000203-02</t>
  </si>
  <si>
    <t>3500000204-02</t>
  </si>
  <si>
    <t>3500000205-00</t>
  </si>
  <si>
    <t>3500000206-02</t>
  </si>
  <si>
    <t>3500000208-00</t>
  </si>
  <si>
    <t>3500000209-00</t>
  </si>
  <si>
    <t>3500000210-04</t>
  </si>
  <si>
    <t>3500000211-00</t>
  </si>
  <si>
    <t>3500000212-00</t>
  </si>
  <si>
    <t>3500000213-02</t>
  </si>
  <si>
    <t>3500000214-00</t>
  </si>
  <si>
    <t>3500000215-00</t>
  </si>
  <si>
    <t>3500000216-01</t>
  </si>
  <si>
    <t>3500000217-00</t>
  </si>
  <si>
    <t>3500000218-00</t>
  </si>
  <si>
    <t>3500000219-01</t>
  </si>
  <si>
    <t>3500000220-00</t>
  </si>
  <si>
    <t>3500000222-00</t>
  </si>
  <si>
    <t>3500000223-00</t>
  </si>
  <si>
    <t>3500000224-00</t>
  </si>
  <si>
    <t>3600000001-01</t>
  </si>
  <si>
    <t>3600000002-01</t>
  </si>
  <si>
    <t>3600000003-01</t>
  </si>
  <si>
    <t>3600000004-01</t>
  </si>
  <si>
    <t>3600000005-01</t>
  </si>
  <si>
    <t>3600000006-00</t>
  </si>
  <si>
    <t>3600000007-01</t>
  </si>
  <si>
    <t>3600000008-01</t>
  </si>
  <si>
    <t>3600000009-01</t>
  </si>
  <si>
    <t>3600000010-01</t>
  </si>
  <si>
    <t>3600000011-01</t>
  </si>
  <si>
    <t>3600000012-01</t>
  </si>
  <si>
    <t>3600000013-01</t>
  </si>
  <si>
    <t>3600000014-01</t>
  </si>
  <si>
    <t>3600000015-01</t>
  </si>
  <si>
    <t>3600000016-01</t>
  </si>
  <si>
    <t>3600000017-01</t>
  </si>
  <si>
    <t>3600000018-01</t>
  </si>
  <si>
    <t>3600000019-01</t>
  </si>
  <si>
    <t>3600000020-01</t>
  </si>
  <si>
    <t>3600000021-01</t>
  </si>
  <si>
    <t>3600000022-01</t>
  </si>
  <si>
    <t>3600000023-01</t>
  </si>
  <si>
    <t>3600000024-01</t>
  </si>
  <si>
    <t>3600000025-01</t>
  </si>
  <si>
    <t>3600000026-01</t>
  </si>
  <si>
    <t>3600000027-01</t>
  </si>
  <si>
    <t>3600000028-01</t>
  </si>
  <si>
    <t>3600000029-01</t>
  </si>
  <si>
    <t>3600000030-01</t>
  </si>
  <si>
    <t>3600000031-01</t>
  </si>
  <si>
    <t>3600000032-01</t>
  </si>
  <si>
    <t>3600000034-01</t>
  </si>
  <si>
    <t>3600000035-01</t>
  </si>
  <si>
    <t>3600000036-01</t>
  </si>
  <si>
    <t>3600000037-01</t>
  </si>
  <si>
    <t>3600000038-01</t>
  </si>
  <si>
    <t>3600000039-01</t>
  </si>
  <si>
    <t>3600000040-00</t>
  </si>
  <si>
    <t>3600000041-01</t>
  </si>
  <si>
    <t>3600000042-01</t>
  </si>
  <si>
    <t>3600000043-01</t>
  </si>
  <si>
    <t>3600000044-01</t>
  </si>
  <si>
    <t>3600000045-01</t>
  </si>
  <si>
    <t>3600000046-01</t>
  </si>
  <si>
    <t>3600000047-01</t>
  </si>
  <si>
    <t>3600000048-01</t>
  </si>
  <si>
    <t>3600000049-01</t>
  </si>
  <si>
    <t>3600000050-01</t>
  </si>
  <si>
    <t>3600000051-01</t>
  </si>
  <si>
    <t>3600000052-01</t>
  </si>
  <si>
    <t>3600000053-01</t>
  </si>
  <si>
    <t>3600000054-01</t>
  </si>
  <si>
    <t>3600000055-01</t>
  </si>
  <si>
    <t>3600000056-01</t>
  </si>
  <si>
    <t>3600000057-01</t>
  </si>
  <si>
    <t>3600000058-01</t>
  </si>
  <si>
    <t>3600000059-01</t>
  </si>
  <si>
    <t>3600000060-01</t>
  </si>
  <si>
    <t>3600000061-01</t>
  </si>
  <si>
    <t>3600000062-01</t>
  </si>
  <si>
    <t>3600000063-01</t>
  </si>
  <si>
    <t>3600000064-01</t>
  </si>
  <si>
    <t>3600000065-01</t>
  </si>
  <si>
    <t>3600000066-01</t>
  </si>
  <si>
    <t>3600000067-01</t>
  </si>
  <si>
    <t>3600000068-01</t>
  </si>
  <si>
    <t>3600000069-01</t>
  </si>
  <si>
    <t>3600000070-01</t>
  </si>
  <si>
    <t>3600000071-01</t>
  </si>
  <si>
    <t>3600000072-02</t>
  </si>
  <si>
    <t>3600000073-01</t>
  </si>
  <si>
    <t>3600000074-01</t>
  </si>
  <si>
    <t>3600000075-01</t>
  </si>
  <si>
    <t>3600000076-01</t>
  </si>
  <si>
    <t>3600000077-01</t>
  </si>
  <si>
    <t>3600000100-01</t>
  </si>
  <si>
    <t>3600000101-01</t>
  </si>
  <si>
    <t>3700000001-01</t>
  </si>
  <si>
    <t>3700000002-01</t>
  </si>
  <si>
    <t>3700000003-01</t>
  </si>
  <si>
    <t>3700000004-01</t>
  </si>
  <si>
    <t>3700000005-01</t>
  </si>
  <si>
    <t>3700000101-00</t>
  </si>
  <si>
    <t>3700000107-00</t>
  </si>
  <si>
    <t>3700000108-00</t>
  </si>
  <si>
    <t>3700000109-00</t>
  </si>
  <si>
    <t>3700000110-02</t>
  </si>
  <si>
    <t>3700000111-01</t>
  </si>
  <si>
    <t>3700000112-04</t>
  </si>
  <si>
    <t>3700000113-00</t>
  </si>
  <si>
    <t>3700000115-00</t>
  </si>
  <si>
    <t>3700000116-00</t>
  </si>
  <si>
    <t>3700000117-04</t>
  </si>
  <si>
    <t>3700000118-02</t>
  </si>
  <si>
    <t>3700000119-00</t>
  </si>
  <si>
    <t>3700000120-00</t>
  </si>
  <si>
    <t>3700000121-00</t>
  </si>
  <si>
    <t>3700000122-00</t>
  </si>
  <si>
    <t>3700000123-05</t>
  </si>
  <si>
    <t>3700000124-05</t>
  </si>
  <si>
    <t>3700000125-00</t>
  </si>
  <si>
    <t>3700000127-00</t>
  </si>
  <si>
    <t>3700000128-00</t>
  </si>
  <si>
    <t>3700000129-00</t>
  </si>
  <si>
    <t>3700000131-00</t>
  </si>
  <si>
    <t>3700000133-00</t>
  </si>
  <si>
    <t>3700000134-00</t>
  </si>
  <si>
    <t>3700000135-00</t>
  </si>
  <si>
    <t>3700000136-00</t>
  </si>
  <si>
    <t>3700000137-04</t>
  </si>
  <si>
    <t>3700000138-02</t>
  </si>
  <si>
    <t>3700000139-00</t>
  </si>
  <si>
    <t>3700000140-00</t>
  </si>
  <si>
    <t>3700000141-02</t>
  </si>
  <si>
    <t>3700000142-00</t>
  </si>
  <si>
    <t>3700000143-01</t>
  </si>
  <si>
    <t>3700000145-00</t>
  </si>
  <si>
    <t>3700000147-00</t>
  </si>
  <si>
    <t>3700000150-00</t>
  </si>
  <si>
    <t>3700000151-00</t>
  </si>
  <si>
    <t>3700000152-00</t>
  </si>
  <si>
    <t>3700000154-00</t>
  </si>
  <si>
    <t>3700000156-01</t>
  </si>
  <si>
    <t>3700000157-01</t>
  </si>
  <si>
    <t>3700000159-03</t>
  </si>
  <si>
    <t>3700000160-00</t>
  </si>
  <si>
    <t>3700000162-00</t>
  </si>
  <si>
    <t>3700000163-00</t>
  </si>
  <si>
    <t>3700000164-00</t>
  </si>
  <si>
    <t>3700000166-00</t>
  </si>
  <si>
    <t>3700000167-00</t>
  </si>
  <si>
    <t>3700000168-00</t>
  </si>
  <si>
    <t>3700000169-00</t>
  </si>
  <si>
    <t>3700000170-00</t>
  </si>
  <si>
    <t>3700000171-00</t>
  </si>
  <si>
    <t>3700000172-00</t>
  </si>
  <si>
    <t>3700000173-05</t>
  </si>
  <si>
    <t>3700000174-00</t>
  </si>
  <si>
    <t>3700000175-00</t>
  </si>
  <si>
    <t>3700000176-00</t>
  </si>
  <si>
    <t>3700000177-00</t>
  </si>
  <si>
    <t>3700000178-00</t>
  </si>
  <si>
    <t>3700000179-00</t>
  </si>
  <si>
    <t>3700000180-00</t>
  </si>
  <si>
    <t>3700000181-00</t>
  </si>
  <si>
    <t>3700000182-00</t>
  </si>
  <si>
    <t>3700000184-03</t>
  </si>
  <si>
    <t>3700000185-00</t>
  </si>
  <si>
    <t>3700000186-00</t>
  </si>
  <si>
    <t>3700000187-01</t>
  </si>
  <si>
    <t>3700000188-00</t>
  </si>
  <si>
    <t>3700000189-00</t>
  </si>
  <si>
    <t>3700000210-00</t>
  </si>
  <si>
    <t>3800000251-01</t>
  </si>
  <si>
    <t>3800000252-00</t>
  </si>
  <si>
    <t>3800000253-01</t>
  </si>
  <si>
    <t>3800000304-01</t>
  </si>
  <si>
    <t>3800000351-01</t>
  </si>
  <si>
    <t>3800000352-01</t>
  </si>
  <si>
    <t>3800000353-01</t>
  </si>
  <si>
    <t>3800000501-01</t>
  </si>
  <si>
    <t>3800000552-01</t>
  </si>
  <si>
    <t>3800000553-01</t>
  </si>
  <si>
    <t>3800000554-01</t>
  </si>
  <si>
    <t>3800000555-01</t>
  </si>
  <si>
    <t>3800000557-03</t>
  </si>
  <si>
    <t>3800000558-01</t>
  </si>
  <si>
    <t>3800000559-00</t>
  </si>
  <si>
    <t>3800000560-00</t>
  </si>
  <si>
    <t>3800000601-01</t>
  </si>
  <si>
    <t>3800000602-01</t>
  </si>
  <si>
    <t>3800000651-01</t>
  </si>
  <si>
    <t>3800000652-01</t>
  </si>
  <si>
    <t>3800000653-01</t>
  </si>
  <si>
    <t>3800000654-02</t>
  </si>
  <si>
    <t>3800000655-01</t>
  </si>
  <si>
    <t>3800000660-01</t>
  </si>
  <si>
    <t>3800000701-01</t>
  </si>
  <si>
    <t>3800000702-01</t>
  </si>
  <si>
    <t>3800000703-02</t>
  </si>
  <si>
    <t>3800000751-01</t>
  </si>
  <si>
    <t>3800000752-01</t>
  </si>
  <si>
    <t>3800000753-01</t>
  </si>
  <si>
    <t>3800000900-01</t>
  </si>
  <si>
    <t>3810000001-00</t>
  </si>
  <si>
    <t>3810000005-02</t>
  </si>
  <si>
    <t>3810000006-01</t>
  </si>
  <si>
    <t>3810000008-00</t>
  </si>
  <si>
    <t>3810000010-00</t>
  </si>
  <si>
    <t>3810000011-00</t>
  </si>
  <si>
    <t>3810000012-04</t>
  </si>
  <si>
    <t>3810000013-00</t>
  </si>
  <si>
    <t>3810000014-00</t>
  </si>
  <si>
    <t>3810000015-00</t>
  </si>
  <si>
    <t>3810000016-02</t>
  </si>
  <si>
    <t>3810000017-00</t>
  </si>
  <si>
    <t>3810000020-00</t>
  </si>
  <si>
    <t>3810000021-00</t>
  </si>
  <si>
    <t>3810000023-00</t>
  </si>
  <si>
    <t>3810000024-00</t>
  </si>
  <si>
    <t>3810000025-01</t>
  </si>
  <si>
    <t>3810000026-00</t>
  </si>
  <si>
    <t>3810000027-00</t>
  </si>
  <si>
    <t>3810000028-00</t>
  </si>
  <si>
    <t>3810000029-00</t>
  </si>
  <si>
    <t>3810000030-00</t>
  </si>
  <si>
    <t>3810000031-00</t>
  </si>
  <si>
    <t>3810000032-00</t>
  </si>
  <si>
    <t>3810000033-02</t>
  </si>
  <si>
    <t>3810000034-00</t>
  </si>
  <si>
    <t>3820000001-00</t>
  </si>
  <si>
    <t>3820000002-03</t>
  </si>
  <si>
    <t>3820000003-00</t>
  </si>
  <si>
    <t>3820000004-00</t>
  </si>
  <si>
    <t>3820000005-06</t>
  </si>
  <si>
    <t>3820000006-00</t>
  </si>
  <si>
    <t>3820000007-02</t>
  </si>
  <si>
    <t>3820000008-00</t>
  </si>
  <si>
    <t>3820000009-01</t>
  </si>
  <si>
    <t>3820000010-00</t>
  </si>
  <si>
    <t>3820000011-00</t>
  </si>
  <si>
    <t>3820000012-00</t>
  </si>
  <si>
    <t>3820000014-03</t>
  </si>
  <si>
    <t>3820000015-00</t>
  </si>
  <si>
    <t>3820000016-00</t>
  </si>
  <si>
    <t>3820000017-00</t>
  </si>
  <si>
    <t>3820000019-00</t>
  </si>
  <si>
    <t>3820000020-00</t>
  </si>
  <si>
    <t>3820000021-00</t>
  </si>
  <si>
    <t>3820000022-01</t>
  </si>
  <si>
    <t>3820000023-00</t>
  </si>
  <si>
    <t>3820000024-00</t>
  </si>
  <si>
    <t>3820000025-00</t>
  </si>
  <si>
    <t>3820000026-00</t>
  </si>
  <si>
    <t>3820000027-00</t>
  </si>
  <si>
    <t>3820000029-00</t>
  </si>
  <si>
    <t>3830000001-00</t>
  </si>
  <si>
    <t>3830000002-01</t>
  </si>
  <si>
    <t>3830000003-00</t>
  </si>
  <si>
    <t>3830000004-00</t>
  </si>
  <si>
    <t>3830000006-00</t>
  </si>
  <si>
    <t>3830000007-00</t>
  </si>
  <si>
    <t>3830000008-00</t>
  </si>
  <si>
    <t>3830000009-00</t>
  </si>
  <si>
    <t>3830000011-00</t>
  </si>
  <si>
    <t>3830000012-00</t>
  </si>
  <si>
    <t>3830000013-00</t>
  </si>
  <si>
    <t>3830000014-00</t>
  </si>
  <si>
    <t>3830000016-02</t>
  </si>
  <si>
    <t>3830000017-00</t>
  </si>
  <si>
    <t>3830000018-00</t>
  </si>
  <si>
    <t>3830000020-00</t>
  </si>
  <si>
    <t>3830000021-00</t>
  </si>
  <si>
    <t>3830000022-00</t>
  </si>
  <si>
    <t>3830000023-00</t>
  </si>
  <si>
    <t>3830000024-00</t>
  </si>
  <si>
    <t>3840000001-00</t>
  </si>
  <si>
    <t>3840000003-00</t>
  </si>
  <si>
    <t>3840000004-00</t>
  </si>
  <si>
    <t>3840000005-00</t>
  </si>
  <si>
    <t>3840000006-00</t>
  </si>
  <si>
    <t>3840000007-00</t>
  </si>
  <si>
    <t>3840000008-00</t>
  </si>
  <si>
    <t>3840000009-00</t>
  </si>
  <si>
    <t>3840000010-00</t>
  </si>
  <si>
    <t>3840000011-00</t>
  </si>
  <si>
    <t>3840000012-02</t>
  </si>
  <si>
    <t>3840000013-00</t>
  </si>
  <si>
    <t>3840000014-00</t>
  </si>
  <si>
    <t>3840000015-00</t>
  </si>
  <si>
    <t>3840000016-00</t>
  </si>
  <si>
    <t>3840000017-00</t>
  </si>
  <si>
    <t>3840000018-00</t>
  </si>
  <si>
    <t>3840000019-00</t>
  </si>
  <si>
    <t>3840000020-02</t>
  </si>
  <si>
    <t>3840000021-02</t>
  </si>
  <si>
    <t>3840000022-00</t>
  </si>
  <si>
    <t>3840000023-00</t>
  </si>
  <si>
    <t>3840000024-00</t>
  </si>
  <si>
    <t>3840000026-03</t>
  </si>
  <si>
    <t>3840000027-00</t>
  </si>
  <si>
    <t>3840000028-00</t>
  </si>
  <si>
    <t>3840000029-00</t>
  </si>
  <si>
    <t>3840000030-00</t>
  </si>
  <si>
    <t>3840000031-00</t>
  </si>
  <si>
    <t>3840000032-00</t>
  </si>
  <si>
    <t>3840000033-00</t>
  </si>
  <si>
    <t>3840000034-00</t>
  </si>
  <si>
    <t>3840000035-00</t>
  </si>
  <si>
    <t>3850000000-00</t>
  </si>
  <si>
    <t>3850000001-00</t>
  </si>
  <si>
    <t>3850000002-00</t>
  </si>
  <si>
    <t>3850000003-01</t>
  </si>
  <si>
    <t>3850000004-00</t>
  </si>
  <si>
    <t>3850000005-00</t>
  </si>
  <si>
    <t>3850000006-02</t>
  </si>
  <si>
    <t>3850000007-00</t>
  </si>
  <si>
    <t>3850000008-03</t>
  </si>
  <si>
    <t>3850000009-00</t>
  </si>
  <si>
    <t>3850000011-00</t>
  </si>
  <si>
    <t>3850000012-01</t>
  </si>
  <si>
    <t>3850000013-03</t>
  </si>
  <si>
    <t>3850000014-03</t>
  </si>
  <si>
    <t>3850000015-00</t>
  </si>
  <si>
    <t>3850000016-00</t>
  </si>
  <si>
    <t>3850000017-00</t>
  </si>
  <si>
    <t>3850000018-00</t>
  </si>
  <si>
    <t>3850000019-00</t>
  </si>
  <si>
    <t>3850000020-00</t>
  </si>
  <si>
    <t>3850000021-00</t>
  </si>
  <si>
    <t>3850000022-00</t>
  </si>
  <si>
    <t>3850000023-03</t>
  </si>
  <si>
    <t>3850000024-00</t>
  </si>
  <si>
    <t>3850000025-00</t>
  </si>
  <si>
    <t>3850000026-00</t>
  </si>
  <si>
    <t>3850000027-00</t>
  </si>
  <si>
    <t>3850000028-00</t>
  </si>
  <si>
    <t>3900000001-01</t>
  </si>
  <si>
    <t>3900000002-01</t>
  </si>
  <si>
    <t>3900000003-01</t>
  </si>
  <si>
    <t>3900000004-01</t>
  </si>
  <si>
    <t>3900000005-01</t>
  </si>
  <si>
    <t>3900000006-01</t>
  </si>
  <si>
    <t>3900000007-01</t>
  </si>
  <si>
    <t>3900000008-03</t>
  </si>
  <si>
    <t>3900000009-01</t>
  </si>
  <si>
    <t>3900000010-01</t>
  </si>
  <si>
    <t>3900000011-04</t>
  </si>
  <si>
    <t>3900000012-01</t>
  </si>
  <si>
    <t>3900000013-03</t>
  </si>
  <si>
    <t>3900000014-01</t>
  </si>
  <si>
    <t>3900000015-01</t>
  </si>
  <si>
    <t>3900000016-06</t>
  </si>
  <si>
    <t>3900000018-01</t>
  </si>
  <si>
    <t>3900000019-01</t>
  </si>
  <si>
    <t>3900000020-00</t>
  </si>
  <si>
    <t>3900000100-01</t>
  </si>
  <si>
    <t>3900000200-00</t>
  </si>
  <si>
    <t>3910000001-01</t>
  </si>
  <si>
    <t>3910000002-01</t>
  </si>
  <si>
    <t>3910000003-01</t>
  </si>
  <si>
    <t>3910000004-01</t>
  </si>
  <si>
    <t>3910000005-01</t>
  </si>
  <si>
    <t>3910000006-01</t>
  </si>
  <si>
    <t>3910000007-01</t>
  </si>
  <si>
    <t>3911000001-01</t>
  </si>
  <si>
    <t>3911000002-01</t>
  </si>
  <si>
    <t>3911000003-01</t>
  </si>
  <si>
    <t>3911000004-01</t>
  </si>
  <si>
    <t>3913000006-01</t>
  </si>
  <si>
    <t>3915000001-01</t>
  </si>
  <si>
    <t>3915000009-01</t>
  </si>
  <si>
    <t>3915000010-01</t>
  </si>
  <si>
    <t>3916000002-01</t>
  </si>
  <si>
    <t>3916000003-01</t>
  </si>
  <si>
    <t>3916000004-01</t>
  </si>
  <si>
    <t>3916000005-01</t>
  </si>
  <si>
    <t>3916000016-01</t>
  </si>
  <si>
    <t>3917000012-01</t>
  </si>
  <si>
    <t>3919000007-01</t>
  </si>
  <si>
    <t>3921000030-01</t>
  </si>
  <si>
    <t>3921000050-01</t>
  </si>
  <si>
    <t>3922000005-00</t>
  </si>
  <si>
    <t>3922000010-01</t>
  </si>
  <si>
    <t>3922000011-00</t>
  </si>
  <si>
    <t>3922000023-02</t>
  </si>
  <si>
    <t>3922000025-01</t>
  </si>
  <si>
    <t>3922000026-00</t>
  </si>
  <si>
    <t>3922000030-01</t>
  </si>
  <si>
    <t>3922000040-00</t>
  </si>
  <si>
    <t>3940000002-01</t>
  </si>
  <si>
    <t>3940000005-01</t>
  </si>
  <si>
    <t>3940000010-01</t>
  </si>
  <si>
    <t>3940000011-02</t>
  </si>
  <si>
    <t>3940000013-01</t>
  </si>
  <si>
    <t>3950000004-01</t>
  </si>
  <si>
    <t>3950000005-01</t>
  </si>
  <si>
    <t>3950000006-01</t>
  </si>
  <si>
    <t>3960000001-01</t>
  </si>
  <si>
    <t>3960000002-01</t>
  </si>
  <si>
    <t>3970000001-01</t>
  </si>
  <si>
    <t>3980000001-01</t>
  </si>
  <si>
    <t>3980000004-01</t>
  </si>
  <si>
    <t>3980000005-01</t>
  </si>
  <si>
    <t>3980000006-01</t>
  </si>
  <si>
    <t>3980000007-01</t>
  </si>
  <si>
    <t>3990000001-01</t>
  </si>
  <si>
    <t>3990000002-01</t>
  </si>
  <si>
    <t>3990000005-01</t>
  </si>
  <si>
    <t>3990000006-01</t>
  </si>
  <si>
    <t>3990000007-01</t>
  </si>
  <si>
    <t>3990000008-02</t>
  </si>
  <si>
    <t>4000000002-00</t>
  </si>
  <si>
    <t>4000000003-06</t>
  </si>
  <si>
    <t>4000000004-02</t>
  </si>
  <si>
    <t>4000000005-00</t>
  </si>
  <si>
    <t>4000000006-00</t>
  </si>
  <si>
    <t>4000000007-00</t>
  </si>
  <si>
    <t>4000000008-00</t>
  </si>
  <si>
    <t>4000000010-00</t>
  </si>
  <si>
    <t>4000000011-00</t>
  </si>
  <si>
    <t>4000000012-00</t>
  </si>
  <si>
    <t>4000000013-03</t>
  </si>
  <si>
    <t>4000000015-00</t>
  </si>
  <si>
    <t>4000000016-02</t>
  </si>
  <si>
    <t>4000000017-00</t>
  </si>
  <si>
    <t>4000000018-00</t>
  </si>
  <si>
    <t>4000000019-00</t>
  </si>
  <si>
    <t>4000000021-00</t>
  </si>
  <si>
    <t>4000000022-02</t>
  </si>
  <si>
    <t>4000000023-00</t>
  </si>
  <si>
    <t>4000000024-02</t>
  </si>
  <si>
    <t>4000000026-00</t>
  </si>
  <si>
    <t>4000000027-00</t>
  </si>
  <si>
    <t>4000000028-00</t>
  </si>
  <si>
    <t>4000000029-02</t>
  </si>
  <si>
    <t>4000000030-00</t>
  </si>
  <si>
    <t>4000000032-00</t>
  </si>
  <si>
    <t>4000000033-02</t>
  </si>
  <si>
    <t>4000000034-00</t>
  </si>
  <si>
    <t>4000000035-00</t>
  </si>
  <si>
    <t>4000000036-01</t>
  </si>
  <si>
    <t>4000000037-00</t>
  </si>
  <si>
    <t>4000000038-00</t>
  </si>
  <si>
    <t>4000000039-00</t>
  </si>
  <si>
    <t>4000000040-00</t>
  </si>
  <si>
    <t>4000000042-00</t>
  </si>
  <si>
    <t>4000000043-00</t>
  </si>
  <si>
    <t>4000000044-00</t>
  </si>
  <si>
    <t>4000000045-00</t>
  </si>
  <si>
    <t>4000000046-00</t>
  </si>
  <si>
    <t>4000000047-02</t>
  </si>
  <si>
    <t>4000000048-04</t>
  </si>
  <si>
    <t>4000000050-02</t>
  </si>
  <si>
    <t>4000000051-04</t>
  </si>
  <si>
    <t>4000000052-00</t>
  </si>
  <si>
    <t>4000000053-00</t>
  </si>
  <si>
    <t>4000000054-00</t>
  </si>
  <si>
    <t>4050000000-01</t>
  </si>
  <si>
    <t>4050000001-01</t>
  </si>
  <si>
    <t>4050000050-01</t>
  </si>
  <si>
    <t>4050000051-01</t>
  </si>
  <si>
    <t>4050000052-01</t>
  </si>
  <si>
    <t>4050000053-01</t>
  </si>
  <si>
    <t>4050000054-01</t>
  </si>
  <si>
    <t>4050000055-05</t>
  </si>
  <si>
    <t>4050000056-01</t>
  </si>
  <si>
    <t>4050000057-01</t>
  </si>
  <si>
    <t>4050000058-03</t>
  </si>
  <si>
    <t>4050000059-03</t>
  </si>
  <si>
    <t>4050000060-01</t>
  </si>
  <si>
    <t>4050000061-00</t>
  </si>
  <si>
    <t>4050000075-01</t>
  </si>
  <si>
    <t>4050000100-01</t>
  </si>
  <si>
    <t>4050000101-01</t>
  </si>
  <si>
    <t>4050000102-01</t>
  </si>
  <si>
    <t>4050000103-01</t>
  </si>
  <si>
    <t>4050000104-01</t>
  </si>
  <si>
    <t>4050000105-01</t>
  </si>
  <si>
    <t>4050000106-01</t>
  </si>
  <si>
    <t>4050000107-01</t>
  </si>
  <si>
    <t>4050000149-01</t>
  </si>
  <si>
    <t>4050000150-01</t>
  </si>
  <si>
    <t>4050000151-01</t>
  </si>
  <si>
    <t>4050000152-00</t>
  </si>
  <si>
    <t>4050000200-01</t>
  </si>
  <si>
    <t>4050000201-01</t>
  </si>
  <si>
    <t>4050000202-01</t>
  </si>
  <si>
    <t>4050000203-01</t>
  </si>
  <si>
    <t>4050000204-01</t>
  </si>
  <si>
    <t>4050000205-01</t>
  </si>
  <si>
    <t>4050000206-06</t>
  </si>
  <si>
    <t>4050000207-01</t>
  </si>
  <si>
    <t>4050000208-01</t>
  </si>
  <si>
    <t>4050000209-01</t>
  </si>
  <si>
    <t>4050000210-04</t>
  </si>
  <si>
    <t>4050000250-00</t>
  </si>
  <si>
    <t>4050000251-01</t>
  </si>
  <si>
    <t>4050000252-01</t>
  </si>
  <si>
    <t>4050000253-01</t>
  </si>
  <si>
    <t>4050000300-01</t>
  </si>
  <si>
    <t>4050000301-00</t>
  </si>
  <si>
    <t>4050000350-01</t>
  </si>
  <si>
    <t>4050000400-01</t>
  </si>
  <si>
    <t>4050000401-00</t>
  </si>
  <si>
    <t>4050000450-01</t>
  </si>
  <si>
    <t>4050000452-01</t>
  </si>
  <si>
    <t>4050000460-01</t>
  </si>
  <si>
    <t>4050000500-00</t>
  </si>
  <si>
    <t>4050000600-01</t>
  </si>
  <si>
    <t>4050000601-01</t>
  </si>
  <si>
    <t>4050000602-01</t>
  </si>
  <si>
    <t>4050000603-01</t>
  </si>
  <si>
    <t>4050000606-02</t>
  </si>
  <si>
    <t>4050000611-00</t>
  </si>
  <si>
    <t>4050000612-00</t>
  </si>
  <si>
    <t>4050000613-00</t>
  </si>
  <si>
    <t>4050000614-00</t>
  </si>
  <si>
    <t>4050000614-01</t>
  </si>
  <si>
    <t>4050000615-00</t>
  </si>
  <si>
    <t>4050000616-01</t>
  </si>
  <si>
    <t>4050000617-01</t>
  </si>
  <si>
    <t>4050000618-01</t>
  </si>
  <si>
    <t>4050000619-00</t>
  </si>
  <si>
    <t>4050000619-01</t>
  </si>
  <si>
    <t>4050000620-00</t>
  </si>
  <si>
    <t>4050000621-00</t>
  </si>
  <si>
    <t>4050000622-01</t>
  </si>
  <si>
    <t>4050000626-00</t>
  </si>
  <si>
    <t>4050000627-00</t>
  </si>
  <si>
    <t>4050000628-00</t>
  </si>
  <si>
    <t>4050000650-01</t>
  </si>
  <si>
    <t>5000010100-00</t>
  </si>
  <si>
    <t>5000010110-00</t>
  </si>
  <si>
    <t>5000011100-04</t>
  </si>
  <si>
    <t>5000050010-02</t>
  </si>
  <si>
    <t>特殊</t>
  </si>
  <si>
    <t>委託船舶給水用</t>
  </si>
  <si>
    <t>6100010000-00</t>
  </si>
  <si>
    <t>6100010100-00</t>
  </si>
  <si>
    <t>6100010200-00</t>
  </si>
  <si>
    <t>6100020000-00</t>
  </si>
  <si>
    <t>6100030000-00</t>
  </si>
  <si>
    <t>6100040000-00</t>
  </si>
  <si>
    <t>6100050000-00</t>
  </si>
  <si>
    <t>6100060000-00</t>
  </si>
  <si>
    <t>6100080000-02</t>
  </si>
  <si>
    <t>6100080100-00</t>
  </si>
  <si>
    <t>6100080200-00</t>
  </si>
  <si>
    <t>6100090000-00</t>
  </si>
  <si>
    <t>6100090100-01</t>
  </si>
  <si>
    <t>6100100000-00</t>
  </si>
  <si>
    <t>6100100001-01</t>
  </si>
  <si>
    <t>6100110000-03</t>
  </si>
  <si>
    <t>6100120000-00</t>
  </si>
  <si>
    <t>6100130000-00</t>
  </si>
  <si>
    <t>6100140000-01</t>
  </si>
  <si>
    <t>6100150000-00</t>
  </si>
  <si>
    <t>6100160000-00</t>
  </si>
  <si>
    <t>6100170000-00</t>
  </si>
  <si>
    <t>6100180000-00</t>
  </si>
  <si>
    <t>6100200000-02</t>
  </si>
  <si>
    <t>6100210000-00</t>
  </si>
  <si>
    <t>6100220000-02</t>
  </si>
  <si>
    <t>6100230000-00</t>
  </si>
  <si>
    <t>6100240000-00</t>
  </si>
  <si>
    <t>6100250000-00</t>
  </si>
  <si>
    <t>6200010000-00</t>
  </si>
  <si>
    <t>6200010100-01</t>
  </si>
  <si>
    <t>6200020000-01</t>
  </si>
  <si>
    <t>6200030000-00</t>
  </si>
  <si>
    <t>6200040000-00</t>
  </si>
  <si>
    <t>6200060000-00</t>
  </si>
  <si>
    <t>6200090000-00</t>
  </si>
  <si>
    <t>6200100000-01</t>
  </si>
  <si>
    <t>6200110000-00</t>
  </si>
  <si>
    <t>6200120000-00</t>
  </si>
  <si>
    <t>6200130000-00</t>
  </si>
  <si>
    <t>6200140000-00</t>
  </si>
  <si>
    <t>6200170000-02</t>
  </si>
  <si>
    <t>6200180000-02</t>
  </si>
  <si>
    <t>6200190000-00</t>
  </si>
  <si>
    <t>6200200000-00</t>
  </si>
  <si>
    <t>6200210000-00</t>
  </si>
  <si>
    <t>6200220000-00</t>
  </si>
  <si>
    <t>6300010000-00</t>
  </si>
  <si>
    <t>針浜</t>
  </si>
  <si>
    <t>6300020000-03</t>
  </si>
  <si>
    <t>6300030000-00</t>
  </si>
  <si>
    <t>6300040000-00</t>
  </si>
  <si>
    <t>6300050000-00</t>
  </si>
  <si>
    <t>6300060000-00</t>
  </si>
  <si>
    <t>6300070000-00</t>
  </si>
  <si>
    <t>6300070100-00</t>
  </si>
  <si>
    <t>6300080000-00</t>
  </si>
  <si>
    <t>6300090100-00</t>
  </si>
  <si>
    <t>6300100000-00</t>
  </si>
  <si>
    <t>6300100100-01</t>
  </si>
  <si>
    <t>6300100200-00</t>
  </si>
  <si>
    <t>6300110000-01</t>
  </si>
  <si>
    <t>6300110100-00</t>
  </si>
  <si>
    <t>6300120000-00</t>
  </si>
  <si>
    <t>6300150100-01</t>
  </si>
  <si>
    <t>6300170000-02</t>
  </si>
  <si>
    <t>6300190000-00</t>
  </si>
  <si>
    <t>6300200000-00</t>
  </si>
  <si>
    <t>6300210000-00</t>
  </si>
  <si>
    <t>6300230000-00</t>
  </si>
  <si>
    <t>6300240000-00</t>
  </si>
  <si>
    <t>6300250000-00</t>
  </si>
  <si>
    <t>6300260000-00</t>
  </si>
  <si>
    <t>6300270000-00</t>
  </si>
  <si>
    <t>6300280000-00</t>
  </si>
  <si>
    <t>6300290000-00</t>
  </si>
  <si>
    <t>6300300000-00</t>
  </si>
  <si>
    <t>6300320000-00</t>
  </si>
  <si>
    <t>6300330000-00</t>
  </si>
  <si>
    <t>6300340000-00</t>
  </si>
  <si>
    <t>6300340100-00</t>
  </si>
  <si>
    <t>6300340200-01</t>
  </si>
  <si>
    <t>6300340300-00</t>
  </si>
  <si>
    <t>6300340310-01</t>
  </si>
  <si>
    <t>6300340400-01</t>
  </si>
  <si>
    <t>6300350000-00</t>
  </si>
  <si>
    <t>6300360000-00</t>
  </si>
  <si>
    <t>6300370100-01</t>
  </si>
  <si>
    <t>6300370200-00</t>
  </si>
  <si>
    <t>6300380000-01</t>
  </si>
  <si>
    <t>6300390000-00</t>
  </si>
  <si>
    <t>6300400000-00</t>
  </si>
  <si>
    <t>6300410000-00</t>
  </si>
  <si>
    <t>6300450100-00</t>
  </si>
  <si>
    <t>6300460000-01</t>
  </si>
  <si>
    <t>6400100000-01</t>
  </si>
  <si>
    <t>高白</t>
  </si>
  <si>
    <t>6450000100-01</t>
  </si>
  <si>
    <t>6450000101-01</t>
  </si>
  <si>
    <t>6450000102-01</t>
  </si>
  <si>
    <t>6450000103-01</t>
  </si>
  <si>
    <t>6450000104-01</t>
  </si>
  <si>
    <t>6450000105-01</t>
  </si>
  <si>
    <t>6450000106-01</t>
  </si>
  <si>
    <t>6450000107-01</t>
  </si>
  <si>
    <t>6450000108-01</t>
  </si>
  <si>
    <t>6450000109-01</t>
  </si>
  <si>
    <t>6450000111-01</t>
  </si>
  <si>
    <t>6450000113-00</t>
  </si>
  <si>
    <t>6450000114-01</t>
  </si>
  <si>
    <t>6450000115-03</t>
  </si>
  <si>
    <t>6450000300-00</t>
  </si>
  <si>
    <t>6500010010-00</t>
  </si>
  <si>
    <t>横浦</t>
  </si>
  <si>
    <t>6500010400-03</t>
  </si>
  <si>
    <t>6550000050-01</t>
  </si>
  <si>
    <t>6550000051-01</t>
  </si>
  <si>
    <t>6550000100-01</t>
  </si>
  <si>
    <t>6550000101-01</t>
  </si>
  <si>
    <t>6550000102-01</t>
  </si>
  <si>
    <t>6550000103-01</t>
  </si>
  <si>
    <t>6550000104-01</t>
  </si>
  <si>
    <t>6550000105-01</t>
  </si>
  <si>
    <t>6550000106-01</t>
  </si>
  <si>
    <t>6550000107-01</t>
  </si>
  <si>
    <t>6550000108-01</t>
  </si>
  <si>
    <t>6550000109-01</t>
  </si>
  <si>
    <t>6550000200-01</t>
  </si>
  <si>
    <t>6550000201-01</t>
  </si>
  <si>
    <t>6550000202-01</t>
  </si>
  <si>
    <t>6550000203-01</t>
  </si>
  <si>
    <t>6550000205-01</t>
  </si>
  <si>
    <t>6550000206-00</t>
  </si>
  <si>
    <t>6550000207-01</t>
  </si>
  <si>
    <t>6550000300-00</t>
  </si>
  <si>
    <t>6600080000-00</t>
  </si>
  <si>
    <t>大石原</t>
  </si>
  <si>
    <t>6600100000-02</t>
  </si>
  <si>
    <t>6600150000-00</t>
  </si>
  <si>
    <t>6600180000-01</t>
  </si>
  <si>
    <t>6600200000-00</t>
  </si>
  <si>
    <t>6600210000-00</t>
  </si>
  <si>
    <t>6650000019-00</t>
  </si>
  <si>
    <t>6650000021-00</t>
  </si>
  <si>
    <t>6650000100-01</t>
  </si>
  <si>
    <t>6650000200-01</t>
  </si>
  <si>
    <t>6650000300-00</t>
  </si>
  <si>
    <t>6650000400-02</t>
  </si>
  <si>
    <t>6700010000-00</t>
  </si>
  <si>
    <t>野々浜</t>
  </si>
  <si>
    <t>6700020000-00</t>
  </si>
  <si>
    <t>6700130400-00</t>
  </si>
  <si>
    <t>6700200100-00</t>
  </si>
  <si>
    <t>6700260101-01</t>
  </si>
  <si>
    <t>6700260104-03</t>
  </si>
  <si>
    <t>6700260105-01</t>
  </si>
  <si>
    <t>6700260106-00</t>
  </si>
  <si>
    <t>6700260107-00</t>
  </si>
  <si>
    <t>6700260108-01</t>
  </si>
  <si>
    <t>6700260300-01</t>
  </si>
  <si>
    <t>6700330000-01</t>
  </si>
  <si>
    <t>6800030100-03</t>
  </si>
  <si>
    <t>飯子浜</t>
  </si>
  <si>
    <t>6800030200-00</t>
  </si>
  <si>
    <t>6800050000-01</t>
  </si>
  <si>
    <t>6800080103-00</t>
  </si>
  <si>
    <t>6800090001-00</t>
  </si>
  <si>
    <t>6800220100-01</t>
  </si>
  <si>
    <t>6850000100-01</t>
  </si>
  <si>
    <t>6850000101-01</t>
  </si>
  <si>
    <t>6850000102-01</t>
  </si>
  <si>
    <t>6850000104-01</t>
  </si>
  <si>
    <t>6850000105-01</t>
  </si>
  <si>
    <t>6850000106-01</t>
  </si>
  <si>
    <t>6850000107-01</t>
  </si>
  <si>
    <t>6850000108-01</t>
  </si>
  <si>
    <t>6850000109-01</t>
  </si>
  <si>
    <t>6850000110-01</t>
  </si>
  <si>
    <t>6850000111-01</t>
  </si>
  <si>
    <t>6850000112-01</t>
  </si>
  <si>
    <t>6850000113-01</t>
  </si>
  <si>
    <t>6850000114-00</t>
  </si>
  <si>
    <t>6850000115-01</t>
  </si>
  <si>
    <t>6850000116-00</t>
  </si>
  <si>
    <t>6850000150-01</t>
  </si>
  <si>
    <t>6900000001-01</t>
  </si>
  <si>
    <t>塚浜</t>
  </si>
  <si>
    <t>6900000002-01</t>
  </si>
  <si>
    <t>6900010000-02</t>
  </si>
  <si>
    <t>6900020100-02</t>
  </si>
  <si>
    <t>6900550100-02</t>
  </si>
  <si>
    <t>6950000100-01</t>
  </si>
  <si>
    <t>6950000101-01</t>
  </si>
  <si>
    <t>6950000103-01</t>
  </si>
  <si>
    <t>6950000104-00</t>
  </si>
  <si>
    <t>6950000105-01</t>
  </si>
  <si>
    <t>6950000106-01</t>
  </si>
  <si>
    <t>6950000107-01</t>
  </si>
  <si>
    <t>6950000108-01</t>
  </si>
  <si>
    <t>6950000109-01</t>
  </si>
  <si>
    <t>6950000110-01</t>
  </si>
  <si>
    <t>6950000111-01</t>
  </si>
  <si>
    <t>7000020000-01</t>
  </si>
  <si>
    <t>小屋取</t>
  </si>
  <si>
    <t>7000020100-00</t>
  </si>
  <si>
    <t>7000030000-00</t>
  </si>
  <si>
    <t>7000090000-00</t>
  </si>
  <si>
    <t>7000100000-00</t>
  </si>
  <si>
    <t>7000120000-00</t>
  </si>
  <si>
    <t>7000130000-00</t>
  </si>
  <si>
    <t>7000140000-00</t>
  </si>
  <si>
    <t>7000170000-00</t>
  </si>
  <si>
    <t>7000171000-00</t>
  </si>
  <si>
    <t>7000180000-00</t>
  </si>
  <si>
    <t>7000220000-00</t>
  </si>
  <si>
    <t>7000230000-00</t>
  </si>
  <si>
    <t>7000240000-00</t>
  </si>
  <si>
    <t>7000260200-01</t>
  </si>
  <si>
    <t>7050000051-01</t>
  </si>
  <si>
    <t>7050000052-00</t>
  </si>
  <si>
    <t>7050000053-01</t>
  </si>
  <si>
    <t>7050000054-01</t>
  </si>
  <si>
    <t>7050000055-01</t>
  </si>
  <si>
    <t>7050000056-01</t>
  </si>
  <si>
    <t>7050000100-01</t>
  </si>
  <si>
    <t>7100110200-01</t>
  </si>
  <si>
    <t>桐ケ崎</t>
  </si>
  <si>
    <t>7100130100-00</t>
  </si>
  <si>
    <t>7100180100-00</t>
  </si>
  <si>
    <t>7100180200-00</t>
  </si>
  <si>
    <t>7100180300-00</t>
  </si>
  <si>
    <t>7100180400-00</t>
  </si>
  <si>
    <t>7150000031-01</t>
  </si>
  <si>
    <t>7150000032-00</t>
  </si>
  <si>
    <t>7150000033-01</t>
  </si>
  <si>
    <t>7150000034-01</t>
  </si>
  <si>
    <t>7150000035-01</t>
  </si>
  <si>
    <t>7150000036-01</t>
  </si>
  <si>
    <t>7150000037-03</t>
  </si>
  <si>
    <t>7150000038-01</t>
  </si>
  <si>
    <t>7150000039-01</t>
  </si>
  <si>
    <t>7150000040-01</t>
  </si>
  <si>
    <t>7150000041-01</t>
  </si>
  <si>
    <t>7150000042-01</t>
  </si>
  <si>
    <t>7150000043-01</t>
  </si>
  <si>
    <t>7150000044-01</t>
  </si>
  <si>
    <t>7150000045-01</t>
  </si>
  <si>
    <t>7150000047-03</t>
  </si>
  <si>
    <t>7150000048-01</t>
  </si>
  <si>
    <t>7150000049-00</t>
  </si>
  <si>
    <t>7150000050-00</t>
  </si>
  <si>
    <t>7150000100-00</t>
  </si>
  <si>
    <t>7150000101-01</t>
  </si>
  <si>
    <t>7150000102-00</t>
  </si>
  <si>
    <t>7200410000-01</t>
  </si>
  <si>
    <t>竹浦</t>
  </si>
  <si>
    <t>7200420000-02</t>
  </si>
  <si>
    <t>7200430000-01</t>
  </si>
  <si>
    <t>7200700200-01</t>
  </si>
  <si>
    <t>7200730000-00</t>
  </si>
  <si>
    <t>7200740000-00</t>
  </si>
  <si>
    <t>7200760000-01</t>
  </si>
  <si>
    <t>7200800100-04</t>
  </si>
  <si>
    <t>7200810000-00</t>
  </si>
  <si>
    <t>7220000000-01</t>
  </si>
  <si>
    <t>7220000001-01</t>
  </si>
  <si>
    <t>7220000002-01</t>
  </si>
  <si>
    <t>7220000003-01</t>
  </si>
  <si>
    <t>7220000004-01</t>
  </si>
  <si>
    <t>7220000005-01</t>
  </si>
  <si>
    <t>7220000006-01</t>
  </si>
  <si>
    <t>7220000008-01</t>
  </si>
  <si>
    <t>7220000009-01</t>
  </si>
  <si>
    <t>7220000010-00</t>
  </si>
  <si>
    <t>7220000050-01</t>
  </si>
  <si>
    <t>7220000051-01</t>
  </si>
  <si>
    <t>7220000053-01</t>
  </si>
  <si>
    <t>7220000054-04</t>
  </si>
  <si>
    <t>7220000055-01</t>
  </si>
  <si>
    <t>7220000056-01</t>
  </si>
  <si>
    <t>7220000057-01</t>
  </si>
  <si>
    <t>7220000058-04</t>
  </si>
  <si>
    <t>7220000059-01</t>
  </si>
  <si>
    <t>7220000101-01</t>
  </si>
  <si>
    <t>7220000102-01</t>
  </si>
  <si>
    <t>7220000103-01</t>
  </si>
  <si>
    <t>7220000104-01</t>
  </si>
  <si>
    <t>7220000105-01</t>
  </si>
  <si>
    <t>7220000106-01</t>
  </si>
  <si>
    <t>7220000107-01</t>
  </si>
  <si>
    <t>7220000108-01</t>
  </si>
  <si>
    <t>7220000109-01</t>
  </si>
  <si>
    <t>7220000110-01</t>
  </si>
  <si>
    <t>7220000111-01</t>
  </si>
  <si>
    <t>7220000112-01</t>
  </si>
  <si>
    <t>7220000113-01</t>
  </si>
  <si>
    <t>7220000114-01</t>
  </si>
  <si>
    <t>7220000115-00</t>
  </si>
  <si>
    <t>7220000116-00</t>
  </si>
  <si>
    <t>7250000009-00</t>
  </si>
  <si>
    <t>7250000010-00</t>
  </si>
  <si>
    <t>7250000013-00</t>
  </si>
  <si>
    <t>7300000321-00</t>
  </si>
  <si>
    <t>尾浦</t>
  </si>
  <si>
    <t>7300050000-00</t>
  </si>
  <si>
    <t>7300070000-00</t>
  </si>
  <si>
    <t>7300110300-01</t>
  </si>
  <si>
    <t>7300290000-01</t>
  </si>
  <si>
    <t>7300300000-01</t>
  </si>
  <si>
    <t>7300380100-00</t>
  </si>
  <si>
    <t>7300420100-01</t>
  </si>
  <si>
    <t>7300580000-00</t>
  </si>
  <si>
    <t>7300580100-00</t>
  </si>
  <si>
    <t>7300690100-00</t>
  </si>
  <si>
    <t>7300690200-00</t>
  </si>
  <si>
    <t>7301020000-01</t>
  </si>
  <si>
    <t>7301080100-00</t>
  </si>
  <si>
    <t>7301080200-00</t>
  </si>
  <si>
    <t>7301080201-00</t>
  </si>
  <si>
    <t>7301080202-00</t>
  </si>
  <si>
    <t>7301080203-00</t>
  </si>
  <si>
    <t>7301080204-00</t>
  </si>
  <si>
    <t>7301080205-00</t>
  </si>
  <si>
    <t>7301100000-01</t>
  </si>
  <si>
    <t>7301120000-00</t>
  </si>
  <si>
    <t>7330000000-01</t>
  </si>
  <si>
    <t>7330000001-01</t>
  </si>
  <si>
    <t>7330000002-01</t>
  </si>
  <si>
    <t>7330000003-01</t>
  </si>
  <si>
    <t>7330000004-01</t>
  </si>
  <si>
    <t>7330000005-01</t>
  </si>
  <si>
    <t>7330000006-01</t>
  </si>
  <si>
    <t>7330000007-01</t>
  </si>
  <si>
    <t>7330000008-00</t>
  </si>
  <si>
    <t>7330000020-01</t>
  </si>
  <si>
    <t>7330000021-01</t>
  </si>
  <si>
    <t>7330000022-01</t>
  </si>
  <si>
    <t>7330000023-01</t>
  </si>
  <si>
    <t>7330000024-01</t>
  </si>
  <si>
    <t>7330000025-01</t>
  </si>
  <si>
    <t>7330000026-01</t>
  </si>
  <si>
    <t>7330000027-01</t>
  </si>
  <si>
    <t>7330000029-01</t>
  </si>
  <si>
    <t>7330000030-01</t>
  </si>
  <si>
    <t>7330000031-00</t>
  </si>
  <si>
    <t>7330000100-01</t>
  </si>
  <si>
    <t>7330000102-01</t>
  </si>
  <si>
    <t>7330000103-01</t>
  </si>
  <si>
    <t>7330000104-01</t>
  </si>
  <si>
    <t>7330000105-01</t>
  </si>
  <si>
    <t>7330000106-04</t>
  </si>
  <si>
    <t>7330000108-01</t>
  </si>
  <si>
    <t>7330000109-01</t>
  </si>
  <si>
    <t>7330000110-01</t>
  </si>
  <si>
    <t>7330000111-01</t>
  </si>
  <si>
    <t>7330000112-01</t>
  </si>
  <si>
    <t>7330000113-01</t>
  </si>
  <si>
    <t>7330000114-01</t>
  </si>
  <si>
    <t>7330000116-01</t>
  </si>
  <si>
    <t>7330000120-01</t>
  </si>
  <si>
    <t>7330000121-01</t>
  </si>
  <si>
    <t>7330000122-01</t>
  </si>
  <si>
    <t>7330000123-01</t>
  </si>
  <si>
    <t>7330000124-01</t>
  </si>
  <si>
    <t>7330000125-01</t>
  </si>
  <si>
    <t>7330000203-00</t>
  </si>
  <si>
    <t>7330000204-00</t>
  </si>
  <si>
    <t>7330000205-00</t>
  </si>
  <si>
    <t>7330000206-00</t>
  </si>
  <si>
    <t>7330000207-00</t>
  </si>
  <si>
    <t>7330000208-00</t>
  </si>
  <si>
    <t>7330000209-00</t>
  </si>
  <si>
    <t>7330000210-00</t>
  </si>
  <si>
    <t>7330000300-00</t>
  </si>
  <si>
    <t>7330000301-00</t>
  </si>
  <si>
    <t>7330000303-00</t>
  </si>
  <si>
    <t>7330000308-00</t>
  </si>
  <si>
    <t>7330000321-00</t>
  </si>
  <si>
    <t>7330000325-00</t>
  </si>
  <si>
    <t>7330000326-00</t>
  </si>
  <si>
    <t>7330000327-00</t>
  </si>
  <si>
    <t>7330000328-00</t>
  </si>
  <si>
    <t>7330000329-00</t>
  </si>
  <si>
    <t>7400720100-00</t>
  </si>
  <si>
    <t>御前浜</t>
  </si>
  <si>
    <t>7400770000-03</t>
  </si>
  <si>
    <t>7450000001-01</t>
  </si>
  <si>
    <t>7450000002-01</t>
  </si>
  <si>
    <t>7450000003-00</t>
  </si>
  <si>
    <t>7450000004-01</t>
  </si>
  <si>
    <t>7450000101-01</t>
  </si>
  <si>
    <t>7450000102-01</t>
  </si>
  <si>
    <t>7450000104-01</t>
  </si>
  <si>
    <t>7450000107-01</t>
  </si>
  <si>
    <t>7450000108-01</t>
  </si>
  <si>
    <t>7450000109-01</t>
  </si>
  <si>
    <t>7450000110-01</t>
  </si>
  <si>
    <t>7450000111-01</t>
  </si>
  <si>
    <t>7450000112-00</t>
  </si>
  <si>
    <t>7450000113-00</t>
  </si>
  <si>
    <t>7500040000-02</t>
  </si>
  <si>
    <t>指ケ浜</t>
  </si>
  <si>
    <t>7500180100-01</t>
  </si>
  <si>
    <t>7500230000-00</t>
  </si>
  <si>
    <t>7500340000-01</t>
  </si>
  <si>
    <t>7500370000-00</t>
  </si>
  <si>
    <t>7500410000-01</t>
  </si>
  <si>
    <t>7500410100-01</t>
  </si>
  <si>
    <t>7500430000-00</t>
  </si>
  <si>
    <t>7500450000-00</t>
  </si>
  <si>
    <t>7500500000-00</t>
  </si>
  <si>
    <t>7550000040-01</t>
  </si>
  <si>
    <t>7550000041-01</t>
  </si>
  <si>
    <t>7550000042-01</t>
  </si>
  <si>
    <t>7550000043-01</t>
  </si>
  <si>
    <t>7550000044-01</t>
  </si>
  <si>
    <t>7550000045-01</t>
  </si>
  <si>
    <t>7550000046-01</t>
  </si>
  <si>
    <t>7550000047-01</t>
  </si>
  <si>
    <t>7550000048-01</t>
  </si>
  <si>
    <t>7550000049-01</t>
  </si>
  <si>
    <t>7550000050-01</t>
  </si>
  <si>
    <t>7550000051-01</t>
  </si>
  <si>
    <t>7550000052-01</t>
  </si>
  <si>
    <t>7550000053-01</t>
  </si>
  <si>
    <t>7550000054-01</t>
  </si>
  <si>
    <t>7550000055-01</t>
  </si>
  <si>
    <t>7550000056-02</t>
  </si>
  <si>
    <t>7550000057-01</t>
  </si>
  <si>
    <t>7550000060-00</t>
  </si>
  <si>
    <t>7550000100-00</t>
  </si>
  <si>
    <t>7600220100-01</t>
  </si>
  <si>
    <t>出島</t>
  </si>
  <si>
    <t>7600220101-01</t>
  </si>
  <si>
    <t>7600750000-01</t>
  </si>
  <si>
    <t>7600800000-00</t>
  </si>
  <si>
    <t>7600960000-01</t>
  </si>
  <si>
    <t>7601000000-01</t>
  </si>
  <si>
    <t>7601370000-01</t>
  </si>
  <si>
    <t>7601390000-01</t>
  </si>
  <si>
    <t>7601480200-00</t>
  </si>
  <si>
    <t>7601550979-00</t>
  </si>
  <si>
    <t>7601550980-00</t>
  </si>
  <si>
    <t>7601550981-01</t>
  </si>
  <si>
    <t>7601550982-02</t>
  </si>
  <si>
    <t>7601550983-01</t>
  </si>
  <si>
    <t>7601550984-00</t>
  </si>
  <si>
    <t>7601550985-03</t>
  </si>
  <si>
    <t>7601550986-00</t>
  </si>
  <si>
    <t>7601550987-01</t>
  </si>
  <si>
    <t>7601550988-04</t>
  </si>
  <si>
    <t>7601550989-01</t>
  </si>
  <si>
    <t>7601550990-01</t>
  </si>
  <si>
    <t>7601550991-01</t>
  </si>
  <si>
    <t>7601550992-01</t>
  </si>
  <si>
    <t>7601550993-01</t>
  </si>
  <si>
    <t>7601550994-03</t>
  </si>
  <si>
    <t>7601550995-03</t>
  </si>
  <si>
    <t>7601550996-00</t>
  </si>
  <si>
    <t>7601550997-00</t>
  </si>
  <si>
    <t>7601550998-01</t>
  </si>
  <si>
    <t>7601550999-00</t>
  </si>
  <si>
    <t>7601551000-01</t>
  </si>
  <si>
    <t>7601551001-00</t>
  </si>
  <si>
    <t>7601551002-00</t>
  </si>
  <si>
    <t>7601551004-01</t>
  </si>
  <si>
    <t>7601551006-01</t>
  </si>
  <si>
    <t>7601551400-00</t>
  </si>
  <si>
    <t>7601560000-22</t>
  </si>
  <si>
    <t>7650000000-00</t>
  </si>
  <si>
    <t>7650000001-01</t>
  </si>
  <si>
    <t>7650000002-00</t>
  </si>
  <si>
    <t>7650000010-00</t>
  </si>
  <si>
    <t>7650000011-00</t>
  </si>
  <si>
    <t>7650000012-00</t>
  </si>
  <si>
    <t>7700070000-00</t>
  </si>
  <si>
    <t>寺間</t>
  </si>
  <si>
    <t>7700080000-02</t>
  </si>
  <si>
    <t>7700100000-01</t>
  </si>
  <si>
    <t>7700120000-00</t>
  </si>
  <si>
    <t>7700130000-00</t>
  </si>
  <si>
    <t>7700160000-00</t>
  </si>
  <si>
    <t>7700170000-00</t>
  </si>
  <si>
    <t>7700190000-00</t>
  </si>
  <si>
    <t>7700230000-00</t>
  </si>
  <si>
    <t>7700260000-00</t>
  </si>
  <si>
    <t>7700290000-01</t>
  </si>
  <si>
    <t>7700300100-00</t>
  </si>
  <si>
    <t>7700310000-02</t>
  </si>
  <si>
    <t>7700310100-04</t>
  </si>
  <si>
    <t>7700310200-00</t>
  </si>
  <si>
    <t>7700330000-00</t>
  </si>
  <si>
    <t>7700350000-03</t>
  </si>
  <si>
    <t>7700380000-01</t>
  </si>
  <si>
    <t>7700400000-00</t>
  </si>
  <si>
    <t>7700400100-00</t>
  </si>
  <si>
    <t>7700800000-00</t>
  </si>
  <si>
    <t>7701190100-01</t>
  </si>
  <si>
    <t>7701210000-17</t>
  </si>
  <si>
    <t>7701210100-14</t>
  </si>
  <si>
    <t>7701230000-01</t>
  </si>
  <si>
    <t>7750000101-00</t>
  </si>
  <si>
    <t>7750000102-00</t>
  </si>
  <si>
    <t>7750000103-01</t>
  </si>
  <si>
    <t>7750000104-00</t>
  </si>
  <si>
    <t>7750000105-00</t>
  </si>
  <si>
    <t>7750000106-00</t>
  </si>
  <si>
    <t>7750000107-00</t>
  </si>
  <si>
    <t>7750000108-01</t>
  </si>
  <si>
    <t>7750000109-01</t>
  </si>
  <si>
    <t>7750000110-01</t>
  </si>
  <si>
    <t>7750000111-01</t>
  </si>
  <si>
    <t>7800010000-02</t>
  </si>
  <si>
    <t>江島</t>
  </si>
  <si>
    <t>7800020000-02</t>
  </si>
  <si>
    <t>7800130000-01</t>
  </si>
  <si>
    <t>7800200000-00</t>
  </si>
  <si>
    <t>7800220000-00</t>
  </si>
  <si>
    <t>7800230000-00</t>
  </si>
  <si>
    <t>7800230100-00</t>
  </si>
  <si>
    <t>7800370000-00</t>
  </si>
  <si>
    <t>7800470000-00</t>
  </si>
  <si>
    <t>7800480000-01</t>
  </si>
  <si>
    <t>7800590000-00</t>
  </si>
  <si>
    <t>7800620000-02</t>
  </si>
  <si>
    <t>7800670000-00</t>
  </si>
  <si>
    <t>7800770000-00</t>
  </si>
  <si>
    <t>7800850000-00</t>
  </si>
  <si>
    <t>7800870000-00</t>
  </si>
  <si>
    <t>7800880000-00</t>
  </si>
  <si>
    <t>7800990000-00</t>
  </si>
  <si>
    <t>7801100000-00</t>
  </si>
  <si>
    <t>7801130000-00</t>
  </si>
  <si>
    <t>7801230000-00</t>
  </si>
  <si>
    <t>7801240000-00</t>
  </si>
  <si>
    <t>7801260000-00</t>
  </si>
  <si>
    <t>7802000008-01</t>
  </si>
  <si>
    <t>基本料金内</t>
    <rPh sb="0" eb="5">
      <t>キホンリョウキンナイ</t>
    </rPh>
    <phoneticPr fontId="20"/>
  </si>
  <si>
    <t>13mm</t>
    <phoneticPr fontId="20"/>
  </si>
  <si>
    <t>11~20</t>
    <phoneticPr fontId="20"/>
  </si>
  <si>
    <t>20mm</t>
    <phoneticPr fontId="20"/>
  </si>
  <si>
    <t>21~30</t>
    <phoneticPr fontId="20"/>
  </si>
  <si>
    <t>25mm</t>
    <phoneticPr fontId="20"/>
  </si>
  <si>
    <t>31~50</t>
    <phoneticPr fontId="20"/>
  </si>
  <si>
    <t>40mm</t>
    <phoneticPr fontId="20"/>
  </si>
  <si>
    <t>51~100</t>
    <phoneticPr fontId="20"/>
  </si>
  <si>
    <t>50mm</t>
    <phoneticPr fontId="20"/>
  </si>
  <si>
    <t>101~499</t>
    <phoneticPr fontId="20"/>
  </si>
  <si>
    <t>75mm</t>
    <phoneticPr fontId="20"/>
  </si>
  <si>
    <t>500~</t>
    <phoneticPr fontId="20"/>
  </si>
  <si>
    <t>100mm</t>
    <phoneticPr fontId="20"/>
  </si>
  <si>
    <t>比率</t>
    <rPh sb="0" eb="2">
      <t>ヒリツ</t>
    </rPh>
    <phoneticPr fontId="4"/>
  </si>
  <si>
    <t>比率整数化</t>
    <rPh sb="0" eb="2">
      <t>ヒリツ</t>
    </rPh>
    <rPh sb="2" eb="4">
      <t>セイスウ</t>
    </rPh>
    <rPh sb="4" eb="5">
      <t>カ</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</si>
</sst>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0;[Red]\-#,##0.0"/>
    <numFmt numFmtId="178" formatCode="#,##0,;[Red]\-#,##0,"/>
    <numFmt numFmtId="179" formatCode="\P0"/>
    <numFmt numFmtId="180" formatCode="0.0_ "/>
    <numFmt numFmtId="181" formatCode="#,##0.0;&quot;△ &quot;#,##0.0"/>
    <numFmt numFmtId="182" formatCode="#,##0_ "/>
  </numFmts>
  <fonts count="21">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0"/>
      <color theme="1"/>
      <name val="Meiryo UI"/>
      <family val="2"/>
      <charset val="128"/>
    </font>
    <font>
      <sz val="6"/>
      <name val="Meiryo UI"/>
      <family val="2"/>
      <charset val="128"/>
    </font>
    <font>
      <sz val="10"/>
      <color theme="0"/>
      <name val="Meiryo UI"/>
      <family val="3"/>
      <charset val="128"/>
    </font>
    <font>
      <sz val="10"/>
      <color theme="0"/>
      <name val="Meiryo UI"/>
      <family val="2"/>
      <charset val="128"/>
    </font>
    <font>
      <sz val="9"/>
      <color indexed="81"/>
      <name val="MS P ゴシック"/>
      <family val="3"/>
      <charset val="128"/>
    </font>
    <font>
      <b/>
      <sz val="9"/>
      <color indexed="81"/>
      <name val="MS P ゴシック"/>
      <family val="3"/>
      <charset val="128"/>
    </font>
    <font>
      <sz val="11"/>
      <name val="ＭＳ Ｐゴシック"/>
      <family val="3"/>
      <charset val="128"/>
    </font>
    <font>
      <sz val="18"/>
      <color theme="3"/>
      <name val="游ゴシック Light"/>
      <family val="2"/>
      <charset val="128"/>
      <scheme val="major"/>
    </font>
    <font>
      <b/>
      <sz val="12"/>
      <color theme="1"/>
      <name val="Meiryo UI"/>
      <family val="3"/>
      <charset val="128"/>
    </font>
    <font>
      <sz val="10"/>
      <color rgb="FFFF0000"/>
      <name val="Meiryo UI"/>
      <family val="2"/>
      <charset val="128"/>
    </font>
    <font>
      <sz val="9"/>
      <color theme="1"/>
      <name val="Meiryo UI"/>
      <family val="2"/>
      <charset val="128"/>
    </font>
    <font>
      <sz val="8"/>
      <color theme="1"/>
      <name val="Meiryo UI"/>
      <family val="3"/>
      <charset val="128"/>
    </font>
    <font>
      <sz val="16"/>
      <color theme="1"/>
      <name val="游ゴシック"/>
      <family val="2"/>
      <charset val="128"/>
      <scheme val="minor"/>
    </font>
    <font>
      <sz val="6"/>
      <name val="游ゴシック"/>
      <family val="2"/>
      <charset val="128"/>
      <scheme val="minor"/>
    </font>
    <font>
      <sz val="12"/>
      <color theme="1"/>
      <name val="游ゴシック"/>
      <family val="3"/>
      <charset val="128"/>
      <scheme val="minor"/>
    </font>
    <font>
      <sz val="12"/>
      <color theme="1"/>
      <name val="游ゴシック"/>
      <family val="2"/>
      <charset val="128"/>
      <scheme val="minor"/>
    </font>
    <font>
      <sz val="11"/>
      <color indexed="8"/>
      <name val="游ゴシック"/>
      <family val="2"/>
      <scheme val="minor"/>
    </font>
    <font>
      <sz val="6"/>
      <name val="游ゴシック"/>
      <family val="3"/>
      <charset val="128"/>
      <scheme val="minor"/>
    </font>
  </fonts>
  <fills count="17">
    <fill>
      <patternFill patternType="none"/>
    </fill>
    <fill>
      <patternFill patternType="gray125"/>
    </fill>
    <fill>
      <patternFill patternType="solid">
        <fgColor rgb="FF0033CC"/>
        <bgColor indexed="64"/>
      </patternFill>
    </fill>
    <fill>
      <patternFill patternType="solid">
        <fgColor rgb="FFFFFFCC"/>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7"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auto="1"/>
      </left>
      <right style="thin">
        <color auto="1"/>
      </right>
      <top style="medium">
        <color auto="1"/>
      </top>
      <bottom/>
      <diagonal/>
    </border>
  </borders>
  <cellStyleXfs count="8">
    <xf numFmtId="0" fontId="0" fillId="0" borderId="0">
      <alignment vertical="center"/>
    </xf>
    <xf numFmtId="38" fontId="3" fillId="0" borderId="0" applyFont="0" applyFill="0" applyBorder="0" applyAlignment="0" applyProtection="0">
      <alignment vertical="center"/>
    </xf>
    <xf numFmtId="9" fontId="3" fillId="0" borderId="0" applyFont="0" applyFill="0" applyBorder="0" applyAlignment="0" applyProtection="0">
      <alignment vertical="center"/>
    </xf>
    <xf numFmtId="0" fontId="9" fillId="0" borderId="0"/>
    <xf numFmtId="38" fontId="9" fillId="0" borderId="0" applyFont="0" applyFill="0" applyBorder="0" applyAlignment="0" applyProtection="0"/>
    <xf numFmtId="0" fontId="2" fillId="0" borderId="0">
      <alignment vertical="center"/>
    </xf>
    <xf numFmtId="38" fontId="2" fillId="0" borderId="0" applyFont="0" applyFill="0" applyBorder="0" applyAlignment="0" applyProtection="0">
      <alignment vertical="center"/>
    </xf>
    <xf numFmtId="0" fontId="19" fillId="0" borderId="0">
      <alignment vertical="center"/>
    </xf>
  </cellStyleXfs>
  <cellXfs count="346">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 xfId="0" applyBorder="1" applyAlignment="1">
      <alignment horizontal="center" vertical="center"/>
    </xf>
    <xf numFmtId="0" fontId="5" fillId="2" borderId="2"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5" xfId="0" applyFont="1" applyFill="1" applyBorder="1" applyAlignment="1">
      <alignment horizontal="left" vertical="center"/>
    </xf>
    <xf numFmtId="0" fontId="5" fillId="2" borderId="11" xfId="0" applyFont="1" applyFill="1" applyBorder="1" applyAlignment="1">
      <alignment horizontal="center" vertical="center"/>
    </xf>
    <xf numFmtId="0" fontId="5" fillId="2" borderId="1" xfId="0" applyFont="1" applyFill="1" applyBorder="1" applyAlignment="1">
      <alignment horizontal="left" vertical="center"/>
    </xf>
    <xf numFmtId="0" fontId="5" fillId="2" borderId="11" xfId="0" applyFont="1" applyFill="1" applyBorder="1" applyAlignment="1">
      <alignment horizontal="left" vertical="center"/>
    </xf>
    <xf numFmtId="38" fontId="0" fillId="0" borderId="0" xfId="1" applyFont="1">
      <alignment vertical="center"/>
    </xf>
    <xf numFmtId="38" fontId="0" fillId="0" borderId="1" xfId="1" applyFont="1" applyBorder="1">
      <alignment vertical="center"/>
    </xf>
    <xf numFmtId="9" fontId="0" fillId="0" borderId="0" xfId="2" applyFont="1">
      <alignment vertical="center"/>
    </xf>
    <xf numFmtId="9" fontId="0" fillId="0" borderId="1" xfId="2" applyFont="1" applyBorder="1">
      <alignment vertical="center"/>
    </xf>
    <xf numFmtId="38" fontId="0" fillId="0" borderId="1" xfId="1" applyFont="1" applyBorder="1" applyAlignment="1">
      <alignment vertical="center" wrapText="1"/>
    </xf>
    <xf numFmtId="38" fontId="0" fillId="0" borderId="0" xfId="1" applyFont="1" applyAlignment="1">
      <alignment horizontal="center" vertical="center"/>
    </xf>
    <xf numFmtId="38" fontId="5" fillId="2" borderId="11" xfId="1" applyFont="1" applyFill="1" applyBorder="1" applyAlignment="1">
      <alignment horizontal="center" vertical="center"/>
    </xf>
    <xf numFmtId="38" fontId="5" fillId="2" borderId="9" xfId="1" applyFont="1" applyFill="1" applyBorder="1" applyAlignment="1">
      <alignment horizontal="center" vertical="center"/>
    </xf>
    <xf numFmtId="38" fontId="5" fillId="2" borderId="10" xfId="1" applyFont="1" applyFill="1" applyBorder="1" applyAlignment="1">
      <alignment horizontal="center" vertical="center"/>
    </xf>
    <xf numFmtId="38" fontId="5" fillId="2" borderId="11" xfId="1" applyFont="1" applyFill="1" applyBorder="1" applyAlignment="1">
      <alignment horizontal="left" vertical="center"/>
    </xf>
    <xf numFmtId="38" fontId="5" fillId="2" borderId="1" xfId="1" applyFont="1" applyFill="1" applyBorder="1" applyAlignment="1">
      <alignment horizontal="left" vertical="center"/>
    </xf>
    <xf numFmtId="38" fontId="5" fillId="2" borderId="1" xfId="1" applyFont="1" applyFill="1" applyBorder="1" applyAlignment="1">
      <alignment horizontal="center" vertical="center"/>
    </xf>
    <xf numFmtId="177" fontId="0" fillId="0" borderId="1" xfId="1" applyNumberFormat="1" applyFont="1" applyBorder="1">
      <alignment vertical="center"/>
    </xf>
    <xf numFmtId="176" fontId="0" fillId="0" borderId="1" xfId="2" applyNumberFormat="1" applyFont="1" applyBorder="1">
      <alignment vertical="center"/>
    </xf>
    <xf numFmtId="177" fontId="0" fillId="0" borderId="11" xfId="1" applyNumberFormat="1" applyFont="1" applyBorder="1">
      <alignment vertical="center"/>
    </xf>
    <xf numFmtId="178" fontId="0" fillId="0" borderId="1" xfId="1" applyNumberFormat="1" applyFont="1" applyBorder="1">
      <alignment vertical="center"/>
    </xf>
    <xf numFmtId="178" fontId="0" fillId="4" borderId="1" xfId="1" applyNumberFormat="1" applyFont="1" applyFill="1" applyBorder="1">
      <alignment vertical="center"/>
    </xf>
    <xf numFmtId="0" fontId="5" fillId="2" borderId="1" xfId="0" applyFont="1" applyFill="1" applyBorder="1">
      <alignment vertical="center"/>
    </xf>
    <xf numFmtId="10" fontId="0" fillId="0" borderId="1" xfId="2" applyNumberFormat="1" applyFont="1" applyBorder="1">
      <alignment vertical="center"/>
    </xf>
    <xf numFmtId="38" fontId="0" fillId="6" borderId="1" xfId="1" applyFont="1" applyFill="1" applyBorder="1">
      <alignment vertical="center"/>
    </xf>
    <xf numFmtId="38" fontId="0" fillId="3" borderId="1" xfId="1" applyFont="1" applyFill="1" applyBorder="1">
      <alignment vertical="center"/>
    </xf>
    <xf numFmtId="9" fontId="0" fillId="0" borderId="2" xfId="2" applyFont="1" applyBorder="1">
      <alignment vertical="center"/>
    </xf>
    <xf numFmtId="176" fontId="0" fillId="0" borderId="2" xfId="2" applyNumberFormat="1" applyFont="1" applyBorder="1">
      <alignment vertical="center"/>
    </xf>
    <xf numFmtId="9" fontId="0" fillId="0" borderId="3" xfId="2" applyFont="1" applyBorder="1">
      <alignment vertical="center"/>
    </xf>
    <xf numFmtId="38" fontId="0" fillId="0" borderId="16" xfId="1" applyFont="1" applyBorder="1">
      <alignment vertical="center"/>
    </xf>
    <xf numFmtId="38" fontId="0" fillId="3" borderId="17" xfId="1" applyFont="1" applyFill="1" applyBorder="1">
      <alignment vertical="center"/>
    </xf>
    <xf numFmtId="38" fontId="0" fillId="0" borderId="17" xfId="1" applyFont="1" applyBorder="1">
      <alignment vertical="center"/>
    </xf>
    <xf numFmtId="38" fontId="0" fillId="0" borderId="18" xfId="1" applyFont="1" applyBorder="1">
      <alignment vertical="center"/>
    </xf>
    <xf numFmtId="9" fontId="0" fillId="0" borderId="4" xfId="2" applyFont="1" applyBorder="1">
      <alignment vertical="center"/>
    </xf>
    <xf numFmtId="38" fontId="0" fillId="6" borderId="4" xfId="1" applyFont="1" applyFill="1" applyBorder="1">
      <alignment vertical="center"/>
    </xf>
    <xf numFmtId="176" fontId="0" fillId="0" borderId="4" xfId="2" applyNumberFormat="1" applyFont="1" applyBorder="1">
      <alignment vertical="center"/>
    </xf>
    <xf numFmtId="38" fontId="0" fillId="0" borderId="0" xfId="0" applyNumberFormat="1">
      <alignment vertical="center"/>
    </xf>
    <xf numFmtId="0" fontId="0" fillId="0" borderId="0" xfId="0" applyAlignment="1">
      <alignment horizontal="right" vertical="center"/>
    </xf>
    <xf numFmtId="38" fontId="0" fillId="0" borderId="1" xfId="0" applyNumberFormat="1" applyBorder="1">
      <alignment vertical="center"/>
    </xf>
    <xf numFmtId="40" fontId="0" fillId="0" borderId="1" xfId="1" applyNumberFormat="1" applyFont="1" applyBorder="1">
      <alignment vertical="center"/>
    </xf>
    <xf numFmtId="40" fontId="0" fillId="0" borderId="1" xfId="0" applyNumberFormat="1" applyBorder="1">
      <alignment vertical="center"/>
    </xf>
    <xf numFmtId="178" fontId="0" fillId="5" borderId="1" xfId="1" applyNumberFormat="1" applyFont="1" applyFill="1" applyBorder="1">
      <alignment vertical="center"/>
    </xf>
    <xf numFmtId="38" fontId="0" fillId="0" borderId="11" xfId="1" applyFont="1" applyBorder="1">
      <alignment vertical="center"/>
    </xf>
    <xf numFmtId="0" fontId="6" fillId="2" borderId="1" xfId="0" applyFont="1" applyFill="1" applyBorder="1">
      <alignment vertical="center"/>
    </xf>
    <xf numFmtId="178" fontId="0" fillId="0" borderId="0" xfId="0" applyNumberFormat="1">
      <alignment vertical="center"/>
    </xf>
    <xf numFmtId="178" fontId="0" fillId="0" borderId="1" xfId="0" applyNumberFormat="1" applyBorder="1">
      <alignment vertical="center"/>
    </xf>
    <xf numFmtId="2" fontId="0" fillId="0" borderId="1" xfId="0" applyNumberFormat="1" applyBorder="1">
      <alignment vertical="center"/>
    </xf>
    <xf numFmtId="10" fontId="0" fillId="0" borderId="1" xfId="0" applyNumberFormat="1" applyBorder="1">
      <alignment vertical="center"/>
    </xf>
    <xf numFmtId="0" fontId="0" fillId="6" borderId="1" xfId="0" applyFill="1" applyBorder="1">
      <alignment vertical="center"/>
    </xf>
    <xf numFmtId="38" fontId="5" fillId="2" borderId="1" xfId="1" applyFont="1" applyFill="1" applyBorder="1">
      <alignment vertical="center"/>
    </xf>
    <xf numFmtId="0" fontId="6" fillId="2" borderId="1" xfId="0" applyFont="1" applyFill="1" applyBorder="1" applyAlignment="1">
      <alignment horizontal="center" vertical="center"/>
    </xf>
    <xf numFmtId="0" fontId="0" fillId="0" borderId="13" xfId="0" applyBorder="1">
      <alignment vertical="center"/>
    </xf>
    <xf numFmtId="0" fontId="5" fillId="2" borderId="1" xfId="0" applyFont="1" applyFill="1" applyBorder="1" applyAlignment="1">
      <alignment horizontal="centerContinuous" vertical="center"/>
    </xf>
    <xf numFmtId="0" fontId="0" fillId="0" borderId="12" xfId="0" applyBorder="1">
      <alignment vertical="center"/>
    </xf>
    <xf numFmtId="9" fontId="0" fillId="3" borderId="1" xfId="2" applyFont="1" applyFill="1" applyBorder="1">
      <alignment vertical="center"/>
    </xf>
    <xf numFmtId="38" fontId="6" fillId="2" borderId="1" xfId="1" applyFont="1" applyFill="1" applyBorder="1">
      <alignment vertical="center"/>
    </xf>
    <xf numFmtId="38" fontId="0" fillId="0" borderId="1" xfId="1" applyFont="1" applyBorder="1" applyAlignment="1">
      <alignment horizontal="center" vertical="center"/>
    </xf>
    <xf numFmtId="38" fontId="5" fillId="2" borderId="11" xfId="1" applyFont="1" applyFill="1" applyBorder="1" applyAlignment="1">
      <alignment horizontal="centerContinuous" vertical="center"/>
    </xf>
    <xf numFmtId="38" fontId="5" fillId="2" borderId="9" xfId="1" applyFont="1" applyFill="1" applyBorder="1" applyAlignment="1">
      <alignment horizontal="centerContinuous" vertical="center"/>
    </xf>
    <xf numFmtId="38" fontId="5" fillId="2" borderId="10" xfId="1" applyFont="1" applyFill="1" applyBorder="1" applyAlignment="1">
      <alignment horizontal="centerContinuous" vertical="center"/>
    </xf>
    <xf numFmtId="0" fontId="0" fillId="0" borderId="19" xfId="0" applyBorder="1">
      <alignment vertical="center"/>
    </xf>
    <xf numFmtId="0" fontId="0" fillId="0" borderId="7" xfId="0" applyBorder="1">
      <alignment vertical="center"/>
    </xf>
    <xf numFmtId="49" fontId="0" fillId="0" borderId="0" xfId="0" applyNumberFormat="1">
      <alignment vertical="center"/>
    </xf>
    <xf numFmtId="49" fontId="0" fillId="0" borderId="1" xfId="0" applyNumberFormat="1" applyBorder="1" applyAlignment="1">
      <alignment horizontal="center" vertical="center"/>
    </xf>
    <xf numFmtId="179" fontId="0" fillId="0" borderId="1" xfId="0" applyNumberFormat="1" applyBorder="1" applyAlignment="1">
      <alignment horizontal="center" vertical="center"/>
    </xf>
    <xf numFmtId="0" fontId="5" fillId="2" borderId="2" xfId="0" applyFont="1" applyFill="1" applyBorder="1">
      <alignment vertical="center"/>
    </xf>
    <xf numFmtId="178" fontId="0" fillId="0" borderId="1" xfId="1" applyNumberFormat="1" applyFont="1" applyFill="1" applyBorder="1">
      <alignment vertical="center"/>
    </xf>
    <xf numFmtId="178" fontId="0" fillId="0" borderId="1" xfId="1" applyNumberFormat="1" applyFont="1" applyFill="1" applyBorder="1" applyAlignment="1">
      <alignment horizontal="right" vertical="center"/>
    </xf>
    <xf numFmtId="178" fontId="0" fillId="0" borderId="1" xfId="1" applyNumberFormat="1" applyFont="1" applyBorder="1" applyAlignment="1">
      <alignment horizontal="right" vertical="center"/>
    </xf>
    <xf numFmtId="178" fontId="0" fillId="0" borderId="13" xfId="1" applyNumberFormat="1" applyFont="1" applyFill="1" applyBorder="1" applyAlignment="1">
      <alignment horizontal="right" vertical="center"/>
    </xf>
    <xf numFmtId="0" fontId="0" fillId="7" borderId="0" xfId="0" applyFill="1">
      <alignment vertical="center"/>
    </xf>
    <xf numFmtId="49" fontId="0" fillId="7" borderId="0" xfId="0" applyNumberFormat="1" applyFill="1">
      <alignment vertical="center"/>
    </xf>
    <xf numFmtId="0" fontId="0" fillId="8" borderId="1" xfId="0" applyFill="1" applyBorder="1">
      <alignment vertical="center"/>
    </xf>
    <xf numFmtId="49" fontId="0" fillId="8" borderId="1" xfId="0" applyNumberFormat="1" applyFill="1" applyBorder="1" applyAlignment="1">
      <alignment horizontal="center" vertical="center"/>
    </xf>
    <xf numFmtId="179" fontId="0" fillId="8" borderId="1" xfId="0" applyNumberFormat="1" applyFill="1" applyBorder="1" applyAlignment="1">
      <alignment horizontal="center" vertical="center"/>
    </xf>
    <xf numFmtId="0" fontId="0" fillId="8" borderId="1" xfId="0" applyFill="1" applyBorder="1" applyAlignment="1">
      <alignment horizontal="center" vertical="center"/>
    </xf>
    <xf numFmtId="38" fontId="0" fillId="8" borderId="1" xfId="1" applyFont="1" applyFill="1" applyBorder="1">
      <alignment vertical="center"/>
    </xf>
    <xf numFmtId="0" fontId="0" fillId="8" borderId="0" xfId="0" applyFill="1">
      <alignment vertical="center"/>
    </xf>
    <xf numFmtId="49" fontId="0" fillId="8" borderId="0" xfId="0" applyNumberFormat="1" applyFill="1">
      <alignment vertical="center"/>
    </xf>
    <xf numFmtId="0" fontId="0" fillId="7" borderId="0" xfId="0" applyFill="1" applyAlignment="1">
      <alignment horizontal="right" vertical="center"/>
    </xf>
    <xf numFmtId="0" fontId="0" fillId="8" borderId="0" xfId="0" applyFill="1" applyAlignment="1">
      <alignment horizontal="right" vertical="center"/>
    </xf>
    <xf numFmtId="178" fontId="0" fillId="0" borderId="2" xfId="1" applyNumberFormat="1" applyFont="1" applyBorder="1" applyAlignment="1">
      <alignment horizontal="right" vertical="center"/>
    </xf>
    <xf numFmtId="0" fontId="0" fillId="0" borderId="4" xfId="0" applyBorder="1" applyAlignment="1">
      <alignment vertical="center" wrapText="1"/>
    </xf>
    <xf numFmtId="0" fontId="0" fillId="4" borderId="0" xfId="0" applyFill="1">
      <alignment vertical="center"/>
    </xf>
    <xf numFmtId="178" fontId="0" fillId="4" borderId="0" xfId="1" applyNumberFormat="1" applyFont="1" applyFill="1" applyBorder="1" applyAlignment="1">
      <alignment horizontal="right" vertical="center"/>
    </xf>
    <xf numFmtId="0" fontId="0" fillId="4" borderId="12" xfId="0" applyFill="1" applyBorder="1">
      <alignment vertical="center"/>
    </xf>
    <xf numFmtId="178" fontId="0" fillId="4" borderId="12" xfId="1" applyNumberFormat="1" applyFont="1" applyFill="1" applyBorder="1" applyAlignment="1">
      <alignment horizontal="right" vertical="center"/>
    </xf>
    <xf numFmtId="0" fontId="0" fillId="4" borderId="19" xfId="0" applyFill="1" applyBorder="1">
      <alignment vertical="center"/>
    </xf>
    <xf numFmtId="0" fontId="0" fillId="4" borderId="13" xfId="0" applyFill="1" applyBorder="1">
      <alignment vertical="center"/>
    </xf>
    <xf numFmtId="0" fontId="0" fillId="4" borderId="9" xfId="0" applyFill="1" applyBorder="1">
      <alignment vertical="center"/>
    </xf>
    <xf numFmtId="178" fontId="0" fillId="4" borderId="1" xfId="1" applyNumberFormat="1" applyFont="1" applyFill="1" applyBorder="1" applyAlignment="1">
      <alignment horizontal="right" vertical="center"/>
    </xf>
    <xf numFmtId="38" fontId="0" fillId="4" borderId="0" xfId="1" applyFont="1" applyFill="1" applyAlignment="1">
      <alignment horizontal="right" vertical="center"/>
    </xf>
    <xf numFmtId="178" fontId="0" fillId="4" borderId="3" xfId="1" applyNumberFormat="1" applyFont="1" applyFill="1" applyBorder="1" applyAlignment="1">
      <alignment horizontal="right" vertical="center"/>
    </xf>
    <xf numFmtId="0" fontId="0" fillId="4" borderId="11" xfId="0" applyFill="1" applyBorder="1">
      <alignment vertical="center"/>
    </xf>
    <xf numFmtId="38" fontId="0" fillId="3" borderId="11" xfId="1" applyFont="1" applyFill="1" applyBorder="1">
      <alignment vertical="center"/>
    </xf>
    <xf numFmtId="0" fontId="5" fillId="2" borderId="11" xfId="0" applyFont="1" applyFill="1" applyBorder="1" applyAlignment="1">
      <alignment horizontal="centerContinuous" vertical="center"/>
    </xf>
    <xf numFmtId="0" fontId="5" fillId="2" borderId="9" xfId="0" applyFont="1" applyFill="1" applyBorder="1" applyAlignment="1">
      <alignment horizontal="centerContinuous" vertical="center"/>
    </xf>
    <xf numFmtId="0" fontId="5" fillId="2" borderId="10" xfId="0" applyFont="1" applyFill="1" applyBorder="1" applyAlignment="1">
      <alignment horizontal="centerContinuous" vertical="center"/>
    </xf>
    <xf numFmtId="40" fontId="0" fillId="0" borderId="0" xfId="0" applyNumberFormat="1">
      <alignment vertical="center"/>
    </xf>
    <xf numFmtId="176" fontId="0" fillId="0" borderId="20" xfId="2" applyNumberFormat="1" applyFont="1" applyBorder="1">
      <alignment vertical="center"/>
    </xf>
    <xf numFmtId="38" fontId="0" fillId="0" borderId="12" xfId="1" applyFont="1" applyFill="1" applyBorder="1" applyAlignment="1">
      <alignment horizontal="right" vertical="center"/>
    </xf>
    <xf numFmtId="9" fontId="0" fillId="0" borderId="1" xfId="2" applyFont="1" applyBorder="1" applyAlignment="1">
      <alignment horizontal="right" vertical="center"/>
    </xf>
    <xf numFmtId="176" fontId="0" fillId="0" borderId="1" xfId="2" applyNumberFormat="1" applyFont="1" applyBorder="1" applyAlignment="1">
      <alignment horizontal="right" vertical="center"/>
    </xf>
    <xf numFmtId="176" fontId="0" fillId="0" borderId="0" xfId="0" applyNumberFormat="1">
      <alignment vertical="center"/>
    </xf>
    <xf numFmtId="38" fontId="0" fillId="0" borderId="0" xfId="1" applyFont="1" applyAlignment="1">
      <alignment horizontal="right" vertical="center"/>
    </xf>
    <xf numFmtId="38" fontId="0" fillId="0" borderId="11" xfId="1" applyFont="1" applyFill="1" applyBorder="1">
      <alignment vertical="center"/>
    </xf>
    <xf numFmtId="38" fontId="0" fillId="0" borderId="0" xfId="1" applyFont="1" applyFill="1">
      <alignment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3" xfId="0" applyFont="1" applyFill="1" applyBorder="1" applyAlignment="1">
      <alignment horizontal="center" vertical="center"/>
    </xf>
    <xf numFmtId="0" fontId="11" fillId="0" borderId="0" xfId="0" applyFont="1">
      <alignment vertical="center"/>
    </xf>
    <xf numFmtId="178" fontId="0" fillId="9" borderId="1" xfId="1" applyNumberFormat="1" applyFont="1" applyFill="1" applyBorder="1">
      <alignment vertical="center"/>
    </xf>
    <xf numFmtId="176" fontId="0" fillId="0" borderId="0" xfId="2" applyNumberFormat="1" applyFont="1">
      <alignment vertical="center"/>
    </xf>
    <xf numFmtId="178" fontId="0" fillId="0" borderId="2" xfId="1" applyNumberFormat="1" applyFont="1" applyBorder="1">
      <alignment vertical="center"/>
    </xf>
    <xf numFmtId="178" fontId="0" fillId="0" borderId="4" xfId="1" applyNumberFormat="1" applyFont="1" applyBorder="1">
      <alignment vertical="center"/>
    </xf>
    <xf numFmtId="178" fontId="0" fillId="0" borderId="3" xfId="1" applyNumberFormat="1" applyFont="1" applyBorder="1">
      <alignment vertical="center"/>
    </xf>
    <xf numFmtId="0" fontId="0" fillId="9" borderId="0" xfId="0" applyFill="1">
      <alignment vertical="center"/>
    </xf>
    <xf numFmtId="0" fontId="0" fillId="10" borderId="1" xfId="0" applyFill="1" applyBorder="1">
      <alignment vertical="center"/>
    </xf>
    <xf numFmtId="49" fontId="0" fillId="10" borderId="1" xfId="0" applyNumberFormat="1" applyFill="1" applyBorder="1" applyAlignment="1">
      <alignment horizontal="center" vertical="center"/>
    </xf>
    <xf numFmtId="17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38" fontId="0" fillId="10" borderId="1" xfId="1" applyFont="1" applyFill="1" applyBorder="1">
      <alignment vertical="center"/>
    </xf>
    <xf numFmtId="0" fontId="0" fillId="11" borderId="10" xfId="0" applyFill="1" applyBorder="1">
      <alignment vertical="center"/>
    </xf>
    <xf numFmtId="0" fontId="0" fillId="11" borderId="1" xfId="0" applyFill="1" applyBorder="1">
      <alignment vertical="center"/>
    </xf>
    <xf numFmtId="38" fontId="0" fillId="11" borderId="0" xfId="1" applyFont="1" applyFill="1">
      <alignment vertical="center"/>
    </xf>
    <xf numFmtId="0" fontId="0" fillId="11" borderId="11" xfId="0" applyFill="1" applyBorder="1">
      <alignment vertical="center"/>
    </xf>
    <xf numFmtId="0" fontId="0" fillId="11" borderId="5" xfId="0" applyFill="1" applyBorder="1">
      <alignment vertical="center"/>
    </xf>
    <xf numFmtId="0" fontId="0" fillId="11" borderId="19" xfId="0" applyFill="1" applyBorder="1">
      <alignment vertical="center"/>
    </xf>
    <xf numFmtId="0" fontId="0" fillId="11" borderId="2" xfId="0" applyFill="1" applyBorder="1">
      <alignment vertical="center"/>
    </xf>
    <xf numFmtId="0" fontId="0" fillId="11" borderId="7" xfId="0" applyFill="1" applyBorder="1">
      <alignment vertical="center"/>
    </xf>
    <xf numFmtId="178" fontId="0" fillId="11" borderId="1" xfId="1" applyNumberFormat="1" applyFont="1" applyFill="1" applyBorder="1">
      <alignment vertical="center"/>
    </xf>
    <xf numFmtId="178" fontId="0" fillId="0" borderId="2" xfId="1" applyNumberFormat="1" applyFont="1" applyFill="1" applyBorder="1" applyAlignment="1">
      <alignment horizontal="right" vertical="center"/>
    </xf>
    <xf numFmtId="0" fontId="6" fillId="0" borderId="5" xfId="0" applyFont="1" applyBorder="1">
      <alignment vertical="center"/>
    </xf>
    <xf numFmtId="0" fontId="5" fillId="0" borderId="10" xfId="0" applyFont="1" applyBorder="1">
      <alignment vertical="center"/>
    </xf>
    <xf numFmtId="0" fontId="5" fillId="0" borderId="4" xfId="0" applyFont="1" applyBorder="1">
      <alignment vertical="center"/>
    </xf>
    <xf numFmtId="0" fontId="5" fillId="11" borderId="1" xfId="0" applyFont="1" applyFill="1" applyBorder="1">
      <alignment vertical="center"/>
    </xf>
    <xf numFmtId="178" fontId="0" fillId="0" borderId="9" xfId="1" applyNumberFormat="1" applyFont="1" applyFill="1" applyBorder="1" applyAlignment="1">
      <alignment horizontal="right" vertical="center"/>
    </xf>
    <xf numFmtId="0" fontId="0" fillId="9" borderId="1" xfId="0" applyFill="1" applyBorder="1">
      <alignment vertical="center"/>
    </xf>
    <xf numFmtId="178" fontId="0" fillId="12" borderId="1" xfId="1" applyNumberFormat="1" applyFont="1" applyFill="1" applyBorder="1">
      <alignment vertical="center"/>
    </xf>
    <xf numFmtId="38" fontId="0" fillId="0" borderId="9" xfId="1" applyFont="1" applyBorder="1">
      <alignment vertical="center"/>
    </xf>
    <xf numFmtId="38" fontId="0" fillId="0" borderId="10" xfId="1" applyFont="1" applyBorder="1">
      <alignment vertical="center"/>
    </xf>
    <xf numFmtId="38" fontId="0" fillId="0" borderId="1" xfId="1" applyFont="1" applyFill="1" applyBorder="1">
      <alignment vertical="center"/>
    </xf>
    <xf numFmtId="38" fontId="0" fillId="0" borderId="10" xfId="1" applyFont="1" applyFill="1" applyBorder="1">
      <alignment vertical="center"/>
    </xf>
    <xf numFmtId="176" fontId="0" fillId="0" borderId="1" xfId="2" applyNumberFormat="1" applyFont="1" applyFill="1" applyBorder="1">
      <alignment vertical="center"/>
    </xf>
    <xf numFmtId="0" fontId="0" fillId="0" borderId="1" xfId="0" applyBorder="1" applyAlignment="1">
      <alignment horizontal="center" vertical="center" shrinkToFit="1"/>
    </xf>
    <xf numFmtId="38" fontId="0" fillId="11" borderId="1" xfId="1" applyFont="1" applyFill="1" applyBorder="1">
      <alignment vertical="center"/>
    </xf>
    <xf numFmtId="176" fontId="0" fillId="0" borderId="2" xfId="2" applyNumberFormat="1" applyFont="1" applyFill="1" applyBorder="1">
      <alignment vertical="center"/>
    </xf>
    <xf numFmtId="38" fontId="0" fillId="0" borderId="21" xfId="1" applyFont="1" applyBorder="1">
      <alignment vertical="center"/>
    </xf>
    <xf numFmtId="38" fontId="0" fillId="11" borderId="17" xfId="1" applyFont="1" applyFill="1" applyBorder="1">
      <alignment vertical="center"/>
    </xf>
    <xf numFmtId="10" fontId="0" fillId="0" borderId="1" xfId="2" applyNumberFormat="1" applyFont="1" applyFill="1" applyBorder="1">
      <alignment vertical="center"/>
    </xf>
    <xf numFmtId="38" fontId="12" fillId="0" borderId="1" xfId="1" applyFont="1" applyBorder="1">
      <alignment vertical="center"/>
    </xf>
    <xf numFmtId="0" fontId="0" fillId="0" borderId="1" xfId="0" applyBorder="1" applyAlignment="1">
      <alignment vertical="center" shrinkToFit="1"/>
    </xf>
    <xf numFmtId="38" fontId="0" fillId="0" borderId="0" xfId="1" applyFont="1" applyBorder="1">
      <alignment vertical="center"/>
    </xf>
    <xf numFmtId="0" fontId="0" fillId="9" borderId="4" xfId="0" applyFill="1" applyBorder="1">
      <alignment vertical="center"/>
    </xf>
    <xf numFmtId="0" fontId="0" fillId="9" borderId="3" xfId="0" applyFill="1" applyBorder="1">
      <alignment vertical="center"/>
    </xf>
    <xf numFmtId="0" fontId="6" fillId="2" borderId="14" xfId="0" applyFont="1" applyFill="1" applyBorder="1">
      <alignment vertical="center"/>
    </xf>
    <xf numFmtId="10" fontId="0" fillId="0" borderId="15" xfId="0" applyNumberFormat="1" applyBorder="1">
      <alignment vertical="center"/>
    </xf>
    <xf numFmtId="0" fontId="0" fillId="9" borderId="1" xfId="0" applyFill="1" applyBorder="1" applyAlignment="1">
      <alignment horizontal="center" vertical="center"/>
    </xf>
    <xf numFmtId="0" fontId="12" fillId="9" borderId="2" xfId="0" applyFont="1" applyFill="1" applyBorder="1">
      <alignment vertical="center"/>
    </xf>
    <xf numFmtId="10" fontId="0" fillId="9" borderId="1" xfId="2" applyNumberFormat="1" applyFont="1" applyFill="1" applyBorder="1">
      <alignment vertical="center"/>
    </xf>
    <xf numFmtId="38" fontId="0" fillId="9" borderId="1" xfId="1" applyFont="1" applyFill="1" applyBorder="1">
      <alignment vertical="center"/>
    </xf>
    <xf numFmtId="0" fontId="0" fillId="13" borderId="1" xfId="0" applyFill="1" applyBorder="1">
      <alignment vertical="center"/>
    </xf>
    <xf numFmtId="38" fontId="5" fillId="15" borderId="1" xfId="1" applyFont="1" applyFill="1" applyBorder="1">
      <alignment vertical="center"/>
    </xf>
    <xf numFmtId="178" fontId="0" fillId="0" borderId="1" xfId="1" applyNumberFormat="1" applyFont="1" applyBorder="1" applyAlignment="1">
      <alignment vertical="center" shrinkToFit="1"/>
    </xf>
    <xf numFmtId="38" fontId="0" fillId="0" borderId="0" xfId="1" applyFont="1" applyAlignment="1">
      <alignment vertical="center" wrapText="1"/>
    </xf>
    <xf numFmtId="178" fontId="0" fillId="0" borderId="1" xfId="1" applyNumberFormat="1" applyFont="1" applyFill="1" applyBorder="1" applyAlignment="1">
      <alignment vertical="center" shrinkToFit="1"/>
    </xf>
    <xf numFmtId="178" fontId="0" fillId="3" borderId="1" xfId="1" applyNumberFormat="1" applyFont="1" applyFill="1" applyBorder="1">
      <alignment vertical="center"/>
    </xf>
    <xf numFmtId="178" fontId="0" fillId="14" borderId="1" xfId="1" applyNumberFormat="1" applyFont="1" applyFill="1" applyBorder="1">
      <alignment vertical="center"/>
    </xf>
    <xf numFmtId="178" fontId="0" fillId="0" borderId="0" xfId="1" applyNumberFormat="1" applyFont="1">
      <alignment vertical="center"/>
    </xf>
    <xf numFmtId="178" fontId="0" fillId="0" borderId="1" xfId="0" applyNumberFormat="1" applyBorder="1" applyAlignment="1">
      <alignment vertical="center" shrinkToFit="1"/>
    </xf>
    <xf numFmtId="178" fontId="0" fillId="8" borderId="1" xfId="1" applyNumberFormat="1" applyFont="1" applyFill="1" applyBorder="1">
      <alignment vertical="center"/>
    </xf>
    <xf numFmtId="0" fontId="0" fillId="16" borderId="5" xfId="0" applyFill="1" applyBorder="1">
      <alignment vertical="center"/>
    </xf>
    <xf numFmtId="0" fontId="0" fillId="16" borderId="9" xfId="0" applyFill="1" applyBorder="1">
      <alignment vertical="center"/>
    </xf>
    <xf numFmtId="0" fontId="0" fillId="16" borderId="10" xfId="0" applyFill="1" applyBorder="1">
      <alignment vertical="center"/>
    </xf>
    <xf numFmtId="0" fontId="0" fillId="16" borderId="1" xfId="0" applyFill="1" applyBorder="1">
      <alignment vertical="center"/>
    </xf>
    <xf numFmtId="178" fontId="0" fillId="16" borderId="1" xfId="1" applyNumberFormat="1" applyFont="1" applyFill="1" applyBorder="1">
      <alignment vertical="center"/>
    </xf>
    <xf numFmtId="178" fontId="0" fillId="16" borderId="1" xfId="1" applyNumberFormat="1" applyFont="1" applyFill="1" applyBorder="1" applyAlignment="1">
      <alignment vertical="center" shrinkToFit="1"/>
    </xf>
    <xf numFmtId="0" fontId="0" fillId="16" borderId="0" xfId="0" applyFill="1">
      <alignment vertical="center"/>
    </xf>
    <xf numFmtId="178" fontId="0" fillId="0" borderId="0" xfId="1" applyNumberFormat="1" applyFont="1" applyFill="1">
      <alignment vertical="center"/>
    </xf>
    <xf numFmtId="178" fontId="0" fillId="0" borderId="2" xfId="1" applyNumberFormat="1" applyFont="1" applyBorder="1" applyAlignment="1">
      <alignment vertical="center" shrinkToFit="1"/>
    </xf>
    <xf numFmtId="178" fontId="0" fillId="0" borderId="3" xfId="1" applyNumberFormat="1" applyFont="1" applyBorder="1" applyAlignment="1">
      <alignment vertical="center" shrinkToFit="1"/>
    </xf>
    <xf numFmtId="178" fontId="0" fillId="0" borderId="2" xfId="1" applyNumberFormat="1" applyFont="1" applyFill="1" applyBorder="1">
      <alignment vertical="center"/>
    </xf>
    <xf numFmtId="178" fontId="0" fillId="0" borderId="23" xfId="1" applyNumberFormat="1" applyFont="1" applyBorder="1">
      <alignment vertical="center"/>
    </xf>
    <xf numFmtId="178" fontId="13" fillId="0" borderId="11" xfId="1" applyNumberFormat="1" applyFont="1" applyBorder="1">
      <alignment vertical="center"/>
    </xf>
    <xf numFmtId="0" fontId="13" fillId="0" borderId="1" xfId="0" applyFont="1" applyBorder="1" applyAlignment="1">
      <alignment horizontal="center" vertical="center"/>
    </xf>
    <xf numFmtId="0" fontId="14" fillId="0" borderId="1" xfId="0" applyFont="1" applyBorder="1">
      <alignment vertical="center"/>
    </xf>
    <xf numFmtId="0" fontId="17" fillId="0" borderId="0" xfId="5" applyFont="1" applyAlignment="1">
      <alignment horizontal="right"/>
    </xf>
    <xf numFmtId="0" fontId="2" fillId="0" borderId="0" xfId="5">
      <alignment vertical="center"/>
    </xf>
    <xf numFmtId="0" fontId="17" fillId="0" borderId="11" xfId="5" applyFont="1" applyBorder="1" applyAlignment="1">
      <alignment horizontal="center" vertical="center"/>
    </xf>
    <xf numFmtId="0" fontId="17" fillId="0" borderId="1" xfId="5" applyFont="1" applyBorder="1" applyAlignment="1">
      <alignment horizontal="center" vertical="center"/>
    </xf>
    <xf numFmtId="0" fontId="17" fillId="0" borderId="3" xfId="5" applyFont="1" applyBorder="1" applyAlignment="1">
      <alignment horizontal="center" vertical="center"/>
    </xf>
    <xf numFmtId="38" fontId="17" fillId="0" borderId="3" xfId="6" applyFont="1" applyBorder="1">
      <alignment vertical="center"/>
    </xf>
    <xf numFmtId="38" fontId="17" fillId="0" borderId="1" xfId="6" applyFont="1" applyBorder="1">
      <alignment vertical="center"/>
    </xf>
    <xf numFmtId="0" fontId="17" fillId="0" borderId="1" xfId="5" applyFont="1" applyBorder="1" applyAlignment="1">
      <alignment horizontal="left" vertical="center"/>
    </xf>
    <xf numFmtId="0" fontId="18" fillId="0" borderId="0" xfId="5" applyFont="1">
      <alignment vertical="center"/>
    </xf>
    <xf numFmtId="0" fontId="2" fillId="0" borderId="1" xfId="5" applyBorder="1">
      <alignment vertical="center"/>
    </xf>
    <xf numFmtId="0" fontId="2" fillId="0" borderId="1" xfId="5" applyBorder="1" applyAlignment="1">
      <alignment horizontal="center" vertical="center"/>
    </xf>
    <xf numFmtId="0" fontId="2" fillId="0" borderId="1" xfId="5" applyBorder="1" applyAlignment="1">
      <alignment vertical="center" wrapText="1"/>
    </xf>
    <xf numFmtId="0" fontId="17" fillId="0" borderId="1" xfId="5" applyFont="1" applyBorder="1" applyAlignment="1">
      <alignment horizontal="center" vertical="center" wrapText="1"/>
    </xf>
    <xf numFmtId="0" fontId="2" fillId="5" borderId="1" xfId="5" applyFill="1" applyBorder="1" applyAlignment="1">
      <alignment horizontal="center" vertical="center"/>
    </xf>
    <xf numFmtId="0" fontId="2" fillId="5" borderId="1" xfId="5" applyFill="1" applyBorder="1" applyAlignment="1">
      <alignment vertical="center" wrapText="1"/>
    </xf>
    <xf numFmtId="180" fontId="2" fillId="5" borderId="1" xfId="5" applyNumberFormat="1" applyFill="1" applyBorder="1">
      <alignment vertical="center"/>
    </xf>
    <xf numFmtId="0" fontId="2" fillId="5" borderId="1" xfId="5" applyFill="1" applyBorder="1">
      <alignment vertical="center"/>
    </xf>
    <xf numFmtId="181" fontId="2" fillId="5" borderId="1" xfId="5" applyNumberFormat="1" applyFill="1" applyBorder="1">
      <alignment vertical="center"/>
    </xf>
    <xf numFmtId="182" fontId="2" fillId="0" borderId="1" xfId="5" applyNumberFormat="1" applyBorder="1">
      <alignment vertical="center"/>
    </xf>
    <xf numFmtId="38" fontId="2" fillId="0" borderId="1" xfId="5" applyNumberFormat="1" applyBorder="1">
      <alignment vertical="center"/>
    </xf>
    <xf numFmtId="181" fontId="2" fillId="0" borderId="1" xfId="5" applyNumberFormat="1" applyBorder="1">
      <alignment vertical="center"/>
    </xf>
    <xf numFmtId="0" fontId="17" fillId="11" borderId="1" xfId="5" applyFont="1" applyFill="1" applyBorder="1" applyAlignment="1">
      <alignment horizontal="center" vertical="center"/>
    </xf>
    <xf numFmtId="0" fontId="17" fillId="11" borderId="1" xfId="5" applyFont="1" applyFill="1" applyBorder="1" applyAlignment="1">
      <alignment horizontal="left" vertical="center"/>
    </xf>
    <xf numFmtId="38" fontId="17" fillId="11" borderId="1" xfId="6" applyFont="1" applyFill="1" applyBorder="1">
      <alignment vertical="center"/>
    </xf>
    <xf numFmtId="180" fontId="2" fillId="11" borderId="1" xfId="5" applyNumberFormat="1" applyFill="1" applyBorder="1">
      <alignment vertical="center"/>
    </xf>
    <xf numFmtId="0" fontId="2" fillId="11" borderId="1" xfId="5" applyFill="1" applyBorder="1">
      <alignment vertical="center"/>
    </xf>
    <xf numFmtId="181" fontId="2" fillId="11" borderId="1" xfId="5" applyNumberFormat="1" applyFill="1" applyBorder="1">
      <alignment vertical="center"/>
    </xf>
    <xf numFmtId="182" fontId="2" fillId="11" borderId="1" xfId="5" applyNumberFormat="1" applyFill="1" applyBorder="1">
      <alignment vertical="center"/>
    </xf>
    <xf numFmtId="38" fontId="2" fillId="11" borderId="1" xfId="5" applyNumberFormat="1" applyFill="1" applyBorder="1">
      <alignment vertical="center"/>
    </xf>
    <xf numFmtId="0" fontId="17" fillId="0" borderId="3" xfId="5" applyFont="1" applyBorder="1" applyAlignment="1">
      <alignment horizontal="left" vertical="center"/>
    </xf>
    <xf numFmtId="180" fontId="2" fillId="5" borderId="3" xfId="5" applyNumberFormat="1" applyFill="1" applyBorder="1">
      <alignment vertical="center"/>
    </xf>
    <xf numFmtId="0" fontId="2" fillId="5" borderId="3" xfId="5" applyFill="1" applyBorder="1">
      <alignment vertical="center"/>
    </xf>
    <xf numFmtId="0" fontId="2" fillId="0" borderId="3" xfId="5" applyBorder="1">
      <alignment vertical="center"/>
    </xf>
    <xf numFmtId="181" fontId="2" fillId="5" borderId="3" xfId="5" applyNumberFormat="1" applyFill="1" applyBorder="1">
      <alignment vertical="center"/>
    </xf>
    <xf numFmtId="0" fontId="17" fillId="0" borderId="1" xfId="5" applyFont="1" applyBorder="1">
      <alignment vertical="center"/>
    </xf>
    <xf numFmtId="0" fontId="17" fillId="0" borderId="23" xfId="5" applyFont="1" applyBorder="1" applyAlignment="1">
      <alignment horizontal="center" vertical="center"/>
    </xf>
    <xf numFmtId="0" fontId="17" fillId="0" borderId="23" xfId="5" applyFont="1" applyBorder="1" applyAlignment="1">
      <alignment horizontal="left" vertical="center"/>
    </xf>
    <xf numFmtId="38" fontId="17" fillId="0" borderId="23" xfId="6" applyFont="1" applyBorder="1">
      <alignment vertical="center"/>
    </xf>
    <xf numFmtId="180" fontId="2" fillId="5" borderId="23" xfId="5" applyNumberFormat="1" applyFill="1" applyBorder="1">
      <alignment vertical="center"/>
    </xf>
    <xf numFmtId="0" fontId="2" fillId="5" borderId="23" xfId="5" applyFill="1" applyBorder="1">
      <alignment vertical="center"/>
    </xf>
    <xf numFmtId="0" fontId="2" fillId="0" borderId="23" xfId="5" applyBorder="1">
      <alignment vertical="center"/>
    </xf>
    <xf numFmtId="181" fontId="2" fillId="5" borderId="23" xfId="5" applyNumberFormat="1" applyFill="1" applyBorder="1">
      <alignment vertical="center"/>
    </xf>
    <xf numFmtId="38" fontId="12" fillId="0" borderId="0" xfId="1" applyFont="1" applyBorder="1" applyAlignment="1">
      <alignment horizontal="center" vertical="center"/>
    </xf>
    <xf numFmtId="0" fontId="0" fillId="0" borderId="4" xfId="0" applyBorder="1" applyAlignment="1">
      <alignment vertical="center" wrapText="1"/>
    </xf>
    <xf numFmtId="0" fontId="0" fillId="0" borderId="1" xfId="0" applyBorder="1" applyAlignment="1">
      <alignment horizontal="center" vertical="center"/>
    </xf>
    <xf numFmtId="0" fontId="5" fillId="2" borderId="1" xfId="0" applyFont="1" applyFill="1" applyBorder="1" applyAlignment="1">
      <alignment horizontal="center" vertical="center"/>
    </xf>
    <xf numFmtId="0" fontId="1" fillId="5" borderId="1" xfId="5" applyFont="1" applyFill="1" applyBorder="1" applyAlignment="1">
      <alignment horizontal="center" vertical="center"/>
    </xf>
    <xf numFmtId="0" fontId="0" fillId="12" borderId="11" xfId="0" applyFill="1" applyBorder="1">
      <alignment vertical="center"/>
    </xf>
    <xf numFmtId="0" fontId="0" fillId="12" borderId="9" xfId="0" applyFill="1" applyBorder="1">
      <alignment vertical="center"/>
    </xf>
    <xf numFmtId="0" fontId="0" fillId="12" borderId="10" xfId="0" applyFill="1" applyBorder="1">
      <alignment vertical="center"/>
    </xf>
    <xf numFmtId="0" fontId="0" fillId="12" borderId="1" xfId="0" applyFill="1" applyBorder="1">
      <alignment vertical="center"/>
    </xf>
    <xf numFmtId="178" fontId="0" fillId="12" borderId="1" xfId="1" applyNumberFormat="1" applyFont="1" applyFill="1" applyBorder="1" applyAlignment="1">
      <alignment vertical="center" shrinkToFit="1"/>
    </xf>
    <xf numFmtId="178" fontId="0" fillId="9" borderId="1" xfId="1" applyNumberFormat="1" applyFont="1" applyFill="1" applyBorder="1" applyAlignment="1">
      <alignment vertical="center" shrinkToFit="1"/>
    </xf>
    <xf numFmtId="178" fontId="0" fillId="9" borderId="11" xfId="1" applyNumberFormat="1" applyFont="1" applyFill="1" applyBorder="1" applyAlignment="1">
      <alignment vertical="center" shrinkToFit="1"/>
    </xf>
    <xf numFmtId="178" fontId="0" fillId="9" borderId="22" xfId="1" applyNumberFormat="1" applyFont="1" applyFill="1" applyBorder="1" applyAlignment="1">
      <alignment vertical="center" shrinkToFit="1"/>
    </xf>
    <xf numFmtId="178" fontId="0" fillId="9" borderId="10" xfId="1" applyNumberFormat="1" applyFont="1" applyFill="1" applyBorder="1" applyAlignment="1">
      <alignment vertical="center" shrinkToFit="1"/>
    </xf>
    <xf numFmtId="0" fontId="0" fillId="0" borderId="1" xfId="0" applyBorder="1" applyAlignment="1">
      <alignment horizontal="center" vertical="center"/>
    </xf>
    <xf numFmtId="0" fontId="0" fillId="0" borderId="4" xfId="0" applyFill="1" applyBorder="1">
      <alignment vertical="center"/>
    </xf>
    <xf numFmtId="0" fontId="0" fillId="0" borderId="1" xfId="0" applyFill="1" applyBorder="1">
      <alignment vertical="center"/>
    </xf>
    <xf numFmtId="0" fontId="0" fillId="0" borderId="1" xfId="0" applyFill="1" applyBorder="1" applyAlignment="1">
      <alignment horizontal="center" vertical="center"/>
    </xf>
    <xf numFmtId="0" fontId="0" fillId="0" borderId="0" xfId="0" applyFill="1">
      <alignment vertical="center"/>
    </xf>
    <xf numFmtId="178" fontId="0" fillId="13" borderId="1" xfId="1" applyNumberFormat="1" applyFont="1" applyFill="1" applyBorder="1">
      <alignment vertical="center"/>
    </xf>
    <xf numFmtId="0" fontId="0" fillId="13" borderId="0" xfId="0" applyFill="1">
      <alignment vertical="center"/>
    </xf>
    <xf numFmtId="0" fontId="0" fillId="0" borderId="3" xfId="0" applyFill="1" applyBorder="1">
      <alignment vertical="center"/>
    </xf>
    <xf numFmtId="0" fontId="0" fillId="0" borderId="5" xfId="0" applyFill="1" applyBorder="1">
      <alignment vertical="center"/>
    </xf>
    <xf numFmtId="0" fontId="0" fillId="0" borderId="10" xfId="0" applyFill="1" applyBorder="1">
      <alignment vertical="center"/>
    </xf>
    <xf numFmtId="0" fontId="0" fillId="0" borderId="4" xfId="0" applyFill="1" applyBorder="1" applyAlignment="1">
      <alignment vertical="center" wrapText="1"/>
    </xf>
    <xf numFmtId="0" fontId="0" fillId="0" borderId="9" xfId="0" applyFill="1" applyBorder="1">
      <alignment vertical="center"/>
    </xf>
    <xf numFmtId="178" fontId="0" fillId="13" borderId="1" xfId="1" applyNumberFormat="1" applyFont="1" applyFill="1" applyBorder="1" applyAlignment="1">
      <alignment vertical="center" shrinkToFit="1"/>
    </xf>
    <xf numFmtId="178" fontId="0" fillId="13" borderId="11" xfId="1" applyNumberFormat="1" applyFont="1" applyFill="1" applyBorder="1" applyAlignment="1">
      <alignment vertical="center" shrinkToFit="1"/>
    </xf>
    <xf numFmtId="178" fontId="0" fillId="13" borderId="22" xfId="1" applyNumberFormat="1" applyFont="1" applyFill="1" applyBorder="1" applyAlignment="1">
      <alignment vertical="center" shrinkToFit="1"/>
    </xf>
    <xf numFmtId="178" fontId="0" fillId="13" borderId="10" xfId="1" applyNumberFormat="1" applyFont="1" applyFill="1" applyBorder="1" applyAlignment="1">
      <alignment vertical="center" shrinkToFit="1"/>
    </xf>
    <xf numFmtId="0" fontId="0" fillId="11" borderId="1" xfId="0" applyFill="1" applyBorder="1" applyAlignment="1">
      <alignment vertical="center"/>
    </xf>
    <xf numFmtId="0" fontId="0" fillId="11" borderId="1" xfId="0" applyFill="1" applyBorder="1" applyAlignment="1">
      <alignment vertical="center" wrapText="1"/>
    </xf>
    <xf numFmtId="0" fontId="0" fillId="0" borderId="0" xfId="0" applyAlignment="1">
      <alignment horizontal="centerContinuous" vertical="center"/>
    </xf>
    <xf numFmtId="182" fontId="0" fillId="0" borderId="0" xfId="0" applyNumberFormat="1">
      <alignment vertical="center"/>
    </xf>
    <xf numFmtId="49" fontId="19" fillId="0" borderId="20" xfId="7" applyNumberFormat="1" applyBorder="1" applyAlignment="1">
      <alignment vertical="top"/>
    </xf>
    <xf numFmtId="0" fontId="19" fillId="0" borderId="0" xfId="7">
      <alignment vertical="center"/>
    </xf>
    <xf numFmtId="49" fontId="19" fillId="0" borderId="24" xfId="7" applyNumberFormat="1" applyBorder="1" applyAlignment="1">
      <alignment vertical="top"/>
    </xf>
    <xf numFmtId="49" fontId="19" fillId="9" borderId="24" xfId="7" applyNumberFormat="1" applyFill="1" applyBorder="1" applyAlignment="1">
      <alignment vertical="top"/>
    </xf>
    <xf numFmtId="49" fontId="19" fillId="0" borderId="25" xfId="7" applyNumberFormat="1" applyBorder="1" applyAlignment="1">
      <alignment vertical="top"/>
    </xf>
    <xf numFmtId="3" fontId="19" fillId="0" borderId="25" xfId="7" applyNumberFormat="1" applyBorder="1" applyAlignment="1">
      <alignment vertical="top"/>
    </xf>
    <xf numFmtId="3" fontId="19" fillId="9" borderId="25" xfId="7" applyNumberFormat="1" applyFill="1" applyBorder="1" applyAlignment="1">
      <alignment vertical="top"/>
    </xf>
    <xf numFmtId="49" fontId="19" fillId="0" borderId="2" xfId="7" applyNumberFormat="1" applyBorder="1" applyAlignment="1">
      <alignment vertical="top"/>
    </xf>
    <xf numFmtId="3" fontId="19" fillId="0" borderId="2" xfId="7" applyNumberFormat="1" applyBorder="1" applyAlignment="1">
      <alignment vertical="top"/>
    </xf>
    <xf numFmtId="3" fontId="19" fillId="9" borderId="2" xfId="7" applyNumberFormat="1" applyFill="1" applyBorder="1" applyAlignment="1">
      <alignment vertical="top"/>
    </xf>
    <xf numFmtId="49" fontId="19" fillId="0" borderId="23" xfId="7" applyNumberFormat="1" applyBorder="1" applyAlignment="1">
      <alignment vertical="top"/>
    </xf>
    <xf numFmtId="3" fontId="19" fillId="0" borderId="23" xfId="7" applyNumberFormat="1" applyBorder="1" applyAlignment="1">
      <alignment vertical="top"/>
    </xf>
    <xf numFmtId="3" fontId="19" fillId="9" borderId="23" xfId="7" applyNumberFormat="1" applyFill="1" applyBorder="1" applyAlignment="1">
      <alignment vertical="top"/>
    </xf>
    <xf numFmtId="0" fontId="19" fillId="9" borderId="0" xfId="7" applyFill="1">
      <alignment vertical="center"/>
    </xf>
    <xf numFmtId="3" fontId="19" fillId="0" borderId="4" xfId="7" applyNumberFormat="1" applyBorder="1" applyAlignment="1">
      <alignment vertical="top"/>
    </xf>
    <xf numFmtId="49" fontId="19" fillId="0" borderId="0" xfId="7" applyNumberFormat="1" applyAlignment="1">
      <alignment vertical="top"/>
    </xf>
    <xf numFmtId="182" fontId="19" fillId="0" borderId="0" xfId="7" applyNumberFormat="1">
      <alignment vertical="center"/>
    </xf>
    <xf numFmtId="10" fontId="0" fillId="3" borderId="1" xfId="1" applyNumberFormat="1" applyFont="1" applyFill="1" applyBorder="1">
      <alignment vertical="center"/>
    </xf>
    <xf numFmtId="10" fontId="0" fillId="0" borderId="1" xfId="1" applyNumberFormat="1" applyFont="1" applyFill="1" applyBorder="1">
      <alignment vertical="center"/>
    </xf>
    <xf numFmtId="178" fontId="0" fillId="0" borderId="1" xfId="1" applyNumberFormat="1" applyFont="1" applyBorder="1" applyAlignment="1">
      <alignment horizontal="center" vertical="center"/>
    </xf>
    <xf numFmtId="38" fontId="6" fillId="2" borderId="1" xfId="1" applyFont="1" applyFill="1" applyBorder="1" applyAlignment="1">
      <alignment horizontal="center" vertical="center"/>
    </xf>
    <xf numFmtId="0" fontId="0" fillId="0" borderId="2"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11"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0" fillId="0" borderId="2" xfId="0" applyFill="1" applyBorder="1" applyAlignment="1">
      <alignment vertical="center" wrapText="1"/>
    </xf>
    <xf numFmtId="0" fontId="0" fillId="0" borderId="4" xfId="0" applyFill="1" applyBorder="1" applyAlignment="1">
      <alignment vertical="center" wrapText="1"/>
    </xf>
    <xf numFmtId="0" fontId="0" fillId="0" borderId="3" xfId="0" applyFill="1" applyBorder="1" applyAlignment="1">
      <alignment vertical="center" wrapText="1"/>
    </xf>
    <xf numFmtId="0" fontId="0" fillId="13" borderId="11" xfId="0" applyFill="1" applyBorder="1" applyAlignment="1">
      <alignment horizontal="left" vertical="center" wrapText="1"/>
    </xf>
    <xf numFmtId="0" fontId="0" fillId="13" borderId="9" xfId="0" applyFill="1" applyBorder="1" applyAlignment="1">
      <alignment horizontal="left" vertical="center" wrapText="1"/>
    </xf>
    <xf numFmtId="0" fontId="0" fillId="13" borderId="10" xfId="0" applyFill="1" applyBorder="1" applyAlignment="1">
      <alignment horizontal="left" vertical="center" wrapText="1"/>
    </xf>
    <xf numFmtId="0" fontId="0" fillId="0" borderId="0" xfId="0" applyAlignment="1">
      <alignment vertical="center" wrapText="1"/>
    </xf>
    <xf numFmtId="0" fontId="0" fillId="9" borderId="11" xfId="0" applyFill="1" applyBorder="1" applyAlignment="1">
      <alignment horizontal="left" vertical="center" wrapText="1"/>
    </xf>
    <xf numFmtId="0" fontId="0" fillId="9" borderId="9" xfId="0" applyFill="1" applyBorder="1" applyAlignment="1">
      <alignment horizontal="left" vertical="center" wrapText="1"/>
    </xf>
    <xf numFmtId="0" fontId="0" fillId="9" borderId="10" xfId="0" applyFill="1" applyBorder="1" applyAlignment="1">
      <alignment horizontal="left" vertical="center" wrapText="1"/>
    </xf>
    <xf numFmtId="0" fontId="0" fillId="9" borderId="1" xfId="0" applyFill="1" applyBorder="1" applyAlignment="1">
      <alignment horizontal="center" vertical="center"/>
    </xf>
    <xf numFmtId="0" fontId="0" fillId="0" borderId="1" xfId="0" applyBorder="1" applyAlignment="1">
      <alignment horizontal="center" vertical="center"/>
    </xf>
    <xf numFmtId="0" fontId="0" fillId="11" borderId="1" xfId="0" applyFill="1" applyBorder="1" applyAlignment="1">
      <alignment horizontal="center" vertical="center"/>
    </xf>
    <xf numFmtId="0" fontId="5" fillId="2" borderId="11" xfId="0" applyFont="1" applyFill="1" applyBorder="1">
      <alignment vertical="center"/>
    </xf>
    <xf numFmtId="0" fontId="5" fillId="2" borderId="10" xfId="0" applyFont="1" applyFill="1" applyBorder="1">
      <alignment vertical="center"/>
    </xf>
    <xf numFmtId="0" fontId="6" fillId="2" borderId="11" xfId="0" applyFont="1" applyFill="1" applyBorder="1">
      <alignment vertical="center"/>
    </xf>
    <xf numFmtId="0" fontId="6" fillId="2" borderId="10" xfId="0" applyFont="1" applyFill="1" applyBorder="1">
      <alignment vertical="center"/>
    </xf>
    <xf numFmtId="0" fontId="5" fillId="2" borderId="1" xfId="0" applyFont="1" applyFill="1" applyBorder="1" applyAlignment="1">
      <alignment vertical="center" wrapText="1"/>
    </xf>
    <xf numFmtId="0" fontId="5" fillId="2" borderId="1" xfId="0" applyFont="1" applyFill="1" applyBorder="1">
      <alignment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49" fontId="19" fillId="0" borderId="20" xfId="7" applyNumberFormat="1" applyBorder="1" applyAlignment="1">
      <alignment vertical="top"/>
    </xf>
    <xf numFmtId="0" fontId="17" fillId="0" borderId="2" xfId="5" applyFont="1" applyBorder="1" applyAlignment="1">
      <alignment horizontal="center" vertical="center" textRotation="255" wrapText="1"/>
    </xf>
    <xf numFmtId="0" fontId="17" fillId="0" borderId="4" xfId="5" applyFont="1" applyBorder="1" applyAlignment="1">
      <alignment horizontal="center" vertical="center" textRotation="255" wrapText="1"/>
    </xf>
    <xf numFmtId="0" fontId="17" fillId="0" borderId="3" xfId="5" applyFont="1" applyBorder="1" applyAlignment="1">
      <alignment horizontal="center" vertical="center" textRotation="255" wrapText="1"/>
    </xf>
    <xf numFmtId="0" fontId="2" fillId="0" borderId="2" xfId="5" applyBorder="1" applyAlignment="1">
      <alignment horizontal="center" vertical="center" wrapText="1"/>
    </xf>
    <xf numFmtId="0" fontId="2" fillId="0" borderId="4" xfId="5" applyBorder="1" applyAlignment="1">
      <alignment horizontal="center" vertical="center" wrapText="1"/>
    </xf>
    <xf numFmtId="0" fontId="2" fillId="0" borderId="3" xfId="5" applyBorder="1" applyAlignment="1">
      <alignment horizontal="center" vertical="center" wrapText="1"/>
    </xf>
    <xf numFmtId="0" fontId="15" fillId="0" borderId="13" xfId="5" applyFont="1" applyBorder="1" applyAlignment="1">
      <alignment horizontal="center" vertical="center"/>
    </xf>
    <xf numFmtId="0" fontId="17" fillId="0" borderId="24" xfId="5" applyFont="1" applyBorder="1" applyAlignment="1">
      <alignment horizontal="center" vertical="center" textRotation="255" wrapText="1"/>
    </xf>
  </cellXfs>
  <cellStyles count="8">
    <cellStyle name="パーセント" xfId="2" builtinId="5"/>
    <cellStyle name="桁区切り" xfId="1" builtinId="6"/>
    <cellStyle name="桁区切り 2" xfId="4" xr:uid="{4364E0F3-B64A-4BDF-BBBA-76766A75B397}"/>
    <cellStyle name="桁区切り 3" xfId="6" xr:uid="{CFB786DB-C283-416A-9680-5D8B62EA7CAA}"/>
    <cellStyle name="標準" xfId="0" builtinId="0"/>
    <cellStyle name="標準 2" xfId="3" xr:uid="{8CE739FE-F8BF-4D81-933E-4A3AC0669002}"/>
    <cellStyle name="標準 3" xfId="5" xr:uid="{42553B85-22B8-47FF-87C5-32903934EA0A}"/>
    <cellStyle name="標準 4" xfId="7" xr:uid="{938F2D6E-AAAD-484A-9944-9A7F8D2D9B88}"/>
  </cellStyles>
  <dxfs count="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colors>
    <mruColors>
      <color rgb="FFFFFFCC"/>
      <color rgb="FF0033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302621263251172E-2"/>
          <c:y val="5.0925925925925923E-2"/>
          <c:w val="0.9026879026485326"/>
          <c:h val="0.7515933611049056"/>
        </c:manualLayout>
      </c:layout>
      <c:barChart>
        <c:barDir val="col"/>
        <c:grouping val="clustered"/>
        <c:varyColors val="0"/>
        <c:ser>
          <c:idx val="0"/>
          <c:order val="0"/>
          <c:tx>
            <c:strRef>
              <c:f>料金改定率!$I$23</c:f>
              <c:strCache>
                <c:ptCount val="1"/>
                <c:pt idx="0">
                  <c:v>3条</c:v>
                </c:pt>
              </c:strCache>
            </c:strRef>
          </c:tx>
          <c:spPr>
            <a:solidFill>
              <a:schemeClr val="accent1">
                <a:lumMod val="60000"/>
                <a:lumOff val="40000"/>
              </a:schemeClr>
            </a:solidFill>
            <a:ln>
              <a:noFill/>
            </a:ln>
            <a:effectLst/>
          </c:spPr>
          <c:invertIfNegative val="0"/>
          <c:cat>
            <c:multiLvlStrRef>
              <c:f>料金改定率!$J$21:$W$22</c:f>
              <c:multiLvlStrCache>
                <c:ptCount val="14"/>
                <c:lvl>
                  <c:pt idx="0">
                    <c:v>収入</c:v>
                  </c:pt>
                  <c:pt idx="1">
                    <c:v>費用</c:v>
                  </c:pt>
                  <c:pt idx="2">
                    <c:v>収入</c:v>
                  </c:pt>
                  <c:pt idx="3">
                    <c:v>費用</c:v>
                  </c:pt>
                  <c:pt idx="4">
                    <c:v>収入</c:v>
                  </c:pt>
                  <c:pt idx="5">
                    <c:v>費用</c:v>
                  </c:pt>
                  <c:pt idx="6">
                    <c:v>収入</c:v>
                  </c:pt>
                  <c:pt idx="7">
                    <c:v>費用</c:v>
                  </c:pt>
                  <c:pt idx="8">
                    <c:v>収入</c:v>
                  </c:pt>
                  <c:pt idx="9">
                    <c:v>費用</c:v>
                  </c:pt>
                  <c:pt idx="10">
                    <c:v>収入</c:v>
                  </c:pt>
                  <c:pt idx="11">
                    <c:v>費用</c:v>
                  </c:pt>
                  <c:pt idx="12">
                    <c:v>収入</c:v>
                  </c:pt>
                  <c:pt idx="13">
                    <c:v>費用</c:v>
                  </c:pt>
                </c:lvl>
                <c:lvl>
                  <c:pt idx="0">
                    <c:v>H30</c:v>
                  </c:pt>
                  <c:pt idx="2">
                    <c:v>H31</c:v>
                  </c:pt>
                  <c:pt idx="4">
                    <c:v>R10</c:v>
                  </c:pt>
                  <c:pt idx="6">
                    <c:v>R20</c:v>
                  </c:pt>
                  <c:pt idx="8">
                    <c:v>R30</c:v>
                  </c:pt>
                  <c:pt idx="10">
                    <c:v>R40</c:v>
                  </c:pt>
                  <c:pt idx="12">
                    <c:v>R50</c:v>
                  </c:pt>
                </c:lvl>
              </c:multiLvlStrCache>
            </c:multiLvlStrRef>
          </c:cat>
          <c:val>
            <c:numRef>
              <c:f>料金改定率!$J$23:$W$23</c:f>
              <c:numCache>
                <c:formatCode>#,##0,;[Red]\-#,##0,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1D5C-44C4-A91B-08EA5F274567}"/>
            </c:ext>
          </c:extLst>
        </c:ser>
        <c:ser>
          <c:idx val="1"/>
          <c:order val="1"/>
          <c:tx>
            <c:strRef>
              <c:f>料金改定率!$I$24</c:f>
              <c:strCache>
                <c:ptCount val="1"/>
                <c:pt idx="0">
                  <c:v>4条</c:v>
                </c:pt>
              </c:strCache>
            </c:strRef>
          </c:tx>
          <c:spPr>
            <a:solidFill>
              <a:schemeClr val="accent2">
                <a:lumMod val="60000"/>
                <a:lumOff val="40000"/>
              </a:schemeClr>
            </a:solidFill>
            <a:ln>
              <a:noFill/>
            </a:ln>
            <a:effectLst/>
          </c:spPr>
          <c:invertIfNegative val="0"/>
          <c:cat>
            <c:multiLvlStrRef>
              <c:f>料金改定率!$J$21:$W$22</c:f>
              <c:multiLvlStrCache>
                <c:ptCount val="14"/>
                <c:lvl>
                  <c:pt idx="0">
                    <c:v>収入</c:v>
                  </c:pt>
                  <c:pt idx="1">
                    <c:v>費用</c:v>
                  </c:pt>
                  <c:pt idx="2">
                    <c:v>収入</c:v>
                  </c:pt>
                  <c:pt idx="3">
                    <c:v>費用</c:v>
                  </c:pt>
                  <c:pt idx="4">
                    <c:v>収入</c:v>
                  </c:pt>
                  <c:pt idx="5">
                    <c:v>費用</c:v>
                  </c:pt>
                  <c:pt idx="6">
                    <c:v>収入</c:v>
                  </c:pt>
                  <c:pt idx="7">
                    <c:v>費用</c:v>
                  </c:pt>
                  <c:pt idx="8">
                    <c:v>収入</c:v>
                  </c:pt>
                  <c:pt idx="9">
                    <c:v>費用</c:v>
                  </c:pt>
                  <c:pt idx="10">
                    <c:v>収入</c:v>
                  </c:pt>
                  <c:pt idx="11">
                    <c:v>費用</c:v>
                  </c:pt>
                  <c:pt idx="12">
                    <c:v>収入</c:v>
                  </c:pt>
                  <c:pt idx="13">
                    <c:v>費用</c:v>
                  </c:pt>
                </c:lvl>
                <c:lvl>
                  <c:pt idx="0">
                    <c:v>H30</c:v>
                  </c:pt>
                  <c:pt idx="2">
                    <c:v>H31</c:v>
                  </c:pt>
                  <c:pt idx="4">
                    <c:v>R10</c:v>
                  </c:pt>
                  <c:pt idx="6">
                    <c:v>R20</c:v>
                  </c:pt>
                  <c:pt idx="8">
                    <c:v>R30</c:v>
                  </c:pt>
                  <c:pt idx="10">
                    <c:v>R40</c:v>
                  </c:pt>
                  <c:pt idx="12">
                    <c:v>R50</c:v>
                  </c:pt>
                </c:lvl>
              </c:multiLvlStrCache>
            </c:multiLvlStrRef>
          </c:cat>
          <c:val>
            <c:numRef>
              <c:f>料金改定率!$J$24:$W$24</c:f>
              <c:numCache>
                <c:formatCode>#,##0,;[Red]\-#,##0,</c:formatCode>
                <c:ptCount val="14"/>
                <c:pt idx="0">
                  <c:v>9335000</c:v>
                </c:pt>
                <c:pt idx="1">
                  <c:v>280177715</c:v>
                </c:pt>
                <c:pt idx="2">
                  <c:v>150000000000000</c:v>
                </c:pt>
                <c:pt idx="3">
                  <c:v>160000079463153</c:v>
                </c:pt>
                <c:pt idx="4">
                  <c:v>160000130000000</c:v>
                </c:pt>
                <c:pt idx="5">
                  <c:v>160000182991959</c:v>
                </c:pt>
                <c:pt idx="6">
                  <c:v>50000550000000</c:v>
                </c:pt>
                <c:pt idx="7">
                  <c:v>50000681474127</c:v>
                </c:pt>
                <c:pt idx="8">
                  <c:v>50000010000000</c:v>
                </c:pt>
                <c:pt idx="9">
                  <c:v>50000201631756</c:v>
                </c:pt>
                <c:pt idx="10">
                  <c:v>50000010000000</c:v>
                </c:pt>
                <c:pt idx="11">
                  <c:v>50000254808211</c:v>
                </c:pt>
                <c:pt idx="12">
                  <c:v>0</c:v>
                </c:pt>
                <c:pt idx="13">
                  <c:v>192307993</c:v>
                </c:pt>
              </c:numCache>
            </c:numRef>
          </c:val>
          <c:extLst>
            <c:ext xmlns:c16="http://schemas.microsoft.com/office/drawing/2014/chart" uri="{C3380CC4-5D6E-409C-BE32-E72D297353CC}">
              <c16:uniqueId val="{00000001-1D5C-44C4-A91B-08EA5F274567}"/>
            </c:ext>
          </c:extLst>
        </c:ser>
        <c:ser>
          <c:idx val="2"/>
          <c:order val="2"/>
          <c:tx>
            <c:strRef>
              <c:f>料金改定率!$I$25</c:f>
              <c:strCache>
                <c:ptCount val="1"/>
                <c:pt idx="0">
                  <c:v>資金残高</c:v>
                </c:pt>
              </c:strCache>
            </c:strRef>
          </c:tx>
          <c:spPr>
            <a:solidFill>
              <a:schemeClr val="accent6">
                <a:lumMod val="60000"/>
                <a:lumOff val="40000"/>
              </a:schemeClr>
            </a:solidFill>
            <a:ln>
              <a:noFill/>
            </a:ln>
            <a:effectLst/>
          </c:spPr>
          <c:invertIfNegative val="0"/>
          <c:dLbls>
            <c:dLbl>
              <c:idx val="0"/>
              <c:layout>
                <c:manualLayout>
                  <c:x val="-5.6258790436005757E-3"/>
                  <c:y val="-1.4598540145985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4D-4E64-9318-BDC551DAA8C1}"/>
                </c:ext>
              </c:extLst>
            </c:dLbl>
            <c:dLbl>
              <c:idx val="4"/>
              <c:layout>
                <c:manualLayout>
                  <c:x val="-1.4634470830838821E-2"/>
                  <c:y val="-3.9292387076369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5C-44C4-A91B-08EA5F274567}"/>
                </c:ext>
              </c:extLst>
            </c:dLbl>
            <c:dLbl>
              <c:idx val="6"/>
              <c:layout>
                <c:manualLayout>
                  <c:x val="-5.3216257566686626E-3"/>
                  <c:y val="-1.3097576948264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5C-44C4-A91B-08EA5F2745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料金改定率!$J$21:$W$22</c:f>
              <c:multiLvlStrCache>
                <c:ptCount val="14"/>
                <c:lvl>
                  <c:pt idx="0">
                    <c:v>収入</c:v>
                  </c:pt>
                  <c:pt idx="1">
                    <c:v>費用</c:v>
                  </c:pt>
                  <c:pt idx="2">
                    <c:v>収入</c:v>
                  </c:pt>
                  <c:pt idx="3">
                    <c:v>費用</c:v>
                  </c:pt>
                  <c:pt idx="4">
                    <c:v>収入</c:v>
                  </c:pt>
                  <c:pt idx="5">
                    <c:v>費用</c:v>
                  </c:pt>
                  <c:pt idx="6">
                    <c:v>収入</c:v>
                  </c:pt>
                  <c:pt idx="7">
                    <c:v>費用</c:v>
                  </c:pt>
                  <c:pt idx="8">
                    <c:v>収入</c:v>
                  </c:pt>
                  <c:pt idx="9">
                    <c:v>費用</c:v>
                  </c:pt>
                  <c:pt idx="10">
                    <c:v>収入</c:v>
                  </c:pt>
                  <c:pt idx="11">
                    <c:v>費用</c:v>
                  </c:pt>
                  <c:pt idx="12">
                    <c:v>収入</c:v>
                  </c:pt>
                  <c:pt idx="13">
                    <c:v>費用</c:v>
                  </c:pt>
                </c:lvl>
                <c:lvl>
                  <c:pt idx="0">
                    <c:v>H30</c:v>
                  </c:pt>
                  <c:pt idx="2">
                    <c:v>H31</c:v>
                  </c:pt>
                  <c:pt idx="4">
                    <c:v>R10</c:v>
                  </c:pt>
                  <c:pt idx="6">
                    <c:v>R20</c:v>
                  </c:pt>
                  <c:pt idx="8">
                    <c:v>R30</c:v>
                  </c:pt>
                  <c:pt idx="10">
                    <c:v>R40</c:v>
                  </c:pt>
                  <c:pt idx="12">
                    <c:v>R50</c:v>
                  </c:pt>
                </c:lvl>
              </c:multiLvlStrCache>
            </c:multiLvlStrRef>
          </c:cat>
          <c:val>
            <c:numRef>
              <c:f>料金改定率!$J$25:$W$25</c:f>
              <c:numCache>
                <c:formatCode>#,##0,;[Red]\-#,##0,</c:formatCode>
                <c:ptCount val="14"/>
                <c:pt idx="0">
                  <c:v>132458270</c:v>
                </c:pt>
                <c:pt idx="2">
                  <c:v>0</c:v>
                </c:pt>
                <c:pt idx="4">
                  <c:v>0</c:v>
                </c:pt>
                <c:pt idx="6">
                  <c:v>0</c:v>
                </c:pt>
                <c:pt idx="8">
                  <c:v>0</c:v>
                </c:pt>
                <c:pt idx="10">
                  <c:v>0</c:v>
                </c:pt>
                <c:pt idx="12">
                  <c:v>0</c:v>
                </c:pt>
              </c:numCache>
            </c:numRef>
          </c:val>
          <c:extLst>
            <c:ext xmlns:c16="http://schemas.microsoft.com/office/drawing/2014/chart" uri="{C3380CC4-5D6E-409C-BE32-E72D297353CC}">
              <c16:uniqueId val="{00000003-1D5C-44C4-A91B-08EA5F274567}"/>
            </c:ext>
          </c:extLst>
        </c:ser>
        <c:ser>
          <c:idx val="3"/>
          <c:order val="3"/>
          <c:tx>
            <c:strRef>
              <c:f>料金改定率!$I$26</c:f>
              <c:strCache>
                <c:ptCount val="1"/>
                <c:pt idx="0">
                  <c:v>企業債残高</c:v>
                </c:pt>
              </c:strCache>
            </c:strRef>
          </c:tx>
          <c:spPr>
            <a:solidFill>
              <a:schemeClr val="accent4"/>
            </a:solidFill>
            <a:ln>
              <a:noFill/>
            </a:ln>
            <a:effectLst/>
          </c:spPr>
          <c:invertIfNegative val="0"/>
          <c:dLbls>
            <c:dLbl>
              <c:idx val="0"/>
              <c:layout>
                <c:manualLayout>
                  <c:x val="8.438818565400831E-3"/>
                  <c:y val="-5.8394160583941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4D-4E64-9318-BDC551DAA8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料金改定率!$J$21:$W$22</c:f>
              <c:multiLvlStrCache>
                <c:ptCount val="14"/>
                <c:lvl>
                  <c:pt idx="0">
                    <c:v>収入</c:v>
                  </c:pt>
                  <c:pt idx="1">
                    <c:v>費用</c:v>
                  </c:pt>
                  <c:pt idx="2">
                    <c:v>収入</c:v>
                  </c:pt>
                  <c:pt idx="3">
                    <c:v>費用</c:v>
                  </c:pt>
                  <c:pt idx="4">
                    <c:v>収入</c:v>
                  </c:pt>
                  <c:pt idx="5">
                    <c:v>費用</c:v>
                  </c:pt>
                  <c:pt idx="6">
                    <c:v>収入</c:v>
                  </c:pt>
                  <c:pt idx="7">
                    <c:v>費用</c:v>
                  </c:pt>
                  <c:pt idx="8">
                    <c:v>収入</c:v>
                  </c:pt>
                  <c:pt idx="9">
                    <c:v>費用</c:v>
                  </c:pt>
                  <c:pt idx="10">
                    <c:v>収入</c:v>
                  </c:pt>
                  <c:pt idx="11">
                    <c:v>費用</c:v>
                  </c:pt>
                  <c:pt idx="12">
                    <c:v>収入</c:v>
                  </c:pt>
                  <c:pt idx="13">
                    <c:v>費用</c:v>
                  </c:pt>
                </c:lvl>
                <c:lvl>
                  <c:pt idx="0">
                    <c:v>H30</c:v>
                  </c:pt>
                  <c:pt idx="2">
                    <c:v>H31</c:v>
                  </c:pt>
                  <c:pt idx="4">
                    <c:v>R10</c:v>
                  </c:pt>
                  <c:pt idx="6">
                    <c:v>R20</c:v>
                  </c:pt>
                  <c:pt idx="8">
                    <c:v>R30</c:v>
                  </c:pt>
                  <c:pt idx="10">
                    <c:v>R40</c:v>
                  </c:pt>
                  <c:pt idx="12">
                    <c:v>R50</c:v>
                  </c:pt>
                </c:lvl>
              </c:multiLvlStrCache>
            </c:multiLvlStrRef>
          </c:cat>
          <c:val>
            <c:numRef>
              <c:f>料金改定率!$J$26:$W$26</c:f>
              <c:numCache>
                <c:formatCode>#,##0,;[Red]\-#,##0,</c:formatCode>
                <c:ptCount val="14"/>
                <c:pt idx="0">
                  <c:v>763361128</c:v>
                </c:pt>
                <c:pt idx="2">
                  <c:v>450554111</c:v>
                </c:pt>
                <c:pt idx="4">
                  <c:v>2822863405</c:v>
                </c:pt>
                <c:pt idx="6">
                  <c:v>6354190571</c:v>
                </c:pt>
                <c:pt idx="8">
                  <c:v>5688232449</c:v>
                </c:pt>
                <c:pt idx="10">
                  <c:v>3988555190</c:v>
                </c:pt>
                <c:pt idx="12">
                  <c:v>1904019121</c:v>
                </c:pt>
              </c:numCache>
            </c:numRef>
          </c:val>
          <c:extLst>
            <c:ext xmlns:c16="http://schemas.microsoft.com/office/drawing/2014/chart" uri="{C3380CC4-5D6E-409C-BE32-E72D297353CC}">
              <c16:uniqueId val="{00000004-1D5C-44C4-A91B-08EA5F274567}"/>
            </c:ext>
          </c:extLst>
        </c:ser>
        <c:dLbls>
          <c:showLegendKey val="0"/>
          <c:showVal val="0"/>
          <c:showCatName val="0"/>
          <c:showSerName val="0"/>
          <c:showPercent val="0"/>
          <c:showBubbleSize val="0"/>
        </c:dLbls>
        <c:gapWidth val="150"/>
        <c:axId val="509281088"/>
        <c:axId val="614187936"/>
      </c:barChart>
      <c:catAx>
        <c:axId val="5092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14187936"/>
        <c:crosses val="autoZero"/>
        <c:auto val="1"/>
        <c:lblAlgn val="ctr"/>
        <c:lblOffset val="100"/>
        <c:noMultiLvlLbl val="0"/>
      </c:catAx>
      <c:valAx>
        <c:axId val="614187936"/>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09281088"/>
        <c:crosses val="autoZero"/>
        <c:crossBetween val="between"/>
      </c:valAx>
      <c:spPr>
        <a:noFill/>
        <a:ln>
          <a:noFill/>
        </a:ln>
        <a:effectLst/>
      </c:spPr>
    </c:plotArea>
    <c:legend>
      <c:legendPos val="b"/>
      <c:layout>
        <c:manualLayout>
          <c:xMode val="edge"/>
          <c:yMode val="edge"/>
          <c:x val="8.5118110236220471E-2"/>
          <c:y val="2.7017792724719412E-2"/>
          <c:w val="0.16504457603956529"/>
          <c:h val="0.22573890220244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42104938968687E-2"/>
          <c:y val="5.0925925925925923E-2"/>
          <c:w val="0.9235484058625657"/>
          <c:h val="0.7515933611049056"/>
        </c:manualLayout>
      </c:layout>
      <c:barChart>
        <c:barDir val="col"/>
        <c:grouping val="clustered"/>
        <c:varyColors val="0"/>
        <c:ser>
          <c:idx val="0"/>
          <c:order val="0"/>
          <c:tx>
            <c:strRef>
              <c:f>報告書用グラフ!$I$23</c:f>
              <c:strCache>
                <c:ptCount val="1"/>
                <c:pt idx="0">
                  <c:v>3条</c:v>
                </c:pt>
              </c:strCache>
            </c:strRef>
          </c:tx>
          <c:spPr>
            <a:solidFill>
              <a:schemeClr val="accent1">
                <a:lumMod val="60000"/>
                <a:lumOff val="40000"/>
              </a:schemeClr>
            </a:solidFill>
            <a:ln>
              <a:noFill/>
            </a:ln>
            <a:effectLst/>
          </c:spPr>
          <c:invertIfNegative val="0"/>
          <c:cat>
            <c:multiLvlStrRef>
              <c:f>報告書用グラフ!$J$21:$AE$22</c:f>
              <c:multiLvlStrCache>
                <c:ptCount val="22"/>
                <c:lvl>
                  <c:pt idx="0">
                    <c:v>収入</c:v>
                  </c:pt>
                  <c:pt idx="1">
                    <c:v>費用</c:v>
                  </c:pt>
                  <c:pt idx="2">
                    <c:v>収入</c:v>
                  </c:pt>
                  <c:pt idx="3">
                    <c:v>費用</c:v>
                  </c:pt>
                  <c:pt idx="4">
                    <c:v>収入</c:v>
                  </c:pt>
                  <c:pt idx="5">
                    <c:v>費用</c:v>
                  </c:pt>
                  <c:pt idx="6">
                    <c:v>収入</c:v>
                  </c:pt>
                  <c:pt idx="7">
                    <c:v>費用</c:v>
                  </c:pt>
                  <c:pt idx="8">
                    <c:v>収入</c:v>
                  </c:pt>
                  <c:pt idx="9">
                    <c:v>費用</c:v>
                  </c:pt>
                  <c:pt idx="10">
                    <c:v>収入</c:v>
                  </c:pt>
                  <c:pt idx="11">
                    <c:v>費用</c:v>
                  </c:pt>
                  <c:pt idx="12">
                    <c:v>収入</c:v>
                  </c:pt>
                  <c:pt idx="13">
                    <c:v>費用</c:v>
                  </c:pt>
                  <c:pt idx="14">
                    <c:v>収入</c:v>
                  </c:pt>
                  <c:pt idx="15">
                    <c:v>費用</c:v>
                  </c:pt>
                  <c:pt idx="16">
                    <c:v>収入</c:v>
                  </c:pt>
                  <c:pt idx="17">
                    <c:v>費用</c:v>
                  </c:pt>
                  <c:pt idx="18">
                    <c:v>収入</c:v>
                  </c:pt>
                  <c:pt idx="19">
                    <c:v>費用</c:v>
                  </c:pt>
                  <c:pt idx="20">
                    <c:v>収入</c:v>
                  </c:pt>
                  <c:pt idx="21">
                    <c:v>費用</c:v>
                  </c:pt>
                </c:lvl>
                <c:lvl>
                  <c:pt idx="0">
                    <c:v>H30</c:v>
                  </c:pt>
                  <c:pt idx="2">
                    <c:v>H31</c:v>
                  </c:pt>
                  <c:pt idx="4">
                    <c:v>R2</c:v>
                  </c:pt>
                  <c:pt idx="6">
                    <c:v>R3</c:v>
                  </c:pt>
                  <c:pt idx="8">
                    <c:v>R4</c:v>
                  </c:pt>
                  <c:pt idx="10">
                    <c:v>R5</c:v>
                  </c:pt>
                  <c:pt idx="12">
                    <c:v>R6</c:v>
                  </c:pt>
                  <c:pt idx="14">
                    <c:v>R7</c:v>
                  </c:pt>
                  <c:pt idx="16">
                    <c:v>R8</c:v>
                  </c:pt>
                  <c:pt idx="18">
                    <c:v>R9</c:v>
                  </c:pt>
                  <c:pt idx="20">
                    <c:v>R10</c:v>
                  </c:pt>
                </c:lvl>
              </c:multiLvlStrCache>
            </c:multiLvlStrRef>
          </c:cat>
          <c:val>
            <c:numRef>
              <c:f>報告書用グラフ!$J$23:$AE$23</c:f>
              <c:numCache>
                <c:formatCode>#,##0,;[Red]\-#,##0,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96C5-4890-8E36-F0618AFCE8D3}"/>
            </c:ext>
          </c:extLst>
        </c:ser>
        <c:ser>
          <c:idx val="1"/>
          <c:order val="1"/>
          <c:tx>
            <c:strRef>
              <c:f>報告書用グラフ!$I$24</c:f>
              <c:strCache>
                <c:ptCount val="1"/>
                <c:pt idx="0">
                  <c:v>4条</c:v>
                </c:pt>
              </c:strCache>
            </c:strRef>
          </c:tx>
          <c:spPr>
            <a:solidFill>
              <a:schemeClr val="accent2">
                <a:lumMod val="60000"/>
                <a:lumOff val="40000"/>
              </a:schemeClr>
            </a:solidFill>
            <a:ln>
              <a:noFill/>
            </a:ln>
            <a:effectLst/>
          </c:spPr>
          <c:invertIfNegative val="0"/>
          <c:cat>
            <c:multiLvlStrRef>
              <c:f>報告書用グラフ!$J$21:$AE$22</c:f>
              <c:multiLvlStrCache>
                <c:ptCount val="22"/>
                <c:lvl>
                  <c:pt idx="0">
                    <c:v>収入</c:v>
                  </c:pt>
                  <c:pt idx="1">
                    <c:v>費用</c:v>
                  </c:pt>
                  <c:pt idx="2">
                    <c:v>収入</c:v>
                  </c:pt>
                  <c:pt idx="3">
                    <c:v>費用</c:v>
                  </c:pt>
                  <c:pt idx="4">
                    <c:v>収入</c:v>
                  </c:pt>
                  <c:pt idx="5">
                    <c:v>費用</c:v>
                  </c:pt>
                  <c:pt idx="6">
                    <c:v>収入</c:v>
                  </c:pt>
                  <c:pt idx="7">
                    <c:v>費用</c:v>
                  </c:pt>
                  <c:pt idx="8">
                    <c:v>収入</c:v>
                  </c:pt>
                  <c:pt idx="9">
                    <c:v>費用</c:v>
                  </c:pt>
                  <c:pt idx="10">
                    <c:v>収入</c:v>
                  </c:pt>
                  <c:pt idx="11">
                    <c:v>費用</c:v>
                  </c:pt>
                  <c:pt idx="12">
                    <c:v>収入</c:v>
                  </c:pt>
                  <c:pt idx="13">
                    <c:v>費用</c:v>
                  </c:pt>
                  <c:pt idx="14">
                    <c:v>収入</c:v>
                  </c:pt>
                  <c:pt idx="15">
                    <c:v>費用</c:v>
                  </c:pt>
                  <c:pt idx="16">
                    <c:v>収入</c:v>
                  </c:pt>
                  <c:pt idx="17">
                    <c:v>費用</c:v>
                  </c:pt>
                  <c:pt idx="18">
                    <c:v>収入</c:v>
                  </c:pt>
                  <c:pt idx="19">
                    <c:v>費用</c:v>
                  </c:pt>
                  <c:pt idx="20">
                    <c:v>収入</c:v>
                  </c:pt>
                  <c:pt idx="21">
                    <c:v>費用</c:v>
                  </c:pt>
                </c:lvl>
                <c:lvl>
                  <c:pt idx="0">
                    <c:v>H30</c:v>
                  </c:pt>
                  <c:pt idx="2">
                    <c:v>H31</c:v>
                  </c:pt>
                  <c:pt idx="4">
                    <c:v>R2</c:v>
                  </c:pt>
                  <c:pt idx="6">
                    <c:v>R3</c:v>
                  </c:pt>
                  <c:pt idx="8">
                    <c:v>R4</c:v>
                  </c:pt>
                  <c:pt idx="10">
                    <c:v>R5</c:v>
                  </c:pt>
                  <c:pt idx="12">
                    <c:v>R6</c:v>
                  </c:pt>
                  <c:pt idx="14">
                    <c:v>R7</c:v>
                  </c:pt>
                  <c:pt idx="16">
                    <c:v>R8</c:v>
                  </c:pt>
                  <c:pt idx="18">
                    <c:v>R9</c:v>
                  </c:pt>
                  <c:pt idx="20">
                    <c:v>R10</c:v>
                  </c:pt>
                </c:lvl>
              </c:multiLvlStrCache>
            </c:multiLvlStrRef>
          </c:cat>
          <c:val>
            <c:numRef>
              <c:f>報告書用グラフ!$J$24:$AE$24</c:f>
              <c:numCache>
                <c:formatCode>#,##0,;[Red]\-#,##0,</c:formatCode>
                <c:ptCount val="22"/>
                <c:pt idx="0">
                  <c:v>9335000</c:v>
                </c:pt>
                <c:pt idx="1">
                  <c:v>280177715</c:v>
                </c:pt>
                <c:pt idx="2">
                  <c:v>150000000000000</c:v>
                </c:pt>
                <c:pt idx="3">
                  <c:v>160000079463153</c:v>
                </c:pt>
                <c:pt idx="4">
                  <c:v>150000035000000</c:v>
                </c:pt>
                <c:pt idx="5">
                  <c:v>250000103677346</c:v>
                </c:pt>
                <c:pt idx="6">
                  <c:v>160000750000000</c:v>
                </c:pt>
                <c:pt idx="7">
                  <c:v>260000809243717</c:v>
                </c:pt>
                <c:pt idx="8">
                  <c:v>160000670000000</c:v>
                </c:pt>
                <c:pt idx="9">
                  <c:v>260000726944226</c:v>
                </c:pt>
                <c:pt idx="10">
                  <c:v>160000220000000</c:v>
                </c:pt>
                <c:pt idx="11">
                  <c:v>260000264070542</c:v>
                </c:pt>
                <c:pt idx="12">
                  <c:v>160000070000000</c:v>
                </c:pt>
                <c:pt idx="13">
                  <c:v>260000105997091</c:v>
                </c:pt>
                <c:pt idx="14">
                  <c:v>160000150000000</c:v>
                </c:pt>
                <c:pt idx="15">
                  <c:v>160000187918317</c:v>
                </c:pt>
                <c:pt idx="16">
                  <c:v>160000150000000</c:v>
                </c:pt>
                <c:pt idx="17">
                  <c:v>160000191518197</c:v>
                </c:pt>
                <c:pt idx="18">
                  <c:v>160000210000000</c:v>
                </c:pt>
                <c:pt idx="19">
                  <c:v>160000256399311</c:v>
                </c:pt>
                <c:pt idx="20">
                  <c:v>160000130000000</c:v>
                </c:pt>
                <c:pt idx="21">
                  <c:v>160000182991959</c:v>
                </c:pt>
              </c:numCache>
            </c:numRef>
          </c:val>
          <c:extLst>
            <c:ext xmlns:c16="http://schemas.microsoft.com/office/drawing/2014/chart" uri="{C3380CC4-5D6E-409C-BE32-E72D297353CC}">
              <c16:uniqueId val="{00000001-96C5-4890-8E36-F0618AFCE8D3}"/>
            </c:ext>
          </c:extLst>
        </c:ser>
        <c:ser>
          <c:idx val="2"/>
          <c:order val="2"/>
          <c:tx>
            <c:strRef>
              <c:f>報告書用グラフ!$I$25</c:f>
              <c:strCache>
                <c:ptCount val="1"/>
                <c:pt idx="0">
                  <c:v>資金残高</c:v>
                </c:pt>
              </c:strCache>
            </c:strRef>
          </c:tx>
          <c:spPr>
            <a:solidFill>
              <a:schemeClr val="accent6">
                <a:lumMod val="60000"/>
                <a:lumOff val="40000"/>
              </a:schemeClr>
            </a:solidFill>
            <a:ln>
              <a:noFill/>
            </a:ln>
            <a:effectLst/>
          </c:spPr>
          <c:invertIfNegative val="0"/>
          <c:dLbls>
            <c:dLbl>
              <c:idx val="0"/>
              <c:layout>
                <c:manualLayout>
                  <c:x val="-5.6258790436005757E-3"/>
                  <c:y val="-1.4598540145985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C5-4890-8E36-F0618AFCE8D3}"/>
                </c:ext>
              </c:extLst>
            </c:dLbl>
            <c:dLbl>
              <c:idx val="4"/>
              <c:layout>
                <c:manualLayout>
                  <c:x val="-1.4634470830838821E-2"/>
                  <c:y val="-3.9292387076369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C5-4890-8E36-F0618AFCE8D3}"/>
                </c:ext>
              </c:extLst>
            </c:dLbl>
            <c:dLbl>
              <c:idx val="6"/>
              <c:layout>
                <c:manualLayout>
                  <c:x val="-5.3216257566686626E-3"/>
                  <c:y val="-1.3097576948264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C5-4890-8E36-F0618AFCE8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報告書用グラフ!$J$21:$AE$22</c:f>
              <c:multiLvlStrCache>
                <c:ptCount val="22"/>
                <c:lvl>
                  <c:pt idx="0">
                    <c:v>収入</c:v>
                  </c:pt>
                  <c:pt idx="1">
                    <c:v>費用</c:v>
                  </c:pt>
                  <c:pt idx="2">
                    <c:v>収入</c:v>
                  </c:pt>
                  <c:pt idx="3">
                    <c:v>費用</c:v>
                  </c:pt>
                  <c:pt idx="4">
                    <c:v>収入</c:v>
                  </c:pt>
                  <c:pt idx="5">
                    <c:v>費用</c:v>
                  </c:pt>
                  <c:pt idx="6">
                    <c:v>収入</c:v>
                  </c:pt>
                  <c:pt idx="7">
                    <c:v>費用</c:v>
                  </c:pt>
                  <c:pt idx="8">
                    <c:v>収入</c:v>
                  </c:pt>
                  <c:pt idx="9">
                    <c:v>費用</c:v>
                  </c:pt>
                  <c:pt idx="10">
                    <c:v>収入</c:v>
                  </c:pt>
                  <c:pt idx="11">
                    <c:v>費用</c:v>
                  </c:pt>
                  <c:pt idx="12">
                    <c:v>収入</c:v>
                  </c:pt>
                  <c:pt idx="13">
                    <c:v>費用</c:v>
                  </c:pt>
                  <c:pt idx="14">
                    <c:v>収入</c:v>
                  </c:pt>
                  <c:pt idx="15">
                    <c:v>費用</c:v>
                  </c:pt>
                  <c:pt idx="16">
                    <c:v>収入</c:v>
                  </c:pt>
                  <c:pt idx="17">
                    <c:v>費用</c:v>
                  </c:pt>
                  <c:pt idx="18">
                    <c:v>収入</c:v>
                  </c:pt>
                  <c:pt idx="19">
                    <c:v>費用</c:v>
                  </c:pt>
                  <c:pt idx="20">
                    <c:v>収入</c:v>
                  </c:pt>
                  <c:pt idx="21">
                    <c:v>費用</c:v>
                  </c:pt>
                </c:lvl>
                <c:lvl>
                  <c:pt idx="0">
                    <c:v>H30</c:v>
                  </c:pt>
                  <c:pt idx="2">
                    <c:v>H31</c:v>
                  </c:pt>
                  <c:pt idx="4">
                    <c:v>R2</c:v>
                  </c:pt>
                  <c:pt idx="6">
                    <c:v>R3</c:v>
                  </c:pt>
                  <c:pt idx="8">
                    <c:v>R4</c:v>
                  </c:pt>
                  <c:pt idx="10">
                    <c:v>R5</c:v>
                  </c:pt>
                  <c:pt idx="12">
                    <c:v>R6</c:v>
                  </c:pt>
                  <c:pt idx="14">
                    <c:v>R7</c:v>
                  </c:pt>
                  <c:pt idx="16">
                    <c:v>R8</c:v>
                  </c:pt>
                  <c:pt idx="18">
                    <c:v>R9</c:v>
                  </c:pt>
                  <c:pt idx="20">
                    <c:v>R10</c:v>
                  </c:pt>
                </c:lvl>
              </c:multiLvlStrCache>
            </c:multiLvlStrRef>
          </c:cat>
          <c:val>
            <c:numRef>
              <c:f>報告書用グラフ!$J$25:$AE$25</c:f>
              <c:numCache>
                <c:formatCode>#,##0,;[Red]\-#,##0,</c:formatCode>
                <c:ptCount val="22"/>
                <c:pt idx="0">
                  <c:v>132458270</c:v>
                </c:pt>
                <c:pt idx="2">
                  <c:v>0</c:v>
                </c:pt>
                <c:pt idx="4">
                  <c:v>0</c:v>
                </c:pt>
                <c:pt idx="6">
                  <c:v>0</c:v>
                </c:pt>
                <c:pt idx="8">
                  <c:v>0</c:v>
                </c:pt>
                <c:pt idx="10">
                  <c:v>0</c:v>
                </c:pt>
                <c:pt idx="12">
                  <c:v>0</c:v>
                </c:pt>
                <c:pt idx="14">
                  <c:v>0</c:v>
                </c:pt>
                <c:pt idx="16">
                  <c:v>0</c:v>
                </c:pt>
                <c:pt idx="18">
                  <c:v>0</c:v>
                </c:pt>
                <c:pt idx="20">
                  <c:v>0</c:v>
                </c:pt>
              </c:numCache>
            </c:numRef>
          </c:val>
          <c:extLst>
            <c:ext xmlns:c16="http://schemas.microsoft.com/office/drawing/2014/chart" uri="{C3380CC4-5D6E-409C-BE32-E72D297353CC}">
              <c16:uniqueId val="{00000005-96C5-4890-8E36-F0618AFCE8D3}"/>
            </c:ext>
          </c:extLst>
        </c:ser>
        <c:ser>
          <c:idx val="3"/>
          <c:order val="3"/>
          <c:tx>
            <c:strRef>
              <c:f>報告書用グラフ!$I$26</c:f>
              <c:strCache>
                <c:ptCount val="1"/>
                <c:pt idx="0">
                  <c:v>企業債残高</c:v>
                </c:pt>
              </c:strCache>
            </c:strRef>
          </c:tx>
          <c:spPr>
            <a:solidFill>
              <a:schemeClr val="accent4"/>
            </a:solidFill>
            <a:ln>
              <a:noFill/>
            </a:ln>
            <a:effectLst/>
          </c:spPr>
          <c:invertIfNegative val="0"/>
          <c:dLbls>
            <c:dLbl>
              <c:idx val="0"/>
              <c:layout>
                <c:manualLayout>
                  <c:x val="8.438818565400831E-3"/>
                  <c:y val="-5.8394160583941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C5-4890-8E36-F0618AFCE8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報告書用グラフ!$J$21:$AE$22</c:f>
              <c:multiLvlStrCache>
                <c:ptCount val="22"/>
                <c:lvl>
                  <c:pt idx="0">
                    <c:v>収入</c:v>
                  </c:pt>
                  <c:pt idx="1">
                    <c:v>費用</c:v>
                  </c:pt>
                  <c:pt idx="2">
                    <c:v>収入</c:v>
                  </c:pt>
                  <c:pt idx="3">
                    <c:v>費用</c:v>
                  </c:pt>
                  <c:pt idx="4">
                    <c:v>収入</c:v>
                  </c:pt>
                  <c:pt idx="5">
                    <c:v>費用</c:v>
                  </c:pt>
                  <c:pt idx="6">
                    <c:v>収入</c:v>
                  </c:pt>
                  <c:pt idx="7">
                    <c:v>費用</c:v>
                  </c:pt>
                  <c:pt idx="8">
                    <c:v>収入</c:v>
                  </c:pt>
                  <c:pt idx="9">
                    <c:v>費用</c:v>
                  </c:pt>
                  <c:pt idx="10">
                    <c:v>収入</c:v>
                  </c:pt>
                  <c:pt idx="11">
                    <c:v>費用</c:v>
                  </c:pt>
                  <c:pt idx="12">
                    <c:v>収入</c:v>
                  </c:pt>
                  <c:pt idx="13">
                    <c:v>費用</c:v>
                  </c:pt>
                  <c:pt idx="14">
                    <c:v>収入</c:v>
                  </c:pt>
                  <c:pt idx="15">
                    <c:v>費用</c:v>
                  </c:pt>
                  <c:pt idx="16">
                    <c:v>収入</c:v>
                  </c:pt>
                  <c:pt idx="17">
                    <c:v>費用</c:v>
                  </c:pt>
                  <c:pt idx="18">
                    <c:v>収入</c:v>
                  </c:pt>
                  <c:pt idx="19">
                    <c:v>費用</c:v>
                  </c:pt>
                  <c:pt idx="20">
                    <c:v>収入</c:v>
                  </c:pt>
                  <c:pt idx="21">
                    <c:v>費用</c:v>
                  </c:pt>
                </c:lvl>
                <c:lvl>
                  <c:pt idx="0">
                    <c:v>H30</c:v>
                  </c:pt>
                  <c:pt idx="2">
                    <c:v>H31</c:v>
                  </c:pt>
                  <c:pt idx="4">
                    <c:v>R2</c:v>
                  </c:pt>
                  <c:pt idx="6">
                    <c:v>R3</c:v>
                  </c:pt>
                  <c:pt idx="8">
                    <c:v>R4</c:v>
                  </c:pt>
                  <c:pt idx="10">
                    <c:v>R5</c:v>
                  </c:pt>
                  <c:pt idx="12">
                    <c:v>R6</c:v>
                  </c:pt>
                  <c:pt idx="14">
                    <c:v>R7</c:v>
                  </c:pt>
                  <c:pt idx="16">
                    <c:v>R8</c:v>
                  </c:pt>
                  <c:pt idx="18">
                    <c:v>R9</c:v>
                  </c:pt>
                  <c:pt idx="20">
                    <c:v>R10</c:v>
                  </c:pt>
                </c:lvl>
              </c:multiLvlStrCache>
            </c:multiLvlStrRef>
          </c:cat>
          <c:val>
            <c:numRef>
              <c:f>報告書用グラフ!$J$26:$AE$26</c:f>
              <c:numCache>
                <c:formatCode>#,##0,;[Red]\-#,##0,</c:formatCode>
                <c:ptCount val="22"/>
                <c:pt idx="0">
                  <c:v>763361128</c:v>
                </c:pt>
                <c:pt idx="2">
                  <c:v>450554111</c:v>
                </c:pt>
                <c:pt idx="4">
                  <c:v>585276765</c:v>
                </c:pt>
                <c:pt idx="6">
                  <c:v>974703048</c:v>
                </c:pt>
                <c:pt idx="8">
                  <c:v>1319758822</c:v>
                </c:pt>
                <c:pt idx="10">
                  <c:v>1662688280</c:v>
                </c:pt>
                <c:pt idx="12">
                  <c:v>1863691189</c:v>
                </c:pt>
                <c:pt idx="14">
                  <c:v>2062772872</c:v>
                </c:pt>
                <c:pt idx="16">
                  <c:v>2308254675</c:v>
                </c:pt>
                <c:pt idx="18">
                  <c:v>2608855364</c:v>
                </c:pt>
                <c:pt idx="20">
                  <c:v>2822863405</c:v>
                </c:pt>
              </c:numCache>
            </c:numRef>
          </c:val>
          <c:extLst>
            <c:ext xmlns:c16="http://schemas.microsoft.com/office/drawing/2014/chart" uri="{C3380CC4-5D6E-409C-BE32-E72D297353CC}">
              <c16:uniqueId val="{00000007-96C5-4890-8E36-F0618AFCE8D3}"/>
            </c:ext>
          </c:extLst>
        </c:ser>
        <c:dLbls>
          <c:showLegendKey val="0"/>
          <c:showVal val="0"/>
          <c:showCatName val="0"/>
          <c:showSerName val="0"/>
          <c:showPercent val="0"/>
          <c:showBubbleSize val="0"/>
        </c:dLbls>
        <c:gapWidth val="150"/>
        <c:axId val="509281088"/>
        <c:axId val="614187936"/>
      </c:barChart>
      <c:catAx>
        <c:axId val="5092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14187936"/>
        <c:crosses val="autoZero"/>
        <c:auto val="1"/>
        <c:lblAlgn val="ctr"/>
        <c:lblOffset val="100"/>
        <c:noMultiLvlLbl val="0"/>
      </c:catAx>
      <c:valAx>
        <c:axId val="614187936"/>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09281088"/>
        <c:crosses val="autoZero"/>
        <c:crossBetween val="between"/>
      </c:valAx>
      <c:spPr>
        <a:noFill/>
        <a:ln>
          <a:noFill/>
        </a:ln>
        <a:effectLst/>
      </c:spPr>
    </c:plotArea>
    <c:legend>
      <c:legendPos val="b"/>
      <c:layout>
        <c:manualLayout>
          <c:xMode val="edge"/>
          <c:yMode val="edge"/>
          <c:x val="8.5118110236220471E-2"/>
          <c:y val="2.7017792724719412E-2"/>
          <c:w val="0.16504457603956529"/>
          <c:h val="0.22573890220244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49529</xdr:colOff>
      <xdr:row>2</xdr:row>
      <xdr:rowOff>22860</xdr:rowOff>
    </xdr:from>
    <xdr:to>
      <xdr:col>22</xdr:col>
      <xdr:colOff>285749</xdr:colOff>
      <xdr:row>17</xdr:row>
      <xdr:rowOff>95249</xdr:rowOff>
    </xdr:to>
    <xdr:graphicFrame macro="">
      <xdr:nvGraphicFramePr>
        <xdr:cNvPr id="2" name="グラフ 1">
          <a:extLst>
            <a:ext uri="{FF2B5EF4-FFF2-40B4-BE49-F238E27FC236}">
              <a16:creationId xmlns:a16="http://schemas.microsoft.com/office/drawing/2014/main" id="{C9BE6B59-D372-45EF-8408-48C82EE54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27</xdr:row>
      <xdr:rowOff>0</xdr:rowOff>
    </xdr:from>
    <xdr:to>
      <xdr:col>22</xdr:col>
      <xdr:colOff>314325</xdr:colOff>
      <xdr:row>40</xdr:row>
      <xdr:rowOff>114300</xdr:rowOff>
    </xdr:to>
    <xdr:sp macro="" textlink="">
      <xdr:nvSpPr>
        <xdr:cNvPr id="3" name="正方形/長方形 2">
          <a:extLst>
            <a:ext uri="{FF2B5EF4-FFF2-40B4-BE49-F238E27FC236}">
              <a16:creationId xmlns:a16="http://schemas.microsoft.com/office/drawing/2014/main" id="{F473C3CA-2B27-4CC6-8C00-2B6386ECCFED}"/>
            </a:ext>
          </a:extLst>
        </xdr:cNvPr>
        <xdr:cNvSpPr/>
      </xdr:nvSpPr>
      <xdr:spPr>
        <a:xfrm>
          <a:off x="276225" y="5248275"/>
          <a:ext cx="13944600" cy="174307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課題</a:t>
          </a:r>
          <a:r>
            <a:rPr kumimoji="1" lang="en-US" altLang="ja-JP" sz="1050">
              <a:latin typeface="Meiryo UI" panose="020B0604030504040204" pitchFamily="50" charset="-128"/>
              <a:ea typeface="Meiryo UI" panose="020B0604030504040204" pitchFamily="50" charset="-128"/>
            </a:rPr>
            <a:t>】</a:t>
          </a:r>
        </a:p>
        <a:p>
          <a:pPr algn="l"/>
          <a:r>
            <a:rPr kumimoji="1" lang="ja-JP" altLang="en-US" sz="1050">
              <a:latin typeface="Meiryo UI" panose="020B0604030504040204" pitchFamily="50" charset="-128"/>
              <a:ea typeface="Meiryo UI" panose="020B0604030504040204" pitchFamily="50" charset="-128"/>
            </a:rPr>
            <a:t>　①耐用年数をすでに到来している固定資産が多く、試算初年度（</a:t>
          </a:r>
          <a:r>
            <a:rPr kumimoji="1" lang="en-US" altLang="ja-JP" sz="1050">
              <a:latin typeface="Meiryo UI" panose="020B0604030504040204" pitchFamily="50" charset="-128"/>
              <a:ea typeface="Meiryo UI" panose="020B0604030504040204" pitchFamily="50" charset="-128"/>
            </a:rPr>
            <a:t>H31</a:t>
          </a:r>
          <a:r>
            <a:rPr kumimoji="1" lang="ja-JP" altLang="en-US" sz="1050">
              <a:latin typeface="Meiryo UI" panose="020B0604030504040204" pitchFamily="50" charset="-128"/>
              <a:ea typeface="Meiryo UI" panose="020B0604030504040204" pitchFamily="50" charset="-128"/>
            </a:rPr>
            <a:t>年度）に更新投資を実行すると、約</a:t>
          </a:r>
          <a:r>
            <a:rPr kumimoji="1" lang="en-US" altLang="ja-JP" sz="1050">
              <a:latin typeface="Meiryo UI" panose="020B0604030504040204" pitchFamily="50" charset="-128"/>
              <a:ea typeface="Meiryo UI" panose="020B0604030504040204" pitchFamily="50" charset="-128"/>
            </a:rPr>
            <a:t>19</a:t>
          </a:r>
          <a:r>
            <a:rPr kumimoji="1" lang="ja-JP" altLang="en-US" sz="1050">
              <a:latin typeface="Meiryo UI" panose="020B0604030504040204" pitchFamily="50" charset="-128"/>
              <a:ea typeface="Meiryo UI" panose="020B0604030504040204" pitchFamily="50" charset="-128"/>
            </a:rPr>
            <a:t>億円の建設改良が必要となる。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②①の更新投資をほぼ全額、企業債で財源措置すると改定しているため、企業債償還の負担も大きいが、従前以上の利息負担が求められることが経営上の最大の課題である。（＝これにより赤字かが見込まれ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③②の費用負担もあり、試算</a:t>
          </a:r>
          <a:r>
            <a:rPr kumimoji="1" lang="en-US" altLang="ja-JP" sz="1050">
              <a:latin typeface="Meiryo UI" panose="020B0604030504040204" pitchFamily="50" charset="-128"/>
              <a:ea typeface="Meiryo UI" panose="020B0604030504040204" pitchFamily="50" charset="-128"/>
            </a:rPr>
            <a:t>3</a:t>
          </a:r>
          <a:r>
            <a:rPr kumimoji="1" lang="ja-JP" altLang="en-US" sz="1050">
              <a:latin typeface="Meiryo UI" panose="020B0604030504040204" pitchFamily="50" charset="-128"/>
              <a:ea typeface="Meiryo UI" panose="020B0604030504040204" pitchFamily="50" charset="-128"/>
            </a:rPr>
            <a:t>年目（</a:t>
          </a:r>
          <a:r>
            <a:rPr kumimoji="1" lang="en-US" altLang="ja-JP" sz="1050">
              <a:latin typeface="Meiryo UI" panose="020B0604030504040204" pitchFamily="50" charset="-128"/>
              <a:ea typeface="Meiryo UI" panose="020B0604030504040204" pitchFamily="50" charset="-128"/>
            </a:rPr>
            <a:t>R3</a:t>
          </a:r>
          <a:r>
            <a:rPr kumimoji="1" lang="ja-JP" altLang="en-US" sz="1050">
              <a:latin typeface="Meiryo UI" panose="020B0604030504040204" pitchFamily="50" charset="-128"/>
              <a:ea typeface="Meiryo UI" panose="020B0604030504040204" pitchFamily="50" charset="-128"/>
            </a:rPr>
            <a:t>年度）から資金不足が発生する可能性がある。</a:t>
          </a:r>
          <a:endParaRPr kumimoji="1" lang="en-US" altLang="ja-JP" sz="1050">
            <a:latin typeface="Meiryo UI" panose="020B0604030504040204" pitchFamily="50" charset="-128"/>
            <a:ea typeface="Meiryo UI" panose="020B0604030504040204" pitchFamily="50" charset="-128"/>
          </a:endParaRPr>
        </a:p>
        <a:p>
          <a:pPr algn="l"/>
          <a:endParaRPr kumimoji="1" lang="en-US" altLang="ja-JP" sz="1050">
            <a:latin typeface="Meiryo UI" panose="020B0604030504040204" pitchFamily="50" charset="-128"/>
            <a:ea typeface="Meiryo UI" panose="020B0604030504040204" pitchFamily="50" charset="-128"/>
          </a:endParaRPr>
        </a:p>
        <a:p>
          <a:pPr algn="l"/>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疑問点</a:t>
          </a:r>
          <a:r>
            <a:rPr kumimoji="1" lang="en-US" altLang="ja-JP" sz="1050">
              <a:latin typeface="Meiryo UI" panose="020B0604030504040204" pitchFamily="50" charset="-128"/>
              <a:ea typeface="Meiryo UI" panose="020B0604030504040204" pitchFamily="50" charset="-128"/>
            </a:rPr>
            <a:t>】</a:t>
          </a:r>
        </a:p>
        <a:p>
          <a:pPr algn="l"/>
          <a:r>
            <a:rPr kumimoji="1" lang="ja-JP" altLang="en-US" sz="1050">
              <a:latin typeface="Meiryo UI" panose="020B0604030504040204" pitchFamily="50" charset="-128"/>
              <a:ea typeface="Meiryo UI" panose="020B0604030504040204" pitchFamily="50" charset="-128"/>
            </a:rPr>
            <a:t>　①現状、耐用年数の</a:t>
          </a:r>
          <a:r>
            <a:rPr kumimoji="1" lang="en-US" altLang="ja-JP" sz="1050">
              <a:latin typeface="Meiryo UI" panose="020B0604030504040204" pitchFamily="50" charset="-128"/>
              <a:ea typeface="Meiryo UI" panose="020B0604030504040204" pitchFamily="50" charset="-128"/>
            </a:rPr>
            <a:t>1.2</a:t>
          </a:r>
          <a:r>
            <a:rPr kumimoji="1" lang="ja-JP" altLang="en-US" sz="1050">
              <a:latin typeface="Meiryo UI" panose="020B0604030504040204" pitchFamily="50" charset="-128"/>
              <a:ea typeface="Meiryo UI" panose="020B0604030504040204" pitchFamily="50" charset="-128"/>
            </a:rPr>
            <a:t>倍の年数を使用可能見込み年数として、更新投資の試算では見込んでいるが、実際にはさらに使用が可能ではないか。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⇒固定資産台帳上、耐用年数到来済みの管路施設は</a:t>
          </a:r>
          <a:r>
            <a:rPr kumimoji="1" lang="en-US" altLang="ja-JP" sz="1050">
              <a:latin typeface="Meiryo UI" panose="020B0604030504040204" pitchFamily="50" charset="-128"/>
              <a:ea typeface="Meiryo UI" panose="020B0604030504040204" pitchFamily="50" charset="-128"/>
            </a:rPr>
            <a:t>23</a:t>
          </a:r>
          <a:r>
            <a:rPr kumimoji="1" lang="ja-JP" altLang="en-US" sz="1050">
              <a:latin typeface="Meiryo UI" panose="020B0604030504040204" pitchFamily="50" charset="-128"/>
              <a:ea typeface="Meiryo UI" panose="020B0604030504040204" pitchFamily="50" charset="-128"/>
            </a:rPr>
            <a:t>件、耐用年数平均値</a:t>
          </a:r>
          <a:r>
            <a:rPr kumimoji="1" lang="en-US" altLang="ja-JP" sz="1050">
              <a:latin typeface="Meiryo UI" panose="020B0604030504040204" pitchFamily="50" charset="-128"/>
              <a:ea typeface="Meiryo UI" panose="020B0604030504040204" pitchFamily="50" charset="-128"/>
            </a:rPr>
            <a:t>25</a:t>
          </a:r>
          <a:r>
            <a:rPr kumimoji="1" lang="ja-JP" altLang="en-US" sz="1050">
              <a:latin typeface="Meiryo UI" panose="020B0604030504040204" pitchFamily="50" charset="-128"/>
              <a:ea typeface="Meiryo UI" panose="020B0604030504040204" pitchFamily="50" charset="-128"/>
            </a:rPr>
            <a:t>年であるが、経過年数平均値は</a:t>
          </a:r>
          <a:r>
            <a:rPr kumimoji="1" lang="en-US" altLang="ja-JP" sz="1050">
              <a:latin typeface="Meiryo UI" panose="020B0604030504040204" pitchFamily="50" charset="-128"/>
              <a:ea typeface="Meiryo UI" panose="020B0604030504040204" pitchFamily="50" charset="-128"/>
            </a:rPr>
            <a:t>35</a:t>
          </a:r>
          <a:r>
            <a:rPr kumimoji="1" lang="ja-JP" altLang="en-US" sz="1050">
              <a:latin typeface="Meiryo UI" panose="020B0604030504040204" pitchFamily="50" charset="-128"/>
              <a:ea typeface="Meiryo UI" panose="020B0604030504040204" pitchFamily="50" charset="-128"/>
            </a:rPr>
            <a:t>年と算定され、実績の数値に置き換えて試算する方が妥当ではないか。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⇒もしくは、実績の数値を確認する限り、耐用年数の</a:t>
          </a:r>
          <a:r>
            <a:rPr kumimoji="1" lang="en-US" altLang="ja-JP" sz="1050">
              <a:latin typeface="Meiryo UI" panose="020B0604030504040204" pitchFamily="50" charset="-128"/>
              <a:ea typeface="Meiryo UI" panose="020B0604030504040204" pitchFamily="50" charset="-128"/>
            </a:rPr>
            <a:t>1.5</a:t>
          </a:r>
          <a:r>
            <a:rPr kumimoji="1" lang="ja-JP" altLang="en-US" sz="1050">
              <a:latin typeface="Meiryo UI" panose="020B0604030504040204" pitchFamily="50" charset="-128"/>
              <a:ea typeface="Meiryo UI" panose="020B0604030504040204" pitchFamily="50" charset="-128"/>
            </a:rPr>
            <a:t>倍程度は使用が可能ではないか。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②過去数年の資金推移も見る限り、資金残高は減少傾向にあり、更新投資の費用負担により、余裕資金を充当しながら対応していると推測される。今後、さらに更新投資が必要となることから、他団体の動向も踏まえた上で、料金改定も必要ではない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59055</xdr:colOff>
      <xdr:row>2</xdr:row>
      <xdr:rowOff>19050</xdr:rowOff>
    </xdr:from>
    <xdr:to>
      <xdr:col>22</xdr:col>
      <xdr:colOff>504826</xdr:colOff>
      <xdr:row>17</xdr:row>
      <xdr:rowOff>99059</xdr:rowOff>
    </xdr:to>
    <xdr:graphicFrame macro="">
      <xdr:nvGraphicFramePr>
        <xdr:cNvPr id="2" name="グラフ 1">
          <a:extLst>
            <a:ext uri="{FF2B5EF4-FFF2-40B4-BE49-F238E27FC236}">
              <a16:creationId xmlns:a16="http://schemas.microsoft.com/office/drawing/2014/main" id="{080F2FFA-0DE5-40D6-BA19-D475F2ADA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27</xdr:row>
      <xdr:rowOff>0</xdr:rowOff>
    </xdr:from>
    <xdr:to>
      <xdr:col>30</xdr:col>
      <xdr:colOff>314325</xdr:colOff>
      <xdr:row>40</xdr:row>
      <xdr:rowOff>114300</xdr:rowOff>
    </xdr:to>
    <xdr:sp macro="" textlink="">
      <xdr:nvSpPr>
        <xdr:cNvPr id="3" name="正方形/長方形 2">
          <a:extLst>
            <a:ext uri="{FF2B5EF4-FFF2-40B4-BE49-F238E27FC236}">
              <a16:creationId xmlns:a16="http://schemas.microsoft.com/office/drawing/2014/main" id="{B8FAF4AE-A94F-4E56-BB06-9BD41E3ABF63}"/>
            </a:ext>
          </a:extLst>
        </xdr:cNvPr>
        <xdr:cNvSpPr/>
      </xdr:nvSpPr>
      <xdr:spPr>
        <a:xfrm>
          <a:off x="200025" y="4733925"/>
          <a:ext cx="14279880" cy="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課題</a:t>
          </a:r>
          <a:r>
            <a:rPr kumimoji="1" lang="en-US" altLang="ja-JP" sz="1050">
              <a:latin typeface="Meiryo UI" panose="020B0604030504040204" pitchFamily="50" charset="-128"/>
              <a:ea typeface="Meiryo UI" panose="020B0604030504040204" pitchFamily="50" charset="-128"/>
            </a:rPr>
            <a:t>】</a:t>
          </a:r>
        </a:p>
        <a:p>
          <a:pPr algn="l"/>
          <a:r>
            <a:rPr kumimoji="1" lang="ja-JP" altLang="en-US" sz="1050">
              <a:latin typeface="Meiryo UI" panose="020B0604030504040204" pitchFamily="50" charset="-128"/>
              <a:ea typeface="Meiryo UI" panose="020B0604030504040204" pitchFamily="50" charset="-128"/>
            </a:rPr>
            <a:t>　①耐用年数をすでに到来している固定資産が多く、試算初年度（</a:t>
          </a:r>
          <a:r>
            <a:rPr kumimoji="1" lang="en-US" altLang="ja-JP" sz="1050">
              <a:latin typeface="Meiryo UI" panose="020B0604030504040204" pitchFamily="50" charset="-128"/>
              <a:ea typeface="Meiryo UI" panose="020B0604030504040204" pitchFamily="50" charset="-128"/>
            </a:rPr>
            <a:t>H31</a:t>
          </a:r>
          <a:r>
            <a:rPr kumimoji="1" lang="ja-JP" altLang="en-US" sz="1050">
              <a:latin typeface="Meiryo UI" panose="020B0604030504040204" pitchFamily="50" charset="-128"/>
              <a:ea typeface="Meiryo UI" panose="020B0604030504040204" pitchFamily="50" charset="-128"/>
            </a:rPr>
            <a:t>年度）に更新投資を実行すると、約</a:t>
          </a:r>
          <a:r>
            <a:rPr kumimoji="1" lang="en-US" altLang="ja-JP" sz="1050">
              <a:latin typeface="Meiryo UI" panose="020B0604030504040204" pitchFamily="50" charset="-128"/>
              <a:ea typeface="Meiryo UI" panose="020B0604030504040204" pitchFamily="50" charset="-128"/>
            </a:rPr>
            <a:t>19</a:t>
          </a:r>
          <a:r>
            <a:rPr kumimoji="1" lang="ja-JP" altLang="en-US" sz="1050">
              <a:latin typeface="Meiryo UI" panose="020B0604030504040204" pitchFamily="50" charset="-128"/>
              <a:ea typeface="Meiryo UI" panose="020B0604030504040204" pitchFamily="50" charset="-128"/>
            </a:rPr>
            <a:t>億円の建設改良が必要となる。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②①の更新投資をほぼ全額、企業債で財源措置すると改定しているため、企業債償還の負担も大きいが、従前以上の利息負担が求められることが経営上の最大の課題である。（＝これにより赤字かが見込まれ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③②の費用負担もあり、試算</a:t>
          </a:r>
          <a:r>
            <a:rPr kumimoji="1" lang="en-US" altLang="ja-JP" sz="1050">
              <a:latin typeface="Meiryo UI" panose="020B0604030504040204" pitchFamily="50" charset="-128"/>
              <a:ea typeface="Meiryo UI" panose="020B0604030504040204" pitchFamily="50" charset="-128"/>
            </a:rPr>
            <a:t>3</a:t>
          </a:r>
          <a:r>
            <a:rPr kumimoji="1" lang="ja-JP" altLang="en-US" sz="1050">
              <a:latin typeface="Meiryo UI" panose="020B0604030504040204" pitchFamily="50" charset="-128"/>
              <a:ea typeface="Meiryo UI" panose="020B0604030504040204" pitchFamily="50" charset="-128"/>
            </a:rPr>
            <a:t>年目（</a:t>
          </a:r>
          <a:r>
            <a:rPr kumimoji="1" lang="en-US" altLang="ja-JP" sz="1050">
              <a:latin typeface="Meiryo UI" panose="020B0604030504040204" pitchFamily="50" charset="-128"/>
              <a:ea typeface="Meiryo UI" panose="020B0604030504040204" pitchFamily="50" charset="-128"/>
            </a:rPr>
            <a:t>R3</a:t>
          </a:r>
          <a:r>
            <a:rPr kumimoji="1" lang="ja-JP" altLang="en-US" sz="1050">
              <a:latin typeface="Meiryo UI" panose="020B0604030504040204" pitchFamily="50" charset="-128"/>
              <a:ea typeface="Meiryo UI" panose="020B0604030504040204" pitchFamily="50" charset="-128"/>
            </a:rPr>
            <a:t>年度）から資金不足が発生する可能性がある。</a:t>
          </a:r>
          <a:endParaRPr kumimoji="1" lang="en-US" altLang="ja-JP" sz="1050">
            <a:latin typeface="Meiryo UI" panose="020B0604030504040204" pitchFamily="50" charset="-128"/>
            <a:ea typeface="Meiryo UI" panose="020B0604030504040204" pitchFamily="50" charset="-128"/>
          </a:endParaRPr>
        </a:p>
        <a:p>
          <a:pPr algn="l"/>
          <a:endParaRPr kumimoji="1" lang="en-US" altLang="ja-JP" sz="1050">
            <a:latin typeface="Meiryo UI" panose="020B0604030504040204" pitchFamily="50" charset="-128"/>
            <a:ea typeface="Meiryo UI" panose="020B0604030504040204" pitchFamily="50" charset="-128"/>
          </a:endParaRPr>
        </a:p>
        <a:p>
          <a:pPr algn="l"/>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疑問点</a:t>
          </a:r>
          <a:r>
            <a:rPr kumimoji="1" lang="en-US" altLang="ja-JP" sz="1050">
              <a:latin typeface="Meiryo UI" panose="020B0604030504040204" pitchFamily="50" charset="-128"/>
              <a:ea typeface="Meiryo UI" panose="020B0604030504040204" pitchFamily="50" charset="-128"/>
            </a:rPr>
            <a:t>】</a:t>
          </a:r>
        </a:p>
        <a:p>
          <a:pPr algn="l"/>
          <a:r>
            <a:rPr kumimoji="1" lang="ja-JP" altLang="en-US" sz="1050">
              <a:latin typeface="Meiryo UI" panose="020B0604030504040204" pitchFamily="50" charset="-128"/>
              <a:ea typeface="Meiryo UI" panose="020B0604030504040204" pitchFamily="50" charset="-128"/>
            </a:rPr>
            <a:t>　①現状、耐用年数の</a:t>
          </a:r>
          <a:r>
            <a:rPr kumimoji="1" lang="en-US" altLang="ja-JP" sz="1050">
              <a:latin typeface="Meiryo UI" panose="020B0604030504040204" pitchFamily="50" charset="-128"/>
              <a:ea typeface="Meiryo UI" panose="020B0604030504040204" pitchFamily="50" charset="-128"/>
            </a:rPr>
            <a:t>1.2</a:t>
          </a:r>
          <a:r>
            <a:rPr kumimoji="1" lang="ja-JP" altLang="en-US" sz="1050">
              <a:latin typeface="Meiryo UI" panose="020B0604030504040204" pitchFamily="50" charset="-128"/>
              <a:ea typeface="Meiryo UI" panose="020B0604030504040204" pitchFamily="50" charset="-128"/>
            </a:rPr>
            <a:t>倍の年数を使用可能見込み年数として、更新投資の試算では見込んでいるが、実際にはさらに使用が可能ではないか。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⇒固定資産台帳上、耐用年数到来済みの管路施設は</a:t>
          </a:r>
          <a:r>
            <a:rPr kumimoji="1" lang="en-US" altLang="ja-JP" sz="1050">
              <a:latin typeface="Meiryo UI" panose="020B0604030504040204" pitchFamily="50" charset="-128"/>
              <a:ea typeface="Meiryo UI" panose="020B0604030504040204" pitchFamily="50" charset="-128"/>
            </a:rPr>
            <a:t>23</a:t>
          </a:r>
          <a:r>
            <a:rPr kumimoji="1" lang="ja-JP" altLang="en-US" sz="1050">
              <a:latin typeface="Meiryo UI" panose="020B0604030504040204" pitchFamily="50" charset="-128"/>
              <a:ea typeface="Meiryo UI" panose="020B0604030504040204" pitchFamily="50" charset="-128"/>
            </a:rPr>
            <a:t>件、耐用年数平均値</a:t>
          </a:r>
          <a:r>
            <a:rPr kumimoji="1" lang="en-US" altLang="ja-JP" sz="1050">
              <a:latin typeface="Meiryo UI" panose="020B0604030504040204" pitchFamily="50" charset="-128"/>
              <a:ea typeface="Meiryo UI" panose="020B0604030504040204" pitchFamily="50" charset="-128"/>
            </a:rPr>
            <a:t>25</a:t>
          </a:r>
          <a:r>
            <a:rPr kumimoji="1" lang="ja-JP" altLang="en-US" sz="1050">
              <a:latin typeface="Meiryo UI" panose="020B0604030504040204" pitchFamily="50" charset="-128"/>
              <a:ea typeface="Meiryo UI" panose="020B0604030504040204" pitchFamily="50" charset="-128"/>
            </a:rPr>
            <a:t>年であるが、経過年数平均値は</a:t>
          </a:r>
          <a:r>
            <a:rPr kumimoji="1" lang="en-US" altLang="ja-JP" sz="1050">
              <a:latin typeface="Meiryo UI" panose="020B0604030504040204" pitchFamily="50" charset="-128"/>
              <a:ea typeface="Meiryo UI" panose="020B0604030504040204" pitchFamily="50" charset="-128"/>
            </a:rPr>
            <a:t>35</a:t>
          </a:r>
          <a:r>
            <a:rPr kumimoji="1" lang="ja-JP" altLang="en-US" sz="1050">
              <a:latin typeface="Meiryo UI" panose="020B0604030504040204" pitchFamily="50" charset="-128"/>
              <a:ea typeface="Meiryo UI" panose="020B0604030504040204" pitchFamily="50" charset="-128"/>
            </a:rPr>
            <a:t>年と算定され、実績の数値に置き換えて試算する方が妥当ではないか。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⇒もしくは、実績の数値を確認する限り、耐用年数の</a:t>
          </a:r>
          <a:r>
            <a:rPr kumimoji="1" lang="en-US" altLang="ja-JP" sz="1050">
              <a:latin typeface="Meiryo UI" panose="020B0604030504040204" pitchFamily="50" charset="-128"/>
              <a:ea typeface="Meiryo UI" panose="020B0604030504040204" pitchFamily="50" charset="-128"/>
            </a:rPr>
            <a:t>1.5</a:t>
          </a:r>
          <a:r>
            <a:rPr kumimoji="1" lang="ja-JP" altLang="en-US" sz="1050">
              <a:latin typeface="Meiryo UI" panose="020B0604030504040204" pitchFamily="50" charset="-128"/>
              <a:ea typeface="Meiryo UI" panose="020B0604030504040204" pitchFamily="50" charset="-128"/>
            </a:rPr>
            <a:t>倍程度は使用が可能ではないか。</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　②過去数年の資金推移も見る限り、資金残高は減少傾向にあり、更新投資の費用負担により、余裕資金を充当しながら対応していると推測される。今後、さらに更新投資が必要となることから、他団体の動向も踏まえた上で、料金改定も必要ではないか。</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65.bin"/><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56BB-B423-486D-A938-787B2606BC58}">
  <sheetPr>
    <tabColor rgb="FF0033CC"/>
    <pageSetUpPr fitToPage="1"/>
  </sheetPr>
  <dimension ref="A1:W42"/>
  <sheetViews>
    <sheetView showGridLines="0" zoomScaleNormal="100" zoomScaleSheetLayoutView="100" workbookViewId="0">
      <selection activeCell="I15" sqref="I15"/>
    </sheetView>
  </sheetViews>
  <sheetFormatPr defaultRowHeight="14.4" outlineLevelRow="1"/>
  <cols>
    <col min="1" max="1" width="2.36328125" customWidth="1"/>
    <col min="2" max="2" width="9.36328125" bestFit="1" customWidth="1"/>
    <col min="3" max="4" width="7.7265625" customWidth="1"/>
    <col min="5" max="5" width="7.90625" customWidth="1"/>
    <col min="6" max="6" width="7.7265625" customWidth="1"/>
    <col min="7" max="7" width="7.90625" customWidth="1"/>
    <col min="8" max="8" width="2.54296875" customWidth="1"/>
    <col min="10" max="11" width="8.08984375" customWidth="1"/>
    <col min="12" max="13" width="9.08984375" customWidth="1"/>
    <col min="14" max="23" width="8.08984375" customWidth="1"/>
  </cols>
  <sheetData>
    <row r="1" spans="1:16" ht="16.2">
      <c r="A1" s="129" t="s">
        <v>586</v>
      </c>
    </row>
    <row r="2" spans="1:16">
      <c r="I2" t="s">
        <v>577</v>
      </c>
    </row>
    <row r="3" spans="1:16">
      <c r="C3" s="62"/>
      <c r="D3" s="62" t="s">
        <v>271</v>
      </c>
    </row>
    <row r="4" spans="1:16">
      <c r="C4" s="1" t="s">
        <v>157</v>
      </c>
      <c r="D4" s="73">
        <v>1.5</v>
      </c>
    </row>
    <row r="5" spans="1:16">
      <c r="C5" s="1" t="s">
        <v>158</v>
      </c>
      <c r="D5" s="73">
        <v>1</v>
      </c>
    </row>
    <row r="6" spans="1:16">
      <c r="B6" t="s">
        <v>340</v>
      </c>
    </row>
    <row r="7" spans="1:16">
      <c r="B7" t="s">
        <v>328</v>
      </c>
      <c r="C7" s="16" t="s">
        <v>329</v>
      </c>
      <c r="D7" s="71" t="s">
        <v>585</v>
      </c>
      <c r="E7" s="71"/>
      <c r="F7" s="71" t="str">
        <f>"現行×"&amp;料金改定率!D4*100&amp;"%"</f>
        <v>現行×150%</v>
      </c>
      <c r="G7" s="71"/>
      <c r="J7" s="24"/>
      <c r="K7" s="24"/>
      <c r="L7" s="24"/>
      <c r="M7" s="24"/>
      <c r="N7" s="24"/>
      <c r="O7" s="24"/>
      <c r="P7" s="24"/>
    </row>
    <row r="8" spans="1:16">
      <c r="B8" s="69" t="s">
        <v>330</v>
      </c>
      <c r="C8" s="16" t="s">
        <v>331</v>
      </c>
      <c r="D8" s="16" t="s">
        <v>331</v>
      </c>
      <c r="E8" s="16" t="s">
        <v>341</v>
      </c>
      <c r="F8" s="16" t="s">
        <v>331</v>
      </c>
      <c r="G8" s="16" t="s">
        <v>271</v>
      </c>
      <c r="J8" s="24"/>
      <c r="K8" s="24"/>
      <c r="L8" s="24"/>
      <c r="M8" s="24"/>
      <c r="N8" s="24"/>
      <c r="O8" s="24"/>
      <c r="P8" s="24"/>
    </row>
    <row r="9" spans="1:16">
      <c r="B9" s="1" t="s">
        <v>221</v>
      </c>
      <c r="C9" s="25" t="e">
        <f>#REF!</f>
        <v>#REF!</v>
      </c>
      <c r="D9" s="25"/>
      <c r="E9" s="37" t="str">
        <f t="shared" ref="E9" si="0">IFERROR(D9/C9,"")</f>
        <v/>
      </c>
      <c r="F9" s="25" t="e">
        <f>'【料金算定－現行×改定率】総括原価'!D9</f>
        <v>#REF!</v>
      </c>
      <c r="G9" s="37" t="e">
        <f t="shared" ref="G9:G16" si="1">F9/C9</f>
        <v>#REF!</v>
      </c>
      <c r="J9" s="24"/>
      <c r="K9" s="24"/>
      <c r="L9" s="24"/>
      <c r="M9" s="24"/>
      <c r="N9" s="24"/>
      <c r="O9" s="24"/>
      <c r="P9" s="24"/>
    </row>
    <row r="10" spans="1:16">
      <c r="B10" s="1" t="s">
        <v>223</v>
      </c>
      <c r="C10" s="25" t="e">
        <f>#REF!</f>
        <v>#REF!</v>
      </c>
      <c r="D10" s="75"/>
      <c r="E10" s="37" t="str">
        <f>IFERROR(D10/C10,"")</f>
        <v/>
      </c>
      <c r="F10" s="25" t="e">
        <f>'【料金算定－現行×改定率】総括原価'!D10</f>
        <v>#REF!</v>
      </c>
      <c r="G10" s="37" t="e">
        <f t="shared" si="1"/>
        <v>#REF!</v>
      </c>
      <c r="J10" s="24"/>
      <c r="K10" s="24"/>
      <c r="L10" s="24"/>
      <c r="M10" s="24"/>
      <c r="N10" s="24"/>
      <c r="O10" s="24"/>
      <c r="P10" s="24"/>
    </row>
    <row r="11" spans="1:16">
      <c r="B11" s="1" t="s">
        <v>224</v>
      </c>
      <c r="C11" s="25" t="e">
        <f>#REF!</f>
        <v>#REF!</v>
      </c>
      <c r="D11" s="25"/>
      <c r="E11" s="37" t="str">
        <f t="shared" ref="E11:E16" si="2">IFERROR(D11/C11,"")</f>
        <v/>
      </c>
      <c r="F11" s="25" t="e">
        <f>'【料金算定－現行×改定率】総括原価'!D11</f>
        <v>#REF!</v>
      </c>
      <c r="G11" s="37" t="e">
        <f t="shared" si="1"/>
        <v>#REF!</v>
      </c>
      <c r="J11" s="24"/>
      <c r="K11" s="24"/>
      <c r="L11" s="24"/>
      <c r="M11" s="24"/>
      <c r="N11" s="24"/>
      <c r="O11" s="24"/>
      <c r="P11" s="24"/>
    </row>
    <row r="12" spans="1:16">
      <c r="B12" s="1" t="s">
        <v>225</v>
      </c>
      <c r="C12" s="25" t="e">
        <f>#REF!</f>
        <v>#REF!</v>
      </c>
      <c r="D12" s="25"/>
      <c r="E12" s="37" t="str">
        <f t="shared" si="2"/>
        <v/>
      </c>
      <c r="F12" s="25" t="e">
        <f>'【料金算定－現行×改定率】総括原価'!D12</f>
        <v>#REF!</v>
      </c>
      <c r="G12" s="37" t="e">
        <f t="shared" si="1"/>
        <v>#REF!</v>
      </c>
      <c r="J12" s="24"/>
      <c r="K12" s="24"/>
      <c r="L12" s="24"/>
      <c r="M12" s="24"/>
      <c r="N12" s="24"/>
      <c r="O12" s="24"/>
      <c r="P12" s="24"/>
    </row>
    <row r="13" spans="1:16">
      <c r="B13" s="1" t="s">
        <v>226</v>
      </c>
      <c r="C13" s="25" t="e">
        <f>#REF!</f>
        <v>#REF!</v>
      </c>
      <c r="D13" s="25"/>
      <c r="E13" s="37" t="str">
        <f t="shared" si="2"/>
        <v/>
      </c>
      <c r="F13" s="25" t="e">
        <f>'【料金算定－現行×改定率】総括原価'!D13</f>
        <v>#REF!</v>
      </c>
      <c r="G13" s="37" t="e">
        <f t="shared" si="1"/>
        <v>#REF!</v>
      </c>
      <c r="J13" s="24"/>
      <c r="K13" s="24"/>
      <c r="L13" s="24"/>
      <c r="M13" s="24"/>
      <c r="N13" s="24"/>
      <c r="O13" s="24"/>
      <c r="P13" s="24"/>
    </row>
    <row r="14" spans="1:16">
      <c r="B14" s="1" t="s">
        <v>538</v>
      </c>
      <c r="C14" s="25" t="e">
        <f>#REF!</f>
        <v>#REF!</v>
      </c>
      <c r="D14" s="25"/>
      <c r="E14" s="37" t="str">
        <f t="shared" si="2"/>
        <v/>
      </c>
      <c r="F14" s="25" t="e">
        <f>'【料金算定－現行×改定率】総括原価'!D14</f>
        <v>#REF!</v>
      </c>
      <c r="G14" s="37" t="e">
        <f t="shared" si="1"/>
        <v>#REF!</v>
      </c>
      <c r="J14" s="24"/>
      <c r="K14" s="24"/>
      <c r="L14" s="24"/>
      <c r="M14" s="24"/>
      <c r="N14" s="24"/>
      <c r="O14" s="24"/>
      <c r="P14" s="24"/>
    </row>
    <row r="15" spans="1:16">
      <c r="B15" s="1" t="s">
        <v>539</v>
      </c>
      <c r="C15" s="25" t="e">
        <f>#REF!</f>
        <v>#REF!</v>
      </c>
      <c r="D15" s="25"/>
      <c r="E15" s="37" t="str">
        <f t="shared" si="2"/>
        <v/>
      </c>
      <c r="F15" s="25" t="e">
        <f>'【料金算定－現行×改定率】総括原価'!D15</f>
        <v>#REF!</v>
      </c>
      <c r="G15" s="37" t="e">
        <f t="shared" si="1"/>
        <v>#REF!</v>
      </c>
      <c r="J15" s="24"/>
      <c r="K15" s="24"/>
      <c r="L15" s="24"/>
      <c r="M15" s="24"/>
      <c r="N15" s="24"/>
      <c r="O15" s="24"/>
      <c r="P15" s="24"/>
    </row>
    <row r="16" spans="1:16">
      <c r="B16" s="1" t="s">
        <v>540</v>
      </c>
      <c r="C16" s="25" t="e">
        <f>#REF!</f>
        <v>#REF!</v>
      </c>
      <c r="D16" s="25"/>
      <c r="E16" s="37" t="str">
        <f t="shared" si="2"/>
        <v/>
      </c>
      <c r="F16" s="25" t="e">
        <f>'【料金算定－現行×改定率】総括原価'!D16</f>
        <v>#REF!</v>
      </c>
      <c r="G16" s="37" t="e">
        <f t="shared" si="1"/>
        <v>#REF!</v>
      </c>
      <c r="J16" s="24"/>
      <c r="K16" s="24"/>
      <c r="L16" s="24"/>
      <c r="M16" s="24"/>
      <c r="N16" s="24"/>
      <c r="O16" s="24"/>
      <c r="P16" s="24"/>
    </row>
    <row r="17" spans="2:23">
      <c r="J17" s="24"/>
      <c r="K17" s="24"/>
      <c r="L17" s="24"/>
      <c r="M17" s="24"/>
      <c r="N17" s="24"/>
      <c r="O17" s="24"/>
      <c r="P17" s="24"/>
    </row>
    <row r="18" spans="2:23">
      <c r="J18" s="24"/>
      <c r="K18" s="24"/>
      <c r="L18" s="24"/>
      <c r="M18" s="24"/>
      <c r="N18" s="24"/>
      <c r="O18" s="24"/>
      <c r="P18" s="24"/>
    </row>
    <row r="19" spans="2:23">
      <c r="J19" s="24"/>
      <c r="K19" s="24"/>
      <c r="L19" s="24"/>
      <c r="M19" s="24"/>
      <c r="N19" s="24"/>
      <c r="O19" s="24"/>
      <c r="P19" s="24"/>
      <c r="W19" s="56" t="s">
        <v>194</v>
      </c>
    </row>
    <row r="20" spans="2:23">
      <c r="B20" t="s">
        <v>237</v>
      </c>
      <c r="C20" s="16" t="s">
        <v>329</v>
      </c>
      <c r="D20" s="71" t="s">
        <v>576</v>
      </c>
      <c r="E20" s="71"/>
      <c r="F20" s="71" t="str">
        <f>"現行×"&amp;料金改定率!D5*100&amp;"%"</f>
        <v>現行×100%</v>
      </c>
      <c r="G20" s="71"/>
      <c r="I20" s="126"/>
      <c r="J20" s="301" t="s">
        <v>333</v>
      </c>
      <c r="K20" s="301"/>
      <c r="L20" s="301" t="s">
        <v>334</v>
      </c>
      <c r="M20" s="301"/>
      <c r="N20" s="301"/>
      <c r="O20" s="301"/>
      <c r="P20" s="301"/>
      <c r="Q20" s="301"/>
      <c r="R20" s="301"/>
      <c r="S20" s="301"/>
      <c r="T20" s="301"/>
      <c r="U20" s="301"/>
      <c r="V20" s="301"/>
      <c r="W20" s="301"/>
    </row>
    <row r="21" spans="2:23">
      <c r="B21" s="69" t="s">
        <v>332</v>
      </c>
      <c r="C21" s="16" t="s">
        <v>331</v>
      </c>
      <c r="D21" s="16" t="s">
        <v>331</v>
      </c>
      <c r="E21" s="16" t="s">
        <v>341</v>
      </c>
      <c r="F21" s="16" t="s">
        <v>331</v>
      </c>
      <c r="G21" s="16" t="s">
        <v>271</v>
      </c>
      <c r="I21" s="127"/>
      <c r="J21" s="301" t="s">
        <v>575</v>
      </c>
      <c r="K21" s="301"/>
      <c r="L21" s="301" t="s">
        <v>258</v>
      </c>
      <c r="M21" s="301"/>
      <c r="N21" s="301" t="s">
        <v>27</v>
      </c>
      <c r="O21" s="301"/>
      <c r="P21" s="301" t="s">
        <v>37</v>
      </c>
      <c r="Q21" s="301"/>
      <c r="R21" s="301" t="s">
        <v>47</v>
      </c>
      <c r="S21" s="301"/>
      <c r="T21" s="301" t="s">
        <v>57</v>
      </c>
      <c r="U21" s="301"/>
      <c r="V21" s="301" t="s">
        <v>67</v>
      </c>
      <c r="W21" s="301"/>
    </row>
    <row r="22" spans="2:23">
      <c r="B22" s="1" t="s">
        <v>541</v>
      </c>
      <c r="C22" s="1" t="e">
        <f>#REF!</f>
        <v>#REF!</v>
      </c>
      <c r="D22" s="25"/>
      <c r="E22" s="37" t="str">
        <f t="shared" ref="E22:E23" si="3">IFERROR(D22/C22,"")</f>
        <v/>
      </c>
      <c r="F22" s="25" t="e">
        <f>'【料金算定－現行×改定率】総括原価'!D18</f>
        <v>#REF!</v>
      </c>
      <c r="G22" s="37" t="e">
        <f>F22/C22</f>
        <v>#REF!</v>
      </c>
      <c r="I22" s="128"/>
      <c r="J22" s="35" t="s">
        <v>335</v>
      </c>
      <c r="K22" s="35" t="s">
        <v>183</v>
      </c>
      <c r="L22" s="35" t="s">
        <v>335</v>
      </c>
      <c r="M22" s="35" t="s">
        <v>183</v>
      </c>
      <c r="N22" s="35" t="s">
        <v>335</v>
      </c>
      <c r="O22" s="35" t="s">
        <v>183</v>
      </c>
      <c r="P22" s="35" t="s">
        <v>335</v>
      </c>
      <c r="Q22" s="35" t="s">
        <v>183</v>
      </c>
      <c r="R22" s="35" t="s">
        <v>335</v>
      </c>
      <c r="S22" s="35" t="s">
        <v>183</v>
      </c>
      <c r="T22" s="35" t="s">
        <v>335</v>
      </c>
      <c r="U22" s="35" t="s">
        <v>183</v>
      </c>
      <c r="V22" s="35" t="s">
        <v>335</v>
      </c>
      <c r="W22" s="35" t="s">
        <v>183</v>
      </c>
    </row>
    <row r="23" spans="2:23">
      <c r="B23" s="1" t="s">
        <v>542</v>
      </c>
      <c r="C23" s="1" t="e">
        <f>#REF!</f>
        <v>#REF!</v>
      </c>
      <c r="D23" s="25"/>
      <c r="E23" s="37" t="str">
        <f t="shared" si="3"/>
        <v/>
      </c>
      <c r="F23" s="25" t="e">
        <f>'【料金算定－現行×改定率】総括原価'!D19</f>
        <v>#REF!</v>
      </c>
      <c r="G23" s="37" t="e">
        <f>F23/C23</f>
        <v>#REF!</v>
      </c>
      <c r="I23" s="62" t="s">
        <v>336</v>
      </c>
      <c r="J23" s="39" t="e">
        <f>【現行×調整率】財政シミュ!R5</f>
        <v>#REF!</v>
      </c>
      <c r="K23" s="39" t="e">
        <f>【現行×調整率】財政シミュ!R23</f>
        <v>#REF!</v>
      </c>
      <c r="L23" s="39" t="e">
        <f>【現行×調整率】財政シミュ!T5</f>
        <v>#REF!</v>
      </c>
      <c r="M23" s="39" t="e">
        <f>【現行×調整率】財政シミュ!T23</f>
        <v>#REF!</v>
      </c>
      <c r="N23" s="39" t="e">
        <f>【現行×調整率】財政シミュ!AC5</f>
        <v>#REF!</v>
      </c>
      <c r="O23" s="39" t="e">
        <f>【現行×調整率】財政シミュ!AC23</f>
        <v>#REF!</v>
      </c>
      <c r="P23" s="39" t="e">
        <f>【現行×調整率】財政シミュ!AM5</f>
        <v>#REF!</v>
      </c>
      <c r="Q23" s="39" t="e">
        <f>【現行×調整率】財政シミュ!AM23</f>
        <v>#REF!</v>
      </c>
      <c r="R23" s="39" t="e">
        <f>【現行×調整率】財政シミュ!AW5</f>
        <v>#REF!</v>
      </c>
      <c r="S23" s="39" t="e">
        <f>【現行×調整率】財政シミュ!AW23</f>
        <v>#REF!</v>
      </c>
      <c r="T23" s="39" t="e">
        <f>【現行×調整率】財政シミュ!BG5</f>
        <v>#REF!</v>
      </c>
      <c r="U23" s="39" t="e">
        <f>【現行×調整率】財政シミュ!BG23</f>
        <v>#REF!</v>
      </c>
      <c r="V23" s="39" t="e">
        <f>【現行×調整率】財政シミュ!BQ5</f>
        <v>#REF!</v>
      </c>
      <c r="W23" s="39" t="e">
        <f>【現行×調整率】財政シミュ!BQ23</f>
        <v>#REF!</v>
      </c>
    </row>
    <row r="24" spans="2:23">
      <c r="B24" s="1" t="s">
        <v>543</v>
      </c>
      <c r="C24" s="1" t="e">
        <f>#REF!</f>
        <v>#REF!</v>
      </c>
      <c r="D24" s="25"/>
      <c r="E24" s="37" t="str">
        <f t="shared" ref="E24:E26" si="4">IFERROR(D24/C24,"")</f>
        <v/>
      </c>
      <c r="F24" s="25" t="e">
        <f>'【料金算定－現行×改定率】総括原価'!D20</f>
        <v>#REF!</v>
      </c>
      <c r="G24" s="37" t="e">
        <f>F24/C24</f>
        <v>#REF!</v>
      </c>
      <c r="I24" s="41" t="s">
        <v>337</v>
      </c>
      <c r="J24" s="39">
        <f>【現行×調整率】財政シミュ!R72</f>
        <v>9335000</v>
      </c>
      <c r="K24" s="39">
        <f>【現行×調整率】財政シミュ!R79</f>
        <v>280177715</v>
      </c>
      <c r="L24" s="39">
        <f>【現行×調整率】財政シミュ!T72</f>
        <v>150000000000000</v>
      </c>
      <c r="M24" s="39">
        <f>【現行×調整率】財政シミュ!T79</f>
        <v>160000079463153</v>
      </c>
      <c r="N24" s="39">
        <f>【現行×調整率】財政シミュ!AC72</f>
        <v>160000130000000</v>
      </c>
      <c r="O24" s="39">
        <f>【現行×調整率】財政シミュ!AC79</f>
        <v>160000182991959</v>
      </c>
      <c r="P24" s="39">
        <f>【現行×調整率】財政シミュ!AM72</f>
        <v>50000550000000</v>
      </c>
      <c r="Q24" s="39">
        <f>【現行×調整率】財政シミュ!AM79</f>
        <v>50000681474127</v>
      </c>
      <c r="R24" s="39">
        <f>【現行×調整率】財政シミュ!AW72</f>
        <v>50000010000000</v>
      </c>
      <c r="S24" s="39">
        <f>【現行×調整率】財政シミュ!AW79</f>
        <v>50000201631756</v>
      </c>
      <c r="T24" s="39">
        <f>【現行×調整率】財政シミュ!BG72</f>
        <v>50000010000000</v>
      </c>
      <c r="U24" s="39">
        <f>【現行×調整率】財政シミュ!BG79</f>
        <v>50000254808211</v>
      </c>
      <c r="V24" s="39">
        <f>【現行×調整率】財政シミュ!BQ72</f>
        <v>0</v>
      </c>
      <c r="W24" s="39">
        <f>【現行×調整率】財政シミュ!BQ79</f>
        <v>192307993</v>
      </c>
    </row>
    <row r="25" spans="2:23">
      <c r="B25" s="1" t="s">
        <v>544</v>
      </c>
      <c r="C25" s="1" t="e">
        <f>#REF!</f>
        <v>#REF!</v>
      </c>
      <c r="D25" s="25"/>
      <c r="E25" s="37" t="str">
        <f t="shared" si="4"/>
        <v/>
      </c>
      <c r="F25" s="25" t="e">
        <f>'【料金算定－現行×改定率】総括原価'!D21</f>
        <v>#REF!</v>
      </c>
      <c r="G25" s="37" t="e">
        <f>F25/C25</f>
        <v>#REF!</v>
      </c>
      <c r="I25" s="41" t="s">
        <v>338</v>
      </c>
      <c r="J25" s="300">
        <f>【現行×調整率】財政シミュ!R113</f>
        <v>132458270</v>
      </c>
      <c r="K25" s="300"/>
      <c r="L25" s="300" t="e">
        <f>【現行×調整率】財政シミュ!T113</f>
        <v>#REF!</v>
      </c>
      <c r="M25" s="300"/>
      <c r="N25" s="300" t="e">
        <f>【現行×調整率】財政シミュ!AC113</f>
        <v>#REF!</v>
      </c>
      <c r="O25" s="300"/>
      <c r="P25" s="300" t="e">
        <f>【現行×調整率】財政シミュ!AM113</f>
        <v>#REF!</v>
      </c>
      <c r="Q25" s="300"/>
      <c r="R25" s="300" t="e">
        <f>【現行×調整率】財政シミュ!AW113</f>
        <v>#REF!</v>
      </c>
      <c r="S25" s="300"/>
      <c r="T25" s="300" t="e">
        <f>【現行×調整率】財政シミュ!BG113</f>
        <v>#REF!</v>
      </c>
      <c r="U25" s="300"/>
      <c r="V25" s="300" t="e">
        <f>【現行×調整率】財政シミュ!BQ113</f>
        <v>#REF!</v>
      </c>
      <c r="W25" s="300"/>
    </row>
    <row r="26" spans="2:23">
      <c r="B26" s="1" t="s">
        <v>545</v>
      </c>
      <c r="C26" s="1" t="e">
        <f>#REF!</f>
        <v>#REF!</v>
      </c>
      <c r="D26" s="25"/>
      <c r="E26" s="37" t="str">
        <f t="shared" si="4"/>
        <v/>
      </c>
      <c r="F26" s="25" t="e">
        <f>'【料金算定－現行×改定率】総括原価'!D22</f>
        <v>#REF!</v>
      </c>
      <c r="G26" s="37" t="e">
        <f>F26/C26</f>
        <v>#REF!</v>
      </c>
      <c r="I26" s="41" t="s">
        <v>339</v>
      </c>
      <c r="J26" s="300">
        <f>【現行×調整率】財政シミュ!R114</f>
        <v>763361128</v>
      </c>
      <c r="K26" s="300"/>
      <c r="L26" s="300">
        <f>【現行×調整率】財政シミュ!T114</f>
        <v>450554111</v>
      </c>
      <c r="M26" s="300"/>
      <c r="N26" s="300">
        <f>【現行×調整率】財政シミュ!AC114</f>
        <v>2822863405</v>
      </c>
      <c r="O26" s="300"/>
      <c r="P26" s="300">
        <f>【現行×調整率】財政シミュ!AM114</f>
        <v>6354190571</v>
      </c>
      <c r="Q26" s="300"/>
      <c r="R26" s="300">
        <f>【現行×調整率】財政シミュ!AW114</f>
        <v>5688232449</v>
      </c>
      <c r="S26" s="300"/>
      <c r="T26" s="300">
        <f>【現行×調整率】財政シミュ!BG114</f>
        <v>3988555190</v>
      </c>
      <c r="U26" s="300"/>
      <c r="V26" s="300">
        <f>【現行×調整率】財政シミュ!BQ114</f>
        <v>1904019121</v>
      </c>
      <c r="W26" s="300"/>
    </row>
    <row r="27" spans="2:23" hidden="1" outlineLevel="1"/>
    <row r="28" spans="2:23" hidden="1" outlineLevel="1"/>
    <row r="29" spans="2:23" hidden="1" outlineLevel="1"/>
    <row r="30" spans="2:23" hidden="1" outlineLevel="1"/>
    <row r="31" spans="2:23" hidden="1" outlineLevel="1"/>
    <row r="32" spans="2:23"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collapsed="1"/>
  </sheetData>
  <customSheetViews>
    <customSheetView guid="{B05628F6-030D-4851-8E75-96DF5849F39A}" scale="130" showGridLines="0" fitToPage="1" hiddenRows="1" topLeftCell="A3">
      <selection activeCell="F13" sqref="F13"/>
      <pageMargins left="0.70866141732283472" right="0.70866141732283472" top="0.74803149606299213" bottom="0.74803149606299213" header="0.31496062992125984" footer="0.31496062992125984"/>
      <pageSetup paperSize="9" scale="66" orientation="landscape" horizontalDpi="0" verticalDpi="0" r:id="rId1"/>
      <headerFooter>
        <oddHeader>&amp;A</oddHeader>
        <oddFooter>&amp;P / &amp;N ページ</oddFooter>
      </headerFooter>
    </customSheetView>
    <customSheetView guid="{1F923BC6-4AD1-4F20-A481-D76BE7901A2A}" scale="130" showPageBreaks="1" showGridLines="0" fitToPage="1" printArea="1" hiddenRows="1">
      <selection activeCell="B1" sqref="B1"/>
      <pageMargins left="0.70866141732283472" right="0.70866141732283472" top="0.74803149606299213" bottom="0.74803149606299213" header="0.31496062992125984" footer="0.31496062992125984"/>
      <pageSetup paperSize="9" scale="66" orientation="landscape" verticalDpi="0" r:id="rId2"/>
      <headerFooter>
        <oddHeader>&amp;A</oddHeader>
        <oddFooter>&amp;P / &amp;N ページ</oddFooter>
      </headerFooter>
    </customSheetView>
  </customSheetViews>
  <mergeCells count="23">
    <mergeCell ref="J20:K20"/>
    <mergeCell ref="L20:W20"/>
    <mergeCell ref="J21:K21"/>
    <mergeCell ref="L21:M21"/>
    <mergeCell ref="N21:O21"/>
    <mergeCell ref="P21:Q21"/>
    <mergeCell ref="R21:S21"/>
    <mergeCell ref="T21:U21"/>
    <mergeCell ref="V21:W21"/>
    <mergeCell ref="V25:W25"/>
    <mergeCell ref="J26:K26"/>
    <mergeCell ref="L26:M26"/>
    <mergeCell ref="N26:O26"/>
    <mergeCell ref="P26:Q26"/>
    <mergeCell ref="R26:S26"/>
    <mergeCell ref="T26:U26"/>
    <mergeCell ref="V26:W26"/>
    <mergeCell ref="J25:K25"/>
    <mergeCell ref="L25:M25"/>
    <mergeCell ref="N25:O25"/>
    <mergeCell ref="P25:Q25"/>
    <mergeCell ref="R25:S25"/>
    <mergeCell ref="T25:U25"/>
  </mergeCells>
  <phoneticPr fontId="4"/>
  <pageMargins left="0.70866141732283472" right="0.70866141732283472" top="0.74803149606299213" bottom="0.74803149606299213" header="0.31496062992125984" footer="0.31496062992125984"/>
  <pageSetup paperSize="9" scale="66" orientation="landscape" verticalDpi="0" r:id="rId3"/>
  <headerFooter>
    <oddHeader>&amp;A</oddHeader>
    <oddFooter>&amp;P / &amp;N ページ</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11DB3-C121-43D2-8AE5-472379045DA9}">
  <sheetPr>
    <tabColor rgb="FF92D050"/>
    <pageSetUpPr fitToPage="1"/>
  </sheetPr>
  <dimension ref="B1:AB184"/>
  <sheetViews>
    <sheetView showGridLines="0" view="pageBreakPreview" zoomScaleNormal="85" zoomScaleSheetLayoutView="100" workbookViewId="0">
      <pane xSplit="5" ySplit="4" topLeftCell="H5" activePane="bottomRight" state="frozen"/>
      <selection activeCell="I5" sqref="I5"/>
      <selection pane="topRight" activeCell="I5" sqref="I5"/>
      <selection pane="bottomLeft" activeCell="I5" sqref="I5"/>
      <selection pane="bottomRight" activeCell="K11" sqref="K11"/>
    </sheetView>
  </sheetViews>
  <sheetFormatPr defaultRowHeight="14.4" outlineLevelRow="1"/>
  <cols>
    <col min="1" max="1" width="2.90625" customWidth="1"/>
    <col min="2" max="4" width="3.90625" customWidth="1"/>
    <col min="5" max="5" width="21" bestFit="1" customWidth="1"/>
    <col min="6" max="8" width="10" style="24" customWidth="1"/>
    <col min="9" max="14" width="10" style="24" customWidth="1" collapsed="1"/>
    <col min="15" max="16" width="10" style="24" customWidth="1"/>
    <col min="17" max="17" width="4.7265625" customWidth="1"/>
    <col min="21" max="21" width="13.1796875" customWidth="1"/>
  </cols>
  <sheetData>
    <row r="1" spans="2:28">
      <c r="B1" t="s">
        <v>0</v>
      </c>
      <c r="F1" s="143" t="s">
        <v>593</v>
      </c>
    </row>
    <row r="2" spans="2:28">
      <c r="B2" t="s">
        <v>595</v>
      </c>
      <c r="P2" s="24" t="s">
        <v>182</v>
      </c>
      <c r="R2" t="s">
        <v>0</v>
      </c>
      <c r="W2" s="24" t="s">
        <v>182</v>
      </c>
      <c r="X2" s="24"/>
      <c r="Y2" s="24"/>
      <c r="Z2" s="24"/>
      <c r="AA2" s="24"/>
      <c r="AB2" s="24"/>
    </row>
    <row r="3" spans="2:28">
      <c r="B3" s="11" t="s">
        <v>1</v>
      </c>
      <c r="C3" s="11" t="s">
        <v>2</v>
      </c>
      <c r="D3" s="12" t="s">
        <v>3</v>
      </c>
      <c r="E3" s="84" t="s">
        <v>474</v>
      </c>
      <c r="F3" s="76" t="s">
        <v>11</v>
      </c>
      <c r="G3" s="77"/>
      <c r="H3" s="77"/>
      <c r="I3" s="77"/>
      <c r="J3" s="78"/>
      <c r="K3" s="78"/>
      <c r="L3" s="78"/>
      <c r="M3" s="78"/>
      <c r="N3" s="78"/>
      <c r="O3" s="78"/>
      <c r="P3" s="78" t="s">
        <v>530</v>
      </c>
      <c r="R3" s="11" t="s">
        <v>1</v>
      </c>
      <c r="S3" s="11" t="s">
        <v>2</v>
      </c>
      <c r="T3" s="12" t="s">
        <v>3</v>
      </c>
      <c r="U3" s="13"/>
      <c r="V3" s="20" t="s">
        <v>4</v>
      </c>
      <c r="W3" s="30" t="s">
        <v>11</v>
      </c>
      <c r="X3" s="31"/>
      <c r="Y3" s="31"/>
      <c r="Z3" s="31"/>
      <c r="AA3" s="32"/>
      <c r="AB3" s="35" t="s">
        <v>709</v>
      </c>
    </row>
    <row r="4" spans="2:28">
      <c r="B4" s="17"/>
      <c r="C4" s="17"/>
      <c r="D4" s="18"/>
      <c r="E4" s="17"/>
      <c r="F4" s="35" t="s">
        <v>12</v>
      </c>
      <c r="G4" s="35" t="s">
        <v>13</v>
      </c>
      <c r="H4" s="35" t="s">
        <v>591</v>
      </c>
      <c r="I4" s="35" t="s">
        <v>590</v>
      </c>
      <c r="J4" s="35" t="s">
        <v>575</v>
      </c>
      <c r="K4" s="35" t="s">
        <v>589</v>
      </c>
      <c r="L4" s="35" t="s">
        <v>19</v>
      </c>
      <c r="M4" s="35" t="s">
        <v>20</v>
      </c>
      <c r="N4" s="35" t="s">
        <v>588</v>
      </c>
      <c r="O4" s="35" t="s">
        <v>594</v>
      </c>
      <c r="P4" s="35"/>
      <c r="R4" s="17"/>
      <c r="S4" s="17"/>
      <c r="T4" s="18"/>
      <c r="U4" s="19"/>
      <c r="V4" s="17"/>
      <c r="W4" s="35" t="s">
        <v>589</v>
      </c>
      <c r="X4" s="35" t="s">
        <v>19</v>
      </c>
      <c r="Y4" s="35" t="s">
        <v>20</v>
      </c>
      <c r="Z4" s="35" t="s">
        <v>588</v>
      </c>
      <c r="AA4" s="35" t="s">
        <v>594</v>
      </c>
      <c r="AB4" s="35"/>
    </row>
    <row r="5" spans="2:28">
      <c r="B5" s="5" t="s">
        <v>69</v>
      </c>
      <c r="C5" s="7"/>
      <c r="D5" s="7"/>
      <c r="E5" s="8"/>
      <c r="F5" s="86">
        <f t="shared" ref="F5:J5" si="0">SUM(F6,F15,F28)</f>
        <v>140644902</v>
      </c>
      <c r="G5" s="86">
        <f t="shared" si="0"/>
        <v>354853084</v>
      </c>
      <c r="H5" s="86">
        <f>SUM(H6,H15,H28)</f>
        <v>181202744</v>
      </c>
      <c r="I5" s="86">
        <f t="shared" si="0"/>
        <v>225661934</v>
      </c>
      <c r="J5" s="86">
        <f t="shared" si="0"/>
        <v>246381566</v>
      </c>
      <c r="K5" s="86">
        <f>SUM(K6,K15,K28)</f>
        <v>236084433</v>
      </c>
      <c r="L5" s="86">
        <f t="shared" ref="L5:O5" si="1">SUM(L6,L15,L28)</f>
        <v>471816622</v>
      </c>
      <c r="M5" s="86">
        <f t="shared" si="1"/>
        <v>506142175</v>
      </c>
      <c r="N5" s="86">
        <f t="shared" si="1"/>
        <v>593505600</v>
      </c>
      <c r="O5" s="86">
        <f t="shared" si="1"/>
        <v>504865980</v>
      </c>
      <c r="P5" s="87">
        <f>AVERAGE(F5:O5)</f>
        <v>346115904</v>
      </c>
      <c r="R5" s="5" t="s">
        <v>69</v>
      </c>
      <c r="S5" s="7"/>
      <c r="T5" s="7"/>
      <c r="U5" s="8"/>
      <c r="V5" s="1"/>
      <c r="W5" s="85">
        <f t="shared" ref="W5:AB5" si="2">SUM(W6,W11,W19,W20)</f>
        <v>236084433</v>
      </c>
      <c r="X5" s="85">
        <f t="shared" si="2"/>
        <v>471816622</v>
      </c>
      <c r="Y5" s="85">
        <f t="shared" si="2"/>
        <v>506142175</v>
      </c>
      <c r="Z5" s="85">
        <f t="shared" si="2"/>
        <v>593505600</v>
      </c>
      <c r="AA5" s="85">
        <f t="shared" si="2"/>
        <v>504865980</v>
      </c>
      <c r="AB5" s="85">
        <f t="shared" si="2"/>
        <v>343746513.80000001</v>
      </c>
    </row>
    <row r="6" spans="2:28">
      <c r="B6" s="4"/>
      <c r="C6" s="5" t="s">
        <v>70</v>
      </c>
      <c r="D6" s="7"/>
      <c r="E6" s="8"/>
      <c r="F6" s="86">
        <f t="shared" ref="F6:L6" si="3">SUM(F7,F9,F11)</f>
        <v>98303392</v>
      </c>
      <c r="G6" s="86">
        <f t="shared" si="3"/>
        <v>106482674</v>
      </c>
      <c r="H6" s="86">
        <f t="shared" si="3"/>
        <v>108666066</v>
      </c>
      <c r="I6" s="86">
        <f t="shared" si="3"/>
        <v>118698260</v>
      </c>
      <c r="J6" s="86">
        <f t="shared" si="3"/>
        <v>117662769</v>
      </c>
      <c r="K6" s="86">
        <f t="shared" si="3"/>
        <v>115230130</v>
      </c>
      <c r="L6" s="86">
        <f t="shared" si="3"/>
        <v>119471832</v>
      </c>
      <c r="M6" s="86">
        <f>SUM(M7,M9,M11)</f>
        <v>122357520</v>
      </c>
      <c r="N6" s="86">
        <f>SUM(N7,N9,N11)</f>
        <v>119852700</v>
      </c>
      <c r="O6" s="86">
        <f>SUM(O7,O9,O11)</f>
        <v>120750259</v>
      </c>
      <c r="P6" s="87">
        <f t="shared" ref="P6:P32" si="4">AVERAGE(F6:O6)</f>
        <v>114747560.2</v>
      </c>
      <c r="R6" s="4"/>
      <c r="S6" s="5" t="s">
        <v>70</v>
      </c>
      <c r="T6" s="7"/>
      <c r="U6" s="8"/>
      <c r="V6" s="1"/>
      <c r="W6" s="85">
        <f t="shared" ref="W6:AB6" si="5">SUM(W7:W10)</f>
        <v>115230130</v>
      </c>
      <c r="X6" s="85">
        <f t="shared" si="5"/>
        <v>119471832</v>
      </c>
      <c r="Y6" s="85">
        <f t="shared" si="5"/>
        <v>122357520</v>
      </c>
      <c r="Z6" s="85">
        <f t="shared" si="5"/>
        <v>119852700</v>
      </c>
      <c r="AA6" s="85">
        <f t="shared" si="5"/>
        <v>120750259</v>
      </c>
      <c r="AB6" s="85">
        <f t="shared" si="5"/>
        <v>112378170</v>
      </c>
    </row>
    <row r="7" spans="2:28">
      <c r="B7" s="4"/>
      <c r="C7" s="4"/>
      <c r="D7" s="5" t="s">
        <v>71</v>
      </c>
      <c r="E7" s="8"/>
      <c r="F7" s="86">
        <f>F8</f>
        <v>90864970</v>
      </c>
      <c r="G7" s="86">
        <f t="shared" ref="G7:N7" si="6">G8</f>
        <v>96266880</v>
      </c>
      <c r="H7" s="86">
        <f t="shared" si="6"/>
        <v>101214980</v>
      </c>
      <c r="I7" s="86">
        <f t="shared" si="6"/>
        <v>117729860</v>
      </c>
      <c r="J7" s="86">
        <f t="shared" si="6"/>
        <v>117200769</v>
      </c>
      <c r="K7" s="86">
        <f t="shared" si="6"/>
        <v>114968230</v>
      </c>
      <c r="L7" s="86">
        <f t="shared" si="6"/>
        <v>119265632</v>
      </c>
      <c r="M7" s="86">
        <f t="shared" si="6"/>
        <v>122177720</v>
      </c>
      <c r="N7" s="86">
        <f t="shared" si="6"/>
        <v>119610300</v>
      </c>
      <c r="O7" s="86">
        <f>O8</f>
        <v>120553459</v>
      </c>
      <c r="P7" s="87">
        <f>AVERAGE(F7:O7)</f>
        <v>111985280</v>
      </c>
      <c r="R7" s="4"/>
      <c r="S7" s="4"/>
      <c r="T7" s="9" t="s">
        <v>71</v>
      </c>
      <c r="U7" s="8"/>
      <c r="V7" s="1"/>
      <c r="W7" s="85">
        <f>K7</f>
        <v>114968230</v>
      </c>
      <c r="X7" s="85">
        <f t="shared" ref="X7:AA7" si="7">L7</f>
        <v>119265632</v>
      </c>
      <c r="Y7" s="85">
        <f t="shared" si="7"/>
        <v>122177720</v>
      </c>
      <c r="Z7" s="85">
        <f t="shared" si="7"/>
        <v>119610300</v>
      </c>
      <c r="AA7" s="85">
        <f t="shared" si="7"/>
        <v>120553459</v>
      </c>
      <c r="AB7" s="85">
        <f>P7</f>
        <v>111985280</v>
      </c>
    </row>
    <row r="8" spans="2:28">
      <c r="B8" s="4"/>
      <c r="C8" s="4"/>
      <c r="D8" s="3"/>
      <c r="E8" s="142" t="s">
        <v>429</v>
      </c>
      <c r="F8" s="86">
        <v>90864970</v>
      </c>
      <c r="G8" s="86">
        <v>96266880</v>
      </c>
      <c r="H8" s="86">
        <v>101214980</v>
      </c>
      <c r="I8" s="86">
        <v>117729860</v>
      </c>
      <c r="J8" s="86">
        <v>117200769</v>
      </c>
      <c r="K8" s="86">
        <v>114968230</v>
      </c>
      <c r="L8" s="86">
        <v>119265632</v>
      </c>
      <c r="M8" s="86">
        <v>122177720</v>
      </c>
      <c r="N8" s="86">
        <v>119610300</v>
      </c>
      <c r="O8" s="86">
        <v>120553459</v>
      </c>
      <c r="P8" s="87">
        <f t="shared" si="4"/>
        <v>111985280</v>
      </c>
      <c r="R8" s="4"/>
      <c r="S8" s="4"/>
      <c r="T8" s="9" t="s">
        <v>614</v>
      </c>
      <c r="U8" s="8"/>
      <c r="V8" s="1"/>
      <c r="W8" s="85"/>
      <c r="X8" s="85"/>
      <c r="Y8" s="85"/>
      <c r="Z8" s="85"/>
      <c r="AA8" s="85"/>
      <c r="AB8" s="85">
        <v>0</v>
      </c>
    </row>
    <row r="9" spans="2:28">
      <c r="B9" s="4"/>
      <c r="C9" s="4"/>
      <c r="D9" s="5" t="s">
        <v>430</v>
      </c>
      <c r="E9" s="8"/>
      <c r="F9" s="86">
        <f t="shared" ref="F9:N9" si="8">F10</f>
        <v>0</v>
      </c>
      <c r="G9" s="86">
        <f t="shared" si="8"/>
        <v>0</v>
      </c>
      <c r="H9" s="86">
        <f t="shared" si="8"/>
        <v>0</v>
      </c>
      <c r="I9" s="86">
        <f t="shared" si="8"/>
        <v>0</v>
      </c>
      <c r="J9" s="86">
        <f t="shared" si="8"/>
        <v>0</v>
      </c>
      <c r="K9" s="86">
        <f t="shared" si="8"/>
        <v>0</v>
      </c>
      <c r="L9" s="86">
        <f t="shared" si="8"/>
        <v>0</v>
      </c>
      <c r="M9" s="86">
        <f t="shared" si="8"/>
        <v>0</v>
      </c>
      <c r="N9" s="86">
        <f t="shared" si="8"/>
        <v>0</v>
      </c>
      <c r="O9" s="86">
        <f>O10</f>
        <v>0</v>
      </c>
      <c r="P9" s="87">
        <f t="shared" si="4"/>
        <v>0</v>
      </c>
      <c r="R9" s="4"/>
      <c r="S9" s="4"/>
      <c r="T9" s="9" t="s">
        <v>430</v>
      </c>
      <c r="U9" s="8"/>
      <c r="V9" s="1"/>
      <c r="W9" s="85">
        <f>K9</f>
        <v>0</v>
      </c>
      <c r="X9" s="85">
        <f t="shared" ref="X9:AA9" si="9">L9</f>
        <v>0</v>
      </c>
      <c r="Y9" s="85">
        <f t="shared" si="9"/>
        <v>0</v>
      </c>
      <c r="Z9" s="85">
        <f t="shared" si="9"/>
        <v>0</v>
      </c>
      <c r="AA9" s="85">
        <f t="shared" si="9"/>
        <v>0</v>
      </c>
      <c r="AB9" s="85">
        <f>P9</f>
        <v>0</v>
      </c>
    </row>
    <row r="10" spans="2:28">
      <c r="B10" s="4"/>
      <c r="C10" s="79"/>
      <c r="D10" s="3"/>
      <c r="E10" s="142" t="s">
        <v>430</v>
      </c>
      <c r="F10" s="86">
        <v>0</v>
      </c>
      <c r="G10" s="86">
        <v>0</v>
      </c>
      <c r="H10" s="86">
        <v>0</v>
      </c>
      <c r="I10" s="86">
        <v>0</v>
      </c>
      <c r="J10" s="86">
        <v>0</v>
      </c>
      <c r="K10" s="86">
        <v>0</v>
      </c>
      <c r="L10" s="86">
        <v>0</v>
      </c>
      <c r="M10" s="86">
        <v>0</v>
      </c>
      <c r="N10" s="86">
        <v>0</v>
      </c>
      <c r="O10" s="86">
        <v>0</v>
      </c>
      <c r="P10" s="86">
        <f t="shared" si="4"/>
        <v>0</v>
      </c>
      <c r="R10" s="4"/>
      <c r="S10" s="3"/>
      <c r="T10" s="9" t="s">
        <v>73</v>
      </c>
      <c r="U10" s="8"/>
      <c r="V10" s="1"/>
      <c r="W10" s="85">
        <f>K12+K13</f>
        <v>261900</v>
      </c>
      <c r="X10" s="85">
        <f>L12+L13</f>
        <v>206200</v>
      </c>
      <c r="Y10" s="85">
        <f t="shared" ref="Y10:AA10" si="10">M12+M13</f>
        <v>179800</v>
      </c>
      <c r="Z10" s="85">
        <f t="shared" si="10"/>
        <v>242400</v>
      </c>
      <c r="AA10" s="85">
        <f t="shared" si="10"/>
        <v>196800</v>
      </c>
      <c r="AB10" s="85">
        <f>P12</f>
        <v>392890</v>
      </c>
    </row>
    <row r="11" spans="2:28">
      <c r="B11" s="4"/>
      <c r="C11" s="4"/>
      <c r="D11" s="5" t="s">
        <v>73</v>
      </c>
      <c r="E11" s="8"/>
      <c r="F11" s="86">
        <f t="shared" ref="F11:M11" si="11">SUM(F12:F14)</f>
        <v>7438422</v>
      </c>
      <c r="G11" s="86">
        <f t="shared" si="11"/>
        <v>10215794</v>
      </c>
      <c r="H11" s="86">
        <f t="shared" si="11"/>
        <v>7451086</v>
      </c>
      <c r="I11" s="86">
        <f t="shared" si="11"/>
        <v>968400</v>
      </c>
      <c r="J11" s="86">
        <f t="shared" si="11"/>
        <v>462000</v>
      </c>
      <c r="K11" s="86">
        <f>SUM(K12:K14)</f>
        <v>261900</v>
      </c>
      <c r="L11" s="86">
        <f t="shared" si="11"/>
        <v>206200</v>
      </c>
      <c r="M11" s="86">
        <f t="shared" si="11"/>
        <v>179800</v>
      </c>
      <c r="N11" s="86">
        <f>SUM(N12:N14)</f>
        <v>242400</v>
      </c>
      <c r="O11" s="86">
        <f>SUM(O12:O14)</f>
        <v>196800</v>
      </c>
      <c r="P11" s="87">
        <f t="shared" si="4"/>
        <v>2762280.2</v>
      </c>
      <c r="R11" s="4"/>
      <c r="S11" s="5" t="s">
        <v>74</v>
      </c>
      <c r="T11" s="7"/>
      <c r="U11" s="8"/>
      <c r="V11" s="1"/>
      <c r="W11" s="85">
        <f t="shared" ref="W11:AB11" si="12">SUM(W12:W16)</f>
        <v>120854303</v>
      </c>
      <c r="X11" s="85">
        <f t="shared" si="12"/>
        <v>352344790</v>
      </c>
      <c r="Y11" s="85">
        <f t="shared" si="12"/>
        <v>383784655</v>
      </c>
      <c r="Z11" s="85">
        <f t="shared" si="12"/>
        <v>473652900</v>
      </c>
      <c r="AA11" s="85">
        <f t="shared" si="12"/>
        <v>384115721</v>
      </c>
      <c r="AB11" s="85">
        <f t="shared" si="12"/>
        <v>231368343.80000001</v>
      </c>
    </row>
    <row r="12" spans="2:28">
      <c r="B12" s="4"/>
      <c r="C12" s="4"/>
      <c r="D12" s="4"/>
      <c r="E12" s="142" t="s">
        <v>431</v>
      </c>
      <c r="F12" s="86">
        <v>329800</v>
      </c>
      <c r="G12" s="86">
        <v>411700</v>
      </c>
      <c r="H12" s="86">
        <v>669900</v>
      </c>
      <c r="I12" s="86">
        <v>968400</v>
      </c>
      <c r="J12" s="86">
        <v>462000</v>
      </c>
      <c r="K12" s="86">
        <v>261900</v>
      </c>
      <c r="L12" s="86">
        <v>206200</v>
      </c>
      <c r="M12" s="86">
        <v>179800</v>
      </c>
      <c r="N12" s="86">
        <v>242400</v>
      </c>
      <c r="O12" s="86">
        <v>196800</v>
      </c>
      <c r="P12" s="87">
        <f t="shared" si="4"/>
        <v>392890</v>
      </c>
      <c r="R12" s="4"/>
      <c r="S12" s="4"/>
      <c r="T12" s="9" t="s">
        <v>75</v>
      </c>
      <c r="U12" s="8"/>
      <c r="V12" s="1"/>
      <c r="W12" s="85">
        <f>K16</f>
        <v>0</v>
      </c>
      <c r="X12" s="85">
        <f t="shared" ref="X12:AA12" si="13">L16</f>
        <v>0</v>
      </c>
      <c r="Y12" s="85">
        <f t="shared" si="13"/>
        <v>0</v>
      </c>
      <c r="Z12" s="85">
        <f t="shared" si="13"/>
        <v>0</v>
      </c>
      <c r="AA12" s="85">
        <f t="shared" si="13"/>
        <v>0</v>
      </c>
      <c r="AB12" s="85">
        <f>P16</f>
        <v>15431.1</v>
      </c>
    </row>
    <row r="13" spans="2:28">
      <c r="B13" s="4"/>
      <c r="C13" s="79"/>
      <c r="D13" s="4"/>
      <c r="E13" s="142" t="s">
        <v>616</v>
      </c>
      <c r="F13" s="86">
        <v>6961710</v>
      </c>
      <c r="G13" s="86">
        <v>9706982</v>
      </c>
      <c r="H13" s="86">
        <v>6730537</v>
      </c>
      <c r="I13" s="86">
        <v>0</v>
      </c>
      <c r="J13" s="86">
        <v>0</v>
      </c>
      <c r="K13" s="86">
        <v>0</v>
      </c>
      <c r="L13" s="86">
        <v>0</v>
      </c>
      <c r="M13" s="86">
        <v>0</v>
      </c>
      <c r="N13" s="86">
        <v>0</v>
      </c>
      <c r="O13" s="86">
        <v>0</v>
      </c>
      <c r="P13" s="87">
        <f t="shared" si="4"/>
        <v>2339922.9</v>
      </c>
      <c r="R13" s="4"/>
      <c r="S13" s="4"/>
      <c r="T13" s="9" t="s">
        <v>76</v>
      </c>
      <c r="U13" s="8"/>
      <c r="V13" s="1"/>
      <c r="W13" s="85">
        <f>K18</f>
        <v>23034829</v>
      </c>
      <c r="X13" s="85">
        <f t="shared" ref="X13:Z13" si="14">L18</f>
        <v>61004862</v>
      </c>
      <c r="Y13" s="85">
        <f t="shared" si="14"/>
        <v>0</v>
      </c>
      <c r="Z13" s="85">
        <f t="shared" si="14"/>
        <v>25962175</v>
      </c>
      <c r="AA13" s="85">
        <f>O18</f>
        <v>25117004</v>
      </c>
      <c r="AB13" s="85">
        <f>P18</f>
        <v>13834221</v>
      </c>
    </row>
    <row r="14" spans="2:28">
      <c r="B14" s="4"/>
      <c r="C14" s="79"/>
      <c r="D14" s="3"/>
      <c r="E14" s="142" t="s">
        <v>617</v>
      </c>
      <c r="F14" s="86">
        <v>146912</v>
      </c>
      <c r="G14" s="86">
        <v>97112</v>
      </c>
      <c r="H14" s="86">
        <v>50649</v>
      </c>
      <c r="I14" s="86">
        <v>0</v>
      </c>
      <c r="J14" s="86">
        <v>0</v>
      </c>
      <c r="K14" s="86">
        <v>0</v>
      </c>
      <c r="L14" s="86">
        <v>0</v>
      </c>
      <c r="M14" s="86">
        <v>0</v>
      </c>
      <c r="N14" s="86">
        <v>0</v>
      </c>
      <c r="O14" s="86">
        <v>0</v>
      </c>
      <c r="P14" s="87">
        <f t="shared" si="4"/>
        <v>29467.3</v>
      </c>
      <c r="R14" s="4"/>
      <c r="S14" s="4"/>
      <c r="T14" s="9" t="s">
        <v>471</v>
      </c>
      <c r="U14" s="8"/>
      <c r="V14" s="1"/>
      <c r="W14" s="85">
        <f>K24</f>
        <v>0</v>
      </c>
      <c r="X14" s="85">
        <f t="shared" ref="X14:AA14" si="15">L24</f>
        <v>0</v>
      </c>
      <c r="Y14" s="85">
        <f t="shared" si="15"/>
        <v>25000000</v>
      </c>
      <c r="Z14" s="85">
        <f t="shared" si="15"/>
        <v>20000000</v>
      </c>
      <c r="AA14" s="85">
        <f t="shared" si="15"/>
        <v>20000000</v>
      </c>
      <c r="AB14" s="85">
        <f>P24</f>
        <v>15900000</v>
      </c>
    </row>
    <row r="15" spans="2:28">
      <c r="B15" s="4"/>
      <c r="C15" s="5" t="s">
        <v>74</v>
      </c>
      <c r="D15" s="7"/>
      <c r="E15" s="8"/>
      <c r="F15" s="86">
        <f t="shared" ref="F15:M15" si="16">SUM(F16,F18,F20,F24,F26)</f>
        <v>42341510</v>
      </c>
      <c r="G15" s="86">
        <f t="shared" si="16"/>
        <v>248370410</v>
      </c>
      <c r="H15" s="86">
        <f t="shared" si="16"/>
        <v>72536678</v>
      </c>
      <c r="I15" s="86">
        <f t="shared" si="16"/>
        <v>106963674</v>
      </c>
      <c r="J15" s="86">
        <f t="shared" si="16"/>
        <v>128718797</v>
      </c>
      <c r="K15" s="86">
        <f>SUM(K16,K18,K20,K24,K26)</f>
        <v>120854303</v>
      </c>
      <c r="L15" s="86">
        <f t="shared" si="16"/>
        <v>352344790</v>
      </c>
      <c r="M15" s="86">
        <f t="shared" si="16"/>
        <v>383784655</v>
      </c>
      <c r="N15" s="86">
        <f>SUM(N16,N18,N20,N24,N26)</f>
        <v>473652900</v>
      </c>
      <c r="O15" s="86">
        <f>SUM(O16,O18,O20,O24,O26)</f>
        <v>384115721</v>
      </c>
      <c r="P15" s="87">
        <f t="shared" si="4"/>
        <v>231368343.80000001</v>
      </c>
      <c r="R15" s="4"/>
      <c r="S15" s="4"/>
      <c r="T15" s="9" t="s">
        <v>77</v>
      </c>
      <c r="U15" s="8"/>
      <c r="V15" s="1"/>
      <c r="W15" s="85">
        <f t="shared" ref="W15:AB15" si="17">K20</f>
        <v>2684327</v>
      </c>
      <c r="X15" s="85">
        <f t="shared" si="17"/>
        <v>2450229</v>
      </c>
      <c r="Y15" s="85">
        <f t="shared" si="17"/>
        <v>22402177</v>
      </c>
      <c r="Z15" s="85">
        <f t="shared" si="17"/>
        <v>8371047</v>
      </c>
      <c r="AA15" s="85">
        <f t="shared" si="17"/>
        <v>2589660</v>
      </c>
      <c r="AB15" s="85">
        <f t="shared" si="17"/>
        <v>4890572.7999999998</v>
      </c>
    </row>
    <row r="16" spans="2:28">
      <c r="B16" s="4"/>
      <c r="C16" s="4"/>
      <c r="D16" s="5" t="s">
        <v>75</v>
      </c>
      <c r="E16" s="8"/>
      <c r="F16" s="86">
        <f t="shared" ref="F16:N16" si="18">F17</f>
        <v>26979</v>
      </c>
      <c r="G16" s="86">
        <f t="shared" si="18"/>
        <v>19775</v>
      </c>
      <c r="H16" s="86">
        <f t="shared" si="18"/>
        <v>14752</v>
      </c>
      <c r="I16" s="86">
        <f t="shared" si="18"/>
        <v>15030</v>
      </c>
      <c r="J16" s="86">
        <f t="shared" si="18"/>
        <v>77775</v>
      </c>
      <c r="K16" s="86">
        <f t="shared" si="18"/>
        <v>0</v>
      </c>
      <c r="L16" s="86">
        <f t="shared" si="18"/>
        <v>0</v>
      </c>
      <c r="M16" s="86">
        <f t="shared" si="18"/>
        <v>0</v>
      </c>
      <c r="N16" s="86">
        <f t="shared" si="18"/>
        <v>0</v>
      </c>
      <c r="O16" s="86">
        <f>O17</f>
        <v>0</v>
      </c>
      <c r="P16" s="87">
        <f t="shared" si="4"/>
        <v>15431.1</v>
      </c>
      <c r="R16" s="4"/>
      <c r="S16" s="4"/>
      <c r="T16" s="5" t="s">
        <v>78</v>
      </c>
      <c r="U16" s="8"/>
      <c r="V16" s="1"/>
      <c r="W16" s="85">
        <f>SUM(W17:W18)</f>
        <v>95135147</v>
      </c>
      <c r="X16" s="85">
        <f t="shared" ref="X16:AA16" si="19">SUM(X17:X18)</f>
        <v>288889699</v>
      </c>
      <c r="Y16" s="85">
        <f t="shared" si="19"/>
        <v>336382478</v>
      </c>
      <c r="Z16" s="85">
        <f t="shared" si="19"/>
        <v>419319678</v>
      </c>
      <c r="AA16" s="85">
        <f t="shared" si="19"/>
        <v>336409057</v>
      </c>
      <c r="AB16" s="85">
        <f>SUM(AB17:AB18)</f>
        <v>196728118.90000001</v>
      </c>
    </row>
    <row r="17" spans="2:28">
      <c r="B17" s="4"/>
      <c r="C17" s="4"/>
      <c r="D17" s="80"/>
      <c r="E17" s="142" t="s">
        <v>433</v>
      </c>
      <c r="F17" s="86">
        <v>26979</v>
      </c>
      <c r="G17" s="86">
        <v>19775</v>
      </c>
      <c r="H17" s="86">
        <v>14752</v>
      </c>
      <c r="I17" s="86">
        <v>15030</v>
      </c>
      <c r="J17" s="86">
        <v>77775</v>
      </c>
      <c r="K17" s="86">
        <v>0</v>
      </c>
      <c r="L17" s="86">
        <v>0</v>
      </c>
      <c r="M17" s="86">
        <v>0</v>
      </c>
      <c r="N17" s="86">
        <v>0</v>
      </c>
      <c r="O17" s="86">
        <v>0</v>
      </c>
      <c r="P17" s="87">
        <f t="shared" si="4"/>
        <v>15431.1</v>
      </c>
      <c r="R17" s="4"/>
      <c r="S17" s="4"/>
      <c r="T17" s="4"/>
      <c r="U17" s="1" t="s">
        <v>79</v>
      </c>
      <c r="V17" s="1"/>
      <c r="W17" s="85">
        <f t="shared" ref="W17:AB17" si="20">K26</f>
        <v>95135147</v>
      </c>
      <c r="X17" s="85">
        <f t="shared" si="20"/>
        <v>288889699</v>
      </c>
      <c r="Y17" s="85">
        <f t="shared" si="20"/>
        <v>336382478</v>
      </c>
      <c r="Z17" s="85">
        <f t="shared" si="20"/>
        <v>419319678</v>
      </c>
      <c r="AA17" s="85">
        <f t="shared" si="20"/>
        <v>336409057</v>
      </c>
      <c r="AB17" s="85">
        <f t="shared" si="20"/>
        <v>196728118.90000001</v>
      </c>
    </row>
    <row r="18" spans="2:28">
      <c r="B18" s="4"/>
      <c r="C18" s="4"/>
      <c r="D18" s="5" t="s">
        <v>76</v>
      </c>
      <c r="E18" s="8"/>
      <c r="F18" s="86">
        <f t="shared" ref="F18:N18" si="21">F19</f>
        <v>480000</v>
      </c>
      <c r="G18" s="86">
        <f t="shared" si="21"/>
        <v>488000</v>
      </c>
      <c r="H18" s="86">
        <f t="shared" si="21"/>
        <v>1343340</v>
      </c>
      <c r="I18" s="86">
        <f t="shared" si="21"/>
        <v>576000</v>
      </c>
      <c r="J18" s="86">
        <f t="shared" si="21"/>
        <v>336000</v>
      </c>
      <c r="K18" s="86">
        <f t="shared" si="21"/>
        <v>23034829</v>
      </c>
      <c r="L18" s="86">
        <f t="shared" si="21"/>
        <v>61004862</v>
      </c>
      <c r="M18" s="86">
        <f t="shared" si="21"/>
        <v>0</v>
      </c>
      <c r="N18" s="86">
        <f t="shared" si="21"/>
        <v>25962175</v>
      </c>
      <c r="O18" s="86">
        <f>O19</f>
        <v>25117004</v>
      </c>
      <c r="P18" s="87">
        <f t="shared" si="4"/>
        <v>13834221</v>
      </c>
      <c r="R18" s="4"/>
      <c r="S18" s="3"/>
      <c r="T18" s="3"/>
      <c r="U18" s="1" t="s">
        <v>80</v>
      </c>
      <c r="V18" s="1"/>
      <c r="W18" s="85"/>
      <c r="X18" s="85"/>
      <c r="Y18" s="85"/>
      <c r="Z18" s="85"/>
      <c r="AA18" s="85"/>
      <c r="AB18" s="85"/>
    </row>
    <row r="19" spans="2:28">
      <c r="B19" s="4"/>
      <c r="C19" s="4"/>
      <c r="D19" s="3"/>
      <c r="E19" s="144" t="s">
        <v>76</v>
      </c>
      <c r="F19" s="86">
        <v>480000</v>
      </c>
      <c r="G19" s="86">
        <v>488000</v>
      </c>
      <c r="H19" s="86">
        <v>1343340</v>
      </c>
      <c r="I19" s="86">
        <v>576000</v>
      </c>
      <c r="J19" s="86">
        <v>336000</v>
      </c>
      <c r="K19" s="86">
        <v>23034829</v>
      </c>
      <c r="L19" s="86">
        <v>61004862</v>
      </c>
      <c r="M19" s="86">
        <v>0</v>
      </c>
      <c r="N19" s="86">
        <v>25962175</v>
      </c>
      <c r="O19" s="86">
        <v>25117004</v>
      </c>
      <c r="P19" s="87">
        <f t="shared" si="4"/>
        <v>13834221</v>
      </c>
      <c r="R19" s="4"/>
      <c r="S19" s="9" t="s">
        <v>81</v>
      </c>
      <c r="T19" s="7"/>
      <c r="U19" s="8"/>
      <c r="V19" s="1"/>
      <c r="W19" s="85"/>
      <c r="X19" s="85"/>
      <c r="Y19" s="85"/>
      <c r="Z19" s="85"/>
      <c r="AA19" s="85"/>
      <c r="AB19" s="85"/>
    </row>
    <row r="20" spans="2:28">
      <c r="B20" s="4"/>
      <c r="C20" s="4"/>
      <c r="D20" s="5" t="s">
        <v>77</v>
      </c>
      <c r="E20" s="8"/>
      <c r="F20" s="86">
        <f t="shared" ref="F20:L20" si="22">SUM(F21:F23)</f>
        <v>1792752</v>
      </c>
      <c r="G20" s="86">
        <f t="shared" si="22"/>
        <v>1015811</v>
      </c>
      <c r="H20" s="86">
        <f t="shared" si="22"/>
        <v>1702162</v>
      </c>
      <c r="I20" s="86">
        <f t="shared" si="22"/>
        <v>1962207</v>
      </c>
      <c r="J20" s="86">
        <f t="shared" si="22"/>
        <v>3935356</v>
      </c>
      <c r="K20" s="86">
        <f t="shared" si="22"/>
        <v>2684327</v>
      </c>
      <c r="L20" s="86">
        <f t="shared" si="22"/>
        <v>2450229</v>
      </c>
      <c r="M20" s="86">
        <f>SUM(M21:M23)</f>
        <v>22402177</v>
      </c>
      <c r="N20" s="86">
        <f>SUM(N21:N23)</f>
        <v>8371047</v>
      </c>
      <c r="O20" s="86">
        <f>SUM(O21:O23)</f>
        <v>2589660</v>
      </c>
      <c r="P20" s="87">
        <f t="shared" si="4"/>
        <v>4890572.7999999998</v>
      </c>
      <c r="R20" s="4"/>
      <c r="S20" s="5" t="s">
        <v>82</v>
      </c>
      <c r="T20" s="7"/>
      <c r="U20" s="8"/>
      <c r="V20" s="1"/>
      <c r="W20" s="85">
        <f>SUM(W21:W23)</f>
        <v>0</v>
      </c>
      <c r="X20" s="85">
        <f t="shared" ref="X20:AA20" si="23">SUM(X21:X23)</f>
        <v>0</v>
      </c>
      <c r="Y20" s="85">
        <f t="shared" si="23"/>
        <v>0</v>
      </c>
      <c r="Z20" s="85">
        <f t="shared" si="23"/>
        <v>0</v>
      </c>
      <c r="AA20" s="85">
        <f t="shared" si="23"/>
        <v>0</v>
      </c>
      <c r="AB20" s="85">
        <f>SUM(AB21:AB23)</f>
        <v>0</v>
      </c>
    </row>
    <row r="21" spans="2:28">
      <c r="B21" s="4"/>
      <c r="C21" s="4"/>
      <c r="D21" s="79"/>
      <c r="E21" s="142" t="s">
        <v>434</v>
      </c>
      <c r="F21" s="86">
        <v>1789952</v>
      </c>
      <c r="G21" s="86">
        <v>1015811</v>
      </c>
      <c r="H21" s="86">
        <v>1702162</v>
      </c>
      <c r="I21" s="86">
        <v>1962207</v>
      </c>
      <c r="J21" s="86">
        <v>2052299</v>
      </c>
      <c r="K21" s="86">
        <v>2684327</v>
      </c>
      <c r="L21" s="86">
        <v>2450229</v>
      </c>
      <c r="M21" s="86">
        <v>22402177</v>
      </c>
      <c r="N21" s="86">
        <v>8371047</v>
      </c>
      <c r="O21" s="86">
        <v>2589660</v>
      </c>
      <c r="P21" s="87">
        <f t="shared" si="4"/>
        <v>4701987.0999999996</v>
      </c>
      <c r="R21" s="4"/>
      <c r="S21" s="4"/>
      <c r="T21" s="9" t="s">
        <v>83</v>
      </c>
      <c r="U21" s="8"/>
      <c r="V21" s="1"/>
      <c r="W21" s="85">
        <f t="shared" ref="W21:AB21" si="24">K32</f>
        <v>0</v>
      </c>
      <c r="X21" s="85">
        <f t="shared" si="24"/>
        <v>0</v>
      </c>
      <c r="Y21" s="85">
        <f t="shared" si="24"/>
        <v>0</v>
      </c>
      <c r="Z21" s="85">
        <f t="shared" si="24"/>
        <v>0</v>
      </c>
      <c r="AA21" s="85">
        <f t="shared" si="24"/>
        <v>0</v>
      </c>
      <c r="AB21" s="85">
        <f t="shared" si="24"/>
        <v>0</v>
      </c>
    </row>
    <row r="22" spans="2:28">
      <c r="B22" s="4"/>
      <c r="C22" s="4"/>
      <c r="D22" s="79"/>
      <c r="E22" s="144" t="s">
        <v>615</v>
      </c>
      <c r="F22" s="86">
        <v>2800</v>
      </c>
      <c r="G22" s="86">
        <v>0</v>
      </c>
      <c r="H22" s="86">
        <v>0</v>
      </c>
      <c r="I22" s="86">
        <v>0</v>
      </c>
      <c r="J22" s="86">
        <v>1883057</v>
      </c>
      <c r="K22" s="86">
        <v>0</v>
      </c>
      <c r="L22" s="86">
        <v>0</v>
      </c>
      <c r="M22" s="86">
        <v>0</v>
      </c>
      <c r="N22" s="86">
        <v>0</v>
      </c>
      <c r="O22" s="86">
        <v>0</v>
      </c>
      <c r="P22" s="87">
        <f t="shared" si="4"/>
        <v>188585.7</v>
      </c>
      <c r="R22" s="4"/>
      <c r="S22" s="4"/>
      <c r="T22" s="9" t="s">
        <v>84</v>
      </c>
      <c r="U22" s="8"/>
      <c r="V22" s="1"/>
      <c r="W22" s="85">
        <f t="shared" ref="W22:AB22" si="25">K29</f>
        <v>0</v>
      </c>
      <c r="X22" s="85">
        <f t="shared" si="25"/>
        <v>0</v>
      </c>
      <c r="Y22" s="85">
        <f t="shared" si="25"/>
        <v>0</v>
      </c>
      <c r="Z22" s="85">
        <f t="shared" si="25"/>
        <v>0</v>
      </c>
      <c r="AA22" s="85">
        <f t="shared" si="25"/>
        <v>0</v>
      </c>
      <c r="AB22" s="85">
        <f t="shared" si="25"/>
        <v>0</v>
      </c>
    </row>
    <row r="23" spans="2:28">
      <c r="B23" s="4"/>
      <c r="C23" s="4"/>
      <c r="D23" s="80"/>
      <c r="E23" s="144" t="s">
        <v>436</v>
      </c>
      <c r="F23" s="86">
        <v>0</v>
      </c>
      <c r="G23" s="86">
        <v>0</v>
      </c>
      <c r="H23" s="86">
        <v>0</v>
      </c>
      <c r="I23" s="86">
        <v>0</v>
      </c>
      <c r="J23" s="86">
        <v>0</v>
      </c>
      <c r="K23" s="86">
        <v>0</v>
      </c>
      <c r="L23" s="86">
        <v>0</v>
      </c>
      <c r="M23" s="86">
        <v>0</v>
      </c>
      <c r="N23" s="86">
        <v>0</v>
      </c>
      <c r="O23" s="86">
        <v>0</v>
      </c>
      <c r="P23" s="87">
        <f t="shared" si="4"/>
        <v>0</v>
      </c>
      <c r="R23" s="3"/>
      <c r="S23" s="3"/>
      <c r="T23" s="9" t="s">
        <v>85</v>
      </c>
      <c r="U23" s="8"/>
      <c r="V23" s="1"/>
      <c r="W23" s="85"/>
      <c r="X23" s="85"/>
      <c r="Y23" s="85"/>
      <c r="Z23" s="85"/>
      <c r="AA23" s="85"/>
      <c r="AB23" s="85"/>
    </row>
    <row r="24" spans="2:28">
      <c r="B24" s="4"/>
      <c r="C24" s="4"/>
      <c r="D24" s="79" t="s">
        <v>471</v>
      </c>
      <c r="E24" s="7"/>
      <c r="F24" s="86">
        <f t="shared" ref="F24:N24" si="26">F25</f>
        <v>14000000</v>
      </c>
      <c r="G24" s="86">
        <f t="shared" si="26"/>
        <v>15000000</v>
      </c>
      <c r="H24" s="86">
        <f t="shared" si="26"/>
        <v>11000000</v>
      </c>
      <c r="I24" s="86">
        <f t="shared" si="26"/>
        <v>27000000</v>
      </c>
      <c r="J24" s="86">
        <f t="shared" si="26"/>
        <v>27000000</v>
      </c>
      <c r="K24" s="86">
        <f t="shared" si="26"/>
        <v>0</v>
      </c>
      <c r="L24" s="86">
        <f t="shared" si="26"/>
        <v>0</v>
      </c>
      <c r="M24" s="86">
        <f t="shared" si="26"/>
        <v>25000000</v>
      </c>
      <c r="N24" s="86">
        <f t="shared" si="26"/>
        <v>20000000</v>
      </c>
      <c r="O24" s="86">
        <f>O25</f>
        <v>20000000</v>
      </c>
      <c r="P24" s="87">
        <f t="shared" si="4"/>
        <v>15900000</v>
      </c>
      <c r="R24" s="5" t="s">
        <v>86</v>
      </c>
      <c r="S24" s="7"/>
      <c r="T24" s="7"/>
      <c r="U24" s="8"/>
      <c r="V24" s="1"/>
      <c r="W24" s="85">
        <f>SUM(W25,W58,W63)</f>
        <v>390874183</v>
      </c>
      <c r="X24" s="85">
        <f>SUM(X25,X58,X63)</f>
        <v>507845824</v>
      </c>
      <c r="Y24" s="85">
        <f>SUM(Y25,Y58,Y63)</f>
        <v>543887736</v>
      </c>
      <c r="Z24" s="85">
        <f>SUM(Z25,Z58,Z63)</f>
        <v>694576672</v>
      </c>
      <c r="AA24" s="85">
        <f>SUM(AA25,AA58,AA63)</f>
        <v>564428515</v>
      </c>
      <c r="AB24" s="85">
        <f>P35</f>
        <v>420868994.39999998</v>
      </c>
    </row>
    <row r="25" spans="2:28">
      <c r="B25" s="4"/>
      <c r="C25" s="4"/>
      <c r="D25" s="79"/>
      <c r="E25" s="142" t="s">
        <v>117</v>
      </c>
      <c r="F25" s="86">
        <v>14000000</v>
      </c>
      <c r="G25" s="86">
        <v>15000000</v>
      </c>
      <c r="H25" s="86">
        <v>11000000</v>
      </c>
      <c r="I25" s="86">
        <v>27000000</v>
      </c>
      <c r="J25" s="86">
        <v>27000000</v>
      </c>
      <c r="K25" s="86">
        <v>0</v>
      </c>
      <c r="L25" s="86">
        <v>0</v>
      </c>
      <c r="M25" s="86">
        <v>25000000</v>
      </c>
      <c r="N25" s="86">
        <v>20000000</v>
      </c>
      <c r="O25" s="86">
        <v>20000000</v>
      </c>
      <c r="P25" s="87">
        <f t="shared" si="4"/>
        <v>15900000</v>
      </c>
      <c r="R25" s="4"/>
      <c r="S25" s="5" t="s">
        <v>87</v>
      </c>
      <c r="T25" s="7"/>
      <c r="U25" s="8"/>
      <c r="V25" s="1"/>
      <c r="W25" s="85">
        <f>SUM(W26,W34,W43,W52,W55)</f>
        <v>276187944</v>
      </c>
      <c r="X25" s="85">
        <f t="shared" ref="X25:AA25" si="27">SUM(X26,X34,X43,X52,X55)</f>
        <v>493988554</v>
      </c>
      <c r="Y25" s="85">
        <f t="shared" si="27"/>
        <v>537473069</v>
      </c>
      <c r="Z25" s="85">
        <f t="shared" si="27"/>
        <v>687804951</v>
      </c>
      <c r="AA25" s="85">
        <f t="shared" si="27"/>
        <v>548360734</v>
      </c>
      <c r="AB25" s="85">
        <f t="shared" ref="AB25:AB26" si="28">P36</f>
        <v>359425182.19999999</v>
      </c>
    </row>
    <row r="26" spans="2:28">
      <c r="B26" s="4"/>
      <c r="C26" s="4"/>
      <c r="D26" s="5" t="s">
        <v>78</v>
      </c>
      <c r="E26" s="7"/>
      <c r="F26" s="86">
        <f t="shared" ref="F26:N26" si="29">F27</f>
        <v>26041779</v>
      </c>
      <c r="G26" s="86">
        <f t="shared" si="29"/>
        <v>231846824</v>
      </c>
      <c r="H26" s="86">
        <f t="shared" si="29"/>
        <v>58476424</v>
      </c>
      <c r="I26" s="86">
        <f t="shared" si="29"/>
        <v>77410437</v>
      </c>
      <c r="J26" s="86">
        <f t="shared" si="29"/>
        <v>97369666</v>
      </c>
      <c r="K26" s="86">
        <f t="shared" si="29"/>
        <v>95135147</v>
      </c>
      <c r="L26" s="86">
        <f t="shared" si="29"/>
        <v>288889699</v>
      </c>
      <c r="M26" s="86">
        <f t="shared" si="29"/>
        <v>336382478</v>
      </c>
      <c r="N26" s="86">
        <f t="shared" si="29"/>
        <v>419319678</v>
      </c>
      <c r="O26" s="86">
        <f>O27</f>
        <v>336409057</v>
      </c>
      <c r="P26" s="87">
        <f t="shared" si="4"/>
        <v>196728118.90000001</v>
      </c>
      <c r="R26" s="4"/>
      <c r="S26" s="4"/>
      <c r="T26" s="5" t="s">
        <v>88</v>
      </c>
      <c r="U26" s="8"/>
      <c r="V26" s="302" t="s">
        <v>174</v>
      </c>
      <c r="W26" s="85">
        <f>SUM(W27:W33)</f>
        <v>68125490</v>
      </c>
      <c r="X26" s="85">
        <f t="shared" ref="X26:AA26" si="30">SUM(X27:X33)</f>
        <v>86729085</v>
      </c>
      <c r="Y26" s="85">
        <f t="shared" si="30"/>
        <v>77675517</v>
      </c>
      <c r="Z26" s="85">
        <f t="shared" si="30"/>
        <v>81124641</v>
      </c>
      <c r="AA26" s="85">
        <f t="shared" si="30"/>
        <v>85901288</v>
      </c>
      <c r="AB26" s="85">
        <f t="shared" si="28"/>
        <v>69189920.900000006</v>
      </c>
    </row>
    <row r="27" spans="2:28">
      <c r="B27" s="4"/>
      <c r="C27" s="79"/>
      <c r="D27" s="3"/>
      <c r="E27" s="145" t="s">
        <v>78</v>
      </c>
      <c r="F27" s="86">
        <v>26041779</v>
      </c>
      <c r="G27" s="86">
        <v>231846824</v>
      </c>
      <c r="H27" s="86">
        <v>58476424</v>
      </c>
      <c r="I27" s="86">
        <v>77410437</v>
      </c>
      <c r="J27" s="86">
        <v>97369666</v>
      </c>
      <c r="K27" s="86">
        <v>95135147</v>
      </c>
      <c r="L27" s="86">
        <v>288889699</v>
      </c>
      <c r="M27" s="86">
        <v>336382478</v>
      </c>
      <c r="N27" s="86">
        <v>419319678</v>
      </c>
      <c r="O27" s="86">
        <v>336409057</v>
      </c>
      <c r="P27" s="87">
        <f>AVERAGE(F27:O27)</f>
        <v>196728118.90000001</v>
      </c>
      <c r="R27" s="4"/>
      <c r="S27" s="4"/>
      <c r="T27" s="4"/>
      <c r="U27" s="1" t="s">
        <v>89</v>
      </c>
      <c r="V27" s="303"/>
      <c r="W27" s="85">
        <f t="shared" ref="W27:AB27" si="31">K38+K39+K40+K41</f>
        <v>6871890</v>
      </c>
      <c r="X27" s="85">
        <f t="shared" si="31"/>
        <v>6834594</v>
      </c>
      <c r="Y27" s="85">
        <f t="shared" si="31"/>
        <v>6604994</v>
      </c>
      <c r="Z27" s="85">
        <f t="shared" si="31"/>
        <v>6808256</v>
      </c>
      <c r="AA27" s="85">
        <f t="shared" si="31"/>
        <v>6912531</v>
      </c>
      <c r="AB27" s="85">
        <f t="shared" si="31"/>
        <v>7539318.4000000004</v>
      </c>
    </row>
    <row r="28" spans="2:28">
      <c r="B28" s="4"/>
      <c r="C28" s="5" t="s">
        <v>82</v>
      </c>
      <c r="D28" s="7"/>
      <c r="E28" s="7"/>
      <c r="F28" s="86">
        <f t="shared" ref="F28:K28" si="32">SUM(F31,F29)</f>
        <v>0</v>
      </c>
      <c r="G28" s="86">
        <f t="shared" si="32"/>
        <v>0</v>
      </c>
      <c r="H28" s="86">
        <f t="shared" si="32"/>
        <v>0</v>
      </c>
      <c r="I28" s="86">
        <f t="shared" si="32"/>
        <v>0</v>
      </c>
      <c r="J28" s="86">
        <f t="shared" si="32"/>
        <v>0</v>
      </c>
      <c r="K28" s="86">
        <f t="shared" si="32"/>
        <v>0</v>
      </c>
      <c r="L28" s="86">
        <f>SUM(L31,L29)</f>
        <v>0</v>
      </c>
      <c r="M28" s="86">
        <f>SUM(M31,M29)</f>
        <v>0</v>
      </c>
      <c r="N28" s="86">
        <f>SUM(N31,N29)</f>
        <v>0</v>
      </c>
      <c r="O28" s="86">
        <f>SUM(O31,O29)</f>
        <v>0</v>
      </c>
      <c r="P28" s="87">
        <f t="shared" si="4"/>
        <v>0</v>
      </c>
      <c r="R28" s="4"/>
      <c r="S28" s="4"/>
      <c r="T28" s="4"/>
      <c r="U28" s="1" t="s">
        <v>96</v>
      </c>
      <c r="V28" s="303"/>
      <c r="W28" s="85">
        <f>K50</f>
        <v>2543653</v>
      </c>
      <c r="X28" s="85">
        <f t="shared" ref="X28:AA28" si="33">L50</f>
        <v>6880183</v>
      </c>
      <c r="Y28" s="85">
        <f t="shared" si="33"/>
        <v>7599848</v>
      </c>
      <c r="Z28" s="85">
        <f t="shared" si="33"/>
        <v>9405448</v>
      </c>
      <c r="AA28" s="85">
        <f t="shared" si="33"/>
        <v>8392602</v>
      </c>
      <c r="AB28" s="85">
        <f>P50</f>
        <v>4481765.5999999996</v>
      </c>
    </row>
    <row r="29" spans="2:28">
      <c r="B29" s="4"/>
      <c r="C29" s="4"/>
      <c r="D29" s="5" t="s">
        <v>475</v>
      </c>
      <c r="E29" s="8"/>
      <c r="F29" s="86">
        <f t="shared" ref="F29:M29" si="34">F30</f>
        <v>0</v>
      </c>
      <c r="G29" s="86">
        <f t="shared" si="34"/>
        <v>0</v>
      </c>
      <c r="H29" s="86">
        <f t="shared" si="34"/>
        <v>0</v>
      </c>
      <c r="I29" s="86">
        <f t="shared" si="34"/>
        <v>0</v>
      </c>
      <c r="J29" s="86">
        <f t="shared" si="34"/>
        <v>0</v>
      </c>
      <c r="K29" s="86">
        <f>K30</f>
        <v>0</v>
      </c>
      <c r="L29" s="86">
        <f t="shared" si="34"/>
        <v>0</v>
      </c>
      <c r="M29" s="86">
        <f t="shared" si="34"/>
        <v>0</v>
      </c>
      <c r="N29" s="86">
        <f>N30</f>
        <v>0</v>
      </c>
      <c r="O29" s="86">
        <f>O30</f>
        <v>0</v>
      </c>
      <c r="P29" s="87">
        <f t="shared" si="4"/>
        <v>0</v>
      </c>
      <c r="R29" s="4"/>
      <c r="S29" s="4"/>
      <c r="T29" s="4"/>
      <c r="U29" s="1" t="s">
        <v>90</v>
      </c>
      <c r="V29" s="303"/>
      <c r="W29" s="85">
        <f>K51</f>
        <v>2231130</v>
      </c>
      <c r="X29" s="85">
        <f t="shared" ref="X29:AA29" si="35">L51</f>
        <v>2383550</v>
      </c>
      <c r="Y29" s="85">
        <f t="shared" si="35"/>
        <v>2505150</v>
      </c>
      <c r="Z29" s="85">
        <f t="shared" si="35"/>
        <v>2578200</v>
      </c>
      <c r="AA29" s="85">
        <f t="shared" si="35"/>
        <v>3328640</v>
      </c>
      <c r="AB29" s="85">
        <f>P51</f>
        <v>2232707.9</v>
      </c>
    </row>
    <row r="30" spans="2:28">
      <c r="B30" s="4"/>
      <c r="C30" s="4"/>
      <c r="D30" s="3"/>
      <c r="E30" s="144" t="s">
        <v>475</v>
      </c>
      <c r="F30" s="86">
        <v>0</v>
      </c>
      <c r="G30" s="86">
        <v>0</v>
      </c>
      <c r="H30" s="86">
        <v>0</v>
      </c>
      <c r="I30" s="86">
        <v>0</v>
      </c>
      <c r="J30" s="86">
        <v>0</v>
      </c>
      <c r="K30" s="86">
        <v>0</v>
      </c>
      <c r="L30" s="86">
        <v>0</v>
      </c>
      <c r="M30" s="86">
        <v>0</v>
      </c>
      <c r="N30" s="86">
        <v>0</v>
      </c>
      <c r="O30" s="86">
        <v>0</v>
      </c>
      <c r="P30" s="87">
        <f t="shared" si="4"/>
        <v>0</v>
      </c>
      <c r="R30" s="4"/>
      <c r="S30" s="4"/>
      <c r="T30" s="4"/>
      <c r="U30" s="1" t="s">
        <v>91</v>
      </c>
      <c r="V30" s="303"/>
      <c r="W30" s="85">
        <f>K49</f>
        <v>4684722</v>
      </c>
      <c r="X30" s="85">
        <f t="shared" ref="X30:AA30" si="36">L49</f>
        <v>8618000</v>
      </c>
      <c r="Y30" s="85">
        <f t="shared" si="36"/>
        <v>1967420</v>
      </c>
      <c r="Z30" s="85">
        <f t="shared" si="36"/>
        <v>0</v>
      </c>
      <c r="AA30" s="85">
        <f t="shared" si="36"/>
        <v>3913900</v>
      </c>
      <c r="AB30" s="85">
        <f>P49</f>
        <v>2660995.2000000002</v>
      </c>
    </row>
    <row r="31" spans="2:28">
      <c r="B31" s="4"/>
      <c r="C31" s="4"/>
      <c r="D31" s="5" t="s">
        <v>83</v>
      </c>
      <c r="E31" s="8"/>
      <c r="F31" s="86">
        <f t="shared" ref="F31:N31" si="37">F32</f>
        <v>0</v>
      </c>
      <c r="G31" s="86">
        <f t="shared" si="37"/>
        <v>0</v>
      </c>
      <c r="H31" s="86">
        <f t="shared" si="37"/>
        <v>0</v>
      </c>
      <c r="I31" s="86">
        <f>I32</f>
        <v>0</v>
      </c>
      <c r="J31" s="86">
        <f t="shared" si="37"/>
        <v>0</v>
      </c>
      <c r="K31" s="86">
        <f t="shared" si="37"/>
        <v>0</v>
      </c>
      <c r="L31" s="86">
        <f t="shared" si="37"/>
        <v>0</v>
      </c>
      <c r="M31" s="86">
        <f t="shared" si="37"/>
        <v>0</v>
      </c>
      <c r="N31" s="86">
        <f t="shared" si="37"/>
        <v>0</v>
      </c>
      <c r="O31" s="86">
        <f>O32</f>
        <v>0</v>
      </c>
      <c r="P31" s="87">
        <f t="shared" si="4"/>
        <v>0</v>
      </c>
      <c r="R31" s="4"/>
      <c r="S31" s="4"/>
      <c r="T31" s="4"/>
      <c r="U31" s="1" t="s">
        <v>92</v>
      </c>
      <c r="V31" s="303"/>
      <c r="W31" s="85">
        <f>K46</f>
        <v>33900347</v>
      </c>
      <c r="X31" s="85">
        <f t="shared" ref="X31:AA31" si="38">L46</f>
        <v>31437870</v>
      </c>
      <c r="Y31" s="85">
        <f t="shared" si="38"/>
        <v>37142870</v>
      </c>
      <c r="Z31" s="85">
        <f t="shared" si="38"/>
        <v>33639873</v>
      </c>
      <c r="AA31" s="85">
        <f t="shared" si="38"/>
        <v>36092000</v>
      </c>
      <c r="AB31" s="85">
        <f>P46</f>
        <v>30459801</v>
      </c>
    </row>
    <row r="32" spans="2:28">
      <c r="B32" s="3"/>
      <c r="C32" s="3"/>
      <c r="D32" s="3"/>
      <c r="E32" s="144" t="s">
        <v>83</v>
      </c>
      <c r="F32" s="86">
        <v>0</v>
      </c>
      <c r="G32" s="86">
        <v>0</v>
      </c>
      <c r="H32" s="86">
        <v>0</v>
      </c>
      <c r="I32" s="86">
        <v>0</v>
      </c>
      <c r="J32" s="86">
        <v>0</v>
      </c>
      <c r="K32" s="86">
        <v>0</v>
      </c>
      <c r="L32" s="86">
        <v>0</v>
      </c>
      <c r="M32" s="86">
        <v>0</v>
      </c>
      <c r="N32" s="86">
        <v>0</v>
      </c>
      <c r="O32" s="86">
        <v>0</v>
      </c>
      <c r="P32" s="87">
        <f t="shared" si="4"/>
        <v>0</v>
      </c>
      <c r="R32" s="4"/>
      <c r="S32" s="4"/>
      <c r="T32" s="4"/>
      <c r="U32" s="1" t="s">
        <v>93</v>
      </c>
      <c r="V32" s="303"/>
      <c r="W32" s="85">
        <f t="shared" ref="W32:AB32" si="39">K42+K43+K44+K45+K47+K48+K52+K54+K55</f>
        <v>7655578</v>
      </c>
      <c r="X32" s="85">
        <f t="shared" si="39"/>
        <v>9645808</v>
      </c>
      <c r="Y32" s="85">
        <f t="shared" si="39"/>
        <v>9829369</v>
      </c>
      <c r="Z32" s="85">
        <f t="shared" si="39"/>
        <v>10153949</v>
      </c>
      <c r="AA32" s="85">
        <f t="shared" si="39"/>
        <v>9171593</v>
      </c>
      <c r="AB32" s="85">
        <f t="shared" si="39"/>
        <v>7339389.2000000002</v>
      </c>
    </row>
    <row r="33" spans="2:28">
      <c r="B33" s="106" t="s">
        <v>521</v>
      </c>
      <c r="C33" s="102"/>
      <c r="D33" s="107"/>
      <c r="E33" s="108"/>
      <c r="F33" s="109">
        <v>140644902</v>
      </c>
      <c r="G33" s="109">
        <v>354853084</v>
      </c>
      <c r="H33" s="109">
        <v>181202744</v>
      </c>
      <c r="I33" s="109">
        <v>225661934</v>
      </c>
      <c r="J33" s="109">
        <v>246381566</v>
      </c>
      <c r="K33" s="109">
        <v>236084433</v>
      </c>
      <c r="L33" s="109">
        <v>471816622</v>
      </c>
      <c r="M33" s="109">
        <v>506142175</v>
      </c>
      <c r="N33" s="109">
        <v>593505600</v>
      </c>
      <c r="O33" s="109">
        <v>504865980</v>
      </c>
      <c r="P33" s="109"/>
      <c r="R33" s="4"/>
      <c r="S33" s="4"/>
      <c r="T33" s="3"/>
      <c r="U33" s="1" t="s">
        <v>708</v>
      </c>
      <c r="V33" s="304"/>
      <c r="W33" s="85">
        <f>K53</f>
        <v>10238170</v>
      </c>
      <c r="X33" s="85">
        <f t="shared" ref="X33:AA33" si="40">L53</f>
        <v>20929080</v>
      </c>
      <c r="Y33" s="85">
        <f t="shared" si="40"/>
        <v>12025866</v>
      </c>
      <c r="Z33" s="85">
        <f t="shared" si="40"/>
        <v>18538915</v>
      </c>
      <c r="AA33" s="85">
        <f t="shared" si="40"/>
        <v>18090022</v>
      </c>
      <c r="AB33" s="85">
        <f>P53</f>
        <v>14475943.6</v>
      </c>
    </row>
    <row r="34" spans="2:28">
      <c r="B34" s="106" t="s">
        <v>519</v>
      </c>
      <c r="C34" s="102"/>
      <c r="D34" s="107"/>
      <c r="E34" s="108"/>
      <c r="F34" s="109" t="str">
        <f t="shared" ref="F34:H34" si="41">IF(F5=F33,"OK","NG")</f>
        <v>OK</v>
      </c>
      <c r="G34" s="109" t="str">
        <f t="shared" si="41"/>
        <v>OK</v>
      </c>
      <c r="H34" s="109" t="str">
        <f t="shared" si="41"/>
        <v>OK</v>
      </c>
      <c r="I34" s="109" t="str">
        <f t="shared" ref="I34:O34" si="42">IF(I5=I33,"OK","NG")</f>
        <v>OK</v>
      </c>
      <c r="J34" s="109" t="str">
        <f t="shared" si="42"/>
        <v>OK</v>
      </c>
      <c r="K34" s="109" t="str">
        <f>IF(K5=K33,"OK","NG")</f>
        <v>OK</v>
      </c>
      <c r="L34" s="109" t="str">
        <f t="shared" si="42"/>
        <v>OK</v>
      </c>
      <c r="M34" s="109" t="str">
        <f t="shared" si="42"/>
        <v>OK</v>
      </c>
      <c r="N34" s="109" t="str">
        <f t="shared" si="42"/>
        <v>OK</v>
      </c>
      <c r="O34" s="109" t="str">
        <f t="shared" si="42"/>
        <v>OK</v>
      </c>
      <c r="P34" s="109"/>
      <c r="R34" s="4"/>
      <c r="S34" s="4"/>
      <c r="T34" s="5" t="s">
        <v>95</v>
      </c>
      <c r="U34" s="8"/>
      <c r="V34" s="302" t="s">
        <v>175</v>
      </c>
      <c r="W34" s="85">
        <f>SUM(W35:W41)</f>
        <v>39566820</v>
      </c>
      <c r="X34" s="85">
        <f>SUM(X35:X41)</f>
        <v>36646933</v>
      </c>
      <c r="Y34" s="85">
        <f>SUM(Y35:Y41)</f>
        <v>35722581</v>
      </c>
      <c r="Z34" s="85">
        <f>SUM(Z35:Z41)</f>
        <v>36936296</v>
      </c>
      <c r="AA34" s="85">
        <f>SUM(AA35:AA41)</f>
        <v>32180340</v>
      </c>
      <c r="AB34" s="85">
        <f>P56</f>
        <v>34923211.200000003</v>
      </c>
    </row>
    <row r="35" spans="2:28">
      <c r="B35" s="5" t="s">
        <v>86</v>
      </c>
      <c r="C35" s="7"/>
      <c r="D35" s="7"/>
      <c r="E35" s="8"/>
      <c r="F35" s="87">
        <f t="shared" ref="F35:N35" si="43">SUM(F36,F112,F116)</f>
        <v>190236030</v>
      </c>
      <c r="G35" s="87">
        <f t="shared" si="43"/>
        <v>525072793</v>
      </c>
      <c r="H35" s="87">
        <f t="shared" si="43"/>
        <v>228906571</v>
      </c>
      <c r="I35" s="87">
        <f t="shared" si="43"/>
        <v>275120413</v>
      </c>
      <c r="J35" s="87">
        <f t="shared" si="43"/>
        <v>287741207</v>
      </c>
      <c r="K35" s="87">
        <f>SUM(K36,K112,K116)</f>
        <v>390874183</v>
      </c>
      <c r="L35" s="87">
        <f t="shared" si="43"/>
        <v>507845824</v>
      </c>
      <c r="M35" s="87">
        <f t="shared" si="43"/>
        <v>543887736</v>
      </c>
      <c r="N35" s="87">
        <f t="shared" si="43"/>
        <v>694576672</v>
      </c>
      <c r="O35" s="87">
        <f>SUM(O36,O112,O116)</f>
        <v>564428515</v>
      </c>
      <c r="P35" s="87">
        <f t="shared" ref="P35:P106" si="44">AVERAGE(F35:O35)</f>
        <v>420868994.39999998</v>
      </c>
      <c r="R35" s="4"/>
      <c r="S35" s="4"/>
      <c r="T35" s="4"/>
      <c r="U35" s="1" t="s">
        <v>89</v>
      </c>
      <c r="V35" s="303"/>
      <c r="W35" s="85">
        <f t="shared" ref="W35:AB35" si="45">K57+K58+K59+K60+K61</f>
        <v>13528381</v>
      </c>
      <c r="X35" s="85">
        <f t="shared" si="45"/>
        <v>10517166</v>
      </c>
      <c r="Y35" s="85">
        <f t="shared" si="45"/>
        <v>10463981</v>
      </c>
      <c r="Z35" s="85">
        <f t="shared" si="45"/>
        <v>10732216</v>
      </c>
      <c r="AA35" s="85">
        <f t="shared" si="45"/>
        <v>6777049</v>
      </c>
      <c r="AB35" s="85">
        <f t="shared" si="45"/>
        <v>12599584.9</v>
      </c>
    </row>
    <row r="36" spans="2:28">
      <c r="B36" s="4"/>
      <c r="C36" s="5" t="s">
        <v>87</v>
      </c>
      <c r="D36" s="7"/>
      <c r="E36" s="8"/>
      <c r="F36" s="87">
        <f t="shared" ref="F36:O36" si="46">SUM(F37,F56,F76,F78,F104,F106,F109)</f>
        <v>185755422</v>
      </c>
      <c r="G36" s="87">
        <f t="shared" si="46"/>
        <v>157078455</v>
      </c>
      <c r="H36" s="87">
        <f t="shared" si="46"/>
        <v>157638137</v>
      </c>
      <c r="I36" s="87">
        <f t="shared" si="46"/>
        <v>266575866</v>
      </c>
      <c r="J36" s="87">
        <f t="shared" si="46"/>
        <v>283388690</v>
      </c>
      <c r="K36" s="87">
        <f t="shared" si="46"/>
        <v>276187944</v>
      </c>
      <c r="L36" s="87">
        <f t="shared" si="46"/>
        <v>493988554</v>
      </c>
      <c r="M36" s="87">
        <f t="shared" si="46"/>
        <v>537473069</v>
      </c>
      <c r="N36" s="87">
        <f t="shared" si="46"/>
        <v>687804951</v>
      </c>
      <c r="O36" s="87">
        <f t="shared" si="46"/>
        <v>548360734</v>
      </c>
      <c r="P36" s="87">
        <f t="shared" si="44"/>
        <v>359425182.19999999</v>
      </c>
      <c r="R36" s="4"/>
      <c r="S36" s="4"/>
      <c r="T36" s="4"/>
      <c r="U36" s="1" t="s">
        <v>96</v>
      </c>
      <c r="V36" s="303"/>
      <c r="W36" s="85">
        <f>K72</f>
        <v>3189420</v>
      </c>
      <c r="X36" s="85">
        <f t="shared" ref="X36:AA36" si="47">L72</f>
        <v>2083304</v>
      </c>
      <c r="Y36" s="85">
        <f t="shared" si="47"/>
        <v>2339387</v>
      </c>
      <c r="Z36" s="85">
        <f t="shared" si="47"/>
        <v>3088131</v>
      </c>
      <c r="AA36" s="85">
        <f t="shared" si="47"/>
        <v>2470534</v>
      </c>
      <c r="AB36" s="85">
        <f>P72</f>
        <v>2159463.6</v>
      </c>
    </row>
    <row r="37" spans="2:28">
      <c r="B37" s="4"/>
      <c r="C37" s="4"/>
      <c r="D37" s="5" t="s">
        <v>88</v>
      </c>
      <c r="E37" s="8"/>
      <c r="F37" s="87">
        <f t="shared" ref="F37:O37" si="48">SUM(F38:F55)</f>
        <v>58676576</v>
      </c>
      <c r="G37" s="87">
        <f t="shared" si="48"/>
        <v>54090290</v>
      </c>
      <c r="H37" s="87">
        <f t="shared" si="48"/>
        <v>45431047</v>
      </c>
      <c r="I37" s="87">
        <f t="shared" si="48"/>
        <v>64803015</v>
      </c>
      <c r="J37" s="87">
        <f t="shared" si="48"/>
        <v>69342260</v>
      </c>
      <c r="K37" s="86">
        <f t="shared" si="48"/>
        <v>68125490</v>
      </c>
      <c r="L37" s="86">
        <f t="shared" si="48"/>
        <v>86729085</v>
      </c>
      <c r="M37" s="86">
        <f t="shared" si="48"/>
        <v>77675517</v>
      </c>
      <c r="N37" s="86">
        <f t="shared" si="48"/>
        <v>81124641</v>
      </c>
      <c r="O37" s="86">
        <f t="shared" si="48"/>
        <v>85901288</v>
      </c>
      <c r="P37" s="86">
        <f>AVERAGE(F37:O37)</f>
        <v>69189920.900000006</v>
      </c>
      <c r="R37" s="4"/>
      <c r="S37" s="4"/>
      <c r="T37" s="4"/>
      <c r="U37" s="1" t="s">
        <v>90</v>
      </c>
      <c r="V37" s="303"/>
      <c r="W37" s="130"/>
      <c r="X37" s="85"/>
      <c r="Y37" s="85"/>
      <c r="Z37" s="85"/>
      <c r="AA37" s="85"/>
      <c r="AB37" s="85"/>
    </row>
    <row r="38" spans="2:28">
      <c r="B38" s="4"/>
      <c r="C38" s="4"/>
      <c r="D38" s="79"/>
      <c r="E38" s="142" t="s">
        <v>451</v>
      </c>
      <c r="F38" s="86">
        <f>4689000</f>
        <v>4689000</v>
      </c>
      <c r="G38" s="86">
        <v>4698000</v>
      </c>
      <c r="H38" s="86">
        <v>4698000</v>
      </c>
      <c r="I38" s="86">
        <v>3057600</v>
      </c>
      <c r="J38" s="86">
        <v>3457800</v>
      </c>
      <c r="K38" s="86">
        <v>3479400</v>
      </c>
      <c r="L38" s="86">
        <v>3501900</v>
      </c>
      <c r="M38" s="86">
        <v>3526200</v>
      </c>
      <c r="N38" s="86">
        <v>3568800</v>
      </c>
      <c r="O38" s="86">
        <v>3669600</v>
      </c>
      <c r="P38" s="86">
        <f t="shared" si="44"/>
        <v>3834630</v>
      </c>
      <c r="R38" s="4"/>
      <c r="S38" s="4"/>
      <c r="T38" s="4"/>
      <c r="U38" s="1" t="s">
        <v>91</v>
      </c>
      <c r="V38" s="303"/>
      <c r="W38" s="85">
        <f>K70</f>
        <v>1577280</v>
      </c>
      <c r="X38" s="85">
        <f t="shared" ref="X38:AA38" si="49">L70</f>
        <v>327448</v>
      </c>
      <c r="Y38" s="85">
        <f t="shared" si="49"/>
        <v>569069</v>
      </c>
      <c r="Z38" s="85">
        <f t="shared" si="49"/>
        <v>3745890</v>
      </c>
      <c r="AA38" s="85">
        <f t="shared" si="49"/>
        <v>3642734</v>
      </c>
      <c r="AB38" s="85">
        <f>P70</f>
        <v>1417521.1</v>
      </c>
    </row>
    <row r="39" spans="2:28">
      <c r="B39" s="4"/>
      <c r="C39" s="4"/>
      <c r="D39" s="79"/>
      <c r="E39" s="142" t="s">
        <v>618</v>
      </c>
      <c r="F39" s="86">
        <f>2534306+603139</f>
        <v>3137445</v>
      </c>
      <c r="G39" s="86">
        <f>1694429+577463</f>
        <v>2271892</v>
      </c>
      <c r="H39" s="86">
        <f>1678889+604723</f>
        <v>2283612</v>
      </c>
      <c r="I39" s="86">
        <f>572069+619295</f>
        <v>1191364</v>
      </c>
      <c r="J39" s="86">
        <f>1263097+460538</f>
        <v>1723635</v>
      </c>
      <c r="K39" s="86">
        <v>1524409</v>
      </c>
      <c r="L39" s="86">
        <v>1480350</v>
      </c>
      <c r="M39" s="86">
        <v>1399400</v>
      </c>
      <c r="N39" s="86">
        <v>1546263</v>
      </c>
      <c r="O39" s="86">
        <v>1570022</v>
      </c>
      <c r="P39" s="86">
        <f t="shared" si="44"/>
        <v>1812839.2</v>
      </c>
      <c r="R39" s="4"/>
      <c r="S39" s="4"/>
      <c r="T39" s="4"/>
      <c r="U39" s="1" t="s">
        <v>92</v>
      </c>
      <c r="V39" s="303"/>
      <c r="W39" s="85">
        <f>K67</f>
        <v>17175629</v>
      </c>
      <c r="X39" s="85">
        <f t="shared" ref="X39:AA39" si="50">L67</f>
        <v>18885642</v>
      </c>
      <c r="Y39" s="85">
        <f t="shared" si="50"/>
        <v>16161047</v>
      </c>
      <c r="Z39" s="85">
        <f t="shared" si="50"/>
        <v>13583646</v>
      </c>
      <c r="AA39" s="85">
        <f t="shared" si="50"/>
        <v>13164934</v>
      </c>
      <c r="AB39" s="85">
        <f>P67</f>
        <v>14950335.1</v>
      </c>
    </row>
    <row r="40" spans="2:28">
      <c r="B40" s="4"/>
      <c r="C40" s="4"/>
      <c r="D40" s="79"/>
      <c r="E40" s="142" t="s">
        <v>454</v>
      </c>
      <c r="F40" s="86">
        <v>1580740</v>
      </c>
      <c r="G40" s="86">
        <v>1545406</v>
      </c>
      <c r="H40" s="86">
        <v>1419631</v>
      </c>
      <c r="I40" s="86">
        <v>802571</v>
      </c>
      <c r="J40" s="86">
        <v>1184413</v>
      </c>
      <c r="K40" s="86">
        <v>1170458</v>
      </c>
      <c r="L40" s="86">
        <v>1150209</v>
      </c>
      <c r="M40" s="86">
        <v>1148697</v>
      </c>
      <c r="N40" s="86">
        <v>1156088</v>
      </c>
      <c r="O40" s="86">
        <v>1120349</v>
      </c>
      <c r="P40" s="86">
        <f t="shared" si="44"/>
        <v>1227856.2</v>
      </c>
      <c r="R40" s="4"/>
      <c r="S40" s="4"/>
      <c r="T40" s="4"/>
      <c r="U40" s="1" t="s">
        <v>93</v>
      </c>
      <c r="V40" s="303"/>
      <c r="W40" s="85">
        <f t="shared" ref="W40:AB40" si="51">K62+K63+K64+K65+K66+K68+K69+K71+K73+K74+K75</f>
        <v>4096110</v>
      </c>
      <c r="X40" s="85">
        <f t="shared" si="51"/>
        <v>4833373</v>
      </c>
      <c r="Y40" s="85">
        <f t="shared" si="51"/>
        <v>6189097</v>
      </c>
      <c r="Z40" s="85">
        <f t="shared" si="51"/>
        <v>5786413</v>
      </c>
      <c r="AA40" s="85">
        <f t="shared" si="51"/>
        <v>6125089</v>
      </c>
      <c r="AB40" s="85">
        <f t="shared" si="51"/>
        <v>3796306.5</v>
      </c>
    </row>
    <row r="41" spans="2:28">
      <c r="B41" s="4"/>
      <c r="C41" s="4"/>
      <c r="D41" s="79"/>
      <c r="E41" s="142" t="s">
        <v>596</v>
      </c>
      <c r="F41" s="86">
        <v>989377</v>
      </c>
      <c r="G41" s="86">
        <v>972705</v>
      </c>
      <c r="H41" s="86">
        <v>929859</v>
      </c>
      <c r="I41" s="86">
        <v>0</v>
      </c>
      <c r="J41" s="86">
        <v>727869</v>
      </c>
      <c r="K41" s="86">
        <v>697623</v>
      </c>
      <c r="L41" s="86">
        <v>702135</v>
      </c>
      <c r="M41" s="86">
        <v>530697</v>
      </c>
      <c r="N41" s="86">
        <v>537105</v>
      </c>
      <c r="O41" s="86">
        <v>552560</v>
      </c>
      <c r="P41" s="86">
        <f t="shared" si="44"/>
        <v>663993</v>
      </c>
      <c r="R41" s="4"/>
      <c r="S41" s="4"/>
      <c r="T41" s="3"/>
      <c r="U41" s="1" t="s">
        <v>94</v>
      </c>
      <c r="V41" s="304"/>
      <c r="W41" s="85"/>
      <c r="X41" s="85"/>
      <c r="Y41" s="85"/>
      <c r="Z41" s="85"/>
      <c r="AA41" s="85"/>
      <c r="AB41" s="85"/>
    </row>
    <row r="42" spans="2:28">
      <c r="B42" s="4"/>
      <c r="C42" s="4"/>
      <c r="D42" s="79"/>
      <c r="E42" s="142" t="s">
        <v>438</v>
      </c>
      <c r="F42" s="86">
        <v>36230</v>
      </c>
      <c r="G42" s="86">
        <v>16200</v>
      </c>
      <c r="H42" s="86">
        <v>0</v>
      </c>
      <c r="I42" s="86">
        <v>60600</v>
      </c>
      <c r="J42" s="86">
        <v>12000</v>
      </c>
      <c r="K42" s="86">
        <v>41469</v>
      </c>
      <c r="L42" s="86">
        <v>0</v>
      </c>
      <c r="M42" s="86">
        <v>45200</v>
      </c>
      <c r="N42" s="86">
        <v>102660</v>
      </c>
      <c r="O42" s="86">
        <v>84896</v>
      </c>
      <c r="P42" s="86">
        <f t="shared" si="44"/>
        <v>39925.5</v>
      </c>
      <c r="R42" s="4"/>
      <c r="S42" s="4"/>
      <c r="T42" s="5" t="s">
        <v>450</v>
      </c>
      <c r="U42" s="8"/>
      <c r="V42" s="101"/>
      <c r="W42" s="85">
        <f>K76</f>
        <v>0</v>
      </c>
      <c r="X42" s="85">
        <f>L76</f>
        <v>0</v>
      </c>
      <c r="Y42" s="85">
        <f>M76</f>
        <v>0</v>
      </c>
      <c r="Z42" s="85">
        <f>N76</f>
        <v>0</v>
      </c>
      <c r="AA42" s="85">
        <f>O76</f>
        <v>0</v>
      </c>
      <c r="AB42" s="85">
        <v>0</v>
      </c>
    </row>
    <row r="43" spans="2:28">
      <c r="B43" s="4"/>
      <c r="C43" s="4"/>
      <c r="D43" s="79"/>
      <c r="E43" s="142" t="s">
        <v>439</v>
      </c>
      <c r="F43" s="86">
        <v>8896</v>
      </c>
      <c r="G43" s="86">
        <v>0</v>
      </c>
      <c r="H43" s="86">
        <v>0</v>
      </c>
      <c r="I43" s="86">
        <v>92779</v>
      </c>
      <c r="J43" s="86">
        <v>77028</v>
      </c>
      <c r="K43" s="86">
        <v>88370</v>
      </c>
      <c r="L43" s="86">
        <v>54036</v>
      </c>
      <c r="M43" s="86">
        <v>57957</v>
      </c>
      <c r="N43" s="86">
        <v>61255</v>
      </c>
      <c r="O43" s="86">
        <v>50299</v>
      </c>
      <c r="P43" s="86">
        <f t="shared" si="44"/>
        <v>49062</v>
      </c>
      <c r="R43" s="4"/>
      <c r="S43" s="4"/>
      <c r="T43" s="5" t="s">
        <v>97</v>
      </c>
      <c r="U43" s="8"/>
      <c r="V43" s="302" t="s">
        <v>176</v>
      </c>
      <c r="W43" s="85">
        <f>SUM(W44:W51)</f>
        <v>28068995</v>
      </c>
      <c r="X43" s="85">
        <f t="shared" ref="X43:Z43" si="52">SUM(X44:X51)</f>
        <v>38902891</v>
      </c>
      <c r="Y43" s="85">
        <f t="shared" si="52"/>
        <v>34633799</v>
      </c>
      <c r="Z43" s="85">
        <f t="shared" si="52"/>
        <v>56238492</v>
      </c>
      <c r="AA43" s="85">
        <f>SUM(AA44:AA51)</f>
        <v>39372697</v>
      </c>
      <c r="AB43" s="85">
        <f>SUM(AB44:AB51)</f>
        <v>31797738.799999997</v>
      </c>
    </row>
    <row r="44" spans="2:28">
      <c r="B44" s="4"/>
      <c r="C44" s="4"/>
      <c r="D44" s="79"/>
      <c r="E44" s="142" t="s">
        <v>449</v>
      </c>
      <c r="F44" s="86">
        <v>700053</v>
      </c>
      <c r="G44" s="86">
        <v>670057</v>
      </c>
      <c r="H44" s="86">
        <v>548910</v>
      </c>
      <c r="I44" s="86">
        <v>846577</v>
      </c>
      <c r="J44" s="86">
        <v>776735</v>
      </c>
      <c r="K44" s="86">
        <v>683820</v>
      </c>
      <c r="L44" s="86">
        <v>881814</v>
      </c>
      <c r="M44" s="86">
        <v>1067999</v>
      </c>
      <c r="N44" s="86">
        <v>1161819</v>
      </c>
      <c r="O44" s="86">
        <v>940198</v>
      </c>
      <c r="P44" s="86">
        <f t="shared" si="44"/>
        <v>827798.2</v>
      </c>
      <c r="R44" s="4"/>
      <c r="S44" s="4"/>
      <c r="T44" s="4"/>
      <c r="U44" s="1" t="s">
        <v>89</v>
      </c>
      <c r="V44" s="303"/>
      <c r="W44" s="85">
        <f t="shared" ref="W44:AB44" si="53">K79+K80+K81+K82+K83</f>
        <v>15362936</v>
      </c>
      <c r="X44" s="85">
        <f t="shared" si="53"/>
        <v>14555234</v>
      </c>
      <c r="Y44" s="85">
        <f t="shared" si="53"/>
        <v>16036318</v>
      </c>
      <c r="Z44" s="85">
        <f t="shared" si="53"/>
        <v>33509229</v>
      </c>
      <c r="AA44" s="85">
        <f t="shared" si="53"/>
        <v>21652038</v>
      </c>
      <c r="AB44" s="85">
        <f t="shared" si="53"/>
        <v>17988350.099999998</v>
      </c>
    </row>
    <row r="45" spans="2:28">
      <c r="B45" s="4"/>
      <c r="C45" s="4"/>
      <c r="D45" s="79"/>
      <c r="E45" s="142" t="s">
        <v>441</v>
      </c>
      <c r="F45" s="86">
        <v>138768</v>
      </c>
      <c r="G45" s="86">
        <v>137960</v>
      </c>
      <c r="H45" s="86">
        <v>140377</v>
      </c>
      <c r="I45" s="86">
        <v>209883</v>
      </c>
      <c r="J45" s="86">
        <v>226527</v>
      </c>
      <c r="K45" s="86">
        <v>153892</v>
      </c>
      <c r="L45" s="86">
        <v>297488</v>
      </c>
      <c r="M45" s="86">
        <v>392912</v>
      </c>
      <c r="N45" s="86">
        <v>396880</v>
      </c>
      <c r="O45" s="86">
        <v>383039</v>
      </c>
      <c r="P45" s="86">
        <f t="shared" si="44"/>
        <v>247772.6</v>
      </c>
      <c r="R45" s="4"/>
      <c r="S45" s="4"/>
      <c r="T45" s="4"/>
      <c r="U45" s="1" t="s">
        <v>98</v>
      </c>
      <c r="V45" s="303"/>
      <c r="W45" s="85">
        <v>0</v>
      </c>
      <c r="X45" s="85">
        <v>0</v>
      </c>
      <c r="Y45" s="85">
        <v>0</v>
      </c>
      <c r="Z45" s="85">
        <v>0</v>
      </c>
      <c r="AA45" s="85">
        <v>0</v>
      </c>
      <c r="AB45" s="85">
        <v>0</v>
      </c>
    </row>
    <row r="46" spans="2:28">
      <c r="B46" s="4"/>
      <c r="C46" s="4"/>
      <c r="D46" s="79"/>
      <c r="E46" s="142" t="s">
        <v>92</v>
      </c>
      <c r="F46" s="86">
        <v>21525180</v>
      </c>
      <c r="G46" s="86">
        <v>21546970</v>
      </c>
      <c r="H46" s="86">
        <v>20537602</v>
      </c>
      <c r="I46" s="86">
        <v>33980932</v>
      </c>
      <c r="J46" s="86">
        <v>34794366</v>
      </c>
      <c r="K46" s="86">
        <v>33900347</v>
      </c>
      <c r="L46" s="86">
        <v>31437870</v>
      </c>
      <c r="M46" s="86">
        <v>37142870</v>
      </c>
      <c r="N46" s="86">
        <v>33639873</v>
      </c>
      <c r="O46" s="86">
        <v>36092000</v>
      </c>
      <c r="P46" s="86">
        <f t="shared" si="44"/>
        <v>30459801</v>
      </c>
      <c r="R46" s="4"/>
      <c r="S46" s="4"/>
      <c r="T46" s="4"/>
      <c r="U46" s="1" t="s">
        <v>99</v>
      </c>
      <c r="V46" s="303"/>
      <c r="W46" s="85">
        <v>0</v>
      </c>
      <c r="X46" s="85">
        <v>0</v>
      </c>
      <c r="Y46" s="85">
        <v>0</v>
      </c>
      <c r="Z46" s="85">
        <v>0</v>
      </c>
      <c r="AA46" s="85">
        <v>0</v>
      </c>
      <c r="AB46" s="85">
        <v>0</v>
      </c>
    </row>
    <row r="47" spans="2:28">
      <c r="B47" s="4"/>
      <c r="C47" s="4"/>
      <c r="D47" s="79"/>
      <c r="E47" s="142" t="s">
        <v>431</v>
      </c>
      <c r="F47" s="86">
        <v>2276000</v>
      </c>
      <c r="G47" s="86">
        <v>1684500</v>
      </c>
      <c r="H47" s="86">
        <v>2058500</v>
      </c>
      <c r="I47" s="86">
        <v>6410600</v>
      </c>
      <c r="J47" s="86">
        <v>5591900</v>
      </c>
      <c r="K47" s="86">
        <v>6370940</v>
      </c>
      <c r="L47" s="86">
        <v>7284500</v>
      </c>
      <c r="M47" s="86">
        <v>6882600</v>
      </c>
      <c r="N47" s="86">
        <v>7763964</v>
      </c>
      <c r="O47" s="86">
        <v>7021650</v>
      </c>
      <c r="P47" s="86">
        <f t="shared" si="44"/>
        <v>5334515.4000000004</v>
      </c>
      <c r="R47" s="4"/>
      <c r="S47" s="4"/>
      <c r="T47" s="4"/>
      <c r="U47" s="1" t="s">
        <v>100</v>
      </c>
      <c r="V47" s="303"/>
      <c r="W47" s="85">
        <v>0</v>
      </c>
      <c r="X47" s="85">
        <v>0</v>
      </c>
      <c r="Y47" s="85">
        <v>0</v>
      </c>
      <c r="Z47" s="85">
        <v>0</v>
      </c>
      <c r="AA47" s="85">
        <v>0</v>
      </c>
      <c r="AB47" s="85">
        <v>0</v>
      </c>
    </row>
    <row r="48" spans="2:28">
      <c r="B48" s="4"/>
      <c r="C48" s="4"/>
      <c r="D48" s="79"/>
      <c r="E48" s="142" t="s">
        <v>597</v>
      </c>
      <c r="F48" s="86">
        <v>0</v>
      </c>
      <c r="G48" s="86">
        <v>0</v>
      </c>
      <c r="H48" s="86">
        <v>0</v>
      </c>
      <c r="I48" s="86">
        <v>0</v>
      </c>
      <c r="J48" s="86">
        <v>0</v>
      </c>
      <c r="K48" s="86">
        <v>162000</v>
      </c>
      <c r="L48" s="86">
        <v>162000</v>
      </c>
      <c r="M48" s="86">
        <v>194000</v>
      </c>
      <c r="N48" s="86">
        <v>210000</v>
      </c>
      <c r="O48" s="86">
        <v>210000</v>
      </c>
      <c r="P48" s="86">
        <f t="shared" si="44"/>
        <v>93800</v>
      </c>
      <c r="R48" s="4"/>
      <c r="S48" s="4"/>
      <c r="T48" s="4"/>
      <c r="U48" s="1" t="s">
        <v>91</v>
      </c>
      <c r="V48" s="303"/>
      <c r="W48" s="85">
        <f>K95</f>
        <v>44050</v>
      </c>
      <c r="X48" s="85">
        <f t="shared" ref="X48:AB48" si="54">L95</f>
        <v>0</v>
      </c>
      <c r="Y48" s="85">
        <f t="shared" si="54"/>
        <v>41350</v>
      </c>
      <c r="Z48" s="85">
        <f t="shared" si="54"/>
        <v>0</v>
      </c>
      <c r="AA48" s="85">
        <f t="shared" si="54"/>
        <v>49820</v>
      </c>
      <c r="AB48" s="85">
        <f t="shared" si="54"/>
        <v>44962</v>
      </c>
    </row>
    <row r="49" spans="2:28">
      <c r="B49" s="4"/>
      <c r="C49" s="4"/>
      <c r="D49" s="79"/>
      <c r="E49" s="142" t="s">
        <v>91</v>
      </c>
      <c r="F49" s="86">
        <v>2618400</v>
      </c>
      <c r="G49" s="86">
        <v>0</v>
      </c>
      <c r="H49" s="86">
        <v>700000</v>
      </c>
      <c r="I49" s="86">
        <v>2203890</v>
      </c>
      <c r="J49" s="86">
        <v>1903620</v>
      </c>
      <c r="K49" s="86">
        <v>4684722</v>
      </c>
      <c r="L49" s="86">
        <v>8618000</v>
      </c>
      <c r="M49" s="86">
        <v>1967420</v>
      </c>
      <c r="N49" s="86">
        <v>0</v>
      </c>
      <c r="O49" s="86">
        <v>3913900</v>
      </c>
      <c r="P49" s="86">
        <f t="shared" si="44"/>
        <v>2660995.2000000002</v>
      </c>
      <c r="R49" s="4"/>
      <c r="S49" s="4"/>
      <c r="T49" s="4"/>
      <c r="U49" s="1" t="s">
        <v>92</v>
      </c>
      <c r="V49" s="303"/>
      <c r="W49" s="85">
        <f>K92</f>
        <v>3738298</v>
      </c>
      <c r="X49" s="85">
        <f t="shared" ref="X49:AB49" si="55">L92</f>
        <v>17166788</v>
      </c>
      <c r="Y49" s="85">
        <f t="shared" si="55"/>
        <v>9892260</v>
      </c>
      <c r="Z49" s="85">
        <f t="shared" si="55"/>
        <v>14519671</v>
      </c>
      <c r="AA49" s="85">
        <f t="shared" si="55"/>
        <v>9915945</v>
      </c>
      <c r="AB49" s="85">
        <f t="shared" si="55"/>
        <v>7403703.5</v>
      </c>
    </row>
    <row r="50" spans="2:28">
      <c r="B50" s="4"/>
      <c r="C50" s="4"/>
      <c r="D50" s="79"/>
      <c r="E50" s="142" t="s">
        <v>598</v>
      </c>
      <c r="F50" s="86">
        <v>2200199</v>
      </c>
      <c r="G50" s="86">
        <v>1952277</v>
      </c>
      <c r="H50" s="86">
        <v>1359282</v>
      </c>
      <c r="I50" s="86">
        <v>2154340</v>
      </c>
      <c r="J50" s="86">
        <v>2329824</v>
      </c>
      <c r="K50" s="86">
        <v>2543653</v>
      </c>
      <c r="L50" s="86">
        <v>6880183</v>
      </c>
      <c r="M50" s="86">
        <v>7599848</v>
      </c>
      <c r="N50" s="86">
        <v>9405448</v>
      </c>
      <c r="O50" s="86">
        <v>8392602</v>
      </c>
      <c r="P50" s="86">
        <f t="shared" si="44"/>
        <v>4481765.5999999996</v>
      </c>
      <c r="R50" s="4"/>
      <c r="S50" s="4"/>
      <c r="T50" s="4"/>
      <c r="U50" s="1" t="s">
        <v>93</v>
      </c>
      <c r="V50" s="303"/>
      <c r="W50" s="85">
        <f t="shared" ref="W50:AB50" si="56">K84+K85+K86+K87+K88+K89+K90+K91+K93+K94+K96+K97+K98+K99+K100+K101+K102+K103</f>
        <v>8923711</v>
      </c>
      <c r="X50" s="85">
        <f t="shared" si="56"/>
        <v>7180869</v>
      </c>
      <c r="Y50" s="85">
        <f t="shared" si="56"/>
        <v>8663871</v>
      </c>
      <c r="Z50" s="85">
        <f t="shared" si="56"/>
        <v>8209592</v>
      </c>
      <c r="AA50" s="85">
        <f t="shared" si="56"/>
        <v>7754894</v>
      </c>
      <c r="AB50" s="85">
        <f t="shared" si="56"/>
        <v>6360723.2000000002</v>
      </c>
    </row>
    <row r="51" spans="2:28">
      <c r="B51" s="4"/>
      <c r="C51" s="4"/>
      <c r="D51" s="79"/>
      <c r="E51" s="142" t="s">
        <v>90</v>
      </c>
      <c r="F51" s="86">
        <v>1813211</v>
      </c>
      <c r="G51" s="86">
        <v>1833069</v>
      </c>
      <c r="H51" s="86">
        <v>1618929</v>
      </c>
      <c r="I51" s="86">
        <v>2009720</v>
      </c>
      <c r="J51" s="86">
        <v>2025480</v>
      </c>
      <c r="K51" s="86">
        <v>2231130</v>
      </c>
      <c r="L51" s="86">
        <v>2383550</v>
      </c>
      <c r="M51" s="86">
        <v>2505150</v>
      </c>
      <c r="N51" s="86">
        <v>2578200</v>
      </c>
      <c r="O51" s="86">
        <v>3328640</v>
      </c>
      <c r="P51" s="86">
        <f t="shared" si="44"/>
        <v>2232707.9</v>
      </c>
      <c r="R51" s="4"/>
      <c r="S51" s="4"/>
      <c r="T51" s="3"/>
      <c r="U51" s="1" t="s">
        <v>94</v>
      </c>
      <c r="V51" s="304"/>
      <c r="W51" s="85"/>
      <c r="X51" s="85"/>
      <c r="Y51" s="85"/>
      <c r="Z51" s="85"/>
      <c r="AA51" s="85"/>
      <c r="AB51" s="85"/>
    </row>
    <row r="52" spans="2:28">
      <c r="B52" s="4"/>
      <c r="C52" s="4"/>
      <c r="D52" s="79"/>
      <c r="E52" s="142" t="s">
        <v>443</v>
      </c>
      <c r="F52" s="86">
        <v>1758080</v>
      </c>
      <c r="G52" s="86">
        <v>1605000</v>
      </c>
      <c r="H52" s="86">
        <v>415000</v>
      </c>
      <c r="I52" s="86">
        <v>0</v>
      </c>
      <c r="J52" s="86">
        <v>0</v>
      </c>
      <c r="K52" s="86">
        <v>0</v>
      </c>
      <c r="L52" s="86">
        <v>705000</v>
      </c>
      <c r="M52" s="86">
        <v>705000</v>
      </c>
      <c r="N52" s="86">
        <v>0</v>
      </c>
      <c r="O52" s="86">
        <v>0</v>
      </c>
      <c r="P52" s="86">
        <f t="shared" si="44"/>
        <v>518808</v>
      </c>
      <c r="R52" s="4"/>
      <c r="S52" s="4"/>
      <c r="T52" s="5" t="s">
        <v>101</v>
      </c>
      <c r="U52" s="8"/>
      <c r="V52" s="1"/>
      <c r="W52" s="85">
        <f>K104</f>
        <v>140426639</v>
      </c>
      <c r="X52" s="85">
        <f t="shared" ref="X52:AB52" si="57">L104</f>
        <v>331709645</v>
      </c>
      <c r="Y52" s="85">
        <f t="shared" si="57"/>
        <v>389441172</v>
      </c>
      <c r="Z52" s="85">
        <f t="shared" si="57"/>
        <v>513505522</v>
      </c>
      <c r="AA52" s="85">
        <f t="shared" si="57"/>
        <v>390906409</v>
      </c>
      <c r="AB52" s="85">
        <f t="shared" si="57"/>
        <v>223418265.59999999</v>
      </c>
    </row>
    <row r="53" spans="2:28">
      <c r="B53" s="4"/>
      <c r="C53" s="4"/>
      <c r="D53" s="79"/>
      <c r="E53" s="142" t="s">
        <v>126</v>
      </c>
      <c r="F53" s="86">
        <v>15135758</v>
      </c>
      <c r="G53" s="86">
        <v>15087015</v>
      </c>
      <c r="H53" s="86">
        <v>8652106</v>
      </c>
      <c r="I53" s="86">
        <v>11650515</v>
      </c>
      <c r="J53" s="86">
        <v>14411989</v>
      </c>
      <c r="K53" s="86">
        <v>10238170</v>
      </c>
      <c r="L53" s="86">
        <v>20929080</v>
      </c>
      <c r="M53" s="86">
        <v>12025866</v>
      </c>
      <c r="N53" s="86">
        <v>18538915</v>
      </c>
      <c r="O53" s="86">
        <v>18090022</v>
      </c>
      <c r="P53" s="86">
        <f t="shared" si="44"/>
        <v>14475943.6</v>
      </c>
      <c r="R53" s="4"/>
      <c r="S53" s="4"/>
      <c r="T53" s="4"/>
      <c r="U53" s="1" t="s">
        <v>79</v>
      </c>
      <c r="V53" s="1"/>
      <c r="W53" s="86">
        <v>140426639</v>
      </c>
      <c r="X53" s="86">
        <v>331709645</v>
      </c>
      <c r="Y53" s="86">
        <v>389441172</v>
      </c>
      <c r="Z53" s="86">
        <v>513505522</v>
      </c>
      <c r="AA53" s="86">
        <v>390906409</v>
      </c>
      <c r="AB53" s="87">
        <f>AVERAGE(W53:AA53)</f>
        <v>353197877.39999998</v>
      </c>
    </row>
    <row r="54" spans="2:28">
      <c r="B54" s="4"/>
      <c r="C54" s="4"/>
      <c r="D54" s="79"/>
      <c r="E54" s="142" t="s">
        <v>458</v>
      </c>
      <c r="F54" s="86">
        <v>69239</v>
      </c>
      <c r="G54" s="86">
        <v>69239</v>
      </c>
      <c r="H54" s="86">
        <v>69239</v>
      </c>
      <c r="I54" s="86">
        <v>125044</v>
      </c>
      <c r="J54" s="86">
        <v>99074</v>
      </c>
      <c r="K54" s="86">
        <v>108887</v>
      </c>
      <c r="L54" s="86">
        <v>260970</v>
      </c>
      <c r="M54" s="86">
        <v>477101</v>
      </c>
      <c r="N54" s="86">
        <v>457371</v>
      </c>
      <c r="O54" s="86">
        <v>474911</v>
      </c>
      <c r="P54" s="86">
        <f t="shared" si="44"/>
        <v>221107.5</v>
      </c>
      <c r="R54" s="4"/>
      <c r="S54" s="4"/>
      <c r="T54" s="3"/>
      <c r="U54" s="1" t="s">
        <v>80</v>
      </c>
      <c r="V54" s="1"/>
      <c r="W54" s="85"/>
      <c r="X54" s="85"/>
      <c r="Y54" s="85"/>
      <c r="Z54" s="85"/>
      <c r="AA54" s="85"/>
      <c r="AB54" s="85"/>
    </row>
    <row r="55" spans="2:28">
      <c r="B55" s="4"/>
      <c r="C55" s="4"/>
      <c r="D55" s="79"/>
      <c r="E55" s="142" t="s">
        <v>446</v>
      </c>
      <c r="F55" s="86">
        <v>0</v>
      </c>
      <c r="G55" s="86">
        <v>0</v>
      </c>
      <c r="H55" s="86">
        <v>0</v>
      </c>
      <c r="I55" s="86">
        <v>6600</v>
      </c>
      <c r="J55" s="86">
        <v>0</v>
      </c>
      <c r="K55" s="86">
        <v>46200</v>
      </c>
      <c r="L55" s="86">
        <v>0</v>
      </c>
      <c r="M55" s="86">
        <v>6600</v>
      </c>
      <c r="N55" s="86">
        <v>0</v>
      </c>
      <c r="O55" s="86">
        <v>6600</v>
      </c>
      <c r="P55" s="87">
        <f t="shared" si="44"/>
        <v>6600</v>
      </c>
      <c r="R55" s="4"/>
      <c r="S55" s="4"/>
      <c r="T55" s="5" t="s">
        <v>102</v>
      </c>
      <c r="U55" s="8"/>
      <c r="V55" s="1"/>
      <c r="W55" s="85">
        <f>SUM(W56:W57)</f>
        <v>0</v>
      </c>
      <c r="X55" s="85">
        <f t="shared" ref="X55:AA55" si="58">SUM(X56:X57)</f>
        <v>0</v>
      </c>
      <c r="Y55" s="85">
        <f t="shared" si="58"/>
        <v>0</v>
      </c>
      <c r="Z55" s="85">
        <f t="shared" si="58"/>
        <v>0</v>
      </c>
      <c r="AA55" s="85">
        <f t="shared" si="58"/>
        <v>0</v>
      </c>
      <c r="AB55" s="85">
        <v>0</v>
      </c>
    </row>
    <row r="56" spans="2:28">
      <c r="B56" s="4"/>
      <c r="C56" s="4"/>
      <c r="D56" s="5" t="s">
        <v>95</v>
      </c>
      <c r="E56" s="8"/>
      <c r="F56" s="86">
        <f>SUM(F57:F75)</f>
        <v>28708015</v>
      </c>
      <c r="G56" s="86">
        <f t="shared" ref="G56:J56" si="59">SUM(G57:G75)</f>
        <v>29054607</v>
      </c>
      <c r="H56" s="86">
        <f t="shared" si="59"/>
        <v>28651009</v>
      </c>
      <c r="I56" s="86">
        <f t="shared" si="59"/>
        <v>42772565</v>
      </c>
      <c r="J56" s="86">
        <f t="shared" si="59"/>
        <v>38992946</v>
      </c>
      <c r="K56" s="86">
        <f t="shared" ref="K56:N56" si="60">SUM(K57:K75)</f>
        <v>39566820</v>
      </c>
      <c r="L56" s="86">
        <f t="shared" si="60"/>
        <v>36646933</v>
      </c>
      <c r="M56" s="86">
        <f>SUM(M57:M75)</f>
        <v>35722581</v>
      </c>
      <c r="N56" s="86">
        <f t="shared" si="60"/>
        <v>36936296</v>
      </c>
      <c r="O56" s="86">
        <f>SUM(O57:O75)</f>
        <v>32180340</v>
      </c>
      <c r="P56" s="87">
        <f t="shared" si="44"/>
        <v>34923211.200000003</v>
      </c>
      <c r="R56" s="4"/>
      <c r="S56" s="4"/>
      <c r="T56" s="4"/>
      <c r="U56" s="1" t="s">
        <v>164</v>
      </c>
      <c r="V56" s="1"/>
      <c r="W56" s="85"/>
      <c r="X56" s="85"/>
      <c r="Y56" s="85"/>
      <c r="Z56" s="85"/>
      <c r="AA56" s="85"/>
      <c r="AB56" s="85"/>
    </row>
    <row r="57" spans="2:28">
      <c r="B57" s="4"/>
      <c r="C57" s="4"/>
      <c r="D57" s="4"/>
      <c r="E57" s="142" t="s">
        <v>451</v>
      </c>
      <c r="F57" s="86">
        <v>6840000</v>
      </c>
      <c r="G57" s="86">
        <v>7011300</v>
      </c>
      <c r="H57" s="86">
        <v>7058700</v>
      </c>
      <c r="I57" s="86">
        <v>7169100</v>
      </c>
      <c r="J57" s="86">
        <v>3822600</v>
      </c>
      <c r="K57" s="86">
        <v>5884200</v>
      </c>
      <c r="L57" s="86">
        <v>5622900</v>
      </c>
      <c r="M57" s="86">
        <v>5805000</v>
      </c>
      <c r="N57" s="86">
        <v>6004500</v>
      </c>
      <c r="O57" s="86">
        <v>3837000</v>
      </c>
      <c r="P57" s="87">
        <f t="shared" si="44"/>
        <v>5905530</v>
      </c>
      <c r="R57" s="4"/>
      <c r="S57" s="3"/>
      <c r="T57" s="3"/>
      <c r="U57" s="1" t="s">
        <v>165</v>
      </c>
      <c r="V57" s="1"/>
      <c r="W57" s="85"/>
      <c r="X57" s="85"/>
      <c r="Y57" s="85"/>
      <c r="Z57" s="85"/>
      <c r="AA57" s="85"/>
      <c r="AB57" s="85"/>
    </row>
    <row r="58" spans="2:28">
      <c r="B58" s="4"/>
      <c r="C58" s="4"/>
      <c r="D58" s="4"/>
      <c r="E58" s="142" t="s">
        <v>618</v>
      </c>
      <c r="F58" s="86">
        <f>4054523+846141</f>
        <v>4900664</v>
      </c>
      <c r="G58" s="86">
        <f>3418601+865345</f>
        <v>4283946</v>
      </c>
      <c r="H58" s="86">
        <f>3682718+922703</f>
        <v>4605421</v>
      </c>
      <c r="I58" s="86">
        <f>3916703+959961</f>
        <v>4876664</v>
      </c>
      <c r="J58" s="86">
        <f>2731910+798693</f>
        <v>3530603</v>
      </c>
      <c r="K58" s="86">
        <v>3194167</v>
      </c>
      <c r="L58" s="86">
        <v>2007657</v>
      </c>
      <c r="M58" s="86">
        <v>1996615</v>
      </c>
      <c r="N58" s="86">
        <v>2002521</v>
      </c>
      <c r="O58" s="86">
        <v>1233680</v>
      </c>
      <c r="P58" s="87">
        <f t="shared" si="44"/>
        <v>3263193.8</v>
      </c>
      <c r="R58" s="4"/>
      <c r="S58" s="5" t="s">
        <v>103</v>
      </c>
      <c r="T58" s="7"/>
      <c r="U58" s="8"/>
      <c r="V58" s="1"/>
      <c r="W58" s="85">
        <f>SUM(W59,W62)</f>
        <v>39544692</v>
      </c>
      <c r="X58" s="85">
        <f t="shared" ref="X58:AB58" si="61">SUM(X59,X62)</f>
        <v>13857270</v>
      </c>
      <c r="Y58" s="85">
        <f t="shared" si="61"/>
        <v>6414667</v>
      </c>
      <c r="Z58" s="85">
        <f t="shared" si="61"/>
        <v>6771721</v>
      </c>
      <c r="AA58" s="85">
        <f t="shared" si="61"/>
        <v>16067781</v>
      </c>
      <c r="AB58" s="85">
        <f t="shared" si="61"/>
        <v>18069225.200000003</v>
      </c>
    </row>
    <row r="59" spans="2:28">
      <c r="B59" s="4"/>
      <c r="C59" s="4"/>
      <c r="D59" s="4"/>
      <c r="E59" s="142" t="s">
        <v>437</v>
      </c>
      <c r="F59" s="86">
        <v>0</v>
      </c>
      <c r="G59" s="86">
        <v>0</v>
      </c>
      <c r="H59" s="86">
        <v>0</v>
      </c>
      <c r="I59" s="86">
        <v>1227520</v>
      </c>
      <c r="J59" s="86">
        <v>1214368</v>
      </c>
      <c r="K59" s="86">
        <v>1226424</v>
      </c>
      <c r="L59" s="86">
        <v>0</v>
      </c>
      <c r="M59" s="86">
        <v>0</v>
      </c>
      <c r="N59" s="86">
        <v>0</v>
      </c>
      <c r="O59" s="86">
        <v>0</v>
      </c>
      <c r="P59" s="87">
        <f t="shared" si="44"/>
        <v>366831.2</v>
      </c>
      <c r="R59" s="4"/>
      <c r="S59" s="4"/>
      <c r="T59" s="5" t="s">
        <v>104</v>
      </c>
      <c r="U59" s="8"/>
      <c r="V59" s="1"/>
      <c r="W59" s="85">
        <f>K114</f>
        <v>3322502</v>
      </c>
      <c r="X59" s="85">
        <f t="shared" ref="X59:AA59" si="62">L114</f>
        <v>3316293</v>
      </c>
      <c r="Y59" s="85">
        <f t="shared" si="62"/>
        <v>3627476</v>
      </c>
      <c r="Z59" s="85">
        <f t="shared" si="62"/>
        <v>4367904</v>
      </c>
      <c r="AA59" s="85">
        <f t="shared" si="62"/>
        <v>4944124</v>
      </c>
      <c r="AB59" s="85">
        <f>P113</f>
        <v>10729945.800000001</v>
      </c>
    </row>
    <row r="60" spans="2:28">
      <c r="B60" s="4"/>
      <c r="C60" s="4"/>
      <c r="D60" s="4"/>
      <c r="E60" s="142" t="s">
        <v>599</v>
      </c>
      <c r="F60" s="86">
        <v>2247701</v>
      </c>
      <c r="G60" s="86">
        <v>2374680</v>
      </c>
      <c r="H60" s="86">
        <v>2303626</v>
      </c>
      <c r="I60" s="86">
        <v>2457210</v>
      </c>
      <c r="J60" s="86">
        <v>1423691</v>
      </c>
      <c r="K60" s="86">
        <v>2043807</v>
      </c>
      <c r="L60" s="86">
        <v>1759221</v>
      </c>
      <c r="M60" s="86">
        <v>1788715</v>
      </c>
      <c r="N60" s="86">
        <v>1821518</v>
      </c>
      <c r="O60" s="86">
        <v>1129185</v>
      </c>
      <c r="P60" s="87">
        <f t="shared" si="44"/>
        <v>1934935.4</v>
      </c>
      <c r="R60" s="4"/>
      <c r="S60" s="4"/>
      <c r="T60" s="4"/>
      <c r="U60" s="1" t="s">
        <v>729</v>
      </c>
      <c r="V60" s="1"/>
      <c r="W60" s="85">
        <f>K114</f>
        <v>3322502</v>
      </c>
      <c r="X60" s="85">
        <f t="shared" ref="X60:AB60" si="63">L114</f>
        <v>3316293</v>
      </c>
      <c r="Y60" s="85">
        <f t="shared" si="63"/>
        <v>3627476</v>
      </c>
      <c r="Z60" s="85">
        <f t="shared" si="63"/>
        <v>4367904</v>
      </c>
      <c r="AA60" s="85">
        <f t="shared" si="63"/>
        <v>4944124</v>
      </c>
      <c r="AB60" s="85">
        <f t="shared" si="63"/>
        <v>3390666.4</v>
      </c>
    </row>
    <row r="61" spans="2:28">
      <c r="B61" s="4"/>
      <c r="C61" s="4"/>
      <c r="D61" s="4"/>
      <c r="E61" s="142" t="s">
        <v>596</v>
      </c>
      <c r="F61" s="86">
        <v>1443245</v>
      </c>
      <c r="G61" s="86">
        <v>1457688</v>
      </c>
      <c r="H61" s="86">
        <v>1413820</v>
      </c>
      <c r="I61" s="86">
        <v>1509093</v>
      </c>
      <c r="J61" s="86">
        <v>805416</v>
      </c>
      <c r="K61" s="86">
        <v>1179783</v>
      </c>
      <c r="L61" s="86">
        <v>1127388</v>
      </c>
      <c r="M61" s="86">
        <v>873651</v>
      </c>
      <c r="N61" s="86">
        <v>903677</v>
      </c>
      <c r="O61" s="86">
        <v>577184</v>
      </c>
      <c r="P61" s="87">
        <f t="shared" si="44"/>
        <v>1129094.5</v>
      </c>
      <c r="R61" s="4"/>
      <c r="S61" s="4"/>
      <c r="T61" s="3"/>
      <c r="U61" s="1" t="s">
        <v>727</v>
      </c>
      <c r="V61" s="1"/>
      <c r="W61" s="85"/>
      <c r="X61" s="85"/>
      <c r="Y61" s="85"/>
      <c r="Z61" s="85"/>
      <c r="AA61" s="85"/>
      <c r="AB61" s="85"/>
    </row>
    <row r="62" spans="2:28">
      <c r="B62" s="4"/>
      <c r="C62" s="4"/>
      <c r="D62" s="4"/>
      <c r="E62" s="142" t="s">
        <v>438</v>
      </c>
      <c r="F62" s="86">
        <v>927400</v>
      </c>
      <c r="G62" s="86">
        <v>174460</v>
      </c>
      <c r="H62" s="86">
        <v>7490</v>
      </c>
      <c r="I62" s="86">
        <v>156857</v>
      </c>
      <c r="J62" s="86">
        <v>218175</v>
      </c>
      <c r="K62" s="86">
        <v>209910</v>
      </c>
      <c r="L62" s="86">
        <v>204729</v>
      </c>
      <c r="M62" s="86">
        <v>438120</v>
      </c>
      <c r="N62" s="86">
        <v>0</v>
      </c>
      <c r="O62" s="86">
        <v>450000</v>
      </c>
      <c r="P62" s="87">
        <f t="shared" si="44"/>
        <v>278714.09999999998</v>
      </c>
      <c r="R62" s="4"/>
      <c r="S62" s="3"/>
      <c r="T62" s="9" t="s">
        <v>106</v>
      </c>
      <c r="U62" s="8"/>
      <c r="V62" s="1"/>
      <c r="W62" s="85">
        <f>K115</f>
        <v>36222190</v>
      </c>
      <c r="X62" s="85">
        <f t="shared" ref="X62:AB62" si="64">L115</f>
        <v>10540977</v>
      </c>
      <c r="Y62" s="85">
        <f t="shared" si="64"/>
        <v>2787191</v>
      </c>
      <c r="Z62" s="85">
        <f t="shared" si="64"/>
        <v>2403817</v>
      </c>
      <c r="AA62" s="85">
        <f t="shared" si="64"/>
        <v>11123657</v>
      </c>
      <c r="AB62" s="85">
        <f t="shared" si="64"/>
        <v>7339279.4000000004</v>
      </c>
    </row>
    <row r="63" spans="2:28">
      <c r="B63" s="4"/>
      <c r="C63" s="4"/>
      <c r="D63" s="4"/>
      <c r="E63" s="142" t="s">
        <v>439</v>
      </c>
      <c r="F63" s="86">
        <v>0</v>
      </c>
      <c r="G63" s="86">
        <v>0</v>
      </c>
      <c r="H63" s="86">
        <v>0</v>
      </c>
      <c r="I63" s="86">
        <v>191371</v>
      </c>
      <c r="J63" s="86">
        <v>117391</v>
      </c>
      <c r="K63" s="86">
        <v>124357</v>
      </c>
      <c r="L63" s="86">
        <v>76433</v>
      </c>
      <c r="M63" s="86">
        <v>90432</v>
      </c>
      <c r="N63" s="86">
        <v>55414</v>
      </c>
      <c r="O63" s="86">
        <v>45436</v>
      </c>
      <c r="P63" s="87">
        <f t="shared" si="44"/>
        <v>70083.399999999994</v>
      </c>
      <c r="R63" s="4"/>
      <c r="S63" s="5" t="s">
        <v>107</v>
      </c>
      <c r="T63" s="7"/>
      <c r="U63" s="8"/>
      <c r="V63" s="1"/>
      <c r="W63" s="85">
        <f>SUM(W64:W67)</f>
        <v>75141547</v>
      </c>
      <c r="X63" s="85">
        <f t="shared" ref="X63:AA63" si="65">SUM(X64:X67)</f>
        <v>0</v>
      </c>
      <c r="Y63" s="85">
        <f t="shared" si="65"/>
        <v>0</v>
      </c>
      <c r="Z63" s="85">
        <f t="shared" si="65"/>
        <v>0</v>
      </c>
      <c r="AA63" s="85">
        <f t="shared" si="65"/>
        <v>0</v>
      </c>
      <c r="AB63" s="85">
        <f>P78</f>
        <v>31797738.800000001</v>
      </c>
    </row>
    <row r="64" spans="2:28">
      <c r="B64" s="4"/>
      <c r="C64" s="4"/>
      <c r="D64" s="4"/>
      <c r="E64" s="142" t="s">
        <v>449</v>
      </c>
      <c r="F64" s="86">
        <v>38336</v>
      </c>
      <c r="G64" s="86">
        <v>85574</v>
      </c>
      <c r="H64" s="86">
        <v>177921</v>
      </c>
      <c r="I64" s="86">
        <v>886771</v>
      </c>
      <c r="J64" s="86">
        <v>713231</v>
      </c>
      <c r="K64" s="86">
        <v>723658</v>
      </c>
      <c r="L64" s="86">
        <v>739486</v>
      </c>
      <c r="M64" s="86">
        <v>847360</v>
      </c>
      <c r="N64" s="86">
        <v>820229</v>
      </c>
      <c r="O64" s="86">
        <v>687666</v>
      </c>
      <c r="P64" s="87">
        <f t="shared" si="44"/>
        <v>572023.19999999995</v>
      </c>
      <c r="R64" s="4"/>
      <c r="S64" s="4"/>
      <c r="T64" s="1" t="s">
        <v>608</v>
      </c>
      <c r="U64" s="1"/>
      <c r="V64" s="1"/>
      <c r="W64" s="85">
        <f>K118</f>
        <v>75141547</v>
      </c>
      <c r="X64" s="85">
        <f t="shared" ref="X64:AB66" si="66">L118</f>
        <v>0</v>
      </c>
      <c r="Y64" s="85">
        <f t="shared" si="66"/>
        <v>0</v>
      </c>
      <c r="Z64" s="85">
        <f t="shared" si="66"/>
        <v>0</v>
      </c>
      <c r="AA64" s="85">
        <f t="shared" si="66"/>
        <v>0</v>
      </c>
      <c r="AB64" s="85">
        <f t="shared" si="66"/>
        <v>50712200.399999999</v>
      </c>
    </row>
    <row r="65" spans="2:28">
      <c r="B65" s="4"/>
      <c r="C65" s="4"/>
      <c r="D65" s="4"/>
      <c r="E65" s="142" t="s">
        <v>447</v>
      </c>
      <c r="F65" s="86">
        <v>0</v>
      </c>
      <c r="G65" s="86">
        <v>0</v>
      </c>
      <c r="H65" s="86">
        <v>0</v>
      </c>
      <c r="I65" s="86">
        <v>0</v>
      </c>
      <c r="J65" s="86">
        <v>0</v>
      </c>
      <c r="K65" s="86">
        <v>0</v>
      </c>
      <c r="L65" s="86">
        <v>0</v>
      </c>
      <c r="M65" s="86">
        <v>5000</v>
      </c>
      <c r="N65" s="86">
        <v>0</v>
      </c>
      <c r="O65" s="86">
        <v>0</v>
      </c>
      <c r="P65" s="87">
        <f t="shared" si="44"/>
        <v>500</v>
      </c>
      <c r="R65" s="4"/>
      <c r="S65" s="4"/>
      <c r="T65" s="1" t="s">
        <v>619</v>
      </c>
      <c r="U65" s="1"/>
      <c r="V65" s="1"/>
      <c r="W65" s="85">
        <f t="shared" ref="W65:W66" si="67">K119</f>
        <v>0</v>
      </c>
      <c r="X65" s="85">
        <f t="shared" si="66"/>
        <v>0</v>
      </c>
      <c r="Y65" s="85">
        <f t="shared" si="66"/>
        <v>0</v>
      </c>
      <c r="Z65" s="85">
        <f t="shared" si="66"/>
        <v>0</v>
      </c>
      <c r="AA65" s="85">
        <f t="shared" si="66"/>
        <v>0</v>
      </c>
      <c r="AB65" s="85">
        <f t="shared" si="66"/>
        <v>1666</v>
      </c>
    </row>
    <row r="66" spans="2:28">
      <c r="B66" s="4"/>
      <c r="C66" s="4"/>
      <c r="D66" s="4"/>
      <c r="E66" s="142" t="s">
        <v>441</v>
      </c>
      <c r="F66" s="86">
        <v>28153</v>
      </c>
      <c r="G66" s="86">
        <v>27914</v>
      </c>
      <c r="H66" s="86">
        <v>29059</v>
      </c>
      <c r="I66" s="86">
        <v>839428</v>
      </c>
      <c r="J66" s="86">
        <v>864180</v>
      </c>
      <c r="K66" s="86">
        <v>993512</v>
      </c>
      <c r="L66" s="86">
        <v>1078816</v>
      </c>
      <c r="M66" s="86">
        <v>989953</v>
      </c>
      <c r="N66" s="86">
        <v>1062268</v>
      </c>
      <c r="O66" s="86">
        <v>1051775</v>
      </c>
      <c r="P66" s="87">
        <f t="shared" si="44"/>
        <v>696505.8</v>
      </c>
      <c r="R66" s="4"/>
      <c r="S66" s="4"/>
      <c r="T66" s="1" t="s">
        <v>515</v>
      </c>
      <c r="U66" s="1"/>
      <c r="V66" s="1"/>
      <c r="W66" s="85">
        <f t="shared" si="67"/>
        <v>0</v>
      </c>
      <c r="X66" s="85">
        <f t="shared" si="66"/>
        <v>0</v>
      </c>
      <c r="Y66" s="85">
        <f t="shared" si="66"/>
        <v>0</v>
      </c>
      <c r="Z66" s="85">
        <f t="shared" si="66"/>
        <v>0</v>
      </c>
      <c r="AA66" s="85">
        <f t="shared" si="66"/>
        <v>0</v>
      </c>
      <c r="AB66" s="85">
        <f t="shared" si="66"/>
        <v>0</v>
      </c>
    </row>
    <row r="67" spans="2:28">
      <c r="B67" s="4"/>
      <c r="C67" s="4"/>
      <c r="D67" s="4"/>
      <c r="E67" s="142" t="s">
        <v>92</v>
      </c>
      <c r="F67" s="86">
        <v>10153814</v>
      </c>
      <c r="G67" s="86">
        <v>11426491</v>
      </c>
      <c r="H67" s="86">
        <v>10703946</v>
      </c>
      <c r="I67" s="86">
        <v>18082032</v>
      </c>
      <c r="J67" s="86">
        <v>20166170</v>
      </c>
      <c r="K67" s="86">
        <v>17175629</v>
      </c>
      <c r="L67" s="86">
        <v>18885642</v>
      </c>
      <c r="M67" s="86">
        <v>16161047</v>
      </c>
      <c r="N67" s="86">
        <v>13583646</v>
      </c>
      <c r="O67" s="86">
        <v>13164934</v>
      </c>
      <c r="P67" s="87">
        <f t="shared" si="44"/>
        <v>14950335.1</v>
      </c>
      <c r="R67" s="3"/>
      <c r="S67" s="3"/>
      <c r="T67" s="1" t="s">
        <v>111</v>
      </c>
      <c r="U67" s="1"/>
      <c r="V67" s="1"/>
      <c r="W67" s="85"/>
      <c r="X67" s="85"/>
      <c r="Y67" s="85"/>
      <c r="Z67" s="85"/>
      <c r="AA67" s="85"/>
      <c r="AB67" s="85"/>
    </row>
    <row r="68" spans="2:28">
      <c r="B68" s="4"/>
      <c r="C68" s="4"/>
      <c r="D68" s="4"/>
      <c r="E68" s="142" t="s">
        <v>431</v>
      </c>
      <c r="F68" s="86">
        <v>0</v>
      </c>
      <c r="G68" s="86">
        <v>0</v>
      </c>
      <c r="H68" s="86">
        <v>0</v>
      </c>
      <c r="I68" s="86">
        <v>107470</v>
      </c>
      <c r="J68" s="86">
        <v>9700</v>
      </c>
      <c r="K68" s="86">
        <v>10500</v>
      </c>
      <c r="L68" s="86">
        <v>15100</v>
      </c>
      <c r="M68" s="86">
        <v>4100</v>
      </c>
      <c r="N68" s="86">
        <v>0</v>
      </c>
      <c r="O68" s="86">
        <v>10200</v>
      </c>
      <c r="P68" s="87">
        <f t="shared" si="44"/>
        <v>15707</v>
      </c>
      <c r="R68" s="9" t="s">
        <v>112</v>
      </c>
      <c r="S68" s="7"/>
      <c r="T68" s="7"/>
      <c r="U68" s="8"/>
      <c r="V68" s="1"/>
      <c r="W68" s="85">
        <f>W5-W24</f>
        <v>-154789750</v>
      </c>
      <c r="X68" s="85">
        <f>X5-X24</f>
        <v>-36029202</v>
      </c>
      <c r="Y68" s="85">
        <f>Y5-Y24</f>
        <v>-37745561</v>
      </c>
      <c r="Z68" s="85">
        <f>Z5-Z24</f>
        <v>-101071072</v>
      </c>
      <c r="AA68" s="85">
        <f>AA5-AA24</f>
        <v>-59562535</v>
      </c>
      <c r="AB68" s="85">
        <f>P121</f>
        <v>-74753090.400000006</v>
      </c>
    </row>
    <row r="69" spans="2:28">
      <c r="B69" s="4"/>
      <c r="C69" s="4"/>
      <c r="D69" s="4"/>
      <c r="E69" s="142" t="s">
        <v>597</v>
      </c>
      <c r="F69" s="86">
        <v>3519</v>
      </c>
      <c r="G69" s="86">
        <v>0</v>
      </c>
      <c r="H69" s="86">
        <v>6000</v>
      </c>
      <c r="I69" s="86">
        <v>12478</v>
      </c>
      <c r="J69" s="86">
        <v>12478</v>
      </c>
      <c r="K69" s="86">
        <v>174425</v>
      </c>
      <c r="L69" s="86">
        <v>204600</v>
      </c>
      <c r="M69" s="86">
        <v>235800</v>
      </c>
      <c r="N69" s="86">
        <v>251280</v>
      </c>
      <c r="O69" s="86">
        <v>251280</v>
      </c>
      <c r="P69" s="87">
        <f t="shared" si="44"/>
        <v>115186</v>
      </c>
    </row>
    <row r="70" spans="2:28">
      <c r="B70" s="4"/>
      <c r="C70" s="4"/>
      <c r="D70" s="4"/>
      <c r="E70" s="142" t="s">
        <v>91</v>
      </c>
      <c r="F70" s="86">
        <v>1172000</v>
      </c>
      <c r="G70" s="86">
        <v>1208000</v>
      </c>
      <c r="H70" s="86">
        <v>485605</v>
      </c>
      <c r="I70" s="86">
        <v>125780</v>
      </c>
      <c r="J70" s="86">
        <v>1321405</v>
      </c>
      <c r="K70" s="86">
        <v>1577280</v>
      </c>
      <c r="L70" s="86">
        <v>327448</v>
      </c>
      <c r="M70" s="86">
        <v>569069</v>
      </c>
      <c r="N70" s="86">
        <v>3745890</v>
      </c>
      <c r="O70" s="86">
        <v>3642734</v>
      </c>
      <c r="P70" s="87">
        <f t="shared" si="44"/>
        <v>1417521.1</v>
      </c>
    </row>
    <row r="71" spans="2:28">
      <c r="B71" s="4"/>
      <c r="C71" s="4"/>
      <c r="D71" s="4"/>
      <c r="E71" s="142" t="s">
        <v>600</v>
      </c>
      <c r="F71" s="86">
        <v>0</v>
      </c>
      <c r="G71" s="86">
        <v>3050</v>
      </c>
      <c r="H71" s="86">
        <v>0</v>
      </c>
      <c r="I71" s="86">
        <v>0</v>
      </c>
      <c r="J71" s="86">
        <v>0</v>
      </c>
      <c r="K71" s="86">
        <v>0</v>
      </c>
      <c r="L71" s="86">
        <v>0</v>
      </c>
      <c r="M71" s="86">
        <v>0</v>
      </c>
      <c r="N71" s="86">
        <v>0</v>
      </c>
      <c r="O71" s="86">
        <v>0</v>
      </c>
      <c r="P71" s="87">
        <f t="shared" si="44"/>
        <v>305</v>
      </c>
    </row>
    <row r="72" spans="2:28">
      <c r="B72" s="4"/>
      <c r="C72" s="4"/>
      <c r="D72" s="4"/>
      <c r="E72" s="142" t="s">
        <v>598</v>
      </c>
      <c r="F72" s="86">
        <v>404888</v>
      </c>
      <c r="G72" s="86">
        <v>489771</v>
      </c>
      <c r="H72" s="86">
        <v>1391701</v>
      </c>
      <c r="I72" s="86">
        <v>3355727</v>
      </c>
      <c r="J72" s="86">
        <v>2781773</v>
      </c>
      <c r="K72" s="86">
        <v>3189420</v>
      </c>
      <c r="L72" s="86">
        <v>2083304</v>
      </c>
      <c r="M72" s="86">
        <v>2339387</v>
      </c>
      <c r="N72" s="86">
        <v>3088131</v>
      </c>
      <c r="O72" s="86">
        <v>2470534</v>
      </c>
      <c r="P72" s="87">
        <f t="shared" si="44"/>
        <v>2159463.6</v>
      </c>
    </row>
    <row r="73" spans="2:28">
      <c r="B73" s="4"/>
      <c r="C73" s="4"/>
      <c r="D73" s="4"/>
      <c r="E73" s="142" t="s">
        <v>443</v>
      </c>
      <c r="F73" s="86">
        <v>60748</v>
      </c>
      <c r="G73" s="86">
        <v>208236</v>
      </c>
      <c r="H73" s="86">
        <v>164223</v>
      </c>
      <c r="I73" s="86">
        <v>36960</v>
      </c>
      <c r="J73" s="86">
        <v>99322</v>
      </c>
      <c r="K73" s="86">
        <v>0</v>
      </c>
      <c r="L73" s="86">
        <v>53582</v>
      </c>
      <c r="M73" s="86">
        <v>153620</v>
      </c>
      <c r="N73" s="86">
        <v>173180</v>
      </c>
      <c r="O73" s="86">
        <v>169060</v>
      </c>
      <c r="P73" s="87">
        <f t="shared" si="44"/>
        <v>111893.1</v>
      </c>
    </row>
    <row r="74" spans="2:28">
      <c r="B74" s="4"/>
      <c r="C74" s="4"/>
      <c r="D74" s="4"/>
      <c r="E74" s="142" t="s">
        <v>458</v>
      </c>
      <c r="F74" s="86">
        <v>487547</v>
      </c>
      <c r="G74" s="86">
        <v>303497</v>
      </c>
      <c r="H74" s="86">
        <v>303497</v>
      </c>
      <c r="I74" s="86">
        <v>1711004</v>
      </c>
      <c r="J74" s="86">
        <v>1871943</v>
      </c>
      <c r="K74" s="86">
        <v>1775248</v>
      </c>
      <c r="L74" s="86">
        <v>2460627</v>
      </c>
      <c r="M74" s="86">
        <v>3418112</v>
      </c>
      <c r="N74" s="86">
        <v>3424042</v>
      </c>
      <c r="O74" s="86">
        <v>3453072</v>
      </c>
      <c r="P74" s="87">
        <f t="shared" si="44"/>
        <v>1920858.9</v>
      </c>
    </row>
    <row r="75" spans="2:28">
      <c r="B75" s="4"/>
      <c r="C75" s="4"/>
      <c r="D75" s="3"/>
      <c r="E75" s="142" t="s">
        <v>446</v>
      </c>
      <c r="F75" s="86">
        <v>0</v>
      </c>
      <c r="G75" s="86">
        <v>0</v>
      </c>
      <c r="H75" s="86">
        <v>0</v>
      </c>
      <c r="I75" s="86">
        <v>27100</v>
      </c>
      <c r="J75" s="86">
        <v>20500</v>
      </c>
      <c r="K75" s="86">
        <v>84500</v>
      </c>
      <c r="L75" s="86">
        <v>0</v>
      </c>
      <c r="M75" s="86">
        <v>6600</v>
      </c>
      <c r="N75" s="86">
        <v>0</v>
      </c>
      <c r="O75" s="86">
        <v>6600</v>
      </c>
      <c r="P75" s="87">
        <f t="shared" si="44"/>
        <v>14530</v>
      </c>
    </row>
    <row r="76" spans="2:28">
      <c r="B76" s="4"/>
      <c r="C76" s="4"/>
      <c r="D76" s="79" t="s">
        <v>450</v>
      </c>
      <c r="E76" s="8"/>
      <c r="F76" s="86">
        <f t="shared" ref="F76:O76" si="68">SUM(F77:F77)</f>
        <v>0</v>
      </c>
      <c r="G76" s="86">
        <f t="shared" si="68"/>
        <v>0</v>
      </c>
      <c r="H76" s="86">
        <f t="shared" si="68"/>
        <v>0</v>
      </c>
      <c r="I76" s="86">
        <f t="shared" si="68"/>
        <v>0</v>
      </c>
      <c r="J76" s="86">
        <f t="shared" si="68"/>
        <v>0</v>
      </c>
      <c r="K76" s="86">
        <f t="shared" si="68"/>
        <v>0</v>
      </c>
      <c r="L76" s="86">
        <f t="shared" si="68"/>
        <v>0</v>
      </c>
      <c r="M76" s="86">
        <f t="shared" si="68"/>
        <v>0</v>
      </c>
      <c r="N76" s="86">
        <f t="shared" si="68"/>
        <v>0</v>
      </c>
      <c r="O76" s="86">
        <f t="shared" si="68"/>
        <v>0</v>
      </c>
      <c r="P76" s="87">
        <f>AVERAGE(F76:O76)</f>
        <v>0</v>
      </c>
    </row>
    <row r="77" spans="2:28">
      <c r="B77" s="4"/>
      <c r="C77" s="4"/>
      <c r="D77" s="79"/>
      <c r="E77" s="142" t="s">
        <v>443</v>
      </c>
      <c r="F77" s="86">
        <v>0</v>
      </c>
      <c r="G77" s="86">
        <v>0</v>
      </c>
      <c r="H77" s="86">
        <v>0</v>
      </c>
      <c r="I77" s="86">
        <v>0</v>
      </c>
      <c r="J77" s="86">
        <v>0</v>
      </c>
      <c r="K77" s="86">
        <v>0</v>
      </c>
      <c r="L77" s="86">
        <v>0</v>
      </c>
      <c r="M77" s="86">
        <v>0</v>
      </c>
      <c r="N77" s="86">
        <v>0</v>
      </c>
      <c r="O77" s="86">
        <v>0</v>
      </c>
      <c r="P77" s="87">
        <f t="shared" si="44"/>
        <v>0</v>
      </c>
    </row>
    <row r="78" spans="2:28">
      <c r="B78" s="4"/>
      <c r="C78" s="4"/>
      <c r="D78" s="5" t="s">
        <v>97</v>
      </c>
      <c r="E78" s="8"/>
      <c r="F78" s="86">
        <f t="shared" ref="F78:N78" si="69">SUM(F79:F103)</f>
        <v>19160695</v>
      </c>
      <c r="G78" s="86">
        <f t="shared" si="69"/>
        <v>18223848</v>
      </c>
      <c r="H78" s="86">
        <f t="shared" si="69"/>
        <v>24917837</v>
      </c>
      <c r="I78" s="86">
        <f t="shared" si="69"/>
        <v>28498527</v>
      </c>
      <c r="J78" s="86">
        <f t="shared" si="69"/>
        <v>29959607</v>
      </c>
      <c r="K78" s="86">
        <f t="shared" si="69"/>
        <v>28068995</v>
      </c>
      <c r="L78" s="86">
        <f t="shared" si="69"/>
        <v>38902891</v>
      </c>
      <c r="M78" s="86">
        <f t="shared" si="69"/>
        <v>34633799</v>
      </c>
      <c r="N78" s="86">
        <f t="shared" si="69"/>
        <v>56238492</v>
      </c>
      <c r="O78" s="86">
        <f>SUM(O79:O103)</f>
        <v>39372697</v>
      </c>
      <c r="P78" s="87">
        <f t="shared" si="44"/>
        <v>31797738.800000001</v>
      </c>
    </row>
    <row r="79" spans="2:28">
      <c r="B79" s="4"/>
      <c r="C79" s="4"/>
      <c r="D79" s="4"/>
      <c r="E79" s="142" t="s">
        <v>451</v>
      </c>
      <c r="F79" s="86">
        <v>5540400</v>
      </c>
      <c r="G79" s="86">
        <v>5694300</v>
      </c>
      <c r="H79" s="86">
        <v>5805000</v>
      </c>
      <c r="I79" s="86">
        <v>9863400</v>
      </c>
      <c r="J79" s="86">
        <v>11945400</v>
      </c>
      <c r="K79" s="86">
        <v>8196300</v>
      </c>
      <c r="L79" s="86">
        <v>8074574</v>
      </c>
      <c r="M79" s="86">
        <v>9099300</v>
      </c>
      <c r="N79" s="86">
        <v>18085718</v>
      </c>
      <c r="O79" s="86">
        <v>11767500</v>
      </c>
      <c r="P79" s="87">
        <f t="shared" si="44"/>
        <v>9407189.1999999993</v>
      </c>
    </row>
    <row r="80" spans="2:28">
      <c r="B80" s="4"/>
      <c r="C80" s="4"/>
      <c r="D80" s="4"/>
      <c r="E80" s="142" t="s">
        <v>452</v>
      </c>
      <c r="F80" s="86">
        <v>3489631</v>
      </c>
      <c r="G80" s="86">
        <v>3052192</v>
      </c>
      <c r="H80" s="86">
        <v>3979917</v>
      </c>
      <c r="I80" s="86">
        <v>4435787</v>
      </c>
      <c r="J80" s="86">
        <v>3895859</v>
      </c>
      <c r="K80" s="86">
        <v>2877569</v>
      </c>
      <c r="L80" s="86">
        <v>2354318</v>
      </c>
      <c r="M80" s="86">
        <v>2852258</v>
      </c>
      <c r="N80" s="86">
        <v>7094612</v>
      </c>
      <c r="O80" s="86">
        <v>4407809</v>
      </c>
      <c r="P80" s="87">
        <f t="shared" si="44"/>
        <v>3843995.2</v>
      </c>
    </row>
    <row r="81" spans="2:16">
      <c r="B81" s="4"/>
      <c r="C81" s="4"/>
      <c r="D81" s="4"/>
      <c r="E81" s="142" t="s">
        <v>437</v>
      </c>
      <c r="F81" s="86">
        <v>0</v>
      </c>
      <c r="G81" s="86">
        <v>0</v>
      </c>
      <c r="H81" s="86">
        <v>0</v>
      </c>
      <c r="I81" s="86">
        <v>0</v>
      </c>
      <c r="J81" s="86">
        <v>0</v>
      </c>
      <c r="K81" s="86">
        <v>0</v>
      </c>
      <c r="L81" s="86">
        <v>0</v>
      </c>
      <c r="M81" s="86">
        <v>0</v>
      </c>
      <c r="N81" s="86">
        <v>0</v>
      </c>
      <c r="O81" s="86">
        <v>0</v>
      </c>
      <c r="P81" s="87">
        <f t="shared" si="44"/>
        <v>0</v>
      </c>
    </row>
    <row r="82" spans="2:16">
      <c r="B82" s="4"/>
      <c r="C82" s="4"/>
      <c r="D82" s="4"/>
      <c r="E82" s="142" t="s">
        <v>454</v>
      </c>
      <c r="F82" s="86">
        <v>1829666</v>
      </c>
      <c r="G82" s="86">
        <v>1910648</v>
      </c>
      <c r="H82" s="86">
        <v>2062494</v>
      </c>
      <c r="I82" s="86">
        <v>3428992</v>
      </c>
      <c r="J82" s="86">
        <v>3714378</v>
      </c>
      <c r="K82" s="86">
        <v>2645709</v>
      </c>
      <c r="L82" s="86">
        <v>2402582</v>
      </c>
      <c r="M82" s="86">
        <v>2715311</v>
      </c>
      <c r="N82" s="86">
        <v>5602385</v>
      </c>
      <c r="O82" s="86">
        <v>3705721</v>
      </c>
      <c r="P82" s="87">
        <f t="shared" si="44"/>
        <v>3001788.6</v>
      </c>
    </row>
    <row r="83" spans="2:16">
      <c r="B83" s="4"/>
      <c r="C83" s="4"/>
      <c r="D83" s="4"/>
      <c r="E83" s="142" t="s">
        <v>596</v>
      </c>
      <c r="F83" s="86">
        <v>1169025</v>
      </c>
      <c r="G83" s="86">
        <v>1188801</v>
      </c>
      <c r="H83" s="86">
        <v>1163907</v>
      </c>
      <c r="I83" s="86">
        <v>2076245</v>
      </c>
      <c r="J83" s="86">
        <v>2521704</v>
      </c>
      <c r="K83" s="86">
        <v>1643358</v>
      </c>
      <c r="L83" s="86">
        <v>1723760</v>
      </c>
      <c r="M83" s="86">
        <v>1369449</v>
      </c>
      <c r="N83" s="86">
        <v>2726514</v>
      </c>
      <c r="O83" s="86">
        <v>1771008</v>
      </c>
      <c r="P83" s="87">
        <f t="shared" si="44"/>
        <v>1735377.1</v>
      </c>
    </row>
    <row r="84" spans="2:16">
      <c r="B84" s="4"/>
      <c r="C84" s="4"/>
      <c r="D84" s="4"/>
      <c r="E84" s="142" t="s">
        <v>455</v>
      </c>
      <c r="F84" s="86">
        <v>44408</v>
      </c>
      <c r="G84" s="86">
        <v>0</v>
      </c>
      <c r="H84" s="86">
        <v>74880</v>
      </c>
      <c r="I84" s="86">
        <v>12000</v>
      </c>
      <c r="J84" s="86">
        <v>8000</v>
      </c>
      <c r="K84" s="86">
        <v>115150</v>
      </c>
      <c r="L84" s="86">
        <v>67364</v>
      </c>
      <c r="M84" s="86">
        <v>510918</v>
      </c>
      <c r="N84" s="86">
        <v>173753</v>
      </c>
      <c r="O84" s="86">
        <v>145469</v>
      </c>
      <c r="P84" s="87">
        <f t="shared" si="44"/>
        <v>115194.2</v>
      </c>
    </row>
    <row r="85" spans="2:16">
      <c r="B85" s="4"/>
      <c r="C85" s="4"/>
      <c r="D85" s="4"/>
      <c r="E85" s="142" t="s">
        <v>601</v>
      </c>
      <c r="F85" s="86">
        <v>0</v>
      </c>
      <c r="G85" s="86">
        <v>0</v>
      </c>
      <c r="H85" s="86">
        <v>0</v>
      </c>
      <c r="I85" s="86">
        <v>0</v>
      </c>
      <c r="J85" s="86">
        <v>0</v>
      </c>
      <c r="K85" s="86">
        <v>0</v>
      </c>
      <c r="L85" s="86">
        <v>0</v>
      </c>
      <c r="M85" s="86">
        <v>0</v>
      </c>
      <c r="N85" s="86">
        <v>0</v>
      </c>
      <c r="O85" s="86">
        <v>0</v>
      </c>
      <c r="P85" s="87">
        <f t="shared" si="44"/>
        <v>0</v>
      </c>
    </row>
    <row r="86" spans="2:16">
      <c r="B86" s="4"/>
      <c r="C86" s="4"/>
      <c r="D86" s="4"/>
      <c r="E86" s="142" t="s">
        <v>602</v>
      </c>
      <c r="F86" s="86">
        <v>0</v>
      </c>
      <c r="G86" s="86">
        <v>0</v>
      </c>
      <c r="H86" s="86">
        <v>0</v>
      </c>
      <c r="I86" s="86">
        <v>0</v>
      </c>
      <c r="J86" s="86">
        <v>0</v>
      </c>
      <c r="K86" s="86">
        <v>0</v>
      </c>
      <c r="L86" s="86">
        <v>0</v>
      </c>
      <c r="M86" s="86">
        <v>0</v>
      </c>
      <c r="N86" s="86">
        <v>19500</v>
      </c>
      <c r="O86" s="86">
        <v>0</v>
      </c>
      <c r="P86" s="87">
        <f t="shared" si="44"/>
        <v>1950</v>
      </c>
    </row>
    <row r="87" spans="2:16">
      <c r="B87" s="4"/>
      <c r="C87" s="4"/>
      <c r="D87" s="4"/>
      <c r="E87" s="142" t="s">
        <v>438</v>
      </c>
      <c r="F87" s="86">
        <v>375673</v>
      </c>
      <c r="G87" s="86">
        <v>268149</v>
      </c>
      <c r="H87" s="86">
        <v>470466</v>
      </c>
      <c r="I87" s="86">
        <v>387465</v>
      </c>
      <c r="J87" s="86">
        <v>388542</v>
      </c>
      <c r="K87" s="86">
        <v>200844</v>
      </c>
      <c r="L87" s="86">
        <v>218277</v>
      </c>
      <c r="M87" s="86">
        <v>258483</v>
      </c>
      <c r="N87" s="86">
        <v>267688</v>
      </c>
      <c r="O87" s="86">
        <v>297017</v>
      </c>
      <c r="P87" s="87">
        <f t="shared" si="44"/>
        <v>313260.40000000002</v>
      </c>
    </row>
    <row r="88" spans="2:16">
      <c r="B88" s="4"/>
      <c r="C88" s="4"/>
      <c r="D88" s="4"/>
      <c r="E88" s="142" t="s">
        <v>439</v>
      </c>
      <c r="F88" s="86">
        <v>80313</v>
      </c>
      <c r="G88" s="86">
        <v>74324</v>
      </c>
      <c r="H88" s="86">
        <v>75842</v>
      </c>
      <c r="I88" s="86">
        <v>85058</v>
      </c>
      <c r="J88" s="86">
        <v>65775</v>
      </c>
      <c r="K88" s="86">
        <v>55566</v>
      </c>
      <c r="L88" s="86">
        <v>44656</v>
      </c>
      <c r="M88" s="86">
        <v>51012</v>
      </c>
      <c r="N88" s="86">
        <v>44142</v>
      </c>
      <c r="O88" s="86">
        <v>42453</v>
      </c>
      <c r="P88" s="87">
        <f t="shared" si="44"/>
        <v>61914.1</v>
      </c>
    </row>
    <row r="89" spans="2:16">
      <c r="B89" s="4"/>
      <c r="C89" s="4"/>
      <c r="D89" s="4"/>
      <c r="E89" s="142" t="s">
        <v>449</v>
      </c>
      <c r="F89" s="86">
        <v>0</v>
      </c>
      <c r="G89" s="86">
        <v>0</v>
      </c>
      <c r="H89" s="86">
        <v>0</v>
      </c>
      <c r="I89" s="86">
        <v>0</v>
      </c>
      <c r="J89" s="86">
        <v>0</v>
      </c>
      <c r="K89" s="86">
        <v>0</v>
      </c>
      <c r="L89" s="86">
        <v>0</v>
      </c>
      <c r="M89" s="86">
        <v>0</v>
      </c>
      <c r="N89" s="86">
        <v>0</v>
      </c>
      <c r="O89" s="86">
        <v>0</v>
      </c>
      <c r="P89" s="87">
        <f t="shared" si="44"/>
        <v>0</v>
      </c>
    </row>
    <row r="90" spans="2:16">
      <c r="B90" s="4"/>
      <c r="C90" s="4"/>
      <c r="D90" s="79"/>
      <c r="E90" s="142" t="s">
        <v>447</v>
      </c>
      <c r="F90" s="86">
        <v>220000</v>
      </c>
      <c r="G90" s="86">
        <v>224750</v>
      </c>
      <c r="H90" s="86">
        <v>230000</v>
      </c>
      <c r="I90" s="86">
        <v>247500</v>
      </c>
      <c r="J90" s="86">
        <v>237200</v>
      </c>
      <c r="K90" s="86">
        <v>258721</v>
      </c>
      <c r="L90" s="86">
        <v>605660</v>
      </c>
      <c r="M90" s="86">
        <v>164360</v>
      </c>
      <c r="N90" s="86">
        <v>231840</v>
      </c>
      <c r="O90" s="86">
        <v>374640</v>
      </c>
      <c r="P90" s="87">
        <f t="shared" si="44"/>
        <v>279467.09999999998</v>
      </c>
    </row>
    <row r="91" spans="2:16">
      <c r="B91" s="4"/>
      <c r="C91" s="4"/>
      <c r="D91" s="79"/>
      <c r="E91" s="142" t="s">
        <v>441</v>
      </c>
      <c r="F91" s="86">
        <v>389622</v>
      </c>
      <c r="G91" s="86">
        <v>365011</v>
      </c>
      <c r="H91" s="86">
        <v>425559</v>
      </c>
      <c r="I91" s="86">
        <v>500746</v>
      </c>
      <c r="J91" s="86">
        <v>450570</v>
      </c>
      <c r="K91" s="86">
        <v>532902</v>
      </c>
      <c r="L91" s="86">
        <v>459284</v>
      </c>
      <c r="M91" s="86">
        <v>398566</v>
      </c>
      <c r="N91" s="86">
        <v>312858</v>
      </c>
      <c r="O91" s="86">
        <v>303840</v>
      </c>
      <c r="P91" s="87">
        <f t="shared" si="44"/>
        <v>413895.8</v>
      </c>
    </row>
    <row r="92" spans="2:16">
      <c r="B92" s="4"/>
      <c r="C92" s="4"/>
      <c r="D92" s="79"/>
      <c r="E92" s="142" t="s">
        <v>92</v>
      </c>
      <c r="F92" s="86">
        <v>1959688</v>
      </c>
      <c r="G92" s="86">
        <v>2040128</v>
      </c>
      <c r="H92" s="86">
        <v>7421280</v>
      </c>
      <c r="I92" s="86">
        <v>3715427</v>
      </c>
      <c r="J92" s="86">
        <v>3667550</v>
      </c>
      <c r="K92" s="86">
        <v>3738298</v>
      </c>
      <c r="L92" s="86">
        <v>17166788</v>
      </c>
      <c r="M92" s="86">
        <v>9892260</v>
      </c>
      <c r="N92" s="86">
        <v>14519671</v>
      </c>
      <c r="O92" s="86">
        <v>9915945</v>
      </c>
      <c r="P92" s="87">
        <f t="shared" si="44"/>
        <v>7403703.5</v>
      </c>
    </row>
    <row r="93" spans="2:16">
      <c r="B93" s="4"/>
      <c r="C93" s="4"/>
      <c r="D93" s="79"/>
      <c r="E93" s="142" t="s">
        <v>431</v>
      </c>
      <c r="F93" s="86">
        <v>750377</v>
      </c>
      <c r="G93" s="86">
        <v>751739</v>
      </c>
      <c r="H93" s="86">
        <v>752349</v>
      </c>
      <c r="I93" s="86">
        <v>972584</v>
      </c>
      <c r="J93" s="86">
        <v>1000605</v>
      </c>
      <c r="K93" s="86">
        <v>310819</v>
      </c>
      <c r="L93" s="86">
        <v>645017</v>
      </c>
      <c r="M93" s="86">
        <v>678180</v>
      </c>
      <c r="N93" s="86">
        <v>657450</v>
      </c>
      <c r="O93" s="86">
        <v>821582</v>
      </c>
      <c r="P93" s="87">
        <f t="shared" si="44"/>
        <v>734070.2</v>
      </c>
    </row>
    <row r="94" spans="2:16">
      <c r="B94" s="4"/>
      <c r="C94" s="4"/>
      <c r="D94" s="79"/>
      <c r="E94" s="142" t="s">
        <v>597</v>
      </c>
      <c r="F94" s="86">
        <v>2372203</v>
      </c>
      <c r="G94" s="86">
        <v>1672200</v>
      </c>
      <c r="H94" s="86">
        <v>980630</v>
      </c>
      <c r="I94" s="86">
        <v>764956</v>
      </c>
      <c r="J94" s="86">
        <v>771856</v>
      </c>
      <c r="K94" s="86">
        <v>2504764</v>
      </c>
      <c r="L94" s="86">
        <v>2550994</v>
      </c>
      <c r="M94" s="86">
        <v>2615200</v>
      </c>
      <c r="N94" s="86">
        <v>2852800</v>
      </c>
      <c r="O94" s="86">
        <v>2852800</v>
      </c>
      <c r="P94" s="87">
        <f t="shared" si="44"/>
        <v>1993840.3</v>
      </c>
    </row>
    <row r="95" spans="2:16">
      <c r="B95" s="4"/>
      <c r="C95" s="4"/>
      <c r="D95" s="79"/>
      <c r="E95" s="142" t="s">
        <v>91</v>
      </c>
      <c r="F95" s="86">
        <v>0</v>
      </c>
      <c r="G95" s="86">
        <v>42750</v>
      </c>
      <c r="H95" s="86">
        <v>0</v>
      </c>
      <c r="I95" s="86">
        <v>271650</v>
      </c>
      <c r="J95" s="86">
        <v>0</v>
      </c>
      <c r="K95" s="86">
        <v>44050</v>
      </c>
      <c r="L95" s="86">
        <v>0</v>
      </c>
      <c r="M95" s="86">
        <v>41350</v>
      </c>
      <c r="N95" s="86">
        <v>0</v>
      </c>
      <c r="O95" s="86">
        <v>49820</v>
      </c>
      <c r="P95" s="87">
        <f t="shared" si="44"/>
        <v>44962</v>
      </c>
    </row>
    <row r="96" spans="2:16">
      <c r="B96" s="4"/>
      <c r="C96" s="4"/>
      <c r="D96" s="79"/>
      <c r="E96" s="142" t="s">
        <v>603</v>
      </c>
      <c r="F96" s="86">
        <v>0</v>
      </c>
      <c r="G96" s="86">
        <v>6000</v>
      </c>
      <c r="H96" s="86">
        <v>29630</v>
      </c>
      <c r="I96" s="86">
        <v>0</v>
      </c>
      <c r="J96" s="86">
        <v>0</v>
      </c>
      <c r="K96" s="86">
        <v>37334</v>
      </c>
      <c r="L96" s="86">
        <v>27273</v>
      </c>
      <c r="M96" s="86">
        <v>236364</v>
      </c>
      <c r="N96" s="86">
        <v>35000</v>
      </c>
      <c r="O96" s="86">
        <v>32728</v>
      </c>
      <c r="P96" s="87">
        <f t="shared" si="44"/>
        <v>40432.9</v>
      </c>
    </row>
    <row r="97" spans="2:16">
      <c r="B97" s="4"/>
      <c r="C97" s="4"/>
      <c r="D97" s="79"/>
      <c r="E97" s="142" t="s">
        <v>604</v>
      </c>
      <c r="F97" s="86">
        <v>31519</v>
      </c>
      <c r="G97" s="86">
        <v>23000</v>
      </c>
      <c r="H97" s="86">
        <v>0</v>
      </c>
      <c r="I97" s="86">
        <v>0</v>
      </c>
      <c r="J97" s="86">
        <v>0</v>
      </c>
      <c r="K97" s="86">
        <v>0</v>
      </c>
      <c r="L97" s="86">
        <v>0</v>
      </c>
      <c r="M97" s="86">
        <v>0</v>
      </c>
      <c r="N97" s="86">
        <v>0</v>
      </c>
      <c r="O97" s="86">
        <v>0</v>
      </c>
      <c r="P97" s="87">
        <f t="shared" si="44"/>
        <v>5451.9</v>
      </c>
    </row>
    <row r="98" spans="2:16">
      <c r="B98" s="4"/>
      <c r="C98" s="4"/>
      <c r="D98" s="79"/>
      <c r="E98" s="142" t="s">
        <v>456</v>
      </c>
      <c r="F98" s="86">
        <v>0</v>
      </c>
      <c r="G98" s="86">
        <v>0</v>
      </c>
      <c r="H98" s="86">
        <v>0</v>
      </c>
      <c r="I98" s="86">
        <v>0</v>
      </c>
      <c r="J98" s="86">
        <v>0</v>
      </c>
      <c r="K98" s="86">
        <v>0</v>
      </c>
      <c r="L98" s="86">
        <v>0</v>
      </c>
      <c r="M98" s="86">
        <v>0</v>
      </c>
      <c r="N98" s="86">
        <v>0</v>
      </c>
      <c r="O98" s="86">
        <v>0</v>
      </c>
      <c r="P98" s="87">
        <f t="shared" si="44"/>
        <v>0</v>
      </c>
    </row>
    <row r="99" spans="2:16">
      <c r="B99" s="4"/>
      <c r="C99" s="4"/>
      <c r="D99" s="79"/>
      <c r="E99" s="142" t="s">
        <v>605</v>
      </c>
      <c r="F99" s="86">
        <v>156500</v>
      </c>
      <c r="G99" s="86">
        <v>166500</v>
      </c>
      <c r="H99" s="86">
        <v>176800</v>
      </c>
      <c r="I99" s="86">
        <v>176300</v>
      </c>
      <c r="J99" s="86">
        <v>170430</v>
      </c>
      <c r="K99" s="86">
        <v>168430</v>
      </c>
      <c r="L99" s="86">
        <v>163930</v>
      </c>
      <c r="M99" s="86">
        <v>161300</v>
      </c>
      <c r="N99" s="86">
        <v>234430</v>
      </c>
      <c r="O99" s="86">
        <v>168430</v>
      </c>
      <c r="P99" s="87">
        <f t="shared" si="44"/>
        <v>174305</v>
      </c>
    </row>
    <row r="100" spans="2:16">
      <c r="B100" s="4"/>
      <c r="C100" s="4"/>
      <c r="D100" s="79"/>
      <c r="E100" s="142" t="s">
        <v>458</v>
      </c>
      <c r="F100" s="86">
        <v>21540</v>
      </c>
      <c r="G100" s="86">
        <v>47010</v>
      </c>
      <c r="H100" s="86">
        <v>20640</v>
      </c>
      <c r="I100" s="86">
        <v>45710</v>
      </c>
      <c r="J100" s="86">
        <v>20640</v>
      </c>
      <c r="K100" s="86">
        <v>41660</v>
      </c>
      <c r="L100" s="86">
        <v>16470</v>
      </c>
      <c r="M100" s="86">
        <v>32270</v>
      </c>
      <c r="N100" s="86">
        <v>12540</v>
      </c>
      <c r="O100" s="86">
        <v>30080</v>
      </c>
      <c r="P100" s="87">
        <f t="shared" si="44"/>
        <v>28856</v>
      </c>
    </row>
    <row r="101" spans="2:16">
      <c r="B101" s="4"/>
      <c r="C101" s="4"/>
      <c r="D101" s="79"/>
      <c r="E101" s="142" t="s">
        <v>459</v>
      </c>
      <c r="F101" s="86">
        <v>0</v>
      </c>
      <c r="G101" s="86">
        <v>0</v>
      </c>
      <c r="H101" s="86">
        <v>0</v>
      </c>
      <c r="I101" s="86">
        <v>0</v>
      </c>
      <c r="J101" s="86">
        <v>0</v>
      </c>
      <c r="K101" s="86">
        <v>0</v>
      </c>
      <c r="L101" s="86">
        <v>0</v>
      </c>
      <c r="M101" s="86">
        <v>0</v>
      </c>
      <c r="N101" s="86">
        <v>0</v>
      </c>
      <c r="O101" s="86">
        <v>0</v>
      </c>
      <c r="P101" s="87">
        <f t="shared" si="44"/>
        <v>0</v>
      </c>
    </row>
    <row r="102" spans="2:16">
      <c r="B102" s="4"/>
      <c r="C102" s="4"/>
      <c r="D102" s="4"/>
      <c r="E102" s="142" t="s">
        <v>446</v>
      </c>
      <c r="F102" s="86">
        <v>38361</v>
      </c>
      <c r="G102" s="86">
        <v>8000</v>
      </c>
      <c r="H102" s="86">
        <v>0</v>
      </c>
      <c r="I102" s="86">
        <v>206600</v>
      </c>
      <c r="J102" s="86">
        <v>44000</v>
      </c>
      <c r="K102" s="86">
        <v>6600</v>
      </c>
      <c r="L102" s="86">
        <v>6400</v>
      </c>
      <c r="M102" s="86">
        <v>6600</v>
      </c>
      <c r="N102" s="86">
        <v>847000</v>
      </c>
      <c r="O102" s="86">
        <v>6600</v>
      </c>
      <c r="P102" s="87">
        <f>AVERAGE(F102:O102)</f>
        <v>117016.1</v>
      </c>
    </row>
    <row r="103" spans="2:16">
      <c r="B103" s="4"/>
      <c r="C103" s="4"/>
      <c r="D103" s="79"/>
      <c r="E103" s="142" t="s">
        <v>606</v>
      </c>
      <c r="F103" s="86">
        <v>691769</v>
      </c>
      <c r="G103" s="86">
        <v>688346</v>
      </c>
      <c r="H103" s="86">
        <v>1248443</v>
      </c>
      <c r="I103" s="86">
        <v>1308107</v>
      </c>
      <c r="J103" s="86">
        <v>1057098</v>
      </c>
      <c r="K103" s="86">
        <v>4690921</v>
      </c>
      <c r="L103" s="86">
        <v>2375544</v>
      </c>
      <c r="M103" s="86">
        <v>3550618</v>
      </c>
      <c r="N103" s="86">
        <v>2520591</v>
      </c>
      <c r="O103" s="86">
        <v>2679255</v>
      </c>
      <c r="P103" s="87">
        <f t="shared" si="44"/>
        <v>2081069.2</v>
      </c>
    </row>
    <row r="104" spans="2:16">
      <c r="B104" s="4"/>
      <c r="C104" s="4"/>
      <c r="D104" s="5" t="s">
        <v>101</v>
      </c>
      <c r="E104" s="8"/>
      <c r="F104" s="86">
        <f t="shared" ref="F104" si="70">F105</f>
        <v>78879555</v>
      </c>
      <c r="G104" s="86">
        <f t="shared" ref="G104" si="71">G105</f>
        <v>55521235</v>
      </c>
      <c r="H104" s="86">
        <f t="shared" ref="H104" si="72">H105</f>
        <v>58556733</v>
      </c>
      <c r="I104" s="86">
        <f t="shared" ref="I104" si="73">I105</f>
        <v>130141869</v>
      </c>
      <c r="J104" s="86">
        <f t="shared" ref="J104" si="74">J105</f>
        <v>145093877</v>
      </c>
      <c r="K104" s="86">
        <f t="shared" ref="K104" si="75">K105</f>
        <v>140426639</v>
      </c>
      <c r="L104" s="86">
        <f t="shared" ref="L104" si="76">L105</f>
        <v>331709645</v>
      </c>
      <c r="M104" s="86">
        <f t="shared" ref="M104" si="77">M105</f>
        <v>389441172</v>
      </c>
      <c r="N104" s="86">
        <f t="shared" ref="N104" si="78">N105</f>
        <v>513505522</v>
      </c>
      <c r="O104" s="86">
        <f>O105</f>
        <v>390906409</v>
      </c>
      <c r="P104" s="87">
        <f t="shared" si="44"/>
        <v>223418265.59999999</v>
      </c>
    </row>
    <row r="105" spans="2:16">
      <c r="B105" s="4"/>
      <c r="C105" s="4"/>
      <c r="D105" s="80"/>
      <c r="E105" s="142" t="s">
        <v>460</v>
      </c>
      <c r="F105" s="86">
        <v>78879555</v>
      </c>
      <c r="G105" s="86">
        <v>55521235</v>
      </c>
      <c r="H105" s="86">
        <v>58556733</v>
      </c>
      <c r="I105" s="86">
        <v>130141869</v>
      </c>
      <c r="J105" s="86">
        <v>145093877</v>
      </c>
      <c r="K105" s="86">
        <v>140426639</v>
      </c>
      <c r="L105" s="86">
        <v>331709645</v>
      </c>
      <c r="M105" s="86">
        <v>389441172</v>
      </c>
      <c r="N105" s="86">
        <v>513505522</v>
      </c>
      <c r="O105" s="86">
        <v>390906409</v>
      </c>
      <c r="P105" s="87">
        <f t="shared" si="44"/>
        <v>223418265.59999999</v>
      </c>
    </row>
    <row r="106" spans="2:16">
      <c r="B106" s="4"/>
      <c r="C106" s="4"/>
      <c r="D106" s="5" t="s">
        <v>102</v>
      </c>
      <c r="E106" s="8"/>
      <c r="F106" s="86">
        <f>SUM(F107:F108)</f>
        <v>172601</v>
      </c>
      <c r="G106" s="86">
        <f t="shared" ref="G106:J106" si="79">SUM(G107:G108)</f>
        <v>83900</v>
      </c>
      <c r="H106" s="86">
        <f t="shared" si="79"/>
        <v>27300</v>
      </c>
      <c r="I106" s="86">
        <f t="shared" si="79"/>
        <v>359890</v>
      </c>
      <c r="J106" s="86">
        <f t="shared" si="79"/>
        <v>0</v>
      </c>
      <c r="K106" s="86">
        <f t="shared" ref="K106:N106" si="80">SUM(K107:K108)</f>
        <v>0</v>
      </c>
      <c r="L106" s="86">
        <f t="shared" si="80"/>
        <v>0</v>
      </c>
      <c r="M106" s="86">
        <f>SUM(M107:M108)</f>
        <v>0</v>
      </c>
      <c r="N106" s="86">
        <f t="shared" si="80"/>
        <v>0</v>
      </c>
      <c r="O106" s="86">
        <f>SUM(O107:O108)</f>
        <v>0</v>
      </c>
      <c r="P106" s="87">
        <f t="shared" si="44"/>
        <v>64369.1</v>
      </c>
    </row>
    <row r="107" spans="2:16">
      <c r="B107" s="4"/>
      <c r="C107" s="4"/>
      <c r="D107" s="4"/>
      <c r="E107" s="142" t="s">
        <v>164</v>
      </c>
      <c r="F107" s="86">
        <v>172601</v>
      </c>
      <c r="G107" s="86">
        <v>83900</v>
      </c>
      <c r="H107" s="86">
        <v>27300</v>
      </c>
      <c r="I107" s="86">
        <v>359890</v>
      </c>
      <c r="J107" s="86">
        <v>0</v>
      </c>
      <c r="K107" s="86">
        <v>0</v>
      </c>
      <c r="L107" s="86">
        <v>0</v>
      </c>
      <c r="M107" s="86">
        <v>0</v>
      </c>
      <c r="N107" s="86">
        <v>0</v>
      </c>
      <c r="O107" s="86">
        <v>0</v>
      </c>
      <c r="P107" s="87">
        <f t="shared" ref="P107:P121" si="81">AVERAGE(F107:O107)</f>
        <v>64369.1</v>
      </c>
    </row>
    <row r="108" spans="2:16">
      <c r="B108" s="4"/>
      <c r="C108" s="4"/>
      <c r="D108" s="3"/>
      <c r="E108" s="142" t="s">
        <v>461</v>
      </c>
      <c r="F108" s="86">
        <v>0</v>
      </c>
      <c r="G108" s="86">
        <v>0</v>
      </c>
      <c r="H108" s="86">
        <v>0</v>
      </c>
      <c r="I108" s="86">
        <v>0</v>
      </c>
      <c r="J108" s="86">
        <v>0</v>
      </c>
      <c r="K108" s="86">
        <v>0</v>
      </c>
      <c r="L108" s="86">
        <v>0</v>
      </c>
      <c r="M108" s="86">
        <v>0</v>
      </c>
      <c r="N108" s="86">
        <v>0</v>
      </c>
      <c r="O108" s="86">
        <v>0</v>
      </c>
      <c r="P108" s="87">
        <f t="shared" si="81"/>
        <v>0</v>
      </c>
    </row>
    <row r="109" spans="2:16">
      <c r="B109" s="4"/>
      <c r="C109" s="4"/>
      <c r="D109" s="5" t="s">
        <v>462</v>
      </c>
      <c r="E109" s="8"/>
      <c r="F109" s="86">
        <f t="shared" ref="F109:N109" si="82">SUM(F110:F111)</f>
        <v>157980</v>
      </c>
      <c r="G109" s="86">
        <f t="shared" si="82"/>
        <v>104575</v>
      </c>
      <c r="H109" s="86">
        <f t="shared" si="82"/>
        <v>54211</v>
      </c>
      <c r="I109" s="86">
        <f t="shared" si="82"/>
        <v>0</v>
      </c>
      <c r="J109" s="86">
        <f t="shared" si="82"/>
        <v>0</v>
      </c>
      <c r="K109" s="86">
        <f t="shared" si="82"/>
        <v>0</v>
      </c>
      <c r="L109" s="86">
        <f t="shared" si="82"/>
        <v>0</v>
      </c>
      <c r="M109" s="86">
        <f>SUM(M110:M111)</f>
        <v>0</v>
      </c>
      <c r="N109" s="86">
        <f t="shared" si="82"/>
        <v>0</v>
      </c>
      <c r="O109" s="86">
        <f>SUM(O110:O111)</f>
        <v>0</v>
      </c>
      <c r="P109" s="87">
        <f t="shared" si="81"/>
        <v>31676.6</v>
      </c>
    </row>
    <row r="110" spans="2:16">
      <c r="B110" s="4"/>
      <c r="C110" s="79"/>
      <c r="D110" s="79"/>
      <c r="E110" s="142" t="s">
        <v>463</v>
      </c>
      <c r="F110" s="86">
        <v>157980</v>
      </c>
      <c r="G110" s="86">
        <v>104575</v>
      </c>
      <c r="H110" s="86">
        <v>54211</v>
      </c>
      <c r="I110" s="86">
        <v>0</v>
      </c>
      <c r="J110" s="86">
        <v>0</v>
      </c>
      <c r="K110" s="86">
        <v>0</v>
      </c>
      <c r="L110" s="86">
        <v>0</v>
      </c>
      <c r="M110" s="86">
        <v>0</v>
      </c>
      <c r="N110" s="86">
        <v>0</v>
      </c>
      <c r="O110" s="86">
        <v>0</v>
      </c>
      <c r="P110" s="87">
        <f t="shared" si="81"/>
        <v>31676.6</v>
      </c>
    </row>
    <row r="111" spans="2:16">
      <c r="B111" s="4"/>
      <c r="C111" s="79"/>
      <c r="D111" s="80"/>
      <c r="E111" s="142"/>
      <c r="F111" s="86">
        <v>0</v>
      </c>
      <c r="G111" s="86">
        <v>0</v>
      </c>
      <c r="H111" s="86">
        <v>0</v>
      </c>
      <c r="I111" s="86">
        <v>0</v>
      </c>
      <c r="J111" s="86">
        <v>0</v>
      </c>
      <c r="K111" s="86">
        <v>0</v>
      </c>
      <c r="L111" s="86">
        <v>0</v>
      </c>
      <c r="M111" s="86">
        <v>0</v>
      </c>
      <c r="N111" s="86">
        <v>0</v>
      </c>
      <c r="O111" s="86">
        <v>0</v>
      </c>
      <c r="P111" s="87">
        <f t="shared" si="81"/>
        <v>0</v>
      </c>
    </row>
    <row r="112" spans="2:16">
      <c r="B112" s="4"/>
      <c r="C112" s="5" t="s">
        <v>103</v>
      </c>
      <c r="D112" s="7"/>
      <c r="E112" s="8"/>
      <c r="F112" s="86">
        <f>F113</f>
        <v>4463948</v>
      </c>
      <c r="G112" s="86">
        <f t="shared" ref="G112:N112" si="83">G113</f>
        <v>4510498</v>
      </c>
      <c r="H112" s="86">
        <f t="shared" si="83"/>
        <v>5038670</v>
      </c>
      <c r="I112" s="86">
        <f t="shared" si="83"/>
        <v>6277694</v>
      </c>
      <c r="J112" s="86">
        <f t="shared" si="83"/>
        <v>4352517</v>
      </c>
      <c r="K112" s="86">
        <f t="shared" si="83"/>
        <v>39544692</v>
      </c>
      <c r="L112" s="86">
        <f t="shared" si="83"/>
        <v>13857270</v>
      </c>
      <c r="M112" s="86">
        <f t="shared" si="83"/>
        <v>6414667</v>
      </c>
      <c r="N112" s="86">
        <f t="shared" si="83"/>
        <v>6771721</v>
      </c>
      <c r="O112" s="86">
        <f>O113</f>
        <v>16067781</v>
      </c>
      <c r="P112" s="87">
        <f t="shared" si="81"/>
        <v>10729945.800000001</v>
      </c>
    </row>
    <row r="113" spans="2:16">
      <c r="B113" s="4"/>
      <c r="C113" s="4"/>
      <c r="D113" s="5" t="s">
        <v>464</v>
      </c>
      <c r="E113" s="8"/>
      <c r="F113" s="86">
        <f>F114+F115</f>
        <v>4463948</v>
      </c>
      <c r="G113" s="86">
        <f t="shared" ref="G113:O113" si="84">G114+G115</f>
        <v>4510498</v>
      </c>
      <c r="H113" s="86">
        <f t="shared" si="84"/>
        <v>5038670</v>
      </c>
      <c r="I113" s="86">
        <f t="shared" si="84"/>
        <v>6277694</v>
      </c>
      <c r="J113" s="86">
        <f t="shared" si="84"/>
        <v>4352517</v>
      </c>
      <c r="K113" s="86">
        <f t="shared" si="84"/>
        <v>39544692</v>
      </c>
      <c r="L113" s="86">
        <f t="shared" si="84"/>
        <v>13857270</v>
      </c>
      <c r="M113" s="86">
        <f t="shared" si="84"/>
        <v>6414667</v>
      </c>
      <c r="N113" s="86">
        <f t="shared" si="84"/>
        <v>6771721</v>
      </c>
      <c r="O113" s="86">
        <f t="shared" si="84"/>
        <v>16067781</v>
      </c>
      <c r="P113" s="87">
        <f>AVERAGE(F113:O113)</f>
        <v>10729945.800000001</v>
      </c>
    </row>
    <row r="114" spans="2:16">
      <c r="B114" s="4"/>
      <c r="C114" s="4"/>
      <c r="D114" s="79"/>
      <c r="E114" s="142" t="s">
        <v>465</v>
      </c>
      <c r="F114" s="86">
        <v>2563710</v>
      </c>
      <c r="G114" s="86">
        <v>2717510</v>
      </c>
      <c r="H114" s="86">
        <v>2660623</v>
      </c>
      <c r="I114" s="86">
        <v>3081406</v>
      </c>
      <c r="J114" s="86">
        <v>3305116</v>
      </c>
      <c r="K114" s="86">
        <v>3322502</v>
      </c>
      <c r="L114" s="86">
        <v>3316293</v>
      </c>
      <c r="M114" s="86">
        <v>3627476</v>
      </c>
      <c r="N114" s="86">
        <v>4367904</v>
      </c>
      <c r="O114" s="86">
        <v>4944124</v>
      </c>
      <c r="P114" s="87">
        <f>AVERAGE(F114:O114)</f>
        <v>3390666.4</v>
      </c>
    </row>
    <row r="115" spans="2:16">
      <c r="B115" s="4"/>
      <c r="C115" s="3"/>
      <c r="D115" s="3"/>
      <c r="E115" s="142" t="s">
        <v>607</v>
      </c>
      <c r="F115" s="86">
        <v>1900238</v>
      </c>
      <c r="G115" s="86">
        <v>1792988</v>
      </c>
      <c r="H115" s="86">
        <v>2378047</v>
      </c>
      <c r="I115" s="86">
        <v>3196288</v>
      </c>
      <c r="J115" s="86">
        <v>1047401</v>
      </c>
      <c r="K115" s="86">
        <v>36222190</v>
      </c>
      <c r="L115" s="86">
        <v>10540977</v>
      </c>
      <c r="M115" s="86">
        <v>2787191</v>
      </c>
      <c r="N115" s="86">
        <v>2403817</v>
      </c>
      <c r="O115" s="86">
        <v>11123657</v>
      </c>
      <c r="P115" s="87">
        <f t="shared" si="81"/>
        <v>7339279.4000000004</v>
      </c>
    </row>
    <row r="116" spans="2:16">
      <c r="B116" s="4"/>
      <c r="C116" s="5" t="s">
        <v>107</v>
      </c>
      <c r="D116" s="7"/>
      <c r="E116" s="8"/>
      <c r="F116" s="86">
        <f t="shared" ref="F116:I116" si="85">F117</f>
        <v>16660</v>
      </c>
      <c r="G116" s="86">
        <f t="shared" si="85"/>
        <v>363483840</v>
      </c>
      <c r="H116" s="86">
        <f t="shared" si="85"/>
        <v>66229764</v>
      </c>
      <c r="I116" s="86">
        <f t="shared" si="85"/>
        <v>2266853</v>
      </c>
      <c r="J116" s="86">
        <f>J117</f>
        <v>0</v>
      </c>
      <c r="K116" s="86">
        <f t="shared" ref="K116:N116" si="86">K117</f>
        <v>75141547</v>
      </c>
      <c r="L116" s="86">
        <f t="shared" si="86"/>
        <v>0</v>
      </c>
      <c r="M116" s="86">
        <f t="shared" si="86"/>
        <v>0</v>
      </c>
      <c r="N116" s="86">
        <f t="shared" si="86"/>
        <v>0</v>
      </c>
      <c r="O116" s="86">
        <f>O117</f>
        <v>0</v>
      </c>
      <c r="P116" s="87">
        <f t="shared" si="81"/>
        <v>50713866.399999999</v>
      </c>
    </row>
    <row r="117" spans="2:16">
      <c r="B117" s="4"/>
      <c r="C117" s="4"/>
      <c r="D117" s="2" t="s">
        <v>109</v>
      </c>
      <c r="E117" s="1"/>
      <c r="F117" s="86">
        <f>SUM(F118:F120)</f>
        <v>16660</v>
      </c>
      <c r="G117" s="86">
        <f>SUM(G118:G120)</f>
        <v>363483840</v>
      </c>
      <c r="H117" s="86">
        <f>SUM(H118:H120)</f>
        <v>66229764</v>
      </c>
      <c r="I117" s="86">
        <f>SUM(I118:I120)</f>
        <v>2266853</v>
      </c>
      <c r="J117" s="86">
        <f>SUM(J118:J120)</f>
        <v>0</v>
      </c>
      <c r="K117" s="86">
        <f t="shared" ref="K117:N117" si="87">SUM(K118:K120)</f>
        <v>75141547</v>
      </c>
      <c r="L117" s="86">
        <f t="shared" si="87"/>
        <v>0</v>
      </c>
      <c r="M117" s="86">
        <f t="shared" si="87"/>
        <v>0</v>
      </c>
      <c r="N117" s="86">
        <f t="shared" si="87"/>
        <v>0</v>
      </c>
      <c r="O117" s="86">
        <f>SUM(O118:O120)</f>
        <v>0</v>
      </c>
      <c r="P117" s="87">
        <f t="shared" si="81"/>
        <v>50713866.399999999</v>
      </c>
    </row>
    <row r="118" spans="2:16">
      <c r="B118" s="4"/>
      <c r="C118" s="4"/>
      <c r="D118" s="4"/>
      <c r="E118" s="1" t="s">
        <v>608</v>
      </c>
      <c r="F118" s="86">
        <v>0</v>
      </c>
      <c r="G118" s="86">
        <v>363483840</v>
      </c>
      <c r="H118" s="86">
        <v>66229764</v>
      </c>
      <c r="I118" s="86">
        <v>2266853</v>
      </c>
      <c r="J118" s="86">
        <v>0</v>
      </c>
      <c r="K118" s="86">
        <v>75141547</v>
      </c>
      <c r="L118" s="86">
        <v>0</v>
      </c>
      <c r="M118" s="86">
        <v>0</v>
      </c>
      <c r="N118" s="86">
        <v>0</v>
      </c>
      <c r="O118" s="86">
        <v>0</v>
      </c>
      <c r="P118" s="86">
        <f t="shared" si="81"/>
        <v>50712200.399999999</v>
      </c>
    </row>
    <row r="119" spans="2:16">
      <c r="B119" s="4"/>
      <c r="C119" s="4"/>
      <c r="D119" s="4"/>
      <c r="E119" s="1" t="s">
        <v>619</v>
      </c>
      <c r="F119" s="86">
        <v>16660</v>
      </c>
      <c r="G119" s="86">
        <v>0</v>
      </c>
      <c r="H119" s="86">
        <v>0</v>
      </c>
      <c r="I119" s="86">
        <v>0</v>
      </c>
      <c r="J119" s="86">
        <v>0</v>
      </c>
      <c r="K119" s="86">
        <v>0</v>
      </c>
      <c r="L119" s="86">
        <v>0</v>
      </c>
      <c r="M119" s="86">
        <v>0</v>
      </c>
      <c r="N119" s="86">
        <v>0</v>
      </c>
      <c r="O119" s="86">
        <v>0</v>
      </c>
      <c r="P119" s="86">
        <f>AVERAGE(F119:O119)</f>
        <v>1666</v>
      </c>
    </row>
    <row r="120" spans="2:16">
      <c r="B120" s="4"/>
      <c r="C120" s="4"/>
      <c r="D120" s="3"/>
      <c r="E120" s="1" t="s">
        <v>515</v>
      </c>
      <c r="F120" s="86">
        <v>0</v>
      </c>
      <c r="G120" s="86">
        <v>0</v>
      </c>
      <c r="H120" s="86">
        <v>0</v>
      </c>
      <c r="I120" s="86">
        <v>0</v>
      </c>
      <c r="J120" s="86">
        <v>0</v>
      </c>
      <c r="K120" s="86">
        <v>0</v>
      </c>
      <c r="L120" s="86">
        <v>0</v>
      </c>
      <c r="M120" s="86">
        <v>0</v>
      </c>
      <c r="N120" s="86">
        <v>0</v>
      </c>
      <c r="O120" s="86">
        <v>0</v>
      </c>
      <c r="P120" s="86">
        <f t="shared" si="81"/>
        <v>0</v>
      </c>
    </row>
    <row r="121" spans="2:16">
      <c r="B121" s="5" t="s">
        <v>112</v>
      </c>
      <c r="C121" s="72"/>
      <c r="D121" s="72"/>
      <c r="E121" s="6"/>
      <c r="F121" s="150">
        <f t="shared" ref="F121:O121" si="88">F5-F35</f>
        <v>-49591128</v>
      </c>
      <c r="G121" s="150">
        <f t="shared" si="88"/>
        <v>-170219709</v>
      </c>
      <c r="H121" s="150">
        <f t="shared" si="88"/>
        <v>-47703827</v>
      </c>
      <c r="I121" s="150">
        <f t="shared" si="88"/>
        <v>-49458479</v>
      </c>
      <c r="J121" s="150">
        <f t="shared" si="88"/>
        <v>-41359641</v>
      </c>
      <c r="K121" s="150">
        <f>K5-K35</f>
        <v>-154789750</v>
      </c>
      <c r="L121" s="150">
        <f t="shared" si="88"/>
        <v>-36029202</v>
      </c>
      <c r="M121" s="150">
        <f t="shared" si="88"/>
        <v>-37745561</v>
      </c>
      <c r="N121" s="150">
        <f t="shared" si="88"/>
        <v>-101071072</v>
      </c>
      <c r="O121" s="150">
        <f t="shared" si="88"/>
        <v>-59562535</v>
      </c>
      <c r="P121" s="100">
        <f t="shared" si="81"/>
        <v>-74753090.400000006</v>
      </c>
    </row>
    <row r="122" spans="2:16">
      <c r="B122" s="102" t="s">
        <v>522</v>
      </c>
      <c r="C122" s="102"/>
      <c r="D122" s="102"/>
      <c r="E122" s="102"/>
      <c r="F122" s="103">
        <v>190236030</v>
      </c>
      <c r="G122" s="103">
        <v>525072793</v>
      </c>
      <c r="H122" s="103">
        <v>228906571</v>
      </c>
      <c r="I122" s="103">
        <v>275120413</v>
      </c>
      <c r="J122" s="103">
        <v>287741207</v>
      </c>
      <c r="K122" s="103">
        <v>390874183</v>
      </c>
      <c r="L122" s="103">
        <v>507845824</v>
      </c>
      <c r="M122" s="103">
        <v>543887736</v>
      </c>
      <c r="N122" s="103">
        <v>694576672</v>
      </c>
      <c r="O122" s="103">
        <v>564428515</v>
      </c>
      <c r="P122" s="103"/>
    </row>
    <row r="123" spans="2:16">
      <c r="B123" s="102" t="s">
        <v>519</v>
      </c>
      <c r="C123" s="102"/>
      <c r="D123" s="102"/>
      <c r="E123" s="102"/>
      <c r="F123" s="103" t="str">
        <f>IF(F35=F122,"OK","NG")</f>
        <v>OK</v>
      </c>
      <c r="G123" s="103" t="str">
        <f t="shared" ref="G123:O123" si="89">IF(G35=G122,"OK","NG")</f>
        <v>OK</v>
      </c>
      <c r="H123" s="103" t="str">
        <f t="shared" si="89"/>
        <v>OK</v>
      </c>
      <c r="I123" s="103" t="str">
        <f t="shared" si="89"/>
        <v>OK</v>
      </c>
      <c r="J123" s="103" t="str">
        <f t="shared" si="89"/>
        <v>OK</v>
      </c>
      <c r="K123" s="103" t="str">
        <f t="shared" si="89"/>
        <v>OK</v>
      </c>
      <c r="L123" s="103" t="str">
        <f t="shared" si="89"/>
        <v>OK</v>
      </c>
      <c r="M123" s="103" t="str">
        <f t="shared" si="89"/>
        <v>OK</v>
      </c>
      <c r="N123" s="103" t="str">
        <f t="shared" si="89"/>
        <v>OK</v>
      </c>
      <c r="O123" s="103" t="str">
        <f t="shared" si="89"/>
        <v>OK</v>
      </c>
      <c r="P123" s="103"/>
    </row>
    <row r="125" spans="2:16">
      <c r="B125" t="s">
        <v>113</v>
      </c>
      <c r="O125"/>
      <c r="P125" s="24" t="s">
        <v>182</v>
      </c>
    </row>
    <row r="126" spans="2:16">
      <c r="B126" s="11" t="s">
        <v>1</v>
      </c>
      <c r="C126" s="11" t="s">
        <v>2</v>
      </c>
      <c r="D126" s="12" t="s">
        <v>3</v>
      </c>
      <c r="E126" s="84" t="s">
        <v>474</v>
      </c>
      <c r="F126" s="76" t="s">
        <v>11</v>
      </c>
      <c r="G126" s="77"/>
      <c r="H126" s="77"/>
      <c r="I126" s="77"/>
      <c r="J126" s="78"/>
      <c r="K126" s="78"/>
      <c r="L126" s="78"/>
      <c r="M126" s="78"/>
      <c r="N126" s="78"/>
      <c r="O126" s="78"/>
      <c r="P126" s="78" t="s">
        <v>530</v>
      </c>
    </row>
    <row r="127" spans="2:16">
      <c r="B127" s="17"/>
      <c r="C127" s="17"/>
      <c r="D127" s="18"/>
      <c r="E127" s="17"/>
      <c r="F127" s="35" t="s">
        <v>12</v>
      </c>
      <c r="G127" s="35" t="s">
        <v>13</v>
      </c>
      <c r="H127" s="35" t="s">
        <v>591</v>
      </c>
      <c r="I127" s="35" t="s">
        <v>590</v>
      </c>
      <c r="J127" s="35" t="s">
        <v>575</v>
      </c>
      <c r="K127" s="35" t="s">
        <v>589</v>
      </c>
      <c r="L127" s="35" t="s">
        <v>19</v>
      </c>
      <c r="M127" s="35" t="s">
        <v>20</v>
      </c>
      <c r="N127" s="35" t="s">
        <v>588</v>
      </c>
      <c r="O127" s="35" t="s">
        <v>594</v>
      </c>
      <c r="P127" s="35"/>
    </row>
    <row r="128" spans="2:16">
      <c r="B128" s="5" t="s">
        <v>114</v>
      </c>
      <c r="C128" s="7"/>
      <c r="D128" s="7"/>
      <c r="E128" s="8"/>
      <c r="F128" s="86">
        <f t="shared" ref="F128:L128" si="90">SUM(F129,F132,F135,F138,F141)</f>
        <v>252892330</v>
      </c>
      <c r="G128" s="86">
        <f t="shared" si="90"/>
        <v>197980758</v>
      </c>
      <c r="H128" s="86">
        <f t="shared" si="90"/>
        <v>1414702032</v>
      </c>
      <c r="I128" s="86">
        <f t="shared" si="90"/>
        <v>2419880399</v>
      </c>
      <c r="J128" s="86">
        <f>SUM(J129,J132,J135,J138,J141)</f>
        <v>3335339312</v>
      </c>
      <c r="K128" s="86">
        <f t="shared" si="90"/>
        <v>2676012036</v>
      </c>
      <c r="L128" s="86">
        <f t="shared" si="90"/>
        <v>138363434</v>
      </c>
      <c r="M128" s="86">
        <f>SUM(M129,M132,M135,M138,M141)</f>
        <v>323524171</v>
      </c>
      <c r="N128" s="86">
        <f>SUM(N129,N132,N135,N138,N141)</f>
        <v>110419887</v>
      </c>
      <c r="O128" s="86">
        <f>SUM(O129,O132,O135,O138,O141)</f>
        <v>212967818</v>
      </c>
      <c r="P128" s="87">
        <f t="shared" ref="P128:P143" si="91">AVERAGE(F128:O128)</f>
        <v>1108208217.7</v>
      </c>
    </row>
    <row r="129" spans="2:16">
      <c r="B129" s="4"/>
      <c r="C129" s="5" t="s">
        <v>115</v>
      </c>
      <c r="D129" s="7"/>
      <c r="E129" s="8"/>
      <c r="F129" s="86">
        <f t="shared" ref="F129:N130" si="92">F130</f>
        <v>24700000</v>
      </c>
      <c r="G129" s="86">
        <f t="shared" si="92"/>
        <v>2000000</v>
      </c>
      <c r="H129" s="86">
        <f t="shared" si="92"/>
        <v>17500000</v>
      </c>
      <c r="I129" s="86">
        <f t="shared" si="92"/>
        <v>61700000</v>
      </c>
      <c r="J129" s="86">
        <f t="shared" si="92"/>
        <v>66600000</v>
      </c>
      <c r="K129" s="86">
        <f t="shared" si="92"/>
        <v>26700000</v>
      </c>
      <c r="L129" s="86">
        <f t="shared" si="92"/>
        <v>109400000</v>
      </c>
      <c r="M129" s="86">
        <f>M130</f>
        <v>143100000</v>
      </c>
      <c r="N129" s="86">
        <f t="shared" si="92"/>
        <v>57100000</v>
      </c>
      <c r="O129" s="86">
        <f>O130</f>
        <v>136400000</v>
      </c>
      <c r="P129" s="87">
        <f t="shared" si="91"/>
        <v>64520000</v>
      </c>
    </row>
    <row r="130" spans="2:16">
      <c r="B130" s="4"/>
      <c r="C130" s="4"/>
      <c r="D130" s="5" t="s">
        <v>115</v>
      </c>
      <c r="E130" s="8"/>
      <c r="F130" s="86">
        <f t="shared" si="92"/>
        <v>24700000</v>
      </c>
      <c r="G130" s="86">
        <f t="shared" si="92"/>
        <v>2000000</v>
      </c>
      <c r="H130" s="86">
        <f t="shared" si="92"/>
        <v>17500000</v>
      </c>
      <c r="I130" s="86">
        <f t="shared" si="92"/>
        <v>61700000</v>
      </c>
      <c r="J130" s="86">
        <f t="shared" si="92"/>
        <v>66600000</v>
      </c>
      <c r="K130" s="86">
        <f t="shared" si="92"/>
        <v>26700000</v>
      </c>
      <c r="L130" s="86">
        <f>L131</f>
        <v>109400000</v>
      </c>
      <c r="M130" s="86">
        <f>M131</f>
        <v>143100000</v>
      </c>
      <c r="N130" s="86">
        <f>N131</f>
        <v>57100000</v>
      </c>
      <c r="O130" s="86">
        <f>O131</f>
        <v>136400000</v>
      </c>
      <c r="P130" s="87">
        <f t="shared" si="91"/>
        <v>64520000</v>
      </c>
    </row>
    <row r="131" spans="2:16">
      <c r="B131" s="4"/>
      <c r="C131" s="80"/>
      <c r="D131" s="3"/>
      <c r="E131" s="144" t="s">
        <v>115</v>
      </c>
      <c r="F131" s="86">
        <v>24700000</v>
      </c>
      <c r="G131" s="86">
        <v>2000000</v>
      </c>
      <c r="H131" s="86">
        <v>17500000</v>
      </c>
      <c r="I131" s="86">
        <v>61700000</v>
      </c>
      <c r="J131" s="86">
        <v>66600000</v>
      </c>
      <c r="K131" s="86">
        <v>26700000</v>
      </c>
      <c r="L131" s="86">
        <v>109400000</v>
      </c>
      <c r="M131" s="86">
        <v>143100000</v>
      </c>
      <c r="N131" s="86">
        <v>57100000</v>
      </c>
      <c r="O131" s="86">
        <v>136400000</v>
      </c>
      <c r="P131" s="87">
        <f t="shared" si="91"/>
        <v>64520000</v>
      </c>
    </row>
    <row r="132" spans="2:16">
      <c r="B132" s="4"/>
      <c r="C132" s="79" t="s">
        <v>472</v>
      </c>
      <c r="D132" s="70"/>
      <c r="E132" s="7"/>
      <c r="F132" s="86">
        <f t="shared" ref="F132:N133" si="93">F133</f>
        <v>29372681</v>
      </c>
      <c r="G132" s="86">
        <f t="shared" si="93"/>
        <v>29659758</v>
      </c>
      <c r="H132" s="86">
        <f t="shared" si="93"/>
        <v>270000032</v>
      </c>
      <c r="I132" s="86">
        <f t="shared" si="93"/>
        <v>479069399</v>
      </c>
      <c r="J132" s="86">
        <f t="shared" si="93"/>
        <v>764900131</v>
      </c>
      <c r="K132" s="86">
        <f t="shared" si="93"/>
        <v>733170036</v>
      </c>
      <c r="L132" s="86">
        <f t="shared" si="93"/>
        <v>3283434</v>
      </c>
      <c r="M132" s="86">
        <f>M133</f>
        <v>35086328</v>
      </c>
      <c r="N132" s="86">
        <f t="shared" si="93"/>
        <v>8630000</v>
      </c>
      <c r="O132" s="86">
        <f>O133</f>
        <v>11667818</v>
      </c>
      <c r="P132" s="87">
        <f t="shared" si="91"/>
        <v>236483961.69999999</v>
      </c>
    </row>
    <row r="133" spans="2:16">
      <c r="B133" s="4"/>
      <c r="C133" s="79"/>
      <c r="D133" s="79" t="s">
        <v>472</v>
      </c>
      <c r="E133" s="7"/>
      <c r="F133" s="86">
        <f t="shared" si="93"/>
        <v>29372681</v>
      </c>
      <c r="G133" s="86">
        <f t="shared" si="93"/>
        <v>29659758</v>
      </c>
      <c r="H133" s="86">
        <f t="shared" si="93"/>
        <v>270000032</v>
      </c>
      <c r="I133" s="86">
        <f t="shared" si="93"/>
        <v>479069399</v>
      </c>
      <c r="J133" s="86">
        <f t="shared" si="93"/>
        <v>764900131</v>
      </c>
      <c r="K133" s="86">
        <f t="shared" si="93"/>
        <v>733170036</v>
      </c>
      <c r="L133" s="86">
        <f t="shared" si="93"/>
        <v>3283434</v>
      </c>
      <c r="M133" s="86">
        <f t="shared" si="93"/>
        <v>35086328</v>
      </c>
      <c r="N133" s="86">
        <f t="shared" si="93"/>
        <v>8630000</v>
      </c>
      <c r="O133" s="86">
        <f>O134</f>
        <v>11667818</v>
      </c>
      <c r="P133" s="87">
        <f t="shared" si="91"/>
        <v>236483961.69999999</v>
      </c>
    </row>
    <row r="134" spans="2:16">
      <c r="B134" s="4"/>
      <c r="C134" s="79"/>
      <c r="D134" s="3"/>
      <c r="E134" s="146" t="s">
        <v>472</v>
      </c>
      <c r="F134" s="86">
        <v>29372681</v>
      </c>
      <c r="G134" s="86">
        <v>29659758</v>
      </c>
      <c r="H134" s="86">
        <v>270000032</v>
      </c>
      <c r="I134" s="86">
        <v>479069399</v>
      </c>
      <c r="J134" s="86">
        <v>764900131</v>
      </c>
      <c r="K134" s="86">
        <v>733170036</v>
      </c>
      <c r="L134" s="86">
        <v>3283434</v>
      </c>
      <c r="M134" s="86">
        <v>35086328</v>
      </c>
      <c r="N134" s="86">
        <v>8630000</v>
      </c>
      <c r="O134" s="86">
        <v>11667818</v>
      </c>
      <c r="P134" s="87">
        <f t="shared" si="91"/>
        <v>236483961.69999999</v>
      </c>
    </row>
    <row r="135" spans="2:16">
      <c r="B135" s="4"/>
      <c r="C135" s="5" t="s">
        <v>467</v>
      </c>
      <c r="D135" s="7"/>
      <c r="E135" s="8"/>
      <c r="F135" s="86">
        <f t="shared" ref="F135:N136" si="94">F136</f>
        <v>136932000</v>
      </c>
      <c r="G135" s="86">
        <f t="shared" si="94"/>
        <v>166321000</v>
      </c>
      <c r="H135" s="86">
        <f t="shared" si="94"/>
        <v>1123530000</v>
      </c>
      <c r="I135" s="86">
        <f t="shared" si="94"/>
        <v>1879111000</v>
      </c>
      <c r="J135" s="86">
        <f t="shared" si="94"/>
        <v>2461006000</v>
      </c>
      <c r="K135" s="86">
        <f t="shared" si="94"/>
        <v>1916142000</v>
      </c>
      <c r="L135" s="86">
        <f t="shared" si="94"/>
        <v>25680000</v>
      </c>
      <c r="M135" s="86">
        <f t="shared" si="94"/>
        <v>133047000</v>
      </c>
      <c r="N135" s="86">
        <f t="shared" si="94"/>
        <v>2629187</v>
      </c>
      <c r="O135" s="86">
        <f>O136</f>
        <v>64900000</v>
      </c>
      <c r="P135" s="87">
        <f t="shared" si="91"/>
        <v>790929818.70000005</v>
      </c>
    </row>
    <row r="136" spans="2:16">
      <c r="B136" s="4"/>
      <c r="C136" s="4"/>
      <c r="D136" s="5" t="s">
        <v>467</v>
      </c>
      <c r="E136" s="8"/>
      <c r="F136" s="86">
        <f t="shared" si="94"/>
        <v>136932000</v>
      </c>
      <c r="G136" s="86">
        <f t="shared" si="94"/>
        <v>166321000</v>
      </c>
      <c r="H136" s="86">
        <f t="shared" si="94"/>
        <v>1123530000</v>
      </c>
      <c r="I136" s="86">
        <f t="shared" si="94"/>
        <v>1879111000</v>
      </c>
      <c r="J136" s="86">
        <f t="shared" si="94"/>
        <v>2461006000</v>
      </c>
      <c r="K136" s="86">
        <f t="shared" si="94"/>
        <v>1916142000</v>
      </c>
      <c r="L136" s="86">
        <f t="shared" si="94"/>
        <v>25680000</v>
      </c>
      <c r="M136" s="86">
        <f t="shared" si="94"/>
        <v>133047000</v>
      </c>
      <c r="N136" s="86">
        <f t="shared" si="94"/>
        <v>2629187</v>
      </c>
      <c r="O136" s="86">
        <f>O137</f>
        <v>64900000</v>
      </c>
      <c r="P136" s="87">
        <f t="shared" si="91"/>
        <v>790929818.70000005</v>
      </c>
    </row>
    <row r="137" spans="2:16">
      <c r="B137" s="4"/>
      <c r="C137" s="80"/>
      <c r="D137" s="3"/>
      <c r="E137" s="144" t="s">
        <v>467</v>
      </c>
      <c r="F137" s="86">
        <v>136932000</v>
      </c>
      <c r="G137" s="86">
        <v>166321000</v>
      </c>
      <c r="H137" s="86">
        <v>1123530000</v>
      </c>
      <c r="I137" s="86">
        <v>1879111000</v>
      </c>
      <c r="J137" s="86">
        <v>2461006000</v>
      </c>
      <c r="K137" s="86">
        <v>1916142000</v>
      </c>
      <c r="L137" s="86">
        <v>25680000</v>
      </c>
      <c r="M137" s="86">
        <v>133047000</v>
      </c>
      <c r="N137" s="86">
        <v>2629187</v>
      </c>
      <c r="O137" s="86">
        <v>64900000</v>
      </c>
      <c r="P137" s="87">
        <f t="shared" si="91"/>
        <v>790929818.70000005</v>
      </c>
    </row>
    <row r="138" spans="2:16">
      <c r="B138" s="4"/>
      <c r="C138" s="79" t="s">
        <v>473</v>
      </c>
      <c r="D138" s="70"/>
      <c r="E138" s="7"/>
      <c r="F138" s="86">
        <f t="shared" ref="F138:N139" si="95">F139</f>
        <v>61887649</v>
      </c>
      <c r="G138" s="86">
        <f>G139</f>
        <v>0</v>
      </c>
      <c r="H138" s="86">
        <f t="shared" si="95"/>
        <v>3672000</v>
      </c>
      <c r="I138" s="86">
        <f t="shared" si="95"/>
        <v>0</v>
      </c>
      <c r="J138" s="86">
        <f t="shared" si="95"/>
        <v>42833181</v>
      </c>
      <c r="K138" s="86">
        <f t="shared" si="95"/>
        <v>0</v>
      </c>
      <c r="L138" s="86">
        <f t="shared" si="95"/>
        <v>0</v>
      </c>
      <c r="M138" s="86">
        <f t="shared" si="95"/>
        <v>10298316</v>
      </c>
      <c r="N138" s="86">
        <f t="shared" si="95"/>
        <v>42060700</v>
      </c>
      <c r="O138" s="86">
        <f>O139</f>
        <v>0</v>
      </c>
      <c r="P138" s="87">
        <f t="shared" si="91"/>
        <v>16075184.6</v>
      </c>
    </row>
    <row r="139" spans="2:16">
      <c r="B139" s="4"/>
      <c r="C139" s="79"/>
      <c r="D139" s="79" t="s">
        <v>473</v>
      </c>
      <c r="E139" s="7"/>
      <c r="F139" s="86">
        <f t="shared" si="95"/>
        <v>61887649</v>
      </c>
      <c r="G139" s="86">
        <f>G140</f>
        <v>0</v>
      </c>
      <c r="H139" s="86">
        <f t="shared" si="95"/>
        <v>3672000</v>
      </c>
      <c r="I139" s="86">
        <f t="shared" si="95"/>
        <v>0</v>
      </c>
      <c r="J139" s="86">
        <f t="shared" si="95"/>
        <v>42833181</v>
      </c>
      <c r="K139" s="86">
        <f t="shared" si="95"/>
        <v>0</v>
      </c>
      <c r="L139" s="86">
        <f t="shared" si="95"/>
        <v>0</v>
      </c>
      <c r="M139" s="86">
        <f t="shared" si="95"/>
        <v>10298316</v>
      </c>
      <c r="N139" s="86">
        <f t="shared" si="95"/>
        <v>42060700</v>
      </c>
      <c r="O139" s="86">
        <f>O140</f>
        <v>0</v>
      </c>
      <c r="P139" s="87">
        <f t="shared" si="91"/>
        <v>16075184.6</v>
      </c>
    </row>
    <row r="140" spans="2:16">
      <c r="B140" s="4"/>
      <c r="C140" s="79"/>
      <c r="D140" s="3"/>
      <c r="E140" s="146" t="s">
        <v>621</v>
      </c>
      <c r="F140" s="86">
        <v>61887649</v>
      </c>
      <c r="G140" s="86">
        <v>0</v>
      </c>
      <c r="H140" s="86">
        <v>3672000</v>
      </c>
      <c r="I140" s="86">
        <v>0</v>
      </c>
      <c r="J140" s="86">
        <v>42833181</v>
      </c>
      <c r="K140" s="86">
        <v>0</v>
      </c>
      <c r="L140" s="86">
        <v>0</v>
      </c>
      <c r="M140" s="86">
        <v>10298316</v>
      </c>
      <c r="N140" s="86">
        <v>42060700</v>
      </c>
      <c r="O140" s="86">
        <v>0</v>
      </c>
      <c r="P140" s="87">
        <f t="shared" si="91"/>
        <v>16075184.6</v>
      </c>
    </row>
    <row r="141" spans="2:16">
      <c r="B141" s="4"/>
      <c r="C141" s="5" t="s">
        <v>116</v>
      </c>
      <c r="D141" s="7"/>
      <c r="E141" s="8"/>
      <c r="F141" s="86">
        <f t="shared" ref="F141:N142" si="96">F142</f>
        <v>0</v>
      </c>
      <c r="G141" s="86">
        <f t="shared" si="96"/>
        <v>0</v>
      </c>
      <c r="H141" s="86">
        <f t="shared" si="96"/>
        <v>0</v>
      </c>
      <c r="I141" s="86">
        <f t="shared" si="96"/>
        <v>0</v>
      </c>
      <c r="J141" s="86">
        <f t="shared" si="96"/>
        <v>0</v>
      </c>
      <c r="K141" s="86">
        <f t="shared" si="96"/>
        <v>0</v>
      </c>
      <c r="L141" s="86">
        <f t="shared" si="96"/>
        <v>0</v>
      </c>
      <c r="M141" s="86">
        <f t="shared" si="96"/>
        <v>1992527</v>
      </c>
      <c r="N141" s="86">
        <f t="shared" si="96"/>
        <v>0</v>
      </c>
      <c r="O141" s="86">
        <f>O142</f>
        <v>0</v>
      </c>
      <c r="P141" s="87">
        <f t="shared" si="91"/>
        <v>199252.7</v>
      </c>
    </row>
    <row r="142" spans="2:16">
      <c r="B142" s="79"/>
      <c r="C142" s="79"/>
      <c r="D142" s="5" t="s">
        <v>116</v>
      </c>
      <c r="E142" s="8"/>
      <c r="F142" s="86">
        <f t="shared" si="96"/>
        <v>0</v>
      </c>
      <c r="G142" s="86">
        <f t="shared" si="96"/>
        <v>0</v>
      </c>
      <c r="H142" s="86">
        <f t="shared" si="96"/>
        <v>0</v>
      </c>
      <c r="I142" s="86">
        <f t="shared" si="96"/>
        <v>0</v>
      </c>
      <c r="J142" s="86">
        <f t="shared" si="96"/>
        <v>0</v>
      </c>
      <c r="K142" s="86">
        <f t="shared" si="96"/>
        <v>0</v>
      </c>
      <c r="L142" s="86">
        <f>L143</f>
        <v>0</v>
      </c>
      <c r="M142" s="86">
        <f t="shared" si="96"/>
        <v>1992527</v>
      </c>
      <c r="N142" s="86">
        <f t="shared" si="96"/>
        <v>0</v>
      </c>
      <c r="O142" s="86">
        <f>O143</f>
        <v>0</v>
      </c>
      <c r="P142" s="87">
        <f t="shared" si="91"/>
        <v>199252.7</v>
      </c>
    </row>
    <row r="143" spans="2:16">
      <c r="B143" s="79"/>
      <c r="C143" s="79"/>
      <c r="D143" s="4"/>
      <c r="E143" s="145" t="s">
        <v>622</v>
      </c>
      <c r="F143" s="150">
        <v>0</v>
      </c>
      <c r="G143" s="150">
        <v>0</v>
      </c>
      <c r="H143" s="150">
        <v>0</v>
      </c>
      <c r="I143" s="150">
        <v>0</v>
      </c>
      <c r="J143" s="150">
        <v>0</v>
      </c>
      <c r="K143" s="150">
        <v>0</v>
      </c>
      <c r="L143" s="150">
        <v>0</v>
      </c>
      <c r="M143" s="150">
        <v>1992527</v>
      </c>
      <c r="N143" s="150">
        <v>0</v>
      </c>
      <c r="O143" s="150">
        <v>0</v>
      </c>
      <c r="P143" s="100">
        <f t="shared" si="91"/>
        <v>199252.7</v>
      </c>
    </row>
    <row r="144" spans="2:16">
      <c r="B144" s="112" t="s">
        <v>523</v>
      </c>
      <c r="C144" s="108"/>
      <c r="D144" s="108"/>
      <c r="E144" s="108"/>
      <c r="F144" s="109">
        <v>252892330</v>
      </c>
      <c r="G144" s="109">
        <v>197980758</v>
      </c>
      <c r="H144" s="109">
        <v>1414702032</v>
      </c>
      <c r="I144" s="109">
        <v>2419880399</v>
      </c>
      <c r="J144" s="109">
        <v>3335339312</v>
      </c>
      <c r="K144" s="109">
        <v>2676012036</v>
      </c>
      <c r="L144" s="109">
        <v>138363434</v>
      </c>
      <c r="M144" s="109">
        <v>323524171</v>
      </c>
      <c r="N144" s="109">
        <v>110419887</v>
      </c>
      <c r="O144" s="109">
        <v>212967818</v>
      </c>
      <c r="P144" s="109"/>
    </row>
    <row r="145" spans="2:16">
      <c r="B145" s="106" t="s">
        <v>519</v>
      </c>
      <c r="C145" s="107"/>
      <c r="D145" s="107"/>
      <c r="E145" s="107"/>
      <c r="F145" s="111" t="str">
        <f>IF(F128=F144,"OK","NG")</f>
        <v>OK</v>
      </c>
      <c r="G145" s="111" t="str">
        <f t="shared" ref="G145:O145" si="97">IF(G128=G144,"OK","NG")</f>
        <v>OK</v>
      </c>
      <c r="H145" s="111" t="str">
        <f t="shared" si="97"/>
        <v>OK</v>
      </c>
      <c r="I145" s="111" t="str">
        <f t="shared" si="97"/>
        <v>OK</v>
      </c>
      <c r="J145" s="111" t="str">
        <f t="shared" si="97"/>
        <v>OK</v>
      </c>
      <c r="K145" s="111" t="str">
        <f t="shared" si="97"/>
        <v>OK</v>
      </c>
      <c r="L145" s="111" t="str">
        <f t="shared" si="97"/>
        <v>OK</v>
      </c>
      <c r="M145" s="111" t="str">
        <f t="shared" si="97"/>
        <v>OK</v>
      </c>
      <c r="N145" s="111" t="str">
        <f t="shared" si="97"/>
        <v>OK</v>
      </c>
      <c r="O145" s="111" t="str">
        <f t="shared" si="97"/>
        <v>OK</v>
      </c>
      <c r="P145" s="111"/>
    </row>
    <row r="146" spans="2:16">
      <c r="B146" s="5" t="s">
        <v>120</v>
      </c>
      <c r="C146" s="7"/>
      <c r="D146" s="7"/>
      <c r="E146" s="8"/>
      <c r="F146" s="86">
        <f>SUM(F147,F156)</f>
        <v>257063239</v>
      </c>
      <c r="G146" s="86">
        <f>SUM(G147,G156)</f>
        <v>222441465</v>
      </c>
      <c r="H146" s="86">
        <f>SUM(H147,H156)</f>
        <v>1447787337</v>
      </c>
      <c r="I146" s="86">
        <f t="shared" ref="I146:L146" si="98">SUM(I147,I156)</f>
        <v>2531738793</v>
      </c>
      <c r="J146" s="86">
        <f t="shared" si="98"/>
        <v>3174396742</v>
      </c>
      <c r="K146" s="86">
        <f t="shared" si="98"/>
        <v>2746858038</v>
      </c>
      <c r="L146" s="86">
        <f t="shared" si="98"/>
        <v>150071375</v>
      </c>
      <c r="M146" s="86">
        <f>SUM(M147,M156)</f>
        <v>345765337</v>
      </c>
      <c r="N146" s="86">
        <f>SUM(N147,N156)</f>
        <v>120983927</v>
      </c>
      <c r="O146" s="86">
        <f>SUM(O147,O156)</f>
        <v>280177715</v>
      </c>
      <c r="P146" s="87">
        <f t="shared" ref="P146:P159" si="99">AVERAGE(F146:O146)</f>
        <v>1127728396.8</v>
      </c>
    </row>
    <row r="147" spans="2:16">
      <c r="B147" s="4"/>
      <c r="C147" s="5" t="s">
        <v>121</v>
      </c>
      <c r="D147" s="7"/>
      <c r="E147" s="8"/>
      <c r="F147" s="86">
        <f>SUM(F148+F150)</f>
        <v>253369613</v>
      </c>
      <c r="G147" s="86">
        <f>SUM(G148,G150)</f>
        <v>218669866</v>
      </c>
      <c r="H147" s="86">
        <f t="shared" ref="H147:M147" si="100">SUM(H148,H150)</f>
        <v>1443936118</v>
      </c>
      <c r="I147" s="86">
        <f t="shared" si="100"/>
        <v>2527806273</v>
      </c>
      <c r="J147" s="86">
        <f t="shared" si="100"/>
        <v>3169481323</v>
      </c>
      <c r="K147" s="86">
        <f>SUM(K148,K150)</f>
        <v>2741846624</v>
      </c>
      <c r="L147" s="86">
        <f t="shared" si="100"/>
        <v>143318400</v>
      </c>
      <c r="M147" s="86">
        <f t="shared" si="100"/>
        <v>338424525</v>
      </c>
      <c r="N147" s="86">
        <f>SUM(N148,N150)</f>
        <v>111700392</v>
      </c>
      <c r="O147" s="86">
        <f>SUM(O148,O150)</f>
        <v>267791962</v>
      </c>
      <c r="P147" s="87">
        <f t="shared" si="99"/>
        <v>1121634509.5999999</v>
      </c>
    </row>
    <row r="148" spans="2:16">
      <c r="B148" s="4"/>
      <c r="C148" s="4"/>
      <c r="D148" s="151" t="s">
        <v>468</v>
      </c>
      <c r="E148" s="152"/>
      <c r="F148" s="86">
        <f t="shared" ref="F148:O148" si="101">SUM(F149:F149)</f>
        <v>0</v>
      </c>
      <c r="G148" s="86">
        <f t="shared" si="101"/>
        <v>0</v>
      </c>
      <c r="H148" s="86">
        <f t="shared" si="101"/>
        <v>0</v>
      </c>
      <c r="I148" s="86">
        <f t="shared" si="101"/>
        <v>0</v>
      </c>
      <c r="J148" s="86">
        <f t="shared" si="101"/>
        <v>0</v>
      </c>
      <c r="K148" s="86">
        <f t="shared" si="101"/>
        <v>0</v>
      </c>
      <c r="L148" s="86">
        <f t="shared" si="101"/>
        <v>0</v>
      </c>
      <c r="M148" s="86">
        <f t="shared" si="101"/>
        <v>0</v>
      </c>
      <c r="N148" s="86">
        <f t="shared" si="101"/>
        <v>0</v>
      </c>
      <c r="O148" s="86">
        <f t="shared" si="101"/>
        <v>0</v>
      </c>
      <c r="P148" s="87">
        <f t="shared" si="99"/>
        <v>0</v>
      </c>
    </row>
    <row r="149" spans="2:16">
      <c r="B149" s="4"/>
      <c r="C149" s="4"/>
      <c r="D149" s="153"/>
      <c r="E149" s="154" t="s">
        <v>468</v>
      </c>
      <c r="F149" s="86">
        <v>0</v>
      </c>
      <c r="G149" s="86">
        <v>0</v>
      </c>
      <c r="H149" s="86">
        <v>0</v>
      </c>
      <c r="I149" s="86">
        <v>0</v>
      </c>
      <c r="J149" s="86">
        <v>0</v>
      </c>
      <c r="K149" s="86">
        <v>0</v>
      </c>
      <c r="L149" s="86">
        <v>0</v>
      </c>
      <c r="M149" s="86">
        <v>0</v>
      </c>
      <c r="N149" s="86">
        <v>0</v>
      </c>
      <c r="O149" s="86">
        <v>0</v>
      </c>
      <c r="P149" s="87">
        <f t="shared" si="99"/>
        <v>0</v>
      </c>
    </row>
    <row r="150" spans="2:16">
      <c r="B150" s="4"/>
      <c r="C150" s="79"/>
      <c r="D150" s="5"/>
      <c r="E150" s="8"/>
      <c r="F150" s="86">
        <f t="shared" ref="F150:N150" si="102">SUM(F151:F155)</f>
        <v>253369613</v>
      </c>
      <c r="G150" s="86">
        <f t="shared" si="102"/>
        <v>218669866</v>
      </c>
      <c r="H150" s="86">
        <f t="shared" si="102"/>
        <v>1443936118</v>
      </c>
      <c r="I150" s="86">
        <f t="shared" si="102"/>
        <v>2527806273</v>
      </c>
      <c r="J150" s="86">
        <f t="shared" si="102"/>
        <v>3169481323</v>
      </c>
      <c r="K150" s="86">
        <f t="shared" si="102"/>
        <v>2741846624</v>
      </c>
      <c r="L150" s="86">
        <f t="shared" si="102"/>
        <v>143318400</v>
      </c>
      <c r="M150" s="86">
        <f>SUM(M151:M155)</f>
        <v>338424525</v>
      </c>
      <c r="N150" s="86">
        <f t="shared" si="102"/>
        <v>111700392</v>
      </c>
      <c r="O150" s="86">
        <f>SUM(O151:O155)</f>
        <v>267791962</v>
      </c>
      <c r="P150" s="87">
        <f t="shared" si="99"/>
        <v>1121634509.5999999</v>
      </c>
    </row>
    <row r="151" spans="2:16">
      <c r="B151" s="4"/>
      <c r="C151" s="79"/>
      <c r="D151" s="4"/>
      <c r="E151" s="142" t="s">
        <v>620</v>
      </c>
      <c r="F151" s="86">
        <v>253369613</v>
      </c>
      <c r="G151" s="86">
        <v>218669866</v>
      </c>
      <c r="H151" s="86">
        <v>1443936118</v>
      </c>
      <c r="I151" s="86">
        <v>2527806273</v>
      </c>
      <c r="J151" s="86">
        <v>3169481323</v>
      </c>
      <c r="K151" s="86">
        <v>2697464624</v>
      </c>
      <c r="L151" s="86">
        <v>141607400</v>
      </c>
      <c r="M151" s="86">
        <v>338424525</v>
      </c>
      <c r="N151" s="86">
        <v>111700392</v>
      </c>
      <c r="O151" s="86">
        <v>267791962</v>
      </c>
      <c r="P151" s="87">
        <f t="shared" si="99"/>
        <v>1117025209.5999999</v>
      </c>
    </row>
    <row r="152" spans="2:16">
      <c r="B152" s="4"/>
      <c r="C152" s="79"/>
      <c r="D152" s="4"/>
      <c r="E152" s="154" t="s">
        <v>92</v>
      </c>
      <c r="F152" s="86">
        <v>0</v>
      </c>
      <c r="G152" s="86">
        <v>0</v>
      </c>
      <c r="H152" s="86">
        <v>0</v>
      </c>
      <c r="I152" s="86">
        <v>0</v>
      </c>
      <c r="J152" s="86">
        <v>0</v>
      </c>
      <c r="K152" s="86">
        <v>0</v>
      </c>
      <c r="L152" s="86">
        <v>0</v>
      </c>
      <c r="M152" s="86">
        <v>0</v>
      </c>
      <c r="N152" s="86">
        <v>0</v>
      </c>
      <c r="O152" s="86">
        <v>0</v>
      </c>
      <c r="P152" s="87">
        <f t="shared" si="99"/>
        <v>0</v>
      </c>
    </row>
    <row r="153" spans="2:16">
      <c r="B153" s="4"/>
      <c r="C153" s="79"/>
      <c r="D153" s="4"/>
      <c r="E153" s="154" t="s">
        <v>470</v>
      </c>
      <c r="F153" s="86">
        <v>0</v>
      </c>
      <c r="G153" s="86">
        <v>0</v>
      </c>
      <c r="H153" s="86">
        <v>0</v>
      </c>
      <c r="I153" s="86">
        <v>0</v>
      </c>
      <c r="J153" s="86">
        <v>0</v>
      </c>
      <c r="K153" s="86">
        <v>0</v>
      </c>
      <c r="L153" s="86">
        <v>0</v>
      </c>
      <c r="M153" s="86">
        <v>0</v>
      </c>
      <c r="N153" s="86">
        <v>0</v>
      </c>
      <c r="O153" s="86">
        <v>0</v>
      </c>
      <c r="P153" s="87">
        <f t="shared" si="99"/>
        <v>0</v>
      </c>
    </row>
    <row r="154" spans="2:16">
      <c r="B154" s="4"/>
      <c r="C154" s="79"/>
      <c r="D154" s="4"/>
      <c r="E154" s="154" t="s">
        <v>445</v>
      </c>
      <c r="F154" s="86">
        <v>0</v>
      </c>
      <c r="G154" s="86">
        <v>0</v>
      </c>
      <c r="H154" s="86">
        <v>0</v>
      </c>
      <c r="I154" s="86">
        <v>0</v>
      </c>
      <c r="J154" s="86">
        <v>0</v>
      </c>
      <c r="K154" s="86">
        <v>0</v>
      </c>
      <c r="L154" s="86">
        <v>0</v>
      </c>
      <c r="M154" s="86">
        <v>0</v>
      </c>
      <c r="N154" s="86">
        <v>0</v>
      </c>
      <c r="O154" s="86">
        <v>0</v>
      </c>
      <c r="P154" s="87">
        <f t="shared" si="99"/>
        <v>0</v>
      </c>
    </row>
    <row r="155" spans="2:16">
      <c r="B155" s="4"/>
      <c r="C155" s="79"/>
      <c r="D155" s="4"/>
      <c r="E155" s="142" t="s">
        <v>623</v>
      </c>
      <c r="F155" s="86">
        <v>0</v>
      </c>
      <c r="G155" s="86">
        <v>0</v>
      </c>
      <c r="H155" s="86">
        <v>0</v>
      </c>
      <c r="I155" s="86">
        <v>0</v>
      </c>
      <c r="J155" s="86">
        <v>0</v>
      </c>
      <c r="K155" s="86">
        <v>44382000</v>
      </c>
      <c r="L155" s="86">
        <v>1711000</v>
      </c>
      <c r="M155" s="86">
        <v>0</v>
      </c>
      <c r="N155" s="86">
        <v>0</v>
      </c>
      <c r="O155" s="86">
        <v>0</v>
      </c>
      <c r="P155" s="87">
        <f t="shared" si="99"/>
        <v>4609300</v>
      </c>
    </row>
    <row r="156" spans="2:16">
      <c r="B156" s="4"/>
      <c r="C156" s="2" t="s">
        <v>130</v>
      </c>
      <c r="D156" s="1"/>
      <c r="E156" s="1"/>
      <c r="F156" s="86">
        <f t="shared" ref="F156:M156" si="103">F157</f>
        <v>3693626</v>
      </c>
      <c r="G156" s="86">
        <f t="shared" si="103"/>
        <v>3771599</v>
      </c>
      <c r="H156" s="86">
        <f t="shared" si="103"/>
        <v>3851219</v>
      </c>
      <c r="I156" s="86">
        <f t="shared" si="103"/>
        <v>3932520</v>
      </c>
      <c r="J156" s="86">
        <f t="shared" si="103"/>
        <v>4915419</v>
      </c>
      <c r="K156" s="86">
        <f t="shared" si="103"/>
        <v>5011414</v>
      </c>
      <c r="L156" s="86">
        <f t="shared" si="103"/>
        <v>6752975</v>
      </c>
      <c r="M156" s="86">
        <f t="shared" si="103"/>
        <v>7340812</v>
      </c>
      <c r="N156" s="86">
        <f>N157</f>
        <v>9283535</v>
      </c>
      <c r="O156" s="86">
        <f>O157</f>
        <v>12385753</v>
      </c>
      <c r="P156" s="87">
        <f t="shared" si="99"/>
        <v>6093887.2000000002</v>
      </c>
    </row>
    <row r="157" spans="2:16">
      <c r="B157" s="4"/>
      <c r="C157" s="4"/>
      <c r="D157" s="2" t="s">
        <v>130</v>
      </c>
      <c r="E157" s="8"/>
      <c r="F157" s="86">
        <f t="shared" ref="F157:N157" si="104">F158</f>
        <v>3693626</v>
      </c>
      <c r="G157" s="86">
        <f t="shared" si="104"/>
        <v>3771599</v>
      </c>
      <c r="H157" s="86">
        <f t="shared" si="104"/>
        <v>3851219</v>
      </c>
      <c r="I157" s="86">
        <f t="shared" si="104"/>
        <v>3932520</v>
      </c>
      <c r="J157" s="86">
        <f t="shared" si="104"/>
        <v>4915419</v>
      </c>
      <c r="K157" s="86">
        <f t="shared" si="104"/>
        <v>5011414</v>
      </c>
      <c r="L157" s="86">
        <f t="shared" si="104"/>
        <v>6752975</v>
      </c>
      <c r="M157" s="86">
        <f t="shared" si="104"/>
        <v>7340812</v>
      </c>
      <c r="N157" s="86">
        <f t="shared" si="104"/>
        <v>9283535</v>
      </c>
      <c r="O157" s="86">
        <f>O158</f>
        <v>12385753</v>
      </c>
      <c r="P157" s="87">
        <f t="shared" si="99"/>
        <v>6093887.2000000002</v>
      </c>
    </row>
    <row r="158" spans="2:16">
      <c r="B158" s="4"/>
      <c r="C158" s="3"/>
      <c r="D158" s="3"/>
      <c r="E158" s="147" t="s">
        <v>130</v>
      </c>
      <c r="F158" s="86">
        <v>3693626</v>
      </c>
      <c r="G158" s="86">
        <v>3771599</v>
      </c>
      <c r="H158" s="86">
        <v>3851219</v>
      </c>
      <c r="I158" s="86">
        <v>3932520</v>
      </c>
      <c r="J158" s="86">
        <v>4915419</v>
      </c>
      <c r="K158" s="86">
        <v>5011414</v>
      </c>
      <c r="L158" s="86">
        <v>6752975</v>
      </c>
      <c r="M158" s="86">
        <v>7340812</v>
      </c>
      <c r="N158" s="86">
        <v>9283535</v>
      </c>
      <c r="O158" s="86">
        <v>12385753</v>
      </c>
      <c r="P158" s="87">
        <f t="shared" si="99"/>
        <v>6093887.2000000002</v>
      </c>
    </row>
    <row r="159" spans="2:16">
      <c r="B159" s="9" t="s">
        <v>133</v>
      </c>
      <c r="C159" s="7"/>
      <c r="D159" s="7"/>
      <c r="E159" s="8"/>
      <c r="F159" s="87">
        <f t="shared" ref="F159:N159" si="105">F128-F146</f>
        <v>-4170909</v>
      </c>
      <c r="G159" s="87">
        <f t="shared" si="105"/>
        <v>-24460707</v>
      </c>
      <c r="H159" s="87">
        <f t="shared" si="105"/>
        <v>-33085305</v>
      </c>
      <c r="I159" s="87">
        <f t="shared" si="105"/>
        <v>-111858394</v>
      </c>
      <c r="J159" s="87">
        <f t="shared" si="105"/>
        <v>160942570</v>
      </c>
      <c r="K159" s="87">
        <f t="shared" si="105"/>
        <v>-70846002</v>
      </c>
      <c r="L159" s="87">
        <f t="shared" si="105"/>
        <v>-11707941</v>
      </c>
      <c r="M159" s="87">
        <f t="shared" si="105"/>
        <v>-22241166</v>
      </c>
      <c r="N159" s="87">
        <f t="shared" si="105"/>
        <v>-10564040</v>
      </c>
      <c r="O159" s="87">
        <f>O128-O146</f>
        <v>-67209897</v>
      </c>
      <c r="P159" s="87">
        <f t="shared" si="99"/>
        <v>-19520179.100000001</v>
      </c>
    </row>
    <row r="160" spans="2:16">
      <c r="B160" s="102" t="s">
        <v>524</v>
      </c>
      <c r="C160" s="102"/>
      <c r="D160" s="102"/>
      <c r="E160" s="102"/>
      <c r="F160" s="103">
        <v>257063239</v>
      </c>
      <c r="G160" s="103">
        <v>222441465</v>
      </c>
      <c r="H160" s="103">
        <v>1447787337</v>
      </c>
      <c r="I160" s="103">
        <v>2531738793</v>
      </c>
      <c r="J160" s="103">
        <v>3174396742</v>
      </c>
      <c r="K160" s="103">
        <v>2746858038</v>
      </c>
      <c r="L160" s="103">
        <v>150071375</v>
      </c>
      <c r="M160" s="103">
        <v>345765337</v>
      </c>
      <c r="N160" s="103">
        <v>120983927</v>
      </c>
      <c r="O160" s="103">
        <v>280177715</v>
      </c>
      <c r="P160" s="103"/>
    </row>
    <row r="161" spans="2:16">
      <c r="B161" s="102" t="s">
        <v>519</v>
      </c>
      <c r="C161" s="102"/>
      <c r="D161" s="102"/>
      <c r="E161" s="102"/>
      <c r="F161" s="110" t="str">
        <f>IF(F146=F160,"OK","NG")</f>
        <v>OK</v>
      </c>
      <c r="G161" s="110" t="str">
        <f t="shared" ref="G161:O161" si="106">IF(G146=G160,"OK","NG")</f>
        <v>OK</v>
      </c>
      <c r="H161" s="110" t="str">
        <f t="shared" si="106"/>
        <v>OK</v>
      </c>
      <c r="I161" s="110" t="str">
        <f t="shared" si="106"/>
        <v>OK</v>
      </c>
      <c r="J161" s="110" t="str">
        <f t="shared" si="106"/>
        <v>OK</v>
      </c>
      <c r="K161" s="110" t="str">
        <f t="shared" si="106"/>
        <v>OK</v>
      </c>
      <c r="L161" s="110" t="str">
        <f t="shared" si="106"/>
        <v>OK</v>
      </c>
      <c r="M161" s="110" t="str">
        <f t="shared" si="106"/>
        <v>OK</v>
      </c>
      <c r="N161" s="110" t="str">
        <f t="shared" si="106"/>
        <v>OK</v>
      </c>
      <c r="O161" s="110" t="str">
        <f t="shared" si="106"/>
        <v>OK</v>
      </c>
      <c r="P161" s="110"/>
    </row>
    <row r="162" spans="2:16" hidden="1" outlineLevel="1">
      <c r="B162" t="s">
        <v>134</v>
      </c>
    </row>
    <row r="163" spans="2:16" hidden="1" outlineLevel="1">
      <c r="B163" s="11" t="s">
        <v>1</v>
      </c>
      <c r="C163" s="11" t="s">
        <v>2</v>
      </c>
      <c r="D163" s="12" t="s">
        <v>3</v>
      </c>
      <c r="E163" s="13"/>
      <c r="F163" s="30" t="s">
        <v>11</v>
      </c>
      <c r="G163" s="31"/>
      <c r="H163" s="31"/>
      <c r="I163" s="31"/>
      <c r="J163" s="32"/>
      <c r="K163" s="32"/>
      <c r="L163" s="32"/>
      <c r="M163" s="32"/>
      <c r="N163" s="32"/>
      <c r="O163" s="32"/>
      <c r="P163" s="32"/>
    </row>
    <row r="164" spans="2:16" hidden="1" outlineLevel="1">
      <c r="B164" s="17"/>
      <c r="C164" s="17"/>
      <c r="D164" s="18"/>
      <c r="E164" s="19"/>
      <c r="F164" s="35" t="s">
        <v>12</v>
      </c>
      <c r="G164" s="35" t="s">
        <v>13</v>
      </c>
      <c r="H164" s="35" t="s">
        <v>14</v>
      </c>
      <c r="I164" s="35" t="s">
        <v>15</v>
      </c>
      <c r="J164" s="35" t="s">
        <v>16</v>
      </c>
      <c r="K164" s="35" t="s">
        <v>16</v>
      </c>
      <c r="L164" s="35" t="s">
        <v>16</v>
      </c>
      <c r="M164" s="35" t="s">
        <v>16</v>
      </c>
      <c r="N164" s="35" t="s">
        <v>16</v>
      </c>
      <c r="O164" s="35" t="s">
        <v>16</v>
      </c>
      <c r="P164" s="35"/>
    </row>
    <row r="165" spans="2:16" hidden="1" outlineLevel="1">
      <c r="B165" s="9" t="s">
        <v>133</v>
      </c>
      <c r="C165" s="7"/>
      <c r="D165" s="7"/>
      <c r="E165" s="8"/>
      <c r="F165" s="39">
        <f>F159</f>
        <v>-4170909</v>
      </c>
      <c r="G165" s="39">
        <f t="shared" ref="G165:J165" si="107">G159</f>
        <v>-24460707</v>
      </c>
      <c r="H165" s="39">
        <f t="shared" si="107"/>
        <v>-33085305</v>
      </c>
      <c r="I165" s="39">
        <f t="shared" si="107"/>
        <v>-111858394</v>
      </c>
      <c r="J165" s="39">
        <f t="shared" si="107"/>
        <v>160942570</v>
      </c>
      <c r="K165" s="39">
        <f t="shared" ref="K165:O165" si="108">K159</f>
        <v>-70846002</v>
      </c>
      <c r="L165" s="39">
        <f t="shared" si="108"/>
        <v>-11707941</v>
      </c>
      <c r="M165" s="39">
        <f t="shared" si="108"/>
        <v>-22241166</v>
      </c>
      <c r="N165" s="39">
        <f t="shared" si="108"/>
        <v>-10564040</v>
      </c>
      <c r="O165" s="39">
        <f t="shared" si="108"/>
        <v>-67209897</v>
      </c>
      <c r="P165" s="39"/>
    </row>
    <row r="166" spans="2:16" hidden="1" outlineLevel="1">
      <c r="B166" s="308" t="s">
        <v>135</v>
      </c>
      <c r="C166" s="9" t="s">
        <v>136</v>
      </c>
      <c r="D166" s="7"/>
      <c r="E166" s="8"/>
      <c r="F166" s="39" t="e">
        <f>ROUND(SUM(#REF!,#REF!)-SUM(#REF!,#REF!)/1.08,0)</f>
        <v>#REF!</v>
      </c>
      <c r="G166" s="39" t="e">
        <f>ROUND(SUM(#REF!,#REF!)-SUM(#REF!,#REF!)/1.08,0)</f>
        <v>#REF!</v>
      </c>
      <c r="H166" s="39" t="e">
        <f>ROUND(SUM(#REF!,#REF!)-SUM(#REF!,#REF!)/1.08,0)</f>
        <v>#REF!</v>
      </c>
      <c r="I166" s="39" t="e">
        <f>ROUND(SUM(#REF!,#REF!)-SUM(#REF!,#REF!)/1.08,0)</f>
        <v>#REF!</v>
      </c>
      <c r="J166" s="39" t="e">
        <f>ROUND(SUM(#REF!,#REF!)-SUM(#REF!,#REF!)/1.08,0)</f>
        <v>#REF!</v>
      </c>
      <c r="K166" s="39" t="e">
        <f>ROUND(SUM(#REF!,#REF!)-SUM(#REF!,#REF!)/1.08,0)</f>
        <v>#REF!</v>
      </c>
      <c r="L166" s="39" t="e">
        <f>ROUND(SUM(#REF!,#REF!)-SUM(#REF!,#REF!)/1.08,0)</f>
        <v>#REF!</v>
      </c>
      <c r="M166" s="39" t="e">
        <f>ROUND(SUM(#REF!,#REF!)-SUM(#REF!,#REF!)/1.08,0)</f>
        <v>#REF!</v>
      </c>
      <c r="N166" s="39" t="e">
        <f>ROUND(SUM(#REF!,#REF!)-SUM(#REF!,#REF!)/1.08,0)</f>
        <v>#REF!</v>
      </c>
      <c r="O166" s="39" t="e">
        <f>ROUND(SUM(#REF!,#REF!)-SUM(#REF!,#REF!)/1.08,0)</f>
        <v>#REF!</v>
      </c>
      <c r="P166" s="39"/>
    </row>
    <row r="167" spans="2:16" hidden="1" outlineLevel="1">
      <c r="B167" s="309"/>
      <c r="C167" s="308" t="s">
        <v>137</v>
      </c>
      <c r="D167" s="9" t="s">
        <v>138</v>
      </c>
      <c r="E167" s="8"/>
      <c r="F167" s="39">
        <v>0</v>
      </c>
      <c r="G167" s="39">
        <f>F169</f>
        <v>-49591128</v>
      </c>
      <c r="H167" s="39">
        <f t="shared" ref="H167:J167" si="109">G169</f>
        <v>-219810837</v>
      </c>
      <c r="I167" s="39">
        <f t="shared" si="109"/>
        <v>-267514664</v>
      </c>
      <c r="J167" s="39">
        <f t="shared" si="109"/>
        <v>-316973143</v>
      </c>
      <c r="K167" s="39">
        <f t="shared" ref="K167" si="110">J169</f>
        <v>-358332784</v>
      </c>
      <c r="L167" s="39">
        <f t="shared" ref="L167" si="111">K169</f>
        <v>-513122534</v>
      </c>
      <c r="M167" s="39">
        <f t="shared" ref="M167" si="112">L169</f>
        <v>-549151736</v>
      </c>
      <c r="N167" s="39">
        <f t="shared" ref="N167" si="113">M169</f>
        <v>-586897297</v>
      </c>
      <c r="O167" s="39">
        <f t="shared" ref="O167" si="114">N169</f>
        <v>-687968369</v>
      </c>
      <c r="P167" s="39"/>
    </row>
    <row r="168" spans="2:16" hidden="1" outlineLevel="1">
      <c r="B168" s="309"/>
      <c r="C168" s="309"/>
      <c r="D168" s="9" t="s">
        <v>139</v>
      </c>
      <c r="E168" s="8"/>
      <c r="F168" s="39">
        <f t="shared" ref="F168:O168" si="115">F121</f>
        <v>-49591128</v>
      </c>
      <c r="G168" s="39">
        <f t="shared" si="115"/>
        <v>-170219709</v>
      </c>
      <c r="H168" s="39">
        <f t="shared" si="115"/>
        <v>-47703827</v>
      </c>
      <c r="I168" s="39">
        <f t="shared" si="115"/>
        <v>-49458479</v>
      </c>
      <c r="J168" s="39">
        <f t="shared" si="115"/>
        <v>-41359641</v>
      </c>
      <c r="K168" s="39">
        <f t="shared" si="115"/>
        <v>-154789750</v>
      </c>
      <c r="L168" s="39">
        <f t="shared" si="115"/>
        <v>-36029202</v>
      </c>
      <c r="M168" s="39">
        <f t="shared" si="115"/>
        <v>-37745561</v>
      </c>
      <c r="N168" s="39">
        <f t="shared" si="115"/>
        <v>-101071072</v>
      </c>
      <c r="O168" s="39">
        <f t="shared" si="115"/>
        <v>-59562535</v>
      </c>
      <c r="P168" s="39"/>
    </row>
    <row r="169" spans="2:16" hidden="1" outlineLevel="1">
      <c r="B169" s="309"/>
      <c r="C169" s="310"/>
      <c r="D169" s="9" t="s">
        <v>140</v>
      </c>
      <c r="E169" s="8"/>
      <c r="F169" s="39">
        <f>SUM(F167:F168)</f>
        <v>-49591128</v>
      </c>
      <c r="G169" s="39">
        <f>SUM(G167:G168)</f>
        <v>-219810837</v>
      </c>
      <c r="H169" s="39">
        <f t="shared" ref="H169:J169" si="116">SUM(H167:H168)</f>
        <v>-267514664</v>
      </c>
      <c r="I169" s="39">
        <f t="shared" si="116"/>
        <v>-316973143</v>
      </c>
      <c r="J169" s="39">
        <f t="shared" si="116"/>
        <v>-358332784</v>
      </c>
      <c r="K169" s="39">
        <f t="shared" ref="K169:O169" si="117">SUM(K167:K168)</f>
        <v>-513122534</v>
      </c>
      <c r="L169" s="39">
        <f t="shared" si="117"/>
        <v>-549151736</v>
      </c>
      <c r="M169" s="39">
        <f t="shared" si="117"/>
        <v>-586897297</v>
      </c>
      <c r="N169" s="39">
        <f t="shared" si="117"/>
        <v>-687968369</v>
      </c>
      <c r="O169" s="39">
        <f t="shared" si="117"/>
        <v>-747530904</v>
      </c>
      <c r="P169" s="39"/>
    </row>
    <row r="170" spans="2:16" hidden="1" outlineLevel="1">
      <c r="B170" s="309"/>
      <c r="C170" s="308" t="s">
        <v>141</v>
      </c>
      <c r="D170" s="9" t="s">
        <v>142</v>
      </c>
      <c r="E170" s="8"/>
      <c r="F170" s="39">
        <v>0</v>
      </c>
      <c r="G170" s="39">
        <f>F174</f>
        <v>53010377</v>
      </c>
      <c r="H170" s="39">
        <f t="shared" ref="H170:J170" si="118">G174</f>
        <v>-123231312</v>
      </c>
      <c r="I170" s="39">
        <f t="shared" si="118"/>
        <v>-123123703</v>
      </c>
      <c r="J170" s="39">
        <f t="shared" si="118"/>
        <v>-70032381</v>
      </c>
      <c r="K170" s="39">
        <f t="shared" ref="K170" si="119">J174</f>
        <v>-22308170</v>
      </c>
      <c r="L170" s="39">
        <f t="shared" ref="L170" si="120">K174</f>
        <v>22983322</v>
      </c>
      <c r="M170" s="39">
        <f t="shared" ref="M170" si="121">L174</f>
        <v>65803268</v>
      </c>
      <c r="N170" s="39">
        <f t="shared" ref="N170" si="122">M174</f>
        <v>118861962</v>
      </c>
      <c r="O170" s="39">
        <f t="shared" ref="O170" si="123">N174</f>
        <v>213047806</v>
      </c>
      <c r="P170" s="39"/>
    </row>
    <row r="171" spans="2:16" hidden="1" outlineLevel="1">
      <c r="B171" s="309"/>
      <c r="C171" s="309"/>
      <c r="D171" s="308" t="s">
        <v>143</v>
      </c>
      <c r="E171" s="1" t="s">
        <v>101</v>
      </c>
      <c r="F171" s="39">
        <f t="shared" ref="F171:O171" si="124">F104</f>
        <v>78879555</v>
      </c>
      <c r="G171" s="39">
        <f t="shared" si="124"/>
        <v>55521235</v>
      </c>
      <c r="H171" s="39">
        <f t="shared" si="124"/>
        <v>58556733</v>
      </c>
      <c r="I171" s="39">
        <f t="shared" si="124"/>
        <v>130141869</v>
      </c>
      <c r="J171" s="39">
        <f t="shared" si="124"/>
        <v>145093877</v>
      </c>
      <c r="K171" s="39">
        <f t="shared" si="124"/>
        <v>140426639</v>
      </c>
      <c r="L171" s="39">
        <f t="shared" si="124"/>
        <v>331709645</v>
      </c>
      <c r="M171" s="39">
        <f t="shared" si="124"/>
        <v>389441172</v>
      </c>
      <c r="N171" s="39">
        <f t="shared" si="124"/>
        <v>513505522</v>
      </c>
      <c r="O171" s="39">
        <f t="shared" si="124"/>
        <v>390906409</v>
      </c>
      <c r="P171" s="39"/>
    </row>
    <row r="172" spans="2:16" hidden="1" outlineLevel="1">
      <c r="B172" s="309"/>
      <c r="C172" s="309"/>
      <c r="D172" s="309"/>
      <c r="E172" s="1" t="s">
        <v>102</v>
      </c>
      <c r="F172" s="39">
        <f t="shared" ref="F172:O172" si="125">F106</f>
        <v>172601</v>
      </c>
      <c r="G172" s="39">
        <f t="shared" si="125"/>
        <v>83900</v>
      </c>
      <c r="H172" s="39">
        <f t="shared" si="125"/>
        <v>27300</v>
      </c>
      <c r="I172" s="39">
        <f t="shared" si="125"/>
        <v>359890</v>
      </c>
      <c r="J172" s="39">
        <f t="shared" si="125"/>
        <v>0</v>
      </c>
      <c r="K172" s="39">
        <f t="shared" si="125"/>
        <v>0</v>
      </c>
      <c r="L172" s="39">
        <f t="shared" si="125"/>
        <v>0</v>
      </c>
      <c r="M172" s="39">
        <f t="shared" si="125"/>
        <v>0</v>
      </c>
      <c r="N172" s="39">
        <f t="shared" si="125"/>
        <v>0</v>
      </c>
      <c r="O172" s="39">
        <f t="shared" si="125"/>
        <v>0</v>
      </c>
      <c r="P172" s="39"/>
    </row>
    <row r="173" spans="2:16" hidden="1" outlineLevel="1">
      <c r="B173" s="309"/>
      <c r="C173" s="309"/>
      <c r="D173" s="310"/>
      <c r="E173" s="1" t="s">
        <v>144</v>
      </c>
      <c r="F173" s="39">
        <f t="shared" ref="F173:O173" si="126">-F26</f>
        <v>-26041779</v>
      </c>
      <c r="G173" s="39">
        <f t="shared" si="126"/>
        <v>-231846824</v>
      </c>
      <c r="H173" s="39">
        <f t="shared" si="126"/>
        <v>-58476424</v>
      </c>
      <c r="I173" s="39">
        <f t="shared" si="126"/>
        <v>-77410437</v>
      </c>
      <c r="J173" s="39">
        <f t="shared" si="126"/>
        <v>-97369666</v>
      </c>
      <c r="K173" s="39">
        <f t="shared" si="126"/>
        <v>-95135147</v>
      </c>
      <c r="L173" s="39">
        <f t="shared" si="126"/>
        <v>-288889699</v>
      </c>
      <c r="M173" s="39">
        <f t="shared" si="126"/>
        <v>-336382478</v>
      </c>
      <c r="N173" s="39">
        <f t="shared" si="126"/>
        <v>-419319678</v>
      </c>
      <c r="O173" s="39">
        <f t="shared" si="126"/>
        <v>-336409057</v>
      </c>
      <c r="P173" s="39"/>
    </row>
    <row r="174" spans="2:16" hidden="1" outlineLevel="1">
      <c r="B174" s="309"/>
      <c r="C174" s="310"/>
      <c r="D174" s="9" t="s">
        <v>140</v>
      </c>
      <c r="E174" s="8"/>
      <c r="F174" s="39">
        <f>SUM(F170:F173)</f>
        <v>53010377</v>
      </c>
      <c r="G174" s="39">
        <f>SUM(G170:G173)</f>
        <v>-123231312</v>
      </c>
      <c r="H174" s="39">
        <f t="shared" ref="H174:J174" si="127">SUM(H170:H173)</f>
        <v>-123123703</v>
      </c>
      <c r="I174" s="39">
        <f t="shared" si="127"/>
        <v>-70032381</v>
      </c>
      <c r="J174" s="39">
        <f t="shared" si="127"/>
        <v>-22308170</v>
      </c>
      <c r="K174" s="39">
        <f t="shared" ref="K174:O174" si="128">SUM(K170:K173)</f>
        <v>22983322</v>
      </c>
      <c r="L174" s="39">
        <f t="shared" si="128"/>
        <v>65803268</v>
      </c>
      <c r="M174" s="39">
        <f t="shared" si="128"/>
        <v>118861962</v>
      </c>
      <c r="N174" s="39">
        <f t="shared" si="128"/>
        <v>213047806</v>
      </c>
      <c r="O174" s="39">
        <f t="shared" si="128"/>
        <v>267545158</v>
      </c>
      <c r="P174" s="39"/>
    </row>
    <row r="175" spans="2:16" hidden="1" outlineLevel="1">
      <c r="B175" s="310"/>
      <c r="C175" s="9" t="s">
        <v>145</v>
      </c>
      <c r="D175" s="7"/>
      <c r="E175" s="8"/>
      <c r="F175" s="39">
        <f>F169+F174</f>
        <v>3419249</v>
      </c>
      <c r="G175" s="39">
        <f>G169+G174</f>
        <v>-343042149</v>
      </c>
      <c r="H175" s="39">
        <f t="shared" ref="H175:J175" si="129">H169+H174</f>
        <v>-390638367</v>
      </c>
      <c r="I175" s="39">
        <f t="shared" si="129"/>
        <v>-387005524</v>
      </c>
      <c r="J175" s="39">
        <f t="shared" si="129"/>
        <v>-380640954</v>
      </c>
      <c r="K175" s="39">
        <f t="shared" ref="K175:O175" si="130">K169+K174</f>
        <v>-490139212</v>
      </c>
      <c r="L175" s="39">
        <f t="shared" si="130"/>
        <v>-483348468</v>
      </c>
      <c r="M175" s="39">
        <f t="shared" si="130"/>
        <v>-468035335</v>
      </c>
      <c r="N175" s="39">
        <f t="shared" si="130"/>
        <v>-474920563</v>
      </c>
      <c r="O175" s="39">
        <f t="shared" si="130"/>
        <v>-479985746</v>
      </c>
      <c r="P175" s="39"/>
    </row>
    <row r="176" spans="2:16" hidden="1" outlineLevel="1">
      <c r="B176" s="305" t="s">
        <v>146</v>
      </c>
      <c r="C176" s="306"/>
      <c r="D176" s="306"/>
      <c r="E176" s="307"/>
      <c r="F176" s="39">
        <f>F165</f>
        <v>-4170909</v>
      </c>
      <c r="G176" s="39">
        <f t="shared" ref="G176:J176" si="131">G165</f>
        <v>-24460707</v>
      </c>
      <c r="H176" s="39">
        <f t="shared" si="131"/>
        <v>-33085305</v>
      </c>
      <c r="I176" s="39">
        <f t="shared" si="131"/>
        <v>-111858394</v>
      </c>
      <c r="J176" s="39">
        <f t="shared" si="131"/>
        <v>160942570</v>
      </c>
      <c r="K176" s="39">
        <f t="shared" ref="K176:O176" si="132">K165</f>
        <v>-70846002</v>
      </c>
      <c r="L176" s="39">
        <f t="shared" si="132"/>
        <v>-11707941</v>
      </c>
      <c r="M176" s="39">
        <f t="shared" si="132"/>
        <v>-22241166</v>
      </c>
      <c r="N176" s="39">
        <f t="shared" si="132"/>
        <v>-10564040</v>
      </c>
      <c r="O176" s="39">
        <f t="shared" si="132"/>
        <v>-67209897</v>
      </c>
      <c r="P176" s="39"/>
    </row>
    <row r="177" spans="2:16" hidden="1" outlineLevel="1">
      <c r="B177" s="305" t="s">
        <v>147</v>
      </c>
      <c r="C177" s="306"/>
      <c r="D177" s="306"/>
      <c r="E177" s="307"/>
      <c r="F177" s="39">
        <f>F175+F176</f>
        <v>-751660</v>
      </c>
      <c r="G177" s="39">
        <f>F177+G176+G175</f>
        <v>-368254516</v>
      </c>
      <c r="H177" s="39">
        <f t="shared" ref="H177:J177" si="133">G177+H176+H175</f>
        <v>-791978188</v>
      </c>
      <c r="I177" s="39">
        <f t="shared" si="133"/>
        <v>-1290842106</v>
      </c>
      <c r="J177" s="39">
        <f t="shared" si="133"/>
        <v>-1510540490</v>
      </c>
      <c r="K177" s="39">
        <f t="shared" ref="K177" si="134">J177+K176+K175</f>
        <v>-2071525704</v>
      </c>
      <c r="L177" s="39">
        <f t="shared" ref="L177" si="135">K177+L176+L175</f>
        <v>-2566582113</v>
      </c>
      <c r="M177" s="39">
        <f t="shared" ref="M177" si="136">L177+M176+M175</f>
        <v>-3056858614</v>
      </c>
      <c r="N177" s="39">
        <f t="shared" ref="N177" si="137">M177+N176+N175</f>
        <v>-3542343217</v>
      </c>
      <c r="O177" s="39">
        <f t="shared" ref="O177" si="138">N177+O176+O175</f>
        <v>-4089538860</v>
      </c>
      <c r="P177" s="39"/>
    </row>
    <row r="178" spans="2:16" hidden="1" outlineLevel="1">
      <c r="B178" s="9" t="s">
        <v>148</v>
      </c>
      <c r="C178" s="7"/>
      <c r="D178" s="7"/>
      <c r="E178" s="8"/>
      <c r="F178" s="39"/>
      <c r="G178" s="39"/>
      <c r="H178" s="39"/>
      <c r="I178" s="39"/>
      <c r="J178" s="39"/>
      <c r="K178" s="39"/>
      <c r="L178" s="39"/>
      <c r="M178" s="39"/>
      <c r="N178" s="39"/>
      <c r="O178" s="39"/>
      <c r="P178" s="39"/>
    </row>
    <row r="179" spans="2:16" collapsed="1"/>
    <row r="183" spans="2:16">
      <c r="E183" t="s">
        <v>114</v>
      </c>
    </row>
    <row r="184" spans="2:16">
      <c r="E184" t="s">
        <v>76</v>
      </c>
      <c r="F184" s="24">
        <v>0</v>
      </c>
      <c r="G184" s="24">
        <v>9751000</v>
      </c>
      <c r="H184" s="24">
        <v>0</v>
      </c>
      <c r="I184" s="24">
        <v>1654000</v>
      </c>
      <c r="J184" s="24">
        <v>9230550</v>
      </c>
      <c r="K184" s="24">
        <v>4548000</v>
      </c>
      <c r="L184" s="24">
        <v>7788000</v>
      </c>
      <c r="M184" s="24">
        <v>24637500</v>
      </c>
      <c r="N184" s="24">
        <v>0</v>
      </c>
      <c r="O184" s="24">
        <v>9335000</v>
      </c>
      <c r="P184" s="24">
        <f t="shared" ref="P184" si="139">AVERAGE(F184:O184)</f>
        <v>6694405</v>
      </c>
    </row>
  </sheetData>
  <customSheetViews>
    <customSheetView guid="{B05628F6-030D-4851-8E75-96DF5849F39A}" scale="85" showPageBreaks="1" showGridLines="0" fitToPage="1" printArea="1" hiddenRows="1" view="pageBreakPreview">
      <pane xSplit="5" ySplit="4" topLeftCell="M5" activePane="bottomRight" state="frozen"/>
      <selection pane="bottomRight" activeCell="W7" sqref="W7"/>
      <pageMargins left="0.70866141732283472" right="0.70866141732283472" top="0.74803149606299213" bottom="0.74803149606299213" header="0.31496062992125984" footer="0.31496062992125984"/>
      <pageSetup paperSize="8" scale="47" orientation="portrait" r:id="rId1"/>
      <headerFooter>
        <oddHeader>&amp;A</oddHeader>
        <oddFooter>&amp;P / &amp;N ページ</oddFooter>
      </headerFooter>
    </customSheetView>
    <customSheetView guid="{1F923BC6-4AD1-4F20-A481-D76BE7901A2A}" scale="85" showPageBreaks="1" showGridLines="0" fitToPage="1" printArea="1" hiddenRows="1" view="pageBreakPreview">
      <pane xSplit="5" ySplit="4" topLeftCell="F44" activePane="bottomRight" state="frozen"/>
      <selection pane="bottomRight" activeCell="K57" sqref="K57"/>
      <pageMargins left="0.70866141732283472" right="0.70866141732283472" top="0.74803149606299213" bottom="0.74803149606299213" header="0.31496062992125984" footer="0.31496062992125984"/>
      <pageSetup paperSize="8" scale="47" orientation="portrait" r:id="rId2"/>
      <headerFooter>
        <oddHeader>&amp;A</oddHeader>
        <oddFooter>&amp;P / &amp;N ページ</oddFooter>
      </headerFooter>
    </customSheetView>
  </customSheetViews>
  <mergeCells count="9">
    <mergeCell ref="V26:V33"/>
    <mergeCell ref="V34:V41"/>
    <mergeCell ref="V43:V51"/>
    <mergeCell ref="B177:E177"/>
    <mergeCell ref="B166:B175"/>
    <mergeCell ref="C167:C169"/>
    <mergeCell ref="C170:C174"/>
    <mergeCell ref="D171:D173"/>
    <mergeCell ref="B176:E176"/>
  </mergeCells>
  <phoneticPr fontId="4"/>
  <conditionalFormatting sqref="F8:O8 F10:O10 F12:O14 F17:O17 F19:O19 F21:O23 F25:O25 F27:O27 F30:O30 F32:O32 F38:O55 F57:O75 F77:O77 F79:O103 F105:O105 F107:O108 F110:O111 F131:O131 F134:O134 F137:O137 F140:O140 F143:O143 F149:O149 F151:O155 F158:O158">
    <cfRule type="containsBlanks" dxfId="4" priority="3">
      <formula>LEN(TRIM(F8))=0</formula>
    </cfRule>
  </conditionalFormatting>
  <conditionalFormatting sqref="F114:O115">
    <cfRule type="containsBlanks" dxfId="3" priority="2">
      <formula>LEN(TRIM(F114))=0</formula>
    </cfRule>
  </conditionalFormatting>
  <conditionalFormatting sqref="W53:AA53">
    <cfRule type="containsBlanks" dxfId="2" priority="1">
      <formula>LEN(TRIM(W53))=0</formula>
    </cfRule>
  </conditionalFormatting>
  <pageMargins left="0.70866141732283472" right="0.70866141732283472" top="0.74803149606299213" bottom="0.74803149606299213" header="0.31496062992125984" footer="0.31496062992125984"/>
  <pageSetup paperSize="8" scale="47" orientation="portrait" r:id="rId3"/>
  <headerFooter>
    <oddHeader>&amp;A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5E2A-C061-428C-8A5F-CD083A3E2842}">
  <sheetPr>
    <tabColor theme="9" tint="0.59999389629810485"/>
    <pageSetUpPr fitToPage="1"/>
  </sheetPr>
  <dimension ref="B1:AB174"/>
  <sheetViews>
    <sheetView showGridLines="0" view="pageBreakPreview" zoomScale="85" zoomScaleNormal="85" zoomScaleSheetLayoutView="85" workbookViewId="0">
      <pane xSplit="5" ySplit="4" topLeftCell="F38" activePane="bottomRight" state="frozen"/>
      <selection activeCell="I5" sqref="I5"/>
      <selection pane="topRight" activeCell="I5" sqref="I5"/>
      <selection pane="bottomLeft" activeCell="I5" sqref="I5"/>
      <selection pane="bottomRight" activeCell="Y27" sqref="Y27"/>
    </sheetView>
  </sheetViews>
  <sheetFormatPr defaultRowHeight="14.4" outlineLevelRow="1"/>
  <cols>
    <col min="1" max="1" width="2.90625" customWidth="1"/>
    <col min="2" max="4" width="3.90625" customWidth="1"/>
    <col min="5" max="5" width="21" bestFit="1" customWidth="1"/>
    <col min="6" max="8" width="10" style="24" customWidth="1"/>
    <col min="9" max="14" width="10" style="24" customWidth="1" collapsed="1"/>
    <col min="15" max="16" width="10" style="24" customWidth="1"/>
    <col min="17" max="17" width="4.7265625" customWidth="1"/>
  </cols>
  <sheetData>
    <row r="1" spans="2:28">
      <c r="B1" t="s">
        <v>0</v>
      </c>
      <c r="F1" s="143" t="s">
        <v>593</v>
      </c>
    </row>
    <row r="2" spans="2:28">
      <c r="B2" t="s">
        <v>595</v>
      </c>
      <c r="P2" s="24" t="s">
        <v>182</v>
      </c>
      <c r="R2" t="s">
        <v>0</v>
      </c>
      <c r="W2" s="24" t="s">
        <v>182</v>
      </c>
      <c r="X2" s="24"/>
      <c r="Y2" s="24"/>
      <c r="Z2" s="24"/>
      <c r="AA2" s="24"/>
      <c r="AB2" s="24"/>
    </row>
    <row r="3" spans="2:28">
      <c r="B3" s="11" t="s">
        <v>1</v>
      </c>
      <c r="C3" s="11" t="s">
        <v>2</v>
      </c>
      <c r="D3" s="12" t="s">
        <v>3</v>
      </c>
      <c r="E3" s="84" t="s">
        <v>474</v>
      </c>
      <c r="F3" s="76" t="s">
        <v>11</v>
      </c>
      <c r="G3" s="77"/>
      <c r="H3" s="77"/>
      <c r="I3" s="77"/>
      <c r="J3" s="78"/>
      <c r="K3" s="78"/>
      <c r="L3" s="78"/>
      <c r="M3" s="78"/>
      <c r="N3" s="78"/>
      <c r="O3" s="78"/>
      <c r="P3" s="78" t="s">
        <v>530</v>
      </c>
      <c r="R3" s="11" t="s">
        <v>1</v>
      </c>
      <c r="S3" s="11" t="s">
        <v>2</v>
      </c>
      <c r="T3" s="12" t="s">
        <v>3</v>
      </c>
      <c r="U3" s="13"/>
      <c r="V3" s="20" t="s">
        <v>4</v>
      </c>
      <c r="W3" s="30" t="s">
        <v>11</v>
      </c>
      <c r="X3" s="31"/>
      <c r="Y3" s="31"/>
      <c r="Z3" s="31"/>
      <c r="AA3" s="32"/>
      <c r="AB3" s="35" t="s">
        <v>177</v>
      </c>
    </row>
    <row r="4" spans="2:28">
      <c r="B4" s="17"/>
      <c r="C4" s="17"/>
      <c r="D4" s="18"/>
      <c r="E4" s="17"/>
      <c r="F4" s="35" t="s">
        <v>12</v>
      </c>
      <c r="G4" s="35" t="s">
        <v>13</v>
      </c>
      <c r="H4" s="35" t="s">
        <v>591</v>
      </c>
      <c r="I4" s="35" t="s">
        <v>590</v>
      </c>
      <c r="J4" s="35" t="s">
        <v>575</v>
      </c>
      <c r="K4" s="35" t="s">
        <v>589</v>
      </c>
      <c r="L4" s="35" t="s">
        <v>19</v>
      </c>
      <c r="M4" s="35" t="s">
        <v>20</v>
      </c>
      <c r="N4" s="35" t="s">
        <v>588</v>
      </c>
      <c r="O4" s="35" t="s">
        <v>594</v>
      </c>
      <c r="P4" s="35"/>
      <c r="R4" s="17"/>
      <c r="S4" s="17"/>
      <c r="T4" s="18"/>
      <c r="U4" s="19"/>
      <c r="V4" s="17"/>
      <c r="W4" s="35" t="s">
        <v>589</v>
      </c>
      <c r="X4" s="35" t="s">
        <v>19</v>
      </c>
      <c r="Y4" s="35" t="s">
        <v>20</v>
      </c>
      <c r="Z4" s="35" t="s">
        <v>588</v>
      </c>
      <c r="AA4" s="35" t="s">
        <v>594</v>
      </c>
      <c r="AB4" s="35"/>
    </row>
    <row r="5" spans="2:28">
      <c r="B5" s="5" t="s">
        <v>69</v>
      </c>
      <c r="C5" s="7"/>
      <c r="D5" s="7"/>
      <c r="E5" s="8"/>
      <c r="F5" s="86">
        <f t="shared" ref="F5:J5" si="0">SUM(F6,F15,F28)</f>
        <v>0</v>
      </c>
      <c r="G5" s="86">
        <f t="shared" si="0"/>
        <v>0</v>
      </c>
      <c r="H5" s="86">
        <f t="shared" si="0"/>
        <v>0</v>
      </c>
      <c r="I5" s="86">
        <f t="shared" si="0"/>
        <v>0</v>
      </c>
      <c r="J5" s="86">
        <f t="shared" si="0"/>
        <v>0</v>
      </c>
      <c r="K5" s="86">
        <f>SUM(K6,K15,K28)</f>
        <v>0</v>
      </c>
      <c r="L5" s="86">
        <f t="shared" ref="L5:O5" si="1">SUM(L6,L15,L28)</f>
        <v>0</v>
      </c>
      <c r="M5" s="86">
        <f t="shared" si="1"/>
        <v>0</v>
      </c>
      <c r="N5" s="86">
        <f t="shared" si="1"/>
        <v>0</v>
      </c>
      <c r="O5" s="86">
        <f t="shared" si="1"/>
        <v>504865980</v>
      </c>
      <c r="P5" s="87">
        <f>AVERAGE(F5:O5)</f>
        <v>50486598</v>
      </c>
      <c r="R5" s="5" t="s">
        <v>69</v>
      </c>
      <c r="S5" s="7"/>
      <c r="T5" s="7"/>
      <c r="U5" s="8"/>
      <c r="V5" s="1"/>
      <c r="W5" s="39">
        <f>SUM(W6,W11,W18,W19)</f>
        <v>0</v>
      </c>
      <c r="X5" s="39">
        <f t="shared" ref="X5:Z5" si="2">SUM(X6,X11,X18,X19)</f>
        <v>0</v>
      </c>
      <c r="Y5" s="39">
        <f t="shared" si="2"/>
        <v>0</v>
      </c>
      <c r="Z5" s="39">
        <f t="shared" si="2"/>
        <v>0</v>
      </c>
      <c r="AA5" s="39">
        <f>SUM(AA6,AA11,AA18,AA19)</f>
        <v>484865980</v>
      </c>
      <c r="AB5" s="39">
        <f>SUM(AB6,AB11,AB18,AB19)</f>
        <v>48663718</v>
      </c>
    </row>
    <row r="6" spans="2:28">
      <c r="B6" s="4"/>
      <c r="C6" s="5" t="s">
        <v>70</v>
      </c>
      <c r="D6" s="7"/>
      <c r="E6" s="8"/>
      <c r="F6" s="86">
        <f t="shared" ref="F6:L6" si="3">SUM(F7,F9,F11)</f>
        <v>0</v>
      </c>
      <c r="G6" s="86">
        <f t="shared" si="3"/>
        <v>0</v>
      </c>
      <c r="H6" s="86">
        <f t="shared" si="3"/>
        <v>0</v>
      </c>
      <c r="I6" s="86">
        <f t="shared" si="3"/>
        <v>0</v>
      </c>
      <c r="J6" s="86">
        <f t="shared" si="3"/>
        <v>0</v>
      </c>
      <c r="K6" s="86">
        <f t="shared" si="3"/>
        <v>0</v>
      </c>
      <c r="L6" s="86">
        <f t="shared" si="3"/>
        <v>0</v>
      </c>
      <c r="M6" s="86">
        <f>SUM(M7,M9,M11)</f>
        <v>0</v>
      </c>
      <c r="N6" s="86">
        <f>SUM(N7,N9,N11)</f>
        <v>0</v>
      </c>
      <c r="O6" s="86">
        <f>SUM(O7,O9,O11)</f>
        <v>120750259</v>
      </c>
      <c r="P6" s="87">
        <f t="shared" ref="P6:P32" si="4">AVERAGE(F6:O6)</f>
        <v>12075025.9</v>
      </c>
      <c r="R6" s="4"/>
      <c r="S6" s="5" t="s">
        <v>70</v>
      </c>
      <c r="T6" s="7"/>
      <c r="U6" s="8"/>
      <c r="V6" s="1"/>
      <c r="W6" s="39">
        <f>SUM(W7:W10)</f>
        <v>0</v>
      </c>
      <c r="X6" s="39">
        <f t="shared" ref="X6:AA6" si="5">SUM(X7:X10)</f>
        <v>0</v>
      </c>
      <c r="Y6" s="39">
        <f t="shared" si="5"/>
        <v>0</v>
      </c>
      <c r="Z6" s="39">
        <f t="shared" si="5"/>
        <v>0</v>
      </c>
      <c r="AA6" s="39">
        <f t="shared" si="5"/>
        <v>120750259</v>
      </c>
      <c r="AB6" s="39">
        <f>SUM(AB7:AB10)</f>
        <v>12252145.9</v>
      </c>
    </row>
    <row r="7" spans="2:28">
      <c r="B7" s="4"/>
      <c r="C7" s="4"/>
      <c r="D7" s="5" t="s">
        <v>71</v>
      </c>
      <c r="E7" s="8"/>
      <c r="F7" s="86">
        <f>F8</f>
        <v>0</v>
      </c>
      <c r="G7" s="86">
        <f t="shared" ref="G7:N7" si="6">G8</f>
        <v>0</v>
      </c>
      <c r="H7" s="86">
        <f t="shared" si="6"/>
        <v>0</v>
      </c>
      <c r="I7" s="86">
        <f t="shared" si="6"/>
        <v>0</v>
      </c>
      <c r="J7" s="86">
        <f t="shared" si="6"/>
        <v>0</v>
      </c>
      <c r="K7" s="86">
        <f t="shared" si="6"/>
        <v>0</v>
      </c>
      <c r="L7" s="86">
        <f t="shared" si="6"/>
        <v>0</v>
      </c>
      <c r="M7" s="86">
        <f t="shared" si="6"/>
        <v>0</v>
      </c>
      <c r="N7" s="86">
        <f t="shared" si="6"/>
        <v>0</v>
      </c>
      <c r="O7" s="86">
        <f>O8</f>
        <v>120553459</v>
      </c>
      <c r="P7" s="87">
        <f t="shared" si="4"/>
        <v>12055345.9</v>
      </c>
      <c r="R7" s="4"/>
      <c r="S7" s="4"/>
      <c r="T7" s="9" t="s">
        <v>71</v>
      </c>
      <c r="U7" s="8"/>
      <c r="V7" s="1"/>
      <c r="W7" s="39">
        <f>K7</f>
        <v>0</v>
      </c>
      <c r="X7" s="39">
        <f t="shared" ref="X7:AA7" si="7">L7</f>
        <v>0</v>
      </c>
      <c r="Y7" s="39">
        <f t="shared" si="7"/>
        <v>0</v>
      </c>
      <c r="Z7" s="39">
        <f t="shared" si="7"/>
        <v>0</v>
      </c>
      <c r="AA7" s="39">
        <f t="shared" si="7"/>
        <v>120553459</v>
      </c>
      <c r="AB7" s="39">
        <f>P7</f>
        <v>12055345.9</v>
      </c>
    </row>
    <row r="8" spans="2:28">
      <c r="B8" s="4"/>
      <c r="C8" s="4"/>
      <c r="D8" s="3"/>
      <c r="E8" s="142" t="s">
        <v>429</v>
      </c>
      <c r="F8" s="86"/>
      <c r="G8" s="86"/>
      <c r="H8" s="86"/>
      <c r="I8" s="86"/>
      <c r="J8" s="86"/>
      <c r="K8" s="86"/>
      <c r="L8" s="86"/>
      <c r="M8" s="86"/>
      <c r="N8" s="86"/>
      <c r="O8" s="86">
        <v>120553459</v>
      </c>
      <c r="P8" s="87">
        <f t="shared" si="4"/>
        <v>120553459</v>
      </c>
      <c r="R8" s="4"/>
      <c r="S8" s="4"/>
      <c r="T8" s="9" t="s">
        <v>72</v>
      </c>
      <c r="U8" s="8"/>
      <c r="V8" s="1"/>
      <c r="W8" s="39">
        <f>K13</f>
        <v>0</v>
      </c>
      <c r="X8" s="39">
        <f t="shared" ref="X8:AA8" si="8">L13</f>
        <v>0</v>
      </c>
      <c r="Y8" s="39">
        <f t="shared" si="8"/>
        <v>0</v>
      </c>
      <c r="Z8" s="39">
        <f t="shared" si="8"/>
        <v>0</v>
      </c>
      <c r="AA8" s="39">
        <f t="shared" si="8"/>
        <v>0</v>
      </c>
      <c r="AB8" s="39">
        <f>P13</f>
        <v>0</v>
      </c>
    </row>
    <row r="9" spans="2:28">
      <c r="B9" s="4"/>
      <c r="C9" s="4"/>
      <c r="D9" s="5" t="s">
        <v>430</v>
      </c>
      <c r="E9" s="8"/>
      <c r="F9" s="86">
        <f t="shared" ref="F9:N9" si="9">F10</f>
        <v>0</v>
      </c>
      <c r="G9" s="86">
        <f t="shared" si="9"/>
        <v>0</v>
      </c>
      <c r="H9" s="86">
        <f t="shared" si="9"/>
        <v>0</v>
      </c>
      <c r="I9" s="86">
        <f t="shared" si="9"/>
        <v>0</v>
      </c>
      <c r="J9" s="86">
        <f t="shared" si="9"/>
        <v>0</v>
      </c>
      <c r="K9" s="86">
        <f t="shared" si="9"/>
        <v>0</v>
      </c>
      <c r="L9" s="86">
        <f t="shared" si="9"/>
        <v>0</v>
      </c>
      <c r="M9" s="86">
        <f t="shared" si="9"/>
        <v>0</v>
      </c>
      <c r="N9" s="86">
        <f t="shared" si="9"/>
        <v>0</v>
      </c>
      <c r="O9" s="86">
        <f>O10</f>
        <v>0</v>
      </c>
      <c r="P9" s="87">
        <f t="shared" si="4"/>
        <v>0</v>
      </c>
      <c r="R9" s="4"/>
      <c r="S9" s="4"/>
      <c r="T9" s="9" t="s">
        <v>430</v>
      </c>
      <c r="U9" s="8"/>
      <c r="V9" s="1"/>
      <c r="W9" s="39">
        <f>K9</f>
        <v>0</v>
      </c>
      <c r="X9" s="39">
        <f t="shared" ref="X9:AA9" si="10">L9</f>
        <v>0</v>
      </c>
      <c r="Y9" s="39">
        <f t="shared" si="10"/>
        <v>0</v>
      </c>
      <c r="Z9" s="39">
        <f t="shared" si="10"/>
        <v>0</v>
      </c>
      <c r="AA9" s="39">
        <f t="shared" si="10"/>
        <v>0</v>
      </c>
      <c r="AB9" s="39">
        <f>P9</f>
        <v>0</v>
      </c>
    </row>
    <row r="10" spans="2:28">
      <c r="B10" s="4"/>
      <c r="C10" s="79"/>
      <c r="D10" s="3"/>
      <c r="E10" s="142" t="s">
        <v>430</v>
      </c>
      <c r="F10" s="86"/>
      <c r="G10" s="86"/>
      <c r="H10" s="86"/>
      <c r="I10" s="86"/>
      <c r="J10" s="86"/>
      <c r="K10" s="86"/>
      <c r="L10" s="86"/>
      <c r="M10" s="86"/>
      <c r="N10" s="86"/>
      <c r="O10" s="86">
        <v>0</v>
      </c>
      <c r="P10" s="86">
        <f t="shared" si="4"/>
        <v>0</v>
      </c>
      <c r="R10" s="4"/>
      <c r="S10" s="3"/>
      <c r="T10" s="9" t="s">
        <v>73</v>
      </c>
      <c r="U10" s="8"/>
      <c r="V10" s="1"/>
      <c r="W10" s="39">
        <f>K12</f>
        <v>0</v>
      </c>
      <c r="X10" s="39">
        <f t="shared" ref="X10:AA10" si="11">L12</f>
        <v>0</v>
      </c>
      <c r="Y10" s="39">
        <f t="shared" si="11"/>
        <v>0</v>
      </c>
      <c r="Z10" s="39">
        <f t="shared" si="11"/>
        <v>0</v>
      </c>
      <c r="AA10" s="39">
        <f t="shared" si="11"/>
        <v>196800</v>
      </c>
      <c r="AB10" s="39">
        <f>P12</f>
        <v>196800</v>
      </c>
    </row>
    <row r="11" spans="2:28">
      <c r="B11" s="4"/>
      <c r="C11" s="4"/>
      <c r="D11" s="5" t="s">
        <v>73</v>
      </c>
      <c r="E11" s="8"/>
      <c r="F11" s="86">
        <f t="shared" ref="F11:M11" si="12">SUM(F12:F14)</f>
        <v>0</v>
      </c>
      <c r="G11" s="86">
        <f t="shared" si="12"/>
        <v>0</v>
      </c>
      <c r="H11" s="86">
        <f t="shared" si="12"/>
        <v>0</v>
      </c>
      <c r="I11" s="86">
        <f t="shared" si="12"/>
        <v>0</v>
      </c>
      <c r="J11" s="86">
        <f t="shared" si="12"/>
        <v>0</v>
      </c>
      <c r="K11" s="86">
        <f t="shared" si="12"/>
        <v>0</v>
      </c>
      <c r="L11" s="86">
        <f t="shared" si="12"/>
        <v>0</v>
      </c>
      <c r="M11" s="86">
        <f t="shared" si="12"/>
        <v>0</v>
      </c>
      <c r="N11" s="86">
        <f>SUM(N12:N14)</f>
        <v>0</v>
      </c>
      <c r="O11" s="86">
        <f>SUM(O12:O14)</f>
        <v>196800</v>
      </c>
      <c r="P11" s="87">
        <f t="shared" si="4"/>
        <v>19680</v>
      </c>
      <c r="R11" s="4"/>
      <c r="S11" s="5" t="s">
        <v>74</v>
      </c>
      <c r="T11" s="7"/>
      <c r="U11" s="8"/>
      <c r="V11" s="1"/>
      <c r="W11" s="39">
        <f>SUM(W12:W15)</f>
        <v>0</v>
      </c>
      <c r="X11" s="39">
        <f t="shared" ref="X11:Z11" si="13">SUM(X12:X15)</f>
        <v>0</v>
      </c>
      <c r="Y11" s="39">
        <f t="shared" si="13"/>
        <v>0</v>
      </c>
      <c r="Z11" s="39">
        <f t="shared" si="13"/>
        <v>0</v>
      </c>
      <c r="AA11" s="39">
        <f>SUM(AA12:AA15)</f>
        <v>364115721</v>
      </c>
      <c r="AB11" s="39">
        <f>SUM(AB12:AB15)</f>
        <v>36411572.100000001</v>
      </c>
    </row>
    <row r="12" spans="2:28">
      <c r="B12" s="4"/>
      <c r="C12" s="4"/>
      <c r="D12" s="4"/>
      <c r="E12" s="142" t="s">
        <v>431</v>
      </c>
      <c r="F12" s="86"/>
      <c r="G12" s="86"/>
      <c r="H12" s="86"/>
      <c r="I12" s="86"/>
      <c r="J12" s="86"/>
      <c r="K12" s="86"/>
      <c r="L12" s="86"/>
      <c r="M12" s="86"/>
      <c r="N12" s="86"/>
      <c r="O12" s="86">
        <v>196800</v>
      </c>
      <c r="P12" s="87">
        <f t="shared" si="4"/>
        <v>196800</v>
      </c>
      <c r="R12" s="4"/>
      <c r="S12" s="4"/>
      <c r="T12" s="9" t="s">
        <v>75</v>
      </c>
      <c r="U12" s="8"/>
      <c r="V12" s="1"/>
      <c r="W12" s="39">
        <f>K16</f>
        <v>0</v>
      </c>
      <c r="X12" s="39">
        <f t="shared" ref="X12:AA12" si="14">L16</f>
        <v>0</v>
      </c>
      <c r="Y12" s="39">
        <f t="shared" si="14"/>
        <v>0</v>
      </c>
      <c r="Z12" s="39">
        <f t="shared" si="14"/>
        <v>0</v>
      </c>
      <c r="AA12" s="39">
        <f t="shared" si="14"/>
        <v>0</v>
      </c>
      <c r="AB12" s="39">
        <f>P16</f>
        <v>0</v>
      </c>
    </row>
    <row r="13" spans="2:28">
      <c r="B13" s="4"/>
      <c r="C13" s="79"/>
      <c r="D13" s="4"/>
      <c r="E13" s="142" t="s">
        <v>72</v>
      </c>
      <c r="F13" s="86"/>
      <c r="G13" s="86"/>
      <c r="H13" s="86"/>
      <c r="I13" s="86"/>
      <c r="J13" s="86"/>
      <c r="K13" s="86"/>
      <c r="L13" s="86"/>
      <c r="M13" s="86"/>
      <c r="N13" s="86"/>
      <c r="O13" s="86">
        <v>0</v>
      </c>
      <c r="P13" s="87">
        <f t="shared" si="4"/>
        <v>0</v>
      </c>
      <c r="R13" s="4"/>
      <c r="S13" s="4"/>
      <c r="T13" s="9" t="s">
        <v>76</v>
      </c>
      <c r="U13" s="8"/>
      <c r="V13" s="1"/>
      <c r="W13" s="39">
        <f>K18</f>
        <v>0</v>
      </c>
      <c r="X13" s="39">
        <f t="shared" ref="X13:Z13" si="15">L18</f>
        <v>0</v>
      </c>
      <c r="Y13" s="39">
        <f t="shared" si="15"/>
        <v>0</v>
      </c>
      <c r="Z13" s="39">
        <f t="shared" si="15"/>
        <v>0</v>
      </c>
      <c r="AA13" s="39">
        <f>O18</f>
        <v>25117004</v>
      </c>
      <c r="AB13" s="39">
        <f>P18</f>
        <v>2511700.4</v>
      </c>
    </row>
    <row r="14" spans="2:28">
      <c r="B14" s="4"/>
      <c r="C14" s="79"/>
      <c r="D14" s="3"/>
      <c r="E14" s="142" t="s">
        <v>432</v>
      </c>
      <c r="F14" s="86"/>
      <c r="G14" s="86"/>
      <c r="H14" s="86"/>
      <c r="I14" s="86"/>
      <c r="J14" s="86"/>
      <c r="K14" s="86"/>
      <c r="L14" s="86"/>
      <c r="M14" s="86"/>
      <c r="N14" s="86"/>
      <c r="O14" s="86">
        <v>0</v>
      </c>
      <c r="P14" s="87">
        <f t="shared" si="4"/>
        <v>0</v>
      </c>
      <c r="R14" s="4"/>
      <c r="S14" s="4"/>
      <c r="T14" s="9" t="s">
        <v>77</v>
      </c>
      <c r="U14" s="8"/>
      <c r="V14" s="1"/>
      <c r="W14" s="39">
        <f>K20</f>
        <v>0</v>
      </c>
      <c r="X14" s="39">
        <f t="shared" ref="X14:AA14" si="16">L20</f>
        <v>0</v>
      </c>
      <c r="Y14" s="39">
        <f t="shared" si="16"/>
        <v>0</v>
      </c>
      <c r="Z14" s="39">
        <f t="shared" si="16"/>
        <v>0</v>
      </c>
      <c r="AA14" s="39">
        <f t="shared" si="16"/>
        <v>2589660</v>
      </c>
      <c r="AB14" s="39">
        <f>P20</f>
        <v>258966</v>
      </c>
    </row>
    <row r="15" spans="2:28">
      <c r="B15" s="4"/>
      <c r="C15" s="5" t="s">
        <v>74</v>
      </c>
      <c r="D15" s="7"/>
      <c r="E15" s="8"/>
      <c r="F15" s="86">
        <f t="shared" ref="F15:M15" si="17">SUM(F16,F18,F20,F24,F26)</f>
        <v>0</v>
      </c>
      <c r="G15" s="86">
        <f t="shared" si="17"/>
        <v>0</v>
      </c>
      <c r="H15" s="86">
        <f t="shared" si="17"/>
        <v>0</v>
      </c>
      <c r="I15" s="86">
        <f t="shared" si="17"/>
        <v>0</v>
      </c>
      <c r="J15" s="86">
        <f t="shared" si="17"/>
        <v>0</v>
      </c>
      <c r="K15" s="86">
        <f>SUM(K16,K18,K20,K24,K26)</f>
        <v>0</v>
      </c>
      <c r="L15" s="86">
        <f t="shared" si="17"/>
        <v>0</v>
      </c>
      <c r="M15" s="86">
        <f t="shared" si="17"/>
        <v>0</v>
      </c>
      <c r="N15" s="86">
        <f>SUM(N16,N18,N20,N24,N26)</f>
        <v>0</v>
      </c>
      <c r="O15" s="86">
        <f>SUM(O16,O18,O20,O24,O26)</f>
        <v>384115721</v>
      </c>
      <c r="P15" s="87">
        <f t="shared" si="4"/>
        <v>38411572.100000001</v>
      </c>
      <c r="R15" s="4"/>
      <c r="S15" s="4"/>
      <c r="T15" s="5" t="s">
        <v>78</v>
      </c>
      <c r="U15" s="8"/>
      <c r="V15" s="1"/>
      <c r="W15" s="39">
        <f>SUM(W16:W17)</f>
        <v>0</v>
      </c>
      <c r="X15" s="39">
        <f t="shared" ref="X15:AA15" si="18">SUM(X16:X17)</f>
        <v>0</v>
      </c>
      <c r="Y15" s="39">
        <f t="shared" si="18"/>
        <v>0</v>
      </c>
      <c r="Z15" s="39">
        <f t="shared" si="18"/>
        <v>0</v>
      </c>
      <c r="AA15" s="39">
        <f t="shared" si="18"/>
        <v>336409057</v>
      </c>
      <c r="AB15" s="39">
        <f>SUM(AB16:AB17)</f>
        <v>33640905.700000003</v>
      </c>
    </row>
    <row r="16" spans="2:28">
      <c r="B16" s="4"/>
      <c r="C16" s="4"/>
      <c r="D16" s="5" t="s">
        <v>75</v>
      </c>
      <c r="E16" s="8"/>
      <c r="F16" s="86">
        <f t="shared" ref="F16:N16" si="19">F17</f>
        <v>0</v>
      </c>
      <c r="G16" s="86">
        <f t="shared" si="19"/>
        <v>0</v>
      </c>
      <c r="H16" s="86">
        <f t="shared" si="19"/>
        <v>0</v>
      </c>
      <c r="I16" s="86">
        <f t="shared" si="19"/>
        <v>0</v>
      </c>
      <c r="J16" s="86">
        <f t="shared" si="19"/>
        <v>0</v>
      </c>
      <c r="K16" s="86">
        <f t="shared" si="19"/>
        <v>0</v>
      </c>
      <c r="L16" s="86">
        <f t="shared" si="19"/>
        <v>0</v>
      </c>
      <c r="M16" s="86">
        <f t="shared" si="19"/>
        <v>0</v>
      </c>
      <c r="N16" s="86">
        <f t="shared" si="19"/>
        <v>0</v>
      </c>
      <c r="O16" s="86">
        <f>O17</f>
        <v>0</v>
      </c>
      <c r="P16" s="87">
        <f t="shared" si="4"/>
        <v>0</v>
      </c>
      <c r="R16" s="4"/>
      <c r="S16" s="4"/>
      <c r="T16" s="4"/>
      <c r="U16" s="1" t="s">
        <v>79</v>
      </c>
      <c r="V16" s="1"/>
      <c r="W16" s="39">
        <f>K26</f>
        <v>0</v>
      </c>
      <c r="X16" s="39">
        <f t="shared" ref="X16:AA16" si="20">L26</f>
        <v>0</v>
      </c>
      <c r="Y16" s="39">
        <f t="shared" si="20"/>
        <v>0</v>
      </c>
      <c r="Z16" s="39">
        <f t="shared" si="20"/>
        <v>0</v>
      </c>
      <c r="AA16" s="39">
        <f t="shared" si="20"/>
        <v>336409057</v>
      </c>
      <c r="AB16" s="39">
        <f>P26</f>
        <v>33640905.700000003</v>
      </c>
    </row>
    <row r="17" spans="2:28">
      <c r="B17" s="4"/>
      <c r="C17" s="4"/>
      <c r="D17" s="80"/>
      <c r="E17" s="142" t="s">
        <v>433</v>
      </c>
      <c r="F17" s="86"/>
      <c r="G17" s="86"/>
      <c r="H17" s="86"/>
      <c r="I17" s="86"/>
      <c r="J17" s="86"/>
      <c r="K17" s="86"/>
      <c r="L17" s="86"/>
      <c r="M17" s="86"/>
      <c r="N17" s="86"/>
      <c r="O17" s="86">
        <v>0</v>
      </c>
      <c r="P17" s="87">
        <f t="shared" si="4"/>
        <v>0</v>
      </c>
      <c r="R17" s="4"/>
      <c r="S17" s="3"/>
      <c r="T17" s="3"/>
      <c r="U17" s="1" t="s">
        <v>80</v>
      </c>
      <c r="V17" s="1"/>
      <c r="W17" s="39"/>
      <c r="X17" s="39"/>
      <c r="Y17" s="39"/>
      <c r="Z17" s="39"/>
      <c r="AA17" s="39"/>
      <c r="AB17" s="39"/>
    </row>
    <row r="18" spans="2:28">
      <c r="B18" s="4"/>
      <c r="C18" s="4"/>
      <c r="D18" s="5" t="s">
        <v>76</v>
      </c>
      <c r="E18" s="8"/>
      <c r="F18" s="86">
        <f t="shared" ref="F18:N18" si="21">F19</f>
        <v>0</v>
      </c>
      <c r="G18" s="86">
        <f t="shared" si="21"/>
        <v>0</v>
      </c>
      <c r="H18" s="86">
        <f t="shared" si="21"/>
        <v>0</v>
      </c>
      <c r="I18" s="86">
        <f t="shared" si="21"/>
        <v>0</v>
      </c>
      <c r="J18" s="86">
        <f t="shared" si="21"/>
        <v>0</v>
      </c>
      <c r="K18" s="86">
        <f t="shared" si="21"/>
        <v>0</v>
      </c>
      <c r="L18" s="86">
        <f t="shared" si="21"/>
        <v>0</v>
      </c>
      <c r="M18" s="86">
        <f t="shared" si="21"/>
        <v>0</v>
      </c>
      <c r="N18" s="86">
        <f t="shared" si="21"/>
        <v>0</v>
      </c>
      <c r="O18" s="86">
        <f>O19</f>
        <v>25117004</v>
      </c>
      <c r="P18" s="87">
        <f t="shared" si="4"/>
        <v>2511700.4</v>
      </c>
      <c r="R18" s="4"/>
      <c r="S18" s="9" t="s">
        <v>81</v>
      </c>
      <c r="T18" s="7"/>
      <c r="U18" s="8"/>
      <c r="V18" s="1"/>
      <c r="W18" s="39"/>
      <c r="X18" s="39"/>
      <c r="Y18" s="39"/>
      <c r="Z18" s="39"/>
      <c r="AA18" s="39"/>
      <c r="AB18" s="39"/>
    </row>
    <row r="19" spans="2:28">
      <c r="B19" s="4"/>
      <c r="C19" s="4"/>
      <c r="D19" s="3"/>
      <c r="E19" s="144" t="s">
        <v>76</v>
      </c>
      <c r="F19" s="86"/>
      <c r="G19" s="86"/>
      <c r="H19" s="86"/>
      <c r="I19" s="86"/>
      <c r="J19" s="86"/>
      <c r="K19" s="86"/>
      <c r="L19" s="86"/>
      <c r="M19" s="86"/>
      <c r="N19" s="86"/>
      <c r="O19" s="86">
        <v>25117004</v>
      </c>
      <c r="P19" s="87">
        <f t="shared" si="4"/>
        <v>25117004</v>
      </c>
      <c r="R19" s="4"/>
      <c r="S19" s="5" t="s">
        <v>82</v>
      </c>
      <c r="T19" s="7"/>
      <c r="U19" s="8"/>
      <c r="V19" s="1"/>
      <c r="W19" s="39">
        <f>SUM(W20:W22)</f>
        <v>0</v>
      </c>
      <c r="X19" s="39">
        <f t="shared" ref="X19:AA19" si="22">SUM(X20:X22)</f>
        <v>0</v>
      </c>
      <c r="Y19" s="39">
        <f t="shared" si="22"/>
        <v>0</v>
      </c>
      <c r="Z19" s="39">
        <f t="shared" si="22"/>
        <v>0</v>
      </c>
      <c r="AA19" s="39">
        <f t="shared" si="22"/>
        <v>0</v>
      </c>
      <c r="AB19" s="39">
        <f>SUM(AB20:AB22)</f>
        <v>0</v>
      </c>
    </row>
    <row r="20" spans="2:28">
      <c r="B20" s="4"/>
      <c r="C20" s="4"/>
      <c r="D20" s="5" t="s">
        <v>77</v>
      </c>
      <c r="E20" s="8"/>
      <c r="F20" s="86">
        <f t="shared" ref="F20:L20" si="23">SUM(F21:F23)</f>
        <v>0</v>
      </c>
      <c r="G20" s="86">
        <f t="shared" si="23"/>
        <v>0</v>
      </c>
      <c r="H20" s="86">
        <f t="shared" si="23"/>
        <v>0</v>
      </c>
      <c r="I20" s="86">
        <f t="shared" si="23"/>
        <v>0</v>
      </c>
      <c r="J20" s="86">
        <f t="shared" si="23"/>
        <v>0</v>
      </c>
      <c r="K20" s="86">
        <f t="shared" si="23"/>
        <v>0</v>
      </c>
      <c r="L20" s="86">
        <f t="shared" si="23"/>
        <v>0</v>
      </c>
      <c r="M20" s="86">
        <f>SUM(M21:M23)</f>
        <v>0</v>
      </c>
      <c r="N20" s="86">
        <f>SUM(N21:N23)</f>
        <v>0</v>
      </c>
      <c r="O20" s="86">
        <f>SUM(O21:O23)</f>
        <v>2589660</v>
      </c>
      <c r="P20" s="87">
        <f t="shared" si="4"/>
        <v>258966</v>
      </c>
      <c r="R20" s="4"/>
      <c r="S20" s="4"/>
      <c r="T20" s="9" t="s">
        <v>83</v>
      </c>
      <c r="U20" s="8"/>
      <c r="V20" s="1"/>
      <c r="W20" s="39">
        <f>K32</f>
        <v>0</v>
      </c>
      <c r="X20" s="39">
        <f t="shared" ref="X20:AA20" si="24">L32</f>
        <v>0</v>
      </c>
      <c r="Y20" s="39">
        <f t="shared" si="24"/>
        <v>0</v>
      </c>
      <c r="Z20" s="39">
        <f t="shared" si="24"/>
        <v>0</v>
      </c>
      <c r="AA20" s="39">
        <f t="shared" si="24"/>
        <v>0</v>
      </c>
      <c r="AB20" s="39">
        <f>P32</f>
        <v>0</v>
      </c>
    </row>
    <row r="21" spans="2:28">
      <c r="B21" s="4"/>
      <c r="C21" s="4"/>
      <c r="D21" s="79"/>
      <c r="E21" s="142" t="s">
        <v>434</v>
      </c>
      <c r="F21" s="86"/>
      <c r="G21" s="86"/>
      <c r="H21" s="86"/>
      <c r="I21" s="86"/>
      <c r="J21" s="86"/>
      <c r="K21" s="86"/>
      <c r="L21" s="86"/>
      <c r="M21" s="86"/>
      <c r="N21" s="86"/>
      <c r="O21" s="86">
        <v>2589660</v>
      </c>
      <c r="P21" s="87">
        <f t="shared" si="4"/>
        <v>2589660</v>
      </c>
      <c r="R21" s="4"/>
      <c r="S21" s="4"/>
      <c r="T21" s="9" t="s">
        <v>84</v>
      </c>
      <c r="U21" s="8"/>
      <c r="V21" s="1"/>
      <c r="W21" s="39">
        <f>K29</f>
        <v>0</v>
      </c>
      <c r="X21" s="39">
        <f t="shared" ref="X21:AA21" si="25">L29</f>
        <v>0</v>
      </c>
      <c r="Y21" s="39">
        <f t="shared" si="25"/>
        <v>0</v>
      </c>
      <c r="Z21" s="39">
        <f t="shared" si="25"/>
        <v>0</v>
      </c>
      <c r="AA21" s="39">
        <f t="shared" si="25"/>
        <v>0</v>
      </c>
      <c r="AB21" s="39">
        <f>P29</f>
        <v>0</v>
      </c>
    </row>
    <row r="22" spans="2:28">
      <c r="B22" s="4"/>
      <c r="C22" s="4"/>
      <c r="D22" s="79"/>
      <c r="E22" s="144" t="s">
        <v>435</v>
      </c>
      <c r="F22" s="86"/>
      <c r="G22" s="86"/>
      <c r="H22" s="86"/>
      <c r="I22" s="86"/>
      <c r="J22" s="86"/>
      <c r="K22" s="86"/>
      <c r="L22" s="86"/>
      <c r="M22" s="86"/>
      <c r="N22" s="86"/>
      <c r="O22" s="86">
        <v>0</v>
      </c>
      <c r="P22" s="87">
        <f t="shared" si="4"/>
        <v>0</v>
      </c>
      <c r="R22" s="3"/>
      <c r="S22" s="3"/>
      <c r="T22" s="9" t="s">
        <v>85</v>
      </c>
      <c r="U22" s="8"/>
      <c r="V22" s="1"/>
      <c r="W22" s="39"/>
      <c r="X22" s="39"/>
      <c r="Y22" s="39"/>
      <c r="Z22" s="39"/>
      <c r="AA22" s="39"/>
      <c r="AB22" s="39"/>
    </row>
    <row r="23" spans="2:28">
      <c r="B23" s="4"/>
      <c r="C23" s="4"/>
      <c r="D23" s="80"/>
      <c r="E23" s="144" t="s">
        <v>436</v>
      </c>
      <c r="F23" s="86"/>
      <c r="G23" s="86"/>
      <c r="H23" s="86"/>
      <c r="I23" s="86"/>
      <c r="J23" s="86"/>
      <c r="K23" s="86"/>
      <c r="L23" s="86"/>
      <c r="M23" s="86"/>
      <c r="N23" s="86"/>
      <c r="O23" s="86">
        <v>0</v>
      </c>
      <c r="P23" s="87">
        <f t="shared" si="4"/>
        <v>0</v>
      </c>
      <c r="R23" s="5" t="s">
        <v>86</v>
      </c>
      <c r="S23" s="7"/>
      <c r="T23" s="7"/>
      <c r="U23" s="8"/>
      <c r="V23" s="1"/>
      <c r="W23" s="39">
        <f t="shared" ref="W23:AB23" si="26">SUM(W24,W57,W62)</f>
        <v>0</v>
      </c>
      <c r="X23" s="39">
        <f t="shared" si="26"/>
        <v>0</v>
      </c>
      <c r="Y23" s="39">
        <f t="shared" si="26"/>
        <v>0</v>
      </c>
      <c r="Z23" s="39">
        <f t="shared" si="26"/>
        <v>0</v>
      </c>
      <c r="AA23" s="39">
        <f t="shared" si="26"/>
        <v>0</v>
      </c>
      <c r="AB23" s="39" t="e">
        <f t="shared" si="26"/>
        <v>#DIV/0!</v>
      </c>
    </row>
    <row r="24" spans="2:28">
      <c r="B24" s="4"/>
      <c r="C24" s="4"/>
      <c r="D24" s="79" t="s">
        <v>471</v>
      </c>
      <c r="E24" s="7"/>
      <c r="F24" s="86">
        <f t="shared" ref="F24:N24" si="27">F25</f>
        <v>0</v>
      </c>
      <c r="G24" s="86">
        <f t="shared" si="27"/>
        <v>0</v>
      </c>
      <c r="H24" s="86">
        <f t="shared" si="27"/>
        <v>0</v>
      </c>
      <c r="I24" s="86">
        <f t="shared" si="27"/>
        <v>0</v>
      </c>
      <c r="J24" s="86">
        <f t="shared" si="27"/>
        <v>0</v>
      </c>
      <c r="K24" s="86">
        <f t="shared" si="27"/>
        <v>0</v>
      </c>
      <c r="L24" s="86">
        <f t="shared" si="27"/>
        <v>0</v>
      </c>
      <c r="M24" s="86">
        <f t="shared" si="27"/>
        <v>0</v>
      </c>
      <c r="N24" s="86">
        <f t="shared" si="27"/>
        <v>0</v>
      </c>
      <c r="O24" s="86">
        <f>O25</f>
        <v>20000000</v>
      </c>
      <c r="P24" s="87">
        <f t="shared" si="4"/>
        <v>2000000</v>
      </c>
      <c r="R24" s="4"/>
      <c r="S24" s="5" t="s">
        <v>87</v>
      </c>
      <c r="T24" s="7"/>
      <c r="U24" s="8"/>
      <c r="V24" s="1"/>
      <c r="W24" s="39">
        <f t="shared" ref="W24:AB24" si="28">SUM(W25,W33,W42,W51,W54)</f>
        <v>0</v>
      </c>
      <c r="X24" s="39">
        <f t="shared" si="28"/>
        <v>0</v>
      </c>
      <c r="Y24" s="39">
        <f t="shared" si="28"/>
        <v>0</v>
      </c>
      <c r="Z24" s="39">
        <f t="shared" si="28"/>
        <v>0</v>
      </c>
      <c r="AA24" s="39">
        <f t="shared" si="28"/>
        <v>0</v>
      </c>
      <c r="AB24" s="39" t="e">
        <f t="shared" si="28"/>
        <v>#DIV/0!</v>
      </c>
    </row>
    <row r="25" spans="2:28">
      <c r="B25" s="4"/>
      <c r="C25" s="4"/>
      <c r="D25" s="79"/>
      <c r="E25" s="142" t="s">
        <v>117</v>
      </c>
      <c r="F25" s="86"/>
      <c r="G25" s="86"/>
      <c r="H25" s="86"/>
      <c r="I25" s="86"/>
      <c r="J25" s="86"/>
      <c r="K25" s="86"/>
      <c r="L25" s="86"/>
      <c r="M25" s="86"/>
      <c r="N25" s="86"/>
      <c r="O25" s="86">
        <v>20000000</v>
      </c>
      <c r="P25" s="87">
        <f t="shared" si="4"/>
        <v>20000000</v>
      </c>
      <c r="R25" s="4"/>
      <c r="S25" s="4"/>
      <c r="T25" s="5" t="s">
        <v>88</v>
      </c>
      <c r="U25" s="8"/>
      <c r="V25" s="302" t="s">
        <v>174</v>
      </c>
      <c r="W25" s="39">
        <f>SUM(W26:W32)</f>
        <v>0</v>
      </c>
      <c r="X25" s="39">
        <f t="shared" ref="X25:AA25" si="29">SUM(X26:X32)</f>
        <v>0</v>
      </c>
      <c r="Y25" s="39">
        <f t="shared" si="29"/>
        <v>0</v>
      </c>
      <c r="Z25" s="39">
        <f t="shared" si="29"/>
        <v>0</v>
      </c>
      <c r="AA25" s="39">
        <f t="shared" si="29"/>
        <v>0</v>
      </c>
      <c r="AB25" s="39" t="e">
        <f>SUM(AB26:AB32)</f>
        <v>#DIV/0!</v>
      </c>
    </row>
    <row r="26" spans="2:28">
      <c r="B26" s="4"/>
      <c r="C26" s="4"/>
      <c r="D26" s="5" t="s">
        <v>78</v>
      </c>
      <c r="E26" s="7"/>
      <c r="F26" s="86">
        <f t="shared" ref="F26:N26" si="30">F27</f>
        <v>0</v>
      </c>
      <c r="G26" s="86">
        <f t="shared" si="30"/>
        <v>0</v>
      </c>
      <c r="H26" s="86">
        <f t="shared" si="30"/>
        <v>0</v>
      </c>
      <c r="I26" s="86">
        <f t="shared" si="30"/>
        <v>0</v>
      </c>
      <c r="J26" s="86">
        <f t="shared" si="30"/>
        <v>0</v>
      </c>
      <c r="K26" s="86">
        <f t="shared" si="30"/>
        <v>0</v>
      </c>
      <c r="L26" s="86">
        <f t="shared" si="30"/>
        <v>0</v>
      </c>
      <c r="M26" s="86">
        <f t="shared" si="30"/>
        <v>0</v>
      </c>
      <c r="N26" s="86">
        <f t="shared" si="30"/>
        <v>0</v>
      </c>
      <c r="O26" s="86">
        <f>O27</f>
        <v>336409057</v>
      </c>
      <c r="P26" s="87">
        <f t="shared" si="4"/>
        <v>33640905.700000003</v>
      </c>
      <c r="R26" s="4"/>
      <c r="S26" s="4"/>
      <c r="T26" s="4"/>
      <c r="U26" s="1" t="s">
        <v>89</v>
      </c>
      <c r="V26" s="303"/>
      <c r="W26" s="39"/>
      <c r="X26" s="39"/>
      <c r="Y26" s="39"/>
      <c r="Z26" s="39"/>
      <c r="AA26" s="39"/>
      <c r="AB26" s="39"/>
    </row>
    <row r="27" spans="2:28">
      <c r="B27" s="4"/>
      <c r="C27" s="79"/>
      <c r="D27" s="3"/>
      <c r="E27" s="145" t="s">
        <v>78</v>
      </c>
      <c r="F27" s="86"/>
      <c r="G27" s="86"/>
      <c r="H27" s="86"/>
      <c r="I27" s="86"/>
      <c r="J27" s="86"/>
      <c r="K27" s="86"/>
      <c r="L27" s="86"/>
      <c r="M27" s="86"/>
      <c r="N27" s="86"/>
      <c r="O27" s="86">
        <v>336409057</v>
      </c>
      <c r="P27" s="87">
        <f t="shared" si="4"/>
        <v>336409057</v>
      </c>
      <c r="R27" s="4"/>
      <c r="S27" s="4"/>
      <c r="T27" s="4"/>
      <c r="U27" s="1" t="s">
        <v>96</v>
      </c>
      <c r="V27" s="303"/>
      <c r="W27" s="39">
        <f>K48</f>
        <v>0</v>
      </c>
      <c r="X27" s="39">
        <f t="shared" ref="X27:AA28" si="31">L48</f>
        <v>0</v>
      </c>
      <c r="Y27" s="39">
        <f t="shared" si="31"/>
        <v>0</v>
      </c>
      <c r="Z27" s="39">
        <f t="shared" si="31"/>
        <v>0</v>
      </c>
      <c r="AA27" s="39">
        <f>O48</f>
        <v>0</v>
      </c>
      <c r="AB27" s="39" t="e">
        <f>P48</f>
        <v>#DIV/0!</v>
      </c>
    </row>
    <row r="28" spans="2:28">
      <c r="B28" s="4"/>
      <c r="C28" s="5" t="s">
        <v>82</v>
      </c>
      <c r="D28" s="7"/>
      <c r="E28" s="7"/>
      <c r="F28" s="86">
        <f t="shared" ref="F28:K28" si="32">SUM(F31,F29)</f>
        <v>0</v>
      </c>
      <c r="G28" s="86">
        <f t="shared" si="32"/>
        <v>0</v>
      </c>
      <c r="H28" s="86">
        <f t="shared" si="32"/>
        <v>0</v>
      </c>
      <c r="I28" s="86">
        <f t="shared" si="32"/>
        <v>0</v>
      </c>
      <c r="J28" s="86">
        <f t="shared" si="32"/>
        <v>0</v>
      </c>
      <c r="K28" s="86">
        <f t="shared" si="32"/>
        <v>0</v>
      </c>
      <c r="L28" s="86">
        <f>SUM(L31,L29)</f>
        <v>0</v>
      </c>
      <c r="M28" s="86">
        <f>SUM(M31,M29)</f>
        <v>0</v>
      </c>
      <c r="N28" s="86">
        <f>SUM(N31,N29)</f>
        <v>0</v>
      </c>
      <c r="O28" s="86">
        <f>SUM(O31,O29)</f>
        <v>0</v>
      </c>
      <c r="P28" s="87">
        <f t="shared" si="4"/>
        <v>0</v>
      </c>
      <c r="R28" s="4"/>
      <c r="S28" s="4"/>
      <c r="T28" s="4"/>
      <c r="U28" s="1" t="s">
        <v>90</v>
      </c>
      <c r="V28" s="303"/>
      <c r="W28" s="39">
        <f>K49</f>
        <v>0</v>
      </c>
      <c r="X28" s="39">
        <f t="shared" si="31"/>
        <v>0</v>
      </c>
      <c r="Y28" s="39">
        <f t="shared" si="31"/>
        <v>0</v>
      </c>
      <c r="Z28" s="39">
        <f t="shared" si="31"/>
        <v>0</v>
      </c>
      <c r="AA28" s="39">
        <f t="shared" si="31"/>
        <v>0</v>
      </c>
      <c r="AB28" s="39" t="e">
        <f>P49</f>
        <v>#DIV/0!</v>
      </c>
    </row>
    <row r="29" spans="2:28">
      <c r="B29" s="4"/>
      <c r="C29" s="4"/>
      <c r="D29" s="5" t="s">
        <v>475</v>
      </c>
      <c r="E29" s="8"/>
      <c r="F29" s="86">
        <f t="shared" ref="F29:M29" si="33">F30</f>
        <v>0</v>
      </c>
      <c r="G29" s="86">
        <f t="shared" si="33"/>
        <v>0</v>
      </c>
      <c r="H29" s="86">
        <f t="shared" si="33"/>
        <v>0</v>
      </c>
      <c r="I29" s="86">
        <f t="shared" si="33"/>
        <v>0</v>
      </c>
      <c r="J29" s="86">
        <f t="shared" si="33"/>
        <v>0</v>
      </c>
      <c r="K29" s="86">
        <f>K30</f>
        <v>0</v>
      </c>
      <c r="L29" s="86">
        <f t="shared" si="33"/>
        <v>0</v>
      </c>
      <c r="M29" s="86">
        <f t="shared" si="33"/>
        <v>0</v>
      </c>
      <c r="N29" s="86">
        <f>N30</f>
        <v>0</v>
      </c>
      <c r="O29" s="86">
        <f>O30</f>
        <v>0</v>
      </c>
      <c r="P29" s="87">
        <f t="shared" si="4"/>
        <v>0</v>
      </c>
      <c r="R29" s="4"/>
      <c r="S29" s="4"/>
      <c r="T29" s="4"/>
      <c r="U29" s="1" t="s">
        <v>91</v>
      </c>
      <c r="V29" s="303"/>
      <c r="W29" s="39">
        <f>K47</f>
        <v>0</v>
      </c>
      <c r="X29" s="39">
        <f t="shared" ref="X29:Z29" si="34">L47</f>
        <v>0</v>
      </c>
      <c r="Y29" s="39">
        <f t="shared" si="34"/>
        <v>0</v>
      </c>
      <c r="Z29" s="39">
        <f t="shared" si="34"/>
        <v>0</v>
      </c>
      <c r="AA29" s="39">
        <f>O47</f>
        <v>0</v>
      </c>
      <c r="AB29" s="39" t="e">
        <f>P47</f>
        <v>#DIV/0!</v>
      </c>
    </row>
    <row r="30" spans="2:28">
      <c r="B30" s="4"/>
      <c r="C30" s="4"/>
      <c r="D30" s="3"/>
      <c r="E30" s="144" t="s">
        <v>475</v>
      </c>
      <c r="F30" s="86"/>
      <c r="G30" s="86"/>
      <c r="H30" s="86"/>
      <c r="I30" s="86"/>
      <c r="J30" s="86"/>
      <c r="K30" s="86"/>
      <c r="L30" s="86"/>
      <c r="M30" s="86"/>
      <c r="N30" s="86"/>
      <c r="O30" s="86">
        <v>0</v>
      </c>
      <c r="P30" s="87">
        <f t="shared" si="4"/>
        <v>0</v>
      </c>
      <c r="R30" s="4"/>
      <c r="S30" s="4"/>
      <c r="T30" s="4"/>
      <c r="U30" s="1" t="s">
        <v>92</v>
      </c>
      <c r="V30" s="303"/>
      <c r="W30" s="39">
        <f>K44</f>
        <v>0</v>
      </c>
      <c r="X30" s="39">
        <f t="shared" ref="X30:AA30" si="35">L44</f>
        <v>0</v>
      </c>
      <c r="Y30" s="39">
        <f t="shared" si="35"/>
        <v>0</v>
      </c>
      <c r="Z30" s="39">
        <f t="shared" si="35"/>
        <v>0</v>
      </c>
      <c r="AA30" s="39">
        <f t="shared" si="35"/>
        <v>0</v>
      </c>
      <c r="AB30" s="39" t="e">
        <f>P44</f>
        <v>#DIV/0!</v>
      </c>
    </row>
    <row r="31" spans="2:28">
      <c r="B31" s="4"/>
      <c r="C31" s="4"/>
      <c r="D31" s="5" t="s">
        <v>83</v>
      </c>
      <c r="E31" s="8"/>
      <c r="F31" s="86">
        <f t="shared" ref="F31:N31" si="36">F32</f>
        <v>0</v>
      </c>
      <c r="G31" s="86">
        <f t="shared" si="36"/>
        <v>0</v>
      </c>
      <c r="H31" s="86">
        <f t="shared" si="36"/>
        <v>0</v>
      </c>
      <c r="I31" s="86">
        <f t="shared" si="36"/>
        <v>0</v>
      </c>
      <c r="J31" s="86">
        <f t="shared" si="36"/>
        <v>0</v>
      </c>
      <c r="K31" s="86">
        <f t="shared" si="36"/>
        <v>0</v>
      </c>
      <c r="L31" s="86">
        <f t="shared" si="36"/>
        <v>0</v>
      </c>
      <c r="M31" s="86">
        <f t="shared" si="36"/>
        <v>0</v>
      </c>
      <c r="N31" s="86">
        <f t="shared" si="36"/>
        <v>0</v>
      </c>
      <c r="O31" s="86">
        <f>O32</f>
        <v>0</v>
      </c>
      <c r="P31" s="87">
        <f t="shared" si="4"/>
        <v>0</v>
      </c>
      <c r="R31" s="4"/>
      <c r="S31" s="4"/>
      <c r="T31" s="4"/>
      <c r="U31" s="1" t="s">
        <v>93</v>
      </c>
      <c r="V31" s="303"/>
      <c r="W31" s="39">
        <f t="shared" ref="W31:AB31" si="37">SUM(K39:K43,K45,K50:K52)</f>
        <v>0</v>
      </c>
      <c r="X31" s="39">
        <f t="shared" si="37"/>
        <v>0</v>
      </c>
      <c r="Y31" s="39">
        <f t="shared" si="37"/>
        <v>0</v>
      </c>
      <c r="Z31" s="39">
        <f t="shared" si="37"/>
        <v>0</v>
      </c>
      <c r="AA31" s="39">
        <f t="shared" si="37"/>
        <v>0</v>
      </c>
      <c r="AB31" s="39" t="e">
        <f t="shared" si="37"/>
        <v>#DIV/0!</v>
      </c>
    </row>
    <row r="32" spans="2:28">
      <c r="B32" s="4"/>
      <c r="C32" s="4"/>
      <c r="D32" s="3"/>
      <c r="E32" s="144" t="s">
        <v>83</v>
      </c>
      <c r="F32" s="86"/>
      <c r="G32" s="86"/>
      <c r="H32" s="86"/>
      <c r="I32" s="86"/>
      <c r="J32" s="86"/>
      <c r="K32" s="86"/>
      <c r="L32" s="86"/>
      <c r="M32" s="86"/>
      <c r="N32" s="86"/>
      <c r="O32" s="86">
        <v>0</v>
      </c>
      <c r="P32" s="87">
        <f t="shared" si="4"/>
        <v>0</v>
      </c>
      <c r="R32" s="4"/>
      <c r="S32" s="4"/>
      <c r="T32" s="3"/>
      <c r="U32" s="1" t="s">
        <v>94</v>
      </c>
      <c r="V32" s="304"/>
      <c r="W32" s="39">
        <f t="shared" ref="W32:AB32" si="38">K46+K53</f>
        <v>0</v>
      </c>
      <c r="X32" s="39">
        <f t="shared" si="38"/>
        <v>0</v>
      </c>
      <c r="Y32" s="39">
        <f t="shared" si="38"/>
        <v>0</v>
      </c>
      <c r="Z32" s="39">
        <f t="shared" si="38"/>
        <v>0</v>
      </c>
      <c r="AA32" s="39">
        <f t="shared" si="38"/>
        <v>0</v>
      </c>
      <c r="AB32" s="39" t="e">
        <f t="shared" si="38"/>
        <v>#DIV/0!</v>
      </c>
    </row>
    <row r="33" spans="2:28">
      <c r="B33" s="106" t="s">
        <v>521</v>
      </c>
      <c r="C33" s="102"/>
      <c r="D33" s="107"/>
      <c r="E33" s="108"/>
      <c r="F33" s="109"/>
      <c r="G33" s="109"/>
      <c r="H33" s="109"/>
      <c r="I33" s="109"/>
      <c r="J33" s="109"/>
      <c r="K33" s="109"/>
      <c r="L33" s="109"/>
      <c r="M33" s="109"/>
      <c r="N33" s="109"/>
      <c r="O33" s="109">
        <v>504865980</v>
      </c>
      <c r="P33" s="109"/>
      <c r="R33" s="4"/>
      <c r="S33" s="4"/>
      <c r="T33" s="5" t="s">
        <v>95</v>
      </c>
      <c r="U33" s="8"/>
      <c r="V33" s="302" t="s">
        <v>175</v>
      </c>
      <c r="W33" s="39">
        <f>SUM(W34:W40)</f>
        <v>0</v>
      </c>
      <c r="X33" s="39">
        <f t="shared" ref="X33:AA33" si="39">SUM(X34:X40)</f>
        <v>0</v>
      </c>
      <c r="Y33" s="39">
        <f t="shared" si="39"/>
        <v>0</v>
      </c>
      <c r="Z33" s="39">
        <f t="shared" si="39"/>
        <v>0</v>
      </c>
      <c r="AA33" s="39">
        <f t="shared" si="39"/>
        <v>0</v>
      </c>
      <c r="AB33" s="39" t="e">
        <f>SUM(AB34:AB40)</f>
        <v>#DIV/0!</v>
      </c>
    </row>
    <row r="34" spans="2:28">
      <c r="B34" s="106" t="s">
        <v>519</v>
      </c>
      <c r="C34" s="102"/>
      <c r="D34" s="107"/>
      <c r="E34" s="108"/>
      <c r="F34" s="109" t="str">
        <f t="shared" ref="F34:G34" si="40">IF(F5=F33,"OK","NG")</f>
        <v>OK</v>
      </c>
      <c r="G34" s="109" t="str">
        <f t="shared" si="40"/>
        <v>OK</v>
      </c>
      <c r="H34" s="109" t="str">
        <f>IF(H5=H33,"OK","NG")</f>
        <v>OK</v>
      </c>
      <c r="I34" s="109" t="str">
        <f t="shared" ref="I34:O34" si="41">IF(I5=I33,"OK","NG")</f>
        <v>OK</v>
      </c>
      <c r="J34" s="109" t="str">
        <f t="shared" si="41"/>
        <v>OK</v>
      </c>
      <c r="K34" s="109" t="str">
        <f t="shared" si="41"/>
        <v>OK</v>
      </c>
      <c r="L34" s="109" t="str">
        <f t="shared" si="41"/>
        <v>OK</v>
      </c>
      <c r="M34" s="109" t="str">
        <f t="shared" si="41"/>
        <v>OK</v>
      </c>
      <c r="N34" s="109" t="str">
        <f t="shared" si="41"/>
        <v>OK</v>
      </c>
      <c r="O34" s="109" t="str">
        <f t="shared" si="41"/>
        <v>OK</v>
      </c>
      <c r="P34" s="109"/>
      <c r="R34" s="4"/>
      <c r="S34" s="4"/>
      <c r="T34" s="4"/>
      <c r="U34" s="1" t="s">
        <v>89</v>
      </c>
      <c r="V34" s="303"/>
      <c r="W34" s="39"/>
      <c r="X34" s="39"/>
      <c r="Y34" s="39"/>
      <c r="Z34" s="39"/>
      <c r="AA34" s="39"/>
      <c r="AB34" s="39"/>
    </row>
    <row r="35" spans="2:28">
      <c r="B35" s="5" t="s">
        <v>86</v>
      </c>
      <c r="C35" s="7"/>
      <c r="D35" s="7"/>
      <c r="E35" s="8"/>
      <c r="F35" s="87">
        <f t="shared" ref="F35:O35" si="42">SUM(F36,F104,F107)</f>
        <v>0</v>
      </c>
      <c r="G35" s="87">
        <f t="shared" si="42"/>
        <v>0</v>
      </c>
      <c r="H35" s="87">
        <f t="shared" si="42"/>
        <v>0</v>
      </c>
      <c r="I35" s="87">
        <f t="shared" si="42"/>
        <v>0</v>
      </c>
      <c r="J35" s="87">
        <f t="shared" si="42"/>
        <v>0</v>
      </c>
      <c r="K35" s="87">
        <f t="shared" si="42"/>
        <v>0</v>
      </c>
      <c r="L35" s="87">
        <f t="shared" si="42"/>
        <v>0</v>
      </c>
      <c r="M35" s="87">
        <f t="shared" si="42"/>
        <v>0</v>
      </c>
      <c r="N35" s="87">
        <f t="shared" si="42"/>
        <v>0</v>
      </c>
      <c r="O35" s="87">
        <f t="shared" si="42"/>
        <v>0</v>
      </c>
      <c r="P35" s="87">
        <f t="shared" ref="P35:P98" si="43">AVERAGE(F35:O35)</f>
        <v>0</v>
      </c>
      <c r="R35" s="4"/>
      <c r="S35" s="4"/>
      <c r="T35" s="4"/>
      <c r="U35" s="1" t="s">
        <v>96</v>
      </c>
      <c r="V35" s="303"/>
      <c r="W35" s="39">
        <f>K64</f>
        <v>0</v>
      </c>
      <c r="X35" s="39">
        <f t="shared" ref="X35:AA36" si="44">L64</f>
        <v>0</v>
      </c>
      <c r="Y35" s="39">
        <f t="shared" si="44"/>
        <v>0</v>
      </c>
      <c r="Z35" s="39">
        <f t="shared" si="44"/>
        <v>0</v>
      </c>
      <c r="AA35" s="39">
        <f t="shared" si="44"/>
        <v>0</v>
      </c>
      <c r="AB35" s="39" t="e">
        <f>P64</f>
        <v>#DIV/0!</v>
      </c>
    </row>
    <row r="36" spans="2:28">
      <c r="B36" s="4"/>
      <c r="C36" s="5" t="s">
        <v>87</v>
      </c>
      <c r="D36" s="7"/>
      <c r="E36" s="8"/>
      <c r="F36" s="87">
        <f t="shared" ref="F36:O36" si="45">SUM(F37,F54,F69,F75,F96,F98,F101)</f>
        <v>0</v>
      </c>
      <c r="G36" s="87">
        <f t="shared" si="45"/>
        <v>0</v>
      </c>
      <c r="H36" s="87">
        <f t="shared" si="45"/>
        <v>0</v>
      </c>
      <c r="I36" s="87">
        <f t="shared" si="45"/>
        <v>0</v>
      </c>
      <c r="J36" s="87">
        <f t="shared" si="45"/>
        <v>0</v>
      </c>
      <c r="K36" s="87">
        <f t="shared" si="45"/>
        <v>0</v>
      </c>
      <c r="L36" s="87">
        <f t="shared" si="45"/>
        <v>0</v>
      </c>
      <c r="M36" s="87">
        <f t="shared" si="45"/>
        <v>0</v>
      </c>
      <c r="N36" s="87">
        <f t="shared" si="45"/>
        <v>0</v>
      </c>
      <c r="O36" s="87">
        <f t="shared" si="45"/>
        <v>0</v>
      </c>
      <c r="P36" s="87">
        <f t="shared" si="43"/>
        <v>0</v>
      </c>
      <c r="R36" s="4"/>
      <c r="S36" s="4"/>
      <c r="T36" s="4"/>
      <c r="U36" s="1" t="s">
        <v>90</v>
      </c>
      <c r="V36" s="303"/>
      <c r="W36" s="39">
        <f>K65</f>
        <v>0</v>
      </c>
      <c r="X36" s="39">
        <f t="shared" si="44"/>
        <v>0</v>
      </c>
      <c r="Y36" s="39">
        <f t="shared" si="44"/>
        <v>0</v>
      </c>
      <c r="Z36" s="39">
        <f t="shared" si="44"/>
        <v>0</v>
      </c>
      <c r="AA36" s="39">
        <f t="shared" si="44"/>
        <v>0</v>
      </c>
      <c r="AB36" s="39" t="e">
        <f>P65</f>
        <v>#DIV/0!</v>
      </c>
    </row>
    <row r="37" spans="2:28">
      <c r="B37" s="4"/>
      <c r="C37" s="4"/>
      <c r="D37" s="5" t="s">
        <v>88</v>
      </c>
      <c r="E37" s="8"/>
      <c r="F37" s="87">
        <f t="shared" ref="F37:O37" si="46">SUM(F38:F53)</f>
        <v>0</v>
      </c>
      <c r="G37" s="87">
        <f t="shared" si="46"/>
        <v>0</v>
      </c>
      <c r="H37" s="87">
        <f t="shared" si="46"/>
        <v>0</v>
      </c>
      <c r="I37" s="87">
        <f t="shared" si="46"/>
        <v>0</v>
      </c>
      <c r="J37" s="87">
        <f t="shared" si="46"/>
        <v>0</v>
      </c>
      <c r="K37" s="87">
        <f t="shared" si="46"/>
        <v>0</v>
      </c>
      <c r="L37" s="87">
        <f t="shared" si="46"/>
        <v>0</v>
      </c>
      <c r="M37" s="87">
        <f t="shared" si="46"/>
        <v>0</v>
      </c>
      <c r="N37" s="87">
        <f t="shared" si="46"/>
        <v>0</v>
      </c>
      <c r="O37" s="87">
        <f t="shared" si="46"/>
        <v>0</v>
      </c>
      <c r="P37" s="87">
        <f t="shared" si="43"/>
        <v>0</v>
      </c>
      <c r="R37" s="4"/>
      <c r="S37" s="4"/>
      <c r="T37" s="4"/>
      <c r="U37" s="1" t="s">
        <v>91</v>
      </c>
      <c r="V37" s="303"/>
      <c r="W37" s="39">
        <f>K63</f>
        <v>0</v>
      </c>
      <c r="X37" s="39">
        <f t="shared" ref="X37:AA37" si="47">L63</f>
        <v>0</v>
      </c>
      <c r="Y37" s="39">
        <f t="shared" si="47"/>
        <v>0</v>
      </c>
      <c r="Z37" s="39">
        <f t="shared" si="47"/>
        <v>0</v>
      </c>
      <c r="AA37" s="39">
        <f t="shared" si="47"/>
        <v>0</v>
      </c>
      <c r="AB37" s="39" t="e">
        <f>P63</f>
        <v>#DIV/0!</v>
      </c>
    </row>
    <row r="38" spans="2:28">
      <c r="B38" s="4"/>
      <c r="C38" s="4"/>
      <c r="D38" s="79"/>
      <c r="E38" s="142" t="s">
        <v>437</v>
      </c>
      <c r="F38" s="86"/>
      <c r="G38" s="86"/>
      <c r="H38" s="86"/>
      <c r="I38" s="86"/>
      <c r="J38" s="86"/>
      <c r="K38" s="86"/>
      <c r="L38" s="86"/>
      <c r="M38" s="86"/>
      <c r="N38" s="86"/>
      <c r="O38" s="86"/>
      <c r="P38" s="87" t="e">
        <f t="shared" si="43"/>
        <v>#DIV/0!</v>
      </c>
      <c r="R38" s="4"/>
      <c r="S38" s="4"/>
      <c r="T38" s="4"/>
      <c r="U38" s="1" t="s">
        <v>92</v>
      </c>
      <c r="V38" s="303"/>
      <c r="W38" s="39">
        <f>K60</f>
        <v>0</v>
      </c>
      <c r="X38" s="39">
        <f t="shared" ref="X38:AA38" si="48">L60</f>
        <v>0</v>
      </c>
      <c r="Y38" s="39">
        <f t="shared" si="48"/>
        <v>0</v>
      </c>
      <c r="Z38" s="39">
        <f t="shared" si="48"/>
        <v>0</v>
      </c>
      <c r="AA38" s="39">
        <f t="shared" si="48"/>
        <v>0</v>
      </c>
      <c r="AB38" s="39" t="e">
        <f>P60</f>
        <v>#DIV/0!</v>
      </c>
    </row>
    <row r="39" spans="2:28">
      <c r="B39" s="4"/>
      <c r="C39" s="4"/>
      <c r="D39" s="79"/>
      <c r="E39" s="142" t="s">
        <v>438</v>
      </c>
      <c r="F39" s="86"/>
      <c r="G39" s="86"/>
      <c r="H39" s="86"/>
      <c r="I39" s="86"/>
      <c r="J39" s="86"/>
      <c r="K39" s="86"/>
      <c r="L39" s="86"/>
      <c r="M39" s="86"/>
      <c r="N39" s="86"/>
      <c r="O39" s="86"/>
      <c r="P39" s="87" t="e">
        <f t="shared" si="43"/>
        <v>#DIV/0!</v>
      </c>
      <c r="R39" s="4"/>
      <c r="S39" s="4"/>
      <c r="T39" s="4"/>
      <c r="U39" s="1" t="s">
        <v>93</v>
      </c>
      <c r="V39" s="303"/>
      <c r="W39" s="39">
        <f>SUM(K55:K59,K61,K66:K67)</f>
        <v>0</v>
      </c>
      <c r="X39" s="39">
        <f t="shared" ref="X39:AA39" si="49">SUM(L55:L59,L61,L66:L67)</f>
        <v>0</v>
      </c>
      <c r="Y39" s="39">
        <f t="shared" si="49"/>
        <v>0</v>
      </c>
      <c r="Z39" s="39">
        <f t="shared" si="49"/>
        <v>0</v>
      </c>
      <c r="AA39" s="39">
        <f t="shared" si="49"/>
        <v>0</v>
      </c>
      <c r="AB39" s="39" t="e">
        <f>SUM(P55:P59,P61,P66:P67)</f>
        <v>#DIV/0!</v>
      </c>
    </row>
    <row r="40" spans="2:28">
      <c r="B40" s="4"/>
      <c r="C40" s="4"/>
      <c r="D40" s="79"/>
      <c r="E40" s="142" t="s">
        <v>439</v>
      </c>
      <c r="F40" s="86"/>
      <c r="G40" s="86"/>
      <c r="H40" s="86"/>
      <c r="I40" s="86"/>
      <c r="J40" s="86"/>
      <c r="K40" s="86"/>
      <c r="L40" s="86"/>
      <c r="M40" s="86"/>
      <c r="N40" s="86"/>
      <c r="O40" s="86"/>
      <c r="P40" s="87" t="e">
        <f t="shared" si="43"/>
        <v>#DIV/0!</v>
      </c>
      <c r="R40" s="4"/>
      <c r="S40" s="4"/>
      <c r="T40" s="3"/>
      <c r="U40" s="1" t="s">
        <v>94</v>
      </c>
      <c r="V40" s="304"/>
      <c r="W40" s="39">
        <f>K62+K68</f>
        <v>0</v>
      </c>
      <c r="X40" s="39">
        <f t="shared" ref="X40:AA40" si="50">L62+L68</f>
        <v>0</v>
      </c>
      <c r="Y40" s="39">
        <f t="shared" si="50"/>
        <v>0</v>
      </c>
      <c r="Z40" s="39">
        <f t="shared" si="50"/>
        <v>0</v>
      </c>
      <c r="AA40" s="39">
        <f t="shared" si="50"/>
        <v>0</v>
      </c>
      <c r="AB40" s="39" t="e">
        <f>P62+P68</f>
        <v>#DIV/0!</v>
      </c>
    </row>
    <row r="41" spans="2:28">
      <c r="B41" s="4"/>
      <c r="C41" s="4"/>
      <c r="D41" s="79"/>
      <c r="E41" s="142" t="s">
        <v>440</v>
      </c>
      <c r="F41" s="86"/>
      <c r="G41" s="86"/>
      <c r="H41" s="86"/>
      <c r="I41" s="86"/>
      <c r="J41" s="86"/>
      <c r="K41" s="86"/>
      <c r="L41" s="86"/>
      <c r="M41" s="86"/>
      <c r="N41" s="86"/>
      <c r="O41" s="86"/>
      <c r="P41" s="87" t="e">
        <f t="shared" si="43"/>
        <v>#DIV/0!</v>
      </c>
      <c r="R41" s="4"/>
      <c r="S41" s="4"/>
      <c r="T41" s="5" t="s">
        <v>450</v>
      </c>
      <c r="U41" s="8"/>
      <c r="V41" s="101"/>
      <c r="W41" s="39">
        <f>K69</f>
        <v>0</v>
      </c>
      <c r="X41" s="39">
        <f t="shared" ref="X41:AA41" si="51">L69</f>
        <v>0</v>
      </c>
      <c r="Y41" s="39">
        <f t="shared" si="51"/>
        <v>0</v>
      </c>
      <c r="Z41" s="39">
        <f t="shared" si="51"/>
        <v>0</v>
      </c>
      <c r="AA41" s="39">
        <f t="shared" si="51"/>
        <v>0</v>
      </c>
      <c r="AB41" s="39">
        <f>P69</f>
        <v>0</v>
      </c>
    </row>
    <row r="42" spans="2:28">
      <c r="B42" s="4"/>
      <c r="C42" s="4"/>
      <c r="D42" s="79"/>
      <c r="E42" s="142" t="s">
        <v>447</v>
      </c>
      <c r="F42" s="86"/>
      <c r="G42" s="86"/>
      <c r="H42" s="86"/>
      <c r="I42" s="86"/>
      <c r="J42" s="86"/>
      <c r="K42" s="86"/>
      <c r="L42" s="86"/>
      <c r="M42" s="86"/>
      <c r="N42" s="86"/>
      <c r="O42" s="86"/>
      <c r="P42" s="87" t="e">
        <f t="shared" si="43"/>
        <v>#DIV/0!</v>
      </c>
      <c r="R42" s="4"/>
      <c r="S42" s="4"/>
      <c r="T42" s="5" t="s">
        <v>97</v>
      </c>
      <c r="U42" s="8"/>
      <c r="V42" s="302" t="s">
        <v>176</v>
      </c>
      <c r="W42" s="39">
        <f>SUM(W43:W50)</f>
        <v>0</v>
      </c>
      <c r="X42" s="39">
        <f t="shared" ref="X42:AA42" si="52">SUM(X43:X50)</f>
        <v>0</v>
      </c>
      <c r="Y42" s="39">
        <f t="shared" si="52"/>
        <v>0</v>
      </c>
      <c r="Z42" s="39">
        <f t="shared" si="52"/>
        <v>0</v>
      </c>
      <c r="AA42" s="39">
        <f t="shared" si="52"/>
        <v>0</v>
      </c>
      <c r="AB42" s="39" t="e">
        <f>SUM(AB43:AB50)</f>
        <v>#DIV/0!</v>
      </c>
    </row>
    <row r="43" spans="2:28">
      <c r="B43" s="4"/>
      <c r="C43" s="4"/>
      <c r="D43" s="79"/>
      <c r="E43" s="142" t="s">
        <v>441</v>
      </c>
      <c r="F43" s="86"/>
      <c r="G43" s="86"/>
      <c r="H43" s="86"/>
      <c r="I43" s="86"/>
      <c r="J43" s="86"/>
      <c r="K43" s="86"/>
      <c r="L43" s="86"/>
      <c r="M43" s="86"/>
      <c r="N43" s="86"/>
      <c r="O43" s="86"/>
      <c r="P43" s="87" t="e">
        <f t="shared" si="43"/>
        <v>#DIV/0!</v>
      </c>
      <c r="R43" s="4"/>
      <c r="S43" s="4"/>
      <c r="T43" s="4"/>
      <c r="U43" s="1" t="s">
        <v>89</v>
      </c>
      <c r="V43" s="303"/>
      <c r="W43" s="39">
        <f>SUM(K76:K80)</f>
        <v>0</v>
      </c>
      <c r="X43" s="39">
        <f t="shared" ref="X43:AA43" si="53">SUM(L76:L80)</f>
        <v>0</v>
      </c>
      <c r="Y43" s="39">
        <f t="shared" si="53"/>
        <v>0</v>
      </c>
      <c r="Z43" s="39">
        <f t="shared" si="53"/>
        <v>0</v>
      </c>
      <c r="AA43" s="39">
        <f t="shared" si="53"/>
        <v>0</v>
      </c>
      <c r="AB43" s="39" t="e">
        <f>SUM(P76:P80)</f>
        <v>#DIV/0!</v>
      </c>
    </row>
    <row r="44" spans="2:28">
      <c r="B44" s="4"/>
      <c r="C44" s="4"/>
      <c r="D44" s="79"/>
      <c r="E44" s="142" t="s">
        <v>92</v>
      </c>
      <c r="F44" s="86"/>
      <c r="G44" s="86"/>
      <c r="H44" s="86"/>
      <c r="I44" s="86"/>
      <c r="J44" s="86"/>
      <c r="K44" s="86"/>
      <c r="L44" s="86"/>
      <c r="M44" s="86"/>
      <c r="N44" s="86"/>
      <c r="O44" s="86"/>
      <c r="P44" s="87" t="e">
        <f t="shared" si="43"/>
        <v>#DIV/0!</v>
      </c>
      <c r="R44" s="4"/>
      <c r="S44" s="4"/>
      <c r="T44" s="4"/>
      <c r="U44" s="1" t="s">
        <v>98</v>
      </c>
      <c r="V44" s="303"/>
      <c r="W44" s="39"/>
      <c r="X44" s="39"/>
      <c r="Y44" s="39"/>
      <c r="Z44" s="39"/>
      <c r="AA44" s="39"/>
      <c r="AB44" s="39"/>
    </row>
    <row r="45" spans="2:28">
      <c r="B45" s="4"/>
      <c r="C45" s="4"/>
      <c r="D45" s="79"/>
      <c r="E45" s="142" t="s">
        <v>431</v>
      </c>
      <c r="F45" s="86"/>
      <c r="G45" s="86"/>
      <c r="H45" s="86"/>
      <c r="I45" s="86"/>
      <c r="J45" s="86"/>
      <c r="K45" s="86"/>
      <c r="L45" s="86"/>
      <c r="M45" s="86"/>
      <c r="N45" s="86"/>
      <c r="O45" s="86"/>
      <c r="P45" s="87" t="e">
        <f t="shared" si="43"/>
        <v>#DIV/0!</v>
      </c>
      <c r="R45" s="4"/>
      <c r="S45" s="4"/>
      <c r="T45" s="4"/>
      <c r="U45" s="1" t="s">
        <v>99</v>
      </c>
      <c r="V45" s="303"/>
      <c r="W45" s="39"/>
      <c r="X45" s="39"/>
      <c r="Y45" s="39"/>
      <c r="Z45" s="39"/>
      <c r="AA45" s="39"/>
      <c r="AB45" s="39"/>
    </row>
    <row r="46" spans="2:28">
      <c r="B46" s="4"/>
      <c r="C46" s="4"/>
      <c r="D46" s="79"/>
      <c r="E46" s="142" t="s">
        <v>442</v>
      </c>
      <c r="F46" s="86"/>
      <c r="G46" s="86"/>
      <c r="H46" s="86"/>
      <c r="I46" s="86"/>
      <c r="J46" s="86"/>
      <c r="K46" s="86"/>
      <c r="L46" s="86"/>
      <c r="M46" s="86"/>
      <c r="N46" s="86"/>
      <c r="O46" s="86"/>
      <c r="P46" s="87" t="e">
        <f t="shared" si="43"/>
        <v>#DIV/0!</v>
      </c>
      <c r="R46" s="4"/>
      <c r="S46" s="4"/>
      <c r="T46" s="4"/>
      <c r="U46" s="1" t="s">
        <v>100</v>
      </c>
      <c r="V46" s="303"/>
      <c r="W46" s="39"/>
      <c r="X46" s="39"/>
      <c r="Y46" s="39"/>
      <c r="Z46" s="39"/>
      <c r="AA46" s="39"/>
      <c r="AB46" s="39"/>
    </row>
    <row r="47" spans="2:28">
      <c r="B47" s="4"/>
      <c r="C47" s="4"/>
      <c r="D47" s="79"/>
      <c r="E47" s="142" t="s">
        <v>91</v>
      </c>
      <c r="F47" s="86"/>
      <c r="G47" s="86"/>
      <c r="H47" s="86"/>
      <c r="I47" s="86"/>
      <c r="J47" s="86"/>
      <c r="K47" s="86"/>
      <c r="L47" s="86"/>
      <c r="M47" s="86"/>
      <c r="N47" s="86"/>
      <c r="O47" s="86"/>
      <c r="P47" s="87" t="e">
        <f t="shared" si="43"/>
        <v>#DIV/0!</v>
      </c>
      <c r="R47" s="4"/>
      <c r="S47" s="4"/>
      <c r="T47" s="4"/>
      <c r="U47" s="1" t="s">
        <v>91</v>
      </c>
      <c r="V47" s="303"/>
      <c r="W47" s="39">
        <f>K90</f>
        <v>0</v>
      </c>
      <c r="X47" s="39">
        <f t="shared" ref="X47:AA47" si="54">L90</f>
        <v>0</v>
      </c>
      <c r="Y47" s="39">
        <f t="shared" si="54"/>
        <v>0</v>
      </c>
      <c r="Z47" s="39">
        <f t="shared" si="54"/>
        <v>0</v>
      </c>
      <c r="AA47" s="39">
        <f t="shared" si="54"/>
        <v>0</v>
      </c>
      <c r="AB47" s="39" t="e">
        <f>P90</f>
        <v>#DIV/0!</v>
      </c>
    </row>
    <row r="48" spans="2:28">
      <c r="B48" s="4"/>
      <c r="C48" s="4"/>
      <c r="D48" s="79"/>
      <c r="E48" s="142" t="s">
        <v>96</v>
      </c>
      <c r="F48" s="86"/>
      <c r="G48" s="86"/>
      <c r="H48" s="86"/>
      <c r="I48" s="86"/>
      <c r="J48" s="86"/>
      <c r="K48" s="86"/>
      <c r="L48" s="86"/>
      <c r="M48" s="86"/>
      <c r="N48" s="86"/>
      <c r="O48" s="86"/>
      <c r="P48" s="87" t="e">
        <f t="shared" si="43"/>
        <v>#DIV/0!</v>
      </c>
      <c r="R48" s="4"/>
      <c r="S48" s="4"/>
      <c r="T48" s="4"/>
      <c r="U48" s="1" t="s">
        <v>92</v>
      </c>
      <c r="V48" s="303"/>
      <c r="W48" s="39">
        <f>K87</f>
        <v>0</v>
      </c>
      <c r="X48" s="39">
        <f t="shared" ref="X48:AA48" si="55">L87</f>
        <v>0</v>
      </c>
      <c r="Y48" s="39">
        <f t="shared" si="55"/>
        <v>0</v>
      </c>
      <c r="Z48" s="39">
        <f t="shared" si="55"/>
        <v>0</v>
      </c>
      <c r="AA48" s="39">
        <f t="shared" si="55"/>
        <v>0</v>
      </c>
      <c r="AB48" s="39" t="e">
        <f>P87</f>
        <v>#DIV/0!</v>
      </c>
    </row>
    <row r="49" spans="2:28">
      <c r="B49" s="4"/>
      <c r="C49" s="4"/>
      <c r="D49" s="79"/>
      <c r="E49" s="142" t="s">
        <v>90</v>
      </c>
      <c r="F49" s="86"/>
      <c r="G49" s="86"/>
      <c r="H49" s="86"/>
      <c r="I49" s="86"/>
      <c r="J49" s="86"/>
      <c r="K49" s="86"/>
      <c r="L49" s="86"/>
      <c r="M49" s="86"/>
      <c r="N49" s="86"/>
      <c r="O49" s="86"/>
      <c r="P49" s="87" t="e">
        <f t="shared" si="43"/>
        <v>#DIV/0!</v>
      </c>
      <c r="R49" s="4"/>
      <c r="S49" s="4"/>
      <c r="T49" s="4"/>
      <c r="U49" s="1" t="s">
        <v>93</v>
      </c>
      <c r="V49" s="303"/>
      <c r="W49" s="39">
        <f>SUM(K81:K86,K88,K91)</f>
        <v>0</v>
      </c>
      <c r="X49" s="39">
        <f t="shared" ref="X49:AA49" si="56">SUM(L81:L86,L88,L91)</f>
        <v>0</v>
      </c>
      <c r="Y49" s="39">
        <f t="shared" si="56"/>
        <v>0</v>
      </c>
      <c r="Z49" s="39">
        <f t="shared" si="56"/>
        <v>0</v>
      </c>
      <c r="AA49" s="39">
        <f t="shared" si="56"/>
        <v>0</v>
      </c>
      <c r="AB49" s="39" t="e">
        <f>SUM(P81:P86,P88,P91)</f>
        <v>#DIV/0!</v>
      </c>
    </row>
    <row r="50" spans="2:28">
      <c r="B50" s="4"/>
      <c r="C50" s="4"/>
      <c r="D50" s="79"/>
      <c r="E50" s="142" t="s">
        <v>443</v>
      </c>
      <c r="F50" s="86"/>
      <c r="G50" s="86"/>
      <c r="H50" s="86"/>
      <c r="I50" s="86"/>
      <c r="J50" s="86"/>
      <c r="K50" s="86"/>
      <c r="L50" s="86"/>
      <c r="M50" s="86"/>
      <c r="N50" s="86"/>
      <c r="O50" s="86"/>
      <c r="P50" s="87" t="e">
        <f t="shared" si="43"/>
        <v>#DIV/0!</v>
      </c>
      <c r="R50" s="4"/>
      <c r="S50" s="4"/>
      <c r="T50" s="3"/>
      <c r="U50" s="1" t="s">
        <v>94</v>
      </c>
      <c r="V50" s="304"/>
      <c r="W50" s="39">
        <f>SUM(K89,K92:K95)</f>
        <v>0</v>
      </c>
      <c r="X50" s="39">
        <f t="shared" ref="X50:AA50" si="57">SUM(L89,L92:L95)</f>
        <v>0</v>
      </c>
      <c r="Y50" s="39">
        <f t="shared" si="57"/>
        <v>0</v>
      </c>
      <c r="Z50" s="39">
        <f t="shared" si="57"/>
        <v>0</v>
      </c>
      <c r="AA50" s="39">
        <f t="shared" si="57"/>
        <v>0</v>
      </c>
      <c r="AB50" s="39" t="e">
        <f>SUM(P89,P92:P95)</f>
        <v>#DIV/0!</v>
      </c>
    </row>
    <row r="51" spans="2:28">
      <c r="B51" s="4"/>
      <c r="C51" s="4"/>
      <c r="D51" s="79"/>
      <c r="E51" s="142" t="s">
        <v>444</v>
      </c>
      <c r="F51" s="86"/>
      <c r="G51" s="86"/>
      <c r="H51" s="86"/>
      <c r="I51" s="86"/>
      <c r="J51" s="86"/>
      <c r="K51" s="86"/>
      <c r="L51" s="86"/>
      <c r="M51" s="86"/>
      <c r="N51" s="86"/>
      <c r="O51" s="86"/>
      <c r="P51" s="87" t="e">
        <f t="shared" si="43"/>
        <v>#DIV/0!</v>
      </c>
      <c r="R51" s="4"/>
      <c r="S51" s="4"/>
      <c r="T51" s="5" t="s">
        <v>101</v>
      </c>
      <c r="U51" s="8"/>
      <c r="V51" s="1"/>
      <c r="W51" s="39">
        <f>SUM(W52:W53)</f>
        <v>0</v>
      </c>
      <c r="X51" s="39">
        <f t="shared" ref="X51:AA51" si="58">SUM(X52:X53)</f>
        <v>0</v>
      </c>
      <c r="Y51" s="39">
        <f t="shared" si="58"/>
        <v>0</v>
      </c>
      <c r="Z51" s="39">
        <f t="shared" si="58"/>
        <v>0</v>
      </c>
      <c r="AA51" s="39">
        <f t="shared" si="58"/>
        <v>0</v>
      </c>
      <c r="AB51" s="39">
        <f>SUM(AB52:AB53)</f>
        <v>0</v>
      </c>
    </row>
    <row r="52" spans="2:28">
      <c r="B52" s="4"/>
      <c r="C52" s="4"/>
      <c r="D52" s="79"/>
      <c r="E52" s="142" t="s">
        <v>445</v>
      </c>
      <c r="F52" s="86"/>
      <c r="G52" s="86"/>
      <c r="H52" s="86"/>
      <c r="I52" s="86"/>
      <c r="J52" s="86"/>
      <c r="K52" s="86"/>
      <c r="L52" s="86"/>
      <c r="M52" s="86"/>
      <c r="N52" s="86"/>
      <c r="O52" s="86"/>
      <c r="P52" s="87" t="e">
        <f t="shared" si="43"/>
        <v>#DIV/0!</v>
      </c>
      <c r="R52" s="4"/>
      <c r="S52" s="4"/>
      <c r="T52" s="4"/>
      <c r="U52" s="1" t="s">
        <v>79</v>
      </c>
      <c r="V52" s="1"/>
      <c r="W52" s="39">
        <f>K96</f>
        <v>0</v>
      </c>
      <c r="X52" s="39">
        <f t="shared" ref="X52:AA52" si="59">L96</f>
        <v>0</v>
      </c>
      <c r="Y52" s="39">
        <f t="shared" si="59"/>
        <v>0</v>
      </c>
      <c r="Z52" s="39">
        <f t="shared" si="59"/>
        <v>0</v>
      </c>
      <c r="AA52" s="39">
        <f t="shared" si="59"/>
        <v>0</v>
      </c>
      <c r="AB52" s="39">
        <f>P96</f>
        <v>0</v>
      </c>
    </row>
    <row r="53" spans="2:28">
      <c r="B53" s="4"/>
      <c r="C53" s="4"/>
      <c r="D53" s="79"/>
      <c r="E53" s="142" t="s">
        <v>446</v>
      </c>
      <c r="F53" s="86"/>
      <c r="G53" s="86"/>
      <c r="H53" s="86"/>
      <c r="I53" s="86"/>
      <c r="J53" s="86"/>
      <c r="K53" s="86"/>
      <c r="L53" s="86"/>
      <c r="M53" s="86"/>
      <c r="N53" s="86"/>
      <c r="O53" s="86"/>
      <c r="P53" s="87" t="e">
        <f t="shared" si="43"/>
        <v>#DIV/0!</v>
      </c>
      <c r="R53" s="4"/>
      <c r="S53" s="4"/>
      <c r="T53" s="3"/>
      <c r="U53" s="1" t="s">
        <v>80</v>
      </c>
      <c r="V53" s="1"/>
      <c r="W53" s="39"/>
      <c r="X53" s="39"/>
      <c r="Y53" s="39"/>
      <c r="Z53" s="39"/>
      <c r="AA53" s="39"/>
      <c r="AB53" s="39"/>
    </row>
    <row r="54" spans="2:28">
      <c r="B54" s="4"/>
      <c r="C54" s="4"/>
      <c r="D54" s="5" t="s">
        <v>95</v>
      </c>
      <c r="E54" s="8"/>
      <c r="F54" s="86">
        <f>SUM(F55:F68)</f>
        <v>0</v>
      </c>
      <c r="G54" s="86">
        <f t="shared" ref="G54:N54" si="60">SUM(G55:G68)</f>
        <v>0</v>
      </c>
      <c r="H54" s="86">
        <f t="shared" si="60"/>
        <v>0</v>
      </c>
      <c r="I54" s="86">
        <f t="shared" si="60"/>
        <v>0</v>
      </c>
      <c r="J54" s="86">
        <f t="shared" si="60"/>
        <v>0</v>
      </c>
      <c r="K54" s="86">
        <f t="shared" si="60"/>
        <v>0</v>
      </c>
      <c r="L54" s="86">
        <f t="shared" si="60"/>
        <v>0</v>
      </c>
      <c r="M54" s="86">
        <f>SUM(M55:M68)</f>
        <v>0</v>
      </c>
      <c r="N54" s="86">
        <f t="shared" si="60"/>
        <v>0</v>
      </c>
      <c r="O54" s="86">
        <f>SUM(O55:O68)</f>
        <v>0</v>
      </c>
      <c r="P54" s="87">
        <f t="shared" si="43"/>
        <v>0</v>
      </c>
      <c r="R54" s="4"/>
      <c r="S54" s="4"/>
      <c r="T54" s="5" t="s">
        <v>102</v>
      </c>
      <c r="U54" s="8"/>
      <c r="V54" s="1"/>
      <c r="W54" s="39">
        <f>SUM(W55:W56)</f>
        <v>0</v>
      </c>
      <c r="X54" s="39">
        <f t="shared" ref="X54:AA54" si="61">SUM(X55:X56)</f>
        <v>0</v>
      </c>
      <c r="Y54" s="39">
        <f t="shared" si="61"/>
        <v>0</v>
      </c>
      <c r="Z54" s="39">
        <f t="shared" si="61"/>
        <v>0</v>
      </c>
      <c r="AA54" s="39">
        <f t="shared" si="61"/>
        <v>0</v>
      </c>
      <c r="AB54" s="39" t="e">
        <f>SUM(AB55:AB56)</f>
        <v>#DIV/0!</v>
      </c>
    </row>
    <row r="55" spans="2:28">
      <c r="B55" s="4"/>
      <c r="C55" s="4"/>
      <c r="D55" s="4"/>
      <c r="E55" s="142" t="s">
        <v>448</v>
      </c>
      <c r="F55" s="86"/>
      <c r="G55" s="86"/>
      <c r="H55" s="86"/>
      <c r="I55" s="86"/>
      <c r="J55" s="86"/>
      <c r="K55" s="86"/>
      <c r="L55" s="86"/>
      <c r="M55" s="86"/>
      <c r="N55" s="86"/>
      <c r="O55" s="86"/>
      <c r="P55" s="87" t="e">
        <f t="shared" si="43"/>
        <v>#DIV/0!</v>
      </c>
      <c r="R55" s="4"/>
      <c r="S55" s="4"/>
      <c r="T55" s="4"/>
      <c r="U55" s="1" t="s">
        <v>164</v>
      </c>
      <c r="V55" s="1"/>
      <c r="W55" s="39">
        <f>K99</f>
        <v>0</v>
      </c>
      <c r="X55" s="39">
        <f t="shared" ref="X55:AA56" si="62">L99</f>
        <v>0</v>
      </c>
      <c r="Y55" s="39">
        <f t="shared" si="62"/>
        <v>0</v>
      </c>
      <c r="Z55" s="39">
        <f t="shared" si="62"/>
        <v>0</v>
      </c>
      <c r="AA55" s="39">
        <f t="shared" si="62"/>
        <v>0</v>
      </c>
      <c r="AB55" s="39" t="e">
        <f>P99</f>
        <v>#DIV/0!</v>
      </c>
    </row>
    <row r="56" spans="2:28">
      <c r="B56" s="4"/>
      <c r="C56" s="4"/>
      <c r="D56" s="4"/>
      <c r="E56" s="142" t="s">
        <v>439</v>
      </c>
      <c r="F56" s="86"/>
      <c r="G56" s="86"/>
      <c r="H56" s="86"/>
      <c r="I56" s="86"/>
      <c r="J56" s="86"/>
      <c r="K56" s="86"/>
      <c r="L56" s="86"/>
      <c r="M56" s="86"/>
      <c r="N56" s="86"/>
      <c r="O56" s="86"/>
      <c r="P56" s="87" t="e">
        <f t="shared" si="43"/>
        <v>#DIV/0!</v>
      </c>
      <c r="R56" s="4"/>
      <c r="S56" s="3"/>
      <c r="T56" s="3"/>
      <c r="U56" s="1" t="s">
        <v>165</v>
      </c>
      <c r="V56" s="1"/>
      <c r="W56" s="39">
        <f>K100</f>
        <v>0</v>
      </c>
      <c r="X56" s="39">
        <f t="shared" si="62"/>
        <v>0</v>
      </c>
      <c r="Y56" s="39">
        <f t="shared" si="62"/>
        <v>0</v>
      </c>
      <c r="Z56" s="39">
        <f t="shared" si="62"/>
        <v>0</v>
      </c>
      <c r="AA56" s="39">
        <f t="shared" si="62"/>
        <v>0</v>
      </c>
      <c r="AB56" s="39" t="e">
        <f>P100</f>
        <v>#DIV/0!</v>
      </c>
    </row>
    <row r="57" spans="2:28">
      <c r="B57" s="4"/>
      <c r="C57" s="4"/>
      <c r="D57" s="4"/>
      <c r="E57" s="142" t="s">
        <v>449</v>
      </c>
      <c r="F57" s="86"/>
      <c r="G57" s="86"/>
      <c r="H57" s="86"/>
      <c r="I57" s="86"/>
      <c r="J57" s="86"/>
      <c r="K57" s="86"/>
      <c r="L57" s="86"/>
      <c r="M57" s="86"/>
      <c r="N57" s="86"/>
      <c r="O57" s="86"/>
      <c r="P57" s="87" t="e">
        <f t="shared" si="43"/>
        <v>#DIV/0!</v>
      </c>
      <c r="R57" s="4"/>
      <c r="S57" s="5" t="s">
        <v>103</v>
      </c>
      <c r="T57" s="7"/>
      <c r="U57" s="8"/>
      <c r="V57" s="1"/>
      <c r="W57" s="39">
        <f>SUM(W58,W61)</f>
        <v>0</v>
      </c>
      <c r="X57" s="39">
        <f t="shared" ref="X57:AA57" si="63">SUM(X58,X61)</f>
        <v>0</v>
      </c>
      <c r="Y57" s="39">
        <f t="shared" si="63"/>
        <v>0</v>
      </c>
      <c r="Z57" s="39">
        <f t="shared" si="63"/>
        <v>0</v>
      </c>
      <c r="AA57" s="39">
        <f t="shared" si="63"/>
        <v>0</v>
      </c>
      <c r="AB57" s="39">
        <f>SUM(AB58,AB61)</f>
        <v>0</v>
      </c>
    </row>
    <row r="58" spans="2:28">
      <c r="B58" s="4"/>
      <c r="C58" s="4"/>
      <c r="D58" s="4"/>
      <c r="E58" s="142" t="s">
        <v>447</v>
      </c>
      <c r="F58" s="86"/>
      <c r="G58" s="86"/>
      <c r="H58" s="86"/>
      <c r="I58" s="86"/>
      <c r="J58" s="86"/>
      <c r="K58" s="86"/>
      <c r="L58" s="86"/>
      <c r="M58" s="86"/>
      <c r="N58" s="86"/>
      <c r="O58" s="86"/>
      <c r="P58" s="87" t="e">
        <f t="shared" si="43"/>
        <v>#DIV/0!</v>
      </c>
      <c r="R58" s="4"/>
      <c r="S58" s="4"/>
      <c r="T58" s="5" t="s">
        <v>104</v>
      </c>
      <c r="U58" s="8"/>
      <c r="V58" s="1"/>
      <c r="W58" s="39">
        <f>SUM(W59:W60)</f>
        <v>0</v>
      </c>
      <c r="X58" s="39">
        <f t="shared" ref="X58:AA58" si="64">SUM(X59:X60)</f>
        <v>0</v>
      </c>
      <c r="Y58" s="39">
        <f t="shared" si="64"/>
        <v>0</v>
      </c>
      <c r="Z58" s="39">
        <f t="shared" si="64"/>
        <v>0</v>
      </c>
      <c r="AA58" s="39">
        <f t="shared" si="64"/>
        <v>0</v>
      </c>
      <c r="AB58" s="39">
        <f>SUM(AB59:AB60)</f>
        <v>0</v>
      </c>
    </row>
    <row r="59" spans="2:28">
      <c r="B59" s="4"/>
      <c r="C59" s="4"/>
      <c r="D59" s="4"/>
      <c r="E59" s="142" t="s">
        <v>441</v>
      </c>
      <c r="F59" s="86"/>
      <c r="G59" s="86"/>
      <c r="H59" s="86"/>
      <c r="I59" s="86"/>
      <c r="J59" s="86"/>
      <c r="K59" s="86"/>
      <c r="L59" s="86"/>
      <c r="M59" s="86"/>
      <c r="N59" s="86"/>
      <c r="O59" s="86"/>
      <c r="P59" s="87" t="e">
        <f t="shared" si="43"/>
        <v>#DIV/0!</v>
      </c>
      <c r="R59" s="4"/>
      <c r="S59" s="4"/>
      <c r="T59" s="4"/>
      <c r="U59" s="1" t="s">
        <v>105</v>
      </c>
      <c r="V59" s="1"/>
      <c r="W59" s="39">
        <f>K105</f>
        <v>0</v>
      </c>
      <c r="X59" s="39">
        <f t="shared" ref="X59:AA59" si="65">L105</f>
        <v>0</v>
      </c>
      <c r="Y59" s="39">
        <f t="shared" si="65"/>
        <v>0</v>
      </c>
      <c r="Z59" s="39">
        <f t="shared" si="65"/>
        <v>0</v>
      </c>
      <c r="AA59" s="39">
        <f t="shared" si="65"/>
        <v>0</v>
      </c>
      <c r="AB59" s="39">
        <f>P105</f>
        <v>0</v>
      </c>
    </row>
    <row r="60" spans="2:28">
      <c r="B60" s="4"/>
      <c r="C60" s="4"/>
      <c r="D60" s="4"/>
      <c r="E60" s="142" t="s">
        <v>92</v>
      </c>
      <c r="F60" s="86"/>
      <c r="G60" s="86"/>
      <c r="H60" s="86"/>
      <c r="I60" s="86"/>
      <c r="J60" s="86"/>
      <c r="K60" s="86"/>
      <c r="L60" s="86"/>
      <c r="M60" s="86"/>
      <c r="N60" s="86"/>
      <c r="O60" s="86"/>
      <c r="P60" s="87" t="e">
        <f t="shared" si="43"/>
        <v>#DIV/0!</v>
      </c>
      <c r="R60" s="4"/>
      <c r="S60" s="4"/>
      <c r="T60" s="3"/>
      <c r="U60" s="1" t="s">
        <v>131</v>
      </c>
      <c r="V60" s="1"/>
      <c r="W60" s="39"/>
      <c r="X60" s="39"/>
      <c r="Y60" s="39"/>
      <c r="Z60" s="39"/>
      <c r="AA60" s="39"/>
      <c r="AB60" s="39"/>
    </row>
    <row r="61" spans="2:28">
      <c r="B61" s="4"/>
      <c r="C61" s="4"/>
      <c r="D61" s="4"/>
      <c r="E61" s="142" t="s">
        <v>431</v>
      </c>
      <c r="F61" s="86"/>
      <c r="G61" s="86"/>
      <c r="H61" s="86"/>
      <c r="I61" s="86"/>
      <c r="J61" s="86"/>
      <c r="K61" s="86"/>
      <c r="L61" s="86"/>
      <c r="M61" s="86"/>
      <c r="N61" s="86"/>
      <c r="O61" s="86"/>
      <c r="P61" s="87" t="e">
        <f t="shared" si="43"/>
        <v>#DIV/0!</v>
      </c>
      <c r="R61" s="4"/>
      <c r="S61" s="3"/>
      <c r="T61" s="9" t="s">
        <v>106</v>
      </c>
      <c r="U61" s="8"/>
      <c r="V61" s="1"/>
      <c r="W61" s="39"/>
      <c r="X61" s="39"/>
      <c r="Y61" s="39"/>
      <c r="Z61" s="39"/>
      <c r="AA61" s="39"/>
      <c r="AB61" s="39"/>
    </row>
    <row r="62" spans="2:28">
      <c r="B62" s="4"/>
      <c r="C62" s="4"/>
      <c r="D62" s="4"/>
      <c r="E62" s="142" t="s">
        <v>442</v>
      </c>
      <c r="F62" s="86"/>
      <c r="G62" s="86"/>
      <c r="H62" s="86"/>
      <c r="I62" s="86"/>
      <c r="J62" s="86"/>
      <c r="K62" s="86"/>
      <c r="L62" s="86"/>
      <c r="M62" s="86"/>
      <c r="N62" s="86"/>
      <c r="O62" s="86"/>
      <c r="P62" s="87" t="e">
        <f t="shared" si="43"/>
        <v>#DIV/0!</v>
      </c>
      <c r="R62" s="4"/>
      <c r="S62" s="5" t="s">
        <v>107</v>
      </c>
      <c r="T62" s="7"/>
      <c r="U62" s="8"/>
      <c r="V62" s="1"/>
      <c r="W62" s="39">
        <f>SUM(W63:W66)</f>
        <v>0</v>
      </c>
      <c r="X62" s="39">
        <f t="shared" ref="X62:AA62" si="66">SUM(X63:X66)</f>
        <v>0</v>
      </c>
      <c r="Y62" s="39">
        <f t="shared" si="66"/>
        <v>0</v>
      </c>
      <c r="Z62" s="39">
        <f t="shared" si="66"/>
        <v>0</v>
      </c>
      <c r="AA62" s="39">
        <f t="shared" si="66"/>
        <v>0</v>
      </c>
      <c r="AB62" s="39">
        <f>SUM(AB63:AB66)</f>
        <v>0</v>
      </c>
    </row>
    <row r="63" spans="2:28">
      <c r="B63" s="4"/>
      <c r="C63" s="4"/>
      <c r="D63" s="4"/>
      <c r="E63" s="142" t="s">
        <v>91</v>
      </c>
      <c r="F63" s="86"/>
      <c r="G63" s="86"/>
      <c r="H63" s="86"/>
      <c r="I63" s="86"/>
      <c r="J63" s="86"/>
      <c r="K63" s="86"/>
      <c r="L63" s="86"/>
      <c r="M63" s="86"/>
      <c r="N63" s="86"/>
      <c r="O63" s="86"/>
      <c r="P63" s="87" t="e">
        <f t="shared" si="43"/>
        <v>#DIV/0!</v>
      </c>
      <c r="R63" s="4"/>
      <c r="S63" s="4"/>
      <c r="T63" s="1" t="s">
        <v>108</v>
      </c>
      <c r="U63" s="1"/>
      <c r="V63" s="1"/>
      <c r="W63" s="39"/>
      <c r="X63" s="39"/>
      <c r="Y63" s="39"/>
      <c r="Z63" s="39"/>
      <c r="AA63" s="39"/>
      <c r="AB63" s="39"/>
    </row>
    <row r="64" spans="2:28">
      <c r="B64" s="4"/>
      <c r="C64" s="4"/>
      <c r="D64" s="4"/>
      <c r="E64" s="142" t="s">
        <v>96</v>
      </c>
      <c r="F64" s="86"/>
      <c r="G64" s="86"/>
      <c r="H64" s="86"/>
      <c r="I64" s="86"/>
      <c r="J64" s="86"/>
      <c r="K64" s="86"/>
      <c r="L64" s="86"/>
      <c r="M64" s="86"/>
      <c r="N64" s="86"/>
      <c r="O64" s="86"/>
      <c r="P64" s="87" t="e">
        <f t="shared" si="43"/>
        <v>#DIV/0!</v>
      </c>
      <c r="R64" s="4"/>
      <c r="S64" s="4"/>
      <c r="T64" s="1" t="s">
        <v>109</v>
      </c>
      <c r="U64" s="1"/>
      <c r="V64" s="1"/>
      <c r="W64" s="39">
        <f>K108</f>
        <v>0</v>
      </c>
      <c r="X64" s="39">
        <f t="shared" ref="X64:AA64" si="67">L108</f>
        <v>0</v>
      </c>
      <c r="Y64" s="39">
        <f t="shared" si="67"/>
        <v>0</v>
      </c>
      <c r="Z64" s="39">
        <f t="shared" si="67"/>
        <v>0</v>
      </c>
      <c r="AA64" s="39">
        <f t="shared" si="67"/>
        <v>0</v>
      </c>
      <c r="AB64" s="39">
        <f>P108</f>
        <v>0</v>
      </c>
    </row>
    <row r="65" spans="2:28">
      <c r="B65" s="4"/>
      <c r="C65" s="4"/>
      <c r="D65" s="4"/>
      <c r="E65" s="142" t="s">
        <v>90</v>
      </c>
      <c r="F65" s="86"/>
      <c r="G65" s="86"/>
      <c r="H65" s="86"/>
      <c r="I65" s="86"/>
      <c r="J65" s="86"/>
      <c r="K65" s="86"/>
      <c r="L65" s="86"/>
      <c r="M65" s="86"/>
      <c r="N65" s="86"/>
      <c r="O65" s="86"/>
      <c r="P65" s="87" t="e">
        <f t="shared" si="43"/>
        <v>#DIV/0!</v>
      </c>
      <c r="R65" s="4"/>
      <c r="S65" s="4"/>
      <c r="T65" s="1" t="s">
        <v>110</v>
      </c>
      <c r="U65" s="1"/>
      <c r="V65" s="1"/>
      <c r="W65" s="39"/>
      <c r="X65" s="39"/>
      <c r="Y65" s="39"/>
      <c r="Z65" s="39"/>
      <c r="AA65" s="39"/>
      <c r="AB65" s="39"/>
    </row>
    <row r="66" spans="2:28">
      <c r="B66" s="4"/>
      <c r="C66" s="4"/>
      <c r="D66" s="4"/>
      <c r="E66" s="142" t="s">
        <v>443</v>
      </c>
      <c r="F66" s="86"/>
      <c r="G66" s="86"/>
      <c r="H66" s="86"/>
      <c r="I66" s="86"/>
      <c r="J66" s="86"/>
      <c r="K66" s="86"/>
      <c r="L66" s="86"/>
      <c r="M66" s="86"/>
      <c r="N66" s="86"/>
      <c r="O66" s="86"/>
      <c r="P66" s="87" t="e">
        <f t="shared" si="43"/>
        <v>#DIV/0!</v>
      </c>
      <c r="R66" s="3"/>
      <c r="S66" s="3"/>
      <c r="T66" s="1" t="s">
        <v>111</v>
      </c>
      <c r="U66" s="1"/>
      <c r="V66" s="1"/>
      <c r="W66" s="39"/>
      <c r="X66" s="39"/>
      <c r="Y66" s="39"/>
      <c r="Z66" s="39"/>
      <c r="AA66" s="39"/>
      <c r="AB66" s="39"/>
    </row>
    <row r="67" spans="2:28">
      <c r="B67" s="4"/>
      <c r="C67" s="4"/>
      <c r="D67" s="4"/>
      <c r="E67" s="142" t="s">
        <v>445</v>
      </c>
      <c r="F67" s="86"/>
      <c r="G67" s="86"/>
      <c r="H67" s="86"/>
      <c r="I67" s="86"/>
      <c r="J67" s="86"/>
      <c r="K67" s="86"/>
      <c r="L67" s="86"/>
      <c r="M67" s="86"/>
      <c r="N67" s="86"/>
      <c r="O67" s="86"/>
      <c r="P67" s="87" t="e">
        <f t="shared" si="43"/>
        <v>#DIV/0!</v>
      </c>
      <c r="R67" s="9" t="s">
        <v>112</v>
      </c>
      <c r="S67" s="7"/>
      <c r="T67" s="7"/>
      <c r="U67" s="8"/>
      <c r="V67" s="1"/>
      <c r="W67" s="39">
        <f t="shared" ref="W67:AB67" si="68">W5-W23</f>
        <v>0</v>
      </c>
      <c r="X67" s="39">
        <f t="shared" si="68"/>
        <v>0</v>
      </c>
      <c r="Y67" s="39">
        <f t="shared" si="68"/>
        <v>0</v>
      </c>
      <c r="Z67" s="39">
        <f t="shared" si="68"/>
        <v>0</v>
      </c>
      <c r="AA67" s="39">
        <f t="shared" si="68"/>
        <v>484865980</v>
      </c>
      <c r="AB67" s="39" t="e">
        <f t="shared" si="68"/>
        <v>#DIV/0!</v>
      </c>
    </row>
    <row r="68" spans="2:28">
      <c r="B68" s="4"/>
      <c r="C68" s="4"/>
      <c r="D68" s="3"/>
      <c r="E68" s="142" t="s">
        <v>446</v>
      </c>
      <c r="F68" s="86"/>
      <c r="G68" s="86"/>
      <c r="H68" s="86"/>
      <c r="I68" s="86"/>
      <c r="J68" s="86"/>
      <c r="K68" s="86"/>
      <c r="L68" s="86"/>
      <c r="M68" s="86"/>
      <c r="N68" s="86"/>
      <c r="O68" s="86"/>
      <c r="P68" s="87" t="e">
        <f t="shared" si="43"/>
        <v>#DIV/0!</v>
      </c>
    </row>
    <row r="69" spans="2:28">
      <c r="B69" s="4"/>
      <c r="C69" s="4"/>
      <c r="D69" s="79" t="s">
        <v>450</v>
      </c>
      <c r="E69" s="8"/>
      <c r="F69" s="86">
        <f t="shared" ref="F69:N69" si="69">SUM(F70:F74)</f>
        <v>0</v>
      </c>
      <c r="G69" s="86">
        <f t="shared" si="69"/>
        <v>0</v>
      </c>
      <c r="H69" s="86">
        <f t="shared" si="69"/>
        <v>0</v>
      </c>
      <c r="I69" s="86">
        <f t="shared" si="69"/>
        <v>0</v>
      </c>
      <c r="J69" s="86">
        <f t="shared" si="69"/>
        <v>0</v>
      </c>
      <c r="K69" s="86">
        <f t="shared" si="69"/>
        <v>0</v>
      </c>
      <c r="L69" s="86">
        <f t="shared" si="69"/>
        <v>0</v>
      </c>
      <c r="M69" s="86">
        <f>SUM(M70:M74)</f>
        <v>0</v>
      </c>
      <c r="N69" s="86">
        <f t="shared" si="69"/>
        <v>0</v>
      </c>
      <c r="O69" s="86">
        <f>SUM(O70:O74)</f>
        <v>0</v>
      </c>
      <c r="P69" s="87">
        <f t="shared" si="43"/>
        <v>0</v>
      </c>
    </row>
    <row r="70" spans="2:28">
      <c r="B70" s="4"/>
      <c r="C70" s="4"/>
      <c r="D70" s="79"/>
      <c r="E70" s="142" t="s">
        <v>437</v>
      </c>
      <c r="F70" s="86"/>
      <c r="G70" s="86"/>
      <c r="H70" s="86"/>
      <c r="I70" s="86"/>
      <c r="J70" s="86"/>
      <c r="K70" s="86"/>
      <c r="L70" s="86"/>
      <c r="M70" s="86"/>
      <c r="N70" s="86"/>
      <c r="O70" s="86"/>
      <c r="P70" s="87" t="e">
        <f t="shared" si="43"/>
        <v>#DIV/0!</v>
      </c>
    </row>
    <row r="71" spans="2:28">
      <c r="B71" s="4"/>
      <c r="C71" s="4"/>
      <c r="D71" s="79"/>
      <c r="E71" s="142" t="s">
        <v>448</v>
      </c>
      <c r="F71" s="86"/>
      <c r="G71" s="86"/>
      <c r="H71" s="86"/>
      <c r="I71" s="86"/>
      <c r="J71" s="86"/>
      <c r="K71" s="86"/>
      <c r="L71" s="86"/>
      <c r="M71" s="86"/>
      <c r="N71" s="86"/>
      <c r="O71" s="86"/>
      <c r="P71" s="87" t="e">
        <f t="shared" si="43"/>
        <v>#DIV/0!</v>
      </c>
    </row>
    <row r="72" spans="2:28">
      <c r="B72" s="4"/>
      <c r="C72" s="4"/>
      <c r="D72" s="79"/>
      <c r="E72" s="142" t="s">
        <v>92</v>
      </c>
      <c r="F72" s="86"/>
      <c r="G72" s="86"/>
      <c r="H72" s="86"/>
      <c r="I72" s="86"/>
      <c r="J72" s="86"/>
      <c r="K72" s="86"/>
      <c r="L72" s="86"/>
      <c r="M72" s="86"/>
      <c r="N72" s="86"/>
      <c r="O72" s="86"/>
      <c r="P72" s="87" t="e">
        <f t="shared" si="43"/>
        <v>#DIV/0!</v>
      </c>
    </row>
    <row r="73" spans="2:28">
      <c r="B73" s="4"/>
      <c r="C73" s="4"/>
      <c r="D73" s="79"/>
      <c r="E73" s="142" t="s">
        <v>443</v>
      </c>
      <c r="F73" s="86"/>
      <c r="G73" s="86"/>
      <c r="H73" s="86"/>
      <c r="I73" s="86"/>
      <c r="J73" s="86"/>
      <c r="K73" s="86"/>
      <c r="L73" s="86"/>
      <c r="M73" s="86"/>
      <c r="N73" s="86"/>
      <c r="O73" s="86"/>
      <c r="P73" s="87" t="e">
        <f t="shared" si="43"/>
        <v>#DIV/0!</v>
      </c>
    </row>
    <row r="74" spans="2:28">
      <c r="B74" s="4"/>
      <c r="C74" s="4"/>
      <c r="D74" s="79"/>
      <c r="E74" s="142" t="s">
        <v>445</v>
      </c>
      <c r="F74" s="86"/>
      <c r="G74" s="86"/>
      <c r="H74" s="86"/>
      <c r="I74" s="86"/>
      <c r="J74" s="86"/>
      <c r="K74" s="86"/>
      <c r="L74" s="86"/>
      <c r="M74" s="86"/>
      <c r="N74" s="86"/>
      <c r="O74" s="86"/>
      <c r="P74" s="87" t="e">
        <f t="shared" si="43"/>
        <v>#DIV/0!</v>
      </c>
    </row>
    <row r="75" spans="2:28">
      <c r="B75" s="4"/>
      <c r="C75" s="4"/>
      <c r="D75" s="5" t="s">
        <v>97</v>
      </c>
      <c r="E75" s="8"/>
      <c r="F75" s="86">
        <f t="shared" ref="F75:O75" si="70">SUM(F76:F95)</f>
        <v>0</v>
      </c>
      <c r="G75" s="86">
        <f t="shared" si="70"/>
        <v>0</v>
      </c>
      <c r="H75" s="86">
        <f t="shared" si="70"/>
        <v>0</v>
      </c>
      <c r="I75" s="86">
        <f t="shared" si="70"/>
        <v>0</v>
      </c>
      <c r="J75" s="86">
        <f t="shared" si="70"/>
        <v>0</v>
      </c>
      <c r="K75" s="86">
        <f t="shared" si="70"/>
        <v>0</v>
      </c>
      <c r="L75" s="86">
        <f t="shared" si="70"/>
        <v>0</v>
      </c>
      <c r="M75" s="86">
        <f t="shared" si="70"/>
        <v>0</v>
      </c>
      <c r="N75" s="86">
        <f t="shared" si="70"/>
        <v>0</v>
      </c>
      <c r="O75" s="86">
        <f t="shared" si="70"/>
        <v>0</v>
      </c>
      <c r="P75" s="87">
        <f t="shared" si="43"/>
        <v>0</v>
      </c>
    </row>
    <row r="76" spans="2:28">
      <c r="B76" s="4"/>
      <c r="C76" s="4"/>
      <c r="D76" s="4"/>
      <c r="E76" s="142" t="s">
        <v>451</v>
      </c>
      <c r="F76" s="86"/>
      <c r="G76" s="86"/>
      <c r="H76" s="86"/>
      <c r="I76" s="86"/>
      <c r="J76" s="86"/>
      <c r="K76" s="86"/>
      <c r="L76" s="86"/>
      <c r="M76" s="86"/>
      <c r="N76" s="86"/>
      <c r="O76" s="86"/>
      <c r="P76" s="87" t="e">
        <f t="shared" si="43"/>
        <v>#DIV/0!</v>
      </c>
    </row>
    <row r="77" spans="2:28">
      <c r="B77" s="4"/>
      <c r="C77" s="4"/>
      <c r="D77" s="4"/>
      <c r="E77" s="142" t="s">
        <v>452</v>
      </c>
      <c r="F77" s="86"/>
      <c r="G77" s="86"/>
      <c r="H77" s="86"/>
      <c r="I77" s="86"/>
      <c r="J77" s="86"/>
      <c r="K77" s="86"/>
      <c r="L77" s="86"/>
      <c r="M77" s="86"/>
      <c r="N77" s="86"/>
      <c r="O77" s="86"/>
      <c r="P77" s="87" t="e">
        <f t="shared" si="43"/>
        <v>#DIV/0!</v>
      </c>
    </row>
    <row r="78" spans="2:28">
      <c r="B78" s="4"/>
      <c r="C78" s="4"/>
      <c r="D78" s="4"/>
      <c r="E78" s="142" t="s">
        <v>453</v>
      </c>
      <c r="F78" s="86"/>
      <c r="G78" s="86"/>
      <c r="H78" s="86"/>
      <c r="I78" s="86"/>
      <c r="J78" s="86"/>
      <c r="K78" s="86"/>
      <c r="L78" s="86"/>
      <c r="M78" s="86"/>
      <c r="N78" s="86"/>
      <c r="O78" s="86"/>
      <c r="P78" s="87" t="e">
        <f t="shared" si="43"/>
        <v>#DIV/0!</v>
      </c>
    </row>
    <row r="79" spans="2:28">
      <c r="B79" s="4"/>
      <c r="C79" s="4"/>
      <c r="D79" s="4"/>
      <c r="E79" s="142" t="s">
        <v>437</v>
      </c>
      <c r="F79" s="86"/>
      <c r="G79" s="86"/>
      <c r="H79" s="86"/>
      <c r="I79" s="86"/>
      <c r="J79" s="86"/>
      <c r="K79" s="86"/>
      <c r="L79" s="86"/>
      <c r="M79" s="86"/>
      <c r="N79" s="86"/>
      <c r="O79" s="86"/>
      <c r="P79" s="87" t="e">
        <f t="shared" si="43"/>
        <v>#DIV/0!</v>
      </c>
    </row>
    <row r="80" spans="2:28">
      <c r="B80" s="4"/>
      <c r="C80" s="4"/>
      <c r="D80" s="4"/>
      <c r="E80" s="142" t="s">
        <v>454</v>
      </c>
      <c r="F80" s="86"/>
      <c r="G80" s="86"/>
      <c r="H80" s="86"/>
      <c r="I80" s="86"/>
      <c r="J80" s="86"/>
      <c r="K80" s="86"/>
      <c r="L80" s="86"/>
      <c r="M80" s="86"/>
      <c r="N80" s="86"/>
      <c r="O80" s="86"/>
      <c r="P80" s="87" t="e">
        <f t="shared" si="43"/>
        <v>#DIV/0!</v>
      </c>
    </row>
    <row r="81" spans="2:16">
      <c r="B81" s="4"/>
      <c r="C81" s="4"/>
      <c r="D81" s="4"/>
      <c r="E81" s="142" t="s">
        <v>455</v>
      </c>
      <c r="F81" s="86"/>
      <c r="G81" s="86"/>
      <c r="H81" s="86"/>
      <c r="I81" s="86"/>
      <c r="J81" s="86"/>
      <c r="K81" s="86"/>
      <c r="L81" s="86"/>
      <c r="M81" s="86"/>
      <c r="N81" s="86"/>
      <c r="O81" s="86"/>
      <c r="P81" s="87" t="e">
        <f t="shared" si="43"/>
        <v>#DIV/0!</v>
      </c>
    </row>
    <row r="82" spans="2:16">
      <c r="B82" s="4"/>
      <c r="C82" s="4"/>
      <c r="D82" s="4"/>
      <c r="E82" s="142" t="s">
        <v>438</v>
      </c>
      <c r="F82" s="86"/>
      <c r="G82" s="86"/>
      <c r="H82" s="86"/>
      <c r="I82" s="86"/>
      <c r="J82" s="86"/>
      <c r="K82" s="86"/>
      <c r="L82" s="86"/>
      <c r="M82" s="86"/>
      <c r="N82" s="86"/>
      <c r="O82" s="86"/>
      <c r="P82" s="87" t="e">
        <f t="shared" si="43"/>
        <v>#DIV/0!</v>
      </c>
    </row>
    <row r="83" spans="2:16">
      <c r="B83" s="4"/>
      <c r="C83" s="4"/>
      <c r="D83" s="4"/>
      <c r="E83" s="142" t="s">
        <v>439</v>
      </c>
      <c r="F83" s="86"/>
      <c r="G83" s="86"/>
      <c r="H83" s="86"/>
      <c r="I83" s="86"/>
      <c r="J83" s="86"/>
      <c r="K83" s="86"/>
      <c r="L83" s="86"/>
      <c r="M83" s="86"/>
      <c r="N83" s="86"/>
      <c r="O83" s="86"/>
      <c r="P83" s="87" t="e">
        <f t="shared" si="43"/>
        <v>#DIV/0!</v>
      </c>
    </row>
    <row r="84" spans="2:16">
      <c r="B84" s="4"/>
      <c r="C84" s="4"/>
      <c r="D84" s="4"/>
      <c r="E84" s="142" t="s">
        <v>449</v>
      </c>
      <c r="F84" s="86"/>
      <c r="G84" s="86"/>
      <c r="H84" s="86"/>
      <c r="I84" s="86"/>
      <c r="J84" s="86"/>
      <c r="K84" s="86"/>
      <c r="L84" s="86"/>
      <c r="M84" s="86"/>
      <c r="N84" s="86"/>
      <c r="O84" s="86"/>
      <c r="P84" s="87" t="e">
        <f t="shared" si="43"/>
        <v>#DIV/0!</v>
      </c>
    </row>
    <row r="85" spans="2:16">
      <c r="B85" s="4"/>
      <c r="C85" s="4"/>
      <c r="D85" s="79"/>
      <c r="E85" s="142" t="s">
        <v>447</v>
      </c>
      <c r="F85" s="86"/>
      <c r="G85" s="86"/>
      <c r="H85" s="86"/>
      <c r="I85" s="86"/>
      <c r="J85" s="86"/>
      <c r="K85" s="86"/>
      <c r="L85" s="86"/>
      <c r="M85" s="86"/>
      <c r="N85" s="86"/>
      <c r="O85" s="86"/>
      <c r="P85" s="87" t="e">
        <f t="shared" si="43"/>
        <v>#DIV/0!</v>
      </c>
    </row>
    <row r="86" spans="2:16">
      <c r="B86" s="4"/>
      <c r="C86" s="4"/>
      <c r="D86" s="79"/>
      <c r="E86" s="142" t="s">
        <v>441</v>
      </c>
      <c r="F86" s="86"/>
      <c r="G86" s="86"/>
      <c r="H86" s="86"/>
      <c r="I86" s="86"/>
      <c r="J86" s="86"/>
      <c r="K86" s="86"/>
      <c r="L86" s="86"/>
      <c r="M86" s="86"/>
      <c r="N86" s="86"/>
      <c r="O86" s="86"/>
      <c r="P86" s="87" t="e">
        <f t="shared" si="43"/>
        <v>#DIV/0!</v>
      </c>
    </row>
    <row r="87" spans="2:16">
      <c r="B87" s="4"/>
      <c r="C87" s="4"/>
      <c r="D87" s="79"/>
      <c r="E87" s="142" t="s">
        <v>92</v>
      </c>
      <c r="F87" s="86"/>
      <c r="G87" s="86"/>
      <c r="H87" s="86"/>
      <c r="I87" s="86"/>
      <c r="J87" s="86"/>
      <c r="K87" s="86"/>
      <c r="L87" s="86"/>
      <c r="M87" s="86"/>
      <c r="N87" s="86"/>
      <c r="O87" s="86"/>
      <c r="P87" s="87" t="e">
        <f t="shared" si="43"/>
        <v>#DIV/0!</v>
      </c>
    </row>
    <row r="88" spans="2:16">
      <c r="B88" s="4"/>
      <c r="C88" s="4"/>
      <c r="D88" s="79"/>
      <c r="E88" s="142" t="s">
        <v>431</v>
      </c>
      <c r="F88" s="86"/>
      <c r="G88" s="86"/>
      <c r="H88" s="86"/>
      <c r="I88" s="86"/>
      <c r="J88" s="86"/>
      <c r="K88" s="86"/>
      <c r="L88" s="86"/>
      <c r="M88" s="86"/>
      <c r="N88" s="86"/>
      <c r="O88" s="86"/>
      <c r="P88" s="87" t="e">
        <f t="shared" si="43"/>
        <v>#DIV/0!</v>
      </c>
    </row>
    <row r="89" spans="2:16">
      <c r="B89" s="4"/>
      <c r="C89" s="4"/>
      <c r="D89" s="79"/>
      <c r="E89" s="142" t="s">
        <v>442</v>
      </c>
      <c r="F89" s="86"/>
      <c r="G89" s="86"/>
      <c r="H89" s="86"/>
      <c r="I89" s="86"/>
      <c r="J89" s="86"/>
      <c r="K89" s="86"/>
      <c r="L89" s="86"/>
      <c r="M89" s="86"/>
      <c r="N89" s="86"/>
      <c r="O89" s="86"/>
      <c r="P89" s="87" t="e">
        <f t="shared" si="43"/>
        <v>#DIV/0!</v>
      </c>
    </row>
    <row r="90" spans="2:16">
      <c r="B90" s="4"/>
      <c r="C90" s="4"/>
      <c r="D90" s="79"/>
      <c r="E90" s="142" t="s">
        <v>91</v>
      </c>
      <c r="F90" s="86"/>
      <c r="G90" s="86"/>
      <c r="H90" s="86"/>
      <c r="I90" s="86"/>
      <c r="J90" s="86"/>
      <c r="K90" s="86"/>
      <c r="L90" s="86"/>
      <c r="M90" s="86"/>
      <c r="N90" s="86"/>
      <c r="O90" s="86"/>
      <c r="P90" s="87" t="e">
        <f t="shared" si="43"/>
        <v>#DIV/0!</v>
      </c>
    </row>
    <row r="91" spans="2:16">
      <c r="B91" s="4"/>
      <c r="C91" s="4"/>
      <c r="D91" s="79"/>
      <c r="E91" s="142" t="s">
        <v>456</v>
      </c>
      <c r="F91" s="86"/>
      <c r="G91" s="86"/>
      <c r="H91" s="86"/>
      <c r="I91" s="86"/>
      <c r="J91" s="86"/>
      <c r="K91" s="86"/>
      <c r="L91" s="86"/>
      <c r="M91" s="86"/>
      <c r="N91" s="86"/>
      <c r="O91" s="86"/>
      <c r="P91" s="87" t="e">
        <f t="shared" si="43"/>
        <v>#DIV/0!</v>
      </c>
    </row>
    <row r="92" spans="2:16">
      <c r="B92" s="4"/>
      <c r="C92" s="4"/>
      <c r="D92" s="79"/>
      <c r="E92" s="142" t="s">
        <v>457</v>
      </c>
      <c r="F92" s="86"/>
      <c r="G92" s="86"/>
      <c r="H92" s="86"/>
      <c r="I92" s="86"/>
      <c r="J92" s="86"/>
      <c r="K92" s="86"/>
      <c r="L92" s="86"/>
      <c r="M92" s="86"/>
      <c r="N92" s="86"/>
      <c r="O92" s="86"/>
      <c r="P92" s="87" t="e">
        <f t="shared" si="43"/>
        <v>#DIV/0!</v>
      </c>
    </row>
    <row r="93" spans="2:16">
      <c r="B93" s="4"/>
      <c r="C93" s="4"/>
      <c r="D93" s="79"/>
      <c r="E93" s="142" t="s">
        <v>458</v>
      </c>
      <c r="F93" s="86"/>
      <c r="G93" s="86"/>
      <c r="H93" s="86"/>
      <c r="I93" s="86"/>
      <c r="J93" s="86"/>
      <c r="K93" s="86"/>
      <c r="L93" s="86"/>
      <c r="M93" s="86"/>
      <c r="N93" s="86"/>
      <c r="O93" s="86"/>
      <c r="P93" s="87" t="e">
        <f t="shared" si="43"/>
        <v>#DIV/0!</v>
      </c>
    </row>
    <row r="94" spans="2:16">
      <c r="B94" s="4"/>
      <c r="C94" s="4"/>
      <c r="D94" s="79"/>
      <c r="E94" s="142" t="s">
        <v>459</v>
      </c>
      <c r="F94" s="86"/>
      <c r="G94" s="86"/>
      <c r="H94" s="86"/>
      <c r="I94" s="86"/>
      <c r="J94" s="86"/>
      <c r="K94" s="86"/>
      <c r="L94" s="86"/>
      <c r="M94" s="86"/>
      <c r="N94" s="86"/>
      <c r="O94" s="86"/>
      <c r="P94" s="87" t="e">
        <f t="shared" si="43"/>
        <v>#DIV/0!</v>
      </c>
    </row>
    <row r="95" spans="2:16">
      <c r="B95" s="4"/>
      <c r="C95" s="4"/>
      <c r="D95" s="79"/>
      <c r="E95" s="142" t="s">
        <v>446</v>
      </c>
      <c r="F95" s="86"/>
      <c r="G95" s="86"/>
      <c r="H95" s="86"/>
      <c r="I95" s="86"/>
      <c r="J95" s="86"/>
      <c r="K95" s="86"/>
      <c r="L95" s="86"/>
      <c r="M95" s="86"/>
      <c r="N95" s="86"/>
      <c r="O95" s="86"/>
      <c r="P95" s="87" t="e">
        <f t="shared" si="43"/>
        <v>#DIV/0!</v>
      </c>
    </row>
    <row r="96" spans="2:16">
      <c r="B96" s="4"/>
      <c r="C96" s="4"/>
      <c r="D96" s="5" t="s">
        <v>101</v>
      </c>
      <c r="E96" s="8"/>
      <c r="F96" s="86">
        <f t="shared" ref="F96:N96" si="71">F97</f>
        <v>0</v>
      </c>
      <c r="G96" s="86">
        <f t="shared" si="71"/>
        <v>0</v>
      </c>
      <c r="H96" s="86">
        <f t="shared" si="71"/>
        <v>0</v>
      </c>
      <c r="I96" s="86">
        <f t="shared" si="71"/>
        <v>0</v>
      </c>
      <c r="J96" s="86">
        <f t="shared" si="71"/>
        <v>0</v>
      </c>
      <c r="K96" s="86">
        <f t="shared" si="71"/>
        <v>0</v>
      </c>
      <c r="L96" s="86">
        <f t="shared" si="71"/>
        <v>0</v>
      </c>
      <c r="M96" s="86">
        <f t="shared" si="71"/>
        <v>0</v>
      </c>
      <c r="N96" s="86">
        <f t="shared" si="71"/>
        <v>0</v>
      </c>
      <c r="O96" s="86">
        <f>O97</f>
        <v>0</v>
      </c>
      <c r="P96" s="87">
        <f t="shared" si="43"/>
        <v>0</v>
      </c>
    </row>
    <row r="97" spans="2:16">
      <c r="B97" s="4"/>
      <c r="C97" s="4"/>
      <c r="D97" s="80"/>
      <c r="E97" s="142" t="s">
        <v>460</v>
      </c>
      <c r="F97" s="86"/>
      <c r="G97" s="86"/>
      <c r="H97" s="86"/>
      <c r="I97" s="86"/>
      <c r="J97" s="86"/>
      <c r="K97" s="86"/>
      <c r="L97" s="86"/>
      <c r="M97" s="86"/>
      <c r="N97" s="86"/>
      <c r="O97" s="86"/>
      <c r="P97" s="87" t="e">
        <f t="shared" si="43"/>
        <v>#DIV/0!</v>
      </c>
    </row>
    <row r="98" spans="2:16">
      <c r="B98" s="4"/>
      <c r="C98" s="4"/>
      <c r="D98" s="5" t="s">
        <v>102</v>
      </c>
      <c r="E98" s="8"/>
      <c r="F98" s="86">
        <f>SUM(F99:F100)</f>
        <v>0</v>
      </c>
      <c r="G98" s="86">
        <f t="shared" ref="G98:N98" si="72">SUM(G99:G100)</f>
        <v>0</v>
      </c>
      <c r="H98" s="86">
        <f t="shared" si="72"/>
        <v>0</v>
      </c>
      <c r="I98" s="86">
        <f t="shared" si="72"/>
        <v>0</v>
      </c>
      <c r="J98" s="86">
        <f t="shared" si="72"/>
        <v>0</v>
      </c>
      <c r="K98" s="86">
        <f t="shared" si="72"/>
        <v>0</v>
      </c>
      <c r="L98" s="86">
        <f t="shared" si="72"/>
        <v>0</v>
      </c>
      <c r="M98" s="86">
        <f>SUM(M99:M100)</f>
        <v>0</v>
      </c>
      <c r="N98" s="86">
        <f t="shared" si="72"/>
        <v>0</v>
      </c>
      <c r="O98" s="86">
        <f>SUM(O99:O100)</f>
        <v>0</v>
      </c>
      <c r="P98" s="87">
        <f t="shared" si="43"/>
        <v>0</v>
      </c>
    </row>
    <row r="99" spans="2:16">
      <c r="B99" s="4"/>
      <c r="C99" s="4"/>
      <c r="D99" s="4"/>
      <c r="E99" s="142" t="s">
        <v>164</v>
      </c>
      <c r="F99" s="86"/>
      <c r="G99" s="86"/>
      <c r="H99" s="86"/>
      <c r="I99" s="86"/>
      <c r="J99" s="86"/>
      <c r="K99" s="86"/>
      <c r="L99" s="86"/>
      <c r="M99" s="86"/>
      <c r="N99" s="86"/>
      <c r="O99" s="86"/>
      <c r="P99" s="87" t="e">
        <f t="shared" ref="P99:P111" si="73">AVERAGE(F99:O99)</f>
        <v>#DIV/0!</v>
      </c>
    </row>
    <row r="100" spans="2:16">
      <c r="B100" s="4"/>
      <c r="C100" s="4"/>
      <c r="D100" s="3"/>
      <c r="E100" s="142" t="s">
        <v>461</v>
      </c>
      <c r="F100" s="86"/>
      <c r="G100" s="86"/>
      <c r="H100" s="86"/>
      <c r="I100" s="86"/>
      <c r="J100" s="86"/>
      <c r="K100" s="86"/>
      <c r="L100" s="86"/>
      <c r="M100" s="86"/>
      <c r="N100" s="86"/>
      <c r="O100" s="86"/>
      <c r="P100" s="87" t="e">
        <f t="shared" si="73"/>
        <v>#DIV/0!</v>
      </c>
    </row>
    <row r="101" spans="2:16">
      <c r="B101" s="4"/>
      <c r="C101" s="4"/>
      <c r="D101" s="5" t="s">
        <v>462</v>
      </c>
      <c r="E101" s="8"/>
      <c r="F101" s="86">
        <f t="shared" ref="F101:N101" si="74">SUM(F102:F103)</f>
        <v>0</v>
      </c>
      <c r="G101" s="86">
        <f t="shared" si="74"/>
        <v>0</v>
      </c>
      <c r="H101" s="86">
        <f t="shared" si="74"/>
        <v>0</v>
      </c>
      <c r="I101" s="86">
        <f t="shared" si="74"/>
        <v>0</v>
      </c>
      <c r="J101" s="86">
        <f t="shared" si="74"/>
        <v>0</v>
      </c>
      <c r="K101" s="86">
        <f t="shared" si="74"/>
        <v>0</v>
      </c>
      <c r="L101" s="86">
        <f t="shared" si="74"/>
        <v>0</v>
      </c>
      <c r="M101" s="86">
        <f>SUM(M102:M103)</f>
        <v>0</v>
      </c>
      <c r="N101" s="86">
        <f t="shared" si="74"/>
        <v>0</v>
      </c>
      <c r="O101" s="86">
        <f>SUM(O102:O103)</f>
        <v>0</v>
      </c>
      <c r="P101" s="87">
        <f t="shared" si="73"/>
        <v>0</v>
      </c>
    </row>
    <row r="102" spans="2:16">
      <c r="B102" s="4"/>
      <c r="C102" s="79"/>
      <c r="D102" s="79"/>
      <c r="E102" s="142" t="s">
        <v>463</v>
      </c>
      <c r="F102" s="86"/>
      <c r="G102" s="86"/>
      <c r="H102" s="86"/>
      <c r="I102" s="86"/>
      <c r="J102" s="86"/>
      <c r="K102" s="86"/>
      <c r="L102" s="86"/>
      <c r="M102" s="86"/>
      <c r="N102" s="86"/>
      <c r="O102" s="86"/>
      <c r="P102" s="87" t="e">
        <f t="shared" si="73"/>
        <v>#DIV/0!</v>
      </c>
    </row>
    <row r="103" spans="2:16">
      <c r="B103" s="4"/>
      <c r="C103" s="79"/>
      <c r="D103" s="80"/>
      <c r="E103" s="142" t="s">
        <v>106</v>
      </c>
      <c r="F103" s="86"/>
      <c r="G103" s="86"/>
      <c r="H103" s="86"/>
      <c r="I103" s="86"/>
      <c r="J103" s="86"/>
      <c r="K103" s="86"/>
      <c r="L103" s="86"/>
      <c r="M103" s="86"/>
      <c r="N103" s="86"/>
      <c r="O103" s="86"/>
      <c r="P103" s="87" t="e">
        <f t="shared" si="73"/>
        <v>#DIV/0!</v>
      </c>
    </row>
    <row r="104" spans="2:16">
      <c r="B104" s="4"/>
      <c r="C104" s="5" t="s">
        <v>103</v>
      </c>
      <c r="D104" s="7"/>
      <c r="E104" s="8"/>
      <c r="F104" s="86">
        <f>F105</f>
        <v>0</v>
      </c>
      <c r="G104" s="86">
        <f t="shared" ref="G104:N105" si="75">G105</f>
        <v>0</v>
      </c>
      <c r="H104" s="86">
        <f t="shared" si="75"/>
        <v>0</v>
      </c>
      <c r="I104" s="86">
        <f t="shared" si="75"/>
        <v>0</v>
      </c>
      <c r="J104" s="86">
        <f t="shared" si="75"/>
        <v>0</v>
      </c>
      <c r="K104" s="86">
        <f t="shared" si="75"/>
        <v>0</v>
      </c>
      <c r="L104" s="86">
        <f t="shared" si="75"/>
        <v>0</v>
      </c>
      <c r="M104" s="86">
        <f t="shared" si="75"/>
        <v>0</v>
      </c>
      <c r="N104" s="86">
        <f t="shared" si="75"/>
        <v>0</v>
      </c>
      <c r="O104" s="86">
        <f>O105</f>
        <v>0</v>
      </c>
      <c r="P104" s="87">
        <f t="shared" si="73"/>
        <v>0</v>
      </c>
    </row>
    <row r="105" spans="2:16">
      <c r="B105" s="4"/>
      <c r="C105" s="4"/>
      <c r="D105" s="5" t="s">
        <v>464</v>
      </c>
      <c r="E105" s="8"/>
      <c r="F105" s="86">
        <f>F106</f>
        <v>0</v>
      </c>
      <c r="G105" s="86">
        <f t="shared" si="75"/>
        <v>0</v>
      </c>
      <c r="H105" s="86">
        <f t="shared" si="75"/>
        <v>0</v>
      </c>
      <c r="I105" s="86">
        <f t="shared" si="75"/>
        <v>0</v>
      </c>
      <c r="J105" s="86">
        <f t="shared" si="75"/>
        <v>0</v>
      </c>
      <c r="K105" s="86">
        <f t="shared" si="75"/>
        <v>0</v>
      </c>
      <c r="L105" s="86">
        <f t="shared" si="75"/>
        <v>0</v>
      </c>
      <c r="M105" s="86">
        <f t="shared" si="75"/>
        <v>0</v>
      </c>
      <c r="N105" s="86">
        <f t="shared" si="75"/>
        <v>0</v>
      </c>
      <c r="O105" s="86">
        <f>O106</f>
        <v>0</v>
      </c>
      <c r="P105" s="87">
        <f t="shared" si="73"/>
        <v>0</v>
      </c>
    </row>
    <row r="106" spans="2:16">
      <c r="B106" s="4"/>
      <c r="C106" s="3"/>
      <c r="D106" s="80"/>
      <c r="E106" s="142" t="s">
        <v>465</v>
      </c>
      <c r="F106" s="86"/>
      <c r="G106" s="86"/>
      <c r="H106" s="86"/>
      <c r="I106" s="86"/>
      <c r="J106" s="86"/>
      <c r="K106" s="86"/>
      <c r="L106" s="86"/>
      <c r="M106" s="86"/>
      <c r="N106" s="86"/>
      <c r="O106" s="86"/>
      <c r="P106" s="87" t="e">
        <f t="shared" si="73"/>
        <v>#DIV/0!</v>
      </c>
    </row>
    <row r="107" spans="2:16">
      <c r="B107" s="4"/>
      <c r="C107" s="5" t="s">
        <v>107</v>
      </c>
      <c r="D107" s="7"/>
      <c r="E107" s="8"/>
      <c r="F107" s="86">
        <f t="shared" ref="F107:I107" si="76">F108</f>
        <v>0</v>
      </c>
      <c r="G107" s="86">
        <f t="shared" si="76"/>
        <v>0</v>
      </c>
      <c r="H107" s="86">
        <f t="shared" si="76"/>
        <v>0</v>
      </c>
      <c r="I107" s="86">
        <f t="shared" si="76"/>
        <v>0</v>
      </c>
      <c r="J107" s="86">
        <f>J108</f>
        <v>0</v>
      </c>
      <c r="K107" s="86">
        <f t="shared" ref="K107:N107" si="77">K108</f>
        <v>0</v>
      </c>
      <c r="L107" s="86">
        <f t="shared" si="77"/>
        <v>0</v>
      </c>
      <c r="M107" s="86">
        <f t="shared" si="77"/>
        <v>0</v>
      </c>
      <c r="N107" s="86">
        <f t="shared" si="77"/>
        <v>0</v>
      </c>
      <c r="O107" s="86">
        <f>O108</f>
        <v>0</v>
      </c>
      <c r="P107" s="87">
        <f t="shared" si="73"/>
        <v>0</v>
      </c>
    </row>
    <row r="108" spans="2:16">
      <c r="B108" s="4"/>
      <c r="C108" s="4"/>
      <c r="D108" s="2" t="s">
        <v>109</v>
      </c>
      <c r="E108" s="1"/>
      <c r="F108" s="86">
        <f t="shared" ref="F108:I108" si="78">SUM(F109:F110)</f>
        <v>0</v>
      </c>
      <c r="G108" s="86">
        <f t="shared" si="78"/>
        <v>0</v>
      </c>
      <c r="H108" s="86">
        <f t="shared" si="78"/>
        <v>0</v>
      </c>
      <c r="I108" s="86">
        <f t="shared" si="78"/>
        <v>0</v>
      </c>
      <c r="J108" s="86">
        <f>SUM(J109:J110)</f>
        <v>0</v>
      </c>
      <c r="K108" s="86">
        <f t="shared" ref="K108:N108" si="79">SUM(K109:K110)</f>
        <v>0</v>
      </c>
      <c r="L108" s="86">
        <f t="shared" si="79"/>
        <v>0</v>
      </c>
      <c r="M108" s="86">
        <f t="shared" si="79"/>
        <v>0</v>
      </c>
      <c r="N108" s="86">
        <f t="shared" si="79"/>
        <v>0</v>
      </c>
      <c r="O108" s="86">
        <f>SUM(O109:O110)</f>
        <v>0</v>
      </c>
      <c r="P108" s="87">
        <f t="shared" si="73"/>
        <v>0</v>
      </c>
    </row>
    <row r="109" spans="2:16">
      <c r="B109" s="4"/>
      <c r="C109" s="4"/>
      <c r="D109" s="4"/>
      <c r="E109" s="1" t="s">
        <v>466</v>
      </c>
      <c r="F109" s="86"/>
      <c r="G109" s="86"/>
      <c r="H109" s="86"/>
      <c r="I109" s="86"/>
      <c r="J109" s="86"/>
      <c r="K109" s="86"/>
      <c r="L109" s="86"/>
      <c r="M109" s="86"/>
      <c r="N109" s="86"/>
      <c r="O109" s="86"/>
      <c r="P109" s="86" t="e">
        <f t="shared" si="73"/>
        <v>#DIV/0!</v>
      </c>
    </row>
    <row r="110" spans="2:16">
      <c r="B110" s="4"/>
      <c r="C110" s="4"/>
      <c r="D110" s="3"/>
      <c r="E110" s="1" t="s">
        <v>515</v>
      </c>
      <c r="F110" s="86"/>
      <c r="G110" s="86"/>
      <c r="H110" s="86"/>
      <c r="I110" s="86"/>
      <c r="J110" s="86"/>
      <c r="K110" s="86"/>
      <c r="L110" s="86"/>
      <c r="M110" s="86"/>
      <c r="N110" s="86"/>
      <c r="O110" s="86"/>
      <c r="P110" s="86" t="e">
        <f t="shared" si="73"/>
        <v>#DIV/0!</v>
      </c>
    </row>
    <row r="111" spans="2:16">
      <c r="B111" s="5" t="s">
        <v>112</v>
      </c>
      <c r="C111" s="72"/>
      <c r="D111" s="72"/>
      <c r="E111" s="6"/>
      <c r="F111" s="150">
        <f t="shared" ref="F111:O111" si="80">F5-F35</f>
        <v>0</v>
      </c>
      <c r="G111" s="150">
        <f t="shared" si="80"/>
        <v>0</v>
      </c>
      <c r="H111" s="150">
        <f t="shared" si="80"/>
        <v>0</v>
      </c>
      <c r="I111" s="150">
        <f t="shared" si="80"/>
        <v>0</v>
      </c>
      <c r="J111" s="150">
        <f t="shared" si="80"/>
        <v>0</v>
      </c>
      <c r="K111" s="150">
        <f t="shared" si="80"/>
        <v>0</v>
      </c>
      <c r="L111" s="150">
        <f t="shared" si="80"/>
        <v>0</v>
      </c>
      <c r="M111" s="150">
        <f t="shared" si="80"/>
        <v>0</v>
      </c>
      <c r="N111" s="150">
        <f t="shared" si="80"/>
        <v>0</v>
      </c>
      <c r="O111" s="150">
        <f t="shared" si="80"/>
        <v>504865980</v>
      </c>
      <c r="P111" s="100">
        <f t="shared" si="73"/>
        <v>50486598</v>
      </c>
    </row>
    <row r="112" spans="2:16">
      <c r="B112" s="102" t="s">
        <v>522</v>
      </c>
      <c r="C112" s="102"/>
      <c r="D112" s="102"/>
      <c r="E112" s="102"/>
      <c r="F112" s="103"/>
      <c r="G112" s="103"/>
      <c r="H112" s="103"/>
      <c r="I112" s="103"/>
      <c r="J112" s="103"/>
      <c r="K112" s="103"/>
      <c r="L112" s="103"/>
      <c r="M112" s="103"/>
      <c r="N112" s="103"/>
      <c r="O112" s="103"/>
      <c r="P112" s="103"/>
    </row>
    <row r="113" spans="2:16">
      <c r="B113" s="102" t="s">
        <v>519</v>
      </c>
      <c r="C113" s="102"/>
      <c r="D113" s="102"/>
      <c r="E113" s="102"/>
      <c r="F113" s="103" t="str">
        <f t="shared" ref="F113:O113" si="81">IF(F35=F112,"OK","NG")</f>
        <v>OK</v>
      </c>
      <c r="G113" s="103" t="str">
        <f t="shared" si="81"/>
        <v>OK</v>
      </c>
      <c r="H113" s="103" t="str">
        <f t="shared" si="81"/>
        <v>OK</v>
      </c>
      <c r="I113" s="103" t="str">
        <f t="shared" si="81"/>
        <v>OK</v>
      </c>
      <c r="J113" s="103" t="str">
        <f t="shared" si="81"/>
        <v>OK</v>
      </c>
      <c r="K113" s="103" t="str">
        <f t="shared" si="81"/>
        <v>OK</v>
      </c>
      <c r="L113" s="103" t="str">
        <f t="shared" si="81"/>
        <v>OK</v>
      </c>
      <c r="M113" s="103" t="str">
        <f t="shared" si="81"/>
        <v>OK</v>
      </c>
      <c r="N113" s="103" t="str">
        <f t="shared" si="81"/>
        <v>OK</v>
      </c>
      <c r="O113" s="103" t="str">
        <f t="shared" si="81"/>
        <v>OK</v>
      </c>
      <c r="P113" s="103"/>
    </row>
    <row r="115" spans="2:16">
      <c r="B115" t="s">
        <v>113</v>
      </c>
      <c r="O115"/>
      <c r="P115" s="24" t="s">
        <v>182</v>
      </c>
    </row>
    <row r="116" spans="2:16">
      <c r="B116" s="11" t="s">
        <v>1</v>
      </c>
      <c r="C116" s="11" t="s">
        <v>2</v>
      </c>
      <c r="D116" s="12" t="s">
        <v>3</v>
      </c>
      <c r="E116" s="84" t="s">
        <v>474</v>
      </c>
      <c r="F116" s="76" t="s">
        <v>11</v>
      </c>
      <c r="G116" s="77"/>
      <c r="H116" s="77"/>
      <c r="I116" s="77"/>
      <c r="J116" s="78"/>
      <c r="K116" s="78"/>
      <c r="L116" s="78"/>
      <c r="M116" s="78"/>
      <c r="N116" s="78"/>
      <c r="O116" s="78"/>
      <c r="P116" s="78" t="s">
        <v>530</v>
      </c>
    </row>
    <row r="117" spans="2:16">
      <c r="B117" s="17"/>
      <c r="C117" s="17"/>
      <c r="D117" s="18"/>
      <c r="E117" s="17"/>
      <c r="F117" s="35" t="s">
        <v>342</v>
      </c>
      <c r="G117" s="35" t="s">
        <v>343</v>
      </c>
      <c r="H117" s="35" t="s">
        <v>344</v>
      </c>
      <c r="I117" s="35" t="s">
        <v>345</v>
      </c>
      <c r="J117" s="35" t="s">
        <v>346</v>
      </c>
      <c r="K117" s="35" t="s">
        <v>347</v>
      </c>
      <c r="L117" s="35" t="s">
        <v>348</v>
      </c>
      <c r="M117" s="35" t="s">
        <v>14</v>
      </c>
      <c r="N117" s="35" t="s">
        <v>15</v>
      </c>
      <c r="O117" s="35" t="s">
        <v>16</v>
      </c>
      <c r="P117" s="35"/>
    </row>
    <row r="118" spans="2:16">
      <c r="B118" s="5" t="s">
        <v>114</v>
      </c>
      <c r="C118" s="7"/>
      <c r="D118" s="7"/>
      <c r="E118" s="8"/>
      <c r="F118" s="86">
        <f t="shared" ref="F118:L118" si="82">SUM(F119,F122,F125,F128,F131)</f>
        <v>0</v>
      </c>
      <c r="G118" s="86">
        <f t="shared" si="82"/>
        <v>0</v>
      </c>
      <c r="H118" s="86">
        <f t="shared" si="82"/>
        <v>0</v>
      </c>
      <c r="I118" s="86">
        <f t="shared" si="82"/>
        <v>0</v>
      </c>
      <c r="J118" s="86">
        <f t="shared" si="82"/>
        <v>0</v>
      </c>
      <c r="K118" s="86">
        <f t="shared" si="82"/>
        <v>0</v>
      </c>
      <c r="L118" s="86">
        <f t="shared" si="82"/>
        <v>0</v>
      </c>
      <c r="M118" s="86">
        <f>SUM(M119,M122,M125,M128,M131)</f>
        <v>0</v>
      </c>
      <c r="N118" s="86">
        <f>SUM(N119,N122,N125,N128,N131)</f>
        <v>0</v>
      </c>
      <c r="O118" s="86">
        <f>SUM(O119,O122,O125,O128,O131)</f>
        <v>0</v>
      </c>
      <c r="P118" s="87">
        <f t="shared" ref="P118:P133" si="83">AVERAGE(F118:O118)</f>
        <v>0</v>
      </c>
    </row>
    <row r="119" spans="2:16">
      <c r="B119" s="4"/>
      <c r="C119" s="5" t="s">
        <v>115</v>
      </c>
      <c r="D119" s="7"/>
      <c r="E119" s="8"/>
      <c r="F119" s="86">
        <f t="shared" ref="F119:N120" si="84">F120</f>
        <v>0</v>
      </c>
      <c r="G119" s="86">
        <f t="shared" si="84"/>
        <v>0</v>
      </c>
      <c r="H119" s="86">
        <f t="shared" si="84"/>
        <v>0</v>
      </c>
      <c r="I119" s="86">
        <f t="shared" si="84"/>
        <v>0</v>
      </c>
      <c r="J119" s="86">
        <f t="shared" si="84"/>
        <v>0</v>
      </c>
      <c r="K119" s="86">
        <f t="shared" si="84"/>
        <v>0</v>
      </c>
      <c r="L119" s="86">
        <f t="shared" si="84"/>
        <v>0</v>
      </c>
      <c r="M119" s="86">
        <f>M120</f>
        <v>0</v>
      </c>
      <c r="N119" s="86">
        <f t="shared" si="84"/>
        <v>0</v>
      </c>
      <c r="O119" s="86">
        <f>O120</f>
        <v>0</v>
      </c>
      <c r="P119" s="87">
        <f t="shared" si="83"/>
        <v>0</v>
      </c>
    </row>
    <row r="120" spans="2:16">
      <c r="B120" s="4"/>
      <c r="C120" s="4"/>
      <c r="D120" s="5" t="s">
        <v>115</v>
      </c>
      <c r="E120" s="8"/>
      <c r="F120" s="86">
        <f t="shared" si="84"/>
        <v>0</v>
      </c>
      <c r="G120" s="86">
        <f t="shared" si="84"/>
        <v>0</v>
      </c>
      <c r="H120" s="86">
        <f t="shared" si="84"/>
        <v>0</v>
      </c>
      <c r="I120" s="86">
        <f t="shared" si="84"/>
        <v>0</v>
      </c>
      <c r="J120" s="86">
        <f t="shared" si="84"/>
        <v>0</v>
      </c>
      <c r="K120" s="86">
        <f t="shared" si="84"/>
        <v>0</v>
      </c>
      <c r="L120" s="86">
        <f>L121</f>
        <v>0</v>
      </c>
      <c r="M120" s="86">
        <f>M121</f>
        <v>0</v>
      </c>
      <c r="N120" s="86">
        <f>N121</f>
        <v>0</v>
      </c>
      <c r="O120" s="86">
        <f>O121</f>
        <v>0</v>
      </c>
      <c r="P120" s="87">
        <f t="shared" si="83"/>
        <v>0</v>
      </c>
    </row>
    <row r="121" spans="2:16">
      <c r="B121" s="4"/>
      <c r="C121" s="80"/>
      <c r="D121" s="3"/>
      <c r="E121" s="144" t="s">
        <v>115</v>
      </c>
      <c r="F121" s="86"/>
      <c r="G121" s="86"/>
      <c r="H121" s="86"/>
      <c r="I121" s="86"/>
      <c r="J121" s="86"/>
      <c r="K121" s="86"/>
      <c r="L121" s="86"/>
      <c r="M121" s="86"/>
      <c r="N121" s="86"/>
      <c r="O121" s="86"/>
      <c r="P121" s="87" t="e">
        <f t="shared" si="83"/>
        <v>#DIV/0!</v>
      </c>
    </row>
    <row r="122" spans="2:16">
      <c r="B122" s="4"/>
      <c r="C122" s="79" t="s">
        <v>472</v>
      </c>
      <c r="D122" s="70"/>
      <c r="E122" s="7"/>
      <c r="F122" s="86">
        <f t="shared" ref="F122:N123" si="85">F123</f>
        <v>0</v>
      </c>
      <c r="G122" s="86">
        <f t="shared" si="85"/>
        <v>0</v>
      </c>
      <c r="H122" s="86">
        <f t="shared" si="85"/>
        <v>0</v>
      </c>
      <c r="I122" s="86">
        <f t="shared" si="85"/>
        <v>0</v>
      </c>
      <c r="J122" s="86">
        <f t="shared" si="85"/>
        <v>0</v>
      </c>
      <c r="K122" s="86">
        <f t="shared" si="85"/>
        <v>0</v>
      </c>
      <c r="L122" s="86">
        <f t="shared" si="85"/>
        <v>0</v>
      </c>
      <c r="M122" s="86">
        <f>M123</f>
        <v>0</v>
      </c>
      <c r="N122" s="86">
        <f t="shared" si="85"/>
        <v>0</v>
      </c>
      <c r="O122" s="86">
        <f>O123</f>
        <v>0</v>
      </c>
      <c r="P122" s="87">
        <f t="shared" si="83"/>
        <v>0</v>
      </c>
    </row>
    <row r="123" spans="2:16">
      <c r="B123" s="4"/>
      <c r="C123" s="79"/>
      <c r="D123" s="79" t="s">
        <v>472</v>
      </c>
      <c r="E123" s="7"/>
      <c r="F123" s="86">
        <f t="shared" si="85"/>
        <v>0</v>
      </c>
      <c r="G123" s="86">
        <f t="shared" si="85"/>
        <v>0</v>
      </c>
      <c r="H123" s="86">
        <f t="shared" si="85"/>
        <v>0</v>
      </c>
      <c r="I123" s="86">
        <f t="shared" si="85"/>
        <v>0</v>
      </c>
      <c r="J123" s="86">
        <f t="shared" si="85"/>
        <v>0</v>
      </c>
      <c r="K123" s="86">
        <f t="shared" si="85"/>
        <v>0</v>
      </c>
      <c r="L123" s="86">
        <f t="shared" si="85"/>
        <v>0</v>
      </c>
      <c r="M123" s="86">
        <f t="shared" si="85"/>
        <v>0</v>
      </c>
      <c r="N123" s="86">
        <f t="shared" si="85"/>
        <v>0</v>
      </c>
      <c r="O123" s="86">
        <f>O124</f>
        <v>0</v>
      </c>
      <c r="P123" s="87">
        <f t="shared" si="83"/>
        <v>0</v>
      </c>
    </row>
    <row r="124" spans="2:16">
      <c r="B124" s="4"/>
      <c r="C124" s="79"/>
      <c r="D124" s="3"/>
      <c r="E124" s="146" t="s">
        <v>472</v>
      </c>
      <c r="F124" s="86"/>
      <c r="G124" s="86"/>
      <c r="H124" s="86"/>
      <c r="I124" s="86"/>
      <c r="J124" s="86"/>
      <c r="K124" s="86"/>
      <c r="L124" s="86"/>
      <c r="M124" s="86"/>
      <c r="N124" s="86"/>
      <c r="O124" s="86"/>
      <c r="P124" s="87" t="e">
        <f t="shared" si="83"/>
        <v>#DIV/0!</v>
      </c>
    </row>
    <row r="125" spans="2:16">
      <c r="B125" s="4"/>
      <c r="C125" s="5" t="s">
        <v>467</v>
      </c>
      <c r="D125" s="7"/>
      <c r="E125" s="8"/>
      <c r="F125" s="86">
        <f t="shared" ref="F125:N126" si="86">F126</f>
        <v>0</v>
      </c>
      <c r="G125" s="86">
        <f t="shared" si="86"/>
        <v>0</v>
      </c>
      <c r="H125" s="86">
        <f t="shared" si="86"/>
        <v>0</v>
      </c>
      <c r="I125" s="86">
        <f t="shared" si="86"/>
        <v>0</v>
      </c>
      <c r="J125" s="86">
        <f t="shared" si="86"/>
        <v>0</v>
      </c>
      <c r="K125" s="86">
        <f t="shared" si="86"/>
        <v>0</v>
      </c>
      <c r="L125" s="86">
        <f t="shared" si="86"/>
        <v>0</v>
      </c>
      <c r="M125" s="86">
        <f t="shared" si="86"/>
        <v>0</v>
      </c>
      <c r="N125" s="86">
        <f t="shared" si="86"/>
        <v>0</v>
      </c>
      <c r="O125" s="86">
        <f>O126</f>
        <v>0</v>
      </c>
      <c r="P125" s="87">
        <f t="shared" si="83"/>
        <v>0</v>
      </c>
    </row>
    <row r="126" spans="2:16">
      <c r="B126" s="4"/>
      <c r="C126" s="4"/>
      <c r="D126" s="5" t="s">
        <v>467</v>
      </c>
      <c r="E126" s="8"/>
      <c r="F126" s="86">
        <f t="shared" si="86"/>
        <v>0</v>
      </c>
      <c r="G126" s="86">
        <f t="shared" si="86"/>
        <v>0</v>
      </c>
      <c r="H126" s="86">
        <f t="shared" si="86"/>
        <v>0</v>
      </c>
      <c r="I126" s="86">
        <f t="shared" si="86"/>
        <v>0</v>
      </c>
      <c r="J126" s="86">
        <f t="shared" si="86"/>
        <v>0</v>
      </c>
      <c r="K126" s="86">
        <f t="shared" si="86"/>
        <v>0</v>
      </c>
      <c r="L126" s="86">
        <f t="shared" si="86"/>
        <v>0</v>
      </c>
      <c r="M126" s="86">
        <f t="shared" si="86"/>
        <v>0</v>
      </c>
      <c r="N126" s="86">
        <f t="shared" si="86"/>
        <v>0</v>
      </c>
      <c r="O126" s="86">
        <f>O127</f>
        <v>0</v>
      </c>
      <c r="P126" s="87">
        <f t="shared" si="83"/>
        <v>0</v>
      </c>
    </row>
    <row r="127" spans="2:16">
      <c r="B127" s="4"/>
      <c r="C127" s="80"/>
      <c r="D127" s="3"/>
      <c r="E127" s="144" t="s">
        <v>467</v>
      </c>
      <c r="F127" s="86"/>
      <c r="G127" s="86"/>
      <c r="H127" s="86"/>
      <c r="I127" s="86"/>
      <c r="J127" s="86"/>
      <c r="K127" s="86"/>
      <c r="L127" s="86"/>
      <c r="M127" s="86"/>
      <c r="N127" s="86"/>
      <c r="O127" s="86"/>
      <c r="P127" s="87" t="e">
        <f t="shared" si="83"/>
        <v>#DIV/0!</v>
      </c>
    </row>
    <row r="128" spans="2:16">
      <c r="B128" s="4"/>
      <c r="C128" s="79" t="s">
        <v>473</v>
      </c>
      <c r="D128" s="70"/>
      <c r="E128" s="7"/>
      <c r="F128" s="86">
        <f t="shared" ref="F128:N129" si="87">F129</f>
        <v>0</v>
      </c>
      <c r="G128" s="86">
        <f>G129</f>
        <v>0</v>
      </c>
      <c r="H128" s="86">
        <f t="shared" si="87"/>
        <v>0</v>
      </c>
      <c r="I128" s="86">
        <f t="shared" si="87"/>
        <v>0</v>
      </c>
      <c r="J128" s="86">
        <f t="shared" si="87"/>
        <v>0</v>
      </c>
      <c r="K128" s="86">
        <f t="shared" si="87"/>
        <v>0</v>
      </c>
      <c r="L128" s="86">
        <f t="shared" si="87"/>
        <v>0</v>
      </c>
      <c r="M128" s="86">
        <f t="shared" si="87"/>
        <v>0</v>
      </c>
      <c r="N128" s="86">
        <f t="shared" si="87"/>
        <v>0</v>
      </c>
      <c r="O128" s="86">
        <f>O129</f>
        <v>0</v>
      </c>
      <c r="P128" s="87">
        <f t="shared" si="83"/>
        <v>0</v>
      </c>
    </row>
    <row r="129" spans="2:16">
      <c r="B129" s="4"/>
      <c r="C129" s="79"/>
      <c r="D129" s="79" t="s">
        <v>473</v>
      </c>
      <c r="E129" s="7"/>
      <c r="F129" s="86">
        <f t="shared" si="87"/>
        <v>0</v>
      </c>
      <c r="G129" s="86">
        <f>G130</f>
        <v>0</v>
      </c>
      <c r="H129" s="86">
        <f t="shared" si="87"/>
        <v>0</v>
      </c>
      <c r="I129" s="86">
        <f t="shared" si="87"/>
        <v>0</v>
      </c>
      <c r="J129" s="86">
        <f t="shared" si="87"/>
        <v>0</v>
      </c>
      <c r="K129" s="86">
        <f t="shared" si="87"/>
        <v>0</v>
      </c>
      <c r="L129" s="86">
        <f t="shared" si="87"/>
        <v>0</v>
      </c>
      <c r="M129" s="86">
        <f t="shared" si="87"/>
        <v>0</v>
      </c>
      <c r="N129" s="86">
        <f t="shared" si="87"/>
        <v>0</v>
      </c>
      <c r="O129" s="86">
        <f>O130</f>
        <v>0</v>
      </c>
      <c r="P129" s="87">
        <f t="shared" si="83"/>
        <v>0</v>
      </c>
    </row>
    <row r="130" spans="2:16">
      <c r="B130" s="4"/>
      <c r="C130" s="79"/>
      <c r="D130" s="3"/>
      <c r="E130" s="146" t="s">
        <v>473</v>
      </c>
      <c r="F130" s="86"/>
      <c r="G130" s="86"/>
      <c r="H130" s="86"/>
      <c r="I130" s="86"/>
      <c r="J130" s="86"/>
      <c r="K130" s="86"/>
      <c r="L130" s="86"/>
      <c r="M130" s="86"/>
      <c r="N130" s="86"/>
      <c r="O130" s="86"/>
      <c r="P130" s="87" t="e">
        <f t="shared" si="83"/>
        <v>#DIV/0!</v>
      </c>
    </row>
    <row r="131" spans="2:16">
      <c r="B131" s="4"/>
      <c r="C131" s="5" t="s">
        <v>116</v>
      </c>
      <c r="D131" s="7"/>
      <c r="E131" s="8"/>
      <c r="F131" s="86">
        <f t="shared" ref="F131:N132" si="88">F132</f>
        <v>0</v>
      </c>
      <c r="G131" s="86">
        <f t="shared" si="88"/>
        <v>0</v>
      </c>
      <c r="H131" s="86">
        <f t="shared" si="88"/>
        <v>0</v>
      </c>
      <c r="I131" s="86">
        <f t="shared" si="88"/>
        <v>0</v>
      </c>
      <c r="J131" s="86">
        <f t="shared" si="88"/>
        <v>0</v>
      </c>
      <c r="K131" s="86">
        <f t="shared" si="88"/>
        <v>0</v>
      </c>
      <c r="L131" s="86">
        <f t="shared" si="88"/>
        <v>0</v>
      </c>
      <c r="M131" s="86">
        <f t="shared" si="88"/>
        <v>0</v>
      </c>
      <c r="N131" s="86">
        <f t="shared" si="88"/>
        <v>0</v>
      </c>
      <c r="O131" s="86">
        <f>O132</f>
        <v>0</v>
      </c>
      <c r="P131" s="87">
        <f t="shared" si="83"/>
        <v>0</v>
      </c>
    </row>
    <row r="132" spans="2:16">
      <c r="B132" s="79"/>
      <c r="C132" s="79"/>
      <c r="D132" s="5" t="s">
        <v>116</v>
      </c>
      <c r="E132" s="8"/>
      <c r="F132" s="86">
        <f t="shared" si="88"/>
        <v>0</v>
      </c>
      <c r="G132" s="86">
        <f t="shared" si="88"/>
        <v>0</v>
      </c>
      <c r="H132" s="86">
        <f t="shared" si="88"/>
        <v>0</v>
      </c>
      <c r="I132" s="86">
        <f t="shared" si="88"/>
        <v>0</v>
      </c>
      <c r="J132" s="86">
        <f t="shared" si="88"/>
        <v>0</v>
      </c>
      <c r="K132" s="86">
        <f t="shared" si="88"/>
        <v>0</v>
      </c>
      <c r="L132" s="86">
        <f t="shared" si="88"/>
        <v>0</v>
      </c>
      <c r="M132" s="86">
        <f t="shared" si="88"/>
        <v>0</v>
      </c>
      <c r="N132" s="86">
        <f t="shared" si="88"/>
        <v>0</v>
      </c>
      <c r="O132" s="86">
        <f>O133</f>
        <v>0</v>
      </c>
      <c r="P132" s="87">
        <f t="shared" si="83"/>
        <v>0</v>
      </c>
    </row>
    <row r="133" spans="2:16">
      <c r="B133" s="79"/>
      <c r="C133" s="79"/>
      <c r="D133" s="4"/>
      <c r="E133" s="145" t="s">
        <v>116</v>
      </c>
      <c r="F133" s="150"/>
      <c r="G133" s="150"/>
      <c r="H133" s="150"/>
      <c r="I133" s="150"/>
      <c r="J133" s="150"/>
      <c r="K133" s="150"/>
      <c r="L133" s="150"/>
      <c r="M133" s="150"/>
      <c r="N133" s="150"/>
      <c r="O133" s="150"/>
      <c r="P133" s="100" t="e">
        <f t="shared" si="83"/>
        <v>#DIV/0!</v>
      </c>
    </row>
    <row r="134" spans="2:16">
      <c r="B134" s="112" t="s">
        <v>523</v>
      </c>
      <c r="C134" s="108"/>
      <c r="D134" s="108"/>
      <c r="E134" s="108"/>
      <c r="F134" s="109">
        <v>127500000</v>
      </c>
      <c r="G134" s="109">
        <v>9751000</v>
      </c>
      <c r="H134" s="109">
        <v>0</v>
      </c>
      <c r="I134" s="109">
        <v>1654000</v>
      </c>
      <c r="J134" s="109">
        <v>9230550</v>
      </c>
      <c r="K134" s="109">
        <v>4548000</v>
      </c>
      <c r="L134" s="109">
        <v>7788000</v>
      </c>
      <c r="M134" s="109">
        <v>24637500</v>
      </c>
      <c r="N134" s="109">
        <v>0</v>
      </c>
      <c r="O134" s="109">
        <v>9335000</v>
      </c>
      <c r="P134" s="109"/>
    </row>
    <row r="135" spans="2:16">
      <c r="B135" s="106" t="s">
        <v>519</v>
      </c>
      <c r="C135" s="107"/>
      <c r="D135" s="107"/>
      <c r="E135" s="107"/>
      <c r="F135" s="111" t="str">
        <f>IF(F118=F134,"OK","NG")</f>
        <v>NG</v>
      </c>
      <c r="G135" s="111" t="str">
        <f t="shared" ref="G135:O135" si="89">IF(G118=G134,"OK","NG")</f>
        <v>NG</v>
      </c>
      <c r="H135" s="111" t="str">
        <f t="shared" si="89"/>
        <v>OK</v>
      </c>
      <c r="I135" s="111" t="str">
        <f t="shared" si="89"/>
        <v>NG</v>
      </c>
      <c r="J135" s="111" t="str">
        <f t="shared" si="89"/>
        <v>NG</v>
      </c>
      <c r="K135" s="111" t="str">
        <f t="shared" si="89"/>
        <v>NG</v>
      </c>
      <c r="L135" s="111" t="str">
        <f t="shared" si="89"/>
        <v>NG</v>
      </c>
      <c r="M135" s="111" t="str">
        <f t="shared" si="89"/>
        <v>NG</v>
      </c>
      <c r="N135" s="111" t="str">
        <f t="shared" si="89"/>
        <v>OK</v>
      </c>
      <c r="O135" s="111" t="str">
        <f t="shared" si="89"/>
        <v>NG</v>
      </c>
      <c r="P135" s="111"/>
    </row>
    <row r="136" spans="2:16">
      <c r="B136" s="5" t="s">
        <v>120</v>
      </c>
      <c r="C136" s="7"/>
      <c r="D136" s="7"/>
      <c r="E136" s="8"/>
      <c r="F136" s="86">
        <f t="shared" ref="F136:L136" si="90">SUM(F137,F146)</f>
        <v>0</v>
      </c>
      <c r="G136" s="86">
        <f t="shared" si="90"/>
        <v>0</v>
      </c>
      <c r="H136" s="86">
        <f>SUM(H137,H146)</f>
        <v>0</v>
      </c>
      <c r="I136" s="86">
        <f t="shared" si="90"/>
        <v>0</v>
      </c>
      <c r="J136" s="86">
        <f t="shared" si="90"/>
        <v>0</v>
      </c>
      <c r="K136" s="86">
        <f t="shared" si="90"/>
        <v>0</v>
      </c>
      <c r="L136" s="86">
        <f t="shared" si="90"/>
        <v>0</v>
      </c>
      <c r="M136" s="86">
        <f>SUM(M137,M146)</f>
        <v>0</v>
      </c>
      <c r="N136" s="86">
        <f>SUM(N137,N146)</f>
        <v>0</v>
      </c>
      <c r="O136" s="86">
        <f>SUM(O137,O146)</f>
        <v>0</v>
      </c>
      <c r="P136" s="87">
        <f t="shared" ref="P136:P149" si="91">AVERAGE(F136:O136)</f>
        <v>0</v>
      </c>
    </row>
    <row r="137" spans="2:16">
      <c r="B137" s="4"/>
      <c r="C137" s="5" t="s">
        <v>121</v>
      </c>
      <c r="D137" s="7"/>
      <c r="E137" s="8"/>
      <c r="F137" s="86">
        <f>SUM(F138)</f>
        <v>0</v>
      </c>
      <c r="G137" s="86">
        <f t="shared" ref="G137:M137" si="92">SUM(G138,G140)</f>
        <v>0</v>
      </c>
      <c r="H137" s="86">
        <f t="shared" si="92"/>
        <v>0</v>
      </c>
      <c r="I137" s="86">
        <f t="shared" si="92"/>
        <v>0</v>
      </c>
      <c r="J137" s="86">
        <f t="shared" si="92"/>
        <v>0</v>
      </c>
      <c r="K137" s="86">
        <f t="shared" si="92"/>
        <v>0</v>
      </c>
      <c r="L137" s="86">
        <f t="shared" si="92"/>
        <v>0</v>
      </c>
      <c r="M137" s="86">
        <f t="shared" si="92"/>
        <v>0</v>
      </c>
      <c r="N137" s="86">
        <f>SUM(N138,N140)</f>
        <v>0</v>
      </c>
      <c r="O137" s="86">
        <f>SUM(O138,O140)</f>
        <v>0</v>
      </c>
      <c r="P137" s="87">
        <f t="shared" si="91"/>
        <v>0</v>
      </c>
    </row>
    <row r="138" spans="2:16">
      <c r="B138" s="4"/>
      <c r="C138" s="4"/>
      <c r="D138" s="5" t="s">
        <v>468</v>
      </c>
      <c r="E138" s="8"/>
      <c r="F138" s="86">
        <f t="shared" ref="F138:O138" si="93">SUM(F139:F139)</f>
        <v>0</v>
      </c>
      <c r="G138" s="86">
        <f t="shared" si="93"/>
        <v>0</v>
      </c>
      <c r="H138" s="86">
        <f t="shared" si="93"/>
        <v>0</v>
      </c>
      <c r="I138" s="86">
        <f t="shared" si="93"/>
        <v>0</v>
      </c>
      <c r="J138" s="86">
        <f t="shared" si="93"/>
        <v>0</v>
      </c>
      <c r="K138" s="86">
        <f t="shared" si="93"/>
        <v>0</v>
      </c>
      <c r="L138" s="86">
        <f t="shared" si="93"/>
        <v>0</v>
      </c>
      <c r="M138" s="86">
        <f t="shared" si="93"/>
        <v>0</v>
      </c>
      <c r="N138" s="86">
        <f t="shared" si="93"/>
        <v>0</v>
      </c>
      <c r="O138" s="86">
        <f t="shared" si="93"/>
        <v>0</v>
      </c>
      <c r="P138" s="87">
        <f t="shared" si="91"/>
        <v>0</v>
      </c>
    </row>
    <row r="139" spans="2:16">
      <c r="B139" s="4"/>
      <c r="C139" s="4"/>
      <c r="D139" s="4"/>
      <c r="E139" s="142" t="s">
        <v>468</v>
      </c>
      <c r="F139" s="86"/>
      <c r="G139" s="86"/>
      <c r="H139" s="86"/>
      <c r="I139" s="86"/>
      <c r="J139" s="86"/>
      <c r="K139" s="86"/>
      <c r="L139" s="86"/>
      <c r="M139" s="86"/>
      <c r="N139" s="86"/>
      <c r="O139" s="86"/>
      <c r="P139" s="87" t="e">
        <f t="shared" si="91"/>
        <v>#DIV/0!</v>
      </c>
    </row>
    <row r="140" spans="2:16">
      <c r="B140" s="4"/>
      <c r="C140" s="79"/>
      <c r="D140" s="5" t="s">
        <v>469</v>
      </c>
      <c r="E140" s="8"/>
      <c r="F140" s="86">
        <f t="shared" ref="F140:N140" si="94">SUM(F141:F145)</f>
        <v>0</v>
      </c>
      <c r="G140" s="86">
        <f t="shared" si="94"/>
        <v>0</v>
      </c>
      <c r="H140" s="86">
        <f t="shared" si="94"/>
        <v>0</v>
      </c>
      <c r="I140" s="86">
        <f t="shared" si="94"/>
        <v>0</v>
      </c>
      <c r="J140" s="86">
        <f t="shared" si="94"/>
        <v>0</v>
      </c>
      <c r="K140" s="86">
        <f t="shared" si="94"/>
        <v>0</v>
      </c>
      <c r="L140" s="86">
        <f t="shared" si="94"/>
        <v>0</v>
      </c>
      <c r="M140" s="86">
        <f>SUM(M141:M145)</f>
        <v>0</v>
      </c>
      <c r="N140" s="86">
        <f t="shared" si="94"/>
        <v>0</v>
      </c>
      <c r="O140" s="86">
        <f>SUM(O141:O145)</f>
        <v>0</v>
      </c>
      <c r="P140" s="87">
        <f t="shared" si="91"/>
        <v>0</v>
      </c>
    </row>
    <row r="141" spans="2:16">
      <c r="B141" s="4"/>
      <c r="C141" s="79"/>
      <c r="D141" s="4"/>
      <c r="E141" s="142" t="s">
        <v>438</v>
      </c>
      <c r="F141" s="86"/>
      <c r="G141" s="86"/>
      <c r="H141" s="86"/>
      <c r="I141" s="86"/>
      <c r="J141" s="86"/>
      <c r="K141" s="86"/>
      <c r="L141" s="86"/>
      <c r="M141" s="86"/>
      <c r="N141" s="86"/>
      <c r="O141" s="86"/>
      <c r="P141" s="87" t="e">
        <f t="shared" si="91"/>
        <v>#DIV/0!</v>
      </c>
    </row>
    <row r="142" spans="2:16">
      <c r="B142" s="4"/>
      <c r="C142" s="79"/>
      <c r="D142" s="4"/>
      <c r="E142" s="142" t="s">
        <v>92</v>
      </c>
      <c r="F142" s="86"/>
      <c r="G142" s="86"/>
      <c r="H142" s="86"/>
      <c r="I142" s="86"/>
      <c r="J142" s="86"/>
      <c r="K142" s="86"/>
      <c r="L142" s="86"/>
      <c r="M142" s="86"/>
      <c r="N142" s="86"/>
      <c r="O142" s="86"/>
      <c r="P142" s="87" t="e">
        <f t="shared" si="91"/>
        <v>#DIV/0!</v>
      </c>
    </row>
    <row r="143" spans="2:16">
      <c r="B143" s="4"/>
      <c r="C143" s="79"/>
      <c r="D143" s="4"/>
      <c r="E143" s="142" t="s">
        <v>470</v>
      </c>
      <c r="F143" s="86"/>
      <c r="G143" s="86"/>
      <c r="H143" s="86"/>
      <c r="I143" s="86"/>
      <c r="J143" s="86"/>
      <c r="K143" s="86"/>
      <c r="L143" s="86"/>
      <c r="M143" s="86"/>
      <c r="N143" s="86"/>
      <c r="O143" s="86"/>
      <c r="P143" s="87" t="e">
        <f t="shared" si="91"/>
        <v>#DIV/0!</v>
      </c>
    </row>
    <row r="144" spans="2:16">
      <c r="B144" s="4"/>
      <c r="C144" s="79"/>
      <c r="D144" s="4"/>
      <c r="E144" s="142" t="s">
        <v>445</v>
      </c>
      <c r="F144" s="86"/>
      <c r="G144" s="86"/>
      <c r="H144" s="86"/>
      <c r="I144" s="86"/>
      <c r="J144" s="86"/>
      <c r="K144" s="86"/>
      <c r="L144" s="86"/>
      <c r="M144" s="86"/>
      <c r="N144" s="86"/>
      <c r="O144" s="86"/>
      <c r="P144" s="87" t="e">
        <f t="shared" si="91"/>
        <v>#DIV/0!</v>
      </c>
    </row>
    <row r="145" spans="2:16">
      <c r="B145" s="4"/>
      <c r="C145" s="79"/>
      <c r="D145" s="4"/>
      <c r="E145" s="142" t="s">
        <v>446</v>
      </c>
      <c r="F145" s="86"/>
      <c r="G145" s="86"/>
      <c r="H145" s="86"/>
      <c r="I145" s="86"/>
      <c r="J145" s="86"/>
      <c r="K145" s="86"/>
      <c r="L145" s="86"/>
      <c r="M145" s="86"/>
      <c r="N145" s="86"/>
      <c r="O145" s="86"/>
      <c r="P145" s="87" t="e">
        <f t="shared" si="91"/>
        <v>#DIV/0!</v>
      </c>
    </row>
    <row r="146" spans="2:16">
      <c r="B146" s="4"/>
      <c r="C146" s="2" t="s">
        <v>130</v>
      </c>
      <c r="D146" s="1"/>
      <c r="E146" s="1"/>
      <c r="F146" s="86">
        <f t="shared" ref="F146:N147" si="95">F147</f>
        <v>0</v>
      </c>
      <c r="G146" s="86">
        <f t="shared" si="95"/>
        <v>0</v>
      </c>
      <c r="H146" s="86">
        <f t="shared" si="95"/>
        <v>0</v>
      </c>
      <c r="I146" s="86">
        <f t="shared" si="95"/>
        <v>0</v>
      </c>
      <c r="J146" s="86">
        <f t="shared" si="95"/>
        <v>0</v>
      </c>
      <c r="K146" s="86">
        <f t="shared" si="95"/>
        <v>0</v>
      </c>
      <c r="L146" s="86">
        <f t="shared" si="95"/>
        <v>0</v>
      </c>
      <c r="M146" s="86">
        <f t="shared" si="95"/>
        <v>0</v>
      </c>
      <c r="N146" s="86">
        <f>N147</f>
        <v>0</v>
      </c>
      <c r="O146" s="86">
        <f>O147</f>
        <v>0</v>
      </c>
      <c r="P146" s="87">
        <f t="shared" si="91"/>
        <v>0</v>
      </c>
    </row>
    <row r="147" spans="2:16">
      <c r="B147" s="4"/>
      <c r="C147" s="4"/>
      <c r="D147" s="2" t="s">
        <v>130</v>
      </c>
      <c r="E147" s="8"/>
      <c r="F147" s="86">
        <f t="shared" si="95"/>
        <v>0</v>
      </c>
      <c r="G147" s="86">
        <f t="shared" si="95"/>
        <v>0</v>
      </c>
      <c r="H147" s="86">
        <f t="shared" si="95"/>
        <v>0</v>
      </c>
      <c r="I147" s="86">
        <f t="shared" si="95"/>
        <v>0</v>
      </c>
      <c r="J147" s="86">
        <f t="shared" si="95"/>
        <v>0</v>
      </c>
      <c r="K147" s="86">
        <f t="shared" si="95"/>
        <v>0</v>
      </c>
      <c r="L147" s="86">
        <f t="shared" si="95"/>
        <v>0</v>
      </c>
      <c r="M147" s="86">
        <f t="shared" si="95"/>
        <v>0</v>
      </c>
      <c r="N147" s="86">
        <f t="shared" si="95"/>
        <v>0</v>
      </c>
      <c r="O147" s="86">
        <f>O148</f>
        <v>0</v>
      </c>
      <c r="P147" s="87">
        <f t="shared" si="91"/>
        <v>0</v>
      </c>
    </row>
    <row r="148" spans="2:16">
      <c r="B148" s="4"/>
      <c r="C148" s="3"/>
      <c r="D148" s="3"/>
      <c r="E148" s="147" t="s">
        <v>130</v>
      </c>
      <c r="F148" s="86"/>
      <c r="G148" s="86"/>
      <c r="H148" s="86"/>
      <c r="I148" s="86"/>
      <c r="J148" s="86"/>
      <c r="K148" s="86"/>
      <c r="L148" s="86"/>
      <c r="M148" s="86"/>
      <c r="N148" s="86"/>
      <c r="O148" s="86"/>
      <c r="P148" s="87" t="e">
        <f t="shared" si="91"/>
        <v>#DIV/0!</v>
      </c>
    </row>
    <row r="149" spans="2:16">
      <c r="B149" s="9" t="s">
        <v>133</v>
      </c>
      <c r="C149" s="7"/>
      <c r="D149" s="7"/>
      <c r="E149" s="8"/>
      <c r="F149" s="87">
        <f t="shared" ref="F149:N149" si="96">F118-F136</f>
        <v>0</v>
      </c>
      <c r="G149" s="87">
        <f t="shared" si="96"/>
        <v>0</v>
      </c>
      <c r="H149" s="87">
        <f t="shared" si="96"/>
        <v>0</v>
      </c>
      <c r="I149" s="87">
        <f t="shared" si="96"/>
        <v>0</v>
      </c>
      <c r="J149" s="87">
        <f t="shared" si="96"/>
        <v>0</v>
      </c>
      <c r="K149" s="87">
        <f t="shared" si="96"/>
        <v>0</v>
      </c>
      <c r="L149" s="87">
        <f t="shared" si="96"/>
        <v>0</v>
      </c>
      <c r="M149" s="87">
        <f t="shared" si="96"/>
        <v>0</v>
      </c>
      <c r="N149" s="87">
        <f t="shared" si="96"/>
        <v>0</v>
      </c>
      <c r="O149" s="87">
        <f>O118-O136</f>
        <v>0</v>
      </c>
      <c r="P149" s="87">
        <f t="shared" si="91"/>
        <v>0</v>
      </c>
    </row>
    <row r="150" spans="2:16">
      <c r="B150" s="102" t="s">
        <v>524</v>
      </c>
      <c r="C150" s="102"/>
      <c r="D150" s="102"/>
      <c r="E150" s="102"/>
      <c r="F150" s="103"/>
      <c r="G150" s="103"/>
      <c r="H150" s="103"/>
      <c r="I150" s="103"/>
      <c r="J150" s="103"/>
      <c r="K150" s="103"/>
      <c r="L150" s="103"/>
      <c r="M150" s="103"/>
      <c r="N150" s="103"/>
      <c r="O150" s="103"/>
      <c r="P150" s="103"/>
    </row>
    <row r="151" spans="2:16">
      <c r="B151" s="102" t="s">
        <v>519</v>
      </c>
      <c r="C151" s="102"/>
      <c r="D151" s="102"/>
      <c r="E151" s="102"/>
      <c r="F151" s="110" t="str">
        <f>IF(F136=F150,"OK","NG")</f>
        <v>OK</v>
      </c>
      <c r="G151" s="110" t="str">
        <f t="shared" ref="G151:O151" si="97">IF(G136=G150,"OK","NG")</f>
        <v>OK</v>
      </c>
      <c r="H151" s="110" t="str">
        <f t="shared" si="97"/>
        <v>OK</v>
      </c>
      <c r="I151" s="110" t="str">
        <f t="shared" si="97"/>
        <v>OK</v>
      </c>
      <c r="J151" s="110" t="str">
        <f t="shared" si="97"/>
        <v>OK</v>
      </c>
      <c r="K151" s="110" t="str">
        <f t="shared" si="97"/>
        <v>OK</v>
      </c>
      <c r="L151" s="110" t="str">
        <f t="shared" si="97"/>
        <v>OK</v>
      </c>
      <c r="M151" s="110" t="str">
        <f t="shared" si="97"/>
        <v>OK</v>
      </c>
      <c r="N151" s="110" t="str">
        <f t="shared" si="97"/>
        <v>OK</v>
      </c>
      <c r="O151" s="110" t="str">
        <f t="shared" si="97"/>
        <v>OK</v>
      </c>
      <c r="P151" s="110"/>
    </row>
    <row r="152" spans="2:16" hidden="1" outlineLevel="1">
      <c r="B152" t="s">
        <v>134</v>
      </c>
    </row>
    <row r="153" spans="2:16" hidden="1" outlineLevel="1">
      <c r="B153" s="11" t="s">
        <v>1</v>
      </c>
      <c r="C153" s="11" t="s">
        <v>2</v>
      </c>
      <c r="D153" s="12" t="s">
        <v>3</v>
      </c>
      <c r="E153" s="13"/>
      <c r="F153" s="30" t="s">
        <v>11</v>
      </c>
      <c r="G153" s="31"/>
      <c r="H153" s="31"/>
      <c r="I153" s="31"/>
      <c r="J153" s="32"/>
      <c r="K153" s="32"/>
      <c r="L153" s="32"/>
      <c r="M153" s="32"/>
      <c r="N153" s="32"/>
      <c r="O153" s="32"/>
      <c r="P153" s="32"/>
    </row>
    <row r="154" spans="2:16" hidden="1" outlineLevel="1">
      <c r="B154" s="17"/>
      <c r="C154" s="17"/>
      <c r="D154" s="18"/>
      <c r="E154" s="19"/>
      <c r="F154" s="35" t="s">
        <v>12</v>
      </c>
      <c r="G154" s="35" t="s">
        <v>13</v>
      </c>
      <c r="H154" s="35" t="s">
        <v>14</v>
      </c>
      <c r="I154" s="35" t="s">
        <v>15</v>
      </c>
      <c r="J154" s="35" t="s">
        <v>16</v>
      </c>
      <c r="K154" s="35" t="s">
        <v>16</v>
      </c>
      <c r="L154" s="35" t="s">
        <v>16</v>
      </c>
      <c r="M154" s="35" t="s">
        <v>16</v>
      </c>
      <c r="N154" s="35" t="s">
        <v>16</v>
      </c>
      <c r="O154" s="35" t="s">
        <v>16</v>
      </c>
      <c r="P154" s="35"/>
    </row>
    <row r="155" spans="2:16" hidden="1" outlineLevel="1">
      <c r="B155" s="9" t="s">
        <v>133</v>
      </c>
      <c r="C155" s="7"/>
      <c r="D155" s="7"/>
      <c r="E155" s="8"/>
      <c r="F155" s="39">
        <f>F149</f>
        <v>0</v>
      </c>
      <c r="G155" s="39">
        <f t="shared" ref="G155:O155" si="98">G149</f>
        <v>0</v>
      </c>
      <c r="H155" s="39">
        <f t="shared" si="98"/>
        <v>0</v>
      </c>
      <c r="I155" s="39">
        <f t="shared" si="98"/>
        <v>0</v>
      </c>
      <c r="J155" s="39">
        <f t="shared" si="98"/>
        <v>0</v>
      </c>
      <c r="K155" s="39">
        <f t="shared" si="98"/>
        <v>0</v>
      </c>
      <c r="L155" s="39">
        <f t="shared" si="98"/>
        <v>0</v>
      </c>
      <c r="M155" s="39">
        <f t="shared" si="98"/>
        <v>0</v>
      </c>
      <c r="N155" s="39">
        <f t="shared" si="98"/>
        <v>0</v>
      </c>
      <c r="O155" s="39">
        <f t="shared" si="98"/>
        <v>0</v>
      </c>
      <c r="P155" s="39"/>
    </row>
    <row r="156" spans="2:16" hidden="1" outlineLevel="1">
      <c r="B156" s="308" t="s">
        <v>135</v>
      </c>
      <c r="C156" s="9" t="s">
        <v>136</v>
      </c>
      <c r="D156" s="7"/>
      <c r="E156" s="8"/>
      <c r="F156" s="39" t="e">
        <f>ROUND(SUM(#REF!,#REF!)-SUM(#REF!,#REF!)/1.08,0)</f>
        <v>#REF!</v>
      </c>
      <c r="G156" s="39" t="e">
        <f>ROUND(SUM(#REF!,#REF!)-SUM(#REF!,#REF!)/1.08,0)</f>
        <v>#REF!</v>
      </c>
      <c r="H156" s="39" t="e">
        <f>ROUND(SUM(#REF!,#REF!)-SUM(#REF!,#REF!)/1.08,0)</f>
        <v>#REF!</v>
      </c>
      <c r="I156" s="39" t="e">
        <f>ROUND(SUM(#REF!,#REF!)-SUM(#REF!,#REF!)/1.08,0)</f>
        <v>#REF!</v>
      </c>
      <c r="J156" s="39" t="e">
        <f>ROUND(SUM(#REF!,#REF!)-SUM(#REF!,#REF!)/1.08,0)</f>
        <v>#REF!</v>
      </c>
      <c r="K156" s="39" t="e">
        <f>ROUND(SUM(#REF!,#REF!)-SUM(#REF!,#REF!)/1.08,0)</f>
        <v>#REF!</v>
      </c>
      <c r="L156" s="39" t="e">
        <f>ROUND(SUM(#REF!,#REF!)-SUM(#REF!,#REF!)/1.08,0)</f>
        <v>#REF!</v>
      </c>
      <c r="M156" s="39" t="e">
        <f>ROUND(SUM(#REF!,#REF!)-SUM(#REF!,#REF!)/1.08,0)</f>
        <v>#REF!</v>
      </c>
      <c r="N156" s="39" t="e">
        <f>ROUND(SUM(#REF!,#REF!)-SUM(#REF!,#REF!)/1.08,0)</f>
        <v>#REF!</v>
      </c>
      <c r="O156" s="39" t="e">
        <f>ROUND(SUM(#REF!,#REF!)-SUM(#REF!,#REF!)/1.08,0)</f>
        <v>#REF!</v>
      </c>
      <c r="P156" s="39"/>
    </row>
    <row r="157" spans="2:16" hidden="1" outlineLevel="1">
      <c r="B157" s="309"/>
      <c r="C157" s="308" t="s">
        <v>137</v>
      </c>
      <c r="D157" s="9" t="s">
        <v>138</v>
      </c>
      <c r="E157" s="8"/>
      <c r="F157" s="39">
        <v>0</v>
      </c>
      <c r="G157" s="39">
        <f>F159</f>
        <v>0</v>
      </c>
      <c r="H157" s="39">
        <f t="shared" ref="H157:O157" si="99">G159</f>
        <v>0</v>
      </c>
      <c r="I157" s="39">
        <f t="shared" si="99"/>
        <v>0</v>
      </c>
      <c r="J157" s="39">
        <f t="shared" si="99"/>
        <v>0</v>
      </c>
      <c r="K157" s="39">
        <f t="shared" si="99"/>
        <v>0</v>
      </c>
      <c r="L157" s="39">
        <f t="shared" si="99"/>
        <v>0</v>
      </c>
      <c r="M157" s="39">
        <f t="shared" si="99"/>
        <v>0</v>
      </c>
      <c r="N157" s="39">
        <f t="shared" si="99"/>
        <v>0</v>
      </c>
      <c r="O157" s="39">
        <f t="shared" si="99"/>
        <v>0</v>
      </c>
      <c r="P157" s="39"/>
    </row>
    <row r="158" spans="2:16" hidden="1" outlineLevel="1">
      <c r="B158" s="309"/>
      <c r="C158" s="309"/>
      <c r="D158" s="9" t="s">
        <v>139</v>
      </c>
      <c r="E158" s="8"/>
      <c r="F158" s="39">
        <f t="shared" ref="F158:O158" si="100">F111</f>
        <v>0</v>
      </c>
      <c r="G158" s="39">
        <f t="shared" si="100"/>
        <v>0</v>
      </c>
      <c r="H158" s="39">
        <f t="shared" si="100"/>
        <v>0</v>
      </c>
      <c r="I158" s="39">
        <f t="shared" si="100"/>
        <v>0</v>
      </c>
      <c r="J158" s="39">
        <f t="shared" si="100"/>
        <v>0</v>
      </c>
      <c r="K158" s="39">
        <f t="shared" si="100"/>
        <v>0</v>
      </c>
      <c r="L158" s="39">
        <f t="shared" si="100"/>
        <v>0</v>
      </c>
      <c r="M158" s="39">
        <f t="shared" si="100"/>
        <v>0</v>
      </c>
      <c r="N158" s="39">
        <f t="shared" si="100"/>
        <v>0</v>
      </c>
      <c r="O158" s="39">
        <f t="shared" si="100"/>
        <v>504865980</v>
      </c>
      <c r="P158" s="39"/>
    </row>
    <row r="159" spans="2:16" hidden="1" outlineLevel="1">
      <c r="B159" s="309"/>
      <c r="C159" s="310"/>
      <c r="D159" s="9" t="s">
        <v>140</v>
      </c>
      <c r="E159" s="8"/>
      <c r="F159" s="39">
        <f>SUM(F157:F158)</f>
        <v>0</v>
      </c>
      <c r="G159" s="39">
        <f>SUM(G157:G158)</f>
        <v>0</v>
      </c>
      <c r="H159" s="39">
        <f t="shared" ref="H159:O159" si="101">SUM(H157:H158)</f>
        <v>0</v>
      </c>
      <c r="I159" s="39">
        <f t="shared" si="101"/>
        <v>0</v>
      </c>
      <c r="J159" s="39">
        <f t="shared" si="101"/>
        <v>0</v>
      </c>
      <c r="K159" s="39">
        <f t="shared" si="101"/>
        <v>0</v>
      </c>
      <c r="L159" s="39">
        <f t="shared" si="101"/>
        <v>0</v>
      </c>
      <c r="M159" s="39">
        <f t="shared" si="101"/>
        <v>0</v>
      </c>
      <c r="N159" s="39">
        <f t="shared" si="101"/>
        <v>0</v>
      </c>
      <c r="O159" s="39">
        <f t="shared" si="101"/>
        <v>504865980</v>
      </c>
      <c r="P159" s="39"/>
    </row>
    <row r="160" spans="2:16" hidden="1" outlineLevel="1">
      <c r="B160" s="309"/>
      <c r="C160" s="308" t="s">
        <v>141</v>
      </c>
      <c r="D160" s="9" t="s">
        <v>142</v>
      </c>
      <c r="E160" s="8"/>
      <c r="F160" s="39">
        <v>0</v>
      </c>
      <c r="G160" s="39">
        <f>F164</f>
        <v>0</v>
      </c>
      <c r="H160" s="39">
        <f t="shared" ref="H160:O160" si="102">G164</f>
        <v>0</v>
      </c>
      <c r="I160" s="39">
        <f t="shared" si="102"/>
        <v>0</v>
      </c>
      <c r="J160" s="39">
        <f t="shared" si="102"/>
        <v>0</v>
      </c>
      <c r="K160" s="39">
        <f t="shared" si="102"/>
        <v>0</v>
      </c>
      <c r="L160" s="39">
        <f t="shared" si="102"/>
        <v>0</v>
      </c>
      <c r="M160" s="39">
        <f t="shared" si="102"/>
        <v>0</v>
      </c>
      <c r="N160" s="39">
        <f t="shared" si="102"/>
        <v>0</v>
      </c>
      <c r="O160" s="39">
        <f t="shared" si="102"/>
        <v>0</v>
      </c>
      <c r="P160" s="39"/>
    </row>
    <row r="161" spans="2:16" hidden="1" outlineLevel="1">
      <c r="B161" s="309"/>
      <c r="C161" s="309"/>
      <c r="D161" s="308" t="s">
        <v>143</v>
      </c>
      <c r="E161" s="1" t="s">
        <v>101</v>
      </c>
      <c r="F161" s="39">
        <f t="shared" ref="F161:O161" si="103">F96</f>
        <v>0</v>
      </c>
      <c r="G161" s="39">
        <f t="shared" si="103"/>
        <v>0</v>
      </c>
      <c r="H161" s="39">
        <f t="shared" si="103"/>
        <v>0</v>
      </c>
      <c r="I161" s="39">
        <f t="shared" si="103"/>
        <v>0</v>
      </c>
      <c r="J161" s="39">
        <f t="shared" si="103"/>
        <v>0</v>
      </c>
      <c r="K161" s="39">
        <f t="shared" si="103"/>
        <v>0</v>
      </c>
      <c r="L161" s="39">
        <f t="shared" si="103"/>
        <v>0</v>
      </c>
      <c r="M161" s="39">
        <f t="shared" si="103"/>
        <v>0</v>
      </c>
      <c r="N161" s="39">
        <f t="shared" si="103"/>
        <v>0</v>
      </c>
      <c r="O161" s="39">
        <f t="shared" si="103"/>
        <v>0</v>
      </c>
      <c r="P161" s="39"/>
    </row>
    <row r="162" spans="2:16" hidden="1" outlineLevel="1">
      <c r="B162" s="309"/>
      <c r="C162" s="309"/>
      <c r="D162" s="309"/>
      <c r="E162" s="1" t="s">
        <v>102</v>
      </c>
      <c r="F162" s="39">
        <f t="shared" ref="F162:O162" si="104">F98</f>
        <v>0</v>
      </c>
      <c r="G162" s="39">
        <f t="shared" si="104"/>
        <v>0</v>
      </c>
      <c r="H162" s="39">
        <f t="shared" si="104"/>
        <v>0</v>
      </c>
      <c r="I162" s="39">
        <f t="shared" si="104"/>
        <v>0</v>
      </c>
      <c r="J162" s="39">
        <f t="shared" si="104"/>
        <v>0</v>
      </c>
      <c r="K162" s="39">
        <f t="shared" si="104"/>
        <v>0</v>
      </c>
      <c r="L162" s="39">
        <f t="shared" si="104"/>
        <v>0</v>
      </c>
      <c r="M162" s="39">
        <f t="shared" si="104"/>
        <v>0</v>
      </c>
      <c r="N162" s="39">
        <f t="shared" si="104"/>
        <v>0</v>
      </c>
      <c r="O162" s="39">
        <f t="shared" si="104"/>
        <v>0</v>
      </c>
      <c r="P162" s="39"/>
    </row>
    <row r="163" spans="2:16" hidden="1" outlineLevel="1">
      <c r="B163" s="309"/>
      <c r="C163" s="309"/>
      <c r="D163" s="310"/>
      <c r="E163" s="1" t="s">
        <v>144</v>
      </c>
      <c r="F163" s="39">
        <f t="shared" ref="F163:O163" si="105">-F26</f>
        <v>0</v>
      </c>
      <c r="G163" s="39">
        <f t="shared" si="105"/>
        <v>0</v>
      </c>
      <c r="H163" s="39">
        <f t="shared" si="105"/>
        <v>0</v>
      </c>
      <c r="I163" s="39">
        <f t="shared" si="105"/>
        <v>0</v>
      </c>
      <c r="J163" s="39">
        <f t="shared" si="105"/>
        <v>0</v>
      </c>
      <c r="K163" s="39">
        <f t="shared" si="105"/>
        <v>0</v>
      </c>
      <c r="L163" s="39">
        <f t="shared" si="105"/>
        <v>0</v>
      </c>
      <c r="M163" s="39">
        <f t="shared" si="105"/>
        <v>0</v>
      </c>
      <c r="N163" s="39">
        <f t="shared" si="105"/>
        <v>0</v>
      </c>
      <c r="O163" s="39">
        <f t="shared" si="105"/>
        <v>-336409057</v>
      </c>
      <c r="P163" s="39"/>
    </row>
    <row r="164" spans="2:16" hidden="1" outlineLevel="1">
      <c r="B164" s="309"/>
      <c r="C164" s="310"/>
      <c r="D164" s="9" t="s">
        <v>140</v>
      </c>
      <c r="E164" s="8"/>
      <c r="F164" s="39">
        <f>SUM(F160:F163)</f>
        <v>0</v>
      </c>
      <c r="G164" s="39">
        <f>SUM(G160:G163)</f>
        <v>0</v>
      </c>
      <c r="H164" s="39">
        <f t="shared" ref="H164:O164" si="106">SUM(H160:H163)</f>
        <v>0</v>
      </c>
      <c r="I164" s="39">
        <f t="shared" si="106"/>
        <v>0</v>
      </c>
      <c r="J164" s="39">
        <f t="shared" si="106"/>
        <v>0</v>
      </c>
      <c r="K164" s="39">
        <f t="shared" si="106"/>
        <v>0</v>
      </c>
      <c r="L164" s="39">
        <f t="shared" si="106"/>
        <v>0</v>
      </c>
      <c r="M164" s="39">
        <f t="shared" si="106"/>
        <v>0</v>
      </c>
      <c r="N164" s="39">
        <f t="shared" si="106"/>
        <v>0</v>
      </c>
      <c r="O164" s="39">
        <f t="shared" si="106"/>
        <v>-336409057</v>
      </c>
      <c r="P164" s="39"/>
    </row>
    <row r="165" spans="2:16" hidden="1" outlineLevel="1">
      <c r="B165" s="310"/>
      <c r="C165" s="9" t="s">
        <v>145</v>
      </c>
      <c r="D165" s="7"/>
      <c r="E165" s="8"/>
      <c r="F165" s="39">
        <f>F159+F164</f>
        <v>0</v>
      </c>
      <c r="G165" s="39">
        <f>G159+G164</f>
        <v>0</v>
      </c>
      <c r="H165" s="39">
        <f t="shared" ref="H165:O165" si="107">H159+H164</f>
        <v>0</v>
      </c>
      <c r="I165" s="39">
        <f t="shared" si="107"/>
        <v>0</v>
      </c>
      <c r="J165" s="39">
        <f t="shared" si="107"/>
        <v>0</v>
      </c>
      <c r="K165" s="39">
        <f t="shared" si="107"/>
        <v>0</v>
      </c>
      <c r="L165" s="39">
        <f t="shared" si="107"/>
        <v>0</v>
      </c>
      <c r="M165" s="39">
        <f t="shared" si="107"/>
        <v>0</v>
      </c>
      <c r="N165" s="39">
        <f t="shared" si="107"/>
        <v>0</v>
      </c>
      <c r="O165" s="39">
        <f t="shared" si="107"/>
        <v>168456923</v>
      </c>
      <c r="P165" s="39"/>
    </row>
    <row r="166" spans="2:16" hidden="1" outlineLevel="1">
      <c r="B166" s="305" t="s">
        <v>146</v>
      </c>
      <c r="C166" s="306"/>
      <c r="D166" s="306"/>
      <c r="E166" s="307"/>
      <c r="F166" s="39">
        <f>F155</f>
        <v>0</v>
      </c>
      <c r="G166" s="39">
        <f t="shared" ref="G166:O166" si="108">G155</f>
        <v>0</v>
      </c>
      <c r="H166" s="39">
        <f t="shared" si="108"/>
        <v>0</v>
      </c>
      <c r="I166" s="39">
        <f t="shared" si="108"/>
        <v>0</v>
      </c>
      <c r="J166" s="39">
        <f t="shared" si="108"/>
        <v>0</v>
      </c>
      <c r="K166" s="39">
        <f t="shared" si="108"/>
        <v>0</v>
      </c>
      <c r="L166" s="39">
        <f t="shared" si="108"/>
        <v>0</v>
      </c>
      <c r="M166" s="39">
        <f t="shared" si="108"/>
        <v>0</v>
      </c>
      <c r="N166" s="39">
        <f t="shared" si="108"/>
        <v>0</v>
      </c>
      <c r="O166" s="39">
        <f t="shared" si="108"/>
        <v>0</v>
      </c>
      <c r="P166" s="39"/>
    </row>
    <row r="167" spans="2:16" hidden="1" outlineLevel="1">
      <c r="B167" s="305" t="s">
        <v>147</v>
      </c>
      <c r="C167" s="306"/>
      <c r="D167" s="306"/>
      <c r="E167" s="307"/>
      <c r="F167" s="39">
        <f>F165+F166</f>
        <v>0</v>
      </c>
      <c r="G167" s="39">
        <f>F167+G166+G165</f>
        <v>0</v>
      </c>
      <c r="H167" s="39">
        <f t="shared" ref="H167:O167" si="109">G167+H166+H165</f>
        <v>0</v>
      </c>
      <c r="I167" s="39">
        <f t="shared" si="109"/>
        <v>0</v>
      </c>
      <c r="J167" s="39">
        <f t="shared" si="109"/>
        <v>0</v>
      </c>
      <c r="K167" s="39">
        <f t="shared" si="109"/>
        <v>0</v>
      </c>
      <c r="L167" s="39">
        <f t="shared" si="109"/>
        <v>0</v>
      </c>
      <c r="M167" s="39">
        <f t="shared" si="109"/>
        <v>0</v>
      </c>
      <c r="N167" s="39">
        <f t="shared" si="109"/>
        <v>0</v>
      </c>
      <c r="O167" s="39">
        <f t="shared" si="109"/>
        <v>168456923</v>
      </c>
      <c r="P167" s="39"/>
    </row>
    <row r="168" spans="2:16" hidden="1" outlineLevel="1">
      <c r="B168" s="9" t="s">
        <v>148</v>
      </c>
      <c r="C168" s="7"/>
      <c r="D168" s="7"/>
      <c r="E168" s="8"/>
      <c r="F168" s="39"/>
      <c r="G168" s="39"/>
      <c r="H168" s="39"/>
      <c r="I168" s="39"/>
      <c r="J168" s="39"/>
      <c r="K168" s="39"/>
      <c r="L168" s="39"/>
      <c r="M168" s="39"/>
      <c r="N168" s="39"/>
      <c r="O168" s="39"/>
      <c r="P168" s="39"/>
    </row>
    <row r="169" spans="2:16" collapsed="1"/>
    <row r="173" spans="2:16">
      <c r="E173" t="s">
        <v>114</v>
      </c>
    </row>
    <row r="174" spans="2:16">
      <c r="E174" t="s">
        <v>76</v>
      </c>
      <c r="F174" s="24">
        <v>0</v>
      </c>
      <c r="G174" s="24">
        <v>9751000</v>
      </c>
      <c r="H174" s="24">
        <v>0</v>
      </c>
      <c r="I174" s="24">
        <v>1654000</v>
      </c>
      <c r="J174" s="24">
        <v>9230550</v>
      </c>
      <c r="K174" s="24">
        <v>4548000</v>
      </c>
      <c r="L174" s="24">
        <v>7788000</v>
      </c>
      <c r="M174" s="24">
        <v>24637500</v>
      </c>
      <c r="N174" s="24">
        <v>0</v>
      </c>
      <c r="O174" s="24">
        <v>9335000</v>
      </c>
      <c r="P174" s="24">
        <f t="shared" ref="P174" si="110">AVERAGE(F174:O174)</f>
        <v>6694405</v>
      </c>
    </row>
  </sheetData>
  <customSheetViews>
    <customSheetView guid="{B05628F6-030D-4851-8E75-96DF5849F39A}" scale="85" showPageBreaks="1" showGridLines="0" fitToPage="1" printArea="1" hiddenRows="1" state="hidden" view="pageBreakPreview">
      <pane xSplit="5" ySplit="4" topLeftCell="F38" activePane="bottomRight" state="frozen"/>
      <selection pane="bottomRight" activeCell="Y27" sqref="Y27"/>
      <pageMargins left="0.70866141732283472" right="0.70866141732283472" top="0.74803149606299213" bottom="0.74803149606299213" header="0.31496062992125984" footer="0.31496062992125984"/>
      <pageSetup paperSize="8" scale="48" orientation="portrait" r:id="rId1"/>
      <headerFooter>
        <oddHeader>&amp;A</oddHeader>
        <oddFooter>&amp;P / &amp;N ページ</oddFooter>
      </headerFooter>
    </customSheetView>
    <customSheetView guid="{1F923BC6-4AD1-4F20-A481-D76BE7901A2A}" scale="85" showPageBreaks="1" showGridLines="0" fitToPage="1" printArea="1" hiddenRows="1" state="hidden" view="pageBreakPreview">
      <pane xSplit="5" ySplit="4" topLeftCell="F38" activePane="bottomRight" state="frozen"/>
      <selection pane="bottomRight" activeCell="Y27" sqref="Y27"/>
      <pageMargins left="0.70866141732283472" right="0.70866141732283472" top="0.74803149606299213" bottom="0.74803149606299213" header="0.31496062992125984" footer="0.31496062992125984"/>
      <pageSetup paperSize="8" scale="48" orientation="portrait" r:id="rId2"/>
      <headerFooter>
        <oddHeader>&amp;A</oddHeader>
        <oddFooter>&amp;P / &amp;N ページ</oddFooter>
      </headerFooter>
    </customSheetView>
  </customSheetViews>
  <mergeCells count="9">
    <mergeCell ref="B166:E166"/>
    <mergeCell ref="B167:E167"/>
    <mergeCell ref="V25:V32"/>
    <mergeCell ref="V33:V40"/>
    <mergeCell ref="V42:V50"/>
    <mergeCell ref="B156:B165"/>
    <mergeCell ref="C157:C159"/>
    <mergeCell ref="C160:C164"/>
    <mergeCell ref="D161:D163"/>
  </mergeCells>
  <phoneticPr fontId="4"/>
  <conditionalFormatting sqref="F8:O8 F10:O10 F12:O14 F17:O17 F19:O19 F21:O23 F25:O25 F27:O27 F30:O30 F32:O32 F38:O53 F55:O68 F70:O74 F76:O95 F97:O97 F99:O100 F102:O103 F106:O106 F121:O121 F124:O124 F127:O127 F130:O130 F133:O133 F139:O139 F141:O145 F148:O148">
    <cfRule type="containsBlanks" dxfId="1" priority="1">
      <formula>LEN(TRIM(F8))=0</formula>
    </cfRule>
  </conditionalFormatting>
  <pageMargins left="0.70866141732283472" right="0.70866141732283472" top="0.74803149606299213" bottom="0.74803149606299213" header="0.31496062992125984" footer="0.31496062992125984"/>
  <pageSetup paperSize="8" scale="48" orientation="portrait" r:id="rId3"/>
  <headerFooter>
    <oddHeader>&amp;A</oddHeader>
    <oddFooter>&amp;P / &amp;N ページ</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B551A-A8AE-4E71-874B-5869BF0962FB}">
  <sheetPr>
    <tabColor rgb="FF92D050"/>
    <pageSetUpPr fitToPage="1"/>
  </sheetPr>
  <dimension ref="B1:Z78"/>
  <sheetViews>
    <sheetView showGridLines="0" view="pageBreakPreview" zoomScale="85" zoomScaleNormal="85" zoomScaleSheetLayoutView="85" workbookViewId="0">
      <pane xSplit="5" ySplit="4" topLeftCell="F5" activePane="bottomRight" state="frozen"/>
      <selection activeCell="I5" sqref="I5"/>
      <selection pane="topRight" activeCell="I5" sqref="I5"/>
      <selection pane="bottomLeft" activeCell="I5" sqref="I5"/>
      <selection pane="bottomRight" activeCell="I40" sqref="I40"/>
    </sheetView>
  </sheetViews>
  <sheetFormatPr defaultRowHeight="14.4"/>
  <cols>
    <col min="1" max="1" width="2.90625" customWidth="1"/>
    <col min="2" max="4" width="3.90625" customWidth="1"/>
    <col min="5" max="5" width="19.7265625" customWidth="1"/>
    <col min="6" max="9" width="10" style="24" customWidth="1"/>
    <col min="10" max="14" width="10" style="24" customWidth="1" collapsed="1"/>
    <col min="15" max="15" width="12.6328125" style="24" customWidth="1"/>
    <col min="16" max="17" width="11.453125" bestFit="1" customWidth="1"/>
    <col min="18" max="23" width="10.36328125" bestFit="1" customWidth="1"/>
    <col min="24" max="25" width="9.36328125" bestFit="1" customWidth="1"/>
    <col min="26" max="26" width="8.81640625" bestFit="1" customWidth="1"/>
  </cols>
  <sheetData>
    <row r="1" spans="2:15">
      <c r="B1" t="s">
        <v>0</v>
      </c>
    </row>
    <row r="2" spans="2:15">
      <c r="B2" t="s">
        <v>624</v>
      </c>
      <c r="O2" s="24" t="s">
        <v>182</v>
      </c>
    </row>
    <row r="3" spans="2:15">
      <c r="B3" s="11" t="s">
        <v>1</v>
      </c>
      <c r="C3" s="11" t="s">
        <v>2</v>
      </c>
      <c r="D3" s="12" t="s">
        <v>3</v>
      </c>
      <c r="E3" s="84" t="s">
        <v>486</v>
      </c>
      <c r="F3" s="76" t="s">
        <v>11</v>
      </c>
      <c r="G3" s="77"/>
      <c r="H3" s="77"/>
      <c r="I3" s="77"/>
      <c r="J3" s="78"/>
      <c r="K3" s="78"/>
      <c r="L3" s="78"/>
      <c r="M3" s="78"/>
      <c r="N3" s="78"/>
      <c r="O3" s="78"/>
    </row>
    <row r="4" spans="2:15">
      <c r="B4" s="17"/>
      <c r="C4" s="17"/>
      <c r="D4" s="18"/>
      <c r="E4" s="17"/>
      <c r="F4" s="35" t="s">
        <v>12</v>
      </c>
      <c r="G4" s="35" t="s">
        <v>13</v>
      </c>
      <c r="H4" s="35" t="s">
        <v>591</v>
      </c>
      <c r="I4" s="35" t="s">
        <v>590</v>
      </c>
      <c r="J4" s="35" t="s">
        <v>575</v>
      </c>
      <c r="K4" s="35" t="s">
        <v>589</v>
      </c>
      <c r="L4" s="35" t="s">
        <v>19</v>
      </c>
      <c r="M4" s="35" t="s">
        <v>20</v>
      </c>
      <c r="N4" s="35" t="s">
        <v>588</v>
      </c>
      <c r="O4" s="35" t="s">
        <v>594</v>
      </c>
    </row>
    <row r="5" spans="2:15">
      <c r="B5" s="5" t="s">
        <v>349</v>
      </c>
      <c r="C5" s="7"/>
      <c r="D5" s="7"/>
      <c r="E5" s="8"/>
      <c r="F5" s="87">
        <f t="shared" ref="F5:O5" si="0">F6+F26</f>
        <v>2380097996</v>
      </c>
      <c r="G5" s="87">
        <f t="shared" si="0"/>
        <v>2537722473</v>
      </c>
      <c r="H5" s="87">
        <f t="shared" si="0"/>
        <v>4801386046</v>
      </c>
      <c r="I5" s="87">
        <f t="shared" si="0"/>
        <v>12233768878</v>
      </c>
      <c r="J5" s="87">
        <f t="shared" si="0"/>
        <v>13712547499</v>
      </c>
      <c r="K5" s="87">
        <f t="shared" si="0"/>
        <v>15321720545</v>
      </c>
      <c r="L5" s="87">
        <f t="shared" si="0"/>
        <v>13316385816</v>
      </c>
      <c r="M5" s="87">
        <f t="shared" si="0"/>
        <v>13018106023</v>
      </c>
      <c r="N5" s="87">
        <f t="shared" si="0"/>
        <v>12275738271</v>
      </c>
      <c r="O5" s="87">
        <f t="shared" si="0"/>
        <v>12170791768</v>
      </c>
    </row>
    <row r="6" spans="2:15">
      <c r="B6" s="79"/>
      <c r="C6" s="5" t="s">
        <v>350</v>
      </c>
      <c r="D6" s="7"/>
      <c r="E6" s="8"/>
      <c r="F6" s="87">
        <f>F7+F22</f>
        <v>2147056679</v>
      </c>
      <c r="G6" s="87">
        <f t="shared" ref="G6:O6" si="1">G7+G22</f>
        <v>1935770531</v>
      </c>
      <c r="H6" s="87">
        <f t="shared" si="1"/>
        <v>3185400831</v>
      </c>
      <c r="I6" s="87">
        <f t="shared" si="1"/>
        <v>7267487467</v>
      </c>
      <c r="J6" s="87">
        <f t="shared" si="1"/>
        <v>10241837798</v>
      </c>
      <c r="K6" s="87">
        <f t="shared" si="1"/>
        <v>12577603623</v>
      </c>
      <c r="L6" s="87">
        <f t="shared" si="1"/>
        <v>12376362332</v>
      </c>
      <c r="M6" s="87">
        <f t="shared" si="1"/>
        <v>12293301793</v>
      </c>
      <c r="N6" s="87">
        <f t="shared" si="1"/>
        <v>11880318388</v>
      </c>
      <c r="O6" s="87">
        <f t="shared" si="1"/>
        <v>11730394419</v>
      </c>
    </row>
    <row r="7" spans="2:15">
      <c r="B7" s="79"/>
      <c r="C7" s="79"/>
      <c r="D7" s="5" t="s">
        <v>351</v>
      </c>
      <c r="E7" s="8"/>
      <c r="F7" s="86">
        <f>SUM(F8,(F9-F10),(F11-F12),(F13-F14),(F15-F16),(F17-F18),(F19-F20),F21)</f>
        <v>2147007479</v>
      </c>
      <c r="G7" s="86">
        <f>SUM(G8,(G9-G10),(G11-G12),(G13-G14),(G15-G16),(G17-G18),(G19-G20),G21)</f>
        <v>1935721331</v>
      </c>
      <c r="H7" s="86">
        <f t="shared" ref="H7:O7" si="2">SUM(H8,(H9-H10),(H11-H12),(H13-H14),(H15-H16),(H17-H18),(H19-H20),H21)</f>
        <v>3185351631</v>
      </c>
      <c r="I7" s="86">
        <f t="shared" si="2"/>
        <v>7267438267</v>
      </c>
      <c r="J7" s="86">
        <f t="shared" si="2"/>
        <v>10241788598</v>
      </c>
      <c r="K7" s="86">
        <f t="shared" si="2"/>
        <v>12577554423</v>
      </c>
      <c r="L7" s="86">
        <f t="shared" si="2"/>
        <v>12376313132</v>
      </c>
      <c r="M7" s="86">
        <f t="shared" si="2"/>
        <v>12291412593</v>
      </c>
      <c r="N7" s="86">
        <f t="shared" si="2"/>
        <v>11878429188</v>
      </c>
      <c r="O7" s="86">
        <f t="shared" si="2"/>
        <v>11728505219</v>
      </c>
    </row>
    <row r="8" spans="2:15">
      <c r="B8" s="79"/>
      <c r="C8" s="79"/>
      <c r="D8" s="4"/>
      <c r="E8" s="142" t="s">
        <v>352</v>
      </c>
      <c r="F8" s="86">
        <v>45233178</v>
      </c>
      <c r="G8" s="86">
        <v>45233178</v>
      </c>
      <c r="H8" s="86">
        <v>45233178</v>
      </c>
      <c r="I8" s="86">
        <v>46918915</v>
      </c>
      <c r="J8" s="86">
        <v>46918915</v>
      </c>
      <c r="K8" s="86">
        <v>46918915</v>
      </c>
      <c r="L8" s="86">
        <v>46918915</v>
      </c>
      <c r="M8" s="86">
        <v>46918915</v>
      </c>
      <c r="N8" s="86">
        <v>46918915</v>
      </c>
      <c r="O8" s="86">
        <v>46918915</v>
      </c>
    </row>
    <row r="9" spans="2:15">
      <c r="B9" s="79"/>
      <c r="C9" s="79"/>
      <c r="D9" s="79"/>
      <c r="E9" s="142" t="s">
        <v>353</v>
      </c>
      <c r="F9" s="86">
        <v>59370402</v>
      </c>
      <c r="G9" s="86">
        <v>59370402</v>
      </c>
      <c r="H9" s="86">
        <v>91470402</v>
      </c>
      <c r="I9" s="86">
        <v>89113320</v>
      </c>
      <c r="J9" s="86">
        <v>89113320</v>
      </c>
      <c r="K9" s="86">
        <v>1343128687</v>
      </c>
      <c r="L9" s="86">
        <v>1343128687</v>
      </c>
      <c r="M9" s="86">
        <v>826599519</v>
      </c>
      <c r="N9" s="86">
        <v>826599519</v>
      </c>
      <c r="O9" s="86">
        <v>826599519</v>
      </c>
    </row>
    <row r="10" spans="2:15">
      <c r="B10" s="79"/>
      <c r="C10" s="79"/>
      <c r="D10" s="79"/>
      <c r="E10" s="142" t="s">
        <v>498</v>
      </c>
      <c r="F10" s="86">
        <v>33818728</v>
      </c>
      <c r="G10" s="86">
        <v>34777993</v>
      </c>
      <c r="H10" s="86">
        <v>35737258</v>
      </c>
      <c r="I10" s="86">
        <v>35628402</v>
      </c>
      <c r="J10" s="86">
        <v>37580772</v>
      </c>
      <c r="K10" s="86">
        <v>39396251</v>
      </c>
      <c r="L10" s="86">
        <v>63693534</v>
      </c>
      <c r="M10" s="86">
        <v>78177861</v>
      </c>
      <c r="N10" s="86">
        <v>92652413</v>
      </c>
      <c r="O10" s="86">
        <v>107126965</v>
      </c>
    </row>
    <row r="11" spans="2:15">
      <c r="B11" s="79"/>
      <c r="C11" s="79"/>
      <c r="D11" s="79"/>
      <c r="E11" s="142" t="s">
        <v>476</v>
      </c>
      <c r="F11" s="86">
        <v>2572383314</v>
      </c>
      <c r="G11" s="86">
        <v>2268080298</v>
      </c>
      <c r="H11" s="86">
        <v>2526407046</v>
      </c>
      <c r="I11" s="86">
        <v>4706136663</v>
      </c>
      <c r="J11" s="86">
        <v>4706136663</v>
      </c>
      <c r="K11" s="86">
        <v>5789073943</v>
      </c>
      <c r="L11" s="86">
        <v>5789073943</v>
      </c>
      <c r="M11" s="86">
        <v>9380476976</v>
      </c>
      <c r="N11" s="86">
        <v>9462973196</v>
      </c>
      <c r="O11" s="86">
        <v>9462973196</v>
      </c>
    </row>
    <row r="12" spans="2:15">
      <c r="B12" s="79"/>
      <c r="C12" s="79"/>
      <c r="D12" s="79"/>
      <c r="E12" s="142" t="s">
        <v>499</v>
      </c>
      <c r="F12" s="86">
        <v>965347881</v>
      </c>
      <c r="G12" s="86">
        <v>790807786</v>
      </c>
      <c r="H12" s="86">
        <v>792283372</v>
      </c>
      <c r="I12" s="86">
        <v>279247134</v>
      </c>
      <c r="J12" s="86">
        <v>406187489</v>
      </c>
      <c r="K12" s="86">
        <v>521442915</v>
      </c>
      <c r="L12" s="86">
        <v>680861584</v>
      </c>
      <c r="M12" s="86">
        <v>868310357</v>
      </c>
      <c r="N12" s="86">
        <v>1182092860</v>
      </c>
      <c r="O12" s="86">
        <v>1375313348</v>
      </c>
    </row>
    <row r="13" spans="2:15">
      <c r="B13" s="4"/>
      <c r="C13" s="4"/>
      <c r="D13" s="4"/>
      <c r="E13" s="142" t="s">
        <v>477</v>
      </c>
      <c r="F13" s="86">
        <v>366676929</v>
      </c>
      <c r="G13" s="86">
        <v>384212699</v>
      </c>
      <c r="H13" s="86">
        <v>384597135</v>
      </c>
      <c r="I13" s="86">
        <v>318156805</v>
      </c>
      <c r="J13" s="86">
        <v>318156805</v>
      </c>
      <c r="K13" s="86">
        <v>2592286405</v>
      </c>
      <c r="L13" s="86">
        <v>2592286405</v>
      </c>
      <c r="M13" s="86">
        <v>3510077728</v>
      </c>
      <c r="N13" s="86">
        <v>3510077728</v>
      </c>
      <c r="O13" s="86">
        <v>3510077728</v>
      </c>
    </row>
    <row r="14" spans="2:15">
      <c r="B14" s="4"/>
      <c r="C14" s="4"/>
      <c r="D14" s="4"/>
      <c r="E14" s="142" t="s">
        <v>500</v>
      </c>
      <c r="F14" s="86">
        <v>221813804</v>
      </c>
      <c r="G14" s="86">
        <v>235985278</v>
      </c>
      <c r="H14" s="86">
        <v>246364814</v>
      </c>
      <c r="I14" s="86">
        <v>166404822</v>
      </c>
      <c r="J14" s="86">
        <v>182253600</v>
      </c>
      <c r="K14" s="86">
        <v>196783961</v>
      </c>
      <c r="L14" s="86">
        <v>343850683</v>
      </c>
      <c r="M14" s="86">
        <v>530301159</v>
      </c>
      <c r="N14" s="86">
        <v>714317516</v>
      </c>
      <c r="O14" s="86">
        <v>896423637</v>
      </c>
    </row>
    <row r="15" spans="2:15">
      <c r="B15" s="4"/>
      <c r="C15" s="4"/>
      <c r="D15" s="4"/>
      <c r="E15" s="142" t="s">
        <v>610</v>
      </c>
      <c r="F15" s="86">
        <v>0</v>
      </c>
      <c r="G15" s="86">
        <v>0</v>
      </c>
      <c r="H15" s="86">
        <v>0</v>
      </c>
      <c r="I15" s="86">
        <v>0</v>
      </c>
      <c r="J15" s="86">
        <v>0</v>
      </c>
      <c r="K15" s="86">
        <v>0</v>
      </c>
      <c r="L15" s="86">
        <v>0</v>
      </c>
      <c r="M15" s="86">
        <v>0</v>
      </c>
      <c r="N15" s="86">
        <v>0</v>
      </c>
      <c r="O15" s="86">
        <v>0</v>
      </c>
    </row>
    <row r="16" spans="2:15">
      <c r="B16" s="4"/>
      <c r="C16" s="4"/>
      <c r="D16" s="4"/>
      <c r="E16" s="142" t="s">
        <v>611</v>
      </c>
      <c r="F16" s="86">
        <v>0</v>
      </c>
      <c r="G16" s="86">
        <v>0</v>
      </c>
      <c r="H16" s="86">
        <v>0</v>
      </c>
      <c r="I16" s="86">
        <v>0</v>
      </c>
      <c r="J16" s="86">
        <v>0</v>
      </c>
      <c r="K16" s="86">
        <v>0</v>
      </c>
      <c r="L16" s="86">
        <v>0</v>
      </c>
      <c r="M16" s="86">
        <v>0</v>
      </c>
      <c r="N16" s="86">
        <v>0</v>
      </c>
      <c r="O16" s="86">
        <v>0</v>
      </c>
    </row>
    <row r="17" spans="2:17">
      <c r="B17" s="4"/>
      <c r="C17" s="4"/>
      <c r="D17" s="4"/>
      <c r="E17" s="142" t="s">
        <v>478</v>
      </c>
      <c r="F17" s="86">
        <v>3134000</v>
      </c>
      <c r="G17" s="86">
        <v>3134000</v>
      </c>
      <c r="H17" s="86">
        <v>924000</v>
      </c>
      <c r="I17" s="86">
        <v>924000</v>
      </c>
      <c r="J17" s="86">
        <v>924000</v>
      </c>
      <c r="K17" s="86">
        <v>924000</v>
      </c>
      <c r="L17" s="86">
        <v>924000</v>
      </c>
      <c r="M17" s="86">
        <v>924000</v>
      </c>
      <c r="N17" s="86">
        <v>924000</v>
      </c>
      <c r="O17" s="86">
        <v>924000</v>
      </c>
    </row>
    <row r="18" spans="2:17">
      <c r="B18" s="4"/>
      <c r="C18" s="4"/>
      <c r="D18" s="4"/>
      <c r="E18" s="142" t="s">
        <v>501</v>
      </c>
      <c r="F18" s="86">
        <v>2915700</v>
      </c>
      <c r="G18" s="86">
        <v>2966100</v>
      </c>
      <c r="H18" s="86">
        <v>877800</v>
      </c>
      <c r="I18" s="86">
        <v>877800</v>
      </c>
      <c r="J18" s="86">
        <v>877800</v>
      </c>
      <c r="K18" s="86">
        <v>877800</v>
      </c>
      <c r="L18" s="86">
        <v>877800</v>
      </c>
      <c r="M18" s="86">
        <v>877800</v>
      </c>
      <c r="N18" s="86">
        <v>877800</v>
      </c>
      <c r="O18" s="86">
        <v>877800</v>
      </c>
    </row>
    <row r="19" spans="2:17">
      <c r="B19" s="4"/>
      <c r="C19" s="4"/>
      <c r="D19" s="4"/>
      <c r="E19" s="142" t="s">
        <v>612</v>
      </c>
      <c r="F19" s="86">
        <v>6316071</v>
      </c>
      <c r="G19" s="86">
        <v>7058898</v>
      </c>
      <c r="H19" s="86">
        <v>9191977</v>
      </c>
      <c r="I19" s="86">
        <v>9064993</v>
      </c>
      <c r="J19" s="86">
        <v>10018309</v>
      </c>
      <c r="K19" s="86">
        <v>10249740</v>
      </c>
      <c r="L19" s="86">
        <v>10249740</v>
      </c>
      <c r="M19" s="86">
        <v>11710950</v>
      </c>
      <c r="N19" s="86">
        <v>11710950</v>
      </c>
      <c r="O19" s="86">
        <v>11710950</v>
      </c>
    </row>
    <row r="20" spans="2:17">
      <c r="B20" s="4"/>
      <c r="C20" s="4"/>
      <c r="D20" s="4"/>
      <c r="E20" s="142" t="s">
        <v>613</v>
      </c>
      <c r="F20" s="86">
        <v>3915082</v>
      </c>
      <c r="G20" s="86">
        <v>4259019</v>
      </c>
      <c r="H20" s="86">
        <v>4579426</v>
      </c>
      <c r="I20" s="86">
        <v>4984315</v>
      </c>
      <c r="J20" s="86">
        <v>5336689</v>
      </c>
      <c r="K20" s="86">
        <v>5643751</v>
      </c>
      <c r="L20" s="86">
        <v>6570722</v>
      </c>
      <c r="M20" s="86">
        <v>7628318</v>
      </c>
      <c r="N20" s="86">
        <v>8860428</v>
      </c>
      <c r="O20" s="86">
        <v>9965676</v>
      </c>
    </row>
    <row r="21" spans="2:17">
      <c r="B21" s="4"/>
      <c r="C21" s="79"/>
      <c r="D21" s="80"/>
      <c r="E21" s="142" t="s">
        <v>479</v>
      </c>
      <c r="F21" s="86">
        <v>321704780</v>
      </c>
      <c r="G21" s="86">
        <v>237428032</v>
      </c>
      <c r="H21" s="86">
        <v>1207370563</v>
      </c>
      <c r="I21" s="86">
        <v>2584266044</v>
      </c>
      <c r="J21" s="86">
        <v>5702756936</v>
      </c>
      <c r="K21" s="86">
        <v>3559117411</v>
      </c>
      <c r="L21" s="86">
        <v>3689585765</v>
      </c>
      <c r="M21" s="86">
        <v>0</v>
      </c>
      <c r="N21" s="86">
        <v>18025897</v>
      </c>
      <c r="O21" s="86">
        <v>259008337</v>
      </c>
    </row>
    <row r="22" spans="2:17">
      <c r="B22" s="79"/>
      <c r="C22" s="4"/>
      <c r="D22" s="5" t="s">
        <v>609</v>
      </c>
      <c r="E22" s="8"/>
      <c r="F22" s="86">
        <f>SUM(F23:F25)</f>
        <v>49200</v>
      </c>
      <c r="G22" s="86">
        <f t="shared" ref="G22:O22" si="3">SUM(G23:G25)</f>
        <v>49200</v>
      </c>
      <c r="H22" s="86">
        <f t="shared" si="3"/>
        <v>49200</v>
      </c>
      <c r="I22" s="86">
        <f t="shared" si="3"/>
        <v>49200</v>
      </c>
      <c r="J22" s="86">
        <f t="shared" si="3"/>
        <v>49200</v>
      </c>
      <c r="K22" s="86">
        <f t="shared" si="3"/>
        <v>49200</v>
      </c>
      <c r="L22" s="86">
        <f t="shared" si="3"/>
        <v>49200</v>
      </c>
      <c r="M22" s="86">
        <f t="shared" si="3"/>
        <v>1889200</v>
      </c>
      <c r="N22" s="86">
        <f t="shared" si="3"/>
        <v>1889200</v>
      </c>
      <c r="O22" s="86">
        <f t="shared" si="3"/>
        <v>1889200</v>
      </c>
    </row>
    <row r="23" spans="2:17">
      <c r="B23" s="79"/>
      <c r="C23" s="79"/>
      <c r="D23" s="4"/>
      <c r="E23" s="142" t="s">
        <v>625</v>
      </c>
      <c r="F23" s="86">
        <v>0</v>
      </c>
      <c r="G23" s="86">
        <v>0</v>
      </c>
      <c r="H23" s="86">
        <v>0</v>
      </c>
      <c r="I23" s="86">
        <v>0</v>
      </c>
      <c r="J23" s="86">
        <v>0</v>
      </c>
      <c r="K23" s="86">
        <v>0</v>
      </c>
      <c r="L23" s="86">
        <v>0</v>
      </c>
      <c r="M23" s="86">
        <v>0</v>
      </c>
      <c r="N23" s="86">
        <v>0</v>
      </c>
      <c r="O23" s="86">
        <v>0</v>
      </c>
    </row>
    <row r="24" spans="2:17">
      <c r="B24" s="79"/>
      <c r="C24" s="79"/>
      <c r="D24" s="79"/>
      <c r="E24" s="142" t="s">
        <v>626</v>
      </c>
      <c r="F24" s="86">
        <v>49200</v>
      </c>
      <c r="G24" s="86">
        <v>49200</v>
      </c>
      <c r="H24" s="86">
        <v>49200</v>
      </c>
      <c r="I24" s="86">
        <v>49200</v>
      </c>
      <c r="J24" s="86">
        <v>49200</v>
      </c>
      <c r="K24" s="86">
        <v>49200</v>
      </c>
      <c r="L24" s="86">
        <v>49200</v>
      </c>
      <c r="M24" s="86">
        <v>49200</v>
      </c>
      <c r="N24" s="86">
        <v>49200</v>
      </c>
      <c r="O24" s="86">
        <v>49200</v>
      </c>
    </row>
    <row r="25" spans="2:17">
      <c r="B25" s="79"/>
      <c r="C25" s="79"/>
      <c r="D25" s="79"/>
      <c r="E25" s="142" t="s">
        <v>628</v>
      </c>
      <c r="F25" s="86">
        <v>0</v>
      </c>
      <c r="G25" s="86">
        <v>0</v>
      </c>
      <c r="H25" s="86">
        <v>0</v>
      </c>
      <c r="I25" s="86">
        <v>0</v>
      </c>
      <c r="J25" s="86">
        <v>0</v>
      </c>
      <c r="K25" s="86">
        <v>0</v>
      </c>
      <c r="L25" s="86">
        <v>0</v>
      </c>
      <c r="M25" s="86">
        <v>1840000</v>
      </c>
      <c r="N25" s="86">
        <v>1840000</v>
      </c>
      <c r="O25" s="86">
        <v>1840000</v>
      </c>
    </row>
    <row r="26" spans="2:17">
      <c r="B26" s="4"/>
      <c r="C26" s="2" t="s">
        <v>480</v>
      </c>
      <c r="D26" s="9"/>
      <c r="E26" s="8"/>
      <c r="F26" s="86">
        <f t="shared" ref="F26:G26" si="4">SUM(F27:F31)</f>
        <v>233041317</v>
      </c>
      <c r="G26" s="86">
        <f t="shared" si="4"/>
        <v>601951942</v>
      </c>
      <c r="H26" s="86">
        <f>SUM(H27:H31)</f>
        <v>1615985215</v>
      </c>
      <c r="I26" s="86">
        <f>SUM(I27:I31)</f>
        <v>4966281411</v>
      </c>
      <c r="J26" s="86">
        <f t="shared" ref="J26:O26" si="5">SUM(J27:J31)</f>
        <v>3470709701</v>
      </c>
      <c r="K26" s="86">
        <f t="shared" si="5"/>
        <v>2744116922</v>
      </c>
      <c r="L26" s="86">
        <f t="shared" si="5"/>
        <v>940023484</v>
      </c>
      <c r="M26" s="86">
        <f t="shared" si="5"/>
        <v>724804230</v>
      </c>
      <c r="N26" s="86">
        <f t="shared" si="5"/>
        <v>395419883</v>
      </c>
      <c r="O26" s="86">
        <f t="shared" si="5"/>
        <v>440397349</v>
      </c>
    </row>
    <row r="27" spans="2:17">
      <c r="B27" s="4"/>
      <c r="C27" s="4"/>
      <c r="D27" s="144" t="s">
        <v>481</v>
      </c>
      <c r="E27" s="141"/>
      <c r="F27" s="86">
        <v>111278743</v>
      </c>
      <c r="G27" s="86">
        <v>387970804</v>
      </c>
      <c r="H27" s="86">
        <v>541703435</v>
      </c>
      <c r="I27" s="86">
        <v>2381558496</v>
      </c>
      <c r="J27" s="86">
        <v>1404969361</v>
      </c>
      <c r="K27" s="86">
        <v>362817447</v>
      </c>
      <c r="L27" s="86">
        <v>565026725</v>
      </c>
      <c r="M27" s="86">
        <v>334744715</v>
      </c>
      <c r="N27" s="86">
        <v>143864193</v>
      </c>
      <c r="O27" s="86">
        <v>132458270</v>
      </c>
    </row>
    <row r="28" spans="2:17">
      <c r="B28" s="4"/>
      <c r="C28" s="79"/>
      <c r="D28" s="144" t="s">
        <v>482</v>
      </c>
      <c r="E28" s="141"/>
      <c r="F28" s="86">
        <v>119304242</v>
      </c>
      <c r="G28" s="86">
        <v>211927898</v>
      </c>
      <c r="H28" s="86">
        <v>1072286402</v>
      </c>
      <c r="I28" s="86">
        <v>2430272734</v>
      </c>
      <c r="J28" s="86">
        <v>1904004223</v>
      </c>
      <c r="K28" s="86">
        <v>2104310806</v>
      </c>
      <c r="L28" s="86">
        <v>202810510</v>
      </c>
      <c r="M28" s="86">
        <v>216699042</v>
      </c>
      <c r="N28" s="86">
        <v>78306576</v>
      </c>
      <c r="O28" s="86">
        <v>133778738</v>
      </c>
      <c r="P28" s="63">
        <f>AVERAGE(F28:O28)</f>
        <v>847370117.10000002</v>
      </c>
      <c r="Q28" s="131">
        <f>ROUND(【BS】決算数値入力!P28/【PL】決算数値入力!P7,3)</f>
        <v>7.5670000000000002</v>
      </c>
    </row>
    <row r="29" spans="2:17">
      <c r="B29" s="79"/>
      <c r="C29" s="79"/>
      <c r="D29" s="144" t="s">
        <v>483</v>
      </c>
      <c r="E29" s="141"/>
      <c r="F29" s="86">
        <v>2458332</v>
      </c>
      <c r="G29" s="86">
        <v>2053240</v>
      </c>
      <c r="H29" s="86">
        <v>1995378</v>
      </c>
      <c r="I29" s="86">
        <v>1487206</v>
      </c>
      <c r="J29" s="86">
        <v>1693453</v>
      </c>
      <c r="K29" s="86">
        <v>2463653</v>
      </c>
      <c r="L29" s="86">
        <v>2253062</v>
      </c>
      <c r="M29" s="86">
        <v>3427286</v>
      </c>
      <c r="N29" s="86">
        <v>3315927</v>
      </c>
      <c r="O29" s="86">
        <v>4227154</v>
      </c>
    </row>
    <row r="30" spans="2:17">
      <c r="B30" s="4"/>
      <c r="C30" s="4"/>
      <c r="D30" s="144" t="s">
        <v>484</v>
      </c>
      <c r="E30" s="141"/>
      <c r="F30" s="86">
        <v>0</v>
      </c>
      <c r="G30" s="86">
        <v>0</v>
      </c>
      <c r="H30" s="86">
        <v>0</v>
      </c>
      <c r="I30" s="86">
        <v>152962975</v>
      </c>
      <c r="J30" s="86">
        <v>160042664</v>
      </c>
      <c r="K30" s="86">
        <v>274525016</v>
      </c>
      <c r="L30" s="86">
        <v>169933187</v>
      </c>
      <c r="M30" s="86">
        <v>169933187</v>
      </c>
      <c r="N30" s="86">
        <v>169933187</v>
      </c>
      <c r="O30" s="86">
        <v>169933187</v>
      </c>
    </row>
    <row r="31" spans="2:17">
      <c r="B31" s="3"/>
      <c r="C31" s="3"/>
      <c r="D31" s="144" t="s">
        <v>485</v>
      </c>
      <c r="E31" s="141"/>
      <c r="F31" s="86">
        <v>0</v>
      </c>
      <c r="G31" s="86">
        <v>0</v>
      </c>
      <c r="H31" s="86">
        <v>0</v>
      </c>
      <c r="I31" s="86">
        <v>0</v>
      </c>
      <c r="J31" s="86">
        <v>0</v>
      </c>
      <c r="K31" s="86">
        <v>0</v>
      </c>
      <c r="L31" s="86">
        <v>0</v>
      </c>
      <c r="M31" s="86">
        <v>0</v>
      </c>
      <c r="N31" s="86">
        <v>0</v>
      </c>
      <c r="O31" s="86">
        <v>0</v>
      </c>
    </row>
    <row r="32" spans="2:17">
      <c r="B32" s="102" t="s">
        <v>520</v>
      </c>
      <c r="C32" s="102"/>
      <c r="D32" s="102"/>
      <c r="E32" s="102"/>
      <c r="F32" s="103">
        <v>2380097996</v>
      </c>
      <c r="G32" s="103">
        <v>2537722473</v>
      </c>
      <c r="H32" s="103">
        <v>4801386046</v>
      </c>
      <c r="I32" s="103">
        <v>12233768878</v>
      </c>
      <c r="J32" s="103">
        <v>13712547499</v>
      </c>
      <c r="K32" s="103">
        <v>15321720545</v>
      </c>
      <c r="L32" s="103">
        <v>13316385816</v>
      </c>
      <c r="M32" s="103">
        <v>13018106023</v>
      </c>
      <c r="N32" s="103">
        <v>12275738271</v>
      </c>
      <c r="O32" s="103"/>
    </row>
    <row r="33" spans="2:26">
      <c r="B33" s="102" t="s">
        <v>519</v>
      </c>
      <c r="C33" s="102"/>
      <c r="D33" s="102"/>
      <c r="E33" s="102"/>
      <c r="F33" s="103" t="str">
        <f t="shared" ref="F33:O33" si="6">IF(F32=F5,"OK","NG")</f>
        <v>OK</v>
      </c>
      <c r="G33" s="103" t="str">
        <f t="shared" si="6"/>
        <v>OK</v>
      </c>
      <c r="H33" s="103" t="str">
        <f t="shared" si="6"/>
        <v>OK</v>
      </c>
      <c r="I33" s="103" t="str">
        <f t="shared" si="6"/>
        <v>OK</v>
      </c>
      <c r="J33" s="103" t="str">
        <f t="shared" si="6"/>
        <v>OK</v>
      </c>
      <c r="K33" s="103" t="str">
        <f t="shared" si="6"/>
        <v>OK</v>
      </c>
      <c r="L33" s="103" t="str">
        <f t="shared" si="6"/>
        <v>OK</v>
      </c>
      <c r="M33" s="103" t="str">
        <f t="shared" si="6"/>
        <v>OK</v>
      </c>
      <c r="N33" s="103" t="str">
        <f t="shared" si="6"/>
        <v>OK</v>
      </c>
      <c r="O33" s="103" t="str">
        <f t="shared" si="6"/>
        <v>NG</v>
      </c>
    </row>
    <row r="34" spans="2:26">
      <c r="D34" s="70"/>
      <c r="E34" s="70"/>
      <c r="F34" s="88"/>
      <c r="G34" s="88"/>
      <c r="H34" s="88"/>
      <c r="I34" s="88"/>
      <c r="J34" s="88"/>
      <c r="K34" s="88"/>
      <c r="L34" s="88"/>
      <c r="M34" s="88"/>
      <c r="N34" s="88"/>
      <c r="O34" s="88"/>
    </row>
    <row r="35" spans="2:26">
      <c r="B35" s="2" t="s">
        <v>487</v>
      </c>
      <c r="C35" s="9"/>
      <c r="D35" s="7"/>
      <c r="E35" s="8"/>
      <c r="F35" s="87">
        <f>F36+F40+F46</f>
        <v>1035293321</v>
      </c>
      <c r="G35" s="87">
        <f t="shared" ref="G35:O35" si="7">G36+G40+G46</f>
        <v>1176501757</v>
      </c>
      <c r="H35" s="87">
        <f t="shared" si="7"/>
        <v>2159362638</v>
      </c>
      <c r="I35" s="87">
        <f t="shared" si="7"/>
        <v>6917884484</v>
      </c>
      <c r="J35" s="87">
        <f t="shared" si="7"/>
        <v>5272906202</v>
      </c>
      <c r="K35" s="87">
        <f t="shared" si="7"/>
        <v>7081250998</v>
      </c>
      <c r="L35" s="87">
        <f t="shared" si="7"/>
        <v>5259514723</v>
      </c>
      <c r="M35" s="87">
        <f t="shared" si="7"/>
        <v>4998980491</v>
      </c>
      <c r="N35" s="87">
        <f t="shared" si="7"/>
        <v>4357683811</v>
      </c>
      <c r="O35" s="87">
        <f t="shared" si="7"/>
        <v>4312299843</v>
      </c>
    </row>
    <row r="36" spans="2:26">
      <c r="B36" s="4"/>
      <c r="C36" s="2" t="s">
        <v>488</v>
      </c>
      <c r="D36" s="9"/>
      <c r="E36" s="8"/>
      <c r="F36" s="86">
        <f>SUM(F37:F39)</f>
        <v>145506374</v>
      </c>
      <c r="G36" s="86">
        <f t="shared" ref="G36:O36" si="8">SUM(G37:G39)</f>
        <v>143734775</v>
      </c>
      <c r="H36" s="86">
        <f t="shared" si="8"/>
        <v>157383556</v>
      </c>
      <c r="I36" s="86">
        <f t="shared" si="8"/>
        <v>270451036</v>
      </c>
      <c r="J36" s="86">
        <f t="shared" si="8"/>
        <v>332135617</v>
      </c>
      <c r="K36" s="86">
        <f t="shared" si="8"/>
        <v>353124203</v>
      </c>
      <c r="L36" s="86">
        <f t="shared" si="8"/>
        <v>455771228</v>
      </c>
      <c r="M36" s="86">
        <f t="shared" si="8"/>
        <v>591530416</v>
      </c>
      <c r="N36" s="86">
        <f t="shared" si="8"/>
        <v>639346881</v>
      </c>
      <c r="O36" s="86">
        <f t="shared" si="8"/>
        <v>763361128</v>
      </c>
    </row>
    <row r="37" spans="2:26">
      <c r="B37" s="4"/>
      <c r="C37" s="4"/>
      <c r="D37" s="148" t="s">
        <v>489</v>
      </c>
      <c r="E37" s="141"/>
      <c r="F37" s="86">
        <v>0</v>
      </c>
      <c r="G37" s="86">
        <v>0</v>
      </c>
      <c r="H37" s="86">
        <v>0</v>
      </c>
      <c r="I37" s="86">
        <v>0</v>
      </c>
      <c r="J37" s="86">
        <v>0</v>
      </c>
      <c r="K37" s="86">
        <v>0</v>
      </c>
      <c r="L37" s="86">
        <v>0</v>
      </c>
      <c r="M37" s="86">
        <v>0</v>
      </c>
      <c r="N37" s="86">
        <v>0</v>
      </c>
      <c r="O37" s="86">
        <v>0</v>
      </c>
    </row>
    <row r="38" spans="2:26">
      <c r="B38" s="4"/>
      <c r="C38" s="4"/>
      <c r="D38" s="148" t="s">
        <v>115</v>
      </c>
      <c r="E38" s="141"/>
      <c r="F38" s="86">
        <v>145506374</v>
      </c>
      <c r="G38" s="86">
        <v>143734775</v>
      </c>
      <c r="H38" s="86">
        <v>157383556</v>
      </c>
      <c r="I38" s="86">
        <v>270451036</v>
      </c>
      <c r="J38" s="86">
        <v>332135617</v>
      </c>
      <c r="K38" s="86">
        <v>353124203</v>
      </c>
      <c r="L38" s="86">
        <v>455771228</v>
      </c>
      <c r="M38" s="86">
        <v>591530416</v>
      </c>
      <c r="N38" s="86">
        <v>639346881</v>
      </c>
      <c r="O38" s="86">
        <v>763361128</v>
      </c>
      <c r="P38" s="125">
        <v>210154111</v>
      </c>
      <c r="Q38" s="125">
        <v>145371217</v>
      </c>
      <c r="R38" s="125">
        <v>93398792</v>
      </c>
      <c r="S38" s="125">
        <v>51146958</v>
      </c>
      <c r="T38" s="125">
        <v>28589700</v>
      </c>
      <c r="U38" s="125">
        <v>20827028</v>
      </c>
      <c r="V38" s="125">
        <v>15575425</v>
      </c>
      <c r="W38" s="125">
        <v>11249315</v>
      </c>
      <c r="X38" s="125">
        <v>7472491</v>
      </c>
      <c r="Y38" s="125">
        <v>3619451</v>
      </c>
      <c r="Z38" s="125">
        <v>0</v>
      </c>
    </row>
    <row r="39" spans="2:26">
      <c r="B39" s="4"/>
      <c r="C39" s="79"/>
      <c r="D39" s="149" t="s">
        <v>516</v>
      </c>
      <c r="E39" s="141"/>
      <c r="F39" s="86">
        <v>0</v>
      </c>
      <c r="G39" s="86">
        <v>0</v>
      </c>
      <c r="H39" s="86">
        <v>0</v>
      </c>
      <c r="I39" s="86">
        <v>0</v>
      </c>
      <c r="J39" s="86">
        <v>0</v>
      </c>
      <c r="K39" s="86">
        <v>0</v>
      </c>
      <c r="L39" s="86">
        <v>0</v>
      </c>
      <c r="M39" s="86">
        <v>0</v>
      </c>
      <c r="N39" s="86">
        <v>0</v>
      </c>
      <c r="O39" s="86">
        <v>0</v>
      </c>
    </row>
    <row r="40" spans="2:26">
      <c r="B40" s="4"/>
      <c r="C40" s="2" t="s">
        <v>490</v>
      </c>
      <c r="D40" s="80"/>
      <c r="E40" s="8"/>
      <c r="F40" s="86">
        <f>SUM(F41:F45)</f>
        <v>44339482</v>
      </c>
      <c r="G40" s="86">
        <f>SUM(G41:G45)</f>
        <v>419166341</v>
      </c>
      <c r="H40" s="86">
        <f t="shared" ref="H40:O40" si="9">SUM(H41:H45)</f>
        <v>1446854865</v>
      </c>
      <c r="I40" s="86">
        <f t="shared" si="9"/>
        <v>4707571986</v>
      </c>
      <c r="J40" s="86">
        <f t="shared" si="9"/>
        <v>3098278789</v>
      </c>
      <c r="K40" s="86">
        <f t="shared" si="9"/>
        <v>2331458110</v>
      </c>
      <c r="L40" s="86">
        <f t="shared" si="9"/>
        <v>671046620</v>
      </c>
      <c r="M40" s="86">
        <f t="shared" si="9"/>
        <v>442806688</v>
      </c>
      <c r="N40" s="86">
        <f t="shared" si="9"/>
        <v>120477879</v>
      </c>
      <c r="O40" s="86">
        <f t="shared" si="9"/>
        <v>217640899</v>
      </c>
    </row>
    <row r="41" spans="2:26">
      <c r="B41" s="4"/>
      <c r="C41" s="4"/>
      <c r="D41" s="148" t="s">
        <v>517</v>
      </c>
      <c r="E41" s="141"/>
      <c r="F41" s="86">
        <v>0</v>
      </c>
      <c r="G41" s="86">
        <v>198000000</v>
      </c>
      <c r="H41" s="86">
        <v>852000000</v>
      </c>
      <c r="I41" s="86">
        <v>2830000000</v>
      </c>
      <c r="J41" s="86">
        <v>3000000000</v>
      </c>
      <c r="K41" s="86">
        <v>1800000000</v>
      </c>
      <c r="L41" s="86">
        <v>600000000</v>
      </c>
      <c r="M41" s="86">
        <v>260000000</v>
      </c>
      <c r="N41" s="86">
        <v>100000000</v>
      </c>
      <c r="O41" s="86">
        <v>200000000</v>
      </c>
    </row>
    <row r="42" spans="2:26">
      <c r="B42" s="4"/>
      <c r="C42" s="4"/>
      <c r="D42" s="148" t="s">
        <v>510</v>
      </c>
      <c r="E42" s="141"/>
      <c r="F42" s="86">
        <v>40802389</v>
      </c>
      <c r="G42" s="86">
        <v>216756487</v>
      </c>
      <c r="H42" s="86">
        <v>588784896</v>
      </c>
      <c r="I42" s="86">
        <v>1874217518</v>
      </c>
      <c r="J42" s="86">
        <v>92927555</v>
      </c>
      <c r="K42" s="86">
        <v>526300084</v>
      </c>
      <c r="L42" s="86">
        <v>58138057</v>
      </c>
      <c r="M42" s="86">
        <v>172474380</v>
      </c>
      <c r="N42" s="86">
        <v>12616598</v>
      </c>
      <c r="O42" s="86">
        <v>8058954</v>
      </c>
      <c r="P42" s="63">
        <f>AVERAGE(F42:O42)</f>
        <v>359107691.80000001</v>
      </c>
      <c r="Q42" s="131">
        <f>ROUND(P42/【PL】決算数値入力!P35,3)</f>
        <v>0.85299999999999998</v>
      </c>
    </row>
    <row r="43" spans="2:26">
      <c r="B43" s="4"/>
      <c r="C43" s="4"/>
      <c r="D43" s="148" t="s">
        <v>627</v>
      </c>
      <c r="E43" s="141"/>
      <c r="F43" s="86">
        <v>1396044</v>
      </c>
      <c r="G43" s="86">
        <v>2278700</v>
      </c>
      <c r="H43" s="86">
        <v>3294100</v>
      </c>
      <c r="I43" s="86">
        <v>0</v>
      </c>
      <c r="J43" s="86">
        <v>2567800</v>
      </c>
      <c r="K43" s="86">
        <v>0</v>
      </c>
      <c r="L43" s="86">
        <v>7259000</v>
      </c>
      <c r="M43" s="86">
        <v>3497000</v>
      </c>
      <c r="N43" s="86">
        <v>2056000</v>
      </c>
      <c r="O43" s="86">
        <v>3618000</v>
      </c>
    </row>
    <row r="44" spans="2:26">
      <c r="B44" s="4"/>
      <c r="C44" s="4"/>
      <c r="D44" s="148" t="s">
        <v>115</v>
      </c>
      <c r="E44" s="141"/>
      <c r="F44" s="86">
        <v>0</v>
      </c>
      <c r="G44" s="86">
        <v>0</v>
      </c>
      <c r="H44" s="86">
        <v>0</v>
      </c>
      <c r="I44" s="86">
        <v>0</v>
      </c>
      <c r="J44" s="86">
        <v>0</v>
      </c>
      <c r="K44" s="86">
        <v>0</v>
      </c>
      <c r="L44" s="86">
        <v>0</v>
      </c>
      <c r="M44" s="86">
        <v>0</v>
      </c>
      <c r="N44" s="86">
        <v>0</v>
      </c>
      <c r="O44" s="86">
        <v>0</v>
      </c>
    </row>
    <row r="45" spans="2:26">
      <c r="B45" s="4"/>
      <c r="C45" s="80"/>
      <c r="D45" s="148" t="s">
        <v>489</v>
      </c>
      <c r="E45" s="141"/>
      <c r="F45" s="86">
        <v>2141049</v>
      </c>
      <c r="G45" s="86">
        <v>2131154</v>
      </c>
      <c r="H45" s="86">
        <v>2775869</v>
      </c>
      <c r="I45" s="86">
        <v>3354468</v>
      </c>
      <c r="J45" s="86">
        <v>2783434</v>
      </c>
      <c r="K45" s="86">
        <v>5158026</v>
      </c>
      <c r="L45" s="86">
        <v>5649563</v>
      </c>
      <c r="M45" s="86">
        <v>6835308</v>
      </c>
      <c r="N45" s="86">
        <v>5805281</v>
      </c>
      <c r="O45" s="86">
        <v>5963945</v>
      </c>
    </row>
    <row r="46" spans="2:26">
      <c r="B46" s="4"/>
      <c r="C46" s="2" t="s">
        <v>491</v>
      </c>
      <c r="D46" s="80"/>
      <c r="E46" s="8"/>
      <c r="F46" s="86">
        <f>SUM(F47:F48)</f>
        <v>845447465</v>
      </c>
      <c r="G46" s="86">
        <f t="shared" ref="G46:N46" si="10">SUM(G47:G48)</f>
        <v>613600641</v>
      </c>
      <c r="H46" s="86">
        <f t="shared" si="10"/>
        <v>555124217</v>
      </c>
      <c r="I46" s="86">
        <f t="shared" si="10"/>
        <v>1939861462</v>
      </c>
      <c r="J46" s="86">
        <f t="shared" si="10"/>
        <v>1842491796</v>
      </c>
      <c r="K46" s="86">
        <f t="shared" si="10"/>
        <v>4396668685</v>
      </c>
      <c r="L46" s="86">
        <f t="shared" si="10"/>
        <v>4132696875</v>
      </c>
      <c r="M46" s="86">
        <f t="shared" si="10"/>
        <v>3964643387</v>
      </c>
      <c r="N46" s="86">
        <f t="shared" si="10"/>
        <v>3597859051</v>
      </c>
      <c r="O46" s="86">
        <f>SUM(O47:O48)</f>
        <v>3331297816</v>
      </c>
    </row>
    <row r="47" spans="2:26">
      <c r="B47" s="4"/>
      <c r="C47" s="4"/>
      <c r="D47" s="148" t="s">
        <v>512</v>
      </c>
      <c r="E47" s="141"/>
      <c r="F47" s="86">
        <v>1085431218</v>
      </c>
      <c r="G47" s="86">
        <v>791254564</v>
      </c>
      <c r="H47" s="86">
        <v>749529898</v>
      </c>
      <c r="I47" s="86">
        <v>2505086146</v>
      </c>
      <c r="J47" s="86">
        <v>2505086146</v>
      </c>
      <c r="K47" s="86">
        <v>5154398182</v>
      </c>
      <c r="L47" s="86">
        <v>5179316071</v>
      </c>
      <c r="M47" s="86">
        <v>5347645061</v>
      </c>
      <c r="N47" s="86">
        <v>5400180403</v>
      </c>
      <c r="O47" s="86">
        <v>5464906903</v>
      </c>
    </row>
    <row r="48" spans="2:26">
      <c r="B48" s="80"/>
      <c r="C48" s="80"/>
      <c r="D48" s="148" t="s">
        <v>513</v>
      </c>
      <c r="E48" s="141"/>
      <c r="F48" s="86">
        <v>-239983753</v>
      </c>
      <c r="G48" s="86">
        <v>-177653923</v>
      </c>
      <c r="H48" s="86">
        <v>-194405681</v>
      </c>
      <c r="I48" s="86">
        <v>-565224684</v>
      </c>
      <c r="J48" s="86">
        <v>-662594350</v>
      </c>
      <c r="K48" s="86">
        <v>-757729497</v>
      </c>
      <c r="L48" s="86">
        <v>-1046619196</v>
      </c>
      <c r="M48" s="86">
        <v>-1383001674</v>
      </c>
      <c r="N48" s="86">
        <v>-1802321352</v>
      </c>
      <c r="O48" s="86">
        <v>-2133609087</v>
      </c>
    </row>
    <row r="49" spans="2:15">
      <c r="B49" s="70"/>
      <c r="C49" s="70"/>
      <c r="D49" s="70"/>
      <c r="E49" s="7"/>
      <c r="F49" s="155"/>
      <c r="G49" s="155"/>
      <c r="H49" s="155"/>
      <c r="I49" s="155"/>
      <c r="J49" s="155"/>
      <c r="K49" s="155"/>
      <c r="L49" s="155"/>
      <c r="M49" s="155"/>
      <c r="N49" s="155"/>
      <c r="O49" s="155"/>
    </row>
    <row r="50" spans="2:15">
      <c r="B50" s="5" t="s">
        <v>514</v>
      </c>
      <c r="C50" s="7"/>
      <c r="D50" s="7"/>
      <c r="E50" s="7"/>
      <c r="F50" s="86">
        <f t="shared" ref="F50:N50" si="11">F51+F58</f>
        <v>1344804675</v>
      </c>
      <c r="G50" s="86">
        <f t="shared" si="11"/>
        <v>1361220716</v>
      </c>
      <c r="H50" s="86">
        <f t="shared" si="11"/>
        <v>2642023408</v>
      </c>
      <c r="I50" s="86">
        <f t="shared" si="11"/>
        <v>5315884394</v>
      </c>
      <c r="J50" s="86">
        <f t="shared" si="11"/>
        <v>8439641297</v>
      </c>
      <c r="K50" s="86">
        <f t="shared" si="11"/>
        <v>8240469547</v>
      </c>
      <c r="L50" s="86">
        <f>L51+L58</f>
        <v>8056871093</v>
      </c>
      <c r="M50" s="86">
        <f>M51+M58</f>
        <v>8019125532</v>
      </c>
      <c r="N50" s="86">
        <f t="shared" si="11"/>
        <v>7918054460</v>
      </c>
      <c r="O50" s="86">
        <f>O51+O58</f>
        <v>7858491925</v>
      </c>
    </row>
    <row r="51" spans="2:15">
      <c r="B51" s="4"/>
      <c r="C51" s="2" t="s">
        <v>496</v>
      </c>
      <c r="D51" s="9"/>
      <c r="E51" s="7"/>
      <c r="F51" s="86">
        <f t="shared" ref="F51:N51" si="12">F52+F56</f>
        <v>1046425750</v>
      </c>
      <c r="G51" s="86">
        <f t="shared" si="12"/>
        <v>1046425750</v>
      </c>
      <c r="H51" s="86">
        <f t="shared" si="12"/>
        <v>1046425750</v>
      </c>
      <c r="I51" s="86">
        <f t="shared" si="12"/>
        <v>1384031753</v>
      </c>
      <c r="J51" s="86">
        <f t="shared" si="12"/>
        <v>1384031753</v>
      </c>
      <c r="K51" s="86">
        <f t="shared" si="12"/>
        <v>1384031753</v>
      </c>
      <c r="L51" s="86">
        <f t="shared" si="12"/>
        <v>1384031753</v>
      </c>
      <c r="M51" s="86">
        <f t="shared" si="12"/>
        <v>1384031753</v>
      </c>
      <c r="N51" s="86">
        <f t="shared" si="12"/>
        <v>1384031753</v>
      </c>
      <c r="O51" s="86">
        <f>O52+O56</f>
        <v>1384031753</v>
      </c>
    </row>
    <row r="52" spans="2:15">
      <c r="B52" s="4"/>
      <c r="C52" s="4"/>
      <c r="D52" s="5" t="s">
        <v>492</v>
      </c>
      <c r="E52" s="7"/>
      <c r="F52" s="86">
        <f t="shared" ref="F52:N52" si="13">SUM(F53:F55)</f>
        <v>1046425750</v>
      </c>
      <c r="G52" s="86">
        <f t="shared" si="13"/>
        <v>1046425750</v>
      </c>
      <c r="H52" s="86">
        <f t="shared" si="13"/>
        <v>1046425750</v>
      </c>
      <c r="I52" s="86">
        <f t="shared" si="13"/>
        <v>1384031753</v>
      </c>
      <c r="J52" s="86">
        <f t="shared" si="13"/>
        <v>1384031753</v>
      </c>
      <c r="K52" s="86">
        <f t="shared" si="13"/>
        <v>1384031753</v>
      </c>
      <c r="L52" s="86">
        <f t="shared" si="13"/>
        <v>1384031753</v>
      </c>
      <c r="M52" s="86">
        <f t="shared" si="13"/>
        <v>1384031753</v>
      </c>
      <c r="N52" s="86">
        <f t="shared" si="13"/>
        <v>1384031753</v>
      </c>
      <c r="O52" s="86">
        <f>SUM(O53:O55)</f>
        <v>1384031753</v>
      </c>
    </row>
    <row r="53" spans="2:15">
      <c r="B53" s="4"/>
      <c r="C53" s="4"/>
      <c r="D53" s="4"/>
      <c r="E53" s="144" t="s">
        <v>493</v>
      </c>
      <c r="F53" s="86">
        <v>50817611</v>
      </c>
      <c r="G53" s="86">
        <v>50817611</v>
      </c>
      <c r="H53" s="86">
        <v>50817611</v>
      </c>
      <c r="I53" s="86">
        <v>388423614</v>
      </c>
      <c r="J53" s="86">
        <v>388423614</v>
      </c>
      <c r="K53" s="86">
        <v>388423614</v>
      </c>
      <c r="L53" s="86">
        <v>388423614</v>
      </c>
      <c r="M53" s="86">
        <v>388423614</v>
      </c>
      <c r="N53" s="86">
        <v>388423614</v>
      </c>
      <c r="O53" s="86">
        <v>388423614</v>
      </c>
    </row>
    <row r="54" spans="2:15">
      <c r="B54" s="4"/>
      <c r="C54" s="4"/>
      <c r="D54" s="4"/>
      <c r="E54" s="144" t="s">
        <v>511</v>
      </c>
      <c r="F54" s="86">
        <v>0</v>
      </c>
      <c r="G54" s="86">
        <v>0</v>
      </c>
      <c r="H54" s="86">
        <v>0</v>
      </c>
      <c r="I54" s="86">
        <v>0</v>
      </c>
      <c r="J54" s="86">
        <v>0</v>
      </c>
      <c r="K54" s="86">
        <v>0</v>
      </c>
      <c r="L54" s="86">
        <v>0</v>
      </c>
      <c r="M54" s="86">
        <v>0</v>
      </c>
      <c r="N54" s="86">
        <v>0</v>
      </c>
      <c r="O54" s="86">
        <v>0</v>
      </c>
    </row>
    <row r="55" spans="2:15">
      <c r="B55" s="4"/>
      <c r="C55" s="4"/>
      <c r="D55" s="80"/>
      <c r="E55" s="144" t="s">
        <v>494</v>
      </c>
      <c r="F55" s="86">
        <v>995608139</v>
      </c>
      <c r="G55" s="86">
        <v>995608139</v>
      </c>
      <c r="H55" s="86">
        <v>995608139</v>
      </c>
      <c r="I55" s="86">
        <v>995608139</v>
      </c>
      <c r="J55" s="86">
        <v>995608139</v>
      </c>
      <c r="K55" s="86">
        <v>995608139</v>
      </c>
      <c r="L55" s="86">
        <v>995608139</v>
      </c>
      <c r="M55" s="86">
        <v>995608139</v>
      </c>
      <c r="N55" s="86">
        <v>995608139</v>
      </c>
      <c r="O55" s="86">
        <v>995608139</v>
      </c>
    </row>
    <row r="56" spans="2:15">
      <c r="B56" s="4"/>
      <c r="C56" s="4"/>
      <c r="D56" s="5" t="s">
        <v>495</v>
      </c>
      <c r="E56" s="7"/>
      <c r="F56" s="86">
        <f t="shared" ref="F56:N56" si="14">F57</f>
        <v>0</v>
      </c>
      <c r="G56" s="86">
        <f t="shared" si="14"/>
        <v>0</v>
      </c>
      <c r="H56" s="86">
        <f t="shared" si="14"/>
        <v>0</v>
      </c>
      <c r="I56" s="86">
        <f t="shared" si="14"/>
        <v>0</v>
      </c>
      <c r="J56" s="86">
        <f t="shared" si="14"/>
        <v>0</v>
      </c>
      <c r="K56" s="86">
        <f t="shared" si="14"/>
        <v>0</v>
      </c>
      <c r="L56" s="86">
        <f t="shared" si="14"/>
        <v>0</v>
      </c>
      <c r="M56" s="86">
        <f t="shared" si="14"/>
        <v>0</v>
      </c>
      <c r="N56" s="86">
        <f t="shared" si="14"/>
        <v>0</v>
      </c>
      <c r="O56" s="86">
        <f>O57</f>
        <v>0</v>
      </c>
    </row>
    <row r="57" spans="2:15">
      <c r="B57" s="4"/>
      <c r="C57" s="80"/>
      <c r="D57" s="80"/>
      <c r="E57" s="144" t="s">
        <v>115</v>
      </c>
      <c r="F57" s="86">
        <v>0</v>
      </c>
      <c r="G57" s="86">
        <v>0</v>
      </c>
      <c r="H57" s="86">
        <v>0</v>
      </c>
      <c r="I57" s="86">
        <v>0</v>
      </c>
      <c r="J57" s="86">
        <v>0</v>
      </c>
      <c r="K57" s="86">
        <v>0</v>
      </c>
      <c r="L57" s="86">
        <v>0</v>
      </c>
      <c r="M57" s="86">
        <v>0</v>
      </c>
      <c r="N57" s="86">
        <v>0</v>
      </c>
      <c r="O57" s="86">
        <v>0</v>
      </c>
    </row>
    <row r="58" spans="2:15">
      <c r="B58" s="79"/>
      <c r="C58" s="5" t="s">
        <v>497</v>
      </c>
      <c r="D58" s="7"/>
      <c r="E58" s="7"/>
      <c r="F58" s="86">
        <f>F59+F64</f>
        <v>298378925</v>
      </c>
      <c r="G58" s="86">
        <f t="shared" ref="G58:N58" si="15">G59+G64</f>
        <v>314794966</v>
      </c>
      <c r="H58" s="86">
        <f t="shared" si="15"/>
        <v>1595597658</v>
      </c>
      <c r="I58" s="86">
        <f t="shared" si="15"/>
        <v>3931852641</v>
      </c>
      <c r="J58" s="86">
        <f t="shared" si="15"/>
        <v>7055609544</v>
      </c>
      <c r="K58" s="86">
        <f t="shared" si="15"/>
        <v>6856437794</v>
      </c>
      <c r="L58" s="86">
        <f t="shared" si="15"/>
        <v>6672839340</v>
      </c>
      <c r="M58" s="86">
        <f t="shared" si="15"/>
        <v>6635093779</v>
      </c>
      <c r="N58" s="86">
        <f t="shared" si="15"/>
        <v>6534022707</v>
      </c>
      <c r="O58" s="86">
        <f>O59+O64</f>
        <v>6474460172</v>
      </c>
    </row>
    <row r="59" spans="2:15">
      <c r="B59" s="4"/>
      <c r="C59" s="4"/>
      <c r="D59" s="5" t="s">
        <v>502</v>
      </c>
      <c r="E59" s="7"/>
      <c r="F59" s="86">
        <f>SUM(F60:F63)</f>
        <v>537827284</v>
      </c>
      <c r="G59" s="86">
        <f t="shared" ref="G59:N59" si="16">SUM(G60:G63)</f>
        <v>724463034</v>
      </c>
      <c r="H59" s="86">
        <f t="shared" si="16"/>
        <v>2052969553</v>
      </c>
      <c r="I59" s="86">
        <f t="shared" si="16"/>
        <v>4438683015</v>
      </c>
      <c r="J59" s="86">
        <f t="shared" si="16"/>
        <v>7603799559</v>
      </c>
      <c r="K59" s="86">
        <f t="shared" si="16"/>
        <v>7559417559</v>
      </c>
      <c r="L59" s="86">
        <f t="shared" si="16"/>
        <v>7559417559</v>
      </c>
      <c r="M59" s="86">
        <f t="shared" si="16"/>
        <v>7559417559</v>
      </c>
      <c r="N59" s="86">
        <f t="shared" si="16"/>
        <v>7559417559</v>
      </c>
      <c r="O59" s="86">
        <f>SUM(O60:O63)</f>
        <v>7559417559</v>
      </c>
    </row>
    <row r="60" spans="2:15">
      <c r="B60" s="4"/>
      <c r="C60" s="4"/>
      <c r="D60" s="4"/>
      <c r="E60" s="144" t="s">
        <v>473</v>
      </c>
      <c r="F60" s="86">
        <v>119576484</v>
      </c>
      <c r="G60" s="86">
        <v>119576484</v>
      </c>
      <c r="H60" s="86">
        <v>122976484</v>
      </c>
      <c r="I60" s="86">
        <v>122976484</v>
      </c>
      <c r="J60" s="86">
        <v>165809665</v>
      </c>
      <c r="K60" s="86">
        <v>165809665</v>
      </c>
      <c r="L60" s="86">
        <v>165809665</v>
      </c>
      <c r="M60" s="86">
        <v>165809665</v>
      </c>
      <c r="N60" s="86">
        <v>165809665</v>
      </c>
      <c r="O60" s="86">
        <v>165809665</v>
      </c>
    </row>
    <row r="61" spans="2:15">
      <c r="B61" s="4"/>
      <c r="C61" s="4"/>
      <c r="D61" s="4"/>
      <c r="E61" s="148" t="s">
        <v>472</v>
      </c>
      <c r="F61" s="86">
        <v>0</v>
      </c>
      <c r="G61" s="86">
        <v>0</v>
      </c>
      <c r="H61" s="86">
        <v>0</v>
      </c>
      <c r="I61" s="86">
        <v>0</v>
      </c>
      <c r="J61" s="86">
        <v>0</v>
      </c>
      <c r="K61" s="86">
        <v>0</v>
      </c>
      <c r="L61" s="86">
        <v>0</v>
      </c>
      <c r="M61" s="86">
        <v>0</v>
      </c>
      <c r="N61" s="86">
        <v>0</v>
      </c>
      <c r="O61" s="86">
        <v>0</v>
      </c>
    </row>
    <row r="62" spans="2:15">
      <c r="B62" s="4"/>
      <c r="C62" s="4"/>
      <c r="D62" s="4"/>
      <c r="E62" s="148" t="s">
        <v>467</v>
      </c>
      <c r="F62" s="86">
        <v>418250800</v>
      </c>
      <c r="G62" s="86">
        <v>604886550</v>
      </c>
      <c r="H62" s="86">
        <v>1929993069</v>
      </c>
      <c r="I62" s="86">
        <v>4315706531</v>
      </c>
      <c r="J62" s="86">
        <v>7437989894</v>
      </c>
      <c r="K62" s="86">
        <v>7393607894</v>
      </c>
      <c r="L62" s="86">
        <v>7393607894</v>
      </c>
      <c r="M62" s="86">
        <v>7393607894</v>
      </c>
      <c r="N62" s="86">
        <v>7393607894</v>
      </c>
      <c r="O62" s="86">
        <v>7393607894</v>
      </c>
    </row>
    <row r="63" spans="2:15">
      <c r="B63" s="4"/>
      <c r="C63" s="4"/>
      <c r="D63" s="80"/>
      <c r="E63" s="148" t="s">
        <v>503</v>
      </c>
      <c r="F63" s="86">
        <v>0</v>
      </c>
      <c r="G63" s="86">
        <v>0</v>
      </c>
      <c r="H63" s="86">
        <v>0</v>
      </c>
      <c r="I63" s="86">
        <v>0</v>
      </c>
      <c r="J63" s="86">
        <v>0</v>
      </c>
      <c r="K63" s="86">
        <v>0</v>
      </c>
      <c r="L63" s="86">
        <v>0</v>
      </c>
      <c r="M63" s="86">
        <v>0</v>
      </c>
      <c r="N63" s="86">
        <v>0</v>
      </c>
      <c r="O63" s="86">
        <v>0</v>
      </c>
    </row>
    <row r="64" spans="2:15">
      <c r="B64" s="4"/>
      <c r="C64" s="4"/>
      <c r="D64" s="5" t="s">
        <v>137</v>
      </c>
      <c r="E64" s="70"/>
      <c r="F64" s="86">
        <f t="shared" ref="F64:N64" si="17">SUM(F65:F69)</f>
        <v>-239448359</v>
      </c>
      <c r="G64" s="86">
        <f t="shared" si="17"/>
        <v>-409668068</v>
      </c>
      <c r="H64" s="86">
        <f t="shared" si="17"/>
        <v>-457371895</v>
      </c>
      <c r="I64" s="86">
        <f t="shared" si="17"/>
        <v>-506830374</v>
      </c>
      <c r="J64" s="86">
        <f t="shared" si="17"/>
        <v>-548190015</v>
      </c>
      <c r="K64" s="86">
        <f t="shared" si="17"/>
        <v>-702979765</v>
      </c>
      <c r="L64" s="86">
        <f t="shared" si="17"/>
        <v>-886578219</v>
      </c>
      <c r="M64" s="86">
        <f t="shared" si="17"/>
        <v>-924323780</v>
      </c>
      <c r="N64" s="86">
        <f t="shared" si="17"/>
        <v>-1025394852</v>
      </c>
      <c r="O64" s="86">
        <f>SUM(O65:O69)</f>
        <v>-1084957387</v>
      </c>
    </row>
    <row r="65" spans="2:16">
      <c r="B65" s="4"/>
      <c r="C65" s="4"/>
      <c r="D65" s="4"/>
      <c r="E65" s="148" t="s">
        <v>504</v>
      </c>
      <c r="F65" s="86">
        <v>0</v>
      </c>
      <c r="G65" s="86">
        <v>0</v>
      </c>
      <c r="H65" s="86">
        <v>0</v>
      </c>
      <c r="I65" s="86">
        <v>0</v>
      </c>
      <c r="J65" s="86">
        <v>0</v>
      </c>
      <c r="K65" s="86">
        <v>0</v>
      </c>
      <c r="L65" s="86">
        <v>0</v>
      </c>
      <c r="M65" s="86">
        <v>0</v>
      </c>
      <c r="N65" s="86">
        <v>0</v>
      </c>
      <c r="O65" s="86">
        <v>0</v>
      </c>
    </row>
    <row r="66" spans="2:16">
      <c r="B66" s="4"/>
      <c r="C66" s="4"/>
      <c r="D66" s="4"/>
      <c r="E66" s="148" t="s">
        <v>505</v>
      </c>
      <c r="F66" s="86">
        <v>0</v>
      </c>
      <c r="G66" s="86">
        <v>0</v>
      </c>
      <c r="H66" s="86">
        <v>0</v>
      </c>
      <c r="I66" s="86">
        <v>0</v>
      </c>
      <c r="J66" s="86">
        <v>0</v>
      </c>
      <c r="K66" s="86">
        <v>0</v>
      </c>
      <c r="L66" s="86">
        <v>0</v>
      </c>
      <c r="M66" s="86">
        <v>0</v>
      </c>
      <c r="N66" s="86">
        <v>0</v>
      </c>
      <c r="O66" s="86">
        <v>0</v>
      </c>
    </row>
    <row r="67" spans="2:16">
      <c r="B67" s="4"/>
      <c r="C67" s="4"/>
      <c r="D67" s="4"/>
      <c r="E67" s="148" t="s">
        <v>506</v>
      </c>
      <c r="F67" s="86">
        <v>0</v>
      </c>
      <c r="G67" s="86">
        <v>0</v>
      </c>
      <c r="H67" s="86">
        <v>0</v>
      </c>
      <c r="I67" s="86">
        <v>0</v>
      </c>
      <c r="J67" s="86">
        <v>0</v>
      </c>
      <c r="K67" s="86">
        <v>0</v>
      </c>
      <c r="L67" s="86">
        <v>0</v>
      </c>
      <c r="M67" s="86">
        <v>0</v>
      </c>
      <c r="N67" s="86">
        <v>0</v>
      </c>
      <c r="O67" s="86">
        <v>0</v>
      </c>
    </row>
    <row r="68" spans="2:16">
      <c r="B68" s="4"/>
      <c r="C68" s="4"/>
      <c r="D68" s="4"/>
      <c r="E68" s="148" t="s">
        <v>507</v>
      </c>
      <c r="F68" s="86">
        <v>0</v>
      </c>
      <c r="G68" s="86">
        <v>0</v>
      </c>
      <c r="H68" s="86">
        <v>0</v>
      </c>
      <c r="I68" s="86">
        <v>0</v>
      </c>
      <c r="J68" s="86">
        <v>0</v>
      </c>
      <c r="K68" s="86">
        <v>0</v>
      </c>
      <c r="L68" s="86">
        <v>0</v>
      </c>
      <c r="M68" s="86">
        <v>0</v>
      </c>
      <c r="N68" s="86">
        <v>0</v>
      </c>
      <c r="O68" s="86">
        <v>0</v>
      </c>
    </row>
    <row r="69" spans="2:16">
      <c r="B69" s="80"/>
      <c r="C69" s="80"/>
      <c r="D69" s="80"/>
      <c r="E69" s="144" t="s">
        <v>508</v>
      </c>
      <c r="F69" s="86">
        <v>-239448359</v>
      </c>
      <c r="G69" s="86">
        <v>-409668068</v>
      </c>
      <c r="H69" s="86">
        <v>-457371895</v>
      </c>
      <c r="I69" s="86">
        <v>-506830374</v>
      </c>
      <c r="J69" s="86">
        <v>-548190015</v>
      </c>
      <c r="K69" s="86">
        <v>-702979765</v>
      </c>
      <c r="L69" s="86">
        <v>-886578219</v>
      </c>
      <c r="M69" s="86">
        <v>-924323780</v>
      </c>
      <c r="N69" s="86">
        <v>-1025394852</v>
      </c>
      <c r="O69" s="86">
        <v>-1084957387</v>
      </c>
    </row>
    <row r="70" spans="2:16">
      <c r="B70" s="9" t="s">
        <v>509</v>
      </c>
      <c r="C70" s="7"/>
      <c r="D70" s="7"/>
      <c r="E70" s="8"/>
      <c r="F70" s="87">
        <f>F35+F50</f>
        <v>2380097996</v>
      </c>
      <c r="G70" s="87">
        <f t="shared" ref="G70:O70" si="18">G35+G50</f>
        <v>2537722473</v>
      </c>
      <c r="H70" s="87">
        <f t="shared" si="18"/>
        <v>4801386046</v>
      </c>
      <c r="I70" s="87">
        <f t="shared" si="18"/>
        <v>12233768878</v>
      </c>
      <c r="J70" s="87">
        <f t="shared" si="18"/>
        <v>13712547499</v>
      </c>
      <c r="K70" s="87">
        <f t="shared" si="18"/>
        <v>15321720545</v>
      </c>
      <c r="L70" s="87">
        <f t="shared" si="18"/>
        <v>13316385816</v>
      </c>
      <c r="M70" s="87">
        <f t="shared" si="18"/>
        <v>13018106023</v>
      </c>
      <c r="N70" s="87">
        <f t="shared" si="18"/>
        <v>12275738271</v>
      </c>
      <c r="O70" s="87">
        <f t="shared" si="18"/>
        <v>12170791768</v>
      </c>
    </row>
    <row r="71" spans="2:16">
      <c r="B71" s="102" t="s">
        <v>518</v>
      </c>
      <c r="C71" s="102"/>
      <c r="D71" s="102"/>
      <c r="E71" s="104"/>
      <c r="F71" s="105">
        <v>2380097996</v>
      </c>
      <c r="G71" s="105">
        <v>2537722473</v>
      </c>
      <c r="H71" s="105">
        <v>4801386046</v>
      </c>
      <c r="I71" s="105">
        <v>12233768878</v>
      </c>
      <c r="J71" s="105">
        <v>13712547499</v>
      </c>
      <c r="K71" s="105">
        <v>15321720545</v>
      </c>
      <c r="L71" s="105">
        <v>13316385816</v>
      </c>
      <c r="M71" s="105">
        <v>13018106023</v>
      </c>
      <c r="N71" s="105">
        <v>12275738271</v>
      </c>
      <c r="O71" s="105">
        <v>12170791768</v>
      </c>
    </row>
    <row r="72" spans="2:16">
      <c r="B72" s="102" t="s">
        <v>519</v>
      </c>
      <c r="C72" s="102"/>
      <c r="D72" s="102"/>
      <c r="E72" s="102"/>
      <c r="F72" s="103" t="str">
        <f>IF(F70=F71,"OK","NG")</f>
        <v>OK</v>
      </c>
      <c r="G72" s="103" t="str">
        <f t="shared" ref="G72:O72" si="19">IF(G70=G71,"OK","NG")</f>
        <v>OK</v>
      </c>
      <c r="H72" s="103" t="str">
        <f t="shared" si="19"/>
        <v>OK</v>
      </c>
      <c r="I72" s="103" t="str">
        <f>IF(I70=I71,"OK","NG")</f>
        <v>OK</v>
      </c>
      <c r="J72" s="103" t="str">
        <f t="shared" si="19"/>
        <v>OK</v>
      </c>
      <c r="K72" s="103" t="str">
        <f t="shared" si="19"/>
        <v>OK</v>
      </c>
      <c r="L72" s="103" t="str">
        <f t="shared" si="19"/>
        <v>OK</v>
      </c>
      <c r="M72" s="103" t="str">
        <f t="shared" si="19"/>
        <v>OK</v>
      </c>
      <c r="N72" s="103" t="str">
        <f t="shared" si="19"/>
        <v>OK</v>
      </c>
      <c r="O72" s="103" t="str">
        <f t="shared" si="19"/>
        <v>OK</v>
      </c>
    </row>
    <row r="75" spans="2:16">
      <c r="F75" s="24" t="s">
        <v>563</v>
      </c>
    </row>
    <row r="76" spans="2:16">
      <c r="E76" s="56" t="s">
        <v>148</v>
      </c>
      <c r="F76" s="87">
        <f>F38+F44</f>
        <v>145506374</v>
      </c>
      <c r="G76" s="87">
        <f t="shared" ref="G76:J76" si="20">G38+G44</f>
        <v>143734775</v>
      </c>
      <c r="H76" s="87">
        <f t="shared" si="20"/>
        <v>157383556</v>
      </c>
      <c r="I76" s="87">
        <f t="shared" si="20"/>
        <v>270451036</v>
      </c>
      <c r="J76" s="87">
        <f t="shared" si="20"/>
        <v>332135617</v>
      </c>
      <c r="K76" s="87">
        <f>K38+K44</f>
        <v>353124203</v>
      </c>
      <c r="L76" s="87">
        <f>L38+L44</f>
        <v>455771228</v>
      </c>
      <c r="M76" s="87">
        <f t="shared" ref="M76:N76" si="21">M38+M44</f>
        <v>591530416</v>
      </c>
      <c r="N76" s="87">
        <f t="shared" si="21"/>
        <v>639346881</v>
      </c>
      <c r="O76" s="87">
        <f>O38+O44</f>
        <v>763361128</v>
      </c>
    </row>
    <row r="77" spans="2:16">
      <c r="E77" s="56" t="s">
        <v>104</v>
      </c>
      <c r="F77" s="87">
        <f>【PL】決算数値入力!F115</f>
        <v>1900238</v>
      </c>
      <c r="G77" s="87">
        <f>【PL】決算数値入力!G115</f>
        <v>1792988</v>
      </c>
      <c r="H77" s="87">
        <f>【PL】決算数値入力!H115</f>
        <v>2378047</v>
      </c>
      <c r="I77" s="87">
        <f>【PL】決算数値入力!I115</f>
        <v>3196288</v>
      </c>
      <c r="J77" s="87">
        <f>【PL】決算数値入力!J115</f>
        <v>1047401</v>
      </c>
      <c r="K77" s="87">
        <f>【PL】決算数値入力!K115</f>
        <v>36222190</v>
      </c>
      <c r="L77" s="87">
        <f>【PL】決算数値入力!L115</f>
        <v>10540977</v>
      </c>
      <c r="M77" s="87">
        <f>【PL】決算数値入力!M115</f>
        <v>2787191</v>
      </c>
      <c r="N77" s="87">
        <f>【PL】決算数値入力!N115</f>
        <v>2403817</v>
      </c>
      <c r="O77" s="87">
        <f>【PL】決算数値入力!O115</f>
        <v>11123657</v>
      </c>
      <c r="P77" t="s">
        <v>177</v>
      </c>
    </row>
    <row r="78" spans="2:16">
      <c r="E78" s="56" t="s">
        <v>564</v>
      </c>
      <c r="F78" s="120"/>
      <c r="G78" s="121">
        <f>G77/AVERAGE(F76:G76)</f>
        <v>1.2397876347808312E-2</v>
      </c>
      <c r="H78" s="121">
        <f t="shared" ref="H78:N78" si="22">H77/AVERAGE(G76:H76)</f>
        <v>1.5794767406571472E-2</v>
      </c>
      <c r="I78" s="121">
        <f t="shared" si="22"/>
        <v>1.4941699711836297E-2</v>
      </c>
      <c r="J78" s="121">
        <f t="shared" si="22"/>
        <v>3.4763498155343311E-3</v>
      </c>
      <c r="K78" s="121">
        <f>K77/AVERAGE(J76:K76)</f>
        <v>0.10571812017228735</v>
      </c>
      <c r="L78" s="121">
        <f t="shared" si="22"/>
        <v>2.6062644430983318E-2</v>
      </c>
      <c r="M78" s="121">
        <f t="shared" si="22"/>
        <v>5.3226136251534424E-3</v>
      </c>
      <c r="N78" s="121">
        <f t="shared" si="22"/>
        <v>3.9058596756293899E-3</v>
      </c>
      <c r="O78" s="121">
        <f>O77/AVERAGE(N76:O76)</f>
        <v>1.5860260194750196E-2</v>
      </c>
      <c r="P78" s="122">
        <f>AVERAGE(G78:O78)</f>
        <v>2.2608910153394904E-2</v>
      </c>
    </row>
  </sheetData>
  <customSheetViews>
    <customSheetView guid="{B05628F6-030D-4851-8E75-96DF5849F39A}" scale="85" showPageBreaks="1" showGridLines="0" fitToPage="1" printArea="1" view="pageBreakPreview">
      <pane xSplit="5" ySplit="4" topLeftCell="F5" activePane="bottomRight" state="frozen"/>
      <selection pane="bottomRight" activeCell="L9" sqref="L9"/>
      <pageMargins left="0.70866141732283472" right="0.70866141732283472" top="0.74803149606299213" bottom="0.74803149606299213" header="0.31496062992125984" footer="0.31496062992125984"/>
      <pageSetup paperSize="8" scale="86" orientation="portrait" r:id="rId1"/>
      <headerFooter>
        <oddHeader>&amp;A</oddHeader>
        <oddFooter>&amp;P / &amp;N ページ</oddFooter>
      </headerFooter>
    </customSheetView>
    <customSheetView guid="{1F923BC6-4AD1-4F20-A481-D76BE7901A2A}" scale="85" showPageBreaks="1" showGridLines="0" fitToPage="1" printArea="1" view="pageBreakPreview">
      <pane xSplit="5" ySplit="4" topLeftCell="F5" activePane="bottomRight" state="frozen"/>
      <selection pane="bottomRight" activeCell="H34" sqref="H34"/>
      <pageMargins left="0.70866141732283472" right="0.70866141732283472" top="0.74803149606299213" bottom="0.74803149606299213" header="0.31496062992125984" footer="0.31496062992125984"/>
      <pageSetup paperSize="8" scale="86" orientation="portrait" r:id="rId2"/>
      <headerFooter>
        <oddHeader>&amp;A</oddHeader>
        <oddFooter>&amp;P / &amp;N ページ</oddFooter>
      </headerFooter>
    </customSheetView>
  </customSheetViews>
  <phoneticPr fontId="4"/>
  <conditionalFormatting sqref="F8:O21 F23:O25 F27:O31 F37:O39 F41:O45 F47:O48 F53:O55 F57:O57 F60:O63 F65:O69">
    <cfRule type="containsBlanks" dxfId="0" priority="1">
      <formula>LEN(TRIM(F8))=0</formula>
    </cfRule>
  </conditionalFormatting>
  <pageMargins left="0.70866141732283472" right="0.70866141732283472" top="0.74803149606299213" bottom="0.74803149606299213" header="0.31496062992125984" footer="0.31496062992125984"/>
  <pageSetup paperSize="8" scale="86" orientation="portrait" r:id="rId3"/>
  <headerFooter>
    <oddHeader>&amp;A</oddHeader>
    <oddFooter>&amp;P / &amp;N ページ</oddFooter>
  </headerFooter>
  <ignoredErrors>
    <ignoredError sqref="J26:O26" formulaRange="1"/>
  </ignoredError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0398C-F09F-45E3-9718-094923508C0E}">
  <sheetPr>
    <tabColor rgb="FFFF0000"/>
    <pageSetUpPr fitToPage="1"/>
  </sheetPr>
  <dimension ref="B1:Q40"/>
  <sheetViews>
    <sheetView showGridLines="0" view="pageBreakPreview" zoomScale="85" zoomScaleNormal="85" zoomScaleSheetLayoutView="85" workbookViewId="0">
      <pane xSplit="6" ySplit="3" topLeftCell="G4" activePane="bottomRight" state="frozen"/>
      <selection activeCell="I5" sqref="I5"/>
      <selection pane="topRight" activeCell="I5" sqref="I5"/>
      <selection pane="bottomLeft" activeCell="I5" sqref="I5"/>
      <selection pane="bottomRight" activeCell="P7" sqref="P7"/>
    </sheetView>
  </sheetViews>
  <sheetFormatPr defaultRowHeight="14.4"/>
  <cols>
    <col min="1" max="1" width="2.90625" customWidth="1"/>
    <col min="2" max="2" width="21.6328125" bestFit="1" customWidth="1"/>
    <col min="3" max="3" width="43.08984375" bestFit="1" customWidth="1"/>
    <col min="4" max="4" width="5.36328125" style="81" bestFit="1" customWidth="1"/>
    <col min="5" max="5" width="8.08984375" style="81" bestFit="1" customWidth="1"/>
    <col min="6" max="6" width="4.453125" bestFit="1" customWidth="1"/>
    <col min="7" max="8" width="9" customWidth="1"/>
    <col min="9" max="11" width="9" customWidth="1" collapsed="1"/>
    <col min="12" max="12" width="9" customWidth="1"/>
    <col min="13" max="13" width="9" customWidth="1" collapsed="1"/>
    <col min="14" max="15" width="9" customWidth="1"/>
  </cols>
  <sheetData>
    <row r="1" spans="2:17">
      <c r="B1" t="s">
        <v>592</v>
      </c>
      <c r="I1" t="s">
        <v>587</v>
      </c>
    </row>
    <row r="2" spans="2:17">
      <c r="B2" t="s">
        <v>428</v>
      </c>
      <c r="I2" s="135" t="s">
        <v>525</v>
      </c>
    </row>
    <row r="3" spans="2:17">
      <c r="B3" s="35" t="s">
        <v>354</v>
      </c>
      <c r="C3" s="35" t="s">
        <v>355</v>
      </c>
      <c r="D3" s="35" t="s">
        <v>356</v>
      </c>
      <c r="E3" s="35" t="s">
        <v>364</v>
      </c>
      <c r="F3" s="35" t="s">
        <v>357</v>
      </c>
      <c r="G3" s="35" t="s">
        <v>12</v>
      </c>
      <c r="H3" s="35" t="s">
        <v>13</v>
      </c>
      <c r="I3" s="35" t="s">
        <v>591</v>
      </c>
      <c r="J3" s="35" t="s">
        <v>590</v>
      </c>
      <c r="K3" s="35" t="s">
        <v>575</v>
      </c>
      <c r="L3" s="35" t="s">
        <v>589</v>
      </c>
      <c r="M3" s="35" t="s">
        <v>19</v>
      </c>
      <c r="N3" s="35" t="s">
        <v>20</v>
      </c>
      <c r="O3" s="35" t="s">
        <v>588</v>
      </c>
      <c r="P3" s="35" t="s">
        <v>594</v>
      </c>
      <c r="Q3" s="35" t="s">
        <v>530</v>
      </c>
    </row>
    <row r="4" spans="2:17">
      <c r="B4" s="1" t="s">
        <v>358</v>
      </c>
      <c r="C4" s="1" t="s">
        <v>360</v>
      </c>
      <c r="D4" s="82" t="s">
        <v>361</v>
      </c>
      <c r="E4" s="83">
        <v>2</v>
      </c>
      <c r="F4" s="10" t="s">
        <v>359</v>
      </c>
      <c r="G4" s="25">
        <v>7012</v>
      </c>
      <c r="H4" s="25">
        <v>6818</v>
      </c>
      <c r="I4" s="25">
        <v>6668</v>
      </c>
      <c r="J4" s="25">
        <v>6575</v>
      </c>
      <c r="K4" s="25">
        <v>6466</v>
      </c>
      <c r="L4" s="25">
        <v>6337</v>
      </c>
      <c r="M4" s="25">
        <v>6211</v>
      </c>
      <c r="N4" s="25">
        <v>6033</v>
      </c>
      <c r="O4" s="25">
        <v>5928</v>
      </c>
      <c r="P4" s="25">
        <v>6263</v>
      </c>
      <c r="Q4" s="25">
        <f>AVERAGE(G4:P4)</f>
        <v>6431.1</v>
      </c>
    </row>
    <row r="5" spans="2:17">
      <c r="B5" s="1" t="s">
        <v>362</v>
      </c>
      <c r="C5" s="1" t="s">
        <v>360</v>
      </c>
      <c r="D5" s="82" t="s">
        <v>363</v>
      </c>
      <c r="E5" s="83">
        <v>2</v>
      </c>
      <c r="F5" s="10" t="s">
        <v>359</v>
      </c>
      <c r="G5" s="25">
        <v>5621</v>
      </c>
      <c r="H5" s="25">
        <v>5526</v>
      </c>
      <c r="I5" s="25">
        <v>5500</v>
      </c>
      <c r="J5" s="25">
        <v>6575</v>
      </c>
      <c r="K5" s="25">
        <v>6466</v>
      </c>
      <c r="L5" s="25">
        <v>6337</v>
      </c>
      <c r="M5" s="25">
        <v>6209</v>
      </c>
      <c r="N5" s="25">
        <v>6031</v>
      </c>
      <c r="O5" s="25">
        <v>5926</v>
      </c>
      <c r="P5" s="25">
        <v>6263</v>
      </c>
      <c r="Q5" s="25">
        <f t="shared" ref="Q5:Q34" si="0">AVERAGE(G5:P5)</f>
        <v>6045.4</v>
      </c>
    </row>
    <row r="6" spans="2:17">
      <c r="B6" s="1" t="s">
        <v>365</v>
      </c>
      <c r="C6" s="1" t="s">
        <v>360</v>
      </c>
      <c r="D6" s="82" t="s">
        <v>366</v>
      </c>
      <c r="E6" s="83">
        <v>2</v>
      </c>
      <c r="F6" s="10" t="s">
        <v>359</v>
      </c>
      <c r="G6" s="25">
        <v>12000</v>
      </c>
      <c r="H6" s="25">
        <v>12000</v>
      </c>
      <c r="I6" s="25">
        <v>12000</v>
      </c>
      <c r="J6" s="25">
        <v>8055</v>
      </c>
      <c r="K6" s="25">
        <v>8055</v>
      </c>
      <c r="L6" s="25">
        <v>8055</v>
      </c>
      <c r="M6" s="25">
        <v>8055</v>
      </c>
      <c r="N6" s="25">
        <v>8055</v>
      </c>
      <c r="O6" s="25">
        <v>8055</v>
      </c>
      <c r="P6" s="25">
        <v>7600</v>
      </c>
      <c r="Q6" s="25">
        <f t="shared" si="0"/>
        <v>9193</v>
      </c>
    </row>
    <row r="7" spans="2:17">
      <c r="B7" s="1" t="s">
        <v>367</v>
      </c>
      <c r="C7" s="1" t="s">
        <v>360</v>
      </c>
      <c r="D7" s="82" t="s">
        <v>368</v>
      </c>
      <c r="E7" s="83">
        <v>2</v>
      </c>
      <c r="F7" s="10" t="s">
        <v>359</v>
      </c>
      <c r="G7" s="25">
        <v>5620</v>
      </c>
      <c r="H7" s="25">
        <v>5525</v>
      </c>
      <c r="I7" s="25">
        <v>5499</v>
      </c>
      <c r="J7" s="25">
        <v>6572</v>
      </c>
      <c r="K7" s="25">
        <v>6463</v>
      </c>
      <c r="L7" s="25">
        <v>6335</v>
      </c>
      <c r="M7" s="25">
        <v>6209</v>
      </c>
      <c r="N7" s="25">
        <v>6031</v>
      </c>
      <c r="O7" s="25">
        <v>5926</v>
      </c>
      <c r="P7" s="169">
        <v>5317</v>
      </c>
      <c r="Q7" s="25">
        <f t="shared" si="0"/>
        <v>5949.7</v>
      </c>
    </row>
    <row r="8" spans="2:17">
      <c r="B8" s="1" t="s">
        <v>369</v>
      </c>
      <c r="C8" s="1" t="s">
        <v>360</v>
      </c>
      <c r="D8" s="82" t="s">
        <v>370</v>
      </c>
      <c r="E8" s="83">
        <v>2</v>
      </c>
      <c r="F8" s="10" t="s">
        <v>207</v>
      </c>
      <c r="G8" s="36">
        <v>100</v>
      </c>
      <c r="H8" s="36">
        <v>100</v>
      </c>
      <c r="I8" s="36">
        <v>100</v>
      </c>
      <c r="J8" s="36">
        <v>100</v>
      </c>
      <c r="K8" s="36">
        <v>100</v>
      </c>
      <c r="L8" s="36">
        <v>100</v>
      </c>
      <c r="M8" s="36">
        <v>100</v>
      </c>
      <c r="N8" s="36">
        <v>100</v>
      </c>
      <c r="O8" s="36">
        <v>100</v>
      </c>
      <c r="P8" s="36">
        <v>84.9</v>
      </c>
      <c r="Q8" s="36">
        <f t="shared" si="0"/>
        <v>98.49</v>
      </c>
    </row>
    <row r="9" spans="2:17">
      <c r="B9" s="1" t="s">
        <v>371</v>
      </c>
      <c r="C9" s="1" t="s">
        <v>360</v>
      </c>
      <c r="D9" s="82" t="s">
        <v>372</v>
      </c>
      <c r="E9" s="83">
        <v>2</v>
      </c>
      <c r="F9" s="10" t="s">
        <v>377</v>
      </c>
      <c r="G9" s="25">
        <v>3179</v>
      </c>
      <c r="H9" s="25">
        <v>3153</v>
      </c>
      <c r="I9" s="25">
        <v>3137</v>
      </c>
      <c r="J9" s="25"/>
      <c r="K9" s="25">
        <v>3125</v>
      </c>
      <c r="L9" s="25">
        <v>3105</v>
      </c>
      <c r="M9" s="25">
        <v>3074</v>
      </c>
      <c r="N9" s="25">
        <v>2975</v>
      </c>
      <c r="O9" s="25">
        <v>3014</v>
      </c>
      <c r="P9" s="25">
        <v>3045</v>
      </c>
      <c r="Q9" s="25">
        <f t="shared" si="0"/>
        <v>3089.6666666666665</v>
      </c>
    </row>
    <row r="10" spans="2:17">
      <c r="B10" s="1" t="s">
        <v>373</v>
      </c>
      <c r="C10" s="1" t="s">
        <v>360</v>
      </c>
      <c r="D10" s="82" t="s">
        <v>374</v>
      </c>
      <c r="E10" s="83">
        <v>2</v>
      </c>
      <c r="F10" s="10" t="s">
        <v>377</v>
      </c>
      <c r="G10" s="25">
        <v>2578</v>
      </c>
      <c r="H10" s="25">
        <v>2563</v>
      </c>
      <c r="I10" s="25">
        <v>2587</v>
      </c>
      <c r="J10" s="25"/>
      <c r="K10" s="25">
        <v>3125</v>
      </c>
      <c r="L10" s="25">
        <v>3105</v>
      </c>
      <c r="M10" s="25">
        <v>3074</v>
      </c>
      <c r="N10" s="25">
        <v>2975</v>
      </c>
      <c r="O10" s="25">
        <v>3014</v>
      </c>
      <c r="P10" s="169">
        <v>3045</v>
      </c>
      <c r="Q10" s="25">
        <f t="shared" si="0"/>
        <v>2896.2222222222222</v>
      </c>
    </row>
    <row r="11" spans="2:17">
      <c r="B11" s="1" t="s">
        <v>375</v>
      </c>
      <c r="C11" s="1" t="s">
        <v>360</v>
      </c>
      <c r="D11" s="82" t="s">
        <v>376</v>
      </c>
      <c r="E11" s="83">
        <v>2</v>
      </c>
      <c r="F11" s="10" t="s">
        <v>377</v>
      </c>
      <c r="G11" s="25">
        <v>2577</v>
      </c>
      <c r="H11" s="25">
        <v>2562</v>
      </c>
      <c r="I11" s="25">
        <v>2586</v>
      </c>
      <c r="J11" s="25"/>
      <c r="K11" s="25">
        <v>3122</v>
      </c>
      <c r="L11" s="25">
        <v>3103</v>
      </c>
      <c r="M11" s="25">
        <v>3072</v>
      </c>
      <c r="N11" s="25">
        <v>2973</v>
      </c>
      <c r="O11" s="25">
        <v>3012</v>
      </c>
      <c r="P11" s="169">
        <v>3045</v>
      </c>
      <c r="Q11" s="25">
        <f t="shared" si="0"/>
        <v>2894.6666666666665</v>
      </c>
    </row>
    <row r="12" spans="2:17">
      <c r="B12" s="136" t="s">
        <v>417</v>
      </c>
      <c r="C12" s="136" t="s">
        <v>416</v>
      </c>
      <c r="D12" s="137" t="s">
        <v>423</v>
      </c>
      <c r="E12" s="138">
        <v>11</v>
      </c>
      <c r="F12" s="139" t="s">
        <v>418</v>
      </c>
      <c r="G12" s="140">
        <f>G13+G16</f>
        <v>1035</v>
      </c>
      <c r="H12" s="140">
        <f t="shared" ref="H12:P12" si="1">H13+H16</f>
        <v>1014</v>
      </c>
      <c r="I12" s="140">
        <f t="shared" si="1"/>
        <v>0</v>
      </c>
      <c r="J12" s="140">
        <f t="shared" si="1"/>
        <v>1168</v>
      </c>
      <c r="K12" s="140">
        <f t="shared" si="1"/>
        <v>1159</v>
      </c>
      <c r="L12" s="140">
        <f t="shared" si="1"/>
        <v>1112</v>
      </c>
      <c r="M12" s="140">
        <f t="shared" si="1"/>
        <v>1144</v>
      </c>
      <c r="N12" s="140">
        <f>N13+N16</f>
        <v>1207</v>
      </c>
      <c r="O12" s="140">
        <f t="shared" si="1"/>
        <v>1190</v>
      </c>
      <c r="P12" s="140">
        <f t="shared" si="1"/>
        <v>1152</v>
      </c>
      <c r="Q12" s="140">
        <f t="shared" si="0"/>
        <v>1018.1</v>
      </c>
    </row>
    <row r="13" spans="2:17">
      <c r="B13" s="136" t="s">
        <v>419</v>
      </c>
      <c r="C13" s="136" t="s">
        <v>416</v>
      </c>
      <c r="D13" s="137" t="s">
        <v>424</v>
      </c>
      <c r="E13" s="138">
        <v>11</v>
      </c>
      <c r="F13" s="139" t="s">
        <v>418</v>
      </c>
      <c r="G13" s="140">
        <f>G14+G15</f>
        <v>835</v>
      </c>
      <c r="H13" s="140">
        <f t="shared" ref="H13:P13" si="2">H14+H15</f>
        <v>885</v>
      </c>
      <c r="I13" s="140">
        <f t="shared" si="2"/>
        <v>0</v>
      </c>
      <c r="J13" s="140">
        <f t="shared" si="2"/>
        <v>1054</v>
      </c>
      <c r="K13" s="140">
        <f t="shared" si="2"/>
        <v>1089</v>
      </c>
      <c r="L13" s="140">
        <f t="shared" si="2"/>
        <v>1077</v>
      </c>
      <c r="M13" s="140">
        <f>M14+M15</f>
        <v>1116</v>
      </c>
      <c r="N13" s="140">
        <f t="shared" si="2"/>
        <v>1155</v>
      </c>
      <c r="O13" s="140">
        <f t="shared" si="2"/>
        <v>1137</v>
      </c>
      <c r="P13" s="140">
        <f t="shared" si="2"/>
        <v>937</v>
      </c>
      <c r="Q13" s="140">
        <f t="shared" si="0"/>
        <v>928.5</v>
      </c>
    </row>
    <row r="14" spans="2:17">
      <c r="B14" s="1" t="s">
        <v>420</v>
      </c>
      <c r="C14" s="1" t="s">
        <v>416</v>
      </c>
      <c r="D14" s="82" t="s">
        <v>425</v>
      </c>
      <c r="E14" s="83">
        <v>11</v>
      </c>
      <c r="F14" s="10" t="s">
        <v>418</v>
      </c>
      <c r="G14" s="25">
        <v>791</v>
      </c>
      <c r="H14" s="25">
        <v>841</v>
      </c>
      <c r="I14" s="25"/>
      <c r="J14" s="25">
        <v>1004</v>
      </c>
      <c r="K14" s="25">
        <v>1009</v>
      </c>
      <c r="L14" s="25">
        <v>986</v>
      </c>
      <c r="M14" s="25">
        <v>1024</v>
      </c>
      <c r="N14" s="25">
        <v>1053</v>
      </c>
      <c r="O14" s="25">
        <v>1028</v>
      </c>
      <c r="P14" s="25">
        <v>913</v>
      </c>
      <c r="Q14" s="25">
        <f t="shared" si="0"/>
        <v>961</v>
      </c>
    </row>
    <row r="15" spans="2:17">
      <c r="B15" s="1" t="s">
        <v>421</v>
      </c>
      <c r="C15" s="1" t="s">
        <v>416</v>
      </c>
      <c r="D15" s="82" t="s">
        <v>426</v>
      </c>
      <c r="E15" s="83">
        <v>11</v>
      </c>
      <c r="F15" s="10" t="s">
        <v>418</v>
      </c>
      <c r="G15" s="25">
        <v>44</v>
      </c>
      <c r="H15" s="25">
        <v>44</v>
      </c>
      <c r="I15" s="25"/>
      <c r="J15" s="25">
        <v>50</v>
      </c>
      <c r="K15" s="25">
        <v>80</v>
      </c>
      <c r="L15" s="25">
        <v>91</v>
      </c>
      <c r="M15" s="25">
        <v>92</v>
      </c>
      <c r="N15" s="25">
        <v>102</v>
      </c>
      <c r="O15" s="25">
        <v>109</v>
      </c>
      <c r="P15" s="25">
        <v>24</v>
      </c>
      <c r="Q15" s="25">
        <f t="shared" si="0"/>
        <v>70.666666666666671</v>
      </c>
    </row>
    <row r="16" spans="2:17">
      <c r="B16" s="1" t="s">
        <v>422</v>
      </c>
      <c r="C16" s="1" t="s">
        <v>416</v>
      </c>
      <c r="D16" s="82" t="s">
        <v>427</v>
      </c>
      <c r="E16" s="83">
        <v>11</v>
      </c>
      <c r="F16" s="10" t="s">
        <v>418</v>
      </c>
      <c r="G16" s="25">
        <v>200</v>
      </c>
      <c r="H16" s="25">
        <v>129</v>
      </c>
      <c r="I16" s="25"/>
      <c r="J16" s="25">
        <v>114</v>
      </c>
      <c r="K16" s="25">
        <v>70</v>
      </c>
      <c r="L16" s="25">
        <v>35</v>
      </c>
      <c r="M16" s="25">
        <v>28</v>
      </c>
      <c r="N16" s="25">
        <v>52</v>
      </c>
      <c r="O16" s="25">
        <v>53</v>
      </c>
      <c r="P16" s="25">
        <v>215</v>
      </c>
      <c r="Q16" s="25">
        <f t="shared" si="0"/>
        <v>99.555555555555557</v>
      </c>
    </row>
    <row r="17" spans="2:17">
      <c r="B17" s="1" t="s">
        <v>380</v>
      </c>
      <c r="C17" s="1" t="s">
        <v>378</v>
      </c>
      <c r="D17" s="82" t="s">
        <v>379</v>
      </c>
      <c r="E17" s="83">
        <v>12</v>
      </c>
      <c r="F17" s="10" t="s">
        <v>381</v>
      </c>
      <c r="G17" s="25">
        <v>1602</v>
      </c>
      <c r="H17" s="25">
        <v>1432</v>
      </c>
      <c r="I17" s="25">
        <v>1027</v>
      </c>
      <c r="J17" s="25">
        <v>789</v>
      </c>
      <c r="K17" s="25">
        <v>789</v>
      </c>
      <c r="L17" s="25">
        <v>745</v>
      </c>
      <c r="M17" s="25">
        <v>728</v>
      </c>
      <c r="N17" s="25">
        <v>705</v>
      </c>
      <c r="O17" s="25">
        <v>698</v>
      </c>
      <c r="P17" s="25">
        <v>1870</v>
      </c>
      <c r="Q17" s="25">
        <f t="shared" si="0"/>
        <v>1038.5</v>
      </c>
    </row>
    <row r="18" spans="2:17">
      <c r="B18" s="1" t="s">
        <v>389</v>
      </c>
      <c r="C18" s="1" t="s">
        <v>378</v>
      </c>
      <c r="D18" s="82" t="s">
        <v>382</v>
      </c>
      <c r="E18" s="83">
        <v>12</v>
      </c>
      <c r="F18" s="10" t="s">
        <v>381</v>
      </c>
      <c r="G18" s="25">
        <v>1124</v>
      </c>
      <c r="H18" s="25">
        <v>1379</v>
      </c>
      <c r="I18" s="25">
        <v>1889</v>
      </c>
      <c r="J18" s="25">
        <v>2062</v>
      </c>
      <c r="K18" s="25">
        <v>2062</v>
      </c>
      <c r="L18" s="25">
        <v>2132</v>
      </c>
      <c r="M18" s="25">
        <v>2133</v>
      </c>
      <c r="N18" s="25">
        <v>2141</v>
      </c>
      <c r="O18" s="25">
        <v>2142</v>
      </c>
      <c r="P18" s="25">
        <v>175</v>
      </c>
      <c r="Q18" s="25">
        <f t="shared" si="0"/>
        <v>1723.9</v>
      </c>
    </row>
    <row r="19" spans="2:17">
      <c r="B19" s="1" t="s">
        <v>390</v>
      </c>
      <c r="C19" s="1" t="s">
        <v>378</v>
      </c>
      <c r="D19" s="82" t="s">
        <v>383</v>
      </c>
      <c r="E19" s="83">
        <v>12</v>
      </c>
      <c r="F19" s="10" t="s">
        <v>381</v>
      </c>
      <c r="G19" s="25">
        <v>56</v>
      </c>
      <c r="H19" s="25">
        <v>71</v>
      </c>
      <c r="I19" s="25">
        <v>71</v>
      </c>
      <c r="J19" s="25">
        <v>73</v>
      </c>
      <c r="K19" s="25">
        <v>73</v>
      </c>
      <c r="L19" s="25">
        <v>70</v>
      </c>
      <c r="M19" s="25">
        <v>69</v>
      </c>
      <c r="N19" s="25">
        <v>69</v>
      </c>
      <c r="O19" s="25">
        <v>69</v>
      </c>
      <c r="P19" s="25">
        <v>30</v>
      </c>
      <c r="Q19" s="25">
        <f t="shared" si="0"/>
        <v>65.099999999999994</v>
      </c>
    </row>
    <row r="20" spans="2:17">
      <c r="B20" s="1" t="s">
        <v>391</v>
      </c>
      <c r="C20" s="1" t="s">
        <v>378</v>
      </c>
      <c r="D20" s="82" t="s">
        <v>384</v>
      </c>
      <c r="E20" s="83">
        <v>12</v>
      </c>
      <c r="F20" s="10" t="s">
        <v>381</v>
      </c>
      <c r="G20" s="25">
        <v>0</v>
      </c>
      <c r="H20" s="25">
        <v>0</v>
      </c>
      <c r="I20" s="25">
        <v>0</v>
      </c>
      <c r="J20" s="25">
        <v>0</v>
      </c>
      <c r="K20" s="25">
        <v>0</v>
      </c>
      <c r="L20" s="25">
        <v>0</v>
      </c>
      <c r="M20" s="25">
        <v>0</v>
      </c>
      <c r="N20" s="25">
        <v>0</v>
      </c>
      <c r="O20" s="25">
        <v>0</v>
      </c>
      <c r="P20" s="25">
        <v>12</v>
      </c>
      <c r="Q20" s="25">
        <f t="shared" si="0"/>
        <v>1.2</v>
      </c>
    </row>
    <row r="21" spans="2:17">
      <c r="B21" s="1" t="s">
        <v>392</v>
      </c>
      <c r="C21" s="1" t="s">
        <v>378</v>
      </c>
      <c r="D21" s="82" t="s">
        <v>385</v>
      </c>
      <c r="E21" s="83">
        <v>12</v>
      </c>
      <c r="F21" s="10" t="s">
        <v>381</v>
      </c>
      <c r="G21" s="25">
        <v>45</v>
      </c>
      <c r="H21" s="25">
        <v>55</v>
      </c>
      <c r="I21" s="25">
        <v>61</v>
      </c>
      <c r="J21" s="25">
        <v>57</v>
      </c>
      <c r="K21" s="25">
        <v>57</v>
      </c>
      <c r="L21" s="25">
        <v>64</v>
      </c>
      <c r="M21" s="25">
        <v>72</v>
      </c>
      <c r="N21" s="25">
        <v>72</v>
      </c>
      <c r="O21" s="25">
        <v>72</v>
      </c>
      <c r="P21" s="25">
        <v>9</v>
      </c>
      <c r="Q21" s="25">
        <f t="shared" si="0"/>
        <v>56.4</v>
      </c>
    </row>
    <row r="22" spans="2:17">
      <c r="B22" s="1" t="s">
        <v>393</v>
      </c>
      <c r="C22" s="1" t="s">
        <v>378</v>
      </c>
      <c r="D22" s="82" t="s">
        <v>386</v>
      </c>
      <c r="E22" s="83">
        <v>12</v>
      </c>
      <c r="F22" s="10" t="s">
        <v>381</v>
      </c>
      <c r="G22" s="25">
        <v>18</v>
      </c>
      <c r="H22" s="25">
        <v>23</v>
      </c>
      <c r="I22" s="25">
        <v>20</v>
      </c>
      <c r="J22" s="25">
        <v>20</v>
      </c>
      <c r="K22" s="25">
        <v>20</v>
      </c>
      <c r="L22" s="25">
        <v>21</v>
      </c>
      <c r="M22" s="25">
        <v>19</v>
      </c>
      <c r="N22" s="25">
        <v>21</v>
      </c>
      <c r="O22" s="25">
        <v>22</v>
      </c>
      <c r="P22" s="25">
        <v>12</v>
      </c>
      <c r="Q22" s="25">
        <f t="shared" si="0"/>
        <v>19.600000000000001</v>
      </c>
    </row>
    <row r="23" spans="2:17">
      <c r="B23" s="1" t="s">
        <v>394</v>
      </c>
      <c r="C23" s="1" t="s">
        <v>378</v>
      </c>
      <c r="D23" s="82" t="s">
        <v>387</v>
      </c>
      <c r="E23" s="83">
        <v>12</v>
      </c>
      <c r="F23" s="10" t="s">
        <v>381</v>
      </c>
      <c r="G23" s="25">
        <v>6</v>
      </c>
      <c r="H23" s="25">
        <v>7</v>
      </c>
      <c r="I23" s="25">
        <v>5</v>
      </c>
      <c r="J23" s="25">
        <v>6</v>
      </c>
      <c r="K23" s="25">
        <v>6</v>
      </c>
      <c r="L23" s="25">
        <v>6</v>
      </c>
      <c r="M23" s="25">
        <v>8</v>
      </c>
      <c r="N23" s="25">
        <v>8</v>
      </c>
      <c r="O23" s="25">
        <v>8</v>
      </c>
      <c r="P23" s="25">
        <v>6</v>
      </c>
      <c r="Q23" s="25">
        <f t="shared" si="0"/>
        <v>6.6</v>
      </c>
    </row>
    <row r="24" spans="2:17">
      <c r="B24" s="1" t="s">
        <v>395</v>
      </c>
      <c r="C24" s="1" t="s">
        <v>378</v>
      </c>
      <c r="D24" s="82" t="s">
        <v>388</v>
      </c>
      <c r="E24" s="83">
        <v>12</v>
      </c>
      <c r="F24" s="10" t="s">
        <v>381</v>
      </c>
      <c r="G24" s="25">
        <v>5</v>
      </c>
      <c r="H24" s="25">
        <v>5</v>
      </c>
      <c r="I24" s="25">
        <v>3</v>
      </c>
      <c r="J24" s="25">
        <v>4</v>
      </c>
      <c r="K24" s="25">
        <v>4</v>
      </c>
      <c r="L24" s="25">
        <v>4</v>
      </c>
      <c r="M24" s="25">
        <v>3</v>
      </c>
      <c r="N24" s="25">
        <v>3</v>
      </c>
      <c r="O24" s="25">
        <v>3</v>
      </c>
      <c r="P24" s="25">
        <v>1</v>
      </c>
      <c r="Q24" s="25">
        <f t="shared" si="0"/>
        <v>3.5</v>
      </c>
    </row>
    <row r="25" spans="2:17">
      <c r="B25" s="136" t="s">
        <v>397</v>
      </c>
      <c r="C25" s="136" t="s">
        <v>378</v>
      </c>
      <c r="D25" s="137" t="s">
        <v>396</v>
      </c>
      <c r="E25" s="138">
        <v>12</v>
      </c>
      <c r="F25" s="139" t="s">
        <v>381</v>
      </c>
      <c r="G25" s="140">
        <f>SUM(G17:G24)</f>
        <v>2856</v>
      </c>
      <c r="H25" s="140">
        <f t="shared" ref="H25:P25" si="3">SUM(H17:H24)</f>
        <v>2972</v>
      </c>
      <c r="I25" s="140">
        <f t="shared" si="3"/>
        <v>3076</v>
      </c>
      <c r="J25" s="140">
        <f>SUM(J17:J24)</f>
        <v>3011</v>
      </c>
      <c r="K25" s="140">
        <f t="shared" si="3"/>
        <v>3011</v>
      </c>
      <c r="L25" s="140">
        <f>SUM(L17:L24)</f>
        <v>3042</v>
      </c>
      <c r="M25" s="140">
        <f t="shared" si="3"/>
        <v>3032</v>
      </c>
      <c r="N25" s="140">
        <f t="shared" si="3"/>
        <v>3019</v>
      </c>
      <c r="O25" s="140">
        <f>SUM(O17:O24)</f>
        <v>3014</v>
      </c>
      <c r="P25" s="140">
        <f t="shared" si="3"/>
        <v>2115</v>
      </c>
      <c r="Q25" s="140">
        <f t="shared" si="0"/>
        <v>2914.8</v>
      </c>
    </row>
    <row r="26" spans="2:17">
      <c r="B26" s="1" t="s">
        <v>398</v>
      </c>
      <c r="C26" s="1" t="s">
        <v>378</v>
      </c>
      <c r="D26" s="82" t="s">
        <v>407</v>
      </c>
      <c r="E26" s="83">
        <v>12</v>
      </c>
      <c r="F26" s="10" t="s">
        <v>418</v>
      </c>
      <c r="G26" s="25">
        <v>502</v>
      </c>
      <c r="H26" s="25">
        <v>463</v>
      </c>
      <c r="I26" s="25">
        <v>391</v>
      </c>
      <c r="J26" s="25">
        <v>295</v>
      </c>
      <c r="K26" s="25">
        <v>125</v>
      </c>
      <c r="L26" s="25">
        <v>116</v>
      </c>
      <c r="M26" s="25">
        <v>114</v>
      </c>
      <c r="N26" s="25">
        <v>108</v>
      </c>
      <c r="O26" s="25">
        <v>103</v>
      </c>
      <c r="P26" s="25">
        <v>419</v>
      </c>
      <c r="Q26" s="25">
        <f t="shared" si="0"/>
        <v>263.60000000000002</v>
      </c>
    </row>
    <row r="27" spans="2:17">
      <c r="B27" s="1" t="s">
        <v>399</v>
      </c>
      <c r="C27" s="1" t="s">
        <v>378</v>
      </c>
      <c r="D27" s="82" t="s">
        <v>408</v>
      </c>
      <c r="E27" s="83">
        <v>12</v>
      </c>
      <c r="F27" s="10" t="s">
        <v>418</v>
      </c>
      <c r="G27" s="25">
        <v>451</v>
      </c>
      <c r="H27" s="25">
        <v>504</v>
      </c>
      <c r="I27" s="25">
        <v>601</v>
      </c>
      <c r="J27" s="25">
        <v>714</v>
      </c>
      <c r="K27" s="25">
        <v>382</v>
      </c>
      <c r="L27" s="25">
        <v>397</v>
      </c>
      <c r="M27" s="25">
        <v>410</v>
      </c>
      <c r="N27" s="25">
        <v>396</v>
      </c>
      <c r="O27" s="25">
        <v>378</v>
      </c>
      <c r="P27" s="25">
        <v>48</v>
      </c>
      <c r="Q27" s="25">
        <f t="shared" si="0"/>
        <v>428.1</v>
      </c>
    </row>
    <row r="28" spans="2:17">
      <c r="B28" s="1" t="s">
        <v>400</v>
      </c>
      <c r="C28" s="1" t="s">
        <v>378</v>
      </c>
      <c r="D28" s="82" t="s">
        <v>409</v>
      </c>
      <c r="E28" s="83">
        <v>12</v>
      </c>
      <c r="F28" s="10" t="s">
        <v>418</v>
      </c>
      <c r="G28" s="25">
        <v>125</v>
      </c>
      <c r="H28" s="25">
        <v>150</v>
      </c>
      <c r="I28" s="25">
        <v>158</v>
      </c>
      <c r="J28" s="25">
        <v>148</v>
      </c>
      <c r="K28" s="25">
        <v>67</v>
      </c>
      <c r="L28" s="25">
        <v>62</v>
      </c>
      <c r="M28" s="25">
        <v>62</v>
      </c>
      <c r="N28" s="25">
        <v>65</v>
      </c>
      <c r="O28" s="25">
        <v>67</v>
      </c>
      <c r="P28" s="25">
        <v>24</v>
      </c>
      <c r="Q28" s="25">
        <f t="shared" si="0"/>
        <v>92.8</v>
      </c>
    </row>
    <row r="29" spans="2:17">
      <c r="B29" s="1" t="s">
        <v>401</v>
      </c>
      <c r="C29" s="1" t="s">
        <v>378</v>
      </c>
      <c r="D29" s="82" t="s">
        <v>410</v>
      </c>
      <c r="E29" s="83">
        <v>12</v>
      </c>
      <c r="F29" s="10" t="s">
        <v>418</v>
      </c>
      <c r="G29" s="25">
        <v>0</v>
      </c>
      <c r="H29" s="25">
        <v>0</v>
      </c>
      <c r="I29" s="25">
        <v>0</v>
      </c>
      <c r="J29" s="25">
        <v>0</v>
      </c>
      <c r="K29" s="25">
        <v>0</v>
      </c>
      <c r="L29" s="25">
        <v>0</v>
      </c>
      <c r="M29" s="25">
        <v>0</v>
      </c>
      <c r="N29" s="25">
        <v>0</v>
      </c>
      <c r="O29" s="25">
        <v>0</v>
      </c>
      <c r="P29" s="25">
        <v>50</v>
      </c>
      <c r="Q29" s="25">
        <f t="shared" si="0"/>
        <v>5</v>
      </c>
    </row>
    <row r="30" spans="2:17">
      <c r="B30" s="1" t="s">
        <v>402</v>
      </c>
      <c r="C30" s="1" t="s">
        <v>378</v>
      </c>
      <c r="D30" s="82" t="s">
        <v>411</v>
      </c>
      <c r="E30" s="83">
        <v>12</v>
      </c>
      <c r="F30" s="10" t="s">
        <v>418</v>
      </c>
      <c r="G30" s="25">
        <v>307</v>
      </c>
      <c r="H30" s="25">
        <v>319</v>
      </c>
      <c r="I30" s="25">
        <v>336</v>
      </c>
      <c r="J30" s="25">
        <v>342</v>
      </c>
      <c r="K30" s="25">
        <v>171</v>
      </c>
      <c r="L30" s="25">
        <v>158</v>
      </c>
      <c r="M30" s="25">
        <v>165</v>
      </c>
      <c r="N30" s="25">
        <v>172</v>
      </c>
      <c r="O30" s="25">
        <v>178</v>
      </c>
      <c r="P30" s="25">
        <v>58</v>
      </c>
      <c r="Q30" s="25">
        <f t="shared" si="0"/>
        <v>220.6</v>
      </c>
    </row>
    <row r="31" spans="2:17">
      <c r="B31" s="1" t="s">
        <v>403</v>
      </c>
      <c r="C31" s="1" t="s">
        <v>378</v>
      </c>
      <c r="D31" s="82" t="s">
        <v>412</v>
      </c>
      <c r="E31" s="83">
        <v>12</v>
      </c>
      <c r="F31" s="10" t="s">
        <v>418</v>
      </c>
      <c r="G31" s="25">
        <v>263</v>
      </c>
      <c r="H31" s="25">
        <v>282</v>
      </c>
      <c r="I31" s="25">
        <v>282</v>
      </c>
      <c r="J31" s="25">
        <v>278</v>
      </c>
      <c r="K31" s="25">
        <v>141</v>
      </c>
      <c r="L31" s="25">
        <v>142</v>
      </c>
      <c r="M31" s="25">
        <v>145</v>
      </c>
      <c r="N31" s="25">
        <v>149</v>
      </c>
      <c r="O31" s="25">
        <v>146</v>
      </c>
      <c r="P31" s="25">
        <v>85</v>
      </c>
      <c r="Q31" s="25">
        <f t="shared" si="0"/>
        <v>191.3</v>
      </c>
    </row>
    <row r="32" spans="2:17">
      <c r="B32" s="1" t="s">
        <v>404</v>
      </c>
      <c r="C32" s="1" t="s">
        <v>378</v>
      </c>
      <c r="D32" s="82" t="s">
        <v>413</v>
      </c>
      <c r="E32" s="83">
        <v>12</v>
      </c>
      <c r="F32" s="10" t="s">
        <v>418</v>
      </c>
      <c r="G32" s="25">
        <v>138</v>
      </c>
      <c r="H32" s="25">
        <v>166</v>
      </c>
      <c r="I32" s="25">
        <v>182</v>
      </c>
      <c r="J32" s="25">
        <v>197</v>
      </c>
      <c r="K32" s="25">
        <v>102</v>
      </c>
      <c r="L32" s="25">
        <v>97</v>
      </c>
      <c r="M32" s="25">
        <v>122</v>
      </c>
      <c r="N32" s="25">
        <v>153</v>
      </c>
      <c r="O32" s="25">
        <v>148</v>
      </c>
      <c r="P32" s="25">
        <v>222</v>
      </c>
      <c r="Q32" s="25">
        <f t="shared" si="0"/>
        <v>152.69999999999999</v>
      </c>
    </row>
    <row r="33" spans="2:17">
      <c r="B33" s="1" t="s">
        <v>405</v>
      </c>
      <c r="C33" s="1" t="s">
        <v>378</v>
      </c>
      <c r="D33" s="82" t="s">
        <v>414</v>
      </c>
      <c r="E33" s="83">
        <v>12</v>
      </c>
      <c r="F33" s="10" t="s">
        <v>418</v>
      </c>
      <c r="G33" s="25">
        <v>41</v>
      </c>
      <c r="H33" s="25">
        <v>38</v>
      </c>
      <c r="I33" s="25">
        <v>36</v>
      </c>
      <c r="J33" s="25">
        <v>33</v>
      </c>
      <c r="K33" s="25">
        <v>22</v>
      </c>
      <c r="L33" s="25">
        <v>17</v>
      </c>
      <c r="M33" s="25">
        <v>15</v>
      </c>
      <c r="N33" s="25">
        <v>12</v>
      </c>
      <c r="O33" s="25">
        <v>10</v>
      </c>
      <c r="P33" s="25">
        <v>7</v>
      </c>
      <c r="Q33" s="25">
        <f t="shared" si="0"/>
        <v>23.1</v>
      </c>
    </row>
    <row r="34" spans="2:17" s="96" customFormat="1">
      <c r="B34" s="91" t="s">
        <v>406</v>
      </c>
      <c r="C34" s="91" t="s">
        <v>378</v>
      </c>
      <c r="D34" s="92" t="s">
        <v>415</v>
      </c>
      <c r="E34" s="93">
        <v>12</v>
      </c>
      <c r="F34" s="94" t="s">
        <v>418</v>
      </c>
      <c r="G34" s="95">
        <f>SUM(G26:G33)</f>
        <v>1827</v>
      </c>
      <c r="H34" s="95">
        <f t="shared" ref="H34" si="4">SUM(H26:H33)</f>
        <v>1922</v>
      </c>
      <c r="I34" s="95">
        <f t="shared" ref="I34" si="5">SUM(I26:I33)</f>
        <v>1986</v>
      </c>
      <c r="J34" s="95">
        <f t="shared" ref="J34" si="6">SUM(J26:J33)</f>
        <v>2007</v>
      </c>
      <c r="K34" s="95">
        <f t="shared" ref="K34" si="7">SUM(K26:K33)</f>
        <v>1010</v>
      </c>
      <c r="L34" s="95">
        <f t="shared" ref="L34:M34" si="8">SUM(L26:L33)</f>
        <v>989</v>
      </c>
      <c r="M34" s="95">
        <f t="shared" si="8"/>
        <v>1033</v>
      </c>
      <c r="N34" s="95">
        <f t="shared" ref="N34" si="9">SUM(N26:N33)</f>
        <v>1055</v>
      </c>
      <c r="O34" s="95">
        <f t="shared" ref="O34" si="10">SUM(O26:O33)</f>
        <v>1030</v>
      </c>
      <c r="P34" s="95">
        <f t="shared" ref="P34" si="11">SUM(P26:P33)</f>
        <v>913</v>
      </c>
      <c r="Q34" s="95">
        <f t="shared" si="0"/>
        <v>1377.2</v>
      </c>
    </row>
    <row r="36" spans="2:17">
      <c r="B36" t="s">
        <v>526</v>
      </c>
    </row>
    <row r="37" spans="2:17" s="89" customFormat="1">
      <c r="B37" s="89" t="s">
        <v>527</v>
      </c>
      <c r="D37" s="90"/>
      <c r="E37" s="90"/>
      <c r="G37" s="98" t="str">
        <f>IF(G25=G38,"OK","NG")</f>
        <v>NG</v>
      </c>
      <c r="H37" s="98" t="str">
        <f t="shared" ref="H37:P37" si="12">IF(H25=H38,"OK","NG")</f>
        <v>NG</v>
      </c>
      <c r="I37" s="98" t="str">
        <f t="shared" si="12"/>
        <v>NG</v>
      </c>
      <c r="J37" s="98" t="str">
        <f t="shared" si="12"/>
        <v>NG</v>
      </c>
      <c r="K37" s="98" t="str">
        <f t="shared" si="12"/>
        <v>NG</v>
      </c>
      <c r="L37" s="98" t="str">
        <f t="shared" si="12"/>
        <v>NG</v>
      </c>
      <c r="M37" s="98" t="str">
        <f t="shared" si="12"/>
        <v>NG</v>
      </c>
      <c r="N37" s="98" t="str">
        <f t="shared" si="12"/>
        <v>NG</v>
      </c>
      <c r="O37" s="98" t="str">
        <f t="shared" si="12"/>
        <v>NG</v>
      </c>
      <c r="P37" s="98" t="str">
        <f t="shared" si="12"/>
        <v>OK</v>
      </c>
      <c r="Q37" s="98"/>
    </row>
    <row r="38" spans="2:17" s="89" customFormat="1">
      <c r="D38" s="90"/>
      <c r="E38" s="90"/>
      <c r="G38" s="98">
        <v>1961</v>
      </c>
      <c r="H38" s="98">
        <v>1978</v>
      </c>
      <c r="I38" s="98">
        <v>1997</v>
      </c>
      <c r="J38" s="98">
        <v>2000</v>
      </c>
      <c r="K38" s="98">
        <v>2016</v>
      </c>
      <c r="L38" s="98">
        <v>2050</v>
      </c>
      <c r="M38" s="98">
        <v>2063</v>
      </c>
      <c r="N38" s="98">
        <v>2080</v>
      </c>
      <c r="O38" s="98">
        <v>2086</v>
      </c>
      <c r="P38" s="98">
        <v>2115</v>
      </c>
      <c r="Q38" s="98"/>
    </row>
    <row r="39" spans="2:17" s="96" customFormat="1">
      <c r="B39" s="96" t="s">
        <v>528</v>
      </c>
      <c r="D39" s="97"/>
      <c r="E39" s="97"/>
      <c r="G39" s="99" t="str">
        <f>IF(G34=G40,"OK","NG")</f>
        <v>NG</v>
      </c>
      <c r="H39" s="99" t="str">
        <f t="shared" ref="H39:P39" si="13">IF(H34=H40,"OK","NG")</f>
        <v>NG</v>
      </c>
      <c r="I39" s="99" t="str">
        <f t="shared" si="13"/>
        <v>NG</v>
      </c>
      <c r="J39" s="99" t="str">
        <f t="shared" si="13"/>
        <v>NG</v>
      </c>
      <c r="K39" s="99" t="str">
        <f t="shared" si="13"/>
        <v>NG</v>
      </c>
      <c r="L39" s="99" t="str">
        <f t="shared" si="13"/>
        <v>NG</v>
      </c>
      <c r="M39" s="99" t="str">
        <f t="shared" si="13"/>
        <v>NG</v>
      </c>
      <c r="N39" s="99" t="str">
        <f t="shared" si="13"/>
        <v>NG</v>
      </c>
      <c r="O39" s="99" t="str">
        <f t="shared" si="13"/>
        <v>NG</v>
      </c>
      <c r="P39" s="99" t="str">
        <f t="shared" si="13"/>
        <v>OK</v>
      </c>
      <c r="Q39" s="99"/>
    </row>
    <row r="40" spans="2:17" s="96" customFormat="1">
      <c r="D40" s="97"/>
      <c r="E40" s="97"/>
      <c r="G40" s="99">
        <v>883</v>
      </c>
      <c r="H40" s="96">
        <v>928</v>
      </c>
      <c r="I40" s="96">
        <v>843</v>
      </c>
      <c r="J40" s="96">
        <v>922</v>
      </c>
      <c r="K40" s="96">
        <v>909</v>
      </c>
      <c r="L40" s="96">
        <v>864</v>
      </c>
      <c r="M40" s="96">
        <v>862</v>
      </c>
      <c r="N40" s="96">
        <v>859</v>
      </c>
      <c r="O40" s="96">
        <v>894</v>
      </c>
      <c r="P40" s="96">
        <v>913</v>
      </c>
    </row>
  </sheetData>
  <customSheetViews>
    <customSheetView guid="{B05628F6-030D-4851-8E75-96DF5849F39A}" showPageBreaks="1" showGridLines="0" fitToPage="1" printArea="1" view="pageBreakPreview">
      <pane xSplit="6" ySplit="3" topLeftCell="G4" activePane="bottomRight" state="frozen"/>
      <selection pane="bottomRight" activeCell="G3" sqref="G3"/>
      <pageMargins left="0.70866141732283472" right="0.70866141732283472" top="0.74803149606299213" bottom="0.74803149606299213" header="0.31496062992125984" footer="0.31496062992125984"/>
      <pageSetup paperSize="9" scale="64" orientation="landscape" r:id="rId1"/>
      <headerFooter>
        <oddHeader>&amp;A</oddHeader>
        <oddFooter>&amp;P / &amp;N ページ</oddFooter>
      </headerFooter>
    </customSheetView>
    <customSheetView guid="{1F923BC6-4AD1-4F20-A481-D76BE7901A2A}" showPageBreaks="1" showGridLines="0" fitToPage="1" printArea="1" view="pageBreakPreview">
      <pane xSplit="6" ySplit="3" topLeftCell="G10" activePane="bottomRight" state="frozen"/>
      <selection pane="bottomRight" activeCell="D25" sqref="D25"/>
      <pageMargins left="0.70866141732283472" right="0.70866141732283472" top="0.74803149606299213" bottom="0.74803149606299213" header="0.31496062992125984" footer="0.31496062992125984"/>
      <pageSetup paperSize="9" scale="64" orientation="landscape" r:id="rId2"/>
      <headerFooter>
        <oddHeader>&amp;A</oddHeader>
        <oddFooter>&amp;P / &amp;N ページ</oddFooter>
      </headerFooter>
    </customSheetView>
  </customSheetViews>
  <phoneticPr fontId="4"/>
  <pageMargins left="0.70866141732283472" right="0.70866141732283472" top="0.74803149606299213" bottom="0.74803149606299213" header="0.31496062992125984" footer="0.31496062992125984"/>
  <pageSetup paperSize="9" scale="64" orientation="landscape" r:id="rId3"/>
  <headerFooter>
    <oddHeader>&amp;A</oddHeader>
    <oddFooter>&amp;P / &amp;N ページ</oddFoot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0785-2EFE-4694-A832-6EB6FB0BD75B}">
  <sheetPr>
    <tabColor theme="5" tint="-0.249977111117893"/>
  </sheetPr>
  <dimension ref="A2:BQ125"/>
  <sheetViews>
    <sheetView showGridLines="0" view="pageBreakPreview" zoomScale="70" zoomScaleNormal="85" zoomScaleSheetLayoutView="70" workbookViewId="0">
      <pane xSplit="5" ySplit="4" topLeftCell="Q88" activePane="bottomRight" state="frozen"/>
      <selection activeCell="I5" sqref="I5"/>
      <selection pane="topRight" activeCell="I5" sqref="I5"/>
      <selection pane="bottomLeft" activeCell="I5" sqref="I5"/>
      <selection pane="bottomRight" activeCell="AE14" sqref="AE14"/>
    </sheetView>
  </sheetViews>
  <sheetFormatPr defaultRowHeight="14.4" outlineLevelCol="1"/>
  <cols>
    <col min="1" max="1" width="2.90625" customWidth="1"/>
    <col min="2" max="4" width="3.90625" customWidth="1"/>
    <col min="5" max="5" width="23.453125" bestFit="1" customWidth="1"/>
    <col min="6" max="6" width="7.36328125" hidden="1" customWidth="1" outlineLevel="1"/>
    <col min="7" max="9" width="8.08984375" hidden="1" customWidth="1" outlineLevel="1"/>
    <col min="10" max="10" width="4.36328125" hidden="1" customWidth="1" outlineLevel="1"/>
    <col min="11" max="11" width="40" bestFit="1" customWidth="1" collapsed="1"/>
    <col min="12" max="12" width="4.36328125" customWidth="1" outlineLevel="1"/>
    <col min="13" max="13" width="8.7265625" customWidth="1" outlineLevel="1"/>
    <col min="14" max="14" width="10" style="24" bestFit="1" customWidth="1"/>
    <col min="15" max="18" width="10" style="24" customWidth="1" outlineLevel="1"/>
    <col min="19" max="19" width="10" style="24" customWidth="1"/>
    <col min="20" max="20" width="8.90625" style="24" customWidth="1"/>
    <col min="21" max="28" width="8.90625" style="24" customWidth="1" outlineLevel="1"/>
    <col min="29" max="29" width="8.90625" style="24" bestFit="1" customWidth="1"/>
    <col min="30" max="38" width="8.90625" style="24" customWidth="1" outlineLevel="1"/>
    <col min="39" max="39" width="8.90625" style="24" bestFit="1" customWidth="1"/>
    <col min="40" max="48" width="8.90625" style="24" customWidth="1" outlineLevel="1"/>
    <col min="49" max="49" width="8.90625" style="24" customWidth="1"/>
    <col min="50" max="58" width="8.90625" style="24" customWidth="1" outlineLevel="1"/>
    <col min="59" max="59" width="8.90625" style="24" bestFit="1" customWidth="1"/>
    <col min="60" max="68" width="8.90625" style="24" customWidth="1" outlineLevel="1"/>
    <col min="69" max="69" width="8.90625" style="24" bestFit="1" customWidth="1"/>
  </cols>
  <sheetData>
    <row r="2" spans="2:69">
      <c r="B2" t="s">
        <v>0</v>
      </c>
      <c r="N2" s="24" t="s">
        <v>182</v>
      </c>
      <c r="T2" s="29">
        <v>1</v>
      </c>
      <c r="U2" s="29">
        <v>2</v>
      </c>
      <c r="V2" s="29">
        <v>3</v>
      </c>
      <c r="W2" s="29">
        <v>4</v>
      </c>
      <c r="X2" s="29">
        <v>5</v>
      </c>
      <c r="Y2" s="29">
        <v>6</v>
      </c>
      <c r="Z2" s="29">
        <v>7</v>
      </c>
      <c r="AA2" s="29">
        <v>8</v>
      </c>
      <c r="AB2" s="29">
        <v>9</v>
      </c>
      <c r="AC2" s="29">
        <v>10</v>
      </c>
      <c r="AD2" s="29">
        <v>11</v>
      </c>
      <c r="AE2" s="29">
        <v>12</v>
      </c>
      <c r="AF2" s="29">
        <v>13</v>
      </c>
      <c r="AG2" s="29">
        <v>14</v>
      </c>
      <c r="AH2" s="29">
        <v>15</v>
      </c>
      <c r="AI2" s="29">
        <v>16</v>
      </c>
      <c r="AJ2" s="29">
        <v>17</v>
      </c>
      <c r="AK2" s="29">
        <v>18</v>
      </c>
      <c r="AL2" s="29">
        <v>19</v>
      </c>
      <c r="AM2" s="29">
        <v>20</v>
      </c>
      <c r="AN2" s="29">
        <v>21</v>
      </c>
      <c r="AO2" s="29">
        <v>22</v>
      </c>
      <c r="AP2" s="29">
        <v>23</v>
      </c>
      <c r="AQ2" s="29">
        <v>24</v>
      </c>
      <c r="AR2" s="29">
        <v>25</v>
      </c>
      <c r="AS2" s="29">
        <v>26</v>
      </c>
      <c r="AT2" s="29">
        <v>27</v>
      </c>
      <c r="AU2" s="29">
        <v>28</v>
      </c>
      <c r="AV2" s="29">
        <v>29</v>
      </c>
      <c r="AW2" s="29">
        <v>30</v>
      </c>
      <c r="AX2" s="29">
        <v>31</v>
      </c>
      <c r="AY2" s="29">
        <v>32</v>
      </c>
      <c r="AZ2" s="29">
        <v>33</v>
      </c>
      <c r="BA2" s="29">
        <v>34</v>
      </c>
      <c r="BB2" s="29">
        <v>35</v>
      </c>
      <c r="BC2" s="29">
        <v>36</v>
      </c>
      <c r="BD2" s="29">
        <v>37</v>
      </c>
      <c r="BE2" s="29">
        <v>38</v>
      </c>
      <c r="BF2" s="29">
        <v>39</v>
      </c>
      <c r="BG2" s="29">
        <v>40</v>
      </c>
      <c r="BH2" s="29">
        <v>41</v>
      </c>
      <c r="BI2" s="29">
        <v>42</v>
      </c>
      <c r="BJ2" s="29">
        <v>43</v>
      </c>
      <c r="BK2" s="29">
        <v>44</v>
      </c>
      <c r="BL2" s="29">
        <v>45</v>
      </c>
      <c r="BM2" s="29">
        <v>46</v>
      </c>
      <c r="BN2" s="29">
        <v>47</v>
      </c>
      <c r="BO2" s="29">
        <v>48</v>
      </c>
      <c r="BP2" s="29">
        <v>49</v>
      </c>
      <c r="BQ2" s="29">
        <v>50</v>
      </c>
    </row>
    <row r="3" spans="2:69">
      <c r="B3" s="11" t="s">
        <v>1</v>
      </c>
      <c r="C3" s="11" t="s">
        <v>2</v>
      </c>
      <c r="D3" s="12" t="s">
        <v>3</v>
      </c>
      <c r="E3" s="13"/>
      <c r="F3" s="20" t="s">
        <v>4</v>
      </c>
      <c r="G3" s="14"/>
      <c r="H3" s="14"/>
      <c r="I3" s="15"/>
      <c r="J3" s="311" t="s">
        <v>162</v>
      </c>
      <c r="K3" s="313" t="s">
        <v>8</v>
      </c>
      <c r="L3" s="11" t="s">
        <v>9</v>
      </c>
      <c r="M3" s="11" t="s">
        <v>10</v>
      </c>
      <c r="N3" s="30" t="s">
        <v>11</v>
      </c>
      <c r="O3" s="31"/>
      <c r="P3" s="31"/>
      <c r="Q3" s="31"/>
      <c r="R3" s="32"/>
      <c r="S3" s="35" t="s">
        <v>177</v>
      </c>
      <c r="T3" s="33" t="s">
        <v>17</v>
      </c>
      <c r="U3" s="31"/>
      <c r="V3" s="31"/>
      <c r="W3" s="32"/>
      <c r="X3" s="34" t="s">
        <v>68</v>
      </c>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row>
    <row r="4" spans="2:69">
      <c r="B4" s="17"/>
      <c r="C4" s="17"/>
      <c r="D4" s="18"/>
      <c r="E4" s="19"/>
      <c r="F4" s="17"/>
      <c r="G4" s="16" t="s">
        <v>5</v>
      </c>
      <c r="H4" s="16" t="s">
        <v>6</v>
      </c>
      <c r="I4" s="16" t="s">
        <v>7</v>
      </c>
      <c r="J4" s="312"/>
      <c r="K4" s="314"/>
      <c r="L4" s="17"/>
      <c r="M4" s="17"/>
      <c r="N4" s="35" t="s">
        <v>589</v>
      </c>
      <c r="O4" s="35" t="s">
        <v>19</v>
      </c>
      <c r="P4" s="35" t="s">
        <v>20</v>
      </c>
      <c r="Q4" s="35" t="s">
        <v>588</v>
      </c>
      <c r="R4" s="35" t="s">
        <v>594</v>
      </c>
      <c r="S4" s="35"/>
      <c r="T4" s="35" t="s">
        <v>710</v>
      </c>
      <c r="U4" s="35" t="s">
        <v>711</v>
      </c>
      <c r="V4" s="35" t="s">
        <v>712</v>
      </c>
      <c r="W4" s="35" t="s">
        <v>713</v>
      </c>
      <c r="X4" s="35" t="s">
        <v>27</v>
      </c>
      <c r="Y4" s="35" t="s">
        <v>28</v>
      </c>
      <c r="Z4" s="35" t="s">
        <v>29</v>
      </c>
      <c r="AA4" s="35" t="s">
        <v>30</v>
      </c>
      <c r="AB4" s="35" t="s">
        <v>31</v>
      </c>
      <c r="AC4" s="35" t="s">
        <v>32</v>
      </c>
      <c r="AD4" s="35" t="s">
        <v>33</v>
      </c>
      <c r="AE4" s="35" t="s">
        <v>34</v>
      </c>
      <c r="AF4" s="35" t="s">
        <v>35</v>
      </c>
      <c r="AG4" s="35" t="s">
        <v>36</v>
      </c>
      <c r="AH4" s="35" t="s">
        <v>37</v>
      </c>
      <c r="AI4" s="35" t="s">
        <v>38</v>
      </c>
      <c r="AJ4" s="35" t="s">
        <v>39</v>
      </c>
      <c r="AK4" s="35" t="s">
        <v>40</v>
      </c>
      <c r="AL4" s="35" t="s">
        <v>41</v>
      </c>
      <c r="AM4" s="35" t="s">
        <v>42</v>
      </c>
      <c r="AN4" s="35" t="s">
        <v>43</v>
      </c>
      <c r="AO4" s="35" t="s">
        <v>44</v>
      </c>
      <c r="AP4" s="35" t="s">
        <v>45</v>
      </c>
      <c r="AQ4" s="35" t="s">
        <v>46</v>
      </c>
      <c r="AR4" s="35" t="s">
        <v>47</v>
      </c>
      <c r="AS4" s="35" t="s">
        <v>48</v>
      </c>
      <c r="AT4" s="35" t="s">
        <v>49</v>
      </c>
      <c r="AU4" s="35" t="s">
        <v>50</v>
      </c>
      <c r="AV4" s="35" t="s">
        <v>51</v>
      </c>
      <c r="AW4" s="35" t="s">
        <v>52</v>
      </c>
      <c r="AX4" s="35" t="s">
        <v>53</v>
      </c>
      <c r="AY4" s="35" t="s">
        <v>54</v>
      </c>
      <c r="AZ4" s="35" t="s">
        <v>55</v>
      </c>
      <c r="BA4" s="35" t="s">
        <v>56</v>
      </c>
      <c r="BB4" s="35" t="s">
        <v>57</v>
      </c>
      <c r="BC4" s="35" t="s">
        <v>58</v>
      </c>
      <c r="BD4" s="35" t="s">
        <v>59</v>
      </c>
      <c r="BE4" s="35" t="s">
        <v>60</v>
      </c>
      <c r="BF4" s="35" t="s">
        <v>61</v>
      </c>
      <c r="BG4" s="35" t="s">
        <v>62</v>
      </c>
      <c r="BH4" s="35" t="s">
        <v>63</v>
      </c>
      <c r="BI4" s="35" t="s">
        <v>64</v>
      </c>
      <c r="BJ4" s="35" t="s">
        <v>65</v>
      </c>
      <c r="BK4" s="35" t="s">
        <v>66</v>
      </c>
      <c r="BL4" s="35" t="s">
        <v>67</v>
      </c>
      <c r="BM4" s="35" t="s">
        <v>670</v>
      </c>
      <c r="BN4" s="35" t="s">
        <v>671</v>
      </c>
      <c r="BO4" s="35" t="s">
        <v>672</v>
      </c>
      <c r="BP4" s="35" t="s">
        <v>673</v>
      </c>
      <c r="BQ4" s="35" t="s">
        <v>674</v>
      </c>
    </row>
    <row r="5" spans="2:69">
      <c r="B5" s="5" t="s">
        <v>69</v>
      </c>
      <c r="C5" s="7"/>
      <c r="D5" s="7"/>
      <c r="E5" s="8"/>
      <c r="F5" s="1"/>
      <c r="G5" s="10"/>
      <c r="H5" s="10"/>
      <c r="I5" s="10"/>
      <c r="J5" s="10"/>
      <c r="K5" s="1"/>
      <c r="L5" s="1"/>
      <c r="M5" s="1"/>
      <c r="N5" s="39">
        <f>【PL】決算数値入力!W5</f>
        <v>236084433</v>
      </c>
      <c r="O5" s="39">
        <f>【PL】決算数値入力!X5</f>
        <v>471816622</v>
      </c>
      <c r="P5" s="39">
        <f>【PL】決算数値入力!Y5</f>
        <v>506142175</v>
      </c>
      <c r="Q5" s="39">
        <f>【PL】決算数値入力!Z5</f>
        <v>593505600</v>
      </c>
      <c r="R5" s="39">
        <f>【PL】決算数値入力!AA5</f>
        <v>504865980</v>
      </c>
      <c r="S5" s="39">
        <f>【PL】決算数値入力!AB5</f>
        <v>343746513.80000001</v>
      </c>
      <c r="T5" s="39">
        <f>SUM(T6,T11,T19,T20)</f>
        <v>489727695.89999998</v>
      </c>
      <c r="U5" s="39">
        <f t="shared" ref="U5:BQ5" si="0">SUM(U6,U11,U19,U20)</f>
        <v>496835154.89999998</v>
      </c>
      <c r="V5" s="39">
        <f t="shared" si="0"/>
        <v>554400860.89999998</v>
      </c>
      <c r="W5" s="39">
        <f t="shared" si="0"/>
        <v>587903317.84736848</v>
      </c>
      <c r="X5" s="39">
        <f t="shared" si="0"/>
        <v>581287910.32105267</v>
      </c>
      <c r="Y5" s="39">
        <f t="shared" si="0"/>
        <v>575569059.79473686</v>
      </c>
      <c r="Z5" s="39">
        <f t="shared" si="0"/>
        <v>566995404.26842105</v>
      </c>
      <c r="AA5" s="39">
        <f t="shared" si="0"/>
        <v>563191057.74210525</v>
      </c>
      <c r="AB5" s="39">
        <f t="shared" si="0"/>
        <v>563608874.74210525</v>
      </c>
      <c r="AC5" s="39">
        <f t="shared" si="0"/>
        <v>562501720.74210525</v>
      </c>
      <c r="AD5" s="39">
        <f t="shared" si="0"/>
        <v>558563230.74210525</v>
      </c>
      <c r="AE5" s="39">
        <f t="shared" si="0"/>
        <v>502220644.74210525</v>
      </c>
      <c r="AF5" s="39">
        <f t="shared" si="0"/>
        <v>398803819.74210525</v>
      </c>
      <c r="AG5" s="39">
        <f t="shared" si="0"/>
        <v>392926061.74210525</v>
      </c>
      <c r="AH5" s="39">
        <f t="shared" si="0"/>
        <v>395588538.74210525</v>
      </c>
      <c r="AI5" s="39">
        <f t="shared" si="0"/>
        <v>402078980.74210525</v>
      </c>
      <c r="AJ5" s="39">
        <f t="shared" si="0"/>
        <v>391129705.74210525</v>
      </c>
      <c r="AK5" s="39">
        <f t="shared" si="0"/>
        <v>397413138.74210525</v>
      </c>
      <c r="AL5" s="39">
        <f t="shared" si="0"/>
        <v>403873660.74210525</v>
      </c>
      <c r="AM5" s="39">
        <f t="shared" si="0"/>
        <v>411287003.74210525</v>
      </c>
      <c r="AN5" s="39">
        <f t="shared" si="0"/>
        <v>418269313.74210525</v>
      </c>
      <c r="AO5" s="39">
        <f t="shared" si="0"/>
        <v>422525358.74210525</v>
      </c>
      <c r="AP5" s="39">
        <f t="shared" si="0"/>
        <v>416709887.74210525</v>
      </c>
      <c r="AQ5" s="39">
        <f t="shared" si="0"/>
        <v>412049680.74210525</v>
      </c>
      <c r="AR5" s="39">
        <f t="shared" si="0"/>
        <v>408417556.74210525</v>
      </c>
      <c r="AS5" s="39">
        <f t="shared" si="0"/>
        <v>404265227.74210525</v>
      </c>
      <c r="AT5" s="39">
        <f t="shared" si="0"/>
        <v>397404019.74210525</v>
      </c>
      <c r="AU5" s="39">
        <f t="shared" si="0"/>
        <v>392734577.74210525</v>
      </c>
      <c r="AV5" s="39">
        <f t="shared" si="0"/>
        <v>388515282.74210525</v>
      </c>
      <c r="AW5" s="39">
        <f t="shared" si="0"/>
        <v>384088727.74210525</v>
      </c>
      <c r="AX5" s="39">
        <f t="shared" si="0"/>
        <v>379420817.74210525</v>
      </c>
      <c r="AY5" s="39">
        <f t="shared" si="0"/>
        <v>361631731.74210525</v>
      </c>
      <c r="AZ5" s="39">
        <f t="shared" si="0"/>
        <v>354080212.74210525</v>
      </c>
      <c r="BA5" s="39">
        <f t="shared" si="0"/>
        <v>349022784.74210525</v>
      </c>
      <c r="BB5" s="39">
        <f t="shared" si="0"/>
        <v>340048727.74210525</v>
      </c>
      <c r="BC5" s="39">
        <f t="shared" si="0"/>
        <v>322549609.74210525</v>
      </c>
      <c r="BD5" s="39">
        <f t="shared" si="0"/>
        <v>308886204.74210525</v>
      </c>
      <c r="BE5" s="39">
        <f t="shared" si="0"/>
        <v>271116474.74210525</v>
      </c>
      <c r="BF5" s="39">
        <f t="shared" si="0"/>
        <v>248953743.74210525</v>
      </c>
      <c r="BG5" s="39">
        <f t="shared" si="0"/>
        <v>242220669.74210525</v>
      </c>
      <c r="BH5" s="39">
        <f t="shared" si="0"/>
        <v>237193922.74210525</v>
      </c>
      <c r="BI5" s="39">
        <f t="shared" si="0"/>
        <v>231787719.74210525</v>
      </c>
      <c r="BJ5" s="39">
        <f t="shared" si="0"/>
        <v>226714039.74210525</v>
      </c>
      <c r="BK5" s="39">
        <f t="shared" si="0"/>
        <v>222113687.74210525</v>
      </c>
      <c r="BL5" s="39">
        <f t="shared" si="0"/>
        <v>216728456.74210525</v>
      </c>
      <c r="BM5" s="39">
        <f t="shared" si="0"/>
        <v>204034879.89999998</v>
      </c>
      <c r="BN5" s="39">
        <f t="shared" si="0"/>
        <v>195970379.89999998</v>
      </c>
      <c r="BO5" s="39">
        <f t="shared" si="0"/>
        <v>188180651.89999998</v>
      </c>
      <c r="BP5" s="39">
        <f t="shared" si="0"/>
        <v>178868900.89999998</v>
      </c>
      <c r="BQ5" s="39">
        <f t="shared" si="0"/>
        <v>171330129.89999998</v>
      </c>
    </row>
    <row r="6" spans="2:69">
      <c r="B6" s="4"/>
      <c r="C6" s="5" t="s">
        <v>70</v>
      </c>
      <c r="D6" s="7"/>
      <c r="E6" s="8"/>
      <c r="F6" s="1"/>
      <c r="G6" s="10"/>
      <c r="H6" s="10"/>
      <c r="I6" s="10"/>
      <c r="J6" s="10"/>
      <c r="K6" s="1"/>
      <c r="L6" s="1"/>
      <c r="M6" s="1"/>
      <c r="N6" s="39">
        <f>【PL】決算数値入力!W6</f>
        <v>115230130</v>
      </c>
      <c r="O6" s="39">
        <f>【PL】決算数値入力!X6</f>
        <v>119471832</v>
      </c>
      <c r="P6" s="39">
        <f>【PL】決算数値入力!Y6</f>
        <v>122357520</v>
      </c>
      <c r="Q6" s="39">
        <f>【PL】決算数値入力!Z6</f>
        <v>119852700</v>
      </c>
      <c r="R6" s="39">
        <f>【PL】決算数値入力!AA6</f>
        <v>120750259</v>
      </c>
      <c r="S6" s="39">
        <f>【PL】決算数値入力!AB6</f>
        <v>112378170</v>
      </c>
      <c r="T6" s="39">
        <f>SUM(T7:T10)</f>
        <v>125118797</v>
      </c>
      <c r="U6" s="39">
        <f t="shared" ref="U6:BQ6" si="1">SUM(U7:U10)</f>
        <v>123815212</v>
      </c>
      <c r="V6" s="39">
        <f t="shared" si="1"/>
        <v>121932198</v>
      </c>
      <c r="W6" s="39">
        <f t="shared" si="1"/>
        <v>120296885</v>
      </c>
      <c r="X6" s="39">
        <f t="shared" si="1"/>
        <v>118705087</v>
      </c>
      <c r="Y6" s="39">
        <f t="shared" si="1"/>
        <v>117347425</v>
      </c>
      <c r="Z6" s="39">
        <f t="shared" si="1"/>
        <v>114527804</v>
      </c>
      <c r="AA6" s="39">
        <f t="shared" si="1"/>
        <v>113135742</v>
      </c>
      <c r="AB6" s="39">
        <f t="shared" si="1"/>
        <v>111773159</v>
      </c>
      <c r="AC6" s="39">
        <f t="shared" si="1"/>
        <v>110624857</v>
      </c>
      <c r="AD6" s="39">
        <f t="shared" si="1"/>
        <v>109116391</v>
      </c>
      <c r="AE6" s="39">
        <f t="shared" si="1"/>
        <v>106035046</v>
      </c>
      <c r="AF6" s="39">
        <f t="shared" si="1"/>
        <v>104898644</v>
      </c>
      <c r="AG6" s="39">
        <f t="shared" si="1"/>
        <v>103947503</v>
      </c>
      <c r="AH6" s="39">
        <f t="shared" si="1"/>
        <v>102670939</v>
      </c>
      <c r="AI6" s="39">
        <f t="shared" si="1"/>
        <v>101591945</v>
      </c>
      <c r="AJ6" s="39">
        <f t="shared" si="1"/>
        <v>98226642</v>
      </c>
      <c r="AK6" s="39">
        <f t="shared" si="1"/>
        <v>97457395</v>
      </c>
      <c r="AL6" s="39">
        <f t="shared" si="1"/>
        <v>96398792</v>
      </c>
      <c r="AM6" s="39">
        <f t="shared" si="1"/>
        <v>95503121</v>
      </c>
      <c r="AN6" s="39">
        <f t="shared" si="1"/>
        <v>94622927</v>
      </c>
      <c r="AO6" s="39">
        <f t="shared" si="1"/>
        <v>91298005</v>
      </c>
      <c r="AP6" s="39">
        <f t="shared" si="1"/>
        <v>90410902</v>
      </c>
      <c r="AQ6" s="39">
        <f t="shared" si="1"/>
        <v>89675128</v>
      </c>
      <c r="AR6" s="39">
        <f t="shared" si="1"/>
        <v>88938308</v>
      </c>
      <c r="AS6" s="39">
        <f t="shared" si="1"/>
        <v>88344389</v>
      </c>
      <c r="AT6" s="39">
        <f t="shared" si="1"/>
        <v>84736844</v>
      </c>
      <c r="AU6" s="39">
        <f t="shared" si="1"/>
        <v>84156356</v>
      </c>
      <c r="AV6" s="39">
        <f t="shared" si="1"/>
        <v>83590025</v>
      </c>
      <c r="AW6" s="39">
        <f t="shared" si="1"/>
        <v>83139690</v>
      </c>
      <c r="AX6" s="39">
        <f t="shared" si="1"/>
        <v>82470828</v>
      </c>
      <c r="AY6" s="39">
        <f t="shared" si="1"/>
        <v>81917455</v>
      </c>
      <c r="AZ6" s="39">
        <f t="shared" si="1"/>
        <v>81365281</v>
      </c>
      <c r="BA6" s="39">
        <f t="shared" si="1"/>
        <v>80937132</v>
      </c>
      <c r="BB6" s="39">
        <f t="shared" si="1"/>
        <v>80289730</v>
      </c>
      <c r="BC6" s="39">
        <f t="shared" si="1"/>
        <v>79767037</v>
      </c>
      <c r="BD6" s="39">
        <f t="shared" si="1"/>
        <v>79243419</v>
      </c>
      <c r="BE6" s="39">
        <f t="shared" si="1"/>
        <v>78824103</v>
      </c>
      <c r="BF6" s="39">
        <f t="shared" si="1"/>
        <v>78210340</v>
      </c>
      <c r="BG6" s="39">
        <f t="shared" si="1"/>
        <v>77700879</v>
      </c>
      <c r="BH6" s="39">
        <f t="shared" si="1"/>
        <v>77203980</v>
      </c>
      <c r="BI6" s="39">
        <f t="shared" si="1"/>
        <v>76808259</v>
      </c>
      <c r="BJ6" s="39">
        <f t="shared" si="1"/>
        <v>76212295</v>
      </c>
      <c r="BK6" s="39">
        <f t="shared" si="1"/>
        <v>75731269</v>
      </c>
      <c r="BL6" s="39">
        <f t="shared" si="1"/>
        <v>75250243</v>
      </c>
      <c r="BM6" s="39">
        <f t="shared" si="1"/>
        <v>74850881</v>
      </c>
      <c r="BN6" s="39">
        <f t="shared" si="1"/>
        <v>74290192</v>
      </c>
      <c r="BO6" s="39">
        <f t="shared" si="1"/>
        <v>73823444</v>
      </c>
      <c r="BP6" s="39">
        <f t="shared" si="1"/>
        <v>73357357</v>
      </c>
      <c r="BQ6" s="39">
        <f t="shared" si="1"/>
        <v>72995032</v>
      </c>
    </row>
    <row r="7" spans="2:69">
      <c r="B7" s="4"/>
      <c r="C7" s="4"/>
      <c r="D7" s="9" t="s">
        <v>71</v>
      </c>
      <c r="E7" s="8"/>
      <c r="F7" s="1"/>
      <c r="G7" s="10"/>
      <c r="H7" s="10"/>
      <c r="I7" s="10"/>
      <c r="J7" s="10"/>
      <c r="K7" s="1" t="s">
        <v>167</v>
      </c>
      <c r="L7" s="1"/>
      <c r="M7" s="1"/>
      <c r="N7" s="39">
        <f>【PL】決算数値入力!W7</f>
        <v>114968230</v>
      </c>
      <c r="O7" s="39">
        <f>【PL】決算数値入力!X7</f>
        <v>119265632</v>
      </c>
      <c r="P7" s="39">
        <f>【PL】決算数値入力!Y7</f>
        <v>122177720</v>
      </c>
      <c r="Q7" s="39">
        <f>【PL】決算数値入力!Z7</f>
        <v>119610300</v>
      </c>
      <c r="R7" s="39">
        <f>【PL】決算数値入力!AA7</f>
        <v>120553459</v>
      </c>
      <c r="S7" s="39">
        <f>【PL】決算数値入力!AB7</f>
        <v>111985280</v>
      </c>
      <c r="T7" s="130">
        <f>'【収益－現行】給水収益'!S32</f>
        <v>124725907</v>
      </c>
      <c r="U7" s="130">
        <f>'【収益－現行】給水収益'!T32</f>
        <v>123422322</v>
      </c>
      <c r="V7" s="130">
        <f>'【収益－現行】給水収益'!U32</f>
        <v>121539308</v>
      </c>
      <c r="W7" s="130">
        <f>'【収益－現行】給水収益'!V32</f>
        <v>119903995</v>
      </c>
      <c r="X7" s="130">
        <f>'【収益－現行】給水収益'!W32</f>
        <v>118312197</v>
      </c>
      <c r="Y7" s="130">
        <f>'【収益－現行】給水収益'!X32</f>
        <v>116954535</v>
      </c>
      <c r="Z7" s="130">
        <f>'【収益－現行】給水収益'!Y32</f>
        <v>114134914</v>
      </c>
      <c r="AA7" s="130">
        <f>'【収益－現行】給水収益'!Z32</f>
        <v>112742852</v>
      </c>
      <c r="AB7" s="130">
        <f>'【収益－現行】給水収益'!AA32</f>
        <v>111380269</v>
      </c>
      <c r="AC7" s="130">
        <f>'【収益－現行】給水収益'!AB32</f>
        <v>110231967</v>
      </c>
      <c r="AD7" s="130">
        <f>'【収益－現行】給水収益'!AC32</f>
        <v>108723501</v>
      </c>
      <c r="AE7" s="130">
        <f>'【収益－現行】給水収益'!AD32</f>
        <v>105642156</v>
      </c>
      <c r="AF7" s="130">
        <f>'【収益－現行】給水収益'!AE32</f>
        <v>104505754</v>
      </c>
      <c r="AG7" s="130">
        <f>'【収益－現行】給水収益'!AF32</f>
        <v>103554613</v>
      </c>
      <c r="AH7" s="130">
        <f>'【収益－現行】給水収益'!AG32</f>
        <v>102278049</v>
      </c>
      <c r="AI7" s="130">
        <f>'【収益－現行】給水収益'!AH32</f>
        <v>101199055</v>
      </c>
      <c r="AJ7" s="130">
        <f>'【収益－現行】給水収益'!AI32</f>
        <v>97833752</v>
      </c>
      <c r="AK7" s="130">
        <f>'【収益－現行】給水収益'!AJ32</f>
        <v>97064505</v>
      </c>
      <c r="AL7" s="130">
        <f>'【収益－現行】給水収益'!AK32</f>
        <v>96005902</v>
      </c>
      <c r="AM7" s="130">
        <f>'【収益－現行】給水収益'!AL32</f>
        <v>95110231</v>
      </c>
      <c r="AN7" s="130">
        <f>'【収益－現行】給水収益'!AM32</f>
        <v>94230037</v>
      </c>
      <c r="AO7" s="130">
        <f>'【収益－現行】給水収益'!AN32</f>
        <v>90905115</v>
      </c>
      <c r="AP7" s="130">
        <f>'【収益－現行】給水収益'!AO32</f>
        <v>90018012</v>
      </c>
      <c r="AQ7" s="130">
        <f>'【収益－現行】給水収益'!AP32</f>
        <v>89282238</v>
      </c>
      <c r="AR7" s="130">
        <f>'【収益－現行】給水収益'!AQ32</f>
        <v>88545418</v>
      </c>
      <c r="AS7" s="130">
        <f>'【収益－現行】給水収益'!AR32</f>
        <v>87951499</v>
      </c>
      <c r="AT7" s="130">
        <f>'【収益－現行】給水収益'!AS32</f>
        <v>84343954</v>
      </c>
      <c r="AU7" s="130">
        <f>'【収益－現行】給水収益'!AT32</f>
        <v>83763466</v>
      </c>
      <c r="AV7" s="130">
        <f>'【収益－現行】給水収益'!AU32</f>
        <v>83197135</v>
      </c>
      <c r="AW7" s="130">
        <f>'【収益－現行】給水収益'!AV32</f>
        <v>82746800</v>
      </c>
      <c r="AX7" s="130">
        <f>'【収益－現行】給水収益'!AW32</f>
        <v>82077938</v>
      </c>
      <c r="AY7" s="130">
        <f>'【収益－現行】給水収益'!AX32</f>
        <v>81524565</v>
      </c>
      <c r="AZ7" s="130">
        <f>'【収益－現行】給水収益'!AY32</f>
        <v>80972391</v>
      </c>
      <c r="BA7" s="130">
        <f>'【収益－現行】給水収益'!AZ32</f>
        <v>80544242</v>
      </c>
      <c r="BB7" s="130">
        <f>'【収益－現行】給水収益'!BA32</f>
        <v>79896840</v>
      </c>
      <c r="BC7" s="130">
        <f>'【収益－現行】給水収益'!BB32</f>
        <v>79374147</v>
      </c>
      <c r="BD7" s="130">
        <f>'【収益－現行】給水収益'!BC32</f>
        <v>78850529</v>
      </c>
      <c r="BE7" s="130">
        <f>'【収益－現行】給水収益'!BD32</f>
        <v>78431213</v>
      </c>
      <c r="BF7" s="130">
        <f>'【収益－現行】給水収益'!BE32</f>
        <v>77817450</v>
      </c>
      <c r="BG7" s="130">
        <f>'【収益－現行】給水収益'!BF32</f>
        <v>77307989</v>
      </c>
      <c r="BH7" s="130">
        <f>'【収益－現行】給水収益'!BG32</f>
        <v>76811090</v>
      </c>
      <c r="BI7" s="130">
        <f>'【収益－現行】給水収益'!BH32</f>
        <v>76415369</v>
      </c>
      <c r="BJ7" s="130">
        <f>'【収益－現行】給水収益'!BI32</f>
        <v>75819405</v>
      </c>
      <c r="BK7" s="130">
        <f>'【収益－現行】給水収益'!BJ32</f>
        <v>75338379</v>
      </c>
      <c r="BL7" s="130">
        <f>'【収益－現行】給水収益'!BK32</f>
        <v>74857353</v>
      </c>
      <c r="BM7" s="130">
        <f>'【収益－現行】給水収益'!BL32</f>
        <v>74457991</v>
      </c>
      <c r="BN7" s="130">
        <f>'【収益－現行】給水収益'!BM32</f>
        <v>73897302</v>
      </c>
      <c r="BO7" s="130">
        <f>'【収益－現行】給水収益'!BN32</f>
        <v>73430554</v>
      </c>
      <c r="BP7" s="130">
        <f>'【収益－現行】給水収益'!BO32</f>
        <v>72964467</v>
      </c>
      <c r="BQ7" s="130">
        <f>'【収益－現行】給水収益'!BP32</f>
        <v>72602142</v>
      </c>
    </row>
    <row r="8" spans="2:69">
      <c r="B8" s="4"/>
      <c r="C8" s="4"/>
      <c r="D8" s="9" t="s">
        <v>72</v>
      </c>
      <c r="E8" s="8"/>
      <c r="F8" s="1"/>
      <c r="G8" s="10"/>
      <c r="H8" s="10"/>
      <c r="I8" s="10"/>
      <c r="J8" s="10"/>
      <c r="K8" s="1"/>
      <c r="L8" s="1"/>
      <c r="M8" s="1"/>
      <c r="N8" s="39">
        <f>【PL】決算数値入力!W8</f>
        <v>0</v>
      </c>
      <c r="O8" s="39">
        <f>【PL】決算数値入力!X8</f>
        <v>0</v>
      </c>
      <c r="P8" s="39">
        <f>【PL】決算数値入力!Y8</f>
        <v>0</v>
      </c>
      <c r="Q8" s="39">
        <f>【PL】決算数値入力!Z8</f>
        <v>0</v>
      </c>
      <c r="R8" s="39">
        <f>【PL】決算数値入力!AA8</f>
        <v>0</v>
      </c>
      <c r="S8" s="39">
        <f>【PL】決算数値入力!AB8</f>
        <v>0</v>
      </c>
      <c r="T8" s="39">
        <f>S8</f>
        <v>0</v>
      </c>
      <c r="U8" s="39">
        <f t="shared" ref="U8:BQ8" si="2">T8</f>
        <v>0</v>
      </c>
      <c r="V8" s="39">
        <f t="shared" si="2"/>
        <v>0</v>
      </c>
      <c r="W8" s="39">
        <f t="shared" si="2"/>
        <v>0</v>
      </c>
      <c r="X8" s="39">
        <f t="shared" si="2"/>
        <v>0</v>
      </c>
      <c r="Y8" s="39">
        <f t="shared" si="2"/>
        <v>0</v>
      </c>
      <c r="Z8" s="39">
        <f t="shared" si="2"/>
        <v>0</v>
      </c>
      <c r="AA8" s="39">
        <f t="shared" si="2"/>
        <v>0</v>
      </c>
      <c r="AB8" s="39">
        <f t="shared" si="2"/>
        <v>0</v>
      </c>
      <c r="AC8" s="39">
        <f t="shared" si="2"/>
        <v>0</v>
      </c>
      <c r="AD8" s="39">
        <f t="shared" si="2"/>
        <v>0</v>
      </c>
      <c r="AE8" s="39">
        <f t="shared" si="2"/>
        <v>0</v>
      </c>
      <c r="AF8" s="39">
        <f t="shared" si="2"/>
        <v>0</v>
      </c>
      <c r="AG8" s="39">
        <f t="shared" si="2"/>
        <v>0</v>
      </c>
      <c r="AH8" s="39">
        <f t="shared" si="2"/>
        <v>0</v>
      </c>
      <c r="AI8" s="39">
        <f t="shared" si="2"/>
        <v>0</v>
      </c>
      <c r="AJ8" s="39">
        <f t="shared" si="2"/>
        <v>0</v>
      </c>
      <c r="AK8" s="39">
        <f t="shared" si="2"/>
        <v>0</v>
      </c>
      <c r="AL8" s="39">
        <f t="shared" si="2"/>
        <v>0</v>
      </c>
      <c r="AM8" s="39">
        <f t="shared" si="2"/>
        <v>0</v>
      </c>
      <c r="AN8" s="39">
        <f t="shared" si="2"/>
        <v>0</v>
      </c>
      <c r="AO8" s="39">
        <f t="shared" si="2"/>
        <v>0</v>
      </c>
      <c r="AP8" s="39">
        <f t="shared" si="2"/>
        <v>0</v>
      </c>
      <c r="AQ8" s="39">
        <f t="shared" si="2"/>
        <v>0</v>
      </c>
      <c r="AR8" s="39">
        <f t="shared" si="2"/>
        <v>0</v>
      </c>
      <c r="AS8" s="39">
        <f t="shared" si="2"/>
        <v>0</v>
      </c>
      <c r="AT8" s="39">
        <f t="shared" si="2"/>
        <v>0</v>
      </c>
      <c r="AU8" s="39">
        <f t="shared" si="2"/>
        <v>0</v>
      </c>
      <c r="AV8" s="39">
        <f t="shared" si="2"/>
        <v>0</v>
      </c>
      <c r="AW8" s="39">
        <f t="shared" si="2"/>
        <v>0</v>
      </c>
      <c r="AX8" s="39">
        <f t="shared" si="2"/>
        <v>0</v>
      </c>
      <c r="AY8" s="39">
        <f t="shared" si="2"/>
        <v>0</v>
      </c>
      <c r="AZ8" s="39">
        <f t="shared" si="2"/>
        <v>0</v>
      </c>
      <c r="BA8" s="39">
        <f t="shared" si="2"/>
        <v>0</v>
      </c>
      <c r="BB8" s="39">
        <f t="shared" si="2"/>
        <v>0</v>
      </c>
      <c r="BC8" s="39">
        <f t="shared" si="2"/>
        <v>0</v>
      </c>
      <c r="BD8" s="39">
        <f t="shared" si="2"/>
        <v>0</v>
      </c>
      <c r="BE8" s="39">
        <f t="shared" si="2"/>
        <v>0</v>
      </c>
      <c r="BF8" s="39">
        <f t="shared" si="2"/>
        <v>0</v>
      </c>
      <c r="BG8" s="39">
        <f t="shared" si="2"/>
        <v>0</v>
      </c>
      <c r="BH8" s="39">
        <f t="shared" si="2"/>
        <v>0</v>
      </c>
      <c r="BI8" s="39">
        <f t="shared" si="2"/>
        <v>0</v>
      </c>
      <c r="BJ8" s="39">
        <f t="shared" si="2"/>
        <v>0</v>
      </c>
      <c r="BK8" s="39">
        <f t="shared" si="2"/>
        <v>0</v>
      </c>
      <c r="BL8" s="39">
        <f t="shared" si="2"/>
        <v>0</v>
      </c>
      <c r="BM8" s="39">
        <f t="shared" si="2"/>
        <v>0</v>
      </c>
      <c r="BN8" s="39">
        <f t="shared" si="2"/>
        <v>0</v>
      </c>
      <c r="BO8" s="39">
        <f t="shared" si="2"/>
        <v>0</v>
      </c>
      <c r="BP8" s="39">
        <f t="shared" si="2"/>
        <v>0</v>
      </c>
      <c r="BQ8" s="39">
        <f t="shared" si="2"/>
        <v>0</v>
      </c>
    </row>
    <row r="9" spans="2:69">
      <c r="B9" s="4"/>
      <c r="C9" s="4"/>
      <c r="D9" s="9" t="s">
        <v>430</v>
      </c>
      <c r="E9" s="8"/>
      <c r="F9" s="1"/>
      <c r="G9" s="10"/>
      <c r="H9" s="10"/>
      <c r="I9" s="10"/>
      <c r="J9" s="10"/>
      <c r="K9" s="1" t="s">
        <v>163</v>
      </c>
      <c r="L9" s="1"/>
      <c r="M9" s="1"/>
      <c r="N9" s="39">
        <f>【PL】決算数値入力!W9</f>
        <v>0</v>
      </c>
      <c r="O9" s="39">
        <f>【PL】決算数値入力!X9</f>
        <v>0</v>
      </c>
      <c r="P9" s="39">
        <f>【PL】決算数値入力!Y9</f>
        <v>0</v>
      </c>
      <c r="Q9" s="39">
        <f>【PL】決算数値入力!Z9</f>
        <v>0</v>
      </c>
      <c r="R9" s="39">
        <f>【PL】決算数値入力!AA9</f>
        <v>0</v>
      </c>
      <c r="S9" s="39">
        <f>【PL】決算数値入力!AB9</f>
        <v>0</v>
      </c>
      <c r="T9" s="39">
        <v>0</v>
      </c>
      <c r="U9" s="39">
        <v>0</v>
      </c>
      <c r="V9" s="39">
        <v>0</v>
      </c>
      <c r="W9" s="39">
        <v>0</v>
      </c>
      <c r="X9" s="39">
        <v>0</v>
      </c>
      <c r="Y9" s="39">
        <v>0</v>
      </c>
      <c r="Z9" s="39">
        <v>0</v>
      </c>
      <c r="AA9" s="39">
        <v>0</v>
      </c>
      <c r="AB9" s="39">
        <v>0</v>
      </c>
      <c r="AC9" s="39">
        <v>0</v>
      </c>
      <c r="AD9" s="39">
        <v>0</v>
      </c>
      <c r="AE9" s="39">
        <v>0</v>
      </c>
      <c r="AF9" s="39">
        <v>0</v>
      </c>
      <c r="AG9" s="39">
        <v>0</v>
      </c>
      <c r="AH9" s="39">
        <v>0</v>
      </c>
      <c r="AI9" s="39">
        <v>0</v>
      </c>
      <c r="AJ9" s="39">
        <v>0</v>
      </c>
      <c r="AK9" s="39">
        <v>0</v>
      </c>
      <c r="AL9" s="39">
        <v>0</v>
      </c>
      <c r="AM9" s="39">
        <v>0</v>
      </c>
      <c r="AN9" s="39">
        <v>0</v>
      </c>
      <c r="AO9" s="39">
        <v>0</v>
      </c>
      <c r="AP9" s="39">
        <v>0</v>
      </c>
      <c r="AQ9" s="39">
        <v>0</v>
      </c>
      <c r="AR9" s="39">
        <v>0</v>
      </c>
      <c r="AS9" s="39">
        <v>0</v>
      </c>
      <c r="AT9" s="39">
        <v>0</v>
      </c>
      <c r="AU9" s="39">
        <v>0</v>
      </c>
      <c r="AV9" s="39">
        <v>0</v>
      </c>
      <c r="AW9" s="39">
        <v>0</v>
      </c>
      <c r="AX9" s="39">
        <v>0</v>
      </c>
      <c r="AY9" s="39">
        <v>0</v>
      </c>
      <c r="AZ9" s="39">
        <v>0</v>
      </c>
      <c r="BA9" s="39">
        <v>0</v>
      </c>
      <c r="BB9" s="39">
        <v>0</v>
      </c>
      <c r="BC9" s="39">
        <v>0</v>
      </c>
      <c r="BD9" s="39">
        <v>0</v>
      </c>
      <c r="BE9" s="39">
        <v>0</v>
      </c>
      <c r="BF9" s="39">
        <v>0</v>
      </c>
      <c r="BG9" s="39">
        <v>0</v>
      </c>
      <c r="BH9" s="39">
        <v>0</v>
      </c>
      <c r="BI9" s="39">
        <v>0</v>
      </c>
      <c r="BJ9" s="39">
        <v>0</v>
      </c>
      <c r="BK9" s="39">
        <v>0</v>
      </c>
      <c r="BL9" s="39">
        <v>0</v>
      </c>
      <c r="BM9" s="39">
        <v>0</v>
      </c>
      <c r="BN9" s="39">
        <v>0</v>
      </c>
      <c r="BO9" s="39">
        <v>0</v>
      </c>
      <c r="BP9" s="39">
        <v>0</v>
      </c>
      <c r="BQ9" s="39">
        <v>0</v>
      </c>
    </row>
    <row r="10" spans="2:69">
      <c r="B10" s="4"/>
      <c r="C10" s="3"/>
      <c r="D10" s="9" t="s">
        <v>73</v>
      </c>
      <c r="E10" s="8"/>
      <c r="F10" s="1"/>
      <c r="G10" s="10"/>
      <c r="H10" s="10"/>
      <c r="I10" s="10"/>
      <c r="J10" s="10" t="s">
        <v>166</v>
      </c>
      <c r="K10" s="180" t="s">
        <v>719</v>
      </c>
      <c r="L10" s="1"/>
      <c r="M10" s="1"/>
      <c r="N10" s="39">
        <f>【PL】決算数値入力!W10</f>
        <v>261900</v>
      </c>
      <c r="O10" s="39">
        <f>【PL】決算数値入力!X10</f>
        <v>206200</v>
      </c>
      <c r="P10" s="39">
        <f>【PL】決算数値入力!Y10</f>
        <v>179800</v>
      </c>
      <c r="Q10" s="39">
        <f>【PL】決算数値入力!Z10</f>
        <v>242400</v>
      </c>
      <c r="R10" s="39">
        <f>【PL】決算数値入力!AA10</f>
        <v>196800</v>
      </c>
      <c r="S10" s="39">
        <f>【PL】決算数値入力!AB10</f>
        <v>392890</v>
      </c>
      <c r="T10" s="39">
        <f>S10</f>
        <v>392890</v>
      </c>
      <c r="U10" s="39">
        <f t="shared" ref="U10:BQ10" si="3">T10</f>
        <v>392890</v>
      </c>
      <c r="V10" s="39">
        <f t="shared" si="3"/>
        <v>392890</v>
      </c>
      <c r="W10" s="39">
        <f t="shared" si="3"/>
        <v>392890</v>
      </c>
      <c r="X10" s="39">
        <f t="shared" si="3"/>
        <v>392890</v>
      </c>
      <c r="Y10" s="39">
        <f t="shared" si="3"/>
        <v>392890</v>
      </c>
      <c r="Z10" s="39">
        <f t="shared" si="3"/>
        <v>392890</v>
      </c>
      <c r="AA10" s="39">
        <f t="shared" si="3"/>
        <v>392890</v>
      </c>
      <c r="AB10" s="39">
        <f t="shared" si="3"/>
        <v>392890</v>
      </c>
      <c r="AC10" s="39">
        <f t="shared" si="3"/>
        <v>392890</v>
      </c>
      <c r="AD10" s="39">
        <f t="shared" si="3"/>
        <v>392890</v>
      </c>
      <c r="AE10" s="39">
        <f t="shared" si="3"/>
        <v>392890</v>
      </c>
      <c r="AF10" s="39">
        <f t="shared" si="3"/>
        <v>392890</v>
      </c>
      <c r="AG10" s="39">
        <f t="shared" si="3"/>
        <v>392890</v>
      </c>
      <c r="AH10" s="39">
        <f t="shared" si="3"/>
        <v>392890</v>
      </c>
      <c r="AI10" s="39">
        <f t="shared" si="3"/>
        <v>392890</v>
      </c>
      <c r="AJ10" s="39">
        <f t="shared" si="3"/>
        <v>392890</v>
      </c>
      <c r="AK10" s="39">
        <f t="shared" si="3"/>
        <v>392890</v>
      </c>
      <c r="AL10" s="39">
        <f t="shared" si="3"/>
        <v>392890</v>
      </c>
      <c r="AM10" s="39">
        <f t="shared" si="3"/>
        <v>392890</v>
      </c>
      <c r="AN10" s="39">
        <f t="shared" si="3"/>
        <v>392890</v>
      </c>
      <c r="AO10" s="39">
        <f t="shared" si="3"/>
        <v>392890</v>
      </c>
      <c r="AP10" s="39">
        <f t="shared" si="3"/>
        <v>392890</v>
      </c>
      <c r="AQ10" s="39">
        <f t="shared" si="3"/>
        <v>392890</v>
      </c>
      <c r="AR10" s="39">
        <f t="shared" si="3"/>
        <v>392890</v>
      </c>
      <c r="AS10" s="39">
        <f t="shared" si="3"/>
        <v>392890</v>
      </c>
      <c r="AT10" s="39">
        <f t="shared" si="3"/>
        <v>392890</v>
      </c>
      <c r="AU10" s="39">
        <f t="shared" si="3"/>
        <v>392890</v>
      </c>
      <c r="AV10" s="39">
        <f t="shared" si="3"/>
        <v>392890</v>
      </c>
      <c r="AW10" s="39">
        <f t="shared" si="3"/>
        <v>392890</v>
      </c>
      <c r="AX10" s="39">
        <f t="shared" si="3"/>
        <v>392890</v>
      </c>
      <c r="AY10" s="39">
        <f t="shared" si="3"/>
        <v>392890</v>
      </c>
      <c r="AZ10" s="39">
        <f t="shared" si="3"/>
        <v>392890</v>
      </c>
      <c r="BA10" s="39">
        <f t="shared" si="3"/>
        <v>392890</v>
      </c>
      <c r="BB10" s="39">
        <f t="shared" si="3"/>
        <v>392890</v>
      </c>
      <c r="BC10" s="39">
        <f t="shared" si="3"/>
        <v>392890</v>
      </c>
      <c r="BD10" s="39">
        <f t="shared" si="3"/>
        <v>392890</v>
      </c>
      <c r="BE10" s="39">
        <f t="shared" si="3"/>
        <v>392890</v>
      </c>
      <c r="BF10" s="39">
        <f t="shared" si="3"/>
        <v>392890</v>
      </c>
      <c r="BG10" s="39">
        <f t="shared" si="3"/>
        <v>392890</v>
      </c>
      <c r="BH10" s="39">
        <f t="shared" si="3"/>
        <v>392890</v>
      </c>
      <c r="BI10" s="39">
        <f t="shared" si="3"/>
        <v>392890</v>
      </c>
      <c r="BJ10" s="39">
        <f t="shared" si="3"/>
        <v>392890</v>
      </c>
      <c r="BK10" s="39">
        <f t="shared" si="3"/>
        <v>392890</v>
      </c>
      <c r="BL10" s="39">
        <f t="shared" si="3"/>
        <v>392890</v>
      </c>
      <c r="BM10" s="39">
        <f t="shared" si="3"/>
        <v>392890</v>
      </c>
      <c r="BN10" s="39">
        <f t="shared" si="3"/>
        <v>392890</v>
      </c>
      <c r="BO10" s="39">
        <f t="shared" si="3"/>
        <v>392890</v>
      </c>
      <c r="BP10" s="39">
        <f t="shared" si="3"/>
        <v>392890</v>
      </c>
      <c r="BQ10" s="39">
        <f t="shared" si="3"/>
        <v>392890</v>
      </c>
    </row>
    <row r="11" spans="2:69">
      <c r="B11" s="4"/>
      <c r="C11" s="5" t="s">
        <v>74</v>
      </c>
      <c r="D11" s="7"/>
      <c r="E11" s="8"/>
      <c r="F11" s="1"/>
      <c r="G11" s="10"/>
      <c r="H11" s="10"/>
      <c r="I11" s="10"/>
      <c r="J11" s="10"/>
      <c r="K11" s="1"/>
      <c r="L11" s="1"/>
      <c r="M11" s="1"/>
      <c r="N11" s="39">
        <f>【PL】決算数値入力!W11</f>
        <v>120854303</v>
      </c>
      <c r="O11" s="39">
        <f>【PL】決算数値入力!X11</f>
        <v>352344790</v>
      </c>
      <c r="P11" s="39">
        <f>【PL】決算数値入力!Y11</f>
        <v>383784655</v>
      </c>
      <c r="Q11" s="39">
        <f>【PL】決算数値入力!Z11</f>
        <v>473652900</v>
      </c>
      <c r="R11" s="39">
        <f>【PL】決算数値入力!AA11</f>
        <v>384115721</v>
      </c>
      <c r="S11" s="39">
        <f>【PL】決算数値入力!AB12</f>
        <v>15431.1</v>
      </c>
      <c r="T11" s="39">
        <f>SUM(T12:T16)</f>
        <v>364608898.89999998</v>
      </c>
      <c r="U11" s="39">
        <f t="shared" ref="U11:BQ11" si="4">SUM(U12:U16)</f>
        <v>373019942.89999998</v>
      </c>
      <c r="V11" s="39">
        <f>SUM(V12:V16)</f>
        <v>432468662.89999998</v>
      </c>
      <c r="W11" s="39">
        <f t="shared" si="4"/>
        <v>467606432.84736848</v>
      </c>
      <c r="X11" s="39">
        <f t="shared" si="4"/>
        <v>462582823.32105267</v>
      </c>
      <c r="Y11" s="39">
        <f t="shared" si="4"/>
        <v>458221634.79473686</v>
      </c>
      <c r="Z11" s="39">
        <f t="shared" si="4"/>
        <v>452467600.26842105</v>
      </c>
      <c r="AA11" s="39">
        <f t="shared" si="4"/>
        <v>450055315.74210525</v>
      </c>
      <c r="AB11" s="39">
        <f t="shared" si="4"/>
        <v>451835715.74210525</v>
      </c>
      <c r="AC11" s="39">
        <f t="shared" si="4"/>
        <v>451876863.74210525</v>
      </c>
      <c r="AD11" s="39">
        <f t="shared" si="4"/>
        <v>449446839.74210525</v>
      </c>
      <c r="AE11" s="39">
        <f t="shared" si="4"/>
        <v>396185598.74210525</v>
      </c>
      <c r="AF11" s="39">
        <f t="shared" si="4"/>
        <v>293905175.74210525</v>
      </c>
      <c r="AG11" s="39">
        <f t="shared" si="4"/>
        <v>288978558.74210525</v>
      </c>
      <c r="AH11" s="39">
        <f t="shared" si="4"/>
        <v>292917599.74210525</v>
      </c>
      <c r="AI11" s="39">
        <f t="shared" si="4"/>
        <v>300487035.74210525</v>
      </c>
      <c r="AJ11" s="39">
        <f t="shared" si="4"/>
        <v>292903063.74210525</v>
      </c>
      <c r="AK11" s="39">
        <f t="shared" si="4"/>
        <v>299955743.74210525</v>
      </c>
      <c r="AL11" s="39">
        <f t="shared" si="4"/>
        <v>307474868.74210525</v>
      </c>
      <c r="AM11" s="39">
        <f t="shared" si="4"/>
        <v>315783882.74210525</v>
      </c>
      <c r="AN11" s="39">
        <f t="shared" si="4"/>
        <v>323646386.74210525</v>
      </c>
      <c r="AO11" s="39">
        <f t="shared" si="4"/>
        <v>331227353.74210525</v>
      </c>
      <c r="AP11" s="39">
        <f t="shared" si="4"/>
        <v>326298985.74210525</v>
      </c>
      <c r="AQ11" s="39">
        <f t="shared" si="4"/>
        <v>322374552.74210525</v>
      </c>
      <c r="AR11" s="39">
        <f t="shared" si="4"/>
        <v>319479248.74210525</v>
      </c>
      <c r="AS11" s="39">
        <f t="shared" si="4"/>
        <v>315920838.74210525</v>
      </c>
      <c r="AT11" s="39">
        <f t="shared" si="4"/>
        <v>312667175.74210525</v>
      </c>
      <c r="AU11" s="39">
        <f t="shared" si="4"/>
        <v>308578221.74210525</v>
      </c>
      <c r="AV11" s="39">
        <f t="shared" si="4"/>
        <v>304925257.74210525</v>
      </c>
      <c r="AW11" s="39">
        <f t="shared" si="4"/>
        <v>300949037.74210525</v>
      </c>
      <c r="AX11" s="39">
        <f t="shared" si="4"/>
        <v>296949989.74210525</v>
      </c>
      <c r="AY11" s="39">
        <f t="shared" si="4"/>
        <v>279714276.74210525</v>
      </c>
      <c r="AZ11" s="39">
        <f t="shared" si="4"/>
        <v>272714931.74210525</v>
      </c>
      <c r="BA11" s="39">
        <f t="shared" si="4"/>
        <v>268085652.74210528</v>
      </c>
      <c r="BB11" s="39">
        <f t="shared" si="4"/>
        <v>259758997.74210528</v>
      </c>
      <c r="BC11" s="39">
        <f t="shared" si="4"/>
        <v>242782572.74210528</v>
      </c>
      <c r="BD11" s="39">
        <f t="shared" si="4"/>
        <v>229642785.74210525</v>
      </c>
      <c r="BE11" s="39">
        <f t="shared" si="4"/>
        <v>192292371.74210525</v>
      </c>
      <c r="BF11" s="39">
        <f t="shared" si="4"/>
        <v>170743403.74210525</v>
      </c>
      <c r="BG11" s="39">
        <f t="shared" si="4"/>
        <v>164519790.74210525</v>
      </c>
      <c r="BH11" s="39">
        <f t="shared" si="4"/>
        <v>159989942.74210525</v>
      </c>
      <c r="BI11" s="39">
        <f t="shared" si="4"/>
        <v>154979460.74210525</v>
      </c>
      <c r="BJ11" s="39">
        <f t="shared" si="4"/>
        <v>150501744.74210525</v>
      </c>
      <c r="BK11" s="39">
        <f t="shared" si="4"/>
        <v>146382418.74210525</v>
      </c>
      <c r="BL11" s="39">
        <f t="shared" si="4"/>
        <v>141478213.74210525</v>
      </c>
      <c r="BM11" s="39">
        <f t="shared" si="4"/>
        <v>129183998.89999999</v>
      </c>
      <c r="BN11" s="39">
        <f t="shared" si="4"/>
        <v>121680187.89999999</v>
      </c>
      <c r="BO11" s="39">
        <f t="shared" si="4"/>
        <v>114357207.89999999</v>
      </c>
      <c r="BP11" s="39">
        <f t="shared" si="4"/>
        <v>105511543.89999999</v>
      </c>
      <c r="BQ11" s="39">
        <f t="shared" si="4"/>
        <v>98335097.899999991</v>
      </c>
    </row>
    <row r="12" spans="2:69">
      <c r="B12" s="4"/>
      <c r="C12" s="4"/>
      <c r="D12" s="9" t="s">
        <v>75</v>
      </c>
      <c r="E12" s="8"/>
      <c r="F12" s="1"/>
      <c r="G12" s="10"/>
      <c r="H12" s="10"/>
      <c r="I12" s="10"/>
      <c r="J12" s="10" t="s">
        <v>166</v>
      </c>
      <c r="K12" s="180" t="s">
        <v>719</v>
      </c>
      <c r="L12" s="1"/>
      <c r="M12" s="1"/>
      <c r="N12" s="39">
        <f>【PL】決算数値入力!W12</f>
        <v>0</v>
      </c>
      <c r="O12" s="39">
        <f>【PL】決算数値入力!X12</f>
        <v>0</v>
      </c>
      <c r="P12" s="39">
        <f>【PL】決算数値入力!Y12</f>
        <v>0</v>
      </c>
      <c r="Q12" s="39">
        <f>【PL】決算数値入力!Z12</f>
        <v>0</v>
      </c>
      <c r="R12" s="39">
        <f>【PL】決算数値入力!AA12</f>
        <v>0</v>
      </c>
      <c r="S12" s="39">
        <f>【PL】決算数値入力!AB12</f>
        <v>15431.1</v>
      </c>
      <c r="T12" s="39">
        <f>S12</f>
        <v>15431.1</v>
      </c>
      <c r="U12" s="39">
        <f t="shared" ref="U12:BQ12" si="5">T12</f>
        <v>15431.1</v>
      </c>
      <c r="V12" s="39">
        <f t="shared" si="5"/>
        <v>15431.1</v>
      </c>
      <c r="W12" s="39">
        <f t="shared" si="5"/>
        <v>15431.1</v>
      </c>
      <c r="X12" s="39">
        <f t="shared" si="5"/>
        <v>15431.1</v>
      </c>
      <c r="Y12" s="39">
        <f t="shared" si="5"/>
        <v>15431.1</v>
      </c>
      <c r="Z12" s="39">
        <f t="shared" si="5"/>
        <v>15431.1</v>
      </c>
      <c r="AA12" s="39">
        <f t="shared" si="5"/>
        <v>15431.1</v>
      </c>
      <c r="AB12" s="39">
        <f t="shared" si="5"/>
        <v>15431.1</v>
      </c>
      <c r="AC12" s="39">
        <f t="shared" si="5"/>
        <v>15431.1</v>
      </c>
      <c r="AD12" s="39">
        <f t="shared" si="5"/>
        <v>15431.1</v>
      </c>
      <c r="AE12" s="39">
        <f t="shared" si="5"/>
        <v>15431.1</v>
      </c>
      <c r="AF12" s="39">
        <f t="shared" si="5"/>
        <v>15431.1</v>
      </c>
      <c r="AG12" s="39">
        <f t="shared" si="5"/>
        <v>15431.1</v>
      </c>
      <c r="AH12" s="39">
        <f t="shared" si="5"/>
        <v>15431.1</v>
      </c>
      <c r="AI12" s="39">
        <f t="shared" si="5"/>
        <v>15431.1</v>
      </c>
      <c r="AJ12" s="39">
        <f t="shared" si="5"/>
        <v>15431.1</v>
      </c>
      <c r="AK12" s="39">
        <f t="shared" si="5"/>
        <v>15431.1</v>
      </c>
      <c r="AL12" s="39">
        <f t="shared" si="5"/>
        <v>15431.1</v>
      </c>
      <c r="AM12" s="39">
        <f t="shared" si="5"/>
        <v>15431.1</v>
      </c>
      <c r="AN12" s="39">
        <f t="shared" si="5"/>
        <v>15431.1</v>
      </c>
      <c r="AO12" s="39">
        <f t="shared" si="5"/>
        <v>15431.1</v>
      </c>
      <c r="AP12" s="39">
        <f t="shared" si="5"/>
        <v>15431.1</v>
      </c>
      <c r="AQ12" s="39">
        <f t="shared" si="5"/>
        <v>15431.1</v>
      </c>
      <c r="AR12" s="39">
        <f t="shared" si="5"/>
        <v>15431.1</v>
      </c>
      <c r="AS12" s="39">
        <f t="shared" si="5"/>
        <v>15431.1</v>
      </c>
      <c r="AT12" s="39">
        <f t="shared" si="5"/>
        <v>15431.1</v>
      </c>
      <c r="AU12" s="39">
        <f t="shared" si="5"/>
        <v>15431.1</v>
      </c>
      <c r="AV12" s="39">
        <f t="shared" si="5"/>
        <v>15431.1</v>
      </c>
      <c r="AW12" s="39">
        <f t="shared" si="5"/>
        <v>15431.1</v>
      </c>
      <c r="AX12" s="39">
        <f t="shared" si="5"/>
        <v>15431.1</v>
      </c>
      <c r="AY12" s="39">
        <f t="shared" si="5"/>
        <v>15431.1</v>
      </c>
      <c r="AZ12" s="39">
        <f t="shared" si="5"/>
        <v>15431.1</v>
      </c>
      <c r="BA12" s="39">
        <f t="shared" si="5"/>
        <v>15431.1</v>
      </c>
      <c r="BB12" s="39">
        <f t="shared" si="5"/>
        <v>15431.1</v>
      </c>
      <c r="BC12" s="39">
        <f t="shared" si="5"/>
        <v>15431.1</v>
      </c>
      <c r="BD12" s="39">
        <f t="shared" si="5"/>
        <v>15431.1</v>
      </c>
      <c r="BE12" s="39">
        <f t="shared" si="5"/>
        <v>15431.1</v>
      </c>
      <c r="BF12" s="39">
        <f t="shared" si="5"/>
        <v>15431.1</v>
      </c>
      <c r="BG12" s="39">
        <f t="shared" si="5"/>
        <v>15431.1</v>
      </c>
      <c r="BH12" s="39">
        <f t="shared" si="5"/>
        <v>15431.1</v>
      </c>
      <c r="BI12" s="39">
        <f t="shared" si="5"/>
        <v>15431.1</v>
      </c>
      <c r="BJ12" s="39">
        <f t="shared" si="5"/>
        <v>15431.1</v>
      </c>
      <c r="BK12" s="39">
        <f t="shared" si="5"/>
        <v>15431.1</v>
      </c>
      <c r="BL12" s="39">
        <f t="shared" si="5"/>
        <v>15431.1</v>
      </c>
      <c r="BM12" s="39">
        <f t="shared" si="5"/>
        <v>15431.1</v>
      </c>
      <c r="BN12" s="39">
        <f t="shared" si="5"/>
        <v>15431.1</v>
      </c>
      <c r="BO12" s="39">
        <f t="shared" si="5"/>
        <v>15431.1</v>
      </c>
      <c r="BP12" s="39">
        <f t="shared" si="5"/>
        <v>15431.1</v>
      </c>
      <c r="BQ12" s="39">
        <f t="shared" si="5"/>
        <v>15431.1</v>
      </c>
    </row>
    <row r="13" spans="2:69">
      <c r="B13" s="4"/>
      <c r="C13" s="4"/>
      <c r="D13" s="9" t="s">
        <v>76</v>
      </c>
      <c r="E13" s="8"/>
      <c r="F13" s="1"/>
      <c r="G13" s="10"/>
      <c r="H13" s="10"/>
      <c r="I13" s="10"/>
      <c r="J13" s="10" t="s">
        <v>166</v>
      </c>
      <c r="K13" s="1" t="s">
        <v>580</v>
      </c>
      <c r="L13" s="1"/>
      <c r="M13" s="1"/>
      <c r="N13" s="39">
        <f>【PL】決算数値入力!W13</f>
        <v>23034829</v>
      </c>
      <c r="O13" s="39">
        <f>【PL】決算数値入力!X13</f>
        <v>61004862</v>
      </c>
      <c r="P13" s="39">
        <f>【PL】決算数値入力!Y13</f>
        <v>0</v>
      </c>
      <c r="Q13" s="39">
        <f>【PL】決算数値入力!Z13</f>
        <v>25962175</v>
      </c>
      <c r="R13" s="39">
        <f>【PL】決算数値入力!AA13</f>
        <v>25117004</v>
      </c>
      <c r="S13" s="39">
        <f>【PL】決算数値入力!AB13</f>
        <v>13834221</v>
      </c>
      <c r="T13" s="39">
        <f>T44+T59</f>
        <v>25500721</v>
      </c>
      <c r="U13" s="39">
        <f>U44+U59</f>
        <v>33861477</v>
      </c>
      <c r="V13" s="85">
        <f>V44+V59</f>
        <v>38616631</v>
      </c>
      <c r="W13" s="39">
        <f>W44+W59</f>
        <v>47830328</v>
      </c>
      <c r="X13" s="39">
        <f t="shared" ref="X13:BQ13" si="6">X44+X59</f>
        <v>55812079</v>
      </c>
      <c r="Y13" s="39">
        <f t="shared" si="6"/>
        <v>63330098</v>
      </c>
      <c r="Z13" s="39">
        <f t="shared" si="6"/>
        <v>67407860</v>
      </c>
      <c r="AA13" s="39">
        <f t="shared" si="6"/>
        <v>71335475</v>
      </c>
      <c r="AB13" s="39">
        <f t="shared" si="6"/>
        <v>76115801</v>
      </c>
      <c r="AC13" s="39">
        <f t="shared" si="6"/>
        <v>82137605</v>
      </c>
      <c r="AD13" s="39">
        <f t="shared" si="6"/>
        <v>86349011</v>
      </c>
      <c r="AE13" s="39">
        <f t="shared" si="6"/>
        <v>88799550</v>
      </c>
      <c r="AF13" s="39">
        <f t="shared" si="6"/>
        <v>90526562</v>
      </c>
      <c r="AG13" s="39">
        <f t="shared" si="6"/>
        <v>92168299</v>
      </c>
      <c r="AH13" s="39">
        <f t="shared" si="6"/>
        <v>101706561</v>
      </c>
      <c r="AI13" s="39">
        <f t="shared" si="6"/>
        <v>111070019</v>
      </c>
      <c r="AJ13" s="39">
        <f t="shared" si="6"/>
        <v>120314851</v>
      </c>
      <c r="AK13" s="39">
        <f t="shared" si="6"/>
        <v>129350747</v>
      </c>
      <c r="AL13" s="39">
        <f t="shared" si="6"/>
        <v>138790735</v>
      </c>
      <c r="AM13" s="39">
        <f t="shared" si="6"/>
        <v>148478707</v>
      </c>
      <c r="AN13" s="39">
        <f t="shared" si="6"/>
        <v>157919311</v>
      </c>
      <c r="AO13" s="39">
        <f t="shared" si="6"/>
        <v>167103819</v>
      </c>
      <c r="AP13" s="39">
        <f t="shared" si="6"/>
        <v>164730759</v>
      </c>
      <c r="AQ13" s="39">
        <f t="shared" si="6"/>
        <v>162308901</v>
      </c>
      <c r="AR13" s="39">
        <f t="shared" si="6"/>
        <v>159835054</v>
      </c>
      <c r="AS13" s="39">
        <f t="shared" si="6"/>
        <v>157330159</v>
      </c>
      <c r="AT13" s="39">
        <f t="shared" si="6"/>
        <v>154931269</v>
      </c>
      <c r="AU13" s="39">
        <f t="shared" si="6"/>
        <v>152515071</v>
      </c>
      <c r="AV13" s="39">
        <f t="shared" si="6"/>
        <v>150006414</v>
      </c>
      <c r="AW13" s="39">
        <f t="shared" si="6"/>
        <v>147403329</v>
      </c>
      <c r="AX13" s="39">
        <f t="shared" si="6"/>
        <v>144703799</v>
      </c>
      <c r="AY13" s="39">
        <f t="shared" si="6"/>
        <v>141905772</v>
      </c>
      <c r="AZ13" s="39">
        <f t="shared" si="6"/>
        <v>139007149</v>
      </c>
      <c r="BA13" s="39">
        <f t="shared" si="6"/>
        <v>136005788</v>
      </c>
      <c r="BB13" s="39">
        <f t="shared" si="6"/>
        <v>132899499</v>
      </c>
      <c r="BC13" s="39">
        <f t="shared" si="6"/>
        <v>129686047</v>
      </c>
      <c r="BD13" s="39">
        <f t="shared" si="6"/>
        <v>126363152</v>
      </c>
      <c r="BE13" s="39">
        <f t="shared" si="6"/>
        <v>122928483</v>
      </c>
      <c r="BF13" s="39">
        <f t="shared" si="6"/>
        <v>119379659</v>
      </c>
      <c r="BG13" s="39">
        <f t="shared" si="6"/>
        <v>115714252</v>
      </c>
      <c r="BH13" s="39">
        <f t="shared" si="6"/>
        <v>111929781</v>
      </c>
      <c r="BI13" s="39">
        <f t="shared" si="6"/>
        <v>108023710</v>
      </c>
      <c r="BJ13" s="39">
        <f t="shared" si="6"/>
        <v>104181251</v>
      </c>
      <c r="BK13" s="39">
        <f t="shared" si="6"/>
        <v>100374804</v>
      </c>
      <c r="BL13" s="39">
        <f t="shared" si="6"/>
        <v>95746696</v>
      </c>
      <c r="BM13" s="39">
        <f t="shared" si="6"/>
        <v>91332237</v>
      </c>
      <c r="BN13" s="39">
        <f t="shared" si="6"/>
        <v>87124160</v>
      </c>
      <c r="BO13" s="39">
        <f t="shared" si="6"/>
        <v>83009582</v>
      </c>
      <c r="BP13" s="39">
        <f t="shared" si="6"/>
        <v>78990434</v>
      </c>
      <c r="BQ13" s="39">
        <f t="shared" si="6"/>
        <v>75107743</v>
      </c>
    </row>
    <row r="14" spans="2:69">
      <c r="B14" s="4"/>
      <c r="C14" s="4"/>
      <c r="D14" s="9" t="s">
        <v>471</v>
      </c>
      <c r="E14" s="8"/>
      <c r="F14" s="1"/>
      <c r="G14" s="10"/>
      <c r="H14" s="10"/>
      <c r="I14" s="10"/>
      <c r="J14" s="10"/>
      <c r="K14" s="1"/>
      <c r="L14" s="1"/>
      <c r="M14" s="1"/>
      <c r="N14" s="39"/>
      <c r="O14" s="39"/>
      <c r="P14" s="39"/>
      <c r="Q14" s="39"/>
      <c r="R14" s="39"/>
      <c r="S14" s="39"/>
      <c r="T14" s="39"/>
      <c r="U14" s="39"/>
      <c r="V14" s="266">
        <v>59000000</v>
      </c>
      <c r="W14" s="266">
        <v>90000000</v>
      </c>
      <c r="X14" s="266">
        <v>90000000</v>
      </c>
      <c r="Y14" s="266">
        <v>90000000</v>
      </c>
      <c r="Z14" s="266">
        <v>90000000</v>
      </c>
      <c r="AA14" s="266">
        <v>90000000</v>
      </c>
      <c r="AB14" s="266">
        <v>90000000</v>
      </c>
      <c r="AC14" s="266">
        <v>90000000</v>
      </c>
      <c r="AD14" s="266">
        <v>90000000</v>
      </c>
      <c r="AE14" s="266">
        <v>90000000</v>
      </c>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row>
    <row r="15" spans="2:69">
      <c r="B15" s="4"/>
      <c r="C15" s="4"/>
      <c r="D15" s="9" t="s">
        <v>77</v>
      </c>
      <c r="E15" s="8"/>
      <c r="F15" s="1"/>
      <c r="G15" s="10"/>
      <c r="H15" s="10"/>
      <c r="I15" s="10"/>
      <c r="J15" s="10" t="s">
        <v>166</v>
      </c>
      <c r="K15" s="180" t="s">
        <v>719</v>
      </c>
      <c r="L15" s="1"/>
      <c r="M15" s="1"/>
      <c r="N15" s="39">
        <f>【PL】決算数値入力!W15</f>
        <v>2684327</v>
      </c>
      <c r="O15" s="39">
        <f>【PL】決算数値入力!X15</f>
        <v>2450229</v>
      </c>
      <c r="P15" s="39">
        <f>【PL】決算数値入力!Y15</f>
        <v>22402177</v>
      </c>
      <c r="Q15" s="39">
        <f>【PL】決算数値入力!Z15</f>
        <v>8371047</v>
      </c>
      <c r="R15" s="39">
        <f>【PL】決算数値入力!AA15</f>
        <v>2589660</v>
      </c>
      <c r="S15" s="39">
        <f>【PL】決算数値入力!AB15</f>
        <v>4890572.7999999998</v>
      </c>
      <c r="T15" s="39">
        <f>S15</f>
        <v>4890572.7999999998</v>
      </c>
      <c r="U15" s="39">
        <f t="shared" ref="U15:BQ15" si="7">T15</f>
        <v>4890572.7999999998</v>
      </c>
      <c r="V15" s="39">
        <f t="shared" si="7"/>
        <v>4890572.7999999998</v>
      </c>
      <c r="W15" s="39">
        <f t="shared" si="7"/>
        <v>4890572.7999999998</v>
      </c>
      <c r="X15" s="39">
        <f t="shared" si="7"/>
        <v>4890572.7999999998</v>
      </c>
      <c r="Y15" s="39">
        <f t="shared" si="7"/>
        <v>4890572.7999999998</v>
      </c>
      <c r="Z15" s="39">
        <f t="shared" si="7"/>
        <v>4890572.7999999998</v>
      </c>
      <c r="AA15" s="39">
        <f t="shared" si="7"/>
        <v>4890572.7999999998</v>
      </c>
      <c r="AB15" s="39">
        <f t="shared" si="7"/>
        <v>4890572.7999999998</v>
      </c>
      <c r="AC15" s="39">
        <f t="shared" si="7"/>
        <v>4890572.7999999998</v>
      </c>
      <c r="AD15" s="39">
        <f t="shared" si="7"/>
        <v>4890572.7999999998</v>
      </c>
      <c r="AE15" s="39">
        <f t="shared" si="7"/>
        <v>4890572.7999999998</v>
      </c>
      <c r="AF15" s="39">
        <f t="shared" si="7"/>
        <v>4890572.7999999998</v>
      </c>
      <c r="AG15" s="39">
        <f t="shared" si="7"/>
        <v>4890572.7999999998</v>
      </c>
      <c r="AH15" s="39">
        <f t="shared" si="7"/>
        <v>4890572.7999999998</v>
      </c>
      <c r="AI15" s="39">
        <f t="shared" si="7"/>
        <v>4890572.7999999998</v>
      </c>
      <c r="AJ15" s="39">
        <f t="shared" si="7"/>
        <v>4890572.7999999998</v>
      </c>
      <c r="AK15" s="39">
        <f t="shared" si="7"/>
        <v>4890572.7999999998</v>
      </c>
      <c r="AL15" s="39">
        <f t="shared" si="7"/>
        <v>4890572.7999999998</v>
      </c>
      <c r="AM15" s="39">
        <f t="shared" si="7"/>
        <v>4890572.7999999998</v>
      </c>
      <c r="AN15" s="39">
        <f t="shared" si="7"/>
        <v>4890572.7999999998</v>
      </c>
      <c r="AO15" s="39">
        <f t="shared" si="7"/>
        <v>4890572.7999999998</v>
      </c>
      <c r="AP15" s="39">
        <f t="shared" si="7"/>
        <v>4890572.7999999998</v>
      </c>
      <c r="AQ15" s="39">
        <f t="shared" si="7"/>
        <v>4890572.7999999998</v>
      </c>
      <c r="AR15" s="39">
        <f t="shared" si="7"/>
        <v>4890572.7999999998</v>
      </c>
      <c r="AS15" s="39">
        <f t="shared" si="7"/>
        <v>4890572.7999999998</v>
      </c>
      <c r="AT15" s="39">
        <f t="shared" si="7"/>
        <v>4890572.7999999998</v>
      </c>
      <c r="AU15" s="39">
        <f t="shared" si="7"/>
        <v>4890572.7999999998</v>
      </c>
      <c r="AV15" s="39">
        <f t="shared" si="7"/>
        <v>4890572.7999999998</v>
      </c>
      <c r="AW15" s="39">
        <f t="shared" si="7"/>
        <v>4890572.7999999998</v>
      </c>
      <c r="AX15" s="39">
        <f t="shared" si="7"/>
        <v>4890572.7999999998</v>
      </c>
      <c r="AY15" s="39">
        <f t="shared" si="7"/>
        <v>4890572.7999999998</v>
      </c>
      <c r="AZ15" s="39">
        <f t="shared" si="7"/>
        <v>4890572.7999999998</v>
      </c>
      <c r="BA15" s="39">
        <f t="shared" si="7"/>
        <v>4890572.7999999998</v>
      </c>
      <c r="BB15" s="39">
        <f t="shared" si="7"/>
        <v>4890572.7999999998</v>
      </c>
      <c r="BC15" s="39">
        <f t="shared" si="7"/>
        <v>4890572.7999999998</v>
      </c>
      <c r="BD15" s="39">
        <f t="shared" si="7"/>
        <v>4890572.7999999998</v>
      </c>
      <c r="BE15" s="39">
        <f t="shared" si="7"/>
        <v>4890572.7999999998</v>
      </c>
      <c r="BF15" s="39">
        <f t="shared" si="7"/>
        <v>4890572.7999999998</v>
      </c>
      <c r="BG15" s="39">
        <f t="shared" si="7"/>
        <v>4890572.7999999998</v>
      </c>
      <c r="BH15" s="39">
        <f t="shared" si="7"/>
        <v>4890572.7999999998</v>
      </c>
      <c r="BI15" s="39">
        <f t="shared" si="7"/>
        <v>4890572.7999999998</v>
      </c>
      <c r="BJ15" s="39">
        <f t="shared" si="7"/>
        <v>4890572.7999999998</v>
      </c>
      <c r="BK15" s="39">
        <f t="shared" si="7"/>
        <v>4890572.7999999998</v>
      </c>
      <c r="BL15" s="39">
        <f t="shared" si="7"/>
        <v>4890572.7999999998</v>
      </c>
      <c r="BM15" s="39">
        <f t="shared" si="7"/>
        <v>4890572.7999999998</v>
      </c>
      <c r="BN15" s="39">
        <f t="shared" si="7"/>
        <v>4890572.7999999998</v>
      </c>
      <c r="BO15" s="39">
        <f t="shared" si="7"/>
        <v>4890572.7999999998</v>
      </c>
      <c r="BP15" s="39">
        <f t="shared" si="7"/>
        <v>4890572.7999999998</v>
      </c>
      <c r="BQ15" s="39">
        <f t="shared" si="7"/>
        <v>4890572.7999999998</v>
      </c>
    </row>
    <row r="16" spans="2:69">
      <c r="B16" s="4"/>
      <c r="C16" s="4"/>
      <c r="D16" s="5" t="s">
        <v>78</v>
      </c>
      <c r="E16" s="8"/>
      <c r="F16" s="1"/>
      <c r="G16" s="10"/>
      <c r="H16" s="10"/>
      <c r="I16" s="10"/>
      <c r="J16" s="10"/>
      <c r="K16" s="1"/>
      <c r="L16" s="1"/>
      <c r="M16" s="1"/>
      <c r="N16" s="39">
        <f>【PL】決算数値入力!W16</f>
        <v>95135147</v>
      </c>
      <c r="O16" s="39">
        <f>【PL】決算数値入力!X16</f>
        <v>288889699</v>
      </c>
      <c r="P16" s="39">
        <f>【PL】決算数値入力!Y16</f>
        <v>336382478</v>
      </c>
      <c r="Q16" s="39">
        <f>【PL】決算数値入力!Z16</f>
        <v>419319678</v>
      </c>
      <c r="R16" s="39">
        <f>【PL】決算数値入力!AA16</f>
        <v>336409057</v>
      </c>
      <c r="S16" s="39">
        <f>【PL】決算数値入力!AB16</f>
        <v>196728118.90000001</v>
      </c>
      <c r="T16" s="39">
        <f t="shared" ref="T16" si="8">SUM(T17:T18)</f>
        <v>334202174</v>
      </c>
      <c r="U16" s="39">
        <f t="shared" ref="U16" si="9">SUM(U17:U18)</f>
        <v>334252462</v>
      </c>
      <c r="V16" s="39">
        <f t="shared" ref="V16" si="10">SUM(V17:V18)</f>
        <v>329946028</v>
      </c>
      <c r="W16" s="39">
        <f>SUM(W17:W18)</f>
        <v>324870100.94736844</v>
      </c>
      <c r="X16" s="39">
        <f t="shared" ref="X16" si="11">SUM(X17:X18)</f>
        <v>311864740.42105263</v>
      </c>
      <c r="Y16" s="39">
        <f t="shared" ref="Y16" si="12">SUM(Y17:Y18)</f>
        <v>299985532.89473683</v>
      </c>
      <c r="Z16" s="39">
        <f t="shared" ref="Z16" si="13">SUM(Z17:Z18)</f>
        <v>290153736.36842108</v>
      </c>
      <c r="AA16" s="39">
        <f t="shared" ref="AA16" si="14">SUM(AA17:AA18)</f>
        <v>283813836.84210527</v>
      </c>
      <c r="AB16" s="39">
        <f t="shared" ref="AB16" si="15">SUM(AB17:AB18)</f>
        <v>280813910.84210527</v>
      </c>
      <c r="AC16" s="39">
        <f t="shared" ref="AC16" si="16">SUM(AC17:AC18)</f>
        <v>274833254.84210527</v>
      </c>
      <c r="AD16" s="39">
        <f t="shared" ref="AD16" si="17">SUM(AD17:AD18)</f>
        <v>268191824.84210527</v>
      </c>
      <c r="AE16" s="39">
        <f t="shared" ref="AE16" si="18">SUM(AE17:AE18)</f>
        <v>212480044.84210527</v>
      </c>
      <c r="AF16" s="39">
        <f t="shared" ref="AF16" si="19">SUM(AF17:AF18)</f>
        <v>198472609.84210527</v>
      </c>
      <c r="AG16" s="39">
        <f t="shared" ref="AG16" si="20">SUM(AG17:AG18)</f>
        <v>191904255.84210527</v>
      </c>
      <c r="AH16" s="39">
        <f t="shared" ref="AH16" si="21">SUM(AH17:AH18)</f>
        <v>186305034.84210527</v>
      </c>
      <c r="AI16" s="39">
        <f t="shared" ref="AI16" si="22">SUM(AI17:AI18)</f>
        <v>184511012.84210527</v>
      </c>
      <c r="AJ16" s="39">
        <f t="shared" ref="AJ16" si="23">SUM(AJ17:AJ18)</f>
        <v>167682208.84210527</v>
      </c>
      <c r="AK16" s="39">
        <f t="shared" ref="AK16" si="24">SUM(AK17:AK18)</f>
        <v>165698992.84210527</v>
      </c>
      <c r="AL16" s="39">
        <f t="shared" ref="AL16" si="25">SUM(AL17:AL18)</f>
        <v>163778129.84210527</v>
      </c>
      <c r="AM16" s="39">
        <f t="shared" ref="AM16" si="26">SUM(AM17:AM18)</f>
        <v>162399171.84210527</v>
      </c>
      <c r="AN16" s="39">
        <f t="shared" ref="AN16" si="27">SUM(AN17:AN18)</f>
        <v>160821071.84210527</v>
      </c>
      <c r="AO16" s="39">
        <f t="shared" ref="AO16" si="28">SUM(AO17:AO18)</f>
        <v>159217530.84210527</v>
      </c>
      <c r="AP16" s="39">
        <f t="shared" ref="AP16" si="29">SUM(AP17:AP18)</f>
        <v>156662222.84210527</v>
      </c>
      <c r="AQ16" s="39">
        <f t="shared" ref="AQ16" si="30">SUM(AQ17:AQ18)</f>
        <v>155159647.84210527</v>
      </c>
      <c r="AR16" s="39">
        <f t="shared" ref="AR16" si="31">SUM(AR17:AR18)</f>
        <v>154738190.84210527</v>
      </c>
      <c r="AS16" s="39">
        <f t="shared" ref="AS16" si="32">SUM(AS17:AS18)</f>
        <v>153684675.84210527</v>
      </c>
      <c r="AT16" s="39">
        <f t="shared" ref="AT16" si="33">SUM(AT17:AT18)</f>
        <v>152829902.84210527</v>
      </c>
      <c r="AU16" s="39">
        <f t="shared" ref="AU16" si="34">SUM(AU17:AU18)</f>
        <v>151157146.84210527</v>
      </c>
      <c r="AV16" s="39">
        <f t="shared" ref="AV16" si="35">SUM(AV17:AV18)</f>
        <v>150012839.84210527</v>
      </c>
      <c r="AW16" s="39">
        <f t="shared" ref="AW16" si="36">SUM(AW17:AW18)</f>
        <v>148639704.84210527</v>
      </c>
      <c r="AX16" s="39">
        <f t="shared" ref="AX16" si="37">SUM(AX17:AX18)</f>
        <v>147340186.84210527</v>
      </c>
      <c r="AY16" s="39">
        <f t="shared" ref="AY16" si="38">SUM(AY17:AY18)</f>
        <v>132902500.84210527</v>
      </c>
      <c r="AZ16" s="39">
        <f t="shared" ref="AZ16" si="39">SUM(AZ17:AZ18)</f>
        <v>128801778.84210527</v>
      </c>
      <c r="BA16" s="39">
        <f t="shared" ref="BA16" si="40">SUM(BA17:BA18)</f>
        <v>127173860.84210527</v>
      </c>
      <c r="BB16" s="39">
        <f t="shared" ref="BB16" si="41">SUM(BB17:BB18)</f>
        <v>121953494.84210527</v>
      </c>
      <c r="BC16" s="39">
        <f t="shared" ref="BC16" si="42">SUM(BC17:BC18)</f>
        <v>108190521.84210527</v>
      </c>
      <c r="BD16" s="39">
        <f t="shared" ref="BD16" si="43">SUM(BD17:BD18)</f>
        <v>98373629.842105269</v>
      </c>
      <c r="BE16" s="39">
        <f t="shared" ref="BE16" si="44">SUM(BE17:BE18)</f>
        <v>64457884.842105262</v>
      </c>
      <c r="BF16" s="39">
        <f t="shared" ref="BF16" si="45">SUM(BF17:BF18)</f>
        <v>46457740.842105262</v>
      </c>
      <c r="BG16" s="39">
        <f t="shared" ref="BG16" si="46">SUM(BG17:BG18)</f>
        <v>43899534.842105262</v>
      </c>
      <c r="BH16" s="39">
        <f t="shared" ref="BH16" si="47">SUM(BH17:BH18)</f>
        <v>43154157.842105262</v>
      </c>
      <c r="BI16" s="39">
        <f t="shared" ref="BI16" si="48">SUM(BI17:BI18)</f>
        <v>42049746.842105262</v>
      </c>
      <c r="BJ16" s="39">
        <f t="shared" ref="BJ16" si="49">SUM(BJ17:BJ18)</f>
        <v>41414489.842105262</v>
      </c>
      <c r="BK16" s="39">
        <f t="shared" ref="BK16" si="50">SUM(BK17:BK18)</f>
        <v>41101610.842105262</v>
      </c>
      <c r="BL16" s="39">
        <f t="shared" ref="BL16" si="51">SUM(BL17:BL18)</f>
        <v>40825513.842105262</v>
      </c>
      <c r="BM16" s="39">
        <f t="shared" ref="BM16" si="52">SUM(BM17:BM18)</f>
        <v>32945758</v>
      </c>
      <c r="BN16" s="39">
        <f t="shared" ref="BN16" si="53">SUM(BN17:BN18)</f>
        <v>29650024</v>
      </c>
      <c r="BO16" s="39">
        <f t="shared" ref="BO16" si="54">SUM(BO17:BO18)</f>
        <v>26441622</v>
      </c>
      <c r="BP16" s="39">
        <f t="shared" ref="BP16" si="55">SUM(BP17:BP18)</f>
        <v>21615106</v>
      </c>
      <c r="BQ16" s="39">
        <f t="shared" ref="BQ16" si="56">SUM(BQ17:BQ18)</f>
        <v>18321351</v>
      </c>
    </row>
    <row r="17" spans="2:69">
      <c r="B17" s="4"/>
      <c r="C17" s="4"/>
      <c r="D17" s="4"/>
      <c r="E17" s="1" t="s">
        <v>733</v>
      </c>
      <c r="F17" s="1"/>
      <c r="G17" s="10"/>
      <c r="H17" s="10"/>
      <c r="I17" s="10"/>
      <c r="J17" s="10"/>
      <c r="K17" s="1" t="s">
        <v>170</v>
      </c>
      <c r="L17" s="1"/>
      <c r="M17" s="1"/>
      <c r="N17" s="85">
        <f>【PL】決算数値入力!W17</f>
        <v>95135147</v>
      </c>
      <c r="O17" s="85">
        <f>【PL】決算数値入力!X17</f>
        <v>288889699</v>
      </c>
      <c r="P17" s="85">
        <f>【PL】決算数値入力!Y17</f>
        <v>336382478</v>
      </c>
      <c r="Q17" s="85">
        <f>【PL】決算数値入力!Z17</f>
        <v>419319678</v>
      </c>
      <c r="R17" s="85">
        <f>【PL】決算数値入力!AA17</f>
        <v>336409057</v>
      </c>
      <c r="S17" s="85">
        <f>【PL】決算数値入力!AB17</f>
        <v>196728118.90000001</v>
      </c>
      <c r="T17" s="85">
        <v>334202174</v>
      </c>
      <c r="U17" s="85">
        <v>334252462</v>
      </c>
      <c r="V17" s="85">
        <v>329946028</v>
      </c>
      <c r="W17" s="85">
        <v>323203522</v>
      </c>
      <c r="X17" s="85">
        <v>308882372</v>
      </c>
      <c r="Y17" s="85">
        <v>295687375</v>
      </c>
      <c r="Z17" s="85">
        <v>284539789</v>
      </c>
      <c r="AA17" s="85">
        <v>276884100</v>
      </c>
      <c r="AB17" s="85">
        <v>273884174</v>
      </c>
      <c r="AC17" s="85">
        <v>267903518</v>
      </c>
      <c r="AD17" s="85">
        <v>261262088</v>
      </c>
      <c r="AE17" s="85">
        <v>205550308</v>
      </c>
      <c r="AF17" s="85">
        <v>191542873</v>
      </c>
      <c r="AG17" s="85">
        <v>184974519</v>
      </c>
      <c r="AH17" s="85">
        <v>179375298</v>
      </c>
      <c r="AI17" s="85">
        <v>177581276</v>
      </c>
      <c r="AJ17" s="85">
        <v>160752472</v>
      </c>
      <c r="AK17" s="85">
        <v>158769256</v>
      </c>
      <c r="AL17" s="85">
        <v>156848393</v>
      </c>
      <c r="AM17" s="85">
        <v>155469435</v>
      </c>
      <c r="AN17" s="85">
        <v>153891335</v>
      </c>
      <c r="AO17" s="85">
        <v>152287794</v>
      </c>
      <c r="AP17" s="85">
        <v>149732486</v>
      </c>
      <c r="AQ17" s="85">
        <v>148229911</v>
      </c>
      <c r="AR17" s="85">
        <v>147808454</v>
      </c>
      <c r="AS17" s="85">
        <v>146754939</v>
      </c>
      <c r="AT17" s="85">
        <v>145900166</v>
      </c>
      <c r="AU17" s="85">
        <v>144227410</v>
      </c>
      <c r="AV17" s="85">
        <v>143083103</v>
      </c>
      <c r="AW17" s="85">
        <v>141709968</v>
      </c>
      <c r="AX17" s="85">
        <v>140410450</v>
      </c>
      <c r="AY17" s="85">
        <v>125972764</v>
      </c>
      <c r="AZ17" s="85">
        <v>121872042</v>
      </c>
      <c r="BA17" s="85">
        <v>120244124</v>
      </c>
      <c r="BB17" s="85">
        <v>115023758</v>
      </c>
      <c r="BC17" s="85">
        <v>101260785</v>
      </c>
      <c r="BD17" s="85">
        <v>91443893</v>
      </c>
      <c r="BE17" s="85">
        <v>57528148</v>
      </c>
      <c r="BF17" s="85">
        <v>39528004</v>
      </c>
      <c r="BG17" s="85">
        <v>36969798</v>
      </c>
      <c r="BH17" s="85">
        <v>36224421</v>
      </c>
      <c r="BI17" s="85">
        <v>35120010</v>
      </c>
      <c r="BJ17" s="85">
        <v>34484753</v>
      </c>
      <c r="BK17" s="85">
        <v>34171874</v>
      </c>
      <c r="BL17" s="85">
        <v>33895777</v>
      </c>
      <c r="BM17" s="85">
        <v>32945758</v>
      </c>
      <c r="BN17" s="85">
        <v>29650024</v>
      </c>
      <c r="BO17" s="85">
        <v>26441622</v>
      </c>
      <c r="BP17" s="85">
        <v>21615106</v>
      </c>
      <c r="BQ17" s="85">
        <v>18321351</v>
      </c>
    </row>
    <row r="18" spans="2:69">
      <c r="B18" s="4"/>
      <c r="C18" s="3"/>
      <c r="D18" s="3"/>
      <c r="E18" s="1" t="s">
        <v>734</v>
      </c>
      <c r="F18" s="1"/>
      <c r="G18" s="10"/>
      <c r="H18" s="10"/>
      <c r="I18" s="10"/>
      <c r="J18" s="10"/>
      <c r="K18" s="1" t="s">
        <v>171</v>
      </c>
      <c r="L18" s="1"/>
      <c r="M18" s="1"/>
      <c r="N18" s="85">
        <f>【PL】決算数値入力!W18</f>
        <v>0</v>
      </c>
      <c r="O18" s="85">
        <f>【PL】決算数値入力!X18</f>
        <v>0</v>
      </c>
      <c r="P18" s="85">
        <f>【PL】決算数値入力!Y18</f>
        <v>0</v>
      </c>
      <c r="Q18" s="85">
        <f>【PL】決算数値入力!Z18</f>
        <v>0</v>
      </c>
      <c r="R18" s="85">
        <f>【PL】決算数値入力!AA18</f>
        <v>0</v>
      </c>
      <c r="S18" s="85">
        <f>【PL】決算数値入力!AB18</f>
        <v>0</v>
      </c>
      <c r="T18" s="85">
        <f>新規取得!I5</f>
        <v>0</v>
      </c>
      <c r="U18" s="85">
        <f>新規取得!J5</f>
        <v>0</v>
      </c>
      <c r="V18" s="85">
        <f>新規取得!P5</f>
        <v>0</v>
      </c>
      <c r="W18" s="85">
        <f>新規取得!Q5</f>
        <v>1666578.9473684211</v>
      </c>
      <c r="X18" s="85">
        <f>新規取得!R5</f>
        <v>2982368.4210526319</v>
      </c>
      <c r="Y18" s="85">
        <f>新規取得!S5</f>
        <v>4298157.8947368423</v>
      </c>
      <c r="Z18" s="85">
        <f>新規取得!T5</f>
        <v>5613947.3684210526</v>
      </c>
      <c r="AA18" s="85">
        <f>新規取得!U5</f>
        <v>6929736.8421052629</v>
      </c>
      <c r="AB18" s="85">
        <f>新規取得!V5</f>
        <v>6929736.8421052629</v>
      </c>
      <c r="AC18" s="85">
        <f>新規取得!W5</f>
        <v>6929736.8421052629</v>
      </c>
      <c r="AD18" s="85">
        <f>新規取得!X5</f>
        <v>6929736.8421052629</v>
      </c>
      <c r="AE18" s="85">
        <f>新規取得!Y5</f>
        <v>6929736.8421052629</v>
      </c>
      <c r="AF18" s="85">
        <f>新規取得!Z5</f>
        <v>6929736.8421052629</v>
      </c>
      <c r="AG18" s="85">
        <f>新規取得!AA5</f>
        <v>6929736.8421052629</v>
      </c>
      <c r="AH18" s="85">
        <f>新規取得!AB5</f>
        <v>6929736.8421052629</v>
      </c>
      <c r="AI18" s="85">
        <f>新規取得!AC5</f>
        <v>6929736.8421052629</v>
      </c>
      <c r="AJ18" s="85">
        <f>新規取得!AD5</f>
        <v>6929736.8421052629</v>
      </c>
      <c r="AK18" s="85">
        <f>新規取得!AE5</f>
        <v>6929736.8421052629</v>
      </c>
      <c r="AL18" s="85">
        <f>新規取得!AF5</f>
        <v>6929736.8421052629</v>
      </c>
      <c r="AM18" s="85">
        <f>新規取得!AG5</f>
        <v>6929736.8421052629</v>
      </c>
      <c r="AN18" s="85">
        <f>新規取得!AH5</f>
        <v>6929736.8421052629</v>
      </c>
      <c r="AO18" s="85">
        <f>新規取得!AI5</f>
        <v>6929736.8421052629</v>
      </c>
      <c r="AP18" s="85">
        <f>新規取得!AJ5</f>
        <v>6929736.8421052629</v>
      </c>
      <c r="AQ18" s="85">
        <f>新規取得!AK5</f>
        <v>6929736.8421052629</v>
      </c>
      <c r="AR18" s="85">
        <f>新規取得!AL5</f>
        <v>6929736.8421052629</v>
      </c>
      <c r="AS18" s="85">
        <f>新規取得!AM5</f>
        <v>6929736.8421052629</v>
      </c>
      <c r="AT18" s="85">
        <f>新規取得!AN5</f>
        <v>6929736.8421052629</v>
      </c>
      <c r="AU18" s="85">
        <f>新規取得!AO5</f>
        <v>6929736.8421052629</v>
      </c>
      <c r="AV18" s="85">
        <f>新規取得!AP5</f>
        <v>6929736.8421052629</v>
      </c>
      <c r="AW18" s="85">
        <f>新規取得!AQ5</f>
        <v>6929736.8421052629</v>
      </c>
      <c r="AX18" s="85">
        <f>新規取得!AR5</f>
        <v>6929736.8421052629</v>
      </c>
      <c r="AY18" s="85">
        <f>新規取得!AS5</f>
        <v>6929736.8421052629</v>
      </c>
      <c r="AZ18" s="85">
        <f>新規取得!AT5</f>
        <v>6929736.8421052629</v>
      </c>
      <c r="BA18" s="85">
        <f>新規取得!AU5</f>
        <v>6929736.8421052629</v>
      </c>
      <c r="BB18" s="85">
        <f>新規取得!AV5</f>
        <v>6929736.8421052629</v>
      </c>
      <c r="BC18" s="85">
        <f>新規取得!AW5</f>
        <v>6929736.8421052629</v>
      </c>
      <c r="BD18" s="85">
        <f>新規取得!AX5</f>
        <v>6929736.8421052629</v>
      </c>
      <c r="BE18" s="85">
        <f>新規取得!AY5</f>
        <v>6929736.8421052629</v>
      </c>
      <c r="BF18" s="85">
        <f>新規取得!AZ5</f>
        <v>6929736.8421052629</v>
      </c>
      <c r="BG18" s="85">
        <f>新規取得!BA5</f>
        <v>6929736.8421052629</v>
      </c>
      <c r="BH18" s="85">
        <f>新規取得!BB5</f>
        <v>6929736.8421052629</v>
      </c>
      <c r="BI18" s="85">
        <f>新規取得!BC5</f>
        <v>6929736.8421052629</v>
      </c>
      <c r="BJ18" s="85">
        <f>新規取得!BD5</f>
        <v>6929736.8421052629</v>
      </c>
      <c r="BK18" s="85">
        <f>新規取得!BE5</f>
        <v>6929736.8421052629</v>
      </c>
      <c r="BL18" s="85">
        <f>新規取得!BF5</f>
        <v>6929736.8421052629</v>
      </c>
      <c r="BM18" s="85">
        <f>新規取得!BG5</f>
        <v>0</v>
      </c>
      <c r="BN18" s="85">
        <f>新規取得!BH5</f>
        <v>0</v>
      </c>
      <c r="BO18" s="85">
        <f>新規取得!BI5</f>
        <v>0</v>
      </c>
      <c r="BP18" s="85">
        <f>新規取得!BJ5</f>
        <v>0</v>
      </c>
      <c r="BQ18" s="85">
        <f>新規取得!BK5</f>
        <v>0</v>
      </c>
    </row>
    <row r="19" spans="2:69">
      <c r="B19" s="4"/>
      <c r="C19" s="9" t="s">
        <v>81</v>
      </c>
      <c r="D19" s="7"/>
      <c r="E19" s="8"/>
      <c r="F19" s="1"/>
      <c r="G19" s="10"/>
      <c r="H19" s="10"/>
      <c r="I19" s="10"/>
      <c r="J19" s="10" t="s">
        <v>166</v>
      </c>
      <c r="K19" s="1" t="s">
        <v>163</v>
      </c>
      <c r="L19" s="1"/>
      <c r="M19" s="1"/>
      <c r="N19" s="85">
        <f>【PL】決算数値入力!W19</f>
        <v>0</v>
      </c>
      <c r="O19" s="85">
        <f>【PL】決算数値入力!X19</f>
        <v>0</v>
      </c>
      <c r="P19" s="85">
        <f>【PL】決算数値入力!Y19</f>
        <v>0</v>
      </c>
      <c r="Q19" s="85">
        <f>【PL】決算数値入力!Z19</f>
        <v>0</v>
      </c>
      <c r="R19" s="85">
        <f>【PL】決算数値入力!AA19</f>
        <v>0</v>
      </c>
      <c r="S19" s="85">
        <f>【PL】決算数値入力!AB19</f>
        <v>0</v>
      </c>
      <c r="T19" s="85">
        <v>0</v>
      </c>
      <c r="U19" s="85">
        <v>0</v>
      </c>
      <c r="V19" s="85">
        <v>0</v>
      </c>
      <c r="W19" s="85">
        <v>0</v>
      </c>
      <c r="X19" s="85">
        <v>0</v>
      </c>
      <c r="Y19" s="85">
        <v>0</v>
      </c>
      <c r="Z19" s="85">
        <v>0</v>
      </c>
      <c r="AA19" s="85">
        <v>0</v>
      </c>
      <c r="AB19" s="85">
        <v>0</v>
      </c>
      <c r="AC19" s="85">
        <v>0</v>
      </c>
      <c r="AD19" s="85">
        <v>0</v>
      </c>
      <c r="AE19" s="85">
        <v>0</v>
      </c>
      <c r="AF19" s="85">
        <v>0</v>
      </c>
      <c r="AG19" s="85">
        <v>0</v>
      </c>
      <c r="AH19" s="85">
        <v>0</v>
      </c>
      <c r="AI19" s="85">
        <v>0</v>
      </c>
      <c r="AJ19" s="85">
        <v>0</v>
      </c>
      <c r="AK19" s="85">
        <v>0</v>
      </c>
      <c r="AL19" s="85">
        <v>0</v>
      </c>
      <c r="AM19" s="85">
        <v>0</v>
      </c>
      <c r="AN19" s="85">
        <v>0</v>
      </c>
      <c r="AO19" s="85">
        <v>0</v>
      </c>
      <c r="AP19" s="85">
        <v>0</v>
      </c>
      <c r="AQ19" s="85">
        <v>0</v>
      </c>
      <c r="AR19" s="85">
        <v>0</v>
      </c>
      <c r="AS19" s="85">
        <v>0</v>
      </c>
      <c r="AT19" s="85">
        <v>0</v>
      </c>
      <c r="AU19" s="85">
        <v>0</v>
      </c>
      <c r="AV19" s="85">
        <v>0</v>
      </c>
      <c r="AW19" s="85">
        <v>0</v>
      </c>
      <c r="AX19" s="85">
        <v>0</v>
      </c>
      <c r="AY19" s="85">
        <v>0</v>
      </c>
      <c r="AZ19" s="85">
        <v>0</v>
      </c>
      <c r="BA19" s="85">
        <v>0</v>
      </c>
      <c r="BB19" s="85">
        <v>0</v>
      </c>
      <c r="BC19" s="85">
        <v>0</v>
      </c>
      <c r="BD19" s="85">
        <v>0</v>
      </c>
      <c r="BE19" s="85">
        <v>0</v>
      </c>
      <c r="BF19" s="85">
        <v>0</v>
      </c>
      <c r="BG19" s="85">
        <v>0</v>
      </c>
      <c r="BH19" s="85">
        <v>0</v>
      </c>
      <c r="BI19" s="85">
        <v>0</v>
      </c>
      <c r="BJ19" s="85">
        <v>0</v>
      </c>
      <c r="BK19" s="85">
        <v>0</v>
      </c>
      <c r="BL19" s="85">
        <v>0</v>
      </c>
      <c r="BM19" s="85">
        <v>0</v>
      </c>
      <c r="BN19" s="85">
        <v>0</v>
      </c>
      <c r="BO19" s="85">
        <v>0</v>
      </c>
      <c r="BP19" s="85">
        <v>0</v>
      </c>
      <c r="BQ19" s="85">
        <v>0</v>
      </c>
    </row>
    <row r="20" spans="2:69">
      <c r="B20" s="4"/>
      <c r="C20" s="5" t="s">
        <v>82</v>
      </c>
      <c r="D20" s="7"/>
      <c r="E20" s="8"/>
      <c r="F20" s="1"/>
      <c r="G20" s="10"/>
      <c r="H20" s="10"/>
      <c r="I20" s="10"/>
      <c r="J20" s="10"/>
      <c r="K20" s="1"/>
      <c r="L20" s="1"/>
      <c r="M20" s="1"/>
      <c r="N20" s="85">
        <f>【PL】決算数値入力!W20</f>
        <v>0</v>
      </c>
      <c r="O20" s="85">
        <f>【PL】決算数値入力!X20</f>
        <v>0</v>
      </c>
      <c r="P20" s="85">
        <f>【PL】決算数値入力!Y20</f>
        <v>0</v>
      </c>
      <c r="Q20" s="85">
        <f>【PL】決算数値入力!Z20</f>
        <v>0</v>
      </c>
      <c r="R20" s="85">
        <f>【PL】決算数値入力!AA20</f>
        <v>0</v>
      </c>
      <c r="S20" s="85">
        <f>【PL】決算数値入力!AB20</f>
        <v>0</v>
      </c>
      <c r="T20" s="85">
        <f t="shared" ref="T20:BQ20" si="57">SUM(T21:T23)</f>
        <v>0</v>
      </c>
      <c r="U20" s="85">
        <f t="shared" si="57"/>
        <v>0</v>
      </c>
      <c r="V20" s="85">
        <f t="shared" si="57"/>
        <v>0</v>
      </c>
      <c r="W20" s="85">
        <f t="shared" si="57"/>
        <v>0</v>
      </c>
      <c r="X20" s="85">
        <f t="shared" si="57"/>
        <v>0</v>
      </c>
      <c r="Y20" s="85">
        <f t="shared" si="57"/>
        <v>0</v>
      </c>
      <c r="Z20" s="85">
        <f t="shared" si="57"/>
        <v>0</v>
      </c>
      <c r="AA20" s="85">
        <f t="shared" si="57"/>
        <v>0</v>
      </c>
      <c r="AB20" s="85">
        <f t="shared" si="57"/>
        <v>0</v>
      </c>
      <c r="AC20" s="85">
        <f t="shared" si="57"/>
        <v>0</v>
      </c>
      <c r="AD20" s="85">
        <f t="shared" si="57"/>
        <v>0</v>
      </c>
      <c r="AE20" s="85">
        <f t="shared" si="57"/>
        <v>0</v>
      </c>
      <c r="AF20" s="85">
        <f t="shared" si="57"/>
        <v>0</v>
      </c>
      <c r="AG20" s="85">
        <f t="shared" si="57"/>
        <v>0</v>
      </c>
      <c r="AH20" s="85">
        <f t="shared" si="57"/>
        <v>0</v>
      </c>
      <c r="AI20" s="85">
        <f t="shared" si="57"/>
        <v>0</v>
      </c>
      <c r="AJ20" s="85">
        <f t="shared" si="57"/>
        <v>0</v>
      </c>
      <c r="AK20" s="85">
        <f t="shared" si="57"/>
        <v>0</v>
      </c>
      <c r="AL20" s="85">
        <f t="shared" si="57"/>
        <v>0</v>
      </c>
      <c r="AM20" s="85">
        <f t="shared" si="57"/>
        <v>0</v>
      </c>
      <c r="AN20" s="85">
        <f t="shared" si="57"/>
        <v>0</v>
      </c>
      <c r="AO20" s="85">
        <f t="shared" si="57"/>
        <v>0</v>
      </c>
      <c r="AP20" s="85">
        <f t="shared" si="57"/>
        <v>0</v>
      </c>
      <c r="AQ20" s="85">
        <f t="shared" si="57"/>
        <v>0</v>
      </c>
      <c r="AR20" s="85">
        <f t="shared" si="57"/>
        <v>0</v>
      </c>
      <c r="AS20" s="85">
        <f t="shared" si="57"/>
        <v>0</v>
      </c>
      <c r="AT20" s="85">
        <f t="shared" si="57"/>
        <v>0</v>
      </c>
      <c r="AU20" s="85">
        <f t="shared" si="57"/>
        <v>0</v>
      </c>
      <c r="AV20" s="85">
        <f t="shared" si="57"/>
        <v>0</v>
      </c>
      <c r="AW20" s="85">
        <f t="shared" si="57"/>
        <v>0</v>
      </c>
      <c r="AX20" s="85">
        <f t="shared" si="57"/>
        <v>0</v>
      </c>
      <c r="AY20" s="85">
        <f t="shared" si="57"/>
        <v>0</v>
      </c>
      <c r="AZ20" s="85">
        <f t="shared" si="57"/>
        <v>0</v>
      </c>
      <c r="BA20" s="85">
        <f t="shared" si="57"/>
        <v>0</v>
      </c>
      <c r="BB20" s="85">
        <f t="shared" si="57"/>
        <v>0</v>
      </c>
      <c r="BC20" s="85">
        <f t="shared" si="57"/>
        <v>0</v>
      </c>
      <c r="BD20" s="85">
        <f t="shared" si="57"/>
        <v>0</v>
      </c>
      <c r="BE20" s="85">
        <f t="shared" si="57"/>
        <v>0</v>
      </c>
      <c r="BF20" s="85">
        <f t="shared" si="57"/>
        <v>0</v>
      </c>
      <c r="BG20" s="85">
        <f t="shared" si="57"/>
        <v>0</v>
      </c>
      <c r="BH20" s="85">
        <f t="shared" si="57"/>
        <v>0</v>
      </c>
      <c r="BI20" s="85">
        <f t="shared" si="57"/>
        <v>0</v>
      </c>
      <c r="BJ20" s="85">
        <f t="shared" si="57"/>
        <v>0</v>
      </c>
      <c r="BK20" s="85">
        <f t="shared" si="57"/>
        <v>0</v>
      </c>
      <c r="BL20" s="85">
        <f t="shared" si="57"/>
        <v>0</v>
      </c>
      <c r="BM20" s="85">
        <f t="shared" si="57"/>
        <v>0</v>
      </c>
      <c r="BN20" s="85">
        <f t="shared" si="57"/>
        <v>0</v>
      </c>
      <c r="BO20" s="85">
        <f t="shared" si="57"/>
        <v>0</v>
      </c>
      <c r="BP20" s="85">
        <f t="shared" si="57"/>
        <v>0</v>
      </c>
      <c r="BQ20" s="85">
        <f t="shared" si="57"/>
        <v>0</v>
      </c>
    </row>
    <row r="21" spans="2:69">
      <c r="B21" s="4"/>
      <c r="C21" s="4"/>
      <c r="D21" s="9" t="s">
        <v>83</v>
      </c>
      <c r="E21" s="8"/>
      <c r="F21" s="1"/>
      <c r="G21" s="10"/>
      <c r="H21" s="10"/>
      <c r="I21" s="10"/>
      <c r="J21" s="10" t="s">
        <v>166</v>
      </c>
      <c r="K21" s="1" t="s">
        <v>163</v>
      </c>
      <c r="L21" s="1"/>
      <c r="M21" s="1"/>
      <c r="N21" s="85">
        <f>【PL】決算数値入力!W21</f>
        <v>0</v>
      </c>
      <c r="O21" s="85">
        <f>【PL】決算数値入力!X21</f>
        <v>0</v>
      </c>
      <c r="P21" s="85">
        <f>【PL】決算数値入力!Y21</f>
        <v>0</v>
      </c>
      <c r="Q21" s="85">
        <f>【PL】決算数値入力!Z21</f>
        <v>0</v>
      </c>
      <c r="R21" s="85">
        <f>【PL】決算数値入力!AA21</f>
        <v>0</v>
      </c>
      <c r="S21" s="85">
        <f>【PL】決算数値入力!AB21</f>
        <v>0</v>
      </c>
      <c r="T21" s="85">
        <v>0</v>
      </c>
      <c r="U21" s="85">
        <v>0</v>
      </c>
      <c r="V21" s="85">
        <v>0</v>
      </c>
      <c r="W21" s="85">
        <v>0</v>
      </c>
      <c r="X21" s="85">
        <v>0</v>
      </c>
      <c r="Y21" s="85">
        <v>0</v>
      </c>
      <c r="Z21" s="85">
        <v>0</v>
      </c>
      <c r="AA21" s="85">
        <v>0</v>
      </c>
      <c r="AB21" s="85">
        <v>0</v>
      </c>
      <c r="AC21" s="85">
        <v>0</v>
      </c>
      <c r="AD21" s="85">
        <v>0</v>
      </c>
      <c r="AE21" s="85">
        <v>0</v>
      </c>
      <c r="AF21" s="85">
        <v>0</v>
      </c>
      <c r="AG21" s="85">
        <v>0</v>
      </c>
      <c r="AH21" s="85">
        <v>0</v>
      </c>
      <c r="AI21" s="85">
        <v>0</v>
      </c>
      <c r="AJ21" s="85">
        <v>0</v>
      </c>
      <c r="AK21" s="85">
        <v>0</v>
      </c>
      <c r="AL21" s="85">
        <v>0</v>
      </c>
      <c r="AM21" s="85">
        <v>0</v>
      </c>
      <c r="AN21" s="85">
        <v>0</v>
      </c>
      <c r="AO21" s="85">
        <v>0</v>
      </c>
      <c r="AP21" s="85">
        <v>0</v>
      </c>
      <c r="AQ21" s="85">
        <v>0</v>
      </c>
      <c r="AR21" s="85">
        <v>0</v>
      </c>
      <c r="AS21" s="85">
        <v>0</v>
      </c>
      <c r="AT21" s="85">
        <v>0</v>
      </c>
      <c r="AU21" s="85">
        <v>0</v>
      </c>
      <c r="AV21" s="85">
        <v>0</v>
      </c>
      <c r="AW21" s="85">
        <v>0</v>
      </c>
      <c r="AX21" s="85">
        <v>0</v>
      </c>
      <c r="AY21" s="85">
        <v>0</v>
      </c>
      <c r="AZ21" s="85">
        <v>0</v>
      </c>
      <c r="BA21" s="85">
        <v>0</v>
      </c>
      <c r="BB21" s="85">
        <v>0</v>
      </c>
      <c r="BC21" s="85">
        <v>0</v>
      </c>
      <c r="BD21" s="85">
        <v>0</v>
      </c>
      <c r="BE21" s="85">
        <v>0</v>
      </c>
      <c r="BF21" s="85">
        <v>0</v>
      </c>
      <c r="BG21" s="85">
        <v>0</v>
      </c>
      <c r="BH21" s="85">
        <v>0</v>
      </c>
      <c r="BI21" s="85">
        <v>0</v>
      </c>
      <c r="BJ21" s="85">
        <v>0</v>
      </c>
      <c r="BK21" s="85">
        <v>0</v>
      </c>
      <c r="BL21" s="85">
        <v>0</v>
      </c>
      <c r="BM21" s="85">
        <v>0</v>
      </c>
      <c r="BN21" s="85">
        <v>0</v>
      </c>
      <c r="BO21" s="85">
        <v>0</v>
      </c>
      <c r="BP21" s="85">
        <v>0</v>
      </c>
      <c r="BQ21" s="85">
        <v>0</v>
      </c>
    </row>
    <row r="22" spans="2:69">
      <c r="B22" s="4"/>
      <c r="C22" s="4"/>
      <c r="D22" s="9" t="s">
        <v>84</v>
      </c>
      <c r="E22" s="8"/>
      <c r="F22" s="1"/>
      <c r="G22" s="10"/>
      <c r="H22" s="10"/>
      <c r="I22" s="10"/>
      <c r="J22" s="10" t="s">
        <v>166</v>
      </c>
      <c r="K22" s="1" t="s">
        <v>163</v>
      </c>
      <c r="L22" s="1"/>
      <c r="M22" s="1"/>
      <c r="N22" s="85">
        <f>【PL】決算数値入力!W22</f>
        <v>0</v>
      </c>
      <c r="O22" s="85">
        <f>【PL】決算数値入力!X22</f>
        <v>0</v>
      </c>
      <c r="P22" s="85">
        <f>【PL】決算数値入力!Y22</f>
        <v>0</v>
      </c>
      <c r="Q22" s="85">
        <f>【PL】決算数値入力!Z22</f>
        <v>0</v>
      </c>
      <c r="R22" s="85">
        <f>【PL】決算数値入力!AA22</f>
        <v>0</v>
      </c>
      <c r="S22" s="85">
        <f>【PL】決算数値入力!AB22</f>
        <v>0</v>
      </c>
      <c r="T22" s="85"/>
      <c r="U22" s="189"/>
      <c r="V22" s="85">
        <v>0</v>
      </c>
      <c r="W22" s="85">
        <v>0</v>
      </c>
      <c r="X22" s="85">
        <v>0</v>
      </c>
      <c r="Y22" s="85">
        <v>0</v>
      </c>
      <c r="Z22" s="85">
        <v>0</v>
      </c>
      <c r="AA22" s="85">
        <v>0</v>
      </c>
      <c r="AB22" s="85">
        <v>0</v>
      </c>
      <c r="AC22" s="85">
        <v>0</v>
      </c>
      <c r="AD22" s="85">
        <v>0</v>
      </c>
      <c r="AE22" s="85">
        <v>0</v>
      </c>
      <c r="AF22" s="85">
        <v>0</v>
      </c>
      <c r="AG22" s="85">
        <v>0</v>
      </c>
      <c r="AH22" s="85">
        <v>0</v>
      </c>
      <c r="AI22" s="85">
        <v>0</v>
      </c>
      <c r="AJ22" s="85">
        <v>0</v>
      </c>
      <c r="AK22" s="85">
        <v>0</v>
      </c>
      <c r="AL22" s="85">
        <v>0</v>
      </c>
      <c r="AM22" s="85">
        <v>0</v>
      </c>
      <c r="AN22" s="85">
        <v>0</v>
      </c>
      <c r="AO22" s="85">
        <v>0</v>
      </c>
      <c r="AP22" s="85">
        <v>0</v>
      </c>
      <c r="AQ22" s="85">
        <v>0</v>
      </c>
      <c r="AR22" s="85">
        <v>0</v>
      </c>
      <c r="AS22" s="85">
        <v>0</v>
      </c>
      <c r="AT22" s="85">
        <v>0</v>
      </c>
      <c r="AU22" s="85">
        <v>0</v>
      </c>
      <c r="AV22" s="85">
        <v>0</v>
      </c>
      <c r="AW22" s="85">
        <v>0</v>
      </c>
      <c r="AX22" s="85">
        <v>0</v>
      </c>
      <c r="AY22" s="85">
        <v>0</v>
      </c>
      <c r="AZ22" s="85">
        <v>0</v>
      </c>
      <c r="BA22" s="85">
        <v>0</v>
      </c>
      <c r="BB22" s="85">
        <v>0</v>
      </c>
      <c r="BC22" s="85">
        <v>0</v>
      </c>
      <c r="BD22" s="85">
        <v>0</v>
      </c>
      <c r="BE22" s="85">
        <v>0</v>
      </c>
      <c r="BF22" s="85">
        <v>0</v>
      </c>
      <c r="BG22" s="85">
        <v>0</v>
      </c>
      <c r="BH22" s="85">
        <v>0</v>
      </c>
      <c r="BI22" s="85">
        <v>0</v>
      </c>
      <c r="BJ22" s="85">
        <v>0</v>
      </c>
      <c r="BK22" s="85">
        <v>0</v>
      </c>
      <c r="BL22" s="85">
        <v>0</v>
      </c>
      <c r="BM22" s="85">
        <v>0</v>
      </c>
      <c r="BN22" s="85">
        <v>0</v>
      </c>
      <c r="BO22" s="85">
        <v>0</v>
      </c>
      <c r="BP22" s="85">
        <v>0</v>
      </c>
      <c r="BQ22" s="85">
        <v>0</v>
      </c>
    </row>
    <row r="23" spans="2:69">
      <c r="B23" s="3"/>
      <c r="C23" s="3"/>
      <c r="D23" s="9" t="s">
        <v>85</v>
      </c>
      <c r="E23" s="8"/>
      <c r="F23" s="1"/>
      <c r="G23" s="10"/>
      <c r="H23" s="10"/>
      <c r="I23" s="10"/>
      <c r="J23" s="10" t="s">
        <v>166</v>
      </c>
      <c r="K23" s="1" t="s">
        <v>163</v>
      </c>
      <c r="L23" s="1"/>
      <c r="M23" s="1"/>
      <c r="N23" s="85">
        <f>【PL】決算数値入力!W23</f>
        <v>0</v>
      </c>
      <c r="O23" s="85">
        <f>【PL】決算数値入力!X23</f>
        <v>0</v>
      </c>
      <c r="P23" s="85">
        <f>【PL】決算数値入力!Y23</f>
        <v>0</v>
      </c>
      <c r="Q23" s="85">
        <f>【PL】決算数値入力!Z23</f>
        <v>0</v>
      </c>
      <c r="R23" s="85">
        <f>【PL】決算数値入力!AA23</f>
        <v>0</v>
      </c>
      <c r="S23" s="85">
        <f>【PL】決算数値入力!AB23</f>
        <v>0</v>
      </c>
      <c r="T23" s="85">
        <v>0</v>
      </c>
      <c r="U23" s="85">
        <v>0</v>
      </c>
      <c r="V23" s="85">
        <v>0</v>
      </c>
      <c r="W23" s="85">
        <v>0</v>
      </c>
      <c r="X23" s="85">
        <v>0</v>
      </c>
      <c r="Y23" s="85">
        <v>0</v>
      </c>
      <c r="Z23" s="85">
        <v>0</v>
      </c>
      <c r="AA23" s="85">
        <v>0</v>
      </c>
      <c r="AB23" s="85">
        <v>0</v>
      </c>
      <c r="AC23" s="85">
        <v>0</v>
      </c>
      <c r="AD23" s="85">
        <v>0</v>
      </c>
      <c r="AE23" s="85">
        <v>0</v>
      </c>
      <c r="AF23" s="85">
        <v>0</v>
      </c>
      <c r="AG23" s="85">
        <v>0</v>
      </c>
      <c r="AH23" s="85">
        <v>0</v>
      </c>
      <c r="AI23" s="85">
        <v>0</v>
      </c>
      <c r="AJ23" s="85">
        <v>0</v>
      </c>
      <c r="AK23" s="85">
        <v>0</v>
      </c>
      <c r="AL23" s="85">
        <v>0</v>
      </c>
      <c r="AM23" s="85">
        <v>0</v>
      </c>
      <c r="AN23" s="85">
        <v>0</v>
      </c>
      <c r="AO23" s="85">
        <v>0</v>
      </c>
      <c r="AP23" s="85">
        <v>0</v>
      </c>
      <c r="AQ23" s="85">
        <v>0</v>
      </c>
      <c r="AR23" s="85">
        <v>0</v>
      </c>
      <c r="AS23" s="85">
        <v>0</v>
      </c>
      <c r="AT23" s="85">
        <v>0</v>
      </c>
      <c r="AU23" s="85">
        <v>0</v>
      </c>
      <c r="AV23" s="85">
        <v>0</v>
      </c>
      <c r="AW23" s="85">
        <v>0</v>
      </c>
      <c r="AX23" s="85">
        <v>0</v>
      </c>
      <c r="AY23" s="85">
        <v>0</v>
      </c>
      <c r="AZ23" s="85">
        <v>0</v>
      </c>
      <c r="BA23" s="85">
        <v>0</v>
      </c>
      <c r="BB23" s="85">
        <v>0</v>
      </c>
      <c r="BC23" s="85">
        <v>0</v>
      </c>
      <c r="BD23" s="85">
        <v>0</v>
      </c>
      <c r="BE23" s="85">
        <v>0</v>
      </c>
      <c r="BF23" s="85">
        <v>0</v>
      </c>
      <c r="BG23" s="85">
        <v>0</v>
      </c>
      <c r="BH23" s="85">
        <v>0</v>
      </c>
      <c r="BI23" s="85">
        <v>0</v>
      </c>
      <c r="BJ23" s="85">
        <v>0</v>
      </c>
      <c r="BK23" s="85">
        <v>0</v>
      </c>
      <c r="BL23" s="85">
        <v>0</v>
      </c>
      <c r="BM23" s="85">
        <v>0</v>
      </c>
      <c r="BN23" s="85">
        <v>0</v>
      </c>
      <c r="BO23" s="85">
        <v>0</v>
      </c>
      <c r="BP23" s="85">
        <v>0</v>
      </c>
      <c r="BQ23" s="85">
        <v>0</v>
      </c>
    </row>
    <row r="24" spans="2:69">
      <c r="B24" s="5" t="s">
        <v>86</v>
      </c>
      <c r="C24" s="7"/>
      <c r="D24" s="7"/>
      <c r="E24" s="8"/>
      <c r="F24" s="1"/>
      <c r="G24" s="10"/>
      <c r="H24" s="10"/>
      <c r="I24" s="10"/>
      <c r="J24" s="10"/>
      <c r="K24" s="1"/>
      <c r="L24" s="1"/>
      <c r="M24" s="1"/>
      <c r="N24" s="39">
        <f>【PL】決算数値入力!W24</f>
        <v>390874183</v>
      </c>
      <c r="O24" s="39">
        <f>【PL】決算数値入力!X24</f>
        <v>507845824</v>
      </c>
      <c r="P24" s="39">
        <f>【PL】決算数値入力!Y24</f>
        <v>543887736</v>
      </c>
      <c r="Q24" s="39">
        <f>【PL】決算数値入力!Z24</f>
        <v>694576672</v>
      </c>
      <c r="R24" s="39">
        <f>【PL】決算数値入力!AA24</f>
        <v>564428515</v>
      </c>
      <c r="S24" s="39">
        <f>【PL】決算数値入力!AB24</f>
        <v>420868994.39999998</v>
      </c>
      <c r="T24" s="39">
        <f>SUM(T25,T58,T63)</f>
        <v>532105330</v>
      </c>
      <c r="U24" s="39">
        <f>SUM(U25,U58,U63)</f>
        <v>546680663</v>
      </c>
      <c r="V24" s="85">
        <f t="shared" ref="V24:BQ24" si="58">SUM(V25,V58,V63)</f>
        <v>554561152</v>
      </c>
      <c r="W24" s="39">
        <f t="shared" si="58"/>
        <v>584482252</v>
      </c>
      <c r="X24" s="39">
        <f t="shared" si="58"/>
        <v>591468537</v>
      </c>
      <c r="Y24" s="39">
        <f t="shared" si="58"/>
        <v>594356181</v>
      </c>
      <c r="Z24" s="39">
        <f t="shared" si="58"/>
        <v>594585505</v>
      </c>
      <c r="AA24" s="39">
        <f t="shared" si="58"/>
        <v>597174026</v>
      </c>
      <c r="AB24" s="39">
        <f t="shared" si="58"/>
        <v>609218905</v>
      </c>
      <c r="AC24" s="39">
        <f t="shared" si="58"/>
        <v>617107303</v>
      </c>
      <c r="AD24" s="39">
        <f t="shared" si="58"/>
        <v>622596280</v>
      </c>
      <c r="AE24" s="39">
        <f t="shared" si="58"/>
        <v>571880200</v>
      </c>
      <c r="AF24" s="39">
        <f t="shared" si="58"/>
        <v>564488705</v>
      </c>
      <c r="AG24" s="39">
        <f t="shared" si="58"/>
        <v>573822193</v>
      </c>
      <c r="AH24" s="39">
        <f t="shared" si="58"/>
        <v>591758422</v>
      </c>
      <c r="AI24" s="39">
        <f t="shared" si="58"/>
        <v>613330956</v>
      </c>
      <c r="AJ24" s="39">
        <f t="shared" si="58"/>
        <v>618685011</v>
      </c>
      <c r="AK24" s="39">
        <f t="shared" si="58"/>
        <v>640738884</v>
      </c>
      <c r="AL24" s="39">
        <f t="shared" si="58"/>
        <v>664106761</v>
      </c>
      <c r="AM24" s="39">
        <f t="shared" si="58"/>
        <v>689012913</v>
      </c>
      <c r="AN24" s="39">
        <f t="shared" si="58"/>
        <v>713763712</v>
      </c>
      <c r="AO24" s="39">
        <f t="shared" si="58"/>
        <v>724246469</v>
      </c>
      <c r="AP24" s="39">
        <f t="shared" si="58"/>
        <v>721801617</v>
      </c>
      <c r="AQ24" s="39">
        <f t="shared" si="58"/>
        <v>719923899</v>
      </c>
      <c r="AR24" s="39">
        <f t="shared" si="58"/>
        <v>719225818</v>
      </c>
      <c r="AS24" s="39">
        <f t="shared" si="58"/>
        <v>717966991</v>
      </c>
      <c r="AT24" s="39">
        <f t="shared" si="58"/>
        <v>717336946</v>
      </c>
      <c r="AU24" s="39">
        <f t="shared" si="58"/>
        <v>716182613</v>
      </c>
      <c r="AV24" s="39">
        <f t="shared" si="58"/>
        <v>715734834</v>
      </c>
      <c r="AW24" s="39">
        <f t="shared" si="58"/>
        <v>714949116</v>
      </c>
      <c r="AX24" s="39">
        <f t="shared" si="58"/>
        <v>713740709</v>
      </c>
      <c r="AY24" s="39">
        <f t="shared" si="58"/>
        <v>698735965</v>
      </c>
      <c r="AZ24" s="39">
        <f t="shared" si="58"/>
        <v>694310253</v>
      </c>
      <c r="BA24" s="39">
        <f t="shared" si="58"/>
        <v>692639335</v>
      </c>
      <c r="BB24" s="39">
        <f t="shared" si="58"/>
        <v>687126298</v>
      </c>
      <c r="BC24" s="39">
        <f t="shared" si="58"/>
        <v>672827397</v>
      </c>
      <c r="BD24" s="39">
        <f t="shared" si="58"/>
        <v>662688881</v>
      </c>
      <c r="BE24" s="39">
        <f t="shared" si="58"/>
        <v>627474403</v>
      </c>
      <c r="BF24" s="39">
        <f t="shared" si="58"/>
        <v>608269380</v>
      </c>
      <c r="BG24" s="39">
        <f t="shared" si="58"/>
        <v>605079220</v>
      </c>
      <c r="BH24" s="39">
        <f t="shared" si="58"/>
        <v>595695869</v>
      </c>
      <c r="BI24" s="39">
        <f t="shared" si="58"/>
        <v>565834344</v>
      </c>
      <c r="BJ24" s="39">
        <f t="shared" si="58"/>
        <v>551226034</v>
      </c>
      <c r="BK24" s="39">
        <f t="shared" si="58"/>
        <v>534115136</v>
      </c>
      <c r="BL24" s="39">
        <f t="shared" si="58"/>
        <v>517943935</v>
      </c>
      <c r="BM24" s="39">
        <f t="shared" si="58"/>
        <v>305862608</v>
      </c>
      <c r="BN24" s="39">
        <f t="shared" si="58"/>
        <v>299765589</v>
      </c>
      <c r="BO24" s="39">
        <f t="shared" si="58"/>
        <v>292976131</v>
      </c>
      <c r="BP24" s="39">
        <f t="shared" si="58"/>
        <v>285562264</v>
      </c>
      <c r="BQ24" s="39">
        <f t="shared" si="58"/>
        <v>280012115</v>
      </c>
    </row>
    <row r="25" spans="2:69">
      <c r="B25" s="4"/>
      <c r="C25" s="5" t="s">
        <v>87</v>
      </c>
      <c r="D25" s="7"/>
      <c r="E25" s="8"/>
      <c r="F25" s="1"/>
      <c r="G25" s="10"/>
      <c r="H25" s="10"/>
      <c r="I25" s="10"/>
      <c r="J25" s="10"/>
      <c r="K25" s="1"/>
      <c r="L25" s="1"/>
      <c r="M25" s="1"/>
      <c r="N25" s="39">
        <f>【PL】決算数値入力!W25</f>
        <v>276187944</v>
      </c>
      <c r="O25" s="39">
        <f>【PL】決算数値入力!X25</f>
        <v>493988554</v>
      </c>
      <c r="P25" s="39">
        <f>【PL】決算数値入力!Y25</f>
        <v>537473069</v>
      </c>
      <c r="Q25" s="39">
        <f>【PL】決算数値入力!Z25</f>
        <v>687804951</v>
      </c>
      <c r="R25" s="39">
        <f>【PL】決算数値入力!AA25</f>
        <v>548360734</v>
      </c>
      <c r="S25" s="39">
        <f>【PL】決算数値入力!AB25</f>
        <v>359425182.19999999</v>
      </c>
      <c r="T25" s="39">
        <f>SUM(T26,T34,T43,T52,T55)</f>
        <v>517451551.60000002</v>
      </c>
      <c r="U25" s="39">
        <f t="shared" ref="U25:BQ25" si="59">SUM(U26,U34,U43,U52,U55)</f>
        <v>523866176.60000002</v>
      </c>
      <c r="V25" s="85">
        <f t="shared" si="59"/>
        <v>527193760.60000002</v>
      </c>
      <c r="W25" s="39">
        <f t="shared" si="59"/>
        <v>548105637.60000002</v>
      </c>
      <c r="X25" s="39">
        <f t="shared" si="59"/>
        <v>547316894.60000002</v>
      </c>
      <c r="Y25" s="39">
        <f t="shared" si="59"/>
        <v>542895516.60000002</v>
      </c>
      <c r="Z25" s="39">
        <f t="shared" si="59"/>
        <v>539258374.60000002</v>
      </c>
      <c r="AA25" s="39">
        <f t="shared" si="59"/>
        <v>538132900.60000002</v>
      </c>
      <c r="AB25" s="39">
        <f t="shared" si="59"/>
        <v>545613423.60000002</v>
      </c>
      <c r="AC25" s="39">
        <f t="shared" si="59"/>
        <v>547698363.60000002</v>
      </c>
      <c r="AD25" s="39">
        <f t="shared" si="59"/>
        <v>549196681.60000002</v>
      </c>
      <c r="AE25" s="39">
        <f t="shared" si="59"/>
        <v>496253238.60000002</v>
      </c>
      <c r="AF25" s="39">
        <f t="shared" si="59"/>
        <v>487360362.60000002</v>
      </c>
      <c r="AG25" s="39">
        <f t="shared" si="59"/>
        <v>495280225.60000002</v>
      </c>
      <c r="AH25" s="39">
        <f t="shared" si="59"/>
        <v>503908814.60000002</v>
      </c>
      <c r="AI25" s="39">
        <f t="shared" si="59"/>
        <v>516351049.60000002</v>
      </c>
      <c r="AJ25" s="85">
        <f t="shared" si="59"/>
        <v>512695995.60000002</v>
      </c>
      <c r="AK25" s="85">
        <f t="shared" si="59"/>
        <v>525952288.60000002</v>
      </c>
      <c r="AL25" s="85">
        <f t="shared" si="59"/>
        <v>540121115.60000002</v>
      </c>
      <c r="AM25" s="39">
        <f t="shared" si="59"/>
        <v>555582883.60000002</v>
      </c>
      <c r="AN25" s="39">
        <f t="shared" si="59"/>
        <v>571139346.60000002</v>
      </c>
      <c r="AO25" s="39">
        <f t="shared" si="59"/>
        <v>572686571.60000002</v>
      </c>
      <c r="AP25" s="39">
        <f t="shared" si="59"/>
        <v>572866494.60000002</v>
      </c>
      <c r="AQ25" s="39">
        <f t="shared" si="59"/>
        <v>573665118.60000002</v>
      </c>
      <c r="AR25" s="39">
        <f t="shared" si="59"/>
        <v>575698167.60000002</v>
      </c>
      <c r="AS25" s="39">
        <f t="shared" si="59"/>
        <v>577204349.60000002</v>
      </c>
      <c r="AT25" s="39">
        <f t="shared" si="59"/>
        <v>579236169.60000002</v>
      </c>
      <c r="AU25" s="39">
        <f t="shared" si="59"/>
        <v>580763901.60000002</v>
      </c>
      <c r="AV25" s="39">
        <f t="shared" si="59"/>
        <v>583093571.60000002</v>
      </c>
      <c r="AW25" s="39">
        <f t="shared" si="59"/>
        <v>585182687.60000002</v>
      </c>
      <c r="AX25" s="39">
        <f t="shared" si="59"/>
        <v>586948548.60000002</v>
      </c>
      <c r="AY25" s="39">
        <f t="shared" si="59"/>
        <v>575019591.60000002</v>
      </c>
      <c r="AZ25" s="39">
        <f t="shared" si="59"/>
        <v>573773317.60000002</v>
      </c>
      <c r="BA25" s="39">
        <f t="shared" si="59"/>
        <v>575387664.60000002</v>
      </c>
      <c r="BB25" s="39">
        <f t="shared" si="59"/>
        <v>573267943.60000002</v>
      </c>
      <c r="BC25" s="39">
        <f t="shared" si="59"/>
        <v>562472679.60000002</v>
      </c>
      <c r="BD25" s="39">
        <f t="shared" si="59"/>
        <v>555950435.60000002</v>
      </c>
      <c r="BE25" s="39">
        <f t="shared" si="59"/>
        <v>524467230.60000002</v>
      </c>
      <c r="BF25" s="39">
        <f t="shared" si="59"/>
        <v>509110897.60000002</v>
      </c>
      <c r="BG25" s="39">
        <f t="shared" si="59"/>
        <v>509889309.60000002</v>
      </c>
      <c r="BH25" s="39">
        <f t="shared" si="59"/>
        <v>504596929.60000002</v>
      </c>
      <c r="BI25" s="39">
        <f t="shared" si="59"/>
        <v>478951346.60000002</v>
      </c>
      <c r="BJ25" s="39">
        <f t="shared" si="59"/>
        <v>468498775.60000002</v>
      </c>
      <c r="BK25" s="39">
        <f t="shared" si="59"/>
        <v>455511050.60000002</v>
      </c>
      <c r="BL25" s="39">
        <f t="shared" si="59"/>
        <v>444288167.60000002</v>
      </c>
      <c r="BM25" s="39">
        <f t="shared" si="59"/>
        <v>236945031.59999999</v>
      </c>
      <c r="BN25" s="39">
        <f t="shared" si="59"/>
        <v>235383382.59999999</v>
      </c>
      <c r="BO25" s="39">
        <f t="shared" si="59"/>
        <v>233039396.59999999</v>
      </c>
      <c r="BP25" s="39">
        <f t="shared" si="59"/>
        <v>229979210.59999999</v>
      </c>
      <c r="BQ25" s="39">
        <f t="shared" si="59"/>
        <v>228649965.59999999</v>
      </c>
    </row>
    <row r="26" spans="2:69">
      <c r="B26" s="4"/>
      <c r="C26" s="4"/>
      <c r="D26" s="5" t="s">
        <v>88</v>
      </c>
      <c r="E26" s="8"/>
      <c r="F26" s="302" t="s">
        <v>174</v>
      </c>
      <c r="G26" s="10"/>
      <c r="H26" s="10"/>
      <c r="I26" s="10"/>
      <c r="J26" s="10"/>
      <c r="K26" s="1"/>
      <c r="L26" s="1"/>
      <c r="M26" s="1"/>
      <c r="N26" s="39">
        <f>【PL】決算数値入力!W26</f>
        <v>68125490</v>
      </c>
      <c r="O26" s="39">
        <f>【PL】決算数値入力!X26</f>
        <v>86729085</v>
      </c>
      <c r="P26" s="39">
        <f>【PL】決算数値入力!Y26</f>
        <v>77675517</v>
      </c>
      <c r="Q26" s="39">
        <f>【PL】決算数値入力!Z26</f>
        <v>81124641</v>
      </c>
      <c r="R26" s="39">
        <f>【PL】決算数値入力!AA26</f>
        <v>85901288</v>
      </c>
      <c r="S26" s="39">
        <f>【PL】決算数値入力!AB26</f>
        <v>69189920.900000006</v>
      </c>
      <c r="T26" s="39">
        <f>SUM(T27:T33)</f>
        <v>64166869.600000001</v>
      </c>
      <c r="U26" s="39">
        <f t="shared" ref="U26:BQ26" si="60">SUM(U27:U33)</f>
        <v>64698199.600000001</v>
      </c>
      <c r="V26" s="85">
        <f t="shared" si="60"/>
        <v>65210912.600000001</v>
      </c>
      <c r="W26" s="39">
        <f t="shared" si="60"/>
        <v>65733138.600000001</v>
      </c>
      <c r="X26" s="39">
        <f t="shared" si="60"/>
        <v>66261969.600000001</v>
      </c>
      <c r="Y26" s="39">
        <f t="shared" si="60"/>
        <v>66800190.600000001</v>
      </c>
      <c r="Z26" s="39">
        <f t="shared" si="60"/>
        <v>67324194.599999994</v>
      </c>
      <c r="AA26" s="39">
        <f t="shared" si="60"/>
        <v>67874655.599999994</v>
      </c>
      <c r="AB26" s="39">
        <f t="shared" si="60"/>
        <v>68431790.599999994</v>
      </c>
      <c r="AC26" s="39">
        <f t="shared" si="60"/>
        <v>68998328.599999994</v>
      </c>
      <c r="AD26" s="39">
        <f t="shared" si="60"/>
        <v>69566154.599999994</v>
      </c>
      <c r="AE26" s="39">
        <f t="shared" si="60"/>
        <v>70118325.599999994</v>
      </c>
      <c r="AF26" s="39">
        <f t="shared" si="60"/>
        <v>70704666.599999994</v>
      </c>
      <c r="AG26" s="39">
        <f t="shared" si="60"/>
        <v>71300234.599999994</v>
      </c>
      <c r="AH26" s="39">
        <f t="shared" si="60"/>
        <v>71897891.599999994</v>
      </c>
      <c r="AI26" s="39">
        <f t="shared" si="60"/>
        <v>72505125.599999994</v>
      </c>
      <c r="AJ26" s="39">
        <f t="shared" si="60"/>
        <v>73087148.599999994</v>
      </c>
      <c r="AK26" s="39">
        <f t="shared" si="60"/>
        <v>73712927.599999994</v>
      </c>
      <c r="AL26" s="39">
        <f t="shared" si="60"/>
        <v>74341581.599999994</v>
      </c>
      <c r="AM26" s="39">
        <f t="shared" si="60"/>
        <v>74979669.599999994</v>
      </c>
      <c r="AN26" s="39">
        <f t="shared" si="60"/>
        <v>75625107.599999994</v>
      </c>
      <c r="AO26" s="39">
        <f t="shared" si="60"/>
        <v>76243218.599999994</v>
      </c>
      <c r="AP26" s="39">
        <f t="shared" si="60"/>
        <v>76903077.599999994</v>
      </c>
      <c r="AQ26" s="39">
        <f t="shared" si="60"/>
        <v>77572457.599999994</v>
      </c>
      <c r="AR26" s="39">
        <f t="shared" si="60"/>
        <v>78249307.599999994</v>
      </c>
      <c r="AS26" s="39">
        <f t="shared" si="60"/>
        <v>78935733.599999994</v>
      </c>
      <c r="AT26" s="39">
        <f t="shared" si="60"/>
        <v>79587038.599999994</v>
      </c>
      <c r="AU26" s="39">
        <f t="shared" si="60"/>
        <v>80289009.599999994</v>
      </c>
      <c r="AV26" s="39">
        <f t="shared" si="60"/>
        <v>80998986.599999994</v>
      </c>
      <c r="AW26" s="39">
        <f t="shared" si="60"/>
        <v>81718485.599999994</v>
      </c>
      <c r="AX26" s="39">
        <f t="shared" si="60"/>
        <v>82442900.599999994</v>
      </c>
      <c r="AY26" s="39">
        <f t="shared" si="60"/>
        <v>83177010.599999994</v>
      </c>
      <c r="AZ26" s="39">
        <f t="shared" si="60"/>
        <v>83919272.599999994</v>
      </c>
      <c r="BA26" s="39">
        <f t="shared" si="60"/>
        <v>84671534.599999994</v>
      </c>
      <c r="BB26" s="39">
        <f t="shared" si="60"/>
        <v>85429018.599999994</v>
      </c>
      <c r="BC26" s="39">
        <f t="shared" si="60"/>
        <v>86196686.599999994</v>
      </c>
      <c r="BD26" s="39">
        <f t="shared" si="60"/>
        <v>86972870.599999994</v>
      </c>
      <c r="BE26" s="39">
        <f t="shared" si="60"/>
        <v>87759145.599999994</v>
      </c>
      <c r="BF26" s="39">
        <f t="shared" si="60"/>
        <v>88551368.599999994</v>
      </c>
      <c r="BG26" s="39">
        <f t="shared" si="60"/>
        <v>89353871.599999994</v>
      </c>
      <c r="BH26" s="39">
        <f t="shared" si="60"/>
        <v>90165475.599999994</v>
      </c>
      <c r="BI26" s="39">
        <f t="shared" si="60"/>
        <v>90987486.599999994</v>
      </c>
      <c r="BJ26" s="39">
        <f t="shared" si="60"/>
        <v>91815771.599999994</v>
      </c>
      <c r="BK26" s="39">
        <f t="shared" si="60"/>
        <v>92654864.599999994</v>
      </c>
      <c r="BL26" s="39">
        <f t="shared" si="60"/>
        <v>93503253.599999994</v>
      </c>
      <c r="BM26" s="39">
        <f t="shared" si="60"/>
        <v>94362385.599999994</v>
      </c>
      <c r="BN26" s="39">
        <f t="shared" si="60"/>
        <v>95228532.599999994</v>
      </c>
      <c r="BO26" s="39">
        <f t="shared" si="60"/>
        <v>96105630.599999994</v>
      </c>
      <c r="BP26" s="39">
        <f t="shared" si="60"/>
        <v>96992442.599999994</v>
      </c>
      <c r="BQ26" s="39">
        <f t="shared" si="60"/>
        <v>97890555.599999994</v>
      </c>
    </row>
    <row r="27" spans="2:69" s="265" customFormat="1">
      <c r="B27" s="262"/>
      <c r="C27" s="262"/>
      <c r="D27" s="262"/>
      <c r="E27" s="263" t="s">
        <v>89</v>
      </c>
      <c r="F27" s="303"/>
      <c r="G27" s="264"/>
      <c r="H27" s="264" t="s">
        <v>166</v>
      </c>
      <c r="I27" s="264"/>
      <c r="J27" s="264"/>
      <c r="K27" s="263" t="s">
        <v>720</v>
      </c>
      <c r="L27" s="264" t="s">
        <v>166</v>
      </c>
      <c r="M27" s="263"/>
      <c r="N27" s="85">
        <f>【PL】決算数値入力!W27</f>
        <v>6871890</v>
      </c>
      <c r="O27" s="85">
        <f>【PL】決算数値入力!X27</f>
        <v>6834594</v>
      </c>
      <c r="P27" s="85">
        <f>【PL】決算数値入力!Y27</f>
        <v>6604994</v>
      </c>
      <c r="Q27" s="85">
        <f>【PL】決算数値入力!Z27</f>
        <v>6808256</v>
      </c>
      <c r="R27" s="85">
        <f>【PL】決算数値入力!AA27</f>
        <v>6912531</v>
      </c>
      <c r="S27" s="85">
        <f>【PL】決算数値入力!AB27</f>
        <v>7539318.4000000004</v>
      </c>
      <c r="T27" s="85">
        <f>ROUND(S27*(1+物価上昇率!$H$9),0)</f>
        <v>7622251</v>
      </c>
      <c r="U27" s="85">
        <f>ROUND(T27*(1+物価上昇率!$H$9),0)</f>
        <v>7706096</v>
      </c>
      <c r="V27" s="85">
        <f>ROUND(U27*(1+物価上昇率!$H$9),0)</f>
        <v>7790863</v>
      </c>
      <c r="W27" s="85">
        <f>ROUND(V27*(1+物価上昇率!$H$9),0)</f>
        <v>7876562</v>
      </c>
      <c r="X27" s="85">
        <f>ROUND(W27*(1+物価上昇率!$H$9),0)</f>
        <v>7963204</v>
      </c>
      <c r="Y27" s="85">
        <f>ROUND(X27*(1+物価上昇率!$H$9),0)</f>
        <v>8050799</v>
      </c>
      <c r="Z27" s="85">
        <f>ROUND(Y27*(1+物価上昇率!$H$9),0)</f>
        <v>8139358</v>
      </c>
      <c r="AA27" s="85">
        <f>ROUND(Z27*(1+物価上昇率!$H$9),0)</f>
        <v>8228891</v>
      </c>
      <c r="AB27" s="85">
        <f>ROUND(AA27*(1+物価上昇率!$H$9),0)</f>
        <v>8319409</v>
      </c>
      <c r="AC27" s="85">
        <f>ROUND(AB27*(1+物価上昇率!$H$9),0)</f>
        <v>8410922</v>
      </c>
      <c r="AD27" s="85">
        <f>ROUND(AC27*(1+物価上昇率!$H$9),0)</f>
        <v>8503442</v>
      </c>
      <c r="AE27" s="85">
        <f>ROUND(AD27*(1+物価上昇率!$H$9),0)</f>
        <v>8596980</v>
      </c>
      <c r="AF27" s="85">
        <f>ROUND(AE27*(1+物価上昇率!$H$9),0)</f>
        <v>8691547</v>
      </c>
      <c r="AG27" s="85">
        <f>ROUND(AF27*(1+物価上昇率!$H$9),0)</f>
        <v>8787154</v>
      </c>
      <c r="AH27" s="85">
        <f>ROUND(AG27*(1+物価上昇率!$H$9),0)</f>
        <v>8883813</v>
      </c>
      <c r="AI27" s="85">
        <f>ROUND(AH27*(1+物価上昇率!$H$9),0)</f>
        <v>8981535</v>
      </c>
      <c r="AJ27" s="85">
        <f>ROUND(AI27*(1+物価上昇率!$H$9),0)</f>
        <v>9080332</v>
      </c>
      <c r="AK27" s="85">
        <f>ROUND(AJ27*(1+物価上昇率!$H$9),0)</f>
        <v>9180216</v>
      </c>
      <c r="AL27" s="85">
        <f>ROUND(AK27*(1+物価上昇率!$H$9),0)</f>
        <v>9281198</v>
      </c>
      <c r="AM27" s="85">
        <f>ROUND(AL27*(1+物価上昇率!$H$9),0)</f>
        <v>9383291</v>
      </c>
      <c r="AN27" s="85">
        <f>ROUND(AM27*(1+物価上昇率!$H$9),0)</f>
        <v>9486507</v>
      </c>
      <c r="AO27" s="85">
        <f>ROUND(AN27*(1+物価上昇率!$H$9),0)</f>
        <v>9590859</v>
      </c>
      <c r="AP27" s="85">
        <f>ROUND(AO27*(1+物価上昇率!$H$9),0)</f>
        <v>9696358</v>
      </c>
      <c r="AQ27" s="85">
        <f>ROUND(AP27*(1+物価上昇率!$H$9),0)</f>
        <v>9803018</v>
      </c>
      <c r="AR27" s="85">
        <f>ROUND(AQ27*(1+物価上昇率!$H$9),0)</f>
        <v>9910851</v>
      </c>
      <c r="AS27" s="85">
        <f>ROUND(AR27*(1+物価上昇率!$H$9),0)</f>
        <v>10019870</v>
      </c>
      <c r="AT27" s="85">
        <f>ROUND(AS27*(1+物価上昇率!$H$9),0)</f>
        <v>10130089</v>
      </c>
      <c r="AU27" s="85">
        <f>ROUND(AT27*(1+物価上昇率!$H$9),0)</f>
        <v>10241520</v>
      </c>
      <c r="AV27" s="85">
        <f>ROUND(AU27*(1+物価上昇率!$H$9),0)</f>
        <v>10354177</v>
      </c>
      <c r="AW27" s="85">
        <f>ROUND(AV27*(1+物価上昇率!$H$9),0)</f>
        <v>10468073</v>
      </c>
      <c r="AX27" s="85">
        <f>ROUND(AW27*(1+物価上昇率!$H$9),0)</f>
        <v>10583222</v>
      </c>
      <c r="AY27" s="85">
        <f>ROUND(AX27*(1+物価上昇率!$H$9),0)</f>
        <v>10699637</v>
      </c>
      <c r="AZ27" s="85">
        <f>ROUND(AY27*(1+物価上昇率!$H$9),0)</f>
        <v>10817333</v>
      </c>
      <c r="BA27" s="85">
        <f>ROUND(AZ27*(1+物価上昇率!$H$9),0)</f>
        <v>10936324</v>
      </c>
      <c r="BB27" s="85">
        <f>ROUND(BA27*(1+物価上昇率!$H$9),0)</f>
        <v>11056624</v>
      </c>
      <c r="BC27" s="85">
        <f>ROUND(BB27*(1+物価上昇率!$H$9),0)</f>
        <v>11178247</v>
      </c>
      <c r="BD27" s="85">
        <f>ROUND(BC27*(1+物価上昇率!$H$9),0)</f>
        <v>11301208</v>
      </c>
      <c r="BE27" s="85">
        <f>ROUND(BD27*(1+物価上昇率!$H$9),0)</f>
        <v>11425521</v>
      </c>
      <c r="BF27" s="85">
        <f>ROUND(BE27*(1+物価上昇率!$H$9),0)</f>
        <v>11551202</v>
      </c>
      <c r="BG27" s="85">
        <f>ROUND(BF27*(1+物価上昇率!$H$9),0)</f>
        <v>11678265</v>
      </c>
      <c r="BH27" s="85">
        <f>ROUND(BG27*(1+物価上昇率!$H$9),0)</f>
        <v>11806726</v>
      </c>
      <c r="BI27" s="85">
        <f>ROUND(BH27*(1+物価上昇率!$H$9),0)</f>
        <v>11936600</v>
      </c>
      <c r="BJ27" s="85">
        <f>ROUND(BI27*(1+物価上昇率!$H$9),0)</f>
        <v>12067903</v>
      </c>
      <c r="BK27" s="85">
        <f>ROUND(BJ27*(1+物価上昇率!$H$9),0)</f>
        <v>12200650</v>
      </c>
      <c r="BL27" s="85">
        <f>ROUND(BK27*(1+物価上昇率!$H$9),0)</f>
        <v>12334857</v>
      </c>
      <c r="BM27" s="85">
        <f>ROUND(BL27*(1+物価上昇率!$H$9),0)</f>
        <v>12470540</v>
      </c>
      <c r="BN27" s="85">
        <f>ROUND(BM27*(1+物価上昇率!$H$9),0)</f>
        <v>12607716</v>
      </c>
      <c r="BO27" s="85">
        <f>ROUND(BN27*(1+物価上昇率!$H$9),0)</f>
        <v>12746401</v>
      </c>
      <c r="BP27" s="85">
        <f>ROUND(BO27*(1+物価上昇率!$H$9),0)</f>
        <v>12886611</v>
      </c>
      <c r="BQ27" s="85">
        <f>ROUND(BP27*(1+物価上昇率!$H$9),0)</f>
        <v>13028364</v>
      </c>
    </row>
    <row r="28" spans="2:69" s="265" customFormat="1">
      <c r="B28" s="262"/>
      <c r="C28" s="262"/>
      <c r="D28" s="262"/>
      <c r="E28" s="263" t="s">
        <v>96</v>
      </c>
      <c r="F28" s="303"/>
      <c r="G28" s="264"/>
      <c r="H28" s="264"/>
      <c r="I28" s="264" t="s">
        <v>166</v>
      </c>
      <c r="J28" s="264"/>
      <c r="K28" s="263" t="s">
        <v>721</v>
      </c>
      <c r="L28" s="264" t="s">
        <v>166</v>
      </c>
      <c r="M28" s="263"/>
      <c r="N28" s="85">
        <f>【PL】決算数値入力!W28</f>
        <v>2543653</v>
      </c>
      <c r="O28" s="85">
        <f>【PL】決算数値入力!X28</f>
        <v>6880183</v>
      </c>
      <c r="P28" s="85">
        <f>【PL】決算数値入力!Y28</f>
        <v>7599848</v>
      </c>
      <c r="Q28" s="85">
        <f>【PL】決算数値入力!Z28</f>
        <v>9405448</v>
      </c>
      <c r="R28" s="85">
        <f>【PL】決算数値入力!AA28</f>
        <v>8392602</v>
      </c>
      <c r="S28" s="85">
        <f>【PL】決算数値入力!AB28</f>
        <v>4481765.5999999996</v>
      </c>
      <c r="T28" s="85">
        <f>ROUND(SUM(【PL】決算数値入力!$AB$28)/SUM(【収益】水需要予測!$N$19:$W$19),0)*【収益】水需要予測!Y21</f>
        <v>924716</v>
      </c>
      <c r="U28" s="85">
        <f>ROUND(SUM(【PL】決算数値入力!$AB$28)/SUM(【収益】水需要予測!$N$19:$W$19),0)*【収益】水需要予測!Z21</f>
        <v>922751</v>
      </c>
      <c r="V28" s="85">
        <f>ROUND(SUM(【PL】決算数値入力!$AB$28)/SUM(【収益】水需要予測!$N$19:$W$19),0)*【収益】水需要予測!AA21</f>
        <v>901322</v>
      </c>
      <c r="W28" s="85">
        <f>ROUND(SUM(【PL】決算数値入力!$AB$28)/SUM(【収益】水需要予測!$N$19:$W$19),0)*【収益】水需要予測!AB21</f>
        <v>882735</v>
      </c>
      <c r="X28" s="85">
        <f>ROUND(SUM(【PL】決算数値入力!$AB$28)/SUM(【収益】水需要予測!$N$19:$W$19),0)*【収益】水需要予測!AC21</f>
        <v>864628</v>
      </c>
      <c r="Y28" s="85">
        <f>ROUND(SUM(【PL】決算数値入力!$AB$28)/SUM(【収益】水需要予測!$N$19:$W$19),0)*【収益】水需要予測!AD21</f>
        <v>849162</v>
      </c>
      <c r="Z28" s="85">
        <f>ROUND(SUM(【PL】決算数値入力!$AB$28)/SUM(【収益】水需要予測!$N$19:$W$19),0)*【収益】水需要予測!AE21</f>
        <v>817519</v>
      </c>
      <c r="AA28" s="85">
        <f>ROUND(SUM(【PL】決算数値入力!$AB$28)/SUM(【収益】水需要予測!$N$19:$W$19),0)*【収益】水需要予測!AF21</f>
        <v>801976</v>
      </c>
      <c r="AB28" s="85">
        <f>ROUND(SUM(【PL】決算数値入力!$AB$28)/SUM(【収益】水需要予測!$N$19:$W$19),0)*【収益】水需要予測!AG21</f>
        <v>786754</v>
      </c>
      <c r="AC28" s="85">
        <f>ROUND(SUM(【PL】決算数値入力!$AB$28)/SUM(【収益】水需要予測!$N$19:$W$19),0)*【収益】水需要予測!AH21</f>
        <v>773967</v>
      </c>
      <c r="AD28" s="85">
        <f>ROUND(SUM(【PL】決算数値入力!$AB$28)/SUM(【収益】水需要予測!$N$19:$W$19),0)*【収益】水需要予測!AI21</f>
        <v>757110</v>
      </c>
      <c r="AE28" s="85">
        <f>ROUND(SUM(【PL】決算数値入力!$AB$28)/SUM(【収益】水需要予測!$N$19:$W$19),0)*【収益】水需要予測!AJ21</f>
        <v>722660</v>
      </c>
      <c r="AF28" s="85">
        <f>ROUND(SUM(【PL】決算数値入力!$AB$28)/SUM(【収益】水需要予測!$N$19:$W$19),0)*【収益】水需要予測!AK21</f>
        <v>710162</v>
      </c>
      <c r="AG28" s="85">
        <f>ROUND(SUM(【PL】決算数値入力!$AB$28)/SUM(【収益】水需要予測!$N$19:$W$19),0)*【収益】水需要予測!AL21</f>
        <v>699735</v>
      </c>
      <c r="AH28" s="85">
        <f>ROUND(SUM(【PL】決算数値入力!$AB$28)/SUM(【収益】水需要予測!$N$19:$W$19),0)*【収益】水需要予測!AM21</f>
        <v>685646</v>
      </c>
      <c r="AI28" s="85">
        <f>ROUND(SUM(【PL】決算数値入力!$AB$28)/SUM(【収益】水需要予測!$N$19:$W$19),0)*【収益】水需要予測!AN21</f>
        <v>673788</v>
      </c>
      <c r="AJ28" s="85">
        <f>ROUND(SUM(【PL】決算数値入力!$AB$28)/SUM(【収益】水需要予測!$N$19:$W$19),0)*【収益】水需要予測!AO21</f>
        <v>636453</v>
      </c>
      <c r="AK28" s="85">
        <f>ROUND(SUM(【PL】決算数値入力!$AB$28)/SUM(【収益】水需要予測!$N$19:$W$19),0)*【収益】水需要予測!AP21</f>
        <v>628396</v>
      </c>
      <c r="AL28" s="85">
        <f>ROUND(SUM(【PL】決算数値入力!$AB$28)/SUM(【収益】水需要予測!$N$19:$W$19),0)*【収益】水需要予測!AQ21</f>
        <v>617065</v>
      </c>
      <c r="AM28" s="85">
        <f>ROUND(SUM(【PL】決算数値入力!$AB$28)/SUM(【収益】水需要予測!$N$19:$W$19),0)*【収益】水需要予測!AR21</f>
        <v>607611</v>
      </c>
      <c r="AN28" s="85">
        <f>ROUND(SUM(【PL】決算数値入力!$AB$28)/SUM(【収益】水需要予測!$N$19:$W$19),0)*【収益】水需要予測!AS21</f>
        <v>598317</v>
      </c>
      <c r="AO28" s="85">
        <f>ROUND(SUM(【PL】決算数値入力!$AB$28)/SUM(【収益】水需要予測!$N$19:$W$19),0)*【収益】水需要予測!AT21</f>
        <v>561556</v>
      </c>
      <c r="AP28" s="85">
        <f>ROUND(SUM(【PL】決算数値入力!$AB$28)/SUM(【収益】水需要予測!$N$19:$W$19),0)*【収益】水需要予測!AU21</f>
        <v>552170</v>
      </c>
      <c r="AQ28" s="85">
        <f>ROUND(SUM(【PL】決算数値入力!$AB$28)/SUM(【収益】水需要予測!$N$19:$W$19),0)*【収益】水需要予測!AV21</f>
        <v>544479</v>
      </c>
      <c r="AR28" s="85">
        <f>ROUND(SUM(【PL】決算数値入力!$AB$28)/SUM(【収益】水需要予測!$N$19:$W$19),0)*【収益】水需要予測!AW21</f>
        <v>536787</v>
      </c>
      <c r="AS28" s="85">
        <f>ROUND(SUM(【PL】決算数値入力!$AB$28)/SUM(【収益】水需要予測!$N$19:$W$19),0)*【収益】水需要予測!AX21</f>
        <v>530706</v>
      </c>
      <c r="AT28" s="85">
        <f>ROUND(SUM(【PL】決算数値入力!$AB$28)/SUM(【収益】水需要予測!$N$19:$W$19),0)*【収益】水需要予測!AY21</f>
        <v>490640</v>
      </c>
      <c r="AU28" s="85">
        <f>ROUND(SUM(【PL】決算数値入力!$AB$28)/SUM(【収益】水需要予測!$N$19:$W$19),0)*【収益】水需要予測!AZ21</f>
        <v>484711</v>
      </c>
      <c r="AV28" s="85">
        <f>ROUND(SUM(【PL】決算数値入力!$AB$28)/SUM(【収益】水需要予測!$N$19:$W$19),0)*【収益】水需要予測!BA21</f>
        <v>478942</v>
      </c>
      <c r="AW28" s="85">
        <f>ROUND(SUM(【PL】決算数値入力!$AB$28)/SUM(【収益】水需要予測!$N$19:$W$19),0)*【収益】水需要予測!BB21</f>
        <v>474470</v>
      </c>
      <c r="AX28" s="85">
        <f>ROUND(SUM(【PL】決算数値入力!$AB$28)/SUM(【収益】水需要予測!$N$19:$W$19),0)*【収益】水需要予測!BC21</f>
        <v>467566</v>
      </c>
      <c r="AY28" s="85">
        <f>ROUND(SUM(【PL】決算数値入力!$AB$28)/SUM(【収益】水需要予測!$N$19:$W$19),0)*【収益】水需要予測!BD21</f>
        <v>461958</v>
      </c>
      <c r="AZ28" s="85">
        <f>ROUND(SUM(【PL】決算数値入力!$AB$28)/SUM(【収益】水需要予測!$N$19:$W$19),0)*【収益】水需要予測!BE21</f>
        <v>456349</v>
      </c>
      <c r="BA28" s="85">
        <f>ROUND(SUM(【PL】決算数値入力!$AB$28)/SUM(【収益】水需要予測!$N$19:$W$19),0)*【収益】水需要予測!BF21</f>
        <v>452137</v>
      </c>
      <c r="BB28" s="85">
        <f>ROUND(SUM(【PL】決算数値入力!$AB$28)/SUM(【収益】水需要予測!$N$19:$W$19),0)*【収益】水需要予測!BG21</f>
        <v>445453</v>
      </c>
      <c r="BC28" s="85">
        <f>ROUND(SUM(【PL】決算数値入力!$AB$28)/SUM(【収益】水需要予測!$N$19:$W$19),0)*【収益】水需要予測!BH21</f>
        <v>440166</v>
      </c>
      <c r="BD28" s="85">
        <f>ROUND(SUM(【PL】決算数値入力!$AB$28)/SUM(【収益】水需要予測!$N$19:$W$19),0)*【収益】水需要予測!BI21</f>
        <v>434878</v>
      </c>
      <c r="BE28" s="85">
        <f>ROUND(SUM(【PL】決算数値入力!$AB$28)/SUM(【収益】水需要予測!$N$19:$W$19),0)*【収益】水需要予測!BJ21</f>
        <v>430767</v>
      </c>
      <c r="BF28" s="85">
        <f>ROUND(SUM(【PL】決算数値入力!$AB$28)/SUM(【収益】水需要予測!$N$19:$W$19),0)*【収益】水需要予測!BK21</f>
        <v>424463</v>
      </c>
      <c r="BG28" s="85">
        <f>ROUND(SUM(【PL】決算数値入力!$AB$28)/SUM(【収益】水需要予測!$N$19:$W$19),0)*【収益】水需要予測!BL21</f>
        <v>419335</v>
      </c>
      <c r="BH28" s="85">
        <f>ROUND(SUM(【PL】決算数値入力!$AB$28)/SUM(【収益】水需要予測!$N$19:$W$19),0)*【収益】水需要予測!BM21</f>
        <v>414368</v>
      </c>
      <c r="BI28" s="85">
        <f>ROUND(SUM(【PL】決算数値入力!$AB$28)/SUM(【収益】水需要予測!$N$19:$W$19),0)*【収益】水需要予測!BN21</f>
        <v>410522</v>
      </c>
      <c r="BJ28" s="85">
        <f>ROUND(SUM(【PL】決算数値入力!$AB$28)/SUM(【収益】水需要予測!$N$19:$W$19),0)*【収益】水需要予測!BO21</f>
        <v>404433</v>
      </c>
      <c r="BK28" s="85">
        <f>ROUND(SUM(【PL】決算数値入力!$AB$28)/SUM(【収益】水需要予測!$N$19:$W$19),0)*【収益】水需要予測!BP21</f>
        <v>399626</v>
      </c>
      <c r="BL28" s="85">
        <f>ROUND(SUM(【PL】決算数値入力!$AB$28)/SUM(【収益】水需要予測!$N$19:$W$19),0)*【収益】水需要予測!BQ21</f>
        <v>394819</v>
      </c>
      <c r="BM28" s="85">
        <f>ROUND(SUM(【PL】決算数値入力!$AB$28)/SUM(【収益】水需要予測!$N$19:$W$19),0)*【収益】水需要予測!BR21</f>
        <v>391081</v>
      </c>
      <c r="BN28" s="85">
        <f>ROUND(SUM(【PL】決算数値入力!$AB$28)/SUM(【収益】水需要予測!$N$19:$W$19),0)*【収益】水需要予測!BS21</f>
        <v>385365</v>
      </c>
      <c r="BO28" s="85">
        <f>ROUND(SUM(【PL】決算数値入力!$AB$28)/SUM(【収益】水需要予測!$N$19:$W$19),0)*【収益】水需要予測!BT21</f>
        <v>380718</v>
      </c>
      <c r="BP28" s="85">
        <f>ROUND(SUM(【PL】決算数値入力!$AB$28)/SUM(【収益】水需要予測!$N$19:$W$19),0)*【収益】水需要予測!BU21</f>
        <v>376072</v>
      </c>
      <c r="BQ28" s="85">
        <f>ROUND(SUM(【PL】決算数値入力!$AB$28)/SUM(【収益】水需要予測!$N$19:$W$19),0)*【収益】水需要予測!BV21</f>
        <v>372603</v>
      </c>
    </row>
    <row r="29" spans="2:69">
      <c r="B29" s="4"/>
      <c r="C29" s="4"/>
      <c r="D29" s="4"/>
      <c r="E29" s="1" t="s">
        <v>90</v>
      </c>
      <c r="F29" s="303"/>
      <c r="G29" s="10"/>
      <c r="H29" s="10"/>
      <c r="I29" s="10" t="s">
        <v>166</v>
      </c>
      <c r="J29" s="10"/>
      <c r="K29" s="180" t="s">
        <v>721</v>
      </c>
      <c r="L29" s="10" t="s">
        <v>166</v>
      </c>
      <c r="M29" s="1"/>
      <c r="N29" s="39">
        <f>【PL】決算数値入力!W29</f>
        <v>2231130</v>
      </c>
      <c r="O29" s="39">
        <f>【PL】決算数値入力!X29</f>
        <v>2383550</v>
      </c>
      <c r="P29" s="39">
        <f>【PL】決算数値入力!Y29</f>
        <v>2505150</v>
      </c>
      <c r="Q29" s="39">
        <f>【PL】決算数値入力!Z29</f>
        <v>2578200</v>
      </c>
      <c r="R29" s="39">
        <f>【PL】決算数値入力!AA29</f>
        <v>3328640</v>
      </c>
      <c r="S29" s="39">
        <f>【PL】決算数値入力!AB29</f>
        <v>2232707.9</v>
      </c>
      <c r="T29" s="39">
        <f>ROUND(SUM(【PL】決算数値入力!$AB$29)/SUM(【収益】水需要予測!$N$19:$W$19)*【収益】水需要予測!Y21,0)</f>
        <v>238712</v>
      </c>
      <c r="U29" s="39">
        <f>ROUND(SUM(【PL】決算数値入力!$AB$29)/SUM(【収益】水需要予測!$N$19:$W$19)*【収益】水需要予測!Z21,0)</f>
        <v>238205</v>
      </c>
      <c r="V29" s="39">
        <f>ROUND(SUM(【PL】決算数値入力!$AB$29)/SUM(【収益】水需要予測!$N$19:$W$19)*【収益】水需要予測!AA21,0)</f>
        <v>232673</v>
      </c>
      <c r="W29" s="39">
        <f>ROUND(SUM(【PL】決算数値入力!$AB$29)/SUM(【収益】水需要予測!$N$19:$W$19)*【収益】水需要予測!AB21,0)</f>
        <v>227875</v>
      </c>
      <c r="X29" s="39">
        <f>ROUND(SUM(【PL】決算数値入力!$AB$29)/SUM(【収益】水需要予測!$N$19:$W$19)*【収益】水需要予測!AC21,0)</f>
        <v>223201</v>
      </c>
      <c r="Y29" s="39">
        <f>ROUND(SUM(【PL】決算数値入力!$AB$29)/SUM(【収益】水需要予測!$N$19:$W$19)*【収益】水需要予測!AD21,0)</f>
        <v>219208</v>
      </c>
      <c r="Z29" s="39">
        <f>ROUND(SUM(【PL】決算数値入力!$AB$29)/SUM(【収益】水需要予測!$N$19:$W$19)*【収益】水需要予測!AE21,0)</f>
        <v>211040</v>
      </c>
      <c r="AA29" s="39">
        <f>ROUND(SUM(【PL】決算数値入力!$AB$29)/SUM(【収益】水需要予測!$N$19:$W$19)*【収益】水需要予測!AF21,0)</f>
        <v>207027</v>
      </c>
      <c r="AB29" s="39">
        <f>ROUND(SUM(【PL】決算数値入力!$AB$29)/SUM(【収益】水需要予測!$N$19:$W$19)*【収益】水需要予測!AG21,0)</f>
        <v>203098</v>
      </c>
      <c r="AC29" s="39">
        <f>ROUND(SUM(【PL】決算数値入力!$AB$29)/SUM(【収益】水需要予測!$N$19:$W$19)*【収益】水需要予測!AH21,0)</f>
        <v>199797</v>
      </c>
      <c r="AD29" s="39">
        <f>ROUND(SUM(【PL】決算数値入力!$AB$29)/SUM(【収益】水需要予測!$N$19:$W$19)*【収益】水需要予測!AI21,0)</f>
        <v>195445</v>
      </c>
      <c r="AE29" s="39">
        <f>ROUND(SUM(【PL】決算数値入力!$AB$29)/SUM(【収益】水需要予測!$N$19:$W$19)*【収益】水需要予測!AJ21,0)</f>
        <v>186552</v>
      </c>
      <c r="AF29" s="39">
        <f>ROUND(SUM(【PL】決算数値入力!$AB$29)/SUM(【収益】水需要予測!$N$19:$W$19)*【収益】水需要予測!AK21,0)</f>
        <v>183326</v>
      </c>
      <c r="AG29" s="39">
        <f>ROUND(SUM(【PL】決算数値入力!$AB$29)/SUM(【収益】水需要予測!$N$19:$W$19)*【収益】水需要予測!AL21,0)</f>
        <v>180634</v>
      </c>
      <c r="AH29" s="39">
        <f>ROUND(SUM(【PL】決算数値入力!$AB$29)/SUM(【収益】水需要予測!$N$19:$W$19)*【収益】水需要予測!AM21,0)</f>
        <v>176997</v>
      </c>
      <c r="AI29" s="39">
        <f>ROUND(SUM(【PL】決算数値入力!$AB$29)/SUM(【収益】水需要予測!$N$19:$W$19)*【収益】水需要予測!AN21,0)</f>
        <v>173936</v>
      </c>
      <c r="AJ29" s="39">
        <f>ROUND(SUM(【PL】決算数値入力!$AB$29)/SUM(【収益】水需要予測!$N$19:$W$19)*【収益】水需要予測!AO21,0)</f>
        <v>164298</v>
      </c>
      <c r="AK29" s="39">
        <f>ROUND(SUM(【PL】決算数値入力!$AB$29)/SUM(【収益】水需要予測!$N$19:$W$19)*【収益】水需要予測!AP21,0)</f>
        <v>162218</v>
      </c>
      <c r="AL29" s="39">
        <f>ROUND(SUM(【PL】決算数値入力!$AB$29)/SUM(【収益】水需要予測!$N$19:$W$19)*【収益】水需要予測!AQ21,0)</f>
        <v>159293</v>
      </c>
      <c r="AM29" s="39">
        <f>ROUND(SUM(【PL】決算数値入力!$AB$29)/SUM(【収益】水需要予測!$N$19:$W$19)*【収益】水需要予測!AR21,0)</f>
        <v>156853</v>
      </c>
      <c r="AN29" s="39">
        <f>ROUND(SUM(【PL】決算数値入力!$AB$29)/SUM(【収益】水需要予測!$N$19:$W$19)*【収益】水需要予測!AS21,0)</f>
        <v>154453</v>
      </c>
      <c r="AO29" s="39">
        <f>ROUND(SUM(【PL】決算数値入力!$AB$29)/SUM(【収益】水需要予測!$N$19:$W$19)*【収益】水需要予測!AT21,0)</f>
        <v>144964</v>
      </c>
      <c r="AP29" s="39">
        <f>ROUND(SUM(【PL】決算数値入力!$AB$29)/SUM(【収益】水需要予測!$N$19:$W$19)*【収益】水需要予測!AU21,0)</f>
        <v>142541</v>
      </c>
      <c r="AQ29" s="39">
        <f>ROUND(SUM(【PL】決算数値入力!$AB$29)/SUM(【収益】水需要予測!$N$19:$W$19)*【収益】水需要予測!AV21,0)</f>
        <v>140555</v>
      </c>
      <c r="AR29" s="39">
        <f>ROUND(SUM(【PL】決算数値入力!$AB$29)/SUM(【収益】水需要予測!$N$19:$W$19)*【収益】水需要予測!AW21,0)</f>
        <v>138570</v>
      </c>
      <c r="AS29" s="39">
        <f>ROUND(SUM(【PL】決算数値入力!$AB$29)/SUM(【収益】水需要予測!$N$19:$W$19)*【収益】水需要予測!AX21,0)</f>
        <v>137000</v>
      </c>
      <c r="AT29" s="39">
        <f>ROUND(SUM(【PL】決算数値入力!$AB$29)/SUM(【収益】水需要予測!$N$19:$W$19)*【収益】水需要予測!AY21,0)</f>
        <v>126657</v>
      </c>
      <c r="AU29" s="39">
        <f>ROUND(SUM(【PL】決算数値入力!$AB$29)/SUM(【収益】水需要予測!$N$19:$W$19)*【収益】水需要予測!AZ21,0)</f>
        <v>125126</v>
      </c>
      <c r="AV29" s="39">
        <f>ROUND(SUM(【PL】決算数値入力!$AB$29)/SUM(【収益】水需要予測!$N$19:$W$19)*【収益】水需要予測!BA21,0)</f>
        <v>123637</v>
      </c>
      <c r="AW29" s="39">
        <f>ROUND(SUM(【PL】決算数値入力!$AB$29)/SUM(【収益】水需要予測!$N$19:$W$19)*【収益】水需要予測!BB21,0)</f>
        <v>122483</v>
      </c>
      <c r="AX29" s="39">
        <f>ROUND(SUM(【PL】決算数値入力!$AB$29)/SUM(【収益】水需要予測!$N$19:$W$19)*【収益】水需要予測!BC21,0)</f>
        <v>120700</v>
      </c>
      <c r="AY29" s="39">
        <f>ROUND(SUM(【PL】決算数値入力!$AB$29)/SUM(【収益】水需要予測!$N$19:$W$19)*【収益】水需要予測!BD21,0)</f>
        <v>119253</v>
      </c>
      <c r="AZ29" s="39">
        <f>ROUND(SUM(【PL】決算数値入力!$AB$29)/SUM(【収益】水需要予測!$N$19:$W$19)*【収益】水需要予測!BE21,0)</f>
        <v>117805</v>
      </c>
      <c r="BA29" s="39">
        <f>ROUND(SUM(【PL】決算数値入力!$AB$29)/SUM(【収益】水需要予測!$N$19:$W$19)*【収益】水需要予測!BF21,0)</f>
        <v>116718</v>
      </c>
      <c r="BB29" s="39">
        <f>ROUND(SUM(【PL】決算数値入力!$AB$29)/SUM(【収益】水需要予測!$N$19:$W$19)*【収益】水需要予測!BG21,0)</f>
        <v>114992</v>
      </c>
      <c r="BC29" s="39">
        <f>ROUND(SUM(【PL】決算数値入力!$AB$29)/SUM(【収益】水需要予測!$N$19:$W$19)*【収益】水需要予測!BH21,0)</f>
        <v>113627</v>
      </c>
      <c r="BD29" s="39">
        <f>ROUND(SUM(【PL】決算数値入力!$AB$29)/SUM(【収益】水需要予測!$N$19:$W$19)*【収益】水需要予測!BI21,0)</f>
        <v>112262</v>
      </c>
      <c r="BE29" s="39">
        <f>ROUND(SUM(【PL】決算数値入力!$AB$29)/SUM(【収益】水需要予測!$N$19:$W$19)*【収益】水需要予測!BJ21,0)</f>
        <v>111201</v>
      </c>
      <c r="BF29" s="39">
        <f>ROUND(SUM(【PL】決算数値入力!$AB$29)/SUM(【収益】水需要予測!$N$19:$W$19)*【収益】水需要予測!BK21,0)</f>
        <v>109574</v>
      </c>
      <c r="BG29" s="39">
        <f>ROUND(SUM(【PL】決算数値入力!$AB$29)/SUM(【収益】水需要予測!$N$19:$W$19)*【収益】水需要予測!BL21,0)</f>
        <v>108250</v>
      </c>
      <c r="BH29" s="39">
        <f>ROUND(SUM(【PL】決算数値入力!$AB$29)/SUM(【収益】水需要予測!$N$19:$W$19)*【収益】水需要予測!BM21,0)</f>
        <v>106968</v>
      </c>
      <c r="BI29" s="39">
        <f>ROUND(SUM(【PL】決算数値入力!$AB$29)/SUM(【収益】水需要予測!$N$19:$W$19)*【収益】水需要予測!BN21,0)</f>
        <v>105975</v>
      </c>
      <c r="BJ29" s="39">
        <f>ROUND(SUM(【PL】決算数値入力!$AB$29)/SUM(【収益】水需要予測!$N$19:$W$19)*【収益】水需要予測!BO21,0)</f>
        <v>104403</v>
      </c>
      <c r="BK29" s="39">
        <f>ROUND(SUM(【PL】決算数値入力!$AB$29)/SUM(【収益】水需要予測!$N$19:$W$19)*【収益】水需要予測!BP21,0)</f>
        <v>103162</v>
      </c>
      <c r="BL29" s="39">
        <f>ROUND(SUM(【PL】決算数値入力!$AB$29)/SUM(【収益】水需要予測!$N$19:$W$19)*【収益】水需要予測!BQ21,0)</f>
        <v>101921</v>
      </c>
      <c r="BM29" s="39">
        <f>ROUND(SUM(【PL】決算数値入力!$AB$29)/SUM(【収益】水需要予測!$N$19:$W$19)*【収益】水需要予測!BR21,0)</f>
        <v>100956</v>
      </c>
      <c r="BN29" s="39">
        <f>ROUND(SUM(【PL】決算数値入力!$AB$29)/SUM(【収益】水需要予測!$N$19:$W$19)*【収益】水需要予測!BS21,0)</f>
        <v>99481</v>
      </c>
      <c r="BO29" s="39">
        <f>ROUND(SUM(【PL】決算数値入力!$AB$29)/SUM(【収益】水需要予測!$N$19:$W$19)*【収益】水需要予測!BT21,0)</f>
        <v>98281</v>
      </c>
      <c r="BP29" s="39">
        <f>ROUND(SUM(【PL】決算数値入力!$AB$29)/SUM(【収益】水需要予測!$N$19:$W$19)*【収益】水需要予測!BU21,0)</f>
        <v>97082</v>
      </c>
      <c r="BQ29" s="39">
        <f>ROUND(SUM(【PL】決算数値入力!$AB$29)/SUM(【収益】水需要予測!$N$19:$W$19)*【収益】水需要予測!BV21,0)</f>
        <v>96186</v>
      </c>
    </row>
    <row r="30" spans="2:69" s="265" customFormat="1">
      <c r="B30" s="262"/>
      <c r="C30" s="262"/>
      <c r="D30" s="262"/>
      <c r="E30" s="263" t="s">
        <v>91</v>
      </c>
      <c r="F30" s="303"/>
      <c r="G30" s="264"/>
      <c r="H30" s="264" t="s">
        <v>166</v>
      </c>
      <c r="I30" s="264"/>
      <c r="J30" s="264"/>
      <c r="K30" s="263" t="s">
        <v>720</v>
      </c>
      <c r="L30" s="264" t="s">
        <v>166</v>
      </c>
      <c r="M30" s="263"/>
      <c r="N30" s="85">
        <f>【PL】決算数値入力!W30</f>
        <v>4684722</v>
      </c>
      <c r="O30" s="85">
        <f>【PL】決算数値入力!X30</f>
        <v>8618000</v>
      </c>
      <c r="P30" s="85">
        <f>【PL】決算数値入力!Y30</f>
        <v>1967420</v>
      </c>
      <c r="Q30" s="85">
        <f>【PL】決算数値入力!Z30</f>
        <v>0</v>
      </c>
      <c r="R30" s="85">
        <f>【PL】決算数値入力!AA30</f>
        <v>3913900</v>
      </c>
      <c r="S30" s="85">
        <f>【PL】決算数値入力!AB30</f>
        <v>2660995.2000000002</v>
      </c>
      <c r="T30" s="85">
        <f>ROUND(S30*(1+物価上昇率!$H$9),0)</f>
        <v>2690266</v>
      </c>
      <c r="U30" s="85">
        <f>ROUND(T30*(1+物価上昇率!$H$9),0)</f>
        <v>2719859</v>
      </c>
      <c r="V30" s="85">
        <f>ROUND(U30*(1+物価上昇率!$H$9),0)</f>
        <v>2749777</v>
      </c>
      <c r="W30" s="85">
        <f>ROUND(V30*(1+物価上昇率!$H$9),0)</f>
        <v>2780025</v>
      </c>
      <c r="X30" s="85">
        <f>ROUND(W30*(1+物価上昇率!$H$9),0)</f>
        <v>2810605</v>
      </c>
      <c r="Y30" s="85">
        <f>ROUND(X30*(1+物価上昇率!$H$9),0)</f>
        <v>2841522</v>
      </c>
      <c r="Z30" s="85">
        <f>ROUND(Y30*(1+物価上昇率!$H$9),0)</f>
        <v>2872779</v>
      </c>
      <c r="AA30" s="85">
        <f>ROUND(Z30*(1+物価上昇率!$H$9),0)</f>
        <v>2904380</v>
      </c>
      <c r="AB30" s="85">
        <f>ROUND(AA30*(1+物価上昇率!$H$9),0)</f>
        <v>2936328</v>
      </c>
      <c r="AC30" s="85">
        <f>ROUND(AB30*(1+物価上昇率!$H$9),0)</f>
        <v>2968628</v>
      </c>
      <c r="AD30" s="85">
        <f>ROUND(AC30*(1+物価上昇率!$H$9),0)</f>
        <v>3001283</v>
      </c>
      <c r="AE30" s="85">
        <f>ROUND(AD30*(1+物価上昇率!$H$9),0)</f>
        <v>3034297</v>
      </c>
      <c r="AF30" s="85">
        <f>ROUND(AE30*(1+物価上昇率!$H$9),0)</f>
        <v>3067674</v>
      </c>
      <c r="AG30" s="85">
        <f>ROUND(AF30*(1+物価上昇率!$H$9),0)</f>
        <v>3101418</v>
      </c>
      <c r="AH30" s="85">
        <f>ROUND(AG30*(1+物価上昇率!$H$9),0)</f>
        <v>3135534</v>
      </c>
      <c r="AI30" s="85">
        <f>ROUND(AH30*(1+物価上昇率!$H$9),0)</f>
        <v>3170025</v>
      </c>
      <c r="AJ30" s="85">
        <f>ROUND(AI30*(1+物価上昇率!$H$9),0)</f>
        <v>3204895</v>
      </c>
      <c r="AK30" s="85">
        <f>ROUND(AJ30*(1+物価上昇率!$H$9),0)</f>
        <v>3240149</v>
      </c>
      <c r="AL30" s="85">
        <f>ROUND(AK30*(1+物価上昇率!$H$9),0)</f>
        <v>3275791</v>
      </c>
      <c r="AM30" s="85">
        <f>ROUND(AL30*(1+物価上昇率!$H$9),0)</f>
        <v>3311825</v>
      </c>
      <c r="AN30" s="85">
        <f>ROUND(AM30*(1+物価上昇率!$H$9),0)</f>
        <v>3348255</v>
      </c>
      <c r="AO30" s="85">
        <f>ROUND(AN30*(1+物価上昇率!$H$9),0)</f>
        <v>3385086</v>
      </c>
      <c r="AP30" s="85">
        <f>ROUND(AO30*(1+物価上昇率!$H$9),0)</f>
        <v>3422322</v>
      </c>
      <c r="AQ30" s="85">
        <f>ROUND(AP30*(1+物価上昇率!$H$9),0)</f>
        <v>3459968</v>
      </c>
      <c r="AR30" s="85">
        <f>ROUND(AQ30*(1+物価上昇率!$H$9),0)</f>
        <v>3498028</v>
      </c>
      <c r="AS30" s="85">
        <f>ROUND(AR30*(1+物価上昇率!$H$9),0)</f>
        <v>3536506</v>
      </c>
      <c r="AT30" s="85">
        <f>ROUND(AS30*(1+物価上昇率!$H$9),0)</f>
        <v>3575408</v>
      </c>
      <c r="AU30" s="85">
        <f>ROUND(AT30*(1+物価上昇率!$H$9),0)</f>
        <v>3614737</v>
      </c>
      <c r="AV30" s="85">
        <f>ROUND(AU30*(1+物価上昇率!$H$9),0)</f>
        <v>3654499</v>
      </c>
      <c r="AW30" s="85">
        <f>ROUND(AV30*(1+物価上昇率!$H$9),0)</f>
        <v>3694698</v>
      </c>
      <c r="AX30" s="85">
        <f>ROUND(AW30*(1+物価上昇率!$H$9),0)</f>
        <v>3735340</v>
      </c>
      <c r="AY30" s="85">
        <f>ROUND(AX30*(1+物価上昇率!$H$9),0)</f>
        <v>3776429</v>
      </c>
      <c r="AZ30" s="85">
        <f>ROUND(AY30*(1+物価上昇率!$H$9),0)</f>
        <v>3817970</v>
      </c>
      <c r="BA30" s="85">
        <f>ROUND(AZ30*(1+物価上昇率!$H$9),0)</f>
        <v>3859968</v>
      </c>
      <c r="BB30" s="85">
        <f>ROUND(BA30*(1+物価上昇率!$H$9),0)</f>
        <v>3902428</v>
      </c>
      <c r="BC30" s="85">
        <f>ROUND(BB30*(1+物価上昇率!$H$9),0)</f>
        <v>3945355</v>
      </c>
      <c r="BD30" s="85">
        <f>ROUND(BC30*(1+物価上昇率!$H$9),0)</f>
        <v>3988754</v>
      </c>
      <c r="BE30" s="85">
        <f>ROUND(BD30*(1+物価上昇率!$H$9),0)</f>
        <v>4032630</v>
      </c>
      <c r="BF30" s="85">
        <f>ROUND(BE30*(1+物価上昇率!$H$9),0)</f>
        <v>4076989</v>
      </c>
      <c r="BG30" s="85">
        <f>ROUND(BF30*(1+物価上昇率!$H$9),0)</f>
        <v>4121836</v>
      </c>
      <c r="BH30" s="85">
        <f>ROUND(BG30*(1+物価上昇率!$H$9),0)</f>
        <v>4167176</v>
      </c>
      <c r="BI30" s="85">
        <f>ROUND(BH30*(1+物価上昇率!$H$9),0)</f>
        <v>4213015</v>
      </c>
      <c r="BJ30" s="85">
        <f>ROUND(BI30*(1+物価上昇率!$H$9),0)</f>
        <v>4259358</v>
      </c>
      <c r="BK30" s="85">
        <f>ROUND(BJ30*(1+物価上昇率!$H$9),0)</f>
        <v>4306211</v>
      </c>
      <c r="BL30" s="85">
        <f>ROUND(BK30*(1+物価上昇率!$H$9),0)</f>
        <v>4353579</v>
      </c>
      <c r="BM30" s="85">
        <f>ROUND(BL30*(1+物価上昇率!$H$9),0)</f>
        <v>4401468</v>
      </c>
      <c r="BN30" s="85">
        <f>ROUND(BM30*(1+物価上昇率!$H$9),0)</f>
        <v>4449884</v>
      </c>
      <c r="BO30" s="85">
        <f>ROUND(BN30*(1+物価上昇率!$H$9),0)</f>
        <v>4498833</v>
      </c>
      <c r="BP30" s="85">
        <f>ROUND(BO30*(1+物価上昇率!$H$9),0)</f>
        <v>4548320</v>
      </c>
      <c r="BQ30" s="85">
        <f>ROUND(BP30*(1+物価上昇率!$H$9),0)</f>
        <v>4598352</v>
      </c>
    </row>
    <row r="31" spans="2:69" s="265" customFormat="1">
      <c r="B31" s="262"/>
      <c r="C31" s="262"/>
      <c r="D31" s="262"/>
      <c r="E31" s="263" t="s">
        <v>92</v>
      </c>
      <c r="F31" s="303"/>
      <c r="G31" s="264"/>
      <c r="H31" s="264" t="s">
        <v>166</v>
      </c>
      <c r="I31" s="264"/>
      <c r="J31" s="264"/>
      <c r="K31" s="263" t="s">
        <v>720</v>
      </c>
      <c r="L31" s="264" t="s">
        <v>166</v>
      </c>
      <c r="M31" s="263"/>
      <c r="N31" s="85">
        <f>【PL】決算数値入力!W31</f>
        <v>33900347</v>
      </c>
      <c r="O31" s="85">
        <f>【PL】決算数値入力!X31</f>
        <v>31437870</v>
      </c>
      <c r="P31" s="85">
        <f>【PL】決算数値入力!Y31</f>
        <v>37142870</v>
      </c>
      <c r="Q31" s="85">
        <f>【PL】決算数値入力!Z31</f>
        <v>33639873</v>
      </c>
      <c r="R31" s="85">
        <f>【PL】決算数値入力!AA31</f>
        <v>36092000</v>
      </c>
      <c r="S31" s="85">
        <f>【PL】決算数値入力!AB31</f>
        <v>30459801</v>
      </c>
      <c r="T31" s="85">
        <f>ROUND(S31*(1+物価上昇率!$H$9),0)</f>
        <v>30794859</v>
      </c>
      <c r="U31" s="85">
        <f>ROUND(T31*(1+物価上昇率!$H$9),0)</f>
        <v>31133602</v>
      </c>
      <c r="V31" s="85">
        <f>ROUND(U31*(1+物価上昇率!$H$9),0)</f>
        <v>31476072</v>
      </c>
      <c r="W31" s="85">
        <f>ROUND(V31*(1+物価上昇率!$H$9),0)</f>
        <v>31822309</v>
      </c>
      <c r="X31" s="85">
        <f>ROUND(W31*(1+物価上昇率!$H$9),0)</f>
        <v>32172354</v>
      </c>
      <c r="Y31" s="85">
        <f>ROUND(X31*(1+物価上昇率!$H$9),0)</f>
        <v>32526250</v>
      </c>
      <c r="Z31" s="85">
        <f>ROUND(Y31*(1+物価上昇率!$H$9),0)</f>
        <v>32884039</v>
      </c>
      <c r="AA31" s="85">
        <f>ROUND(Z31*(1+物価上昇率!$H$9),0)</f>
        <v>33245763</v>
      </c>
      <c r="AB31" s="85">
        <f>ROUND(AA31*(1+物価上昇率!$H$9),0)</f>
        <v>33611466</v>
      </c>
      <c r="AC31" s="85">
        <f>ROUND(AB31*(1+物価上昇率!$H$9),0)</f>
        <v>33981192</v>
      </c>
      <c r="AD31" s="85">
        <f>ROUND(AC31*(1+物価上昇率!$H$9),0)</f>
        <v>34354985</v>
      </c>
      <c r="AE31" s="85">
        <f>ROUND(AD31*(1+物価上昇率!$H$9),0)</f>
        <v>34732890</v>
      </c>
      <c r="AF31" s="85">
        <f>ROUND(AE31*(1+物価上昇率!$H$9),0)</f>
        <v>35114952</v>
      </c>
      <c r="AG31" s="85">
        <f>ROUND(AF31*(1+物価上昇率!$H$9),0)</f>
        <v>35501216</v>
      </c>
      <c r="AH31" s="85">
        <f>ROUND(AG31*(1+物価上昇率!$H$9),0)</f>
        <v>35891729</v>
      </c>
      <c r="AI31" s="85">
        <f>ROUND(AH31*(1+物価上昇率!$H$9),0)</f>
        <v>36286538</v>
      </c>
      <c r="AJ31" s="85">
        <f>ROUND(AI31*(1+物価上昇率!$H$9),0)</f>
        <v>36685690</v>
      </c>
      <c r="AK31" s="85">
        <f>ROUND(AJ31*(1+物価上昇率!$H$9),0)</f>
        <v>37089233</v>
      </c>
      <c r="AL31" s="85">
        <f>ROUND(AK31*(1+物価上昇率!$H$9),0)</f>
        <v>37497215</v>
      </c>
      <c r="AM31" s="85">
        <f>ROUND(AL31*(1+物価上昇率!$H$9),0)</f>
        <v>37909684</v>
      </c>
      <c r="AN31" s="85">
        <f>ROUND(AM31*(1+物価上昇率!$H$9),0)</f>
        <v>38326691</v>
      </c>
      <c r="AO31" s="85">
        <f>ROUND(AN31*(1+物価上昇率!$H$9),0)</f>
        <v>38748285</v>
      </c>
      <c r="AP31" s="85">
        <f>ROUND(AO31*(1+物価上昇率!$H$9),0)</f>
        <v>39174516</v>
      </c>
      <c r="AQ31" s="85">
        <f>ROUND(AP31*(1+物価上昇率!$H$9),0)</f>
        <v>39605436</v>
      </c>
      <c r="AR31" s="85">
        <f>ROUND(AQ31*(1+物価上昇率!$H$9),0)</f>
        <v>40041096</v>
      </c>
      <c r="AS31" s="85">
        <f>ROUND(AR31*(1+物価上昇率!$H$9),0)</f>
        <v>40481548</v>
      </c>
      <c r="AT31" s="85">
        <f>ROUND(AS31*(1+物価上昇率!$H$9),0)</f>
        <v>40926845</v>
      </c>
      <c r="AU31" s="85">
        <f>ROUND(AT31*(1+物価上昇率!$H$9),0)</f>
        <v>41377040</v>
      </c>
      <c r="AV31" s="85">
        <f>ROUND(AU31*(1+物価上昇率!$H$9),0)</f>
        <v>41832187</v>
      </c>
      <c r="AW31" s="85">
        <f>ROUND(AV31*(1+物価上昇率!$H$9),0)</f>
        <v>42292341</v>
      </c>
      <c r="AX31" s="85">
        <f>ROUND(AW31*(1+物価上昇率!$H$9),0)</f>
        <v>42757557</v>
      </c>
      <c r="AY31" s="85">
        <f>ROUND(AX31*(1+物価上昇率!$H$9),0)</f>
        <v>43227890</v>
      </c>
      <c r="AZ31" s="85">
        <f>ROUND(AY31*(1+物価上昇率!$H$9),0)</f>
        <v>43703397</v>
      </c>
      <c r="BA31" s="85">
        <f>ROUND(AZ31*(1+物価上昇率!$H$9),0)</f>
        <v>44184134</v>
      </c>
      <c r="BB31" s="85">
        <f>ROUND(BA31*(1+物価上昇率!$H$9),0)</f>
        <v>44670159</v>
      </c>
      <c r="BC31" s="85">
        <f>ROUND(BB31*(1+物価上昇率!$H$9),0)</f>
        <v>45161531</v>
      </c>
      <c r="BD31" s="85">
        <f>ROUND(BC31*(1+物価上昇率!$H$9),0)</f>
        <v>45658308</v>
      </c>
      <c r="BE31" s="85">
        <f>ROUND(BD31*(1+物価上昇率!$H$9),0)</f>
        <v>46160549</v>
      </c>
      <c r="BF31" s="85">
        <f>ROUND(BE31*(1+物価上昇率!$H$9),0)</f>
        <v>46668315</v>
      </c>
      <c r="BG31" s="85">
        <f>ROUND(BF31*(1+物価上昇率!$H$9),0)</f>
        <v>47181666</v>
      </c>
      <c r="BH31" s="85">
        <f>ROUND(BG31*(1+物価上昇率!$H$9),0)</f>
        <v>47700664</v>
      </c>
      <c r="BI31" s="85">
        <f>ROUND(BH31*(1+物価上昇率!$H$9),0)</f>
        <v>48225371</v>
      </c>
      <c r="BJ31" s="85">
        <f>ROUND(BI31*(1+物価上昇率!$H$9),0)</f>
        <v>48755850</v>
      </c>
      <c r="BK31" s="85">
        <f>ROUND(BJ31*(1+物価上昇率!$H$9),0)</f>
        <v>49292164</v>
      </c>
      <c r="BL31" s="85">
        <f>ROUND(BK31*(1+物価上昇率!$H$9),0)</f>
        <v>49834378</v>
      </c>
      <c r="BM31" s="85">
        <f>ROUND(BL31*(1+物価上昇率!$H$9),0)</f>
        <v>50382556</v>
      </c>
      <c r="BN31" s="85">
        <f>ROUND(BM31*(1+物価上昇率!$H$9),0)</f>
        <v>50936764</v>
      </c>
      <c r="BO31" s="85">
        <f>ROUND(BN31*(1+物価上昇率!$H$9),0)</f>
        <v>51497068</v>
      </c>
      <c r="BP31" s="85">
        <f>ROUND(BO31*(1+物価上昇率!$H$9),0)</f>
        <v>52063536</v>
      </c>
      <c r="BQ31" s="85">
        <f>ROUND(BP31*(1+物価上昇率!$H$9),0)</f>
        <v>52636235</v>
      </c>
    </row>
    <row r="32" spans="2:69" s="265" customFormat="1">
      <c r="B32" s="262"/>
      <c r="C32" s="262"/>
      <c r="D32" s="262"/>
      <c r="E32" s="263" t="s">
        <v>93</v>
      </c>
      <c r="F32" s="303"/>
      <c r="G32" s="264"/>
      <c r="H32" s="264" t="s">
        <v>166</v>
      </c>
      <c r="I32" s="264"/>
      <c r="J32" s="264"/>
      <c r="K32" s="263" t="s">
        <v>720</v>
      </c>
      <c r="L32" s="264" t="s">
        <v>166</v>
      </c>
      <c r="M32" s="263"/>
      <c r="N32" s="85">
        <f>【PL】決算数値入力!W32</f>
        <v>7655578</v>
      </c>
      <c r="O32" s="85">
        <f>【PL】決算数値入力!X32</f>
        <v>9645808</v>
      </c>
      <c r="P32" s="85">
        <f>【PL】決算数値入力!Y32</f>
        <v>9829369</v>
      </c>
      <c r="Q32" s="85">
        <f>【PL】決算数値入力!Z32</f>
        <v>10153949</v>
      </c>
      <c r="R32" s="85">
        <f>【PL】決算数値入力!AA32</f>
        <v>9171593</v>
      </c>
      <c r="S32" s="85">
        <f>【PL】決算数値入力!AB32</f>
        <v>7339389.2000000002</v>
      </c>
      <c r="T32" s="85">
        <f>ROUND(S32*(1+物価上昇率!$H$9),0)</f>
        <v>7420122</v>
      </c>
      <c r="U32" s="85">
        <f>ROUND(T32*(1+物価上昇率!$H$9),0)</f>
        <v>7501743</v>
      </c>
      <c r="V32" s="85">
        <f>ROUND(U32*(1+物価上昇率!$H$9),0)</f>
        <v>7584262</v>
      </c>
      <c r="W32" s="85">
        <f>ROUND(V32*(1+物価上昇率!$H$9),0)</f>
        <v>7667689</v>
      </c>
      <c r="X32" s="85">
        <f>ROUND(W32*(1+物価上昇率!$H$9),0)</f>
        <v>7752034</v>
      </c>
      <c r="Y32" s="85">
        <f>ROUND(X32*(1+物価上昇率!$H$9),0)</f>
        <v>7837306</v>
      </c>
      <c r="Z32" s="85">
        <f>ROUND(Y32*(1+物価上昇率!$H$9),0)</f>
        <v>7923516</v>
      </c>
      <c r="AA32" s="85">
        <f>ROUND(Z32*(1+物価上昇率!$H$9),0)</f>
        <v>8010675</v>
      </c>
      <c r="AB32" s="85">
        <f>ROUND(AA32*(1+物価上昇率!$H$9),0)</f>
        <v>8098792</v>
      </c>
      <c r="AC32" s="85">
        <f>ROUND(AB32*(1+物価上昇率!$H$9),0)</f>
        <v>8187879</v>
      </c>
      <c r="AD32" s="85">
        <f>ROUND(AC32*(1+物価上昇率!$H$9),0)</f>
        <v>8277946</v>
      </c>
      <c r="AE32" s="85">
        <f>ROUND(AD32*(1+物価上昇率!$H$9),0)</f>
        <v>8369003</v>
      </c>
      <c r="AF32" s="85">
        <f>ROUND(AE32*(1+物価上昇率!$H$9),0)</f>
        <v>8461062</v>
      </c>
      <c r="AG32" s="85">
        <f>ROUND(AF32*(1+物価上昇率!$H$9),0)</f>
        <v>8554134</v>
      </c>
      <c r="AH32" s="85">
        <f>ROUND(AG32*(1+物価上昇率!$H$9),0)</f>
        <v>8648229</v>
      </c>
      <c r="AI32" s="85">
        <f>ROUND(AH32*(1+物価上昇率!$H$9),0)</f>
        <v>8743360</v>
      </c>
      <c r="AJ32" s="85">
        <f>ROUND(AI32*(1+物価上昇率!$H$9),0)</f>
        <v>8839537</v>
      </c>
      <c r="AK32" s="85">
        <f>ROUND(AJ32*(1+物価上昇率!$H$9),0)</f>
        <v>8936772</v>
      </c>
      <c r="AL32" s="85">
        <f>ROUND(AK32*(1+物価上昇率!$H$9),0)</f>
        <v>9035076</v>
      </c>
      <c r="AM32" s="85">
        <f>ROUND(AL32*(1+物価上昇率!$H$9),0)</f>
        <v>9134462</v>
      </c>
      <c r="AN32" s="85">
        <f>ROUND(AM32*(1+物価上昇率!$H$9),0)</f>
        <v>9234941</v>
      </c>
      <c r="AO32" s="85">
        <f>ROUND(AN32*(1+物価上昇率!$H$9),0)</f>
        <v>9336525</v>
      </c>
      <c r="AP32" s="85">
        <f>ROUND(AO32*(1+物価上昇率!$H$9),0)</f>
        <v>9439227</v>
      </c>
      <c r="AQ32" s="85">
        <f>ROUND(AP32*(1+物価上昇率!$H$9),0)</f>
        <v>9543058</v>
      </c>
      <c r="AR32" s="85">
        <f>ROUND(AQ32*(1+物価上昇率!$H$9),0)</f>
        <v>9648032</v>
      </c>
      <c r="AS32" s="85">
        <f>ROUND(AR32*(1+物価上昇率!$H$9),0)</f>
        <v>9754160</v>
      </c>
      <c r="AT32" s="85">
        <f>ROUND(AS32*(1+物価上昇率!$H$9),0)</f>
        <v>9861456</v>
      </c>
      <c r="AU32" s="85">
        <f>ROUND(AT32*(1+物価上昇率!$H$9),0)</f>
        <v>9969932</v>
      </c>
      <c r="AV32" s="85">
        <f>ROUND(AU32*(1+物価上昇率!$H$9),0)</f>
        <v>10079601</v>
      </c>
      <c r="AW32" s="85">
        <f>ROUND(AV32*(1+物価上昇率!$H$9),0)</f>
        <v>10190477</v>
      </c>
      <c r="AX32" s="85">
        <f>ROUND(AW32*(1+物価上昇率!$H$9),0)</f>
        <v>10302572</v>
      </c>
      <c r="AY32" s="85">
        <f>ROUND(AX32*(1+物価上昇率!$H$9),0)</f>
        <v>10415900</v>
      </c>
      <c r="AZ32" s="85">
        <f>ROUND(AY32*(1+物価上昇率!$H$9),0)</f>
        <v>10530475</v>
      </c>
      <c r="BA32" s="85">
        <f>ROUND(AZ32*(1+物価上昇率!$H$9),0)</f>
        <v>10646310</v>
      </c>
      <c r="BB32" s="85">
        <f>ROUND(BA32*(1+物価上昇率!$H$9),0)</f>
        <v>10763419</v>
      </c>
      <c r="BC32" s="85">
        <f>ROUND(BB32*(1+物価上昇率!$H$9),0)</f>
        <v>10881817</v>
      </c>
      <c r="BD32" s="85">
        <f>ROUND(BC32*(1+物価上昇率!$H$9),0)</f>
        <v>11001517</v>
      </c>
      <c r="BE32" s="85">
        <f>ROUND(BD32*(1+物価上昇率!$H$9),0)</f>
        <v>11122534</v>
      </c>
      <c r="BF32" s="85">
        <f>ROUND(BE32*(1+物価上昇率!$H$9),0)</f>
        <v>11244882</v>
      </c>
      <c r="BG32" s="85">
        <f>ROUND(BF32*(1+物価上昇率!$H$9),0)</f>
        <v>11368576</v>
      </c>
      <c r="BH32" s="85">
        <f>ROUND(BG32*(1+物価上昇率!$H$9),0)</f>
        <v>11493630</v>
      </c>
      <c r="BI32" s="85">
        <f>ROUND(BH32*(1+物価上昇率!$H$9),0)</f>
        <v>11620060</v>
      </c>
      <c r="BJ32" s="85">
        <f>ROUND(BI32*(1+物価上昇率!$H$9),0)</f>
        <v>11747881</v>
      </c>
      <c r="BK32" s="85">
        <f>ROUND(BJ32*(1+物価上昇率!$H$9),0)</f>
        <v>11877108</v>
      </c>
      <c r="BL32" s="85">
        <f>ROUND(BK32*(1+物価上昇率!$H$9),0)</f>
        <v>12007756</v>
      </c>
      <c r="BM32" s="85">
        <f>ROUND(BL32*(1+物価上昇率!$H$9),0)</f>
        <v>12139841</v>
      </c>
      <c r="BN32" s="85">
        <f>ROUND(BM32*(1+物価上昇率!$H$9),0)</f>
        <v>12273379</v>
      </c>
      <c r="BO32" s="85">
        <f>ROUND(BN32*(1+物価上昇率!$H$9),0)</f>
        <v>12408386</v>
      </c>
      <c r="BP32" s="85">
        <f>ROUND(BO32*(1+物価上昇率!$H$9),0)</f>
        <v>12544878</v>
      </c>
      <c r="BQ32" s="85">
        <f>ROUND(BP32*(1+物価上昇率!$H$9),0)</f>
        <v>12682872</v>
      </c>
    </row>
    <row r="33" spans="2:69" s="265" customFormat="1">
      <c r="B33" s="262"/>
      <c r="C33" s="262"/>
      <c r="D33" s="268"/>
      <c r="E33" s="263" t="s">
        <v>94</v>
      </c>
      <c r="F33" s="304"/>
      <c r="G33" s="264"/>
      <c r="H33" s="264" t="s">
        <v>166</v>
      </c>
      <c r="I33" s="264"/>
      <c r="J33" s="264"/>
      <c r="K33" s="263" t="s">
        <v>719</v>
      </c>
      <c r="L33" s="263"/>
      <c r="M33" s="263"/>
      <c r="N33" s="85">
        <f>【PL】決算数値入力!W33</f>
        <v>10238170</v>
      </c>
      <c r="O33" s="85">
        <f>【PL】決算数値入力!X33</f>
        <v>20929080</v>
      </c>
      <c r="P33" s="85">
        <f>【PL】決算数値入力!Y33</f>
        <v>12025866</v>
      </c>
      <c r="Q33" s="85">
        <f>【PL】決算数値入力!Z33</f>
        <v>18538915</v>
      </c>
      <c r="R33" s="85">
        <f>【PL】決算数値入力!AA33</f>
        <v>18090022</v>
      </c>
      <c r="S33" s="85">
        <f>【PL】決算数値入力!AB33</f>
        <v>14475943.6</v>
      </c>
      <c r="T33" s="85">
        <f>S33</f>
        <v>14475943.6</v>
      </c>
      <c r="U33" s="85">
        <f t="shared" ref="U33:BQ33" si="61">T33</f>
        <v>14475943.6</v>
      </c>
      <c r="V33" s="85">
        <f t="shared" si="61"/>
        <v>14475943.6</v>
      </c>
      <c r="W33" s="85">
        <f t="shared" si="61"/>
        <v>14475943.6</v>
      </c>
      <c r="X33" s="85">
        <f t="shared" si="61"/>
        <v>14475943.6</v>
      </c>
      <c r="Y33" s="85">
        <f t="shared" si="61"/>
        <v>14475943.6</v>
      </c>
      <c r="Z33" s="85">
        <f t="shared" si="61"/>
        <v>14475943.6</v>
      </c>
      <c r="AA33" s="85">
        <f t="shared" si="61"/>
        <v>14475943.6</v>
      </c>
      <c r="AB33" s="85">
        <f t="shared" si="61"/>
        <v>14475943.6</v>
      </c>
      <c r="AC33" s="85">
        <f t="shared" si="61"/>
        <v>14475943.6</v>
      </c>
      <c r="AD33" s="85">
        <f t="shared" si="61"/>
        <v>14475943.6</v>
      </c>
      <c r="AE33" s="85">
        <f t="shared" si="61"/>
        <v>14475943.6</v>
      </c>
      <c r="AF33" s="85">
        <f t="shared" si="61"/>
        <v>14475943.6</v>
      </c>
      <c r="AG33" s="85">
        <f t="shared" si="61"/>
        <v>14475943.6</v>
      </c>
      <c r="AH33" s="85">
        <f t="shared" si="61"/>
        <v>14475943.6</v>
      </c>
      <c r="AI33" s="85">
        <f t="shared" si="61"/>
        <v>14475943.6</v>
      </c>
      <c r="AJ33" s="85">
        <f t="shared" si="61"/>
        <v>14475943.6</v>
      </c>
      <c r="AK33" s="85">
        <f t="shared" si="61"/>
        <v>14475943.6</v>
      </c>
      <c r="AL33" s="85">
        <f t="shared" si="61"/>
        <v>14475943.6</v>
      </c>
      <c r="AM33" s="85">
        <f t="shared" si="61"/>
        <v>14475943.6</v>
      </c>
      <c r="AN33" s="85">
        <f t="shared" si="61"/>
        <v>14475943.6</v>
      </c>
      <c r="AO33" s="85">
        <f t="shared" si="61"/>
        <v>14475943.6</v>
      </c>
      <c r="AP33" s="85">
        <f t="shared" si="61"/>
        <v>14475943.6</v>
      </c>
      <c r="AQ33" s="85">
        <f t="shared" si="61"/>
        <v>14475943.6</v>
      </c>
      <c r="AR33" s="85">
        <f t="shared" si="61"/>
        <v>14475943.6</v>
      </c>
      <c r="AS33" s="85">
        <f t="shared" si="61"/>
        <v>14475943.6</v>
      </c>
      <c r="AT33" s="85">
        <f t="shared" si="61"/>
        <v>14475943.6</v>
      </c>
      <c r="AU33" s="85">
        <f t="shared" si="61"/>
        <v>14475943.6</v>
      </c>
      <c r="AV33" s="85">
        <f t="shared" si="61"/>
        <v>14475943.6</v>
      </c>
      <c r="AW33" s="85">
        <f t="shared" si="61"/>
        <v>14475943.6</v>
      </c>
      <c r="AX33" s="85">
        <f t="shared" si="61"/>
        <v>14475943.6</v>
      </c>
      <c r="AY33" s="85">
        <f t="shared" si="61"/>
        <v>14475943.6</v>
      </c>
      <c r="AZ33" s="85">
        <f t="shared" si="61"/>
        <v>14475943.6</v>
      </c>
      <c r="BA33" s="85">
        <f t="shared" si="61"/>
        <v>14475943.6</v>
      </c>
      <c r="BB33" s="85">
        <f t="shared" si="61"/>
        <v>14475943.6</v>
      </c>
      <c r="BC33" s="85">
        <f t="shared" si="61"/>
        <v>14475943.6</v>
      </c>
      <c r="BD33" s="85">
        <f t="shared" si="61"/>
        <v>14475943.6</v>
      </c>
      <c r="BE33" s="85">
        <f t="shared" si="61"/>
        <v>14475943.6</v>
      </c>
      <c r="BF33" s="85">
        <f t="shared" si="61"/>
        <v>14475943.6</v>
      </c>
      <c r="BG33" s="85">
        <f t="shared" si="61"/>
        <v>14475943.6</v>
      </c>
      <c r="BH33" s="85">
        <f t="shared" si="61"/>
        <v>14475943.6</v>
      </c>
      <c r="BI33" s="85">
        <f t="shared" si="61"/>
        <v>14475943.6</v>
      </c>
      <c r="BJ33" s="85">
        <f t="shared" si="61"/>
        <v>14475943.6</v>
      </c>
      <c r="BK33" s="85">
        <f t="shared" si="61"/>
        <v>14475943.6</v>
      </c>
      <c r="BL33" s="85">
        <f t="shared" si="61"/>
        <v>14475943.6</v>
      </c>
      <c r="BM33" s="85">
        <f t="shared" si="61"/>
        <v>14475943.6</v>
      </c>
      <c r="BN33" s="85">
        <f t="shared" si="61"/>
        <v>14475943.6</v>
      </c>
      <c r="BO33" s="85">
        <f t="shared" si="61"/>
        <v>14475943.6</v>
      </c>
      <c r="BP33" s="85">
        <f t="shared" si="61"/>
        <v>14475943.6</v>
      </c>
      <c r="BQ33" s="85">
        <f t="shared" si="61"/>
        <v>14475943.6</v>
      </c>
    </row>
    <row r="34" spans="2:69" s="265" customFormat="1">
      <c r="B34" s="262"/>
      <c r="C34" s="262"/>
      <c r="D34" s="269" t="s">
        <v>95</v>
      </c>
      <c r="E34" s="270"/>
      <c r="F34" s="315" t="s">
        <v>175</v>
      </c>
      <c r="G34" s="264"/>
      <c r="H34" s="264"/>
      <c r="I34" s="264"/>
      <c r="J34" s="264"/>
      <c r="K34" s="263"/>
      <c r="L34" s="263"/>
      <c r="M34" s="263"/>
      <c r="N34" s="85">
        <f>【PL】決算数値入力!W34</f>
        <v>39566820</v>
      </c>
      <c r="O34" s="85">
        <f>【PL】決算数値入力!X34</f>
        <v>36646933</v>
      </c>
      <c r="P34" s="85">
        <f>【PL】決算数値入力!Y34</f>
        <v>35722581</v>
      </c>
      <c r="Q34" s="85">
        <f>【PL】決算数値入力!Z34</f>
        <v>36936296</v>
      </c>
      <c r="R34" s="85">
        <f>【PL】決算数値入力!AA34</f>
        <v>32180340</v>
      </c>
      <c r="S34" s="85">
        <f>【PL】決算数値入力!AB34</f>
        <v>34923211.200000003</v>
      </c>
      <c r="T34" s="85">
        <f>SUM(T35:T41)</f>
        <v>33124149</v>
      </c>
      <c r="U34" s="85">
        <f t="shared" ref="U34:BQ34" si="62">SUM(U35:U41)</f>
        <v>33488515</v>
      </c>
      <c r="V34" s="85">
        <f t="shared" si="62"/>
        <v>33856889</v>
      </c>
      <c r="W34" s="85">
        <f t="shared" si="62"/>
        <v>34229316</v>
      </c>
      <c r="X34" s="85">
        <f t="shared" si="62"/>
        <v>34605838</v>
      </c>
      <c r="Y34" s="85">
        <f t="shared" si="62"/>
        <v>34986502</v>
      </c>
      <c r="Z34" s="85">
        <f t="shared" si="62"/>
        <v>35371354</v>
      </c>
      <c r="AA34" s="85">
        <f t="shared" si="62"/>
        <v>35760439</v>
      </c>
      <c r="AB34" s="85">
        <f t="shared" si="62"/>
        <v>36153804</v>
      </c>
      <c r="AC34" s="85">
        <f t="shared" si="62"/>
        <v>36551496</v>
      </c>
      <c r="AD34" s="85">
        <f t="shared" si="62"/>
        <v>36953562</v>
      </c>
      <c r="AE34" s="85">
        <f t="shared" si="62"/>
        <v>37360052</v>
      </c>
      <c r="AF34" s="85">
        <f t="shared" si="62"/>
        <v>37771012</v>
      </c>
      <c r="AG34" s="85">
        <f t="shared" si="62"/>
        <v>38186493</v>
      </c>
      <c r="AH34" s="85">
        <f t="shared" si="62"/>
        <v>38606544</v>
      </c>
      <c r="AI34" s="85">
        <f t="shared" si="62"/>
        <v>39031215</v>
      </c>
      <c r="AJ34" s="85">
        <f t="shared" si="62"/>
        <v>39460560</v>
      </c>
      <c r="AK34" s="85">
        <f t="shared" si="62"/>
        <v>39894627</v>
      </c>
      <c r="AL34" s="85">
        <f t="shared" si="62"/>
        <v>40333467</v>
      </c>
      <c r="AM34" s="85">
        <f t="shared" si="62"/>
        <v>40777134</v>
      </c>
      <c r="AN34" s="85">
        <f t="shared" si="62"/>
        <v>41225682</v>
      </c>
      <c r="AO34" s="85">
        <f t="shared" si="62"/>
        <v>41679165</v>
      </c>
      <c r="AP34" s="85">
        <f t="shared" si="62"/>
        <v>42137637</v>
      </c>
      <c r="AQ34" s="85">
        <f t="shared" si="62"/>
        <v>42601151</v>
      </c>
      <c r="AR34" s="85">
        <f t="shared" si="62"/>
        <v>43069763</v>
      </c>
      <c r="AS34" s="85">
        <f t="shared" si="62"/>
        <v>43543530</v>
      </c>
      <c r="AT34" s="85">
        <f t="shared" si="62"/>
        <v>44022509</v>
      </c>
      <c r="AU34" s="85">
        <f t="shared" si="62"/>
        <v>44506757</v>
      </c>
      <c r="AV34" s="85">
        <f t="shared" si="62"/>
        <v>44996331</v>
      </c>
      <c r="AW34" s="85">
        <f t="shared" si="62"/>
        <v>45491291</v>
      </c>
      <c r="AX34" s="85">
        <f t="shared" si="62"/>
        <v>45991695</v>
      </c>
      <c r="AY34" s="85">
        <f t="shared" si="62"/>
        <v>46497604</v>
      </c>
      <c r="AZ34" s="85">
        <f t="shared" si="62"/>
        <v>47009078</v>
      </c>
      <c r="BA34" s="85">
        <f t="shared" si="62"/>
        <v>47526177</v>
      </c>
      <c r="BB34" s="85">
        <f t="shared" si="62"/>
        <v>48048965</v>
      </c>
      <c r="BC34" s="85">
        <f t="shared" si="62"/>
        <v>48577503</v>
      </c>
      <c r="BD34" s="85">
        <f t="shared" si="62"/>
        <v>49111856</v>
      </c>
      <c r="BE34" s="85">
        <f t="shared" si="62"/>
        <v>49652086</v>
      </c>
      <c r="BF34" s="85">
        <f t="shared" si="62"/>
        <v>50198260</v>
      </c>
      <c r="BG34" s="85">
        <f t="shared" si="62"/>
        <v>50750441</v>
      </c>
      <c r="BH34" s="85">
        <f t="shared" si="62"/>
        <v>51308697</v>
      </c>
      <c r="BI34" s="85">
        <f t="shared" si="62"/>
        <v>51873093</v>
      </c>
      <c r="BJ34" s="85">
        <f t="shared" si="62"/>
        <v>52443697</v>
      </c>
      <c r="BK34" s="85">
        <f t="shared" si="62"/>
        <v>53020578</v>
      </c>
      <c r="BL34" s="85">
        <f t="shared" si="62"/>
        <v>53603804</v>
      </c>
      <c r="BM34" s="85">
        <f t="shared" si="62"/>
        <v>54193446</v>
      </c>
      <c r="BN34" s="85">
        <f t="shared" si="62"/>
        <v>54789574</v>
      </c>
      <c r="BO34" s="85">
        <f t="shared" si="62"/>
        <v>55392260</v>
      </c>
      <c r="BP34" s="85">
        <f t="shared" si="62"/>
        <v>56001575</v>
      </c>
      <c r="BQ34" s="85">
        <f t="shared" si="62"/>
        <v>56617592</v>
      </c>
    </row>
    <row r="35" spans="2:69" s="265" customFormat="1">
      <c r="B35" s="262"/>
      <c r="C35" s="262"/>
      <c r="D35" s="262"/>
      <c r="E35" s="263" t="s">
        <v>89</v>
      </c>
      <c r="F35" s="316"/>
      <c r="G35" s="264"/>
      <c r="H35" s="264" t="s">
        <v>166</v>
      </c>
      <c r="I35" s="264"/>
      <c r="J35" s="264"/>
      <c r="K35" s="263" t="s">
        <v>720</v>
      </c>
      <c r="L35" s="264" t="s">
        <v>166</v>
      </c>
      <c r="M35" s="263"/>
      <c r="N35" s="85">
        <f>【PL】決算数値入力!W35</f>
        <v>13528381</v>
      </c>
      <c r="O35" s="85">
        <f>【PL】決算数値入力!X35</f>
        <v>10517166</v>
      </c>
      <c r="P35" s="85">
        <f>【PL】決算数値入力!Y35</f>
        <v>10463981</v>
      </c>
      <c r="Q35" s="85">
        <f>【PL】決算数値入力!Z35</f>
        <v>10732216</v>
      </c>
      <c r="R35" s="85">
        <f>【PL】決算数値入力!AA35</f>
        <v>6777049</v>
      </c>
      <c r="S35" s="85">
        <f>【PL】決算数値入力!AB35</f>
        <v>12599584.9</v>
      </c>
      <c r="T35" s="85">
        <f>ROUND(S35*(1+物価上昇率!$H$9),0)</f>
        <v>12738180</v>
      </c>
      <c r="U35" s="85">
        <f>ROUND(T35*(1+物価上昇率!$H$9),0)</f>
        <v>12878300</v>
      </c>
      <c r="V35" s="85">
        <f>ROUND(U35*(1+物価上昇率!$H$9),0)</f>
        <v>13019961</v>
      </c>
      <c r="W35" s="85">
        <f>ROUND(V35*(1+物価上昇率!$H$9),0)</f>
        <v>13163181</v>
      </c>
      <c r="X35" s="85">
        <f>ROUND(W35*(1+物価上昇率!$H$9),0)</f>
        <v>13307976</v>
      </c>
      <c r="Y35" s="85">
        <f>ROUND(X35*(1+物価上昇率!$H$9),0)</f>
        <v>13454364</v>
      </c>
      <c r="Z35" s="85">
        <f>ROUND(Y35*(1+物価上昇率!$H$9),0)</f>
        <v>13602362</v>
      </c>
      <c r="AA35" s="85">
        <f>ROUND(Z35*(1+物価上昇率!$H$9),0)</f>
        <v>13751988</v>
      </c>
      <c r="AB35" s="85">
        <f>ROUND(AA35*(1+物価上昇率!$H$9),0)</f>
        <v>13903260</v>
      </c>
      <c r="AC35" s="85">
        <f>ROUND(AB35*(1+物価上昇率!$H$9),0)</f>
        <v>14056196</v>
      </c>
      <c r="AD35" s="85">
        <f>ROUND(AC35*(1+物価上昇率!$H$9),0)</f>
        <v>14210814</v>
      </c>
      <c r="AE35" s="85">
        <f>ROUND(AD35*(1+物価上昇率!$H$9),0)</f>
        <v>14367133</v>
      </c>
      <c r="AF35" s="85">
        <f>ROUND(AE35*(1+物価上昇率!$H$9),0)</f>
        <v>14525171</v>
      </c>
      <c r="AG35" s="85">
        <f>ROUND(AF35*(1+物価上昇率!$H$9),0)</f>
        <v>14684948</v>
      </c>
      <c r="AH35" s="85">
        <f>ROUND(AG35*(1+物価上昇率!$H$9),0)</f>
        <v>14846482</v>
      </c>
      <c r="AI35" s="85">
        <f>ROUND(AH35*(1+物価上昇率!$H$9),0)</f>
        <v>15009793</v>
      </c>
      <c r="AJ35" s="85">
        <f>ROUND(AI35*(1+物価上昇率!$H$9),0)</f>
        <v>15174901</v>
      </c>
      <c r="AK35" s="85">
        <f>ROUND(AJ35*(1+物価上昇率!$H$9),0)</f>
        <v>15341825</v>
      </c>
      <c r="AL35" s="85">
        <f>ROUND(AK35*(1+物価上昇率!$H$9),0)</f>
        <v>15510585</v>
      </c>
      <c r="AM35" s="85">
        <f>ROUND(AL35*(1+物価上昇率!$H$9),0)</f>
        <v>15681201</v>
      </c>
      <c r="AN35" s="85">
        <f>ROUND(AM35*(1+物価上昇率!$H$9),0)</f>
        <v>15853694</v>
      </c>
      <c r="AO35" s="85">
        <f>ROUND(AN35*(1+物価上昇率!$H$9),0)</f>
        <v>16028085</v>
      </c>
      <c r="AP35" s="85">
        <f>ROUND(AO35*(1+物価上昇率!$H$9),0)</f>
        <v>16204394</v>
      </c>
      <c r="AQ35" s="85">
        <f>ROUND(AP35*(1+物価上昇率!$H$9),0)</f>
        <v>16382642</v>
      </c>
      <c r="AR35" s="85">
        <f>ROUND(AQ35*(1+物価上昇率!$H$9),0)</f>
        <v>16562851</v>
      </c>
      <c r="AS35" s="85">
        <f>ROUND(AR35*(1+物価上昇率!$H$9),0)</f>
        <v>16745042</v>
      </c>
      <c r="AT35" s="85">
        <f>ROUND(AS35*(1+物価上昇率!$H$9),0)</f>
        <v>16929237</v>
      </c>
      <c r="AU35" s="85">
        <f>ROUND(AT35*(1+物価上昇率!$H$9),0)</f>
        <v>17115459</v>
      </c>
      <c r="AV35" s="85">
        <f>ROUND(AU35*(1+物価上昇率!$H$9),0)</f>
        <v>17303729</v>
      </c>
      <c r="AW35" s="85">
        <f>ROUND(AV35*(1+物価上昇率!$H$9),0)</f>
        <v>17494070</v>
      </c>
      <c r="AX35" s="85">
        <f>ROUND(AW35*(1+物価上昇率!$H$9),0)</f>
        <v>17686505</v>
      </c>
      <c r="AY35" s="85">
        <f>ROUND(AX35*(1+物価上昇率!$H$9),0)</f>
        <v>17881057</v>
      </c>
      <c r="AZ35" s="85">
        <f>ROUND(AY35*(1+物価上昇率!$H$9),0)</f>
        <v>18077749</v>
      </c>
      <c r="BA35" s="85">
        <f>ROUND(AZ35*(1+物価上昇率!$H$9),0)</f>
        <v>18276604</v>
      </c>
      <c r="BB35" s="85">
        <f>ROUND(BA35*(1+物価上昇率!$H$9),0)</f>
        <v>18477647</v>
      </c>
      <c r="BC35" s="85">
        <f>ROUND(BB35*(1+物価上昇率!$H$9),0)</f>
        <v>18680901</v>
      </c>
      <c r="BD35" s="85">
        <f>ROUND(BC35*(1+物価上昇率!$H$9),0)</f>
        <v>18886391</v>
      </c>
      <c r="BE35" s="85">
        <f>ROUND(BD35*(1+物価上昇率!$H$9),0)</f>
        <v>19094141</v>
      </c>
      <c r="BF35" s="85">
        <f>ROUND(BE35*(1+物価上昇率!$H$9),0)</f>
        <v>19304177</v>
      </c>
      <c r="BG35" s="85">
        <f>ROUND(BF35*(1+物価上昇率!$H$9),0)</f>
        <v>19516523</v>
      </c>
      <c r="BH35" s="85">
        <f>ROUND(BG35*(1+物価上昇率!$H$9),0)</f>
        <v>19731205</v>
      </c>
      <c r="BI35" s="85">
        <f>ROUND(BH35*(1+物価上昇率!$H$9),0)</f>
        <v>19948248</v>
      </c>
      <c r="BJ35" s="85">
        <f>ROUND(BI35*(1+物価上昇率!$H$9),0)</f>
        <v>20167679</v>
      </c>
      <c r="BK35" s="85">
        <f>ROUND(BJ35*(1+物価上昇率!$H$9),0)</f>
        <v>20389523</v>
      </c>
      <c r="BL35" s="85">
        <f>ROUND(BK35*(1+物価上昇率!$H$9),0)</f>
        <v>20613808</v>
      </c>
      <c r="BM35" s="85">
        <f>ROUND(BL35*(1+物価上昇率!$H$9),0)</f>
        <v>20840560</v>
      </c>
      <c r="BN35" s="85">
        <f>ROUND(BM35*(1+物価上昇率!$H$9),0)</f>
        <v>21069806</v>
      </c>
      <c r="BO35" s="85">
        <f>ROUND(BN35*(1+物価上昇率!$H$9),0)</f>
        <v>21301574</v>
      </c>
      <c r="BP35" s="85">
        <f>ROUND(BO35*(1+物価上昇率!$H$9),0)</f>
        <v>21535891</v>
      </c>
      <c r="BQ35" s="85">
        <f>ROUND(BP35*(1+物価上昇率!$H$9),0)</f>
        <v>21772786</v>
      </c>
    </row>
    <row r="36" spans="2:69" s="265" customFormat="1">
      <c r="B36" s="262"/>
      <c r="C36" s="262"/>
      <c r="D36" s="262"/>
      <c r="E36" s="263" t="s">
        <v>96</v>
      </c>
      <c r="F36" s="316"/>
      <c r="G36" s="264"/>
      <c r="H36" s="264"/>
      <c r="I36" s="264" t="s">
        <v>166</v>
      </c>
      <c r="J36" s="264"/>
      <c r="K36" s="263" t="s">
        <v>721</v>
      </c>
      <c r="L36" s="264" t="s">
        <v>166</v>
      </c>
      <c r="M36" s="263"/>
      <c r="N36" s="85">
        <f>【PL】決算数値入力!W36</f>
        <v>3189420</v>
      </c>
      <c r="O36" s="85">
        <f>【PL】決算数値入力!X36</f>
        <v>2083304</v>
      </c>
      <c r="P36" s="85">
        <f>【PL】決算数値入力!Y36</f>
        <v>2339387</v>
      </c>
      <c r="Q36" s="85">
        <f>【PL】決算数値入力!Z36</f>
        <v>3088131</v>
      </c>
      <c r="R36" s="85">
        <f>【PL】決算数値入力!AA36</f>
        <v>2470534</v>
      </c>
      <c r="S36" s="85">
        <f>【PL】決算数値入力!AB36</f>
        <v>2159463.6</v>
      </c>
      <c r="T36" s="85">
        <f>ROUND(SUM(【PL】決算数値入力!$AB$36)/SUM(【収益】水需要予測!$N$19:$W$19),0)*【収益】水需要予測!Y21</f>
        <v>0</v>
      </c>
      <c r="U36" s="85">
        <f>ROUND(SUM(【PL】決算数値入力!$AB$36)/SUM(【収益】水需要予測!$N$19:$W$19),0)*【収益】水需要予測!Z21</f>
        <v>0</v>
      </c>
      <c r="V36" s="85">
        <f>ROUND(SUM(【PL】決算数値入力!$AB$36)/SUM(【収益】水需要予測!$N$19:$W$19),0)*【収益】水需要予測!AA21</f>
        <v>0</v>
      </c>
      <c r="W36" s="85">
        <f>ROUND(SUM(【PL】決算数値入力!$AB$36)/SUM(【収益】水需要予測!$N$19:$W$19),0)*【収益】水需要予測!AB21</f>
        <v>0</v>
      </c>
      <c r="X36" s="85">
        <f>ROUND(SUM(【PL】決算数値入力!$AB$36)/SUM(【収益】水需要予測!$N$19:$W$19),0)*【収益】水需要予測!AC21</f>
        <v>0</v>
      </c>
      <c r="Y36" s="85">
        <f>ROUND(SUM(【PL】決算数値入力!$AB$36)/SUM(【収益】水需要予測!$N$19:$W$19),0)*【収益】水需要予測!AD21</f>
        <v>0</v>
      </c>
      <c r="Z36" s="85">
        <f>ROUND(SUM(【PL】決算数値入力!$AB$36)/SUM(【収益】水需要予測!$N$19:$W$19),0)*【収益】水需要予測!AE21</f>
        <v>0</v>
      </c>
      <c r="AA36" s="85">
        <f>ROUND(SUM(【PL】決算数値入力!$AB$36)/SUM(【収益】水需要予測!$N$19:$W$19),0)*【収益】水需要予測!AF21</f>
        <v>0</v>
      </c>
      <c r="AB36" s="85">
        <f>ROUND(SUM(【PL】決算数値入力!$AB$36)/SUM(【収益】水需要予測!$N$19:$W$19),0)*【収益】水需要予測!AG21</f>
        <v>0</v>
      </c>
      <c r="AC36" s="85">
        <f>ROUND(SUM(【PL】決算数値入力!$AB$36)/SUM(【収益】水需要予測!$N$19:$W$19),0)*【収益】水需要予測!AH21</f>
        <v>0</v>
      </c>
      <c r="AD36" s="85">
        <f>ROUND(SUM(【PL】決算数値入力!$AB$36)/SUM(【収益】水需要予測!$N$19:$W$19),0)*【収益】水需要予測!AI21</f>
        <v>0</v>
      </c>
      <c r="AE36" s="85">
        <f>ROUND(SUM(【PL】決算数値入力!$AB$36)/SUM(【収益】水需要予測!$N$19:$W$19),0)*【収益】水需要予測!AJ21</f>
        <v>0</v>
      </c>
      <c r="AF36" s="85">
        <f>ROUND(SUM(【PL】決算数値入力!$AB$36)/SUM(【収益】水需要予測!$N$19:$W$19),0)*【収益】水需要予測!AK21</f>
        <v>0</v>
      </c>
      <c r="AG36" s="85">
        <f>ROUND(SUM(【PL】決算数値入力!$AB$36)/SUM(【収益】水需要予測!$N$19:$W$19),0)*【収益】水需要予測!AL21</f>
        <v>0</v>
      </c>
      <c r="AH36" s="85">
        <f>ROUND(SUM(【PL】決算数値入力!$AB$36)/SUM(【収益】水需要予測!$N$19:$W$19),0)*【収益】水需要予測!AM21</f>
        <v>0</v>
      </c>
      <c r="AI36" s="85">
        <f>ROUND(SUM(【PL】決算数値入力!$AB$36)/SUM(【収益】水需要予測!$N$19:$W$19),0)*【収益】水需要予測!AN21</f>
        <v>0</v>
      </c>
      <c r="AJ36" s="85">
        <f>ROUND(SUM(【PL】決算数値入力!$AB$36)/SUM(【収益】水需要予測!$N$19:$W$19),0)*【収益】水需要予測!AO21</f>
        <v>0</v>
      </c>
      <c r="AK36" s="85">
        <f>ROUND(SUM(【PL】決算数値入力!$AB$36)/SUM(【収益】水需要予測!$N$19:$W$19),0)*【収益】水需要予測!AP21</f>
        <v>0</v>
      </c>
      <c r="AL36" s="85">
        <f>ROUND(SUM(【PL】決算数値入力!$AB$36)/SUM(【収益】水需要予測!$N$19:$W$19),0)*【収益】水需要予測!AQ21</f>
        <v>0</v>
      </c>
      <c r="AM36" s="85">
        <f>ROUND(SUM(【PL】決算数値入力!$AB$36)/SUM(【収益】水需要予測!$N$19:$W$19),0)*【収益】水需要予測!AR21</f>
        <v>0</v>
      </c>
      <c r="AN36" s="85">
        <f>ROUND(SUM(【PL】決算数値入力!$AB$36)/SUM(【収益】水需要予測!$N$19:$W$19),0)*【収益】水需要予測!AS21</f>
        <v>0</v>
      </c>
      <c r="AO36" s="85">
        <f>ROUND(SUM(【PL】決算数値入力!$AB$36)/SUM(【収益】水需要予測!$N$19:$W$19),0)*【収益】水需要予測!AT21</f>
        <v>0</v>
      </c>
      <c r="AP36" s="85">
        <f>ROUND(SUM(【PL】決算数値入力!$AB$36)/SUM(【収益】水需要予測!$N$19:$W$19),0)*【収益】水需要予測!AU21</f>
        <v>0</v>
      </c>
      <c r="AQ36" s="85">
        <f>ROUND(SUM(【PL】決算数値入力!$AB$36)/SUM(【収益】水需要予測!$N$19:$W$19),0)*【収益】水需要予測!AV21</f>
        <v>0</v>
      </c>
      <c r="AR36" s="85">
        <f>ROUND(SUM(【PL】決算数値入力!$AB$36)/SUM(【収益】水需要予測!$N$19:$W$19),0)*【収益】水需要予測!AW21</f>
        <v>0</v>
      </c>
      <c r="AS36" s="85">
        <f>ROUND(SUM(【PL】決算数値入力!$AB$36)/SUM(【収益】水需要予測!$N$19:$W$19),0)*【収益】水需要予測!AX21</f>
        <v>0</v>
      </c>
      <c r="AT36" s="85">
        <f>ROUND(SUM(【PL】決算数値入力!$AB$36)/SUM(【収益】水需要予測!$N$19:$W$19),0)*【収益】水需要予測!AY21</f>
        <v>0</v>
      </c>
      <c r="AU36" s="85">
        <f>ROUND(SUM(【PL】決算数値入力!$AB$36)/SUM(【収益】水需要予測!$N$19:$W$19),0)*【収益】水需要予測!AZ21</f>
        <v>0</v>
      </c>
      <c r="AV36" s="85">
        <f>ROUND(SUM(【PL】決算数値入力!$AB$36)/SUM(【収益】水需要予測!$N$19:$W$19),0)*【収益】水需要予測!BA21</f>
        <v>0</v>
      </c>
      <c r="AW36" s="85">
        <f>ROUND(SUM(【PL】決算数値入力!$AB$36)/SUM(【収益】水需要予測!$N$19:$W$19),0)*【収益】水需要予測!BB21</f>
        <v>0</v>
      </c>
      <c r="AX36" s="85">
        <f>ROUND(SUM(【PL】決算数値入力!$AB$36)/SUM(【収益】水需要予測!$N$19:$W$19),0)*【収益】水需要予測!BC21</f>
        <v>0</v>
      </c>
      <c r="AY36" s="85">
        <f>ROUND(SUM(【PL】決算数値入力!$AB$36)/SUM(【収益】水需要予測!$N$19:$W$19),0)*【収益】水需要予測!BD21</f>
        <v>0</v>
      </c>
      <c r="AZ36" s="85">
        <f>ROUND(SUM(【PL】決算数値入力!$AB$36)/SUM(【収益】水需要予測!$N$19:$W$19),0)*【収益】水需要予測!BE21</f>
        <v>0</v>
      </c>
      <c r="BA36" s="85">
        <f>ROUND(SUM(【PL】決算数値入力!$AB$36)/SUM(【収益】水需要予測!$N$19:$W$19),0)*【収益】水需要予測!BF21</f>
        <v>0</v>
      </c>
      <c r="BB36" s="85">
        <f>ROUND(SUM(【PL】決算数値入力!$AB$36)/SUM(【収益】水需要予測!$N$19:$W$19),0)*【収益】水需要予測!BG21</f>
        <v>0</v>
      </c>
      <c r="BC36" s="85">
        <f>ROUND(SUM(【PL】決算数値入力!$AB$36)/SUM(【収益】水需要予測!$N$19:$W$19),0)*【収益】水需要予測!BH21</f>
        <v>0</v>
      </c>
      <c r="BD36" s="85">
        <f>ROUND(SUM(【PL】決算数値入力!$AB$36)/SUM(【収益】水需要予測!$N$19:$W$19),0)*【収益】水需要予測!BI21</f>
        <v>0</v>
      </c>
      <c r="BE36" s="85">
        <f>ROUND(SUM(【PL】決算数値入力!$AB$36)/SUM(【収益】水需要予測!$N$19:$W$19),0)*【収益】水需要予測!BJ21</f>
        <v>0</v>
      </c>
      <c r="BF36" s="85">
        <f>ROUND(SUM(【PL】決算数値入力!$AB$36)/SUM(【収益】水需要予測!$N$19:$W$19),0)*【収益】水需要予測!BK21</f>
        <v>0</v>
      </c>
      <c r="BG36" s="85">
        <f>ROUND(SUM(【PL】決算数値入力!$AB$36)/SUM(【収益】水需要予測!$N$19:$W$19),0)*【収益】水需要予測!BL21</f>
        <v>0</v>
      </c>
      <c r="BH36" s="85">
        <f>ROUND(SUM(【PL】決算数値入力!$AB$36)/SUM(【収益】水需要予測!$N$19:$W$19),0)*【収益】水需要予測!BM21</f>
        <v>0</v>
      </c>
      <c r="BI36" s="85">
        <f>ROUND(SUM(【PL】決算数値入力!$AB$36)/SUM(【収益】水需要予測!$N$19:$W$19),0)*【収益】水需要予測!BN21</f>
        <v>0</v>
      </c>
      <c r="BJ36" s="85">
        <f>ROUND(SUM(【PL】決算数値入力!$AB$36)/SUM(【収益】水需要予測!$N$19:$W$19),0)*【収益】水需要予測!BO21</f>
        <v>0</v>
      </c>
      <c r="BK36" s="85">
        <f>ROUND(SUM(【PL】決算数値入力!$AB$36)/SUM(【収益】水需要予測!$N$19:$W$19),0)*【収益】水需要予測!BP21</f>
        <v>0</v>
      </c>
      <c r="BL36" s="85">
        <f>ROUND(SUM(【PL】決算数値入力!$AB$36)/SUM(【収益】水需要予測!$N$19:$W$19),0)*【収益】水需要予測!BQ21</f>
        <v>0</v>
      </c>
      <c r="BM36" s="85">
        <f>ROUND(SUM(【PL】決算数値入力!$AB$36)/SUM(【収益】水需要予測!$N$19:$W$19),0)*【収益】水需要予測!BR21</f>
        <v>0</v>
      </c>
      <c r="BN36" s="85">
        <f>ROUND(SUM(【PL】決算数値入力!$AB$36)/SUM(【収益】水需要予測!$N$19:$W$19),0)*【収益】水需要予測!BS21</f>
        <v>0</v>
      </c>
      <c r="BO36" s="85">
        <f>ROUND(SUM(【PL】決算数値入力!$AB$36)/SUM(【収益】水需要予測!$N$19:$W$19),0)*【収益】水需要予測!BT21</f>
        <v>0</v>
      </c>
      <c r="BP36" s="85">
        <f>ROUND(SUM(【PL】決算数値入力!$AB$36)/SUM(【収益】水需要予測!$N$19:$W$19),0)*【収益】水需要予測!BU21</f>
        <v>0</v>
      </c>
      <c r="BQ36" s="85">
        <f>ROUND(SUM(【PL】決算数値入力!$AB$36)/SUM(【収益】水需要予測!$N$19:$W$19),0)*【収益】水需要予測!BV21</f>
        <v>0</v>
      </c>
    </row>
    <row r="37" spans="2:69" s="265" customFormat="1">
      <c r="B37" s="262"/>
      <c r="C37" s="262"/>
      <c r="D37" s="262"/>
      <c r="E37" s="263" t="s">
        <v>90</v>
      </c>
      <c r="F37" s="316"/>
      <c r="G37" s="264"/>
      <c r="H37" s="264"/>
      <c r="I37" s="264" t="s">
        <v>166</v>
      </c>
      <c r="J37" s="264"/>
      <c r="K37" s="263" t="s">
        <v>721</v>
      </c>
      <c r="L37" s="264" t="s">
        <v>166</v>
      </c>
      <c r="M37" s="263"/>
      <c r="N37" s="85">
        <f>【PL】決算数値入力!W37</f>
        <v>0</v>
      </c>
      <c r="O37" s="85">
        <f>【PL】決算数値入力!X37</f>
        <v>0</v>
      </c>
      <c r="P37" s="85">
        <f>【PL】決算数値入力!Y37</f>
        <v>0</v>
      </c>
      <c r="Q37" s="85">
        <f>【PL】決算数値入力!Z37</f>
        <v>0</v>
      </c>
      <c r="R37" s="85">
        <f>【PL】決算数値入力!AA37</f>
        <v>0</v>
      </c>
      <c r="S37" s="85">
        <f>【PL】決算数値入力!AB37</f>
        <v>0</v>
      </c>
      <c r="T37" s="85">
        <f>ROUND(SUM(【PL】決算数値入力!AB37)/SUM(【収益】水需要予測!$N$19:$W$19)*【収益】水需要予測!Y21,0)</f>
        <v>0</v>
      </c>
      <c r="U37" s="85">
        <f>ROUND(SUM(【PL】決算数値入力!$AB$37)/SUM(【収益】水需要予測!$N$19:$W$19)*【収益】水需要予測!Z21,0)</f>
        <v>0</v>
      </c>
      <c r="V37" s="85">
        <f>ROUND(SUM(【PL】決算数値入力!$AB$37)/SUM(【収益】水需要予測!$N$19:$W$19)*【収益】水需要予測!AA21,0)</f>
        <v>0</v>
      </c>
      <c r="W37" s="85">
        <f>ROUND(SUM(【PL】決算数値入力!$AB$37)/SUM(【収益】水需要予測!$N$19:$W$19)*【収益】水需要予測!AB21,0)</f>
        <v>0</v>
      </c>
      <c r="X37" s="85">
        <f>ROUND(SUM(【PL】決算数値入力!$AB$37)/SUM(【収益】水需要予測!$N$19:$W$19)*【収益】水需要予測!AC21,0)</f>
        <v>0</v>
      </c>
      <c r="Y37" s="85">
        <f>ROUND(SUM(【PL】決算数値入力!$AB$37)/SUM(【収益】水需要予測!$N$19:$W$19)*【収益】水需要予測!AD21,0)</f>
        <v>0</v>
      </c>
      <c r="Z37" s="85">
        <f>ROUND(SUM(【PL】決算数値入力!$AB$37)/SUM(【収益】水需要予測!$N$19:$W$19)*【収益】水需要予測!AE21,0)</f>
        <v>0</v>
      </c>
      <c r="AA37" s="85">
        <f>ROUND(SUM(【PL】決算数値入力!$AB$37)/SUM(【収益】水需要予測!$N$19:$W$19)*【収益】水需要予測!AF21,0)</f>
        <v>0</v>
      </c>
      <c r="AB37" s="85">
        <f>ROUND(SUM(【PL】決算数値入力!$AB$37)/SUM(【収益】水需要予測!$N$19:$W$19)*【収益】水需要予測!AG21,0)</f>
        <v>0</v>
      </c>
      <c r="AC37" s="85">
        <f>ROUND(SUM(【PL】決算数値入力!$AB$37)/SUM(【収益】水需要予測!$N$19:$W$19)*【収益】水需要予測!AH21,0)</f>
        <v>0</v>
      </c>
      <c r="AD37" s="85">
        <f>ROUND(SUM(【PL】決算数値入力!$AB$37)/SUM(【収益】水需要予測!$N$19:$W$19)*【収益】水需要予測!AI21,0)</f>
        <v>0</v>
      </c>
      <c r="AE37" s="85">
        <f>ROUND(SUM(【PL】決算数値入力!$AB$37)/SUM(【収益】水需要予測!$N$19:$W$19)*【収益】水需要予測!AJ21,0)</f>
        <v>0</v>
      </c>
      <c r="AF37" s="85">
        <f>ROUND(SUM(【PL】決算数値入力!$AB$37)/SUM(【収益】水需要予測!$N$19:$W$19)*【収益】水需要予測!AK21,0)</f>
        <v>0</v>
      </c>
      <c r="AG37" s="85">
        <f>ROUND(SUM(【PL】決算数値入力!$AB$37)/SUM(【収益】水需要予測!$N$19:$W$19)*【収益】水需要予測!AL21,0)</f>
        <v>0</v>
      </c>
      <c r="AH37" s="85">
        <f>ROUND(SUM(【PL】決算数値入力!$AB$37)/SUM(【収益】水需要予測!$N$19:$W$19)*【収益】水需要予測!AM21,0)</f>
        <v>0</v>
      </c>
      <c r="AI37" s="85">
        <f>ROUND(SUM(【PL】決算数値入力!$AB$37)/SUM(【収益】水需要予測!$N$19:$W$19)*【収益】水需要予測!AN21,0)</f>
        <v>0</v>
      </c>
      <c r="AJ37" s="85">
        <f>ROUND(SUM(【PL】決算数値入力!$AB$37)/SUM(【収益】水需要予測!$N$19:$W$19)*【収益】水需要予測!AO21,0)</f>
        <v>0</v>
      </c>
      <c r="AK37" s="85">
        <f>ROUND(SUM(【PL】決算数値入力!$AB$37)/SUM(【収益】水需要予測!$N$19:$W$19)*【収益】水需要予測!AP21,0)</f>
        <v>0</v>
      </c>
      <c r="AL37" s="85">
        <f>ROUND(SUM(【PL】決算数値入力!$AB$37)/SUM(【収益】水需要予測!$N$19:$W$19)*【収益】水需要予測!AQ21,0)</f>
        <v>0</v>
      </c>
      <c r="AM37" s="85">
        <f>ROUND(SUM(【PL】決算数値入力!$AB$37)/SUM(【収益】水需要予測!$N$19:$W$19)*【収益】水需要予測!AR21,0)</f>
        <v>0</v>
      </c>
      <c r="AN37" s="85">
        <f>ROUND(SUM(【PL】決算数値入力!$AB$37)/SUM(【収益】水需要予測!$N$19:$W$19)*【収益】水需要予測!AS21,0)</f>
        <v>0</v>
      </c>
      <c r="AO37" s="85">
        <f>ROUND(SUM(【PL】決算数値入力!$AB$37)/SUM(【収益】水需要予測!$N$19:$W$19)*【収益】水需要予測!AT21,0)</f>
        <v>0</v>
      </c>
      <c r="AP37" s="85">
        <f>ROUND(SUM(【PL】決算数値入力!$AB$37)/SUM(【収益】水需要予測!$N$19:$W$19)*【収益】水需要予測!AU21,0)</f>
        <v>0</v>
      </c>
      <c r="AQ37" s="85">
        <f>ROUND(SUM(【PL】決算数値入力!$AB$37)/SUM(【収益】水需要予測!$N$19:$W$19)*【収益】水需要予測!AV21,0)</f>
        <v>0</v>
      </c>
      <c r="AR37" s="85">
        <f>ROUND(SUM(【PL】決算数値入力!$AB$37)/SUM(【収益】水需要予測!$N$19:$W$19)*【収益】水需要予測!AW21,0)</f>
        <v>0</v>
      </c>
      <c r="AS37" s="85">
        <f>ROUND(SUM(【PL】決算数値入力!$AB$37)/SUM(【収益】水需要予測!$N$19:$W$19)*【収益】水需要予測!AX21,0)</f>
        <v>0</v>
      </c>
      <c r="AT37" s="85">
        <f>ROUND(SUM(【PL】決算数値入力!$AB$37)/SUM(【収益】水需要予測!$N$19:$W$19)*【収益】水需要予測!AY21,0)</f>
        <v>0</v>
      </c>
      <c r="AU37" s="85">
        <f>ROUND(SUM(【PL】決算数値入力!$AB$37)/SUM(【収益】水需要予測!$N$19:$W$19)*【収益】水需要予測!AZ21,0)</f>
        <v>0</v>
      </c>
      <c r="AV37" s="85">
        <f>ROUND(SUM(【PL】決算数値入力!$AB$37)/SUM(【収益】水需要予測!$N$19:$W$19)*【収益】水需要予測!BA21,0)</f>
        <v>0</v>
      </c>
      <c r="AW37" s="85">
        <f>ROUND(SUM(【PL】決算数値入力!$AB$37)/SUM(【収益】水需要予測!$N$19:$W$19)*【収益】水需要予測!BB21,0)</f>
        <v>0</v>
      </c>
      <c r="AX37" s="85">
        <f>ROUND(SUM(【PL】決算数値入力!$AB$37)/SUM(【収益】水需要予測!$N$19:$W$19)*【収益】水需要予測!BC21,0)</f>
        <v>0</v>
      </c>
      <c r="AY37" s="85">
        <f>ROUND(SUM(【PL】決算数値入力!$AB$37)/SUM(【収益】水需要予測!$N$19:$W$19)*【収益】水需要予測!BD21,0)</f>
        <v>0</v>
      </c>
      <c r="AZ37" s="85">
        <f>ROUND(SUM(【PL】決算数値入力!$AB$37)/SUM(【収益】水需要予測!$N$19:$W$19)*【収益】水需要予測!BE21,0)</f>
        <v>0</v>
      </c>
      <c r="BA37" s="85">
        <f>ROUND(SUM(【PL】決算数値入力!$AB$37)/SUM(【収益】水需要予測!$N$19:$W$19)*【収益】水需要予測!BF21,0)</f>
        <v>0</v>
      </c>
      <c r="BB37" s="85">
        <f>ROUND(SUM(【PL】決算数値入力!$AB$37)/SUM(【収益】水需要予測!$N$19:$W$19)*【収益】水需要予測!BG21,0)</f>
        <v>0</v>
      </c>
      <c r="BC37" s="85">
        <f>ROUND(SUM(【PL】決算数値入力!$AB$37)/SUM(【収益】水需要予測!$N$19:$W$19)*【収益】水需要予測!BH21,0)</f>
        <v>0</v>
      </c>
      <c r="BD37" s="85">
        <f>ROUND(SUM(【PL】決算数値入力!$AB$37)/SUM(【収益】水需要予測!$N$19:$W$19)*【収益】水需要予測!BI21,0)</f>
        <v>0</v>
      </c>
      <c r="BE37" s="85">
        <f>ROUND(SUM(【PL】決算数値入力!$AB$37)/SUM(【収益】水需要予測!$N$19:$W$19)*【収益】水需要予測!BJ21,0)</f>
        <v>0</v>
      </c>
      <c r="BF37" s="85">
        <f>ROUND(SUM(【PL】決算数値入力!$AB$37)/SUM(【収益】水需要予測!$N$19:$W$19)*【収益】水需要予測!BK21,0)</f>
        <v>0</v>
      </c>
      <c r="BG37" s="85">
        <f>ROUND(SUM(【PL】決算数値入力!$AB$37)/SUM(【収益】水需要予測!$N$19:$W$19)*【収益】水需要予測!BL21,0)</f>
        <v>0</v>
      </c>
      <c r="BH37" s="85">
        <f>ROUND(SUM(【PL】決算数値入力!$AB$37)/SUM(【収益】水需要予測!$N$19:$W$19)*【収益】水需要予測!BM21,0)</f>
        <v>0</v>
      </c>
      <c r="BI37" s="85">
        <f>ROUND(SUM(【PL】決算数値入力!$AB$37)/SUM(【収益】水需要予測!$N$19:$W$19)*【収益】水需要予測!BN21,0)</f>
        <v>0</v>
      </c>
      <c r="BJ37" s="85">
        <f>ROUND(SUM(【PL】決算数値入力!$AB$37)/SUM(【収益】水需要予測!$N$19:$W$19)*【収益】水需要予測!BO21,0)</f>
        <v>0</v>
      </c>
      <c r="BK37" s="85">
        <f>ROUND(SUM(【PL】決算数値入力!$AB$37)/SUM(【収益】水需要予測!$N$19:$W$19)*【収益】水需要予測!BP21,0)</f>
        <v>0</v>
      </c>
      <c r="BL37" s="85">
        <f>ROUND(SUM(【PL】決算数値入力!$AB$37)/SUM(【収益】水需要予測!$N$19:$W$19)*【収益】水需要予測!BQ21,0)</f>
        <v>0</v>
      </c>
      <c r="BM37" s="85">
        <f>ROUND(SUM(【PL】決算数値入力!$AB$37)/SUM(【収益】水需要予測!$N$19:$W$19)*【収益】水需要予測!BR21,0)</f>
        <v>0</v>
      </c>
      <c r="BN37" s="85">
        <f>ROUND(SUM(【PL】決算数値入力!$AB$37)/SUM(【収益】水需要予測!$N$19:$W$19)*【収益】水需要予測!BS21,0)</f>
        <v>0</v>
      </c>
      <c r="BO37" s="85">
        <f>ROUND(SUM(【PL】決算数値入力!$AB$37)/SUM(【収益】水需要予測!$N$19:$W$19)*【収益】水需要予測!BT21,0)</f>
        <v>0</v>
      </c>
      <c r="BP37" s="85">
        <f>ROUND(SUM(【PL】決算数値入力!$AB$37)/SUM(【収益】水需要予測!$N$19:$W$19)*【収益】水需要予測!BU21,0)</f>
        <v>0</v>
      </c>
      <c r="BQ37" s="85">
        <f>ROUND(SUM(【PL】決算数値入力!$AB$37)/SUM(【収益】水需要予測!$N$19:$W$19)*【収益】水需要予測!BV21,0)</f>
        <v>0</v>
      </c>
    </row>
    <row r="38" spans="2:69" s="265" customFormat="1">
      <c r="B38" s="262"/>
      <c r="C38" s="262"/>
      <c r="D38" s="262"/>
      <c r="E38" s="263" t="s">
        <v>91</v>
      </c>
      <c r="F38" s="316"/>
      <c r="G38" s="264"/>
      <c r="H38" s="264" t="s">
        <v>166</v>
      </c>
      <c r="I38" s="264"/>
      <c r="J38" s="264"/>
      <c r="K38" s="263" t="s">
        <v>720</v>
      </c>
      <c r="L38" s="264" t="s">
        <v>166</v>
      </c>
      <c r="M38" s="263"/>
      <c r="N38" s="85">
        <f>【PL】決算数値入力!W38</f>
        <v>1577280</v>
      </c>
      <c r="O38" s="85">
        <f>【PL】決算数値入力!X38</f>
        <v>327448</v>
      </c>
      <c r="P38" s="85">
        <f>【PL】決算数値入力!Y38</f>
        <v>569069</v>
      </c>
      <c r="Q38" s="85">
        <f>【PL】決算数値入力!Z38</f>
        <v>3745890</v>
      </c>
      <c r="R38" s="85">
        <f>【PL】決算数値入力!AA38</f>
        <v>3642734</v>
      </c>
      <c r="S38" s="85">
        <f>【PL】決算数値入力!AB38</f>
        <v>1417521.1</v>
      </c>
      <c r="T38" s="85">
        <f>ROUND(S38*(1+物価上昇率!$H$9),0)</f>
        <v>1433114</v>
      </c>
      <c r="U38" s="85">
        <f>ROUND(T38*(1+物価上昇率!$H$9),0)</f>
        <v>1448878</v>
      </c>
      <c r="V38" s="85">
        <f>ROUND(U38*(1+物価上昇率!$H$9),0)</f>
        <v>1464816</v>
      </c>
      <c r="W38" s="85">
        <f>ROUND(V38*(1+物価上昇率!$H$9),0)</f>
        <v>1480929</v>
      </c>
      <c r="X38" s="85">
        <f>ROUND(W38*(1+物価上昇率!$H$9),0)</f>
        <v>1497219</v>
      </c>
      <c r="Y38" s="85">
        <f>ROUND(X38*(1+物価上昇率!$H$9),0)</f>
        <v>1513688</v>
      </c>
      <c r="Z38" s="85">
        <f>ROUND(Y38*(1+物価上昇率!$H$9),0)</f>
        <v>1530339</v>
      </c>
      <c r="AA38" s="85">
        <f>ROUND(Z38*(1+物価上昇率!$H$9),0)</f>
        <v>1547173</v>
      </c>
      <c r="AB38" s="85">
        <f>ROUND(AA38*(1+物価上昇率!$H$9),0)</f>
        <v>1564192</v>
      </c>
      <c r="AC38" s="85">
        <f>ROUND(AB38*(1+物価上昇率!$H$9),0)</f>
        <v>1581398</v>
      </c>
      <c r="AD38" s="85">
        <f>ROUND(AC38*(1+物価上昇率!$H$9),0)</f>
        <v>1598793</v>
      </c>
      <c r="AE38" s="85">
        <f>ROUND(AD38*(1+物価上昇率!$H$9),0)</f>
        <v>1616380</v>
      </c>
      <c r="AF38" s="85">
        <f>ROUND(AE38*(1+物価上昇率!$H$9),0)</f>
        <v>1634160</v>
      </c>
      <c r="AG38" s="85">
        <f>ROUND(AF38*(1+物価上昇率!$H$9),0)</f>
        <v>1652136</v>
      </c>
      <c r="AH38" s="85">
        <f>ROUND(AG38*(1+物価上昇率!$H$9),0)</f>
        <v>1670309</v>
      </c>
      <c r="AI38" s="85">
        <f>ROUND(AH38*(1+物価上昇率!$H$9),0)</f>
        <v>1688682</v>
      </c>
      <c r="AJ38" s="85">
        <f>ROUND(AI38*(1+物価上昇率!$H$9),0)</f>
        <v>1707258</v>
      </c>
      <c r="AK38" s="85">
        <f>ROUND(AJ38*(1+物価上昇率!$H$9),0)</f>
        <v>1726038</v>
      </c>
      <c r="AL38" s="85">
        <f>ROUND(AK38*(1+物価上昇率!$H$9),0)</f>
        <v>1745024</v>
      </c>
      <c r="AM38" s="85">
        <f>ROUND(AL38*(1+物価上昇率!$H$9),0)</f>
        <v>1764219</v>
      </c>
      <c r="AN38" s="85">
        <f>ROUND(AM38*(1+物価上昇率!$H$9),0)</f>
        <v>1783625</v>
      </c>
      <c r="AO38" s="85">
        <f>ROUND(AN38*(1+物価上昇率!$H$9),0)</f>
        <v>1803245</v>
      </c>
      <c r="AP38" s="85">
        <f>ROUND(AO38*(1+物価上昇率!$H$9),0)</f>
        <v>1823081</v>
      </c>
      <c r="AQ38" s="85">
        <f>ROUND(AP38*(1+物価上昇率!$H$9),0)</f>
        <v>1843135</v>
      </c>
      <c r="AR38" s="85">
        <f>ROUND(AQ38*(1+物価上昇率!$H$9),0)</f>
        <v>1863409</v>
      </c>
      <c r="AS38" s="85">
        <f>ROUND(AR38*(1+物価上昇率!$H$9),0)</f>
        <v>1883906</v>
      </c>
      <c r="AT38" s="85">
        <f>ROUND(AS38*(1+物価上昇率!$H$9),0)</f>
        <v>1904629</v>
      </c>
      <c r="AU38" s="85">
        <f>ROUND(AT38*(1+物価上昇率!$H$9),0)</f>
        <v>1925580</v>
      </c>
      <c r="AV38" s="85">
        <f>ROUND(AU38*(1+物価上昇率!$H$9),0)</f>
        <v>1946761</v>
      </c>
      <c r="AW38" s="85">
        <f>ROUND(AV38*(1+物価上昇率!$H$9),0)</f>
        <v>1968175</v>
      </c>
      <c r="AX38" s="85">
        <f>ROUND(AW38*(1+物価上昇率!$H$9),0)</f>
        <v>1989825</v>
      </c>
      <c r="AY38" s="85">
        <f>ROUND(AX38*(1+物価上昇率!$H$9),0)</f>
        <v>2011713</v>
      </c>
      <c r="AZ38" s="85">
        <f>ROUND(AY38*(1+物価上昇率!$H$9),0)</f>
        <v>2033842</v>
      </c>
      <c r="BA38" s="85">
        <f>ROUND(AZ38*(1+物価上昇率!$H$9),0)</f>
        <v>2056214</v>
      </c>
      <c r="BB38" s="85">
        <f>ROUND(BA38*(1+物価上昇率!$H$9),0)</f>
        <v>2078832</v>
      </c>
      <c r="BC38" s="85">
        <f>ROUND(BB38*(1+物価上昇率!$H$9),0)</f>
        <v>2101699</v>
      </c>
      <c r="BD38" s="85">
        <f>ROUND(BC38*(1+物価上昇率!$H$9),0)</f>
        <v>2124818</v>
      </c>
      <c r="BE38" s="85">
        <f>ROUND(BD38*(1+物価上昇率!$H$9),0)</f>
        <v>2148191</v>
      </c>
      <c r="BF38" s="85">
        <f>ROUND(BE38*(1+物価上昇率!$H$9),0)</f>
        <v>2171821</v>
      </c>
      <c r="BG38" s="85">
        <f>ROUND(BF38*(1+物価上昇率!$H$9),0)</f>
        <v>2195711</v>
      </c>
      <c r="BH38" s="85">
        <f>ROUND(BG38*(1+物価上昇率!$H$9),0)</f>
        <v>2219864</v>
      </c>
      <c r="BI38" s="85">
        <f>ROUND(BH38*(1+物価上昇率!$H$9),0)</f>
        <v>2244283</v>
      </c>
      <c r="BJ38" s="85">
        <f>ROUND(BI38*(1+物価上昇率!$H$9),0)</f>
        <v>2268970</v>
      </c>
      <c r="BK38" s="85">
        <f>ROUND(BJ38*(1+物価上昇率!$H$9),0)</f>
        <v>2293929</v>
      </c>
      <c r="BL38" s="85">
        <f>ROUND(BK38*(1+物価上昇率!$H$9),0)</f>
        <v>2319162</v>
      </c>
      <c r="BM38" s="85">
        <f>ROUND(BL38*(1+物価上昇率!$H$9),0)</f>
        <v>2344673</v>
      </c>
      <c r="BN38" s="85">
        <f>ROUND(BM38*(1+物価上昇率!$H$9),0)</f>
        <v>2370464</v>
      </c>
      <c r="BO38" s="85">
        <f>ROUND(BN38*(1+物価上昇率!$H$9),0)</f>
        <v>2396539</v>
      </c>
      <c r="BP38" s="85">
        <f>ROUND(BO38*(1+物価上昇率!$H$9),0)</f>
        <v>2422901</v>
      </c>
      <c r="BQ38" s="85">
        <f>ROUND(BP38*(1+物価上昇率!$H$9),0)</f>
        <v>2449553</v>
      </c>
    </row>
    <row r="39" spans="2:69" s="265" customFormat="1">
      <c r="B39" s="262"/>
      <c r="C39" s="262"/>
      <c r="D39" s="262"/>
      <c r="E39" s="263" t="s">
        <v>92</v>
      </c>
      <c r="F39" s="316"/>
      <c r="G39" s="264"/>
      <c r="H39" s="264" t="s">
        <v>166</v>
      </c>
      <c r="I39" s="264"/>
      <c r="J39" s="264"/>
      <c r="K39" s="263" t="s">
        <v>720</v>
      </c>
      <c r="L39" s="264" t="s">
        <v>166</v>
      </c>
      <c r="M39" s="263"/>
      <c r="N39" s="85">
        <f>【PL】決算数値入力!W39</f>
        <v>17175629</v>
      </c>
      <c r="O39" s="85">
        <f>【PL】決算数値入力!X39</f>
        <v>18885642</v>
      </c>
      <c r="P39" s="85">
        <f>【PL】決算数値入力!Y39</f>
        <v>16161047</v>
      </c>
      <c r="Q39" s="85">
        <f>【PL】決算数値入力!Z39</f>
        <v>13583646</v>
      </c>
      <c r="R39" s="85">
        <f>【PL】決算数値入力!AA39</f>
        <v>13164934</v>
      </c>
      <c r="S39" s="85">
        <f>【PL】決算数値入力!AB39</f>
        <v>14950335.1</v>
      </c>
      <c r="T39" s="85">
        <f>ROUND(S39*(1+物価上昇率!$H$9),0)</f>
        <v>15114789</v>
      </c>
      <c r="U39" s="85">
        <f>ROUND(T39*(1+物価上昇率!$H$9),0)</f>
        <v>15281052</v>
      </c>
      <c r="V39" s="85">
        <f>ROUND(U39*(1+物価上昇率!$H$9),0)</f>
        <v>15449144</v>
      </c>
      <c r="W39" s="85">
        <f>ROUND(V39*(1+物価上昇率!$H$9),0)</f>
        <v>15619085</v>
      </c>
      <c r="X39" s="85">
        <f>ROUND(W39*(1+物価上昇率!$H$9),0)</f>
        <v>15790895</v>
      </c>
      <c r="Y39" s="85">
        <f>ROUND(X39*(1+物価上昇率!$H$9),0)</f>
        <v>15964595</v>
      </c>
      <c r="Z39" s="85">
        <f>ROUND(Y39*(1+物価上昇率!$H$9),0)</f>
        <v>16140206</v>
      </c>
      <c r="AA39" s="85">
        <f>ROUND(Z39*(1+物価上昇率!$H$9),0)</f>
        <v>16317748</v>
      </c>
      <c r="AB39" s="85">
        <f>ROUND(AA39*(1+物価上昇率!$H$9),0)</f>
        <v>16497243</v>
      </c>
      <c r="AC39" s="85">
        <f>ROUND(AB39*(1+物価上昇率!$H$9),0)</f>
        <v>16678713</v>
      </c>
      <c r="AD39" s="85">
        <f>ROUND(AC39*(1+物価上昇率!$H$9),0)</f>
        <v>16862179</v>
      </c>
      <c r="AE39" s="85">
        <f>ROUND(AD39*(1+物価上昇率!$H$9),0)</f>
        <v>17047663</v>
      </c>
      <c r="AF39" s="85">
        <f>ROUND(AE39*(1+物価上昇率!$H$9),0)</f>
        <v>17235187</v>
      </c>
      <c r="AG39" s="85">
        <f>ROUND(AF39*(1+物価上昇率!$H$9),0)</f>
        <v>17424774</v>
      </c>
      <c r="AH39" s="85">
        <f>ROUND(AG39*(1+物価上昇率!$H$9),0)</f>
        <v>17616447</v>
      </c>
      <c r="AI39" s="85">
        <f>ROUND(AH39*(1+物価上昇率!$H$9),0)</f>
        <v>17810228</v>
      </c>
      <c r="AJ39" s="85">
        <f>ROUND(AI39*(1+物価上昇率!$H$9),0)</f>
        <v>18006141</v>
      </c>
      <c r="AK39" s="85">
        <f>ROUND(AJ39*(1+物価上昇率!$H$9),0)</f>
        <v>18204209</v>
      </c>
      <c r="AL39" s="85">
        <f>ROUND(AK39*(1+物価上昇率!$H$9),0)</f>
        <v>18404455</v>
      </c>
      <c r="AM39" s="85">
        <f>ROUND(AL39*(1+物価上昇率!$H$9),0)</f>
        <v>18606904</v>
      </c>
      <c r="AN39" s="85">
        <f>ROUND(AM39*(1+物価上昇率!$H$9),0)</f>
        <v>18811580</v>
      </c>
      <c r="AO39" s="85">
        <f>ROUND(AN39*(1+物価上昇率!$H$9),0)</f>
        <v>19018507</v>
      </c>
      <c r="AP39" s="85">
        <f>ROUND(AO39*(1+物価上昇率!$H$9),0)</f>
        <v>19227711</v>
      </c>
      <c r="AQ39" s="85">
        <f>ROUND(AP39*(1+物価上昇率!$H$9),0)</f>
        <v>19439216</v>
      </c>
      <c r="AR39" s="85">
        <f>ROUND(AQ39*(1+物価上昇率!$H$9),0)</f>
        <v>19653047</v>
      </c>
      <c r="AS39" s="85">
        <f>ROUND(AR39*(1+物価上昇率!$H$9),0)</f>
        <v>19869231</v>
      </c>
      <c r="AT39" s="85">
        <f>ROUND(AS39*(1+物価上昇率!$H$9),0)</f>
        <v>20087793</v>
      </c>
      <c r="AU39" s="85">
        <f>ROUND(AT39*(1+物価上昇率!$H$9),0)</f>
        <v>20308759</v>
      </c>
      <c r="AV39" s="85">
        <f>ROUND(AU39*(1+物価上昇率!$H$9),0)</f>
        <v>20532155</v>
      </c>
      <c r="AW39" s="85">
        <f>ROUND(AV39*(1+物価上昇率!$H$9),0)</f>
        <v>20758009</v>
      </c>
      <c r="AX39" s="85">
        <f>ROUND(AW39*(1+物価上昇率!$H$9),0)</f>
        <v>20986347</v>
      </c>
      <c r="AY39" s="85">
        <f>ROUND(AX39*(1+物価上昇率!$H$9),0)</f>
        <v>21217197</v>
      </c>
      <c r="AZ39" s="85">
        <f>ROUND(AY39*(1+物価上昇率!$H$9),0)</f>
        <v>21450586</v>
      </c>
      <c r="BA39" s="85">
        <f>ROUND(AZ39*(1+物価上昇率!$H$9),0)</f>
        <v>21686542</v>
      </c>
      <c r="BB39" s="85">
        <f>ROUND(BA39*(1+物価上昇率!$H$9),0)</f>
        <v>21925094</v>
      </c>
      <c r="BC39" s="85">
        <f>ROUND(BB39*(1+物価上昇率!$H$9),0)</f>
        <v>22166270</v>
      </c>
      <c r="BD39" s="85">
        <f>ROUND(BC39*(1+物価上昇率!$H$9),0)</f>
        <v>22410099</v>
      </c>
      <c r="BE39" s="85">
        <f>ROUND(BD39*(1+物価上昇率!$H$9),0)</f>
        <v>22656610</v>
      </c>
      <c r="BF39" s="85">
        <f>ROUND(BE39*(1+物価上昇率!$H$9),0)</f>
        <v>22905833</v>
      </c>
      <c r="BG39" s="85">
        <f>ROUND(BF39*(1+物価上昇率!$H$9),0)</f>
        <v>23157797</v>
      </c>
      <c r="BH39" s="85">
        <f>ROUND(BG39*(1+物価上昇率!$H$9),0)</f>
        <v>23412533</v>
      </c>
      <c r="BI39" s="85">
        <f>ROUND(BH39*(1+物価上昇率!$H$9),0)</f>
        <v>23670071</v>
      </c>
      <c r="BJ39" s="85">
        <f>ROUND(BI39*(1+物価上昇率!$H$9),0)</f>
        <v>23930442</v>
      </c>
      <c r="BK39" s="85">
        <f>ROUND(BJ39*(1+物価上昇率!$H$9),0)</f>
        <v>24193677</v>
      </c>
      <c r="BL39" s="85">
        <f>ROUND(BK39*(1+物価上昇率!$H$9),0)</f>
        <v>24459807</v>
      </c>
      <c r="BM39" s="85">
        <f>ROUND(BL39*(1+物価上昇率!$H$9),0)</f>
        <v>24728865</v>
      </c>
      <c r="BN39" s="85">
        <f>ROUND(BM39*(1+物価上昇率!$H$9),0)</f>
        <v>25000883</v>
      </c>
      <c r="BO39" s="85">
        <f>ROUND(BN39*(1+物価上昇率!$H$9),0)</f>
        <v>25275893</v>
      </c>
      <c r="BP39" s="85">
        <f>ROUND(BO39*(1+物価上昇率!$H$9),0)</f>
        <v>25553928</v>
      </c>
      <c r="BQ39" s="85">
        <f>ROUND(BP39*(1+物価上昇率!$H$9),0)</f>
        <v>25835021</v>
      </c>
    </row>
    <row r="40" spans="2:69" s="265" customFormat="1">
      <c r="B40" s="262"/>
      <c r="C40" s="262"/>
      <c r="D40" s="262"/>
      <c r="E40" s="263" t="s">
        <v>93</v>
      </c>
      <c r="F40" s="316"/>
      <c r="G40" s="264"/>
      <c r="H40" s="264" t="s">
        <v>166</v>
      </c>
      <c r="I40" s="264"/>
      <c r="J40" s="264"/>
      <c r="K40" s="263" t="s">
        <v>720</v>
      </c>
      <c r="L40" s="264" t="s">
        <v>166</v>
      </c>
      <c r="M40" s="263"/>
      <c r="N40" s="85">
        <f>【PL】決算数値入力!W40</f>
        <v>4096110</v>
      </c>
      <c r="O40" s="85">
        <f>【PL】決算数値入力!X40</f>
        <v>4833373</v>
      </c>
      <c r="P40" s="85">
        <f>【PL】決算数値入力!Y40</f>
        <v>6189097</v>
      </c>
      <c r="Q40" s="85">
        <f>【PL】決算数値入力!Z40</f>
        <v>5786413</v>
      </c>
      <c r="R40" s="85">
        <f>【PL】決算数値入力!AA40</f>
        <v>6125089</v>
      </c>
      <c r="S40" s="85">
        <f>【PL】決算数値入力!AB40</f>
        <v>3796306.5</v>
      </c>
      <c r="T40" s="85">
        <f>ROUND(S40*(1+物価上昇率!$H$9),0)</f>
        <v>3838066</v>
      </c>
      <c r="U40" s="85">
        <f>ROUND(T40*(1+物価上昇率!$H$9),0)</f>
        <v>3880285</v>
      </c>
      <c r="V40" s="85">
        <f>ROUND(U40*(1+物価上昇率!$H$9),0)</f>
        <v>3922968</v>
      </c>
      <c r="W40" s="85">
        <f>ROUND(V40*(1+物価上昇率!$H$9),0)</f>
        <v>3966121</v>
      </c>
      <c r="X40" s="85">
        <f>ROUND(W40*(1+物価上昇率!$H$9),0)</f>
        <v>4009748</v>
      </c>
      <c r="Y40" s="85">
        <f>ROUND(X40*(1+物価上昇率!$H$9),0)</f>
        <v>4053855</v>
      </c>
      <c r="Z40" s="85">
        <f>ROUND(Y40*(1+物価上昇率!$H$9),0)</f>
        <v>4098447</v>
      </c>
      <c r="AA40" s="85">
        <f>ROUND(Z40*(1+物価上昇率!$H$9),0)</f>
        <v>4143530</v>
      </c>
      <c r="AB40" s="85">
        <f>ROUND(AA40*(1+物価上昇率!$H$9),0)</f>
        <v>4189109</v>
      </c>
      <c r="AC40" s="85">
        <f>ROUND(AB40*(1+物価上昇率!$H$9),0)</f>
        <v>4235189</v>
      </c>
      <c r="AD40" s="85">
        <f>ROUND(AC40*(1+物価上昇率!$H$9),0)</f>
        <v>4281776</v>
      </c>
      <c r="AE40" s="85">
        <f>ROUND(AD40*(1+物価上昇率!$H$9),0)</f>
        <v>4328876</v>
      </c>
      <c r="AF40" s="85">
        <f>ROUND(AE40*(1+物価上昇率!$H$9),0)</f>
        <v>4376494</v>
      </c>
      <c r="AG40" s="85">
        <f>ROUND(AF40*(1+物価上昇率!$H$9),0)</f>
        <v>4424635</v>
      </c>
      <c r="AH40" s="85">
        <f>ROUND(AG40*(1+物価上昇率!$H$9),0)</f>
        <v>4473306</v>
      </c>
      <c r="AI40" s="85">
        <f>ROUND(AH40*(1+物価上昇率!$H$9),0)</f>
        <v>4522512</v>
      </c>
      <c r="AJ40" s="85">
        <f>ROUND(AI40*(1+物価上昇率!$H$9),0)</f>
        <v>4572260</v>
      </c>
      <c r="AK40" s="85">
        <f>ROUND(AJ40*(1+物価上昇率!$H$9),0)</f>
        <v>4622555</v>
      </c>
      <c r="AL40" s="85">
        <f>ROUND(AK40*(1+物価上昇率!$H$9),0)</f>
        <v>4673403</v>
      </c>
      <c r="AM40" s="85">
        <f>ROUND(AL40*(1+物価上昇率!$H$9),0)</f>
        <v>4724810</v>
      </c>
      <c r="AN40" s="85">
        <f>ROUND(AM40*(1+物価上昇率!$H$9),0)</f>
        <v>4776783</v>
      </c>
      <c r="AO40" s="85">
        <f>ROUND(AN40*(1+物価上昇率!$H$9),0)</f>
        <v>4829328</v>
      </c>
      <c r="AP40" s="85">
        <f>ROUND(AO40*(1+物価上昇率!$H$9),0)</f>
        <v>4882451</v>
      </c>
      <c r="AQ40" s="85">
        <f>ROUND(AP40*(1+物価上昇率!$H$9),0)</f>
        <v>4936158</v>
      </c>
      <c r="AR40" s="85">
        <f>ROUND(AQ40*(1+物価上昇率!$H$9),0)</f>
        <v>4990456</v>
      </c>
      <c r="AS40" s="85">
        <f>ROUND(AR40*(1+物価上昇率!$H$9),0)</f>
        <v>5045351</v>
      </c>
      <c r="AT40" s="85">
        <f>ROUND(AS40*(1+物価上昇率!$H$9),0)</f>
        <v>5100850</v>
      </c>
      <c r="AU40" s="85">
        <f>ROUND(AT40*(1+物価上昇率!$H$9),0)</f>
        <v>5156959</v>
      </c>
      <c r="AV40" s="85">
        <f>ROUND(AU40*(1+物価上昇率!$H$9),0)</f>
        <v>5213686</v>
      </c>
      <c r="AW40" s="85">
        <f>ROUND(AV40*(1+物価上昇率!$H$9),0)</f>
        <v>5271037</v>
      </c>
      <c r="AX40" s="85">
        <f>ROUND(AW40*(1+物価上昇率!$H$9),0)</f>
        <v>5329018</v>
      </c>
      <c r="AY40" s="85">
        <f>ROUND(AX40*(1+物価上昇率!$H$9),0)</f>
        <v>5387637</v>
      </c>
      <c r="AZ40" s="85">
        <f>ROUND(AY40*(1+物価上昇率!$H$9),0)</f>
        <v>5446901</v>
      </c>
      <c r="BA40" s="85">
        <f>ROUND(AZ40*(1+物価上昇率!$H$9),0)</f>
        <v>5506817</v>
      </c>
      <c r="BB40" s="85">
        <f>ROUND(BA40*(1+物価上昇率!$H$9),0)</f>
        <v>5567392</v>
      </c>
      <c r="BC40" s="85">
        <f>ROUND(BB40*(1+物価上昇率!$H$9),0)</f>
        <v>5628633</v>
      </c>
      <c r="BD40" s="85">
        <f>ROUND(BC40*(1+物価上昇率!$H$9),0)</f>
        <v>5690548</v>
      </c>
      <c r="BE40" s="85">
        <f>ROUND(BD40*(1+物価上昇率!$H$9),0)</f>
        <v>5753144</v>
      </c>
      <c r="BF40" s="85">
        <f>ROUND(BE40*(1+物価上昇率!$H$9),0)</f>
        <v>5816429</v>
      </c>
      <c r="BG40" s="85">
        <f>ROUND(BF40*(1+物価上昇率!$H$9),0)</f>
        <v>5880410</v>
      </c>
      <c r="BH40" s="85">
        <f>ROUND(BG40*(1+物価上昇率!$H$9),0)</f>
        <v>5945095</v>
      </c>
      <c r="BI40" s="85">
        <f>ROUND(BH40*(1+物価上昇率!$H$9),0)</f>
        <v>6010491</v>
      </c>
      <c r="BJ40" s="85">
        <f>ROUND(BI40*(1+物価上昇率!$H$9),0)</f>
        <v>6076606</v>
      </c>
      <c r="BK40" s="85">
        <f>ROUND(BJ40*(1+物価上昇率!$H$9),0)</f>
        <v>6143449</v>
      </c>
      <c r="BL40" s="85">
        <f>ROUND(BK40*(1+物価上昇率!$H$9),0)</f>
        <v>6211027</v>
      </c>
      <c r="BM40" s="85">
        <f>ROUND(BL40*(1+物価上昇率!$H$9),0)</f>
        <v>6279348</v>
      </c>
      <c r="BN40" s="85">
        <f>ROUND(BM40*(1+物価上昇率!$H$9),0)</f>
        <v>6348421</v>
      </c>
      <c r="BO40" s="85">
        <f>ROUND(BN40*(1+物価上昇率!$H$9),0)</f>
        <v>6418254</v>
      </c>
      <c r="BP40" s="85">
        <f>ROUND(BO40*(1+物価上昇率!$H$9),0)</f>
        <v>6488855</v>
      </c>
      <c r="BQ40" s="85">
        <f>ROUND(BP40*(1+物価上昇率!$H$9),0)</f>
        <v>6560232</v>
      </c>
    </row>
    <row r="41" spans="2:69" s="265" customFormat="1">
      <c r="B41" s="262"/>
      <c r="C41" s="262"/>
      <c r="D41" s="268"/>
      <c r="E41" s="263" t="s">
        <v>94</v>
      </c>
      <c r="F41" s="317"/>
      <c r="G41" s="264"/>
      <c r="H41" s="264" t="s">
        <v>166</v>
      </c>
      <c r="I41" s="264"/>
      <c r="J41" s="264"/>
      <c r="K41" s="263" t="s">
        <v>719</v>
      </c>
      <c r="L41" s="263"/>
      <c r="M41" s="263"/>
      <c r="N41" s="85">
        <f>【PL】決算数値入力!W41</f>
        <v>0</v>
      </c>
      <c r="O41" s="85">
        <f>【PL】決算数値入力!X41</f>
        <v>0</v>
      </c>
      <c r="P41" s="85">
        <f>【PL】決算数値入力!Y41</f>
        <v>0</v>
      </c>
      <c r="Q41" s="85">
        <f>【PL】決算数値入力!Z41</f>
        <v>0</v>
      </c>
      <c r="R41" s="85">
        <f>【PL】決算数値入力!AA41</f>
        <v>0</v>
      </c>
      <c r="S41" s="85">
        <f>【PL】決算数値入力!AB41</f>
        <v>0</v>
      </c>
      <c r="T41" s="85">
        <f>S41</f>
        <v>0</v>
      </c>
      <c r="U41" s="85">
        <f t="shared" ref="U41:BQ41" si="63">T41</f>
        <v>0</v>
      </c>
      <c r="V41" s="85">
        <f t="shared" si="63"/>
        <v>0</v>
      </c>
      <c r="W41" s="85">
        <f t="shared" si="63"/>
        <v>0</v>
      </c>
      <c r="X41" s="85">
        <f t="shared" si="63"/>
        <v>0</v>
      </c>
      <c r="Y41" s="85">
        <f t="shared" si="63"/>
        <v>0</v>
      </c>
      <c r="Z41" s="85">
        <f t="shared" si="63"/>
        <v>0</v>
      </c>
      <c r="AA41" s="85">
        <f t="shared" si="63"/>
        <v>0</v>
      </c>
      <c r="AB41" s="85">
        <f t="shared" si="63"/>
        <v>0</v>
      </c>
      <c r="AC41" s="85">
        <f t="shared" si="63"/>
        <v>0</v>
      </c>
      <c r="AD41" s="85">
        <f t="shared" si="63"/>
        <v>0</v>
      </c>
      <c r="AE41" s="85">
        <f t="shared" si="63"/>
        <v>0</v>
      </c>
      <c r="AF41" s="85">
        <f t="shared" si="63"/>
        <v>0</v>
      </c>
      <c r="AG41" s="85">
        <f t="shared" si="63"/>
        <v>0</v>
      </c>
      <c r="AH41" s="85">
        <f t="shared" si="63"/>
        <v>0</v>
      </c>
      <c r="AI41" s="85">
        <f t="shared" si="63"/>
        <v>0</v>
      </c>
      <c r="AJ41" s="85">
        <f t="shared" si="63"/>
        <v>0</v>
      </c>
      <c r="AK41" s="85">
        <f t="shared" si="63"/>
        <v>0</v>
      </c>
      <c r="AL41" s="85">
        <f t="shared" si="63"/>
        <v>0</v>
      </c>
      <c r="AM41" s="85">
        <f t="shared" si="63"/>
        <v>0</v>
      </c>
      <c r="AN41" s="85">
        <f t="shared" si="63"/>
        <v>0</v>
      </c>
      <c r="AO41" s="85">
        <f t="shared" si="63"/>
        <v>0</v>
      </c>
      <c r="AP41" s="85">
        <f t="shared" si="63"/>
        <v>0</v>
      </c>
      <c r="AQ41" s="85">
        <f t="shared" si="63"/>
        <v>0</v>
      </c>
      <c r="AR41" s="85">
        <f t="shared" si="63"/>
        <v>0</v>
      </c>
      <c r="AS41" s="85">
        <f t="shared" si="63"/>
        <v>0</v>
      </c>
      <c r="AT41" s="85">
        <f t="shared" si="63"/>
        <v>0</v>
      </c>
      <c r="AU41" s="85">
        <f t="shared" si="63"/>
        <v>0</v>
      </c>
      <c r="AV41" s="85">
        <f t="shared" si="63"/>
        <v>0</v>
      </c>
      <c r="AW41" s="85">
        <f t="shared" si="63"/>
        <v>0</v>
      </c>
      <c r="AX41" s="85">
        <f t="shared" si="63"/>
        <v>0</v>
      </c>
      <c r="AY41" s="85">
        <f t="shared" si="63"/>
        <v>0</v>
      </c>
      <c r="AZ41" s="85">
        <f t="shared" si="63"/>
        <v>0</v>
      </c>
      <c r="BA41" s="85">
        <f t="shared" si="63"/>
        <v>0</v>
      </c>
      <c r="BB41" s="85">
        <f t="shared" si="63"/>
        <v>0</v>
      </c>
      <c r="BC41" s="85">
        <f t="shared" si="63"/>
        <v>0</v>
      </c>
      <c r="BD41" s="85">
        <f t="shared" si="63"/>
        <v>0</v>
      </c>
      <c r="BE41" s="85">
        <f t="shared" si="63"/>
        <v>0</v>
      </c>
      <c r="BF41" s="85">
        <f t="shared" si="63"/>
        <v>0</v>
      </c>
      <c r="BG41" s="85">
        <f t="shared" si="63"/>
        <v>0</v>
      </c>
      <c r="BH41" s="85">
        <f t="shared" si="63"/>
        <v>0</v>
      </c>
      <c r="BI41" s="85">
        <f t="shared" si="63"/>
        <v>0</v>
      </c>
      <c r="BJ41" s="85">
        <f t="shared" si="63"/>
        <v>0</v>
      </c>
      <c r="BK41" s="85">
        <f t="shared" si="63"/>
        <v>0</v>
      </c>
      <c r="BL41" s="85">
        <f t="shared" si="63"/>
        <v>0</v>
      </c>
      <c r="BM41" s="85">
        <f t="shared" si="63"/>
        <v>0</v>
      </c>
      <c r="BN41" s="85">
        <f t="shared" si="63"/>
        <v>0</v>
      </c>
      <c r="BO41" s="85">
        <f t="shared" si="63"/>
        <v>0</v>
      </c>
      <c r="BP41" s="85">
        <f t="shared" si="63"/>
        <v>0</v>
      </c>
      <c r="BQ41" s="85">
        <f t="shared" si="63"/>
        <v>0</v>
      </c>
    </row>
    <row r="42" spans="2:69" s="265" customFormat="1">
      <c r="B42" s="262"/>
      <c r="C42" s="262"/>
      <c r="D42" s="269" t="s">
        <v>450</v>
      </c>
      <c r="E42" s="270"/>
      <c r="F42" s="271"/>
      <c r="G42" s="264"/>
      <c r="H42" s="264"/>
      <c r="I42" s="264"/>
      <c r="J42" s="264"/>
      <c r="K42" s="263" t="s">
        <v>163</v>
      </c>
      <c r="L42" s="263"/>
      <c r="M42" s="263"/>
      <c r="N42" s="85">
        <f>【PL】決算数値入力!W42</f>
        <v>0</v>
      </c>
      <c r="O42" s="85">
        <f>【PL】決算数値入力!X42</f>
        <v>0</v>
      </c>
      <c r="P42" s="85">
        <f>【PL】決算数値入力!Y42</f>
        <v>0</v>
      </c>
      <c r="Q42" s="85">
        <f>【PL】決算数値入力!Z42</f>
        <v>0</v>
      </c>
      <c r="R42" s="85">
        <f>【PL】決算数値入力!AA42</f>
        <v>0</v>
      </c>
      <c r="S42" s="85">
        <f>【PL】決算数値入力!AB42</f>
        <v>0</v>
      </c>
      <c r="T42" s="85">
        <v>0</v>
      </c>
      <c r="U42" s="85">
        <v>0</v>
      </c>
      <c r="V42" s="85">
        <v>0</v>
      </c>
      <c r="W42" s="85">
        <v>0</v>
      </c>
      <c r="X42" s="85">
        <v>0</v>
      </c>
      <c r="Y42" s="85">
        <v>0</v>
      </c>
      <c r="Z42" s="85">
        <v>0</v>
      </c>
      <c r="AA42" s="85">
        <v>0</v>
      </c>
      <c r="AB42" s="85">
        <v>0</v>
      </c>
      <c r="AC42" s="85">
        <v>0</v>
      </c>
      <c r="AD42" s="85">
        <v>0</v>
      </c>
      <c r="AE42" s="85">
        <v>0</v>
      </c>
      <c r="AF42" s="85">
        <v>0</v>
      </c>
      <c r="AG42" s="85">
        <v>0</v>
      </c>
      <c r="AH42" s="85">
        <v>0</v>
      </c>
      <c r="AI42" s="85">
        <v>0</v>
      </c>
      <c r="AJ42" s="85">
        <v>0</v>
      </c>
      <c r="AK42" s="85">
        <v>0</v>
      </c>
      <c r="AL42" s="85">
        <v>0</v>
      </c>
      <c r="AM42" s="85">
        <v>0</v>
      </c>
      <c r="AN42" s="85">
        <v>0</v>
      </c>
      <c r="AO42" s="85">
        <v>0</v>
      </c>
      <c r="AP42" s="85">
        <v>0</v>
      </c>
      <c r="AQ42" s="85">
        <v>0</v>
      </c>
      <c r="AR42" s="85">
        <v>0</v>
      </c>
      <c r="AS42" s="85">
        <v>0</v>
      </c>
      <c r="AT42" s="85">
        <v>0</v>
      </c>
      <c r="AU42" s="85">
        <v>0</v>
      </c>
      <c r="AV42" s="85">
        <v>0</v>
      </c>
      <c r="AW42" s="85">
        <v>0</v>
      </c>
      <c r="AX42" s="85">
        <v>0</v>
      </c>
      <c r="AY42" s="85">
        <v>0</v>
      </c>
      <c r="AZ42" s="85">
        <v>0</v>
      </c>
      <c r="BA42" s="85">
        <v>0</v>
      </c>
      <c r="BB42" s="85">
        <v>0</v>
      </c>
      <c r="BC42" s="85">
        <v>0</v>
      </c>
      <c r="BD42" s="85">
        <v>0</v>
      </c>
      <c r="BE42" s="85">
        <v>0</v>
      </c>
      <c r="BF42" s="85">
        <v>0</v>
      </c>
      <c r="BG42" s="85">
        <v>0</v>
      </c>
      <c r="BH42" s="85">
        <v>0</v>
      </c>
      <c r="BI42" s="85">
        <v>0</v>
      </c>
      <c r="BJ42" s="85">
        <v>0</v>
      </c>
      <c r="BK42" s="85">
        <v>0</v>
      </c>
      <c r="BL42" s="85">
        <v>0</v>
      </c>
      <c r="BM42" s="85">
        <v>0</v>
      </c>
      <c r="BN42" s="85">
        <v>0</v>
      </c>
      <c r="BO42" s="85">
        <v>0</v>
      </c>
      <c r="BP42" s="85">
        <v>0</v>
      </c>
      <c r="BQ42" s="85">
        <v>0</v>
      </c>
    </row>
    <row r="43" spans="2:69" s="265" customFormat="1">
      <c r="B43" s="262"/>
      <c r="C43" s="262"/>
      <c r="D43" s="269" t="s">
        <v>97</v>
      </c>
      <c r="E43" s="270"/>
      <c r="F43" s="315" t="s">
        <v>176</v>
      </c>
      <c r="G43" s="264"/>
      <c r="H43" s="264"/>
      <c r="I43" s="264"/>
      <c r="J43" s="264"/>
      <c r="K43" s="263"/>
      <c r="L43" s="263"/>
      <c r="M43" s="263"/>
      <c r="N43" s="85">
        <f>【PL】決算数値入力!W43</f>
        <v>28068995</v>
      </c>
      <c r="O43" s="85">
        <f>【PL】決算数値入力!X43</f>
        <v>38902891</v>
      </c>
      <c r="P43" s="85">
        <f>【PL】決算数値入力!Y43</f>
        <v>34633799</v>
      </c>
      <c r="Q43" s="85">
        <f>【PL】決算数値入力!Z43</f>
        <v>56238492</v>
      </c>
      <c r="R43" s="85">
        <f>【PL】決算数値入力!AA43</f>
        <v>39372697</v>
      </c>
      <c r="S43" s="85">
        <f>【PL】決算数値入力!AB43</f>
        <v>31797738.799999997</v>
      </c>
      <c r="T43" s="85">
        <f t="shared" ref="T43:BQ43" si="64">SUM(T44:T51)</f>
        <v>32147514</v>
      </c>
      <c r="U43" s="85">
        <f t="shared" si="64"/>
        <v>32501137</v>
      </c>
      <c r="V43" s="85">
        <f t="shared" si="64"/>
        <v>32858650</v>
      </c>
      <c r="W43" s="85">
        <f t="shared" si="64"/>
        <v>33220095</v>
      </c>
      <c r="X43" s="85">
        <f t="shared" si="64"/>
        <v>33585517</v>
      </c>
      <c r="Y43" s="85">
        <f t="shared" si="64"/>
        <v>33954958</v>
      </c>
      <c r="Z43" s="85">
        <f t="shared" si="64"/>
        <v>34328463</v>
      </c>
      <c r="AA43" s="85">
        <f t="shared" si="64"/>
        <v>34706076</v>
      </c>
      <c r="AB43" s="85">
        <f t="shared" si="64"/>
        <v>35087843</v>
      </c>
      <c r="AC43" s="85">
        <f t="shared" si="64"/>
        <v>35473810</v>
      </c>
      <c r="AD43" s="85">
        <f t="shared" si="64"/>
        <v>35864022</v>
      </c>
      <c r="AE43" s="85">
        <f t="shared" si="64"/>
        <v>36258526</v>
      </c>
      <c r="AF43" s="85">
        <f t="shared" si="64"/>
        <v>36657371</v>
      </c>
      <c r="AG43" s="85">
        <f t="shared" si="64"/>
        <v>37060601</v>
      </c>
      <c r="AH43" s="85">
        <f t="shared" si="64"/>
        <v>37468267</v>
      </c>
      <c r="AI43" s="85">
        <f t="shared" si="64"/>
        <v>37880418</v>
      </c>
      <c r="AJ43" s="85">
        <f t="shared" si="64"/>
        <v>38297102</v>
      </c>
      <c r="AK43" s="85">
        <f t="shared" si="64"/>
        <v>38718370</v>
      </c>
      <c r="AL43" s="85">
        <f t="shared" si="64"/>
        <v>39144272</v>
      </c>
      <c r="AM43" s="85">
        <f t="shared" si="64"/>
        <v>39574859</v>
      </c>
      <c r="AN43" s="85">
        <f t="shared" si="64"/>
        <v>40010184</v>
      </c>
      <c r="AO43" s="85">
        <f t="shared" si="64"/>
        <v>40450296</v>
      </c>
      <c r="AP43" s="85">
        <f t="shared" si="64"/>
        <v>40895249</v>
      </c>
      <c r="AQ43" s="85">
        <f t="shared" si="64"/>
        <v>41345096</v>
      </c>
      <c r="AR43" s="85">
        <f t="shared" si="64"/>
        <v>41799892</v>
      </c>
      <c r="AS43" s="85">
        <f t="shared" si="64"/>
        <v>42259691</v>
      </c>
      <c r="AT43" s="85">
        <f t="shared" si="64"/>
        <v>42724548</v>
      </c>
      <c r="AU43" s="85">
        <f t="shared" si="64"/>
        <v>43194518</v>
      </c>
      <c r="AV43" s="85">
        <f t="shared" si="64"/>
        <v>43669658</v>
      </c>
      <c r="AW43" s="85">
        <f t="shared" si="64"/>
        <v>44150024</v>
      </c>
      <c r="AX43" s="85">
        <f t="shared" si="64"/>
        <v>44635675</v>
      </c>
      <c r="AY43" s="85">
        <f t="shared" si="64"/>
        <v>45126667</v>
      </c>
      <c r="AZ43" s="85">
        <f t="shared" si="64"/>
        <v>45623060</v>
      </c>
      <c r="BA43" s="85">
        <f t="shared" si="64"/>
        <v>46124913</v>
      </c>
      <c r="BB43" s="85">
        <f t="shared" si="64"/>
        <v>46632287</v>
      </c>
      <c r="BC43" s="85">
        <f t="shared" si="64"/>
        <v>47145242</v>
      </c>
      <c r="BD43" s="85">
        <f t="shared" si="64"/>
        <v>47663840</v>
      </c>
      <c r="BE43" s="85">
        <f t="shared" si="64"/>
        <v>48188142</v>
      </c>
      <c r="BF43" s="85">
        <f t="shared" si="64"/>
        <v>48718212</v>
      </c>
      <c r="BG43" s="85">
        <f t="shared" si="64"/>
        <v>49254113</v>
      </c>
      <c r="BH43" s="85">
        <f t="shared" si="64"/>
        <v>49795908</v>
      </c>
      <c r="BI43" s="85">
        <f t="shared" si="64"/>
        <v>50343663</v>
      </c>
      <c r="BJ43" s="85">
        <f t="shared" si="64"/>
        <v>50897444</v>
      </c>
      <c r="BK43" s="85">
        <f t="shared" si="64"/>
        <v>51457316</v>
      </c>
      <c r="BL43" s="85">
        <f t="shared" si="64"/>
        <v>52023346</v>
      </c>
      <c r="BM43" s="85">
        <f t="shared" si="64"/>
        <v>52595603</v>
      </c>
      <c r="BN43" s="85">
        <f t="shared" si="64"/>
        <v>53174154</v>
      </c>
      <c r="BO43" s="85">
        <f t="shared" si="64"/>
        <v>53759070</v>
      </c>
      <c r="BP43" s="85">
        <f t="shared" si="64"/>
        <v>54350419</v>
      </c>
      <c r="BQ43" s="85">
        <f t="shared" si="64"/>
        <v>54948273</v>
      </c>
    </row>
    <row r="44" spans="2:69" s="265" customFormat="1">
      <c r="B44" s="262"/>
      <c r="C44" s="262"/>
      <c r="D44" s="262"/>
      <c r="E44" s="263" t="s">
        <v>89</v>
      </c>
      <c r="F44" s="316"/>
      <c r="G44" s="264"/>
      <c r="H44" s="264" t="s">
        <v>166</v>
      </c>
      <c r="I44" s="264"/>
      <c r="J44" s="264"/>
      <c r="K44" s="263" t="s">
        <v>720</v>
      </c>
      <c r="L44" s="264" t="s">
        <v>166</v>
      </c>
      <c r="M44" s="263"/>
      <c r="N44" s="85">
        <f>【PL】決算数値入力!W44</f>
        <v>15362936</v>
      </c>
      <c r="O44" s="85">
        <f>【PL】決算数値入力!X44</f>
        <v>14555234</v>
      </c>
      <c r="P44" s="85">
        <f>【PL】決算数値入力!Y44</f>
        <v>16036318</v>
      </c>
      <c r="Q44" s="85">
        <f>【PL】決算数値入力!Z44</f>
        <v>33509229</v>
      </c>
      <c r="R44" s="85">
        <f>【PL】決算数値入力!AA44</f>
        <v>21652038</v>
      </c>
      <c r="S44" s="85">
        <f>【PL】決算数値入力!AB44</f>
        <v>17988350.099999998</v>
      </c>
      <c r="T44" s="85">
        <f>ROUND(S44*(1+物価上昇率!$H$9),0)</f>
        <v>18186222</v>
      </c>
      <c r="U44" s="85">
        <f>ROUND(T44*(1+物価上昇率!$H$9),0)</f>
        <v>18386270</v>
      </c>
      <c r="V44" s="85">
        <f>ROUND(U44*(1+物価上昇率!$H$9),0)</f>
        <v>18588519</v>
      </c>
      <c r="W44" s="85">
        <f>ROUND(V44*(1+物価上昇率!$H$9),0)</f>
        <v>18792993</v>
      </c>
      <c r="X44" s="85">
        <f>ROUND(W44*(1+物価上昇率!$H$9),0)</f>
        <v>18999716</v>
      </c>
      <c r="Y44" s="85">
        <f>ROUND(X44*(1+物価上昇率!$H$9),0)</f>
        <v>19208713</v>
      </c>
      <c r="Z44" s="85">
        <f>ROUND(Y44*(1+物価上昇率!$H$9),0)</f>
        <v>19420009</v>
      </c>
      <c r="AA44" s="85">
        <f>ROUND(Z44*(1+物価上昇率!$H$9),0)</f>
        <v>19633629</v>
      </c>
      <c r="AB44" s="85">
        <f>ROUND(AA44*(1+物価上昇率!$H$9),0)</f>
        <v>19849599</v>
      </c>
      <c r="AC44" s="85">
        <f>ROUND(AB44*(1+物価上昇率!$H$9),0)</f>
        <v>20067945</v>
      </c>
      <c r="AD44" s="85">
        <f>ROUND(AC44*(1+物価上昇率!$H$9),0)</f>
        <v>20288692</v>
      </c>
      <c r="AE44" s="85">
        <f>ROUND(AD44*(1+物価上昇率!$H$9),0)</f>
        <v>20511868</v>
      </c>
      <c r="AF44" s="85">
        <f>ROUND(AE44*(1+物価上昇率!$H$9),0)</f>
        <v>20737499</v>
      </c>
      <c r="AG44" s="85">
        <f>ROUND(AF44*(1+物価上昇率!$H$9),0)</f>
        <v>20965611</v>
      </c>
      <c r="AH44" s="85">
        <f>ROUND(AG44*(1+物価上昇率!$H$9),0)</f>
        <v>21196233</v>
      </c>
      <c r="AI44" s="85">
        <f>ROUND(AH44*(1+物価上昇率!$H$9),0)</f>
        <v>21429392</v>
      </c>
      <c r="AJ44" s="85">
        <f>ROUND(AI44*(1+物価上昇率!$H$9),0)</f>
        <v>21665115</v>
      </c>
      <c r="AK44" s="85">
        <f>ROUND(AJ44*(1+物価上昇率!$H$9),0)</f>
        <v>21903431</v>
      </c>
      <c r="AL44" s="85">
        <f>ROUND(AK44*(1+物価上昇率!$H$9),0)</f>
        <v>22144369</v>
      </c>
      <c r="AM44" s="85">
        <f>ROUND(AL44*(1+物価上昇率!$H$9),0)</f>
        <v>22387957</v>
      </c>
      <c r="AN44" s="85">
        <f>ROUND(AM44*(1+物価上昇率!$H$9),0)</f>
        <v>22634225</v>
      </c>
      <c r="AO44" s="85">
        <f>ROUND(AN44*(1+物価上昇率!$H$9),0)</f>
        <v>22883201</v>
      </c>
      <c r="AP44" s="85">
        <f>ROUND(AO44*(1+物価上昇率!$H$9),0)</f>
        <v>23134916</v>
      </c>
      <c r="AQ44" s="85">
        <f>ROUND(AP44*(1+物価上昇率!$H$9),0)</f>
        <v>23389400</v>
      </c>
      <c r="AR44" s="85">
        <f>ROUND(AQ44*(1+物価上昇率!$H$9),0)</f>
        <v>23646683</v>
      </c>
      <c r="AS44" s="85">
        <f>ROUND(AR44*(1+物価上昇率!$H$9),0)</f>
        <v>23906797</v>
      </c>
      <c r="AT44" s="85">
        <f>ROUND(AS44*(1+物価上昇率!$H$9),0)</f>
        <v>24169772</v>
      </c>
      <c r="AU44" s="85">
        <f>ROUND(AT44*(1+物価上昇率!$H$9),0)</f>
        <v>24435639</v>
      </c>
      <c r="AV44" s="85">
        <f>ROUND(AU44*(1+物価上昇率!$H$9),0)</f>
        <v>24704431</v>
      </c>
      <c r="AW44" s="85">
        <f>ROUND(AV44*(1+物価上昇率!$H$9),0)</f>
        <v>24976180</v>
      </c>
      <c r="AX44" s="85">
        <f>ROUND(AW44*(1+物価上昇率!$H$9),0)</f>
        <v>25250918</v>
      </c>
      <c r="AY44" s="85">
        <f>ROUND(AX44*(1+物価上昇率!$H$9),0)</f>
        <v>25528678</v>
      </c>
      <c r="AZ44" s="85">
        <f>ROUND(AY44*(1+物価上昇率!$H$9),0)</f>
        <v>25809493</v>
      </c>
      <c r="BA44" s="85">
        <f>ROUND(AZ44*(1+物価上昇率!$H$9),0)</f>
        <v>26093397</v>
      </c>
      <c r="BB44" s="85">
        <f>ROUND(BA44*(1+物価上昇率!$H$9),0)</f>
        <v>26380424</v>
      </c>
      <c r="BC44" s="85">
        <f>ROUND(BB44*(1+物価上昇率!$H$9),0)</f>
        <v>26670609</v>
      </c>
      <c r="BD44" s="85">
        <f>ROUND(BC44*(1+物価上昇率!$H$9),0)</f>
        <v>26963986</v>
      </c>
      <c r="BE44" s="85">
        <f>ROUND(BD44*(1+物価上昇率!$H$9),0)</f>
        <v>27260590</v>
      </c>
      <c r="BF44" s="85">
        <f>ROUND(BE44*(1+物価上昇率!$H$9),0)</f>
        <v>27560456</v>
      </c>
      <c r="BG44" s="85">
        <f>ROUND(BF44*(1+物価上昇率!$H$9),0)</f>
        <v>27863621</v>
      </c>
      <c r="BH44" s="85">
        <f>ROUND(BG44*(1+物価上昇率!$H$9),0)</f>
        <v>28170121</v>
      </c>
      <c r="BI44" s="85">
        <f>ROUND(BH44*(1+物価上昇率!$H$9),0)</f>
        <v>28479992</v>
      </c>
      <c r="BJ44" s="85">
        <f>ROUND(BI44*(1+物価上昇率!$H$9),0)</f>
        <v>28793272</v>
      </c>
      <c r="BK44" s="85">
        <f>ROUND(BJ44*(1+物価上昇率!$H$9),0)</f>
        <v>29109998</v>
      </c>
      <c r="BL44" s="85">
        <f>ROUND(BK44*(1+物価上昇率!$H$9),0)</f>
        <v>29430208</v>
      </c>
      <c r="BM44" s="85">
        <f>ROUND(BL44*(1+物価上昇率!$H$9),0)</f>
        <v>29753940</v>
      </c>
      <c r="BN44" s="85">
        <f>ROUND(BM44*(1+物価上昇率!$H$9),0)</f>
        <v>30081233</v>
      </c>
      <c r="BO44" s="85">
        <f>ROUND(BN44*(1+物価上昇率!$H$9),0)</f>
        <v>30412127</v>
      </c>
      <c r="BP44" s="85">
        <f>ROUND(BO44*(1+物価上昇率!$H$9),0)</f>
        <v>30746660</v>
      </c>
      <c r="BQ44" s="85">
        <f>ROUND(BP44*(1+物価上昇率!$H$9),0)</f>
        <v>31084873</v>
      </c>
    </row>
    <row r="45" spans="2:69" s="265" customFormat="1">
      <c r="B45" s="262"/>
      <c r="C45" s="262"/>
      <c r="D45" s="262"/>
      <c r="E45" s="263" t="s">
        <v>98</v>
      </c>
      <c r="F45" s="316"/>
      <c r="G45" s="264"/>
      <c r="H45" s="264" t="s">
        <v>166</v>
      </c>
      <c r="I45" s="264"/>
      <c r="J45" s="264"/>
      <c r="K45" s="263" t="s">
        <v>720</v>
      </c>
      <c r="L45" s="264" t="s">
        <v>166</v>
      </c>
      <c r="M45" s="263"/>
      <c r="N45" s="85">
        <f>【PL】決算数値入力!W45</f>
        <v>0</v>
      </c>
      <c r="O45" s="85">
        <f>【PL】決算数値入力!X45</f>
        <v>0</v>
      </c>
      <c r="P45" s="85">
        <f>【PL】決算数値入力!Y45</f>
        <v>0</v>
      </c>
      <c r="Q45" s="85">
        <f>【PL】決算数値入力!Z45</f>
        <v>0</v>
      </c>
      <c r="R45" s="85">
        <f>【PL】決算数値入力!AA45</f>
        <v>0</v>
      </c>
      <c r="S45" s="85">
        <f>【PL】決算数値入力!AB45</f>
        <v>0</v>
      </c>
      <c r="T45" s="85">
        <f>ROUND(S45*(1+物価上昇率!$H$9),0)</f>
        <v>0</v>
      </c>
      <c r="U45" s="85">
        <f>ROUND(T45*(1+物価上昇率!$H$9),0)</f>
        <v>0</v>
      </c>
      <c r="V45" s="85">
        <f>ROUND(U45*(1+物価上昇率!$H$9),0)</f>
        <v>0</v>
      </c>
      <c r="W45" s="85">
        <f>ROUND(V45*(1+物価上昇率!$H$9),0)</f>
        <v>0</v>
      </c>
      <c r="X45" s="85">
        <f>ROUND(W45*(1+物価上昇率!$H$9),0)</f>
        <v>0</v>
      </c>
      <c r="Y45" s="85">
        <f>ROUND(X45*(1+物価上昇率!$H$9),0)</f>
        <v>0</v>
      </c>
      <c r="Z45" s="85">
        <f>ROUND(Y45*(1+物価上昇率!$H$9),0)</f>
        <v>0</v>
      </c>
      <c r="AA45" s="85">
        <f>ROUND(Z45*(1+物価上昇率!$H$9),0)</f>
        <v>0</v>
      </c>
      <c r="AB45" s="85">
        <f>ROUND(AA45*(1+物価上昇率!$H$9),0)</f>
        <v>0</v>
      </c>
      <c r="AC45" s="85">
        <f>ROUND(AB45*(1+物価上昇率!$H$9),0)</f>
        <v>0</v>
      </c>
      <c r="AD45" s="85">
        <f>ROUND(AC45*(1+物価上昇率!$H$9),0)</f>
        <v>0</v>
      </c>
      <c r="AE45" s="85">
        <f>ROUND(AD45*(1+物価上昇率!$H$9),0)</f>
        <v>0</v>
      </c>
      <c r="AF45" s="85">
        <f>ROUND(AE45*(1+物価上昇率!$H$9),0)</f>
        <v>0</v>
      </c>
      <c r="AG45" s="85">
        <f>ROUND(AF45*(1+物価上昇率!$H$9),0)</f>
        <v>0</v>
      </c>
      <c r="AH45" s="85">
        <f>ROUND(AG45*(1+物価上昇率!$H$9),0)</f>
        <v>0</v>
      </c>
      <c r="AI45" s="85">
        <f>ROUND(AH45*(1+物価上昇率!$H$9),0)</f>
        <v>0</v>
      </c>
      <c r="AJ45" s="85">
        <f>ROUND(AI45*(1+物価上昇率!$H$9),0)</f>
        <v>0</v>
      </c>
      <c r="AK45" s="85">
        <f>ROUND(AJ45*(1+物価上昇率!$H$9),0)</f>
        <v>0</v>
      </c>
      <c r="AL45" s="85">
        <f>ROUND(AK45*(1+物価上昇率!$H$9),0)</f>
        <v>0</v>
      </c>
      <c r="AM45" s="85">
        <f>ROUND(AL45*(1+物価上昇率!$H$9),0)</f>
        <v>0</v>
      </c>
      <c r="AN45" s="85">
        <f>ROUND(AM45*(1+物価上昇率!$H$9),0)</f>
        <v>0</v>
      </c>
      <c r="AO45" s="85">
        <f>ROUND(AN45*(1+物価上昇率!$H$9),0)</f>
        <v>0</v>
      </c>
      <c r="AP45" s="85">
        <f>ROUND(AO45*(1+物価上昇率!$H$9),0)</f>
        <v>0</v>
      </c>
      <c r="AQ45" s="85">
        <f>ROUND(AP45*(1+物価上昇率!$H$9),0)</f>
        <v>0</v>
      </c>
      <c r="AR45" s="85">
        <f>ROUND(AQ45*(1+物価上昇率!$H$9),0)</f>
        <v>0</v>
      </c>
      <c r="AS45" s="85">
        <f>ROUND(AR45*(1+物価上昇率!$H$9),0)</f>
        <v>0</v>
      </c>
      <c r="AT45" s="85">
        <f>ROUND(AS45*(1+物価上昇率!$H$9),0)</f>
        <v>0</v>
      </c>
      <c r="AU45" s="85">
        <f>ROUND(AT45*(1+物価上昇率!$H$9),0)</f>
        <v>0</v>
      </c>
      <c r="AV45" s="85">
        <f>ROUND(AU45*(1+物価上昇率!$H$9),0)</f>
        <v>0</v>
      </c>
      <c r="AW45" s="85">
        <f>ROUND(AV45*(1+物価上昇率!$H$9),0)</f>
        <v>0</v>
      </c>
      <c r="AX45" s="85">
        <f>ROUND(AW45*(1+物価上昇率!$H$9),0)</f>
        <v>0</v>
      </c>
      <c r="AY45" s="85">
        <f>ROUND(AX45*(1+物価上昇率!$H$9),0)</f>
        <v>0</v>
      </c>
      <c r="AZ45" s="85">
        <f>ROUND(AY45*(1+物価上昇率!$H$9),0)</f>
        <v>0</v>
      </c>
      <c r="BA45" s="85">
        <f>ROUND(AZ45*(1+物価上昇率!$H$9),0)</f>
        <v>0</v>
      </c>
      <c r="BB45" s="85">
        <f>ROUND(BA45*(1+物価上昇率!$H$9),0)</f>
        <v>0</v>
      </c>
      <c r="BC45" s="85">
        <f>ROUND(BB45*(1+物価上昇率!$H$9),0)</f>
        <v>0</v>
      </c>
      <c r="BD45" s="85">
        <f>ROUND(BC45*(1+物価上昇率!$H$9),0)</f>
        <v>0</v>
      </c>
      <c r="BE45" s="85">
        <f>ROUND(BD45*(1+物価上昇率!$H$9),0)</f>
        <v>0</v>
      </c>
      <c r="BF45" s="85">
        <f>ROUND(BE45*(1+物価上昇率!$H$9),0)</f>
        <v>0</v>
      </c>
      <c r="BG45" s="85">
        <f>ROUND(BF45*(1+物価上昇率!$H$9),0)</f>
        <v>0</v>
      </c>
      <c r="BH45" s="85">
        <f>ROUND(BG45*(1+物価上昇率!$H$9),0)</f>
        <v>0</v>
      </c>
      <c r="BI45" s="85">
        <f>ROUND(BH45*(1+物価上昇率!$H$9),0)</f>
        <v>0</v>
      </c>
      <c r="BJ45" s="85">
        <f>ROUND(BI45*(1+物価上昇率!$H$9),0)</f>
        <v>0</v>
      </c>
      <c r="BK45" s="85">
        <f>ROUND(BJ45*(1+物価上昇率!$H$9),0)</f>
        <v>0</v>
      </c>
      <c r="BL45" s="85">
        <f>ROUND(BK45*(1+物価上昇率!$H$9),0)</f>
        <v>0</v>
      </c>
      <c r="BM45" s="85">
        <f>ROUND(BL45*(1+物価上昇率!$H$9),0)</f>
        <v>0</v>
      </c>
      <c r="BN45" s="85">
        <f>ROUND(BM45*(1+物価上昇率!$H$9),0)</f>
        <v>0</v>
      </c>
      <c r="BO45" s="85">
        <f>ROUND(BN45*(1+物価上昇率!$H$9),0)</f>
        <v>0</v>
      </c>
      <c r="BP45" s="85">
        <f>ROUND(BO45*(1+物価上昇率!$H$9),0)</f>
        <v>0</v>
      </c>
      <c r="BQ45" s="85">
        <f>ROUND(BP45*(1+物価上昇率!$H$9),0)</f>
        <v>0</v>
      </c>
    </row>
    <row r="46" spans="2:69" s="265" customFormat="1">
      <c r="B46" s="262"/>
      <c r="C46" s="262"/>
      <c r="D46" s="262"/>
      <c r="E46" s="263" t="s">
        <v>99</v>
      </c>
      <c r="F46" s="316"/>
      <c r="G46" s="264"/>
      <c r="H46" s="264" t="s">
        <v>166</v>
      </c>
      <c r="I46" s="264"/>
      <c r="J46" s="264"/>
      <c r="K46" s="263" t="s">
        <v>163</v>
      </c>
      <c r="L46" s="263"/>
      <c r="M46" s="263"/>
      <c r="N46" s="85">
        <f>【PL】決算数値入力!W46</f>
        <v>0</v>
      </c>
      <c r="O46" s="85">
        <f>【PL】決算数値入力!X46</f>
        <v>0</v>
      </c>
      <c r="P46" s="85">
        <f>【PL】決算数値入力!Y46</f>
        <v>0</v>
      </c>
      <c r="Q46" s="85">
        <f>【PL】決算数値入力!Z46</f>
        <v>0</v>
      </c>
      <c r="R46" s="85">
        <f>【PL】決算数値入力!AA46</f>
        <v>0</v>
      </c>
      <c r="S46" s="85">
        <f>【PL】決算数値入力!AB46</f>
        <v>0</v>
      </c>
      <c r="T46" s="85">
        <v>0</v>
      </c>
      <c r="U46" s="85">
        <v>0</v>
      </c>
      <c r="V46" s="85">
        <v>0</v>
      </c>
      <c r="W46" s="85">
        <v>0</v>
      </c>
      <c r="X46" s="85">
        <v>0</v>
      </c>
      <c r="Y46" s="85">
        <v>0</v>
      </c>
      <c r="Z46" s="85">
        <v>0</v>
      </c>
      <c r="AA46" s="85">
        <v>0</v>
      </c>
      <c r="AB46" s="85">
        <v>0</v>
      </c>
      <c r="AC46" s="85">
        <v>0</v>
      </c>
      <c r="AD46" s="85">
        <v>0</v>
      </c>
      <c r="AE46" s="85">
        <v>0</v>
      </c>
      <c r="AF46" s="85">
        <v>0</v>
      </c>
      <c r="AG46" s="85">
        <v>0</v>
      </c>
      <c r="AH46" s="85">
        <v>0</v>
      </c>
      <c r="AI46" s="85">
        <v>0</v>
      </c>
      <c r="AJ46" s="85">
        <v>0</v>
      </c>
      <c r="AK46" s="85">
        <v>0</v>
      </c>
      <c r="AL46" s="85">
        <v>0</v>
      </c>
      <c r="AM46" s="85">
        <v>0</v>
      </c>
      <c r="AN46" s="85">
        <v>0</v>
      </c>
      <c r="AO46" s="85">
        <v>0</v>
      </c>
      <c r="AP46" s="85">
        <v>0</v>
      </c>
      <c r="AQ46" s="85">
        <v>0</v>
      </c>
      <c r="AR46" s="85">
        <v>0</v>
      </c>
      <c r="AS46" s="85">
        <v>0</v>
      </c>
      <c r="AT46" s="85">
        <v>0</v>
      </c>
      <c r="AU46" s="85">
        <v>0</v>
      </c>
      <c r="AV46" s="85">
        <v>0</v>
      </c>
      <c r="AW46" s="85">
        <v>0</v>
      </c>
      <c r="AX46" s="85">
        <v>0</v>
      </c>
      <c r="AY46" s="85">
        <v>0</v>
      </c>
      <c r="AZ46" s="85">
        <v>0</v>
      </c>
      <c r="BA46" s="85">
        <v>0</v>
      </c>
      <c r="BB46" s="85">
        <v>0</v>
      </c>
      <c r="BC46" s="85">
        <v>0</v>
      </c>
      <c r="BD46" s="85">
        <v>0</v>
      </c>
      <c r="BE46" s="85">
        <v>0</v>
      </c>
      <c r="BF46" s="85">
        <v>0</v>
      </c>
      <c r="BG46" s="85">
        <v>0</v>
      </c>
      <c r="BH46" s="85">
        <v>0</v>
      </c>
      <c r="BI46" s="85">
        <v>0</v>
      </c>
      <c r="BJ46" s="85">
        <v>0</v>
      </c>
      <c r="BK46" s="85">
        <v>0</v>
      </c>
      <c r="BL46" s="85">
        <v>0</v>
      </c>
      <c r="BM46" s="85">
        <v>0</v>
      </c>
      <c r="BN46" s="85">
        <v>0</v>
      </c>
      <c r="BO46" s="85">
        <v>0</v>
      </c>
      <c r="BP46" s="85">
        <v>0</v>
      </c>
      <c r="BQ46" s="85">
        <v>0</v>
      </c>
    </row>
    <row r="47" spans="2:69" s="265" customFormat="1">
      <c r="B47" s="262"/>
      <c r="C47" s="262"/>
      <c r="D47" s="262"/>
      <c r="E47" s="263" t="s">
        <v>100</v>
      </c>
      <c r="F47" s="316"/>
      <c r="G47" s="264"/>
      <c r="H47" s="264" t="s">
        <v>166</v>
      </c>
      <c r="I47" s="264"/>
      <c r="J47" s="264"/>
      <c r="K47" s="263" t="s">
        <v>163</v>
      </c>
      <c r="L47" s="264" t="s">
        <v>166</v>
      </c>
      <c r="M47" s="263"/>
      <c r="N47" s="85">
        <f>【PL】決算数値入力!W47</f>
        <v>0</v>
      </c>
      <c r="O47" s="85">
        <f>【PL】決算数値入力!X47</f>
        <v>0</v>
      </c>
      <c r="P47" s="85">
        <f>【PL】決算数値入力!Y47</f>
        <v>0</v>
      </c>
      <c r="Q47" s="85">
        <f>【PL】決算数値入力!Z47</f>
        <v>0</v>
      </c>
      <c r="R47" s="85">
        <f>【PL】決算数値入力!AA47</f>
        <v>0</v>
      </c>
      <c r="S47" s="85">
        <f>【PL】決算数値入力!AB47</f>
        <v>0</v>
      </c>
      <c r="T47" s="85">
        <v>0</v>
      </c>
      <c r="U47" s="85">
        <v>0</v>
      </c>
      <c r="V47" s="85">
        <v>0</v>
      </c>
      <c r="W47" s="85">
        <v>0</v>
      </c>
      <c r="X47" s="85">
        <v>0</v>
      </c>
      <c r="Y47" s="85">
        <v>0</v>
      </c>
      <c r="Z47" s="85">
        <v>0</v>
      </c>
      <c r="AA47" s="85">
        <v>0</v>
      </c>
      <c r="AB47" s="85">
        <v>0</v>
      </c>
      <c r="AC47" s="85">
        <v>0</v>
      </c>
      <c r="AD47" s="85">
        <v>0</v>
      </c>
      <c r="AE47" s="85">
        <v>0</v>
      </c>
      <c r="AF47" s="85">
        <v>0</v>
      </c>
      <c r="AG47" s="85">
        <v>0</v>
      </c>
      <c r="AH47" s="85">
        <v>0</v>
      </c>
      <c r="AI47" s="85">
        <v>0</v>
      </c>
      <c r="AJ47" s="85">
        <v>0</v>
      </c>
      <c r="AK47" s="85">
        <v>0</v>
      </c>
      <c r="AL47" s="85">
        <v>0</v>
      </c>
      <c r="AM47" s="85">
        <v>0</v>
      </c>
      <c r="AN47" s="85">
        <v>0</v>
      </c>
      <c r="AO47" s="85">
        <v>0</v>
      </c>
      <c r="AP47" s="85">
        <v>0</v>
      </c>
      <c r="AQ47" s="85">
        <v>0</v>
      </c>
      <c r="AR47" s="85">
        <v>0</v>
      </c>
      <c r="AS47" s="85">
        <v>0</v>
      </c>
      <c r="AT47" s="85">
        <v>0</v>
      </c>
      <c r="AU47" s="85">
        <v>0</v>
      </c>
      <c r="AV47" s="85">
        <v>0</v>
      </c>
      <c r="AW47" s="85">
        <v>0</v>
      </c>
      <c r="AX47" s="85">
        <v>0</v>
      </c>
      <c r="AY47" s="85">
        <v>0</v>
      </c>
      <c r="AZ47" s="85">
        <v>0</v>
      </c>
      <c r="BA47" s="85">
        <v>0</v>
      </c>
      <c r="BB47" s="85">
        <v>0</v>
      </c>
      <c r="BC47" s="85">
        <v>0</v>
      </c>
      <c r="BD47" s="85">
        <v>0</v>
      </c>
      <c r="BE47" s="85">
        <v>0</v>
      </c>
      <c r="BF47" s="85">
        <v>0</v>
      </c>
      <c r="BG47" s="85">
        <v>0</v>
      </c>
      <c r="BH47" s="85">
        <v>0</v>
      </c>
      <c r="BI47" s="85">
        <v>0</v>
      </c>
      <c r="BJ47" s="85">
        <v>0</v>
      </c>
      <c r="BK47" s="85">
        <v>0</v>
      </c>
      <c r="BL47" s="85">
        <v>0</v>
      </c>
      <c r="BM47" s="85">
        <v>0</v>
      </c>
      <c r="BN47" s="85">
        <v>0</v>
      </c>
      <c r="BO47" s="85">
        <v>0</v>
      </c>
      <c r="BP47" s="85">
        <v>0</v>
      </c>
      <c r="BQ47" s="85">
        <v>0</v>
      </c>
    </row>
    <row r="48" spans="2:69" s="265" customFormat="1">
      <c r="B48" s="262"/>
      <c r="C48" s="262"/>
      <c r="D48" s="262"/>
      <c r="E48" s="263" t="s">
        <v>91</v>
      </c>
      <c r="F48" s="316"/>
      <c r="G48" s="264"/>
      <c r="H48" s="264" t="s">
        <v>166</v>
      </c>
      <c r="I48" s="264"/>
      <c r="J48" s="264"/>
      <c r="K48" s="263" t="s">
        <v>720</v>
      </c>
      <c r="L48" s="264" t="s">
        <v>166</v>
      </c>
      <c r="M48" s="263"/>
      <c r="N48" s="85">
        <f>【PL】決算数値入力!W48</f>
        <v>44050</v>
      </c>
      <c r="O48" s="85">
        <f>【PL】決算数値入力!X48</f>
        <v>0</v>
      </c>
      <c r="P48" s="85">
        <f>【PL】決算数値入力!Y48</f>
        <v>41350</v>
      </c>
      <c r="Q48" s="85">
        <f>【PL】決算数値入力!Z48</f>
        <v>0</v>
      </c>
      <c r="R48" s="85">
        <f>【PL】決算数値入力!AA48</f>
        <v>49820</v>
      </c>
      <c r="S48" s="85">
        <f>【PL】決算数値入力!AB48</f>
        <v>44962</v>
      </c>
      <c r="T48" s="85">
        <f>ROUND(S48*(1+物価上昇率!$H$9),0)</f>
        <v>45457</v>
      </c>
      <c r="U48" s="85">
        <f>ROUND(T48*(1+物価上昇率!$H$9),0)</f>
        <v>45957</v>
      </c>
      <c r="V48" s="85">
        <f>ROUND(U48*(1+物価上昇率!$H$9),0)</f>
        <v>46463</v>
      </c>
      <c r="W48" s="85">
        <f>ROUND(V48*(1+物価上昇率!$H$9),0)</f>
        <v>46974</v>
      </c>
      <c r="X48" s="85">
        <f>ROUND(W48*(1+物価上昇率!$H$9),0)</f>
        <v>47491</v>
      </c>
      <c r="Y48" s="85">
        <f>ROUND(X48*(1+物価上昇率!$H$9),0)</f>
        <v>48013</v>
      </c>
      <c r="Z48" s="85">
        <f>ROUND(Y48*(1+物価上昇率!$H$9),0)</f>
        <v>48541</v>
      </c>
      <c r="AA48" s="85">
        <f>ROUND(Z48*(1+物価上昇率!$H$9),0)</f>
        <v>49075</v>
      </c>
      <c r="AB48" s="85">
        <f>ROUND(AA48*(1+物価上昇率!$H$9),0)</f>
        <v>49615</v>
      </c>
      <c r="AC48" s="85">
        <f>ROUND(AB48*(1+物価上昇率!$H$9),0)</f>
        <v>50161</v>
      </c>
      <c r="AD48" s="85">
        <f>ROUND(AC48*(1+物価上昇率!$H$9),0)</f>
        <v>50713</v>
      </c>
      <c r="AE48" s="85">
        <f>ROUND(AD48*(1+物価上昇率!$H$9),0)</f>
        <v>51271</v>
      </c>
      <c r="AF48" s="85">
        <f>ROUND(AE48*(1+物価上昇率!$H$9),0)</f>
        <v>51835</v>
      </c>
      <c r="AG48" s="85">
        <f>ROUND(AF48*(1+物価上昇率!$H$9),0)</f>
        <v>52405</v>
      </c>
      <c r="AH48" s="85">
        <f>ROUND(AG48*(1+物価上昇率!$H$9),0)</f>
        <v>52981</v>
      </c>
      <c r="AI48" s="85">
        <f>ROUND(AH48*(1+物価上昇率!$H$9),0)</f>
        <v>53564</v>
      </c>
      <c r="AJ48" s="85">
        <f>ROUND(AI48*(1+物価上昇率!$H$9),0)</f>
        <v>54153</v>
      </c>
      <c r="AK48" s="85">
        <f>ROUND(AJ48*(1+物価上昇率!$H$9),0)</f>
        <v>54749</v>
      </c>
      <c r="AL48" s="85">
        <f>ROUND(AK48*(1+物価上昇率!$H$9),0)</f>
        <v>55351</v>
      </c>
      <c r="AM48" s="85">
        <f>ROUND(AL48*(1+物価上昇率!$H$9),0)</f>
        <v>55960</v>
      </c>
      <c r="AN48" s="85">
        <f>ROUND(AM48*(1+物価上昇率!$H$9),0)</f>
        <v>56576</v>
      </c>
      <c r="AO48" s="85">
        <f>ROUND(AN48*(1+物価上昇率!$H$9),0)</f>
        <v>57198</v>
      </c>
      <c r="AP48" s="85">
        <f>ROUND(AO48*(1+物価上昇率!$H$9),0)</f>
        <v>57827</v>
      </c>
      <c r="AQ48" s="85">
        <f>ROUND(AP48*(1+物価上昇率!$H$9),0)</f>
        <v>58463</v>
      </c>
      <c r="AR48" s="85">
        <f>ROUND(AQ48*(1+物価上昇率!$H$9),0)</f>
        <v>59106</v>
      </c>
      <c r="AS48" s="85">
        <f>ROUND(AR48*(1+物価上昇率!$H$9),0)</f>
        <v>59756</v>
      </c>
      <c r="AT48" s="85">
        <f>ROUND(AS48*(1+物価上昇率!$H$9),0)</f>
        <v>60413</v>
      </c>
      <c r="AU48" s="85">
        <f>ROUND(AT48*(1+物価上昇率!$H$9),0)</f>
        <v>61078</v>
      </c>
      <c r="AV48" s="85">
        <f>ROUND(AU48*(1+物価上昇率!$H$9),0)</f>
        <v>61750</v>
      </c>
      <c r="AW48" s="85">
        <f>ROUND(AV48*(1+物価上昇率!$H$9),0)</f>
        <v>62429</v>
      </c>
      <c r="AX48" s="85">
        <f>ROUND(AW48*(1+物価上昇率!$H$9),0)</f>
        <v>63116</v>
      </c>
      <c r="AY48" s="85">
        <f>ROUND(AX48*(1+物価上昇率!$H$9),0)</f>
        <v>63810</v>
      </c>
      <c r="AZ48" s="85">
        <f>ROUND(AY48*(1+物価上昇率!$H$9),0)</f>
        <v>64512</v>
      </c>
      <c r="BA48" s="85">
        <f>ROUND(AZ48*(1+物価上昇率!$H$9),0)</f>
        <v>65222</v>
      </c>
      <c r="BB48" s="85">
        <f>ROUND(BA48*(1+物価上昇率!$H$9),0)</f>
        <v>65939</v>
      </c>
      <c r="BC48" s="85">
        <f>ROUND(BB48*(1+物価上昇率!$H$9),0)</f>
        <v>66664</v>
      </c>
      <c r="BD48" s="85">
        <f>ROUND(BC48*(1+物価上昇率!$H$9),0)</f>
        <v>67397</v>
      </c>
      <c r="BE48" s="85">
        <f>ROUND(BD48*(1+物価上昇率!$H$9),0)</f>
        <v>68138</v>
      </c>
      <c r="BF48" s="85">
        <f>ROUND(BE48*(1+物価上昇率!$H$9),0)</f>
        <v>68888</v>
      </c>
      <c r="BG48" s="85">
        <f>ROUND(BF48*(1+物価上昇率!$H$9),0)</f>
        <v>69646</v>
      </c>
      <c r="BH48" s="85">
        <f>ROUND(BG48*(1+物価上昇率!$H$9),0)</f>
        <v>70412</v>
      </c>
      <c r="BI48" s="85">
        <f>ROUND(BH48*(1+物価上昇率!$H$9),0)</f>
        <v>71187</v>
      </c>
      <c r="BJ48" s="85">
        <f>ROUND(BI48*(1+物価上昇率!$H$9),0)</f>
        <v>71970</v>
      </c>
      <c r="BK48" s="85">
        <f>ROUND(BJ48*(1+物価上昇率!$H$9),0)</f>
        <v>72762</v>
      </c>
      <c r="BL48" s="85">
        <f>ROUND(BK48*(1+物価上昇率!$H$9),0)</f>
        <v>73562</v>
      </c>
      <c r="BM48" s="85">
        <f>ROUND(BL48*(1+物価上昇率!$H$9),0)</f>
        <v>74371</v>
      </c>
      <c r="BN48" s="85">
        <f>ROUND(BM48*(1+物価上昇率!$H$9),0)</f>
        <v>75189</v>
      </c>
      <c r="BO48" s="85">
        <f>ROUND(BN48*(1+物価上昇率!$H$9),0)</f>
        <v>76016</v>
      </c>
      <c r="BP48" s="85">
        <f>ROUND(BO48*(1+物価上昇率!$H$9),0)</f>
        <v>76852</v>
      </c>
      <c r="BQ48" s="85">
        <f>ROUND(BP48*(1+物価上昇率!$H$9),0)</f>
        <v>77697</v>
      </c>
    </row>
    <row r="49" spans="2:69" s="265" customFormat="1">
      <c r="B49" s="262"/>
      <c r="C49" s="262"/>
      <c r="D49" s="262"/>
      <c r="E49" s="263" t="s">
        <v>92</v>
      </c>
      <c r="F49" s="316"/>
      <c r="G49" s="264"/>
      <c r="H49" s="264" t="s">
        <v>166</v>
      </c>
      <c r="I49" s="264"/>
      <c r="J49" s="264"/>
      <c r="K49" s="263" t="s">
        <v>720</v>
      </c>
      <c r="L49" s="264" t="s">
        <v>166</v>
      </c>
      <c r="M49" s="263"/>
      <c r="N49" s="85">
        <f>【PL】決算数値入力!W49</f>
        <v>3738298</v>
      </c>
      <c r="O49" s="85">
        <f>【PL】決算数値入力!X49</f>
        <v>17166788</v>
      </c>
      <c r="P49" s="85">
        <f>【PL】決算数値入力!Y49</f>
        <v>9892260</v>
      </c>
      <c r="Q49" s="85">
        <f>【PL】決算数値入力!Z49</f>
        <v>14519671</v>
      </c>
      <c r="R49" s="85">
        <f>【PL】決算数値入力!AA49</f>
        <v>9915945</v>
      </c>
      <c r="S49" s="85">
        <f>【PL】決算数値入力!AB49</f>
        <v>7403703.5</v>
      </c>
      <c r="T49" s="85">
        <f>ROUND(S49*(1+物価上昇率!$H$9),0)</f>
        <v>7485144</v>
      </c>
      <c r="U49" s="85">
        <f>ROUND(T49*(1+物価上昇率!$H$9),0)</f>
        <v>7567481</v>
      </c>
      <c r="V49" s="85">
        <f>ROUND(U49*(1+物価上昇率!$H$9),0)</f>
        <v>7650723</v>
      </c>
      <c r="W49" s="85">
        <f>ROUND(V49*(1+物価上昇率!$H$9),0)</f>
        <v>7734881</v>
      </c>
      <c r="X49" s="85">
        <f>ROUND(W49*(1+物価上昇率!$H$9),0)</f>
        <v>7819965</v>
      </c>
      <c r="Y49" s="85">
        <f>ROUND(X49*(1+物価上昇率!$H$9),0)</f>
        <v>7905985</v>
      </c>
      <c r="Z49" s="85">
        <f>ROUND(Y49*(1+物価上昇率!$H$9),0)</f>
        <v>7992951</v>
      </c>
      <c r="AA49" s="85">
        <f>ROUND(Z49*(1+物価上昇率!$H$9),0)</f>
        <v>8080873</v>
      </c>
      <c r="AB49" s="85">
        <f>ROUND(AA49*(1+物価上昇率!$H$9),0)</f>
        <v>8169763</v>
      </c>
      <c r="AC49" s="85">
        <f>ROUND(AB49*(1+物価上昇率!$H$9),0)</f>
        <v>8259630</v>
      </c>
      <c r="AD49" s="85">
        <f>ROUND(AC49*(1+物価上昇率!$H$9),0)</f>
        <v>8350486</v>
      </c>
      <c r="AE49" s="85">
        <f>ROUND(AD49*(1+物価上昇率!$H$9),0)</f>
        <v>8442341</v>
      </c>
      <c r="AF49" s="85">
        <f>ROUND(AE49*(1+物価上昇率!$H$9),0)</f>
        <v>8535207</v>
      </c>
      <c r="AG49" s="85">
        <f>ROUND(AF49*(1+物価上昇率!$H$9),0)</f>
        <v>8629094</v>
      </c>
      <c r="AH49" s="85">
        <f>ROUND(AG49*(1+物価上昇率!$H$9),0)</f>
        <v>8724014</v>
      </c>
      <c r="AI49" s="85">
        <f>ROUND(AH49*(1+物価上昇率!$H$9),0)</f>
        <v>8819978</v>
      </c>
      <c r="AJ49" s="85">
        <f>ROUND(AI49*(1+物価上昇率!$H$9),0)</f>
        <v>8916998</v>
      </c>
      <c r="AK49" s="85">
        <f>ROUND(AJ49*(1+物価上昇率!$H$9),0)</f>
        <v>9015085</v>
      </c>
      <c r="AL49" s="85">
        <f>ROUND(AK49*(1+物価上昇率!$H$9),0)</f>
        <v>9114251</v>
      </c>
      <c r="AM49" s="85">
        <f>ROUND(AL49*(1+物価上昇率!$H$9),0)</f>
        <v>9214508</v>
      </c>
      <c r="AN49" s="85">
        <f>ROUND(AM49*(1+物価上昇率!$H$9),0)</f>
        <v>9315868</v>
      </c>
      <c r="AO49" s="85">
        <f>ROUND(AN49*(1+物価上昇率!$H$9),0)</f>
        <v>9418343</v>
      </c>
      <c r="AP49" s="85">
        <f>ROUND(AO49*(1+物価上昇率!$H$9),0)</f>
        <v>9521945</v>
      </c>
      <c r="AQ49" s="85">
        <f>ROUND(AP49*(1+物価上昇率!$H$9),0)</f>
        <v>9626686</v>
      </c>
      <c r="AR49" s="85">
        <f>ROUND(AQ49*(1+物価上昇率!$H$9),0)</f>
        <v>9732580</v>
      </c>
      <c r="AS49" s="85">
        <f>ROUND(AR49*(1+物価上昇率!$H$9),0)</f>
        <v>9839638</v>
      </c>
      <c r="AT49" s="85">
        <f>ROUND(AS49*(1+物価上昇率!$H$9),0)</f>
        <v>9947874</v>
      </c>
      <c r="AU49" s="85">
        <f>ROUND(AT49*(1+物価上昇率!$H$9),0)</f>
        <v>10057301</v>
      </c>
      <c r="AV49" s="85">
        <f>ROUND(AU49*(1+物価上昇率!$H$9),0)</f>
        <v>10167931</v>
      </c>
      <c r="AW49" s="85">
        <f>ROUND(AV49*(1+物価上昇率!$H$9),0)</f>
        <v>10279778</v>
      </c>
      <c r="AX49" s="85">
        <f>ROUND(AW49*(1+物価上昇率!$H$9),0)</f>
        <v>10392856</v>
      </c>
      <c r="AY49" s="85">
        <f>ROUND(AX49*(1+物価上昇率!$H$9),0)</f>
        <v>10507177</v>
      </c>
      <c r="AZ49" s="85">
        <f>ROUND(AY49*(1+物価上昇率!$H$9),0)</f>
        <v>10622756</v>
      </c>
      <c r="BA49" s="85">
        <f>ROUND(AZ49*(1+物価上昇率!$H$9),0)</f>
        <v>10739606</v>
      </c>
      <c r="BB49" s="85">
        <f>ROUND(BA49*(1+物価上昇率!$H$9),0)</f>
        <v>10857742</v>
      </c>
      <c r="BC49" s="85">
        <f>ROUND(BB49*(1+物価上昇率!$H$9),0)</f>
        <v>10977177</v>
      </c>
      <c r="BD49" s="85">
        <f>ROUND(BC49*(1+物価上昇率!$H$9),0)</f>
        <v>11097926</v>
      </c>
      <c r="BE49" s="85">
        <f>ROUND(BD49*(1+物価上昇率!$H$9),0)</f>
        <v>11220003</v>
      </c>
      <c r="BF49" s="85">
        <f>ROUND(BE49*(1+物価上昇率!$H$9),0)</f>
        <v>11343423</v>
      </c>
      <c r="BG49" s="85">
        <f>ROUND(BF49*(1+物価上昇率!$H$9),0)</f>
        <v>11468201</v>
      </c>
      <c r="BH49" s="85">
        <f>ROUND(BG49*(1+物価上昇率!$H$9),0)</f>
        <v>11594351</v>
      </c>
      <c r="BI49" s="85">
        <f>ROUND(BH49*(1+物価上昇率!$H$9),0)</f>
        <v>11721889</v>
      </c>
      <c r="BJ49" s="85">
        <f>ROUND(BI49*(1+物価上昇率!$H$9),0)</f>
        <v>11850830</v>
      </c>
      <c r="BK49" s="85">
        <f>ROUND(BJ49*(1+物価上昇率!$H$9),0)</f>
        <v>11981189</v>
      </c>
      <c r="BL49" s="85">
        <f>ROUND(BK49*(1+物価上昇率!$H$9),0)</f>
        <v>12112982</v>
      </c>
      <c r="BM49" s="85">
        <f>ROUND(BL49*(1+物価上昇率!$H$9),0)</f>
        <v>12246225</v>
      </c>
      <c r="BN49" s="85">
        <f>ROUND(BM49*(1+物価上昇率!$H$9),0)</f>
        <v>12380933</v>
      </c>
      <c r="BO49" s="85">
        <f>ROUND(BN49*(1+物価上昇率!$H$9),0)</f>
        <v>12517123</v>
      </c>
      <c r="BP49" s="85">
        <f>ROUND(BO49*(1+物価上昇率!$H$9),0)</f>
        <v>12654811</v>
      </c>
      <c r="BQ49" s="85">
        <f>ROUND(BP49*(1+物価上昇率!$H$9),0)</f>
        <v>12794014</v>
      </c>
    </row>
    <row r="50" spans="2:69" s="265" customFormat="1">
      <c r="B50" s="262"/>
      <c r="C50" s="262"/>
      <c r="D50" s="262"/>
      <c r="E50" s="263" t="s">
        <v>93</v>
      </c>
      <c r="F50" s="316"/>
      <c r="G50" s="264"/>
      <c r="H50" s="264" t="s">
        <v>166</v>
      </c>
      <c r="I50" s="264"/>
      <c r="J50" s="264"/>
      <c r="K50" s="263" t="s">
        <v>720</v>
      </c>
      <c r="L50" s="264" t="s">
        <v>166</v>
      </c>
      <c r="M50" s="263"/>
      <c r="N50" s="85">
        <f>【PL】決算数値入力!W50</f>
        <v>8923711</v>
      </c>
      <c r="O50" s="85">
        <f>【PL】決算数値入力!X50</f>
        <v>7180869</v>
      </c>
      <c r="P50" s="85">
        <f>【PL】決算数値入力!Y50</f>
        <v>8663871</v>
      </c>
      <c r="Q50" s="85">
        <f>【PL】決算数値入力!Z50</f>
        <v>8209592</v>
      </c>
      <c r="R50" s="85">
        <f>【PL】決算数値入力!AA50</f>
        <v>7754894</v>
      </c>
      <c r="S50" s="85">
        <f>【PL】決算数値入力!AB50</f>
        <v>6360723.2000000002</v>
      </c>
      <c r="T50" s="85">
        <f>ROUND(S50*(1+物価上昇率!$H$9),0)</f>
        <v>6430691</v>
      </c>
      <c r="U50" s="85">
        <f>ROUND(T50*(1+物価上昇率!$H$9),0)</f>
        <v>6501429</v>
      </c>
      <c r="V50" s="85">
        <f>ROUND(U50*(1+物価上昇率!$H$9),0)</f>
        <v>6572945</v>
      </c>
      <c r="W50" s="85">
        <f>ROUND(V50*(1+物価上昇率!$H$9),0)</f>
        <v>6645247</v>
      </c>
      <c r="X50" s="85">
        <f>ROUND(W50*(1+物価上昇率!$H$9),0)</f>
        <v>6718345</v>
      </c>
      <c r="Y50" s="85">
        <f>ROUND(X50*(1+物価上昇率!$H$9),0)</f>
        <v>6792247</v>
      </c>
      <c r="Z50" s="85">
        <f>ROUND(Y50*(1+物価上昇率!$H$9),0)</f>
        <v>6866962</v>
      </c>
      <c r="AA50" s="85">
        <f>ROUND(Z50*(1+物価上昇率!$H$9),0)</f>
        <v>6942499</v>
      </c>
      <c r="AB50" s="85">
        <f>ROUND(AA50*(1+物価上昇率!$H$9),0)</f>
        <v>7018866</v>
      </c>
      <c r="AC50" s="85">
        <f>ROUND(AB50*(1+物価上昇率!$H$9),0)</f>
        <v>7096074</v>
      </c>
      <c r="AD50" s="85">
        <f>ROUND(AC50*(1+物価上昇率!$H$9),0)</f>
        <v>7174131</v>
      </c>
      <c r="AE50" s="85">
        <f>ROUND(AD50*(1+物価上昇率!$H$9),0)</f>
        <v>7253046</v>
      </c>
      <c r="AF50" s="85">
        <f>ROUND(AE50*(1+物価上昇率!$H$9),0)</f>
        <v>7332830</v>
      </c>
      <c r="AG50" s="85">
        <f>ROUND(AF50*(1+物価上昇率!$H$9),0)</f>
        <v>7413491</v>
      </c>
      <c r="AH50" s="85">
        <f>ROUND(AG50*(1+物価上昇率!$H$9),0)</f>
        <v>7495039</v>
      </c>
      <c r="AI50" s="85">
        <f>ROUND(AH50*(1+物価上昇率!$H$9),0)</f>
        <v>7577484</v>
      </c>
      <c r="AJ50" s="85">
        <f>ROUND(AI50*(1+物価上昇率!$H$9),0)</f>
        <v>7660836</v>
      </c>
      <c r="AK50" s="85">
        <f>ROUND(AJ50*(1+物価上昇率!$H$9),0)</f>
        <v>7745105</v>
      </c>
      <c r="AL50" s="85">
        <f>ROUND(AK50*(1+物価上昇率!$H$9),0)</f>
        <v>7830301</v>
      </c>
      <c r="AM50" s="85">
        <f>ROUND(AL50*(1+物価上昇率!$H$9),0)</f>
        <v>7916434</v>
      </c>
      <c r="AN50" s="85">
        <f>ROUND(AM50*(1+物価上昇率!$H$9),0)</f>
        <v>8003515</v>
      </c>
      <c r="AO50" s="85">
        <f>ROUND(AN50*(1+物価上昇率!$H$9),0)</f>
        <v>8091554</v>
      </c>
      <c r="AP50" s="85">
        <f>ROUND(AO50*(1+物価上昇率!$H$9),0)</f>
        <v>8180561</v>
      </c>
      <c r="AQ50" s="85">
        <f>ROUND(AP50*(1+物価上昇率!$H$9),0)</f>
        <v>8270547</v>
      </c>
      <c r="AR50" s="85">
        <f>ROUND(AQ50*(1+物価上昇率!$H$9),0)</f>
        <v>8361523</v>
      </c>
      <c r="AS50" s="85">
        <f>ROUND(AR50*(1+物価上昇率!$H$9),0)</f>
        <v>8453500</v>
      </c>
      <c r="AT50" s="85">
        <f>ROUND(AS50*(1+物価上昇率!$H$9),0)</f>
        <v>8546489</v>
      </c>
      <c r="AU50" s="85">
        <f>ROUND(AT50*(1+物価上昇率!$H$9),0)</f>
        <v>8640500</v>
      </c>
      <c r="AV50" s="85">
        <f>ROUND(AU50*(1+物価上昇率!$H$9),0)</f>
        <v>8735546</v>
      </c>
      <c r="AW50" s="85">
        <f>ROUND(AV50*(1+物価上昇率!$H$9),0)</f>
        <v>8831637</v>
      </c>
      <c r="AX50" s="85">
        <f>ROUND(AW50*(1+物価上昇率!$H$9),0)</f>
        <v>8928785</v>
      </c>
      <c r="AY50" s="85">
        <f>ROUND(AX50*(1+物価上昇率!$H$9),0)</f>
        <v>9027002</v>
      </c>
      <c r="AZ50" s="85">
        <f>ROUND(AY50*(1+物価上昇率!$H$9),0)</f>
        <v>9126299</v>
      </c>
      <c r="BA50" s="85">
        <f>ROUND(AZ50*(1+物価上昇率!$H$9),0)</f>
        <v>9226688</v>
      </c>
      <c r="BB50" s="85">
        <f>ROUND(BA50*(1+物価上昇率!$H$9),0)</f>
        <v>9328182</v>
      </c>
      <c r="BC50" s="85">
        <f>ROUND(BB50*(1+物価上昇率!$H$9),0)</f>
        <v>9430792</v>
      </c>
      <c r="BD50" s="85">
        <f>ROUND(BC50*(1+物価上昇率!$H$9),0)</f>
        <v>9534531</v>
      </c>
      <c r="BE50" s="85">
        <f>ROUND(BD50*(1+物価上昇率!$H$9),0)</f>
        <v>9639411</v>
      </c>
      <c r="BF50" s="85">
        <f>ROUND(BE50*(1+物価上昇率!$H$9),0)</f>
        <v>9745445</v>
      </c>
      <c r="BG50" s="85">
        <f>ROUND(BF50*(1+物価上昇率!$H$9),0)</f>
        <v>9852645</v>
      </c>
      <c r="BH50" s="85">
        <f>ROUND(BG50*(1+物価上昇率!$H$9),0)</f>
        <v>9961024</v>
      </c>
      <c r="BI50" s="85">
        <f>ROUND(BH50*(1+物価上昇率!$H$9),0)</f>
        <v>10070595</v>
      </c>
      <c r="BJ50" s="85">
        <f>ROUND(BI50*(1+物価上昇率!$H$9),0)</f>
        <v>10181372</v>
      </c>
      <c r="BK50" s="85">
        <f>ROUND(BJ50*(1+物価上昇率!$H$9),0)</f>
        <v>10293367</v>
      </c>
      <c r="BL50" s="85">
        <f>ROUND(BK50*(1+物価上昇率!$H$9),0)</f>
        <v>10406594</v>
      </c>
      <c r="BM50" s="85">
        <f>ROUND(BL50*(1+物価上昇率!$H$9),0)</f>
        <v>10521067</v>
      </c>
      <c r="BN50" s="85">
        <f>ROUND(BM50*(1+物価上昇率!$H$9),0)</f>
        <v>10636799</v>
      </c>
      <c r="BO50" s="85">
        <f>ROUND(BN50*(1+物価上昇率!$H$9),0)</f>
        <v>10753804</v>
      </c>
      <c r="BP50" s="85">
        <f>ROUND(BO50*(1+物価上昇率!$H$9),0)</f>
        <v>10872096</v>
      </c>
      <c r="BQ50" s="85">
        <f>ROUND(BP50*(1+物価上昇率!$H$9),0)</f>
        <v>10991689</v>
      </c>
    </row>
    <row r="51" spans="2:69" s="265" customFormat="1">
      <c r="B51" s="262"/>
      <c r="C51" s="262"/>
      <c r="D51" s="268"/>
      <c r="E51" s="263" t="s">
        <v>94</v>
      </c>
      <c r="F51" s="317"/>
      <c r="G51" s="264"/>
      <c r="H51" s="264" t="s">
        <v>166</v>
      </c>
      <c r="I51" s="264"/>
      <c r="J51" s="264"/>
      <c r="K51" s="263" t="s">
        <v>720</v>
      </c>
      <c r="L51" s="263"/>
      <c r="M51" s="263"/>
      <c r="N51" s="85">
        <f>【PL】決算数値入力!W51</f>
        <v>0</v>
      </c>
      <c r="O51" s="85">
        <f>【PL】決算数値入力!X51</f>
        <v>0</v>
      </c>
      <c r="P51" s="85">
        <f>【PL】決算数値入力!Y51</f>
        <v>0</v>
      </c>
      <c r="Q51" s="85">
        <f>【PL】決算数値入力!Z51</f>
        <v>0</v>
      </c>
      <c r="R51" s="85">
        <f>【PL】決算数値入力!AA51</f>
        <v>0</v>
      </c>
      <c r="S51" s="85">
        <f>【PL】決算数値入力!AB51</f>
        <v>0</v>
      </c>
      <c r="T51" s="85">
        <f>S51</f>
        <v>0</v>
      </c>
      <c r="U51" s="85">
        <f t="shared" ref="U51:BQ51" si="65">T51</f>
        <v>0</v>
      </c>
      <c r="V51" s="85">
        <f t="shared" si="65"/>
        <v>0</v>
      </c>
      <c r="W51" s="85">
        <f t="shared" si="65"/>
        <v>0</v>
      </c>
      <c r="X51" s="85">
        <f t="shared" si="65"/>
        <v>0</v>
      </c>
      <c r="Y51" s="85">
        <f t="shared" si="65"/>
        <v>0</v>
      </c>
      <c r="Z51" s="85">
        <f t="shared" si="65"/>
        <v>0</v>
      </c>
      <c r="AA51" s="85">
        <f t="shared" si="65"/>
        <v>0</v>
      </c>
      <c r="AB51" s="85">
        <f t="shared" si="65"/>
        <v>0</v>
      </c>
      <c r="AC51" s="85">
        <f t="shared" si="65"/>
        <v>0</v>
      </c>
      <c r="AD51" s="85">
        <f t="shared" si="65"/>
        <v>0</v>
      </c>
      <c r="AE51" s="85">
        <f t="shared" si="65"/>
        <v>0</v>
      </c>
      <c r="AF51" s="85">
        <f t="shared" si="65"/>
        <v>0</v>
      </c>
      <c r="AG51" s="85">
        <f t="shared" si="65"/>
        <v>0</v>
      </c>
      <c r="AH51" s="85">
        <f t="shared" si="65"/>
        <v>0</v>
      </c>
      <c r="AI51" s="85">
        <f t="shared" si="65"/>
        <v>0</v>
      </c>
      <c r="AJ51" s="85">
        <f t="shared" si="65"/>
        <v>0</v>
      </c>
      <c r="AK51" s="85">
        <f t="shared" si="65"/>
        <v>0</v>
      </c>
      <c r="AL51" s="85">
        <f t="shared" si="65"/>
        <v>0</v>
      </c>
      <c r="AM51" s="85">
        <f t="shared" si="65"/>
        <v>0</v>
      </c>
      <c r="AN51" s="85">
        <f t="shared" si="65"/>
        <v>0</v>
      </c>
      <c r="AO51" s="85">
        <f t="shared" si="65"/>
        <v>0</v>
      </c>
      <c r="AP51" s="85">
        <f t="shared" si="65"/>
        <v>0</v>
      </c>
      <c r="AQ51" s="85">
        <f t="shared" si="65"/>
        <v>0</v>
      </c>
      <c r="AR51" s="85">
        <f t="shared" si="65"/>
        <v>0</v>
      </c>
      <c r="AS51" s="85">
        <f t="shared" si="65"/>
        <v>0</v>
      </c>
      <c r="AT51" s="85">
        <f t="shared" si="65"/>
        <v>0</v>
      </c>
      <c r="AU51" s="85">
        <f t="shared" si="65"/>
        <v>0</v>
      </c>
      <c r="AV51" s="85">
        <f t="shared" si="65"/>
        <v>0</v>
      </c>
      <c r="AW51" s="85">
        <f t="shared" si="65"/>
        <v>0</v>
      </c>
      <c r="AX51" s="85">
        <f t="shared" si="65"/>
        <v>0</v>
      </c>
      <c r="AY51" s="85">
        <f t="shared" si="65"/>
        <v>0</v>
      </c>
      <c r="AZ51" s="85">
        <f t="shared" si="65"/>
        <v>0</v>
      </c>
      <c r="BA51" s="85">
        <f t="shared" si="65"/>
        <v>0</v>
      </c>
      <c r="BB51" s="85">
        <f t="shared" si="65"/>
        <v>0</v>
      </c>
      <c r="BC51" s="85">
        <f t="shared" si="65"/>
        <v>0</v>
      </c>
      <c r="BD51" s="85">
        <f t="shared" si="65"/>
        <v>0</v>
      </c>
      <c r="BE51" s="85">
        <f t="shared" si="65"/>
        <v>0</v>
      </c>
      <c r="BF51" s="85">
        <f t="shared" si="65"/>
        <v>0</v>
      </c>
      <c r="BG51" s="85">
        <f t="shared" si="65"/>
        <v>0</v>
      </c>
      <c r="BH51" s="85">
        <f t="shared" si="65"/>
        <v>0</v>
      </c>
      <c r="BI51" s="85">
        <f t="shared" si="65"/>
        <v>0</v>
      </c>
      <c r="BJ51" s="85">
        <f t="shared" si="65"/>
        <v>0</v>
      </c>
      <c r="BK51" s="85">
        <f t="shared" si="65"/>
        <v>0</v>
      </c>
      <c r="BL51" s="85">
        <f t="shared" si="65"/>
        <v>0</v>
      </c>
      <c r="BM51" s="85">
        <f t="shared" si="65"/>
        <v>0</v>
      </c>
      <c r="BN51" s="85">
        <f t="shared" si="65"/>
        <v>0</v>
      </c>
      <c r="BO51" s="85">
        <f t="shared" si="65"/>
        <v>0</v>
      </c>
      <c r="BP51" s="85">
        <f t="shared" si="65"/>
        <v>0</v>
      </c>
      <c r="BQ51" s="85">
        <f t="shared" si="65"/>
        <v>0</v>
      </c>
    </row>
    <row r="52" spans="2:69" s="265" customFormat="1">
      <c r="B52" s="262"/>
      <c r="C52" s="262"/>
      <c r="D52" s="269" t="s">
        <v>101</v>
      </c>
      <c r="E52" s="270"/>
      <c r="F52" s="263"/>
      <c r="G52" s="264"/>
      <c r="H52" s="264"/>
      <c r="I52" s="264"/>
      <c r="J52" s="264"/>
      <c r="K52" s="263"/>
      <c r="L52" s="263"/>
      <c r="M52" s="263"/>
      <c r="N52" s="85">
        <f>【PL】決算数値入力!W52</f>
        <v>140426639</v>
      </c>
      <c r="O52" s="85">
        <f>【PL】決算数値入力!X52</f>
        <v>331709645</v>
      </c>
      <c r="P52" s="85">
        <f>【PL】決算数値入力!Y52</f>
        <v>389441172</v>
      </c>
      <c r="Q52" s="85">
        <f>【PL】決算数値入力!Z52</f>
        <v>513505522</v>
      </c>
      <c r="R52" s="85">
        <f>【PL】決算数値入力!AA52</f>
        <v>390906409</v>
      </c>
      <c r="S52" s="85">
        <f>【PL】決算数値入力!AB52</f>
        <v>223418265.59999999</v>
      </c>
      <c r="T52" s="85">
        <f t="shared" ref="T52:BQ52" si="66">SUM(T53:T54)</f>
        <v>388013019</v>
      </c>
      <c r="U52" s="85">
        <f t="shared" si="66"/>
        <v>393178325</v>
      </c>
      <c r="V52" s="85">
        <f t="shared" si="66"/>
        <v>395267309</v>
      </c>
      <c r="W52" s="85">
        <f t="shared" si="66"/>
        <v>414923088</v>
      </c>
      <c r="X52" s="85">
        <f t="shared" si="66"/>
        <v>412863570</v>
      </c>
      <c r="Y52" s="85">
        <f t="shared" si="66"/>
        <v>407153866</v>
      </c>
      <c r="Z52" s="85">
        <f t="shared" si="66"/>
        <v>402234363</v>
      </c>
      <c r="AA52" s="85">
        <f t="shared" si="66"/>
        <v>399791730</v>
      </c>
      <c r="AB52" s="85">
        <f t="shared" si="66"/>
        <v>405939986</v>
      </c>
      <c r="AC52" s="85">
        <f t="shared" si="66"/>
        <v>406674729</v>
      </c>
      <c r="AD52" s="85">
        <f t="shared" si="66"/>
        <v>406812943</v>
      </c>
      <c r="AE52" s="85">
        <f t="shared" si="66"/>
        <v>352516335</v>
      </c>
      <c r="AF52" s="85">
        <f>SUM(AF53:AF54)</f>
        <v>342227313</v>
      </c>
      <c r="AG52" s="85">
        <f t="shared" si="66"/>
        <v>348732897</v>
      </c>
      <c r="AH52" s="85">
        <f t="shared" si="66"/>
        <v>355936112</v>
      </c>
      <c r="AI52" s="85">
        <f t="shared" si="66"/>
        <v>366934291</v>
      </c>
      <c r="AJ52" s="85">
        <f t="shared" si="66"/>
        <v>361851185</v>
      </c>
      <c r="AK52" s="85">
        <f t="shared" si="66"/>
        <v>373626364</v>
      </c>
      <c r="AL52" s="85">
        <f t="shared" si="66"/>
        <v>386301795</v>
      </c>
      <c r="AM52" s="85">
        <f t="shared" si="66"/>
        <v>400251221</v>
      </c>
      <c r="AN52" s="85">
        <f t="shared" si="66"/>
        <v>414278373</v>
      </c>
      <c r="AO52" s="85">
        <f t="shared" si="66"/>
        <v>414313892</v>
      </c>
      <c r="AP52" s="85">
        <f t="shared" si="66"/>
        <v>412930531</v>
      </c>
      <c r="AQ52" s="85">
        <f t="shared" si="66"/>
        <v>412146414</v>
      </c>
      <c r="AR52" s="85">
        <f t="shared" si="66"/>
        <v>412579205</v>
      </c>
      <c r="AS52" s="85">
        <f t="shared" si="66"/>
        <v>412465395</v>
      </c>
      <c r="AT52" s="85">
        <f t="shared" si="66"/>
        <v>412902074</v>
      </c>
      <c r="AU52" s="85">
        <f t="shared" si="66"/>
        <v>412773617</v>
      </c>
      <c r="AV52" s="85">
        <f t="shared" si="66"/>
        <v>413428596</v>
      </c>
      <c r="AW52" s="85">
        <f t="shared" si="66"/>
        <v>413822887</v>
      </c>
      <c r="AX52" s="85">
        <f t="shared" si="66"/>
        <v>413878278</v>
      </c>
      <c r="AY52" s="85">
        <f t="shared" si="66"/>
        <v>400218310</v>
      </c>
      <c r="AZ52" s="85">
        <f t="shared" si="66"/>
        <v>397221907</v>
      </c>
      <c r="BA52" s="85">
        <f t="shared" si="66"/>
        <v>397065040</v>
      </c>
      <c r="BB52" s="85">
        <f t="shared" si="66"/>
        <v>393157673</v>
      </c>
      <c r="BC52" s="85">
        <f t="shared" si="66"/>
        <v>380553248</v>
      </c>
      <c r="BD52" s="85">
        <f t="shared" si="66"/>
        <v>372201869</v>
      </c>
      <c r="BE52" s="85">
        <f t="shared" si="66"/>
        <v>338867857</v>
      </c>
      <c r="BF52" s="85">
        <f t="shared" si="66"/>
        <v>321643057</v>
      </c>
      <c r="BG52" s="85">
        <f t="shared" si="66"/>
        <v>320530884</v>
      </c>
      <c r="BH52" s="85">
        <f t="shared" si="66"/>
        <v>313326849</v>
      </c>
      <c r="BI52" s="85">
        <f t="shared" si="66"/>
        <v>285747104</v>
      </c>
      <c r="BJ52" s="85">
        <f t="shared" si="66"/>
        <v>273341863</v>
      </c>
      <c r="BK52" s="85">
        <f t="shared" si="66"/>
        <v>258378292</v>
      </c>
      <c r="BL52" s="85">
        <f t="shared" si="66"/>
        <v>245157764</v>
      </c>
      <c r="BM52" s="85">
        <f t="shared" si="66"/>
        <v>35793597</v>
      </c>
      <c r="BN52" s="85">
        <f t="shared" si="66"/>
        <v>32191122</v>
      </c>
      <c r="BO52" s="85">
        <f t="shared" si="66"/>
        <v>27782436</v>
      </c>
      <c r="BP52" s="85">
        <f t="shared" si="66"/>
        <v>22634774</v>
      </c>
      <c r="BQ52" s="85">
        <f t="shared" si="66"/>
        <v>19193545</v>
      </c>
    </row>
    <row r="53" spans="2:69" s="265" customFormat="1">
      <c r="B53" s="262"/>
      <c r="C53" s="262"/>
      <c r="D53" s="262"/>
      <c r="E53" s="263" t="s">
        <v>733</v>
      </c>
      <c r="F53" s="263"/>
      <c r="G53" s="264"/>
      <c r="H53" s="264" t="s">
        <v>166</v>
      </c>
      <c r="I53" s="264"/>
      <c r="J53" s="264"/>
      <c r="K53" s="263" t="s">
        <v>170</v>
      </c>
      <c r="L53" s="263"/>
      <c r="M53" s="263"/>
      <c r="N53" s="85">
        <f>【PL】決算数値入力!W53</f>
        <v>140426639</v>
      </c>
      <c r="O53" s="85">
        <f>【PL】決算数値入力!X53</f>
        <v>331709645</v>
      </c>
      <c r="P53" s="85">
        <f>【PL】決算数値入力!Y53</f>
        <v>389441172</v>
      </c>
      <c r="Q53" s="85">
        <f>【PL】決算数値入力!Z53</f>
        <v>513505522</v>
      </c>
      <c r="R53" s="85">
        <f>【PL】決算数値入力!AA53</f>
        <v>390906409</v>
      </c>
      <c r="S53" s="85">
        <f>【PL】決算数値入力!AB53</f>
        <v>353197877.39999998</v>
      </c>
      <c r="T53" s="85">
        <v>388013019</v>
      </c>
      <c r="U53" s="85">
        <v>393178325</v>
      </c>
      <c r="V53" s="85">
        <v>388776204</v>
      </c>
      <c r="W53" s="85">
        <v>381326720</v>
      </c>
      <c r="X53" s="85">
        <v>366109307</v>
      </c>
      <c r="Y53" s="85">
        <v>351189077</v>
      </c>
      <c r="Z53" s="85">
        <v>335480100</v>
      </c>
      <c r="AA53" s="85">
        <v>324879572</v>
      </c>
      <c r="AB53" s="85">
        <v>321264670</v>
      </c>
      <c r="AC53" s="85">
        <v>314341518</v>
      </c>
      <c r="AD53" s="85">
        <v>305953416</v>
      </c>
      <c r="AE53" s="85">
        <v>246393650</v>
      </c>
      <c r="AF53" s="85">
        <v>230841470</v>
      </c>
      <c r="AG53" s="85">
        <v>222347054</v>
      </c>
      <c r="AH53" s="85">
        <v>215076585</v>
      </c>
      <c r="AI53" s="85">
        <v>211601080</v>
      </c>
      <c r="AJ53" s="85">
        <v>192017974</v>
      </c>
      <c r="AK53" s="85">
        <v>188503679</v>
      </c>
      <c r="AL53" s="85">
        <v>185284373</v>
      </c>
      <c r="AM53" s="85">
        <v>182918010</v>
      </c>
      <c r="AN53" s="85">
        <v>180629373</v>
      </c>
      <c r="AO53" s="85">
        <v>178559629</v>
      </c>
      <c r="AP53" s="85">
        <v>175597321</v>
      </c>
      <c r="AQ53" s="85">
        <v>173234257</v>
      </c>
      <c r="AR53" s="85">
        <v>172061785</v>
      </c>
      <c r="AS53" s="85">
        <v>170342712</v>
      </c>
      <c r="AT53" s="85">
        <v>169095180</v>
      </c>
      <c r="AU53" s="85">
        <v>166861460</v>
      </c>
      <c r="AV53" s="85">
        <v>165411176</v>
      </c>
      <c r="AW53" s="85">
        <v>163700204</v>
      </c>
      <c r="AX53" s="85">
        <v>162176648</v>
      </c>
      <c r="AY53" s="85">
        <v>146937733</v>
      </c>
      <c r="AZ53" s="85">
        <v>142336067</v>
      </c>
      <c r="BA53" s="85">
        <v>140573937</v>
      </c>
      <c r="BB53" s="85">
        <v>134982359</v>
      </c>
      <c r="BC53" s="85">
        <v>120272671</v>
      </c>
      <c r="BD53" s="85">
        <v>109816029</v>
      </c>
      <c r="BE53" s="85">
        <v>74376754</v>
      </c>
      <c r="BF53" s="85">
        <v>55573007</v>
      </c>
      <c r="BG53" s="85">
        <v>52881887</v>
      </c>
      <c r="BH53" s="85">
        <v>50563684</v>
      </c>
      <c r="BI53" s="85">
        <v>48483953</v>
      </c>
      <c r="BJ53" s="85">
        <v>47552392</v>
      </c>
      <c r="BK53" s="85">
        <v>39957242</v>
      </c>
      <c r="BL53" s="85">
        <v>36999882</v>
      </c>
      <c r="BM53" s="85">
        <v>35793597</v>
      </c>
      <c r="BN53" s="85">
        <v>32191122</v>
      </c>
      <c r="BO53" s="85">
        <v>27782436</v>
      </c>
      <c r="BP53" s="85">
        <v>22634774</v>
      </c>
      <c r="BQ53" s="85">
        <v>19193545</v>
      </c>
    </row>
    <row r="54" spans="2:69" s="265" customFormat="1">
      <c r="B54" s="262"/>
      <c r="C54" s="262"/>
      <c r="D54" s="268"/>
      <c r="E54" s="263" t="s">
        <v>734</v>
      </c>
      <c r="F54" s="263"/>
      <c r="G54" s="264"/>
      <c r="H54" s="264" t="s">
        <v>166</v>
      </c>
      <c r="I54" s="264"/>
      <c r="J54" s="264"/>
      <c r="K54" s="263" t="s">
        <v>171</v>
      </c>
      <c r="L54" s="263"/>
      <c r="M54" s="263"/>
      <c r="N54" s="85">
        <f>【PL】決算数値入力!W54</f>
        <v>0</v>
      </c>
      <c r="O54" s="85">
        <f>【PL】決算数値入力!X54</f>
        <v>0</v>
      </c>
      <c r="P54" s="85">
        <f>【PL】決算数値入力!Y54</f>
        <v>0</v>
      </c>
      <c r="Q54" s="85">
        <f>【PL】決算数値入力!Z54</f>
        <v>0</v>
      </c>
      <c r="R54" s="85">
        <f>【PL】決算数値入力!AA54</f>
        <v>0</v>
      </c>
      <c r="S54" s="85">
        <f>【PL】決算数値入力!AB54</f>
        <v>0</v>
      </c>
      <c r="T54" s="85">
        <f>新規取得!I2</f>
        <v>0</v>
      </c>
      <c r="U54" s="85">
        <f>新規取得!O2</f>
        <v>0</v>
      </c>
      <c r="V54" s="85">
        <f>新規取得!P2</f>
        <v>6491105</v>
      </c>
      <c r="W54" s="85">
        <f>新規取得!Q2</f>
        <v>33596368</v>
      </c>
      <c r="X54" s="85">
        <f>新規取得!R2</f>
        <v>46754263</v>
      </c>
      <c r="Y54" s="85">
        <f>新規取得!S2</f>
        <v>55964789</v>
      </c>
      <c r="Z54" s="85">
        <f>新規取得!T2</f>
        <v>66754263</v>
      </c>
      <c r="AA54" s="85">
        <f>新規取得!U2</f>
        <v>74912158</v>
      </c>
      <c r="AB54" s="85">
        <f>新規取得!V2</f>
        <v>84675316</v>
      </c>
      <c r="AC54" s="85">
        <f>新規取得!W2</f>
        <v>92333211</v>
      </c>
      <c r="AD54" s="85">
        <f>新規取得!X2</f>
        <v>100859527</v>
      </c>
      <c r="AE54" s="85">
        <f>新規取得!Y2</f>
        <v>106122685</v>
      </c>
      <c r="AF54" s="85">
        <f>新規取得!Z2</f>
        <v>111385843</v>
      </c>
      <c r="AG54" s="85">
        <f>新規取得!AA2</f>
        <v>126385843</v>
      </c>
      <c r="AH54" s="85">
        <f>新規取得!AB2</f>
        <v>140859527</v>
      </c>
      <c r="AI54" s="85">
        <f>新規取得!AC2</f>
        <v>155333211</v>
      </c>
      <c r="AJ54" s="85">
        <f>新規取得!AD2</f>
        <v>169833211</v>
      </c>
      <c r="AK54" s="85">
        <f>新規取得!AE2</f>
        <v>185122685</v>
      </c>
      <c r="AL54" s="85">
        <f>新規取得!AF2</f>
        <v>201017422</v>
      </c>
      <c r="AM54" s="85">
        <f>新規取得!AG2</f>
        <v>217333211</v>
      </c>
      <c r="AN54" s="85">
        <f>新規取得!AH2</f>
        <v>233649000</v>
      </c>
      <c r="AO54" s="85">
        <f>新規取得!AI2</f>
        <v>235754263</v>
      </c>
      <c r="AP54" s="85">
        <f>新規取得!AJ2</f>
        <v>237333210</v>
      </c>
      <c r="AQ54" s="85">
        <f>新規取得!AK2</f>
        <v>238912157</v>
      </c>
      <c r="AR54" s="85">
        <f>新規取得!AL2</f>
        <v>240517420</v>
      </c>
      <c r="AS54" s="85">
        <f>新規取得!AM2</f>
        <v>242122683</v>
      </c>
      <c r="AT54" s="85">
        <f>新規取得!AN2</f>
        <v>243806894</v>
      </c>
      <c r="AU54" s="85">
        <f>新規取得!AO2</f>
        <v>245912157</v>
      </c>
      <c r="AV54" s="85">
        <f>新規取得!AP2</f>
        <v>248017420</v>
      </c>
      <c r="AW54" s="85">
        <f>新規取得!AQ2</f>
        <v>250122683</v>
      </c>
      <c r="AX54" s="85">
        <f>新規取得!AR2</f>
        <v>251701630</v>
      </c>
      <c r="AY54" s="85">
        <f>新規取得!AS2</f>
        <v>253280577</v>
      </c>
      <c r="AZ54" s="85">
        <f>新規取得!AT2</f>
        <v>254885840</v>
      </c>
      <c r="BA54" s="85">
        <f>新規取得!AU2</f>
        <v>256491103</v>
      </c>
      <c r="BB54" s="85">
        <f>新規取得!AV2</f>
        <v>258175314</v>
      </c>
      <c r="BC54" s="85">
        <f>新規取得!AW2</f>
        <v>260280577</v>
      </c>
      <c r="BD54" s="85">
        <f>新規取得!AX2</f>
        <v>262385840</v>
      </c>
      <c r="BE54" s="85">
        <f>新規取得!AY2</f>
        <v>264491103</v>
      </c>
      <c r="BF54" s="85">
        <f>新規取得!AZ2</f>
        <v>266070050</v>
      </c>
      <c r="BG54" s="85">
        <f>新規取得!BA2</f>
        <v>267648997</v>
      </c>
      <c r="BH54" s="85">
        <f>新規取得!BB2</f>
        <v>262763165</v>
      </c>
      <c r="BI54" s="85">
        <f>新規取得!BC2</f>
        <v>237263151</v>
      </c>
      <c r="BJ54" s="85">
        <f>新規取得!BD2</f>
        <v>225789471</v>
      </c>
      <c r="BK54" s="85">
        <f>新規取得!BE2</f>
        <v>218421050</v>
      </c>
      <c r="BL54" s="85">
        <f>新規取得!BF2</f>
        <v>208157882</v>
      </c>
      <c r="BM54" s="85">
        <f>新規取得!BG2</f>
        <v>0</v>
      </c>
      <c r="BN54" s="85">
        <f>新規取得!BH2</f>
        <v>0</v>
      </c>
      <c r="BO54" s="85">
        <f>新規取得!BI2</f>
        <v>0</v>
      </c>
      <c r="BP54" s="85">
        <f>新規取得!BJ2</f>
        <v>0</v>
      </c>
      <c r="BQ54" s="85">
        <f>新規取得!BK2</f>
        <v>0</v>
      </c>
    </row>
    <row r="55" spans="2:69" s="265" customFormat="1">
      <c r="B55" s="262"/>
      <c r="C55" s="262"/>
      <c r="D55" s="269" t="s">
        <v>102</v>
      </c>
      <c r="E55" s="270"/>
      <c r="F55" s="263"/>
      <c r="G55" s="264"/>
      <c r="H55" s="264"/>
      <c r="I55" s="264"/>
      <c r="J55" s="264"/>
      <c r="K55" s="263"/>
      <c r="L55" s="263"/>
      <c r="M55" s="263"/>
      <c r="N55" s="85">
        <f>【PL】決算数値入力!W55</f>
        <v>0</v>
      </c>
      <c r="O55" s="85">
        <f>【PL】決算数値入力!X55</f>
        <v>0</v>
      </c>
      <c r="P55" s="85">
        <f>【PL】決算数値入力!Y55</f>
        <v>0</v>
      </c>
      <c r="Q55" s="85">
        <f>【PL】決算数値入力!Z55</f>
        <v>0</v>
      </c>
      <c r="R55" s="85">
        <f>【PL】決算数値入力!AA55</f>
        <v>0</v>
      </c>
      <c r="S55" s="85">
        <f>【PL】決算数値入力!AB55</f>
        <v>0</v>
      </c>
      <c r="T55" s="85">
        <f t="shared" ref="T55:BQ55" si="67">SUM(T56:T57)</f>
        <v>0</v>
      </c>
      <c r="U55" s="85">
        <f t="shared" si="67"/>
        <v>0</v>
      </c>
      <c r="V55" s="85">
        <f t="shared" si="67"/>
        <v>0</v>
      </c>
      <c r="W55" s="85">
        <f t="shared" si="67"/>
        <v>0</v>
      </c>
      <c r="X55" s="85">
        <f t="shared" si="67"/>
        <v>0</v>
      </c>
      <c r="Y55" s="85">
        <f t="shared" si="67"/>
        <v>0</v>
      </c>
      <c r="Z55" s="85">
        <f t="shared" si="67"/>
        <v>0</v>
      </c>
      <c r="AA55" s="85">
        <f t="shared" si="67"/>
        <v>0</v>
      </c>
      <c r="AB55" s="85">
        <f t="shared" si="67"/>
        <v>0</v>
      </c>
      <c r="AC55" s="85">
        <f t="shared" si="67"/>
        <v>0</v>
      </c>
      <c r="AD55" s="85">
        <f t="shared" si="67"/>
        <v>0</v>
      </c>
      <c r="AE55" s="85">
        <f t="shared" si="67"/>
        <v>0</v>
      </c>
      <c r="AF55" s="85">
        <f t="shared" si="67"/>
        <v>0</v>
      </c>
      <c r="AG55" s="85">
        <f t="shared" si="67"/>
        <v>0</v>
      </c>
      <c r="AH55" s="85">
        <f t="shared" si="67"/>
        <v>0</v>
      </c>
      <c r="AI55" s="85">
        <f t="shared" si="67"/>
        <v>0</v>
      </c>
      <c r="AJ55" s="85">
        <f t="shared" si="67"/>
        <v>0</v>
      </c>
      <c r="AK55" s="85">
        <f t="shared" si="67"/>
        <v>0</v>
      </c>
      <c r="AL55" s="85">
        <f t="shared" si="67"/>
        <v>0</v>
      </c>
      <c r="AM55" s="85">
        <f t="shared" si="67"/>
        <v>0</v>
      </c>
      <c r="AN55" s="85">
        <f t="shared" si="67"/>
        <v>0</v>
      </c>
      <c r="AO55" s="85">
        <f t="shared" si="67"/>
        <v>0</v>
      </c>
      <c r="AP55" s="85">
        <f t="shared" si="67"/>
        <v>0</v>
      </c>
      <c r="AQ55" s="85">
        <f t="shared" si="67"/>
        <v>0</v>
      </c>
      <c r="AR55" s="85">
        <f t="shared" si="67"/>
        <v>0</v>
      </c>
      <c r="AS55" s="85">
        <f t="shared" si="67"/>
        <v>0</v>
      </c>
      <c r="AT55" s="85">
        <f t="shared" si="67"/>
        <v>0</v>
      </c>
      <c r="AU55" s="85">
        <f t="shared" si="67"/>
        <v>0</v>
      </c>
      <c r="AV55" s="85">
        <f t="shared" si="67"/>
        <v>0</v>
      </c>
      <c r="AW55" s="85">
        <f t="shared" si="67"/>
        <v>0</v>
      </c>
      <c r="AX55" s="85">
        <f t="shared" si="67"/>
        <v>0</v>
      </c>
      <c r="AY55" s="85">
        <f t="shared" si="67"/>
        <v>0</v>
      </c>
      <c r="AZ55" s="85">
        <f t="shared" si="67"/>
        <v>0</v>
      </c>
      <c r="BA55" s="85">
        <f t="shared" si="67"/>
        <v>0</v>
      </c>
      <c r="BB55" s="85">
        <f t="shared" si="67"/>
        <v>0</v>
      </c>
      <c r="BC55" s="85">
        <f t="shared" si="67"/>
        <v>0</v>
      </c>
      <c r="BD55" s="85">
        <f t="shared" si="67"/>
        <v>0</v>
      </c>
      <c r="BE55" s="85">
        <f t="shared" si="67"/>
        <v>0</v>
      </c>
      <c r="BF55" s="85">
        <f t="shared" si="67"/>
        <v>0</v>
      </c>
      <c r="BG55" s="85">
        <f t="shared" si="67"/>
        <v>0</v>
      </c>
      <c r="BH55" s="85">
        <f t="shared" si="67"/>
        <v>0</v>
      </c>
      <c r="BI55" s="85">
        <f t="shared" si="67"/>
        <v>0</v>
      </c>
      <c r="BJ55" s="85">
        <f t="shared" si="67"/>
        <v>0</v>
      </c>
      <c r="BK55" s="85">
        <f t="shared" si="67"/>
        <v>0</v>
      </c>
      <c r="BL55" s="85">
        <f t="shared" si="67"/>
        <v>0</v>
      </c>
      <c r="BM55" s="85">
        <f t="shared" si="67"/>
        <v>0</v>
      </c>
      <c r="BN55" s="85">
        <f t="shared" si="67"/>
        <v>0</v>
      </c>
      <c r="BO55" s="85">
        <f t="shared" si="67"/>
        <v>0</v>
      </c>
      <c r="BP55" s="85">
        <f t="shared" si="67"/>
        <v>0</v>
      </c>
      <c r="BQ55" s="85">
        <f t="shared" si="67"/>
        <v>0</v>
      </c>
    </row>
    <row r="56" spans="2:69" s="265" customFormat="1">
      <c r="B56" s="262"/>
      <c r="C56" s="262"/>
      <c r="D56" s="262"/>
      <c r="E56" s="263" t="s">
        <v>164</v>
      </c>
      <c r="F56" s="263"/>
      <c r="G56" s="264"/>
      <c r="H56" s="264" t="s">
        <v>166</v>
      </c>
      <c r="I56" s="264"/>
      <c r="J56" s="264"/>
      <c r="K56" s="263" t="s">
        <v>172</v>
      </c>
      <c r="L56" s="263"/>
      <c r="M56" s="263"/>
      <c r="N56" s="85">
        <f>【PL】決算数値入力!W56</f>
        <v>0</v>
      </c>
      <c r="O56" s="85">
        <f>【PL】決算数値入力!X56</f>
        <v>0</v>
      </c>
      <c r="P56" s="85">
        <f>【PL】決算数値入力!Y56</f>
        <v>0</v>
      </c>
      <c r="Q56" s="85">
        <f>【PL】決算数値入力!Z56</f>
        <v>0</v>
      </c>
      <c r="R56" s="85">
        <f>【PL】決算数値入力!AA56</f>
        <v>0</v>
      </c>
      <c r="S56" s="85">
        <f>【PL】決算数値入力!AB56</f>
        <v>0</v>
      </c>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row>
    <row r="57" spans="2:69" s="265" customFormat="1">
      <c r="B57" s="262"/>
      <c r="C57" s="268"/>
      <c r="D57" s="268"/>
      <c r="E57" s="263" t="s">
        <v>165</v>
      </c>
      <c r="F57" s="263"/>
      <c r="G57" s="264"/>
      <c r="H57" s="264" t="s">
        <v>166</v>
      </c>
      <c r="I57" s="264"/>
      <c r="J57" s="264"/>
      <c r="K57" s="263" t="s">
        <v>163</v>
      </c>
      <c r="L57" s="263"/>
      <c r="M57" s="263"/>
      <c r="N57" s="85">
        <f>【PL】決算数値入力!W57</f>
        <v>0</v>
      </c>
      <c r="O57" s="85">
        <f>【PL】決算数値入力!X57</f>
        <v>0</v>
      </c>
      <c r="P57" s="85">
        <f>【PL】決算数値入力!Y57</f>
        <v>0</v>
      </c>
      <c r="Q57" s="85">
        <f>【PL】決算数値入力!Z57</f>
        <v>0</v>
      </c>
      <c r="R57" s="85">
        <f>【PL】決算数値入力!AA57</f>
        <v>0</v>
      </c>
      <c r="S57" s="85">
        <f>【PL】決算数値入力!AB57</f>
        <v>0</v>
      </c>
      <c r="T57" s="85">
        <v>0</v>
      </c>
      <c r="U57" s="85">
        <v>0</v>
      </c>
      <c r="V57" s="85">
        <v>0</v>
      </c>
      <c r="W57" s="85">
        <v>0</v>
      </c>
      <c r="X57" s="85">
        <v>0</v>
      </c>
      <c r="Y57" s="85">
        <v>0</v>
      </c>
      <c r="Z57" s="85">
        <v>0</v>
      </c>
      <c r="AA57" s="85">
        <v>0</v>
      </c>
      <c r="AB57" s="85">
        <v>0</v>
      </c>
      <c r="AC57" s="85">
        <v>0</v>
      </c>
      <c r="AD57" s="85">
        <v>0</v>
      </c>
      <c r="AE57" s="85">
        <v>0</v>
      </c>
      <c r="AF57" s="85">
        <v>0</v>
      </c>
      <c r="AG57" s="85">
        <v>0</v>
      </c>
      <c r="AH57" s="85">
        <v>0</v>
      </c>
      <c r="AI57" s="85">
        <v>0</v>
      </c>
      <c r="AJ57" s="85">
        <v>0</v>
      </c>
      <c r="AK57" s="85">
        <v>0</v>
      </c>
      <c r="AL57" s="85">
        <v>0</v>
      </c>
      <c r="AM57" s="85">
        <v>0</v>
      </c>
      <c r="AN57" s="85">
        <v>0</v>
      </c>
      <c r="AO57" s="85">
        <v>0</v>
      </c>
      <c r="AP57" s="85">
        <v>0</v>
      </c>
      <c r="AQ57" s="85">
        <v>0</v>
      </c>
      <c r="AR57" s="85">
        <v>0</v>
      </c>
      <c r="AS57" s="85">
        <v>0</v>
      </c>
      <c r="AT57" s="85">
        <v>0</v>
      </c>
      <c r="AU57" s="85">
        <v>0</v>
      </c>
      <c r="AV57" s="85">
        <v>0</v>
      </c>
      <c r="AW57" s="85">
        <v>0</v>
      </c>
      <c r="AX57" s="85">
        <v>0</v>
      </c>
      <c r="AY57" s="85">
        <v>0</v>
      </c>
      <c r="AZ57" s="85">
        <v>0</v>
      </c>
      <c r="BA57" s="85">
        <v>0</v>
      </c>
      <c r="BB57" s="85">
        <v>0</v>
      </c>
      <c r="BC57" s="85">
        <v>0</v>
      </c>
      <c r="BD57" s="85">
        <v>0</v>
      </c>
      <c r="BE57" s="85">
        <v>0</v>
      </c>
      <c r="BF57" s="85">
        <v>0</v>
      </c>
      <c r="BG57" s="85">
        <v>0</v>
      </c>
      <c r="BH57" s="85">
        <v>0</v>
      </c>
      <c r="BI57" s="85">
        <v>0</v>
      </c>
      <c r="BJ57" s="85">
        <v>0</v>
      </c>
      <c r="BK57" s="85">
        <v>0</v>
      </c>
      <c r="BL57" s="85">
        <v>0</v>
      </c>
      <c r="BM57" s="85">
        <v>0</v>
      </c>
      <c r="BN57" s="85">
        <v>0</v>
      </c>
      <c r="BO57" s="85">
        <v>0</v>
      </c>
      <c r="BP57" s="85">
        <v>0</v>
      </c>
      <c r="BQ57" s="85">
        <v>0</v>
      </c>
    </row>
    <row r="58" spans="2:69" s="265" customFormat="1">
      <c r="B58" s="262"/>
      <c r="C58" s="269" t="s">
        <v>103</v>
      </c>
      <c r="D58" s="272"/>
      <c r="E58" s="270"/>
      <c r="F58" s="263"/>
      <c r="G58" s="264"/>
      <c r="H58" s="264"/>
      <c r="I58" s="264"/>
      <c r="J58" s="264"/>
      <c r="K58" s="263"/>
      <c r="L58" s="263"/>
      <c r="M58" s="263"/>
      <c r="N58" s="85">
        <f>【PL】決算数値入力!W58</f>
        <v>39544692</v>
      </c>
      <c r="O58" s="85">
        <f>【PL】決算数値入力!X58</f>
        <v>13857270</v>
      </c>
      <c r="P58" s="85">
        <f>【PL】決算数値入力!Y58</f>
        <v>6414667</v>
      </c>
      <c r="Q58" s="85">
        <f>【PL】決算数値入力!Z58</f>
        <v>6771721</v>
      </c>
      <c r="R58" s="85">
        <f>【PL】決算数値入力!AA58</f>
        <v>16067781</v>
      </c>
      <c r="S58" s="85">
        <f>【PL】決算数値入力!AB58</f>
        <v>18069225.200000003</v>
      </c>
      <c r="T58" s="85">
        <f t="shared" ref="T58:BQ58" si="68">SUM(T59,T62)</f>
        <v>14653778.4</v>
      </c>
      <c r="U58" s="85">
        <f t="shared" si="68"/>
        <v>22814486.399999999</v>
      </c>
      <c r="V58" s="85">
        <f t="shared" si="68"/>
        <v>27367391.399999999</v>
      </c>
      <c r="W58" s="85">
        <f t="shared" si="68"/>
        <v>36376614.399999999</v>
      </c>
      <c r="X58" s="85">
        <f t="shared" si="68"/>
        <v>44151642.399999999</v>
      </c>
      <c r="Y58" s="85">
        <f t="shared" si="68"/>
        <v>51460664.399999999</v>
      </c>
      <c r="Z58" s="85">
        <f t="shared" si="68"/>
        <v>55327130.399999999</v>
      </c>
      <c r="AA58" s="85">
        <f t="shared" si="68"/>
        <v>59041125.399999999</v>
      </c>
      <c r="AB58" s="85">
        <f t="shared" si="68"/>
        <v>63605481.399999999</v>
      </c>
      <c r="AC58" s="85">
        <f t="shared" si="68"/>
        <v>69408939.400000006</v>
      </c>
      <c r="AD58" s="85">
        <f t="shared" si="68"/>
        <v>73399598.400000006</v>
      </c>
      <c r="AE58" s="85">
        <f t="shared" si="68"/>
        <v>75626961.400000006</v>
      </c>
      <c r="AF58" s="85">
        <f t="shared" si="68"/>
        <v>77128342.400000006</v>
      </c>
      <c r="AG58" s="85">
        <f t="shared" si="68"/>
        <v>78541967.400000006</v>
      </c>
      <c r="AH58" s="85">
        <f t="shared" si="68"/>
        <v>87849607.400000006</v>
      </c>
      <c r="AI58" s="85">
        <f t="shared" si="68"/>
        <v>96979906.400000006</v>
      </c>
      <c r="AJ58" s="85">
        <f t="shared" si="68"/>
        <v>105989015.40000001</v>
      </c>
      <c r="AK58" s="85">
        <f t="shared" si="68"/>
        <v>114786595.40000001</v>
      </c>
      <c r="AL58" s="85">
        <f t="shared" si="68"/>
        <v>123985645.40000001</v>
      </c>
      <c r="AM58" s="85">
        <f t="shared" si="68"/>
        <v>133430029.40000001</v>
      </c>
      <c r="AN58" s="85">
        <f t="shared" si="68"/>
        <v>142624365.40000001</v>
      </c>
      <c r="AO58" s="85">
        <f t="shared" si="68"/>
        <v>151559897.40000001</v>
      </c>
      <c r="AP58" s="85">
        <f t="shared" si="68"/>
        <v>148935122.40000001</v>
      </c>
      <c r="AQ58" s="85">
        <f t="shared" si="68"/>
        <v>146258780.40000001</v>
      </c>
      <c r="AR58" s="85">
        <f t="shared" si="68"/>
        <v>143527650.40000001</v>
      </c>
      <c r="AS58" s="85">
        <f t="shared" si="68"/>
        <v>140762641.40000001</v>
      </c>
      <c r="AT58" s="85">
        <f t="shared" si="68"/>
        <v>138100776.40000001</v>
      </c>
      <c r="AU58" s="85">
        <f t="shared" si="68"/>
        <v>135418711.40000001</v>
      </c>
      <c r="AV58" s="85">
        <f t="shared" si="68"/>
        <v>132641262.40000001</v>
      </c>
      <c r="AW58" s="85">
        <f t="shared" si="68"/>
        <v>129766428.40000001</v>
      </c>
      <c r="AX58" s="85">
        <f t="shared" si="68"/>
        <v>126792160.40000001</v>
      </c>
      <c r="AY58" s="85">
        <f t="shared" si="68"/>
        <v>123716373.40000001</v>
      </c>
      <c r="AZ58" s="85">
        <f t="shared" si="68"/>
        <v>120536935.40000001</v>
      </c>
      <c r="BA58" s="85">
        <f t="shared" si="68"/>
        <v>117251670.40000001</v>
      </c>
      <c r="BB58" s="85">
        <f t="shared" si="68"/>
        <v>113858354.40000001</v>
      </c>
      <c r="BC58" s="85">
        <f t="shared" si="68"/>
        <v>110354717.40000001</v>
      </c>
      <c r="BD58" s="85">
        <f t="shared" si="68"/>
        <v>106738445.40000001</v>
      </c>
      <c r="BE58" s="85">
        <f t="shared" si="68"/>
        <v>103007172.40000001</v>
      </c>
      <c r="BF58" s="85">
        <f t="shared" si="68"/>
        <v>99158482.400000006</v>
      </c>
      <c r="BG58" s="85">
        <f t="shared" si="68"/>
        <v>95189910.400000006</v>
      </c>
      <c r="BH58" s="85">
        <f t="shared" si="68"/>
        <v>91098939.400000006</v>
      </c>
      <c r="BI58" s="85">
        <f t="shared" si="68"/>
        <v>86882997.400000006</v>
      </c>
      <c r="BJ58" s="85">
        <f t="shared" si="68"/>
        <v>82727258.400000006</v>
      </c>
      <c r="BK58" s="85">
        <f t="shared" si="68"/>
        <v>78604085.400000006</v>
      </c>
      <c r="BL58" s="85">
        <f t="shared" si="68"/>
        <v>73655767.400000006</v>
      </c>
      <c r="BM58" s="85">
        <f t="shared" si="68"/>
        <v>68917576.400000006</v>
      </c>
      <c r="BN58" s="85">
        <f t="shared" si="68"/>
        <v>64382206.399999999</v>
      </c>
      <c r="BO58" s="85">
        <f t="shared" si="68"/>
        <v>59936734.399999999</v>
      </c>
      <c r="BP58" s="85">
        <f t="shared" si="68"/>
        <v>55583053.399999999</v>
      </c>
      <c r="BQ58" s="85">
        <f t="shared" si="68"/>
        <v>51362149.399999999</v>
      </c>
    </row>
    <row r="59" spans="2:69">
      <c r="B59" s="4"/>
      <c r="C59" s="4"/>
      <c r="D59" s="5" t="s">
        <v>104</v>
      </c>
      <c r="E59" s="8"/>
      <c r="F59" s="1"/>
      <c r="G59" s="10"/>
      <c r="H59" s="10"/>
      <c r="I59" s="10"/>
      <c r="J59" s="10"/>
      <c r="K59" s="1"/>
      <c r="L59" s="1"/>
      <c r="M59" s="1"/>
      <c r="N59" s="39">
        <f>【PL】決算数値入力!W59</f>
        <v>3322502</v>
      </c>
      <c r="O59" s="39">
        <f>【PL】決算数値入力!X59</f>
        <v>3316293</v>
      </c>
      <c r="P59" s="39">
        <f>【PL】決算数値入力!Y59</f>
        <v>3627476</v>
      </c>
      <c r="Q59" s="39">
        <f>【PL】決算数値入力!Z59</f>
        <v>4367904</v>
      </c>
      <c r="R59" s="39">
        <f>【PL】決算数値入力!AA59</f>
        <v>4944124</v>
      </c>
      <c r="S59" s="39">
        <f>【PL】決算数値入力!AB59</f>
        <v>10729945.800000001</v>
      </c>
      <c r="T59" s="39">
        <f t="shared" ref="T59:BQ59" si="69">SUM(T60:T61)</f>
        <v>7314499</v>
      </c>
      <c r="U59" s="39">
        <f t="shared" si="69"/>
        <v>15475207</v>
      </c>
      <c r="V59" s="39">
        <f t="shared" si="69"/>
        <v>20028112</v>
      </c>
      <c r="W59" s="39">
        <f t="shared" si="69"/>
        <v>29037335</v>
      </c>
      <c r="X59" s="39">
        <f t="shared" si="69"/>
        <v>36812363</v>
      </c>
      <c r="Y59" s="39">
        <f t="shared" si="69"/>
        <v>44121385</v>
      </c>
      <c r="Z59" s="39">
        <f t="shared" si="69"/>
        <v>47987851</v>
      </c>
      <c r="AA59" s="39">
        <f t="shared" si="69"/>
        <v>51701846</v>
      </c>
      <c r="AB59" s="39">
        <f t="shared" si="69"/>
        <v>56266202</v>
      </c>
      <c r="AC59" s="39">
        <f t="shared" si="69"/>
        <v>62069660</v>
      </c>
      <c r="AD59" s="39">
        <f t="shared" si="69"/>
        <v>66060319</v>
      </c>
      <c r="AE59" s="39">
        <f t="shared" si="69"/>
        <v>68287682</v>
      </c>
      <c r="AF59" s="39">
        <f t="shared" si="69"/>
        <v>69789063</v>
      </c>
      <c r="AG59" s="39">
        <f t="shared" si="69"/>
        <v>71202688</v>
      </c>
      <c r="AH59" s="39">
        <f t="shared" si="69"/>
        <v>80510328</v>
      </c>
      <c r="AI59" s="39">
        <f t="shared" si="69"/>
        <v>89640627</v>
      </c>
      <c r="AJ59" s="39">
        <f t="shared" si="69"/>
        <v>98649736</v>
      </c>
      <c r="AK59" s="39">
        <f t="shared" si="69"/>
        <v>107447316</v>
      </c>
      <c r="AL59" s="39">
        <f t="shared" si="69"/>
        <v>116646366</v>
      </c>
      <c r="AM59" s="39">
        <f t="shared" si="69"/>
        <v>126090750</v>
      </c>
      <c r="AN59" s="39">
        <f t="shared" si="69"/>
        <v>135285086</v>
      </c>
      <c r="AO59" s="39">
        <f t="shared" si="69"/>
        <v>144220618</v>
      </c>
      <c r="AP59" s="39">
        <f t="shared" si="69"/>
        <v>141595843</v>
      </c>
      <c r="AQ59" s="39">
        <f t="shared" si="69"/>
        <v>138919501</v>
      </c>
      <c r="AR59" s="39">
        <f t="shared" si="69"/>
        <v>136188371</v>
      </c>
      <c r="AS59" s="39">
        <f t="shared" si="69"/>
        <v>133423362</v>
      </c>
      <c r="AT59" s="39">
        <f t="shared" si="69"/>
        <v>130761497</v>
      </c>
      <c r="AU59" s="39">
        <f t="shared" si="69"/>
        <v>128079432</v>
      </c>
      <c r="AV59" s="39">
        <f t="shared" si="69"/>
        <v>125301983</v>
      </c>
      <c r="AW59" s="39">
        <f t="shared" si="69"/>
        <v>122427149</v>
      </c>
      <c r="AX59" s="39">
        <f t="shared" si="69"/>
        <v>119452881</v>
      </c>
      <c r="AY59" s="39">
        <f t="shared" si="69"/>
        <v>116377094</v>
      </c>
      <c r="AZ59" s="39">
        <f t="shared" si="69"/>
        <v>113197656</v>
      </c>
      <c r="BA59" s="39">
        <f t="shared" si="69"/>
        <v>109912391</v>
      </c>
      <c r="BB59" s="39">
        <f t="shared" si="69"/>
        <v>106519075</v>
      </c>
      <c r="BC59" s="39">
        <f t="shared" si="69"/>
        <v>103015438</v>
      </c>
      <c r="BD59" s="39">
        <f t="shared" si="69"/>
        <v>99399166</v>
      </c>
      <c r="BE59" s="39">
        <f t="shared" si="69"/>
        <v>95667893</v>
      </c>
      <c r="BF59" s="39">
        <f t="shared" si="69"/>
        <v>91819203</v>
      </c>
      <c r="BG59" s="39">
        <f t="shared" si="69"/>
        <v>87850631</v>
      </c>
      <c r="BH59" s="39">
        <f t="shared" si="69"/>
        <v>83759660</v>
      </c>
      <c r="BI59" s="39">
        <f t="shared" si="69"/>
        <v>79543718</v>
      </c>
      <c r="BJ59" s="39">
        <f t="shared" si="69"/>
        <v>75387979</v>
      </c>
      <c r="BK59" s="39">
        <f t="shared" si="69"/>
        <v>71264806</v>
      </c>
      <c r="BL59" s="39">
        <f t="shared" si="69"/>
        <v>66316488</v>
      </c>
      <c r="BM59" s="39">
        <f t="shared" si="69"/>
        <v>61578297</v>
      </c>
      <c r="BN59" s="39">
        <f t="shared" si="69"/>
        <v>57042927</v>
      </c>
      <c r="BO59" s="39">
        <f t="shared" si="69"/>
        <v>52597455</v>
      </c>
      <c r="BP59" s="39">
        <f t="shared" si="69"/>
        <v>48243774</v>
      </c>
      <c r="BQ59" s="39">
        <f t="shared" si="69"/>
        <v>44022870</v>
      </c>
    </row>
    <row r="60" spans="2:69">
      <c r="B60" s="4"/>
      <c r="C60" s="4"/>
      <c r="D60" s="4"/>
      <c r="E60" s="1" t="s">
        <v>729</v>
      </c>
      <c r="F60" s="1"/>
      <c r="G60" s="10"/>
      <c r="H60" s="10" t="s">
        <v>166</v>
      </c>
      <c r="I60" s="10"/>
      <c r="J60" s="10"/>
      <c r="K60" s="1" t="s">
        <v>173</v>
      </c>
      <c r="L60" s="1"/>
      <c r="M60" s="1"/>
      <c r="N60" s="85">
        <v>3267062</v>
      </c>
      <c r="O60" s="85">
        <v>3316293</v>
      </c>
      <c r="P60" s="85">
        <v>3571553</v>
      </c>
      <c r="Q60" s="85">
        <v>4301221</v>
      </c>
      <c r="R60" s="85">
        <v>4944124</v>
      </c>
      <c r="S60" s="85">
        <f>【PL】決算数値入力!AB60</f>
        <v>3390666.4</v>
      </c>
      <c r="T60" s="85">
        <v>7314499</v>
      </c>
      <c r="U60" s="85">
        <v>10426807</v>
      </c>
      <c r="V60" s="85">
        <v>10790095</v>
      </c>
      <c r="W60" s="85">
        <v>10529945</v>
      </c>
      <c r="X60" s="85">
        <v>10171513</v>
      </c>
      <c r="Y60" s="85">
        <v>9805314</v>
      </c>
      <c r="Z60" s="85">
        <v>9287703</v>
      </c>
      <c r="AA60" s="85">
        <v>8710700</v>
      </c>
      <c r="AB60" s="85">
        <v>8029090</v>
      </c>
      <c r="AC60" s="85">
        <v>7440621</v>
      </c>
      <c r="AD60" s="85">
        <v>6856197</v>
      </c>
      <c r="AE60" s="85">
        <v>6300979</v>
      </c>
      <c r="AF60" s="85">
        <v>5737430</v>
      </c>
      <c r="AG60" s="85">
        <v>5165410</v>
      </c>
      <c r="AH60" s="85">
        <v>4588354</v>
      </c>
      <c r="AI60" s="85">
        <v>4045880</v>
      </c>
      <c r="AJ60" s="85">
        <v>3598596</v>
      </c>
      <c r="AK60" s="85">
        <v>3160696</v>
      </c>
      <c r="AL60" s="85">
        <v>2719825</v>
      </c>
      <c r="AM60" s="85">
        <v>2281790</v>
      </c>
      <c r="AN60" s="85">
        <v>1847085</v>
      </c>
      <c r="AO60" s="85">
        <v>1412272</v>
      </c>
      <c r="AP60" s="85">
        <v>1021280</v>
      </c>
      <c r="AQ60" s="85">
        <v>664686</v>
      </c>
      <c r="AR60" s="85">
        <v>341080</v>
      </c>
      <c r="AS60" s="85">
        <v>73217</v>
      </c>
      <c r="AT60" s="85">
        <v>0</v>
      </c>
      <c r="AU60" s="85">
        <v>0</v>
      </c>
      <c r="AV60" s="85">
        <v>0</v>
      </c>
      <c r="AW60" s="85">
        <v>0</v>
      </c>
      <c r="AX60" s="85">
        <v>0</v>
      </c>
      <c r="AY60" s="85">
        <v>0</v>
      </c>
      <c r="AZ60" s="85">
        <v>0</v>
      </c>
      <c r="BA60" s="85">
        <v>0</v>
      </c>
      <c r="BB60" s="85">
        <v>0</v>
      </c>
      <c r="BC60" s="85">
        <v>0</v>
      </c>
      <c r="BD60" s="85">
        <v>0</v>
      </c>
      <c r="BE60" s="85">
        <v>0</v>
      </c>
      <c r="BF60" s="85">
        <v>0</v>
      </c>
      <c r="BG60" s="85">
        <v>0</v>
      </c>
      <c r="BH60" s="85">
        <v>0</v>
      </c>
      <c r="BI60" s="85">
        <v>0</v>
      </c>
      <c r="BJ60" s="85">
        <v>0</v>
      </c>
      <c r="BK60" s="85">
        <v>0</v>
      </c>
      <c r="BL60" s="85">
        <v>0</v>
      </c>
      <c r="BM60" s="85">
        <v>0</v>
      </c>
      <c r="BN60" s="85">
        <v>0</v>
      </c>
      <c r="BO60" s="85">
        <v>0</v>
      </c>
      <c r="BP60" s="85">
        <v>0</v>
      </c>
      <c r="BQ60" s="85">
        <v>0</v>
      </c>
    </row>
    <row r="61" spans="2:69">
      <c r="B61" s="4"/>
      <c r="C61" s="4"/>
      <c r="D61" s="3"/>
      <c r="E61" s="1" t="s">
        <v>727</v>
      </c>
      <c r="F61" s="1"/>
      <c r="G61" s="10"/>
      <c r="H61" s="10" t="s">
        <v>166</v>
      </c>
      <c r="I61" s="10"/>
      <c r="J61" s="10"/>
      <c r="K61" s="1" t="s">
        <v>732</v>
      </c>
      <c r="L61" s="1"/>
      <c r="M61" s="1"/>
      <c r="N61" s="85">
        <f>【PL】決算数値入力!W61</f>
        <v>0</v>
      </c>
      <c r="O61" s="85">
        <f>【PL】決算数値入力!X61</f>
        <v>0</v>
      </c>
      <c r="P61" s="85">
        <f>【PL】決算数値入力!Y61</f>
        <v>0</v>
      </c>
      <c r="Q61" s="85">
        <f>【PL】決算数値入力!Z61</f>
        <v>0</v>
      </c>
      <c r="R61" s="85">
        <f>【PL】決算数値入力!AA61</f>
        <v>0</v>
      </c>
      <c r="S61" s="85">
        <f>【PL】決算数値入力!AB61</f>
        <v>0</v>
      </c>
      <c r="T61" s="85">
        <f>新規債返済スケジュール!E3</f>
        <v>0</v>
      </c>
      <c r="U61" s="85">
        <f>新規債返済スケジュール!F3</f>
        <v>5048400</v>
      </c>
      <c r="V61" s="85">
        <f>新規債返済スケジュール!G3</f>
        <v>9238017</v>
      </c>
      <c r="W61" s="85">
        <f>新規債返済スケジュール!H3</f>
        <v>18507390</v>
      </c>
      <c r="X61" s="85">
        <f>新規債返済スケジュール!I3</f>
        <v>26640850</v>
      </c>
      <c r="Y61" s="85">
        <f>新規債返済スケジュール!J3</f>
        <v>34316071</v>
      </c>
      <c r="Z61" s="85">
        <f>新規債返済スケジュール!K3</f>
        <v>38700148</v>
      </c>
      <c r="AA61" s="85">
        <f>新規債返済スケジュール!L3</f>
        <v>42991146</v>
      </c>
      <c r="AB61" s="85">
        <f>新規債返済スケジュール!M3</f>
        <v>48237112</v>
      </c>
      <c r="AC61" s="85">
        <f>新規債返済スケジュール!N3</f>
        <v>54629039</v>
      </c>
      <c r="AD61" s="85">
        <f>新規債返済スケジュール!O3</f>
        <v>59204122</v>
      </c>
      <c r="AE61" s="85">
        <f>新規債返済スケジュール!P3</f>
        <v>61986703</v>
      </c>
      <c r="AF61" s="85">
        <f>新規債返済スケジュール!Q3</f>
        <v>64051633</v>
      </c>
      <c r="AG61" s="85">
        <f>新規債返済スケジュール!R3</f>
        <v>66037278</v>
      </c>
      <c r="AH61" s="85">
        <f>新規債返済スケジュール!S3</f>
        <v>75921974</v>
      </c>
      <c r="AI61" s="85">
        <f>新規債返済スケジュール!T3</f>
        <v>85594747</v>
      </c>
      <c r="AJ61" s="85">
        <f>新規債返済スケジュール!U3</f>
        <v>95051140</v>
      </c>
      <c r="AK61" s="85">
        <f>新規債返済スケジュール!V3</f>
        <v>104286620</v>
      </c>
      <c r="AL61" s="85">
        <f>新規債返済スケジュール!W3</f>
        <v>113926541</v>
      </c>
      <c r="AM61" s="85">
        <f>新規債返済スケジュール!X3</f>
        <v>123808960</v>
      </c>
      <c r="AN61" s="85">
        <f>新規債返済スケジュール!Y3</f>
        <v>133438001</v>
      </c>
      <c r="AO61" s="85">
        <f>新規債返済スケジュール!Z3</f>
        <v>142808346</v>
      </c>
      <c r="AP61" s="85">
        <f>新規債返済スケジュール!AA3</f>
        <v>140574563</v>
      </c>
      <c r="AQ61" s="85">
        <f>新規債返済スケジュール!AB3</f>
        <v>138254815</v>
      </c>
      <c r="AR61" s="85">
        <f>新規債返済スケジュール!AC3</f>
        <v>135847291</v>
      </c>
      <c r="AS61" s="85">
        <f>新規債返済スケジュール!AD3</f>
        <v>133350145</v>
      </c>
      <c r="AT61" s="85">
        <f>新規債返済スケジュール!AE3</f>
        <v>130761497</v>
      </c>
      <c r="AU61" s="85">
        <f>新規債返済スケジュール!AF3</f>
        <v>128079432</v>
      </c>
      <c r="AV61" s="85">
        <f>新規債返済スケジュール!AG3</f>
        <v>125301983</v>
      </c>
      <c r="AW61" s="85">
        <f>新規債返済スケジュール!AH3</f>
        <v>122427149</v>
      </c>
      <c r="AX61" s="85">
        <f>新規債返済スケジュール!AI3</f>
        <v>119452881</v>
      </c>
      <c r="AY61" s="85">
        <f>新規債返済スケジュール!AJ3</f>
        <v>116377094</v>
      </c>
      <c r="AZ61" s="85">
        <f>新規債返済スケジュール!AK3</f>
        <v>113197656</v>
      </c>
      <c r="BA61" s="85">
        <f>新規債返済スケジュール!AL3</f>
        <v>109912391</v>
      </c>
      <c r="BB61" s="85">
        <f>新規債返済スケジュール!AM3</f>
        <v>106519075</v>
      </c>
      <c r="BC61" s="85">
        <f>新規債返済スケジュール!AN3</f>
        <v>103015438</v>
      </c>
      <c r="BD61" s="85">
        <f>新規債返済スケジュール!AO3</f>
        <v>99399166</v>
      </c>
      <c r="BE61" s="85">
        <f>新規債返済スケジュール!AP3</f>
        <v>95667893</v>
      </c>
      <c r="BF61" s="85">
        <f>新規債返済スケジュール!AQ3</f>
        <v>91819203</v>
      </c>
      <c r="BG61" s="85">
        <f>新規債返済スケジュール!AR3</f>
        <v>87850631</v>
      </c>
      <c r="BH61" s="85">
        <f>新規債返済スケジュール!AS3</f>
        <v>83759660</v>
      </c>
      <c r="BI61" s="85">
        <f>新規債返済スケジュール!AT3</f>
        <v>79543718</v>
      </c>
      <c r="BJ61" s="85">
        <f>新規債返済スケジュール!AU3</f>
        <v>75387979</v>
      </c>
      <c r="BK61" s="85">
        <f>新規債返済スケジュール!AV3</f>
        <v>71264806</v>
      </c>
      <c r="BL61" s="85">
        <f>新規債返済スケジュール!AW3</f>
        <v>66316488</v>
      </c>
      <c r="BM61" s="85">
        <f>新規債返済スケジュール!AX3</f>
        <v>61578297</v>
      </c>
      <c r="BN61" s="85">
        <f>新規債返済スケジュール!AY3</f>
        <v>57042927</v>
      </c>
      <c r="BO61" s="85">
        <f>新規債返済スケジュール!AZ3</f>
        <v>52597455</v>
      </c>
      <c r="BP61" s="85">
        <f>新規債返済スケジュール!BA3</f>
        <v>48243774</v>
      </c>
      <c r="BQ61" s="85">
        <f>新規債返済スケジュール!BB3</f>
        <v>44022870</v>
      </c>
    </row>
    <row r="62" spans="2:69">
      <c r="B62" s="4"/>
      <c r="C62" s="3"/>
      <c r="D62" s="9" t="s">
        <v>106</v>
      </c>
      <c r="E62" s="8"/>
      <c r="F62" s="1"/>
      <c r="G62" s="10"/>
      <c r="H62" s="10" t="s">
        <v>166</v>
      </c>
      <c r="I62" s="10"/>
      <c r="J62" s="10"/>
      <c r="K62" s="180" t="s">
        <v>719</v>
      </c>
      <c r="L62" s="1"/>
      <c r="M62" s="1"/>
      <c r="N62" s="39">
        <f>【PL】決算数値入力!W62</f>
        <v>36222190</v>
      </c>
      <c r="O62" s="39">
        <f>【PL】決算数値入力!X62</f>
        <v>10540977</v>
      </c>
      <c r="P62" s="39">
        <f>【PL】決算数値入力!Y62</f>
        <v>2787191</v>
      </c>
      <c r="Q62" s="39">
        <f>【PL】決算数値入力!Z62</f>
        <v>2403817</v>
      </c>
      <c r="R62" s="39">
        <f>【PL】決算数値入力!AA62</f>
        <v>11123657</v>
      </c>
      <c r="S62" s="39">
        <f>【PL】決算数値入力!AB62</f>
        <v>7339279.4000000004</v>
      </c>
      <c r="T62" s="39">
        <f>S62</f>
        <v>7339279.4000000004</v>
      </c>
      <c r="U62" s="39">
        <f t="shared" ref="U62:BQ62" si="70">T62</f>
        <v>7339279.4000000004</v>
      </c>
      <c r="V62" s="39">
        <f t="shared" si="70"/>
        <v>7339279.4000000004</v>
      </c>
      <c r="W62" s="39">
        <f t="shared" si="70"/>
        <v>7339279.4000000004</v>
      </c>
      <c r="X62" s="39">
        <f t="shared" si="70"/>
        <v>7339279.4000000004</v>
      </c>
      <c r="Y62" s="39">
        <f t="shared" si="70"/>
        <v>7339279.4000000004</v>
      </c>
      <c r="Z62" s="39">
        <f t="shared" si="70"/>
        <v>7339279.4000000004</v>
      </c>
      <c r="AA62" s="39">
        <f t="shared" si="70"/>
        <v>7339279.4000000004</v>
      </c>
      <c r="AB62" s="39">
        <f t="shared" si="70"/>
        <v>7339279.4000000004</v>
      </c>
      <c r="AC62" s="39">
        <f t="shared" si="70"/>
        <v>7339279.4000000004</v>
      </c>
      <c r="AD62" s="39">
        <f t="shared" si="70"/>
        <v>7339279.4000000004</v>
      </c>
      <c r="AE62" s="39">
        <f t="shared" si="70"/>
        <v>7339279.4000000004</v>
      </c>
      <c r="AF62" s="39">
        <f t="shared" si="70"/>
        <v>7339279.4000000004</v>
      </c>
      <c r="AG62" s="39">
        <f t="shared" si="70"/>
        <v>7339279.4000000004</v>
      </c>
      <c r="AH62" s="39">
        <f t="shared" si="70"/>
        <v>7339279.4000000004</v>
      </c>
      <c r="AI62" s="39">
        <f t="shared" si="70"/>
        <v>7339279.4000000004</v>
      </c>
      <c r="AJ62" s="39">
        <f t="shared" si="70"/>
        <v>7339279.4000000004</v>
      </c>
      <c r="AK62" s="39">
        <f t="shared" si="70"/>
        <v>7339279.4000000004</v>
      </c>
      <c r="AL62" s="39">
        <f t="shared" si="70"/>
        <v>7339279.4000000004</v>
      </c>
      <c r="AM62" s="39">
        <f t="shared" si="70"/>
        <v>7339279.4000000004</v>
      </c>
      <c r="AN62" s="39">
        <f t="shared" si="70"/>
        <v>7339279.4000000004</v>
      </c>
      <c r="AO62" s="39">
        <f t="shared" si="70"/>
        <v>7339279.4000000004</v>
      </c>
      <c r="AP62" s="39">
        <f t="shared" si="70"/>
        <v>7339279.4000000004</v>
      </c>
      <c r="AQ62" s="39">
        <f t="shared" si="70"/>
        <v>7339279.4000000004</v>
      </c>
      <c r="AR62" s="39">
        <f t="shared" si="70"/>
        <v>7339279.4000000004</v>
      </c>
      <c r="AS62" s="39">
        <f t="shared" si="70"/>
        <v>7339279.4000000004</v>
      </c>
      <c r="AT62" s="39">
        <f t="shared" si="70"/>
        <v>7339279.4000000004</v>
      </c>
      <c r="AU62" s="39">
        <f t="shared" si="70"/>
        <v>7339279.4000000004</v>
      </c>
      <c r="AV62" s="39">
        <f t="shared" si="70"/>
        <v>7339279.4000000004</v>
      </c>
      <c r="AW62" s="39">
        <f t="shared" si="70"/>
        <v>7339279.4000000004</v>
      </c>
      <c r="AX62" s="39">
        <f t="shared" si="70"/>
        <v>7339279.4000000004</v>
      </c>
      <c r="AY62" s="39">
        <f t="shared" si="70"/>
        <v>7339279.4000000004</v>
      </c>
      <c r="AZ62" s="39">
        <f t="shared" si="70"/>
        <v>7339279.4000000004</v>
      </c>
      <c r="BA62" s="39">
        <f t="shared" si="70"/>
        <v>7339279.4000000004</v>
      </c>
      <c r="BB62" s="39">
        <f t="shared" si="70"/>
        <v>7339279.4000000004</v>
      </c>
      <c r="BC62" s="39">
        <f t="shared" si="70"/>
        <v>7339279.4000000004</v>
      </c>
      <c r="BD62" s="39">
        <f t="shared" si="70"/>
        <v>7339279.4000000004</v>
      </c>
      <c r="BE62" s="39">
        <f t="shared" si="70"/>
        <v>7339279.4000000004</v>
      </c>
      <c r="BF62" s="39">
        <f t="shared" si="70"/>
        <v>7339279.4000000004</v>
      </c>
      <c r="BG62" s="39">
        <f t="shared" si="70"/>
        <v>7339279.4000000004</v>
      </c>
      <c r="BH62" s="39">
        <f t="shared" si="70"/>
        <v>7339279.4000000004</v>
      </c>
      <c r="BI62" s="39">
        <f t="shared" si="70"/>
        <v>7339279.4000000004</v>
      </c>
      <c r="BJ62" s="39">
        <f t="shared" si="70"/>
        <v>7339279.4000000004</v>
      </c>
      <c r="BK62" s="39">
        <f t="shared" si="70"/>
        <v>7339279.4000000004</v>
      </c>
      <c r="BL62" s="39">
        <f t="shared" si="70"/>
        <v>7339279.4000000004</v>
      </c>
      <c r="BM62" s="39">
        <f t="shared" si="70"/>
        <v>7339279.4000000004</v>
      </c>
      <c r="BN62" s="39">
        <f t="shared" si="70"/>
        <v>7339279.4000000004</v>
      </c>
      <c r="BO62" s="39">
        <f t="shared" si="70"/>
        <v>7339279.4000000004</v>
      </c>
      <c r="BP62" s="39">
        <f t="shared" si="70"/>
        <v>7339279.4000000004</v>
      </c>
      <c r="BQ62" s="39">
        <f t="shared" si="70"/>
        <v>7339279.4000000004</v>
      </c>
    </row>
    <row r="63" spans="2:69">
      <c r="B63" s="4"/>
      <c r="C63" s="5" t="s">
        <v>107</v>
      </c>
      <c r="D63" s="7"/>
      <c r="E63" s="8"/>
      <c r="F63" s="1"/>
      <c r="G63" s="10"/>
      <c r="H63" s="10"/>
      <c r="I63" s="10"/>
      <c r="J63" s="10"/>
      <c r="K63" s="1"/>
      <c r="L63" s="1"/>
      <c r="M63" s="1"/>
      <c r="N63" s="39">
        <f>【PL】決算数値入力!W63</f>
        <v>75141547</v>
      </c>
      <c r="O63" s="39">
        <f>【PL】決算数値入力!X63</f>
        <v>0</v>
      </c>
      <c r="P63" s="39">
        <f>【PL】決算数値入力!Y63</f>
        <v>0</v>
      </c>
      <c r="Q63" s="39">
        <f>【PL】決算数値入力!Z63</f>
        <v>0</v>
      </c>
      <c r="R63" s="39">
        <f>【PL】決算数値入力!AA63</f>
        <v>0</v>
      </c>
      <c r="S63" s="39">
        <f>【PL】決算数値入力!AB63</f>
        <v>31797738.800000001</v>
      </c>
      <c r="T63" s="39">
        <f t="shared" ref="T63:BQ63" si="71">SUM(T64:T67)</f>
        <v>0</v>
      </c>
      <c r="U63" s="39">
        <f t="shared" si="71"/>
        <v>0</v>
      </c>
      <c r="V63" s="39">
        <f t="shared" si="71"/>
        <v>0</v>
      </c>
      <c r="W63" s="39">
        <f t="shared" si="71"/>
        <v>0</v>
      </c>
      <c r="X63" s="39">
        <f t="shared" si="71"/>
        <v>0</v>
      </c>
      <c r="Y63" s="39">
        <f t="shared" si="71"/>
        <v>0</v>
      </c>
      <c r="Z63" s="39">
        <f t="shared" si="71"/>
        <v>0</v>
      </c>
      <c r="AA63" s="39">
        <f t="shared" si="71"/>
        <v>0</v>
      </c>
      <c r="AB63" s="39">
        <f t="shared" si="71"/>
        <v>0</v>
      </c>
      <c r="AC63" s="39">
        <f t="shared" si="71"/>
        <v>0</v>
      </c>
      <c r="AD63" s="39">
        <f t="shared" si="71"/>
        <v>0</v>
      </c>
      <c r="AE63" s="39">
        <f t="shared" si="71"/>
        <v>0</v>
      </c>
      <c r="AF63" s="39">
        <f t="shared" si="71"/>
        <v>0</v>
      </c>
      <c r="AG63" s="39">
        <f t="shared" si="71"/>
        <v>0</v>
      </c>
      <c r="AH63" s="39">
        <f t="shared" si="71"/>
        <v>0</v>
      </c>
      <c r="AI63" s="39">
        <f t="shared" si="71"/>
        <v>0</v>
      </c>
      <c r="AJ63" s="39">
        <f t="shared" si="71"/>
        <v>0</v>
      </c>
      <c r="AK63" s="39">
        <f t="shared" si="71"/>
        <v>0</v>
      </c>
      <c r="AL63" s="39">
        <f t="shared" si="71"/>
        <v>0</v>
      </c>
      <c r="AM63" s="39">
        <f t="shared" si="71"/>
        <v>0</v>
      </c>
      <c r="AN63" s="39">
        <f t="shared" si="71"/>
        <v>0</v>
      </c>
      <c r="AO63" s="39">
        <f t="shared" si="71"/>
        <v>0</v>
      </c>
      <c r="AP63" s="39">
        <f t="shared" si="71"/>
        <v>0</v>
      </c>
      <c r="AQ63" s="39">
        <f t="shared" si="71"/>
        <v>0</v>
      </c>
      <c r="AR63" s="39">
        <f t="shared" si="71"/>
        <v>0</v>
      </c>
      <c r="AS63" s="39">
        <f t="shared" si="71"/>
        <v>0</v>
      </c>
      <c r="AT63" s="39">
        <f t="shared" si="71"/>
        <v>0</v>
      </c>
      <c r="AU63" s="39">
        <f t="shared" si="71"/>
        <v>0</v>
      </c>
      <c r="AV63" s="39">
        <f t="shared" si="71"/>
        <v>0</v>
      </c>
      <c r="AW63" s="39">
        <f t="shared" si="71"/>
        <v>0</v>
      </c>
      <c r="AX63" s="39">
        <f t="shared" si="71"/>
        <v>0</v>
      </c>
      <c r="AY63" s="39">
        <f t="shared" si="71"/>
        <v>0</v>
      </c>
      <c r="AZ63" s="39">
        <f t="shared" si="71"/>
        <v>0</v>
      </c>
      <c r="BA63" s="39">
        <f t="shared" si="71"/>
        <v>0</v>
      </c>
      <c r="BB63" s="39">
        <f t="shared" si="71"/>
        <v>0</v>
      </c>
      <c r="BC63" s="39">
        <f t="shared" si="71"/>
        <v>0</v>
      </c>
      <c r="BD63" s="39">
        <f t="shared" si="71"/>
        <v>0</v>
      </c>
      <c r="BE63" s="39">
        <f t="shared" si="71"/>
        <v>0</v>
      </c>
      <c r="BF63" s="39">
        <f t="shared" si="71"/>
        <v>0</v>
      </c>
      <c r="BG63" s="39">
        <f t="shared" si="71"/>
        <v>0</v>
      </c>
      <c r="BH63" s="39">
        <f t="shared" si="71"/>
        <v>0</v>
      </c>
      <c r="BI63" s="39">
        <f t="shared" si="71"/>
        <v>0</v>
      </c>
      <c r="BJ63" s="39">
        <f t="shared" si="71"/>
        <v>0</v>
      </c>
      <c r="BK63" s="39">
        <f t="shared" si="71"/>
        <v>0</v>
      </c>
      <c r="BL63" s="39">
        <f t="shared" si="71"/>
        <v>0</v>
      </c>
      <c r="BM63" s="39">
        <f t="shared" si="71"/>
        <v>0</v>
      </c>
      <c r="BN63" s="39">
        <f t="shared" si="71"/>
        <v>0</v>
      </c>
      <c r="BO63" s="39">
        <f t="shared" si="71"/>
        <v>0</v>
      </c>
      <c r="BP63" s="39">
        <f t="shared" si="71"/>
        <v>0</v>
      </c>
      <c r="BQ63" s="39">
        <f t="shared" si="71"/>
        <v>0</v>
      </c>
    </row>
    <row r="64" spans="2:69">
      <c r="B64" s="4"/>
      <c r="C64" s="4"/>
      <c r="D64" s="1" t="s">
        <v>108</v>
      </c>
      <c r="E64" s="1"/>
      <c r="F64" s="1"/>
      <c r="G64" s="10"/>
      <c r="H64" s="10" t="s">
        <v>166</v>
      </c>
      <c r="I64" s="10"/>
      <c r="J64" s="10"/>
      <c r="K64" s="1" t="s">
        <v>163</v>
      </c>
      <c r="L64" s="1"/>
      <c r="M64" s="1"/>
      <c r="N64" s="85">
        <f>【PL】決算数値入力!W64</f>
        <v>75141547</v>
      </c>
      <c r="O64" s="85">
        <f>【PL】決算数値入力!X64</f>
        <v>0</v>
      </c>
      <c r="P64" s="85">
        <f>【PL】決算数値入力!Y64</f>
        <v>0</v>
      </c>
      <c r="Q64" s="85">
        <f>【PL】決算数値入力!Z64</f>
        <v>0</v>
      </c>
      <c r="R64" s="85">
        <f>【PL】決算数値入力!AA64</f>
        <v>0</v>
      </c>
      <c r="S64" s="85">
        <f>【PL】決算数値入力!AB64</f>
        <v>50712200.399999999</v>
      </c>
      <c r="T64" s="85">
        <v>0</v>
      </c>
      <c r="U64" s="85">
        <v>0</v>
      </c>
      <c r="V64" s="85">
        <v>0</v>
      </c>
      <c r="W64" s="85">
        <v>0</v>
      </c>
      <c r="X64" s="85">
        <v>0</v>
      </c>
      <c r="Y64" s="85">
        <v>0</v>
      </c>
      <c r="Z64" s="85">
        <v>0</v>
      </c>
      <c r="AA64" s="85">
        <v>0</v>
      </c>
      <c r="AB64" s="85">
        <v>0</v>
      </c>
      <c r="AC64" s="85">
        <v>0</v>
      </c>
      <c r="AD64" s="85">
        <v>0</v>
      </c>
      <c r="AE64" s="85">
        <v>0</v>
      </c>
      <c r="AF64" s="85">
        <v>0</v>
      </c>
      <c r="AG64" s="85">
        <v>0</v>
      </c>
      <c r="AH64" s="85">
        <v>0</v>
      </c>
      <c r="AI64" s="85">
        <v>0</v>
      </c>
      <c r="AJ64" s="85">
        <v>0</v>
      </c>
      <c r="AK64" s="85">
        <v>0</v>
      </c>
      <c r="AL64" s="85">
        <v>0</v>
      </c>
      <c r="AM64" s="85">
        <v>0</v>
      </c>
      <c r="AN64" s="85">
        <v>0</v>
      </c>
      <c r="AO64" s="85">
        <v>0</v>
      </c>
      <c r="AP64" s="85">
        <v>0</v>
      </c>
      <c r="AQ64" s="85">
        <v>0</v>
      </c>
      <c r="AR64" s="85">
        <v>0</v>
      </c>
      <c r="AS64" s="85">
        <v>0</v>
      </c>
      <c r="AT64" s="85">
        <v>0</v>
      </c>
      <c r="AU64" s="85">
        <v>0</v>
      </c>
      <c r="AV64" s="85">
        <v>0</v>
      </c>
      <c r="AW64" s="85">
        <v>0</v>
      </c>
      <c r="AX64" s="85">
        <v>0</v>
      </c>
      <c r="AY64" s="85">
        <v>0</v>
      </c>
      <c r="AZ64" s="85">
        <v>0</v>
      </c>
      <c r="BA64" s="85">
        <v>0</v>
      </c>
      <c r="BB64" s="85">
        <v>0</v>
      </c>
      <c r="BC64" s="85">
        <v>0</v>
      </c>
      <c r="BD64" s="85">
        <v>0</v>
      </c>
      <c r="BE64" s="85">
        <v>0</v>
      </c>
      <c r="BF64" s="85">
        <v>0</v>
      </c>
      <c r="BG64" s="85">
        <v>0</v>
      </c>
      <c r="BH64" s="85">
        <v>0</v>
      </c>
      <c r="BI64" s="85">
        <v>0</v>
      </c>
      <c r="BJ64" s="85">
        <v>0</v>
      </c>
      <c r="BK64" s="85">
        <v>0</v>
      </c>
      <c r="BL64" s="85">
        <v>0</v>
      </c>
      <c r="BM64" s="85">
        <v>0</v>
      </c>
      <c r="BN64" s="85">
        <v>0</v>
      </c>
      <c r="BO64" s="85">
        <v>0</v>
      </c>
      <c r="BP64" s="85">
        <v>0</v>
      </c>
      <c r="BQ64" s="85">
        <v>0</v>
      </c>
    </row>
    <row r="65" spans="1:69">
      <c r="B65" s="4"/>
      <c r="C65" s="4"/>
      <c r="D65" s="1" t="s">
        <v>109</v>
      </c>
      <c r="E65" s="1"/>
      <c r="F65" s="1"/>
      <c r="G65" s="10"/>
      <c r="H65" s="10" t="s">
        <v>166</v>
      </c>
      <c r="I65" s="10"/>
      <c r="J65" s="10"/>
      <c r="K65" s="1" t="s">
        <v>163</v>
      </c>
      <c r="L65" s="1"/>
      <c r="M65" s="1"/>
      <c r="N65" s="85">
        <f>【PL】決算数値入力!W65</f>
        <v>0</v>
      </c>
      <c r="O65" s="85">
        <f>【PL】決算数値入力!X65</f>
        <v>0</v>
      </c>
      <c r="P65" s="85">
        <f>【PL】決算数値入力!Y65</f>
        <v>0</v>
      </c>
      <c r="Q65" s="85">
        <f>【PL】決算数値入力!Z65</f>
        <v>0</v>
      </c>
      <c r="R65" s="85">
        <f>【PL】決算数値入力!AA65</f>
        <v>0</v>
      </c>
      <c r="S65" s="85">
        <f>【PL】決算数値入力!AB65</f>
        <v>1666</v>
      </c>
      <c r="T65" s="85"/>
      <c r="U65" s="189"/>
      <c r="V65" s="85">
        <v>0</v>
      </c>
      <c r="W65" s="85">
        <v>0</v>
      </c>
      <c r="X65" s="85">
        <v>0</v>
      </c>
      <c r="Y65" s="85">
        <v>0</v>
      </c>
      <c r="Z65" s="85">
        <v>0</v>
      </c>
      <c r="AA65" s="85">
        <v>0</v>
      </c>
      <c r="AB65" s="85">
        <v>0</v>
      </c>
      <c r="AC65" s="85">
        <v>0</v>
      </c>
      <c r="AD65" s="85">
        <v>0</v>
      </c>
      <c r="AE65" s="85">
        <v>0</v>
      </c>
      <c r="AF65" s="85">
        <v>0</v>
      </c>
      <c r="AG65" s="85">
        <v>0</v>
      </c>
      <c r="AH65" s="85">
        <v>0</v>
      </c>
      <c r="AI65" s="85">
        <v>0</v>
      </c>
      <c r="AJ65" s="85">
        <v>0</v>
      </c>
      <c r="AK65" s="85">
        <v>0</v>
      </c>
      <c r="AL65" s="85">
        <v>0</v>
      </c>
      <c r="AM65" s="85">
        <v>0</v>
      </c>
      <c r="AN65" s="85">
        <v>0</v>
      </c>
      <c r="AO65" s="85">
        <v>0</v>
      </c>
      <c r="AP65" s="85">
        <v>0</v>
      </c>
      <c r="AQ65" s="85">
        <v>0</v>
      </c>
      <c r="AR65" s="85">
        <v>0</v>
      </c>
      <c r="AS65" s="85">
        <v>0</v>
      </c>
      <c r="AT65" s="85">
        <v>0</v>
      </c>
      <c r="AU65" s="85">
        <v>0</v>
      </c>
      <c r="AV65" s="85">
        <v>0</v>
      </c>
      <c r="AW65" s="85">
        <v>0</v>
      </c>
      <c r="AX65" s="85">
        <v>0</v>
      </c>
      <c r="AY65" s="85">
        <v>0</v>
      </c>
      <c r="AZ65" s="85">
        <v>0</v>
      </c>
      <c r="BA65" s="85">
        <v>0</v>
      </c>
      <c r="BB65" s="85">
        <v>0</v>
      </c>
      <c r="BC65" s="85">
        <v>0</v>
      </c>
      <c r="BD65" s="85">
        <v>0</v>
      </c>
      <c r="BE65" s="85">
        <v>0</v>
      </c>
      <c r="BF65" s="85">
        <v>0</v>
      </c>
      <c r="BG65" s="85">
        <v>0</v>
      </c>
      <c r="BH65" s="85">
        <v>0</v>
      </c>
      <c r="BI65" s="85">
        <v>0</v>
      </c>
      <c r="BJ65" s="85">
        <v>0</v>
      </c>
      <c r="BK65" s="85">
        <v>0</v>
      </c>
      <c r="BL65" s="85">
        <v>0</v>
      </c>
      <c r="BM65" s="85">
        <v>0</v>
      </c>
      <c r="BN65" s="85">
        <v>0</v>
      </c>
      <c r="BO65" s="85">
        <v>0</v>
      </c>
      <c r="BP65" s="85">
        <v>0</v>
      </c>
      <c r="BQ65" s="85">
        <v>0</v>
      </c>
    </row>
    <row r="66" spans="1:69">
      <c r="B66" s="4"/>
      <c r="C66" s="4"/>
      <c r="D66" s="1" t="s">
        <v>110</v>
      </c>
      <c r="E66" s="1"/>
      <c r="F66" s="1"/>
      <c r="G66" s="10"/>
      <c r="H66" s="10" t="s">
        <v>166</v>
      </c>
      <c r="I66" s="10"/>
      <c r="J66" s="10"/>
      <c r="K66" s="1" t="s">
        <v>163</v>
      </c>
      <c r="L66" s="1"/>
      <c r="M66" s="1"/>
      <c r="N66" s="85">
        <f>【PL】決算数値入力!W66</f>
        <v>0</v>
      </c>
      <c r="O66" s="85">
        <f>【PL】決算数値入力!X66</f>
        <v>0</v>
      </c>
      <c r="P66" s="85">
        <f>【PL】決算数値入力!Y66</f>
        <v>0</v>
      </c>
      <c r="Q66" s="85">
        <f>【PL】決算数値入力!Z66</f>
        <v>0</v>
      </c>
      <c r="R66" s="85">
        <f>【PL】決算数値入力!AA66</f>
        <v>0</v>
      </c>
      <c r="S66" s="85">
        <f>【PL】決算数値入力!AB66</f>
        <v>0</v>
      </c>
      <c r="T66" s="85">
        <v>0</v>
      </c>
      <c r="U66" s="85">
        <v>0</v>
      </c>
      <c r="V66" s="85">
        <v>0</v>
      </c>
      <c r="W66" s="85">
        <v>0</v>
      </c>
      <c r="X66" s="85">
        <v>0</v>
      </c>
      <c r="Y66" s="85">
        <v>0</v>
      </c>
      <c r="Z66" s="85">
        <v>0</v>
      </c>
      <c r="AA66" s="85">
        <v>0</v>
      </c>
      <c r="AB66" s="85">
        <v>0</v>
      </c>
      <c r="AC66" s="85">
        <v>0</v>
      </c>
      <c r="AD66" s="85">
        <v>0</v>
      </c>
      <c r="AE66" s="85">
        <v>0</v>
      </c>
      <c r="AF66" s="85">
        <v>0</v>
      </c>
      <c r="AG66" s="85">
        <v>0</v>
      </c>
      <c r="AH66" s="85">
        <v>0</v>
      </c>
      <c r="AI66" s="85">
        <v>0</v>
      </c>
      <c r="AJ66" s="85">
        <v>0</v>
      </c>
      <c r="AK66" s="85">
        <v>0</v>
      </c>
      <c r="AL66" s="85">
        <v>0</v>
      </c>
      <c r="AM66" s="85">
        <v>0</v>
      </c>
      <c r="AN66" s="85">
        <v>0</v>
      </c>
      <c r="AO66" s="85">
        <v>0</v>
      </c>
      <c r="AP66" s="85">
        <v>0</v>
      </c>
      <c r="AQ66" s="85">
        <v>0</v>
      </c>
      <c r="AR66" s="85">
        <v>0</v>
      </c>
      <c r="AS66" s="85">
        <v>0</v>
      </c>
      <c r="AT66" s="85">
        <v>0</v>
      </c>
      <c r="AU66" s="85">
        <v>0</v>
      </c>
      <c r="AV66" s="85">
        <v>0</v>
      </c>
      <c r="AW66" s="85">
        <v>0</v>
      </c>
      <c r="AX66" s="85">
        <v>0</v>
      </c>
      <c r="AY66" s="85">
        <v>0</v>
      </c>
      <c r="AZ66" s="85">
        <v>0</v>
      </c>
      <c r="BA66" s="85">
        <v>0</v>
      </c>
      <c r="BB66" s="85">
        <v>0</v>
      </c>
      <c r="BC66" s="85">
        <v>0</v>
      </c>
      <c r="BD66" s="85">
        <v>0</v>
      </c>
      <c r="BE66" s="85">
        <v>0</v>
      </c>
      <c r="BF66" s="85">
        <v>0</v>
      </c>
      <c r="BG66" s="85">
        <v>0</v>
      </c>
      <c r="BH66" s="85">
        <v>0</v>
      </c>
      <c r="BI66" s="85">
        <v>0</v>
      </c>
      <c r="BJ66" s="85">
        <v>0</v>
      </c>
      <c r="BK66" s="85">
        <v>0</v>
      </c>
      <c r="BL66" s="85">
        <v>0</v>
      </c>
      <c r="BM66" s="85">
        <v>0</v>
      </c>
      <c r="BN66" s="85">
        <v>0</v>
      </c>
      <c r="BO66" s="85">
        <v>0</v>
      </c>
      <c r="BP66" s="85">
        <v>0</v>
      </c>
      <c r="BQ66" s="85">
        <v>0</v>
      </c>
    </row>
    <row r="67" spans="1:69">
      <c r="B67" s="3"/>
      <c r="C67" s="3"/>
      <c r="D67" s="1" t="s">
        <v>111</v>
      </c>
      <c r="E67" s="1"/>
      <c r="F67" s="1"/>
      <c r="G67" s="10"/>
      <c r="H67" s="10" t="s">
        <v>166</v>
      </c>
      <c r="I67" s="10"/>
      <c r="J67" s="10"/>
      <c r="K67" s="1" t="s">
        <v>163</v>
      </c>
      <c r="L67" s="1"/>
      <c r="M67" s="1"/>
      <c r="N67" s="85">
        <f>【PL】決算数値入力!W67</f>
        <v>0</v>
      </c>
      <c r="O67" s="85">
        <f>【PL】決算数値入力!X67</f>
        <v>0</v>
      </c>
      <c r="P67" s="85">
        <f>【PL】決算数値入力!Y67</f>
        <v>0</v>
      </c>
      <c r="Q67" s="85">
        <f>【PL】決算数値入力!Z67</f>
        <v>0</v>
      </c>
      <c r="R67" s="85">
        <f>【PL】決算数値入力!AA67</f>
        <v>0</v>
      </c>
      <c r="S67" s="85">
        <f>【PL】決算数値入力!AB67</f>
        <v>0</v>
      </c>
      <c r="T67" s="85">
        <v>0</v>
      </c>
      <c r="U67" s="85">
        <v>0</v>
      </c>
      <c r="V67" s="200">
        <v>0</v>
      </c>
      <c r="W67" s="200">
        <v>0</v>
      </c>
      <c r="X67" s="200">
        <v>0</v>
      </c>
      <c r="Y67" s="200">
        <v>0</v>
      </c>
      <c r="Z67" s="200">
        <v>0</v>
      </c>
      <c r="AA67" s="200">
        <v>0</v>
      </c>
      <c r="AB67" s="200">
        <v>0</v>
      </c>
      <c r="AC67" s="200">
        <v>0</v>
      </c>
      <c r="AD67" s="200">
        <v>0</v>
      </c>
      <c r="AE67" s="200">
        <v>0</v>
      </c>
      <c r="AF67" s="200">
        <v>0</v>
      </c>
      <c r="AG67" s="200">
        <v>0</v>
      </c>
      <c r="AH67" s="200">
        <v>0</v>
      </c>
      <c r="AI67" s="85">
        <v>0</v>
      </c>
      <c r="AJ67" s="85">
        <v>0</v>
      </c>
      <c r="AK67" s="85">
        <v>0</v>
      </c>
      <c r="AL67" s="85">
        <v>0</v>
      </c>
      <c r="AM67" s="85">
        <v>0</v>
      </c>
      <c r="AN67" s="85">
        <v>0</v>
      </c>
      <c r="AO67" s="85">
        <v>0</v>
      </c>
      <c r="AP67" s="85">
        <v>0</v>
      </c>
      <c r="AQ67" s="85">
        <v>0</v>
      </c>
      <c r="AR67" s="85">
        <v>0</v>
      </c>
      <c r="AS67" s="85">
        <v>0</v>
      </c>
      <c r="AT67" s="85">
        <v>0</v>
      </c>
      <c r="AU67" s="85">
        <v>0</v>
      </c>
      <c r="AV67" s="85">
        <v>0</v>
      </c>
      <c r="AW67" s="85">
        <v>0</v>
      </c>
      <c r="AX67" s="85">
        <v>0</v>
      </c>
      <c r="AY67" s="85">
        <v>0</v>
      </c>
      <c r="AZ67" s="85">
        <v>0</v>
      </c>
      <c r="BA67" s="85">
        <v>0</v>
      </c>
      <c r="BB67" s="85">
        <v>0</v>
      </c>
      <c r="BC67" s="85">
        <v>0</v>
      </c>
      <c r="BD67" s="85">
        <v>0</v>
      </c>
      <c r="BE67" s="85">
        <v>0</v>
      </c>
      <c r="BF67" s="85">
        <v>0</v>
      </c>
      <c r="BG67" s="85">
        <v>0</v>
      </c>
      <c r="BH67" s="85">
        <v>0</v>
      </c>
      <c r="BI67" s="85">
        <v>0</v>
      </c>
      <c r="BJ67" s="85">
        <v>0</v>
      </c>
      <c r="BK67" s="85">
        <v>0</v>
      </c>
      <c r="BL67" s="85">
        <v>0</v>
      </c>
      <c r="BM67" s="85">
        <v>0</v>
      </c>
      <c r="BN67" s="85">
        <v>0</v>
      </c>
      <c r="BO67" s="85">
        <v>0</v>
      </c>
      <c r="BP67" s="85">
        <v>0</v>
      </c>
      <c r="BQ67" s="85">
        <v>0</v>
      </c>
    </row>
    <row r="68" spans="1:69" ht="15" thickBot="1">
      <c r="B68" s="9" t="s">
        <v>112</v>
      </c>
      <c r="C68" s="7"/>
      <c r="D68" s="7"/>
      <c r="E68" s="8"/>
      <c r="F68" s="1"/>
      <c r="G68" s="10"/>
      <c r="H68" s="10"/>
      <c r="I68" s="10"/>
      <c r="J68" s="10"/>
      <c r="K68" s="1"/>
      <c r="L68" s="1"/>
      <c r="M68" s="1"/>
      <c r="N68" s="39">
        <f>【PL】決算数値入力!W68</f>
        <v>-154789750</v>
      </c>
      <c r="O68" s="39">
        <f>【PL】決算数値入力!X68</f>
        <v>-36029202</v>
      </c>
      <c r="P68" s="39">
        <f>【PL】決算数値入力!Y68</f>
        <v>-37745561</v>
      </c>
      <c r="Q68" s="39">
        <f>【PL】決算数値入力!Z68</f>
        <v>-101071072</v>
      </c>
      <c r="R68" s="39">
        <f>【PL】決算数値入力!AA68</f>
        <v>-59562535</v>
      </c>
      <c r="S68" s="39">
        <f>【PL】決算数値入力!AB68</f>
        <v>-74753090.400000006</v>
      </c>
      <c r="T68" s="39">
        <f t="shared" ref="T68:BQ68" si="72">T5-T24</f>
        <v>-42377634.100000024</v>
      </c>
      <c r="U68" s="202">
        <f t="shared" si="72"/>
        <v>-49845508.100000024</v>
      </c>
      <c r="V68" s="201">
        <f t="shared" si="72"/>
        <v>-160291.10000002384</v>
      </c>
      <c r="W68" s="201">
        <f t="shared" si="72"/>
        <v>3421065.8473684788</v>
      </c>
      <c r="X68" s="201">
        <f t="shared" si="72"/>
        <v>-10180626.67894733</v>
      </c>
      <c r="Y68" s="201">
        <f t="shared" si="72"/>
        <v>-18787121.205263138</v>
      </c>
      <c r="Z68" s="39">
        <f t="shared" si="72"/>
        <v>-27590100.731578946</v>
      </c>
      <c r="AA68" s="39">
        <f t="shared" si="72"/>
        <v>-33982968.257894754</v>
      </c>
      <c r="AB68" s="201">
        <f t="shared" si="72"/>
        <v>-45610030.257894754</v>
      </c>
      <c r="AC68" s="201">
        <f t="shared" si="72"/>
        <v>-54605582.257894754</v>
      </c>
      <c r="AD68" s="201">
        <f t="shared" si="72"/>
        <v>-64033049.257894754</v>
      </c>
      <c r="AE68" s="201">
        <f t="shared" si="72"/>
        <v>-69659555.257894754</v>
      </c>
      <c r="AF68" s="39">
        <f t="shared" si="72"/>
        <v>-165684885.25789475</v>
      </c>
      <c r="AG68" s="39">
        <f t="shared" si="72"/>
        <v>-180896131.25789475</v>
      </c>
      <c r="AH68" s="39">
        <f t="shared" si="72"/>
        <v>-196169883.25789475</v>
      </c>
      <c r="AI68" s="39">
        <f t="shared" si="72"/>
        <v>-211251975.25789475</v>
      </c>
      <c r="AJ68" s="39">
        <f t="shared" si="72"/>
        <v>-227555305.25789475</v>
      </c>
      <c r="AK68" s="39">
        <f t="shared" si="72"/>
        <v>-243325745.25789475</v>
      </c>
      <c r="AL68" s="39">
        <f t="shared" si="72"/>
        <v>-260233100.25789475</v>
      </c>
      <c r="AM68" s="39">
        <f t="shared" si="72"/>
        <v>-277725909.25789475</v>
      </c>
      <c r="AN68" s="39">
        <f t="shared" si="72"/>
        <v>-295494398.25789475</v>
      </c>
      <c r="AO68" s="39">
        <f t="shared" si="72"/>
        <v>-301721110.25789475</v>
      </c>
      <c r="AP68" s="39">
        <f t="shared" si="72"/>
        <v>-305091729.25789475</v>
      </c>
      <c r="AQ68" s="39">
        <f t="shared" si="72"/>
        <v>-307874218.25789475</v>
      </c>
      <c r="AR68" s="39">
        <f t="shared" si="72"/>
        <v>-310808261.25789475</v>
      </c>
      <c r="AS68" s="39">
        <f t="shared" si="72"/>
        <v>-313701763.25789475</v>
      </c>
      <c r="AT68" s="39">
        <f t="shared" si="72"/>
        <v>-319932926.25789475</v>
      </c>
      <c r="AU68" s="39">
        <f t="shared" si="72"/>
        <v>-323448035.25789475</v>
      </c>
      <c r="AV68" s="39">
        <f t="shared" si="72"/>
        <v>-327219551.25789475</v>
      </c>
      <c r="AW68" s="39">
        <f t="shared" si="72"/>
        <v>-330860388.25789475</v>
      </c>
      <c r="AX68" s="39">
        <f t="shared" si="72"/>
        <v>-334319891.25789475</v>
      </c>
      <c r="AY68" s="39">
        <f t="shared" si="72"/>
        <v>-337104233.25789475</v>
      </c>
      <c r="AZ68" s="39">
        <f t="shared" si="72"/>
        <v>-340230040.25789475</v>
      </c>
      <c r="BA68" s="39">
        <f t="shared" si="72"/>
        <v>-343616550.25789475</v>
      </c>
      <c r="BB68" s="39">
        <f t="shared" si="72"/>
        <v>-347077570.25789475</v>
      </c>
      <c r="BC68" s="39">
        <f t="shared" si="72"/>
        <v>-350277787.25789475</v>
      </c>
      <c r="BD68" s="39">
        <f t="shared" si="72"/>
        <v>-353802676.25789475</v>
      </c>
      <c r="BE68" s="39">
        <f t="shared" si="72"/>
        <v>-356357928.25789475</v>
      </c>
      <c r="BF68" s="39">
        <f t="shared" si="72"/>
        <v>-359315636.25789475</v>
      </c>
      <c r="BG68" s="39">
        <f t="shared" si="72"/>
        <v>-362858550.25789475</v>
      </c>
      <c r="BH68" s="39">
        <f t="shared" si="72"/>
        <v>-358501946.25789475</v>
      </c>
      <c r="BI68" s="39">
        <f t="shared" si="72"/>
        <v>-334046624.25789475</v>
      </c>
      <c r="BJ68" s="39">
        <f t="shared" si="72"/>
        <v>-324511994.25789475</v>
      </c>
      <c r="BK68" s="39">
        <f t="shared" si="72"/>
        <v>-312001448.25789475</v>
      </c>
      <c r="BL68" s="39">
        <f t="shared" si="72"/>
        <v>-301215478.25789475</v>
      </c>
      <c r="BM68" s="39">
        <f t="shared" si="72"/>
        <v>-101827728.10000002</v>
      </c>
      <c r="BN68" s="39">
        <f t="shared" si="72"/>
        <v>-103795209.10000002</v>
      </c>
      <c r="BO68" s="39">
        <f t="shared" si="72"/>
        <v>-104795479.10000002</v>
      </c>
      <c r="BP68" s="39">
        <f t="shared" si="72"/>
        <v>-106693363.10000002</v>
      </c>
      <c r="BQ68" s="39">
        <f t="shared" si="72"/>
        <v>-108681985.10000002</v>
      </c>
    </row>
    <row r="70" spans="1:69">
      <c r="B70" t="s">
        <v>113</v>
      </c>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row>
    <row r="71" spans="1:69">
      <c r="B71" s="11" t="s">
        <v>1</v>
      </c>
      <c r="C71" s="11" t="s">
        <v>2</v>
      </c>
      <c r="D71" s="12" t="s">
        <v>3</v>
      </c>
      <c r="E71" s="13"/>
      <c r="F71" s="20" t="s">
        <v>4</v>
      </c>
      <c r="G71" s="14"/>
      <c r="H71" s="14"/>
      <c r="I71" s="15"/>
      <c r="J71" s="311" t="s">
        <v>162</v>
      </c>
      <c r="K71" s="313" t="s">
        <v>8</v>
      </c>
      <c r="L71" s="11" t="s">
        <v>9</v>
      </c>
      <c r="M71" s="11" t="s">
        <v>10</v>
      </c>
      <c r="N71" s="30" t="s">
        <v>11</v>
      </c>
      <c r="O71" s="31"/>
      <c r="P71" s="31"/>
      <c r="Q71" s="31"/>
      <c r="R71" s="32"/>
      <c r="S71" s="35" t="s">
        <v>177</v>
      </c>
      <c r="T71" s="33" t="s">
        <v>17</v>
      </c>
      <c r="U71" s="31"/>
      <c r="V71" s="31"/>
      <c r="W71" s="32"/>
      <c r="X71" s="34" t="s">
        <v>68</v>
      </c>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row>
    <row r="72" spans="1:69">
      <c r="B72" s="17"/>
      <c r="C72" s="17"/>
      <c r="D72" s="18"/>
      <c r="E72" s="19"/>
      <c r="F72" s="17"/>
      <c r="G72" s="16" t="s">
        <v>5</v>
      </c>
      <c r="H72" s="16" t="s">
        <v>6</v>
      </c>
      <c r="I72" s="16" t="s">
        <v>7</v>
      </c>
      <c r="J72" s="312"/>
      <c r="K72" s="314"/>
      <c r="L72" s="17"/>
      <c r="M72" s="17"/>
      <c r="N72" s="35" t="s">
        <v>589</v>
      </c>
      <c r="O72" s="35" t="s">
        <v>19</v>
      </c>
      <c r="P72" s="35" t="s">
        <v>20</v>
      </c>
      <c r="Q72" s="35" t="s">
        <v>588</v>
      </c>
      <c r="R72" s="35" t="s">
        <v>594</v>
      </c>
      <c r="S72" s="35"/>
      <c r="T72" s="35" t="s">
        <v>710</v>
      </c>
      <c r="U72" s="35" t="s">
        <v>711</v>
      </c>
      <c r="V72" s="35" t="s">
        <v>712</v>
      </c>
      <c r="W72" s="35" t="s">
        <v>713</v>
      </c>
      <c r="X72" s="35" t="s">
        <v>27</v>
      </c>
      <c r="Y72" s="35" t="s">
        <v>28</v>
      </c>
      <c r="Z72" s="35" t="s">
        <v>29</v>
      </c>
      <c r="AA72" s="35" t="s">
        <v>30</v>
      </c>
      <c r="AB72" s="35" t="s">
        <v>31</v>
      </c>
      <c r="AC72" s="35" t="s">
        <v>32</v>
      </c>
      <c r="AD72" s="35" t="s">
        <v>33</v>
      </c>
      <c r="AE72" s="35" t="s">
        <v>34</v>
      </c>
      <c r="AF72" s="35" t="s">
        <v>35</v>
      </c>
      <c r="AG72" s="35" t="s">
        <v>36</v>
      </c>
      <c r="AH72" s="35" t="s">
        <v>37</v>
      </c>
      <c r="AI72" s="35" t="s">
        <v>38</v>
      </c>
      <c r="AJ72" s="35" t="s">
        <v>39</v>
      </c>
      <c r="AK72" s="35" t="s">
        <v>40</v>
      </c>
      <c r="AL72" s="35" t="s">
        <v>41</v>
      </c>
      <c r="AM72" s="35" t="s">
        <v>42</v>
      </c>
      <c r="AN72" s="35" t="s">
        <v>43</v>
      </c>
      <c r="AO72" s="35" t="s">
        <v>44</v>
      </c>
      <c r="AP72" s="35" t="s">
        <v>45</v>
      </c>
      <c r="AQ72" s="35" t="s">
        <v>46</v>
      </c>
      <c r="AR72" s="35" t="s">
        <v>47</v>
      </c>
      <c r="AS72" s="35" t="s">
        <v>48</v>
      </c>
      <c r="AT72" s="35" t="s">
        <v>49</v>
      </c>
      <c r="AU72" s="35" t="s">
        <v>50</v>
      </c>
      <c r="AV72" s="35" t="s">
        <v>51</v>
      </c>
      <c r="AW72" s="35" t="s">
        <v>52</v>
      </c>
      <c r="AX72" s="35" t="s">
        <v>53</v>
      </c>
      <c r="AY72" s="35" t="s">
        <v>54</v>
      </c>
      <c r="AZ72" s="35" t="s">
        <v>55</v>
      </c>
      <c r="BA72" s="35" t="s">
        <v>56</v>
      </c>
      <c r="BB72" s="35" t="s">
        <v>57</v>
      </c>
      <c r="BC72" s="35" t="s">
        <v>58</v>
      </c>
      <c r="BD72" s="35" t="s">
        <v>59</v>
      </c>
      <c r="BE72" s="35" t="s">
        <v>60</v>
      </c>
      <c r="BF72" s="35" t="s">
        <v>61</v>
      </c>
      <c r="BG72" s="35" t="s">
        <v>62</v>
      </c>
      <c r="BH72" s="35" t="s">
        <v>63</v>
      </c>
      <c r="BI72" s="35" t="s">
        <v>64</v>
      </c>
      <c r="BJ72" s="35" t="s">
        <v>65</v>
      </c>
      <c r="BK72" s="35" t="s">
        <v>66</v>
      </c>
      <c r="BL72" s="35" t="s">
        <v>67</v>
      </c>
      <c r="BM72" s="35" t="s">
        <v>670</v>
      </c>
      <c r="BN72" s="35" t="s">
        <v>671</v>
      </c>
      <c r="BO72" s="35" t="s">
        <v>672</v>
      </c>
      <c r="BP72" s="35" t="s">
        <v>673</v>
      </c>
      <c r="BQ72" s="35" t="s">
        <v>674</v>
      </c>
    </row>
    <row r="73" spans="1:69" s="196" customFormat="1">
      <c r="A73"/>
      <c r="B73" s="190" t="s">
        <v>114</v>
      </c>
      <c r="C73" s="191"/>
      <c r="D73" s="191"/>
      <c r="E73" s="192"/>
      <c r="F73" s="193"/>
      <c r="G73" s="193"/>
      <c r="H73" s="193"/>
      <c r="I73" s="193"/>
      <c r="J73" s="193"/>
      <c r="K73" s="193"/>
      <c r="L73" s="193"/>
      <c r="M73" s="193"/>
      <c r="N73" s="194">
        <f>SUM(N74:N79)</f>
        <v>2676012036</v>
      </c>
      <c r="O73" s="194">
        <f t="shared" ref="O73:R73" si="73">SUM(O74:O79)</f>
        <v>138363434</v>
      </c>
      <c r="P73" s="194">
        <f t="shared" si="73"/>
        <v>323524171</v>
      </c>
      <c r="Q73" s="194">
        <f t="shared" si="73"/>
        <v>110419887</v>
      </c>
      <c r="R73" s="194">
        <f t="shared" si="73"/>
        <v>212967818</v>
      </c>
      <c r="S73" s="194">
        <f t="shared" ref="S73:S100" si="74">IFERROR(AVERAGE(N73:R73),0)</f>
        <v>692257469.20000005</v>
      </c>
      <c r="T73" s="195">
        <f>SUM(T74:T79)</f>
        <v>254424733</v>
      </c>
      <c r="U73" s="195">
        <f>SUM(U74:U79)</f>
        <v>245418000</v>
      </c>
      <c r="V73" s="195">
        <f>SUM(V74:V79)</f>
        <v>1030000000</v>
      </c>
      <c r="W73" s="195">
        <f t="shared" ref="W73:BQ73" si="75">SUM(W74:W79)</f>
        <v>950000000</v>
      </c>
      <c r="X73" s="195">
        <f t="shared" si="75"/>
        <v>500000000</v>
      </c>
      <c r="Y73" s="195">
        <f t="shared" si="75"/>
        <v>330000000</v>
      </c>
      <c r="Z73" s="195">
        <f t="shared" si="75"/>
        <v>310000000</v>
      </c>
      <c r="AA73" s="195">
        <f t="shared" si="75"/>
        <v>310000000</v>
      </c>
      <c r="AB73" s="195">
        <f t="shared" si="75"/>
        <v>370000000</v>
      </c>
      <c r="AC73" s="195">
        <f t="shared" si="75"/>
        <v>290000000</v>
      </c>
      <c r="AD73" s="195">
        <f t="shared" si="75"/>
        <v>210000000</v>
      </c>
      <c r="AE73" s="195">
        <f t="shared" si="75"/>
        <v>180000000</v>
      </c>
      <c r="AF73" s="195">
        <f t="shared" si="75"/>
        <v>180000000</v>
      </c>
      <c r="AG73" s="195">
        <f t="shared" si="75"/>
        <v>550000000</v>
      </c>
      <c r="AH73" s="195">
        <f t="shared" si="75"/>
        <v>550000000</v>
      </c>
      <c r="AI73" s="195">
        <f t="shared" si="75"/>
        <v>550000000</v>
      </c>
      <c r="AJ73" s="195">
        <f t="shared" si="75"/>
        <v>550000000</v>
      </c>
      <c r="AK73" s="195">
        <f t="shared" si="75"/>
        <v>580000000</v>
      </c>
      <c r="AL73" s="195">
        <f t="shared" si="75"/>
        <v>600000000</v>
      </c>
      <c r="AM73" s="195">
        <f t="shared" si="75"/>
        <v>600000000</v>
      </c>
      <c r="AN73" s="195">
        <f t="shared" si="75"/>
        <v>600000000</v>
      </c>
      <c r="AO73" s="195">
        <f t="shared" si="75"/>
        <v>60000000</v>
      </c>
      <c r="AP73" s="195">
        <f t="shared" si="75"/>
        <v>60000000</v>
      </c>
      <c r="AQ73" s="195">
        <f t="shared" si="75"/>
        <v>60000000</v>
      </c>
      <c r="AR73" s="195">
        <f t="shared" si="75"/>
        <v>60000000</v>
      </c>
      <c r="AS73" s="195">
        <f t="shared" si="75"/>
        <v>60000000</v>
      </c>
      <c r="AT73" s="195">
        <f t="shared" si="75"/>
        <v>60000000</v>
      </c>
      <c r="AU73" s="195">
        <f t="shared" si="75"/>
        <v>60000000</v>
      </c>
      <c r="AV73" s="195">
        <f t="shared" si="75"/>
        <v>60000000</v>
      </c>
      <c r="AW73" s="195">
        <f t="shared" si="75"/>
        <v>60000000</v>
      </c>
      <c r="AX73" s="195">
        <f t="shared" si="75"/>
        <v>60000000</v>
      </c>
      <c r="AY73" s="195">
        <f t="shared" si="75"/>
        <v>60000000</v>
      </c>
      <c r="AZ73" s="195">
        <f t="shared" si="75"/>
        <v>60000000</v>
      </c>
      <c r="BA73" s="195">
        <f t="shared" si="75"/>
        <v>60000000</v>
      </c>
      <c r="BB73" s="195">
        <f t="shared" si="75"/>
        <v>60000000</v>
      </c>
      <c r="BC73" s="195">
        <f t="shared" si="75"/>
        <v>60000000</v>
      </c>
      <c r="BD73" s="195">
        <f t="shared" si="75"/>
        <v>60000000</v>
      </c>
      <c r="BE73" s="195">
        <f t="shared" si="75"/>
        <v>60000000</v>
      </c>
      <c r="BF73" s="195">
        <f t="shared" si="75"/>
        <v>60000000</v>
      </c>
      <c r="BG73" s="195">
        <f t="shared" si="75"/>
        <v>60000000</v>
      </c>
      <c r="BH73" s="195">
        <f t="shared" si="75"/>
        <v>60000000</v>
      </c>
      <c r="BI73" s="195">
        <f t="shared" si="75"/>
        <v>60000000</v>
      </c>
      <c r="BJ73" s="195">
        <f t="shared" si="75"/>
        <v>60000000</v>
      </c>
      <c r="BK73" s="195">
        <f t="shared" si="75"/>
        <v>0</v>
      </c>
      <c r="BL73" s="195">
        <f t="shared" si="75"/>
        <v>0</v>
      </c>
      <c r="BM73" s="195">
        <f t="shared" si="75"/>
        <v>0</v>
      </c>
      <c r="BN73" s="195">
        <f t="shared" si="75"/>
        <v>0</v>
      </c>
      <c r="BO73" s="195">
        <f t="shared" si="75"/>
        <v>0</v>
      </c>
      <c r="BP73" s="195">
        <f t="shared" si="75"/>
        <v>0</v>
      </c>
      <c r="BQ73" s="195">
        <f t="shared" si="75"/>
        <v>0</v>
      </c>
    </row>
    <row r="74" spans="1:69">
      <c r="B74" s="4"/>
      <c r="C74" s="9" t="s">
        <v>115</v>
      </c>
      <c r="D74" s="7"/>
      <c r="E74" s="8"/>
      <c r="F74" s="67"/>
      <c r="G74" s="67"/>
      <c r="H74" s="67"/>
      <c r="I74" s="67"/>
      <c r="J74" s="67"/>
      <c r="K74" s="1"/>
      <c r="L74" s="1"/>
      <c r="M74" s="1"/>
      <c r="N74" s="85">
        <f>【PL】決算数値入力!K129</f>
        <v>26700000</v>
      </c>
      <c r="O74" s="85">
        <f>【PL】決算数値入力!L129</f>
        <v>109400000</v>
      </c>
      <c r="P74" s="85">
        <f>【PL】決算数値入力!M129</f>
        <v>143100000</v>
      </c>
      <c r="Q74" s="85">
        <f>【PL】決算数値入力!N129</f>
        <v>57100000</v>
      </c>
      <c r="R74" s="85">
        <f>【PL】決算数値入力!O129</f>
        <v>136400000</v>
      </c>
      <c r="S74" s="85">
        <f>【PL】決算数値入力!P129</f>
        <v>64520000</v>
      </c>
      <c r="T74" s="184">
        <v>240400000</v>
      </c>
      <c r="U74" s="184">
        <v>203400000</v>
      </c>
      <c r="V74" s="184">
        <f>IF((V82+V85+V86+V90-V75-V76-V77-V78)&lt;0,0,(V82+V85+V86+V90-V75-V76-V77-V78))</f>
        <v>448670000</v>
      </c>
      <c r="W74" s="184">
        <f>IF((W82+W85+W86+W90-W75-W76-W77-W78)&lt;0,0,(W82+W85+W86+W90-W75-W76-W77-W78))</f>
        <v>402000000</v>
      </c>
      <c r="X74" s="184">
        <f>IF((X82+X85+X86+X90-X75-X76-X77-X78)&lt;0,0,(X82+X85+X86+X90-X75-X76-X77-X78))</f>
        <v>387000000</v>
      </c>
      <c r="Y74" s="184">
        <f>IF((Y82+Y85+Y86+Y92-Y75-Y76-Y77-Y78)&lt;0,0,(Y82+Y85+Y86+Y92-Y75-Y76-Y77-Y78))</f>
        <v>237000000</v>
      </c>
      <c r="Z74" s="184">
        <f t="shared" ref="Z74:BQ74" si="76">IF((Z82+Z85+Z86+Z92-Z75-Z76-Z77-Z78)&lt;0,0,(Z82+Z85+Z86+Z92-Z75-Z76-Z77-Z78))</f>
        <v>237000000</v>
      </c>
      <c r="AA74" s="184">
        <f t="shared" si="76"/>
        <v>287000000</v>
      </c>
      <c r="AB74" s="184">
        <f t="shared" si="76"/>
        <v>347000000</v>
      </c>
      <c r="AC74" s="184">
        <f t="shared" si="76"/>
        <v>267000000</v>
      </c>
      <c r="AD74" s="184">
        <f t="shared" si="76"/>
        <v>187000000</v>
      </c>
      <c r="AE74" s="184">
        <f t="shared" si="76"/>
        <v>157000000</v>
      </c>
      <c r="AF74" s="184">
        <f t="shared" si="76"/>
        <v>157000000</v>
      </c>
      <c r="AG74" s="184">
        <f t="shared" si="76"/>
        <v>537000000</v>
      </c>
      <c r="AH74" s="184">
        <f t="shared" si="76"/>
        <v>537000000</v>
      </c>
      <c r="AI74" s="184">
        <f t="shared" si="76"/>
        <v>537000000</v>
      </c>
      <c r="AJ74" s="184">
        <f t="shared" si="76"/>
        <v>537000000</v>
      </c>
      <c r="AK74" s="184">
        <f t="shared" si="76"/>
        <v>567000000</v>
      </c>
      <c r="AL74" s="184">
        <f t="shared" si="76"/>
        <v>590000000</v>
      </c>
      <c r="AM74" s="184">
        <f t="shared" si="76"/>
        <v>590000000</v>
      </c>
      <c r="AN74" s="184">
        <f t="shared" si="76"/>
        <v>590000000</v>
      </c>
      <c r="AO74" s="184">
        <f t="shared" si="76"/>
        <v>50000000</v>
      </c>
      <c r="AP74" s="184">
        <f t="shared" si="76"/>
        <v>50000000</v>
      </c>
      <c r="AQ74" s="184">
        <f t="shared" si="76"/>
        <v>50000000</v>
      </c>
      <c r="AR74" s="184">
        <f t="shared" si="76"/>
        <v>50000000</v>
      </c>
      <c r="AS74" s="184">
        <f t="shared" si="76"/>
        <v>50000000</v>
      </c>
      <c r="AT74" s="184">
        <f t="shared" si="76"/>
        <v>50000000</v>
      </c>
      <c r="AU74" s="184">
        <f t="shared" si="76"/>
        <v>50000000</v>
      </c>
      <c r="AV74" s="184">
        <f t="shared" si="76"/>
        <v>50000000</v>
      </c>
      <c r="AW74" s="184">
        <f t="shared" si="76"/>
        <v>50000000</v>
      </c>
      <c r="AX74" s="184">
        <f t="shared" si="76"/>
        <v>50000000</v>
      </c>
      <c r="AY74" s="184">
        <f t="shared" si="76"/>
        <v>50000000</v>
      </c>
      <c r="AZ74" s="184">
        <f t="shared" si="76"/>
        <v>50000000</v>
      </c>
      <c r="BA74" s="184">
        <f t="shared" si="76"/>
        <v>50000000</v>
      </c>
      <c r="BB74" s="184">
        <f t="shared" si="76"/>
        <v>50000000</v>
      </c>
      <c r="BC74" s="184">
        <f t="shared" si="76"/>
        <v>50000000</v>
      </c>
      <c r="BD74" s="184">
        <f t="shared" si="76"/>
        <v>50000000</v>
      </c>
      <c r="BE74" s="184">
        <f t="shared" si="76"/>
        <v>50000000</v>
      </c>
      <c r="BF74" s="184">
        <f t="shared" si="76"/>
        <v>50000000</v>
      </c>
      <c r="BG74" s="184">
        <f t="shared" si="76"/>
        <v>50000000</v>
      </c>
      <c r="BH74" s="184">
        <f t="shared" si="76"/>
        <v>50000000</v>
      </c>
      <c r="BI74" s="184">
        <f t="shared" si="76"/>
        <v>50000000</v>
      </c>
      <c r="BJ74" s="184">
        <f t="shared" si="76"/>
        <v>50000000</v>
      </c>
      <c r="BK74" s="184">
        <f t="shared" si="76"/>
        <v>0</v>
      </c>
      <c r="BL74" s="184">
        <f t="shared" si="76"/>
        <v>0</v>
      </c>
      <c r="BM74" s="184">
        <f t="shared" si="76"/>
        <v>0</v>
      </c>
      <c r="BN74" s="184">
        <f t="shared" si="76"/>
        <v>0</v>
      </c>
      <c r="BO74" s="184">
        <f t="shared" si="76"/>
        <v>0</v>
      </c>
      <c r="BP74" s="184">
        <f t="shared" si="76"/>
        <v>0</v>
      </c>
      <c r="BQ74" s="184">
        <f t="shared" si="76"/>
        <v>0</v>
      </c>
    </row>
    <row r="75" spans="1:69">
      <c r="B75" s="4"/>
      <c r="C75" s="9" t="s">
        <v>116</v>
      </c>
      <c r="D75" s="7"/>
      <c r="E75" s="8"/>
      <c r="F75" s="1"/>
      <c r="G75" s="1"/>
      <c r="H75" s="1"/>
      <c r="I75" s="1"/>
      <c r="J75" s="1"/>
      <c r="K75" s="1" t="s">
        <v>169</v>
      </c>
      <c r="L75" s="1"/>
      <c r="M75" s="1"/>
      <c r="N75" s="85">
        <f>【PL】決算数値入力!K141</f>
        <v>0</v>
      </c>
      <c r="O75" s="85">
        <f>【PL】決算数値入力!L141</f>
        <v>0</v>
      </c>
      <c r="P75" s="85">
        <f>【PL】決算数値入力!M141</f>
        <v>1992527</v>
      </c>
      <c r="Q75" s="85">
        <f>【PL】決算数値入力!N141</f>
        <v>0</v>
      </c>
      <c r="R75" s="85">
        <f>【PL】決算数値入力!O141</f>
        <v>0</v>
      </c>
      <c r="S75" s="85">
        <f>【PL】決算数値入力!P141</f>
        <v>199252.7</v>
      </c>
      <c r="T75" s="197">
        <v>0</v>
      </c>
      <c r="U75" s="184">
        <f>16366000</f>
        <v>16366000</v>
      </c>
      <c r="V75" s="184">
        <f>65000000+450000000</f>
        <v>515000000</v>
      </c>
      <c r="W75" s="184">
        <f>45000000+450000000</f>
        <v>495000000</v>
      </c>
      <c r="X75" s="184">
        <f>20000000+40000000</f>
        <v>60000000</v>
      </c>
      <c r="Y75" s="184">
        <v>40000000</v>
      </c>
      <c r="Z75" s="184">
        <v>20000000</v>
      </c>
      <c r="AA75" s="184">
        <v>20000000</v>
      </c>
      <c r="AB75" s="184">
        <v>20000000</v>
      </c>
      <c r="AC75" s="184">
        <v>20000000</v>
      </c>
      <c r="AD75" s="184">
        <v>20000000</v>
      </c>
      <c r="AE75" s="184">
        <v>20000000</v>
      </c>
      <c r="AF75" s="184">
        <v>20000000</v>
      </c>
      <c r="AG75" s="85">
        <v>10000000</v>
      </c>
      <c r="AH75" s="85">
        <v>10000000</v>
      </c>
      <c r="AI75" s="85">
        <v>10000000</v>
      </c>
      <c r="AJ75" s="85">
        <v>10000000</v>
      </c>
      <c r="AK75" s="85">
        <v>10000000</v>
      </c>
      <c r="AL75" s="85">
        <v>10000000</v>
      </c>
      <c r="AM75" s="85">
        <v>10000000</v>
      </c>
      <c r="AN75" s="85">
        <v>10000000</v>
      </c>
      <c r="AO75" s="85">
        <v>10000000</v>
      </c>
      <c r="AP75" s="85">
        <v>10000000</v>
      </c>
      <c r="AQ75" s="85">
        <v>10000000</v>
      </c>
      <c r="AR75" s="85">
        <v>10000000</v>
      </c>
      <c r="AS75" s="85">
        <v>10000000</v>
      </c>
      <c r="AT75" s="85">
        <v>10000000</v>
      </c>
      <c r="AU75" s="85">
        <v>10000000</v>
      </c>
      <c r="AV75" s="85">
        <v>10000000</v>
      </c>
      <c r="AW75" s="85">
        <v>10000000</v>
      </c>
      <c r="AX75" s="85">
        <v>10000000</v>
      </c>
      <c r="AY75" s="85">
        <v>10000000</v>
      </c>
      <c r="AZ75" s="85">
        <v>10000000</v>
      </c>
      <c r="BA75" s="85">
        <v>10000000</v>
      </c>
      <c r="BB75" s="85">
        <v>10000000</v>
      </c>
      <c r="BC75" s="85">
        <v>10000000</v>
      </c>
      <c r="BD75" s="85">
        <v>10000000</v>
      </c>
      <c r="BE75" s="85">
        <v>10000000</v>
      </c>
      <c r="BF75" s="85">
        <v>10000000</v>
      </c>
      <c r="BG75" s="85">
        <v>10000000</v>
      </c>
      <c r="BH75" s="85">
        <v>10000000</v>
      </c>
      <c r="BI75" s="85">
        <v>10000000</v>
      </c>
      <c r="BJ75" s="85">
        <v>10000000</v>
      </c>
      <c r="BK75" s="184"/>
      <c r="BL75" s="184"/>
      <c r="BM75" s="184"/>
      <c r="BN75" s="184"/>
      <c r="BO75" s="184"/>
      <c r="BP75" s="184"/>
      <c r="BQ75" s="184"/>
    </row>
    <row r="76" spans="1:69">
      <c r="B76" s="4"/>
      <c r="C76" s="9" t="s">
        <v>76</v>
      </c>
      <c r="D76" s="7"/>
      <c r="E76" s="8"/>
      <c r="F76" s="1"/>
      <c r="G76" s="1"/>
      <c r="H76" s="1"/>
      <c r="I76" s="1"/>
      <c r="J76" s="1"/>
      <c r="K76" s="1" t="s">
        <v>718</v>
      </c>
      <c r="L76" s="1"/>
      <c r="M76" s="1"/>
      <c r="N76" s="85">
        <f>【PL】決算数値入力!K132</f>
        <v>733170036</v>
      </c>
      <c r="O76" s="85">
        <f>【PL】決算数値入力!L132</f>
        <v>3283434</v>
      </c>
      <c r="P76" s="85">
        <f>【PL】決算数値入力!M132</f>
        <v>35086328</v>
      </c>
      <c r="Q76" s="85">
        <f>【PL】決算数値入力!N132</f>
        <v>8630000</v>
      </c>
      <c r="R76" s="85">
        <f>【PL】決算数値入力!O132</f>
        <v>11667818</v>
      </c>
      <c r="S76" s="85">
        <f>【PL】決算数値入力!P132</f>
        <v>236483961.69999999</v>
      </c>
      <c r="T76" s="184">
        <v>0</v>
      </c>
      <c r="U76" s="184">
        <v>2686000</v>
      </c>
      <c r="V76" s="184">
        <v>3000000</v>
      </c>
      <c r="W76" s="184">
        <v>3000000</v>
      </c>
      <c r="X76" s="184">
        <v>3000000</v>
      </c>
      <c r="Y76" s="184">
        <v>3000000</v>
      </c>
      <c r="Z76" s="184">
        <v>3000000</v>
      </c>
      <c r="AA76" s="184">
        <v>3000000</v>
      </c>
      <c r="AB76" s="184">
        <v>3000000</v>
      </c>
      <c r="AC76" s="184">
        <v>3000000</v>
      </c>
      <c r="AD76" s="184">
        <v>3000000</v>
      </c>
      <c r="AE76" s="184">
        <v>3000000</v>
      </c>
      <c r="AF76" s="184">
        <v>3000000</v>
      </c>
      <c r="AG76" s="184">
        <v>3000000</v>
      </c>
      <c r="AH76" s="184">
        <v>3000000</v>
      </c>
      <c r="AI76" s="184">
        <v>3000000</v>
      </c>
      <c r="AJ76" s="184">
        <v>3000000</v>
      </c>
      <c r="AK76" s="184">
        <v>3000000</v>
      </c>
      <c r="AL76" s="184"/>
      <c r="AM76" s="184"/>
      <c r="AN76" s="184"/>
      <c r="AO76" s="184"/>
      <c r="AP76" s="184"/>
      <c r="AQ76" s="184"/>
      <c r="AR76" s="184"/>
      <c r="AS76" s="184"/>
      <c r="AT76" s="184"/>
      <c r="AU76" s="184"/>
      <c r="AV76" s="184"/>
      <c r="AW76" s="184"/>
      <c r="AX76" s="184"/>
      <c r="AY76" s="184"/>
      <c r="AZ76" s="184"/>
      <c r="BA76" s="184"/>
      <c r="BB76" s="184"/>
      <c r="BC76" s="184"/>
      <c r="BD76" s="184"/>
      <c r="BE76" s="184"/>
      <c r="BF76" s="184"/>
      <c r="BG76" s="184"/>
      <c r="BH76" s="184"/>
      <c r="BI76" s="184"/>
      <c r="BJ76" s="184"/>
      <c r="BK76" s="184"/>
      <c r="BL76" s="184"/>
      <c r="BM76" s="184"/>
      <c r="BN76" s="184"/>
      <c r="BO76" s="184"/>
      <c r="BP76" s="184"/>
      <c r="BQ76" s="184"/>
    </row>
    <row r="77" spans="1:69">
      <c r="B77" s="4"/>
      <c r="C77" s="9" t="s">
        <v>117</v>
      </c>
      <c r="D77" s="7"/>
      <c r="E77" s="8"/>
      <c r="F77" s="1"/>
      <c r="G77" s="1"/>
      <c r="H77" s="1"/>
      <c r="I77" s="1"/>
      <c r="J77" s="1"/>
      <c r="K77" s="1" t="s">
        <v>169</v>
      </c>
      <c r="L77" s="1"/>
      <c r="M77" s="1"/>
      <c r="N77" s="85">
        <f>【PL】決算数値入力!K135</f>
        <v>1916142000</v>
      </c>
      <c r="O77" s="85">
        <f>【PL】決算数値入力!L135</f>
        <v>25680000</v>
      </c>
      <c r="P77" s="85">
        <f>【PL】決算数値入力!M135</f>
        <v>133047000</v>
      </c>
      <c r="Q77" s="85">
        <f>【PL】決算数値入力!N135</f>
        <v>2629187</v>
      </c>
      <c r="R77" s="85">
        <f>【PL】決算数値入力!O135</f>
        <v>64900000</v>
      </c>
      <c r="S77" s="85">
        <f>【PL】決算数値入力!P135</f>
        <v>790929818.70000005</v>
      </c>
      <c r="T77" s="184">
        <v>4412733</v>
      </c>
      <c r="U77" s="184">
        <v>16366000</v>
      </c>
      <c r="V77" s="184">
        <v>63330000</v>
      </c>
      <c r="W77" s="184">
        <v>50000000</v>
      </c>
      <c r="X77" s="184">
        <v>50000000</v>
      </c>
      <c r="Y77" s="184">
        <v>50000000</v>
      </c>
      <c r="Z77" s="184">
        <v>50000000</v>
      </c>
      <c r="AA77" s="184"/>
      <c r="AB77" s="184"/>
      <c r="AC77" s="184"/>
      <c r="AD77" s="184"/>
      <c r="AE77" s="184"/>
      <c r="AF77" s="184"/>
      <c r="AG77" s="184"/>
      <c r="AH77" s="184"/>
      <c r="AI77" s="184"/>
      <c r="AJ77" s="184"/>
      <c r="AK77" s="184"/>
      <c r="AL77" s="184"/>
      <c r="AM77" s="184"/>
      <c r="AN77" s="184"/>
      <c r="AO77" s="184"/>
      <c r="AP77" s="184"/>
      <c r="AQ77" s="184"/>
      <c r="AR77" s="184"/>
      <c r="AS77" s="184"/>
      <c r="AT77" s="184"/>
      <c r="AU77" s="184"/>
      <c r="AV77" s="184"/>
      <c r="AW77" s="184"/>
      <c r="AX77" s="184"/>
      <c r="AY77" s="184"/>
      <c r="AZ77" s="184"/>
      <c r="BA77" s="184"/>
      <c r="BB77" s="184"/>
      <c r="BC77" s="184"/>
      <c r="BD77" s="184"/>
      <c r="BE77" s="184"/>
      <c r="BF77" s="184"/>
      <c r="BG77" s="184"/>
      <c r="BH77" s="184"/>
      <c r="BI77" s="184"/>
      <c r="BJ77" s="184"/>
      <c r="BK77" s="184"/>
      <c r="BL77" s="184"/>
      <c r="BM77" s="184"/>
      <c r="BN77" s="184"/>
      <c r="BO77" s="184"/>
      <c r="BP77" s="184"/>
      <c r="BQ77" s="184"/>
    </row>
    <row r="78" spans="1:69">
      <c r="B78" s="4"/>
      <c r="C78" s="9" t="s">
        <v>735</v>
      </c>
      <c r="D78" s="7"/>
      <c r="E78" s="8"/>
      <c r="F78" s="1"/>
      <c r="G78" s="1"/>
      <c r="H78" s="1"/>
      <c r="I78" s="1"/>
      <c r="J78" s="1"/>
      <c r="K78" s="1" t="s">
        <v>169</v>
      </c>
      <c r="L78" s="1"/>
      <c r="M78" s="1"/>
      <c r="N78" s="85">
        <f>【PL】決算数値入力!K138</f>
        <v>0</v>
      </c>
      <c r="O78" s="85">
        <f>【PL】決算数値入力!L138</f>
        <v>0</v>
      </c>
      <c r="P78" s="85">
        <f>【PL】決算数値入力!M138</f>
        <v>10298316</v>
      </c>
      <c r="Q78" s="85">
        <f>【PL】決算数値入力!N138</f>
        <v>42060700</v>
      </c>
      <c r="R78" s="85">
        <f>【PL】決算数値入力!O138</f>
        <v>0</v>
      </c>
      <c r="S78" s="85">
        <f>【PL】決算数値入力!P138</f>
        <v>16075184.6</v>
      </c>
      <c r="T78" s="184">
        <v>9612000</v>
      </c>
      <c r="U78" s="184">
        <v>6600000</v>
      </c>
      <c r="V78" s="184"/>
      <c r="W78" s="184"/>
      <c r="X78" s="184"/>
      <c r="Y78" s="184"/>
      <c r="Z78" s="184"/>
      <c r="AA78" s="184"/>
      <c r="AB78" s="184"/>
      <c r="AC78" s="184"/>
      <c r="AD78" s="184"/>
      <c r="AE78" s="184"/>
      <c r="AF78" s="184"/>
      <c r="AG78" s="184"/>
      <c r="AH78" s="184"/>
      <c r="AI78" s="184"/>
      <c r="AJ78" s="184"/>
      <c r="AK78" s="184"/>
      <c r="AL78" s="184"/>
      <c r="AM78" s="184"/>
      <c r="AN78" s="184"/>
      <c r="AO78" s="184"/>
      <c r="AP78" s="184"/>
      <c r="AQ78" s="184"/>
      <c r="AR78" s="184"/>
      <c r="AS78" s="184"/>
      <c r="AT78" s="184"/>
      <c r="AU78" s="184"/>
      <c r="AV78" s="184"/>
      <c r="AW78" s="184"/>
      <c r="AX78" s="184"/>
      <c r="AY78" s="184"/>
      <c r="AZ78" s="184"/>
      <c r="BA78" s="184"/>
      <c r="BB78" s="184"/>
      <c r="BC78" s="184"/>
      <c r="BD78" s="184"/>
      <c r="BE78" s="184"/>
      <c r="BF78" s="184"/>
      <c r="BG78" s="184"/>
      <c r="BH78" s="184"/>
      <c r="BI78" s="184"/>
      <c r="BJ78" s="184"/>
      <c r="BK78" s="184"/>
      <c r="BL78" s="184"/>
      <c r="BM78" s="184"/>
      <c r="BN78" s="184"/>
      <c r="BO78" s="184"/>
      <c r="BP78" s="184"/>
      <c r="BQ78" s="184"/>
    </row>
    <row r="79" spans="1:69">
      <c r="B79" s="3"/>
      <c r="C79" s="9" t="s">
        <v>119</v>
      </c>
      <c r="D79" s="7"/>
      <c r="E79" s="8"/>
      <c r="F79" s="1"/>
      <c r="G79" s="1"/>
      <c r="H79" s="1"/>
      <c r="I79" s="1"/>
      <c r="J79" s="1"/>
      <c r="K79" s="1" t="s">
        <v>163</v>
      </c>
      <c r="L79" s="1"/>
      <c r="M79" s="1"/>
      <c r="N79" s="85"/>
      <c r="O79" s="85"/>
      <c r="P79" s="85"/>
      <c r="Q79" s="85"/>
      <c r="R79" s="85"/>
      <c r="S79" s="85">
        <f t="shared" si="74"/>
        <v>0</v>
      </c>
      <c r="T79" s="184"/>
      <c r="U79" s="184"/>
      <c r="V79" s="184"/>
      <c r="W79" s="184"/>
      <c r="X79" s="184"/>
      <c r="Y79" s="184"/>
      <c r="Z79" s="184"/>
      <c r="AA79" s="184"/>
      <c r="AB79" s="184"/>
      <c r="AC79" s="184"/>
      <c r="AD79" s="184"/>
      <c r="AE79" s="184"/>
      <c r="AF79" s="184"/>
      <c r="AG79" s="184"/>
      <c r="AH79" s="184"/>
      <c r="AI79" s="184"/>
      <c r="AJ79" s="184"/>
      <c r="AK79" s="184"/>
      <c r="AL79" s="184"/>
      <c r="AM79" s="184"/>
      <c r="AN79" s="184"/>
      <c r="AO79" s="184"/>
      <c r="AP79" s="184"/>
      <c r="AQ79" s="184"/>
      <c r="AR79" s="184"/>
      <c r="AS79" s="184"/>
      <c r="AT79" s="184"/>
      <c r="AU79" s="184"/>
      <c r="AV79" s="184"/>
      <c r="AW79" s="184"/>
      <c r="AX79" s="184"/>
      <c r="AY79" s="184"/>
      <c r="AZ79" s="184"/>
      <c r="BA79" s="184"/>
      <c r="BB79" s="184"/>
      <c r="BC79" s="184"/>
      <c r="BD79" s="184"/>
      <c r="BE79" s="184"/>
      <c r="BF79" s="184"/>
      <c r="BG79" s="184"/>
      <c r="BH79" s="184"/>
      <c r="BI79" s="184"/>
      <c r="BJ79" s="184"/>
      <c r="BK79" s="184"/>
      <c r="BL79" s="184"/>
      <c r="BM79" s="184"/>
      <c r="BN79" s="184"/>
      <c r="BO79" s="184"/>
      <c r="BP79" s="184"/>
      <c r="BQ79" s="184"/>
    </row>
    <row r="80" spans="1:69" s="196" customFormat="1">
      <c r="A80"/>
      <c r="B80" s="190" t="s">
        <v>120</v>
      </c>
      <c r="C80" s="191"/>
      <c r="D80" s="191"/>
      <c r="E80" s="192"/>
      <c r="F80" s="193"/>
      <c r="G80" s="193"/>
      <c r="H80" s="193"/>
      <c r="I80" s="193"/>
      <c r="J80" s="193"/>
      <c r="K80" s="193"/>
      <c r="L80" s="193"/>
      <c r="M80" s="193"/>
      <c r="N80" s="194">
        <f>SUM(N81,N85:N86,N90,N96,N99)</f>
        <v>2746858038</v>
      </c>
      <c r="O80" s="194">
        <f t="shared" ref="O80:S80" si="77">SUM(O81,O85:O86,O90,O96,O99)</f>
        <v>150071375</v>
      </c>
      <c r="P80" s="194">
        <f t="shared" si="77"/>
        <v>345765337</v>
      </c>
      <c r="Q80" s="194">
        <f t="shared" si="77"/>
        <v>120983927</v>
      </c>
      <c r="R80" s="194">
        <f t="shared" si="77"/>
        <v>280177715</v>
      </c>
      <c r="S80" s="194">
        <f t="shared" si="77"/>
        <v>1129789407.3999999</v>
      </c>
      <c r="T80" s="195">
        <f>SUM(T81,T85:T86,T90,T96,T99)</f>
        <v>267061936</v>
      </c>
      <c r="U80" s="195">
        <f>SUM(U81,U85:U86,U90,U96,U99)</f>
        <v>264833249</v>
      </c>
      <c r="V80" s="195">
        <f>SUM(V81,V85:V86,V90,V96,V99)</f>
        <v>1068153082</v>
      </c>
      <c r="W80" s="195">
        <f t="shared" ref="W80:BQ80" si="78">SUM(W81,W85:W86,W90,W96,W99)</f>
        <v>1009344748</v>
      </c>
      <c r="X80" s="195">
        <f>SUM(X81,X85:X86,X90,X96,X99)</f>
        <v>560022144</v>
      </c>
      <c r="Y80" s="195">
        <f t="shared" si="78"/>
        <v>406157864</v>
      </c>
      <c r="Z80" s="195">
        <f t="shared" si="78"/>
        <v>396244186</v>
      </c>
      <c r="AA80" s="195">
        <f t="shared" si="78"/>
        <v>419693438</v>
      </c>
      <c r="AB80" s="195">
        <f t="shared" si="78"/>
        <v>467387951</v>
      </c>
      <c r="AC80" s="195">
        <f t="shared" si="78"/>
        <v>397492848</v>
      </c>
      <c r="AD80" s="195">
        <f t="shared" si="78"/>
        <v>333863087</v>
      </c>
      <c r="AE80" s="195">
        <f t="shared" si="78"/>
        <v>308592105</v>
      </c>
      <c r="AF80" s="195">
        <f t="shared" si="78"/>
        <v>312931104</v>
      </c>
      <c r="AG80" s="195">
        <f t="shared" si="78"/>
        <v>667357861</v>
      </c>
      <c r="AH80" s="195">
        <f t="shared" si="78"/>
        <v>676876864</v>
      </c>
      <c r="AI80" s="195">
        <f t="shared" si="78"/>
        <v>682528569</v>
      </c>
      <c r="AJ80" s="195">
        <f t="shared" si="78"/>
        <v>691494261</v>
      </c>
      <c r="AK80" s="195">
        <f t="shared" si="78"/>
        <v>735173101</v>
      </c>
      <c r="AL80" s="195">
        <f t="shared" si="78"/>
        <v>781530349</v>
      </c>
      <c r="AM80" s="195">
        <f t="shared" si="78"/>
        <v>791514159</v>
      </c>
      <c r="AN80" s="195">
        <f t="shared" si="78"/>
        <v>802586259</v>
      </c>
      <c r="AO80" s="195">
        <f t="shared" si="78"/>
        <v>251287553</v>
      </c>
      <c r="AP80" s="195">
        <f t="shared" si="78"/>
        <v>248821982</v>
      </c>
      <c r="AQ80" s="195">
        <f t="shared" si="78"/>
        <v>248035274</v>
      </c>
      <c r="AR80" s="195">
        <f t="shared" si="78"/>
        <v>248851162</v>
      </c>
      <c r="AS80" s="195">
        <f t="shared" si="78"/>
        <v>244442230</v>
      </c>
      <c r="AT80" s="195">
        <f t="shared" si="78"/>
        <v>257717420</v>
      </c>
      <c r="AU80" s="195">
        <f>SUM(AU81,AU85:AU86,AU90,AU96,AU99)</f>
        <v>262259480</v>
      </c>
      <c r="AV80" s="195">
        <f t="shared" si="78"/>
        <v>266896924</v>
      </c>
      <c r="AW80" s="195">
        <f t="shared" si="78"/>
        <v>251631756</v>
      </c>
      <c r="AX80" s="195">
        <f t="shared" si="78"/>
        <v>256466016</v>
      </c>
      <c r="AY80" s="195">
        <f t="shared" si="78"/>
        <v>262401796</v>
      </c>
      <c r="AZ80" s="195">
        <f t="shared" si="78"/>
        <v>267441228</v>
      </c>
      <c r="BA80" s="195">
        <f t="shared" si="78"/>
        <v>275586490</v>
      </c>
      <c r="BB80" s="195">
        <f t="shared" si="78"/>
        <v>296839797</v>
      </c>
      <c r="BC80" s="195">
        <f t="shared" si="78"/>
        <v>302203425</v>
      </c>
      <c r="BD80" s="195">
        <f t="shared" si="78"/>
        <v>307679692</v>
      </c>
      <c r="BE80" s="195">
        <f t="shared" si="78"/>
        <v>293270959</v>
      </c>
      <c r="BF80" s="195">
        <f t="shared" si="78"/>
        <v>298979645</v>
      </c>
      <c r="BG80" s="195">
        <f t="shared" si="78"/>
        <v>305808211</v>
      </c>
      <c r="BH80" s="195">
        <f t="shared" si="78"/>
        <v>311759180</v>
      </c>
      <c r="BI80" s="195">
        <f t="shared" si="78"/>
        <v>311892265</v>
      </c>
      <c r="BJ80" s="195">
        <f t="shared" si="78"/>
        <v>326341539</v>
      </c>
      <c r="BK80" s="195">
        <f t="shared" si="78"/>
        <v>255634235</v>
      </c>
      <c r="BL80" s="195">
        <f t="shared" si="78"/>
        <v>245628201</v>
      </c>
      <c r="BM80" s="195">
        <f t="shared" si="78"/>
        <v>215970039</v>
      </c>
      <c r="BN80" s="195">
        <f t="shared" si="78"/>
        <v>211689036</v>
      </c>
      <c r="BO80" s="195">
        <f t="shared" si="78"/>
        <v>208318131</v>
      </c>
      <c r="BP80" s="195">
        <f t="shared" si="78"/>
        <v>201995447</v>
      </c>
      <c r="BQ80" s="195">
        <f t="shared" si="78"/>
        <v>196307993</v>
      </c>
    </row>
    <row r="81" spans="2:69">
      <c r="B81" s="4"/>
      <c r="C81" s="5" t="s">
        <v>121</v>
      </c>
      <c r="D81" s="7"/>
      <c r="E81" s="8"/>
      <c r="F81" s="67"/>
      <c r="G81" s="67"/>
      <c r="H81" s="67"/>
      <c r="I81" s="67"/>
      <c r="J81" s="67"/>
      <c r="K81" s="1"/>
      <c r="L81" s="1"/>
      <c r="M81" s="1"/>
      <c r="N81" s="85">
        <f>SUM(N82)</f>
        <v>0</v>
      </c>
      <c r="O81" s="85">
        <f t="shared" ref="O81:BQ81" si="79">SUM(O82)</f>
        <v>0</v>
      </c>
      <c r="P81" s="85">
        <f t="shared" si="79"/>
        <v>0</v>
      </c>
      <c r="Q81" s="85">
        <f t="shared" si="79"/>
        <v>0</v>
      </c>
      <c r="R81" s="85">
        <f t="shared" si="79"/>
        <v>0</v>
      </c>
      <c r="S81" s="85">
        <f t="shared" si="74"/>
        <v>0</v>
      </c>
      <c r="T81" s="184">
        <f t="shared" si="79"/>
        <v>0</v>
      </c>
      <c r="U81" s="184">
        <f>SUM(U82)</f>
        <v>0</v>
      </c>
      <c r="V81" s="184">
        <f>SUM(V82)</f>
        <v>0</v>
      </c>
      <c r="W81" s="184">
        <f t="shared" si="79"/>
        <v>0</v>
      </c>
      <c r="X81" s="184">
        <f t="shared" si="79"/>
        <v>0</v>
      </c>
      <c r="Y81" s="184">
        <f t="shared" si="79"/>
        <v>0</v>
      </c>
      <c r="Z81" s="184">
        <f t="shared" si="79"/>
        <v>0</v>
      </c>
      <c r="AA81" s="184">
        <f t="shared" si="79"/>
        <v>0</v>
      </c>
      <c r="AB81" s="184">
        <f t="shared" si="79"/>
        <v>0</v>
      </c>
      <c r="AC81" s="184">
        <f t="shared" si="79"/>
        <v>0</v>
      </c>
      <c r="AD81" s="184">
        <f t="shared" si="79"/>
        <v>0</v>
      </c>
      <c r="AE81" s="184">
        <f t="shared" si="79"/>
        <v>0</v>
      </c>
      <c r="AF81" s="184">
        <f t="shared" si="79"/>
        <v>0</v>
      </c>
      <c r="AG81" s="184">
        <f t="shared" si="79"/>
        <v>0</v>
      </c>
      <c r="AH81" s="184">
        <f t="shared" si="79"/>
        <v>0</v>
      </c>
      <c r="AI81" s="184">
        <f t="shared" si="79"/>
        <v>0</v>
      </c>
      <c r="AJ81" s="184">
        <f t="shared" si="79"/>
        <v>0</v>
      </c>
      <c r="AK81" s="184">
        <f t="shared" si="79"/>
        <v>0</v>
      </c>
      <c r="AL81" s="184">
        <f t="shared" si="79"/>
        <v>0</v>
      </c>
      <c r="AM81" s="184">
        <f t="shared" si="79"/>
        <v>0</v>
      </c>
      <c r="AN81" s="184">
        <f t="shared" si="79"/>
        <v>0</v>
      </c>
      <c r="AO81" s="184">
        <f t="shared" si="79"/>
        <v>0</v>
      </c>
      <c r="AP81" s="184">
        <f t="shared" si="79"/>
        <v>0</v>
      </c>
      <c r="AQ81" s="184">
        <f t="shared" si="79"/>
        <v>0</v>
      </c>
      <c r="AR81" s="184">
        <f t="shared" si="79"/>
        <v>0</v>
      </c>
      <c r="AS81" s="184">
        <f t="shared" si="79"/>
        <v>0</v>
      </c>
      <c r="AT81" s="184">
        <f t="shared" si="79"/>
        <v>0</v>
      </c>
      <c r="AU81" s="184">
        <f t="shared" si="79"/>
        <v>0</v>
      </c>
      <c r="AV81" s="184">
        <f t="shared" si="79"/>
        <v>0</v>
      </c>
      <c r="AW81" s="184">
        <f t="shared" si="79"/>
        <v>0</v>
      </c>
      <c r="AX81" s="184">
        <f t="shared" si="79"/>
        <v>0</v>
      </c>
      <c r="AY81" s="184">
        <f t="shared" si="79"/>
        <v>0</v>
      </c>
      <c r="AZ81" s="184">
        <f t="shared" si="79"/>
        <v>0</v>
      </c>
      <c r="BA81" s="184">
        <f t="shared" si="79"/>
        <v>0</v>
      </c>
      <c r="BB81" s="184">
        <f t="shared" si="79"/>
        <v>0</v>
      </c>
      <c r="BC81" s="184">
        <f t="shared" si="79"/>
        <v>0</v>
      </c>
      <c r="BD81" s="184">
        <f t="shared" si="79"/>
        <v>0</v>
      </c>
      <c r="BE81" s="184">
        <f t="shared" si="79"/>
        <v>0</v>
      </c>
      <c r="BF81" s="184">
        <f t="shared" si="79"/>
        <v>0</v>
      </c>
      <c r="BG81" s="184">
        <f t="shared" si="79"/>
        <v>0</v>
      </c>
      <c r="BH81" s="184">
        <f t="shared" si="79"/>
        <v>0</v>
      </c>
      <c r="BI81" s="184">
        <f t="shared" si="79"/>
        <v>0</v>
      </c>
      <c r="BJ81" s="184">
        <f t="shared" si="79"/>
        <v>0</v>
      </c>
      <c r="BK81" s="184">
        <f t="shared" si="79"/>
        <v>0</v>
      </c>
      <c r="BL81" s="184">
        <f t="shared" si="79"/>
        <v>0</v>
      </c>
      <c r="BM81" s="184">
        <f t="shared" si="79"/>
        <v>0</v>
      </c>
      <c r="BN81" s="184">
        <f t="shared" si="79"/>
        <v>0</v>
      </c>
      <c r="BO81" s="184">
        <f t="shared" si="79"/>
        <v>0</v>
      </c>
      <c r="BP81" s="184">
        <f t="shared" si="79"/>
        <v>0</v>
      </c>
      <c r="BQ81" s="184">
        <f t="shared" si="79"/>
        <v>0</v>
      </c>
    </row>
    <row r="82" spans="2:69">
      <c r="B82" s="4"/>
      <c r="C82" s="4"/>
      <c r="D82" s="5" t="s">
        <v>122</v>
      </c>
      <c r="E82" s="8"/>
      <c r="F82" s="67"/>
      <c r="G82" s="67"/>
      <c r="H82" s="67"/>
      <c r="I82" s="67"/>
      <c r="J82" s="67"/>
      <c r="K82" s="1"/>
      <c r="L82" s="1"/>
      <c r="M82" s="1"/>
      <c r="N82" s="85">
        <f>SUM(N83:N84)</f>
        <v>0</v>
      </c>
      <c r="O82" s="85">
        <f t="shared" ref="O82:BQ82" si="80">SUM(O83:O84)</f>
        <v>0</v>
      </c>
      <c r="P82" s="85">
        <f t="shared" si="80"/>
        <v>0</v>
      </c>
      <c r="Q82" s="85">
        <f t="shared" si="80"/>
        <v>0</v>
      </c>
      <c r="R82" s="85">
        <f t="shared" si="80"/>
        <v>0</v>
      </c>
      <c r="S82" s="85">
        <f t="shared" si="74"/>
        <v>0</v>
      </c>
      <c r="T82" s="184">
        <f>SUM(T83:T84)</f>
        <v>0</v>
      </c>
      <c r="U82" s="184">
        <f>SUM(U83:U84)</f>
        <v>0</v>
      </c>
      <c r="V82" s="184">
        <f>SUM(V83:V84)</f>
        <v>0</v>
      </c>
      <c r="W82" s="184">
        <f t="shared" si="80"/>
        <v>0</v>
      </c>
      <c r="X82" s="184">
        <f t="shared" si="80"/>
        <v>0</v>
      </c>
      <c r="Y82" s="184">
        <f t="shared" si="80"/>
        <v>0</v>
      </c>
      <c r="Z82" s="184">
        <f t="shared" si="80"/>
        <v>0</v>
      </c>
      <c r="AA82" s="184">
        <f t="shared" si="80"/>
        <v>0</v>
      </c>
      <c r="AB82" s="184">
        <f t="shared" si="80"/>
        <v>0</v>
      </c>
      <c r="AC82" s="184">
        <f t="shared" si="80"/>
        <v>0</v>
      </c>
      <c r="AD82" s="184">
        <f t="shared" si="80"/>
        <v>0</v>
      </c>
      <c r="AE82" s="184">
        <f t="shared" si="80"/>
        <v>0</v>
      </c>
      <c r="AF82" s="184">
        <f t="shared" si="80"/>
        <v>0</v>
      </c>
      <c r="AG82" s="184">
        <f t="shared" si="80"/>
        <v>0</v>
      </c>
      <c r="AH82" s="184">
        <f t="shared" si="80"/>
        <v>0</v>
      </c>
      <c r="AI82" s="184">
        <f t="shared" si="80"/>
        <v>0</v>
      </c>
      <c r="AJ82" s="184">
        <f t="shared" si="80"/>
        <v>0</v>
      </c>
      <c r="AK82" s="184">
        <f t="shared" si="80"/>
        <v>0</v>
      </c>
      <c r="AL82" s="184">
        <f t="shared" si="80"/>
        <v>0</v>
      </c>
      <c r="AM82" s="184">
        <f t="shared" si="80"/>
        <v>0</v>
      </c>
      <c r="AN82" s="184">
        <f t="shared" si="80"/>
        <v>0</v>
      </c>
      <c r="AO82" s="184">
        <f t="shared" si="80"/>
        <v>0</v>
      </c>
      <c r="AP82" s="184">
        <f t="shared" si="80"/>
        <v>0</v>
      </c>
      <c r="AQ82" s="184">
        <f t="shared" si="80"/>
        <v>0</v>
      </c>
      <c r="AR82" s="184">
        <f t="shared" si="80"/>
        <v>0</v>
      </c>
      <c r="AS82" s="184">
        <f t="shared" si="80"/>
        <v>0</v>
      </c>
      <c r="AT82" s="184">
        <f t="shared" si="80"/>
        <v>0</v>
      </c>
      <c r="AU82" s="184">
        <f t="shared" si="80"/>
        <v>0</v>
      </c>
      <c r="AV82" s="184">
        <f t="shared" si="80"/>
        <v>0</v>
      </c>
      <c r="AW82" s="184">
        <f t="shared" si="80"/>
        <v>0</v>
      </c>
      <c r="AX82" s="184">
        <f t="shared" si="80"/>
        <v>0</v>
      </c>
      <c r="AY82" s="184">
        <f t="shared" si="80"/>
        <v>0</v>
      </c>
      <c r="AZ82" s="184">
        <f t="shared" si="80"/>
        <v>0</v>
      </c>
      <c r="BA82" s="184">
        <f t="shared" si="80"/>
        <v>0</v>
      </c>
      <c r="BB82" s="184">
        <f t="shared" si="80"/>
        <v>0</v>
      </c>
      <c r="BC82" s="184">
        <f t="shared" si="80"/>
        <v>0</v>
      </c>
      <c r="BD82" s="184">
        <f t="shared" si="80"/>
        <v>0</v>
      </c>
      <c r="BE82" s="184">
        <f t="shared" si="80"/>
        <v>0</v>
      </c>
      <c r="BF82" s="184">
        <f t="shared" si="80"/>
        <v>0</v>
      </c>
      <c r="BG82" s="184">
        <f t="shared" si="80"/>
        <v>0</v>
      </c>
      <c r="BH82" s="184">
        <f t="shared" si="80"/>
        <v>0</v>
      </c>
      <c r="BI82" s="184">
        <f t="shared" si="80"/>
        <v>0</v>
      </c>
      <c r="BJ82" s="184">
        <f t="shared" si="80"/>
        <v>0</v>
      </c>
      <c r="BK82" s="184">
        <f t="shared" si="80"/>
        <v>0</v>
      </c>
      <c r="BL82" s="184">
        <f t="shared" si="80"/>
        <v>0</v>
      </c>
      <c r="BM82" s="184">
        <f t="shared" si="80"/>
        <v>0</v>
      </c>
      <c r="BN82" s="184">
        <f t="shared" si="80"/>
        <v>0</v>
      </c>
      <c r="BO82" s="184">
        <f t="shared" si="80"/>
        <v>0</v>
      </c>
      <c r="BP82" s="184">
        <f t="shared" si="80"/>
        <v>0</v>
      </c>
      <c r="BQ82" s="184">
        <f t="shared" si="80"/>
        <v>0</v>
      </c>
    </row>
    <row r="83" spans="2:69">
      <c r="B83" s="4"/>
      <c r="C83" s="4"/>
      <c r="D83" s="4"/>
      <c r="E83" s="1" t="s">
        <v>89</v>
      </c>
      <c r="F83" s="67"/>
      <c r="G83" s="67"/>
      <c r="H83" s="67"/>
      <c r="I83" s="67"/>
      <c r="J83" s="67"/>
      <c r="K83" s="1" t="s">
        <v>163</v>
      </c>
      <c r="L83" s="1"/>
      <c r="M83" s="1"/>
      <c r="N83" s="85"/>
      <c r="O83" s="85"/>
      <c r="P83" s="85"/>
      <c r="Q83" s="85"/>
      <c r="R83" s="85"/>
      <c r="S83" s="85">
        <f t="shared" si="74"/>
        <v>0</v>
      </c>
      <c r="T83" s="184"/>
      <c r="U83" s="184"/>
      <c r="V83" s="184"/>
      <c r="W83" s="184"/>
      <c r="X83" s="184"/>
      <c r="Y83" s="184"/>
      <c r="Z83" s="184"/>
      <c r="AA83" s="184"/>
      <c r="AB83" s="184"/>
      <c r="AC83" s="184"/>
      <c r="AD83" s="184"/>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4"/>
      <c r="BN83" s="184"/>
      <c r="BO83" s="184"/>
      <c r="BP83" s="184"/>
      <c r="BQ83" s="184"/>
    </row>
    <row r="84" spans="2:69">
      <c r="B84" s="4"/>
      <c r="C84" s="3"/>
      <c r="D84" s="3"/>
      <c r="E84" s="1" t="s">
        <v>94</v>
      </c>
      <c r="F84" s="67"/>
      <c r="G84" s="67"/>
      <c r="H84" s="67"/>
      <c r="I84" s="67"/>
      <c r="J84" s="67"/>
      <c r="K84" s="1" t="s">
        <v>163</v>
      </c>
      <c r="L84" s="1"/>
      <c r="M84" s="1"/>
      <c r="N84" s="85"/>
      <c r="O84" s="85"/>
      <c r="P84" s="85"/>
      <c r="Q84" s="85"/>
      <c r="R84" s="85"/>
      <c r="S84" s="85">
        <f t="shared" si="74"/>
        <v>0</v>
      </c>
      <c r="T84" s="184">
        <v>0</v>
      </c>
      <c r="U84" s="184"/>
      <c r="V84" s="184"/>
      <c r="W84" s="184"/>
      <c r="X84" s="184"/>
      <c r="Y84" s="184"/>
      <c r="Z84" s="184"/>
      <c r="AA84" s="184"/>
      <c r="AB84" s="184"/>
      <c r="AC84" s="184"/>
      <c r="AD84" s="184"/>
      <c r="AE84" s="184"/>
      <c r="AF84" s="184"/>
      <c r="AG84" s="184"/>
      <c r="AH84" s="184"/>
      <c r="AI84" s="184"/>
      <c r="AJ84" s="184"/>
      <c r="AK84" s="184"/>
      <c r="AL84" s="184"/>
      <c r="AM84" s="184"/>
      <c r="AN84" s="184"/>
      <c r="AO84" s="184"/>
      <c r="AP84" s="184"/>
      <c r="AQ84" s="184"/>
      <c r="AR84" s="184"/>
      <c r="AS84" s="184"/>
      <c r="AT84" s="184"/>
      <c r="AU84" s="184"/>
      <c r="AV84" s="184"/>
      <c r="AW84" s="184"/>
      <c r="AX84" s="184"/>
      <c r="AY84" s="184"/>
      <c r="AZ84" s="184"/>
      <c r="BA84" s="184"/>
      <c r="BB84" s="184"/>
      <c r="BC84" s="184"/>
      <c r="BD84" s="184"/>
      <c r="BE84" s="184"/>
      <c r="BF84" s="184"/>
      <c r="BG84" s="184"/>
      <c r="BH84" s="184"/>
      <c r="BI84" s="184"/>
      <c r="BJ84" s="184"/>
      <c r="BK84" s="184"/>
      <c r="BL84" s="184"/>
      <c r="BM84" s="184"/>
      <c r="BN84" s="184"/>
      <c r="BO84" s="184"/>
      <c r="BP84" s="184"/>
      <c r="BQ84" s="184"/>
    </row>
    <row r="85" spans="2:69">
      <c r="B85" s="4"/>
      <c r="C85" s="9" t="s">
        <v>123</v>
      </c>
      <c r="D85" s="7"/>
      <c r="E85" s="8"/>
      <c r="F85" s="67"/>
      <c r="G85" s="67"/>
      <c r="H85" s="67"/>
      <c r="I85" s="67"/>
      <c r="J85" s="67"/>
      <c r="K85" s="1"/>
      <c r="L85" s="1"/>
      <c r="M85" s="1"/>
      <c r="N85" s="85">
        <f>【PL】決算数値入力!K151</f>
        <v>2697464624</v>
      </c>
      <c r="O85" s="85">
        <f>【PL】決算数値入力!L151</f>
        <v>141607400</v>
      </c>
      <c r="P85" s="85">
        <f>【PL】決算数値入力!M151</f>
        <v>338424525</v>
      </c>
      <c r="Q85" s="85">
        <f>【PL】決算数値入力!N151</f>
        <v>111700392</v>
      </c>
      <c r="R85" s="85">
        <f>【PL】決算数値入力!O151</f>
        <v>267791962</v>
      </c>
      <c r="S85" s="85">
        <f>【PL】決算数値入力!P151</f>
        <v>1117025209.5999999</v>
      </c>
      <c r="T85" s="184">
        <v>252917719</v>
      </c>
      <c r="U85" s="184"/>
      <c r="V85" s="184"/>
      <c r="W85" s="184"/>
      <c r="X85" s="184"/>
      <c r="Y85" s="184"/>
      <c r="Z85" s="184"/>
      <c r="AA85" s="184"/>
      <c r="AB85" s="184"/>
      <c r="AC85" s="184"/>
      <c r="AD85" s="184"/>
      <c r="AE85" s="184"/>
      <c r="AF85" s="184"/>
      <c r="AG85" s="184"/>
      <c r="AH85" s="184"/>
      <c r="AI85" s="184"/>
      <c r="AJ85" s="184"/>
      <c r="AK85" s="184"/>
      <c r="AL85" s="184"/>
      <c r="AM85" s="184"/>
      <c r="AN85" s="184"/>
      <c r="AO85" s="184"/>
      <c r="AP85" s="184"/>
      <c r="AQ85" s="184"/>
      <c r="AR85" s="184"/>
      <c r="AS85" s="184"/>
      <c r="AT85" s="184"/>
      <c r="AU85" s="184"/>
      <c r="AV85" s="184"/>
      <c r="AW85" s="184"/>
      <c r="AX85" s="184"/>
      <c r="AY85" s="184"/>
      <c r="AZ85" s="184"/>
      <c r="BA85" s="184"/>
      <c r="BB85" s="184"/>
      <c r="BC85" s="184"/>
      <c r="BD85" s="184"/>
      <c r="BE85" s="184"/>
      <c r="BF85" s="184"/>
      <c r="BG85" s="184"/>
      <c r="BH85" s="184"/>
      <c r="BI85" s="184"/>
      <c r="BJ85" s="184"/>
      <c r="BK85" s="184"/>
      <c r="BL85" s="184"/>
      <c r="BM85" s="184"/>
      <c r="BN85" s="184"/>
      <c r="BO85" s="184"/>
      <c r="BP85" s="184"/>
      <c r="BQ85" s="184"/>
    </row>
    <row r="86" spans="2:69">
      <c r="B86" s="4"/>
      <c r="C86" s="5" t="s">
        <v>124</v>
      </c>
      <c r="D86" s="7"/>
      <c r="E86" s="8"/>
      <c r="F86" s="67"/>
      <c r="G86" s="67"/>
      <c r="H86" s="67"/>
      <c r="I86" s="67"/>
      <c r="J86" s="67"/>
      <c r="K86" s="1"/>
      <c r="L86" s="1"/>
      <c r="M86" s="1"/>
      <c r="N86" s="85">
        <f>SUM(N87:N89)</f>
        <v>0</v>
      </c>
      <c r="O86" s="85">
        <f t="shared" ref="O86:BQ86" si="81">SUM(O87:O89)</f>
        <v>0</v>
      </c>
      <c r="P86" s="85">
        <f t="shared" si="81"/>
        <v>0</v>
      </c>
      <c r="Q86" s="85">
        <f t="shared" si="81"/>
        <v>0</v>
      </c>
      <c r="R86" s="85">
        <f t="shared" si="81"/>
        <v>0</v>
      </c>
      <c r="S86" s="85">
        <f t="shared" si="74"/>
        <v>0</v>
      </c>
      <c r="T86" s="184">
        <f t="shared" si="81"/>
        <v>0</v>
      </c>
      <c r="U86" s="184">
        <f>SUM(U87:U89)</f>
        <v>32732000</v>
      </c>
      <c r="V86" s="184">
        <f t="shared" si="81"/>
        <v>750000000</v>
      </c>
      <c r="W86" s="184">
        <f t="shared" si="81"/>
        <v>670000000</v>
      </c>
      <c r="X86" s="184">
        <f t="shared" si="81"/>
        <v>220000000</v>
      </c>
      <c r="Y86" s="184">
        <f t="shared" si="81"/>
        <v>70000000</v>
      </c>
      <c r="Z86" s="184">
        <f t="shared" si="81"/>
        <v>150000000</v>
      </c>
      <c r="AA86" s="184">
        <f t="shared" si="81"/>
        <v>150000000</v>
      </c>
      <c r="AB86" s="184">
        <f t="shared" si="81"/>
        <v>210000000</v>
      </c>
      <c r="AC86" s="184">
        <f t="shared" si="81"/>
        <v>130000000</v>
      </c>
      <c r="AD86" s="184">
        <f t="shared" si="81"/>
        <v>160000000</v>
      </c>
      <c r="AE86" s="184">
        <f t="shared" si="81"/>
        <v>130000000</v>
      </c>
      <c r="AF86" s="184">
        <f t="shared" si="81"/>
        <v>130000000</v>
      </c>
      <c r="AG86" s="184">
        <f t="shared" si="81"/>
        <v>500000000</v>
      </c>
      <c r="AH86" s="184">
        <f t="shared" si="81"/>
        <v>500000000</v>
      </c>
      <c r="AI86" s="184">
        <f t="shared" si="81"/>
        <v>500000000</v>
      </c>
      <c r="AJ86" s="184">
        <f t="shared" si="81"/>
        <v>500000000</v>
      </c>
      <c r="AK86" s="184">
        <f t="shared" si="81"/>
        <v>530000000</v>
      </c>
      <c r="AL86" s="184">
        <f t="shared" si="81"/>
        <v>550000000</v>
      </c>
      <c r="AM86" s="184">
        <f t="shared" si="81"/>
        <v>550000000</v>
      </c>
      <c r="AN86" s="184">
        <f t="shared" si="81"/>
        <v>550000000</v>
      </c>
      <c r="AO86" s="184">
        <f t="shared" si="81"/>
        <v>10000000</v>
      </c>
      <c r="AP86" s="184">
        <f t="shared" si="81"/>
        <v>10000000</v>
      </c>
      <c r="AQ86" s="184">
        <f t="shared" si="81"/>
        <v>10000000</v>
      </c>
      <c r="AR86" s="184">
        <f t="shared" si="81"/>
        <v>10000000</v>
      </c>
      <c r="AS86" s="184">
        <f t="shared" si="81"/>
        <v>10000000</v>
      </c>
      <c r="AT86" s="184">
        <f t="shared" si="81"/>
        <v>10000000</v>
      </c>
      <c r="AU86" s="184">
        <f t="shared" si="81"/>
        <v>10000000</v>
      </c>
      <c r="AV86" s="184">
        <f t="shared" si="81"/>
        <v>10000000</v>
      </c>
      <c r="AW86" s="184">
        <f t="shared" si="81"/>
        <v>10000000</v>
      </c>
      <c r="AX86" s="184">
        <f t="shared" si="81"/>
        <v>10000000</v>
      </c>
      <c r="AY86" s="184">
        <f t="shared" si="81"/>
        <v>10000000</v>
      </c>
      <c r="AZ86" s="184">
        <f t="shared" si="81"/>
        <v>10000000</v>
      </c>
      <c r="BA86" s="184">
        <f t="shared" si="81"/>
        <v>10000000</v>
      </c>
      <c r="BB86" s="184">
        <f t="shared" si="81"/>
        <v>10000000</v>
      </c>
      <c r="BC86" s="184">
        <f t="shared" si="81"/>
        <v>10000000</v>
      </c>
      <c r="BD86" s="184">
        <f t="shared" si="81"/>
        <v>10000000</v>
      </c>
      <c r="BE86" s="184">
        <f t="shared" si="81"/>
        <v>10000000</v>
      </c>
      <c r="BF86" s="184">
        <f t="shared" si="81"/>
        <v>10000000</v>
      </c>
      <c r="BG86" s="184">
        <f t="shared" si="81"/>
        <v>10000000</v>
      </c>
      <c r="BH86" s="184">
        <f t="shared" si="81"/>
        <v>10000000</v>
      </c>
      <c r="BI86" s="184">
        <f t="shared" si="81"/>
        <v>10000000</v>
      </c>
      <c r="BJ86" s="184">
        <f t="shared" si="81"/>
        <v>10000000</v>
      </c>
      <c r="BK86" s="184">
        <f t="shared" si="81"/>
        <v>0</v>
      </c>
      <c r="BL86" s="184">
        <f t="shared" si="81"/>
        <v>0</v>
      </c>
      <c r="BM86" s="184">
        <f t="shared" si="81"/>
        <v>0</v>
      </c>
      <c r="BN86" s="184">
        <f t="shared" si="81"/>
        <v>0</v>
      </c>
      <c r="BO86" s="184">
        <f t="shared" si="81"/>
        <v>0</v>
      </c>
      <c r="BP86" s="184">
        <f t="shared" si="81"/>
        <v>0</v>
      </c>
      <c r="BQ86" s="184">
        <f t="shared" si="81"/>
        <v>0</v>
      </c>
    </row>
    <row r="87" spans="2:69">
      <c r="B87" s="4"/>
      <c r="C87" s="4"/>
      <c r="D87" s="9" t="s">
        <v>92</v>
      </c>
      <c r="E87" s="8"/>
      <c r="F87" s="67"/>
      <c r="G87" s="67"/>
      <c r="H87" s="67"/>
      <c r="I87" s="67"/>
      <c r="J87" s="67"/>
      <c r="K87" s="1"/>
      <c r="L87" s="1"/>
      <c r="M87" s="1"/>
      <c r="N87" s="85"/>
      <c r="O87" s="85"/>
      <c r="P87" s="85"/>
      <c r="Q87" s="85"/>
      <c r="R87" s="85"/>
      <c r="S87" s="85">
        <f t="shared" si="74"/>
        <v>0</v>
      </c>
      <c r="T87" s="184"/>
      <c r="U87" s="184">
        <v>32732000</v>
      </c>
      <c r="V87" s="184"/>
      <c r="W87" s="184"/>
      <c r="X87" s="184"/>
      <c r="Y87" s="184"/>
      <c r="Z87" s="184"/>
      <c r="AA87" s="184"/>
      <c r="AB87" s="184"/>
      <c r="AC87" s="184"/>
      <c r="AD87" s="184"/>
      <c r="AE87" s="184"/>
      <c r="AF87" s="184"/>
      <c r="AG87" s="184"/>
      <c r="AH87" s="184"/>
      <c r="AI87" s="184"/>
      <c r="AJ87" s="184"/>
      <c r="AK87" s="184"/>
      <c r="AL87" s="184"/>
      <c r="AM87" s="184"/>
      <c r="AN87" s="184"/>
      <c r="AO87" s="184"/>
      <c r="AP87" s="184"/>
      <c r="AQ87" s="184"/>
      <c r="AR87" s="184"/>
      <c r="AS87" s="184"/>
      <c r="AT87" s="184"/>
      <c r="AU87" s="184"/>
      <c r="AV87" s="184"/>
      <c r="AW87" s="184"/>
      <c r="AX87" s="184"/>
      <c r="AY87" s="184"/>
      <c r="AZ87" s="184"/>
      <c r="BA87" s="184"/>
      <c r="BB87" s="184"/>
      <c r="BC87" s="184"/>
      <c r="BD87" s="184"/>
      <c r="BE87" s="184"/>
      <c r="BF87" s="184"/>
      <c r="BG87" s="184"/>
      <c r="BH87" s="184"/>
      <c r="BI87" s="184"/>
      <c r="BJ87" s="184"/>
      <c r="BK87" s="184"/>
      <c r="BL87" s="184"/>
      <c r="BM87" s="184"/>
      <c r="BN87" s="184"/>
      <c r="BO87" s="184"/>
      <c r="BP87" s="184"/>
      <c r="BQ87" s="184"/>
    </row>
    <row r="88" spans="2:69">
      <c r="B88" s="4"/>
      <c r="C88" s="4"/>
      <c r="D88" s="9" t="s">
        <v>125</v>
      </c>
      <c r="E88" s="8"/>
      <c r="F88" s="67"/>
      <c r="G88" s="67"/>
      <c r="H88" s="67"/>
      <c r="I88" s="67"/>
      <c r="J88" s="67"/>
      <c r="K88" s="1" t="s">
        <v>726</v>
      </c>
      <c r="L88" s="1"/>
      <c r="M88" s="1"/>
      <c r="N88" s="85"/>
      <c r="O88" s="85">
        <v>0</v>
      </c>
      <c r="P88" s="85">
        <v>0</v>
      </c>
      <c r="Q88" s="85">
        <v>0</v>
      </c>
      <c r="R88" s="85">
        <v>0</v>
      </c>
      <c r="S88" s="85">
        <f t="shared" si="74"/>
        <v>0</v>
      </c>
      <c r="T88" s="184"/>
      <c r="U88" s="184"/>
      <c r="V88" s="184">
        <f>V124</f>
        <v>750000000</v>
      </c>
      <c r="W88" s="184">
        <f t="shared" ref="W88:BQ88" si="82">W124</f>
        <v>670000000</v>
      </c>
      <c r="X88" s="184">
        <f t="shared" si="82"/>
        <v>220000000</v>
      </c>
      <c r="Y88" s="184">
        <f t="shared" si="82"/>
        <v>70000000</v>
      </c>
      <c r="Z88" s="184">
        <f t="shared" si="82"/>
        <v>150000000</v>
      </c>
      <c r="AA88" s="184">
        <f t="shared" si="82"/>
        <v>150000000</v>
      </c>
      <c r="AB88" s="184">
        <f t="shared" si="82"/>
        <v>210000000</v>
      </c>
      <c r="AC88" s="184">
        <f t="shared" si="82"/>
        <v>130000000</v>
      </c>
      <c r="AD88" s="184">
        <f t="shared" si="82"/>
        <v>160000000</v>
      </c>
      <c r="AE88" s="184">
        <f t="shared" si="82"/>
        <v>130000000</v>
      </c>
      <c r="AF88" s="184">
        <f t="shared" si="82"/>
        <v>130000000</v>
      </c>
      <c r="AG88" s="184">
        <f t="shared" si="82"/>
        <v>500000000</v>
      </c>
      <c r="AH88" s="184">
        <f t="shared" si="82"/>
        <v>500000000</v>
      </c>
      <c r="AI88" s="184">
        <f t="shared" si="82"/>
        <v>500000000</v>
      </c>
      <c r="AJ88" s="184">
        <f t="shared" si="82"/>
        <v>500000000</v>
      </c>
      <c r="AK88" s="184">
        <f t="shared" si="82"/>
        <v>530000000</v>
      </c>
      <c r="AL88" s="184">
        <f t="shared" si="82"/>
        <v>550000000</v>
      </c>
      <c r="AM88" s="184">
        <f t="shared" si="82"/>
        <v>550000000</v>
      </c>
      <c r="AN88" s="184">
        <f t="shared" si="82"/>
        <v>550000000</v>
      </c>
      <c r="AO88" s="184">
        <f t="shared" si="82"/>
        <v>10000000</v>
      </c>
      <c r="AP88" s="184">
        <f t="shared" si="82"/>
        <v>10000000</v>
      </c>
      <c r="AQ88" s="184">
        <f t="shared" si="82"/>
        <v>10000000</v>
      </c>
      <c r="AR88" s="184">
        <f t="shared" si="82"/>
        <v>10000000</v>
      </c>
      <c r="AS88" s="184">
        <f t="shared" si="82"/>
        <v>10000000</v>
      </c>
      <c r="AT88" s="184">
        <f t="shared" si="82"/>
        <v>10000000</v>
      </c>
      <c r="AU88" s="184">
        <f t="shared" si="82"/>
        <v>10000000</v>
      </c>
      <c r="AV88" s="184">
        <f t="shared" si="82"/>
        <v>10000000</v>
      </c>
      <c r="AW88" s="184">
        <f t="shared" si="82"/>
        <v>10000000</v>
      </c>
      <c r="AX88" s="184">
        <f t="shared" si="82"/>
        <v>10000000</v>
      </c>
      <c r="AY88" s="184">
        <f t="shared" si="82"/>
        <v>10000000</v>
      </c>
      <c r="AZ88" s="184">
        <f t="shared" si="82"/>
        <v>10000000</v>
      </c>
      <c r="BA88" s="184">
        <f t="shared" si="82"/>
        <v>10000000</v>
      </c>
      <c r="BB88" s="184">
        <f t="shared" si="82"/>
        <v>10000000</v>
      </c>
      <c r="BC88" s="184">
        <f t="shared" si="82"/>
        <v>10000000</v>
      </c>
      <c r="BD88" s="184">
        <f t="shared" si="82"/>
        <v>10000000</v>
      </c>
      <c r="BE88" s="184">
        <f t="shared" si="82"/>
        <v>10000000</v>
      </c>
      <c r="BF88" s="184">
        <f t="shared" si="82"/>
        <v>10000000</v>
      </c>
      <c r="BG88" s="184">
        <f t="shared" si="82"/>
        <v>10000000</v>
      </c>
      <c r="BH88" s="184">
        <f t="shared" si="82"/>
        <v>10000000</v>
      </c>
      <c r="BI88" s="184">
        <f t="shared" si="82"/>
        <v>10000000</v>
      </c>
      <c r="BJ88" s="184">
        <f t="shared" si="82"/>
        <v>10000000</v>
      </c>
      <c r="BK88" s="184">
        <f t="shared" si="82"/>
        <v>0</v>
      </c>
      <c r="BL88" s="184">
        <f t="shared" si="82"/>
        <v>0</v>
      </c>
      <c r="BM88" s="184">
        <f t="shared" si="82"/>
        <v>0</v>
      </c>
      <c r="BN88" s="184">
        <f t="shared" si="82"/>
        <v>0</v>
      </c>
      <c r="BO88" s="184">
        <f t="shared" si="82"/>
        <v>0</v>
      </c>
      <c r="BP88" s="184">
        <f t="shared" si="82"/>
        <v>0</v>
      </c>
      <c r="BQ88" s="184">
        <f t="shared" si="82"/>
        <v>0</v>
      </c>
    </row>
    <row r="89" spans="2:69">
      <c r="B89" s="4"/>
      <c r="C89" s="3"/>
      <c r="D89" s="9" t="s">
        <v>126</v>
      </c>
      <c r="E89" s="8"/>
      <c r="F89" s="67"/>
      <c r="G89" s="67"/>
      <c r="H89" s="67"/>
      <c r="I89" s="67"/>
      <c r="J89" s="67"/>
      <c r="K89" s="1"/>
      <c r="L89" s="1"/>
      <c r="M89" s="1"/>
      <c r="N89" s="85"/>
      <c r="O89" s="85"/>
      <c r="P89" s="85"/>
      <c r="Q89" s="85"/>
      <c r="R89" s="85"/>
      <c r="S89" s="85">
        <f t="shared" si="74"/>
        <v>0</v>
      </c>
      <c r="T89" s="184"/>
      <c r="U89" s="184"/>
      <c r="V89" s="184"/>
      <c r="W89" s="184"/>
      <c r="X89" s="184"/>
      <c r="Y89" s="184"/>
      <c r="Z89" s="184"/>
      <c r="AA89" s="184"/>
      <c r="AB89" s="184"/>
      <c r="AC89" s="184"/>
      <c r="AD89" s="184"/>
      <c r="AE89" s="184"/>
      <c r="AF89" s="184"/>
      <c r="AG89" s="184"/>
      <c r="AH89" s="184"/>
      <c r="AI89" s="184"/>
      <c r="AJ89" s="184"/>
      <c r="AK89" s="184"/>
      <c r="AL89" s="184"/>
      <c r="AM89" s="184"/>
      <c r="AN89" s="184"/>
      <c r="AO89" s="184"/>
      <c r="AP89" s="184"/>
      <c r="AQ89" s="184"/>
      <c r="AR89" s="184"/>
      <c r="AS89" s="184"/>
      <c r="AT89" s="184"/>
      <c r="AU89" s="184"/>
      <c r="AV89" s="184"/>
      <c r="AW89" s="184"/>
      <c r="AX89" s="184"/>
      <c r="AY89" s="184"/>
      <c r="AZ89" s="184"/>
      <c r="BA89" s="184"/>
      <c r="BB89" s="184"/>
      <c r="BC89" s="184"/>
      <c r="BD89" s="184"/>
      <c r="BE89" s="184"/>
      <c r="BF89" s="184"/>
      <c r="BG89" s="184"/>
      <c r="BH89" s="184"/>
      <c r="BI89" s="184"/>
      <c r="BJ89" s="184"/>
      <c r="BK89" s="184"/>
      <c r="BL89" s="184"/>
      <c r="BM89" s="184"/>
      <c r="BN89" s="184"/>
      <c r="BO89" s="184"/>
      <c r="BP89" s="184"/>
      <c r="BQ89" s="184"/>
    </row>
    <row r="90" spans="2:69">
      <c r="B90" s="4"/>
      <c r="C90" s="5" t="s">
        <v>629</v>
      </c>
      <c r="D90" s="7"/>
      <c r="E90" s="8"/>
      <c r="F90" s="67"/>
      <c r="G90" s="67"/>
      <c r="H90" s="67"/>
      <c r="I90" s="67"/>
      <c r="J90" s="67"/>
      <c r="K90" s="1"/>
      <c r="L90" s="1"/>
      <c r="M90" s="1"/>
      <c r="N90" s="85">
        <f>SUM(N91:N95)</f>
        <v>0</v>
      </c>
      <c r="O90" s="85">
        <f t="shared" ref="O90:BQ90" si="83">SUM(O91:O95)</f>
        <v>0</v>
      </c>
      <c r="P90" s="85">
        <f t="shared" si="83"/>
        <v>0</v>
      </c>
      <c r="Q90" s="85">
        <f t="shared" si="83"/>
        <v>0</v>
      </c>
      <c r="R90" s="85">
        <f t="shared" si="83"/>
        <v>0</v>
      </c>
      <c r="S90" s="85">
        <f t="shared" si="74"/>
        <v>0</v>
      </c>
      <c r="T90" s="184">
        <f>SUM(T91:T95)</f>
        <v>0</v>
      </c>
      <c r="U90" s="184">
        <f t="shared" si="83"/>
        <v>213930000</v>
      </c>
      <c r="V90" s="184">
        <f>SUM(V91:V95)</f>
        <v>280000000</v>
      </c>
      <c r="W90" s="184">
        <f t="shared" si="83"/>
        <v>280000000</v>
      </c>
      <c r="X90" s="184">
        <f t="shared" si="83"/>
        <v>280000000</v>
      </c>
      <c r="Y90" s="184">
        <f t="shared" si="83"/>
        <v>260000000</v>
      </c>
      <c r="Z90" s="184">
        <f t="shared" si="83"/>
        <v>160000000</v>
      </c>
      <c r="AA90" s="184">
        <f t="shared" si="83"/>
        <v>161000000</v>
      </c>
      <c r="AB90" s="184">
        <f t="shared" si="83"/>
        <v>161000000</v>
      </c>
      <c r="AC90" s="184">
        <f t="shared" si="83"/>
        <v>164000000</v>
      </c>
      <c r="AD90" s="184">
        <f t="shared" si="83"/>
        <v>70000000</v>
      </c>
      <c r="AE90" s="184">
        <f t="shared" si="83"/>
        <v>70000000</v>
      </c>
      <c r="AF90" s="184">
        <f t="shared" si="83"/>
        <v>70000000</v>
      </c>
      <c r="AG90" s="184">
        <f t="shared" si="83"/>
        <v>50000000</v>
      </c>
      <c r="AH90" s="184">
        <f t="shared" si="83"/>
        <v>50000000</v>
      </c>
      <c r="AI90" s="184">
        <f t="shared" si="83"/>
        <v>51000000</v>
      </c>
      <c r="AJ90" s="184">
        <f t="shared" si="83"/>
        <v>51000000</v>
      </c>
      <c r="AK90" s="184">
        <f t="shared" si="83"/>
        <v>54000000</v>
      </c>
      <c r="AL90" s="184">
        <f t="shared" si="83"/>
        <v>70000000</v>
      </c>
      <c r="AM90" s="184">
        <f t="shared" si="83"/>
        <v>70000000</v>
      </c>
      <c r="AN90" s="184">
        <f t="shared" si="83"/>
        <v>70000000</v>
      </c>
      <c r="AO90" s="184">
        <f t="shared" si="83"/>
        <v>50000000</v>
      </c>
      <c r="AP90" s="184">
        <f>SUM(AP91:AP95)</f>
        <v>50000000</v>
      </c>
      <c r="AQ90" s="184">
        <f t="shared" si="83"/>
        <v>51000000</v>
      </c>
      <c r="AR90" s="184">
        <f t="shared" si="83"/>
        <v>51000000</v>
      </c>
      <c r="AS90" s="184">
        <f t="shared" si="83"/>
        <v>54000000</v>
      </c>
      <c r="AT90" s="184">
        <f t="shared" si="83"/>
        <v>70000000</v>
      </c>
      <c r="AU90" s="184">
        <f t="shared" si="83"/>
        <v>70000000</v>
      </c>
      <c r="AV90" s="184">
        <f t="shared" si="83"/>
        <v>70000000</v>
      </c>
      <c r="AW90" s="184">
        <f t="shared" si="83"/>
        <v>50000000</v>
      </c>
      <c r="AX90" s="184">
        <f t="shared" si="83"/>
        <v>50000000</v>
      </c>
      <c r="AY90" s="184">
        <f t="shared" si="83"/>
        <v>51000000</v>
      </c>
      <c r="AZ90" s="184">
        <f t="shared" si="83"/>
        <v>51000000</v>
      </c>
      <c r="BA90" s="184">
        <f t="shared" si="83"/>
        <v>54000000</v>
      </c>
      <c r="BB90" s="184">
        <f t="shared" si="83"/>
        <v>70000000</v>
      </c>
      <c r="BC90" s="184">
        <f t="shared" si="83"/>
        <v>70000000</v>
      </c>
      <c r="BD90" s="184">
        <f t="shared" si="83"/>
        <v>70000000</v>
      </c>
      <c r="BE90" s="184">
        <f t="shared" si="83"/>
        <v>50000000</v>
      </c>
      <c r="BF90" s="184">
        <f t="shared" si="83"/>
        <v>50000000</v>
      </c>
      <c r="BG90" s="184">
        <f t="shared" si="83"/>
        <v>51000000</v>
      </c>
      <c r="BH90" s="184">
        <f t="shared" si="83"/>
        <v>51000000</v>
      </c>
      <c r="BI90" s="184">
        <f t="shared" si="83"/>
        <v>54000000</v>
      </c>
      <c r="BJ90" s="184">
        <f t="shared" si="83"/>
        <v>70000000</v>
      </c>
      <c r="BK90" s="184">
        <f t="shared" si="83"/>
        <v>20000000</v>
      </c>
      <c r="BL90" s="184">
        <f t="shared" si="83"/>
        <v>20000000</v>
      </c>
      <c r="BM90" s="184">
        <f t="shared" si="83"/>
        <v>0</v>
      </c>
      <c r="BN90" s="184">
        <f t="shared" si="83"/>
        <v>0</v>
      </c>
      <c r="BO90" s="184">
        <f t="shared" si="83"/>
        <v>1000000</v>
      </c>
      <c r="BP90" s="184">
        <f t="shared" si="83"/>
        <v>1000000</v>
      </c>
      <c r="BQ90" s="184">
        <f t="shared" si="83"/>
        <v>4000000</v>
      </c>
    </row>
    <row r="91" spans="2:69">
      <c r="B91" s="4"/>
      <c r="C91" s="4"/>
      <c r="D91" s="9" t="s">
        <v>92</v>
      </c>
      <c r="E91" s="8"/>
      <c r="F91" s="67"/>
      <c r="G91" s="67"/>
      <c r="H91" s="67"/>
      <c r="I91" s="67"/>
      <c r="J91" s="67"/>
      <c r="K91" s="1"/>
      <c r="L91" s="1"/>
      <c r="M91" s="1"/>
      <c r="N91" s="85"/>
      <c r="O91" s="85"/>
      <c r="P91" s="85"/>
      <c r="Q91" s="85"/>
      <c r="R91" s="85"/>
      <c r="S91" s="85">
        <f t="shared" si="74"/>
        <v>0</v>
      </c>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84"/>
      <c r="AU91" s="184"/>
      <c r="AV91" s="184"/>
      <c r="AW91" s="184"/>
      <c r="AX91" s="184"/>
      <c r="AY91" s="184"/>
      <c r="AZ91" s="184"/>
      <c r="BA91" s="184"/>
      <c r="BB91" s="184"/>
      <c r="BC91" s="184"/>
      <c r="BD91" s="184"/>
      <c r="BE91" s="184"/>
      <c r="BF91" s="184"/>
      <c r="BG91" s="184"/>
      <c r="BH91" s="184"/>
      <c r="BI91" s="184"/>
      <c r="BJ91" s="184"/>
      <c r="BK91" s="184"/>
      <c r="BL91" s="184"/>
      <c r="BM91" s="184"/>
      <c r="BN91" s="184"/>
      <c r="BO91" s="184"/>
      <c r="BP91" s="184"/>
      <c r="BQ91" s="184"/>
    </row>
    <row r="92" spans="2:69">
      <c r="B92" s="4"/>
      <c r="C92" s="4"/>
      <c r="D92" s="9" t="s">
        <v>125</v>
      </c>
      <c r="E92" s="8"/>
      <c r="F92" s="67"/>
      <c r="G92" s="67"/>
      <c r="H92" s="67"/>
      <c r="I92" s="67"/>
      <c r="J92" s="67"/>
      <c r="K92" s="1" t="s">
        <v>726</v>
      </c>
      <c r="L92" s="1"/>
      <c r="M92" s="1"/>
      <c r="N92" s="85"/>
      <c r="O92" s="85"/>
      <c r="P92" s="85"/>
      <c r="Q92" s="85"/>
      <c r="R92" s="85"/>
      <c r="S92" s="85">
        <f t="shared" si="74"/>
        <v>0</v>
      </c>
      <c r="T92" s="184"/>
      <c r="U92" s="184">
        <v>210000000</v>
      </c>
      <c r="V92" s="184">
        <f>SUM(V120:V121)</f>
        <v>260000000</v>
      </c>
      <c r="W92" s="184">
        <f t="shared" ref="W92:BQ92" si="84">SUM(W120:W121)</f>
        <v>260000000</v>
      </c>
      <c r="X92" s="184">
        <f t="shared" si="84"/>
        <v>260000000</v>
      </c>
      <c r="Y92" s="184">
        <f t="shared" si="84"/>
        <v>260000000</v>
      </c>
      <c r="Z92" s="184">
        <f t="shared" si="84"/>
        <v>160000000</v>
      </c>
      <c r="AA92" s="184">
        <f t="shared" si="84"/>
        <v>160000000</v>
      </c>
      <c r="AB92" s="184">
        <f t="shared" si="84"/>
        <v>160000000</v>
      </c>
      <c r="AC92" s="184">
        <f t="shared" si="84"/>
        <v>160000000</v>
      </c>
      <c r="AD92" s="184">
        <f t="shared" si="84"/>
        <v>50000000</v>
      </c>
      <c r="AE92" s="184">
        <f t="shared" si="84"/>
        <v>50000000</v>
      </c>
      <c r="AF92" s="184">
        <f t="shared" si="84"/>
        <v>50000000</v>
      </c>
      <c r="AG92" s="184">
        <f t="shared" si="84"/>
        <v>50000000</v>
      </c>
      <c r="AH92" s="184">
        <f t="shared" si="84"/>
        <v>50000000</v>
      </c>
      <c r="AI92" s="184">
        <f t="shared" si="84"/>
        <v>50000000</v>
      </c>
      <c r="AJ92" s="184">
        <f t="shared" si="84"/>
        <v>50000000</v>
      </c>
      <c r="AK92" s="184">
        <f t="shared" si="84"/>
        <v>50000000</v>
      </c>
      <c r="AL92" s="184">
        <f t="shared" si="84"/>
        <v>50000000</v>
      </c>
      <c r="AM92" s="184">
        <f t="shared" si="84"/>
        <v>50000000</v>
      </c>
      <c r="AN92" s="184">
        <f t="shared" si="84"/>
        <v>50000000</v>
      </c>
      <c r="AO92" s="184">
        <f t="shared" si="84"/>
        <v>50000000</v>
      </c>
      <c r="AP92" s="184">
        <f t="shared" si="84"/>
        <v>50000000</v>
      </c>
      <c r="AQ92" s="184">
        <f t="shared" si="84"/>
        <v>50000000</v>
      </c>
      <c r="AR92" s="184">
        <f t="shared" si="84"/>
        <v>50000000</v>
      </c>
      <c r="AS92" s="184">
        <f t="shared" si="84"/>
        <v>50000000</v>
      </c>
      <c r="AT92" s="184">
        <f t="shared" si="84"/>
        <v>50000000</v>
      </c>
      <c r="AU92" s="184">
        <f t="shared" si="84"/>
        <v>50000000</v>
      </c>
      <c r="AV92" s="184">
        <f t="shared" si="84"/>
        <v>50000000</v>
      </c>
      <c r="AW92" s="184">
        <f t="shared" si="84"/>
        <v>50000000</v>
      </c>
      <c r="AX92" s="184">
        <f t="shared" si="84"/>
        <v>50000000</v>
      </c>
      <c r="AY92" s="184">
        <f t="shared" si="84"/>
        <v>50000000</v>
      </c>
      <c r="AZ92" s="184">
        <f t="shared" si="84"/>
        <v>50000000</v>
      </c>
      <c r="BA92" s="184">
        <f t="shared" si="84"/>
        <v>50000000</v>
      </c>
      <c r="BB92" s="184">
        <f t="shared" si="84"/>
        <v>50000000</v>
      </c>
      <c r="BC92" s="184">
        <f t="shared" si="84"/>
        <v>50000000</v>
      </c>
      <c r="BD92" s="184">
        <f t="shared" si="84"/>
        <v>50000000</v>
      </c>
      <c r="BE92" s="184">
        <f t="shared" si="84"/>
        <v>50000000</v>
      </c>
      <c r="BF92" s="184">
        <f t="shared" si="84"/>
        <v>50000000</v>
      </c>
      <c r="BG92" s="184">
        <f t="shared" si="84"/>
        <v>50000000</v>
      </c>
      <c r="BH92" s="184">
        <f t="shared" si="84"/>
        <v>50000000</v>
      </c>
      <c r="BI92" s="184">
        <f t="shared" si="84"/>
        <v>50000000</v>
      </c>
      <c r="BJ92" s="184">
        <f t="shared" si="84"/>
        <v>50000000</v>
      </c>
      <c r="BK92" s="184">
        <f t="shared" si="84"/>
        <v>0</v>
      </c>
      <c r="BL92" s="184">
        <f t="shared" si="84"/>
        <v>0</v>
      </c>
      <c r="BM92" s="184">
        <f t="shared" si="84"/>
        <v>0</v>
      </c>
      <c r="BN92" s="184">
        <f t="shared" si="84"/>
        <v>0</v>
      </c>
      <c r="BO92" s="184">
        <f t="shared" si="84"/>
        <v>0</v>
      </c>
      <c r="BP92" s="184">
        <f t="shared" si="84"/>
        <v>0</v>
      </c>
      <c r="BQ92" s="184">
        <f t="shared" si="84"/>
        <v>0</v>
      </c>
    </row>
    <row r="93" spans="2:69">
      <c r="B93" s="4"/>
      <c r="C93" s="4"/>
      <c r="D93" s="9" t="s">
        <v>128</v>
      </c>
      <c r="E93" s="8"/>
      <c r="F93" s="67"/>
      <c r="G93" s="67"/>
      <c r="H93" s="67"/>
      <c r="I93" s="67"/>
      <c r="J93" s="67"/>
      <c r="K93" s="1"/>
      <c r="L93" s="1"/>
      <c r="M93" s="1"/>
      <c r="N93" s="85"/>
      <c r="O93" s="85"/>
      <c r="P93" s="85"/>
      <c r="Q93" s="85"/>
      <c r="R93" s="85"/>
      <c r="S93" s="85">
        <f t="shared" si="74"/>
        <v>0</v>
      </c>
      <c r="T93" s="184"/>
      <c r="U93" s="184">
        <v>3930000</v>
      </c>
      <c r="V93" s="184">
        <v>20000000</v>
      </c>
      <c r="W93" s="184">
        <v>20000000</v>
      </c>
      <c r="X93" s="184">
        <v>20000000</v>
      </c>
      <c r="Y93" s="184"/>
      <c r="Z93" s="184"/>
      <c r="AA93" s="184">
        <v>1000000</v>
      </c>
      <c r="AB93" s="184">
        <v>1000000</v>
      </c>
      <c r="AC93" s="184">
        <v>4000000</v>
      </c>
      <c r="AD93" s="184">
        <v>20000000</v>
      </c>
      <c r="AE93" s="184">
        <v>20000000</v>
      </c>
      <c r="AF93" s="184">
        <v>20000000</v>
      </c>
      <c r="AG93" s="184"/>
      <c r="AH93" s="184"/>
      <c r="AI93" s="184">
        <v>1000000</v>
      </c>
      <c r="AJ93" s="184">
        <v>1000000</v>
      </c>
      <c r="AK93" s="184">
        <v>4000000</v>
      </c>
      <c r="AL93" s="184">
        <v>20000000</v>
      </c>
      <c r="AM93" s="184">
        <v>20000000</v>
      </c>
      <c r="AN93" s="184">
        <v>20000000</v>
      </c>
      <c r="AO93" s="184"/>
      <c r="AP93" s="184"/>
      <c r="AQ93" s="184">
        <v>1000000</v>
      </c>
      <c r="AR93" s="184">
        <v>1000000</v>
      </c>
      <c r="AS93" s="184">
        <v>4000000</v>
      </c>
      <c r="AT93" s="184">
        <v>20000000</v>
      </c>
      <c r="AU93" s="184">
        <v>20000000</v>
      </c>
      <c r="AV93" s="184">
        <v>20000000</v>
      </c>
      <c r="AW93" s="184"/>
      <c r="AX93" s="184"/>
      <c r="AY93" s="184">
        <v>1000000</v>
      </c>
      <c r="AZ93" s="184">
        <v>1000000</v>
      </c>
      <c r="BA93" s="184">
        <v>4000000</v>
      </c>
      <c r="BB93" s="184">
        <v>20000000</v>
      </c>
      <c r="BC93" s="184">
        <v>20000000</v>
      </c>
      <c r="BD93" s="184">
        <v>20000000</v>
      </c>
      <c r="BE93" s="184"/>
      <c r="BF93" s="184"/>
      <c r="BG93" s="184">
        <v>1000000</v>
      </c>
      <c r="BH93" s="184">
        <v>1000000</v>
      </c>
      <c r="BI93" s="184">
        <v>4000000</v>
      </c>
      <c r="BJ93" s="184">
        <v>20000000</v>
      </c>
      <c r="BK93" s="184">
        <v>20000000</v>
      </c>
      <c r="BL93" s="184">
        <v>20000000</v>
      </c>
      <c r="BM93" s="184"/>
      <c r="BN93" s="184"/>
      <c r="BO93" s="184">
        <v>1000000</v>
      </c>
      <c r="BP93" s="184">
        <v>1000000</v>
      </c>
      <c r="BQ93" s="184">
        <v>4000000</v>
      </c>
    </row>
    <row r="94" spans="2:69">
      <c r="B94" s="4"/>
      <c r="C94" s="4"/>
      <c r="D94" s="9" t="s">
        <v>126</v>
      </c>
      <c r="E94" s="8"/>
      <c r="F94" s="67"/>
      <c r="G94" s="67"/>
      <c r="H94" s="67"/>
      <c r="I94" s="67"/>
      <c r="J94" s="67"/>
      <c r="K94" s="1"/>
      <c r="L94" s="1"/>
      <c r="M94" s="1"/>
      <c r="N94" s="85"/>
      <c r="O94" s="85"/>
      <c r="P94" s="85"/>
      <c r="Q94" s="85"/>
      <c r="R94" s="85"/>
      <c r="S94" s="85">
        <f t="shared" si="74"/>
        <v>0</v>
      </c>
      <c r="T94" s="184"/>
      <c r="U94" s="184"/>
      <c r="V94" s="184"/>
      <c r="W94" s="184"/>
      <c r="X94" s="184"/>
      <c r="Y94" s="184"/>
      <c r="Z94" s="184"/>
      <c r="AA94" s="184"/>
      <c r="AB94" s="184"/>
      <c r="AC94" s="184"/>
      <c r="AD94" s="184"/>
      <c r="AE94" s="184"/>
      <c r="AF94" s="184"/>
      <c r="AG94" s="184"/>
      <c r="AH94" s="184"/>
      <c r="AI94" s="184"/>
      <c r="AJ94" s="184"/>
      <c r="AK94" s="184"/>
      <c r="AL94" s="184"/>
      <c r="AM94" s="184"/>
      <c r="AN94" s="184"/>
      <c r="AO94" s="184"/>
      <c r="AP94" s="184"/>
      <c r="AQ94" s="184"/>
      <c r="AR94" s="184"/>
      <c r="AS94" s="184"/>
      <c r="AT94" s="184"/>
      <c r="AU94" s="184"/>
      <c r="AV94" s="184"/>
      <c r="AW94" s="184"/>
      <c r="AX94" s="184"/>
      <c r="AY94" s="184"/>
      <c r="AZ94" s="184"/>
      <c r="BA94" s="184"/>
      <c r="BB94" s="184"/>
      <c r="BC94" s="184"/>
      <c r="BD94" s="184"/>
      <c r="BE94" s="184"/>
      <c r="BF94" s="184"/>
      <c r="BG94" s="184"/>
      <c r="BH94" s="184"/>
      <c r="BI94" s="184"/>
      <c r="BJ94" s="184"/>
      <c r="BK94" s="184"/>
      <c r="BL94" s="184"/>
      <c r="BM94" s="184"/>
      <c r="BN94" s="184"/>
      <c r="BO94" s="184"/>
      <c r="BP94" s="184"/>
      <c r="BQ94" s="184"/>
    </row>
    <row r="95" spans="2:69">
      <c r="B95" s="4"/>
      <c r="C95" s="3"/>
      <c r="D95" s="9" t="s">
        <v>129</v>
      </c>
      <c r="E95" s="8"/>
      <c r="F95" s="67"/>
      <c r="G95" s="67"/>
      <c r="H95" s="67"/>
      <c r="I95" s="67"/>
      <c r="J95" s="67"/>
      <c r="K95" s="1"/>
      <c r="L95" s="1"/>
      <c r="M95" s="1"/>
      <c r="N95" s="85"/>
      <c r="O95" s="85"/>
      <c r="P95" s="85"/>
      <c r="Q95" s="85"/>
      <c r="R95" s="85"/>
      <c r="S95" s="85">
        <f t="shared" si="74"/>
        <v>0</v>
      </c>
      <c r="T95" s="184"/>
      <c r="U95" s="184"/>
      <c r="V95" s="184"/>
      <c r="W95" s="184"/>
      <c r="X95" s="184"/>
      <c r="Y95" s="184"/>
      <c r="Z95" s="184"/>
      <c r="AA95" s="184"/>
      <c r="AB95" s="184"/>
      <c r="AC95" s="184"/>
      <c r="AD95" s="184"/>
      <c r="AE95" s="184"/>
      <c r="AF95" s="184"/>
      <c r="AG95" s="184"/>
      <c r="AH95" s="184"/>
      <c r="AI95" s="184"/>
      <c r="AJ95" s="184"/>
      <c r="AK95" s="184"/>
      <c r="AL95" s="184"/>
      <c r="AM95" s="184"/>
      <c r="AN95" s="184"/>
      <c r="AO95" s="184"/>
      <c r="AP95" s="184"/>
      <c r="AQ95" s="184"/>
      <c r="AR95" s="184"/>
      <c r="AS95" s="184"/>
      <c r="AT95" s="184"/>
      <c r="AU95" s="184"/>
      <c r="AV95" s="184"/>
      <c r="AW95" s="184"/>
      <c r="AX95" s="184"/>
      <c r="AY95" s="184"/>
      <c r="AZ95" s="184"/>
      <c r="BA95" s="184"/>
      <c r="BB95" s="184"/>
      <c r="BC95" s="184"/>
      <c r="BD95" s="184"/>
      <c r="BE95" s="184"/>
      <c r="BF95" s="184"/>
      <c r="BG95" s="184"/>
      <c r="BH95" s="184"/>
      <c r="BI95" s="184"/>
      <c r="BJ95" s="184"/>
      <c r="BK95" s="184"/>
      <c r="BL95" s="184"/>
      <c r="BM95" s="184"/>
      <c r="BN95" s="184"/>
      <c r="BO95" s="184"/>
      <c r="BP95" s="184"/>
      <c r="BQ95" s="184"/>
    </row>
    <row r="96" spans="2:69">
      <c r="B96" s="4"/>
      <c r="C96" s="2" t="s">
        <v>130</v>
      </c>
      <c r="D96" s="1"/>
      <c r="E96" s="1"/>
      <c r="F96" s="1"/>
      <c r="G96" s="1"/>
      <c r="H96" s="1"/>
      <c r="I96" s="1"/>
      <c r="J96" s="1"/>
      <c r="K96" s="1"/>
      <c r="L96" s="1"/>
      <c r="M96" s="1"/>
      <c r="N96" s="85">
        <f>SUM(N97:N98)</f>
        <v>5011414</v>
      </c>
      <c r="O96" s="85">
        <f t="shared" ref="O96:BQ96" si="85">SUM(O97:O98)</f>
        <v>6752975</v>
      </c>
      <c r="P96" s="85">
        <f t="shared" si="85"/>
        <v>7340812</v>
      </c>
      <c r="Q96" s="85">
        <f t="shared" si="85"/>
        <v>9283535</v>
      </c>
      <c r="R96" s="85">
        <f t="shared" si="85"/>
        <v>12385753</v>
      </c>
      <c r="S96" s="85">
        <f t="shared" si="74"/>
        <v>8154897.7999999998</v>
      </c>
      <c r="T96" s="184">
        <f t="shared" si="85"/>
        <v>14144217</v>
      </c>
      <c r="U96" s="184">
        <f t="shared" si="85"/>
        <v>18171249</v>
      </c>
      <c r="V96" s="184">
        <f t="shared" si="85"/>
        <v>38153082</v>
      </c>
      <c r="W96" s="184">
        <f t="shared" si="85"/>
        <v>59344748</v>
      </c>
      <c r="X96" s="184">
        <f t="shared" si="85"/>
        <v>60022144</v>
      </c>
      <c r="Y96" s="184">
        <f t="shared" si="85"/>
        <v>76157864</v>
      </c>
      <c r="Z96" s="184">
        <f t="shared" si="85"/>
        <v>86244186</v>
      </c>
      <c r="AA96" s="184">
        <f t="shared" si="85"/>
        <v>108693438</v>
      </c>
      <c r="AB96" s="184">
        <f t="shared" si="85"/>
        <v>96387951</v>
      </c>
      <c r="AC96" s="184">
        <f t="shared" si="85"/>
        <v>103492848</v>
      </c>
      <c r="AD96" s="184">
        <f t="shared" si="85"/>
        <v>103863087</v>
      </c>
      <c r="AE96" s="184">
        <f t="shared" si="85"/>
        <v>108592105</v>
      </c>
      <c r="AF96" s="184">
        <f t="shared" si="85"/>
        <v>112931104</v>
      </c>
      <c r="AG96" s="184">
        <f t="shared" si="85"/>
        <v>117357861</v>
      </c>
      <c r="AH96" s="184">
        <f t="shared" si="85"/>
        <v>126876864</v>
      </c>
      <c r="AI96" s="184">
        <f t="shared" si="85"/>
        <v>131528569</v>
      </c>
      <c r="AJ96" s="184">
        <f t="shared" si="85"/>
        <v>140494261</v>
      </c>
      <c r="AK96" s="184">
        <f t="shared" si="85"/>
        <v>151173101</v>
      </c>
      <c r="AL96" s="184">
        <f t="shared" si="85"/>
        <v>161530349</v>
      </c>
      <c r="AM96" s="184">
        <f t="shared" si="85"/>
        <v>171514159</v>
      </c>
      <c r="AN96" s="184">
        <f t="shared" si="85"/>
        <v>182586259</v>
      </c>
      <c r="AO96" s="184">
        <f t="shared" si="85"/>
        <v>191287553</v>
      </c>
      <c r="AP96" s="184">
        <f t="shared" si="85"/>
        <v>188821982</v>
      </c>
      <c r="AQ96" s="184">
        <f t="shared" si="85"/>
        <v>187035274</v>
      </c>
      <c r="AR96" s="184">
        <f t="shared" si="85"/>
        <v>187851162</v>
      </c>
      <c r="AS96" s="184">
        <f t="shared" si="85"/>
        <v>180442230</v>
      </c>
      <c r="AT96" s="184">
        <f t="shared" si="85"/>
        <v>177717420</v>
      </c>
      <c r="AU96" s="184">
        <f t="shared" si="85"/>
        <v>182259480</v>
      </c>
      <c r="AV96" s="184">
        <f t="shared" si="85"/>
        <v>186896924</v>
      </c>
      <c r="AW96" s="184">
        <f t="shared" si="85"/>
        <v>191631756</v>
      </c>
      <c r="AX96" s="184">
        <f t="shared" si="85"/>
        <v>196466016</v>
      </c>
      <c r="AY96" s="184">
        <f t="shared" si="85"/>
        <v>201401796</v>
      </c>
      <c r="AZ96" s="184">
        <f t="shared" si="85"/>
        <v>206441228</v>
      </c>
      <c r="BA96" s="184">
        <f t="shared" si="85"/>
        <v>211586490</v>
      </c>
      <c r="BB96" s="184">
        <f t="shared" si="85"/>
        <v>216839797</v>
      </c>
      <c r="BC96" s="184">
        <f t="shared" si="85"/>
        <v>222203425</v>
      </c>
      <c r="BD96" s="184">
        <f t="shared" si="85"/>
        <v>227679692</v>
      </c>
      <c r="BE96" s="184">
        <f t="shared" si="85"/>
        <v>233270959</v>
      </c>
      <c r="BF96" s="184">
        <f t="shared" si="85"/>
        <v>238979645</v>
      </c>
      <c r="BG96" s="184">
        <f t="shared" si="85"/>
        <v>244808211</v>
      </c>
      <c r="BH96" s="184">
        <f t="shared" si="85"/>
        <v>250759180</v>
      </c>
      <c r="BI96" s="184">
        <f t="shared" si="85"/>
        <v>247892265</v>
      </c>
      <c r="BJ96" s="184">
        <f t="shared" si="85"/>
        <v>246341539</v>
      </c>
      <c r="BK96" s="184">
        <f t="shared" si="85"/>
        <v>235634235</v>
      </c>
      <c r="BL96" s="184">
        <f t="shared" si="85"/>
        <v>225628201</v>
      </c>
      <c r="BM96" s="184">
        <f t="shared" si="85"/>
        <v>215970039</v>
      </c>
      <c r="BN96" s="184">
        <f t="shared" si="85"/>
        <v>211689036</v>
      </c>
      <c r="BO96" s="184">
        <f t="shared" si="85"/>
        <v>207318131</v>
      </c>
      <c r="BP96" s="184">
        <f t="shared" si="85"/>
        <v>200995447</v>
      </c>
      <c r="BQ96" s="184">
        <f t="shared" si="85"/>
        <v>192307993</v>
      </c>
    </row>
    <row r="97" spans="2:69">
      <c r="B97" s="4"/>
      <c r="C97" s="4"/>
      <c r="D97" s="9" t="s">
        <v>729</v>
      </c>
      <c r="E97" s="8"/>
      <c r="F97" s="1"/>
      <c r="G97" s="1"/>
      <c r="H97" s="1"/>
      <c r="I97" s="1"/>
      <c r="J97" s="1"/>
      <c r="K97" s="1" t="s">
        <v>250</v>
      </c>
      <c r="L97" s="1"/>
      <c r="M97" s="1"/>
      <c r="N97" s="85">
        <f>【PL】決算数値入力!K156</f>
        <v>5011414</v>
      </c>
      <c r="O97" s="85">
        <f>【PL】決算数値入力!L156</f>
        <v>6752975</v>
      </c>
      <c r="P97" s="85">
        <f>【PL】決算数値入力!M156</f>
        <v>7340812</v>
      </c>
      <c r="Q97" s="85">
        <f>【PL】決算数値入力!N156</f>
        <v>9283535</v>
      </c>
      <c r="R97" s="85">
        <f>【PL】決算数値入力!O156</f>
        <v>12385753</v>
      </c>
      <c r="S97" s="85">
        <f t="shared" si="74"/>
        <v>8154897.7999999998</v>
      </c>
      <c r="T97" s="184">
        <v>14144217</v>
      </c>
      <c r="U97" s="184">
        <v>18171249</v>
      </c>
      <c r="V97" s="184">
        <v>30881790</v>
      </c>
      <c r="W97" s="184">
        <v>44652356</v>
      </c>
      <c r="X97" s="184">
        <v>38508860</v>
      </c>
      <c r="Y97" s="184">
        <v>47923445</v>
      </c>
      <c r="Z97" s="184">
        <v>53577472</v>
      </c>
      <c r="AA97" s="184">
        <v>71501351</v>
      </c>
      <c r="AB97" s="184">
        <v>53765464</v>
      </c>
      <c r="AC97" s="184">
        <v>54353929</v>
      </c>
      <c r="AD97" s="184">
        <v>49366881</v>
      </c>
      <c r="AE97" s="184">
        <v>49922099</v>
      </c>
      <c r="AF97" s="184">
        <v>50485648</v>
      </c>
      <c r="AG97" s="184">
        <v>51057668</v>
      </c>
      <c r="AH97" s="184">
        <v>50485030</v>
      </c>
      <c r="AI97" s="184">
        <v>44833168</v>
      </c>
      <c r="AJ97" s="184">
        <v>43278918</v>
      </c>
      <c r="AK97" s="184">
        <v>43216900</v>
      </c>
      <c r="AL97" s="184">
        <v>42121733</v>
      </c>
      <c r="AM97" s="184">
        <v>40040032</v>
      </c>
      <c r="AN97" s="184">
        <v>38793244</v>
      </c>
      <c r="AO97" s="184">
        <v>34916953</v>
      </c>
      <c r="AP97" s="184">
        <v>28357604</v>
      </c>
      <c r="AQ97" s="184">
        <v>22391150</v>
      </c>
      <c r="AR97" s="184">
        <v>18939519</v>
      </c>
      <c r="AS97" s="184">
        <v>7173448</v>
      </c>
      <c r="AT97" s="184">
        <v>0</v>
      </c>
      <c r="AU97" s="184">
        <v>0</v>
      </c>
      <c r="AV97" s="184">
        <v>0</v>
      </c>
      <c r="AW97" s="184">
        <v>0</v>
      </c>
      <c r="AX97" s="184">
        <v>0</v>
      </c>
      <c r="AY97" s="184">
        <v>0</v>
      </c>
      <c r="AZ97" s="184">
        <v>0</v>
      </c>
      <c r="BA97" s="184">
        <v>0</v>
      </c>
      <c r="BB97" s="184">
        <v>0</v>
      </c>
      <c r="BC97" s="184">
        <v>0</v>
      </c>
      <c r="BD97" s="184">
        <v>0</v>
      </c>
      <c r="BE97" s="184">
        <v>0</v>
      </c>
      <c r="BF97" s="184">
        <v>0</v>
      </c>
      <c r="BG97" s="184">
        <v>0</v>
      </c>
      <c r="BH97" s="184">
        <v>0</v>
      </c>
      <c r="BI97" s="184">
        <v>0</v>
      </c>
      <c r="BJ97" s="184">
        <v>0</v>
      </c>
      <c r="BK97" s="184">
        <v>0</v>
      </c>
      <c r="BL97" s="184">
        <v>0</v>
      </c>
      <c r="BM97" s="184">
        <v>0</v>
      </c>
      <c r="BN97" s="184">
        <v>0</v>
      </c>
      <c r="BO97" s="184">
        <v>0</v>
      </c>
      <c r="BP97" s="184">
        <v>0</v>
      </c>
      <c r="BQ97" s="184">
        <v>0</v>
      </c>
    </row>
    <row r="98" spans="2:69">
      <c r="B98" s="4"/>
      <c r="C98" s="3"/>
      <c r="D98" s="9" t="s">
        <v>727</v>
      </c>
      <c r="E98" s="8"/>
      <c r="F98" s="1"/>
      <c r="G98" s="1"/>
      <c r="H98" s="1"/>
      <c r="I98" s="1"/>
      <c r="J98" s="1"/>
      <c r="K98" s="1" t="s">
        <v>251</v>
      </c>
      <c r="L98" s="1"/>
      <c r="M98" s="1"/>
      <c r="N98" s="85"/>
      <c r="O98" s="85"/>
      <c r="P98" s="85"/>
      <c r="Q98" s="85"/>
      <c r="R98" s="85"/>
      <c r="S98" s="85">
        <f t="shared" si="74"/>
        <v>0</v>
      </c>
      <c r="T98" s="184">
        <f>新規債返済スケジュール!E2</f>
        <v>0</v>
      </c>
      <c r="U98" s="184">
        <v>0</v>
      </c>
      <c r="V98" s="184">
        <f>新規債返済スケジュール!G2</f>
        <v>7271292</v>
      </c>
      <c r="W98" s="184">
        <f>新規債返済スケジュール!H2</f>
        <v>14692392</v>
      </c>
      <c r="X98" s="184">
        <f>新規債返済スケジュール!I2</f>
        <v>21513284</v>
      </c>
      <c r="Y98" s="184">
        <f>新規債返済スケジュール!J2</f>
        <v>28234419</v>
      </c>
      <c r="Z98" s="184">
        <f>新規債返済スケジュール!K2</f>
        <v>32666714</v>
      </c>
      <c r="AA98" s="184">
        <f>新規債返済スケジュール!L2</f>
        <v>37192087</v>
      </c>
      <c r="AB98" s="184">
        <f>新規債返済スケジュール!M2</f>
        <v>42622487</v>
      </c>
      <c r="AC98" s="184">
        <f>新規債返済スケジュール!N2</f>
        <v>49138919</v>
      </c>
      <c r="AD98" s="184">
        <f>新規債返済スケジュール!O2</f>
        <v>54496206</v>
      </c>
      <c r="AE98" s="184">
        <f>新規債返済スケジュール!P2</f>
        <v>58670006</v>
      </c>
      <c r="AF98" s="184">
        <f>新規債返済スケジュール!Q2</f>
        <v>62445456</v>
      </c>
      <c r="AG98" s="184">
        <f>新規債返済スケジュール!R2</f>
        <v>66300193</v>
      </c>
      <c r="AH98" s="184">
        <f>新規債返済スケジュール!S2</f>
        <v>76391834</v>
      </c>
      <c r="AI98" s="184">
        <f>新規債返済スケジュール!T2</f>
        <v>86695401</v>
      </c>
      <c r="AJ98" s="184">
        <f>新規債返済スケジュール!U2</f>
        <v>97215343</v>
      </c>
      <c r="AK98" s="184">
        <f>新規債返済スケジュール!V2</f>
        <v>107956201</v>
      </c>
      <c r="AL98" s="184">
        <f>新規債返済スケジュール!W2</f>
        <v>119408616</v>
      </c>
      <c r="AM98" s="184">
        <f>新規債返済スケジュール!X2</f>
        <v>131474127</v>
      </c>
      <c r="AN98" s="184">
        <f>新規債返済スケジュール!Y2</f>
        <v>143793015</v>
      </c>
      <c r="AO98" s="184">
        <f>新規債返済スケジュール!Z2</f>
        <v>156370600</v>
      </c>
      <c r="AP98" s="184">
        <f>新規債返済スケジュール!AA2</f>
        <v>160464378</v>
      </c>
      <c r="AQ98" s="184">
        <f>新規債返済スケジュール!AB2</f>
        <v>164644124</v>
      </c>
      <c r="AR98" s="184">
        <f>新規債返済スケジュール!AC2</f>
        <v>168911643</v>
      </c>
      <c r="AS98" s="184">
        <f>新規債返済スケジュール!AD2</f>
        <v>173268782</v>
      </c>
      <c r="AT98" s="184">
        <f>新規債返済スケジュール!AE2</f>
        <v>177717420</v>
      </c>
      <c r="AU98" s="184">
        <f>新規債返済スケジュール!AF2</f>
        <v>182259480</v>
      </c>
      <c r="AV98" s="184">
        <f>新規債返済スケジュール!AG2</f>
        <v>186896924</v>
      </c>
      <c r="AW98" s="184">
        <f>新規債返済スケジュール!AH2</f>
        <v>191631756</v>
      </c>
      <c r="AX98" s="184">
        <f>新規債返済スケジュール!AI2</f>
        <v>196466016</v>
      </c>
      <c r="AY98" s="184">
        <f>新規債返済スケジュール!AJ2</f>
        <v>201401796</v>
      </c>
      <c r="AZ98" s="184">
        <f>新規債返済スケジュール!AK2</f>
        <v>206441228</v>
      </c>
      <c r="BA98" s="184">
        <f>新規債返済スケジュール!AL2</f>
        <v>211586490</v>
      </c>
      <c r="BB98" s="184">
        <f>新規債返済スケジュール!AM2</f>
        <v>216839797</v>
      </c>
      <c r="BC98" s="184">
        <f>新規債返済スケジュール!AN2</f>
        <v>222203425</v>
      </c>
      <c r="BD98" s="184">
        <f>新規債返済スケジュール!AO2</f>
        <v>227679692</v>
      </c>
      <c r="BE98" s="184">
        <f>新規債返済スケジュール!AP2</f>
        <v>233270959</v>
      </c>
      <c r="BF98" s="184">
        <f>新規債返済スケジュール!AQ2</f>
        <v>238979645</v>
      </c>
      <c r="BG98" s="184">
        <f>新規債返済スケジュール!AR2</f>
        <v>244808211</v>
      </c>
      <c r="BH98" s="184">
        <f>新規債返済スケジュール!AS2</f>
        <v>250759180</v>
      </c>
      <c r="BI98" s="184">
        <f>新規債返済スケジュール!AT2</f>
        <v>247892265</v>
      </c>
      <c r="BJ98" s="184">
        <f>新規債返済スケジュール!AU2</f>
        <v>246341539</v>
      </c>
      <c r="BK98" s="184">
        <f>新規債返済スケジュール!AV2</f>
        <v>235634235</v>
      </c>
      <c r="BL98" s="184">
        <f>新規債返済スケジュール!AW2</f>
        <v>225628201</v>
      </c>
      <c r="BM98" s="184">
        <f>新規債返済スケジュール!AX2</f>
        <v>215970039</v>
      </c>
      <c r="BN98" s="184">
        <f>新規債返済スケジュール!AY2</f>
        <v>211689036</v>
      </c>
      <c r="BO98" s="184">
        <f>新規債返済スケジュール!AZ2</f>
        <v>207318131</v>
      </c>
      <c r="BP98" s="184">
        <f>新規債返済スケジュール!BA2</f>
        <v>200995447</v>
      </c>
      <c r="BQ98" s="184">
        <f>新規債返済スケジュール!BB2</f>
        <v>192307993</v>
      </c>
    </row>
    <row r="99" spans="2:69">
      <c r="B99" s="3"/>
      <c r="C99" s="1" t="s">
        <v>132</v>
      </c>
      <c r="D99" s="1"/>
      <c r="E99" s="1"/>
      <c r="F99" s="1"/>
      <c r="G99" s="1"/>
      <c r="H99" s="1"/>
      <c r="I99" s="1"/>
      <c r="J99" s="1"/>
      <c r="K99" s="1"/>
      <c r="L99" s="1"/>
      <c r="M99" s="1"/>
      <c r="N99" s="85">
        <f>【PL】決算数値入力!K155</f>
        <v>44382000</v>
      </c>
      <c r="O99" s="85">
        <f>【PL】決算数値入力!L155</f>
        <v>1711000</v>
      </c>
      <c r="P99" s="85">
        <f>【PL】決算数値入力!M155</f>
        <v>0</v>
      </c>
      <c r="Q99" s="85">
        <f>【PL】決算数値入力!N155</f>
        <v>0</v>
      </c>
      <c r="R99" s="85">
        <f>【PL】決算数値入力!O155</f>
        <v>0</v>
      </c>
      <c r="S99" s="85">
        <f>【PL】決算数値入力!P155</f>
        <v>4609300</v>
      </c>
      <c r="T99" s="184"/>
      <c r="U99" s="184"/>
      <c r="V99" s="184"/>
      <c r="W99" s="184"/>
      <c r="X99" s="184"/>
      <c r="Y99" s="184"/>
      <c r="Z99" s="184"/>
      <c r="AA99" s="184"/>
      <c r="AB99" s="184"/>
      <c r="AC99" s="184"/>
      <c r="AD99" s="184"/>
      <c r="AE99" s="184"/>
      <c r="AF99" s="184"/>
      <c r="AG99" s="184"/>
      <c r="AH99" s="184"/>
      <c r="AI99" s="184"/>
      <c r="AJ99" s="184"/>
      <c r="AK99" s="184"/>
      <c r="AL99" s="184"/>
      <c r="AM99" s="184"/>
      <c r="AN99" s="184"/>
      <c r="AO99" s="184"/>
      <c r="AP99" s="184"/>
      <c r="AQ99" s="184"/>
      <c r="AR99" s="184"/>
      <c r="AS99" s="184"/>
      <c r="AT99" s="184"/>
      <c r="AU99" s="184"/>
      <c r="AV99" s="184"/>
      <c r="AW99" s="184"/>
      <c r="AX99" s="184"/>
      <c r="AY99" s="184"/>
      <c r="AZ99" s="184"/>
      <c r="BA99" s="184"/>
      <c r="BB99" s="184"/>
      <c r="BC99" s="184"/>
      <c r="BD99" s="184"/>
      <c r="BE99" s="184"/>
      <c r="BF99" s="184"/>
      <c r="BG99" s="184"/>
      <c r="BH99" s="184"/>
      <c r="BI99" s="184"/>
      <c r="BJ99" s="184"/>
      <c r="BK99" s="184"/>
      <c r="BL99" s="184"/>
      <c r="BM99" s="184"/>
      <c r="BN99" s="184"/>
      <c r="BO99" s="184"/>
      <c r="BP99" s="184"/>
      <c r="BQ99" s="184"/>
    </row>
    <row r="100" spans="2:69">
      <c r="B100" s="9" t="s">
        <v>133</v>
      </c>
      <c r="C100" s="7"/>
      <c r="D100" s="7"/>
      <c r="E100" s="8"/>
      <c r="F100" s="1"/>
      <c r="G100" s="1"/>
      <c r="H100" s="1"/>
      <c r="I100" s="1"/>
      <c r="J100" s="1"/>
      <c r="K100" s="1"/>
      <c r="L100" s="1"/>
      <c r="M100" s="1"/>
      <c r="N100" s="85">
        <f>N73-N80</f>
        <v>-70846002</v>
      </c>
      <c r="O100" s="85">
        <f t="shared" ref="O100:BQ100" si="86">O73-O80</f>
        <v>-11707941</v>
      </c>
      <c r="P100" s="85">
        <f t="shared" si="86"/>
        <v>-22241166</v>
      </c>
      <c r="Q100" s="85">
        <f t="shared" si="86"/>
        <v>-10564040</v>
      </c>
      <c r="R100" s="85">
        <f t="shared" si="86"/>
        <v>-67209897</v>
      </c>
      <c r="S100" s="85">
        <f t="shared" si="74"/>
        <v>-36513809.200000003</v>
      </c>
      <c r="T100" s="184">
        <f>T73-T80</f>
        <v>-12637203</v>
      </c>
      <c r="U100" s="184">
        <f>U73-U80</f>
        <v>-19415249</v>
      </c>
      <c r="V100" s="184">
        <f>V73-V80</f>
        <v>-38153082</v>
      </c>
      <c r="W100" s="184">
        <f t="shared" si="86"/>
        <v>-59344748</v>
      </c>
      <c r="X100" s="184">
        <f t="shared" si="86"/>
        <v>-60022144</v>
      </c>
      <c r="Y100" s="184">
        <f t="shared" si="86"/>
        <v>-76157864</v>
      </c>
      <c r="Z100" s="184">
        <f t="shared" si="86"/>
        <v>-86244186</v>
      </c>
      <c r="AA100" s="184">
        <f t="shared" si="86"/>
        <v>-109693438</v>
      </c>
      <c r="AB100" s="184">
        <f t="shared" si="86"/>
        <v>-97387951</v>
      </c>
      <c r="AC100" s="184">
        <f t="shared" si="86"/>
        <v>-107492848</v>
      </c>
      <c r="AD100" s="184">
        <f t="shared" si="86"/>
        <v>-123863087</v>
      </c>
      <c r="AE100" s="184">
        <f t="shared" si="86"/>
        <v>-128592105</v>
      </c>
      <c r="AF100" s="184">
        <f t="shared" si="86"/>
        <v>-132931104</v>
      </c>
      <c r="AG100" s="184">
        <f t="shared" si="86"/>
        <v>-117357861</v>
      </c>
      <c r="AH100" s="184">
        <f t="shared" si="86"/>
        <v>-126876864</v>
      </c>
      <c r="AI100" s="184">
        <f t="shared" si="86"/>
        <v>-132528569</v>
      </c>
      <c r="AJ100" s="184">
        <f t="shared" si="86"/>
        <v>-141494261</v>
      </c>
      <c r="AK100" s="184">
        <f t="shared" si="86"/>
        <v>-155173101</v>
      </c>
      <c r="AL100" s="184">
        <f t="shared" si="86"/>
        <v>-181530349</v>
      </c>
      <c r="AM100" s="184">
        <f t="shared" si="86"/>
        <v>-191514159</v>
      </c>
      <c r="AN100" s="184">
        <f t="shared" si="86"/>
        <v>-202586259</v>
      </c>
      <c r="AO100" s="184">
        <f t="shared" si="86"/>
        <v>-191287553</v>
      </c>
      <c r="AP100" s="184">
        <f t="shared" si="86"/>
        <v>-188821982</v>
      </c>
      <c r="AQ100" s="184">
        <f t="shared" si="86"/>
        <v>-188035274</v>
      </c>
      <c r="AR100" s="184">
        <f t="shared" si="86"/>
        <v>-188851162</v>
      </c>
      <c r="AS100" s="184">
        <f t="shared" si="86"/>
        <v>-184442230</v>
      </c>
      <c r="AT100" s="184">
        <f t="shared" si="86"/>
        <v>-197717420</v>
      </c>
      <c r="AU100" s="184">
        <f t="shared" si="86"/>
        <v>-202259480</v>
      </c>
      <c r="AV100" s="184">
        <f t="shared" si="86"/>
        <v>-206896924</v>
      </c>
      <c r="AW100" s="184">
        <f t="shared" si="86"/>
        <v>-191631756</v>
      </c>
      <c r="AX100" s="184">
        <f t="shared" si="86"/>
        <v>-196466016</v>
      </c>
      <c r="AY100" s="184">
        <f t="shared" si="86"/>
        <v>-202401796</v>
      </c>
      <c r="AZ100" s="184">
        <f t="shared" si="86"/>
        <v>-207441228</v>
      </c>
      <c r="BA100" s="184">
        <f t="shared" si="86"/>
        <v>-215586490</v>
      </c>
      <c r="BB100" s="184">
        <f t="shared" si="86"/>
        <v>-236839797</v>
      </c>
      <c r="BC100" s="184">
        <f t="shared" si="86"/>
        <v>-242203425</v>
      </c>
      <c r="BD100" s="184">
        <f t="shared" si="86"/>
        <v>-247679692</v>
      </c>
      <c r="BE100" s="184">
        <f t="shared" si="86"/>
        <v>-233270959</v>
      </c>
      <c r="BF100" s="184">
        <f t="shared" si="86"/>
        <v>-238979645</v>
      </c>
      <c r="BG100" s="184">
        <f t="shared" si="86"/>
        <v>-245808211</v>
      </c>
      <c r="BH100" s="184">
        <f t="shared" si="86"/>
        <v>-251759180</v>
      </c>
      <c r="BI100" s="184">
        <f t="shared" si="86"/>
        <v>-251892265</v>
      </c>
      <c r="BJ100" s="184">
        <f t="shared" si="86"/>
        <v>-266341539</v>
      </c>
      <c r="BK100" s="184">
        <f t="shared" si="86"/>
        <v>-255634235</v>
      </c>
      <c r="BL100" s="184">
        <f t="shared" si="86"/>
        <v>-245628201</v>
      </c>
      <c r="BM100" s="184">
        <f t="shared" si="86"/>
        <v>-215970039</v>
      </c>
      <c r="BN100" s="184">
        <f t="shared" si="86"/>
        <v>-211689036</v>
      </c>
      <c r="BO100" s="184">
        <f t="shared" si="86"/>
        <v>-208318131</v>
      </c>
      <c r="BP100" s="184">
        <f t="shared" si="86"/>
        <v>-201995447</v>
      </c>
      <c r="BQ100" s="184">
        <f t="shared" si="86"/>
        <v>-196307993</v>
      </c>
    </row>
    <row r="101" spans="2:69">
      <c r="T101" s="24" t="s">
        <v>736</v>
      </c>
      <c r="U101" s="24" t="s">
        <v>737</v>
      </c>
    </row>
    <row r="102" spans="2:69">
      <c r="B102" t="s">
        <v>134</v>
      </c>
    </row>
    <row r="103" spans="2:69">
      <c r="B103" s="11" t="s">
        <v>1</v>
      </c>
      <c r="C103" s="11" t="s">
        <v>2</v>
      </c>
      <c r="D103" s="12" t="s">
        <v>3</v>
      </c>
      <c r="E103" s="13"/>
      <c r="F103" s="20" t="s">
        <v>4</v>
      </c>
      <c r="G103" s="14"/>
      <c r="H103" s="14"/>
      <c r="I103" s="15"/>
      <c r="J103" s="311" t="s">
        <v>162</v>
      </c>
      <c r="K103" s="11" t="s">
        <v>8</v>
      </c>
      <c r="L103" s="11" t="s">
        <v>9</v>
      </c>
      <c r="M103" s="11" t="s">
        <v>10</v>
      </c>
      <c r="N103" s="30" t="s">
        <v>11</v>
      </c>
      <c r="O103" s="31"/>
      <c r="P103" s="31"/>
      <c r="Q103" s="31"/>
      <c r="R103" s="32"/>
      <c r="S103" s="35" t="s">
        <v>177</v>
      </c>
      <c r="T103" s="33" t="s">
        <v>17</v>
      </c>
      <c r="U103" s="31"/>
      <c r="V103" s="31"/>
      <c r="W103" s="32"/>
      <c r="X103" s="34" t="s">
        <v>68</v>
      </c>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row>
    <row r="104" spans="2:69">
      <c r="B104" s="17"/>
      <c r="C104" s="17"/>
      <c r="D104" s="18"/>
      <c r="E104" s="19"/>
      <c r="F104" s="17"/>
      <c r="G104" s="16" t="s">
        <v>5</v>
      </c>
      <c r="H104" s="16" t="s">
        <v>6</v>
      </c>
      <c r="I104" s="16" t="s">
        <v>7</v>
      </c>
      <c r="J104" s="312"/>
      <c r="K104" s="17"/>
      <c r="L104" s="17"/>
      <c r="M104" s="17"/>
      <c r="N104" s="35" t="s">
        <v>589</v>
      </c>
      <c r="O104" s="35" t="s">
        <v>19</v>
      </c>
      <c r="P104" s="35" t="s">
        <v>20</v>
      </c>
      <c r="Q104" s="35" t="s">
        <v>588</v>
      </c>
      <c r="R104" s="35" t="s">
        <v>594</v>
      </c>
      <c r="S104" s="35"/>
      <c r="T104" s="35" t="s">
        <v>710</v>
      </c>
      <c r="U104" s="35" t="s">
        <v>711</v>
      </c>
      <c r="V104" s="35" t="s">
        <v>712</v>
      </c>
      <c r="W104" s="35" t="s">
        <v>713</v>
      </c>
      <c r="X104" s="35" t="s">
        <v>27</v>
      </c>
      <c r="Y104" s="35" t="s">
        <v>28</v>
      </c>
      <c r="Z104" s="35" t="s">
        <v>29</v>
      </c>
      <c r="AA104" s="35" t="s">
        <v>30</v>
      </c>
      <c r="AB104" s="35" t="s">
        <v>31</v>
      </c>
      <c r="AC104" s="35" t="s">
        <v>32</v>
      </c>
      <c r="AD104" s="35" t="s">
        <v>33</v>
      </c>
      <c r="AE104" s="35" t="s">
        <v>34</v>
      </c>
      <c r="AF104" s="35" t="s">
        <v>35</v>
      </c>
      <c r="AG104" s="35" t="s">
        <v>36</v>
      </c>
      <c r="AH104" s="35" t="s">
        <v>37</v>
      </c>
      <c r="AI104" s="35" t="s">
        <v>38</v>
      </c>
      <c r="AJ104" s="35" t="s">
        <v>39</v>
      </c>
      <c r="AK104" s="35" t="s">
        <v>40</v>
      </c>
      <c r="AL104" s="35" t="s">
        <v>41</v>
      </c>
      <c r="AM104" s="35" t="s">
        <v>42</v>
      </c>
      <c r="AN104" s="35" t="s">
        <v>43</v>
      </c>
      <c r="AO104" s="35" t="s">
        <v>44</v>
      </c>
      <c r="AP104" s="35" t="s">
        <v>45</v>
      </c>
      <c r="AQ104" s="35" t="s">
        <v>46</v>
      </c>
      <c r="AR104" s="35" t="s">
        <v>47</v>
      </c>
      <c r="AS104" s="35" t="s">
        <v>48</v>
      </c>
      <c r="AT104" s="35" t="s">
        <v>49</v>
      </c>
      <c r="AU104" s="35" t="s">
        <v>50</v>
      </c>
      <c r="AV104" s="35" t="s">
        <v>51</v>
      </c>
      <c r="AW104" s="35" t="s">
        <v>52</v>
      </c>
      <c r="AX104" s="35" t="s">
        <v>53</v>
      </c>
      <c r="AY104" s="35" t="s">
        <v>54</v>
      </c>
      <c r="AZ104" s="35" t="s">
        <v>55</v>
      </c>
      <c r="BA104" s="35" t="s">
        <v>56</v>
      </c>
      <c r="BB104" s="35" t="s">
        <v>57</v>
      </c>
      <c r="BC104" s="35" t="s">
        <v>58</v>
      </c>
      <c r="BD104" s="35" t="s">
        <v>59</v>
      </c>
      <c r="BE104" s="35" t="s">
        <v>60</v>
      </c>
      <c r="BF104" s="35" t="s">
        <v>61</v>
      </c>
      <c r="BG104" s="35" t="s">
        <v>62</v>
      </c>
      <c r="BH104" s="35" t="s">
        <v>63</v>
      </c>
      <c r="BI104" s="35" t="s">
        <v>64</v>
      </c>
      <c r="BJ104" s="35" t="s">
        <v>65</v>
      </c>
      <c r="BK104" s="35" t="s">
        <v>66</v>
      </c>
      <c r="BL104" s="35" t="s">
        <v>67</v>
      </c>
      <c r="BM104" s="35" t="s">
        <v>670</v>
      </c>
      <c r="BN104" s="35" t="s">
        <v>671</v>
      </c>
      <c r="BO104" s="35" t="s">
        <v>672</v>
      </c>
      <c r="BP104" s="35" t="s">
        <v>673</v>
      </c>
      <c r="BQ104" s="35" t="s">
        <v>674</v>
      </c>
    </row>
    <row r="105" spans="2:69">
      <c r="B105" s="9" t="s">
        <v>133</v>
      </c>
      <c r="C105" s="7"/>
      <c r="D105" s="7"/>
      <c r="E105" s="8"/>
      <c r="F105" s="67"/>
      <c r="G105" s="67"/>
      <c r="H105" s="67"/>
      <c r="I105" s="67"/>
      <c r="J105" s="67"/>
      <c r="K105" s="1"/>
      <c r="L105" s="1"/>
      <c r="M105" s="1"/>
      <c r="N105" s="182">
        <f>N100</f>
        <v>-70846002</v>
      </c>
      <c r="O105" s="182">
        <f t="shared" ref="O105:Q105" si="87">O100</f>
        <v>-11707941</v>
      </c>
      <c r="P105" s="182">
        <f t="shared" si="87"/>
        <v>-22241166</v>
      </c>
      <c r="Q105" s="182">
        <f t="shared" si="87"/>
        <v>-10564040</v>
      </c>
      <c r="R105" s="182">
        <f t="shared" ref="R105" si="88">R100</f>
        <v>-67209897</v>
      </c>
      <c r="S105" s="182">
        <f t="shared" ref="S105:S113" si="89">IFERROR(AVERAGE(N105:R105),0)</f>
        <v>-36513809.200000003</v>
      </c>
      <c r="T105" s="182">
        <f t="shared" ref="T105:U105" si="90">T100</f>
        <v>-12637203</v>
      </c>
      <c r="U105" s="182">
        <f t="shared" si="90"/>
        <v>-19415249</v>
      </c>
      <c r="V105" s="182">
        <f t="shared" ref="V105:BQ105" si="91">V100</f>
        <v>-38153082</v>
      </c>
      <c r="W105" s="182">
        <f t="shared" si="91"/>
        <v>-59344748</v>
      </c>
      <c r="X105" s="182">
        <f t="shared" si="91"/>
        <v>-60022144</v>
      </c>
      <c r="Y105" s="182">
        <f t="shared" si="91"/>
        <v>-76157864</v>
      </c>
      <c r="Z105" s="182">
        <f t="shared" si="91"/>
        <v>-86244186</v>
      </c>
      <c r="AA105" s="182">
        <f t="shared" si="91"/>
        <v>-109693438</v>
      </c>
      <c r="AB105" s="182">
        <f t="shared" si="91"/>
        <v>-97387951</v>
      </c>
      <c r="AC105" s="182">
        <f t="shared" si="91"/>
        <v>-107492848</v>
      </c>
      <c r="AD105" s="182">
        <f t="shared" si="91"/>
        <v>-123863087</v>
      </c>
      <c r="AE105" s="182">
        <f t="shared" si="91"/>
        <v>-128592105</v>
      </c>
      <c r="AF105" s="182">
        <f t="shared" si="91"/>
        <v>-132931104</v>
      </c>
      <c r="AG105" s="182">
        <f t="shared" si="91"/>
        <v>-117357861</v>
      </c>
      <c r="AH105" s="182">
        <f t="shared" si="91"/>
        <v>-126876864</v>
      </c>
      <c r="AI105" s="182">
        <f t="shared" si="91"/>
        <v>-132528569</v>
      </c>
      <c r="AJ105" s="182">
        <f t="shared" si="91"/>
        <v>-141494261</v>
      </c>
      <c r="AK105" s="182">
        <f t="shared" si="91"/>
        <v>-155173101</v>
      </c>
      <c r="AL105" s="182">
        <f t="shared" si="91"/>
        <v>-181530349</v>
      </c>
      <c r="AM105" s="182">
        <f t="shared" si="91"/>
        <v>-191514159</v>
      </c>
      <c r="AN105" s="182">
        <f t="shared" si="91"/>
        <v>-202586259</v>
      </c>
      <c r="AO105" s="182">
        <f t="shared" si="91"/>
        <v>-191287553</v>
      </c>
      <c r="AP105" s="182">
        <f t="shared" si="91"/>
        <v>-188821982</v>
      </c>
      <c r="AQ105" s="182">
        <f t="shared" si="91"/>
        <v>-188035274</v>
      </c>
      <c r="AR105" s="182">
        <f t="shared" si="91"/>
        <v>-188851162</v>
      </c>
      <c r="AS105" s="182">
        <f t="shared" si="91"/>
        <v>-184442230</v>
      </c>
      <c r="AT105" s="182">
        <f t="shared" si="91"/>
        <v>-197717420</v>
      </c>
      <c r="AU105" s="182">
        <f t="shared" si="91"/>
        <v>-202259480</v>
      </c>
      <c r="AV105" s="182">
        <f t="shared" si="91"/>
        <v>-206896924</v>
      </c>
      <c r="AW105" s="182">
        <f t="shared" si="91"/>
        <v>-191631756</v>
      </c>
      <c r="AX105" s="182">
        <f t="shared" si="91"/>
        <v>-196466016</v>
      </c>
      <c r="AY105" s="182">
        <f t="shared" si="91"/>
        <v>-202401796</v>
      </c>
      <c r="AZ105" s="182">
        <f t="shared" si="91"/>
        <v>-207441228</v>
      </c>
      <c r="BA105" s="182">
        <f t="shared" si="91"/>
        <v>-215586490</v>
      </c>
      <c r="BB105" s="182">
        <f t="shared" si="91"/>
        <v>-236839797</v>
      </c>
      <c r="BC105" s="182">
        <f t="shared" si="91"/>
        <v>-242203425</v>
      </c>
      <c r="BD105" s="182">
        <f t="shared" si="91"/>
        <v>-247679692</v>
      </c>
      <c r="BE105" s="182">
        <f t="shared" si="91"/>
        <v>-233270959</v>
      </c>
      <c r="BF105" s="182">
        <f t="shared" si="91"/>
        <v>-238979645</v>
      </c>
      <c r="BG105" s="182">
        <f t="shared" si="91"/>
        <v>-245808211</v>
      </c>
      <c r="BH105" s="182">
        <f t="shared" si="91"/>
        <v>-251759180</v>
      </c>
      <c r="BI105" s="182">
        <f t="shared" si="91"/>
        <v>-251892265</v>
      </c>
      <c r="BJ105" s="182">
        <f t="shared" si="91"/>
        <v>-266341539</v>
      </c>
      <c r="BK105" s="182">
        <f t="shared" si="91"/>
        <v>-255634235</v>
      </c>
      <c r="BL105" s="182">
        <f t="shared" si="91"/>
        <v>-245628201</v>
      </c>
      <c r="BM105" s="182">
        <f t="shared" si="91"/>
        <v>-215970039</v>
      </c>
      <c r="BN105" s="182">
        <f t="shared" si="91"/>
        <v>-211689036</v>
      </c>
      <c r="BO105" s="182">
        <f t="shared" si="91"/>
        <v>-208318131</v>
      </c>
      <c r="BP105" s="182">
        <f t="shared" si="91"/>
        <v>-201995447</v>
      </c>
      <c r="BQ105" s="182">
        <f t="shared" si="91"/>
        <v>-196307993</v>
      </c>
    </row>
    <row r="106" spans="2:69">
      <c r="B106" s="309"/>
      <c r="C106" s="308" t="s">
        <v>137</v>
      </c>
      <c r="D106" s="9" t="s">
        <v>139</v>
      </c>
      <c r="E106" s="8"/>
      <c r="F106" s="67"/>
      <c r="G106" s="67"/>
      <c r="H106" s="67"/>
      <c r="I106" s="67"/>
      <c r="J106" s="67"/>
      <c r="K106" s="1"/>
      <c r="L106" s="1"/>
      <c r="M106" s="1"/>
      <c r="N106" s="182">
        <f>N68</f>
        <v>-154789750</v>
      </c>
      <c r="O106" s="182">
        <f>O68</f>
        <v>-36029202</v>
      </c>
      <c r="P106" s="182">
        <f>P68</f>
        <v>-37745561</v>
      </c>
      <c r="Q106" s="182">
        <f>Q68</f>
        <v>-101071072</v>
      </c>
      <c r="R106" s="182">
        <f>R68</f>
        <v>-59562535</v>
      </c>
      <c r="S106" s="182">
        <f t="shared" si="89"/>
        <v>-77839624</v>
      </c>
      <c r="T106" s="182">
        <f t="shared" ref="T106:AY106" si="92">T68</f>
        <v>-42377634.100000024</v>
      </c>
      <c r="U106" s="182">
        <f t="shared" si="92"/>
        <v>-49845508.100000024</v>
      </c>
      <c r="V106" s="182">
        <f t="shared" si="92"/>
        <v>-160291.10000002384</v>
      </c>
      <c r="W106" s="182">
        <f t="shared" si="92"/>
        <v>3421065.8473684788</v>
      </c>
      <c r="X106" s="182">
        <f t="shared" si="92"/>
        <v>-10180626.67894733</v>
      </c>
      <c r="Y106" s="182">
        <f t="shared" si="92"/>
        <v>-18787121.205263138</v>
      </c>
      <c r="Z106" s="182">
        <f t="shared" si="92"/>
        <v>-27590100.731578946</v>
      </c>
      <c r="AA106" s="182">
        <f t="shared" si="92"/>
        <v>-33982968.257894754</v>
      </c>
      <c r="AB106" s="182">
        <f t="shared" si="92"/>
        <v>-45610030.257894754</v>
      </c>
      <c r="AC106" s="182">
        <f t="shared" si="92"/>
        <v>-54605582.257894754</v>
      </c>
      <c r="AD106" s="182">
        <f t="shared" si="92"/>
        <v>-64033049.257894754</v>
      </c>
      <c r="AE106" s="182">
        <f t="shared" si="92"/>
        <v>-69659555.257894754</v>
      </c>
      <c r="AF106" s="182">
        <f t="shared" si="92"/>
        <v>-165684885.25789475</v>
      </c>
      <c r="AG106" s="182">
        <f t="shared" si="92"/>
        <v>-180896131.25789475</v>
      </c>
      <c r="AH106" s="182">
        <f t="shared" si="92"/>
        <v>-196169883.25789475</v>
      </c>
      <c r="AI106" s="182">
        <f t="shared" si="92"/>
        <v>-211251975.25789475</v>
      </c>
      <c r="AJ106" s="182">
        <f t="shared" si="92"/>
        <v>-227555305.25789475</v>
      </c>
      <c r="AK106" s="182">
        <f t="shared" si="92"/>
        <v>-243325745.25789475</v>
      </c>
      <c r="AL106" s="182">
        <f t="shared" si="92"/>
        <v>-260233100.25789475</v>
      </c>
      <c r="AM106" s="182">
        <f t="shared" si="92"/>
        <v>-277725909.25789475</v>
      </c>
      <c r="AN106" s="182">
        <f t="shared" si="92"/>
        <v>-295494398.25789475</v>
      </c>
      <c r="AO106" s="182">
        <f t="shared" si="92"/>
        <v>-301721110.25789475</v>
      </c>
      <c r="AP106" s="182">
        <f t="shared" si="92"/>
        <v>-305091729.25789475</v>
      </c>
      <c r="AQ106" s="182">
        <f t="shared" si="92"/>
        <v>-307874218.25789475</v>
      </c>
      <c r="AR106" s="182">
        <f t="shared" si="92"/>
        <v>-310808261.25789475</v>
      </c>
      <c r="AS106" s="182">
        <f t="shared" si="92"/>
        <v>-313701763.25789475</v>
      </c>
      <c r="AT106" s="182">
        <f t="shared" si="92"/>
        <v>-319932926.25789475</v>
      </c>
      <c r="AU106" s="182">
        <f t="shared" si="92"/>
        <v>-323448035.25789475</v>
      </c>
      <c r="AV106" s="182">
        <f t="shared" si="92"/>
        <v>-327219551.25789475</v>
      </c>
      <c r="AW106" s="182">
        <f t="shared" si="92"/>
        <v>-330860388.25789475</v>
      </c>
      <c r="AX106" s="182">
        <f t="shared" si="92"/>
        <v>-334319891.25789475</v>
      </c>
      <c r="AY106" s="182">
        <f t="shared" si="92"/>
        <v>-337104233.25789475</v>
      </c>
      <c r="AZ106" s="182">
        <f t="shared" ref="AZ106:BQ106" si="93">AZ68</f>
        <v>-340230040.25789475</v>
      </c>
      <c r="BA106" s="182">
        <f t="shared" si="93"/>
        <v>-343616550.25789475</v>
      </c>
      <c r="BB106" s="182">
        <f t="shared" si="93"/>
        <v>-347077570.25789475</v>
      </c>
      <c r="BC106" s="182">
        <f t="shared" si="93"/>
        <v>-350277787.25789475</v>
      </c>
      <c r="BD106" s="182">
        <f t="shared" si="93"/>
        <v>-353802676.25789475</v>
      </c>
      <c r="BE106" s="182">
        <f t="shared" si="93"/>
        <v>-356357928.25789475</v>
      </c>
      <c r="BF106" s="182">
        <f t="shared" si="93"/>
        <v>-359315636.25789475</v>
      </c>
      <c r="BG106" s="182">
        <f t="shared" si="93"/>
        <v>-362858550.25789475</v>
      </c>
      <c r="BH106" s="182">
        <f t="shared" si="93"/>
        <v>-358501946.25789475</v>
      </c>
      <c r="BI106" s="182">
        <f t="shared" si="93"/>
        <v>-334046624.25789475</v>
      </c>
      <c r="BJ106" s="182">
        <f t="shared" si="93"/>
        <v>-324511994.25789475</v>
      </c>
      <c r="BK106" s="182">
        <f t="shared" si="93"/>
        <v>-312001448.25789475</v>
      </c>
      <c r="BL106" s="182">
        <f t="shared" si="93"/>
        <v>-301215478.25789475</v>
      </c>
      <c r="BM106" s="182">
        <f t="shared" si="93"/>
        <v>-101827728.10000002</v>
      </c>
      <c r="BN106" s="182">
        <f t="shared" si="93"/>
        <v>-103795209.10000002</v>
      </c>
      <c r="BO106" s="182">
        <f t="shared" si="93"/>
        <v>-104795479.10000002</v>
      </c>
      <c r="BP106" s="182">
        <f t="shared" si="93"/>
        <v>-106693363.10000002</v>
      </c>
      <c r="BQ106" s="182">
        <f t="shared" si="93"/>
        <v>-108681985.10000002</v>
      </c>
    </row>
    <row r="107" spans="2:69">
      <c r="B107" s="309"/>
      <c r="C107" s="310"/>
      <c r="D107" s="9" t="s">
        <v>187</v>
      </c>
      <c r="E107" s="8"/>
      <c r="F107" s="67"/>
      <c r="G107" s="67"/>
      <c r="H107" s="67"/>
      <c r="I107" s="67"/>
      <c r="J107" s="67"/>
      <c r="K107" s="1"/>
      <c r="L107" s="1"/>
      <c r="M107" s="1"/>
      <c r="N107" s="182">
        <f>SUM(N106:N106)</f>
        <v>-154789750</v>
      </c>
      <c r="O107" s="182">
        <f>SUM(O106:O106)</f>
        <v>-36029202</v>
      </c>
      <c r="P107" s="182">
        <f>SUM(P106:P106)</f>
        <v>-37745561</v>
      </c>
      <c r="Q107" s="182">
        <f>SUM(Q106:Q106)</f>
        <v>-101071072</v>
      </c>
      <c r="R107" s="182">
        <f>SUM(R106:R106)</f>
        <v>-59562535</v>
      </c>
      <c r="S107" s="182">
        <f t="shared" si="89"/>
        <v>-77839624</v>
      </c>
      <c r="T107" s="182">
        <f t="shared" ref="T107:AY107" si="94">SUM(T106:T106)</f>
        <v>-42377634.100000024</v>
      </c>
      <c r="U107" s="182">
        <f t="shared" si="94"/>
        <v>-49845508.100000024</v>
      </c>
      <c r="V107" s="182">
        <f t="shared" si="94"/>
        <v>-160291.10000002384</v>
      </c>
      <c r="W107" s="182">
        <f t="shared" si="94"/>
        <v>3421065.8473684788</v>
      </c>
      <c r="X107" s="182">
        <f t="shared" si="94"/>
        <v>-10180626.67894733</v>
      </c>
      <c r="Y107" s="182">
        <f t="shared" si="94"/>
        <v>-18787121.205263138</v>
      </c>
      <c r="Z107" s="182">
        <f t="shared" si="94"/>
        <v>-27590100.731578946</v>
      </c>
      <c r="AA107" s="182">
        <f t="shared" si="94"/>
        <v>-33982968.257894754</v>
      </c>
      <c r="AB107" s="182">
        <f t="shared" si="94"/>
        <v>-45610030.257894754</v>
      </c>
      <c r="AC107" s="182">
        <f t="shared" si="94"/>
        <v>-54605582.257894754</v>
      </c>
      <c r="AD107" s="182">
        <f t="shared" si="94"/>
        <v>-64033049.257894754</v>
      </c>
      <c r="AE107" s="182">
        <f t="shared" si="94"/>
        <v>-69659555.257894754</v>
      </c>
      <c r="AF107" s="182">
        <f t="shared" si="94"/>
        <v>-165684885.25789475</v>
      </c>
      <c r="AG107" s="182">
        <f t="shared" si="94"/>
        <v>-180896131.25789475</v>
      </c>
      <c r="AH107" s="182">
        <f t="shared" si="94"/>
        <v>-196169883.25789475</v>
      </c>
      <c r="AI107" s="182">
        <f t="shared" si="94"/>
        <v>-211251975.25789475</v>
      </c>
      <c r="AJ107" s="182">
        <f t="shared" si="94"/>
        <v>-227555305.25789475</v>
      </c>
      <c r="AK107" s="182">
        <f t="shared" si="94"/>
        <v>-243325745.25789475</v>
      </c>
      <c r="AL107" s="182">
        <f t="shared" si="94"/>
        <v>-260233100.25789475</v>
      </c>
      <c r="AM107" s="182">
        <f t="shared" si="94"/>
        <v>-277725909.25789475</v>
      </c>
      <c r="AN107" s="182">
        <f t="shared" si="94"/>
        <v>-295494398.25789475</v>
      </c>
      <c r="AO107" s="182">
        <f t="shared" si="94"/>
        <v>-301721110.25789475</v>
      </c>
      <c r="AP107" s="182">
        <f t="shared" si="94"/>
        <v>-305091729.25789475</v>
      </c>
      <c r="AQ107" s="182">
        <f t="shared" si="94"/>
        <v>-307874218.25789475</v>
      </c>
      <c r="AR107" s="182">
        <f t="shared" si="94"/>
        <v>-310808261.25789475</v>
      </c>
      <c r="AS107" s="182">
        <f t="shared" si="94"/>
        <v>-313701763.25789475</v>
      </c>
      <c r="AT107" s="182">
        <f t="shared" si="94"/>
        <v>-319932926.25789475</v>
      </c>
      <c r="AU107" s="182">
        <f t="shared" si="94"/>
        <v>-323448035.25789475</v>
      </c>
      <c r="AV107" s="182">
        <f t="shared" si="94"/>
        <v>-327219551.25789475</v>
      </c>
      <c r="AW107" s="182">
        <f t="shared" si="94"/>
        <v>-330860388.25789475</v>
      </c>
      <c r="AX107" s="182">
        <f t="shared" si="94"/>
        <v>-334319891.25789475</v>
      </c>
      <c r="AY107" s="182">
        <f t="shared" si="94"/>
        <v>-337104233.25789475</v>
      </c>
      <c r="AZ107" s="182">
        <f t="shared" ref="AZ107:BQ107" si="95">SUM(AZ106:AZ106)</f>
        <v>-340230040.25789475</v>
      </c>
      <c r="BA107" s="182">
        <f t="shared" si="95"/>
        <v>-343616550.25789475</v>
      </c>
      <c r="BB107" s="182">
        <f t="shared" si="95"/>
        <v>-347077570.25789475</v>
      </c>
      <c r="BC107" s="182">
        <f t="shared" si="95"/>
        <v>-350277787.25789475</v>
      </c>
      <c r="BD107" s="182">
        <f t="shared" si="95"/>
        <v>-353802676.25789475</v>
      </c>
      <c r="BE107" s="182">
        <f t="shared" si="95"/>
        <v>-356357928.25789475</v>
      </c>
      <c r="BF107" s="182">
        <f t="shared" si="95"/>
        <v>-359315636.25789475</v>
      </c>
      <c r="BG107" s="182">
        <f t="shared" si="95"/>
        <v>-362858550.25789475</v>
      </c>
      <c r="BH107" s="182">
        <f t="shared" si="95"/>
        <v>-358501946.25789475</v>
      </c>
      <c r="BI107" s="182">
        <f t="shared" si="95"/>
        <v>-334046624.25789475</v>
      </c>
      <c r="BJ107" s="182">
        <f t="shared" si="95"/>
        <v>-324511994.25789475</v>
      </c>
      <c r="BK107" s="182">
        <f t="shared" si="95"/>
        <v>-312001448.25789475</v>
      </c>
      <c r="BL107" s="182">
        <f t="shared" si="95"/>
        <v>-301215478.25789475</v>
      </c>
      <c r="BM107" s="182">
        <f t="shared" si="95"/>
        <v>-101827728.10000002</v>
      </c>
      <c r="BN107" s="182">
        <f t="shared" si="95"/>
        <v>-103795209.10000002</v>
      </c>
      <c r="BO107" s="182">
        <f t="shared" si="95"/>
        <v>-104795479.10000002</v>
      </c>
      <c r="BP107" s="182">
        <f t="shared" si="95"/>
        <v>-106693363.10000002</v>
      </c>
      <c r="BQ107" s="182">
        <f t="shared" si="95"/>
        <v>-108681985.10000002</v>
      </c>
    </row>
    <row r="108" spans="2:69">
      <c r="B108" s="309"/>
      <c r="C108" s="308" t="s">
        <v>141</v>
      </c>
      <c r="D108" s="308" t="s">
        <v>143</v>
      </c>
      <c r="E108" s="1" t="s">
        <v>101</v>
      </c>
      <c r="F108" s="67"/>
      <c r="G108" s="67"/>
      <c r="H108" s="67"/>
      <c r="I108" s="67"/>
      <c r="J108" s="67"/>
      <c r="K108" s="1"/>
      <c r="L108" s="1"/>
      <c r="M108" s="1"/>
      <c r="N108" s="182">
        <f>N52</f>
        <v>140426639</v>
      </c>
      <c r="O108" s="182">
        <f>O52</f>
        <v>331709645</v>
      </c>
      <c r="P108" s="182">
        <f>P52</f>
        <v>389441172</v>
      </c>
      <c r="Q108" s="182">
        <f>Q52</f>
        <v>513505522</v>
      </c>
      <c r="R108" s="182">
        <f>R52</f>
        <v>390906409</v>
      </c>
      <c r="S108" s="182">
        <f t="shared" si="89"/>
        <v>353197877.39999998</v>
      </c>
      <c r="T108" s="182">
        <f t="shared" ref="T108:AY108" si="96">T52</f>
        <v>388013019</v>
      </c>
      <c r="U108" s="182">
        <f>U52</f>
        <v>393178325</v>
      </c>
      <c r="V108" s="182">
        <f>V52</f>
        <v>395267309</v>
      </c>
      <c r="W108" s="182">
        <f t="shared" si="96"/>
        <v>414923088</v>
      </c>
      <c r="X108" s="182">
        <f t="shared" si="96"/>
        <v>412863570</v>
      </c>
      <c r="Y108" s="182">
        <f t="shared" si="96"/>
        <v>407153866</v>
      </c>
      <c r="Z108" s="182">
        <f t="shared" si="96"/>
        <v>402234363</v>
      </c>
      <c r="AA108" s="182">
        <f t="shared" si="96"/>
        <v>399791730</v>
      </c>
      <c r="AB108" s="182">
        <f t="shared" si="96"/>
        <v>405939986</v>
      </c>
      <c r="AC108" s="182">
        <f t="shared" si="96"/>
        <v>406674729</v>
      </c>
      <c r="AD108" s="182">
        <f t="shared" si="96"/>
        <v>406812943</v>
      </c>
      <c r="AE108" s="182">
        <f t="shared" si="96"/>
        <v>352516335</v>
      </c>
      <c r="AF108" s="182">
        <f t="shared" si="96"/>
        <v>342227313</v>
      </c>
      <c r="AG108" s="182">
        <f t="shared" si="96"/>
        <v>348732897</v>
      </c>
      <c r="AH108" s="182">
        <f t="shared" si="96"/>
        <v>355936112</v>
      </c>
      <c r="AI108" s="182">
        <f t="shared" si="96"/>
        <v>366934291</v>
      </c>
      <c r="AJ108" s="182">
        <f t="shared" si="96"/>
        <v>361851185</v>
      </c>
      <c r="AK108" s="182">
        <f t="shared" si="96"/>
        <v>373626364</v>
      </c>
      <c r="AL108" s="182">
        <f t="shared" si="96"/>
        <v>386301795</v>
      </c>
      <c r="AM108" s="182">
        <f t="shared" si="96"/>
        <v>400251221</v>
      </c>
      <c r="AN108" s="182">
        <f t="shared" si="96"/>
        <v>414278373</v>
      </c>
      <c r="AO108" s="182">
        <f t="shared" si="96"/>
        <v>414313892</v>
      </c>
      <c r="AP108" s="182">
        <f t="shared" si="96"/>
        <v>412930531</v>
      </c>
      <c r="AQ108" s="182">
        <f t="shared" si="96"/>
        <v>412146414</v>
      </c>
      <c r="AR108" s="182">
        <f t="shared" si="96"/>
        <v>412579205</v>
      </c>
      <c r="AS108" s="182">
        <f t="shared" si="96"/>
        <v>412465395</v>
      </c>
      <c r="AT108" s="182">
        <f t="shared" si="96"/>
        <v>412902074</v>
      </c>
      <c r="AU108" s="182">
        <f t="shared" si="96"/>
        <v>412773617</v>
      </c>
      <c r="AV108" s="182">
        <f t="shared" si="96"/>
        <v>413428596</v>
      </c>
      <c r="AW108" s="182">
        <f t="shared" si="96"/>
        <v>413822887</v>
      </c>
      <c r="AX108" s="182">
        <f t="shared" si="96"/>
        <v>413878278</v>
      </c>
      <c r="AY108" s="182">
        <f t="shared" si="96"/>
        <v>400218310</v>
      </c>
      <c r="AZ108" s="182">
        <f t="shared" ref="AZ108:BQ108" si="97">AZ52</f>
        <v>397221907</v>
      </c>
      <c r="BA108" s="182">
        <f t="shared" si="97"/>
        <v>397065040</v>
      </c>
      <c r="BB108" s="182">
        <f t="shared" si="97"/>
        <v>393157673</v>
      </c>
      <c r="BC108" s="182">
        <f t="shared" si="97"/>
        <v>380553248</v>
      </c>
      <c r="BD108" s="182">
        <f t="shared" si="97"/>
        <v>372201869</v>
      </c>
      <c r="BE108" s="182">
        <f t="shared" si="97"/>
        <v>338867857</v>
      </c>
      <c r="BF108" s="182">
        <f t="shared" si="97"/>
        <v>321643057</v>
      </c>
      <c r="BG108" s="182">
        <f t="shared" si="97"/>
        <v>320530884</v>
      </c>
      <c r="BH108" s="182">
        <f t="shared" si="97"/>
        <v>313326849</v>
      </c>
      <c r="BI108" s="182">
        <f t="shared" si="97"/>
        <v>285747104</v>
      </c>
      <c r="BJ108" s="182">
        <f t="shared" si="97"/>
        <v>273341863</v>
      </c>
      <c r="BK108" s="182">
        <f t="shared" si="97"/>
        <v>258378292</v>
      </c>
      <c r="BL108" s="182">
        <f t="shared" si="97"/>
        <v>245157764</v>
      </c>
      <c r="BM108" s="182">
        <f t="shared" si="97"/>
        <v>35793597</v>
      </c>
      <c r="BN108" s="182">
        <f t="shared" si="97"/>
        <v>32191122</v>
      </c>
      <c r="BO108" s="182">
        <f t="shared" si="97"/>
        <v>27782436</v>
      </c>
      <c r="BP108" s="182">
        <f t="shared" si="97"/>
        <v>22634774</v>
      </c>
      <c r="BQ108" s="182">
        <f t="shared" si="97"/>
        <v>19193545</v>
      </c>
    </row>
    <row r="109" spans="2:69">
      <c r="B109" s="309"/>
      <c r="C109" s="309"/>
      <c r="D109" s="309"/>
      <c r="E109" s="1" t="s">
        <v>102</v>
      </c>
      <c r="F109" s="67"/>
      <c r="G109" s="67"/>
      <c r="H109" s="67"/>
      <c r="I109" s="67"/>
      <c r="J109" s="67"/>
      <c r="K109" s="1"/>
      <c r="L109" s="1"/>
      <c r="M109" s="1"/>
      <c r="N109" s="182">
        <f>N55</f>
        <v>0</v>
      </c>
      <c r="O109" s="182">
        <f>O55</f>
        <v>0</v>
      </c>
      <c r="P109" s="182">
        <f>P55</f>
        <v>0</v>
      </c>
      <c r="Q109" s="182">
        <f>Q55</f>
        <v>0</v>
      </c>
      <c r="R109" s="182">
        <f>R55</f>
        <v>0</v>
      </c>
      <c r="S109" s="182">
        <f t="shared" si="89"/>
        <v>0</v>
      </c>
      <c r="T109" s="182">
        <f t="shared" ref="T109:AY109" si="98">T55</f>
        <v>0</v>
      </c>
      <c r="U109" s="182">
        <f t="shared" si="98"/>
        <v>0</v>
      </c>
      <c r="V109" s="182">
        <f t="shared" si="98"/>
        <v>0</v>
      </c>
      <c r="W109" s="182">
        <f t="shared" si="98"/>
        <v>0</v>
      </c>
      <c r="X109" s="182">
        <f t="shared" si="98"/>
        <v>0</v>
      </c>
      <c r="Y109" s="182">
        <f t="shared" si="98"/>
        <v>0</v>
      </c>
      <c r="Z109" s="182">
        <f t="shared" si="98"/>
        <v>0</v>
      </c>
      <c r="AA109" s="182">
        <f t="shared" si="98"/>
        <v>0</v>
      </c>
      <c r="AB109" s="182">
        <f t="shared" si="98"/>
        <v>0</v>
      </c>
      <c r="AC109" s="182">
        <f t="shared" si="98"/>
        <v>0</v>
      </c>
      <c r="AD109" s="182">
        <f t="shared" si="98"/>
        <v>0</v>
      </c>
      <c r="AE109" s="182">
        <f t="shared" si="98"/>
        <v>0</v>
      </c>
      <c r="AF109" s="182">
        <f t="shared" si="98"/>
        <v>0</v>
      </c>
      <c r="AG109" s="182">
        <f t="shared" si="98"/>
        <v>0</v>
      </c>
      <c r="AH109" s="182">
        <f t="shared" si="98"/>
        <v>0</v>
      </c>
      <c r="AI109" s="182">
        <f t="shared" si="98"/>
        <v>0</v>
      </c>
      <c r="AJ109" s="182">
        <f t="shared" si="98"/>
        <v>0</v>
      </c>
      <c r="AK109" s="182">
        <f t="shared" si="98"/>
        <v>0</v>
      </c>
      <c r="AL109" s="182">
        <f t="shared" si="98"/>
        <v>0</v>
      </c>
      <c r="AM109" s="182">
        <f t="shared" si="98"/>
        <v>0</v>
      </c>
      <c r="AN109" s="182">
        <f t="shared" si="98"/>
        <v>0</v>
      </c>
      <c r="AO109" s="182">
        <f t="shared" si="98"/>
        <v>0</v>
      </c>
      <c r="AP109" s="182">
        <f t="shared" si="98"/>
        <v>0</v>
      </c>
      <c r="AQ109" s="182">
        <f t="shared" si="98"/>
        <v>0</v>
      </c>
      <c r="AR109" s="182">
        <f t="shared" si="98"/>
        <v>0</v>
      </c>
      <c r="AS109" s="182">
        <f t="shared" si="98"/>
        <v>0</v>
      </c>
      <c r="AT109" s="182">
        <f t="shared" si="98"/>
        <v>0</v>
      </c>
      <c r="AU109" s="182">
        <f t="shared" si="98"/>
        <v>0</v>
      </c>
      <c r="AV109" s="182">
        <f t="shared" si="98"/>
        <v>0</v>
      </c>
      <c r="AW109" s="182">
        <f t="shared" si="98"/>
        <v>0</v>
      </c>
      <c r="AX109" s="182">
        <f t="shared" si="98"/>
        <v>0</v>
      </c>
      <c r="AY109" s="182">
        <f t="shared" si="98"/>
        <v>0</v>
      </c>
      <c r="AZ109" s="182">
        <f t="shared" ref="AZ109:BQ109" si="99">AZ55</f>
        <v>0</v>
      </c>
      <c r="BA109" s="182">
        <f t="shared" si="99"/>
        <v>0</v>
      </c>
      <c r="BB109" s="182">
        <f t="shared" si="99"/>
        <v>0</v>
      </c>
      <c r="BC109" s="182">
        <f t="shared" si="99"/>
        <v>0</v>
      </c>
      <c r="BD109" s="182">
        <f t="shared" si="99"/>
        <v>0</v>
      </c>
      <c r="BE109" s="182">
        <f t="shared" si="99"/>
        <v>0</v>
      </c>
      <c r="BF109" s="182">
        <f t="shared" si="99"/>
        <v>0</v>
      </c>
      <c r="BG109" s="182">
        <f t="shared" si="99"/>
        <v>0</v>
      </c>
      <c r="BH109" s="182">
        <f t="shared" si="99"/>
        <v>0</v>
      </c>
      <c r="BI109" s="182">
        <f t="shared" si="99"/>
        <v>0</v>
      </c>
      <c r="BJ109" s="182">
        <f t="shared" si="99"/>
        <v>0</v>
      </c>
      <c r="BK109" s="182">
        <f t="shared" si="99"/>
        <v>0</v>
      </c>
      <c r="BL109" s="182">
        <f t="shared" si="99"/>
        <v>0</v>
      </c>
      <c r="BM109" s="182">
        <f t="shared" si="99"/>
        <v>0</v>
      </c>
      <c r="BN109" s="182">
        <f t="shared" si="99"/>
        <v>0</v>
      </c>
      <c r="BO109" s="182">
        <f t="shared" si="99"/>
        <v>0</v>
      </c>
      <c r="BP109" s="182">
        <f t="shared" si="99"/>
        <v>0</v>
      </c>
      <c r="BQ109" s="182">
        <f t="shared" si="99"/>
        <v>0</v>
      </c>
    </row>
    <row r="110" spans="2:69">
      <c r="B110" s="309"/>
      <c r="C110" s="309"/>
      <c r="D110" s="310"/>
      <c r="E110" s="1" t="s">
        <v>144</v>
      </c>
      <c r="F110" s="67"/>
      <c r="G110" s="67"/>
      <c r="H110" s="67"/>
      <c r="I110" s="67"/>
      <c r="J110" s="67"/>
      <c r="K110" s="1"/>
      <c r="L110" s="1"/>
      <c r="M110" s="1"/>
      <c r="N110" s="182">
        <f>-N16</f>
        <v>-95135147</v>
      </c>
      <c r="O110" s="182">
        <f>-O16</f>
        <v>-288889699</v>
      </c>
      <c r="P110" s="182">
        <f>-P16</f>
        <v>-336382478</v>
      </c>
      <c r="Q110" s="182">
        <f>-Q16</f>
        <v>-419319678</v>
      </c>
      <c r="R110" s="182">
        <f>-R16</f>
        <v>-336409057</v>
      </c>
      <c r="S110" s="182">
        <f t="shared" si="89"/>
        <v>-295227211.80000001</v>
      </c>
      <c r="T110" s="182">
        <f t="shared" ref="T110:AY110" si="100">-T16</f>
        <v>-334202174</v>
      </c>
      <c r="U110" s="182">
        <f t="shared" si="100"/>
        <v>-334252462</v>
      </c>
      <c r="V110" s="182">
        <f t="shared" si="100"/>
        <v>-329946028</v>
      </c>
      <c r="W110" s="182">
        <f>-W16</f>
        <v>-324870100.94736844</v>
      </c>
      <c r="X110" s="182">
        <f t="shared" si="100"/>
        <v>-311864740.42105263</v>
      </c>
      <c r="Y110" s="182">
        <f t="shared" si="100"/>
        <v>-299985532.89473683</v>
      </c>
      <c r="Z110" s="182">
        <f t="shared" si="100"/>
        <v>-290153736.36842108</v>
      </c>
      <c r="AA110" s="182">
        <f t="shared" si="100"/>
        <v>-283813836.84210527</v>
      </c>
      <c r="AB110" s="182">
        <f t="shared" si="100"/>
        <v>-280813910.84210527</v>
      </c>
      <c r="AC110" s="182">
        <f t="shared" si="100"/>
        <v>-274833254.84210527</v>
      </c>
      <c r="AD110" s="182">
        <f t="shared" si="100"/>
        <v>-268191824.84210527</v>
      </c>
      <c r="AE110" s="182">
        <f t="shared" si="100"/>
        <v>-212480044.84210527</v>
      </c>
      <c r="AF110" s="182">
        <f t="shared" si="100"/>
        <v>-198472609.84210527</v>
      </c>
      <c r="AG110" s="182">
        <f t="shared" si="100"/>
        <v>-191904255.84210527</v>
      </c>
      <c r="AH110" s="182">
        <f t="shared" si="100"/>
        <v>-186305034.84210527</v>
      </c>
      <c r="AI110" s="182">
        <f t="shared" si="100"/>
        <v>-184511012.84210527</v>
      </c>
      <c r="AJ110" s="182">
        <f t="shared" si="100"/>
        <v>-167682208.84210527</v>
      </c>
      <c r="AK110" s="182">
        <f t="shared" si="100"/>
        <v>-165698992.84210527</v>
      </c>
      <c r="AL110" s="182">
        <f t="shared" si="100"/>
        <v>-163778129.84210527</v>
      </c>
      <c r="AM110" s="182">
        <f t="shared" si="100"/>
        <v>-162399171.84210527</v>
      </c>
      <c r="AN110" s="182">
        <f t="shared" si="100"/>
        <v>-160821071.84210527</v>
      </c>
      <c r="AO110" s="182">
        <f t="shared" si="100"/>
        <v>-159217530.84210527</v>
      </c>
      <c r="AP110" s="182">
        <f t="shared" si="100"/>
        <v>-156662222.84210527</v>
      </c>
      <c r="AQ110" s="182">
        <f t="shared" si="100"/>
        <v>-155159647.84210527</v>
      </c>
      <c r="AR110" s="182">
        <f t="shared" si="100"/>
        <v>-154738190.84210527</v>
      </c>
      <c r="AS110" s="182">
        <f t="shared" si="100"/>
        <v>-153684675.84210527</v>
      </c>
      <c r="AT110" s="182">
        <f t="shared" si="100"/>
        <v>-152829902.84210527</v>
      </c>
      <c r="AU110" s="182">
        <f t="shared" si="100"/>
        <v>-151157146.84210527</v>
      </c>
      <c r="AV110" s="182">
        <f t="shared" si="100"/>
        <v>-150012839.84210527</v>
      </c>
      <c r="AW110" s="182">
        <f t="shared" si="100"/>
        <v>-148639704.84210527</v>
      </c>
      <c r="AX110" s="182">
        <f t="shared" si="100"/>
        <v>-147340186.84210527</v>
      </c>
      <c r="AY110" s="182">
        <f t="shared" si="100"/>
        <v>-132902500.84210527</v>
      </c>
      <c r="AZ110" s="182">
        <f t="shared" ref="AZ110:BQ110" si="101">-AZ16</f>
        <v>-128801778.84210527</v>
      </c>
      <c r="BA110" s="182">
        <f t="shared" si="101"/>
        <v>-127173860.84210527</v>
      </c>
      <c r="BB110" s="182">
        <f t="shared" si="101"/>
        <v>-121953494.84210527</v>
      </c>
      <c r="BC110" s="182">
        <f t="shared" si="101"/>
        <v>-108190521.84210527</v>
      </c>
      <c r="BD110" s="182">
        <f t="shared" si="101"/>
        <v>-98373629.842105269</v>
      </c>
      <c r="BE110" s="182">
        <f t="shared" si="101"/>
        <v>-64457884.842105262</v>
      </c>
      <c r="BF110" s="182">
        <f t="shared" si="101"/>
        <v>-46457740.842105262</v>
      </c>
      <c r="BG110" s="182">
        <f t="shared" si="101"/>
        <v>-43899534.842105262</v>
      </c>
      <c r="BH110" s="182">
        <f t="shared" si="101"/>
        <v>-43154157.842105262</v>
      </c>
      <c r="BI110" s="182">
        <f t="shared" si="101"/>
        <v>-42049746.842105262</v>
      </c>
      <c r="BJ110" s="182">
        <f t="shared" si="101"/>
        <v>-41414489.842105262</v>
      </c>
      <c r="BK110" s="182">
        <f t="shared" si="101"/>
        <v>-41101610.842105262</v>
      </c>
      <c r="BL110" s="182">
        <f t="shared" si="101"/>
        <v>-40825513.842105262</v>
      </c>
      <c r="BM110" s="182">
        <f t="shared" si="101"/>
        <v>-32945758</v>
      </c>
      <c r="BN110" s="182">
        <f t="shared" si="101"/>
        <v>-29650024</v>
      </c>
      <c r="BO110" s="182">
        <f t="shared" si="101"/>
        <v>-26441622</v>
      </c>
      <c r="BP110" s="182">
        <f t="shared" si="101"/>
        <v>-21615106</v>
      </c>
      <c r="BQ110" s="182">
        <f t="shared" si="101"/>
        <v>-18321351</v>
      </c>
    </row>
    <row r="111" spans="2:69">
      <c r="B111" s="309"/>
      <c r="C111" s="310"/>
      <c r="D111" s="9" t="s">
        <v>140</v>
      </c>
      <c r="E111" s="8"/>
      <c r="F111" s="67"/>
      <c r="G111" s="67"/>
      <c r="H111" s="67"/>
      <c r="I111" s="67"/>
      <c r="J111" s="67"/>
      <c r="K111" s="1"/>
      <c r="L111" s="1"/>
      <c r="M111" s="1"/>
      <c r="N111" s="182">
        <f>SUM(N108:N110)</f>
        <v>45291492</v>
      </c>
      <c r="O111" s="182">
        <f>SUM(O108:O110)</f>
        <v>42819946</v>
      </c>
      <c r="P111" s="182">
        <f>SUM(P108:P110)</f>
        <v>53058694</v>
      </c>
      <c r="Q111" s="182">
        <f>SUM(Q108:Q110)</f>
        <v>94185844</v>
      </c>
      <c r="R111" s="182">
        <f>SUM(R108:R110)</f>
        <v>54497352</v>
      </c>
      <c r="S111" s="182">
        <f t="shared" si="89"/>
        <v>57970665.600000001</v>
      </c>
      <c r="T111" s="182">
        <f t="shared" ref="T111:AY111" si="102">SUM(T108:T110)</f>
        <v>53810845</v>
      </c>
      <c r="U111" s="182">
        <f t="shared" si="102"/>
        <v>58925863</v>
      </c>
      <c r="V111" s="182">
        <f>SUM(V108:V110)</f>
        <v>65321281</v>
      </c>
      <c r="W111" s="182">
        <f t="shared" si="102"/>
        <v>90052987.052631557</v>
      </c>
      <c r="X111" s="182">
        <f t="shared" si="102"/>
        <v>100998829.57894737</v>
      </c>
      <c r="Y111" s="182">
        <f t="shared" si="102"/>
        <v>107168333.10526317</v>
      </c>
      <c r="Z111" s="182">
        <f t="shared" si="102"/>
        <v>112080626.63157892</v>
      </c>
      <c r="AA111" s="182">
        <f t="shared" si="102"/>
        <v>115977893.15789473</v>
      </c>
      <c r="AB111" s="182">
        <f t="shared" si="102"/>
        <v>125126075.15789473</v>
      </c>
      <c r="AC111" s="182">
        <f t="shared" si="102"/>
        <v>131841474.15789473</v>
      </c>
      <c r="AD111" s="182">
        <f t="shared" si="102"/>
        <v>138621118.15789473</v>
      </c>
      <c r="AE111" s="182">
        <f t="shared" si="102"/>
        <v>140036290.15789473</v>
      </c>
      <c r="AF111" s="182">
        <f t="shared" si="102"/>
        <v>143754703.15789473</v>
      </c>
      <c r="AG111" s="182">
        <f t="shared" si="102"/>
        <v>156828641.15789473</v>
      </c>
      <c r="AH111" s="182">
        <f t="shared" si="102"/>
        <v>169631077.15789473</v>
      </c>
      <c r="AI111" s="182">
        <f t="shared" si="102"/>
        <v>182423278.15789473</v>
      </c>
      <c r="AJ111" s="182">
        <f t="shared" si="102"/>
        <v>194168976.15789473</v>
      </c>
      <c r="AK111" s="182">
        <f t="shared" si="102"/>
        <v>207927371.15789473</v>
      </c>
      <c r="AL111" s="182">
        <f t="shared" si="102"/>
        <v>222523665.15789473</v>
      </c>
      <c r="AM111" s="182">
        <f t="shared" si="102"/>
        <v>237852049.15789473</v>
      </c>
      <c r="AN111" s="182">
        <f t="shared" si="102"/>
        <v>253457301.15789473</v>
      </c>
      <c r="AO111" s="182">
        <f t="shared" si="102"/>
        <v>255096361.15789473</v>
      </c>
      <c r="AP111" s="182">
        <f t="shared" si="102"/>
        <v>256268308.15789473</v>
      </c>
      <c r="AQ111" s="182">
        <f t="shared" si="102"/>
        <v>256986766.15789473</v>
      </c>
      <c r="AR111" s="182">
        <f t="shared" si="102"/>
        <v>257841014.15789473</v>
      </c>
      <c r="AS111" s="182">
        <f t="shared" si="102"/>
        <v>258780719.15789473</v>
      </c>
      <c r="AT111" s="182">
        <f t="shared" si="102"/>
        <v>260072171.15789473</v>
      </c>
      <c r="AU111" s="182">
        <f t="shared" si="102"/>
        <v>261616470.15789473</v>
      </c>
      <c r="AV111" s="182">
        <f t="shared" si="102"/>
        <v>263415756.15789473</v>
      </c>
      <c r="AW111" s="182">
        <f t="shared" si="102"/>
        <v>265183182.15789473</v>
      </c>
      <c r="AX111" s="182">
        <f t="shared" si="102"/>
        <v>266538091.15789473</v>
      </c>
      <c r="AY111" s="182">
        <f t="shared" si="102"/>
        <v>267315809.15789473</v>
      </c>
      <c r="AZ111" s="182">
        <f t="shared" ref="AZ111:BQ111" si="103">SUM(AZ108:AZ110)</f>
        <v>268420128.15789473</v>
      </c>
      <c r="BA111" s="182">
        <f t="shared" si="103"/>
        <v>269891179.15789473</v>
      </c>
      <c r="BB111" s="182">
        <f t="shared" si="103"/>
        <v>271204178.15789473</v>
      </c>
      <c r="BC111" s="182">
        <f t="shared" si="103"/>
        <v>272362726.15789473</v>
      </c>
      <c r="BD111" s="182">
        <f t="shared" si="103"/>
        <v>273828239.15789473</v>
      </c>
      <c r="BE111" s="182">
        <f t="shared" si="103"/>
        <v>274409972.15789473</v>
      </c>
      <c r="BF111" s="182">
        <f t="shared" si="103"/>
        <v>275185316.15789473</v>
      </c>
      <c r="BG111" s="182">
        <f t="shared" si="103"/>
        <v>276631349.15789473</v>
      </c>
      <c r="BH111" s="182">
        <f t="shared" si="103"/>
        <v>270172691.15789473</v>
      </c>
      <c r="BI111" s="182">
        <f t="shared" si="103"/>
        <v>243697357.15789473</v>
      </c>
      <c r="BJ111" s="182">
        <f t="shared" si="103"/>
        <v>231927373.15789473</v>
      </c>
      <c r="BK111" s="182">
        <f t="shared" si="103"/>
        <v>217276681.15789473</v>
      </c>
      <c r="BL111" s="182">
        <f t="shared" si="103"/>
        <v>204332250.15789473</v>
      </c>
      <c r="BM111" s="182">
        <f t="shared" si="103"/>
        <v>2847839</v>
      </c>
      <c r="BN111" s="182">
        <f t="shared" si="103"/>
        <v>2541098</v>
      </c>
      <c r="BO111" s="182">
        <f t="shared" si="103"/>
        <v>1340814</v>
      </c>
      <c r="BP111" s="182">
        <f t="shared" si="103"/>
        <v>1019668</v>
      </c>
      <c r="BQ111" s="182">
        <f t="shared" si="103"/>
        <v>872194</v>
      </c>
    </row>
    <row r="112" spans="2:69">
      <c r="B112" s="310"/>
      <c r="C112" s="9" t="s">
        <v>145</v>
      </c>
      <c r="D112" s="7"/>
      <c r="E112" s="8"/>
      <c r="F112" s="67"/>
      <c r="G112" s="67"/>
      <c r="H112" s="67"/>
      <c r="I112" s="67"/>
      <c r="J112" s="67"/>
      <c r="K112" s="1"/>
      <c r="L112" s="1"/>
      <c r="M112" s="1"/>
      <c r="N112" s="182">
        <f>N107+N111</f>
        <v>-109498258</v>
      </c>
      <c r="O112" s="182">
        <f>O107+O111</f>
        <v>6790744</v>
      </c>
      <c r="P112" s="182">
        <f>P107+P111</f>
        <v>15313133</v>
      </c>
      <c r="Q112" s="182">
        <f>Q107+Q111</f>
        <v>-6885228</v>
      </c>
      <c r="R112" s="182">
        <f>R107+R111</f>
        <v>-5065183</v>
      </c>
      <c r="S112" s="182">
        <f t="shared" si="89"/>
        <v>-19868958.399999999</v>
      </c>
      <c r="T112" s="182">
        <f t="shared" ref="T112:AY112" si="104">T107+T111</f>
        <v>11433210.899999976</v>
      </c>
      <c r="U112" s="182">
        <f t="shared" si="104"/>
        <v>9080354.8999999762</v>
      </c>
      <c r="V112" s="182">
        <f t="shared" si="104"/>
        <v>65160989.899999976</v>
      </c>
      <c r="W112" s="182">
        <f t="shared" si="104"/>
        <v>93474052.900000036</v>
      </c>
      <c r="X112" s="182">
        <f t="shared" si="104"/>
        <v>90818202.900000036</v>
      </c>
      <c r="Y112" s="182">
        <f t="shared" si="104"/>
        <v>88381211.900000036</v>
      </c>
      <c r="Z112" s="182">
        <f t="shared" si="104"/>
        <v>84490525.899999976</v>
      </c>
      <c r="AA112" s="182">
        <f t="shared" si="104"/>
        <v>81994924.899999976</v>
      </c>
      <c r="AB112" s="182">
        <f t="shared" si="104"/>
        <v>79516044.899999976</v>
      </c>
      <c r="AC112" s="182">
        <f t="shared" si="104"/>
        <v>77235891.899999976</v>
      </c>
      <c r="AD112" s="182">
        <f t="shared" si="104"/>
        <v>74588068.899999976</v>
      </c>
      <c r="AE112" s="182">
        <f t="shared" si="104"/>
        <v>70376734.899999976</v>
      </c>
      <c r="AF112" s="182">
        <f t="shared" si="104"/>
        <v>-21930182.100000024</v>
      </c>
      <c r="AG112" s="182">
        <f t="shared" si="104"/>
        <v>-24067490.100000024</v>
      </c>
      <c r="AH112" s="182">
        <f t="shared" si="104"/>
        <v>-26538806.100000024</v>
      </c>
      <c r="AI112" s="182">
        <f t="shared" si="104"/>
        <v>-28828697.100000024</v>
      </c>
      <c r="AJ112" s="182">
        <f t="shared" si="104"/>
        <v>-33386329.100000024</v>
      </c>
      <c r="AK112" s="182">
        <f t="shared" si="104"/>
        <v>-35398374.100000024</v>
      </c>
      <c r="AL112" s="182">
        <f t="shared" si="104"/>
        <v>-37709435.100000024</v>
      </c>
      <c r="AM112" s="182">
        <f t="shared" si="104"/>
        <v>-39873860.100000024</v>
      </c>
      <c r="AN112" s="182">
        <f t="shared" si="104"/>
        <v>-42037097.100000024</v>
      </c>
      <c r="AO112" s="182">
        <f t="shared" si="104"/>
        <v>-46624749.100000024</v>
      </c>
      <c r="AP112" s="182">
        <f t="shared" si="104"/>
        <v>-48823421.100000024</v>
      </c>
      <c r="AQ112" s="182">
        <f t="shared" si="104"/>
        <v>-50887452.100000024</v>
      </c>
      <c r="AR112" s="182">
        <f t="shared" si="104"/>
        <v>-52967247.100000024</v>
      </c>
      <c r="AS112" s="182">
        <f t="shared" si="104"/>
        <v>-54921044.100000024</v>
      </c>
      <c r="AT112" s="182">
        <f t="shared" si="104"/>
        <v>-59860755.100000024</v>
      </c>
      <c r="AU112" s="182">
        <f t="shared" si="104"/>
        <v>-61831565.100000024</v>
      </c>
      <c r="AV112" s="182">
        <f t="shared" si="104"/>
        <v>-63803795.100000024</v>
      </c>
      <c r="AW112" s="182">
        <f t="shared" si="104"/>
        <v>-65677206.100000024</v>
      </c>
      <c r="AX112" s="182">
        <f t="shared" si="104"/>
        <v>-67781800.100000024</v>
      </c>
      <c r="AY112" s="182">
        <f t="shared" si="104"/>
        <v>-69788424.100000024</v>
      </c>
      <c r="AZ112" s="182">
        <f t="shared" ref="AZ112:BQ112" si="105">AZ107+AZ111</f>
        <v>-71809912.100000024</v>
      </c>
      <c r="BA112" s="182">
        <f t="shared" si="105"/>
        <v>-73725371.100000024</v>
      </c>
      <c r="BB112" s="182">
        <f t="shared" si="105"/>
        <v>-75873392.100000024</v>
      </c>
      <c r="BC112" s="182">
        <f t="shared" si="105"/>
        <v>-77915061.100000024</v>
      </c>
      <c r="BD112" s="182">
        <f t="shared" si="105"/>
        <v>-79974437.100000024</v>
      </c>
      <c r="BE112" s="182">
        <f t="shared" si="105"/>
        <v>-81947956.100000024</v>
      </c>
      <c r="BF112" s="182">
        <f t="shared" si="105"/>
        <v>-84130320.100000024</v>
      </c>
      <c r="BG112" s="182">
        <f t="shared" si="105"/>
        <v>-86227201.100000024</v>
      </c>
      <c r="BH112" s="182">
        <f t="shared" si="105"/>
        <v>-88329255.100000024</v>
      </c>
      <c r="BI112" s="182">
        <f t="shared" si="105"/>
        <v>-90349267.100000024</v>
      </c>
      <c r="BJ112" s="182">
        <f t="shared" si="105"/>
        <v>-92584621.100000024</v>
      </c>
      <c r="BK112" s="182">
        <f t="shared" si="105"/>
        <v>-94724767.100000024</v>
      </c>
      <c r="BL112" s="182">
        <f t="shared" si="105"/>
        <v>-96883228.100000024</v>
      </c>
      <c r="BM112" s="182">
        <f t="shared" si="105"/>
        <v>-98979889.100000024</v>
      </c>
      <c r="BN112" s="182">
        <f t="shared" si="105"/>
        <v>-101254111.10000002</v>
      </c>
      <c r="BO112" s="182">
        <f t="shared" si="105"/>
        <v>-103454665.10000002</v>
      </c>
      <c r="BP112" s="182">
        <f t="shared" si="105"/>
        <v>-105673695.10000002</v>
      </c>
      <c r="BQ112" s="182">
        <f t="shared" si="105"/>
        <v>-107809791.10000002</v>
      </c>
    </row>
    <row r="113" spans="2:69" ht="15" thickBot="1">
      <c r="B113" s="305" t="s">
        <v>146</v>
      </c>
      <c r="C113" s="306"/>
      <c r="D113" s="306"/>
      <c r="E113" s="307"/>
      <c r="F113" s="67"/>
      <c r="G113" s="67"/>
      <c r="H113" s="67"/>
      <c r="I113" s="67"/>
      <c r="J113" s="67"/>
      <c r="K113" s="1"/>
      <c r="L113" s="1"/>
      <c r="M113" s="1"/>
      <c r="N113" s="182">
        <f>N105</f>
        <v>-70846002</v>
      </c>
      <c r="O113" s="182">
        <f>O105</f>
        <v>-11707941</v>
      </c>
      <c r="P113" s="182">
        <f>P105</f>
        <v>-22241166</v>
      </c>
      <c r="Q113" s="182">
        <f>Q105</f>
        <v>-10564040</v>
      </c>
      <c r="R113" s="182">
        <f>R105</f>
        <v>-67209897</v>
      </c>
      <c r="S113" s="182">
        <f t="shared" si="89"/>
        <v>-36513809.200000003</v>
      </c>
      <c r="T113" s="182">
        <f t="shared" ref="T113:AY113" si="106">T105</f>
        <v>-12637203</v>
      </c>
      <c r="U113" s="182">
        <f t="shared" si="106"/>
        <v>-19415249</v>
      </c>
      <c r="V113" s="182">
        <f t="shared" si="106"/>
        <v>-38153082</v>
      </c>
      <c r="W113" s="182">
        <f t="shared" si="106"/>
        <v>-59344748</v>
      </c>
      <c r="X113" s="182">
        <f t="shared" si="106"/>
        <v>-60022144</v>
      </c>
      <c r="Y113" s="182">
        <f t="shared" si="106"/>
        <v>-76157864</v>
      </c>
      <c r="Z113" s="182">
        <f t="shared" si="106"/>
        <v>-86244186</v>
      </c>
      <c r="AA113" s="182">
        <f t="shared" si="106"/>
        <v>-109693438</v>
      </c>
      <c r="AB113" s="182">
        <f t="shared" si="106"/>
        <v>-97387951</v>
      </c>
      <c r="AC113" s="182">
        <f t="shared" si="106"/>
        <v>-107492848</v>
      </c>
      <c r="AD113" s="182">
        <f t="shared" si="106"/>
        <v>-123863087</v>
      </c>
      <c r="AE113" s="198">
        <f t="shared" si="106"/>
        <v>-128592105</v>
      </c>
      <c r="AF113" s="182">
        <f t="shared" si="106"/>
        <v>-132931104</v>
      </c>
      <c r="AG113" s="182">
        <f t="shared" si="106"/>
        <v>-117357861</v>
      </c>
      <c r="AH113" s="182">
        <f t="shared" si="106"/>
        <v>-126876864</v>
      </c>
      <c r="AI113" s="182">
        <f t="shared" si="106"/>
        <v>-132528569</v>
      </c>
      <c r="AJ113" s="182">
        <f t="shared" si="106"/>
        <v>-141494261</v>
      </c>
      <c r="AK113" s="182">
        <f t="shared" si="106"/>
        <v>-155173101</v>
      </c>
      <c r="AL113" s="182">
        <f t="shared" si="106"/>
        <v>-181530349</v>
      </c>
      <c r="AM113" s="182">
        <f t="shared" si="106"/>
        <v>-191514159</v>
      </c>
      <c r="AN113" s="182">
        <f t="shared" si="106"/>
        <v>-202586259</v>
      </c>
      <c r="AO113" s="182">
        <f t="shared" si="106"/>
        <v>-191287553</v>
      </c>
      <c r="AP113" s="182">
        <f t="shared" si="106"/>
        <v>-188821982</v>
      </c>
      <c r="AQ113" s="182">
        <f t="shared" si="106"/>
        <v>-188035274</v>
      </c>
      <c r="AR113" s="182">
        <f t="shared" si="106"/>
        <v>-188851162</v>
      </c>
      <c r="AS113" s="182">
        <f t="shared" si="106"/>
        <v>-184442230</v>
      </c>
      <c r="AT113" s="182">
        <f t="shared" si="106"/>
        <v>-197717420</v>
      </c>
      <c r="AU113" s="182">
        <f t="shared" si="106"/>
        <v>-202259480</v>
      </c>
      <c r="AV113" s="182">
        <f t="shared" si="106"/>
        <v>-206896924</v>
      </c>
      <c r="AW113" s="182">
        <f t="shared" si="106"/>
        <v>-191631756</v>
      </c>
      <c r="AX113" s="182">
        <f t="shared" si="106"/>
        <v>-196466016</v>
      </c>
      <c r="AY113" s="182">
        <f t="shared" si="106"/>
        <v>-202401796</v>
      </c>
      <c r="AZ113" s="182">
        <f t="shared" ref="AZ113:BQ113" si="107">AZ105</f>
        <v>-207441228</v>
      </c>
      <c r="BA113" s="182">
        <f t="shared" si="107"/>
        <v>-215586490</v>
      </c>
      <c r="BB113" s="182">
        <f t="shared" si="107"/>
        <v>-236839797</v>
      </c>
      <c r="BC113" s="182">
        <f t="shared" si="107"/>
        <v>-242203425</v>
      </c>
      <c r="BD113" s="182">
        <f t="shared" si="107"/>
        <v>-247679692</v>
      </c>
      <c r="BE113" s="182">
        <f t="shared" si="107"/>
        <v>-233270959</v>
      </c>
      <c r="BF113" s="182">
        <f t="shared" si="107"/>
        <v>-238979645</v>
      </c>
      <c r="BG113" s="182">
        <f t="shared" si="107"/>
        <v>-245808211</v>
      </c>
      <c r="BH113" s="182">
        <f t="shared" si="107"/>
        <v>-251759180</v>
      </c>
      <c r="BI113" s="182">
        <f t="shared" si="107"/>
        <v>-251892265</v>
      </c>
      <c r="BJ113" s="182">
        <f t="shared" si="107"/>
        <v>-266341539</v>
      </c>
      <c r="BK113" s="182">
        <f t="shared" si="107"/>
        <v>-255634235</v>
      </c>
      <c r="BL113" s="182">
        <f t="shared" si="107"/>
        <v>-245628201</v>
      </c>
      <c r="BM113" s="182">
        <f t="shared" si="107"/>
        <v>-215970039</v>
      </c>
      <c r="BN113" s="182">
        <f t="shared" si="107"/>
        <v>-211689036</v>
      </c>
      <c r="BO113" s="182">
        <f t="shared" si="107"/>
        <v>-208318131</v>
      </c>
      <c r="BP113" s="182">
        <f t="shared" si="107"/>
        <v>-201995447</v>
      </c>
      <c r="BQ113" s="182">
        <f t="shared" si="107"/>
        <v>-196307993</v>
      </c>
    </row>
    <row r="114" spans="2:69" s="267" customFormat="1" ht="15" thickBot="1">
      <c r="B114" s="318" t="s">
        <v>147</v>
      </c>
      <c r="C114" s="319"/>
      <c r="D114" s="319"/>
      <c r="E114" s="320"/>
      <c r="F114" s="180"/>
      <c r="G114" s="180"/>
      <c r="H114" s="180"/>
      <c r="I114" s="180"/>
      <c r="J114" s="180"/>
      <c r="K114" s="180"/>
      <c r="L114" s="180"/>
      <c r="M114" s="180"/>
      <c r="N114" s="273">
        <f>【BS】決算数値入力!K27</f>
        <v>362817447</v>
      </c>
      <c r="O114" s="273">
        <f>【BS】決算数値入力!L27</f>
        <v>565026725</v>
      </c>
      <c r="P114" s="273">
        <f>【BS】決算数値入力!M27</f>
        <v>334744715</v>
      </c>
      <c r="Q114" s="273">
        <f>【BS】決算数値入力!N27</f>
        <v>143864193</v>
      </c>
      <c r="R114" s="273">
        <f>【BS】決算数値入力!O27</f>
        <v>132458270</v>
      </c>
      <c r="S114" s="273">
        <f>【BS】決算数値入力!Q28</f>
        <v>7.5670000000000002</v>
      </c>
      <c r="T114" s="273">
        <f>R114+T113+T112</f>
        <v>131254277.89999998</v>
      </c>
      <c r="U114" s="273">
        <f>T114+U113+U112</f>
        <v>120919383.79999995</v>
      </c>
      <c r="V114" s="273">
        <f>U114+V113+V112</f>
        <v>147927291.69999993</v>
      </c>
      <c r="W114" s="273">
        <f t="shared" ref="W114:BQ114" si="108">V114+W113+W112</f>
        <v>182056596.59999996</v>
      </c>
      <c r="X114" s="273">
        <f>W114+X113+X112</f>
        <v>212852655.5</v>
      </c>
      <c r="Y114" s="273">
        <f t="shared" si="108"/>
        <v>225076003.40000004</v>
      </c>
      <c r="Z114" s="273">
        <f t="shared" si="108"/>
        <v>223322343.30000001</v>
      </c>
      <c r="AA114" s="273">
        <f t="shared" si="108"/>
        <v>195623830.19999999</v>
      </c>
      <c r="AB114" s="273">
        <f t="shared" si="108"/>
        <v>177751924.09999996</v>
      </c>
      <c r="AC114" s="273">
        <f t="shared" si="108"/>
        <v>147494967.99999994</v>
      </c>
      <c r="AD114" s="274">
        <f t="shared" si="108"/>
        <v>98219949.899999917</v>
      </c>
      <c r="AE114" s="275">
        <f t="shared" si="108"/>
        <v>40004579.799999893</v>
      </c>
      <c r="AF114" s="276">
        <f t="shared" si="108"/>
        <v>-114856706.30000013</v>
      </c>
      <c r="AG114" s="273">
        <f t="shared" si="108"/>
        <v>-256282057.40000015</v>
      </c>
      <c r="AH114" s="273">
        <f t="shared" si="108"/>
        <v>-409697727.50000018</v>
      </c>
      <c r="AI114" s="273">
        <f t="shared" si="108"/>
        <v>-571054993.60000026</v>
      </c>
      <c r="AJ114" s="273">
        <f t="shared" si="108"/>
        <v>-745935583.70000029</v>
      </c>
      <c r="AK114" s="273">
        <f t="shared" si="108"/>
        <v>-936507058.80000031</v>
      </c>
      <c r="AL114" s="273">
        <f t="shared" si="108"/>
        <v>-1155746842.9000001</v>
      </c>
      <c r="AM114" s="273">
        <f t="shared" si="108"/>
        <v>-1387134862</v>
      </c>
      <c r="AN114" s="273">
        <f t="shared" si="108"/>
        <v>-1631758218.0999999</v>
      </c>
      <c r="AO114" s="273">
        <f t="shared" si="108"/>
        <v>-1869670520.1999998</v>
      </c>
      <c r="AP114" s="273">
        <f t="shared" si="108"/>
        <v>-2107315923.2999997</v>
      </c>
      <c r="AQ114" s="273">
        <f t="shared" si="108"/>
        <v>-2346238649.3999996</v>
      </c>
      <c r="AR114" s="273">
        <f t="shared" si="108"/>
        <v>-2588057058.4999995</v>
      </c>
      <c r="AS114" s="273">
        <f t="shared" si="108"/>
        <v>-2827420332.5999994</v>
      </c>
      <c r="AT114" s="273">
        <f t="shared" si="108"/>
        <v>-3084998507.6999993</v>
      </c>
      <c r="AU114" s="273">
        <f t="shared" si="108"/>
        <v>-3349089552.7999992</v>
      </c>
      <c r="AV114" s="273">
        <f t="shared" si="108"/>
        <v>-3619790271.8999991</v>
      </c>
      <c r="AW114" s="273">
        <f t="shared" si="108"/>
        <v>-3877099233.999999</v>
      </c>
      <c r="AX114" s="273">
        <f t="shared" si="108"/>
        <v>-4141347050.099999</v>
      </c>
      <c r="AY114" s="273">
        <f t="shared" si="108"/>
        <v>-4413537270.1999989</v>
      </c>
      <c r="AZ114" s="273">
        <f t="shared" si="108"/>
        <v>-4692788410.2999992</v>
      </c>
      <c r="BA114" s="273">
        <f t="shared" si="108"/>
        <v>-4982100271.3999996</v>
      </c>
      <c r="BB114" s="273">
        <f t="shared" si="108"/>
        <v>-5294813460.5</v>
      </c>
      <c r="BC114" s="273">
        <f t="shared" si="108"/>
        <v>-5614931946.6000004</v>
      </c>
      <c r="BD114" s="273">
        <f t="shared" si="108"/>
        <v>-5942586075.7000008</v>
      </c>
      <c r="BE114" s="273">
        <f t="shared" si="108"/>
        <v>-6257804990.8000011</v>
      </c>
      <c r="BF114" s="273">
        <f t="shared" si="108"/>
        <v>-6580914955.9000015</v>
      </c>
      <c r="BG114" s="273">
        <f t="shared" si="108"/>
        <v>-6912950368.0000019</v>
      </c>
      <c r="BH114" s="273">
        <f t="shared" si="108"/>
        <v>-7253038803.1000023</v>
      </c>
      <c r="BI114" s="273">
        <f t="shared" si="108"/>
        <v>-7595280335.2000027</v>
      </c>
      <c r="BJ114" s="273">
        <f t="shared" si="108"/>
        <v>-7954206495.3000031</v>
      </c>
      <c r="BK114" s="273">
        <f t="shared" si="108"/>
        <v>-8304565497.4000034</v>
      </c>
      <c r="BL114" s="273">
        <f t="shared" si="108"/>
        <v>-8647076926.5000038</v>
      </c>
      <c r="BM114" s="273">
        <f t="shared" si="108"/>
        <v>-8962026854.6000042</v>
      </c>
      <c r="BN114" s="273">
        <f t="shared" si="108"/>
        <v>-9274970001.7000046</v>
      </c>
      <c r="BO114" s="273">
        <f t="shared" si="108"/>
        <v>-9586742797.800005</v>
      </c>
      <c r="BP114" s="273">
        <f t="shared" si="108"/>
        <v>-9894411939.9000053</v>
      </c>
      <c r="BQ114" s="273">
        <f t="shared" si="108"/>
        <v>-10198529724.000006</v>
      </c>
    </row>
    <row r="115" spans="2:69">
      <c r="B115" s="9" t="s">
        <v>148</v>
      </c>
      <c r="C115" s="7"/>
      <c r="D115" s="7"/>
      <c r="E115" s="8"/>
      <c r="F115" s="67"/>
      <c r="G115" s="67"/>
      <c r="H115" s="67"/>
      <c r="I115" s="67"/>
      <c r="J115" s="67"/>
      <c r="K115" s="1"/>
      <c r="L115" s="1"/>
      <c r="M115" s="1"/>
      <c r="N115" s="182">
        <f>【BS】決算数値入力!K38+【BS】決算数値入力!K44</f>
        <v>353124203</v>
      </c>
      <c r="O115" s="182">
        <f>【BS】決算数値入力!L38+【BS】決算数値入力!L44</f>
        <v>455771228</v>
      </c>
      <c r="P115" s="182">
        <f>【BS】決算数値入力!M38+【BS】決算数値入力!M44</f>
        <v>591530416</v>
      </c>
      <c r="Q115" s="182">
        <f>【BS】決算数値入力!N38+【BS】決算数値入力!N44</f>
        <v>639346881</v>
      </c>
      <c r="R115" s="182">
        <f>【BS】決算数値入力!O38+【BS】決算数値入力!O44</f>
        <v>763361128</v>
      </c>
      <c r="S115" s="182">
        <f>【BS】決算数値入力!P29</f>
        <v>0</v>
      </c>
      <c r="T115" s="182">
        <f>【BS】決算数値入力!P38+新規債返済スケジュール!E5</f>
        <v>450554111</v>
      </c>
      <c r="U115" s="182">
        <f>【BS】決算数値入力!Q38+新規債返済スケジュール!F5</f>
        <v>585276765</v>
      </c>
      <c r="V115" s="182">
        <f>【BS】決算数値入力!R38+新規債返済スケジュール!G5</f>
        <v>974703048</v>
      </c>
      <c r="W115" s="182">
        <f>【BS】決算数値入力!S38+新規債返済スケジュール!H5</f>
        <v>1319758822</v>
      </c>
      <c r="X115" s="182">
        <f>【BS】決算数値入力!T38+新規債返済スケジュール!I5</f>
        <v>1662688280</v>
      </c>
      <c r="Y115" s="182">
        <f>【BS】決算数値入力!U38+新規債返済スケジュール!J5</f>
        <v>1863691189</v>
      </c>
      <c r="Z115" s="182">
        <f>【BS】決算数値入力!V38+新規債返済スケジュール!K5</f>
        <v>2062772872</v>
      </c>
      <c r="AA115" s="182">
        <f>【BS】決算数値入力!W38+新規債返済スケジュール!L5</f>
        <v>2308254675</v>
      </c>
      <c r="AB115" s="182">
        <f>【BS】決算数値入力!X38+新規債返済スケジュール!M5</f>
        <v>2608855364</v>
      </c>
      <c r="AC115" s="182">
        <f>【BS】決算数値入力!Y38+新規債返済スケジュール!N5</f>
        <v>2822863405</v>
      </c>
      <c r="AD115" s="182">
        <f>【BS】決算数値入力!Z38+新規債返済スケジュール!O5</f>
        <v>2951747748</v>
      </c>
      <c r="AE115" s="199">
        <f>【BS】決算数値入力!AA38+新規債返済スケジュール!P5</f>
        <v>3050077742</v>
      </c>
      <c r="AF115" s="182">
        <f>【BS】決算数値入力!AB38+新規債返済スケジュール!Q5</f>
        <v>3144632286</v>
      </c>
      <c r="AG115" s="182">
        <f>【BS】決算数値入力!AC38+新規債返済スケジュール!R5</f>
        <v>3615332093</v>
      </c>
      <c r="AH115" s="182">
        <f>【BS】決算数値入力!AD38+新規債返済スケジュール!S5</f>
        <v>4075940259</v>
      </c>
      <c r="AI115" s="182">
        <f>【BS】決算数値入力!AE38+新規債返済スケジュール!T5</f>
        <v>4526244858</v>
      </c>
      <c r="AJ115" s="182">
        <f>【BS】決算数値入力!AF38+新規債返済スケジュール!U5</f>
        <v>4966029515</v>
      </c>
      <c r="AK115" s="182">
        <f>【BS】決算数値入力!AG38+新規債返済スケジュール!V5</f>
        <v>5425073314</v>
      </c>
      <c r="AL115" s="182">
        <f>【BS】決算数値入力!AH38+新規債返済スケジュール!W5</f>
        <v>5895664698</v>
      </c>
      <c r="AM115" s="182">
        <f>【BS】決算数値入力!AI38+新規債返済スケジュール!X5</f>
        <v>6354190571</v>
      </c>
      <c r="AN115" s="182">
        <f>【BS】決算数値入力!AJ38+新規債返済スケジュール!Y5</f>
        <v>6800397556</v>
      </c>
      <c r="AO115" s="182">
        <f>【BS】決算数値入力!AK38+新規債返済スケジュール!Z5</f>
        <v>6694026956</v>
      </c>
      <c r="AP115" s="182">
        <f>【BS】決算数値入力!AL38+新規債返済スケジュール!AA5</f>
        <v>6583562578</v>
      </c>
      <c r="AQ115" s="182">
        <f>【BS】決算数値入力!AM38+新規債返済スケジュール!AB5</f>
        <v>6468918454</v>
      </c>
      <c r="AR115" s="182">
        <f>【BS】決算数値入力!AN38+新規債返済スケジュール!AC5</f>
        <v>6350006811</v>
      </c>
      <c r="AS115" s="182">
        <f>【BS】決算数値入力!AO38+新規債返済スケジュール!AD5</f>
        <v>6226738029</v>
      </c>
      <c r="AT115" s="182">
        <f>【BS】決算数値入力!AP38+新規債返済スケジュール!AE5</f>
        <v>6099020609</v>
      </c>
      <c r="AU115" s="182">
        <f>【BS】決算数値入力!AQ38+新規債返済スケジュール!AF5</f>
        <v>5966761129</v>
      </c>
      <c r="AV115" s="182">
        <f>【BS】決算数値入力!AR38+新規債返済スケジュール!AG5</f>
        <v>5829864205</v>
      </c>
      <c r="AW115" s="182">
        <f>【BS】決算数値入力!AS38+新規債返済スケジュール!AH5</f>
        <v>5688232449</v>
      </c>
      <c r="AX115" s="182">
        <f>【BS】決算数値入力!AT38+新規債返済スケジュール!AI5</f>
        <v>5541766433</v>
      </c>
      <c r="AY115" s="182">
        <f>【BS】決算数値入力!AU38+新規債返済スケジュール!AJ5</f>
        <v>5390364637</v>
      </c>
      <c r="AZ115" s="182">
        <f>【BS】決算数値入力!AV38+新規債返済スケジュール!AK5</f>
        <v>5233923409</v>
      </c>
      <c r="BA115" s="182">
        <f>【BS】決算数値入力!AW38+新規債返済スケジュール!AL5</f>
        <v>5072336919</v>
      </c>
      <c r="BB115" s="182">
        <f>【BS】決算数値入力!AX38+新規債返済スケジュール!AM5</f>
        <v>4905497122</v>
      </c>
      <c r="BC115" s="182">
        <f>【BS】決算数値入力!AY38+新規債返済スケジュール!AN5</f>
        <v>4733293697</v>
      </c>
      <c r="BD115" s="182">
        <f>【BS】決算数値入力!AZ38+新規債返済スケジュール!AO5</f>
        <v>4555614005</v>
      </c>
      <c r="BE115" s="182">
        <f>【BS】決算数値入力!BA38+新規債返済スケジュール!AP5</f>
        <v>4372343046</v>
      </c>
      <c r="BF115" s="182">
        <f>【BS】決算数値入力!BB38+新規債返済スケジュール!AQ5</f>
        <v>4183363401</v>
      </c>
      <c r="BG115" s="182">
        <f>【BS】決算数値入力!BC38+新規債返済スケジュール!AR5</f>
        <v>3988555190</v>
      </c>
      <c r="BH115" s="182">
        <f>【BS】決算数値入力!BD38+新規債返済スケジュール!AS5</f>
        <v>3787796010</v>
      </c>
      <c r="BI115" s="182">
        <f>【BS】決算数値入力!BE38+新規債返済スケジュール!AT5</f>
        <v>3589903746</v>
      </c>
      <c r="BJ115" s="182">
        <f>【BS】決算数値入力!BF38+新規債返済スケジュール!AU5</f>
        <v>3393562206</v>
      </c>
      <c r="BK115" s="182">
        <f>【BS】決算数値入力!BG38+新規債返済スケジュール!AV5</f>
        <v>3157927971</v>
      </c>
      <c r="BL115" s="182">
        <f>【BS】決算数値入力!BH38+新規債返済スケジュール!AW5</f>
        <v>2932299769</v>
      </c>
      <c r="BM115" s="182">
        <f>【BS】決算数値入力!BI38+新規債返済スケジュール!AX5</f>
        <v>2716329729</v>
      </c>
      <c r="BN115" s="182">
        <f>【BS】決算数値入力!BJ38+新規債返済スケジュール!AY5</f>
        <v>2504640695</v>
      </c>
      <c r="BO115" s="182">
        <f>【BS】決算数値入力!BK38+新規債返済スケジュール!AZ5</f>
        <v>2297322566</v>
      </c>
      <c r="BP115" s="182">
        <f>【BS】決算数値入力!BL38+新規債返済スケジュール!BA5</f>
        <v>2096327117</v>
      </c>
      <c r="BQ115" s="182">
        <f>【BS】決算数値入力!BM38+新規債返済スケジュール!BB5</f>
        <v>1904019121</v>
      </c>
    </row>
    <row r="118" spans="2:69">
      <c r="S118" s="24" t="s">
        <v>256</v>
      </c>
    </row>
    <row r="119" spans="2:69">
      <c r="S119" s="74" t="s">
        <v>252</v>
      </c>
      <c r="T119" s="185">
        <v>0</v>
      </c>
      <c r="U119" s="185">
        <v>0</v>
      </c>
      <c r="V119" s="185">
        <v>0</v>
      </c>
      <c r="W119" s="185">
        <v>0</v>
      </c>
      <c r="X119" s="185">
        <v>0</v>
      </c>
      <c r="Y119" s="185">
        <v>0</v>
      </c>
      <c r="Z119" s="185">
        <v>0</v>
      </c>
      <c r="AA119" s="185">
        <v>0</v>
      </c>
      <c r="AB119" s="185">
        <v>0</v>
      </c>
      <c r="AC119" s="185">
        <v>0</v>
      </c>
      <c r="AD119" s="185">
        <v>0</v>
      </c>
      <c r="AE119" s="185">
        <v>0</v>
      </c>
      <c r="AF119" s="185">
        <v>0</v>
      </c>
      <c r="AG119" s="185">
        <v>0</v>
      </c>
      <c r="AH119" s="185">
        <v>0</v>
      </c>
      <c r="AI119" s="185">
        <v>0</v>
      </c>
      <c r="AJ119" s="185">
        <v>0</v>
      </c>
      <c r="AK119" s="185">
        <v>0</v>
      </c>
      <c r="AL119" s="185">
        <v>0</v>
      </c>
      <c r="AM119" s="185">
        <v>0</v>
      </c>
      <c r="AN119" s="185">
        <v>0</v>
      </c>
      <c r="AO119" s="185">
        <v>0</v>
      </c>
      <c r="AP119" s="185">
        <v>0</v>
      </c>
      <c r="AQ119" s="185">
        <v>0</v>
      </c>
      <c r="AR119" s="185">
        <v>0</v>
      </c>
      <c r="AS119" s="185">
        <v>0</v>
      </c>
      <c r="AT119" s="185">
        <v>0</v>
      </c>
      <c r="AU119" s="185">
        <v>0</v>
      </c>
      <c r="AV119" s="185">
        <v>0</v>
      </c>
      <c r="AW119" s="185">
        <v>0</v>
      </c>
      <c r="AX119" s="185">
        <v>0</v>
      </c>
      <c r="AY119" s="185">
        <v>0</v>
      </c>
      <c r="AZ119" s="185">
        <v>0</v>
      </c>
      <c r="BA119" s="185">
        <v>0</v>
      </c>
      <c r="BB119" s="185">
        <v>0</v>
      </c>
      <c r="BC119" s="185">
        <v>0</v>
      </c>
      <c r="BD119" s="185">
        <v>0</v>
      </c>
      <c r="BE119" s="185">
        <v>0</v>
      </c>
      <c r="BF119" s="185">
        <v>0</v>
      </c>
      <c r="BG119" s="185">
        <v>0</v>
      </c>
      <c r="BH119" s="185">
        <v>0</v>
      </c>
      <c r="BI119" s="185">
        <v>0</v>
      </c>
      <c r="BJ119" s="185">
        <v>0</v>
      </c>
    </row>
    <row r="120" spans="2:69">
      <c r="S120" s="181" t="s">
        <v>253</v>
      </c>
      <c r="T120" s="186">
        <v>10000000</v>
      </c>
      <c r="U120" s="186">
        <v>100000000</v>
      </c>
      <c r="V120" s="186">
        <v>100000000</v>
      </c>
      <c r="W120" s="186">
        <v>100000000</v>
      </c>
      <c r="X120" s="186">
        <v>100000000</v>
      </c>
      <c r="Y120" s="186">
        <v>100000000</v>
      </c>
      <c r="Z120" s="186">
        <v>0</v>
      </c>
      <c r="AA120" s="186">
        <v>0</v>
      </c>
      <c r="AB120" s="186">
        <v>0</v>
      </c>
      <c r="AC120" s="186">
        <v>0</v>
      </c>
      <c r="AD120" s="186">
        <v>0</v>
      </c>
      <c r="AE120" s="186">
        <v>0</v>
      </c>
      <c r="AF120" s="186">
        <v>0</v>
      </c>
      <c r="AG120" s="186">
        <v>0</v>
      </c>
      <c r="AH120" s="186">
        <v>0</v>
      </c>
      <c r="AI120" s="186">
        <v>0</v>
      </c>
      <c r="AJ120" s="186">
        <v>0</v>
      </c>
      <c r="AK120" s="186">
        <v>0</v>
      </c>
      <c r="AL120" s="186">
        <v>0</v>
      </c>
      <c r="AM120" s="186">
        <v>0</v>
      </c>
      <c r="AN120" s="186">
        <v>0</v>
      </c>
      <c r="AO120" s="186">
        <v>0</v>
      </c>
      <c r="AP120" s="186">
        <v>0</v>
      </c>
      <c r="AQ120" s="186">
        <v>0</v>
      </c>
      <c r="AR120" s="186">
        <v>0</v>
      </c>
      <c r="AS120" s="186">
        <v>0</v>
      </c>
      <c r="AT120" s="186">
        <v>0</v>
      </c>
      <c r="AU120" s="186">
        <v>0</v>
      </c>
      <c r="AV120" s="186">
        <v>0</v>
      </c>
      <c r="AW120" s="186">
        <v>0</v>
      </c>
      <c r="AX120" s="186">
        <v>0</v>
      </c>
      <c r="AY120" s="186">
        <v>0</v>
      </c>
      <c r="AZ120" s="186">
        <v>0</v>
      </c>
      <c r="BA120" s="186">
        <v>0</v>
      </c>
      <c r="BB120" s="186">
        <v>0</v>
      </c>
      <c r="BC120" s="186">
        <v>0</v>
      </c>
      <c r="BD120" s="186">
        <v>0</v>
      </c>
      <c r="BE120" s="186">
        <v>0</v>
      </c>
      <c r="BF120" s="186">
        <v>0</v>
      </c>
      <c r="BG120" s="186">
        <v>0</v>
      </c>
      <c r="BH120" s="186">
        <v>0</v>
      </c>
      <c r="BI120" s="186">
        <v>0</v>
      </c>
      <c r="BJ120" s="186">
        <v>0</v>
      </c>
    </row>
    <row r="121" spans="2:69">
      <c r="R121" s="123" t="s">
        <v>722</v>
      </c>
      <c r="S121" s="181" t="s">
        <v>254</v>
      </c>
      <c r="T121" s="186">
        <v>150000000</v>
      </c>
      <c r="U121" s="186">
        <v>150000000</v>
      </c>
      <c r="V121" s="186">
        <v>160000000</v>
      </c>
      <c r="W121" s="186">
        <v>160000000</v>
      </c>
      <c r="X121" s="186">
        <v>160000000</v>
      </c>
      <c r="Y121" s="186">
        <v>160000000</v>
      </c>
      <c r="Z121" s="186">
        <v>160000000</v>
      </c>
      <c r="AA121" s="186">
        <v>160000000</v>
      </c>
      <c r="AB121" s="186">
        <v>160000000</v>
      </c>
      <c r="AC121" s="186">
        <v>160000000</v>
      </c>
      <c r="AD121" s="186">
        <v>50000000</v>
      </c>
      <c r="AE121" s="186">
        <v>50000000</v>
      </c>
      <c r="AF121" s="186">
        <v>50000000</v>
      </c>
      <c r="AG121" s="186">
        <v>50000000</v>
      </c>
      <c r="AH121" s="186">
        <v>50000000</v>
      </c>
      <c r="AI121" s="186">
        <v>50000000</v>
      </c>
      <c r="AJ121" s="186">
        <v>50000000</v>
      </c>
      <c r="AK121" s="186">
        <v>50000000</v>
      </c>
      <c r="AL121" s="186">
        <v>50000000</v>
      </c>
      <c r="AM121" s="186">
        <v>50000000</v>
      </c>
      <c r="AN121" s="186">
        <v>50000000</v>
      </c>
      <c r="AO121" s="186">
        <v>50000000</v>
      </c>
      <c r="AP121" s="186">
        <v>50000000</v>
      </c>
      <c r="AQ121" s="186">
        <v>50000000</v>
      </c>
      <c r="AR121" s="186">
        <v>50000000</v>
      </c>
      <c r="AS121" s="186">
        <v>50000000</v>
      </c>
      <c r="AT121" s="186">
        <v>50000000</v>
      </c>
      <c r="AU121" s="186">
        <v>50000000</v>
      </c>
      <c r="AV121" s="186">
        <v>50000000</v>
      </c>
      <c r="AW121" s="186">
        <v>50000000</v>
      </c>
      <c r="AX121" s="186">
        <v>50000000</v>
      </c>
      <c r="AY121" s="186">
        <v>50000000</v>
      </c>
      <c r="AZ121" s="186">
        <v>50000000</v>
      </c>
      <c r="BA121" s="186">
        <v>50000000</v>
      </c>
      <c r="BB121" s="186">
        <v>50000000</v>
      </c>
      <c r="BC121" s="186">
        <v>50000000</v>
      </c>
      <c r="BD121" s="186">
        <v>50000000</v>
      </c>
      <c r="BE121" s="186">
        <v>50000000</v>
      </c>
      <c r="BF121" s="186">
        <v>50000000</v>
      </c>
      <c r="BG121" s="186">
        <v>50000000</v>
      </c>
      <c r="BH121" s="186">
        <v>50000000</v>
      </c>
      <c r="BI121" s="186">
        <v>50000000</v>
      </c>
      <c r="BJ121" s="186">
        <v>50000000</v>
      </c>
    </row>
    <row r="122" spans="2:69">
      <c r="S122" s="68" t="s">
        <v>255</v>
      </c>
      <c r="T122" s="185">
        <v>0</v>
      </c>
      <c r="U122" s="185">
        <v>0</v>
      </c>
      <c r="V122" s="185">
        <v>0</v>
      </c>
      <c r="W122" s="185">
        <v>0</v>
      </c>
      <c r="X122" s="185">
        <v>0</v>
      </c>
      <c r="Y122" s="185">
        <v>0</v>
      </c>
      <c r="Z122" s="185">
        <v>0</v>
      </c>
      <c r="AA122" s="185">
        <v>0</v>
      </c>
      <c r="AB122" s="185">
        <v>0</v>
      </c>
      <c r="AC122" s="185">
        <v>0</v>
      </c>
      <c r="AD122" s="185">
        <v>0</v>
      </c>
      <c r="AE122" s="185">
        <v>0</v>
      </c>
      <c r="AF122" s="185">
        <v>0</v>
      </c>
      <c r="AG122" s="185">
        <v>0</v>
      </c>
      <c r="AH122" s="185">
        <v>0</v>
      </c>
      <c r="AI122" s="185">
        <v>0</v>
      </c>
      <c r="AJ122" s="185">
        <v>0</v>
      </c>
      <c r="AK122" s="185">
        <v>0</v>
      </c>
      <c r="AL122" s="185">
        <v>0</v>
      </c>
      <c r="AM122" s="185">
        <v>0</v>
      </c>
      <c r="AN122" s="185">
        <v>0</v>
      </c>
      <c r="AO122" s="185">
        <v>0</v>
      </c>
      <c r="AP122" s="185">
        <v>0</v>
      </c>
      <c r="AQ122" s="185">
        <v>0</v>
      </c>
      <c r="AR122" s="185">
        <v>0</v>
      </c>
      <c r="AS122" s="185">
        <v>0</v>
      </c>
      <c r="AT122" s="185">
        <v>0</v>
      </c>
      <c r="AU122" s="185">
        <v>0</v>
      </c>
      <c r="AV122" s="185">
        <v>0</v>
      </c>
      <c r="AW122" s="185">
        <v>0</v>
      </c>
      <c r="AX122" s="185">
        <v>0</v>
      </c>
      <c r="AY122" s="185">
        <v>0</v>
      </c>
      <c r="AZ122" s="185">
        <v>0</v>
      </c>
      <c r="BA122" s="185">
        <v>0</v>
      </c>
      <c r="BB122" s="185">
        <v>0</v>
      </c>
      <c r="BC122" s="185">
        <v>0</v>
      </c>
      <c r="BD122" s="185">
        <v>0</v>
      </c>
      <c r="BE122" s="185">
        <v>0</v>
      </c>
      <c r="BF122" s="185">
        <v>0</v>
      </c>
      <c r="BG122" s="185">
        <v>0</v>
      </c>
      <c r="BH122" s="185">
        <v>0</v>
      </c>
      <c r="BI122" s="185">
        <v>0</v>
      </c>
      <c r="BJ122" s="185">
        <v>0</v>
      </c>
    </row>
    <row r="123" spans="2:69">
      <c r="T123" s="187"/>
      <c r="U123" s="187"/>
      <c r="V123" s="187"/>
      <c r="W123" s="187"/>
      <c r="X123" s="187"/>
      <c r="Y123" s="187"/>
      <c r="Z123" s="187"/>
      <c r="AA123" s="187"/>
      <c r="AB123" s="187"/>
      <c r="AC123" s="187"/>
      <c r="AD123" s="187"/>
      <c r="AE123" s="187"/>
      <c r="AF123" s="187"/>
      <c r="AG123" s="187"/>
      <c r="AH123" s="187"/>
      <c r="AI123" s="187"/>
      <c r="AJ123" s="187"/>
      <c r="AK123" s="187"/>
      <c r="AL123" s="187"/>
      <c r="AM123" s="187"/>
      <c r="AN123" s="187"/>
      <c r="AO123" s="187"/>
      <c r="AP123" s="187"/>
      <c r="AQ123" s="187"/>
      <c r="AR123" s="187"/>
      <c r="AS123" s="187"/>
      <c r="AT123" s="187"/>
      <c r="AU123" s="187"/>
      <c r="AV123" s="187"/>
      <c r="AW123" s="187"/>
      <c r="AX123" s="187"/>
      <c r="AY123" s="187"/>
      <c r="AZ123" s="187"/>
      <c r="BA123" s="187"/>
      <c r="BB123" s="187"/>
      <c r="BC123" s="187"/>
      <c r="BD123" s="187"/>
      <c r="BE123" s="187"/>
      <c r="BF123" s="187"/>
      <c r="BG123" s="187"/>
      <c r="BH123" s="187"/>
      <c r="BI123" s="187"/>
      <c r="BJ123" s="187"/>
    </row>
    <row r="124" spans="2:69">
      <c r="S124" s="181" t="s">
        <v>257</v>
      </c>
      <c r="T124" s="186">
        <v>0</v>
      </c>
      <c r="U124" s="186">
        <v>35000000</v>
      </c>
      <c r="V124" s="186">
        <f>220000000+450000000+80000000</f>
        <v>750000000</v>
      </c>
      <c r="W124" s="186">
        <f>220000000+450000000</f>
        <v>670000000</v>
      </c>
      <c r="X124" s="186">
        <v>220000000</v>
      </c>
      <c r="Y124" s="186">
        <v>70000000</v>
      </c>
      <c r="Z124" s="186">
        <v>150000000</v>
      </c>
      <c r="AA124" s="186">
        <v>150000000</v>
      </c>
      <c r="AB124" s="186">
        <v>210000000</v>
      </c>
      <c r="AC124" s="186">
        <v>130000000</v>
      </c>
      <c r="AD124" s="186">
        <v>160000000</v>
      </c>
      <c r="AE124" s="186">
        <v>130000000</v>
      </c>
      <c r="AF124" s="186">
        <v>130000000</v>
      </c>
      <c r="AG124" s="186">
        <v>500000000</v>
      </c>
      <c r="AH124" s="186">
        <v>500000000</v>
      </c>
      <c r="AI124" s="186">
        <v>500000000</v>
      </c>
      <c r="AJ124" s="186">
        <v>500000000</v>
      </c>
      <c r="AK124" s="186">
        <v>530000000</v>
      </c>
      <c r="AL124" s="186">
        <v>550000000</v>
      </c>
      <c r="AM124" s="186">
        <v>550000000</v>
      </c>
      <c r="AN124" s="186">
        <v>550000000</v>
      </c>
      <c r="AO124" s="186">
        <v>10000000</v>
      </c>
      <c r="AP124" s="186">
        <v>10000000</v>
      </c>
      <c r="AQ124" s="186">
        <v>10000000</v>
      </c>
      <c r="AR124" s="186">
        <v>10000000</v>
      </c>
      <c r="AS124" s="186">
        <v>10000000</v>
      </c>
      <c r="AT124" s="186">
        <v>10000000</v>
      </c>
      <c r="AU124" s="186">
        <v>10000000</v>
      </c>
      <c r="AV124" s="186">
        <v>10000000</v>
      </c>
      <c r="AW124" s="186">
        <v>10000000</v>
      </c>
      <c r="AX124" s="186">
        <v>10000000</v>
      </c>
      <c r="AY124" s="186">
        <v>10000000</v>
      </c>
      <c r="AZ124" s="186">
        <v>10000000</v>
      </c>
      <c r="BA124" s="186">
        <v>10000000</v>
      </c>
      <c r="BB124" s="186">
        <v>10000000</v>
      </c>
      <c r="BC124" s="186">
        <v>10000000</v>
      </c>
      <c r="BD124" s="186">
        <v>10000000</v>
      </c>
      <c r="BE124" s="186">
        <v>10000000</v>
      </c>
      <c r="BF124" s="186">
        <v>10000000</v>
      </c>
      <c r="BG124" s="186">
        <v>10000000</v>
      </c>
      <c r="BH124" s="186">
        <v>10000000</v>
      </c>
      <c r="BI124" s="186">
        <v>10000000</v>
      </c>
      <c r="BJ124" s="186">
        <v>10000000</v>
      </c>
    </row>
    <row r="125" spans="2:69" ht="43.2">
      <c r="AD125" s="183" t="s">
        <v>725</v>
      </c>
      <c r="AN125" s="183" t="s">
        <v>723</v>
      </c>
      <c r="AO125" s="183" t="s">
        <v>724</v>
      </c>
    </row>
  </sheetData>
  <autoFilter ref="B3:BQ68" xr:uid="{580772E3-389A-45F6-9719-21766B3B5060}"/>
  <customSheetViews>
    <customSheetView guid="{B05628F6-030D-4851-8E75-96DF5849F39A}" scale="85" showPageBreaks="1" showGridLines="0" showAutoFilter="1" view="pageBreakPreview">
      <pane xSplit="5" ySplit="4" topLeftCell="M5" activePane="bottomRight" state="frozen"/>
      <selection pane="bottomRight" activeCell="N6" sqref="N6"/>
      <rowBreaks count="1" manualBreakCount="1">
        <brk id="67" max="16383" man="1"/>
      </rowBreaks>
      <pageMargins left="0.70866141732283472" right="0.70866141732283472" top="0.74803149606299213" bottom="0.74803149606299213" header="0.31496062992125984" footer="0.31496062992125984"/>
      <pageSetup paperSize="8" scale="70" fitToWidth="0" fitToHeight="0" orientation="landscape" r:id="rId1"/>
      <headerFooter>
        <oddHeader>&amp;A</oddHeader>
        <oddFooter>&amp;P / &amp;N ページ</oddFooter>
      </headerFooter>
      <autoFilter ref="B3:BQ67" xr:uid="{DEC25A16-C802-4BF3-930B-9486B67C6ECD}"/>
    </customSheetView>
    <customSheetView guid="{1F923BC6-4AD1-4F20-A481-D76BE7901A2A}" scale="85" showPageBreaks="1" showGridLines="0" showAutoFilter="1" view="pageBreakPreview">
      <pane xSplit="5" ySplit="4" topLeftCell="K5" activePane="bottomRight" state="frozen"/>
      <selection pane="bottomRight" activeCell="U25" sqref="U25"/>
      <rowBreaks count="1" manualBreakCount="1">
        <brk id="67" max="16383" man="1"/>
      </rowBreaks>
      <pageMargins left="0.70866141732283472" right="0.70866141732283472" top="0.74803149606299213" bottom="0.74803149606299213" header="0.31496062992125984" footer="0.31496062992125984"/>
      <pageSetup paperSize="8" scale="70" fitToWidth="0" fitToHeight="0" orientation="landscape" r:id="rId2"/>
      <headerFooter>
        <oddHeader>&amp;A</oddHeader>
        <oddFooter>&amp;P / &amp;N ページ</oddFooter>
      </headerFooter>
      <autoFilter ref="B3:BQ67" xr:uid="{F1EA825D-B76F-47E8-A4CE-AAA6DEBEBF38}"/>
    </customSheetView>
  </customSheetViews>
  <mergeCells count="14">
    <mergeCell ref="K71:K72"/>
    <mergeCell ref="J71:J72"/>
    <mergeCell ref="B113:E113"/>
    <mergeCell ref="B114:E114"/>
    <mergeCell ref="J103:J104"/>
    <mergeCell ref="D108:D110"/>
    <mergeCell ref="B106:B112"/>
    <mergeCell ref="C106:C107"/>
    <mergeCell ref="C108:C111"/>
    <mergeCell ref="J3:J4"/>
    <mergeCell ref="K3:K4"/>
    <mergeCell ref="F26:F33"/>
    <mergeCell ref="F34:F41"/>
    <mergeCell ref="F43:F51"/>
  </mergeCells>
  <phoneticPr fontId="4"/>
  <pageMargins left="0.70866141732283472" right="0.70866141732283472" top="0.74803149606299213" bottom="0.74803149606299213" header="0.31496062992125984" footer="0.31496062992125984"/>
  <pageSetup paperSize="8" scale="70" fitToWidth="0" fitToHeight="0" orientation="landscape" r:id="rId3"/>
  <headerFooter>
    <oddHeader>&amp;A</oddHeader>
    <oddFooter>&amp;P / &amp;N ページ</oddFooter>
  </headerFooter>
  <rowBreaks count="1" manualBreakCount="1">
    <brk id="68" max="16383" man="1"/>
  </rowBreaks>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549C-1EA3-40D3-BDC7-56D11805D22E}">
  <sheetPr>
    <tabColor theme="5" tint="0.79998168889431442"/>
  </sheetPr>
  <dimension ref="B2:BQ126"/>
  <sheetViews>
    <sheetView showGridLines="0" zoomScale="85" zoomScaleNormal="85" workbookViewId="0">
      <pane xSplit="5" ySplit="4" topLeftCell="F5" activePane="bottomRight" state="frozen"/>
      <selection activeCell="T121" sqref="T121:T125"/>
      <selection pane="topRight" activeCell="T121" sqref="T121:T125"/>
      <selection pane="bottomLeft" activeCell="T121" sqref="T121:T125"/>
      <selection pane="bottomRight" activeCell="T121" sqref="T121:T125"/>
    </sheetView>
  </sheetViews>
  <sheetFormatPr defaultRowHeight="14.4" outlineLevelCol="1"/>
  <cols>
    <col min="1" max="1" width="2.90625" customWidth="1"/>
    <col min="2" max="4" width="3.90625" customWidth="1"/>
    <col min="5" max="5" width="23.453125" bestFit="1" customWidth="1"/>
    <col min="6" max="6" width="7.36328125" hidden="1" customWidth="1" outlineLevel="1"/>
    <col min="7" max="9" width="8.08984375" hidden="1" customWidth="1" outlineLevel="1"/>
    <col min="10" max="10" width="4.36328125" hidden="1" customWidth="1" outlineLevel="1"/>
    <col min="11" max="11" width="40" bestFit="1" customWidth="1" collapsed="1"/>
    <col min="12" max="12" width="4.36328125" hidden="1" customWidth="1" outlineLevel="1"/>
    <col min="13" max="13" width="8.7265625" hidden="1" customWidth="1" outlineLevel="1"/>
    <col min="14" max="14" width="10" style="24" bestFit="1" customWidth="1" collapsed="1"/>
    <col min="15" max="18" width="10" style="24" hidden="1" customWidth="1" outlineLevel="1"/>
    <col min="19" max="19" width="10" style="24" customWidth="1" collapsed="1"/>
    <col min="20" max="20" width="8.90625" style="24" customWidth="1"/>
    <col min="21" max="28" width="8.90625" style="24" hidden="1" customWidth="1" outlineLevel="1"/>
    <col min="29" max="29" width="8.90625" style="24" bestFit="1" customWidth="1" collapsed="1"/>
    <col min="30" max="38" width="8.90625" style="24" hidden="1" customWidth="1" outlineLevel="1"/>
    <col min="39" max="39" width="8.90625" style="24" bestFit="1" customWidth="1" collapsed="1"/>
    <col min="40" max="48" width="8.90625" style="24" hidden="1" customWidth="1" outlineLevel="1"/>
    <col min="49" max="49" width="8.90625" style="24" bestFit="1" customWidth="1" collapsed="1"/>
    <col min="50" max="58" width="8.90625" style="24" hidden="1" customWidth="1" outlineLevel="1"/>
    <col min="59" max="59" width="8.90625" style="24" bestFit="1" customWidth="1" collapsed="1"/>
    <col min="60" max="68" width="8.90625" style="24" hidden="1" customWidth="1" outlineLevel="1"/>
    <col min="69" max="69" width="8.90625" style="24" bestFit="1" customWidth="1" collapsed="1"/>
  </cols>
  <sheetData>
    <row r="2" spans="2:69">
      <c r="B2" t="s">
        <v>0</v>
      </c>
      <c r="N2" s="24" t="s">
        <v>182</v>
      </c>
      <c r="T2" s="29">
        <v>1</v>
      </c>
      <c r="U2" s="29">
        <v>2</v>
      </c>
      <c r="V2" s="29">
        <v>3</v>
      </c>
      <c r="W2" s="29">
        <v>4</v>
      </c>
      <c r="X2" s="29">
        <v>5</v>
      </c>
      <c r="Y2" s="29">
        <v>6</v>
      </c>
      <c r="Z2" s="29">
        <v>7</v>
      </c>
      <c r="AA2" s="29">
        <v>8</v>
      </c>
      <c r="AB2" s="29">
        <v>9</v>
      </c>
      <c r="AC2" s="29">
        <v>10</v>
      </c>
      <c r="AD2" s="29">
        <v>11</v>
      </c>
      <c r="AE2" s="29">
        <v>12</v>
      </c>
      <c r="AF2" s="29">
        <v>13</v>
      </c>
      <c r="AG2" s="29">
        <v>14</v>
      </c>
      <c r="AH2" s="29">
        <v>15</v>
      </c>
      <c r="AI2" s="29">
        <v>16</v>
      </c>
      <c r="AJ2" s="29">
        <v>17</v>
      </c>
      <c r="AK2" s="29">
        <v>18</v>
      </c>
      <c r="AL2" s="29">
        <v>19</v>
      </c>
      <c r="AM2" s="29">
        <v>20</v>
      </c>
      <c r="AN2" s="29">
        <v>21</v>
      </c>
      <c r="AO2" s="29">
        <v>22</v>
      </c>
      <c r="AP2" s="29">
        <v>23</v>
      </c>
      <c r="AQ2" s="29">
        <v>24</v>
      </c>
      <c r="AR2" s="29">
        <v>25</v>
      </c>
      <c r="AS2" s="29">
        <v>26</v>
      </c>
      <c r="AT2" s="29">
        <v>27</v>
      </c>
      <c r="AU2" s="29">
        <v>28</v>
      </c>
      <c r="AV2" s="29">
        <v>29</v>
      </c>
      <c r="AW2" s="29">
        <v>30</v>
      </c>
      <c r="AX2" s="29">
        <v>31</v>
      </c>
      <c r="AY2" s="29">
        <v>32</v>
      </c>
      <c r="AZ2" s="29">
        <v>33</v>
      </c>
      <c r="BA2" s="29">
        <v>34</v>
      </c>
      <c r="BB2" s="29">
        <v>35</v>
      </c>
      <c r="BC2" s="29">
        <v>36</v>
      </c>
      <c r="BD2" s="29">
        <v>37</v>
      </c>
      <c r="BE2" s="29">
        <v>38</v>
      </c>
      <c r="BF2" s="29">
        <v>39</v>
      </c>
      <c r="BG2" s="29">
        <v>40</v>
      </c>
      <c r="BH2" s="29">
        <v>41</v>
      </c>
      <c r="BI2" s="29">
        <v>42</v>
      </c>
      <c r="BJ2" s="29">
        <v>43</v>
      </c>
      <c r="BK2" s="29">
        <v>44</v>
      </c>
      <c r="BL2" s="29">
        <v>45</v>
      </c>
      <c r="BM2" s="29">
        <v>46</v>
      </c>
      <c r="BN2" s="29">
        <v>47</v>
      </c>
      <c r="BO2" s="29">
        <v>48</v>
      </c>
      <c r="BP2" s="29">
        <v>49</v>
      </c>
      <c r="BQ2" s="29">
        <v>50</v>
      </c>
    </row>
    <row r="3" spans="2:69">
      <c r="B3" s="11" t="s">
        <v>1</v>
      </c>
      <c r="C3" s="11" t="s">
        <v>2</v>
      </c>
      <c r="D3" s="12" t="s">
        <v>3</v>
      </c>
      <c r="E3" s="13"/>
      <c r="F3" s="20" t="s">
        <v>4</v>
      </c>
      <c r="G3" s="14"/>
      <c r="H3" s="14"/>
      <c r="I3" s="15"/>
      <c r="J3" s="311" t="s">
        <v>162</v>
      </c>
      <c r="K3" s="313" t="s">
        <v>8</v>
      </c>
      <c r="L3" s="11" t="s">
        <v>9</v>
      </c>
      <c r="M3" s="11" t="s">
        <v>10</v>
      </c>
      <c r="N3" s="30" t="s">
        <v>11</v>
      </c>
      <c r="O3" s="31"/>
      <c r="P3" s="31"/>
      <c r="Q3" s="31"/>
      <c r="R3" s="32"/>
      <c r="S3" s="35" t="s">
        <v>177</v>
      </c>
      <c r="T3" s="33" t="s">
        <v>17</v>
      </c>
      <c r="U3" s="31"/>
      <c r="V3" s="31"/>
      <c r="W3" s="32"/>
      <c r="X3" s="34" t="s">
        <v>68</v>
      </c>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row>
    <row r="4" spans="2:69">
      <c r="B4" s="17"/>
      <c r="C4" s="17"/>
      <c r="D4" s="18"/>
      <c r="E4" s="19"/>
      <c r="F4" s="17"/>
      <c r="G4" s="16" t="s">
        <v>5</v>
      </c>
      <c r="H4" s="16" t="s">
        <v>6</v>
      </c>
      <c r="I4" s="16" t="s">
        <v>7</v>
      </c>
      <c r="J4" s="312"/>
      <c r="K4" s="314"/>
      <c r="L4" s="17"/>
      <c r="M4" s="17"/>
      <c r="N4" s="35" t="s">
        <v>12</v>
      </c>
      <c r="O4" s="35" t="s">
        <v>13</v>
      </c>
      <c r="P4" s="35" t="s">
        <v>14</v>
      </c>
      <c r="Q4" s="35" t="s">
        <v>15</v>
      </c>
      <c r="R4" s="35" t="s">
        <v>16</v>
      </c>
      <c r="S4" s="35"/>
      <c r="T4" s="35" t="s">
        <v>18</v>
      </c>
      <c r="U4" s="35" t="s">
        <v>19</v>
      </c>
      <c r="V4" s="35" t="s">
        <v>20</v>
      </c>
      <c r="W4" s="35" t="s">
        <v>21</v>
      </c>
      <c r="X4" s="35" t="s">
        <v>22</v>
      </c>
      <c r="Y4" s="35" t="s">
        <v>23</v>
      </c>
      <c r="Z4" s="35" t="s">
        <v>24</v>
      </c>
      <c r="AA4" s="35" t="s">
        <v>25</v>
      </c>
      <c r="AB4" s="35" t="s">
        <v>26</v>
      </c>
      <c r="AC4" s="35" t="s">
        <v>27</v>
      </c>
      <c r="AD4" s="35" t="s">
        <v>28</v>
      </c>
      <c r="AE4" s="35" t="s">
        <v>29</v>
      </c>
      <c r="AF4" s="35" t="s">
        <v>30</v>
      </c>
      <c r="AG4" s="35" t="s">
        <v>31</v>
      </c>
      <c r="AH4" s="35" t="s">
        <v>32</v>
      </c>
      <c r="AI4" s="35" t="s">
        <v>33</v>
      </c>
      <c r="AJ4" s="35" t="s">
        <v>34</v>
      </c>
      <c r="AK4" s="35" t="s">
        <v>35</v>
      </c>
      <c r="AL4" s="35" t="s">
        <v>36</v>
      </c>
      <c r="AM4" s="35" t="s">
        <v>37</v>
      </c>
      <c r="AN4" s="35" t="s">
        <v>38</v>
      </c>
      <c r="AO4" s="35" t="s">
        <v>39</v>
      </c>
      <c r="AP4" s="35" t="s">
        <v>40</v>
      </c>
      <c r="AQ4" s="35" t="s">
        <v>41</v>
      </c>
      <c r="AR4" s="35" t="s">
        <v>42</v>
      </c>
      <c r="AS4" s="35" t="s">
        <v>43</v>
      </c>
      <c r="AT4" s="35" t="s">
        <v>44</v>
      </c>
      <c r="AU4" s="35" t="s">
        <v>45</v>
      </c>
      <c r="AV4" s="35" t="s">
        <v>46</v>
      </c>
      <c r="AW4" s="35" t="s">
        <v>47</v>
      </c>
      <c r="AX4" s="35" t="s">
        <v>48</v>
      </c>
      <c r="AY4" s="35" t="s">
        <v>49</v>
      </c>
      <c r="AZ4" s="35" t="s">
        <v>50</v>
      </c>
      <c r="BA4" s="35" t="s">
        <v>51</v>
      </c>
      <c r="BB4" s="35" t="s">
        <v>52</v>
      </c>
      <c r="BC4" s="35" t="s">
        <v>53</v>
      </c>
      <c r="BD4" s="35" t="s">
        <v>54</v>
      </c>
      <c r="BE4" s="35" t="s">
        <v>55</v>
      </c>
      <c r="BF4" s="35" t="s">
        <v>56</v>
      </c>
      <c r="BG4" s="35" t="s">
        <v>57</v>
      </c>
      <c r="BH4" s="35" t="s">
        <v>58</v>
      </c>
      <c r="BI4" s="35" t="s">
        <v>59</v>
      </c>
      <c r="BJ4" s="35" t="s">
        <v>60</v>
      </c>
      <c r="BK4" s="35" t="s">
        <v>61</v>
      </c>
      <c r="BL4" s="35" t="s">
        <v>62</v>
      </c>
      <c r="BM4" s="35" t="s">
        <v>63</v>
      </c>
      <c r="BN4" s="35" t="s">
        <v>64</v>
      </c>
      <c r="BO4" s="35" t="s">
        <v>65</v>
      </c>
      <c r="BP4" s="35" t="s">
        <v>66</v>
      </c>
      <c r="BQ4" s="35" t="s">
        <v>67</v>
      </c>
    </row>
    <row r="5" spans="2:69">
      <c r="B5" s="5" t="s">
        <v>69</v>
      </c>
      <c r="C5" s="7"/>
      <c r="D5" s="7"/>
      <c r="E5" s="8"/>
      <c r="F5" s="1"/>
      <c r="G5" s="10"/>
      <c r="H5" s="10"/>
      <c r="I5" s="10"/>
      <c r="J5" s="10"/>
      <c r="K5" s="1"/>
      <c r="L5" s="1"/>
      <c r="M5" s="1"/>
      <c r="N5" s="39" t="e">
        <f>【PL】決算数値入力!#REF!</f>
        <v>#REF!</v>
      </c>
      <c r="O5" s="39" t="e">
        <f>【PL】決算数値入力!#REF!</f>
        <v>#REF!</v>
      </c>
      <c r="P5" s="39" t="e">
        <f>【PL】決算数値入力!#REF!</f>
        <v>#REF!</v>
      </c>
      <c r="Q5" s="39" t="e">
        <f>【PL】決算数値入力!#REF!</f>
        <v>#REF!</v>
      </c>
      <c r="R5" s="39" t="e">
        <f>【PL】決算数値入力!#REF!</f>
        <v>#REF!</v>
      </c>
      <c r="S5" s="39" t="e">
        <f>【PL】決算数値入力!#REF!</f>
        <v>#REF!</v>
      </c>
      <c r="T5" s="39" t="e">
        <f t="shared" ref="T5:BQ5" si="0">SUM(T6,T11,T18,T19)</f>
        <v>#REF!</v>
      </c>
      <c r="U5" s="39" t="e">
        <f t="shared" si="0"/>
        <v>#REF!</v>
      </c>
      <c r="V5" s="39" t="e">
        <f t="shared" si="0"/>
        <v>#REF!</v>
      </c>
      <c r="W5" s="39" t="e">
        <f t="shared" si="0"/>
        <v>#REF!</v>
      </c>
      <c r="X5" s="39" t="e">
        <f t="shared" si="0"/>
        <v>#REF!</v>
      </c>
      <c r="Y5" s="39" t="e">
        <f t="shared" si="0"/>
        <v>#REF!</v>
      </c>
      <c r="Z5" s="39" t="e">
        <f t="shared" si="0"/>
        <v>#REF!</v>
      </c>
      <c r="AA5" s="39" t="e">
        <f t="shared" si="0"/>
        <v>#REF!</v>
      </c>
      <c r="AB5" s="39" t="e">
        <f t="shared" si="0"/>
        <v>#REF!</v>
      </c>
      <c r="AC5" s="39" t="e">
        <f t="shared" si="0"/>
        <v>#REF!</v>
      </c>
      <c r="AD5" s="39" t="e">
        <f t="shared" si="0"/>
        <v>#REF!</v>
      </c>
      <c r="AE5" s="39" t="e">
        <f t="shared" si="0"/>
        <v>#REF!</v>
      </c>
      <c r="AF5" s="39" t="e">
        <f t="shared" si="0"/>
        <v>#REF!</v>
      </c>
      <c r="AG5" s="39" t="e">
        <f t="shared" si="0"/>
        <v>#REF!</v>
      </c>
      <c r="AH5" s="39" t="e">
        <f t="shared" si="0"/>
        <v>#REF!</v>
      </c>
      <c r="AI5" s="39" t="e">
        <f t="shared" si="0"/>
        <v>#REF!</v>
      </c>
      <c r="AJ5" s="39" t="e">
        <f t="shared" si="0"/>
        <v>#REF!</v>
      </c>
      <c r="AK5" s="39" t="e">
        <f t="shared" si="0"/>
        <v>#REF!</v>
      </c>
      <c r="AL5" s="39" t="e">
        <f t="shared" si="0"/>
        <v>#REF!</v>
      </c>
      <c r="AM5" s="39" t="e">
        <f t="shared" si="0"/>
        <v>#REF!</v>
      </c>
      <c r="AN5" s="39" t="e">
        <f t="shared" si="0"/>
        <v>#REF!</v>
      </c>
      <c r="AO5" s="39" t="e">
        <f t="shared" si="0"/>
        <v>#REF!</v>
      </c>
      <c r="AP5" s="39" t="e">
        <f t="shared" si="0"/>
        <v>#REF!</v>
      </c>
      <c r="AQ5" s="39" t="e">
        <f t="shared" si="0"/>
        <v>#REF!</v>
      </c>
      <c r="AR5" s="39" t="e">
        <f t="shared" si="0"/>
        <v>#REF!</v>
      </c>
      <c r="AS5" s="39" t="e">
        <f t="shared" si="0"/>
        <v>#REF!</v>
      </c>
      <c r="AT5" s="39" t="e">
        <f t="shared" si="0"/>
        <v>#REF!</v>
      </c>
      <c r="AU5" s="39" t="e">
        <f t="shared" si="0"/>
        <v>#REF!</v>
      </c>
      <c r="AV5" s="39" t="e">
        <f t="shared" si="0"/>
        <v>#REF!</v>
      </c>
      <c r="AW5" s="39" t="e">
        <f t="shared" si="0"/>
        <v>#REF!</v>
      </c>
      <c r="AX5" s="39" t="e">
        <f t="shared" si="0"/>
        <v>#REF!</v>
      </c>
      <c r="AY5" s="39" t="e">
        <f t="shared" si="0"/>
        <v>#REF!</v>
      </c>
      <c r="AZ5" s="39" t="e">
        <f t="shared" si="0"/>
        <v>#REF!</v>
      </c>
      <c r="BA5" s="39" t="e">
        <f t="shared" si="0"/>
        <v>#REF!</v>
      </c>
      <c r="BB5" s="39" t="e">
        <f t="shared" si="0"/>
        <v>#REF!</v>
      </c>
      <c r="BC5" s="39" t="e">
        <f t="shared" si="0"/>
        <v>#REF!</v>
      </c>
      <c r="BD5" s="39" t="e">
        <f t="shared" si="0"/>
        <v>#REF!</v>
      </c>
      <c r="BE5" s="39" t="e">
        <f t="shared" si="0"/>
        <v>#REF!</v>
      </c>
      <c r="BF5" s="39" t="e">
        <f t="shared" si="0"/>
        <v>#REF!</v>
      </c>
      <c r="BG5" s="39" t="e">
        <f t="shared" si="0"/>
        <v>#REF!</v>
      </c>
      <c r="BH5" s="39" t="e">
        <f t="shared" si="0"/>
        <v>#REF!</v>
      </c>
      <c r="BI5" s="39" t="e">
        <f t="shared" si="0"/>
        <v>#REF!</v>
      </c>
      <c r="BJ5" s="39" t="e">
        <f t="shared" si="0"/>
        <v>#REF!</v>
      </c>
      <c r="BK5" s="39" t="e">
        <f t="shared" si="0"/>
        <v>#REF!</v>
      </c>
      <c r="BL5" s="39" t="e">
        <f t="shared" si="0"/>
        <v>#REF!</v>
      </c>
      <c r="BM5" s="39" t="e">
        <f t="shared" si="0"/>
        <v>#REF!</v>
      </c>
      <c r="BN5" s="39" t="e">
        <f t="shared" si="0"/>
        <v>#REF!</v>
      </c>
      <c r="BO5" s="39" t="e">
        <f t="shared" si="0"/>
        <v>#REF!</v>
      </c>
      <c r="BP5" s="39" t="e">
        <f t="shared" si="0"/>
        <v>#REF!</v>
      </c>
      <c r="BQ5" s="39" t="e">
        <f t="shared" si="0"/>
        <v>#REF!</v>
      </c>
    </row>
    <row r="6" spans="2:69">
      <c r="B6" s="4"/>
      <c r="C6" s="5" t="s">
        <v>70</v>
      </c>
      <c r="D6" s="7"/>
      <c r="E6" s="8"/>
      <c r="F6" s="1"/>
      <c r="G6" s="10"/>
      <c r="H6" s="10"/>
      <c r="I6" s="10"/>
      <c r="J6" s="10"/>
      <c r="K6" s="1"/>
      <c r="L6" s="1"/>
      <c r="M6" s="1"/>
      <c r="N6" s="39" t="e">
        <f>【PL】決算数値入力!#REF!</f>
        <v>#REF!</v>
      </c>
      <c r="O6" s="39" t="e">
        <f>【PL】決算数値入力!#REF!</f>
        <v>#REF!</v>
      </c>
      <c r="P6" s="39" t="e">
        <f>【PL】決算数値入力!#REF!</f>
        <v>#REF!</v>
      </c>
      <c r="Q6" s="39" t="e">
        <f>【PL】決算数値入力!#REF!</f>
        <v>#REF!</v>
      </c>
      <c r="R6" s="39" t="e">
        <f>【PL】決算数値入力!#REF!</f>
        <v>#REF!</v>
      </c>
      <c r="S6" s="39" t="e">
        <f>【PL】決算数値入力!#REF!</f>
        <v>#REF!</v>
      </c>
      <c r="T6" s="39" t="e">
        <f t="shared" ref="T6:BQ6" si="1">SUM(T7:T10)</f>
        <v>#REF!</v>
      </c>
      <c r="U6" s="39" t="e">
        <f t="shared" si="1"/>
        <v>#REF!</v>
      </c>
      <c r="V6" s="39" t="e">
        <f t="shared" si="1"/>
        <v>#REF!</v>
      </c>
      <c r="W6" s="39" t="e">
        <f t="shared" si="1"/>
        <v>#REF!</v>
      </c>
      <c r="X6" s="39" t="e">
        <f t="shared" si="1"/>
        <v>#REF!</v>
      </c>
      <c r="Y6" s="39" t="e">
        <f t="shared" si="1"/>
        <v>#REF!</v>
      </c>
      <c r="Z6" s="39" t="e">
        <f t="shared" si="1"/>
        <v>#REF!</v>
      </c>
      <c r="AA6" s="39" t="e">
        <f t="shared" si="1"/>
        <v>#REF!</v>
      </c>
      <c r="AB6" s="39" t="e">
        <f t="shared" si="1"/>
        <v>#REF!</v>
      </c>
      <c r="AC6" s="39" t="e">
        <f t="shared" si="1"/>
        <v>#REF!</v>
      </c>
      <c r="AD6" s="39" t="e">
        <f t="shared" si="1"/>
        <v>#REF!</v>
      </c>
      <c r="AE6" s="39" t="e">
        <f t="shared" si="1"/>
        <v>#REF!</v>
      </c>
      <c r="AF6" s="39" t="e">
        <f t="shared" si="1"/>
        <v>#REF!</v>
      </c>
      <c r="AG6" s="39" t="e">
        <f t="shared" si="1"/>
        <v>#REF!</v>
      </c>
      <c r="AH6" s="39" t="e">
        <f t="shared" si="1"/>
        <v>#REF!</v>
      </c>
      <c r="AI6" s="39" t="e">
        <f t="shared" si="1"/>
        <v>#REF!</v>
      </c>
      <c r="AJ6" s="39" t="e">
        <f t="shared" si="1"/>
        <v>#REF!</v>
      </c>
      <c r="AK6" s="39" t="e">
        <f t="shared" si="1"/>
        <v>#REF!</v>
      </c>
      <c r="AL6" s="39" t="e">
        <f t="shared" si="1"/>
        <v>#REF!</v>
      </c>
      <c r="AM6" s="39" t="e">
        <f t="shared" si="1"/>
        <v>#REF!</v>
      </c>
      <c r="AN6" s="39" t="e">
        <f t="shared" si="1"/>
        <v>#REF!</v>
      </c>
      <c r="AO6" s="39" t="e">
        <f t="shared" si="1"/>
        <v>#REF!</v>
      </c>
      <c r="AP6" s="39" t="e">
        <f t="shared" si="1"/>
        <v>#REF!</v>
      </c>
      <c r="AQ6" s="39" t="e">
        <f t="shared" si="1"/>
        <v>#REF!</v>
      </c>
      <c r="AR6" s="39" t="e">
        <f t="shared" si="1"/>
        <v>#REF!</v>
      </c>
      <c r="AS6" s="39" t="e">
        <f t="shared" si="1"/>
        <v>#REF!</v>
      </c>
      <c r="AT6" s="39" t="e">
        <f t="shared" si="1"/>
        <v>#REF!</v>
      </c>
      <c r="AU6" s="39" t="e">
        <f t="shared" si="1"/>
        <v>#REF!</v>
      </c>
      <c r="AV6" s="39" t="e">
        <f t="shared" si="1"/>
        <v>#REF!</v>
      </c>
      <c r="AW6" s="39" t="e">
        <f t="shared" si="1"/>
        <v>#REF!</v>
      </c>
      <c r="AX6" s="39" t="e">
        <f t="shared" si="1"/>
        <v>#REF!</v>
      </c>
      <c r="AY6" s="39" t="e">
        <f t="shared" si="1"/>
        <v>#REF!</v>
      </c>
      <c r="AZ6" s="39" t="e">
        <f t="shared" si="1"/>
        <v>#REF!</v>
      </c>
      <c r="BA6" s="39" t="e">
        <f t="shared" si="1"/>
        <v>#REF!</v>
      </c>
      <c r="BB6" s="39" t="e">
        <f t="shared" si="1"/>
        <v>#REF!</v>
      </c>
      <c r="BC6" s="39" t="e">
        <f t="shared" si="1"/>
        <v>#REF!</v>
      </c>
      <c r="BD6" s="39" t="e">
        <f t="shared" si="1"/>
        <v>#REF!</v>
      </c>
      <c r="BE6" s="39" t="e">
        <f t="shared" si="1"/>
        <v>#REF!</v>
      </c>
      <c r="BF6" s="39" t="e">
        <f t="shared" si="1"/>
        <v>#REF!</v>
      </c>
      <c r="BG6" s="39" t="e">
        <f t="shared" si="1"/>
        <v>#REF!</v>
      </c>
      <c r="BH6" s="39" t="e">
        <f t="shared" si="1"/>
        <v>#REF!</v>
      </c>
      <c r="BI6" s="39" t="e">
        <f t="shared" si="1"/>
        <v>#REF!</v>
      </c>
      <c r="BJ6" s="39" t="e">
        <f t="shared" si="1"/>
        <v>#REF!</v>
      </c>
      <c r="BK6" s="39" t="e">
        <f t="shared" si="1"/>
        <v>#REF!</v>
      </c>
      <c r="BL6" s="39" t="e">
        <f t="shared" si="1"/>
        <v>#REF!</v>
      </c>
      <c r="BM6" s="39" t="e">
        <f t="shared" si="1"/>
        <v>#REF!</v>
      </c>
      <c r="BN6" s="39" t="e">
        <f t="shared" si="1"/>
        <v>#REF!</v>
      </c>
      <c r="BO6" s="39" t="e">
        <f t="shared" si="1"/>
        <v>#REF!</v>
      </c>
      <c r="BP6" s="39" t="e">
        <f t="shared" si="1"/>
        <v>#REF!</v>
      </c>
      <c r="BQ6" s="39" t="e">
        <f t="shared" si="1"/>
        <v>#REF!</v>
      </c>
    </row>
    <row r="7" spans="2:69">
      <c r="B7" s="4"/>
      <c r="C7" s="4"/>
      <c r="D7" s="9" t="s">
        <v>71</v>
      </c>
      <c r="E7" s="8"/>
      <c r="F7" s="1"/>
      <c r="G7" s="10"/>
      <c r="H7" s="10"/>
      <c r="I7" s="10"/>
      <c r="J7" s="10"/>
      <c r="K7" s="1" t="s">
        <v>167</v>
      </c>
      <c r="L7" s="1"/>
      <c r="M7" s="1"/>
      <c r="N7" s="39" t="e">
        <f>【PL】決算数値入力!#REF!</f>
        <v>#REF!</v>
      </c>
      <c r="O7" s="39" t="e">
        <f>【PL】決算数値入力!#REF!</f>
        <v>#REF!</v>
      </c>
      <c r="P7" s="39" t="e">
        <f>【PL】決算数値入力!#REF!</f>
        <v>#REF!</v>
      </c>
      <c r="Q7" s="39" t="e">
        <f>【PL】決算数値入力!#REF!</f>
        <v>#REF!</v>
      </c>
      <c r="R7" s="39" t="e">
        <f>【PL】決算数値入力!#REF!</f>
        <v>#REF!</v>
      </c>
      <c r="S7" s="39" t="e">
        <f>【PL】決算数値入力!#REF!</f>
        <v>#REF!</v>
      </c>
      <c r="T7" s="39" t="e">
        <f>'【収益－要領】給水収益'!S36</f>
        <v>#REF!</v>
      </c>
      <c r="U7" s="39" t="e">
        <f>'【収益－要領】給水収益'!T36</f>
        <v>#REF!</v>
      </c>
      <c r="V7" s="39" t="e">
        <f>'【収益－要領】給水収益'!U36</f>
        <v>#REF!</v>
      </c>
      <c r="W7" s="39" t="e">
        <f>'【収益－要領】給水収益'!V36</f>
        <v>#REF!</v>
      </c>
      <c r="X7" s="39" t="e">
        <f>'【収益－要領】給水収益'!W36</f>
        <v>#REF!</v>
      </c>
      <c r="Y7" s="39" t="e">
        <f>'【収益－要領】給水収益'!X36</f>
        <v>#REF!</v>
      </c>
      <c r="Z7" s="39" t="e">
        <f>'【収益－要領】給水収益'!Y36</f>
        <v>#REF!</v>
      </c>
      <c r="AA7" s="39" t="e">
        <f>'【収益－要領】給水収益'!Z36</f>
        <v>#REF!</v>
      </c>
      <c r="AB7" s="39" t="e">
        <f>'【収益－要領】給水収益'!AA36</f>
        <v>#REF!</v>
      </c>
      <c r="AC7" s="39" t="e">
        <f>'【収益－要領】給水収益'!AB36</f>
        <v>#REF!</v>
      </c>
      <c r="AD7" s="39" t="e">
        <f>'【収益－要領】給水収益'!AC36</f>
        <v>#REF!</v>
      </c>
      <c r="AE7" s="39" t="e">
        <f>'【収益－要領】給水収益'!AD36</f>
        <v>#REF!</v>
      </c>
      <c r="AF7" s="39" t="e">
        <f>'【収益－要領】給水収益'!AE36</f>
        <v>#REF!</v>
      </c>
      <c r="AG7" s="39" t="e">
        <f>'【収益－要領】給水収益'!AF36</f>
        <v>#REF!</v>
      </c>
      <c r="AH7" s="39" t="e">
        <f>'【収益－要領】給水収益'!AG36</f>
        <v>#REF!</v>
      </c>
      <c r="AI7" s="39" t="e">
        <f>'【収益－要領】給水収益'!AH36</f>
        <v>#REF!</v>
      </c>
      <c r="AJ7" s="39" t="e">
        <f>'【収益－要領】給水収益'!AI36</f>
        <v>#REF!</v>
      </c>
      <c r="AK7" s="39" t="e">
        <f>'【収益－要領】給水収益'!AJ36</f>
        <v>#REF!</v>
      </c>
      <c r="AL7" s="39" t="e">
        <f>'【収益－要領】給水収益'!AK36</f>
        <v>#REF!</v>
      </c>
      <c r="AM7" s="39" t="e">
        <f>'【収益－要領】給水収益'!AL36</f>
        <v>#REF!</v>
      </c>
      <c r="AN7" s="39" t="e">
        <f>'【収益－要領】給水収益'!AM36</f>
        <v>#REF!</v>
      </c>
      <c r="AO7" s="39" t="e">
        <f>'【収益－要領】給水収益'!AN36</f>
        <v>#REF!</v>
      </c>
      <c r="AP7" s="39" t="e">
        <f>'【収益－要領】給水収益'!AO36</f>
        <v>#REF!</v>
      </c>
      <c r="AQ7" s="39" t="e">
        <f>'【収益－要領】給水収益'!AP36</f>
        <v>#REF!</v>
      </c>
      <c r="AR7" s="39" t="e">
        <f>'【収益－要領】給水収益'!AQ36</f>
        <v>#REF!</v>
      </c>
      <c r="AS7" s="39" t="e">
        <f>'【収益－要領】給水収益'!AR36</f>
        <v>#REF!</v>
      </c>
      <c r="AT7" s="39" t="e">
        <f>'【収益－要領】給水収益'!AS36</f>
        <v>#REF!</v>
      </c>
      <c r="AU7" s="39" t="e">
        <f>'【収益－要領】給水収益'!AT36</f>
        <v>#REF!</v>
      </c>
      <c r="AV7" s="39" t="e">
        <f>'【収益－要領】給水収益'!AU36</f>
        <v>#REF!</v>
      </c>
      <c r="AW7" s="39" t="e">
        <f>'【収益－要領】給水収益'!AV36</f>
        <v>#REF!</v>
      </c>
      <c r="AX7" s="39" t="e">
        <f>'【収益－要領】給水収益'!AW36</f>
        <v>#REF!</v>
      </c>
      <c r="AY7" s="39" t="e">
        <f>'【収益－要領】給水収益'!AX36</f>
        <v>#REF!</v>
      </c>
      <c r="AZ7" s="39" t="e">
        <f>'【収益－要領】給水収益'!AY36</f>
        <v>#REF!</v>
      </c>
      <c r="BA7" s="39" t="e">
        <f>'【収益－要領】給水収益'!AZ36</f>
        <v>#REF!</v>
      </c>
      <c r="BB7" s="39" t="e">
        <f>'【収益－要領】給水収益'!BA36</f>
        <v>#REF!</v>
      </c>
      <c r="BC7" s="39" t="e">
        <f>'【収益－要領】給水収益'!BB36</f>
        <v>#REF!</v>
      </c>
      <c r="BD7" s="39" t="e">
        <f>'【収益－要領】給水収益'!BC36</f>
        <v>#REF!</v>
      </c>
      <c r="BE7" s="39" t="e">
        <f>'【収益－要領】給水収益'!BD36</f>
        <v>#REF!</v>
      </c>
      <c r="BF7" s="39" t="e">
        <f>'【収益－要領】給水収益'!BE36</f>
        <v>#REF!</v>
      </c>
      <c r="BG7" s="39" t="e">
        <f>'【収益－要領】給水収益'!BF36</f>
        <v>#REF!</v>
      </c>
      <c r="BH7" s="39" t="e">
        <f>'【収益－要領】給水収益'!BG36</f>
        <v>#REF!</v>
      </c>
      <c r="BI7" s="39" t="e">
        <f>'【収益－要領】給水収益'!BH36</f>
        <v>#REF!</v>
      </c>
      <c r="BJ7" s="39" t="e">
        <f>'【収益－要領】給水収益'!BI36</f>
        <v>#REF!</v>
      </c>
      <c r="BK7" s="39" t="e">
        <f>'【収益－要領】給水収益'!BJ36</f>
        <v>#REF!</v>
      </c>
      <c r="BL7" s="39" t="e">
        <f>'【収益－要領】給水収益'!BK36</f>
        <v>#REF!</v>
      </c>
      <c r="BM7" s="39" t="e">
        <f>'【収益－要領】給水収益'!BL36</f>
        <v>#REF!</v>
      </c>
      <c r="BN7" s="39" t="e">
        <f>'【収益－要領】給水収益'!BM36</f>
        <v>#REF!</v>
      </c>
      <c r="BO7" s="39" t="e">
        <f>'【収益－要領】給水収益'!BN36</f>
        <v>#REF!</v>
      </c>
      <c r="BP7" s="39" t="e">
        <f>'【収益－要領】給水収益'!BO36</f>
        <v>#REF!</v>
      </c>
      <c r="BQ7" s="39" t="e">
        <f>'【収益－要領】給水収益'!BP36</f>
        <v>#REF!</v>
      </c>
    </row>
    <row r="8" spans="2:69">
      <c r="B8" s="4"/>
      <c r="C8" s="4"/>
      <c r="D8" s="9" t="s">
        <v>72</v>
      </c>
      <c r="E8" s="8"/>
      <c r="F8" s="1"/>
      <c r="G8" s="10"/>
      <c r="H8" s="10"/>
      <c r="I8" s="10"/>
      <c r="J8" s="10"/>
      <c r="K8" s="1"/>
      <c r="L8" s="1"/>
      <c r="M8" s="1"/>
      <c r="N8" s="39" t="e">
        <f>【PL】決算数値入力!#REF!</f>
        <v>#REF!</v>
      </c>
      <c r="O8" s="39" t="e">
        <f>【PL】決算数値入力!#REF!</f>
        <v>#REF!</v>
      </c>
      <c r="P8" s="39" t="e">
        <f>【PL】決算数値入力!#REF!</f>
        <v>#REF!</v>
      </c>
      <c r="Q8" s="39" t="e">
        <f>【PL】決算数値入力!#REF!</f>
        <v>#REF!</v>
      </c>
      <c r="R8" s="39" t="e">
        <f>【PL】決算数値入力!#REF!</f>
        <v>#REF!</v>
      </c>
      <c r="S8" s="39" t="e">
        <f>【PL】決算数値入力!#REF!</f>
        <v>#REF!</v>
      </c>
      <c r="T8" s="39" t="e">
        <f>S8</f>
        <v>#REF!</v>
      </c>
      <c r="U8" s="39" t="e">
        <f t="shared" ref="U8:AJ8" si="2">T8</f>
        <v>#REF!</v>
      </c>
      <c r="V8" s="39" t="e">
        <f t="shared" si="2"/>
        <v>#REF!</v>
      </c>
      <c r="W8" s="39" t="e">
        <f t="shared" si="2"/>
        <v>#REF!</v>
      </c>
      <c r="X8" s="39" t="e">
        <f t="shared" si="2"/>
        <v>#REF!</v>
      </c>
      <c r="Y8" s="39" t="e">
        <f t="shared" si="2"/>
        <v>#REF!</v>
      </c>
      <c r="Z8" s="39" t="e">
        <f t="shared" si="2"/>
        <v>#REF!</v>
      </c>
      <c r="AA8" s="39" t="e">
        <f t="shared" si="2"/>
        <v>#REF!</v>
      </c>
      <c r="AB8" s="39" t="e">
        <f t="shared" si="2"/>
        <v>#REF!</v>
      </c>
      <c r="AC8" s="39" t="e">
        <f t="shared" si="2"/>
        <v>#REF!</v>
      </c>
      <c r="AD8" s="39" t="e">
        <f t="shared" si="2"/>
        <v>#REF!</v>
      </c>
      <c r="AE8" s="39" t="e">
        <f t="shared" si="2"/>
        <v>#REF!</v>
      </c>
      <c r="AF8" s="39" t="e">
        <f t="shared" si="2"/>
        <v>#REF!</v>
      </c>
      <c r="AG8" s="39" t="e">
        <f t="shared" si="2"/>
        <v>#REF!</v>
      </c>
      <c r="AH8" s="39" t="e">
        <f t="shared" si="2"/>
        <v>#REF!</v>
      </c>
      <c r="AI8" s="39" t="e">
        <f t="shared" si="2"/>
        <v>#REF!</v>
      </c>
      <c r="AJ8" s="39" t="e">
        <f t="shared" si="2"/>
        <v>#REF!</v>
      </c>
      <c r="AK8" s="39" t="e">
        <f t="shared" ref="AK8:AZ8" si="3">AJ8</f>
        <v>#REF!</v>
      </c>
      <c r="AL8" s="39" t="e">
        <f t="shared" si="3"/>
        <v>#REF!</v>
      </c>
      <c r="AM8" s="39" t="e">
        <f t="shared" si="3"/>
        <v>#REF!</v>
      </c>
      <c r="AN8" s="39" t="e">
        <f t="shared" si="3"/>
        <v>#REF!</v>
      </c>
      <c r="AO8" s="39" t="e">
        <f t="shared" si="3"/>
        <v>#REF!</v>
      </c>
      <c r="AP8" s="39" t="e">
        <f t="shared" si="3"/>
        <v>#REF!</v>
      </c>
      <c r="AQ8" s="39" t="e">
        <f t="shared" si="3"/>
        <v>#REF!</v>
      </c>
      <c r="AR8" s="39" t="e">
        <f t="shared" si="3"/>
        <v>#REF!</v>
      </c>
      <c r="AS8" s="39" t="e">
        <f t="shared" si="3"/>
        <v>#REF!</v>
      </c>
      <c r="AT8" s="39" t="e">
        <f t="shared" si="3"/>
        <v>#REF!</v>
      </c>
      <c r="AU8" s="39" t="e">
        <f t="shared" si="3"/>
        <v>#REF!</v>
      </c>
      <c r="AV8" s="39" t="e">
        <f t="shared" si="3"/>
        <v>#REF!</v>
      </c>
      <c r="AW8" s="39" t="e">
        <f t="shared" si="3"/>
        <v>#REF!</v>
      </c>
      <c r="AX8" s="39" t="e">
        <f t="shared" si="3"/>
        <v>#REF!</v>
      </c>
      <c r="AY8" s="39" t="e">
        <f t="shared" si="3"/>
        <v>#REF!</v>
      </c>
      <c r="AZ8" s="39" t="e">
        <f t="shared" si="3"/>
        <v>#REF!</v>
      </c>
      <c r="BA8" s="39" t="e">
        <f t="shared" ref="BA8:BP8" si="4">AZ8</f>
        <v>#REF!</v>
      </c>
      <c r="BB8" s="39" t="e">
        <f t="shared" si="4"/>
        <v>#REF!</v>
      </c>
      <c r="BC8" s="39" t="e">
        <f t="shared" si="4"/>
        <v>#REF!</v>
      </c>
      <c r="BD8" s="39" t="e">
        <f t="shared" si="4"/>
        <v>#REF!</v>
      </c>
      <c r="BE8" s="39" t="e">
        <f t="shared" si="4"/>
        <v>#REF!</v>
      </c>
      <c r="BF8" s="39" t="e">
        <f t="shared" si="4"/>
        <v>#REF!</v>
      </c>
      <c r="BG8" s="39" t="e">
        <f t="shared" si="4"/>
        <v>#REF!</v>
      </c>
      <c r="BH8" s="39" t="e">
        <f t="shared" si="4"/>
        <v>#REF!</v>
      </c>
      <c r="BI8" s="39" t="e">
        <f t="shared" si="4"/>
        <v>#REF!</v>
      </c>
      <c r="BJ8" s="39" t="e">
        <f t="shared" si="4"/>
        <v>#REF!</v>
      </c>
      <c r="BK8" s="39" t="e">
        <f t="shared" si="4"/>
        <v>#REF!</v>
      </c>
      <c r="BL8" s="39" t="e">
        <f t="shared" si="4"/>
        <v>#REF!</v>
      </c>
      <c r="BM8" s="39" t="e">
        <f t="shared" si="4"/>
        <v>#REF!</v>
      </c>
      <c r="BN8" s="39" t="e">
        <f t="shared" si="4"/>
        <v>#REF!</v>
      </c>
      <c r="BO8" s="39" t="e">
        <f t="shared" si="4"/>
        <v>#REF!</v>
      </c>
      <c r="BP8" s="39" t="e">
        <f t="shared" si="4"/>
        <v>#REF!</v>
      </c>
      <c r="BQ8" s="39" t="e">
        <f t="shared" ref="U8:BQ10" si="5">BP8</f>
        <v>#REF!</v>
      </c>
    </row>
    <row r="9" spans="2:69">
      <c r="B9" s="4"/>
      <c r="C9" s="4"/>
      <c r="D9" s="9" t="s">
        <v>430</v>
      </c>
      <c r="E9" s="8"/>
      <c r="F9" s="1"/>
      <c r="G9" s="10"/>
      <c r="H9" s="10"/>
      <c r="I9" s="10"/>
      <c r="J9" s="10"/>
      <c r="K9" s="1" t="s">
        <v>163</v>
      </c>
      <c r="L9" s="1"/>
      <c r="M9" s="1"/>
      <c r="N9" s="39" t="e">
        <f>【PL】決算数値入力!#REF!</f>
        <v>#REF!</v>
      </c>
      <c r="O9" s="39" t="e">
        <f>【PL】決算数値入力!#REF!</f>
        <v>#REF!</v>
      </c>
      <c r="P9" s="39" t="e">
        <f>【PL】決算数値入力!#REF!</f>
        <v>#REF!</v>
      </c>
      <c r="Q9" s="39" t="e">
        <f>【PL】決算数値入力!#REF!</f>
        <v>#REF!</v>
      </c>
      <c r="R9" s="39" t="e">
        <f>【PL】決算数値入力!#REF!</f>
        <v>#REF!</v>
      </c>
      <c r="S9" s="39" t="e">
        <f>【PL】決算数値入力!#REF!</f>
        <v>#REF!</v>
      </c>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row>
    <row r="10" spans="2:69">
      <c r="B10" s="4"/>
      <c r="C10" s="3"/>
      <c r="D10" s="9" t="s">
        <v>73</v>
      </c>
      <c r="E10" s="8"/>
      <c r="F10" s="1"/>
      <c r="G10" s="10"/>
      <c r="H10" s="10"/>
      <c r="I10" s="10"/>
      <c r="J10" s="10" t="s">
        <v>166</v>
      </c>
      <c r="K10" s="1" t="s">
        <v>532</v>
      </c>
      <c r="L10" s="1"/>
      <c r="M10" s="1"/>
      <c r="N10" s="39" t="e">
        <f>【PL】決算数値入力!#REF!</f>
        <v>#REF!</v>
      </c>
      <c r="O10" s="39" t="e">
        <f>【PL】決算数値入力!#REF!</f>
        <v>#REF!</v>
      </c>
      <c r="P10" s="39" t="e">
        <f>【PL】決算数値入力!#REF!</f>
        <v>#REF!</v>
      </c>
      <c r="Q10" s="39" t="e">
        <f>【PL】決算数値入力!#REF!</f>
        <v>#REF!</v>
      </c>
      <c r="R10" s="39" t="e">
        <f>【PL】決算数値入力!#REF!</f>
        <v>#REF!</v>
      </c>
      <c r="S10" s="39" t="e">
        <f>【PL】決算数値入力!#REF!</f>
        <v>#REF!</v>
      </c>
      <c r="T10" s="39" t="e">
        <f>S10</f>
        <v>#REF!</v>
      </c>
      <c r="U10" s="39" t="e">
        <f t="shared" si="5"/>
        <v>#REF!</v>
      </c>
      <c r="V10" s="39" t="e">
        <f t="shared" si="5"/>
        <v>#REF!</v>
      </c>
      <c r="W10" s="39" t="e">
        <f t="shared" si="5"/>
        <v>#REF!</v>
      </c>
      <c r="X10" s="39" t="e">
        <f t="shared" si="5"/>
        <v>#REF!</v>
      </c>
      <c r="Y10" s="39" t="e">
        <f t="shared" si="5"/>
        <v>#REF!</v>
      </c>
      <c r="Z10" s="39" t="e">
        <f t="shared" si="5"/>
        <v>#REF!</v>
      </c>
      <c r="AA10" s="39" t="e">
        <f t="shared" si="5"/>
        <v>#REF!</v>
      </c>
      <c r="AB10" s="39" t="e">
        <f t="shared" si="5"/>
        <v>#REF!</v>
      </c>
      <c r="AC10" s="39" t="e">
        <f t="shared" si="5"/>
        <v>#REF!</v>
      </c>
      <c r="AD10" s="39" t="e">
        <f t="shared" si="5"/>
        <v>#REF!</v>
      </c>
      <c r="AE10" s="39" t="e">
        <f t="shared" si="5"/>
        <v>#REF!</v>
      </c>
      <c r="AF10" s="39" t="e">
        <f t="shared" si="5"/>
        <v>#REF!</v>
      </c>
      <c r="AG10" s="39" t="e">
        <f t="shared" si="5"/>
        <v>#REF!</v>
      </c>
      <c r="AH10" s="39" t="e">
        <f t="shared" si="5"/>
        <v>#REF!</v>
      </c>
      <c r="AI10" s="39" t="e">
        <f t="shared" si="5"/>
        <v>#REF!</v>
      </c>
      <c r="AJ10" s="39" t="e">
        <f t="shared" si="5"/>
        <v>#REF!</v>
      </c>
      <c r="AK10" s="39" t="e">
        <f t="shared" si="5"/>
        <v>#REF!</v>
      </c>
      <c r="AL10" s="39" t="e">
        <f t="shared" si="5"/>
        <v>#REF!</v>
      </c>
      <c r="AM10" s="39" t="e">
        <f t="shared" si="5"/>
        <v>#REF!</v>
      </c>
      <c r="AN10" s="39" t="e">
        <f t="shared" si="5"/>
        <v>#REF!</v>
      </c>
      <c r="AO10" s="39" t="e">
        <f t="shared" si="5"/>
        <v>#REF!</v>
      </c>
      <c r="AP10" s="39" t="e">
        <f t="shared" si="5"/>
        <v>#REF!</v>
      </c>
      <c r="AQ10" s="39" t="e">
        <f t="shared" si="5"/>
        <v>#REF!</v>
      </c>
      <c r="AR10" s="39" t="e">
        <f t="shared" si="5"/>
        <v>#REF!</v>
      </c>
      <c r="AS10" s="39" t="e">
        <f t="shared" si="5"/>
        <v>#REF!</v>
      </c>
      <c r="AT10" s="39" t="e">
        <f t="shared" si="5"/>
        <v>#REF!</v>
      </c>
      <c r="AU10" s="39" t="e">
        <f t="shared" si="5"/>
        <v>#REF!</v>
      </c>
      <c r="AV10" s="39" t="e">
        <f t="shared" si="5"/>
        <v>#REF!</v>
      </c>
      <c r="AW10" s="39" t="e">
        <f t="shared" si="5"/>
        <v>#REF!</v>
      </c>
      <c r="AX10" s="39" t="e">
        <f t="shared" si="5"/>
        <v>#REF!</v>
      </c>
      <c r="AY10" s="39" t="e">
        <f t="shared" si="5"/>
        <v>#REF!</v>
      </c>
      <c r="AZ10" s="39" t="e">
        <f t="shared" si="5"/>
        <v>#REF!</v>
      </c>
      <c r="BA10" s="39" t="e">
        <f t="shared" si="5"/>
        <v>#REF!</v>
      </c>
      <c r="BB10" s="39" t="e">
        <f t="shared" si="5"/>
        <v>#REF!</v>
      </c>
      <c r="BC10" s="39" t="e">
        <f t="shared" si="5"/>
        <v>#REF!</v>
      </c>
      <c r="BD10" s="39" t="e">
        <f t="shared" si="5"/>
        <v>#REF!</v>
      </c>
      <c r="BE10" s="39" t="e">
        <f t="shared" si="5"/>
        <v>#REF!</v>
      </c>
      <c r="BF10" s="39" t="e">
        <f t="shared" si="5"/>
        <v>#REF!</v>
      </c>
      <c r="BG10" s="39" t="e">
        <f t="shared" si="5"/>
        <v>#REF!</v>
      </c>
      <c r="BH10" s="39" t="e">
        <f t="shared" si="5"/>
        <v>#REF!</v>
      </c>
      <c r="BI10" s="39" t="e">
        <f t="shared" si="5"/>
        <v>#REF!</v>
      </c>
      <c r="BJ10" s="39" t="e">
        <f t="shared" si="5"/>
        <v>#REF!</v>
      </c>
      <c r="BK10" s="39" t="e">
        <f t="shared" si="5"/>
        <v>#REF!</v>
      </c>
      <c r="BL10" s="39" t="e">
        <f t="shared" si="5"/>
        <v>#REF!</v>
      </c>
      <c r="BM10" s="39" t="e">
        <f t="shared" si="5"/>
        <v>#REF!</v>
      </c>
      <c r="BN10" s="39" t="e">
        <f t="shared" si="5"/>
        <v>#REF!</v>
      </c>
      <c r="BO10" s="39" t="e">
        <f t="shared" si="5"/>
        <v>#REF!</v>
      </c>
      <c r="BP10" s="39" t="e">
        <f t="shared" si="5"/>
        <v>#REF!</v>
      </c>
      <c r="BQ10" s="39" t="e">
        <f t="shared" si="5"/>
        <v>#REF!</v>
      </c>
    </row>
    <row r="11" spans="2:69">
      <c r="B11" s="4"/>
      <c r="C11" s="5" t="s">
        <v>74</v>
      </c>
      <c r="D11" s="7"/>
      <c r="E11" s="8"/>
      <c r="F11" s="1"/>
      <c r="G11" s="10"/>
      <c r="H11" s="10"/>
      <c r="I11" s="10"/>
      <c r="J11" s="10"/>
      <c r="K11" s="1"/>
      <c r="L11" s="1"/>
      <c r="M11" s="1"/>
      <c r="N11" s="39" t="e">
        <f>【PL】決算数値入力!#REF!</f>
        <v>#REF!</v>
      </c>
      <c r="O11" s="39" t="e">
        <f>【PL】決算数値入力!#REF!</f>
        <v>#REF!</v>
      </c>
      <c r="P11" s="39" t="e">
        <f>【PL】決算数値入力!#REF!</f>
        <v>#REF!</v>
      </c>
      <c r="Q11" s="39" t="e">
        <f>【PL】決算数値入力!#REF!</f>
        <v>#REF!</v>
      </c>
      <c r="R11" s="39" t="e">
        <f>【PL】決算数値入力!#REF!</f>
        <v>#REF!</v>
      </c>
      <c r="S11" s="39" t="e">
        <f>【PL】決算数値入力!#REF!</f>
        <v>#REF!</v>
      </c>
      <c r="T11" s="39" t="e">
        <f t="shared" ref="T11:BQ11" si="6">SUM(T12:T15)</f>
        <v>#REF!</v>
      </c>
      <c r="U11" s="39" t="e">
        <f t="shared" si="6"/>
        <v>#REF!</v>
      </c>
      <c r="V11" s="39" t="e">
        <f t="shared" si="6"/>
        <v>#REF!</v>
      </c>
      <c r="W11" s="39" t="e">
        <f t="shared" si="6"/>
        <v>#REF!</v>
      </c>
      <c r="X11" s="39" t="e">
        <f t="shared" si="6"/>
        <v>#REF!</v>
      </c>
      <c r="Y11" s="39" t="e">
        <f t="shared" si="6"/>
        <v>#REF!</v>
      </c>
      <c r="Z11" s="39" t="e">
        <f t="shared" si="6"/>
        <v>#REF!</v>
      </c>
      <c r="AA11" s="39" t="e">
        <f t="shared" si="6"/>
        <v>#REF!</v>
      </c>
      <c r="AB11" s="39" t="e">
        <f t="shared" si="6"/>
        <v>#REF!</v>
      </c>
      <c r="AC11" s="39" t="e">
        <f t="shared" si="6"/>
        <v>#REF!</v>
      </c>
      <c r="AD11" s="39" t="e">
        <f t="shared" si="6"/>
        <v>#REF!</v>
      </c>
      <c r="AE11" s="39" t="e">
        <f t="shared" si="6"/>
        <v>#REF!</v>
      </c>
      <c r="AF11" s="39" t="e">
        <f t="shared" si="6"/>
        <v>#REF!</v>
      </c>
      <c r="AG11" s="39" t="e">
        <f t="shared" si="6"/>
        <v>#REF!</v>
      </c>
      <c r="AH11" s="39" t="e">
        <f t="shared" si="6"/>
        <v>#REF!</v>
      </c>
      <c r="AI11" s="39" t="e">
        <f t="shared" si="6"/>
        <v>#REF!</v>
      </c>
      <c r="AJ11" s="39" t="e">
        <f t="shared" si="6"/>
        <v>#REF!</v>
      </c>
      <c r="AK11" s="39" t="e">
        <f t="shared" si="6"/>
        <v>#REF!</v>
      </c>
      <c r="AL11" s="39" t="e">
        <f t="shared" si="6"/>
        <v>#REF!</v>
      </c>
      <c r="AM11" s="39" t="e">
        <f t="shared" si="6"/>
        <v>#REF!</v>
      </c>
      <c r="AN11" s="39" t="e">
        <f t="shared" si="6"/>
        <v>#REF!</v>
      </c>
      <c r="AO11" s="39" t="e">
        <f t="shared" si="6"/>
        <v>#REF!</v>
      </c>
      <c r="AP11" s="39" t="e">
        <f t="shared" si="6"/>
        <v>#REF!</v>
      </c>
      <c r="AQ11" s="39" t="e">
        <f t="shared" si="6"/>
        <v>#REF!</v>
      </c>
      <c r="AR11" s="39" t="e">
        <f t="shared" si="6"/>
        <v>#REF!</v>
      </c>
      <c r="AS11" s="39" t="e">
        <f t="shared" si="6"/>
        <v>#REF!</v>
      </c>
      <c r="AT11" s="39" t="e">
        <f t="shared" si="6"/>
        <v>#REF!</v>
      </c>
      <c r="AU11" s="39" t="e">
        <f t="shared" si="6"/>
        <v>#REF!</v>
      </c>
      <c r="AV11" s="39" t="e">
        <f t="shared" si="6"/>
        <v>#REF!</v>
      </c>
      <c r="AW11" s="39" t="e">
        <f t="shared" si="6"/>
        <v>#REF!</v>
      </c>
      <c r="AX11" s="39" t="e">
        <f t="shared" si="6"/>
        <v>#REF!</v>
      </c>
      <c r="AY11" s="39" t="e">
        <f t="shared" si="6"/>
        <v>#REF!</v>
      </c>
      <c r="AZ11" s="39" t="e">
        <f t="shared" si="6"/>
        <v>#REF!</v>
      </c>
      <c r="BA11" s="39" t="e">
        <f t="shared" si="6"/>
        <v>#REF!</v>
      </c>
      <c r="BB11" s="39" t="e">
        <f t="shared" si="6"/>
        <v>#REF!</v>
      </c>
      <c r="BC11" s="39" t="e">
        <f t="shared" si="6"/>
        <v>#REF!</v>
      </c>
      <c r="BD11" s="39" t="e">
        <f t="shared" si="6"/>
        <v>#REF!</v>
      </c>
      <c r="BE11" s="39" t="e">
        <f t="shared" si="6"/>
        <v>#REF!</v>
      </c>
      <c r="BF11" s="39" t="e">
        <f t="shared" si="6"/>
        <v>#REF!</v>
      </c>
      <c r="BG11" s="39" t="e">
        <f t="shared" si="6"/>
        <v>#REF!</v>
      </c>
      <c r="BH11" s="39" t="e">
        <f t="shared" si="6"/>
        <v>#REF!</v>
      </c>
      <c r="BI11" s="39" t="e">
        <f t="shared" si="6"/>
        <v>#REF!</v>
      </c>
      <c r="BJ11" s="39" t="e">
        <f t="shared" si="6"/>
        <v>#REF!</v>
      </c>
      <c r="BK11" s="39" t="e">
        <f t="shared" si="6"/>
        <v>#REF!</v>
      </c>
      <c r="BL11" s="39" t="e">
        <f t="shared" si="6"/>
        <v>#REF!</v>
      </c>
      <c r="BM11" s="39" t="e">
        <f t="shared" si="6"/>
        <v>#REF!</v>
      </c>
      <c r="BN11" s="39" t="e">
        <f t="shared" si="6"/>
        <v>#REF!</v>
      </c>
      <c r="BO11" s="39" t="e">
        <f t="shared" si="6"/>
        <v>#REF!</v>
      </c>
      <c r="BP11" s="39" t="e">
        <f t="shared" si="6"/>
        <v>#REF!</v>
      </c>
      <c r="BQ11" s="39" t="e">
        <f t="shared" si="6"/>
        <v>#REF!</v>
      </c>
    </row>
    <row r="12" spans="2:69">
      <c r="B12" s="4"/>
      <c r="C12" s="4"/>
      <c r="D12" s="9" t="s">
        <v>75</v>
      </c>
      <c r="E12" s="8"/>
      <c r="F12" s="1"/>
      <c r="G12" s="10"/>
      <c r="H12" s="10"/>
      <c r="I12" s="10"/>
      <c r="J12" s="10" t="s">
        <v>166</v>
      </c>
      <c r="K12" s="1" t="s">
        <v>532</v>
      </c>
      <c r="L12" s="1"/>
      <c r="M12" s="1"/>
      <c r="N12" s="39" t="e">
        <f>【PL】決算数値入力!#REF!</f>
        <v>#REF!</v>
      </c>
      <c r="O12" s="39" t="e">
        <f>【PL】決算数値入力!#REF!</f>
        <v>#REF!</v>
      </c>
      <c r="P12" s="39" t="e">
        <f>【PL】決算数値入力!#REF!</f>
        <v>#REF!</v>
      </c>
      <c r="Q12" s="39" t="e">
        <f>【PL】決算数値入力!#REF!</f>
        <v>#REF!</v>
      </c>
      <c r="R12" s="39" t="e">
        <f>【PL】決算数値入力!#REF!</f>
        <v>#REF!</v>
      </c>
      <c r="S12" s="39" t="e">
        <f>【PL】決算数値入力!#REF!</f>
        <v>#REF!</v>
      </c>
      <c r="T12" s="39" t="e">
        <f>S12</f>
        <v>#REF!</v>
      </c>
      <c r="U12" s="39" t="e">
        <f t="shared" ref="U12:AJ12" si="7">T12</f>
        <v>#REF!</v>
      </c>
      <c r="V12" s="39" t="e">
        <f t="shared" si="7"/>
        <v>#REF!</v>
      </c>
      <c r="W12" s="39" t="e">
        <f t="shared" si="7"/>
        <v>#REF!</v>
      </c>
      <c r="X12" s="39" t="e">
        <f t="shared" si="7"/>
        <v>#REF!</v>
      </c>
      <c r="Y12" s="39" t="e">
        <f t="shared" si="7"/>
        <v>#REF!</v>
      </c>
      <c r="Z12" s="39" t="e">
        <f t="shared" si="7"/>
        <v>#REF!</v>
      </c>
      <c r="AA12" s="39" t="e">
        <f t="shared" si="7"/>
        <v>#REF!</v>
      </c>
      <c r="AB12" s="39" t="e">
        <f t="shared" si="7"/>
        <v>#REF!</v>
      </c>
      <c r="AC12" s="39" t="e">
        <f t="shared" si="7"/>
        <v>#REF!</v>
      </c>
      <c r="AD12" s="39" t="e">
        <f t="shared" si="7"/>
        <v>#REF!</v>
      </c>
      <c r="AE12" s="39" t="e">
        <f t="shared" si="7"/>
        <v>#REF!</v>
      </c>
      <c r="AF12" s="39" t="e">
        <f t="shared" si="7"/>
        <v>#REF!</v>
      </c>
      <c r="AG12" s="39" t="e">
        <f t="shared" si="7"/>
        <v>#REF!</v>
      </c>
      <c r="AH12" s="39" t="e">
        <f t="shared" si="7"/>
        <v>#REF!</v>
      </c>
      <c r="AI12" s="39" t="e">
        <f t="shared" si="7"/>
        <v>#REF!</v>
      </c>
      <c r="AJ12" s="39" t="e">
        <f t="shared" si="7"/>
        <v>#REF!</v>
      </c>
      <c r="AK12" s="39" t="e">
        <f t="shared" ref="AK12:AZ12" si="8">AJ12</f>
        <v>#REF!</v>
      </c>
      <c r="AL12" s="39" t="e">
        <f t="shared" si="8"/>
        <v>#REF!</v>
      </c>
      <c r="AM12" s="39" t="e">
        <f t="shared" si="8"/>
        <v>#REF!</v>
      </c>
      <c r="AN12" s="39" t="e">
        <f t="shared" si="8"/>
        <v>#REF!</v>
      </c>
      <c r="AO12" s="39" t="e">
        <f t="shared" si="8"/>
        <v>#REF!</v>
      </c>
      <c r="AP12" s="39" t="e">
        <f t="shared" si="8"/>
        <v>#REF!</v>
      </c>
      <c r="AQ12" s="39" t="e">
        <f t="shared" si="8"/>
        <v>#REF!</v>
      </c>
      <c r="AR12" s="39" t="e">
        <f t="shared" si="8"/>
        <v>#REF!</v>
      </c>
      <c r="AS12" s="39" t="e">
        <f t="shared" si="8"/>
        <v>#REF!</v>
      </c>
      <c r="AT12" s="39" t="e">
        <f t="shared" si="8"/>
        <v>#REF!</v>
      </c>
      <c r="AU12" s="39" t="e">
        <f t="shared" si="8"/>
        <v>#REF!</v>
      </c>
      <c r="AV12" s="39" t="e">
        <f t="shared" si="8"/>
        <v>#REF!</v>
      </c>
      <c r="AW12" s="39" t="e">
        <f t="shared" si="8"/>
        <v>#REF!</v>
      </c>
      <c r="AX12" s="39" t="e">
        <f t="shared" si="8"/>
        <v>#REF!</v>
      </c>
      <c r="AY12" s="39" t="e">
        <f t="shared" si="8"/>
        <v>#REF!</v>
      </c>
      <c r="AZ12" s="39" t="e">
        <f t="shared" si="8"/>
        <v>#REF!</v>
      </c>
      <c r="BA12" s="39" t="e">
        <f t="shared" ref="BA12:BP12" si="9">AZ12</f>
        <v>#REF!</v>
      </c>
      <c r="BB12" s="39" t="e">
        <f t="shared" si="9"/>
        <v>#REF!</v>
      </c>
      <c r="BC12" s="39" t="e">
        <f t="shared" si="9"/>
        <v>#REF!</v>
      </c>
      <c r="BD12" s="39" t="e">
        <f t="shared" si="9"/>
        <v>#REF!</v>
      </c>
      <c r="BE12" s="39" t="e">
        <f t="shared" si="9"/>
        <v>#REF!</v>
      </c>
      <c r="BF12" s="39" t="e">
        <f t="shared" si="9"/>
        <v>#REF!</v>
      </c>
      <c r="BG12" s="39" t="e">
        <f t="shared" si="9"/>
        <v>#REF!</v>
      </c>
      <c r="BH12" s="39" t="e">
        <f t="shared" si="9"/>
        <v>#REF!</v>
      </c>
      <c r="BI12" s="39" t="e">
        <f t="shared" si="9"/>
        <v>#REF!</v>
      </c>
      <c r="BJ12" s="39" t="e">
        <f t="shared" si="9"/>
        <v>#REF!</v>
      </c>
      <c r="BK12" s="39" t="e">
        <f t="shared" si="9"/>
        <v>#REF!</v>
      </c>
      <c r="BL12" s="39" t="e">
        <f t="shared" si="9"/>
        <v>#REF!</v>
      </c>
      <c r="BM12" s="39" t="e">
        <f t="shared" si="9"/>
        <v>#REF!</v>
      </c>
      <c r="BN12" s="39" t="e">
        <f t="shared" si="9"/>
        <v>#REF!</v>
      </c>
      <c r="BO12" s="39" t="e">
        <f t="shared" si="9"/>
        <v>#REF!</v>
      </c>
      <c r="BP12" s="39" t="e">
        <f t="shared" si="9"/>
        <v>#REF!</v>
      </c>
      <c r="BQ12" s="39" t="e">
        <f t="shared" ref="U12:BQ14" si="10">BP12</f>
        <v>#REF!</v>
      </c>
    </row>
    <row r="13" spans="2:69">
      <c r="B13" s="4"/>
      <c r="C13" s="4"/>
      <c r="D13" s="9" t="s">
        <v>76</v>
      </c>
      <c r="E13" s="8"/>
      <c r="F13" s="1"/>
      <c r="G13" s="10"/>
      <c r="H13" s="10"/>
      <c r="I13" s="10"/>
      <c r="J13" s="10" t="s">
        <v>166</v>
      </c>
      <c r="K13" s="1" t="s">
        <v>169</v>
      </c>
      <c r="L13" s="1"/>
      <c r="M13" s="1"/>
      <c r="N13" s="39" t="e">
        <f>【PL】決算数値入力!#REF!</f>
        <v>#REF!</v>
      </c>
      <c r="O13" s="39" t="e">
        <f>【PL】決算数値入力!#REF!</f>
        <v>#REF!</v>
      </c>
      <c r="P13" s="39" t="e">
        <f>【PL】決算数値入力!#REF!</f>
        <v>#REF!</v>
      </c>
      <c r="Q13" s="39" t="e">
        <f>【PL】決算数値入力!#REF!</f>
        <v>#REF!</v>
      </c>
      <c r="R13" s="39" t="e">
        <f>【PL】決算数値入力!#REF!</f>
        <v>#REF!</v>
      </c>
      <c r="S13" s="39" t="e">
        <f>【PL】決算数値入力!#REF!</f>
        <v>#REF!</v>
      </c>
      <c r="T13" s="39" t="e">
        <f>S13</f>
        <v>#REF!</v>
      </c>
      <c r="U13" s="39" t="e">
        <f t="shared" si="10"/>
        <v>#REF!</v>
      </c>
      <c r="V13" s="39" t="e">
        <f t="shared" si="10"/>
        <v>#REF!</v>
      </c>
      <c r="W13" s="39" t="e">
        <f t="shared" si="10"/>
        <v>#REF!</v>
      </c>
      <c r="X13" s="39" t="e">
        <f t="shared" si="10"/>
        <v>#REF!</v>
      </c>
      <c r="Y13" s="39" t="e">
        <f t="shared" si="10"/>
        <v>#REF!</v>
      </c>
      <c r="Z13" s="39" t="e">
        <f t="shared" si="10"/>
        <v>#REF!</v>
      </c>
      <c r="AA13" s="39" t="e">
        <f t="shared" si="10"/>
        <v>#REF!</v>
      </c>
      <c r="AB13" s="39" t="e">
        <f t="shared" si="10"/>
        <v>#REF!</v>
      </c>
      <c r="AC13" s="39" t="e">
        <f t="shared" si="10"/>
        <v>#REF!</v>
      </c>
      <c r="AD13" s="39" t="e">
        <f t="shared" si="10"/>
        <v>#REF!</v>
      </c>
      <c r="AE13" s="39" t="e">
        <f t="shared" si="10"/>
        <v>#REF!</v>
      </c>
      <c r="AF13" s="39" t="e">
        <f t="shared" si="10"/>
        <v>#REF!</v>
      </c>
      <c r="AG13" s="39" t="e">
        <f t="shared" si="10"/>
        <v>#REF!</v>
      </c>
      <c r="AH13" s="39" t="e">
        <f t="shared" si="10"/>
        <v>#REF!</v>
      </c>
      <c r="AI13" s="39" t="e">
        <f t="shared" si="10"/>
        <v>#REF!</v>
      </c>
      <c r="AJ13" s="39" t="e">
        <f t="shared" si="10"/>
        <v>#REF!</v>
      </c>
      <c r="AK13" s="39" t="e">
        <f t="shared" si="10"/>
        <v>#REF!</v>
      </c>
      <c r="AL13" s="39" t="e">
        <f t="shared" si="10"/>
        <v>#REF!</v>
      </c>
      <c r="AM13" s="39" t="e">
        <f t="shared" si="10"/>
        <v>#REF!</v>
      </c>
      <c r="AN13" s="39" t="e">
        <f t="shared" si="10"/>
        <v>#REF!</v>
      </c>
      <c r="AO13" s="39" t="e">
        <f t="shared" si="10"/>
        <v>#REF!</v>
      </c>
      <c r="AP13" s="39" t="e">
        <f t="shared" si="10"/>
        <v>#REF!</v>
      </c>
      <c r="AQ13" s="39" t="e">
        <f t="shared" si="10"/>
        <v>#REF!</v>
      </c>
      <c r="AR13" s="39" t="e">
        <f t="shared" si="10"/>
        <v>#REF!</v>
      </c>
      <c r="AS13" s="39" t="e">
        <f t="shared" si="10"/>
        <v>#REF!</v>
      </c>
      <c r="AT13" s="39" t="e">
        <f t="shared" si="10"/>
        <v>#REF!</v>
      </c>
      <c r="AU13" s="39" t="e">
        <f t="shared" si="10"/>
        <v>#REF!</v>
      </c>
      <c r="AV13" s="39" t="e">
        <f t="shared" si="10"/>
        <v>#REF!</v>
      </c>
      <c r="AW13" s="39" t="e">
        <f t="shared" si="10"/>
        <v>#REF!</v>
      </c>
      <c r="AX13" s="39" t="e">
        <f t="shared" si="10"/>
        <v>#REF!</v>
      </c>
      <c r="AY13" s="39" t="e">
        <f t="shared" si="10"/>
        <v>#REF!</v>
      </c>
      <c r="AZ13" s="39" t="e">
        <f t="shared" si="10"/>
        <v>#REF!</v>
      </c>
      <c r="BA13" s="39" t="e">
        <f t="shared" si="10"/>
        <v>#REF!</v>
      </c>
      <c r="BB13" s="39" t="e">
        <f t="shared" si="10"/>
        <v>#REF!</v>
      </c>
      <c r="BC13" s="39" t="e">
        <f t="shared" si="10"/>
        <v>#REF!</v>
      </c>
      <c r="BD13" s="39" t="e">
        <f t="shared" si="10"/>
        <v>#REF!</v>
      </c>
      <c r="BE13" s="39" t="e">
        <f t="shared" si="10"/>
        <v>#REF!</v>
      </c>
      <c r="BF13" s="39" t="e">
        <f t="shared" si="10"/>
        <v>#REF!</v>
      </c>
      <c r="BG13" s="39" t="e">
        <f t="shared" si="10"/>
        <v>#REF!</v>
      </c>
      <c r="BH13" s="39" t="e">
        <f t="shared" si="10"/>
        <v>#REF!</v>
      </c>
      <c r="BI13" s="39" t="e">
        <f t="shared" si="10"/>
        <v>#REF!</v>
      </c>
      <c r="BJ13" s="39" t="e">
        <f t="shared" si="10"/>
        <v>#REF!</v>
      </c>
      <c r="BK13" s="39" t="e">
        <f t="shared" si="10"/>
        <v>#REF!</v>
      </c>
      <c r="BL13" s="39" t="e">
        <f t="shared" si="10"/>
        <v>#REF!</v>
      </c>
      <c r="BM13" s="39" t="e">
        <f t="shared" si="10"/>
        <v>#REF!</v>
      </c>
      <c r="BN13" s="39" t="e">
        <f t="shared" si="10"/>
        <v>#REF!</v>
      </c>
      <c r="BO13" s="39" t="e">
        <f t="shared" si="10"/>
        <v>#REF!</v>
      </c>
      <c r="BP13" s="39" t="e">
        <f t="shared" si="10"/>
        <v>#REF!</v>
      </c>
      <c r="BQ13" s="39" t="e">
        <f t="shared" si="10"/>
        <v>#REF!</v>
      </c>
    </row>
    <row r="14" spans="2:69">
      <c r="B14" s="4"/>
      <c r="C14" s="4"/>
      <c r="D14" s="9" t="s">
        <v>77</v>
      </c>
      <c r="E14" s="8"/>
      <c r="F14" s="1"/>
      <c r="G14" s="10"/>
      <c r="H14" s="10"/>
      <c r="I14" s="10"/>
      <c r="J14" s="10" t="s">
        <v>166</v>
      </c>
      <c r="K14" s="1" t="s">
        <v>532</v>
      </c>
      <c r="L14" s="1"/>
      <c r="M14" s="1"/>
      <c r="N14" s="39" t="e">
        <f>【PL】決算数値入力!#REF!</f>
        <v>#REF!</v>
      </c>
      <c r="O14" s="39" t="e">
        <f>【PL】決算数値入力!#REF!</f>
        <v>#REF!</v>
      </c>
      <c r="P14" s="39" t="e">
        <f>【PL】決算数値入力!#REF!</f>
        <v>#REF!</v>
      </c>
      <c r="Q14" s="39" t="e">
        <f>【PL】決算数値入力!#REF!</f>
        <v>#REF!</v>
      </c>
      <c r="R14" s="39" t="e">
        <f>【PL】決算数値入力!#REF!</f>
        <v>#REF!</v>
      </c>
      <c r="S14" s="39" t="e">
        <f>【PL】決算数値入力!#REF!</f>
        <v>#REF!</v>
      </c>
      <c r="T14" s="39" t="e">
        <f>S14</f>
        <v>#REF!</v>
      </c>
      <c r="U14" s="39" t="e">
        <f t="shared" si="10"/>
        <v>#REF!</v>
      </c>
      <c r="V14" s="39" t="e">
        <f t="shared" si="10"/>
        <v>#REF!</v>
      </c>
      <c r="W14" s="39" t="e">
        <f t="shared" si="10"/>
        <v>#REF!</v>
      </c>
      <c r="X14" s="39" t="e">
        <f t="shared" si="10"/>
        <v>#REF!</v>
      </c>
      <c r="Y14" s="39" t="e">
        <f t="shared" si="10"/>
        <v>#REF!</v>
      </c>
      <c r="Z14" s="39" t="e">
        <f t="shared" si="10"/>
        <v>#REF!</v>
      </c>
      <c r="AA14" s="39" t="e">
        <f t="shared" si="10"/>
        <v>#REF!</v>
      </c>
      <c r="AB14" s="39" t="e">
        <f t="shared" si="10"/>
        <v>#REF!</v>
      </c>
      <c r="AC14" s="39" t="e">
        <f t="shared" si="10"/>
        <v>#REF!</v>
      </c>
      <c r="AD14" s="39" t="e">
        <f t="shared" si="10"/>
        <v>#REF!</v>
      </c>
      <c r="AE14" s="39" t="e">
        <f t="shared" si="10"/>
        <v>#REF!</v>
      </c>
      <c r="AF14" s="39" t="e">
        <f t="shared" si="10"/>
        <v>#REF!</v>
      </c>
      <c r="AG14" s="39" t="e">
        <f t="shared" si="10"/>
        <v>#REF!</v>
      </c>
      <c r="AH14" s="39" t="e">
        <f t="shared" si="10"/>
        <v>#REF!</v>
      </c>
      <c r="AI14" s="39" t="e">
        <f t="shared" si="10"/>
        <v>#REF!</v>
      </c>
      <c r="AJ14" s="39" t="e">
        <f t="shared" si="10"/>
        <v>#REF!</v>
      </c>
      <c r="AK14" s="39" t="e">
        <f t="shared" si="10"/>
        <v>#REF!</v>
      </c>
      <c r="AL14" s="39" t="e">
        <f t="shared" si="10"/>
        <v>#REF!</v>
      </c>
      <c r="AM14" s="39" t="e">
        <f t="shared" si="10"/>
        <v>#REF!</v>
      </c>
      <c r="AN14" s="39" t="e">
        <f t="shared" si="10"/>
        <v>#REF!</v>
      </c>
      <c r="AO14" s="39" t="e">
        <f t="shared" si="10"/>
        <v>#REF!</v>
      </c>
      <c r="AP14" s="39" t="e">
        <f t="shared" si="10"/>
        <v>#REF!</v>
      </c>
      <c r="AQ14" s="39" t="e">
        <f t="shared" si="10"/>
        <v>#REF!</v>
      </c>
      <c r="AR14" s="39" t="e">
        <f t="shared" si="10"/>
        <v>#REF!</v>
      </c>
      <c r="AS14" s="39" t="e">
        <f t="shared" si="10"/>
        <v>#REF!</v>
      </c>
      <c r="AT14" s="39" t="e">
        <f t="shared" si="10"/>
        <v>#REF!</v>
      </c>
      <c r="AU14" s="39" t="e">
        <f t="shared" si="10"/>
        <v>#REF!</v>
      </c>
      <c r="AV14" s="39" t="e">
        <f t="shared" si="10"/>
        <v>#REF!</v>
      </c>
      <c r="AW14" s="39" t="e">
        <f t="shared" si="10"/>
        <v>#REF!</v>
      </c>
      <c r="AX14" s="39" t="e">
        <f t="shared" si="10"/>
        <v>#REF!</v>
      </c>
      <c r="AY14" s="39" t="e">
        <f t="shared" si="10"/>
        <v>#REF!</v>
      </c>
      <c r="AZ14" s="39" t="e">
        <f t="shared" si="10"/>
        <v>#REF!</v>
      </c>
      <c r="BA14" s="39" t="e">
        <f t="shared" si="10"/>
        <v>#REF!</v>
      </c>
      <c r="BB14" s="39" t="e">
        <f t="shared" si="10"/>
        <v>#REF!</v>
      </c>
      <c r="BC14" s="39" t="e">
        <f t="shared" si="10"/>
        <v>#REF!</v>
      </c>
      <c r="BD14" s="39" t="e">
        <f t="shared" si="10"/>
        <v>#REF!</v>
      </c>
      <c r="BE14" s="39" t="e">
        <f t="shared" si="10"/>
        <v>#REF!</v>
      </c>
      <c r="BF14" s="39" t="e">
        <f t="shared" si="10"/>
        <v>#REF!</v>
      </c>
      <c r="BG14" s="39" t="e">
        <f t="shared" si="10"/>
        <v>#REF!</v>
      </c>
      <c r="BH14" s="39" t="e">
        <f t="shared" si="10"/>
        <v>#REF!</v>
      </c>
      <c r="BI14" s="39" t="e">
        <f t="shared" si="10"/>
        <v>#REF!</v>
      </c>
      <c r="BJ14" s="39" t="e">
        <f t="shared" si="10"/>
        <v>#REF!</v>
      </c>
      <c r="BK14" s="39" t="e">
        <f t="shared" si="10"/>
        <v>#REF!</v>
      </c>
      <c r="BL14" s="39" t="e">
        <f t="shared" si="10"/>
        <v>#REF!</v>
      </c>
      <c r="BM14" s="39" t="e">
        <f t="shared" si="10"/>
        <v>#REF!</v>
      </c>
      <c r="BN14" s="39" t="e">
        <f t="shared" si="10"/>
        <v>#REF!</v>
      </c>
      <c r="BO14" s="39" t="e">
        <f t="shared" si="10"/>
        <v>#REF!</v>
      </c>
      <c r="BP14" s="39" t="e">
        <f t="shared" si="10"/>
        <v>#REF!</v>
      </c>
      <c r="BQ14" s="39" t="e">
        <f t="shared" si="10"/>
        <v>#REF!</v>
      </c>
    </row>
    <row r="15" spans="2:69">
      <c r="B15" s="4"/>
      <c r="C15" s="4"/>
      <c r="D15" s="5" t="s">
        <v>78</v>
      </c>
      <c r="E15" s="8"/>
      <c r="F15" s="1"/>
      <c r="G15" s="10"/>
      <c r="H15" s="10"/>
      <c r="I15" s="10"/>
      <c r="J15" s="10"/>
      <c r="K15" s="1"/>
      <c r="L15" s="1"/>
      <c r="M15" s="1"/>
      <c r="N15" s="39" t="e">
        <f>【PL】決算数値入力!#REF!</f>
        <v>#REF!</v>
      </c>
      <c r="O15" s="39" t="e">
        <f>【PL】決算数値入力!#REF!</f>
        <v>#REF!</v>
      </c>
      <c r="P15" s="39" t="e">
        <f>【PL】決算数値入力!#REF!</f>
        <v>#REF!</v>
      </c>
      <c r="Q15" s="39" t="e">
        <f>【PL】決算数値入力!#REF!</f>
        <v>#REF!</v>
      </c>
      <c r="R15" s="39" t="e">
        <f>【PL】決算数値入力!#REF!</f>
        <v>#REF!</v>
      </c>
      <c r="S15" s="39" t="e">
        <f>【PL】決算数値入力!#REF!</f>
        <v>#REF!</v>
      </c>
      <c r="T15" s="39">
        <f t="shared" ref="T15:BQ15" si="11">SUM(T16:T17)</f>
        <v>4493777</v>
      </c>
      <c r="U15" s="39">
        <f t="shared" si="11"/>
        <v>11498029</v>
      </c>
      <c r="V15" s="39">
        <f t="shared" si="11"/>
        <v>5367026</v>
      </c>
      <c r="W15" s="39">
        <f t="shared" si="11"/>
        <v>5367026</v>
      </c>
      <c r="X15" s="39">
        <f t="shared" si="11"/>
        <v>5367026</v>
      </c>
      <c r="Y15" s="39">
        <f t="shared" si="11"/>
        <v>5367026</v>
      </c>
      <c r="Z15" s="39">
        <f t="shared" si="11"/>
        <v>5367026</v>
      </c>
      <c r="AA15" s="39">
        <f t="shared" si="11"/>
        <v>5367026</v>
      </c>
      <c r="AB15" s="39">
        <f t="shared" si="11"/>
        <v>7033604.9473684207</v>
      </c>
      <c r="AC15" s="39">
        <f t="shared" si="11"/>
        <v>8349394.4210526319</v>
      </c>
      <c r="AD15" s="39">
        <f t="shared" si="11"/>
        <v>9665183.8947368413</v>
      </c>
      <c r="AE15" s="39">
        <f t="shared" si="11"/>
        <v>10980973.368421052</v>
      </c>
      <c r="AF15" s="39">
        <f t="shared" si="11"/>
        <v>12296762.842105262</v>
      </c>
      <c r="AG15" s="39">
        <f t="shared" si="11"/>
        <v>12296762.842105262</v>
      </c>
      <c r="AH15" s="39">
        <f t="shared" si="11"/>
        <v>12262449.842105262</v>
      </c>
      <c r="AI15" s="39">
        <f t="shared" si="11"/>
        <v>10091008.842105262</v>
      </c>
      <c r="AJ15" s="39">
        <f t="shared" si="11"/>
        <v>8146539.8421052629</v>
      </c>
      <c r="AK15" s="39">
        <f t="shared" si="11"/>
        <v>7886130.8421052629</v>
      </c>
      <c r="AL15" s="39">
        <f t="shared" si="11"/>
        <v>7706872.8421052629</v>
      </c>
      <c r="AM15" s="39">
        <f t="shared" si="11"/>
        <v>7639596.8421052629</v>
      </c>
      <c r="AN15" s="39">
        <f t="shared" si="11"/>
        <v>7639596.8421052629</v>
      </c>
      <c r="AO15" s="39">
        <f t="shared" si="11"/>
        <v>7639596.8421052629</v>
      </c>
      <c r="AP15" s="39">
        <f t="shared" si="11"/>
        <v>7639596.8421052629</v>
      </c>
      <c r="AQ15" s="39">
        <f t="shared" si="11"/>
        <v>7639596.8421052629</v>
      </c>
      <c r="AR15" s="39">
        <f t="shared" si="11"/>
        <v>7639596.8421052629</v>
      </c>
      <c r="AS15" s="39">
        <f t="shared" si="11"/>
        <v>7639596.8421052629</v>
      </c>
      <c r="AT15" s="39">
        <f t="shared" si="11"/>
        <v>7639596.8421052629</v>
      </c>
      <c r="AU15" s="39">
        <f t="shared" si="11"/>
        <v>7639596.8421052629</v>
      </c>
      <c r="AV15" s="39">
        <f t="shared" si="11"/>
        <v>7639596.8421052629</v>
      </c>
      <c r="AW15" s="39">
        <f t="shared" si="11"/>
        <v>7639596.8421052629</v>
      </c>
      <c r="AX15" s="39">
        <f t="shared" si="11"/>
        <v>7639596.8421052629</v>
      </c>
      <c r="AY15" s="39">
        <f t="shared" si="11"/>
        <v>7639596.8421052629</v>
      </c>
      <c r="AZ15" s="39">
        <f t="shared" si="11"/>
        <v>7639596.8421052629</v>
      </c>
      <c r="BA15" s="39">
        <f t="shared" si="11"/>
        <v>7639596.8421052629</v>
      </c>
      <c r="BB15" s="39">
        <f t="shared" si="11"/>
        <v>7639596.8421052629</v>
      </c>
      <c r="BC15" s="39">
        <f t="shared" si="11"/>
        <v>7639596.8421052629</v>
      </c>
      <c r="BD15" s="39">
        <f t="shared" si="11"/>
        <v>7061275.8421052629</v>
      </c>
      <c r="BE15" s="39">
        <f t="shared" si="11"/>
        <v>6929736.8421052629</v>
      </c>
      <c r="BF15" s="39">
        <f t="shared" si="11"/>
        <v>6929736.8421052629</v>
      </c>
      <c r="BG15" s="39">
        <f t="shared" si="11"/>
        <v>6929736.8421052629</v>
      </c>
      <c r="BH15" s="39">
        <f t="shared" si="11"/>
        <v>6929736.8421052629</v>
      </c>
      <c r="BI15" s="39">
        <f t="shared" si="11"/>
        <v>6929736.8421052629</v>
      </c>
      <c r="BJ15" s="39">
        <f t="shared" si="11"/>
        <v>6929736.8421052629</v>
      </c>
      <c r="BK15" s="39">
        <f t="shared" si="11"/>
        <v>6929736.8421052629</v>
      </c>
      <c r="BL15" s="39">
        <f t="shared" si="11"/>
        <v>6929736.8421052629</v>
      </c>
      <c r="BM15" s="39">
        <f t="shared" si="11"/>
        <v>6929736.8421052629</v>
      </c>
      <c r="BN15" s="39">
        <f t="shared" si="11"/>
        <v>6929736.8421052629</v>
      </c>
      <c r="BO15" s="39">
        <f t="shared" si="11"/>
        <v>6929736.8421052629</v>
      </c>
      <c r="BP15" s="39">
        <f t="shared" si="11"/>
        <v>6929736.8421052629</v>
      </c>
      <c r="BQ15" s="39">
        <f t="shared" si="11"/>
        <v>6929736.8421052629</v>
      </c>
    </row>
    <row r="16" spans="2:69">
      <c r="B16" s="4"/>
      <c r="C16" s="4"/>
      <c r="D16" s="4"/>
      <c r="E16" s="1" t="s">
        <v>79</v>
      </c>
      <c r="F16" s="1"/>
      <c r="G16" s="10"/>
      <c r="H16" s="10"/>
      <c r="I16" s="10"/>
      <c r="J16" s="10"/>
      <c r="K16" s="1" t="s">
        <v>170</v>
      </c>
      <c r="L16" s="1"/>
      <c r="M16" s="1"/>
      <c r="N16" s="39" t="e">
        <f>【PL】決算数値入力!#REF!</f>
        <v>#REF!</v>
      </c>
      <c r="O16" s="39" t="e">
        <f>【PL】決算数値入力!#REF!</f>
        <v>#REF!</v>
      </c>
      <c r="P16" s="39" t="e">
        <f>【PL】決算数値入力!#REF!</f>
        <v>#REF!</v>
      </c>
      <c r="Q16" s="39" t="e">
        <f>【PL】決算数値入力!#REF!</f>
        <v>#REF!</v>
      </c>
      <c r="R16" s="39" t="e">
        <f>【PL】決算数値入力!#REF!</f>
        <v>#REF!</v>
      </c>
      <c r="S16" s="39" t="e">
        <f>【PL】決算数値入力!#REF!</f>
        <v>#REF!</v>
      </c>
      <c r="T16" s="39">
        <v>4493777</v>
      </c>
      <c r="U16" s="39">
        <v>11498029</v>
      </c>
      <c r="V16" s="39">
        <v>5367026</v>
      </c>
      <c r="W16" s="39">
        <v>5367026</v>
      </c>
      <c r="X16" s="39">
        <v>5367026</v>
      </c>
      <c r="Y16" s="39">
        <v>5367026</v>
      </c>
      <c r="Z16" s="39">
        <v>5367026</v>
      </c>
      <c r="AA16" s="39">
        <v>5367026</v>
      </c>
      <c r="AB16" s="39">
        <v>5367026</v>
      </c>
      <c r="AC16" s="39">
        <v>5367026</v>
      </c>
      <c r="AD16" s="39">
        <v>5367026</v>
      </c>
      <c r="AE16" s="39">
        <v>5367026</v>
      </c>
      <c r="AF16" s="39">
        <v>5367026</v>
      </c>
      <c r="AG16" s="39">
        <v>5367026</v>
      </c>
      <c r="AH16" s="39">
        <v>5332713</v>
      </c>
      <c r="AI16" s="39">
        <v>3161272</v>
      </c>
      <c r="AJ16" s="39">
        <v>1216803</v>
      </c>
      <c r="AK16" s="39">
        <v>956394</v>
      </c>
      <c r="AL16" s="39">
        <v>777136</v>
      </c>
      <c r="AM16" s="39">
        <v>709860</v>
      </c>
      <c r="AN16" s="39">
        <v>709860</v>
      </c>
      <c r="AO16" s="39">
        <v>709860</v>
      </c>
      <c r="AP16" s="39">
        <v>709860</v>
      </c>
      <c r="AQ16" s="39">
        <v>709860</v>
      </c>
      <c r="AR16" s="39">
        <v>709860</v>
      </c>
      <c r="AS16" s="39">
        <v>709860</v>
      </c>
      <c r="AT16" s="39">
        <v>709860</v>
      </c>
      <c r="AU16" s="39">
        <v>709860</v>
      </c>
      <c r="AV16" s="39">
        <v>709860</v>
      </c>
      <c r="AW16" s="39">
        <v>709860</v>
      </c>
      <c r="AX16" s="39">
        <v>709860</v>
      </c>
      <c r="AY16" s="39">
        <v>709860</v>
      </c>
      <c r="AZ16" s="39">
        <v>709860</v>
      </c>
      <c r="BA16" s="39">
        <v>709860</v>
      </c>
      <c r="BB16" s="39">
        <v>709860</v>
      </c>
      <c r="BC16" s="39">
        <v>709860</v>
      </c>
      <c r="BD16" s="39">
        <v>131539</v>
      </c>
      <c r="BE16" s="39">
        <v>0</v>
      </c>
      <c r="BF16" s="39">
        <v>0</v>
      </c>
      <c r="BG16" s="39">
        <v>0</v>
      </c>
      <c r="BH16" s="39">
        <v>0</v>
      </c>
      <c r="BI16" s="39">
        <v>0</v>
      </c>
      <c r="BJ16" s="39">
        <v>0</v>
      </c>
      <c r="BK16" s="39">
        <v>0</v>
      </c>
      <c r="BL16" s="39">
        <v>0</v>
      </c>
      <c r="BM16" s="39">
        <v>0</v>
      </c>
      <c r="BN16" s="39">
        <v>0</v>
      </c>
      <c r="BO16" s="39">
        <v>0</v>
      </c>
      <c r="BP16" s="39">
        <v>0</v>
      </c>
      <c r="BQ16" s="39">
        <v>0</v>
      </c>
    </row>
    <row r="17" spans="2:69">
      <c r="B17" s="4"/>
      <c r="C17" s="3"/>
      <c r="D17" s="3"/>
      <c r="E17" s="1" t="s">
        <v>80</v>
      </c>
      <c r="F17" s="1"/>
      <c r="G17" s="10"/>
      <c r="H17" s="10"/>
      <c r="I17" s="10"/>
      <c r="J17" s="10"/>
      <c r="K17" s="1" t="s">
        <v>171</v>
      </c>
      <c r="L17" s="1"/>
      <c r="M17" s="1"/>
      <c r="N17" s="39" t="e">
        <f>【PL】決算数値入力!#REF!</f>
        <v>#REF!</v>
      </c>
      <c r="O17" s="39" t="e">
        <f>【PL】決算数値入力!#REF!</f>
        <v>#REF!</v>
      </c>
      <c r="P17" s="39" t="e">
        <f>【PL】決算数値入力!#REF!</f>
        <v>#REF!</v>
      </c>
      <c r="Q17" s="39" t="e">
        <f>【PL】決算数値入力!#REF!</f>
        <v>#REF!</v>
      </c>
      <c r="R17" s="39" t="e">
        <f>【PL】決算数値入力!#REF!</f>
        <v>#REF!</v>
      </c>
      <c r="S17" s="39" t="e">
        <f>【PL】決算数値入力!#REF!</f>
        <v>#REF!</v>
      </c>
      <c r="T17" s="39">
        <f>新規取得!I5</f>
        <v>0</v>
      </c>
      <c r="U17" s="39">
        <f>新規取得!J5</f>
        <v>0</v>
      </c>
      <c r="V17" s="39">
        <f>新規取得!K5</f>
        <v>0</v>
      </c>
      <c r="W17" s="39">
        <f>新規取得!L5</f>
        <v>0</v>
      </c>
      <c r="X17" s="39">
        <f>新規取得!M5</f>
        <v>0</v>
      </c>
      <c r="Y17" s="39">
        <f>新規取得!N5</f>
        <v>0</v>
      </c>
      <c r="Z17" s="39">
        <f>新規取得!O5</f>
        <v>0</v>
      </c>
      <c r="AA17" s="39">
        <f>新規取得!P5</f>
        <v>0</v>
      </c>
      <c r="AB17" s="39">
        <f>新規取得!Q5</f>
        <v>1666578.9473684211</v>
      </c>
      <c r="AC17" s="39">
        <f>新規取得!R5</f>
        <v>2982368.4210526319</v>
      </c>
      <c r="AD17" s="39">
        <f>新規取得!S5</f>
        <v>4298157.8947368423</v>
      </c>
      <c r="AE17" s="39">
        <f>新規取得!T5</f>
        <v>5613947.3684210526</v>
      </c>
      <c r="AF17" s="39">
        <f>新規取得!U5</f>
        <v>6929736.8421052629</v>
      </c>
      <c r="AG17" s="39">
        <f>新規取得!V5</f>
        <v>6929736.8421052629</v>
      </c>
      <c r="AH17" s="39">
        <f>新規取得!W5</f>
        <v>6929736.8421052629</v>
      </c>
      <c r="AI17" s="39">
        <f>新規取得!X5</f>
        <v>6929736.8421052629</v>
      </c>
      <c r="AJ17" s="39">
        <f>新規取得!Y5</f>
        <v>6929736.8421052629</v>
      </c>
      <c r="AK17" s="39">
        <f>新規取得!Z5</f>
        <v>6929736.8421052629</v>
      </c>
      <c r="AL17" s="39">
        <f>新規取得!AA5</f>
        <v>6929736.8421052629</v>
      </c>
      <c r="AM17" s="39">
        <f>新規取得!AB5</f>
        <v>6929736.8421052629</v>
      </c>
      <c r="AN17" s="39">
        <f>新規取得!AC5</f>
        <v>6929736.8421052629</v>
      </c>
      <c r="AO17" s="39">
        <f>新規取得!AD5</f>
        <v>6929736.8421052629</v>
      </c>
      <c r="AP17" s="39">
        <f>新規取得!AE5</f>
        <v>6929736.8421052629</v>
      </c>
      <c r="AQ17" s="39">
        <f>新規取得!AF5</f>
        <v>6929736.8421052629</v>
      </c>
      <c r="AR17" s="39">
        <f>新規取得!AG5</f>
        <v>6929736.8421052629</v>
      </c>
      <c r="AS17" s="39">
        <f>新規取得!AH5</f>
        <v>6929736.8421052629</v>
      </c>
      <c r="AT17" s="39">
        <f>新規取得!AI5</f>
        <v>6929736.8421052629</v>
      </c>
      <c r="AU17" s="39">
        <f>新規取得!AJ5</f>
        <v>6929736.8421052629</v>
      </c>
      <c r="AV17" s="39">
        <f>新規取得!AK5</f>
        <v>6929736.8421052629</v>
      </c>
      <c r="AW17" s="39">
        <f>新規取得!AL5</f>
        <v>6929736.8421052629</v>
      </c>
      <c r="AX17" s="39">
        <f>新規取得!AM5</f>
        <v>6929736.8421052629</v>
      </c>
      <c r="AY17" s="39">
        <f>新規取得!AN5</f>
        <v>6929736.8421052629</v>
      </c>
      <c r="AZ17" s="39">
        <f>新規取得!AO5</f>
        <v>6929736.8421052629</v>
      </c>
      <c r="BA17" s="39">
        <f>新規取得!AP5</f>
        <v>6929736.8421052629</v>
      </c>
      <c r="BB17" s="39">
        <f>新規取得!AQ5</f>
        <v>6929736.8421052629</v>
      </c>
      <c r="BC17" s="39">
        <f>新規取得!AR5</f>
        <v>6929736.8421052629</v>
      </c>
      <c r="BD17" s="39">
        <f>新規取得!AS5</f>
        <v>6929736.8421052629</v>
      </c>
      <c r="BE17" s="39">
        <f>新規取得!AT5</f>
        <v>6929736.8421052629</v>
      </c>
      <c r="BF17" s="39">
        <f>新規取得!AU5</f>
        <v>6929736.8421052629</v>
      </c>
      <c r="BG17" s="39">
        <f>新規取得!AV5</f>
        <v>6929736.8421052629</v>
      </c>
      <c r="BH17" s="39">
        <f>新規取得!AW5</f>
        <v>6929736.8421052629</v>
      </c>
      <c r="BI17" s="39">
        <f>新規取得!AX5</f>
        <v>6929736.8421052629</v>
      </c>
      <c r="BJ17" s="39">
        <f>新規取得!AY5</f>
        <v>6929736.8421052629</v>
      </c>
      <c r="BK17" s="39">
        <f>新規取得!AZ5</f>
        <v>6929736.8421052629</v>
      </c>
      <c r="BL17" s="39">
        <f>新規取得!BA5</f>
        <v>6929736.8421052629</v>
      </c>
      <c r="BM17" s="39">
        <f>新規取得!BB5</f>
        <v>6929736.8421052629</v>
      </c>
      <c r="BN17" s="39">
        <f>新規取得!BC5</f>
        <v>6929736.8421052629</v>
      </c>
      <c r="BO17" s="39">
        <f>新規取得!BD5</f>
        <v>6929736.8421052629</v>
      </c>
      <c r="BP17" s="39">
        <f>新規取得!BE5</f>
        <v>6929736.8421052629</v>
      </c>
      <c r="BQ17" s="39">
        <f>新規取得!BF5</f>
        <v>6929736.8421052629</v>
      </c>
    </row>
    <row r="18" spans="2:69">
      <c r="B18" s="4"/>
      <c r="C18" s="9" t="s">
        <v>81</v>
      </c>
      <c r="D18" s="7"/>
      <c r="E18" s="8"/>
      <c r="F18" s="1"/>
      <c r="G18" s="10"/>
      <c r="H18" s="10"/>
      <c r="I18" s="10"/>
      <c r="J18" s="10" t="s">
        <v>166</v>
      </c>
      <c r="K18" s="1" t="s">
        <v>163</v>
      </c>
      <c r="L18" s="1"/>
      <c r="M18" s="1"/>
      <c r="N18" s="39" t="e">
        <f>【PL】決算数値入力!#REF!</f>
        <v>#REF!</v>
      </c>
      <c r="O18" s="39" t="e">
        <f>【PL】決算数値入力!#REF!</f>
        <v>#REF!</v>
      </c>
      <c r="P18" s="39" t="e">
        <f>【PL】決算数値入力!#REF!</f>
        <v>#REF!</v>
      </c>
      <c r="Q18" s="39" t="e">
        <f>【PL】決算数値入力!#REF!</f>
        <v>#REF!</v>
      </c>
      <c r="R18" s="39" t="e">
        <f>【PL】決算数値入力!#REF!</f>
        <v>#REF!</v>
      </c>
      <c r="S18" s="39" t="e">
        <f>【PL】決算数値入力!#REF!</f>
        <v>#REF!</v>
      </c>
      <c r="T18" s="40">
        <v>0</v>
      </c>
      <c r="U18" s="40">
        <v>0</v>
      </c>
      <c r="V18" s="40">
        <v>0</v>
      </c>
      <c r="W18" s="40">
        <v>0</v>
      </c>
      <c r="X18" s="40">
        <v>0</v>
      </c>
      <c r="Y18" s="40">
        <v>0</v>
      </c>
      <c r="Z18" s="40">
        <v>0</v>
      </c>
      <c r="AA18" s="40">
        <v>0</v>
      </c>
      <c r="AB18" s="40">
        <v>0</v>
      </c>
      <c r="AC18" s="40">
        <v>0</v>
      </c>
      <c r="AD18" s="40">
        <v>0</v>
      </c>
      <c r="AE18" s="40">
        <v>0</v>
      </c>
      <c r="AF18" s="40">
        <v>0</v>
      </c>
      <c r="AG18" s="40">
        <v>0</v>
      </c>
      <c r="AH18" s="40">
        <v>0</v>
      </c>
      <c r="AI18" s="40">
        <v>0</v>
      </c>
      <c r="AJ18" s="40">
        <v>0</v>
      </c>
      <c r="AK18" s="40">
        <v>0</v>
      </c>
      <c r="AL18" s="40">
        <v>0</v>
      </c>
      <c r="AM18" s="40">
        <v>0</v>
      </c>
      <c r="AN18" s="40">
        <v>0</v>
      </c>
      <c r="AO18" s="40">
        <v>0</v>
      </c>
      <c r="AP18" s="40">
        <v>0</v>
      </c>
      <c r="AQ18" s="40">
        <v>0</v>
      </c>
      <c r="AR18" s="40">
        <v>0</v>
      </c>
      <c r="AS18" s="40">
        <v>0</v>
      </c>
      <c r="AT18" s="40">
        <v>0</v>
      </c>
      <c r="AU18" s="40">
        <v>0</v>
      </c>
      <c r="AV18" s="40">
        <v>0</v>
      </c>
      <c r="AW18" s="40">
        <v>0</v>
      </c>
      <c r="AX18" s="40">
        <v>0</v>
      </c>
      <c r="AY18" s="40">
        <v>0</v>
      </c>
      <c r="AZ18" s="40">
        <v>0</v>
      </c>
      <c r="BA18" s="40">
        <v>0</v>
      </c>
      <c r="BB18" s="40">
        <v>0</v>
      </c>
      <c r="BC18" s="40">
        <v>0</v>
      </c>
      <c r="BD18" s="40">
        <v>0</v>
      </c>
      <c r="BE18" s="40">
        <v>0</v>
      </c>
      <c r="BF18" s="40">
        <v>0</v>
      </c>
      <c r="BG18" s="40">
        <v>0</v>
      </c>
      <c r="BH18" s="40">
        <v>0</v>
      </c>
      <c r="BI18" s="40">
        <v>0</v>
      </c>
      <c r="BJ18" s="40">
        <v>0</v>
      </c>
      <c r="BK18" s="40">
        <v>0</v>
      </c>
      <c r="BL18" s="40">
        <v>0</v>
      </c>
      <c r="BM18" s="40">
        <v>0</v>
      </c>
      <c r="BN18" s="40">
        <v>0</v>
      </c>
      <c r="BO18" s="40">
        <v>0</v>
      </c>
      <c r="BP18" s="40">
        <v>0</v>
      </c>
      <c r="BQ18" s="40">
        <v>0</v>
      </c>
    </row>
    <row r="19" spans="2:69">
      <c r="B19" s="4"/>
      <c r="C19" s="5" t="s">
        <v>82</v>
      </c>
      <c r="D19" s="7"/>
      <c r="E19" s="8"/>
      <c r="F19" s="1"/>
      <c r="G19" s="10"/>
      <c r="H19" s="10"/>
      <c r="I19" s="10"/>
      <c r="J19" s="10"/>
      <c r="K19" s="1"/>
      <c r="L19" s="1"/>
      <c r="M19" s="1"/>
      <c r="N19" s="39" t="e">
        <f>【PL】決算数値入力!#REF!</f>
        <v>#REF!</v>
      </c>
      <c r="O19" s="39" t="e">
        <f>【PL】決算数値入力!#REF!</f>
        <v>#REF!</v>
      </c>
      <c r="P19" s="39" t="e">
        <f>【PL】決算数値入力!#REF!</f>
        <v>#REF!</v>
      </c>
      <c r="Q19" s="39" t="e">
        <f>【PL】決算数値入力!#REF!</f>
        <v>#REF!</v>
      </c>
      <c r="R19" s="39" t="e">
        <f>【PL】決算数値入力!#REF!</f>
        <v>#REF!</v>
      </c>
      <c r="S19" s="39" t="e">
        <f>【PL】決算数値入力!#REF!</f>
        <v>#REF!</v>
      </c>
      <c r="T19" s="39">
        <f t="shared" ref="T19:BQ19" si="12">SUM(T20:T22)</f>
        <v>0</v>
      </c>
      <c r="U19" s="39">
        <f t="shared" si="12"/>
        <v>0</v>
      </c>
      <c r="V19" s="39">
        <f t="shared" si="12"/>
        <v>0</v>
      </c>
      <c r="W19" s="39">
        <f t="shared" si="12"/>
        <v>0</v>
      </c>
      <c r="X19" s="39">
        <f t="shared" si="12"/>
        <v>0</v>
      </c>
      <c r="Y19" s="39">
        <f t="shared" si="12"/>
        <v>0</v>
      </c>
      <c r="Z19" s="39">
        <f t="shared" si="12"/>
        <v>0</v>
      </c>
      <c r="AA19" s="39">
        <f t="shared" si="12"/>
        <v>0</v>
      </c>
      <c r="AB19" s="39">
        <f t="shared" si="12"/>
        <v>0</v>
      </c>
      <c r="AC19" s="39">
        <f t="shared" si="12"/>
        <v>0</v>
      </c>
      <c r="AD19" s="39">
        <f t="shared" si="12"/>
        <v>0</v>
      </c>
      <c r="AE19" s="39">
        <f t="shared" si="12"/>
        <v>0</v>
      </c>
      <c r="AF19" s="39">
        <f t="shared" si="12"/>
        <v>0</v>
      </c>
      <c r="AG19" s="39">
        <f t="shared" si="12"/>
        <v>0</v>
      </c>
      <c r="AH19" s="39">
        <f t="shared" si="12"/>
        <v>0</v>
      </c>
      <c r="AI19" s="39">
        <f t="shared" si="12"/>
        <v>0</v>
      </c>
      <c r="AJ19" s="39">
        <f t="shared" si="12"/>
        <v>0</v>
      </c>
      <c r="AK19" s="39">
        <f t="shared" si="12"/>
        <v>0</v>
      </c>
      <c r="AL19" s="39">
        <f t="shared" si="12"/>
        <v>0</v>
      </c>
      <c r="AM19" s="39">
        <f t="shared" si="12"/>
        <v>0</v>
      </c>
      <c r="AN19" s="39">
        <f t="shared" si="12"/>
        <v>0</v>
      </c>
      <c r="AO19" s="39">
        <f t="shared" si="12"/>
        <v>0</v>
      </c>
      <c r="AP19" s="39">
        <f t="shared" si="12"/>
        <v>0</v>
      </c>
      <c r="AQ19" s="39">
        <f t="shared" si="12"/>
        <v>0</v>
      </c>
      <c r="AR19" s="39">
        <f t="shared" si="12"/>
        <v>0</v>
      </c>
      <c r="AS19" s="39">
        <f t="shared" si="12"/>
        <v>0</v>
      </c>
      <c r="AT19" s="39">
        <f t="shared" si="12"/>
        <v>0</v>
      </c>
      <c r="AU19" s="39">
        <f t="shared" si="12"/>
        <v>0</v>
      </c>
      <c r="AV19" s="39">
        <f t="shared" si="12"/>
        <v>0</v>
      </c>
      <c r="AW19" s="39">
        <f t="shared" si="12"/>
        <v>0</v>
      </c>
      <c r="AX19" s="39">
        <f t="shared" si="12"/>
        <v>0</v>
      </c>
      <c r="AY19" s="39">
        <f t="shared" si="12"/>
        <v>0</v>
      </c>
      <c r="AZ19" s="39">
        <f t="shared" si="12"/>
        <v>0</v>
      </c>
      <c r="BA19" s="39">
        <f t="shared" si="12"/>
        <v>0</v>
      </c>
      <c r="BB19" s="39">
        <f t="shared" si="12"/>
        <v>0</v>
      </c>
      <c r="BC19" s="39">
        <f t="shared" si="12"/>
        <v>0</v>
      </c>
      <c r="BD19" s="39">
        <f t="shared" si="12"/>
        <v>0</v>
      </c>
      <c r="BE19" s="39">
        <f t="shared" si="12"/>
        <v>0</v>
      </c>
      <c r="BF19" s="39">
        <f t="shared" si="12"/>
        <v>0</v>
      </c>
      <c r="BG19" s="39">
        <f t="shared" si="12"/>
        <v>0</v>
      </c>
      <c r="BH19" s="39">
        <f t="shared" si="12"/>
        <v>0</v>
      </c>
      <c r="BI19" s="39">
        <f t="shared" si="12"/>
        <v>0</v>
      </c>
      <c r="BJ19" s="39">
        <f t="shared" si="12"/>
        <v>0</v>
      </c>
      <c r="BK19" s="39">
        <f t="shared" si="12"/>
        <v>0</v>
      </c>
      <c r="BL19" s="39">
        <f t="shared" si="12"/>
        <v>0</v>
      </c>
      <c r="BM19" s="39">
        <f t="shared" si="12"/>
        <v>0</v>
      </c>
      <c r="BN19" s="39">
        <f t="shared" si="12"/>
        <v>0</v>
      </c>
      <c r="BO19" s="39">
        <f t="shared" si="12"/>
        <v>0</v>
      </c>
      <c r="BP19" s="39">
        <f t="shared" si="12"/>
        <v>0</v>
      </c>
      <c r="BQ19" s="39">
        <f t="shared" si="12"/>
        <v>0</v>
      </c>
    </row>
    <row r="20" spans="2:69">
      <c r="B20" s="4"/>
      <c r="C20" s="4"/>
      <c r="D20" s="9" t="s">
        <v>83</v>
      </c>
      <c r="E20" s="8"/>
      <c r="F20" s="1"/>
      <c r="G20" s="10"/>
      <c r="H20" s="10"/>
      <c r="I20" s="10"/>
      <c r="J20" s="10" t="s">
        <v>166</v>
      </c>
      <c r="K20" s="1" t="s">
        <v>163</v>
      </c>
      <c r="L20" s="1"/>
      <c r="M20" s="1"/>
      <c r="N20" s="39" t="e">
        <f>【PL】決算数値入力!#REF!</f>
        <v>#REF!</v>
      </c>
      <c r="O20" s="39" t="e">
        <f>【PL】決算数値入力!#REF!</f>
        <v>#REF!</v>
      </c>
      <c r="P20" s="39" t="e">
        <f>【PL】決算数値入力!#REF!</f>
        <v>#REF!</v>
      </c>
      <c r="Q20" s="39" t="e">
        <f>【PL】決算数値入力!#REF!</f>
        <v>#REF!</v>
      </c>
      <c r="R20" s="39" t="e">
        <f>【PL】決算数値入力!#REF!</f>
        <v>#REF!</v>
      </c>
      <c r="S20" s="39" t="e">
        <f>【PL】決算数値入力!#REF!</f>
        <v>#REF!</v>
      </c>
      <c r="T20" s="40">
        <v>0</v>
      </c>
      <c r="U20" s="40">
        <v>0</v>
      </c>
      <c r="V20" s="40">
        <v>0</v>
      </c>
      <c r="W20" s="40">
        <v>0</v>
      </c>
      <c r="X20" s="40">
        <v>0</v>
      </c>
      <c r="Y20" s="40">
        <v>0</v>
      </c>
      <c r="Z20" s="40">
        <v>0</v>
      </c>
      <c r="AA20" s="40">
        <v>0</v>
      </c>
      <c r="AB20" s="40">
        <v>0</v>
      </c>
      <c r="AC20" s="40">
        <v>0</v>
      </c>
      <c r="AD20" s="40">
        <v>0</v>
      </c>
      <c r="AE20" s="40">
        <v>0</v>
      </c>
      <c r="AF20" s="40">
        <v>0</v>
      </c>
      <c r="AG20" s="40">
        <v>0</v>
      </c>
      <c r="AH20" s="40">
        <v>0</v>
      </c>
      <c r="AI20" s="40">
        <v>0</v>
      </c>
      <c r="AJ20" s="40">
        <v>0</v>
      </c>
      <c r="AK20" s="40">
        <v>0</v>
      </c>
      <c r="AL20" s="40">
        <v>0</v>
      </c>
      <c r="AM20" s="40">
        <v>0</v>
      </c>
      <c r="AN20" s="40">
        <v>0</v>
      </c>
      <c r="AO20" s="40">
        <v>0</v>
      </c>
      <c r="AP20" s="40">
        <v>0</v>
      </c>
      <c r="AQ20" s="40">
        <v>0</v>
      </c>
      <c r="AR20" s="40">
        <v>0</v>
      </c>
      <c r="AS20" s="40">
        <v>0</v>
      </c>
      <c r="AT20" s="40">
        <v>0</v>
      </c>
      <c r="AU20" s="40">
        <v>0</v>
      </c>
      <c r="AV20" s="40">
        <v>0</v>
      </c>
      <c r="AW20" s="40">
        <v>0</v>
      </c>
      <c r="AX20" s="40">
        <v>0</v>
      </c>
      <c r="AY20" s="40">
        <v>0</v>
      </c>
      <c r="AZ20" s="40">
        <v>0</v>
      </c>
      <c r="BA20" s="40">
        <v>0</v>
      </c>
      <c r="BB20" s="40">
        <v>0</v>
      </c>
      <c r="BC20" s="40">
        <v>0</v>
      </c>
      <c r="BD20" s="40">
        <v>0</v>
      </c>
      <c r="BE20" s="40">
        <v>0</v>
      </c>
      <c r="BF20" s="40">
        <v>0</v>
      </c>
      <c r="BG20" s="40">
        <v>0</v>
      </c>
      <c r="BH20" s="40">
        <v>0</v>
      </c>
      <c r="BI20" s="40">
        <v>0</v>
      </c>
      <c r="BJ20" s="40">
        <v>0</v>
      </c>
      <c r="BK20" s="40">
        <v>0</v>
      </c>
      <c r="BL20" s="40">
        <v>0</v>
      </c>
      <c r="BM20" s="40">
        <v>0</v>
      </c>
      <c r="BN20" s="40">
        <v>0</v>
      </c>
      <c r="BO20" s="40">
        <v>0</v>
      </c>
      <c r="BP20" s="40">
        <v>0</v>
      </c>
      <c r="BQ20" s="40">
        <v>0</v>
      </c>
    </row>
    <row r="21" spans="2:69">
      <c r="B21" s="4"/>
      <c r="C21" s="4"/>
      <c r="D21" s="9" t="s">
        <v>84</v>
      </c>
      <c r="E21" s="8"/>
      <c r="F21" s="1"/>
      <c r="G21" s="10"/>
      <c r="H21" s="10"/>
      <c r="I21" s="10"/>
      <c r="J21" s="10" t="s">
        <v>166</v>
      </c>
      <c r="K21" s="1" t="s">
        <v>163</v>
      </c>
      <c r="L21" s="1"/>
      <c r="M21" s="1"/>
      <c r="N21" s="39" t="e">
        <f>【PL】決算数値入力!#REF!</f>
        <v>#REF!</v>
      </c>
      <c r="O21" s="39" t="e">
        <f>【PL】決算数値入力!#REF!</f>
        <v>#REF!</v>
      </c>
      <c r="P21" s="39" t="e">
        <f>【PL】決算数値入力!#REF!</f>
        <v>#REF!</v>
      </c>
      <c r="Q21" s="39" t="e">
        <f>【PL】決算数値入力!#REF!</f>
        <v>#REF!</v>
      </c>
      <c r="R21" s="39" t="e">
        <f>【PL】決算数値入力!#REF!</f>
        <v>#REF!</v>
      </c>
      <c r="S21" s="39" t="e">
        <f>【PL】決算数値入力!#REF!</f>
        <v>#REF!</v>
      </c>
      <c r="T21" s="40">
        <v>0</v>
      </c>
      <c r="U21" s="40">
        <v>0</v>
      </c>
      <c r="V21" s="40">
        <v>0</v>
      </c>
      <c r="W21" s="40">
        <v>0</v>
      </c>
      <c r="X21" s="40">
        <v>0</v>
      </c>
      <c r="Y21" s="40">
        <v>0</v>
      </c>
      <c r="Z21" s="40">
        <v>0</v>
      </c>
      <c r="AA21" s="40">
        <v>0</v>
      </c>
      <c r="AB21" s="40">
        <v>0</v>
      </c>
      <c r="AC21" s="40">
        <v>0</v>
      </c>
      <c r="AD21" s="40">
        <v>0</v>
      </c>
      <c r="AE21" s="40">
        <v>0</v>
      </c>
      <c r="AF21" s="40">
        <v>0</v>
      </c>
      <c r="AG21" s="40">
        <v>0</v>
      </c>
      <c r="AH21" s="40">
        <v>0</v>
      </c>
      <c r="AI21" s="40">
        <v>0</v>
      </c>
      <c r="AJ21" s="40">
        <v>0</v>
      </c>
      <c r="AK21" s="40">
        <v>0</v>
      </c>
      <c r="AL21" s="40">
        <v>0</v>
      </c>
      <c r="AM21" s="40">
        <v>0</v>
      </c>
      <c r="AN21" s="40">
        <v>0</v>
      </c>
      <c r="AO21" s="40">
        <v>0</v>
      </c>
      <c r="AP21" s="40">
        <v>0</v>
      </c>
      <c r="AQ21" s="40">
        <v>0</v>
      </c>
      <c r="AR21" s="40">
        <v>0</v>
      </c>
      <c r="AS21" s="40">
        <v>0</v>
      </c>
      <c r="AT21" s="40">
        <v>0</v>
      </c>
      <c r="AU21" s="40">
        <v>0</v>
      </c>
      <c r="AV21" s="40">
        <v>0</v>
      </c>
      <c r="AW21" s="40">
        <v>0</v>
      </c>
      <c r="AX21" s="40">
        <v>0</v>
      </c>
      <c r="AY21" s="40">
        <v>0</v>
      </c>
      <c r="AZ21" s="40">
        <v>0</v>
      </c>
      <c r="BA21" s="40">
        <v>0</v>
      </c>
      <c r="BB21" s="40">
        <v>0</v>
      </c>
      <c r="BC21" s="40">
        <v>0</v>
      </c>
      <c r="BD21" s="40">
        <v>0</v>
      </c>
      <c r="BE21" s="40">
        <v>0</v>
      </c>
      <c r="BF21" s="40">
        <v>0</v>
      </c>
      <c r="BG21" s="40">
        <v>0</v>
      </c>
      <c r="BH21" s="40">
        <v>0</v>
      </c>
      <c r="BI21" s="40">
        <v>0</v>
      </c>
      <c r="BJ21" s="40">
        <v>0</v>
      </c>
      <c r="BK21" s="40">
        <v>0</v>
      </c>
      <c r="BL21" s="40">
        <v>0</v>
      </c>
      <c r="BM21" s="40">
        <v>0</v>
      </c>
      <c r="BN21" s="40">
        <v>0</v>
      </c>
      <c r="BO21" s="40">
        <v>0</v>
      </c>
      <c r="BP21" s="40">
        <v>0</v>
      </c>
      <c r="BQ21" s="40">
        <v>0</v>
      </c>
    </row>
    <row r="22" spans="2:69">
      <c r="B22" s="3"/>
      <c r="C22" s="3"/>
      <c r="D22" s="9" t="s">
        <v>85</v>
      </c>
      <c r="E22" s="8"/>
      <c r="F22" s="1"/>
      <c r="G22" s="10"/>
      <c r="H22" s="10"/>
      <c r="I22" s="10"/>
      <c r="J22" s="10" t="s">
        <v>166</v>
      </c>
      <c r="K22" s="1" t="s">
        <v>163</v>
      </c>
      <c r="L22" s="1"/>
      <c r="M22" s="1"/>
      <c r="N22" s="39" t="e">
        <f>【PL】決算数値入力!#REF!</f>
        <v>#REF!</v>
      </c>
      <c r="O22" s="39" t="e">
        <f>【PL】決算数値入力!#REF!</f>
        <v>#REF!</v>
      </c>
      <c r="P22" s="39" t="e">
        <f>【PL】決算数値入力!#REF!</f>
        <v>#REF!</v>
      </c>
      <c r="Q22" s="39" t="e">
        <f>【PL】決算数値入力!#REF!</f>
        <v>#REF!</v>
      </c>
      <c r="R22" s="39" t="e">
        <f>【PL】決算数値入力!#REF!</f>
        <v>#REF!</v>
      </c>
      <c r="S22" s="39" t="e">
        <f>【PL】決算数値入力!#REF!</f>
        <v>#REF!</v>
      </c>
      <c r="T22" s="40">
        <v>0</v>
      </c>
      <c r="U22" s="40">
        <v>0</v>
      </c>
      <c r="V22" s="40">
        <v>0</v>
      </c>
      <c r="W22" s="40">
        <v>0</v>
      </c>
      <c r="X22" s="40">
        <v>0</v>
      </c>
      <c r="Y22" s="40">
        <v>0</v>
      </c>
      <c r="Z22" s="40">
        <v>0</v>
      </c>
      <c r="AA22" s="40">
        <v>0</v>
      </c>
      <c r="AB22" s="40">
        <v>0</v>
      </c>
      <c r="AC22" s="40">
        <v>0</v>
      </c>
      <c r="AD22" s="40">
        <v>0</v>
      </c>
      <c r="AE22" s="40">
        <v>0</v>
      </c>
      <c r="AF22" s="40">
        <v>0</v>
      </c>
      <c r="AG22" s="40">
        <v>0</v>
      </c>
      <c r="AH22" s="40">
        <v>0</v>
      </c>
      <c r="AI22" s="40">
        <v>0</v>
      </c>
      <c r="AJ22" s="40">
        <v>0</v>
      </c>
      <c r="AK22" s="40">
        <v>0</v>
      </c>
      <c r="AL22" s="40">
        <v>0</v>
      </c>
      <c r="AM22" s="40">
        <v>0</v>
      </c>
      <c r="AN22" s="40">
        <v>0</v>
      </c>
      <c r="AO22" s="40">
        <v>0</v>
      </c>
      <c r="AP22" s="40">
        <v>0</v>
      </c>
      <c r="AQ22" s="40">
        <v>0</v>
      </c>
      <c r="AR22" s="40">
        <v>0</v>
      </c>
      <c r="AS22" s="40">
        <v>0</v>
      </c>
      <c r="AT22" s="40">
        <v>0</v>
      </c>
      <c r="AU22" s="40">
        <v>0</v>
      </c>
      <c r="AV22" s="40">
        <v>0</v>
      </c>
      <c r="AW22" s="40">
        <v>0</v>
      </c>
      <c r="AX22" s="40">
        <v>0</v>
      </c>
      <c r="AY22" s="40">
        <v>0</v>
      </c>
      <c r="AZ22" s="40">
        <v>0</v>
      </c>
      <c r="BA22" s="40">
        <v>0</v>
      </c>
      <c r="BB22" s="40">
        <v>0</v>
      </c>
      <c r="BC22" s="40">
        <v>0</v>
      </c>
      <c r="BD22" s="40">
        <v>0</v>
      </c>
      <c r="BE22" s="40">
        <v>0</v>
      </c>
      <c r="BF22" s="40">
        <v>0</v>
      </c>
      <c r="BG22" s="40">
        <v>0</v>
      </c>
      <c r="BH22" s="40">
        <v>0</v>
      </c>
      <c r="BI22" s="40">
        <v>0</v>
      </c>
      <c r="BJ22" s="40">
        <v>0</v>
      </c>
      <c r="BK22" s="40">
        <v>0</v>
      </c>
      <c r="BL22" s="40">
        <v>0</v>
      </c>
      <c r="BM22" s="40">
        <v>0</v>
      </c>
      <c r="BN22" s="40">
        <v>0</v>
      </c>
      <c r="BO22" s="40">
        <v>0</v>
      </c>
      <c r="BP22" s="40">
        <v>0</v>
      </c>
      <c r="BQ22" s="40">
        <v>0</v>
      </c>
    </row>
    <row r="23" spans="2:69">
      <c r="B23" s="5" t="s">
        <v>86</v>
      </c>
      <c r="C23" s="7"/>
      <c r="D23" s="7"/>
      <c r="E23" s="8"/>
      <c r="F23" s="1"/>
      <c r="G23" s="10"/>
      <c r="H23" s="10"/>
      <c r="I23" s="10"/>
      <c r="J23" s="10"/>
      <c r="K23" s="1"/>
      <c r="L23" s="1"/>
      <c r="M23" s="1"/>
      <c r="N23" s="39" t="e">
        <f>【PL】決算数値入力!#REF!</f>
        <v>#REF!</v>
      </c>
      <c r="O23" s="39" t="e">
        <f>【PL】決算数値入力!#REF!</f>
        <v>#REF!</v>
      </c>
      <c r="P23" s="39" t="e">
        <f>【PL】決算数値入力!#REF!</f>
        <v>#REF!</v>
      </c>
      <c r="Q23" s="39" t="e">
        <f>【PL】決算数値入力!#REF!</f>
        <v>#REF!</v>
      </c>
      <c r="R23" s="39" t="e">
        <f>【PL】決算数値入力!#REF!</f>
        <v>#REF!</v>
      </c>
      <c r="S23" s="39" t="e">
        <f>【PL】決算数値入力!#REF!</f>
        <v>#REF!</v>
      </c>
      <c r="T23" s="39" t="e">
        <f t="shared" ref="T23:BQ23" si="13">SUM(T24,T57,T62)</f>
        <v>#REF!</v>
      </c>
      <c r="U23" s="39" t="e">
        <f t="shared" si="13"/>
        <v>#REF!</v>
      </c>
      <c r="V23" s="39" t="e">
        <f t="shared" si="13"/>
        <v>#REF!</v>
      </c>
      <c r="W23" s="39" t="e">
        <f t="shared" si="13"/>
        <v>#REF!</v>
      </c>
      <c r="X23" s="39" t="e">
        <f t="shared" si="13"/>
        <v>#REF!</v>
      </c>
      <c r="Y23" s="39" t="e">
        <f t="shared" si="13"/>
        <v>#REF!</v>
      </c>
      <c r="Z23" s="39" t="e">
        <f t="shared" si="13"/>
        <v>#REF!</v>
      </c>
      <c r="AA23" s="39" t="e">
        <f t="shared" si="13"/>
        <v>#REF!</v>
      </c>
      <c r="AB23" s="39" t="e">
        <f t="shared" si="13"/>
        <v>#REF!</v>
      </c>
      <c r="AC23" s="39" t="e">
        <f t="shared" si="13"/>
        <v>#REF!</v>
      </c>
      <c r="AD23" s="39" t="e">
        <f t="shared" si="13"/>
        <v>#REF!</v>
      </c>
      <c r="AE23" s="39" t="e">
        <f t="shared" si="13"/>
        <v>#REF!</v>
      </c>
      <c r="AF23" s="39" t="e">
        <f t="shared" si="13"/>
        <v>#REF!</v>
      </c>
      <c r="AG23" s="39" t="e">
        <f t="shared" si="13"/>
        <v>#REF!</v>
      </c>
      <c r="AH23" s="39" t="e">
        <f t="shared" si="13"/>
        <v>#REF!</v>
      </c>
      <c r="AI23" s="39" t="e">
        <f t="shared" si="13"/>
        <v>#REF!</v>
      </c>
      <c r="AJ23" s="39" t="e">
        <f t="shared" si="13"/>
        <v>#REF!</v>
      </c>
      <c r="AK23" s="39" t="e">
        <f t="shared" si="13"/>
        <v>#REF!</v>
      </c>
      <c r="AL23" s="39" t="e">
        <f t="shared" si="13"/>
        <v>#REF!</v>
      </c>
      <c r="AM23" s="39" t="e">
        <f t="shared" si="13"/>
        <v>#REF!</v>
      </c>
      <c r="AN23" s="39" t="e">
        <f t="shared" si="13"/>
        <v>#REF!</v>
      </c>
      <c r="AO23" s="39" t="e">
        <f t="shared" si="13"/>
        <v>#REF!</v>
      </c>
      <c r="AP23" s="39" t="e">
        <f t="shared" si="13"/>
        <v>#REF!</v>
      </c>
      <c r="AQ23" s="39" t="e">
        <f t="shared" si="13"/>
        <v>#REF!</v>
      </c>
      <c r="AR23" s="39" t="e">
        <f t="shared" si="13"/>
        <v>#REF!</v>
      </c>
      <c r="AS23" s="39" t="e">
        <f t="shared" si="13"/>
        <v>#REF!</v>
      </c>
      <c r="AT23" s="39" t="e">
        <f t="shared" si="13"/>
        <v>#REF!</v>
      </c>
      <c r="AU23" s="39" t="e">
        <f t="shared" si="13"/>
        <v>#REF!</v>
      </c>
      <c r="AV23" s="39" t="e">
        <f t="shared" si="13"/>
        <v>#REF!</v>
      </c>
      <c r="AW23" s="39" t="e">
        <f t="shared" si="13"/>
        <v>#REF!</v>
      </c>
      <c r="AX23" s="39" t="e">
        <f t="shared" si="13"/>
        <v>#REF!</v>
      </c>
      <c r="AY23" s="39" t="e">
        <f t="shared" si="13"/>
        <v>#REF!</v>
      </c>
      <c r="AZ23" s="39" t="e">
        <f t="shared" si="13"/>
        <v>#REF!</v>
      </c>
      <c r="BA23" s="39" t="e">
        <f t="shared" si="13"/>
        <v>#REF!</v>
      </c>
      <c r="BB23" s="39" t="e">
        <f t="shared" si="13"/>
        <v>#REF!</v>
      </c>
      <c r="BC23" s="39" t="e">
        <f t="shared" si="13"/>
        <v>#REF!</v>
      </c>
      <c r="BD23" s="39" t="e">
        <f t="shared" si="13"/>
        <v>#REF!</v>
      </c>
      <c r="BE23" s="39" t="e">
        <f t="shared" si="13"/>
        <v>#REF!</v>
      </c>
      <c r="BF23" s="39" t="e">
        <f t="shared" si="13"/>
        <v>#REF!</v>
      </c>
      <c r="BG23" s="39" t="e">
        <f t="shared" si="13"/>
        <v>#REF!</v>
      </c>
      <c r="BH23" s="39" t="e">
        <f t="shared" si="13"/>
        <v>#REF!</v>
      </c>
      <c r="BI23" s="39" t="e">
        <f t="shared" si="13"/>
        <v>#REF!</v>
      </c>
      <c r="BJ23" s="39" t="e">
        <f t="shared" si="13"/>
        <v>#REF!</v>
      </c>
      <c r="BK23" s="39" t="e">
        <f t="shared" si="13"/>
        <v>#REF!</v>
      </c>
      <c r="BL23" s="39" t="e">
        <f t="shared" si="13"/>
        <v>#REF!</v>
      </c>
      <c r="BM23" s="39" t="e">
        <f t="shared" si="13"/>
        <v>#REF!</v>
      </c>
      <c r="BN23" s="39" t="e">
        <f t="shared" si="13"/>
        <v>#REF!</v>
      </c>
      <c r="BO23" s="39" t="e">
        <f t="shared" si="13"/>
        <v>#REF!</v>
      </c>
      <c r="BP23" s="39" t="e">
        <f t="shared" si="13"/>
        <v>#REF!</v>
      </c>
      <c r="BQ23" s="39" t="e">
        <f t="shared" si="13"/>
        <v>#REF!</v>
      </c>
    </row>
    <row r="24" spans="2:69">
      <c r="B24" s="4"/>
      <c r="C24" s="5" t="s">
        <v>87</v>
      </c>
      <c r="D24" s="7"/>
      <c r="E24" s="8"/>
      <c r="F24" s="1"/>
      <c r="G24" s="10"/>
      <c r="H24" s="10"/>
      <c r="I24" s="10"/>
      <c r="J24" s="10"/>
      <c r="K24" s="1"/>
      <c r="L24" s="1"/>
      <c r="M24" s="1"/>
      <c r="N24" s="39" t="e">
        <f>【PL】決算数値入力!#REF!</f>
        <v>#REF!</v>
      </c>
      <c r="O24" s="39" t="e">
        <f>【PL】決算数値入力!#REF!</f>
        <v>#REF!</v>
      </c>
      <c r="P24" s="39" t="e">
        <f>【PL】決算数値入力!#REF!</f>
        <v>#REF!</v>
      </c>
      <c r="Q24" s="39" t="e">
        <f>【PL】決算数値入力!#REF!</f>
        <v>#REF!</v>
      </c>
      <c r="R24" s="39" t="e">
        <f>【PL】決算数値入力!#REF!</f>
        <v>#REF!</v>
      </c>
      <c r="S24" s="39" t="e">
        <f>【PL】決算数値入力!#REF!</f>
        <v>#REF!</v>
      </c>
      <c r="T24" s="39" t="e">
        <f t="shared" ref="T24:BQ24" si="14">SUM(T25,T33,T42,T51,T54)</f>
        <v>#REF!</v>
      </c>
      <c r="U24" s="39" t="e">
        <f t="shared" si="14"/>
        <v>#REF!</v>
      </c>
      <c r="V24" s="39" t="e">
        <f t="shared" si="14"/>
        <v>#REF!</v>
      </c>
      <c r="W24" s="39" t="e">
        <f t="shared" si="14"/>
        <v>#REF!</v>
      </c>
      <c r="X24" s="39" t="e">
        <f t="shared" si="14"/>
        <v>#REF!</v>
      </c>
      <c r="Y24" s="39" t="e">
        <f t="shared" si="14"/>
        <v>#REF!</v>
      </c>
      <c r="Z24" s="39" t="e">
        <f t="shared" si="14"/>
        <v>#REF!</v>
      </c>
      <c r="AA24" s="39" t="e">
        <f t="shared" si="14"/>
        <v>#REF!</v>
      </c>
      <c r="AB24" s="39" t="e">
        <f t="shared" si="14"/>
        <v>#REF!</v>
      </c>
      <c r="AC24" s="39" t="e">
        <f t="shared" si="14"/>
        <v>#REF!</v>
      </c>
      <c r="AD24" s="39" t="e">
        <f t="shared" si="14"/>
        <v>#REF!</v>
      </c>
      <c r="AE24" s="39" t="e">
        <f t="shared" si="14"/>
        <v>#REF!</v>
      </c>
      <c r="AF24" s="39" t="e">
        <f t="shared" si="14"/>
        <v>#REF!</v>
      </c>
      <c r="AG24" s="39" t="e">
        <f t="shared" si="14"/>
        <v>#REF!</v>
      </c>
      <c r="AH24" s="39" t="e">
        <f t="shared" si="14"/>
        <v>#REF!</v>
      </c>
      <c r="AI24" s="39" t="e">
        <f t="shared" si="14"/>
        <v>#REF!</v>
      </c>
      <c r="AJ24" s="39" t="e">
        <f t="shared" si="14"/>
        <v>#REF!</v>
      </c>
      <c r="AK24" s="39" t="e">
        <f t="shared" si="14"/>
        <v>#REF!</v>
      </c>
      <c r="AL24" s="39" t="e">
        <f t="shared" si="14"/>
        <v>#REF!</v>
      </c>
      <c r="AM24" s="39" t="e">
        <f t="shared" si="14"/>
        <v>#REF!</v>
      </c>
      <c r="AN24" s="39" t="e">
        <f t="shared" si="14"/>
        <v>#REF!</v>
      </c>
      <c r="AO24" s="39" t="e">
        <f t="shared" si="14"/>
        <v>#REF!</v>
      </c>
      <c r="AP24" s="39" t="e">
        <f t="shared" si="14"/>
        <v>#REF!</v>
      </c>
      <c r="AQ24" s="39" t="e">
        <f t="shared" si="14"/>
        <v>#REF!</v>
      </c>
      <c r="AR24" s="39" t="e">
        <f t="shared" si="14"/>
        <v>#REF!</v>
      </c>
      <c r="AS24" s="39" t="e">
        <f t="shared" si="14"/>
        <v>#REF!</v>
      </c>
      <c r="AT24" s="39" t="e">
        <f t="shared" si="14"/>
        <v>#REF!</v>
      </c>
      <c r="AU24" s="39" t="e">
        <f t="shared" si="14"/>
        <v>#REF!</v>
      </c>
      <c r="AV24" s="39" t="e">
        <f t="shared" si="14"/>
        <v>#REF!</v>
      </c>
      <c r="AW24" s="39" t="e">
        <f t="shared" si="14"/>
        <v>#REF!</v>
      </c>
      <c r="AX24" s="39" t="e">
        <f t="shared" si="14"/>
        <v>#REF!</v>
      </c>
      <c r="AY24" s="39" t="e">
        <f t="shared" si="14"/>
        <v>#REF!</v>
      </c>
      <c r="AZ24" s="39" t="e">
        <f t="shared" si="14"/>
        <v>#REF!</v>
      </c>
      <c r="BA24" s="39" t="e">
        <f t="shared" si="14"/>
        <v>#REF!</v>
      </c>
      <c r="BB24" s="39" t="e">
        <f t="shared" si="14"/>
        <v>#REF!</v>
      </c>
      <c r="BC24" s="39" t="e">
        <f t="shared" si="14"/>
        <v>#REF!</v>
      </c>
      <c r="BD24" s="39" t="e">
        <f t="shared" si="14"/>
        <v>#REF!</v>
      </c>
      <c r="BE24" s="39" t="e">
        <f t="shared" si="14"/>
        <v>#REF!</v>
      </c>
      <c r="BF24" s="39" t="e">
        <f t="shared" si="14"/>
        <v>#REF!</v>
      </c>
      <c r="BG24" s="39" t="e">
        <f t="shared" si="14"/>
        <v>#REF!</v>
      </c>
      <c r="BH24" s="39" t="e">
        <f t="shared" si="14"/>
        <v>#REF!</v>
      </c>
      <c r="BI24" s="39" t="e">
        <f t="shared" si="14"/>
        <v>#REF!</v>
      </c>
      <c r="BJ24" s="39" t="e">
        <f t="shared" si="14"/>
        <v>#REF!</v>
      </c>
      <c r="BK24" s="39" t="e">
        <f t="shared" si="14"/>
        <v>#REF!</v>
      </c>
      <c r="BL24" s="39" t="e">
        <f t="shared" si="14"/>
        <v>#REF!</v>
      </c>
      <c r="BM24" s="39" t="e">
        <f t="shared" si="14"/>
        <v>#REF!</v>
      </c>
      <c r="BN24" s="39" t="e">
        <f t="shared" si="14"/>
        <v>#REF!</v>
      </c>
      <c r="BO24" s="39" t="e">
        <f t="shared" si="14"/>
        <v>#REF!</v>
      </c>
      <c r="BP24" s="39" t="e">
        <f t="shared" si="14"/>
        <v>#REF!</v>
      </c>
      <c r="BQ24" s="39" t="e">
        <f t="shared" si="14"/>
        <v>#REF!</v>
      </c>
    </row>
    <row r="25" spans="2:69">
      <c r="B25" s="4"/>
      <c r="C25" s="4"/>
      <c r="D25" s="5" t="s">
        <v>88</v>
      </c>
      <c r="E25" s="8"/>
      <c r="F25" s="302" t="s">
        <v>174</v>
      </c>
      <c r="G25" s="10"/>
      <c r="H25" s="10"/>
      <c r="I25" s="10"/>
      <c r="J25" s="10"/>
      <c r="K25" s="1"/>
      <c r="L25" s="1"/>
      <c r="M25" s="1"/>
      <c r="N25" s="39" t="e">
        <f>【PL】決算数値入力!#REF!</f>
        <v>#REF!</v>
      </c>
      <c r="O25" s="39" t="e">
        <f>【PL】決算数値入力!#REF!</f>
        <v>#REF!</v>
      </c>
      <c r="P25" s="39" t="e">
        <f>【PL】決算数値入力!#REF!</f>
        <v>#REF!</v>
      </c>
      <c r="Q25" s="39" t="e">
        <f>【PL】決算数値入力!#REF!</f>
        <v>#REF!</v>
      </c>
      <c r="R25" s="39" t="e">
        <f>【PL】決算数値入力!#REF!</f>
        <v>#REF!</v>
      </c>
      <c r="S25" s="39" t="e">
        <f>【PL】決算数値入力!#REF!</f>
        <v>#REF!</v>
      </c>
      <c r="T25" s="39" t="e">
        <f t="shared" ref="T25:BQ25" si="15">SUM(T26:T32)</f>
        <v>#REF!</v>
      </c>
      <c r="U25" s="39" t="e">
        <f t="shared" si="15"/>
        <v>#REF!</v>
      </c>
      <c r="V25" s="39" t="e">
        <f t="shared" si="15"/>
        <v>#REF!</v>
      </c>
      <c r="W25" s="39" t="e">
        <f t="shared" si="15"/>
        <v>#REF!</v>
      </c>
      <c r="X25" s="39" t="e">
        <f t="shared" si="15"/>
        <v>#REF!</v>
      </c>
      <c r="Y25" s="39" t="e">
        <f t="shared" si="15"/>
        <v>#REF!</v>
      </c>
      <c r="Z25" s="39" t="e">
        <f t="shared" si="15"/>
        <v>#REF!</v>
      </c>
      <c r="AA25" s="39" t="e">
        <f t="shared" si="15"/>
        <v>#REF!</v>
      </c>
      <c r="AB25" s="39" t="e">
        <f t="shared" si="15"/>
        <v>#REF!</v>
      </c>
      <c r="AC25" s="39" t="e">
        <f t="shared" si="15"/>
        <v>#REF!</v>
      </c>
      <c r="AD25" s="39" t="e">
        <f t="shared" si="15"/>
        <v>#REF!</v>
      </c>
      <c r="AE25" s="39" t="e">
        <f t="shared" si="15"/>
        <v>#REF!</v>
      </c>
      <c r="AF25" s="39" t="e">
        <f t="shared" si="15"/>
        <v>#REF!</v>
      </c>
      <c r="AG25" s="39" t="e">
        <f t="shared" si="15"/>
        <v>#REF!</v>
      </c>
      <c r="AH25" s="39" t="e">
        <f t="shared" si="15"/>
        <v>#REF!</v>
      </c>
      <c r="AI25" s="39" t="e">
        <f t="shared" si="15"/>
        <v>#REF!</v>
      </c>
      <c r="AJ25" s="39" t="e">
        <f t="shared" si="15"/>
        <v>#REF!</v>
      </c>
      <c r="AK25" s="39" t="e">
        <f t="shared" si="15"/>
        <v>#REF!</v>
      </c>
      <c r="AL25" s="39" t="e">
        <f t="shared" si="15"/>
        <v>#REF!</v>
      </c>
      <c r="AM25" s="39" t="e">
        <f t="shared" si="15"/>
        <v>#REF!</v>
      </c>
      <c r="AN25" s="39" t="e">
        <f t="shared" si="15"/>
        <v>#REF!</v>
      </c>
      <c r="AO25" s="39" t="e">
        <f t="shared" si="15"/>
        <v>#REF!</v>
      </c>
      <c r="AP25" s="39" t="e">
        <f t="shared" si="15"/>
        <v>#REF!</v>
      </c>
      <c r="AQ25" s="39" t="e">
        <f t="shared" si="15"/>
        <v>#REF!</v>
      </c>
      <c r="AR25" s="39" t="e">
        <f t="shared" si="15"/>
        <v>#REF!</v>
      </c>
      <c r="AS25" s="39" t="e">
        <f t="shared" si="15"/>
        <v>#REF!</v>
      </c>
      <c r="AT25" s="39" t="e">
        <f t="shared" si="15"/>
        <v>#REF!</v>
      </c>
      <c r="AU25" s="39" t="e">
        <f t="shared" si="15"/>
        <v>#REF!</v>
      </c>
      <c r="AV25" s="39" t="e">
        <f t="shared" si="15"/>
        <v>#REF!</v>
      </c>
      <c r="AW25" s="39" t="e">
        <f t="shared" si="15"/>
        <v>#REF!</v>
      </c>
      <c r="AX25" s="39" t="e">
        <f t="shared" si="15"/>
        <v>#REF!</v>
      </c>
      <c r="AY25" s="39" t="e">
        <f t="shared" si="15"/>
        <v>#REF!</v>
      </c>
      <c r="AZ25" s="39" t="e">
        <f t="shared" si="15"/>
        <v>#REF!</v>
      </c>
      <c r="BA25" s="39" t="e">
        <f t="shared" si="15"/>
        <v>#REF!</v>
      </c>
      <c r="BB25" s="39" t="e">
        <f t="shared" si="15"/>
        <v>#REF!</v>
      </c>
      <c r="BC25" s="39" t="e">
        <f t="shared" si="15"/>
        <v>#REF!</v>
      </c>
      <c r="BD25" s="39" t="e">
        <f t="shared" si="15"/>
        <v>#REF!</v>
      </c>
      <c r="BE25" s="39" t="e">
        <f t="shared" si="15"/>
        <v>#REF!</v>
      </c>
      <c r="BF25" s="39" t="e">
        <f t="shared" si="15"/>
        <v>#REF!</v>
      </c>
      <c r="BG25" s="39" t="e">
        <f t="shared" si="15"/>
        <v>#REF!</v>
      </c>
      <c r="BH25" s="39" t="e">
        <f t="shared" si="15"/>
        <v>#REF!</v>
      </c>
      <c r="BI25" s="39" t="e">
        <f t="shared" si="15"/>
        <v>#REF!</v>
      </c>
      <c r="BJ25" s="39" t="e">
        <f t="shared" si="15"/>
        <v>#REF!</v>
      </c>
      <c r="BK25" s="39" t="e">
        <f t="shared" si="15"/>
        <v>#REF!</v>
      </c>
      <c r="BL25" s="39" t="e">
        <f t="shared" si="15"/>
        <v>#REF!</v>
      </c>
      <c r="BM25" s="39" t="e">
        <f t="shared" si="15"/>
        <v>#REF!</v>
      </c>
      <c r="BN25" s="39" t="e">
        <f t="shared" si="15"/>
        <v>#REF!</v>
      </c>
      <c r="BO25" s="39" t="e">
        <f t="shared" si="15"/>
        <v>#REF!</v>
      </c>
      <c r="BP25" s="39" t="e">
        <f t="shared" si="15"/>
        <v>#REF!</v>
      </c>
      <c r="BQ25" s="39" t="e">
        <f t="shared" si="15"/>
        <v>#REF!</v>
      </c>
    </row>
    <row r="26" spans="2:69">
      <c r="B26" s="4"/>
      <c r="C26" s="4"/>
      <c r="D26" s="4"/>
      <c r="E26" s="1" t="s">
        <v>89</v>
      </c>
      <c r="F26" s="303"/>
      <c r="G26" s="10"/>
      <c r="H26" s="10" t="s">
        <v>166</v>
      </c>
      <c r="I26" s="10"/>
      <c r="J26" s="10"/>
      <c r="K26" s="1" t="s">
        <v>533</v>
      </c>
      <c r="L26" s="10" t="s">
        <v>166</v>
      </c>
      <c r="M26" s="1"/>
      <c r="N26" s="39" t="e">
        <f>【PL】決算数値入力!#REF!</f>
        <v>#REF!</v>
      </c>
      <c r="O26" s="39" t="e">
        <f>【PL】決算数値入力!#REF!</f>
        <v>#REF!</v>
      </c>
      <c r="P26" s="39" t="e">
        <f>【PL】決算数値入力!#REF!</f>
        <v>#REF!</v>
      </c>
      <c r="Q26" s="39" t="e">
        <f>【PL】決算数値入力!#REF!</f>
        <v>#REF!</v>
      </c>
      <c r="R26" s="39" t="e">
        <f>【PL】決算数値入力!#REF!</f>
        <v>#REF!</v>
      </c>
      <c r="S26" s="39" t="e">
        <f>【PL】決算数値入力!#REF!</f>
        <v>#REF!</v>
      </c>
      <c r="T26" s="39" t="e">
        <f>ROUND(S26*(1+物価上昇率!$G$9),0)</f>
        <v>#REF!</v>
      </c>
      <c r="U26" s="39" t="e">
        <f>ROUND(T26*(1+物価上昇率!$G$9),0)</f>
        <v>#REF!</v>
      </c>
      <c r="V26" s="39" t="e">
        <f>ROUND(U26*(1+物価上昇率!$G$9),0)</f>
        <v>#REF!</v>
      </c>
      <c r="W26" s="39" t="e">
        <f>ROUND(V26*(1+物価上昇率!$G$9),0)</f>
        <v>#REF!</v>
      </c>
      <c r="X26" s="39" t="e">
        <f>ROUND(W26*(1+物価上昇率!$G$9),0)</f>
        <v>#REF!</v>
      </c>
      <c r="Y26" s="39" t="e">
        <f>ROUND(X26*(1+物価上昇率!$G$9),0)</f>
        <v>#REF!</v>
      </c>
      <c r="Z26" s="39" t="e">
        <f>ROUND(Y26*(1+物価上昇率!$G$9),0)</f>
        <v>#REF!</v>
      </c>
      <c r="AA26" s="39" t="e">
        <f>ROUND(Z26*(1+物価上昇率!$G$9),0)</f>
        <v>#REF!</v>
      </c>
      <c r="AB26" s="39" t="e">
        <f>ROUND(AA26*(1+物価上昇率!$G$9),0)</f>
        <v>#REF!</v>
      </c>
      <c r="AC26" s="39" t="e">
        <f>ROUND(AB26*(1+物価上昇率!$G$9),0)</f>
        <v>#REF!</v>
      </c>
      <c r="AD26" s="39" t="e">
        <f>ROUND(AC26*(1+物価上昇率!$G$9),0)</f>
        <v>#REF!</v>
      </c>
      <c r="AE26" s="39" t="e">
        <f>ROUND(AD26*(1+物価上昇率!$G$9),0)</f>
        <v>#REF!</v>
      </c>
      <c r="AF26" s="39" t="e">
        <f>ROUND(AE26*(1+物価上昇率!$G$9),0)</f>
        <v>#REF!</v>
      </c>
      <c r="AG26" s="39" t="e">
        <f>ROUND(AF26*(1+物価上昇率!$G$9),0)</f>
        <v>#REF!</v>
      </c>
      <c r="AH26" s="39" t="e">
        <f>ROUND(AG26*(1+物価上昇率!$G$9),0)</f>
        <v>#REF!</v>
      </c>
      <c r="AI26" s="39" t="e">
        <f>ROUND(AH26*(1+物価上昇率!$G$9),0)</f>
        <v>#REF!</v>
      </c>
      <c r="AJ26" s="39" t="e">
        <f>ROUND(AI26*(1+物価上昇率!$G$9),0)</f>
        <v>#REF!</v>
      </c>
      <c r="AK26" s="39" t="e">
        <f>ROUND(AJ26*(1+物価上昇率!$G$9),0)</f>
        <v>#REF!</v>
      </c>
      <c r="AL26" s="39" t="e">
        <f>ROUND(AK26*(1+物価上昇率!$G$9),0)</f>
        <v>#REF!</v>
      </c>
      <c r="AM26" s="39" t="e">
        <f>ROUND(AL26*(1+物価上昇率!$G$9),0)</f>
        <v>#REF!</v>
      </c>
      <c r="AN26" s="39" t="e">
        <f>ROUND(AM26*(1+物価上昇率!$G$9),0)</f>
        <v>#REF!</v>
      </c>
      <c r="AO26" s="39" t="e">
        <f>ROUND(AN26*(1+物価上昇率!$G$9),0)</f>
        <v>#REF!</v>
      </c>
      <c r="AP26" s="39" t="e">
        <f>ROUND(AO26*(1+物価上昇率!$G$9),0)</f>
        <v>#REF!</v>
      </c>
      <c r="AQ26" s="39" t="e">
        <f>ROUND(AP26*(1+物価上昇率!$G$9),0)</f>
        <v>#REF!</v>
      </c>
      <c r="AR26" s="39" t="e">
        <f>ROUND(AQ26*(1+物価上昇率!$G$9),0)</f>
        <v>#REF!</v>
      </c>
      <c r="AS26" s="39" t="e">
        <f>ROUND(AR26*(1+物価上昇率!$G$9),0)</f>
        <v>#REF!</v>
      </c>
      <c r="AT26" s="39" t="e">
        <f>ROUND(AS26*(1+物価上昇率!$G$9),0)</f>
        <v>#REF!</v>
      </c>
      <c r="AU26" s="39" t="e">
        <f>ROUND(AT26*(1+物価上昇率!$G$9),0)</f>
        <v>#REF!</v>
      </c>
      <c r="AV26" s="39" t="e">
        <f>ROUND(AU26*(1+物価上昇率!$G$9),0)</f>
        <v>#REF!</v>
      </c>
      <c r="AW26" s="39" t="e">
        <f>ROUND(AV26*(1+物価上昇率!$G$9),0)</f>
        <v>#REF!</v>
      </c>
      <c r="AX26" s="39" t="e">
        <f>ROUND(AW26*(1+物価上昇率!$G$9),0)</f>
        <v>#REF!</v>
      </c>
      <c r="AY26" s="39" t="e">
        <f>ROUND(AX26*(1+物価上昇率!$G$9),0)</f>
        <v>#REF!</v>
      </c>
      <c r="AZ26" s="39" t="e">
        <f>ROUND(AY26*(1+物価上昇率!$G$9),0)</f>
        <v>#REF!</v>
      </c>
      <c r="BA26" s="39" t="e">
        <f>ROUND(AZ26*(1+物価上昇率!$G$9),0)</f>
        <v>#REF!</v>
      </c>
      <c r="BB26" s="39" t="e">
        <f>ROUND(BA26*(1+物価上昇率!$G$9),0)</f>
        <v>#REF!</v>
      </c>
      <c r="BC26" s="39" t="e">
        <f>ROUND(BB26*(1+物価上昇率!$G$9),0)</f>
        <v>#REF!</v>
      </c>
      <c r="BD26" s="39" t="e">
        <f>ROUND(BC26*(1+物価上昇率!$G$9),0)</f>
        <v>#REF!</v>
      </c>
      <c r="BE26" s="39" t="e">
        <f>ROUND(BD26*(1+物価上昇率!$G$9),0)</f>
        <v>#REF!</v>
      </c>
      <c r="BF26" s="39" t="e">
        <f>ROUND(BE26*(1+物価上昇率!$G$9),0)</f>
        <v>#REF!</v>
      </c>
      <c r="BG26" s="39" t="e">
        <f>ROUND(BF26*(1+物価上昇率!$G$9),0)</f>
        <v>#REF!</v>
      </c>
      <c r="BH26" s="39" t="e">
        <f>ROUND(BG26*(1+物価上昇率!$G$9),0)</f>
        <v>#REF!</v>
      </c>
      <c r="BI26" s="39" t="e">
        <f>ROUND(BH26*(1+物価上昇率!$G$9),0)</f>
        <v>#REF!</v>
      </c>
      <c r="BJ26" s="39" t="e">
        <f>ROUND(BI26*(1+物価上昇率!$G$9),0)</f>
        <v>#REF!</v>
      </c>
      <c r="BK26" s="39" t="e">
        <f>ROUND(BJ26*(1+物価上昇率!$G$9),0)</f>
        <v>#REF!</v>
      </c>
      <c r="BL26" s="39" t="e">
        <f>ROUND(BK26*(1+物価上昇率!$G$9),0)</f>
        <v>#REF!</v>
      </c>
      <c r="BM26" s="39" t="e">
        <f>ROUND(BL26*(1+物価上昇率!$G$9),0)</f>
        <v>#REF!</v>
      </c>
      <c r="BN26" s="39" t="e">
        <f>ROUND(BM26*(1+物価上昇率!$G$9),0)</f>
        <v>#REF!</v>
      </c>
      <c r="BO26" s="39" t="e">
        <f>ROUND(BN26*(1+物価上昇率!$G$9),0)</f>
        <v>#REF!</v>
      </c>
      <c r="BP26" s="39" t="e">
        <f>ROUND(BO26*(1+物価上昇率!$G$9),0)</f>
        <v>#REF!</v>
      </c>
      <c r="BQ26" s="39" t="e">
        <f>ROUND(BP26*(1+物価上昇率!$G$9),0)</f>
        <v>#REF!</v>
      </c>
    </row>
    <row r="27" spans="2:69">
      <c r="B27" s="4"/>
      <c r="C27" s="4"/>
      <c r="D27" s="4"/>
      <c r="E27" s="1" t="s">
        <v>96</v>
      </c>
      <c r="F27" s="303"/>
      <c r="G27" s="10"/>
      <c r="H27" s="10"/>
      <c r="I27" s="10" t="s">
        <v>166</v>
      </c>
      <c r="J27" s="10"/>
      <c r="K27" s="1" t="s">
        <v>534</v>
      </c>
      <c r="L27" s="10" t="s">
        <v>166</v>
      </c>
      <c r="M27" s="1"/>
      <c r="N27" s="39" t="e">
        <f>【PL】決算数値入力!#REF!</f>
        <v>#REF!</v>
      </c>
      <c r="O27" s="39" t="e">
        <f>【PL】決算数値入力!#REF!</f>
        <v>#REF!</v>
      </c>
      <c r="P27" s="39" t="e">
        <f>【PL】決算数値入力!#REF!</f>
        <v>#REF!</v>
      </c>
      <c r="Q27" s="39" t="e">
        <f>【PL】決算数値入力!#REF!</f>
        <v>#REF!</v>
      </c>
      <c r="R27" s="39" t="e">
        <f>【PL】決算数値入力!#REF!</f>
        <v>#REF!</v>
      </c>
      <c r="S27" s="39" t="e">
        <f>【PL】決算数値入力!#REF!</f>
        <v>#REF!</v>
      </c>
      <c r="T27" s="39" t="e">
        <f>ROUND(SUM($N27:$R27)/SUM(【収益】水需要予測!#REF!),0)*【収益】水需要予測!#REF!</f>
        <v>#REF!</v>
      </c>
      <c r="U27" s="39" t="e">
        <f>ROUND(SUM($N27:$R27)/SUM(【収益】水需要予測!#REF!),0)*【収益】水需要予測!#REF!</f>
        <v>#REF!</v>
      </c>
      <c r="V27" s="39" t="e">
        <f>ROUND(SUM($N27:$R27)/SUM(【収益】水需要予測!#REF!),0)*【収益】水需要予測!#REF!</f>
        <v>#REF!</v>
      </c>
      <c r="W27" s="39" t="e">
        <f>ROUND(SUM($N27:$R27)/SUM(【収益】水需要予測!#REF!),0)*【収益】水需要予測!#REF!</f>
        <v>#REF!</v>
      </c>
      <c r="X27" s="39" t="e">
        <f>ROUND(SUM($N27:$R27)/SUM(【収益】水需要予測!#REF!),0)*【収益】水需要予測!#REF!</f>
        <v>#REF!</v>
      </c>
      <c r="Y27" s="39" t="e">
        <f>ROUND(SUM($N27:$R27)/SUM(【収益】水需要予測!#REF!),0)*【収益】水需要予測!#REF!</f>
        <v>#REF!</v>
      </c>
      <c r="Z27" s="39" t="e">
        <f>ROUND(SUM($N27:$R27)/SUM(【収益】水需要予測!#REF!),0)*【収益】水需要予測!#REF!</f>
        <v>#REF!</v>
      </c>
      <c r="AA27" s="39" t="e">
        <f>ROUND(SUM($N27:$R27)/SUM(【収益】水需要予測!#REF!),0)*【収益】水需要予測!#REF!</f>
        <v>#REF!</v>
      </c>
      <c r="AB27" s="39" t="e">
        <f>ROUND(SUM($N27:$R27)/SUM(【収益】水需要予測!#REF!),0)*【収益】水需要予測!#REF!</f>
        <v>#REF!</v>
      </c>
      <c r="AC27" s="39" t="e">
        <f>ROUND(SUM($N27:$R27)/SUM(【収益】水需要予測!#REF!),0)*【収益】水需要予測!#REF!</f>
        <v>#REF!</v>
      </c>
      <c r="AD27" s="39" t="e">
        <f>ROUND(SUM($N27:$R27)/SUM(【収益】水需要予測!#REF!),0)*【収益】水需要予測!#REF!</f>
        <v>#REF!</v>
      </c>
      <c r="AE27" s="39" t="e">
        <f>ROUND(SUM($N27:$R27)/SUM(【収益】水需要予測!#REF!),0)*【収益】水需要予測!#REF!</f>
        <v>#REF!</v>
      </c>
      <c r="AF27" s="39" t="e">
        <f>ROUND(SUM($N27:$R27)/SUM(【収益】水需要予測!#REF!),0)*【収益】水需要予測!#REF!</f>
        <v>#REF!</v>
      </c>
      <c r="AG27" s="39" t="e">
        <f>ROUND(SUM($N27:$R27)/SUM(【収益】水需要予測!#REF!),0)*【収益】水需要予測!#REF!</f>
        <v>#REF!</v>
      </c>
      <c r="AH27" s="39" t="e">
        <f>ROUND(SUM($N27:$R27)/SUM(【収益】水需要予測!#REF!),0)*【収益】水需要予測!#REF!</f>
        <v>#REF!</v>
      </c>
      <c r="AI27" s="39" t="e">
        <f>ROUND(SUM($N27:$R27)/SUM(【収益】水需要予測!#REF!),0)*【収益】水需要予測!#REF!</f>
        <v>#REF!</v>
      </c>
      <c r="AJ27" s="39" t="e">
        <f>ROUND(SUM($N27:$R27)/SUM(【収益】水需要予測!#REF!),0)*【収益】水需要予測!#REF!</f>
        <v>#REF!</v>
      </c>
      <c r="AK27" s="39" t="e">
        <f>ROUND(SUM($N27:$R27)/SUM(【収益】水需要予測!#REF!),0)*【収益】水需要予測!#REF!</f>
        <v>#REF!</v>
      </c>
      <c r="AL27" s="39" t="e">
        <f>ROUND(SUM($N27:$R27)/SUM(【収益】水需要予測!#REF!),0)*【収益】水需要予測!#REF!</f>
        <v>#REF!</v>
      </c>
      <c r="AM27" s="39" t="e">
        <f>ROUND(SUM($N27:$R27)/SUM(【収益】水需要予測!#REF!),0)*【収益】水需要予測!#REF!</f>
        <v>#REF!</v>
      </c>
      <c r="AN27" s="39" t="e">
        <f>ROUND(SUM($N27:$R27)/SUM(【収益】水需要予測!#REF!),0)*【収益】水需要予測!#REF!</f>
        <v>#REF!</v>
      </c>
      <c r="AO27" s="39" t="e">
        <f>ROUND(SUM($N27:$R27)/SUM(【収益】水需要予測!#REF!),0)*【収益】水需要予測!#REF!</f>
        <v>#REF!</v>
      </c>
      <c r="AP27" s="39" t="e">
        <f>ROUND(SUM($N27:$R27)/SUM(【収益】水需要予測!#REF!),0)*【収益】水需要予測!#REF!</f>
        <v>#REF!</v>
      </c>
      <c r="AQ27" s="39" t="e">
        <f>ROUND(SUM($N27:$R27)/SUM(【収益】水需要予測!#REF!),0)*【収益】水需要予測!#REF!</f>
        <v>#REF!</v>
      </c>
      <c r="AR27" s="39" t="e">
        <f>ROUND(SUM($N27:$R27)/SUM(【収益】水需要予測!#REF!),0)*【収益】水需要予測!#REF!</f>
        <v>#REF!</v>
      </c>
      <c r="AS27" s="39" t="e">
        <f>ROUND(SUM($N27:$R27)/SUM(【収益】水需要予測!#REF!),0)*【収益】水需要予測!#REF!</f>
        <v>#REF!</v>
      </c>
      <c r="AT27" s="39" t="e">
        <f>ROUND(SUM($N27:$R27)/SUM(【収益】水需要予測!#REF!),0)*【収益】水需要予測!#REF!</f>
        <v>#REF!</v>
      </c>
      <c r="AU27" s="39" t="e">
        <f>ROUND(SUM($N27:$R27)/SUM(【収益】水需要予測!#REF!),0)*【収益】水需要予測!#REF!</f>
        <v>#REF!</v>
      </c>
      <c r="AV27" s="39" t="e">
        <f>ROUND(SUM($N27:$R27)/SUM(【収益】水需要予測!#REF!),0)*【収益】水需要予測!#REF!</f>
        <v>#REF!</v>
      </c>
      <c r="AW27" s="39" t="e">
        <f>ROUND(SUM($N27:$R27)/SUM(【収益】水需要予測!#REF!),0)*【収益】水需要予測!#REF!</f>
        <v>#REF!</v>
      </c>
      <c r="AX27" s="39" t="e">
        <f>ROUND(SUM($N27:$R27)/SUM(【収益】水需要予測!#REF!),0)*【収益】水需要予測!#REF!</f>
        <v>#REF!</v>
      </c>
      <c r="AY27" s="39" t="e">
        <f>ROUND(SUM($N27:$R27)/SUM(【収益】水需要予測!#REF!),0)*【収益】水需要予測!#REF!</f>
        <v>#REF!</v>
      </c>
      <c r="AZ27" s="39" t="e">
        <f>ROUND(SUM($N27:$R27)/SUM(【収益】水需要予測!#REF!),0)*【収益】水需要予測!#REF!</f>
        <v>#REF!</v>
      </c>
      <c r="BA27" s="39" t="e">
        <f>ROUND(SUM($N27:$R27)/SUM(【収益】水需要予測!#REF!),0)*【収益】水需要予測!#REF!</f>
        <v>#REF!</v>
      </c>
      <c r="BB27" s="39" t="e">
        <f>ROUND(SUM($N27:$R27)/SUM(【収益】水需要予測!#REF!),0)*【収益】水需要予測!#REF!</f>
        <v>#REF!</v>
      </c>
      <c r="BC27" s="39" t="e">
        <f>ROUND(SUM($N27:$R27)/SUM(【収益】水需要予測!#REF!),0)*【収益】水需要予測!#REF!</f>
        <v>#REF!</v>
      </c>
      <c r="BD27" s="39" t="e">
        <f>ROUND(SUM($N27:$R27)/SUM(【収益】水需要予測!#REF!),0)*【収益】水需要予測!#REF!</f>
        <v>#REF!</v>
      </c>
      <c r="BE27" s="39" t="e">
        <f>ROUND(SUM($N27:$R27)/SUM(【収益】水需要予測!#REF!),0)*【収益】水需要予測!#REF!</f>
        <v>#REF!</v>
      </c>
      <c r="BF27" s="39" t="e">
        <f>ROUND(SUM($N27:$R27)/SUM(【収益】水需要予測!#REF!),0)*【収益】水需要予測!#REF!</f>
        <v>#REF!</v>
      </c>
      <c r="BG27" s="39" t="e">
        <f>ROUND(SUM($N27:$R27)/SUM(【収益】水需要予測!#REF!),0)*【収益】水需要予測!#REF!</f>
        <v>#REF!</v>
      </c>
      <c r="BH27" s="39" t="e">
        <f>ROUND(SUM($N27:$R27)/SUM(【収益】水需要予測!#REF!),0)*【収益】水需要予測!#REF!</f>
        <v>#REF!</v>
      </c>
      <c r="BI27" s="39" t="e">
        <f>ROUND(SUM($N27:$R27)/SUM(【収益】水需要予測!#REF!),0)*【収益】水需要予測!#REF!</f>
        <v>#REF!</v>
      </c>
      <c r="BJ27" s="39" t="e">
        <f>ROUND(SUM($N27:$R27)/SUM(【収益】水需要予測!#REF!),0)*【収益】水需要予測!#REF!</f>
        <v>#REF!</v>
      </c>
      <c r="BK27" s="39" t="e">
        <f>ROUND(SUM($N27:$R27)/SUM(【収益】水需要予測!#REF!),0)*【収益】水需要予測!#REF!</f>
        <v>#REF!</v>
      </c>
      <c r="BL27" s="39" t="e">
        <f>ROUND(SUM($N27:$R27)/SUM(【収益】水需要予測!#REF!),0)*【収益】水需要予測!#REF!</f>
        <v>#REF!</v>
      </c>
      <c r="BM27" s="39" t="e">
        <f>ROUND(SUM($N27:$R27)/SUM(【収益】水需要予測!#REF!),0)*【収益】水需要予測!#REF!</f>
        <v>#REF!</v>
      </c>
      <c r="BN27" s="39" t="e">
        <f>ROUND(SUM($N27:$R27)/SUM(【収益】水需要予測!#REF!),0)*【収益】水需要予測!#REF!</f>
        <v>#REF!</v>
      </c>
      <c r="BO27" s="39" t="e">
        <f>ROUND(SUM($N27:$R27)/SUM(【収益】水需要予測!#REF!),0)*【収益】水需要予測!#REF!</f>
        <v>#REF!</v>
      </c>
      <c r="BP27" s="39" t="e">
        <f>ROUND(SUM($N27:$R27)/SUM(【収益】水需要予測!#REF!),0)*【収益】水需要予測!#REF!</f>
        <v>#REF!</v>
      </c>
      <c r="BQ27" s="39" t="e">
        <f>ROUND(SUM($N27:$R27)/SUM(【収益】水需要予測!#REF!),0)*【収益】水需要予測!#REF!</f>
        <v>#REF!</v>
      </c>
    </row>
    <row r="28" spans="2:69">
      <c r="B28" s="4"/>
      <c r="C28" s="4"/>
      <c r="D28" s="4"/>
      <c r="E28" s="1" t="s">
        <v>90</v>
      </c>
      <c r="F28" s="303"/>
      <c r="G28" s="10"/>
      <c r="H28" s="10"/>
      <c r="I28" s="10" t="s">
        <v>166</v>
      </c>
      <c r="J28" s="10"/>
      <c r="K28" s="1" t="s">
        <v>534</v>
      </c>
      <c r="L28" s="10" t="s">
        <v>166</v>
      </c>
      <c r="M28" s="1"/>
      <c r="N28" s="39" t="e">
        <f>【PL】決算数値入力!#REF!</f>
        <v>#REF!</v>
      </c>
      <c r="O28" s="39" t="e">
        <f>【PL】決算数値入力!#REF!</f>
        <v>#REF!</v>
      </c>
      <c r="P28" s="39" t="e">
        <f>【PL】決算数値入力!#REF!</f>
        <v>#REF!</v>
      </c>
      <c r="Q28" s="39" t="e">
        <f>【PL】決算数値入力!#REF!</f>
        <v>#REF!</v>
      </c>
      <c r="R28" s="39" t="e">
        <f>【PL】決算数値入力!#REF!</f>
        <v>#REF!</v>
      </c>
      <c r="S28" s="39" t="e">
        <f>【PL】決算数値入力!#REF!</f>
        <v>#REF!</v>
      </c>
      <c r="T28" s="39" t="e">
        <f>ROUND(SUM($N28:$R28)/SUM(【収益】水需要予測!#REF!),0)*【収益】水需要予測!#REF!</f>
        <v>#REF!</v>
      </c>
      <c r="U28" s="39" t="e">
        <f>ROUND(SUM($N28:$R28)/SUM(【収益】水需要予測!#REF!),0)*【収益】水需要予測!#REF!</f>
        <v>#REF!</v>
      </c>
      <c r="V28" s="39" t="e">
        <f>ROUND(SUM($N28:$R28)/SUM(【収益】水需要予測!#REF!),0)*【収益】水需要予測!#REF!</f>
        <v>#REF!</v>
      </c>
      <c r="W28" s="39" t="e">
        <f>ROUND(SUM($N28:$R28)/SUM(【収益】水需要予測!#REF!),0)*【収益】水需要予測!#REF!</f>
        <v>#REF!</v>
      </c>
      <c r="X28" s="39" t="e">
        <f>ROUND(SUM($N28:$R28)/SUM(【収益】水需要予測!#REF!),0)*【収益】水需要予測!#REF!</f>
        <v>#REF!</v>
      </c>
      <c r="Y28" s="39" t="e">
        <f>ROUND(SUM($N28:$R28)/SUM(【収益】水需要予測!#REF!),0)*【収益】水需要予測!#REF!</f>
        <v>#REF!</v>
      </c>
      <c r="Z28" s="39" t="e">
        <f>ROUND(SUM($N28:$R28)/SUM(【収益】水需要予測!#REF!),0)*【収益】水需要予測!#REF!</f>
        <v>#REF!</v>
      </c>
      <c r="AA28" s="39" t="e">
        <f>ROUND(SUM($N28:$R28)/SUM(【収益】水需要予測!#REF!),0)*【収益】水需要予測!#REF!</f>
        <v>#REF!</v>
      </c>
      <c r="AB28" s="39" t="e">
        <f>ROUND(SUM($N28:$R28)/SUM(【収益】水需要予測!#REF!),0)*【収益】水需要予測!#REF!</f>
        <v>#REF!</v>
      </c>
      <c r="AC28" s="39" t="e">
        <f>ROUND(SUM($N28:$R28)/SUM(【収益】水需要予測!#REF!),0)*【収益】水需要予測!#REF!</f>
        <v>#REF!</v>
      </c>
      <c r="AD28" s="39" t="e">
        <f>ROUND(SUM($N28:$R28)/SUM(【収益】水需要予測!#REF!),0)*【収益】水需要予測!#REF!</f>
        <v>#REF!</v>
      </c>
      <c r="AE28" s="39" t="e">
        <f>ROUND(SUM($N28:$R28)/SUM(【収益】水需要予測!#REF!),0)*【収益】水需要予測!#REF!</f>
        <v>#REF!</v>
      </c>
      <c r="AF28" s="39" t="e">
        <f>ROUND(SUM($N28:$R28)/SUM(【収益】水需要予測!#REF!),0)*【収益】水需要予測!#REF!</f>
        <v>#REF!</v>
      </c>
      <c r="AG28" s="39" t="e">
        <f>ROUND(SUM($N28:$R28)/SUM(【収益】水需要予測!#REF!),0)*【収益】水需要予測!#REF!</f>
        <v>#REF!</v>
      </c>
      <c r="AH28" s="39" t="e">
        <f>ROUND(SUM($N28:$R28)/SUM(【収益】水需要予測!#REF!),0)*【収益】水需要予測!#REF!</f>
        <v>#REF!</v>
      </c>
      <c r="AI28" s="39" t="e">
        <f>ROUND(SUM($N28:$R28)/SUM(【収益】水需要予測!#REF!),0)*【収益】水需要予測!#REF!</f>
        <v>#REF!</v>
      </c>
      <c r="AJ28" s="39" t="e">
        <f>ROUND(SUM($N28:$R28)/SUM(【収益】水需要予測!#REF!),0)*【収益】水需要予測!#REF!</f>
        <v>#REF!</v>
      </c>
      <c r="AK28" s="39" t="e">
        <f>ROUND(SUM($N28:$R28)/SUM(【収益】水需要予測!#REF!),0)*【収益】水需要予測!#REF!</f>
        <v>#REF!</v>
      </c>
      <c r="AL28" s="39" t="e">
        <f>ROUND(SUM($N28:$R28)/SUM(【収益】水需要予測!#REF!),0)*【収益】水需要予測!#REF!</f>
        <v>#REF!</v>
      </c>
      <c r="AM28" s="39" t="e">
        <f>ROUND(SUM($N28:$R28)/SUM(【収益】水需要予測!#REF!),0)*【収益】水需要予測!#REF!</f>
        <v>#REF!</v>
      </c>
      <c r="AN28" s="39" t="e">
        <f>ROUND(SUM($N28:$R28)/SUM(【収益】水需要予測!#REF!),0)*【収益】水需要予測!#REF!</f>
        <v>#REF!</v>
      </c>
      <c r="AO28" s="39" t="e">
        <f>ROUND(SUM($N28:$R28)/SUM(【収益】水需要予測!#REF!),0)*【収益】水需要予測!#REF!</f>
        <v>#REF!</v>
      </c>
      <c r="AP28" s="39" t="e">
        <f>ROUND(SUM($N28:$R28)/SUM(【収益】水需要予測!#REF!),0)*【収益】水需要予測!#REF!</f>
        <v>#REF!</v>
      </c>
      <c r="AQ28" s="39" t="e">
        <f>ROUND(SUM($N28:$R28)/SUM(【収益】水需要予測!#REF!),0)*【収益】水需要予測!#REF!</f>
        <v>#REF!</v>
      </c>
      <c r="AR28" s="39" t="e">
        <f>ROUND(SUM($N28:$R28)/SUM(【収益】水需要予測!#REF!),0)*【収益】水需要予測!#REF!</f>
        <v>#REF!</v>
      </c>
      <c r="AS28" s="39" t="e">
        <f>ROUND(SUM($N28:$R28)/SUM(【収益】水需要予測!#REF!),0)*【収益】水需要予測!#REF!</f>
        <v>#REF!</v>
      </c>
      <c r="AT28" s="39" t="e">
        <f>ROUND(SUM($N28:$R28)/SUM(【収益】水需要予測!#REF!),0)*【収益】水需要予測!#REF!</f>
        <v>#REF!</v>
      </c>
      <c r="AU28" s="39" t="e">
        <f>ROUND(SUM($N28:$R28)/SUM(【収益】水需要予測!#REF!),0)*【収益】水需要予測!#REF!</f>
        <v>#REF!</v>
      </c>
      <c r="AV28" s="39" t="e">
        <f>ROUND(SUM($N28:$R28)/SUM(【収益】水需要予測!#REF!),0)*【収益】水需要予測!#REF!</f>
        <v>#REF!</v>
      </c>
      <c r="AW28" s="39" t="e">
        <f>ROUND(SUM($N28:$R28)/SUM(【収益】水需要予測!#REF!),0)*【収益】水需要予測!#REF!</f>
        <v>#REF!</v>
      </c>
      <c r="AX28" s="39" t="e">
        <f>ROUND(SUM($N28:$R28)/SUM(【収益】水需要予測!#REF!),0)*【収益】水需要予測!#REF!</f>
        <v>#REF!</v>
      </c>
      <c r="AY28" s="39" t="e">
        <f>ROUND(SUM($N28:$R28)/SUM(【収益】水需要予測!#REF!),0)*【収益】水需要予測!#REF!</f>
        <v>#REF!</v>
      </c>
      <c r="AZ28" s="39" t="e">
        <f>ROUND(SUM($N28:$R28)/SUM(【収益】水需要予測!#REF!),0)*【収益】水需要予測!#REF!</f>
        <v>#REF!</v>
      </c>
      <c r="BA28" s="39" t="e">
        <f>ROUND(SUM($N28:$R28)/SUM(【収益】水需要予測!#REF!),0)*【収益】水需要予測!#REF!</f>
        <v>#REF!</v>
      </c>
      <c r="BB28" s="39" t="e">
        <f>ROUND(SUM($N28:$R28)/SUM(【収益】水需要予測!#REF!),0)*【収益】水需要予測!#REF!</f>
        <v>#REF!</v>
      </c>
      <c r="BC28" s="39" t="e">
        <f>ROUND(SUM($N28:$R28)/SUM(【収益】水需要予測!#REF!),0)*【収益】水需要予測!#REF!</f>
        <v>#REF!</v>
      </c>
      <c r="BD28" s="39" t="e">
        <f>ROUND(SUM($N28:$R28)/SUM(【収益】水需要予測!#REF!),0)*【収益】水需要予測!#REF!</f>
        <v>#REF!</v>
      </c>
      <c r="BE28" s="39" t="e">
        <f>ROUND(SUM($N28:$R28)/SUM(【収益】水需要予測!#REF!),0)*【収益】水需要予測!#REF!</f>
        <v>#REF!</v>
      </c>
      <c r="BF28" s="39" t="e">
        <f>ROUND(SUM($N28:$R28)/SUM(【収益】水需要予測!#REF!),0)*【収益】水需要予測!#REF!</f>
        <v>#REF!</v>
      </c>
      <c r="BG28" s="39" t="e">
        <f>ROUND(SUM($N28:$R28)/SUM(【収益】水需要予測!#REF!),0)*【収益】水需要予測!#REF!</f>
        <v>#REF!</v>
      </c>
      <c r="BH28" s="39" t="e">
        <f>ROUND(SUM($N28:$R28)/SUM(【収益】水需要予測!#REF!),0)*【収益】水需要予測!#REF!</f>
        <v>#REF!</v>
      </c>
      <c r="BI28" s="39" t="e">
        <f>ROUND(SUM($N28:$R28)/SUM(【収益】水需要予測!#REF!),0)*【収益】水需要予測!#REF!</f>
        <v>#REF!</v>
      </c>
      <c r="BJ28" s="39" t="e">
        <f>ROUND(SUM($N28:$R28)/SUM(【収益】水需要予測!#REF!),0)*【収益】水需要予測!#REF!</f>
        <v>#REF!</v>
      </c>
      <c r="BK28" s="39" t="e">
        <f>ROUND(SUM($N28:$R28)/SUM(【収益】水需要予測!#REF!),0)*【収益】水需要予測!#REF!</f>
        <v>#REF!</v>
      </c>
      <c r="BL28" s="39" t="e">
        <f>ROUND(SUM($N28:$R28)/SUM(【収益】水需要予測!#REF!),0)*【収益】水需要予測!#REF!</f>
        <v>#REF!</v>
      </c>
      <c r="BM28" s="39" t="e">
        <f>ROUND(SUM($N28:$R28)/SUM(【収益】水需要予測!#REF!),0)*【収益】水需要予測!#REF!</f>
        <v>#REF!</v>
      </c>
      <c r="BN28" s="39" t="e">
        <f>ROUND(SUM($N28:$R28)/SUM(【収益】水需要予測!#REF!),0)*【収益】水需要予測!#REF!</f>
        <v>#REF!</v>
      </c>
      <c r="BO28" s="39" t="e">
        <f>ROUND(SUM($N28:$R28)/SUM(【収益】水需要予測!#REF!),0)*【収益】水需要予測!#REF!</f>
        <v>#REF!</v>
      </c>
      <c r="BP28" s="39" t="e">
        <f>ROUND(SUM($N28:$R28)/SUM(【収益】水需要予測!#REF!),0)*【収益】水需要予測!#REF!</f>
        <v>#REF!</v>
      </c>
      <c r="BQ28" s="39" t="e">
        <f>ROUND(SUM($N28:$R28)/SUM(【収益】水需要予測!#REF!),0)*【収益】水需要予測!#REF!</f>
        <v>#REF!</v>
      </c>
    </row>
    <row r="29" spans="2:69">
      <c r="B29" s="4"/>
      <c r="C29" s="4"/>
      <c r="D29" s="4"/>
      <c r="E29" s="1" t="s">
        <v>91</v>
      </c>
      <c r="F29" s="303"/>
      <c r="G29" s="10"/>
      <c r="H29" s="10" t="s">
        <v>166</v>
      </c>
      <c r="I29" s="10"/>
      <c r="J29" s="10"/>
      <c r="K29" s="1" t="s">
        <v>533</v>
      </c>
      <c r="L29" s="10" t="s">
        <v>166</v>
      </c>
      <c r="M29" s="1"/>
      <c r="N29" s="39" t="e">
        <f>【PL】決算数値入力!#REF!</f>
        <v>#REF!</v>
      </c>
      <c r="O29" s="39" t="e">
        <f>【PL】決算数値入力!#REF!</f>
        <v>#REF!</v>
      </c>
      <c r="P29" s="39" t="e">
        <f>【PL】決算数値入力!#REF!</f>
        <v>#REF!</v>
      </c>
      <c r="Q29" s="39" t="e">
        <f>【PL】決算数値入力!#REF!</f>
        <v>#REF!</v>
      </c>
      <c r="R29" s="39" t="e">
        <f>【PL】決算数値入力!#REF!</f>
        <v>#REF!</v>
      </c>
      <c r="S29" s="39" t="e">
        <f>【PL】決算数値入力!#REF!</f>
        <v>#REF!</v>
      </c>
      <c r="T29" s="39" t="e">
        <f>ROUND(S29*(1+物価上昇率!$G$9),0)</f>
        <v>#REF!</v>
      </c>
      <c r="U29" s="39" t="e">
        <f>ROUND(T29*(1+物価上昇率!$G$9),0)</f>
        <v>#REF!</v>
      </c>
      <c r="V29" s="39" t="e">
        <f>ROUND(U29*(1+物価上昇率!$G$9),0)</f>
        <v>#REF!</v>
      </c>
      <c r="W29" s="39" t="e">
        <f>ROUND(V29*(1+物価上昇率!$G$9),0)</f>
        <v>#REF!</v>
      </c>
      <c r="X29" s="39" t="e">
        <f>ROUND(W29*(1+物価上昇率!$G$9),0)</f>
        <v>#REF!</v>
      </c>
      <c r="Y29" s="39" t="e">
        <f>ROUND(X29*(1+物価上昇率!$G$9),0)</f>
        <v>#REF!</v>
      </c>
      <c r="Z29" s="39" t="e">
        <f>ROUND(Y29*(1+物価上昇率!$G$9),0)</f>
        <v>#REF!</v>
      </c>
      <c r="AA29" s="39" t="e">
        <f>ROUND(Z29*(1+物価上昇率!$G$9),0)</f>
        <v>#REF!</v>
      </c>
      <c r="AB29" s="39" t="e">
        <f>ROUND(AA29*(1+物価上昇率!$G$9),0)</f>
        <v>#REF!</v>
      </c>
      <c r="AC29" s="39" t="e">
        <f>ROUND(AB29*(1+物価上昇率!$G$9),0)</f>
        <v>#REF!</v>
      </c>
      <c r="AD29" s="39" t="e">
        <f>ROUND(AC29*(1+物価上昇率!$G$9),0)</f>
        <v>#REF!</v>
      </c>
      <c r="AE29" s="39" t="e">
        <f>ROUND(AD29*(1+物価上昇率!$G$9),0)</f>
        <v>#REF!</v>
      </c>
      <c r="AF29" s="39" t="e">
        <f>ROUND(AE29*(1+物価上昇率!$G$9),0)</f>
        <v>#REF!</v>
      </c>
      <c r="AG29" s="39" t="e">
        <f>ROUND(AF29*(1+物価上昇率!$G$9),0)</f>
        <v>#REF!</v>
      </c>
      <c r="AH29" s="39" t="e">
        <f>ROUND(AG29*(1+物価上昇率!$G$9),0)</f>
        <v>#REF!</v>
      </c>
      <c r="AI29" s="39" t="e">
        <f>ROUND(AH29*(1+物価上昇率!$G$9),0)</f>
        <v>#REF!</v>
      </c>
      <c r="AJ29" s="39" t="e">
        <f>ROUND(AI29*(1+物価上昇率!$G$9),0)</f>
        <v>#REF!</v>
      </c>
      <c r="AK29" s="39" t="e">
        <f>ROUND(AJ29*(1+物価上昇率!$G$9),0)</f>
        <v>#REF!</v>
      </c>
      <c r="AL29" s="39" t="e">
        <f>ROUND(AK29*(1+物価上昇率!$G$9),0)</f>
        <v>#REF!</v>
      </c>
      <c r="AM29" s="39" t="e">
        <f>ROUND(AL29*(1+物価上昇率!$G$9),0)</f>
        <v>#REF!</v>
      </c>
      <c r="AN29" s="39" t="e">
        <f>ROUND(AM29*(1+物価上昇率!$G$9),0)</f>
        <v>#REF!</v>
      </c>
      <c r="AO29" s="39" t="e">
        <f>ROUND(AN29*(1+物価上昇率!$G$9),0)</f>
        <v>#REF!</v>
      </c>
      <c r="AP29" s="39" t="e">
        <f>ROUND(AO29*(1+物価上昇率!$G$9),0)</f>
        <v>#REF!</v>
      </c>
      <c r="AQ29" s="39" t="e">
        <f>ROUND(AP29*(1+物価上昇率!$G$9),0)</f>
        <v>#REF!</v>
      </c>
      <c r="AR29" s="39" t="e">
        <f>ROUND(AQ29*(1+物価上昇率!$G$9),0)</f>
        <v>#REF!</v>
      </c>
      <c r="AS29" s="39" t="e">
        <f>ROUND(AR29*(1+物価上昇率!$G$9),0)</f>
        <v>#REF!</v>
      </c>
      <c r="AT29" s="39" t="e">
        <f>ROUND(AS29*(1+物価上昇率!$G$9),0)</f>
        <v>#REF!</v>
      </c>
      <c r="AU29" s="39" t="e">
        <f>ROUND(AT29*(1+物価上昇率!$G$9),0)</f>
        <v>#REF!</v>
      </c>
      <c r="AV29" s="39" t="e">
        <f>ROUND(AU29*(1+物価上昇率!$G$9),0)</f>
        <v>#REF!</v>
      </c>
      <c r="AW29" s="39" t="e">
        <f>ROUND(AV29*(1+物価上昇率!$G$9),0)</f>
        <v>#REF!</v>
      </c>
      <c r="AX29" s="39" t="e">
        <f>ROUND(AW29*(1+物価上昇率!$G$9),0)</f>
        <v>#REF!</v>
      </c>
      <c r="AY29" s="39" t="e">
        <f>ROUND(AX29*(1+物価上昇率!$G$9),0)</f>
        <v>#REF!</v>
      </c>
      <c r="AZ29" s="39" t="e">
        <f>ROUND(AY29*(1+物価上昇率!$G$9),0)</f>
        <v>#REF!</v>
      </c>
      <c r="BA29" s="39" t="e">
        <f>ROUND(AZ29*(1+物価上昇率!$G$9),0)</f>
        <v>#REF!</v>
      </c>
      <c r="BB29" s="39" t="e">
        <f>ROUND(BA29*(1+物価上昇率!$G$9),0)</f>
        <v>#REF!</v>
      </c>
      <c r="BC29" s="39" t="e">
        <f>ROUND(BB29*(1+物価上昇率!$G$9),0)</f>
        <v>#REF!</v>
      </c>
      <c r="BD29" s="39" t="e">
        <f>ROUND(BC29*(1+物価上昇率!$G$9),0)</f>
        <v>#REF!</v>
      </c>
      <c r="BE29" s="39" t="e">
        <f>ROUND(BD29*(1+物価上昇率!$G$9),0)</f>
        <v>#REF!</v>
      </c>
      <c r="BF29" s="39" t="e">
        <f>ROUND(BE29*(1+物価上昇率!$G$9),0)</f>
        <v>#REF!</v>
      </c>
      <c r="BG29" s="39" t="e">
        <f>ROUND(BF29*(1+物価上昇率!$G$9),0)</f>
        <v>#REF!</v>
      </c>
      <c r="BH29" s="39" t="e">
        <f>ROUND(BG29*(1+物価上昇率!$G$9),0)</f>
        <v>#REF!</v>
      </c>
      <c r="BI29" s="39" t="e">
        <f>ROUND(BH29*(1+物価上昇率!$G$9),0)</f>
        <v>#REF!</v>
      </c>
      <c r="BJ29" s="39" t="e">
        <f>ROUND(BI29*(1+物価上昇率!$G$9),0)</f>
        <v>#REF!</v>
      </c>
      <c r="BK29" s="39" t="e">
        <f>ROUND(BJ29*(1+物価上昇率!$G$9),0)</f>
        <v>#REF!</v>
      </c>
      <c r="BL29" s="39" t="e">
        <f>ROUND(BK29*(1+物価上昇率!$G$9),0)</f>
        <v>#REF!</v>
      </c>
      <c r="BM29" s="39" t="e">
        <f>ROUND(BL29*(1+物価上昇率!$G$9),0)</f>
        <v>#REF!</v>
      </c>
      <c r="BN29" s="39" t="e">
        <f>ROUND(BM29*(1+物価上昇率!$G$9),0)</f>
        <v>#REF!</v>
      </c>
      <c r="BO29" s="39" t="e">
        <f>ROUND(BN29*(1+物価上昇率!$G$9),0)</f>
        <v>#REF!</v>
      </c>
      <c r="BP29" s="39" t="e">
        <f>ROUND(BO29*(1+物価上昇率!$G$9),0)</f>
        <v>#REF!</v>
      </c>
      <c r="BQ29" s="39" t="e">
        <f>ROUND(BP29*(1+物価上昇率!$G$9),0)</f>
        <v>#REF!</v>
      </c>
    </row>
    <row r="30" spans="2:69">
      <c r="B30" s="4"/>
      <c r="C30" s="4"/>
      <c r="D30" s="4"/>
      <c r="E30" s="1" t="s">
        <v>92</v>
      </c>
      <c r="F30" s="303"/>
      <c r="G30" s="10"/>
      <c r="H30" s="10" t="s">
        <v>166</v>
      </c>
      <c r="I30" s="10"/>
      <c r="J30" s="10"/>
      <c r="K30" s="1" t="s">
        <v>533</v>
      </c>
      <c r="L30" s="10" t="s">
        <v>166</v>
      </c>
      <c r="M30" s="1"/>
      <c r="N30" s="39" t="e">
        <f>【PL】決算数値入力!#REF!</f>
        <v>#REF!</v>
      </c>
      <c r="O30" s="39" t="e">
        <f>【PL】決算数値入力!#REF!</f>
        <v>#REF!</v>
      </c>
      <c r="P30" s="39" t="e">
        <f>【PL】決算数値入力!#REF!</f>
        <v>#REF!</v>
      </c>
      <c r="Q30" s="39" t="e">
        <f>【PL】決算数値入力!#REF!</f>
        <v>#REF!</v>
      </c>
      <c r="R30" s="39" t="e">
        <f>【PL】決算数値入力!#REF!</f>
        <v>#REF!</v>
      </c>
      <c r="S30" s="39" t="e">
        <f>【PL】決算数値入力!#REF!</f>
        <v>#REF!</v>
      </c>
      <c r="T30" s="39" t="e">
        <f>ROUND(S30*(1+物価上昇率!$G$9),0)</f>
        <v>#REF!</v>
      </c>
      <c r="U30" s="39" t="e">
        <f>ROUND(T30*(1+物価上昇率!$G$9),0)</f>
        <v>#REF!</v>
      </c>
      <c r="V30" s="39" t="e">
        <f>ROUND(U30*(1+物価上昇率!$G$9),0)</f>
        <v>#REF!</v>
      </c>
      <c r="W30" s="39" t="e">
        <f>ROUND(V30*(1+物価上昇率!$G$9),0)</f>
        <v>#REF!</v>
      </c>
      <c r="X30" s="39" t="e">
        <f>ROUND(W30*(1+物価上昇率!$G$9),0)</f>
        <v>#REF!</v>
      </c>
      <c r="Y30" s="39" t="e">
        <f>ROUND(X30*(1+物価上昇率!$G$9),0)</f>
        <v>#REF!</v>
      </c>
      <c r="Z30" s="39" t="e">
        <f>ROUND(Y30*(1+物価上昇率!$G$9),0)</f>
        <v>#REF!</v>
      </c>
      <c r="AA30" s="39" t="e">
        <f>ROUND(Z30*(1+物価上昇率!$G$9),0)</f>
        <v>#REF!</v>
      </c>
      <c r="AB30" s="39" t="e">
        <f>ROUND(AA30*(1+物価上昇率!$G$9),0)</f>
        <v>#REF!</v>
      </c>
      <c r="AC30" s="39" t="e">
        <f>ROUND(AB30*(1+物価上昇率!$G$9),0)</f>
        <v>#REF!</v>
      </c>
      <c r="AD30" s="39" t="e">
        <f>ROUND(AC30*(1+物価上昇率!$G$9),0)</f>
        <v>#REF!</v>
      </c>
      <c r="AE30" s="39" t="e">
        <f>ROUND(AD30*(1+物価上昇率!$G$9),0)</f>
        <v>#REF!</v>
      </c>
      <c r="AF30" s="39" t="e">
        <f>ROUND(AE30*(1+物価上昇率!$G$9),0)</f>
        <v>#REF!</v>
      </c>
      <c r="AG30" s="39" t="e">
        <f>ROUND(AF30*(1+物価上昇率!$G$9),0)</f>
        <v>#REF!</v>
      </c>
      <c r="AH30" s="39" t="e">
        <f>ROUND(AG30*(1+物価上昇率!$G$9),0)</f>
        <v>#REF!</v>
      </c>
      <c r="AI30" s="39" t="e">
        <f>ROUND(AH30*(1+物価上昇率!$G$9),0)</f>
        <v>#REF!</v>
      </c>
      <c r="AJ30" s="39" t="e">
        <f>ROUND(AI30*(1+物価上昇率!$G$9),0)</f>
        <v>#REF!</v>
      </c>
      <c r="AK30" s="39" t="e">
        <f>ROUND(AJ30*(1+物価上昇率!$G$9),0)</f>
        <v>#REF!</v>
      </c>
      <c r="AL30" s="39" t="e">
        <f>ROUND(AK30*(1+物価上昇率!$G$9),0)</f>
        <v>#REF!</v>
      </c>
      <c r="AM30" s="39" t="e">
        <f>ROUND(AL30*(1+物価上昇率!$G$9),0)</f>
        <v>#REF!</v>
      </c>
      <c r="AN30" s="39" t="e">
        <f>ROUND(AM30*(1+物価上昇率!$G$9),0)</f>
        <v>#REF!</v>
      </c>
      <c r="AO30" s="39" t="e">
        <f>ROUND(AN30*(1+物価上昇率!$G$9),0)</f>
        <v>#REF!</v>
      </c>
      <c r="AP30" s="39" t="e">
        <f>ROUND(AO30*(1+物価上昇率!$G$9),0)</f>
        <v>#REF!</v>
      </c>
      <c r="AQ30" s="39" t="e">
        <f>ROUND(AP30*(1+物価上昇率!$G$9),0)</f>
        <v>#REF!</v>
      </c>
      <c r="AR30" s="39" t="e">
        <f>ROUND(AQ30*(1+物価上昇率!$G$9),0)</f>
        <v>#REF!</v>
      </c>
      <c r="AS30" s="39" t="e">
        <f>ROUND(AR30*(1+物価上昇率!$G$9),0)</f>
        <v>#REF!</v>
      </c>
      <c r="AT30" s="39" t="e">
        <f>ROUND(AS30*(1+物価上昇率!$G$9),0)</f>
        <v>#REF!</v>
      </c>
      <c r="AU30" s="39" t="e">
        <f>ROUND(AT30*(1+物価上昇率!$G$9),0)</f>
        <v>#REF!</v>
      </c>
      <c r="AV30" s="39" t="e">
        <f>ROUND(AU30*(1+物価上昇率!$G$9),0)</f>
        <v>#REF!</v>
      </c>
      <c r="AW30" s="39" t="e">
        <f>ROUND(AV30*(1+物価上昇率!$G$9),0)</f>
        <v>#REF!</v>
      </c>
      <c r="AX30" s="39" t="e">
        <f>ROUND(AW30*(1+物価上昇率!$G$9),0)</f>
        <v>#REF!</v>
      </c>
      <c r="AY30" s="39" t="e">
        <f>ROUND(AX30*(1+物価上昇率!$G$9),0)</f>
        <v>#REF!</v>
      </c>
      <c r="AZ30" s="39" t="e">
        <f>ROUND(AY30*(1+物価上昇率!$G$9),0)</f>
        <v>#REF!</v>
      </c>
      <c r="BA30" s="39" t="e">
        <f>ROUND(AZ30*(1+物価上昇率!$G$9),0)</f>
        <v>#REF!</v>
      </c>
      <c r="BB30" s="39" t="e">
        <f>ROUND(BA30*(1+物価上昇率!$G$9),0)</f>
        <v>#REF!</v>
      </c>
      <c r="BC30" s="39" t="e">
        <f>ROUND(BB30*(1+物価上昇率!$G$9),0)</f>
        <v>#REF!</v>
      </c>
      <c r="BD30" s="39" t="e">
        <f>ROUND(BC30*(1+物価上昇率!$G$9),0)</f>
        <v>#REF!</v>
      </c>
      <c r="BE30" s="39" t="e">
        <f>ROUND(BD30*(1+物価上昇率!$G$9),0)</f>
        <v>#REF!</v>
      </c>
      <c r="BF30" s="39" t="e">
        <f>ROUND(BE30*(1+物価上昇率!$G$9),0)</f>
        <v>#REF!</v>
      </c>
      <c r="BG30" s="39" t="e">
        <f>ROUND(BF30*(1+物価上昇率!$G$9),0)</f>
        <v>#REF!</v>
      </c>
      <c r="BH30" s="39" t="e">
        <f>ROUND(BG30*(1+物価上昇率!$G$9),0)</f>
        <v>#REF!</v>
      </c>
      <c r="BI30" s="39" t="e">
        <f>ROUND(BH30*(1+物価上昇率!$G$9),0)</f>
        <v>#REF!</v>
      </c>
      <c r="BJ30" s="39" t="e">
        <f>ROUND(BI30*(1+物価上昇率!$G$9),0)</f>
        <v>#REF!</v>
      </c>
      <c r="BK30" s="39" t="e">
        <f>ROUND(BJ30*(1+物価上昇率!$G$9),0)</f>
        <v>#REF!</v>
      </c>
      <c r="BL30" s="39" t="e">
        <f>ROUND(BK30*(1+物価上昇率!$G$9),0)</f>
        <v>#REF!</v>
      </c>
      <c r="BM30" s="39" t="e">
        <f>ROUND(BL30*(1+物価上昇率!$G$9),0)</f>
        <v>#REF!</v>
      </c>
      <c r="BN30" s="39" t="e">
        <f>ROUND(BM30*(1+物価上昇率!$G$9),0)</f>
        <v>#REF!</v>
      </c>
      <c r="BO30" s="39" t="e">
        <f>ROUND(BN30*(1+物価上昇率!$G$9),0)</f>
        <v>#REF!</v>
      </c>
      <c r="BP30" s="39" t="e">
        <f>ROUND(BO30*(1+物価上昇率!$G$9),0)</f>
        <v>#REF!</v>
      </c>
      <c r="BQ30" s="39" t="e">
        <f>ROUND(BP30*(1+物価上昇率!$G$9),0)</f>
        <v>#REF!</v>
      </c>
    </row>
    <row r="31" spans="2:69">
      <c r="B31" s="4"/>
      <c r="C31" s="4"/>
      <c r="D31" s="4"/>
      <c r="E31" s="1" t="s">
        <v>93</v>
      </c>
      <c r="F31" s="303"/>
      <c r="G31" s="10"/>
      <c r="H31" s="10" t="s">
        <v>166</v>
      </c>
      <c r="I31" s="10"/>
      <c r="J31" s="10"/>
      <c r="K31" s="1" t="s">
        <v>533</v>
      </c>
      <c r="L31" s="10" t="s">
        <v>166</v>
      </c>
      <c r="M31" s="1"/>
      <c r="N31" s="39" t="e">
        <f>【PL】決算数値入力!#REF!</f>
        <v>#REF!</v>
      </c>
      <c r="O31" s="39" t="e">
        <f>【PL】決算数値入力!#REF!</f>
        <v>#REF!</v>
      </c>
      <c r="P31" s="39" t="e">
        <f>【PL】決算数値入力!#REF!</f>
        <v>#REF!</v>
      </c>
      <c r="Q31" s="39" t="e">
        <f>【PL】決算数値入力!#REF!</f>
        <v>#REF!</v>
      </c>
      <c r="R31" s="39" t="e">
        <f>【PL】決算数値入力!#REF!</f>
        <v>#REF!</v>
      </c>
      <c r="S31" s="39" t="e">
        <f>【PL】決算数値入力!#REF!</f>
        <v>#REF!</v>
      </c>
      <c r="T31" s="39" t="e">
        <f>ROUND(S31*(1+物価上昇率!$G$9),0)</f>
        <v>#REF!</v>
      </c>
      <c r="U31" s="39" t="e">
        <f>ROUND(T31*(1+物価上昇率!$G$9),0)</f>
        <v>#REF!</v>
      </c>
      <c r="V31" s="39" t="e">
        <f>ROUND(U31*(1+物価上昇率!$G$9),0)</f>
        <v>#REF!</v>
      </c>
      <c r="W31" s="39" t="e">
        <f>ROUND(V31*(1+物価上昇率!$G$9),0)</f>
        <v>#REF!</v>
      </c>
      <c r="X31" s="39" t="e">
        <f>ROUND(W31*(1+物価上昇率!$G$9),0)</f>
        <v>#REF!</v>
      </c>
      <c r="Y31" s="39" t="e">
        <f>ROUND(X31*(1+物価上昇率!$G$9),0)</f>
        <v>#REF!</v>
      </c>
      <c r="Z31" s="39" t="e">
        <f>ROUND(Y31*(1+物価上昇率!$G$9),0)</f>
        <v>#REF!</v>
      </c>
      <c r="AA31" s="39" t="e">
        <f>ROUND(Z31*(1+物価上昇率!$G$9),0)</f>
        <v>#REF!</v>
      </c>
      <c r="AB31" s="39" t="e">
        <f>ROUND(AA31*(1+物価上昇率!$G$9),0)</f>
        <v>#REF!</v>
      </c>
      <c r="AC31" s="39" t="e">
        <f>ROUND(AB31*(1+物価上昇率!$G$9),0)</f>
        <v>#REF!</v>
      </c>
      <c r="AD31" s="39" t="e">
        <f>ROUND(AC31*(1+物価上昇率!$G$9),0)</f>
        <v>#REF!</v>
      </c>
      <c r="AE31" s="39" t="e">
        <f>ROUND(AD31*(1+物価上昇率!$G$9),0)</f>
        <v>#REF!</v>
      </c>
      <c r="AF31" s="39" t="e">
        <f>ROUND(AE31*(1+物価上昇率!$G$9),0)</f>
        <v>#REF!</v>
      </c>
      <c r="AG31" s="39" t="e">
        <f>ROUND(AF31*(1+物価上昇率!$G$9),0)</f>
        <v>#REF!</v>
      </c>
      <c r="AH31" s="39" t="e">
        <f>ROUND(AG31*(1+物価上昇率!$G$9),0)</f>
        <v>#REF!</v>
      </c>
      <c r="AI31" s="39" t="e">
        <f>ROUND(AH31*(1+物価上昇率!$G$9),0)</f>
        <v>#REF!</v>
      </c>
      <c r="AJ31" s="39" t="e">
        <f>ROUND(AI31*(1+物価上昇率!$G$9),0)</f>
        <v>#REF!</v>
      </c>
      <c r="AK31" s="39" t="e">
        <f>ROUND(AJ31*(1+物価上昇率!$G$9),0)</f>
        <v>#REF!</v>
      </c>
      <c r="AL31" s="39" t="e">
        <f>ROUND(AK31*(1+物価上昇率!$G$9),0)</f>
        <v>#REF!</v>
      </c>
      <c r="AM31" s="39" t="e">
        <f>ROUND(AL31*(1+物価上昇率!$G$9),0)</f>
        <v>#REF!</v>
      </c>
      <c r="AN31" s="39" t="e">
        <f>ROUND(AM31*(1+物価上昇率!$G$9),0)</f>
        <v>#REF!</v>
      </c>
      <c r="AO31" s="39" t="e">
        <f>ROUND(AN31*(1+物価上昇率!$G$9),0)</f>
        <v>#REF!</v>
      </c>
      <c r="AP31" s="39" t="e">
        <f>ROUND(AO31*(1+物価上昇率!$G$9),0)</f>
        <v>#REF!</v>
      </c>
      <c r="AQ31" s="39" t="e">
        <f>ROUND(AP31*(1+物価上昇率!$G$9),0)</f>
        <v>#REF!</v>
      </c>
      <c r="AR31" s="39" t="e">
        <f>ROUND(AQ31*(1+物価上昇率!$G$9),0)</f>
        <v>#REF!</v>
      </c>
      <c r="AS31" s="39" t="e">
        <f>ROUND(AR31*(1+物価上昇率!$G$9),0)</f>
        <v>#REF!</v>
      </c>
      <c r="AT31" s="39" t="e">
        <f>ROUND(AS31*(1+物価上昇率!$G$9),0)</f>
        <v>#REF!</v>
      </c>
      <c r="AU31" s="39" t="e">
        <f>ROUND(AT31*(1+物価上昇率!$G$9),0)</f>
        <v>#REF!</v>
      </c>
      <c r="AV31" s="39" t="e">
        <f>ROUND(AU31*(1+物価上昇率!$G$9),0)</f>
        <v>#REF!</v>
      </c>
      <c r="AW31" s="39" t="e">
        <f>ROUND(AV31*(1+物価上昇率!$G$9),0)</f>
        <v>#REF!</v>
      </c>
      <c r="AX31" s="39" t="e">
        <f>ROUND(AW31*(1+物価上昇率!$G$9),0)</f>
        <v>#REF!</v>
      </c>
      <c r="AY31" s="39" t="e">
        <f>ROUND(AX31*(1+物価上昇率!$G$9),0)</f>
        <v>#REF!</v>
      </c>
      <c r="AZ31" s="39" t="e">
        <f>ROUND(AY31*(1+物価上昇率!$G$9),0)</f>
        <v>#REF!</v>
      </c>
      <c r="BA31" s="39" t="e">
        <f>ROUND(AZ31*(1+物価上昇率!$G$9),0)</f>
        <v>#REF!</v>
      </c>
      <c r="BB31" s="39" t="e">
        <f>ROUND(BA31*(1+物価上昇率!$G$9),0)</f>
        <v>#REF!</v>
      </c>
      <c r="BC31" s="39" t="e">
        <f>ROUND(BB31*(1+物価上昇率!$G$9),0)</f>
        <v>#REF!</v>
      </c>
      <c r="BD31" s="39" t="e">
        <f>ROUND(BC31*(1+物価上昇率!$G$9),0)</f>
        <v>#REF!</v>
      </c>
      <c r="BE31" s="39" t="e">
        <f>ROUND(BD31*(1+物価上昇率!$G$9),0)</f>
        <v>#REF!</v>
      </c>
      <c r="BF31" s="39" t="e">
        <f>ROUND(BE31*(1+物価上昇率!$G$9),0)</f>
        <v>#REF!</v>
      </c>
      <c r="BG31" s="39" t="e">
        <f>ROUND(BF31*(1+物価上昇率!$G$9),0)</f>
        <v>#REF!</v>
      </c>
      <c r="BH31" s="39" t="e">
        <f>ROUND(BG31*(1+物価上昇率!$G$9),0)</f>
        <v>#REF!</v>
      </c>
      <c r="BI31" s="39" t="e">
        <f>ROUND(BH31*(1+物価上昇率!$G$9),0)</f>
        <v>#REF!</v>
      </c>
      <c r="BJ31" s="39" t="e">
        <f>ROUND(BI31*(1+物価上昇率!$G$9),0)</f>
        <v>#REF!</v>
      </c>
      <c r="BK31" s="39" t="e">
        <f>ROUND(BJ31*(1+物価上昇率!$G$9),0)</f>
        <v>#REF!</v>
      </c>
      <c r="BL31" s="39" t="e">
        <f>ROUND(BK31*(1+物価上昇率!$G$9),0)</f>
        <v>#REF!</v>
      </c>
      <c r="BM31" s="39" t="e">
        <f>ROUND(BL31*(1+物価上昇率!$G$9),0)</f>
        <v>#REF!</v>
      </c>
      <c r="BN31" s="39" t="e">
        <f>ROUND(BM31*(1+物価上昇率!$G$9),0)</f>
        <v>#REF!</v>
      </c>
      <c r="BO31" s="39" t="e">
        <f>ROUND(BN31*(1+物価上昇率!$G$9),0)</f>
        <v>#REF!</v>
      </c>
      <c r="BP31" s="39" t="e">
        <f>ROUND(BO31*(1+物価上昇率!$G$9),0)</f>
        <v>#REF!</v>
      </c>
      <c r="BQ31" s="39" t="e">
        <f>ROUND(BP31*(1+物価上昇率!$G$9),0)</f>
        <v>#REF!</v>
      </c>
    </row>
    <row r="32" spans="2:69">
      <c r="B32" s="4"/>
      <c r="C32" s="4"/>
      <c r="D32" s="3"/>
      <c r="E32" s="1" t="s">
        <v>94</v>
      </c>
      <c r="F32" s="304"/>
      <c r="G32" s="10"/>
      <c r="H32" s="10" t="s">
        <v>166</v>
      </c>
      <c r="I32" s="10"/>
      <c r="J32" s="10"/>
      <c r="K32" s="1" t="s">
        <v>532</v>
      </c>
      <c r="L32" s="1"/>
      <c r="M32" s="1"/>
      <c r="N32" s="39" t="e">
        <f>【PL】決算数値入力!#REF!</f>
        <v>#REF!</v>
      </c>
      <c r="O32" s="39" t="e">
        <f>【PL】決算数値入力!#REF!</f>
        <v>#REF!</v>
      </c>
      <c r="P32" s="39" t="e">
        <f>【PL】決算数値入力!#REF!</f>
        <v>#REF!</v>
      </c>
      <c r="Q32" s="39" t="e">
        <f>【PL】決算数値入力!#REF!</f>
        <v>#REF!</v>
      </c>
      <c r="R32" s="39" t="e">
        <f>【PL】決算数値入力!#REF!</f>
        <v>#REF!</v>
      </c>
      <c r="S32" s="39" t="e">
        <f>【PL】決算数値入力!#REF!</f>
        <v>#REF!</v>
      </c>
      <c r="T32" s="39" t="e">
        <f>S32</f>
        <v>#REF!</v>
      </c>
      <c r="U32" s="39" t="e">
        <f t="shared" ref="U32:BQ32" si="16">T32</f>
        <v>#REF!</v>
      </c>
      <c r="V32" s="39" t="e">
        <f t="shared" si="16"/>
        <v>#REF!</v>
      </c>
      <c r="W32" s="39" t="e">
        <f t="shared" si="16"/>
        <v>#REF!</v>
      </c>
      <c r="X32" s="39" t="e">
        <f t="shared" si="16"/>
        <v>#REF!</v>
      </c>
      <c r="Y32" s="39" t="e">
        <f t="shared" si="16"/>
        <v>#REF!</v>
      </c>
      <c r="Z32" s="39" t="e">
        <f t="shared" si="16"/>
        <v>#REF!</v>
      </c>
      <c r="AA32" s="39" t="e">
        <f t="shared" si="16"/>
        <v>#REF!</v>
      </c>
      <c r="AB32" s="39" t="e">
        <f t="shared" si="16"/>
        <v>#REF!</v>
      </c>
      <c r="AC32" s="39" t="e">
        <f t="shared" si="16"/>
        <v>#REF!</v>
      </c>
      <c r="AD32" s="39" t="e">
        <f t="shared" si="16"/>
        <v>#REF!</v>
      </c>
      <c r="AE32" s="39" t="e">
        <f t="shared" si="16"/>
        <v>#REF!</v>
      </c>
      <c r="AF32" s="39" t="e">
        <f t="shared" si="16"/>
        <v>#REF!</v>
      </c>
      <c r="AG32" s="39" t="e">
        <f t="shared" si="16"/>
        <v>#REF!</v>
      </c>
      <c r="AH32" s="39" t="e">
        <f t="shared" si="16"/>
        <v>#REF!</v>
      </c>
      <c r="AI32" s="39" t="e">
        <f t="shared" si="16"/>
        <v>#REF!</v>
      </c>
      <c r="AJ32" s="39" t="e">
        <f t="shared" si="16"/>
        <v>#REF!</v>
      </c>
      <c r="AK32" s="39" t="e">
        <f t="shared" si="16"/>
        <v>#REF!</v>
      </c>
      <c r="AL32" s="39" t="e">
        <f t="shared" si="16"/>
        <v>#REF!</v>
      </c>
      <c r="AM32" s="39" t="e">
        <f t="shared" si="16"/>
        <v>#REF!</v>
      </c>
      <c r="AN32" s="39" t="e">
        <f t="shared" si="16"/>
        <v>#REF!</v>
      </c>
      <c r="AO32" s="39" t="e">
        <f t="shared" si="16"/>
        <v>#REF!</v>
      </c>
      <c r="AP32" s="39" t="e">
        <f t="shared" si="16"/>
        <v>#REF!</v>
      </c>
      <c r="AQ32" s="39" t="e">
        <f t="shared" si="16"/>
        <v>#REF!</v>
      </c>
      <c r="AR32" s="39" t="e">
        <f t="shared" si="16"/>
        <v>#REF!</v>
      </c>
      <c r="AS32" s="39" t="e">
        <f t="shared" si="16"/>
        <v>#REF!</v>
      </c>
      <c r="AT32" s="39" t="e">
        <f t="shared" si="16"/>
        <v>#REF!</v>
      </c>
      <c r="AU32" s="39" t="e">
        <f t="shared" si="16"/>
        <v>#REF!</v>
      </c>
      <c r="AV32" s="39" t="e">
        <f t="shared" si="16"/>
        <v>#REF!</v>
      </c>
      <c r="AW32" s="39" t="e">
        <f t="shared" si="16"/>
        <v>#REF!</v>
      </c>
      <c r="AX32" s="39" t="e">
        <f t="shared" si="16"/>
        <v>#REF!</v>
      </c>
      <c r="AY32" s="39" t="e">
        <f t="shared" si="16"/>
        <v>#REF!</v>
      </c>
      <c r="AZ32" s="39" t="e">
        <f t="shared" si="16"/>
        <v>#REF!</v>
      </c>
      <c r="BA32" s="39" t="e">
        <f t="shared" si="16"/>
        <v>#REF!</v>
      </c>
      <c r="BB32" s="39" t="e">
        <f t="shared" si="16"/>
        <v>#REF!</v>
      </c>
      <c r="BC32" s="39" t="e">
        <f t="shared" si="16"/>
        <v>#REF!</v>
      </c>
      <c r="BD32" s="39" t="e">
        <f t="shared" si="16"/>
        <v>#REF!</v>
      </c>
      <c r="BE32" s="39" t="e">
        <f t="shared" si="16"/>
        <v>#REF!</v>
      </c>
      <c r="BF32" s="39" t="e">
        <f t="shared" si="16"/>
        <v>#REF!</v>
      </c>
      <c r="BG32" s="39" t="e">
        <f t="shared" si="16"/>
        <v>#REF!</v>
      </c>
      <c r="BH32" s="39" t="e">
        <f t="shared" si="16"/>
        <v>#REF!</v>
      </c>
      <c r="BI32" s="39" t="e">
        <f t="shared" si="16"/>
        <v>#REF!</v>
      </c>
      <c r="BJ32" s="39" t="e">
        <f t="shared" si="16"/>
        <v>#REF!</v>
      </c>
      <c r="BK32" s="39" t="e">
        <f t="shared" si="16"/>
        <v>#REF!</v>
      </c>
      <c r="BL32" s="39" t="e">
        <f t="shared" si="16"/>
        <v>#REF!</v>
      </c>
      <c r="BM32" s="39" t="e">
        <f t="shared" si="16"/>
        <v>#REF!</v>
      </c>
      <c r="BN32" s="39" t="e">
        <f t="shared" si="16"/>
        <v>#REF!</v>
      </c>
      <c r="BO32" s="39" t="e">
        <f t="shared" si="16"/>
        <v>#REF!</v>
      </c>
      <c r="BP32" s="39" t="e">
        <f t="shared" si="16"/>
        <v>#REF!</v>
      </c>
      <c r="BQ32" s="39" t="e">
        <f t="shared" si="16"/>
        <v>#REF!</v>
      </c>
    </row>
    <row r="33" spans="2:69">
      <c r="B33" s="4"/>
      <c r="C33" s="4"/>
      <c r="D33" s="5" t="s">
        <v>95</v>
      </c>
      <c r="E33" s="8"/>
      <c r="F33" s="302" t="s">
        <v>175</v>
      </c>
      <c r="G33" s="10"/>
      <c r="H33" s="10"/>
      <c r="I33" s="10"/>
      <c r="J33" s="10"/>
      <c r="K33" s="1"/>
      <c r="L33" s="1"/>
      <c r="M33" s="1"/>
      <c r="N33" s="39" t="e">
        <f>【PL】決算数値入力!#REF!</f>
        <v>#REF!</v>
      </c>
      <c r="O33" s="39" t="e">
        <f>【PL】決算数値入力!#REF!</f>
        <v>#REF!</v>
      </c>
      <c r="P33" s="39" t="e">
        <f>【PL】決算数値入力!#REF!</f>
        <v>#REF!</v>
      </c>
      <c r="Q33" s="39" t="e">
        <f>【PL】決算数値入力!#REF!</f>
        <v>#REF!</v>
      </c>
      <c r="R33" s="39" t="e">
        <f>【PL】決算数値入力!#REF!</f>
        <v>#REF!</v>
      </c>
      <c r="S33" s="39" t="e">
        <f>【PL】決算数値入力!#REF!</f>
        <v>#REF!</v>
      </c>
      <c r="T33" s="39" t="e">
        <f t="shared" ref="T33:BQ33" si="17">SUM(T34:T40)</f>
        <v>#REF!</v>
      </c>
      <c r="U33" s="39" t="e">
        <f t="shared" si="17"/>
        <v>#REF!</v>
      </c>
      <c r="V33" s="39" t="e">
        <f t="shared" si="17"/>
        <v>#REF!</v>
      </c>
      <c r="W33" s="39" t="e">
        <f t="shared" si="17"/>
        <v>#REF!</v>
      </c>
      <c r="X33" s="39" t="e">
        <f t="shared" si="17"/>
        <v>#REF!</v>
      </c>
      <c r="Y33" s="39" t="e">
        <f t="shared" si="17"/>
        <v>#REF!</v>
      </c>
      <c r="Z33" s="39" t="e">
        <f t="shared" si="17"/>
        <v>#REF!</v>
      </c>
      <c r="AA33" s="39" t="e">
        <f t="shared" si="17"/>
        <v>#REF!</v>
      </c>
      <c r="AB33" s="39" t="e">
        <f t="shared" si="17"/>
        <v>#REF!</v>
      </c>
      <c r="AC33" s="39" t="e">
        <f t="shared" si="17"/>
        <v>#REF!</v>
      </c>
      <c r="AD33" s="39" t="e">
        <f t="shared" si="17"/>
        <v>#REF!</v>
      </c>
      <c r="AE33" s="39" t="e">
        <f t="shared" si="17"/>
        <v>#REF!</v>
      </c>
      <c r="AF33" s="39" t="e">
        <f t="shared" si="17"/>
        <v>#REF!</v>
      </c>
      <c r="AG33" s="39" t="e">
        <f t="shared" si="17"/>
        <v>#REF!</v>
      </c>
      <c r="AH33" s="39" t="e">
        <f t="shared" si="17"/>
        <v>#REF!</v>
      </c>
      <c r="AI33" s="39" t="e">
        <f t="shared" si="17"/>
        <v>#REF!</v>
      </c>
      <c r="AJ33" s="39" t="e">
        <f t="shared" si="17"/>
        <v>#REF!</v>
      </c>
      <c r="AK33" s="39" t="e">
        <f t="shared" si="17"/>
        <v>#REF!</v>
      </c>
      <c r="AL33" s="39" t="e">
        <f t="shared" si="17"/>
        <v>#REF!</v>
      </c>
      <c r="AM33" s="39" t="e">
        <f t="shared" si="17"/>
        <v>#REF!</v>
      </c>
      <c r="AN33" s="39" t="e">
        <f t="shared" si="17"/>
        <v>#REF!</v>
      </c>
      <c r="AO33" s="39" t="e">
        <f t="shared" si="17"/>
        <v>#REF!</v>
      </c>
      <c r="AP33" s="39" t="e">
        <f t="shared" si="17"/>
        <v>#REF!</v>
      </c>
      <c r="AQ33" s="39" t="e">
        <f t="shared" si="17"/>
        <v>#REF!</v>
      </c>
      <c r="AR33" s="39" t="e">
        <f t="shared" si="17"/>
        <v>#REF!</v>
      </c>
      <c r="AS33" s="39" t="e">
        <f t="shared" si="17"/>
        <v>#REF!</v>
      </c>
      <c r="AT33" s="39" t="e">
        <f t="shared" si="17"/>
        <v>#REF!</v>
      </c>
      <c r="AU33" s="39" t="e">
        <f t="shared" si="17"/>
        <v>#REF!</v>
      </c>
      <c r="AV33" s="39" t="e">
        <f t="shared" si="17"/>
        <v>#REF!</v>
      </c>
      <c r="AW33" s="39" t="e">
        <f t="shared" si="17"/>
        <v>#REF!</v>
      </c>
      <c r="AX33" s="39" t="e">
        <f t="shared" si="17"/>
        <v>#REF!</v>
      </c>
      <c r="AY33" s="39" t="e">
        <f t="shared" si="17"/>
        <v>#REF!</v>
      </c>
      <c r="AZ33" s="39" t="e">
        <f t="shared" si="17"/>
        <v>#REF!</v>
      </c>
      <c r="BA33" s="39" t="e">
        <f t="shared" si="17"/>
        <v>#REF!</v>
      </c>
      <c r="BB33" s="39" t="e">
        <f t="shared" si="17"/>
        <v>#REF!</v>
      </c>
      <c r="BC33" s="39" t="e">
        <f t="shared" si="17"/>
        <v>#REF!</v>
      </c>
      <c r="BD33" s="39" t="e">
        <f t="shared" si="17"/>
        <v>#REF!</v>
      </c>
      <c r="BE33" s="39" t="e">
        <f t="shared" si="17"/>
        <v>#REF!</v>
      </c>
      <c r="BF33" s="39" t="e">
        <f t="shared" si="17"/>
        <v>#REF!</v>
      </c>
      <c r="BG33" s="39" t="e">
        <f t="shared" si="17"/>
        <v>#REF!</v>
      </c>
      <c r="BH33" s="39" t="e">
        <f t="shared" si="17"/>
        <v>#REF!</v>
      </c>
      <c r="BI33" s="39" t="e">
        <f t="shared" si="17"/>
        <v>#REF!</v>
      </c>
      <c r="BJ33" s="39" t="e">
        <f t="shared" si="17"/>
        <v>#REF!</v>
      </c>
      <c r="BK33" s="39" t="e">
        <f t="shared" si="17"/>
        <v>#REF!</v>
      </c>
      <c r="BL33" s="39" t="e">
        <f t="shared" si="17"/>
        <v>#REF!</v>
      </c>
      <c r="BM33" s="39" t="e">
        <f t="shared" si="17"/>
        <v>#REF!</v>
      </c>
      <c r="BN33" s="39" t="e">
        <f t="shared" si="17"/>
        <v>#REF!</v>
      </c>
      <c r="BO33" s="39" t="e">
        <f t="shared" si="17"/>
        <v>#REF!</v>
      </c>
      <c r="BP33" s="39" t="e">
        <f t="shared" si="17"/>
        <v>#REF!</v>
      </c>
      <c r="BQ33" s="39" t="e">
        <f t="shared" si="17"/>
        <v>#REF!</v>
      </c>
    </row>
    <row r="34" spans="2:69">
      <c r="B34" s="4"/>
      <c r="C34" s="4"/>
      <c r="D34" s="4"/>
      <c r="E34" s="1" t="s">
        <v>89</v>
      </c>
      <c r="F34" s="303"/>
      <c r="G34" s="10"/>
      <c r="H34" s="10" t="s">
        <v>166</v>
      </c>
      <c r="I34" s="10"/>
      <c r="J34" s="10"/>
      <c r="K34" s="1" t="s">
        <v>533</v>
      </c>
      <c r="L34" s="10" t="s">
        <v>166</v>
      </c>
      <c r="M34" s="1"/>
      <c r="N34" s="39" t="e">
        <f>【PL】決算数値入力!#REF!</f>
        <v>#REF!</v>
      </c>
      <c r="O34" s="39" t="e">
        <f>【PL】決算数値入力!#REF!</f>
        <v>#REF!</v>
      </c>
      <c r="P34" s="39" t="e">
        <f>【PL】決算数値入力!#REF!</f>
        <v>#REF!</v>
      </c>
      <c r="Q34" s="39" t="e">
        <f>【PL】決算数値入力!#REF!</f>
        <v>#REF!</v>
      </c>
      <c r="R34" s="39" t="e">
        <f>【PL】決算数値入力!#REF!</f>
        <v>#REF!</v>
      </c>
      <c r="S34" s="39" t="e">
        <f>【PL】決算数値入力!#REF!</f>
        <v>#REF!</v>
      </c>
      <c r="T34" s="39" t="e">
        <f>ROUND(S34*(1+物価上昇率!$G$9),0)</f>
        <v>#REF!</v>
      </c>
      <c r="U34" s="39" t="e">
        <f>ROUND(T34*(1+物価上昇率!$G$9),0)</f>
        <v>#REF!</v>
      </c>
      <c r="V34" s="39" t="e">
        <f>ROUND(U34*(1+物価上昇率!$G$9),0)</f>
        <v>#REF!</v>
      </c>
      <c r="W34" s="39" t="e">
        <f>ROUND(V34*(1+物価上昇率!$G$9),0)</f>
        <v>#REF!</v>
      </c>
      <c r="X34" s="39" t="e">
        <f>ROUND(W34*(1+物価上昇率!$G$9),0)</f>
        <v>#REF!</v>
      </c>
      <c r="Y34" s="39" t="e">
        <f>ROUND(X34*(1+物価上昇率!$G$9),0)</f>
        <v>#REF!</v>
      </c>
      <c r="Z34" s="39" t="e">
        <f>ROUND(Y34*(1+物価上昇率!$G$9),0)</f>
        <v>#REF!</v>
      </c>
      <c r="AA34" s="39" t="e">
        <f>ROUND(Z34*(1+物価上昇率!$G$9),0)</f>
        <v>#REF!</v>
      </c>
      <c r="AB34" s="39" t="e">
        <f>ROUND(AA34*(1+物価上昇率!$G$9),0)</f>
        <v>#REF!</v>
      </c>
      <c r="AC34" s="39" t="e">
        <f>ROUND(AB34*(1+物価上昇率!$G$9),0)</f>
        <v>#REF!</v>
      </c>
      <c r="AD34" s="39" t="e">
        <f>ROUND(AC34*(1+物価上昇率!$G$9),0)</f>
        <v>#REF!</v>
      </c>
      <c r="AE34" s="39" t="e">
        <f>ROUND(AD34*(1+物価上昇率!$G$9),0)</f>
        <v>#REF!</v>
      </c>
      <c r="AF34" s="39" t="e">
        <f>ROUND(AE34*(1+物価上昇率!$G$9),0)</f>
        <v>#REF!</v>
      </c>
      <c r="AG34" s="39" t="e">
        <f>ROUND(AF34*(1+物価上昇率!$G$9),0)</f>
        <v>#REF!</v>
      </c>
      <c r="AH34" s="39" t="e">
        <f>ROUND(AG34*(1+物価上昇率!$G$9),0)</f>
        <v>#REF!</v>
      </c>
      <c r="AI34" s="39" t="e">
        <f>ROUND(AH34*(1+物価上昇率!$G$9),0)</f>
        <v>#REF!</v>
      </c>
      <c r="AJ34" s="39" t="e">
        <f>ROUND(AI34*(1+物価上昇率!$G$9),0)</f>
        <v>#REF!</v>
      </c>
      <c r="AK34" s="39" t="e">
        <f>ROUND(AJ34*(1+物価上昇率!$G$9),0)</f>
        <v>#REF!</v>
      </c>
      <c r="AL34" s="39" t="e">
        <f>ROUND(AK34*(1+物価上昇率!$G$9),0)</f>
        <v>#REF!</v>
      </c>
      <c r="AM34" s="39" t="e">
        <f>ROUND(AL34*(1+物価上昇率!$G$9),0)</f>
        <v>#REF!</v>
      </c>
      <c r="AN34" s="39" t="e">
        <f>ROUND(AM34*(1+物価上昇率!$G$9),0)</f>
        <v>#REF!</v>
      </c>
      <c r="AO34" s="39" t="e">
        <f>ROUND(AN34*(1+物価上昇率!$G$9),0)</f>
        <v>#REF!</v>
      </c>
      <c r="AP34" s="39" t="e">
        <f>ROUND(AO34*(1+物価上昇率!$G$9),0)</f>
        <v>#REF!</v>
      </c>
      <c r="AQ34" s="39" t="e">
        <f>ROUND(AP34*(1+物価上昇率!$G$9),0)</f>
        <v>#REF!</v>
      </c>
      <c r="AR34" s="39" t="e">
        <f>ROUND(AQ34*(1+物価上昇率!$G$9),0)</f>
        <v>#REF!</v>
      </c>
      <c r="AS34" s="39" t="e">
        <f>ROUND(AR34*(1+物価上昇率!$G$9),0)</f>
        <v>#REF!</v>
      </c>
      <c r="AT34" s="39" t="e">
        <f>ROUND(AS34*(1+物価上昇率!$G$9),0)</f>
        <v>#REF!</v>
      </c>
      <c r="AU34" s="39" t="e">
        <f>ROUND(AT34*(1+物価上昇率!$G$9),0)</f>
        <v>#REF!</v>
      </c>
      <c r="AV34" s="39" t="e">
        <f>ROUND(AU34*(1+物価上昇率!$G$9),0)</f>
        <v>#REF!</v>
      </c>
      <c r="AW34" s="39" t="e">
        <f>ROUND(AV34*(1+物価上昇率!$G$9),0)</f>
        <v>#REF!</v>
      </c>
      <c r="AX34" s="39" t="e">
        <f>ROUND(AW34*(1+物価上昇率!$G$9),0)</f>
        <v>#REF!</v>
      </c>
      <c r="AY34" s="39" t="e">
        <f>ROUND(AX34*(1+物価上昇率!$G$9),0)</f>
        <v>#REF!</v>
      </c>
      <c r="AZ34" s="39" t="e">
        <f>ROUND(AY34*(1+物価上昇率!$G$9),0)</f>
        <v>#REF!</v>
      </c>
      <c r="BA34" s="39" t="e">
        <f>ROUND(AZ34*(1+物価上昇率!$G$9),0)</f>
        <v>#REF!</v>
      </c>
      <c r="BB34" s="39" t="e">
        <f>ROUND(BA34*(1+物価上昇率!$G$9),0)</f>
        <v>#REF!</v>
      </c>
      <c r="BC34" s="39" t="e">
        <f>ROUND(BB34*(1+物価上昇率!$G$9),0)</f>
        <v>#REF!</v>
      </c>
      <c r="BD34" s="39" t="e">
        <f>ROUND(BC34*(1+物価上昇率!$G$9),0)</f>
        <v>#REF!</v>
      </c>
      <c r="BE34" s="39" t="e">
        <f>ROUND(BD34*(1+物価上昇率!$G$9),0)</f>
        <v>#REF!</v>
      </c>
      <c r="BF34" s="39" t="e">
        <f>ROUND(BE34*(1+物価上昇率!$G$9),0)</f>
        <v>#REF!</v>
      </c>
      <c r="BG34" s="39" t="e">
        <f>ROUND(BF34*(1+物価上昇率!$G$9),0)</f>
        <v>#REF!</v>
      </c>
      <c r="BH34" s="39" t="e">
        <f>ROUND(BG34*(1+物価上昇率!$G$9),0)</f>
        <v>#REF!</v>
      </c>
      <c r="BI34" s="39" t="e">
        <f>ROUND(BH34*(1+物価上昇率!$G$9),0)</f>
        <v>#REF!</v>
      </c>
      <c r="BJ34" s="39" t="e">
        <f>ROUND(BI34*(1+物価上昇率!$G$9),0)</f>
        <v>#REF!</v>
      </c>
      <c r="BK34" s="39" t="e">
        <f>ROUND(BJ34*(1+物価上昇率!$G$9),0)</f>
        <v>#REF!</v>
      </c>
      <c r="BL34" s="39" t="e">
        <f>ROUND(BK34*(1+物価上昇率!$G$9),0)</f>
        <v>#REF!</v>
      </c>
      <c r="BM34" s="39" t="e">
        <f>ROUND(BL34*(1+物価上昇率!$G$9),0)</f>
        <v>#REF!</v>
      </c>
      <c r="BN34" s="39" t="e">
        <f>ROUND(BM34*(1+物価上昇率!$G$9),0)</f>
        <v>#REF!</v>
      </c>
      <c r="BO34" s="39" t="e">
        <f>ROUND(BN34*(1+物価上昇率!$G$9),0)</f>
        <v>#REF!</v>
      </c>
      <c r="BP34" s="39" t="e">
        <f>ROUND(BO34*(1+物価上昇率!$G$9),0)</f>
        <v>#REF!</v>
      </c>
      <c r="BQ34" s="39" t="e">
        <f>ROUND(BP34*(1+物価上昇率!$G$9),0)</f>
        <v>#REF!</v>
      </c>
    </row>
    <row r="35" spans="2:69">
      <c r="B35" s="4"/>
      <c r="C35" s="4"/>
      <c r="D35" s="4"/>
      <c r="E35" s="1" t="s">
        <v>96</v>
      </c>
      <c r="F35" s="303"/>
      <c r="G35" s="10"/>
      <c r="H35" s="10"/>
      <c r="I35" s="10" t="s">
        <v>166</v>
      </c>
      <c r="J35" s="10"/>
      <c r="K35" s="1" t="s">
        <v>534</v>
      </c>
      <c r="L35" s="10" t="s">
        <v>166</v>
      </c>
      <c r="M35" s="1"/>
      <c r="N35" s="39" t="e">
        <f>【PL】決算数値入力!#REF!</f>
        <v>#REF!</v>
      </c>
      <c r="O35" s="39" t="e">
        <f>【PL】決算数値入力!#REF!</f>
        <v>#REF!</v>
      </c>
      <c r="P35" s="39" t="e">
        <f>【PL】決算数値入力!#REF!</f>
        <v>#REF!</v>
      </c>
      <c r="Q35" s="39" t="e">
        <f>【PL】決算数値入力!#REF!</f>
        <v>#REF!</v>
      </c>
      <c r="R35" s="39" t="e">
        <f>【PL】決算数値入力!#REF!</f>
        <v>#REF!</v>
      </c>
      <c r="S35" s="39" t="e">
        <f>【PL】決算数値入力!#REF!</f>
        <v>#REF!</v>
      </c>
      <c r="T35" s="39">
        <v>0</v>
      </c>
      <c r="U35" s="39">
        <v>0</v>
      </c>
      <c r="V35" s="39">
        <v>0</v>
      </c>
      <c r="W35" s="39">
        <v>0</v>
      </c>
      <c r="X35" s="39">
        <v>0</v>
      </c>
      <c r="Y35" s="39">
        <v>0</v>
      </c>
      <c r="Z35" s="39">
        <v>0</v>
      </c>
      <c r="AA35" s="39">
        <v>0</v>
      </c>
      <c r="AB35" s="39">
        <v>0</v>
      </c>
      <c r="AC35" s="39">
        <v>0</v>
      </c>
      <c r="AD35" s="39">
        <v>0</v>
      </c>
      <c r="AE35" s="39">
        <v>0</v>
      </c>
      <c r="AF35" s="39">
        <v>0</v>
      </c>
      <c r="AG35" s="39">
        <v>0</v>
      </c>
      <c r="AH35" s="39">
        <v>0</v>
      </c>
      <c r="AI35" s="39">
        <v>0</v>
      </c>
      <c r="AJ35" s="39">
        <v>0</v>
      </c>
      <c r="AK35" s="39">
        <v>0</v>
      </c>
      <c r="AL35" s="39">
        <v>0</v>
      </c>
      <c r="AM35" s="39">
        <v>0</v>
      </c>
      <c r="AN35" s="39">
        <v>0</v>
      </c>
      <c r="AO35" s="39">
        <v>0</v>
      </c>
      <c r="AP35" s="39">
        <v>0</v>
      </c>
      <c r="AQ35" s="39">
        <v>0</v>
      </c>
      <c r="AR35" s="39">
        <v>0</v>
      </c>
      <c r="AS35" s="39">
        <v>0</v>
      </c>
      <c r="AT35" s="39">
        <v>0</v>
      </c>
      <c r="AU35" s="39">
        <v>0</v>
      </c>
      <c r="AV35" s="39">
        <v>0</v>
      </c>
      <c r="AW35" s="39">
        <v>0</v>
      </c>
      <c r="AX35" s="39">
        <v>0</v>
      </c>
      <c r="AY35" s="39">
        <v>0</v>
      </c>
      <c r="AZ35" s="39">
        <v>0</v>
      </c>
      <c r="BA35" s="39">
        <v>0</v>
      </c>
      <c r="BB35" s="39">
        <v>0</v>
      </c>
      <c r="BC35" s="39">
        <v>0</v>
      </c>
      <c r="BD35" s="39">
        <v>0</v>
      </c>
      <c r="BE35" s="39">
        <v>0</v>
      </c>
      <c r="BF35" s="39">
        <v>0</v>
      </c>
      <c r="BG35" s="39">
        <v>0</v>
      </c>
      <c r="BH35" s="39">
        <v>0</v>
      </c>
      <c r="BI35" s="39">
        <v>0</v>
      </c>
      <c r="BJ35" s="39">
        <v>0</v>
      </c>
      <c r="BK35" s="39">
        <v>0</v>
      </c>
      <c r="BL35" s="39">
        <v>0</v>
      </c>
      <c r="BM35" s="39">
        <v>0</v>
      </c>
      <c r="BN35" s="39">
        <v>0</v>
      </c>
      <c r="BO35" s="39">
        <v>0</v>
      </c>
      <c r="BP35" s="39">
        <v>0</v>
      </c>
      <c r="BQ35" s="39">
        <v>0</v>
      </c>
    </row>
    <row r="36" spans="2:69">
      <c r="B36" s="4"/>
      <c r="C36" s="4"/>
      <c r="D36" s="4"/>
      <c r="E36" s="1" t="s">
        <v>90</v>
      </c>
      <c r="F36" s="303"/>
      <c r="G36" s="10"/>
      <c r="H36" s="10"/>
      <c r="I36" s="10" t="s">
        <v>166</v>
      </c>
      <c r="J36" s="10"/>
      <c r="K36" s="1" t="s">
        <v>534</v>
      </c>
      <c r="L36" s="10" t="s">
        <v>166</v>
      </c>
      <c r="M36" s="1"/>
      <c r="N36" s="39" t="e">
        <f>【PL】決算数値入力!#REF!</f>
        <v>#REF!</v>
      </c>
      <c r="O36" s="39" t="e">
        <f>【PL】決算数値入力!#REF!</f>
        <v>#REF!</v>
      </c>
      <c r="P36" s="39" t="e">
        <f>【PL】決算数値入力!#REF!</f>
        <v>#REF!</v>
      </c>
      <c r="Q36" s="39" t="e">
        <f>【PL】決算数値入力!#REF!</f>
        <v>#REF!</v>
      </c>
      <c r="R36" s="39" t="e">
        <f>【PL】決算数値入力!#REF!</f>
        <v>#REF!</v>
      </c>
      <c r="S36" s="39" t="e">
        <f>【PL】決算数値入力!#REF!</f>
        <v>#REF!</v>
      </c>
      <c r="T36" s="39">
        <v>0</v>
      </c>
      <c r="U36" s="39">
        <v>0</v>
      </c>
      <c r="V36" s="39">
        <v>0</v>
      </c>
      <c r="W36" s="39">
        <v>0</v>
      </c>
      <c r="X36" s="39">
        <v>0</v>
      </c>
      <c r="Y36" s="39">
        <v>0</v>
      </c>
      <c r="Z36" s="39">
        <v>0</v>
      </c>
      <c r="AA36" s="39">
        <v>0</v>
      </c>
      <c r="AB36" s="39">
        <v>0</v>
      </c>
      <c r="AC36" s="39">
        <v>0</v>
      </c>
      <c r="AD36" s="39">
        <v>0</v>
      </c>
      <c r="AE36" s="39">
        <v>0</v>
      </c>
      <c r="AF36" s="39">
        <v>0</v>
      </c>
      <c r="AG36" s="39">
        <v>0</v>
      </c>
      <c r="AH36" s="39">
        <v>0</v>
      </c>
      <c r="AI36" s="39">
        <v>0</v>
      </c>
      <c r="AJ36" s="39">
        <v>0</v>
      </c>
      <c r="AK36" s="39">
        <v>0</v>
      </c>
      <c r="AL36" s="39">
        <v>0</v>
      </c>
      <c r="AM36" s="39">
        <v>0</v>
      </c>
      <c r="AN36" s="39">
        <v>0</v>
      </c>
      <c r="AO36" s="39">
        <v>0</v>
      </c>
      <c r="AP36" s="39">
        <v>0</v>
      </c>
      <c r="AQ36" s="39">
        <v>0</v>
      </c>
      <c r="AR36" s="39">
        <v>0</v>
      </c>
      <c r="AS36" s="39">
        <v>0</v>
      </c>
      <c r="AT36" s="39">
        <v>0</v>
      </c>
      <c r="AU36" s="39">
        <v>0</v>
      </c>
      <c r="AV36" s="39">
        <v>0</v>
      </c>
      <c r="AW36" s="39">
        <v>0</v>
      </c>
      <c r="AX36" s="39">
        <v>0</v>
      </c>
      <c r="AY36" s="39">
        <v>0</v>
      </c>
      <c r="AZ36" s="39">
        <v>0</v>
      </c>
      <c r="BA36" s="39">
        <v>0</v>
      </c>
      <c r="BB36" s="39">
        <v>0</v>
      </c>
      <c r="BC36" s="39">
        <v>0</v>
      </c>
      <c r="BD36" s="39">
        <v>0</v>
      </c>
      <c r="BE36" s="39">
        <v>0</v>
      </c>
      <c r="BF36" s="39">
        <v>0</v>
      </c>
      <c r="BG36" s="39">
        <v>0</v>
      </c>
      <c r="BH36" s="39">
        <v>0</v>
      </c>
      <c r="BI36" s="39">
        <v>0</v>
      </c>
      <c r="BJ36" s="39">
        <v>0</v>
      </c>
      <c r="BK36" s="39">
        <v>0</v>
      </c>
      <c r="BL36" s="39">
        <v>0</v>
      </c>
      <c r="BM36" s="39">
        <v>0</v>
      </c>
      <c r="BN36" s="39">
        <v>0</v>
      </c>
      <c r="BO36" s="39">
        <v>0</v>
      </c>
      <c r="BP36" s="39">
        <v>0</v>
      </c>
      <c r="BQ36" s="39">
        <v>0</v>
      </c>
    </row>
    <row r="37" spans="2:69">
      <c r="B37" s="4"/>
      <c r="C37" s="4"/>
      <c r="D37" s="4"/>
      <c r="E37" s="1" t="s">
        <v>91</v>
      </c>
      <c r="F37" s="303"/>
      <c r="G37" s="10"/>
      <c r="H37" s="10" t="s">
        <v>166</v>
      </c>
      <c r="I37" s="10"/>
      <c r="J37" s="10"/>
      <c r="K37" s="1" t="s">
        <v>533</v>
      </c>
      <c r="L37" s="10" t="s">
        <v>166</v>
      </c>
      <c r="M37" s="1"/>
      <c r="N37" s="39" t="e">
        <f>【PL】決算数値入力!#REF!</f>
        <v>#REF!</v>
      </c>
      <c r="O37" s="39" t="e">
        <f>【PL】決算数値入力!#REF!</f>
        <v>#REF!</v>
      </c>
      <c r="P37" s="39" t="e">
        <f>【PL】決算数値入力!#REF!</f>
        <v>#REF!</v>
      </c>
      <c r="Q37" s="39" t="e">
        <f>【PL】決算数値入力!#REF!</f>
        <v>#REF!</v>
      </c>
      <c r="R37" s="39" t="e">
        <f>【PL】決算数値入力!#REF!</f>
        <v>#REF!</v>
      </c>
      <c r="S37" s="39" t="e">
        <f>【PL】決算数値入力!#REF!</f>
        <v>#REF!</v>
      </c>
      <c r="T37" s="39" t="e">
        <f>ROUND(S37*(1+物価上昇率!$G$9),0)</f>
        <v>#REF!</v>
      </c>
      <c r="U37" s="39" t="e">
        <f>ROUND(T37*(1+物価上昇率!$G$9),0)</f>
        <v>#REF!</v>
      </c>
      <c r="V37" s="39" t="e">
        <f>ROUND(U37*(1+物価上昇率!$G$9),0)</f>
        <v>#REF!</v>
      </c>
      <c r="W37" s="39" t="e">
        <f>ROUND(V37*(1+物価上昇率!$G$9),0)</f>
        <v>#REF!</v>
      </c>
      <c r="X37" s="39" t="e">
        <f>ROUND(W37*(1+物価上昇率!$G$9),0)</f>
        <v>#REF!</v>
      </c>
      <c r="Y37" s="39" t="e">
        <f>ROUND(X37*(1+物価上昇率!$G$9),0)</f>
        <v>#REF!</v>
      </c>
      <c r="Z37" s="39" t="e">
        <f>ROUND(Y37*(1+物価上昇率!$G$9),0)</f>
        <v>#REF!</v>
      </c>
      <c r="AA37" s="39" t="e">
        <f>ROUND(Z37*(1+物価上昇率!$G$9),0)</f>
        <v>#REF!</v>
      </c>
      <c r="AB37" s="39" t="e">
        <f>ROUND(AA37*(1+物価上昇率!$G$9),0)</f>
        <v>#REF!</v>
      </c>
      <c r="AC37" s="39" t="e">
        <f>ROUND(AB37*(1+物価上昇率!$G$9),0)</f>
        <v>#REF!</v>
      </c>
      <c r="AD37" s="39" t="e">
        <f>ROUND(AC37*(1+物価上昇率!$G$9),0)</f>
        <v>#REF!</v>
      </c>
      <c r="AE37" s="39" t="e">
        <f>ROUND(AD37*(1+物価上昇率!$G$9),0)</f>
        <v>#REF!</v>
      </c>
      <c r="AF37" s="39" t="e">
        <f>ROUND(AE37*(1+物価上昇率!$G$9),0)</f>
        <v>#REF!</v>
      </c>
      <c r="AG37" s="39" t="e">
        <f>ROUND(AF37*(1+物価上昇率!$G$9),0)</f>
        <v>#REF!</v>
      </c>
      <c r="AH37" s="39" t="e">
        <f>ROUND(AG37*(1+物価上昇率!$G$9),0)</f>
        <v>#REF!</v>
      </c>
      <c r="AI37" s="39" t="e">
        <f>ROUND(AH37*(1+物価上昇率!$G$9),0)</f>
        <v>#REF!</v>
      </c>
      <c r="AJ37" s="39" t="e">
        <f>ROUND(AI37*(1+物価上昇率!$G$9),0)</f>
        <v>#REF!</v>
      </c>
      <c r="AK37" s="39" t="e">
        <f>ROUND(AJ37*(1+物価上昇率!$G$9),0)</f>
        <v>#REF!</v>
      </c>
      <c r="AL37" s="39" t="e">
        <f>ROUND(AK37*(1+物価上昇率!$G$9),0)</f>
        <v>#REF!</v>
      </c>
      <c r="AM37" s="39" t="e">
        <f>ROUND(AL37*(1+物価上昇率!$G$9),0)</f>
        <v>#REF!</v>
      </c>
      <c r="AN37" s="39" t="e">
        <f>ROUND(AM37*(1+物価上昇率!$G$9),0)</f>
        <v>#REF!</v>
      </c>
      <c r="AO37" s="39" t="e">
        <f>ROUND(AN37*(1+物価上昇率!$G$9),0)</f>
        <v>#REF!</v>
      </c>
      <c r="AP37" s="39" t="e">
        <f>ROUND(AO37*(1+物価上昇率!$G$9),0)</f>
        <v>#REF!</v>
      </c>
      <c r="AQ37" s="39" t="e">
        <f>ROUND(AP37*(1+物価上昇率!$G$9),0)</f>
        <v>#REF!</v>
      </c>
      <c r="AR37" s="39" t="e">
        <f>ROUND(AQ37*(1+物価上昇率!$G$9),0)</f>
        <v>#REF!</v>
      </c>
      <c r="AS37" s="39" t="e">
        <f>ROUND(AR37*(1+物価上昇率!$G$9),0)</f>
        <v>#REF!</v>
      </c>
      <c r="AT37" s="39" t="e">
        <f>ROUND(AS37*(1+物価上昇率!$G$9),0)</f>
        <v>#REF!</v>
      </c>
      <c r="AU37" s="39" t="e">
        <f>ROUND(AT37*(1+物価上昇率!$G$9),0)</f>
        <v>#REF!</v>
      </c>
      <c r="AV37" s="39" t="e">
        <f>ROUND(AU37*(1+物価上昇率!$G$9),0)</f>
        <v>#REF!</v>
      </c>
      <c r="AW37" s="39" t="e">
        <f>ROUND(AV37*(1+物価上昇率!$G$9),0)</f>
        <v>#REF!</v>
      </c>
      <c r="AX37" s="39" t="e">
        <f>ROUND(AW37*(1+物価上昇率!$G$9),0)</f>
        <v>#REF!</v>
      </c>
      <c r="AY37" s="39" t="e">
        <f>ROUND(AX37*(1+物価上昇率!$G$9),0)</f>
        <v>#REF!</v>
      </c>
      <c r="AZ37" s="39" t="e">
        <f>ROUND(AY37*(1+物価上昇率!$G$9),0)</f>
        <v>#REF!</v>
      </c>
      <c r="BA37" s="39" t="e">
        <f>ROUND(AZ37*(1+物価上昇率!$G$9),0)</f>
        <v>#REF!</v>
      </c>
      <c r="BB37" s="39" t="e">
        <f>ROUND(BA37*(1+物価上昇率!$G$9),0)</f>
        <v>#REF!</v>
      </c>
      <c r="BC37" s="39" t="e">
        <f>ROUND(BB37*(1+物価上昇率!$G$9),0)</f>
        <v>#REF!</v>
      </c>
      <c r="BD37" s="39" t="e">
        <f>ROUND(BC37*(1+物価上昇率!$G$9),0)</f>
        <v>#REF!</v>
      </c>
      <c r="BE37" s="39" t="e">
        <f>ROUND(BD37*(1+物価上昇率!$G$9),0)</f>
        <v>#REF!</v>
      </c>
      <c r="BF37" s="39" t="e">
        <f>ROUND(BE37*(1+物価上昇率!$G$9),0)</f>
        <v>#REF!</v>
      </c>
      <c r="BG37" s="39" t="e">
        <f>ROUND(BF37*(1+物価上昇率!$G$9),0)</f>
        <v>#REF!</v>
      </c>
      <c r="BH37" s="39" t="e">
        <f>ROUND(BG37*(1+物価上昇率!$G$9),0)</f>
        <v>#REF!</v>
      </c>
      <c r="BI37" s="39" t="e">
        <f>ROUND(BH37*(1+物価上昇率!$G$9),0)</f>
        <v>#REF!</v>
      </c>
      <c r="BJ37" s="39" t="e">
        <f>ROUND(BI37*(1+物価上昇率!$G$9),0)</f>
        <v>#REF!</v>
      </c>
      <c r="BK37" s="39" t="e">
        <f>ROUND(BJ37*(1+物価上昇率!$G$9),0)</f>
        <v>#REF!</v>
      </c>
      <c r="BL37" s="39" t="e">
        <f>ROUND(BK37*(1+物価上昇率!$G$9),0)</f>
        <v>#REF!</v>
      </c>
      <c r="BM37" s="39" t="e">
        <f>ROUND(BL37*(1+物価上昇率!$G$9),0)</f>
        <v>#REF!</v>
      </c>
      <c r="BN37" s="39" t="e">
        <f>ROUND(BM37*(1+物価上昇率!$G$9),0)</f>
        <v>#REF!</v>
      </c>
      <c r="BO37" s="39" t="e">
        <f>ROUND(BN37*(1+物価上昇率!$G$9),0)</f>
        <v>#REF!</v>
      </c>
      <c r="BP37" s="39" t="e">
        <f>ROUND(BO37*(1+物価上昇率!$G$9),0)</f>
        <v>#REF!</v>
      </c>
      <c r="BQ37" s="39" t="e">
        <f>ROUND(BP37*(1+物価上昇率!$G$9),0)</f>
        <v>#REF!</v>
      </c>
    </row>
    <row r="38" spans="2:69">
      <c r="B38" s="4"/>
      <c r="C38" s="4"/>
      <c r="D38" s="4"/>
      <c r="E38" s="1" t="s">
        <v>92</v>
      </c>
      <c r="F38" s="303"/>
      <c r="G38" s="10"/>
      <c r="H38" s="10" t="s">
        <v>166</v>
      </c>
      <c r="I38" s="10"/>
      <c r="J38" s="10"/>
      <c r="K38" s="1" t="s">
        <v>533</v>
      </c>
      <c r="L38" s="10" t="s">
        <v>166</v>
      </c>
      <c r="M38" s="1"/>
      <c r="N38" s="39" t="e">
        <f>【PL】決算数値入力!#REF!</f>
        <v>#REF!</v>
      </c>
      <c r="O38" s="39" t="e">
        <f>【PL】決算数値入力!#REF!</f>
        <v>#REF!</v>
      </c>
      <c r="P38" s="39" t="e">
        <f>【PL】決算数値入力!#REF!</f>
        <v>#REF!</v>
      </c>
      <c r="Q38" s="39" t="e">
        <f>【PL】決算数値入力!#REF!</f>
        <v>#REF!</v>
      </c>
      <c r="R38" s="39" t="e">
        <f>【PL】決算数値入力!#REF!</f>
        <v>#REF!</v>
      </c>
      <c r="S38" s="39" t="e">
        <f>【PL】決算数値入力!#REF!</f>
        <v>#REF!</v>
      </c>
      <c r="T38" s="39" t="e">
        <f>ROUND(S38*(1+物価上昇率!$G$9),0)</f>
        <v>#REF!</v>
      </c>
      <c r="U38" s="39" t="e">
        <f>ROUND(T38*(1+物価上昇率!$G$9),0)</f>
        <v>#REF!</v>
      </c>
      <c r="V38" s="39" t="e">
        <f>ROUND(U38*(1+物価上昇率!$G$9),0)</f>
        <v>#REF!</v>
      </c>
      <c r="W38" s="39" t="e">
        <f>ROUND(V38*(1+物価上昇率!$G$9),0)</f>
        <v>#REF!</v>
      </c>
      <c r="X38" s="39" t="e">
        <f>ROUND(W38*(1+物価上昇率!$G$9),0)</f>
        <v>#REF!</v>
      </c>
      <c r="Y38" s="39" t="e">
        <f>ROUND(X38*(1+物価上昇率!$G$9),0)</f>
        <v>#REF!</v>
      </c>
      <c r="Z38" s="39" t="e">
        <f>ROUND(Y38*(1+物価上昇率!$G$9),0)</f>
        <v>#REF!</v>
      </c>
      <c r="AA38" s="39" t="e">
        <f>ROUND(Z38*(1+物価上昇率!$G$9),0)</f>
        <v>#REF!</v>
      </c>
      <c r="AB38" s="39" t="e">
        <f>ROUND(AA38*(1+物価上昇率!$G$9),0)</f>
        <v>#REF!</v>
      </c>
      <c r="AC38" s="39" t="e">
        <f>ROUND(AB38*(1+物価上昇率!$G$9),0)</f>
        <v>#REF!</v>
      </c>
      <c r="AD38" s="39" t="e">
        <f>ROUND(AC38*(1+物価上昇率!$G$9),0)</f>
        <v>#REF!</v>
      </c>
      <c r="AE38" s="39" t="e">
        <f>ROUND(AD38*(1+物価上昇率!$G$9),0)</f>
        <v>#REF!</v>
      </c>
      <c r="AF38" s="39" t="e">
        <f>ROUND(AE38*(1+物価上昇率!$G$9),0)</f>
        <v>#REF!</v>
      </c>
      <c r="AG38" s="39" t="e">
        <f>ROUND(AF38*(1+物価上昇率!$G$9),0)</f>
        <v>#REF!</v>
      </c>
      <c r="AH38" s="39" t="e">
        <f>ROUND(AG38*(1+物価上昇率!$G$9),0)</f>
        <v>#REF!</v>
      </c>
      <c r="AI38" s="39" t="e">
        <f>ROUND(AH38*(1+物価上昇率!$G$9),0)</f>
        <v>#REF!</v>
      </c>
      <c r="AJ38" s="39" t="e">
        <f>ROUND(AI38*(1+物価上昇率!$G$9),0)</f>
        <v>#REF!</v>
      </c>
      <c r="AK38" s="39" t="e">
        <f>ROUND(AJ38*(1+物価上昇率!$G$9),0)</f>
        <v>#REF!</v>
      </c>
      <c r="AL38" s="39" t="e">
        <f>ROUND(AK38*(1+物価上昇率!$G$9),0)</f>
        <v>#REF!</v>
      </c>
      <c r="AM38" s="39" t="e">
        <f>ROUND(AL38*(1+物価上昇率!$G$9),0)</f>
        <v>#REF!</v>
      </c>
      <c r="AN38" s="39" t="e">
        <f>ROUND(AM38*(1+物価上昇率!$G$9),0)</f>
        <v>#REF!</v>
      </c>
      <c r="AO38" s="39" t="e">
        <f>ROUND(AN38*(1+物価上昇率!$G$9),0)</f>
        <v>#REF!</v>
      </c>
      <c r="AP38" s="39" t="e">
        <f>ROUND(AO38*(1+物価上昇率!$G$9),0)</f>
        <v>#REF!</v>
      </c>
      <c r="AQ38" s="39" t="e">
        <f>ROUND(AP38*(1+物価上昇率!$G$9),0)</f>
        <v>#REF!</v>
      </c>
      <c r="AR38" s="39" t="e">
        <f>ROUND(AQ38*(1+物価上昇率!$G$9),0)</f>
        <v>#REF!</v>
      </c>
      <c r="AS38" s="39" t="e">
        <f>ROUND(AR38*(1+物価上昇率!$G$9),0)</f>
        <v>#REF!</v>
      </c>
      <c r="AT38" s="39" t="e">
        <f>ROUND(AS38*(1+物価上昇率!$G$9),0)</f>
        <v>#REF!</v>
      </c>
      <c r="AU38" s="39" t="e">
        <f>ROUND(AT38*(1+物価上昇率!$G$9),0)</f>
        <v>#REF!</v>
      </c>
      <c r="AV38" s="39" t="e">
        <f>ROUND(AU38*(1+物価上昇率!$G$9),0)</f>
        <v>#REF!</v>
      </c>
      <c r="AW38" s="39" t="e">
        <f>ROUND(AV38*(1+物価上昇率!$G$9),0)</f>
        <v>#REF!</v>
      </c>
      <c r="AX38" s="39" t="e">
        <f>ROUND(AW38*(1+物価上昇率!$G$9),0)</f>
        <v>#REF!</v>
      </c>
      <c r="AY38" s="39" t="e">
        <f>ROUND(AX38*(1+物価上昇率!$G$9),0)</f>
        <v>#REF!</v>
      </c>
      <c r="AZ38" s="39" t="e">
        <f>ROUND(AY38*(1+物価上昇率!$G$9),0)</f>
        <v>#REF!</v>
      </c>
      <c r="BA38" s="39" t="e">
        <f>ROUND(AZ38*(1+物価上昇率!$G$9),0)</f>
        <v>#REF!</v>
      </c>
      <c r="BB38" s="39" t="e">
        <f>ROUND(BA38*(1+物価上昇率!$G$9),0)</f>
        <v>#REF!</v>
      </c>
      <c r="BC38" s="39" t="e">
        <f>ROUND(BB38*(1+物価上昇率!$G$9),0)</f>
        <v>#REF!</v>
      </c>
      <c r="BD38" s="39" t="e">
        <f>ROUND(BC38*(1+物価上昇率!$G$9),0)</f>
        <v>#REF!</v>
      </c>
      <c r="BE38" s="39" t="e">
        <f>ROUND(BD38*(1+物価上昇率!$G$9),0)</f>
        <v>#REF!</v>
      </c>
      <c r="BF38" s="39" t="e">
        <f>ROUND(BE38*(1+物価上昇率!$G$9),0)</f>
        <v>#REF!</v>
      </c>
      <c r="BG38" s="39" t="e">
        <f>ROUND(BF38*(1+物価上昇率!$G$9),0)</f>
        <v>#REF!</v>
      </c>
      <c r="BH38" s="39" t="e">
        <f>ROUND(BG38*(1+物価上昇率!$G$9),0)</f>
        <v>#REF!</v>
      </c>
      <c r="BI38" s="39" t="e">
        <f>ROUND(BH38*(1+物価上昇率!$G$9),0)</f>
        <v>#REF!</v>
      </c>
      <c r="BJ38" s="39" t="e">
        <f>ROUND(BI38*(1+物価上昇率!$G$9),0)</f>
        <v>#REF!</v>
      </c>
      <c r="BK38" s="39" t="e">
        <f>ROUND(BJ38*(1+物価上昇率!$G$9),0)</f>
        <v>#REF!</v>
      </c>
      <c r="BL38" s="39" t="e">
        <f>ROUND(BK38*(1+物価上昇率!$G$9),0)</f>
        <v>#REF!</v>
      </c>
      <c r="BM38" s="39" t="e">
        <f>ROUND(BL38*(1+物価上昇率!$G$9),0)</f>
        <v>#REF!</v>
      </c>
      <c r="BN38" s="39" t="e">
        <f>ROUND(BM38*(1+物価上昇率!$G$9),0)</f>
        <v>#REF!</v>
      </c>
      <c r="BO38" s="39" t="e">
        <f>ROUND(BN38*(1+物価上昇率!$G$9),0)</f>
        <v>#REF!</v>
      </c>
      <c r="BP38" s="39" t="e">
        <f>ROUND(BO38*(1+物価上昇率!$G$9),0)</f>
        <v>#REF!</v>
      </c>
      <c r="BQ38" s="39" t="e">
        <f>ROUND(BP38*(1+物価上昇率!$G$9),0)</f>
        <v>#REF!</v>
      </c>
    </row>
    <row r="39" spans="2:69">
      <c r="B39" s="4"/>
      <c r="C39" s="4"/>
      <c r="D39" s="4"/>
      <c r="E39" s="1" t="s">
        <v>93</v>
      </c>
      <c r="F39" s="303"/>
      <c r="G39" s="10"/>
      <c r="H39" s="10" t="s">
        <v>166</v>
      </c>
      <c r="I39" s="10"/>
      <c r="J39" s="10"/>
      <c r="K39" s="1" t="s">
        <v>533</v>
      </c>
      <c r="L39" s="10" t="s">
        <v>166</v>
      </c>
      <c r="M39" s="1"/>
      <c r="N39" s="39" t="e">
        <f>【PL】決算数値入力!#REF!</f>
        <v>#REF!</v>
      </c>
      <c r="O39" s="39" t="e">
        <f>【PL】決算数値入力!#REF!</f>
        <v>#REF!</v>
      </c>
      <c r="P39" s="39" t="e">
        <f>【PL】決算数値入力!#REF!</f>
        <v>#REF!</v>
      </c>
      <c r="Q39" s="39" t="e">
        <f>【PL】決算数値入力!#REF!</f>
        <v>#REF!</v>
      </c>
      <c r="R39" s="39" t="e">
        <f>【PL】決算数値入力!#REF!</f>
        <v>#REF!</v>
      </c>
      <c r="S39" s="39" t="e">
        <f>【PL】決算数値入力!#REF!</f>
        <v>#REF!</v>
      </c>
      <c r="T39" s="39" t="e">
        <f>ROUND(S39*(1+物価上昇率!$G$9),0)</f>
        <v>#REF!</v>
      </c>
      <c r="U39" s="39" t="e">
        <f>ROUND(T39*(1+物価上昇率!$G$9),0)</f>
        <v>#REF!</v>
      </c>
      <c r="V39" s="39" t="e">
        <f>ROUND(U39*(1+物価上昇率!$G$9),0)</f>
        <v>#REF!</v>
      </c>
      <c r="W39" s="39" t="e">
        <f>ROUND(V39*(1+物価上昇率!$G$9),0)</f>
        <v>#REF!</v>
      </c>
      <c r="X39" s="39" t="e">
        <f>ROUND(W39*(1+物価上昇率!$G$9),0)</f>
        <v>#REF!</v>
      </c>
      <c r="Y39" s="39" t="e">
        <f>ROUND(X39*(1+物価上昇率!$G$9),0)</f>
        <v>#REF!</v>
      </c>
      <c r="Z39" s="39" t="e">
        <f>ROUND(Y39*(1+物価上昇率!$G$9),0)</f>
        <v>#REF!</v>
      </c>
      <c r="AA39" s="39" t="e">
        <f>ROUND(Z39*(1+物価上昇率!$G$9),0)</f>
        <v>#REF!</v>
      </c>
      <c r="AB39" s="39" t="e">
        <f>ROUND(AA39*(1+物価上昇率!$G$9),0)</f>
        <v>#REF!</v>
      </c>
      <c r="AC39" s="39" t="e">
        <f>ROUND(AB39*(1+物価上昇率!$G$9),0)</f>
        <v>#REF!</v>
      </c>
      <c r="AD39" s="39" t="e">
        <f>ROUND(AC39*(1+物価上昇率!$G$9),0)</f>
        <v>#REF!</v>
      </c>
      <c r="AE39" s="39" t="e">
        <f>ROUND(AD39*(1+物価上昇率!$G$9),0)</f>
        <v>#REF!</v>
      </c>
      <c r="AF39" s="39" t="e">
        <f>ROUND(AE39*(1+物価上昇率!$G$9),0)</f>
        <v>#REF!</v>
      </c>
      <c r="AG39" s="39" t="e">
        <f>ROUND(AF39*(1+物価上昇率!$G$9),0)</f>
        <v>#REF!</v>
      </c>
      <c r="AH39" s="39" t="e">
        <f>ROUND(AG39*(1+物価上昇率!$G$9),0)</f>
        <v>#REF!</v>
      </c>
      <c r="AI39" s="39" t="e">
        <f>ROUND(AH39*(1+物価上昇率!$G$9),0)</f>
        <v>#REF!</v>
      </c>
      <c r="AJ39" s="39" t="e">
        <f>ROUND(AI39*(1+物価上昇率!$G$9),0)</f>
        <v>#REF!</v>
      </c>
      <c r="AK39" s="39" t="e">
        <f>ROUND(AJ39*(1+物価上昇率!$G$9),0)</f>
        <v>#REF!</v>
      </c>
      <c r="AL39" s="39" t="e">
        <f>ROUND(AK39*(1+物価上昇率!$G$9),0)</f>
        <v>#REF!</v>
      </c>
      <c r="AM39" s="39" t="e">
        <f>ROUND(AL39*(1+物価上昇率!$G$9),0)</f>
        <v>#REF!</v>
      </c>
      <c r="AN39" s="39" t="e">
        <f>ROUND(AM39*(1+物価上昇率!$G$9),0)</f>
        <v>#REF!</v>
      </c>
      <c r="AO39" s="39" t="e">
        <f>ROUND(AN39*(1+物価上昇率!$G$9),0)</f>
        <v>#REF!</v>
      </c>
      <c r="AP39" s="39" t="e">
        <f>ROUND(AO39*(1+物価上昇率!$G$9),0)</f>
        <v>#REF!</v>
      </c>
      <c r="AQ39" s="39" t="e">
        <f>ROUND(AP39*(1+物価上昇率!$G$9),0)</f>
        <v>#REF!</v>
      </c>
      <c r="AR39" s="39" t="e">
        <f>ROUND(AQ39*(1+物価上昇率!$G$9),0)</f>
        <v>#REF!</v>
      </c>
      <c r="AS39" s="39" t="e">
        <f>ROUND(AR39*(1+物価上昇率!$G$9),0)</f>
        <v>#REF!</v>
      </c>
      <c r="AT39" s="39" t="e">
        <f>ROUND(AS39*(1+物価上昇率!$G$9),0)</f>
        <v>#REF!</v>
      </c>
      <c r="AU39" s="39" t="e">
        <f>ROUND(AT39*(1+物価上昇率!$G$9),0)</f>
        <v>#REF!</v>
      </c>
      <c r="AV39" s="39" t="e">
        <f>ROUND(AU39*(1+物価上昇率!$G$9),0)</f>
        <v>#REF!</v>
      </c>
      <c r="AW39" s="39" t="e">
        <f>ROUND(AV39*(1+物価上昇率!$G$9),0)</f>
        <v>#REF!</v>
      </c>
      <c r="AX39" s="39" t="e">
        <f>ROUND(AW39*(1+物価上昇率!$G$9),0)</f>
        <v>#REF!</v>
      </c>
      <c r="AY39" s="39" t="e">
        <f>ROUND(AX39*(1+物価上昇率!$G$9),0)</f>
        <v>#REF!</v>
      </c>
      <c r="AZ39" s="39" t="e">
        <f>ROUND(AY39*(1+物価上昇率!$G$9),0)</f>
        <v>#REF!</v>
      </c>
      <c r="BA39" s="39" t="e">
        <f>ROUND(AZ39*(1+物価上昇率!$G$9),0)</f>
        <v>#REF!</v>
      </c>
      <c r="BB39" s="39" t="e">
        <f>ROUND(BA39*(1+物価上昇率!$G$9),0)</f>
        <v>#REF!</v>
      </c>
      <c r="BC39" s="39" t="e">
        <f>ROUND(BB39*(1+物価上昇率!$G$9),0)</f>
        <v>#REF!</v>
      </c>
      <c r="BD39" s="39" t="e">
        <f>ROUND(BC39*(1+物価上昇率!$G$9),0)</f>
        <v>#REF!</v>
      </c>
      <c r="BE39" s="39" t="e">
        <f>ROUND(BD39*(1+物価上昇率!$G$9),0)</f>
        <v>#REF!</v>
      </c>
      <c r="BF39" s="39" t="e">
        <f>ROUND(BE39*(1+物価上昇率!$G$9),0)</f>
        <v>#REF!</v>
      </c>
      <c r="BG39" s="39" t="e">
        <f>ROUND(BF39*(1+物価上昇率!$G$9),0)</f>
        <v>#REF!</v>
      </c>
      <c r="BH39" s="39" t="e">
        <f>ROUND(BG39*(1+物価上昇率!$G$9),0)</f>
        <v>#REF!</v>
      </c>
      <c r="BI39" s="39" t="e">
        <f>ROUND(BH39*(1+物価上昇率!$G$9),0)</f>
        <v>#REF!</v>
      </c>
      <c r="BJ39" s="39" t="e">
        <f>ROUND(BI39*(1+物価上昇率!$G$9),0)</f>
        <v>#REF!</v>
      </c>
      <c r="BK39" s="39" t="e">
        <f>ROUND(BJ39*(1+物価上昇率!$G$9),0)</f>
        <v>#REF!</v>
      </c>
      <c r="BL39" s="39" t="e">
        <f>ROUND(BK39*(1+物価上昇率!$G$9),0)</f>
        <v>#REF!</v>
      </c>
      <c r="BM39" s="39" t="e">
        <f>ROUND(BL39*(1+物価上昇率!$G$9),0)</f>
        <v>#REF!</v>
      </c>
      <c r="BN39" s="39" t="e">
        <f>ROUND(BM39*(1+物価上昇率!$G$9),0)</f>
        <v>#REF!</v>
      </c>
      <c r="BO39" s="39" t="e">
        <f>ROUND(BN39*(1+物価上昇率!$G$9),0)</f>
        <v>#REF!</v>
      </c>
      <c r="BP39" s="39" t="e">
        <f>ROUND(BO39*(1+物価上昇率!$G$9),0)</f>
        <v>#REF!</v>
      </c>
      <c r="BQ39" s="39" t="e">
        <f>ROUND(BP39*(1+物価上昇率!$G$9),0)</f>
        <v>#REF!</v>
      </c>
    </row>
    <row r="40" spans="2:69">
      <c r="B40" s="4"/>
      <c r="C40" s="4"/>
      <c r="D40" s="3"/>
      <c r="E40" s="1" t="s">
        <v>94</v>
      </c>
      <c r="F40" s="304"/>
      <c r="G40" s="10"/>
      <c r="H40" s="10" t="s">
        <v>166</v>
      </c>
      <c r="I40" s="10"/>
      <c r="J40" s="10"/>
      <c r="K40" s="1" t="s">
        <v>532</v>
      </c>
      <c r="L40" s="1"/>
      <c r="M40" s="1"/>
      <c r="N40" s="39" t="e">
        <f>【PL】決算数値入力!#REF!</f>
        <v>#REF!</v>
      </c>
      <c r="O40" s="39" t="e">
        <f>【PL】決算数値入力!#REF!</f>
        <v>#REF!</v>
      </c>
      <c r="P40" s="39" t="e">
        <f>【PL】決算数値入力!#REF!</f>
        <v>#REF!</v>
      </c>
      <c r="Q40" s="39" t="e">
        <f>【PL】決算数値入力!#REF!</f>
        <v>#REF!</v>
      </c>
      <c r="R40" s="39" t="e">
        <f>【PL】決算数値入力!#REF!</f>
        <v>#REF!</v>
      </c>
      <c r="S40" s="39" t="e">
        <f>【PL】決算数値入力!#REF!</f>
        <v>#REF!</v>
      </c>
      <c r="T40" s="39" t="e">
        <f>S40</f>
        <v>#REF!</v>
      </c>
      <c r="U40" s="39" t="e">
        <f t="shared" ref="U40:BQ40" si="18">T40</f>
        <v>#REF!</v>
      </c>
      <c r="V40" s="39" t="e">
        <f t="shared" si="18"/>
        <v>#REF!</v>
      </c>
      <c r="W40" s="39" t="e">
        <f t="shared" si="18"/>
        <v>#REF!</v>
      </c>
      <c r="X40" s="39" t="e">
        <f t="shared" si="18"/>
        <v>#REF!</v>
      </c>
      <c r="Y40" s="39" t="e">
        <f t="shared" si="18"/>
        <v>#REF!</v>
      </c>
      <c r="Z40" s="39" t="e">
        <f t="shared" si="18"/>
        <v>#REF!</v>
      </c>
      <c r="AA40" s="39" t="e">
        <f t="shared" si="18"/>
        <v>#REF!</v>
      </c>
      <c r="AB40" s="39" t="e">
        <f t="shared" si="18"/>
        <v>#REF!</v>
      </c>
      <c r="AC40" s="39" t="e">
        <f t="shared" si="18"/>
        <v>#REF!</v>
      </c>
      <c r="AD40" s="39" t="e">
        <f t="shared" si="18"/>
        <v>#REF!</v>
      </c>
      <c r="AE40" s="39" t="e">
        <f t="shared" si="18"/>
        <v>#REF!</v>
      </c>
      <c r="AF40" s="39" t="e">
        <f t="shared" si="18"/>
        <v>#REF!</v>
      </c>
      <c r="AG40" s="39" t="e">
        <f t="shared" si="18"/>
        <v>#REF!</v>
      </c>
      <c r="AH40" s="39" t="e">
        <f t="shared" si="18"/>
        <v>#REF!</v>
      </c>
      <c r="AI40" s="39" t="e">
        <f t="shared" si="18"/>
        <v>#REF!</v>
      </c>
      <c r="AJ40" s="39" t="e">
        <f t="shared" si="18"/>
        <v>#REF!</v>
      </c>
      <c r="AK40" s="39" t="e">
        <f t="shared" si="18"/>
        <v>#REF!</v>
      </c>
      <c r="AL40" s="39" t="e">
        <f t="shared" si="18"/>
        <v>#REF!</v>
      </c>
      <c r="AM40" s="39" t="e">
        <f t="shared" si="18"/>
        <v>#REF!</v>
      </c>
      <c r="AN40" s="39" t="e">
        <f t="shared" si="18"/>
        <v>#REF!</v>
      </c>
      <c r="AO40" s="39" t="e">
        <f t="shared" si="18"/>
        <v>#REF!</v>
      </c>
      <c r="AP40" s="39" t="e">
        <f t="shared" si="18"/>
        <v>#REF!</v>
      </c>
      <c r="AQ40" s="39" t="e">
        <f t="shared" si="18"/>
        <v>#REF!</v>
      </c>
      <c r="AR40" s="39" t="e">
        <f t="shared" si="18"/>
        <v>#REF!</v>
      </c>
      <c r="AS40" s="39" t="e">
        <f t="shared" si="18"/>
        <v>#REF!</v>
      </c>
      <c r="AT40" s="39" t="e">
        <f t="shared" si="18"/>
        <v>#REF!</v>
      </c>
      <c r="AU40" s="39" t="e">
        <f t="shared" si="18"/>
        <v>#REF!</v>
      </c>
      <c r="AV40" s="39" t="e">
        <f t="shared" si="18"/>
        <v>#REF!</v>
      </c>
      <c r="AW40" s="39" t="e">
        <f t="shared" si="18"/>
        <v>#REF!</v>
      </c>
      <c r="AX40" s="39" t="e">
        <f t="shared" si="18"/>
        <v>#REF!</v>
      </c>
      <c r="AY40" s="39" t="e">
        <f t="shared" si="18"/>
        <v>#REF!</v>
      </c>
      <c r="AZ40" s="39" t="e">
        <f t="shared" si="18"/>
        <v>#REF!</v>
      </c>
      <c r="BA40" s="39" t="e">
        <f t="shared" si="18"/>
        <v>#REF!</v>
      </c>
      <c r="BB40" s="39" t="e">
        <f t="shared" si="18"/>
        <v>#REF!</v>
      </c>
      <c r="BC40" s="39" t="e">
        <f t="shared" si="18"/>
        <v>#REF!</v>
      </c>
      <c r="BD40" s="39" t="e">
        <f t="shared" si="18"/>
        <v>#REF!</v>
      </c>
      <c r="BE40" s="39" t="e">
        <f t="shared" si="18"/>
        <v>#REF!</v>
      </c>
      <c r="BF40" s="39" t="e">
        <f t="shared" si="18"/>
        <v>#REF!</v>
      </c>
      <c r="BG40" s="39" t="e">
        <f t="shared" si="18"/>
        <v>#REF!</v>
      </c>
      <c r="BH40" s="39" t="e">
        <f t="shared" si="18"/>
        <v>#REF!</v>
      </c>
      <c r="BI40" s="39" t="e">
        <f t="shared" si="18"/>
        <v>#REF!</v>
      </c>
      <c r="BJ40" s="39" t="e">
        <f t="shared" si="18"/>
        <v>#REF!</v>
      </c>
      <c r="BK40" s="39" t="e">
        <f t="shared" si="18"/>
        <v>#REF!</v>
      </c>
      <c r="BL40" s="39" t="e">
        <f t="shared" si="18"/>
        <v>#REF!</v>
      </c>
      <c r="BM40" s="39" t="e">
        <f t="shared" si="18"/>
        <v>#REF!</v>
      </c>
      <c r="BN40" s="39" t="e">
        <f t="shared" si="18"/>
        <v>#REF!</v>
      </c>
      <c r="BO40" s="39" t="e">
        <f t="shared" si="18"/>
        <v>#REF!</v>
      </c>
      <c r="BP40" s="39" t="e">
        <f t="shared" si="18"/>
        <v>#REF!</v>
      </c>
      <c r="BQ40" s="39" t="e">
        <f t="shared" si="18"/>
        <v>#REF!</v>
      </c>
    </row>
    <row r="41" spans="2:69">
      <c r="B41" s="4"/>
      <c r="C41" s="4"/>
      <c r="D41" s="5" t="s">
        <v>450</v>
      </c>
      <c r="E41" s="8"/>
      <c r="F41" s="101"/>
      <c r="G41" s="10"/>
      <c r="H41" s="10"/>
      <c r="I41" s="10"/>
      <c r="J41" s="10"/>
      <c r="K41" s="1" t="s">
        <v>163</v>
      </c>
      <c r="L41" s="1"/>
      <c r="M41" s="1"/>
      <c r="N41" s="39" t="e">
        <f>【PL】決算数値入力!#REF!</f>
        <v>#REF!</v>
      </c>
      <c r="O41" s="39" t="e">
        <f>【PL】決算数値入力!#REF!</f>
        <v>#REF!</v>
      </c>
      <c r="P41" s="39" t="e">
        <f>【PL】決算数値入力!#REF!</f>
        <v>#REF!</v>
      </c>
      <c r="Q41" s="39" t="e">
        <f>【PL】決算数値入力!#REF!</f>
        <v>#REF!</v>
      </c>
      <c r="R41" s="39" t="e">
        <f>【PL】決算数値入力!#REF!</f>
        <v>#REF!</v>
      </c>
      <c r="S41" s="39" t="e">
        <f>【PL】決算数値入力!#REF!</f>
        <v>#REF!</v>
      </c>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row>
    <row r="42" spans="2:69">
      <c r="B42" s="4"/>
      <c r="C42" s="4"/>
      <c r="D42" s="5" t="s">
        <v>97</v>
      </c>
      <c r="E42" s="8"/>
      <c r="F42" s="302" t="s">
        <v>176</v>
      </c>
      <c r="G42" s="10"/>
      <c r="H42" s="10"/>
      <c r="I42" s="10"/>
      <c r="J42" s="10"/>
      <c r="K42" s="1"/>
      <c r="L42" s="1"/>
      <c r="M42" s="1"/>
      <c r="N42" s="39" t="e">
        <f>【PL】決算数値入力!#REF!</f>
        <v>#REF!</v>
      </c>
      <c r="O42" s="39" t="e">
        <f>【PL】決算数値入力!#REF!</f>
        <v>#REF!</v>
      </c>
      <c r="P42" s="39" t="e">
        <f>【PL】決算数値入力!#REF!</f>
        <v>#REF!</v>
      </c>
      <c r="Q42" s="39" t="e">
        <f>【PL】決算数値入力!#REF!</f>
        <v>#REF!</v>
      </c>
      <c r="R42" s="39" t="e">
        <f>【PL】決算数値入力!#REF!</f>
        <v>#REF!</v>
      </c>
      <c r="S42" s="39" t="e">
        <f>【PL】決算数値入力!#REF!</f>
        <v>#REF!</v>
      </c>
      <c r="T42" s="39" t="e">
        <f t="shared" ref="T42:BQ42" si="19">SUM(T43:T50)</f>
        <v>#REF!</v>
      </c>
      <c r="U42" s="39" t="e">
        <f t="shared" si="19"/>
        <v>#REF!</v>
      </c>
      <c r="V42" s="39" t="e">
        <f t="shared" si="19"/>
        <v>#REF!</v>
      </c>
      <c r="W42" s="39" t="e">
        <f t="shared" si="19"/>
        <v>#REF!</v>
      </c>
      <c r="X42" s="39" t="e">
        <f t="shared" si="19"/>
        <v>#REF!</v>
      </c>
      <c r="Y42" s="39" t="e">
        <f t="shared" si="19"/>
        <v>#REF!</v>
      </c>
      <c r="Z42" s="39" t="e">
        <f t="shared" si="19"/>
        <v>#REF!</v>
      </c>
      <c r="AA42" s="39" t="e">
        <f t="shared" si="19"/>
        <v>#REF!</v>
      </c>
      <c r="AB42" s="39" t="e">
        <f t="shared" si="19"/>
        <v>#REF!</v>
      </c>
      <c r="AC42" s="39" t="e">
        <f t="shared" si="19"/>
        <v>#REF!</v>
      </c>
      <c r="AD42" s="39" t="e">
        <f t="shared" si="19"/>
        <v>#REF!</v>
      </c>
      <c r="AE42" s="39" t="e">
        <f t="shared" si="19"/>
        <v>#REF!</v>
      </c>
      <c r="AF42" s="39" t="e">
        <f t="shared" si="19"/>
        <v>#REF!</v>
      </c>
      <c r="AG42" s="39" t="e">
        <f t="shared" si="19"/>
        <v>#REF!</v>
      </c>
      <c r="AH42" s="39" t="e">
        <f t="shared" si="19"/>
        <v>#REF!</v>
      </c>
      <c r="AI42" s="39" t="e">
        <f t="shared" si="19"/>
        <v>#REF!</v>
      </c>
      <c r="AJ42" s="39" t="e">
        <f t="shared" si="19"/>
        <v>#REF!</v>
      </c>
      <c r="AK42" s="39" t="e">
        <f t="shared" si="19"/>
        <v>#REF!</v>
      </c>
      <c r="AL42" s="39" t="e">
        <f t="shared" si="19"/>
        <v>#REF!</v>
      </c>
      <c r="AM42" s="39" t="e">
        <f t="shared" si="19"/>
        <v>#REF!</v>
      </c>
      <c r="AN42" s="39" t="e">
        <f t="shared" si="19"/>
        <v>#REF!</v>
      </c>
      <c r="AO42" s="39" t="e">
        <f t="shared" si="19"/>
        <v>#REF!</v>
      </c>
      <c r="AP42" s="39" t="e">
        <f t="shared" si="19"/>
        <v>#REF!</v>
      </c>
      <c r="AQ42" s="39" t="e">
        <f t="shared" si="19"/>
        <v>#REF!</v>
      </c>
      <c r="AR42" s="39" t="e">
        <f t="shared" si="19"/>
        <v>#REF!</v>
      </c>
      <c r="AS42" s="39" t="e">
        <f t="shared" si="19"/>
        <v>#REF!</v>
      </c>
      <c r="AT42" s="39" t="e">
        <f t="shared" si="19"/>
        <v>#REF!</v>
      </c>
      <c r="AU42" s="39" t="e">
        <f t="shared" si="19"/>
        <v>#REF!</v>
      </c>
      <c r="AV42" s="39" t="e">
        <f t="shared" si="19"/>
        <v>#REF!</v>
      </c>
      <c r="AW42" s="39" t="e">
        <f t="shared" si="19"/>
        <v>#REF!</v>
      </c>
      <c r="AX42" s="39" t="e">
        <f t="shared" si="19"/>
        <v>#REF!</v>
      </c>
      <c r="AY42" s="39" t="e">
        <f t="shared" si="19"/>
        <v>#REF!</v>
      </c>
      <c r="AZ42" s="39" t="e">
        <f t="shared" si="19"/>
        <v>#REF!</v>
      </c>
      <c r="BA42" s="39" t="e">
        <f t="shared" si="19"/>
        <v>#REF!</v>
      </c>
      <c r="BB42" s="39" t="e">
        <f t="shared" si="19"/>
        <v>#REF!</v>
      </c>
      <c r="BC42" s="39" t="e">
        <f t="shared" si="19"/>
        <v>#REF!</v>
      </c>
      <c r="BD42" s="39" t="e">
        <f t="shared" si="19"/>
        <v>#REF!</v>
      </c>
      <c r="BE42" s="39" t="e">
        <f t="shared" si="19"/>
        <v>#REF!</v>
      </c>
      <c r="BF42" s="39" t="e">
        <f t="shared" si="19"/>
        <v>#REF!</v>
      </c>
      <c r="BG42" s="39" t="e">
        <f t="shared" si="19"/>
        <v>#REF!</v>
      </c>
      <c r="BH42" s="39" t="e">
        <f t="shared" si="19"/>
        <v>#REF!</v>
      </c>
      <c r="BI42" s="39" t="e">
        <f t="shared" si="19"/>
        <v>#REF!</v>
      </c>
      <c r="BJ42" s="39" t="e">
        <f t="shared" si="19"/>
        <v>#REF!</v>
      </c>
      <c r="BK42" s="39" t="e">
        <f t="shared" si="19"/>
        <v>#REF!</v>
      </c>
      <c r="BL42" s="39" t="e">
        <f t="shared" si="19"/>
        <v>#REF!</v>
      </c>
      <c r="BM42" s="39" t="e">
        <f t="shared" si="19"/>
        <v>#REF!</v>
      </c>
      <c r="BN42" s="39" t="e">
        <f t="shared" si="19"/>
        <v>#REF!</v>
      </c>
      <c r="BO42" s="39" t="e">
        <f t="shared" si="19"/>
        <v>#REF!</v>
      </c>
      <c r="BP42" s="39" t="e">
        <f t="shared" si="19"/>
        <v>#REF!</v>
      </c>
      <c r="BQ42" s="39" t="e">
        <f t="shared" si="19"/>
        <v>#REF!</v>
      </c>
    </row>
    <row r="43" spans="2:69">
      <c r="B43" s="4"/>
      <c r="C43" s="4"/>
      <c r="D43" s="4"/>
      <c r="E43" s="1" t="s">
        <v>89</v>
      </c>
      <c r="F43" s="303"/>
      <c r="G43" s="10"/>
      <c r="H43" s="10" t="s">
        <v>166</v>
      </c>
      <c r="I43" s="10"/>
      <c r="J43" s="10"/>
      <c r="K43" s="1" t="s">
        <v>533</v>
      </c>
      <c r="L43" s="10" t="s">
        <v>166</v>
      </c>
      <c r="M43" s="1"/>
      <c r="N43" s="39" t="e">
        <f>【PL】決算数値入力!#REF!</f>
        <v>#REF!</v>
      </c>
      <c r="O43" s="39" t="e">
        <f>【PL】決算数値入力!#REF!</f>
        <v>#REF!</v>
      </c>
      <c r="P43" s="39" t="e">
        <f>【PL】決算数値入力!#REF!</f>
        <v>#REF!</v>
      </c>
      <c r="Q43" s="39" t="e">
        <f>【PL】決算数値入力!#REF!</f>
        <v>#REF!</v>
      </c>
      <c r="R43" s="39" t="e">
        <f>【PL】決算数値入力!#REF!</f>
        <v>#REF!</v>
      </c>
      <c r="S43" s="39" t="e">
        <f>【PL】決算数値入力!#REF!</f>
        <v>#REF!</v>
      </c>
      <c r="T43" s="39" t="e">
        <f>ROUND(S43*(1+物価上昇率!$G$9),0)</f>
        <v>#REF!</v>
      </c>
      <c r="U43" s="39" t="e">
        <f>ROUND(T43*(1+物価上昇率!$G$9),0)</f>
        <v>#REF!</v>
      </c>
      <c r="V43" s="39" t="e">
        <f>ROUND(U43*(1+物価上昇率!$G$9),0)</f>
        <v>#REF!</v>
      </c>
      <c r="W43" s="39" t="e">
        <f>ROUND(V43*(1+物価上昇率!$G$9),0)</f>
        <v>#REF!</v>
      </c>
      <c r="X43" s="39" t="e">
        <f>ROUND(W43*(1+物価上昇率!$G$9),0)</f>
        <v>#REF!</v>
      </c>
      <c r="Y43" s="39" t="e">
        <f>ROUND(X43*(1+物価上昇率!$G$9),0)</f>
        <v>#REF!</v>
      </c>
      <c r="Z43" s="39" t="e">
        <f>ROUND(Y43*(1+物価上昇率!$G$9),0)</f>
        <v>#REF!</v>
      </c>
      <c r="AA43" s="39" t="e">
        <f>ROUND(Z43*(1+物価上昇率!$G$9),0)</f>
        <v>#REF!</v>
      </c>
      <c r="AB43" s="39" t="e">
        <f>ROUND(AA43*(1+物価上昇率!$G$9),0)</f>
        <v>#REF!</v>
      </c>
      <c r="AC43" s="39" t="e">
        <f>ROUND(AB43*(1+物価上昇率!$G$9),0)</f>
        <v>#REF!</v>
      </c>
      <c r="AD43" s="39" t="e">
        <f>ROUND(AC43*(1+物価上昇率!$G$9),0)</f>
        <v>#REF!</v>
      </c>
      <c r="AE43" s="39" t="e">
        <f>ROUND(AD43*(1+物価上昇率!$G$9),0)</f>
        <v>#REF!</v>
      </c>
      <c r="AF43" s="39" t="e">
        <f>ROUND(AE43*(1+物価上昇率!$G$9),0)</f>
        <v>#REF!</v>
      </c>
      <c r="AG43" s="39" t="e">
        <f>ROUND(AF43*(1+物価上昇率!$G$9),0)</f>
        <v>#REF!</v>
      </c>
      <c r="AH43" s="39" t="e">
        <f>ROUND(AG43*(1+物価上昇率!$G$9),0)</f>
        <v>#REF!</v>
      </c>
      <c r="AI43" s="39" t="e">
        <f>ROUND(AH43*(1+物価上昇率!$G$9),0)</f>
        <v>#REF!</v>
      </c>
      <c r="AJ43" s="39" t="e">
        <f>ROUND(AI43*(1+物価上昇率!$G$9),0)</f>
        <v>#REF!</v>
      </c>
      <c r="AK43" s="39" t="e">
        <f>ROUND(AJ43*(1+物価上昇率!$G$9),0)</f>
        <v>#REF!</v>
      </c>
      <c r="AL43" s="39" t="e">
        <f>ROUND(AK43*(1+物価上昇率!$G$9),0)</f>
        <v>#REF!</v>
      </c>
      <c r="AM43" s="39" t="e">
        <f>ROUND(AL43*(1+物価上昇率!$G$9),0)</f>
        <v>#REF!</v>
      </c>
      <c r="AN43" s="39" t="e">
        <f>ROUND(AM43*(1+物価上昇率!$G$9),0)</f>
        <v>#REF!</v>
      </c>
      <c r="AO43" s="39" t="e">
        <f>ROUND(AN43*(1+物価上昇率!$G$9),0)</f>
        <v>#REF!</v>
      </c>
      <c r="AP43" s="39" t="e">
        <f>ROUND(AO43*(1+物価上昇率!$G$9),0)</f>
        <v>#REF!</v>
      </c>
      <c r="AQ43" s="39" t="e">
        <f>ROUND(AP43*(1+物価上昇率!$G$9),0)</f>
        <v>#REF!</v>
      </c>
      <c r="AR43" s="39" t="e">
        <f>ROUND(AQ43*(1+物価上昇率!$G$9),0)</f>
        <v>#REF!</v>
      </c>
      <c r="AS43" s="39" t="e">
        <f>ROUND(AR43*(1+物価上昇率!$G$9),0)</f>
        <v>#REF!</v>
      </c>
      <c r="AT43" s="39" t="e">
        <f>ROUND(AS43*(1+物価上昇率!$G$9),0)</f>
        <v>#REF!</v>
      </c>
      <c r="AU43" s="39" t="e">
        <f>ROUND(AT43*(1+物価上昇率!$G$9),0)</f>
        <v>#REF!</v>
      </c>
      <c r="AV43" s="39" t="e">
        <f>ROUND(AU43*(1+物価上昇率!$G$9),0)</f>
        <v>#REF!</v>
      </c>
      <c r="AW43" s="39" t="e">
        <f>ROUND(AV43*(1+物価上昇率!$G$9),0)</f>
        <v>#REF!</v>
      </c>
      <c r="AX43" s="39" t="e">
        <f>ROUND(AW43*(1+物価上昇率!$G$9),0)</f>
        <v>#REF!</v>
      </c>
      <c r="AY43" s="39" t="e">
        <f>ROUND(AX43*(1+物価上昇率!$G$9),0)</f>
        <v>#REF!</v>
      </c>
      <c r="AZ43" s="39" t="e">
        <f>ROUND(AY43*(1+物価上昇率!$G$9),0)</f>
        <v>#REF!</v>
      </c>
      <c r="BA43" s="39" t="e">
        <f>ROUND(AZ43*(1+物価上昇率!$G$9),0)</f>
        <v>#REF!</v>
      </c>
      <c r="BB43" s="39" t="e">
        <f>ROUND(BA43*(1+物価上昇率!$G$9),0)</f>
        <v>#REF!</v>
      </c>
      <c r="BC43" s="39" t="e">
        <f>ROUND(BB43*(1+物価上昇率!$G$9),0)</f>
        <v>#REF!</v>
      </c>
      <c r="BD43" s="39" t="e">
        <f>ROUND(BC43*(1+物価上昇率!$G$9),0)</f>
        <v>#REF!</v>
      </c>
      <c r="BE43" s="39" t="e">
        <f>ROUND(BD43*(1+物価上昇率!$G$9),0)</f>
        <v>#REF!</v>
      </c>
      <c r="BF43" s="39" t="e">
        <f>ROUND(BE43*(1+物価上昇率!$G$9),0)</f>
        <v>#REF!</v>
      </c>
      <c r="BG43" s="39" t="e">
        <f>ROUND(BF43*(1+物価上昇率!$G$9),0)</f>
        <v>#REF!</v>
      </c>
      <c r="BH43" s="39" t="e">
        <f>ROUND(BG43*(1+物価上昇率!$G$9),0)</f>
        <v>#REF!</v>
      </c>
      <c r="BI43" s="39" t="e">
        <f>ROUND(BH43*(1+物価上昇率!$G$9),0)</f>
        <v>#REF!</v>
      </c>
      <c r="BJ43" s="39" t="e">
        <f>ROUND(BI43*(1+物価上昇率!$G$9),0)</f>
        <v>#REF!</v>
      </c>
      <c r="BK43" s="39" t="e">
        <f>ROUND(BJ43*(1+物価上昇率!$G$9),0)</f>
        <v>#REF!</v>
      </c>
      <c r="BL43" s="39" t="e">
        <f>ROUND(BK43*(1+物価上昇率!$G$9),0)</f>
        <v>#REF!</v>
      </c>
      <c r="BM43" s="39" t="e">
        <f>ROUND(BL43*(1+物価上昇率!$G$9),0)</f>
        <v>#REF!</v>
      </c>
      <c r="BN43" s="39" t="e">
        <f>ROUND(BM43*(1+物価上昇率!$G$9),0)</f>
        <v>#REF!</v>
      </c>
      <c r="BO43" s="39" t="e">
        <f>ROUND(BN43*(1+物価上昇率!$G$9),0)</f>
        <v>#REF!</v>
      </c>
      <c r="BP43" s="39" t="e">
        <f>ROUND(BO43*(1+物価上昇率!$G$9),0)</f>
        <v>#REF!</v>
      </c>
      <c r="BQ43" s="39" t="e">
        <f>ROUND(BP43*(1+物価上昇率!$G$9),0)</f>
        <v>#REF!</v>
      </c>
    </row>
    <row r="44" spans="2:69">
      <c r="B44" s="4"/>
      <c r="C44" s="4"/>
      <c r="D44" s="4"/>
      <c r="E44" s="1" t="s">
        <v>98</v>
      </c>
      <c r="F44" s="303"/>
      <c r="G44" s="10"/>
      <c r="H44" s="10" t="s">
        <v>166</v>
      </c>
      <c r="I44" s="10"/>
      <c r="J44" s="10"/>
      <c r="K44" s="1" t="s">
        <v>533</v>
      </c>
      <c r="L44" s="10" t="s">
        <v>166</v>
      </c>
      <c r="M44" s="1"/>
      <c r="N44" s="39" t="e">
        <f>【PL】決算数値入力!#REF!</f>
        <v>#REF!</v>
      </c>
      <c r="O44" s="39" t="e">
        <f>【PL】決算数値入力!#REF!</f>
        <v>#REF!</v>
      </c>
      <c r="P44" s="39" t="e">
        <f>【PL】決算数値入力!#REF!</f>
        <v>#REF!</v>
      </c>
      <c r="Q44" s="39" t="e">
        <f>【PL】決算数値入力!#REF!</f>
        <v>#REF!</v>
      </c>
      <c r="R44" s="39" t="e">
        <f>【PL】決算数値入力!#REF!</f>
        <v>#REF!</v>
      </c>
      <c r="S44" s="39" t="e">
        <f>【PL】決算数値入力!#REF!</f>
        <v>#REF!</v>
      </c>
      <c r="T44" s="39" t="e">
        <f>ROUND(S44*(1+物価上昇率!$G$9),0)</f>
        <v>#REF!</v>
      </c>
      <c r="U44" s="39" t="e">
        <f>ROUND(T44*(1+物価上昇率!$G$9),0)</f>
        <v>#REF!</v>
      </c>
      <c r="V44" s="39" t="e">
        <f>ROUND(U44*(1+物価上昇率!$G$9),0)</f>
        <v>#REF!</v>
      </c>
      <c r="W44" s="39" t="e">
        <f>ROUND(V44*(1+物価上昇率!$G$9),0)</f>
        <v>#REF!</v>
      </c>
      <c r="X44" s="39" t="e">
        <f>ROUND(W44*(1+物価上昇率!$G$9),0)</f>
        <v>#REF!</v>
      </c>
      <c r="Y44" s="39" t="e">
        <f>ROUND(X44*(1+物価上昇率!$G$9),0)</f>
        <v>#REF!</v>
      </c>
      <c r="Z44" s="39" t="e">
        <f>ROUND(Y44*(1+物価上昇率!$G$9),0)</f>
        <v>#REF!</v>
      </c>
      <c r="AA44" s="39" t="e">
        <f>ROUND(Z44*(1+物価上昇率!$G$9),0)</f>
        <v>#REF!</v>
      </c>
      <c r="AB44" s="39" t="e">
        <f>ROUND(AA44*(1+物価上昇率!$G$9),0)</f>
        <v>#REF!</v>
      </c>
      <c r="AC44" s="39" t="e">
        <f>ROUND(AB44*(1+物価上昇率!$G$9),0)</f>
        <v>#REF!</v>
      </c>
      <c r="AD44" s="39" t="e">
        <f>ROUND(AC44*(1+物価上昇率!$G$9),0)</f>
        <v>#REF!</v>
      </c>
      <c r="AE44" s="39" t="e">
        <f>ROUND(AD44*(1+物価上昇率!$G$9),0)</f>
        <v>#REF!</v>
      </c>
      <c r="AF44" s="39" t="e">
        <f>ROUND(AE44*(1+物価上昇率!$G$9),0)</f>
        <v>#REF!</v>
      </c>
      <c r="AG44" s="39" t="e">
        <f>ROUND(AF44*(1+物価上昇率!$G$9),0)</f>
        <v>#REF!</v>
      </c>
      <c r="AH44" s="39" t="e">
        <f>ROUND(AG44*(1+物価上昇率!$G$9),0)</f>
        <v>#REF!</v>
      </c>
      <c r="AI44" s="39" t="e">
        <f>ROUND(AH44*(1+物価上昇率!$G$9),0)</f>
        <v>#REF!</v>
      </c>
      <c r="AJ44" s="39" t="e">
        <f>ROUND(AI44*(1+物価上昇率!$G$9),0)</f>
        <v>#REF!</v>
      </c>
      <c r="AK44" s="39" t="e">
        <f>ROUND(AJ44*(1+物価上昇率!$G$9),0)</f>
        <v>#REF!</v>
      </c>
      <c r="AL44" s="39" t="e">
        <f>ROUND(AK44*(1+物価上昇率!$G$9),0)</f>
        <v>#REF!</v>
      </c>
      <c r="AM44" s="39" t="e">
        <f>ROUND(AL44*(1+物価上昇率!$G$9),0)</f>
        <v>#REF!</v>
      </c>
      <c r="AN44" s="39" t="e">
        <f>ROUND(AM44*(1+物価上昇率!$G$9),0)</f>
        <v>#REF!</v>
      </c>
      <c r="AO44" s="39" t="e">
        <f>ROUND(AN44*(1+物価上昇率!$G$9),0)</f>
        <v>#REF!</v>
      </c>
      <c r="AP44" s="39" t="e">
        <f>ROUND(AO44*(1+物価上昇率!$G$9),0)</f>
        <v>#REF!</v>
      </c>
      <c r="AQ44" s="39" t="e">
        <f>ROUND(AP44*(1+物価上昇率!$G$9),0)</f>
        <v>#REF!</v>
      </c>
      <c r="AR44" s="39" t="e">
        <f>ROUND(AQ44*(1+物価上昇率!$G$9),0)</f>
        <v>#REF!</v>
      </c>
      <c r="AS44" s="39" t="e">
        <f>ROUND(AR44*(1+物価上昇率!$G$9),0)</f>
        <v>#REF!</v>
      </c>
      <c r="AT44" s="39" t="e">
        <f>ROUND(AS44*(1+物価上昇率!$G$9),0)</f>
        <v>#REF!</v>
      </c>
      <c r="AU44" s="39" t="e">
        <f>ROUND(AT44*(1+物価上昇率!$G$9),0)</f>
        <v>#REF!</v>
      </c>
      <c r="AV44" s="39" t="e">
        <f>ROUND(AU44*(1+物価上昇率!$G$9),0)</f>
        <v>#REF!</v>
      </c>
      <c r="AW44" s="39" t="e">
        <f>ROUND(AV44*(1+物価上昇率!$G$9),0)</f>
        <v>#REF!</v>
      </c>
      <c r="AX44" s="39" t="e">
        <f>ROUND(AW44*(1+物価上昇率!$G$9),0)</f>
        <v>#REF!</v>
      </c>
      <c r="AY44" s="39" t="e">
        <f>ROUND(AX44*(1+物価上昇率!$G$9),0)</f>
        <v>#REF!</v>
      </c>
      <c r="AZ44" s="39" t="e">
        <f>ROUND(AY44*(1+物価上昇率!$G$9),0)</f>
        <v>#REF!</v>
      </c>
      <c r="BA44" s="39" t="e">
        <f>ROUND(AZ44*(1+物価上昇率!$G$9),0)</f>
        <v>#REF!</v>
      </c>
      <c r="BB44" s="39" t="e">
        <f>ROUND(BA44*(1+物価上昇率!$G$9),0)</f>
        <v>#REF!</v>
      </c>
      <c r="BC44" s="39" t="e">
        <f>ROUND(BB44*(1+物価上昇率!$G$9),0)</f>
        <v>#REF!</v>
      </c>
      <c r="BD44" s="39" t="e">
        <f>ROUND(BC44*(1+物価上昇率!$G$9),0)</f>
        <v>#REF!</v>
      </c>
      <c r="BE44" s="39" t="e">
        <f>ROUND(BD44*(1+物価上昇率!$G$9),0)</f>
        <v>#REF!</v>
      </c>
      <c r="BF44" s="39" t="e">
        <f>ROUND(BE44*(1+物価上昇率!$G$9),0)</f>
        <v>#REF!</v>
      </c>
      <c r="BG44" s="39" t="e">
        <f>ROUND(BF44*(1+物価上昇率!$G$9),0)</f>
        <v>#REF!</v>
      </c>
      <c r="BH44" s="39" t="e">
        <f>ROUND(BG44*(1+物価上昇率!$G$9),0)</f>
        <v>#REF!</v>
      </c>
      <c r="BI44" s="39" t="e">
        <f>ROUND(BH44*(1+物価上昇率!$G$9),0)</f>
        <v>#REF!</v>
      </c>
      <c r="BJ44" s="39" t="e">
        <f>ROUND(BI44*(1+物価上昇率!$G$9),0)</f>
        <v>#REF!</v>
      </c>
      <c r="BK44" s="39" t="e">
        <f>ROUND(BJ44*(1+物価上昇率!$G$9),0)</f>
        <v>#REF!</v>
      </c>
      <c r="BL44" s="39" t="e">
        <f>ROUND(BK44*(1+物価上昇率!$G$9),0)</f>
        <v>#REF!</v>
      </c>
      <c r="BM44" s="39" t="e">
        <f>ROUND(BL44*(1+物価上昇率!$G$9),0)</f>
        <v>#REF!</v>
      </c>
      <c r="BN44" s="39" t="e">
        <f>ROUND(BM44*(1+物価上昇率!$G$9),0)</f>
        <v>#REF!</v>
      </c>
      <c r="BO44" s="39" t="e">
        <f>ROUND(BN44*(1+物価上昇率!$G$9),0)</f>
        <v>#REF!</v>
      </c>
      <c r="BP44" s="39" t="e">
        <f>ROUND(BO44*(1+物価上昇率!$G$9),0)</f>
        <v>#REF!</v>
      </c>
      <c r="BQ44" s="39" t="e">
        <f>ROUND(BP44*(1+物価上昇率!$G$9),0)</f>
        <v>#REF!</v>
      </c>
    </row>
    <row r="45" spans="2:69">
      <c r="B45" s="4"/>
      <c r="C45" s="4"/>
      <c r="D45" s="4"/>
      <c r="E45" s="1" t="s">
        <v>99</v>
      </c>
      <c r="F45" s="303"/>
      <c r="G45" s="10"/>
      <c r="H45" s="10" t="s">
        <v>166</v>
      </c>
      <c r="I45" s="10"/>
      <c r="J45" s="10"/>
      <c r="K45" s="1" t="s">
        <v>163</v>
      </c>
      <c r="L45" s="1"/>
      <c r="M45" s="1"/>
      <c r="N45" s="39" t="e">
        <f>【PL】決算数値入力!#REF!</f>
        <v>#REF!</v>
      </c>
      <c r="O45" s="39" t="e">
        <f>【PL】決算数値入力!#REF!</f>
        <v>#REF!</v>
      </c>
      <c r="P45" s="39" t="e">
        <f>【PL】決算数値入力!#REF!</f>
        <v>#REF!</v>
      </c>
      <c r="Q45" s="39" t="e">
        <f>【PL】決算数値入力!#REF!</f>
        <v>#REF!</v>
      </c>
      <c r="R45" s="39" t="e">
        <f>【PL】決算数値入力!#REF!</f>
        <v>#REF!</v>
      </c>
      <c r="S45" s="39" t="e">
        <f>【PL】決算数値入力!#REF!</f>
        <v>#REF!</v>
      </c>
      <c r="T45" s="40">
        <v>0</v>
      </c>
      <c r="U45" s="40">
        <v>0</v>
      </c>
      <c r="V45" s="40">
        <v>0</v>
      </c>
      <c r="W45" s="40">
        <v>0</v>
      </c>
      <c r="X45" s="40">
        <v>0</v>
      </c>
      <c r="Y45" s="40">
        <v>0</v>
      </c>
      <c r="Z45" s="40">
        <v>0</v>
      </c>
      <c r="AA45" s="40">
        <v>0</v>
      </c>
      <c r="AB45" s="40">
        <v>0</v>
      </c>
      <c r="AC45" s="40">
        <v>0</v>
      </c>
      <c r="AD45" s="40">
        <v>0</v>
      </c>
      <c r="AE45" s="40">
        <v>0</v>
      </c>
      <c r="AF45" s="40">
        <v>0</v>
      </c>
      <c r="AG45" s="40">
        <v>0</v>
      </c>
      <c r="AH45" s="40">
        <v>0</v>
      </c>
      <c r="AI45" s="40">
        <v>0</v>
      </c>
      <c r="AJ45" s="40">
        <v>0</v>
      </c>
      <c r="AK45" s="40">
        <v>0</v>
      </c>
      <c r="AL45" s="40">
        <v>0</v>
      </c>
      <c r="AM45" s="40">
        <v>0</v>
      </c>
      <c r="AN45" s="40">
        <v>0</v>
      </c>
      <c r="AO45" s="40">
        <v>0</v>
      </c>
      <c r="AP45" s="40">
        <v>0</v>
      </c>
      <c r="AQ45" s="40">
        <v>0</v>
      </c>
      <c r="AR45" s="40">
        <v>0</v>
      </c>
      <c r="AS45" s="40">
        <v>0</v>
      </c>
      <c r="AT45" s="40">
        <v>0</v>
      </c>
      <c r="AU45" s="40">
        <v>0</v>
      </c>
      <c r="AV45" s="40">
        <v>0</v>
      </c>
      <c r="AW45" s="40">
        <v>0</v>
      </c>
      <c r="AX45" s="40">
        <v>0</v>
      </c>
      <c r="AY45" s="40">
        <v>0</v>
      </c>
      <c r="AZ45" s="40">
        <v>0</v>
      </c>
      <c r="BA45" s="40">
        <v>0</v>
      </c>
      <c r="BB45" s="40">
        <v>0</v>
      </c>
      <c r="BC45" s="40">
        <v>0</v>
      </c>
      <c r="BD45" s="40">
        <v>0</v>
      </c>
      <c r="BE45" s="40">
        <v>0</v>
      </c>
      <c r="BF45" s="40">
        <v>0</v>
      </c>
      <c r="BG45" s="40">
        <v>0</v>
      </c>
      <c r="BH45" s="40">
        <v>0</v>
      </c>
      <c r="BI45" s="40">
        <v>0</v>
      </c>
      <c r="BJ45" s="40">
        <v>0</v>
      </c>
      <c r="BK45" s="40">
        <v>0</v>
      </c>
      <c r="BL45" s="40">
        <v>0</v>
      </c>
      <c r="BM45" s="40">
        <v>0</v>
      </c>
      <c r="BN45" s="40">
        <v>0</v>
      </c>
      <c r="BO45" s="40">
        <v>0</v>
      </c>
      <c r="BP45" s="40">
        <v>0</v>
      </c>
      <c r="BQ45" s="40">
        <v>0</v>
      </c>
    </row>
    <row r="46" spans="2:69">
      <c r="B46" s="4"/>
      <c r="C46" s="4"/>
      <c r="D46" s="4"/>
      <c r="E46" s="1" t="s">
        <v>100</v>
      </c>
      <c r="F46" s="303"/>
      <c r="G46" s="10"/>
      <c r="H46" s="10" t="s">
        <v>166</v>
      </c>
      <c r="I46" s="10"/>
      <c r="J46" s="10"/>
      <c r="K46" s="1" t="s">
        <v>163</v>
      </c>
      <c r="L46" s="10" t="s">
        <v>166</v>
      </c>
      <c r="M46" s="1"/>
      <c r="N46" s="39" t="e">
        <f>【PL】決算数値入力!#REF!</f>
        <v>#REF!</v>
      </c>
      <c r="O46" s="39" t="e">
        <f>【PL】決算数値入力!#REF!</f>
        <v>#REF!</v>
      </c>
      <c r="P46" s="39" t="e">
        <f>【PL】決算数値入力!#REF!</f>
        <v>#REF!</v>
      </c>
      <c r="Q46" s="39" t="e">
        <f>【PL】決算数値入力!#REF!</f>
        <v>#REF!</v>
      </c>
      <c r="R46" s="39" t="e">
        <f>【PL】決算数値入力!#REF!</f>
        <v>#REF!</v>
      </c>
      <c r="S46" s="39" t="e">
        <f>【PL】決算数値入力!#REF!</f>
        <v>#REF!</v>
      </c>
      <c r="T46" s="40">
        <v>0</v>
      </c>
      <c r="U46" s="40">
        <v>0</v>
      </c>
      <c r="V46" s="40">
        <v>0</v>
      </c>
      <c r="W46" s="40">
        <v>0</v>
      </c>
      <c r="X46" s="40">
        <v>0</v>
      </c>
      <c r="Y46" s="40">
        <v>0</v>
      </c>
      <c r="Z46" s="40">
        <v>0</v>
      </c>
      <c r="AA46" s="40">
        <v>0</v>
      </c>
      <c r="AB46" s="40">
        <v>0</v>
      </c>
      <c r="AC46" s="40">
        <v>0</v>
      </c>
      <c r="AD46" s="40">
        <v>0</v>
      </c>
      <c r="AE46" s="40">
        <v>0</v>
      </c>
      <c r="AF46" s="40">
        <v>0</v>
      </c>
      <c r="AG46" s="40">
        <v>0</v>
      </c>
      <c r="AH46" s="40">
        <v>0</v>
      </c>
      <c r="AI46" s="40">
        <v>0</v>
      </c>
      <c r="AJ46" s="40">
        <v>0</v>
      </c>
      <c r="AK46" s="40">
        <v>0</v>
      </c>
      <c r="AL46" s="40">
        <v>0</v>
      </c>
      <c r="AM46" s="40">
        <v>0</v>
      </c>
      <c r="AN46" s="40">
        <v>0</v>
      </c>
      <c r="AO46" s="40">
        <v>0</v>
      </c>
      <c r="AP46" s="40">
        <v>0</v>
      </c>
      <c r="AQ46" s="40">
        <v>0</v>
      </c>
      <c r="AR46" s="40">
        <v>0</v>
      </c>
      <c r="AS46" s="40">
        <v>0</v>
      </c>
      <c r="AT46" s="40">
        <v>0</v>
      </c>
      <c r="AU46" s="40">
        <v>0</v>
      </c>
      <c r="AV46" s="40">
        <v>0</v>
      </c>
      <c r="AW46" s="40">
        <v>0</v>
      </c>
      <c r="AX46" s="40">
        <v>0</v>
      </c>
      <c r="AY46" s="40">
        <v>0</v>
      </c>
      <c r="AZ46" s="40">
        <v>0</v>
      </c>
      <c r="BA46" s="40">
        <v>0</v>
      </c>
      <c r="BB46" s="40">
        <v>0</v>
      </c>
      <c r="BC46" s="40">
        <v>0</v>
      </c>
      <c r="BD46" s="40">
        <v>0</v>
      </c>
      <c r="BE46" s="40">
        <v>0</v>
      </c>
      <c r="BF46" s="40">
        <v>0</v>
      </c>
      <c r="BG46" s="40">
        <v>0</v>
      </c>
      <c r="BH46" s="40">
        <v>0</v>
      </c>
      <c r="BI46" s="40">
        <v>0</v>
      </c>
      <c r="BJ46" s="40">
        <v>0</v>
      </c>
      <c r="BK46" s="40">
        <v>0</v>
      </c>
      <c r="BL46" s="40">
        <v>0</v>
      </c>
      <c r="BM46" s="40">
        <v>0</v>
      </c>
      <c r="BN46" s="40">
        <v>0</v>
      </c>
      <c r="BO46" s="40">
        <v>0</v>
      </c>
      <c r="BP46" s="40">
        <v>0</v>
      </c>
      <c r="BQ46" s="40">
        <v>0</v>
      </c>
    </row>
    <row r="47" spans="2:69">
      <c r="B47" s="4"/>
      <c r="C47" s="4"/>
      <c r="D47" s="4"/>
      <c r="E47" s="1" t="s">
        <v>91</v>
      </c>
      <c r="F47" s="303"/>
      <c r="G47" s="10"/>
      <c r="H47" s="10" t="s">
        <v>166</v>
      </c>
      <c r="I47" s="10"/>
      <c r="J47" s="10"/>
      <c r="K47" s="1" t="s">
        <v>533</v>
      </c>
      <c r="L47" s="10" t="s">
        <v>166</v>
      </c>
      <c r="M47" s="1"/>
      <c r="N47" s="39" t="e">
        <f>【PL】決算数値入力!#REF!</f>
        <v>#REF!</v>
      </c>
      <c r="O47" s="39" t="e">
        <f>【PL】決算数値入力!#REF!</f>
        <v>#REF!</v>
      </c>
      <c r="P47" s="39" t="e">
        <f>【PL】決算数値入力!#REF!</f>
        <v>#REF!</v>
      </c>
      <c r="Q47" s="39" t="e">
        <f>【PL】決算数値入力!#REF!</f>
        <v>#REF!</v>
      </c>
      <c r="R47" s="39" t="e">
        <f>【PL】決算数値入力!#REF!</f>
        <v>#REF!</v>
      </c>
      <c r="S47" s="39" t="e">
        <f>【PL】決算数値入力!#REF!</f>
        <v>#REF!</v>
      </c>
      <c r="T47" s="39" t="e">
        <f>ROUND(S47*(1+物価上昇率!$G$9),0)</f>
        <v>#REF!</v>
      </c>
      <c r="U47" s="39" t="e">
        <f>ROUND(T47*(1+物価上昇率!$G$9),0)</f>
        <v>#REF!</v>
      </c>
      <c r="V47" s="39" t="e">
        <f>ROUND(U47*(1+物価上昇率!$G$9),0)</f>
        <v>#REF!</v>
      </c>
      <c r="W47" s="39" t="e">
        <f>ROUND(V47*(1+物価上昇率!$G$9),0)</f>
        <v>#REF!</v>
      </c>
      <c r="X47" s="39" t="e">
        <f>ROUND(W47*(1+物価上昇率!$G$9),0)</f>
        <v>#REF!</v>
      </c>
      <c r="Y47" s="39" t="e">
        <f>ROUND(X47*(1+物価上昇率!$G$9),0)</f>
        <v>#REF!</v>
      </c>
      <c r="Z47" s="39" t="e">
        <f>ROUND(Y47*(1+物価上昇率!$G$9),0)</f>
        <v>#REF!</v>
      </c>
      <c r="AA47" s="39" t="e">
        <f>ROUND(Z47*(1+物価上昇率!$G$9),0)</f>
        <v>#REF!</v>
      </c>
      <c r="AB47" s="39" t="e">
        <f>ROUND(AA47*(1+物価上昇率!$G$9),0)</f>
        <v>#REF!</v>
      </c>
      <c r="AC47" s="39" t="e">
        <f>ROUND(AB47*(1+物価上昇率!$G$9),0)</f>
        <v>#REF!</v>
      </c>
      <c r="AD47" s="39" t="e">
        <f>ROUND(AC47*(1+物価上昇率!$G$9),0)</f>
        <v>#REF!</v>
      </c>
      <c r="AE47" s="39" t="e">
        <f>ROUND(AD47*(1+物価上昇率!$G$9),0)</f>
        <v>#REF!</v>
      </c>
      <c r="AF47" s="39" t="e">
        <f>ROUND(AE47*(1+物価上昇率!$G$9),0)</f>
        <v>#REF!</v>
      </c>
      <c r="AG47" s="39" t="e">
        <f>ROUND(AF47*(1+物価上昇率!$G$9),0)</f>
        <v>#REF!</v>
      </c>
      <c r="AH47" s="39" t="e">
        <f>ROUND(AG47*(1+物価上昇率!$G$9),0)</f>
        <v>#REF!</v>
      </c>
      <c r="AI47" s="39" t="e">
        <f>ROUND(AH47*(1+物価上昇率!$G$9),0)</f>
        <v>#REF!</v>
      </c>
      <c r="AJ47" s="39" t="e">
        <f>ROUND(AI47*(1+物価上昇率!$G$9),0)</f>
        <v>#REF!</v>
      </c>
      <c r="AK47" s="39" t="e">
        <f>ROUND(AJ47*(1+物価上昇率!$G$9),0)</f>
        <v>#REF!</v>
      </c>
      <c r="AL47" s="39" t="e">
        <f>ROUND(AK47*(1+物価上昇率!$G$9),0)</f>
        <v>#REF!</v>
      </c>
      <c r="AM47" s="39" t="e">
        <f>ROUND(AL47*(1+物価上昇率!$G$9),0)</f>
        <v>#REF!</v>
      </c>
      <c r="AN47" s="39" t="e">
        <f>ROUND(AM47*(1+物価上昇率!$G$9),0)</f>
        <v>#REF!</v>
      </c>
      <c r="AO47" s="39" t="e">
        <f>ROUND(AN47*(1+物価上昇率!$G$9),0)</f>
        <v>#REF!</v>
      </c>
      <c r="AP47" s="39" t="e">
        <f>ROUND(AO47*(1+物価上昇率!$G$9),0)</f>
        <v>#REF!</v>
      </c>
      <c r="AQ47" s="39" t="e">
        <f>ROUND(AP47*(1+物価上昇率!$G$9),0)</f>
        <v>#REF!</v>
      </c>
      <c r="AR47" s="39" t="e">
        <f>ROUND(AQ47*(1+物価上昇率!$G$9),0)</f>
        <v>#REF!</v>
      </c>
      <c r="AS47" s="39" t="e">
        <f>ROUND(AR47*(1+物価上昇率!$G$9),0)</f>
        <v>#REF!</v>
      </c>
      <c r="AT47" s="39" t="e">
        <f>ROUND(AS47*(1+物価上昇率!$G$9),0)</f>
        <v>#REF!</v>
      </c>
      <c r="AU47" s="39" t="e">
        <f>ROUND(AT47*(1+物価上昇率!$G$9),0)</f>
        <v>#REF!</v>
      </c>
      <c r="AV47" s="39" t="e">
        <f>ROUND(AU47*(1+物価上昇率!$G$9),0)</f>
        <v>#REF!</v>
      </c>
      <c r="AW47" s="39" t="e">
        <f>ROUND(AV47*(1+物価上昇率!$G$9),0)</f>
        <v>#REF!</v>
      </c>
      <c r="AX47" s="39" t="e">
        <f>ROUND(AW47*(1+物価上昇率!$G$9),0)</f>
        <v>#REF!</v>
      </c>
      <c r="AY47" s="39" t="e">
        <f>ROUND(AX47*(1+物価上昇率!$G$9),0)</f>
        <v>#REF!</v>
      </c>
      <c r="AZ47" s="39" t="e">
        <f>ROUND(AY47*(1+物価上昇率!$G$9),0)</f>
        <v>#REF!</v>
      </c>
      <c r="BA47" s="39" t="e">
        <f>ROUND(AZ47*(1+物価上昇率!$G$9),0)</f>
        <v>#REF!</v>
      </c>
      <c r="BB47" s="39" t="e">
        <f>ROUND(BA47*(1+物価上昇率!$G$9),0)</f>
        <v>#REF!</v>
      </c>
      <c r="BC47" s="39" t="e">
        <f>ROUND(BB47*(1+物価上昇率!$G$9),0)</f>
        <v>#REF!</v>
      </c>
      <c r="BD47" s="39" t="e">
        <f>ROUND(BC47*(1+物価上昇率!$G$9),0)</f>
        <v>#REF!</v>
      </c>
      <c r="BE47" s="39" t="e">
        <f>ROUND(BD47*(1+物価上昇率!$G$9),0)</f>
        <v>#REF!</v>
      </c>
      <c r="BF47" s="39" t="e">
        <f>ROUND(BE47*(1+物価上昇率!$G$9),0)</f>
        <v>#REF!</v>
      </c>
      <c r="BG47" s="39" t="e">
        <f>ROUND(BF47*(1+物価上昇率!$G$9),0)</f>
        <v>#REF!</v>
      </c>
      <c r="BH47" s="39" t="e">
        <f>ROUND(BG47*(1+物価上昇率!$G$9),0)</f>
        <v>#REF!</v>
      </c>
      <c r="BI47" s="39" t="e">
        <f>ROUND(BH47*(1+物価上昇率!$G$9),0)</f>
        <v>#REF!</v>
      </c>
      <c r="BJ47" s="39" t="e">
        <f>ROUND(BI47*(1+物価上昇率!$G$9),0)</f>
        <v>#REF!</v>
      </c>
      <c r="BK47" s="39" t="e">
        <f>ROUND(BJ47*(1+物価上昇率!$G$9),0)</f>
        <v>#REF!</v>
      </c>
      <c r="BL47" s="39" t="e">
        <f>ROUND(BK47*(1+物価上昇率!$G$9),0)</f>
        <v>#REF!</v>
      </c>
      <c r="BM47" s="39" t="e">
        <f>ROUND(BL47*(1+物価上昇率!$G$9),0)</f>
        <v>#REF!</v>
      </c>
      <c r="BN47" s="39" t="e">
        <f>ROUND(BM47*(1+物価上昇率!$G$9),0)</f>
        <v>#REF!</v>
      </c>
      <c r="BO47" s="39" t="e">
        <f>ROUND(BN47*(1+物価上昇率!$G$9),0)</f>
        <v>#REF!</v>
      </c>
      <c r="BP47" s="39" t="e">
        <f>ROUND(BO47*(1+物価上昇率!$G$9),0)</f>
        <v>#REF!</v>
      </c>
      <c r="BQ47" s="39" t="e">
        <f>ROUND(BP47*(1+物価上昇率!$G$9),0)</f>
        <v>#REF!</v>
      </c>
    </row>
    <row r="48" spans="2:69">
      <c r="B48" s="4"/>
      <c r="C48" s="4"/>
      <c r="D48" s="4"/>
      <c r="E48" s="1" t="s">
        <v>92</v>
      </c>
      <c r="F48" s="303"/>
      <c r="G48" s="10"/>
      <c r="H48" s="10" t="s">
        <v>166</v>
      </c>
      <c r="I48" s="10"/>
      <c r="J48" s="10"/>
      <c r="K48" s="1" t="s">
        <v>533</v>
      </c>
      <c r="L48" s="10" t="s">
        <v>166</v>
      </c>
      <c r="M48" s="1"/>
      <c r="N48" s="39" t="e">
        <f>【PL】決算数値入力!#REF!</f>
        <v>#REF!</v>
      </c>
      <c r="O48" s="39" t="e">
        <f>【PL】決算数値入力!#REF!</f>
        <v>#REF!</v>
      </c>
      <c r="P48" s="39" t="e">
        <f>【PL】決算数値入力!#REF!</f>
        <v>#REF!</v>
      </c>
      <c r="Q48" s="39" t="e">
        <f>【PL】決算数値入力!#REF!</f>
        <v>#REF!</v>
      </c>
      <c r="R48" s="39" t="e">
        <f>【PL】決算数値入力!#REF!</f>
        <v>#REF!</v>
      </c>
      <c r="S48" s="39" t="e">
        <f>【PL】決算数値入力!#REF!</f>
        <v>#REF!</v>
      </c>
      <c r="T48" s="39" t="e">
        <f>ROUND(S48*(1+物価上昇率!$G$9),0)</f>
        <v>#REF!</v>
      </c>
      <c r="U48" s="39" t="e">
        <f>ROUND(T48*(1+物価上昇率!$G$9),0)</f>
        <v>#REF!</v>
      </c>
      <c r="V48" s="39" t="e">
        <f>ROUND(U48*(1+物価上昇率!$G$9),0)</f>
        <v>#REF!</v>
      </c>
      <c r="W48" s="39" t="e">
        <f>ROUND(V48*(1+物価上昇率!$G$9),0)</f>
        <v>#REF!</v>
      </c>
      <c r="X48" s="39" t="e">
        <f>ROUND(W48*(1+物価上昇率!$G$9),0)</f>
        <v>#REF!</v>
      </c>
      <c r="Y48" s="39" t="e">
        <f>ROUND(X48*(1+物価上昇率!$G$9),0)</f>
        <v>#REF!</v>
      </c>
      <c r="Z48" s="39" t="e">
        <f>ROUND(Y48*(1+物価上昇率!$G$9),0)</f>
        <v>#REF!</v>
      </c>
      <c r="AA48" s="39" t="e">
        <f>ROUND(Z48*(1+物価上昇率!$G$9),0)</f>
        <v>#REF!</v>
      </c>
      <c r="AB48" s="39" t="e">
        <f>ROUND(AA48*(1+物価上昇率!$G$9),0)</f>
        <v>#REF!</v>
      </c>
      <c r="AC48" s="39" t="e">
        <f>ROUND(AB48*(1+物価上昇率!$G$9),0)</f>
        <v>#REF!</v>
      </c>
      <c r="AD48" s="39" t="e">
        <f>ROUND(AC48*(1+物価上昇率!$G$9),0)</f>
        <v>#REF!</v>
      </c>
      <c r="AE48" s="39" t="e">
        <f>ROUND(AD48*(1+物価上昇率!$G$9),0)</f>
        <v>#REF!</v>
      </c>
      <c r="AF48" s="39" t="e">
        <f>ROUND(AE48*(1+物価上昇率!$G$9),0)</f>
        <v>#REF!</v>
      </c>
      <c r="AG48" s="39" t="e">
        <f>ROUND(AF48*(1+物価上昇率!$G$9),0)</f>
        <v>#REF!</v>
      </c>
      <c r="AH48" s="39" t="e">
        <f>ROUND(AG48*(1+物価上昇率!$G$9),0)</f>
        <v>#REF!</v>
      </c>
      <c r="AI48" s="39" t="e">
        <f>ROUND(AH48*(1+物価上昇率!$G$9),0)</f>
        <v>#REF!</v>
      </c>
      <c r="AJ48" s="39" t="e">
        <f>ROUND(AI48*(1+物価上昇率!$G$9),0)</f>
        <v>#REF!</v>
      </c>
      <c r="AK48" s="39" t="e">
        <f>ROUND(AJ48*(1+物価上昇率!$G$9),0)</f>
        <v>#REF!</v>
      </c>
      <c r="AL48" s="39" t="e">
        <f>ROUND(AK48*(1+物価上昇率!$G$9),0)</f>
        <v>#REF!</v>
      </c>
      <c r="AM48" s="39" t="e">
        <f>ROUND(AL48*(1+物価上昇率!$G$9),0)</f>
        <v>#REF!</v>
      </c>
      <c r="AN48" s="39" t="e">
        <f>ROUND(AM48*(1+物価上昇率!$G$9),0)</f>
        <v>#REF!</v>
      </c>
      <c r="AO48" s="39" t="e">
        <f>ROUND(AN48*(1+物価上昇率!$G$9),0)</f>
        <v>#REF!</v>
      </c>
      <c r="AP48" s="39" t="e">
        <f>ROUND(AO48*(1+物価上昇率!$G$9),0)</f>
        <v>#REF!</v>
      </c>
      <c r="AQ48" s="39" t="e">
        <f>ROUND(AP48*(1+物価上昇率!$G$9),0)</f>
        <v>#REF!</v>
      </c>
      <c r="AR48" s="39" t="e">
        <f>ROUND(AQ48*(1+物価上昇率!$G$9),0)</f>
        <v>#REF!</v>
      </c>
      <c r="AS48" s="39" t="e">
        <f>ROUND(AR48*(1+物価上昇率!$G$9),0)</f>
        <v>#REF!</v>
      </c>
      <c r="AT48" s="39" t="e">
        <f>ROUND(AS48*(1+物価上昇率!$G$9),0)</f>
        <v>#REF!</v>
      </c>
      <c r="AU48" s="39" t="e">
        <f>ROUND(AT48*(1+物価上昇率!$G$9),0)</f>
        <v>#REF!</v>
      </c>
      <c r="AV48" s="39" t="e">
        <f>ROUND(AU48*(1+物価上昇率!$G$9),0)</f>
        <v>#REF!</v>
      </c>
      <c r="AW48" s="39" t="e">
        <f>ROUND(AV48*(1+物価上昇率!$G$9),0)</f>
        <v>#REF!</v>
      </c>
      <c r="AX48" s="39" t="e">
        <f>ROUND(AW48*(1+物価上昇率!$G$9),0)</f>
        <v>#REF!</v>
      </c>
      <c r="AY48" s="39" t="e">
        <f>ROUND(AX48*(1+物価上昇率!$G$9),0)</f>
        <v>#REF!</v>
      </c>
      <c r="AZ48" s="39" t="e">
        <f>ROUND(AY48*(1+物価上昇率!$G$9),0)</f>
        <v>#REF!</v>
      </c>
      <c r="BA48" s="39" t="e">
        <f>ROUND(AZ48*(1+物価上昇率!$G$9),0)</f>
        <v>#REF!</v>
      </c>
      <c r="BB48" s="39" t="e">
        <f>ROUND(BA48*(1+物価上昇率!$G$9),0)</f>
        <v>#REF!</v>
      </c>
      <c r="BC48" s="39" t="e">
        <f>ROUND(BB48*(1+物価上昇率!$G$9),0)</f>
        <v>#REF!</v>
      </c>
      <c r="BD48" s="39" t="e">
        <f>ROUND(BC48*(1+物価上昇率!$G$9),0)</f>
        <v>#REF!</v>
      </c>
      <c r="BE48" s="39" t="e">
        <f>ROUND(BD48*(1+物価上昇率!$G$9),0)</f>
        <v>#REF!</v>
      </c>
      <c r="BF48" s="39" t="e">
        <f>ROUND(BE48*(1+物価上昇率!$G$9),0)</f>
        <v>#REF!</v>
      </c>
      <c r="BG48" s="39" t="e">
        <f>ROUND(BF48*(1+物価上昇率!$G$9),0)</f>
        <v>#REF!</v>
      </c>
      <c r="BH48" s="39" t="e">
        <f>ROUND(BG48*(1+物価上昇率!$G$9),0)</f>
        <v>#REF!</v>
      </c>
      <c r="BI48" s="39" t="e">
        <f>ROUND(BH48*(1+物価上昇率!$G$9),0)</f>
        <v>#REF!</v>
      </c>
      <c r="BJ48" s="39" t="e">
        <f>ROUND(BI48*(1+物価上昇率!$G$9),0)</f>
        <v>#REF!</v>
      </c>
      <c r="BK48" s="39" t="e">
        <f>ROUND(BJ48*(1+物価上昇率!$G$9),0)</f>
        <v>#REF!</v>
      </c>
      <c r="BL48" s="39" t="e">
        <f>ROUND(BK48*(1+物価上昇率!$G$9),0)</f>
        <v>#REF!</v>
      </c>
      <c r="BM48" s="39" t="e">
        <f>ROUND(BL48*(1+物価上昇率!$G$9),0)</f>
        <v>#REF!</v>
      </c>
      <c r="BN48" s="39" t="e">
        <f>ROUND(BM48*(1+物価上昇率!$G$9),0)</f>
        <v>#REF!</v>
      </c>
      <c r="BO48" s="39" t="e">
        <f>ROUND(BN48*(1+物価上昇率!$G$9),0)</f>
        <v>#REF!</v>
      </c>
      <c r="BP48" s="39" t="e">
        <f>ROUND(BO48*(1+物価上昇率!$G$9),0)</f>
        <v>#REF!</v>
      </c>
      <c r="BQ48" s="39" t="e">
        <f>ROUND(BP48*(1+物価上昇率!$G$9),0)</f>
        <v>#REF!</v>
      </c>
    </row>
    <row r="49" spans="2:69">
      <c r="B49" s="4"/>
      <c r="C49" s="4"/>
      <c r="D49" s="4"/>
      <c r="E49" s="1" t="s">
        <v>93</v>
      </c>
      <c r="F49" s="303"/>
      <c r="G49" s="10"/>
      <c r="H49" s="10" t="s">
        <v>166</v>
      </c>
      <c r="I49" s="10"/>
      <c r="J49" s="10"/>
      <c r="K49" s="1" t="s">
        <v>533</v>
      </c>
      <c r="L49" s="10" t="s">
        <v>166</v>
      </c>
      <c r="M49" s="1"/>
      <c r="N49" s="39" t="e">
        <f>【PL】決算数値入力!#REF!</f>
        <v>#REF!</v>
      </c>
      <c r="O49" s="39" t="e">
        <f>【PL】決算数値入力!#REF!</f>
        <v>#REF!</v>
      </c>
      <c r="P49" s="39" t="e">
        <f>【PL】決算数値入力!#REF!</f>
        <v>#REF!</v>
      </c>
      <c r="Q49" s="39" t="e">
        <f>【PL】決算数値入力!#REF!</f>
        <v>#REF!</v>
      </c>
      <c r="R49" s="39" t="e">
        <f>【PL】決算数値入力!#REF!</f>
        <v>#REF!</v>
      </c>
      <c r="S49" s="39" t="e">
        <f>【PL】決算数値入力!#REF!</f>
        <v>#REF!</v>
      </c>
      <c r="T49" s="39" t="e">
        <f>ROUND(S49*(1+物価上昇率!$G$9),0)</f>
        <v>#REF!</v>
      </c>
      <c r="U49" s="39" t="e">
        <f>ROUND(T49*(1+物価上昇率!$G$9),0)</f>
        <v>#REF!</v>
      </c>
      <c r="V49" s="39" t="e">
        <f>ROUND(U49*(1+物価上昇率!$G$9),0)</f>
        <v>#REF!</v>
      </c>
      <c r="W49" s="39" t="e">
        <f>ROUND(V49*(1+物価上昇率!$G$9),0)</f>
        <v>#REF!</v>
      </c>
      <c r="X49" s="39" t="e">
        <f>ROUND(W49*(1+物価上昇率!$G$9),0)</f>
        <v>#REF!</v>
      </c>
      <c r="Y49" s="39" t="e">
        <f>ROUND(X49*(1+物価上昇率!$G$9),0)</f>
        <v>#REF!</v>
      </c>
      <c r="Z49" s="39" t="e">
        <f>ROUND(Y49*(1+物価上昇率!$G$9),0)</f>
        <v>#REF!</v>
      </c>
      <c r="AA49" s="39" t="e">
        <f>ROUND(Z49*(1+物価上昇率!$G$9),0)</f>
        <v>#REF!</v>
      </c>
      <c r="AB49" s="39" t="e">
        <f>ROUND(AA49*(1+物価上昇率!$G$9),0)</f>
        <v>#REF!</v>
      </c>
      <c r="AC49" s="39" t="e">
        <f>ROUND(AB49*(1+物価上昇率!$G$9),0)</f>
        <v>#REF!</v>
      </c>
      <c r="AD49" s="39" t="e">
        <f>ROUND(AC49*(1+物価上昇率!$G$9),0)</f>
        <v>#REF!</v>
      </c>
      <c r="AE49" s="39" t="e">
        <f>ROUND(AD49*(1+物価上昇率!$G$9),0)</f>
        <v>#REF!</v>
      </c>
      <c r="AF49" s="39" t="e">
        <f>ROUND(AE49*(1+物価上昇率!$G$9),0)</f>
        <v>#REF!</v>
      </c>
      <c r="AG49" s="39" t="e">
        <f>ROUND(AF49*(1+物価上昇率!$G$9),0)</f>
        <v>#REF!</v>
      </c>
      <c r="AH49" s="39" t="e">
        <f>ROUND(AG49*(1+物価上昇率!$G$9),0)</f>
        <v>#REF!</v>
      </c>
      <c r="AI49" s="39" t="e">
        <f>ROUND(AH49*(1+物価上昇率!$G$9),0)</f>
        <v>#REF!</v>
      </c>
      <c r="AJ49" s="39" t="e">
        <f>ROUND(AI49*(1+物価上昇率!$G$9),0)</f>
        <v>#REF!</v>
      </c>
      <c r="AK49" s="39" t="e">
        <f>ROUND(AJ49*(1+物価上昇率!$G$9),0)</f>
        <v>#REF!</v>
      </c>
      <c r="AL49" s="39" t="e">
        <f>ROUND(AK49*(1+物価上昇率!$G$9),0)</f>
        <v>#REF!</v>
      </c>
      <c r="AM49" s="39" t="e">
        <f>ROUND(AL49*(1+物価上昇率!$G$9),0)</f>
        <v>#REF!</v>
      </c>
      <c r="AN49" s="39" t="e">
        <f>ROUND(AM49*(1+物価上昇率!$G$9),0)</f>
        <v>#REF!</v>
      </c>
      <c r="AO49" s="39" t="e">
        <f>ROUND(AN49*(1+物価上昇率!$G$9),0)</f>
        <v>#REF!</v>
      </c>
      <c r="AP49" s="39" t="e">
        <f>ROUND(AO49*(1+物価上昇率!$G$9),0)</f>
        <v>#REF!</v>
      </c>
      <c r="AQ49" s="39" t="e">
        <f>ROUND(AP49*(1+物価上昇率!$G$9),0)</f>
        <v>#REF!</v>
      </c>
      <c r="AR49" s="39" t="e">
        <f>ROUND(AQ49*(1+物価上昇率!$G$9),0)</f>
        <v>#REF!</v>
      </c>
      <c r="AS49" s="39" t="e">
        <f>ROUND(AR49*(1+物価上昇率!$G$9),0)</f>
        <v>#REF!</v>
      </c>
      <c r="AT49" s="39" t="e">
        <f>ROUND(AS49*(1+物価上昇率!$G$9),0)</f>
        <v>#REF!</v>
      </c>
      <c r="AU49" s="39" t="e">
        <f>ROUND(AT49*(1+物価上昇率!$G$9),0)</f>
        <v>#REF!</v>
      </c>
      <c r="AV49" s="39" t="e">
        <f>ROUND(AU49*(1+物価上昇率!$G$9),0)</f>
        <v>#REF!</v>
      </c>
      <c r="AW49" s="39" t="e">
        <f>ROUND(AV49*(1+物価上昇率!$G$9),0)</f>
        <v>#REF!</v>
      </c>
      <c r="AX49" s="39" t="e">
        <f>ROUND(AW49*(1+物価上昇率!$G$9),0)</f>
        <v>#REF!</v>
      </c>
      <c r="AY49" s="39" t="e">
        <f>ROUND(AX49*(1+物価上昇率!$G$9),0)</f>
        <v>#REF!</v>
      </c>
      <c r="AZ49" s="39" t="e">
        <f>ROUND(AY49*(1+物価上昇率!$G$9),0)</f>
        <v>#REF!</v>
      </c>
      <c r="BA49" s="39" t="e">
        <f>ROUND(AZ49*(1+物価上昇率!$G$9),0)</f>
        <v>#REF!</v>
      </c>
      <c r="BB49" s="39" t="e">
        <f>ROUND(BA49*(1+物価上昇率!$G$9),0)</f>
        <v>#REF!</v>
      </c>
      <c r="BC49" s="39" t="e">
        <f>ROUND(BB49*(1+物価上昇率!$G$9),0)</f>
        <v>#REF!</v>
      </c>
      <c r="BD49" s="39" t="e">
        <f>ROUND(BC49*(1+物価上昇率!$G$9),0)</f>
        <v>#REF!</v>
      </c>
      <c r="BE49" s="39" t="e">
        <f>ROUND(BD49*(1+物価上昇率!$G$9),0)</f>
        <v>#REF!</v>
      </c>
      <c r="BF49" s="39" t="e">
        <f>ROUND(BE49*(1+物価上昇率!$G$9),0)</f>
        <v>#REF!</v>
      </c>
      <c r="BG49" s="39" t="e">
        <f>ROUND(BF49*(1+物価上昇率!$G$9),0)</f>
        <v>#REF!</v>
      </c>
      <c r="BH49" s="39" t="e">
        <f>ROUND(BG49*(1+物価上昇率!$G$9),0)</f>
        <v>#REF!</v>
      </c>
      <c r="BI49" s="39" t="e">
        <f>ROUND(BH49*(1+物価上昇率!$G$9),0)</f>
        <v>#REF!</v>
      </c>
      <c r="BJ49" s="39" t="e">
        <f>ROUND(BI49*(1+物価上昇率!$G$9),0)</f>
        <v>#REF!</v>
      </c>
      <c r="BK49" s="39" t="e">
        <f>ROUND(BJ49*(1+物価上昇率!$G$9),0)</f>
        <v>#REF!</v>
      </c>
      <c r="BL49" s="39" t="e">
        <f>ROUND(BK49*(1+物価上昇率!$G$9),0)</f>
        <v>#REF!</v>
      </c>
      <c r="BM49" s="39" t="e">
        <f>ROUND(BL49*(1+物価上昇率!$G$9),0)</f>
        <v>#REF!</v>
      </c>
      <c r="BN49" s="39" t="e">
        <f>ROUND(BM49*(1+物価上昇率!$G$9),0)</f>
        <v>#REF!</v>
      </c>
      <c r="BO49" s="39" t="e">
        <f>ROUND(BN49*(1+物価上昇率!$G$9),0)</f>
        <v>#REF!</v>
      </c>
      <c r="BP49" s="39" t="e">
        <f>ROUND(BO49*(1+物価上昇率!$G$9),0)</f>
        <v>#REF!</v>
      </c>
      <c r="BQ49" s="39" t="e">
        <f>ROUND(BP49*(1+物価上昇率!$G$9),0)</f>
        <v>#REF!</v>
      </c>
    </row>
    <row r="50" spans="2:69">
      <c r="B50" s="4"/>
      <c r="C50" s="4"/>
      <c r="D50" s="3"/>
      <c r="E50" s="1" t="s">
        <v>94</v>
      </c>
      <c r="F50" s="304"/>
      <c r="G50" s="10"/>
      <c r="H50" s="10" t="s">
        <v>166</v>
      </c>
      <c r="I50" s="10"/>
      <c r="J50" s="10"/>
      <c r="K50" s="1" t="s">
        <v>532</v>
      </c>
      <c r="L50" s="1"/>
      <c r="M50" s="1"/>
      <c r="N50" s="39" t="e">
        <f>【PL】決算数値入力!#REF!</f>
        <v>#REF!</v>
      </c>
      <c r="O50" s="39" t="e">
        <f>【PL】決算数値入力!#REF!</f>
        <v>#REF!</v>
      </c>
      <c r="P50" s="39" t="e">
        <f>【PL】決算数値入力!#REF!</f>
        <v>#REF!</v>
      </c>
      <c r="Q50" s="39" t="e">
        <f>【PL】決算数値入力!#REF!</f>
        <v>#REF!</v>
      </c>
      <c r="R50" s="39" t="e">
        <f>【PL】決算数値入力!#REF!</f>
        <v>#REF!</v>
      </c>
      <c r="S50" s="39" t="e">
        <f>【PL】決算数値入力!#REF!</f>
        <v>#REF!</v>
      </c>
      <c r="T50" s="39" t="e">
        <f>S50</f>
        <v>#REF!</v>
      </c>
      <c r="U50" s="39" t="e">
        <f t="shared" ref="U50:BQ50" si="20">T50</f>
        <v>#REF!</v>
      </c>
      <c r="V50" s="39" t="e">
        <f t="shared" si="20"/>
        <v>#REF!</v>
      </c>
      <c r="W50" s="39" t="e">
        <f t="shared" si="20"/>
        <v>#REF!</v>
      </c>
      <c r="X50" s="39" t="e">
        <f t="shared" si="20"/>
        <v>#REF!</v>
      </c>
      <c r="Y50" s="39" t="e">
        <f t="shared" si="20"/>
        <v>#REF!</v>
      </c>
      <c r="Z50" s="39" t="e">
        <f t="shared" si="20"/>
        <v>#REF!</v>
      </c>
      <c r="AA50" s="39" t="e">
        <f t="shared" si="20"/>
        <v>#REF!</v>
      </c>
      <c r="AB50" s="39" t="e">
        <f t="shared" si="20"/>
        <v>#REF!</v>
      </c>
      <c r="AC50" s="39" t="e">
        <f t="shared" si="20"/>
        <v>#REF!</v>
      </c>
      <c r="AD50" s="39" t="e">
        <f t="shared" si="20"/>
        <v>#REF!</v>
      </c>
      <c r="AE50" s="39" t="e">
        <f t="shared" si="20"/>
        <v>#REF!</v>
      </c>
      <c r="AF50" s="39" t="e">
        <f t="shared" si="20"/>
        <v>#REF!</v>
      </c>
      <c r="AG50" s="39" t="e">
        <f t="shared" si="20"/>
        <v>#REF!</v>
      </c>
      <c r="AH50" s="39" t="e">
        <f t="shared" si="20"/>
        <v>#REF!</v>
      </c>
      <c r="AI50" s="39" t="e">
        <f t="shared" si="20"/>
        <v>#REF!</v>
      </c>
      <c r="AJ50" s="39" t="e">
        <f t="shared" si="20"/>
        <v>#REF!</v>
      </c>
      <c r="AK50" s="39" t="e">
        <f t="shared" si="20"/>
        <v>#REF!</v>
      </c>
      <c r="AL50" s="39" t="e">
        <f t="shared" si="20"/>
        <v>#REF!</v>
      </c>
      <c r="AM50" s="39" t="e">
        <f t="shared" si="20"/>
        <v>#REF!</v>
      </c>
      <c r="AN50" s="39" t="e">
        <f t="shared" si="20"/>
        <v>#REF!</v>
      </c>
      <c r="AO50" s="39" t="e">
        <f t="shared" si="20"/>
        <v>#REF!</v>
      </c>
      <c r="AP50" s="39" t="e">
        <f t="shared" si="20"/>
        <v>#REF!</v>
      </c>
      <c r="AQ50" s="39" t="e">
        <f t="shared" si="20"/>
        <v>#REF!</v>
      </c>
      <c r="AR50" s="39" t="e">
        <f t="shared" si="20"/>
        <v>#REF!</v>
      </c>
      <c r="AS50" s="39" t="e">
        <f t="shared" si="20"/>
        <v>#REF!</v>
      </c>
      <c r="AT50" s="39" t="e">
        <f t="shared" si="20"/>
        <v>#REF!</v>
      </c>
      <c r="AU50" s="39" t="e">
        <f t="shared" si="20"/>
        <v>#REF!</v>
      </c>
      <c r="AV50" s="39" t="e">
        <f t="shared" si="20"/>
        <v>#REF!</v>
      </c>
      <c r="AW50" s="39" t="e">
        <f t="shared" si="20"/>
        <v>#REF!</v>
      </c>
      <c r="AX50" s="39" t="e">
        <f t="shared" si="20"/>
        <v>#REF!</v>
      </c>
      <c r="AY50" s="39" t="e">
        <f t="shared" si="20"/>
        <v>#REF!</v>
      </c>
      <c r="AZ50" s="39" t="e">
        <f t="shared" si="20"/>
        <v>#REF!</v>
      </c>
      <c r="BA50" s="39" t="e">
        <f t="shared" si="20"/>
        <v>#REF!</v>
      </c>
      <c r="BB50" s="39" t="e">
        <f t="shared" si="20"/>
        <v>#REF!</v>
      </c>
      <c r="BC50" s="39" t="e">
        <f t="shared" si="20"/>
        <v>#REF!</v>
      </c>
      <c r="BD50" s="39" t="e">
        <f t="shared" si="20"/>
        <v>#REF!</v>
      </c>
      <c r="BE50" s="39" t="e">
        <f t="shared" si="20"/>
        <v>#REF!</v>
      </c>
      <c r="BF50" s="39" t="e">
        <f t="shared" si="20"/>
        <v>#REF!</v>
      </c>
      <c r="BG50" s="39" t="e">
        <f t="shared" si="20"/>
        <v>#REF!</v>
      </c>
      <c r="BH50" s="39" t="e">
        <f t="shared" si="20"/>
        <v>#REF!</v>
      </c>
      <c r="BI50" s="39" t="e">
        <f t="shared" si="20"/>
        <v>#REF!</v>
      </c>
      <c r="BJ50" s="39" t="e">
        <f t="shared" si="20"/>
        <v>#REF!</v>
      </c>
      <c r="BK50" s="39" t="e">
        <f t="shared" si="20"/>
        <v>#REF!</v>
      </c>
      <c r="BL50" s="39" t="e">
        <f t="shared" si="20"/>
        <v>#REF!</v>
      </c>
      <c r="BM50" s="39" t="e">
        <f t="shared" si="20"/>
        <v>#REF!</v>
      </c>
      <c r="BN50" s="39" t="e">
        <f t="shared" si="20"/>
        <v>#REF!</v>
      </c>
      <c r="BO50" s="39" t="e">
        <f t="shared" si="20"/>
        <v>#REF!</v>
      </c>
      <c r="BP50" s="39" t="e">
        <f t="shared" si="20"/>
        <v>#REF!</v>
      </c>
      <c r="BQ50" s="39" t="e">
        <f t="shared" si="20"/>
        <v>#REF!</v>
      </c>
    </row>
    <row r="51" spans="2:69">
      <c r="B51" s="4"/>
      <c r="C51" s="4"/>
      <c r="D51" s="5" t="s">
        <v>101</v>
      </c>
      <c r="E51" s="8"/>
      <c r="F51" s="1"/>
      <c r="G51" s="10"/>
      <c r="H51" s="10"/>
      <c r="I51" s="10"/>
      <c r="J51" s="10"/>
      <c r="K51" s="1"/>
      <c r="L51" s="1"/>
      <c r="M51" s="1"/>
      <c r="N51" s="39" t="e">
        <f>【PL】決算数値入力!#REF!</f>
        <v>#REF!</v>
      </c>
      <c r="O51" s="39" t="e">
        <f>【PL】決算数値入力!#REF!</f>
        <v>#REF!</v>
      </c>
      <c r="P51" s="39" t="e">
        <f>【PL】決算数値入力!#REF!</f>
        <v>#REF!</v>
      </c>
      <c r="Q51" s="39" t="e">
        <f>【PL】決算数値入力!#REF!</f>
        <v>#REF!</v>
      </c>
      <c r="R51" s="39" t="e">
        <f>【PL】決算数値入力!#REF!</f>
        <v>#REF!</v>
      </c>
      <c r="S51" s="39" t="e">
        <f>【PL】決算数値入力!#REF!</f>
        <v>#REF!</v>
      </c>
      <c r="T51" s="39">
        <f t="shared" ref="T51:BQ51" si="21">SUM(T52:T53)</f>
        <v>10539902</v>
      </c>
      <c r="U51" s="39">
        <f t="shared" si="21"/>
        <v>17673391</v>
      </c>
      <c r="V51" s="39">
        <f t="shared" si="21"/>
        <v>10582885</v>
      </c>
      <c r="W51" s="39">
        <f t="shared" si="21"/>
        <v>10582885</v>
      </c>
      <c r="X51" s="39">
        <f t="shared" si="21"/>
        <v>10567084</v>
      </c>
      <c r="Y51" s="39">
        <f t="shared" si="21"/>
        <v>10503880</v>
      </c>
      <c r="Z51" s="39">
        <f t="shared" si="21"/>
        <v>10445596</v>
      </c>
      <c r="AA51" s="39">
        <f t="shared" si="21"/>
        <v>16784631</v>
      </c>
      <c r="AB51" s="39">
        <f t="shared" si="21"/>
        <v>43889894</v>
      </c>
      <c r="AC51" s="39">
        <f t="shared" si="21"/>
        <v>56908006</v>
      </c>
      <c r="AD51" s="39">
        <f t="shared" si="21"/>
        <v>65941625</v>
      </c>
      <c r="AE51" s="39">
        <f t="shared" si="21"/>
        <v>76731099</v>
      </c>
      <c r="AF51" s="39">
        <f t="shared" si="21"/>
        <v>84888994</v>
      </c>
      <c r="AG51" s="39">
        <f t="shared" si="21"/>
        <v>94591616</v>
      </c>
      <c r="AH51" s="39">
        <f t="shared" si="21"/>
        <v>102149732</v>
      </c>
      <c r="AI51" s="39">
        <f t="shared" si="21"/>
        <v>106353669</v>
      </c>
      <c r="AJ51" s="39">
        <f t="shared" si="21"/>
        <v>108197980</v>
      </c>
      <c r="AK51" s="39">
        <f t="shared" si="21"/>
        <v>113163513</v>
      </c>
      <c r="AL51" s="39">
        <f t="shared" si="21"/>
        <v>127958645</v>
      </c>
      <c r="AM51" s="39">
        <f t="shared" si="21"/>
        <v>142355438</v>
      </c>
      <c r="AN51" s="39">
        <f t="shared" si="21"/>
        <v>156711720</v>
      </c>
      <c r="AO51" s="39">
        <f t="shared" si="21"/>
        <v>170765351</v>
      </c>
      <c r="AP51" s="39">
        <f t="shared" si="21"/>
        <v>186049669</v>
      </c>
      <c r="AQ51" s="39">
        <f t="shared" si="21"/>
        <v>201896416</v>
      </c>
      <c r="AR51" s="39">
        <f t="shared" si="21"/>
        <v>218146340</v>
      </c>
      <c r="AS51" s="39">
        <f t="shared" si="21"/>
        <v>234462129</v>
      </c>
      <c r="AT51" s="39">
        <f t="shared" si="21"/>
        <v>236567392</v>
      </c>
      <c r="AU51" s="39">
        <f t="shared" si="21"/>
        <v>238146339</v>
      </c>
      <c r="AV51" s="39">
        <f t="shared" si="21"/>
        <v>239725286</v>
      </c>
      <c r="AW51" s="39">
        <f t="shared" si="21"/>
        <v>241330549</v>
      </c>
      <c r="AX51" s="39">
        <f t="shared" si="21"/>
        <v>242935812</v>
      </c>
      <c r="AY51" s="39">
        <f t="shared" si="21"/>
        <v>244620023</v>
      </c>
      <c r="AZ51" s="39">
        <f t="shared" si="21"/>
        <v>246725286</v>
      </c>
      <c r="BA51" s="39">
        <f t="shared" si="21"/>
        <v>248830108</v>
      </c>
      <c r="BB51" s="39">
        <f t="shared" si="21"/>
        <v>250933957</v>
      </c>
      <c r="BC51" s="39">
        <f t="shared" si="21"/>
        <v>252512904</v>
      </c>
      <c r="BD51" s="39">
        <f t="shared" si="21"/>
        <v>253430911</v>
      </c>
      <c r="BE51" s="39">
        <f t="shared" si="21"/>
        <v>254885840</v>
      </c>
      <c r="BF51" s="39">
        <f t="shared" si="21"/>
        <v>256491103</v>
      </c>
      <c r="BG51" s="39">
        <f t="shared" si="21"/>
        <v>258175314</v>
      </c>
      <c r="BH51" s="39">
        <f t="shared" si="21"/>
        <v>260280577</v>
      </c>
      <c r="BI51" s="39">
        <f t="shared" si="21"/>
        <v>262385840</v>
      </c>
      <c r="BJ51" s="39">
        <f t="shared" si="21"/>
        <v>264491103</v>
      </c>
      <c r="BK51" s="39">
        <f t="shared" si="21"/>
        <v>266070050</v>
      </c>
      <c r="BL51" s="39">
        <f t="shared" si="21"/>
        <v>267648997</v>
      </c>
      <c r="BM51" s="39">
        <f t="shared" si="21"/>
        <v>262763165</v>
      </c>
      <c r="BN51" s="39">
        <f t="shared" si="21"/>
        <v>237263151</v>
      </c>
      <c r="BO51" s="39">
        <f t="shared" si="21"/>
        <v>225789471</v>
      </c>
      <c r="BP51" s="39">
        <f t="shared" si="21"/>
        <v>218421050</v>
      </c>
      <c r="BQ51" s="39">
        <f t="shared" si="21"/>
        <v>208157882</v>
      </c>
    </row>
    <row r="52" spans="2:69">
      <c r="B52" s="4"/>
      <c r="C52" s="4"/>
      <c r="D52" s="4"/>
      <c r="E52" s="1" t="s">
        <v>79</v>
      </c>
      <c r="F52" s="1"/>
      <c r="G52" s="10"/>
      <c r="H52" s="10" t="s">
        <v>166</v>
      </c>
      <c r="I52" s="10"/>
      <c r="J52" s="10"/>
      <c r="K52" s="1" t="s">
        <v>170</v>
      </c>
      <c r="L52" s="1"/>
      <c r="M52" s="1"/>
      <c r="N52" s="39" t="e">
        <f>【PL】決算数値入力!#REF!</f>
        <v>#REF!</v>
      </c>
      <c r="O52" s="39" t="e">
        <f>【PL】決算数値入力!#REF!</f>
        <v>#REF!</v>
      </c>
      <c r="P52" s="39" t="e">
        <f>【PL】決算数値入力!#REF!</f>
        <v>#REF!</v>
      </c>
      <c r="Q52" s="39" t="e">
        <f>【PL】決算数値入力!#REF!</f>
        <v>#REF!</v>
      </c>
      <c r="R52" s="39" t="e">
        <f>【PL】決算数値入力!#REF!</f>
        <v>#REF!</v>
      </c>
      <c r="S52" s="39" t="e">
        <f>【PL】決算数値入力!#REF!</f>
        <v>#REF!</v>
      </c>
      <c r="T52" s="39">
        <v>10539902</v>
      </c>
      <c r="U52" s="39">
        <v>17673391</v>
      </c>
      <c r="V52" s="39">
        <v>10582885</v>
      </c>
      <c r="W52" s="39">
        <v>10582885</v>
      </c>
      <c r="X52" s="39">
        <v>10567084</v>
      </c>
      <c r="Y52" s="39">
        <v>10503880</v>
      </c>
      <c r="Z52" s="39">
        <v>10445596</v>
      </c>
      <c r="AA52" s="39">
        <v>10293526</v>
      </c>
      <c r="AB52" s="39">
        <v>10293526</v>
      </c>
      <c r="AC52" s="39">
        <v>10153743</v>
      </c>
      <c r="AD52" s="39">
        <v>9976836</v>
      </c>
      <c r="AE52" s="39">
        <v>9976836</v>
      </c>
      <c r="AF52" s="39">
        <v>9976836</v>
      </c>
      <c r="AG52" s="39">
        <v>9916300</v>
      </c>
      <c r="AH52" s="39">
        <v>9816521</v>
      </c>
      <c r="AI52" s="39">
        <v>5494142</v>
      </c>
      <c r="AJ52" s="39">
        <v>2075295</v>
      </c>
      <c r="AK52" s="39">
        <v>1777670</v>
      </c>
      <c r="AL52" s="39">
        <v>1572802</v>
      </c>
      <c r="AM52" s="39">
        <v>1495911</v>
      </c>
      <c r="AN52" s="39">
        <v>1378509</v>
      </c>
      <c r="AO52" s="39">
        <v>932140</v>
      </c>
      <c r="AP52" s="39">
        <v>926984</v>
      </c>
      <c r="AQ52" s="39">
        <v>878994</v>
      </c>
      <c r="AR52" s="39">
        <v>813129</v>
      </c>
      <c r="AS52" s="39">
        <v>813129</v>
      </c>
      <c r="AT52" s="39">
        <v>813129</v>
      </c>
      <c r="AU52" s="39">
        <v>813129</v>
      </c>
      <c r="AV52" s="39">
        <v>813129</v>
      </c>
      <c r="AW52" s="39">
        <v>813129</v>
      </c>
      <c r="AX52" s="39">
        <v>813129</v>
      </c>
      <c r="AY52" s="39">
        <v>813129</v>
      </c>
      <c r="AZ52" s="39">
        <v>813129</v>
      </c>
      <c r="BA52" s="39">
        <v>812688</v>
      </c>
      <c r="BB52" s="39">
        <v>811274</v>
      </c>
      <c r="BC52" s="39">
        <v>811274</v>
      </c>
      <c r="BD52" s="39">
        <v>150334</v>
      </c>
      <c r="BE52" s="39">
        <v>0</v>
      </c>
      <c r="BF52" s="39">
        <v>0</v>
      </c>
      <c r="BG52" s="39">
        <v>0</v>
      </c>
      <c r="BH52" s="39">
        <v>0</v>
      </c>
      <c r="BI52" s="39">
        <v>0</v>
      </c>
      <c r="BJ52" s="39">
        <v>0</v>
      </c>
      <c r="BK52" s="39">
        <v>0</v>
      </c>
      <c r="BL52" s="39">
        <v>0</v>
      </c>
      <c r="BM52" s="39">
        <v>0</v>
      </c>
      <c r="BN52" s="39">
        <v>0</v>
      </c>
      <c r="BO52" s="39">
        <v>0</v>
      </c>
      <c r="BP52" s="39">
        <v>0</v>
      </c>
      <c r="BQ52" s="39">
        <v>0</v>
      </c>
    </row>
    <row r="53" spans="2:69">
      <c r="B53" s="4"/>
      <c r="C53" s="4"/>
      <c r="D53" s="3"/>
      <c r="E53" s="1" t="s">
        <v>80</v>
      </c>
      <c r="F53" s="1"/>
      <c r="G53" s="10"/>
      <c r="H53" s="10" t="s">
        <v>166</v>
      </c>
      <c r="I53" s="10"/>
      <c r="J53" s="10"/>
      <c r="K53" s="1" t="s">
        <v>171</v>
      </c>
      <c r="L53" s="1"/>
      <c r="M53" s="1"/>
      <c r="N53" s="39" t="e">
        <f>【PL】決算数値入力!#REF!</f>
        <v>#REF!</v>
      </c>
      <c r="O53" s="39" t="e">
        <f>【PL】決算数値入力!#REF!</f>
        <v>#REF!</v>
      </c>
      <c r="P53" s="39" t="e">
        <f>【PL】決算数値入力!#REF!</f>
        <v>#REF!</v>
      </c>
      <c r="Q53" s="39" t="e">
        <f>【PL】決算数値入力!#REF!</f>
        <v>#REF!</v>
      </c>
      <c r="R53" s="39" t="e">
        <f>【PL】決算数値入力!#REF!</f>
        <v>#REF!</v>
      </c>
      <c r="S53" s="39" t="e">
        <f>【PL】決算数値入力!#REF!</f>
        <v>#REF!</v>
      </c>
      <c r="T53" s="39">
        <f>新規取得!I2</f>
        <v>0</v>
      </c>
      <c r="U53" s="39">
        <f>新規取得!J2</f>
        <v>0</v>
      </c>
      <c r="V53" s="39">
        <f>新規取得!K2</f>
        <v>0</v>
      </c>
      <c r="W53" s="39">
        <f>新規取得!L2</f>
        <v>0</v>
      </c>
      <c r="X53" s="39">
        <f>新規取得!M2</f>
        <v>0</v>
      </c>
      <c r="Y53" s="39">
        <f>新規取得!N2</f>
        <v>0</v>
      </c>
      <c r="Z53" s="39">
        <f>新規取得!O2</f>
        <v>0</v>
      </c>
      <c r="AA53" s="39">
        <f>新規取得!P2</f>
        <v>6491105</v>
      </c>
      <c r="AB53" s="39">
        <f>新規取得!Q2</f>
        <v>33596368</v>
      </c>
      <c r="AC53" s="39">
        <f>新規取得!R2</f>
        <v>46754263</v>
      </c>
      <c r="AD53" s="39">
        <f>新規取得!S2</f>
        <v>55964789</v>
      </c>
      <c r="AE53" s="39">
        <f>新規取得!T2</f>
        <v>66754263</v>
      </c>
      <c r="AF53" s="39">
        <f>新規取得!U2</f>
        <v>74912158</v>
      </c>
      <c r="AG53" s="39">
        <f>新規取得!V2</f>
        <v>84675316</v>
      </c>
      <c r="AH53" s="39">
        <f>新規取得!W2</f>
        <v>92333211</v>
      </c>
      <c r="AI53" s="39">
        <f>新規取得!X2</f>
        <v>100859527</v>
      </c>
      <c r="AJ53" s="39">
        <f>新規取得!Y2</f>
        <v>106122685</v>
      </c>
      <c r="AK53" s="39">
        <f>新規取得!Z2</f>
        <v>111385843</v>
      </c>
      <c r="AL53" s="39">
        <f>新規取得!AA2</f>
        <v>126385843</v>
      </c>
      <c r="AM53" s="39">
        <f>新規取得!AB2</f>
        <v>140859527</v>
      </c>
      <c r="AN53" s="39">
        <f>新規取得!AC2</f>
        <v>155333211</v>
      </c>
      <c r="AO53" s="39">
        <f>新規取得!AD2</f>
        <v>169833211</v>
      </c>
      <c r="AP53" s="39">
        <f>新規取得!AE2</f>
        <v>185122685</v>
      </c>
      <c r="AQ53" s="39">
        <f>新規取得!AF2</f>
        <v>201017422</v>
      </c>
      <c r="AR53" s="39">
        <f>新規取得!AG2</f>
        <v>217333211</v>
      </c>
      <c r="AS53" s="39">
        <f>新規取得!AH2</f>
        <v>233649000</v>
      </c>
      <c r="AT53" s="39">
        <f>新規取得!AI2</f>
        <v>235754263</v>
      </c>
      <c r="AU53" s="39">
        <f>新規取得!AJ2</f>
        <v>237333210</v>
      </c>
      <c r="AV53" s="39">
        <f>新規取得!AK2</f>
        <v>238912157</v>
      </c>
      <c r="AW53" s="39">
        <f>新規取得!AL2</f>
        <v>240517420</v>
      </c>
      <c r="AX53" s="39">
        <f>新規取得!AM2</f>
        <v>242122683</v>
      </c>
      <c r="AY53" s="39">
        <f>新規取得!AN2</f>
        <v>243806894</v>
      </c>
      <c r="AZ53" s="39">
        <f>新規取得!AO2</f>
        <v>245912157</v>
      </c>
      <c r="BA53" s="39">
        <f>新規取得!AP2</f>
        <v>248017420</v>
      </c>
      <c r="BB53" s="39">
        <f>新規取得!AQ2</f>
        <v>250122683</v>
      </c>
      <c r="BC53" s="39">
        <f>新規取得!AR2</f>
        <v>251701630</v>
      </c>
      <c r="BD53" s="39">
        <f>新規取得!AS2</f>
        <v>253280577</v>
      </c>
      <c r="BE53" s="39">
        <f>新規取得!AT2</f>
        <v>254885840</v>
      </c>
      <c r="BF53" s="39">
        <f>新規取得!AU2</f>
        <v>256491103</v>
      </c>
      <c r="BG53" s="39">
        <f>新規取得!AV2</f>
        <v>258175314</v>
      </c>
      <c r="BH53" s="39">
        <f>新規取得!AW2</f>
        <v>260280577</v>
      </c>
      <c r="BI53" s="39">
        <f>新規取得!AX2</f>
        <v>262385840</v>
      </c>
      <c r="BJ53" s="39">
        <f>新規取得!AY2</f>
        <v>264491103</v>
      </c>
      <c r="BK53" s="39">
        <f>新規取得!AZ2</f>
        <v>266070050</v>
      </c>
      <c r="BL53" s="39">
        <f>新規取得!BA2</f>
        <v>267648997</v>
      </c>
      <c r="BM53" s="39">
        <f>新規取得!BB2</f>
        <v>262763165</v>
      </c>
      <c r="BN53" s="39">
        <f>新規取得!BC2</f>
        <v>237263151</v>
      </c>
      <c r="BO53" s="39">
        <f>新規取得!BD2</f>
        <v>225789471</v>
      </c>
      <c r="BP53" s="39">
        <f>新規取得!BE2</f>
        <v>218421050</v>
      </c>
      <c r="BQ53" s="39">
        <f>新規取得!BF2</f>
        <v>208157882</v>
      </c>
    </row>
    <row r="54" spans="2:69">
      <c r="B54" s="4"/>
      <c r="C54" s="4"/>
      <c r="D54" s="5" t="s">
        <v>102</v>
      </c>
      <c r="E54" s="8"/>
      <c r="F54" s="1"/>
      <c r="G54" s="10"/>
      <c r="H54" s="10"/>
      <c r="I54" s="10"/>
      <c r="J54" s="10"/>
      <c r="K54" s="1"/>
      <c r="L54" s="1"/>
      <c r="M54" s="1"/>
      <c r="N54" s="39" t="e">
        <f>【PL】決算数値入力!#REF!</f>
        <v>#REF!</v>
      </c>
      <c r="O54" s="39" t="e">
        <f>【PL】決算数値入力!#REF!</f>
        <v>#REF!</v>
      </c>
      <c r="P54" s="39" t="e">
        <f>【PL】決算数値入力!#REF!</f>
        <v>#REF!</v>
      </c>
      <c r="Q54" s="39" t="e">
        <f>【PL】決算数値入力!#REF!</f>
        <v>#REF!</v>
      </c>
      <c r="R54" s="39" t="e">
        <f>【PL】決算数値入力!#REF!</f>
        <v>#REF!</v>
      </c>
      <c r="S54" s="39" t="e">
        <f>【PL】決算数値入力!#REF!</f>
        <v>#REF!</v>
      </c>
      <c r="T54" s="39">
        <f t="shared" ref="T54:BQ54" si="22">SUM(T55:T56)</f>
        <v>0</v>
      </c>
      <c r="U54" s="39">
        <f t="shared" si="22"/>
        <v>0</v>
      </c>
      <c r="V54" s="39">
        <f t="shared" si="22"/>
        <v>0</v>
      </c>
      <c r="W54" s="39">
        <f t="shared" si="22"/>
        <v>0</v>
      </c>
      <c r="X54" s="39">
        <f t="shared" si="22"/>
        <v>0</v>
      </c>
      <c r="Y54" s="39">
        <f t="shared" si="22"/>
        <v>0</v>
      </c>
      <c r="Z54" s="39">
        <f t="shared" si="22"/>
        <v>0</v>
      </c>
      <c r="AA54" s="39">
        <f t="shared" si="22"/>
        <v>0</v>
      </c>
      <c r="AB54" s="39">
        <f t="shared" si="22"/>
        <v>0</v>
      </c>
      <c r="AC54" s="39">
        <f t="shared" si="22"/>
        <v>0</v>
      </c>
      <c r="AD54" s="39">
        <f t="shared" si="22"/>
        <v>0</v>
      </c>
      <c r="AE54" s="39">
        <f t="shared" si="22"/>
        <v>0</v>
      </c>
      <c r="AF54" s="39">
        <f t="shared" si="22"/>
        <v>0</v>
      </c>
      <c r="AG54" s="39">
        <f t="shared" si="22"/>
        <v>0</v>
      </c>
      <c r="AH54" s="39">
        <f t="shared" si="22"/>
        <v>0</v>
      </c>
      <c r="AI54" s="39">
        <f t="shared" si="22"/>
        <v>0</v>
      </c>
      <c r="AJ54" s="39">
        <f t="shared" si="22"/>
        <v>0</v>
      </c>
      <c r="AK54" s="39">
        <f t="shared" si="22"/>
        <v>0</v>
      </c>
      <c r="AL54" s="39">
        <f t="shared" si="22"/>
        <v>0</v>
      </c>
      <c r="AM54" s="39">
        <f t="shared" si="22"/>
        <v>0</v>
      </c>
      <c r="AN54" s="39">
        <f t="shared" si="22"/>
        <v>0</v>
      </c>
      <c r="AO54" s="39">
        <f t="shared" si="22"/>
        <v>0</v>
      </c>
      <c r="AP54" s="39">
        <f t="shared" si="22"/>
        <v>0</v>
      </c>
      <c r="AQ54" s="39">
        <f t="shared" si="22"/>
        <v>0</v>
      </c>
      <c r="AR54" s="39">
        <f t="shared" si="22"/>
        <v>0</v>
      </c>
      <c r="AS54" s="39">
        <f t="shared" si="22"/>
        <v>0</v>
      </c>
      <c r="AT54" s="39">
        <f t="shared" si="22"/>
        <v>0</v>
      </c>
      <c r="AU54" s="39">
        <f t="shared" si="22"/>
        <v>0</v>
      </c>
      <c r="AV54" s="39">
        <f t="shared" si="22"/>
        <v>0</v>
      </c>
      <c r="AW54" s="39">
        <f t="shared" si="22"/>
        <v>0</v>
      </c>
      <c r="AX54" s="39">
        <f t="shared" si="22"/>
        <v>0</v>
      </c>
      <c r="AY54" s="39">
        <f t="shared" si="22"/>
        <v>0</v>
      </c>
      <c r="AZ54" s="39">
        <f t="shared" si="22"/>
        <v>0</v>
      </c>
      <c r="BA54" s="39">
        <f t="shared" si="22"/>
        <v>0</v>
      </c>
      <c r="BB54" s="39">
        <f t="shared" si="22"/>
        <v>0</v>
      </c>
      <c r="BC54" s="39">
        <f t="shared" si="22"/>
        <v>0</v>
      </c>
      <c r="BD54" s="39">
        <f t="shared" si="22"/>
        <v>0</v>
      </c>
      <c r="BE54" s="39">
        <f t="shared" si="22"/>
        <v>0</v>
      </c>
      <c r="BF54" s="39">
        <f t="shared" si="22"/>
        <v>0</v>
      </c>
      <c r="BG54" s="39">
        <f t="shared" si="22"/>
        <v>0</v>
      </c>
      <c r="BH54" s="39">
        <f t="shared" si="22"/>
        <v>0</v>
      </c>
      <c r="BI54" s="39">
        <f t="shared" si="22"/>
        <v>0</v>
      </c>
      <c r="BJ54" s="39">
        <f t="shared" si="22"/>
        <v>0</v>
      </c>
      <c r="BK54" s="39">
        <f t="shared" si="22"/>
        <v>0</v>
      </c>
      <c r="BL54" s="39">
        <f t="shared" si="22"/>
        <v>0</v>
      </c>
      <c r="BM54" s="39">
        <f t="shared" si="22"/>
        <v>0</v>
      </c>
      <c r="BN54" s="39">
        <f t="shared" si="22"/>
        <v>0</v>
      </c>
      <c r="BO54" s="39">
        <f t="shared" si="22"/>
        <v>0</v>
      </c>
      <c r="BP54" s="39">
        <f t="shared" si="22"/>
        <v>0</v>
      </c>
      <c r="BQ54" s="39">
        <f t="shared" si="22"/>
        <v>0</v>
      </c>
    </row>
    <row r="55" spans="2:69">
      <c r="B55" s="4"/>
      <c r="C55" s="4"/>
      <c r="D55" s="4"/>
      <c r="E55" s="1" t="s">
        <v>164</v>
      </c>
      <c r="F55" s="1"/>
      <c r="G55" s="10"/>
      <c r="H55" s="10" t="s">
        <v>166</v>
      </c>
      <c r="I55" s="10"/>
      <c r="J55" s="10"/>
      <c r="K55" s="1" t="s">
        <v>172</v>
      </c>
      <c r="L55" s="1"/>
      <c r="M55" s="1"/>
      <c r="N55" s="39" t="e">
        <f>【PL】決算数値入力!#REF!</f>
        <v>#REF!</v>
      </c>
      <c r="O55" s="39" t="e">
        <f>【PL】決算数値入力!#REF!</f>
        <v>#REF!</v>
      </c>
      <c r="P55" s="39" t="e">
        <f>【PL】決算数値入力!#REF!</f>
        <v>#REF!</v>
      </c>
      <c r="Q55" s="39" t="e">
        <f>【PL】決算数値入力!#REF!</f>
        <v>#REF!</v>
      </c>
      <c r="R55" s="39" t="e">
        <f>【PL】決算数値入力!#REF!</f>
        <v>#REF!</v>
      </c>
      <c r="S55" s="39" t="e">
        <f>【PL】決算数値入力!#REF!</f>
        <v>#REF!</v>
      </c>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row>
    <row r="56" spans="2:69">
      <c r="B56" s="4"/>
      <c r="C56" s="3"/>
      <c r="D56" s="3"/>
      <c r="E56" s="1" t="s">
        <v>165</v>
      </c>
      <c r="F56" s="1"/>
      <c r="G56" s="10"/>
      <c r="H56" s="10" t="s">
        <v>166</v>
      </c>
      <c r="I56" s="10"/>
      <c r="J56" s="10"/>
      <c r="K56" s="1" t="s">
        <v>163</v>
      </c>
      <c r="L56" s="1"/>
      <c r="M56" s="1"/>
      <c r="N56" s="39" t="e">
        <f>【PL】決算数値入力!#REF!</f>
        <v>#REF!</v>
      </c>
      <c r="O56" s="39" t="e">
        <f>【PL】決算数値入力!#REF!</f>
        <v>#REF!</v>
      </c>
      <c r="P56" s="39" t="e">
        <f>【PL】決算数値入力!#REF!</f>
        <v>#REF!</v>
      </c>
      <c r="Q56" s="39" t="e">
        <f>【PL】決算数値入力!#REF!</f>
        <v>#REF!</v>
      </c>
      <c r="R56" s="39" t="e">
        <f>【PL】決算数値入力!#REF!</f>
        <v>#REF!</v>
      </c>
      <c r="S56" s="39" t="e">
        <f>【PL】決算数値入力!#REF!</f>
        <v>#REF!</v>
      </c>
      <c r="T56" s="40">
        <v>0</v>
      </c>
      <c r="U56" s="40">
        <v>0</v>
      </c>
      <c r="V56" s="40">
        <v>0</v>
      </c>
      <c r="W56" s="40">
        <v>0</v>
      </c>
      <c r="X56" s="40">
        <v>0</v>
      </c>
      <c r="Y56" s="40">
        <v>0</v>
      </c>
      <c r="Z56" s="40">
        <v>0</v>
      </c>
      <c r="AA56" s="40">
        <v>0</v>
      </c>
      <c r="AB56" s="40">
        <v>0</v>
      </c>
      <c r="AC56" s="40">
        <v>0</v>
      </c>
      <c r="AD56" s="40">
        <v>0</v>
      </c>
      <c r="AE56" s="40">
        <v>0</v>
      </c>
      <c r="AF56" s="40">
        <v>0</v>
      </c>
      <c r="AG56" s="40">
        <v>0</v>
      </c>
      <c r="AH56" s="40">
        <v>0</v>
      </c>
      <c r="AI56" s="40">
        <v>0</v>
      </c>
      <c r="AJ56" s="40">
        <v>0</v>
      </c>
      <c r="AK56" s="40">
        <v>0</v>
      </c>
      <c r="AL56" s="40">
        <v>0</v>
      </c>
      <c r="AM56" s="40">
        <v>0</v>
      </c>
      <c r="AN56" s="40">
        <v>0</v>
      </c>
      <c r="AO56" s="40">
        <v>0</v>
      </c>
      <c r="AP56" s="40">
        <v>0</v>
      </c>
      <c r="AQ56" s="40">
        <v>0</v>
      </c>
      <c r="AR56" s="40">
        <v>0</v>
      </c>
      <c r="AS56" s="40">
        <v>0</v>
      </c>
      <c r="AT56" s="40">
        <v>0</v>
      </c>
      <c r="AU56" s="40">
        <v>0</v>
      </c>
      <c r="AV56" s="40">
        <v>0</v>
      </c>
      <c r="AW56" s="40">
        <v>0</v>
      </c>
      <c r="AX56" s="40">
        <v>0</v>
      </c>
      <c r="AY56" s="40">
        <v>0</v>
      </c>
      <c r="AZ56" s="40">
        <v>0</v>
      </c>
      <c r="BA56" s="40">
        <v>0</v>
      </c>
      <c r="BB56" s="40">
        <v>0</v>
      </c>
      <c r="BC56" s="40">
        <v>0</v>
      </c>
      <c r="BD56" s="40">
        <v>0</v>
      </c>
      <c r="BE56" s="40">
        <v>0</v>
      </c>
      <c r="BF56" s="40">
        <v>0</v>
      </c>
      <c r="BG56" s="40">
        <v>0</v>
      </c>
      <c r="BH56" s="40">
        <v>0</v>
      </c>
      <c r="BI56" s="40">
        <v>0</v>
      </c>
      <c r="BJ56" s="40">
        <v>0</v>
      </c>
      <c r="BK56" s="40">
        <v>0</v>
      </c>
      <c r="BL56" s="40">
        <v>0</v>
      </c>
      <c r="BM56" s="40">
        <v>0</v>
      </c>
      <c r="BN56" s="40">
        <v>0</v>
      </c>
      <c r="BO56" s="40">
        <v>0</v>
      </c>
      <c r="BP56" s="40">
        <v>0</v>
      </c>
      <c r="BQ56" s="40">
        <v>0</v>
      </c>
    </row>
    <row r="57" spans="2:69">
      <c r="B57" s="4"/>
      <c r="C57" s="5" t="s">
        <v>103</v>
      </c>
      <c r="D57" s="7"/>
      <c r="E57" s="8"/>
      <c r="F57" s="1"/>
      <c r="G57" s="10"/>
      <c r="H57" s="10"/>
      <c r="I57" s="10"/>
      <c r="J57" s="10"/>
      <c r="K57" s="1"/>
      <c r="L57" s="1"/>
      <c r="M57" s="1"/>
      <c r="N57" s="39" t="e">
        <f>【PL】決算数値入力!#REF!</f>
        <v>#REF!</v>
      </c>
      <c r="O57" s="39" t="e">
        <f>【PL】決算数値入力!#REF!</f>
        <v>#REF!</v>
      </c>
      <c r="P57" s="39" t="e">
        <f>【PL】決算数値入力!#REF!</f>
        <v>#REF!</v>
      </c>
      <c r="Q57" s="39" t="e">
        <f>【PL】決算数値入力!#REF!</f>
        <v>#REF!</v>
      </c>
      <c r="R57" s="39" t="e">
        <f>【PL】決算数値入力!#REF!</f>
        <v>#REF!</v>
      </c>
      <c r="S57" s="39" t="e">
        <f>【PL】決算数値入力!#REF!</f>
        <v>#REF!</v>
      </c>
      <c r="T57" s="39" t="e">
        <f t="shared" ref="T57:BQ57" si="23">SUM(T58,T61)</f>
        <v>#REF!</v>
      </c>
      <c r="U57" s="39" t="e">
        <f t="shared" si="23"/>
        <v>#REF!</v>
      </c>
      <c r="V57" s="39" t="e">
        <f t="shared" si="23"/>
        <v>#REF!</v>
      </c>
      <c r="W57" s="39" t="e">
        <f t="shared" si="23"/>
        <v>#REF!</v>
      </c>
      <c r="X57" s="39" t="e">
        <f t="shared" si="23"/>
        <v>#REF!</v>
      </c>
      <c r="Y57" s="39" t="e">
        <f t="shared" si="23"/>
        <v>#REF!</v>
      </c>
      <c r="Z57" s="39" t="e">
        <f t="shared" si="23"/>
        <v>#REF!</v>
      </c>
      <c r="AA57" s="39" t="e">
        <f t="shared" si="23"/>
        <v>#REF!</v>
      </c>
      <c r="AB57" s="39" t="e">
        <f t="shared" si="23"/>
        <v>#REF!</v>
      </c>
      <c r="AC57" s="39" t="e">
        <f t="shared" si="23"/>
        <v>#REF!</v>
      </c>
      <c r="AD57" s="39" t="e">
        <f t="shared" si="23"/>
        <v>#REF!</v>
      </c>
      <c r="AE57" s="39" t="e">
        <f t="shared" si="23"/>
        <v>#REF!</v>
      </c>
      <c r="AF57" s="39" t="e">
        <f t="shared" si="23"/>
        <v>#REF!</v>
      </c>
      <c r="AG57" s="39" t="e">
        <f t="shared" si="23"/>
        <v>#REF!</v>
      </c>
      <c r="AH57" s="39" t="e">
        <f t="shared" si="23"/>
        <v>#REF!</v>
      </c>
      <c r="AI57" s="39" t="e">
        <f t="shared" si="23"/>
        <v>#REF!</v>
      </c>
      <c r="AJ57" s="39" t="e">
        <f t="shared" si="23"/>
        <v>#REF!</v>
      </c>
      <c r="AK57" s="39" t="e">
        <f t="shared" si="23"/>
        <v>#REF!</v>
      </c>
      <c r="AL57" s="39" t="e">
        <f t="shared" si="23"/>
        <v>#REF!</v>
      </c>
      <c r="AM57" s="39" t="e">
        <f t="shared" si="23"/>
        <v>#REF!</v>
      </c>
      <c r="AN57" s="39" t="e">
        <f t="shared" si="23"/>
        <v>#REF!</v>
      </c>
      <c r="AO57" s="39" t="e">
        <f t="shared" si="23"/>
        <v>#REF!</v>
      </c>
      <c r="AP57" s="39" t="e">
        <f t="shared" si="23"/>
        <v>#REF!</v>
      </c>
      <c r="AQ57" s="39" t="e">
        <f t="shared" si="23"/>
        <v>#REF!</v>
      </c>
      <c r="AR57" s="39" t="e">
        <f t="shared" si="23"/>
        <v>#REF!</v>
      </c>
      <c r="AS57" s="39" t="e">
        <f t="shared" si="23"/>
        <v>#REF!</v>
      </c>
      <c r="AT57" s="39" t="e">
        <f t="shared" si="23"/>
        <v>#REF!</v>
      </c>
      <c r="AU57" s="39" t="e">
        <f t="shared" si="23"/>
        <v>#REF!</v>
      </c>
      <c r="AV57" s="39" t="e">
        <f t="shared" si="23"/>
        <v>#REF!</v>
      </c>
      <c r="AW57" s="39" t="e">
        <f t="shared" si="23"/>
        <v>#REF!</v>
      </c>
      <c r="AX57" s="39" t="e">
        <f t="shared" si="23"/>
        <v>#REF!</v>
      </c>
      <c r="AY57" s="39" t="e">
        <f t="shared" si="23"/>
        <v>#REF!</v>
      </c>
      <c r="AZ57" s="39" t="e">
        <f t="shared" si="23"/>
        <v>#REF!</v>
      </c>
      <c r="BA57" s="39" t="e">
        <f t="shared" si="23"/>
        <v>#REF!</v>
      </c>
      <c r="BB57" s="39" t="e">
        <f t="shared" si="23"/>
        <v>#REF!</v>
      </c>
      <c r="BC57" s="39" t="e">
        <f t="shared" si="23"/>
        <v>#REF!</v>
      </c>
      <c r="BD57" s="39" t="e">
        <f t="shared" si="23"/>
        <v>#REF!</v>
      </c>
      <c r="BE57" s="39" t="e">
        <f t="shared" si="23"/>
        <v>#REF!</v>
      </c>
      <c r="BF57" s="39" t="e">
        <f t="shared" si="23"/>
        <v>#REF!</v>
      </c>
      <c r="BG57" s="39" t="e">
        <f t="shared" si="23"/>
        <v>#REF!</v>
      </c>
      <c r="BH57" s="39" t="e">
        <f t="shared" si="23"/>
        <v>#REF!</v>
      </c>
      <c r="BI57" s="39" t="e">
        <f t="shared" si="23"/>
        <v>#REF!</v>
      </c>
      <c r="BJ57" s="39" t="e">
        <f t="shared" si="23"/>
        <v>#REF!</v>
      </c>
      <c r="BK57" s="39" t="e">
        <f t="shared" si="23"/>
        <v>#REF!</v>
      </c>
      <c r="BL57" s="39" t="e">
        <f t="shared" si="23"/>
        <v>#REF!</v>
      </c>
      <c r="BM57" s="39" t="e">
        <f t="shared" si="23"/>
        <v>#REF!</v>
      </c>
      <c r="BN57" s="39" t="e">
        <f t="shared" si="23"/>
        <v>#REF!</v>
      </c>
      <c r="BO57" s="39" t="e">
        <f t="shared" si="23"/>
        <v>#REF!</v>
      </c>
      <c r="BP57" s="39" t="e">
        <f t="shared" si="23"/>
        <v>#REF!</v>
      </c>
      <c r="BQ57" s="39" t="e">
        <f t="shared" si="23"/>
        <v>#REF!</v>
      </c>
    </row>
    <row r="58" spans="2:69">
      <c r="B58" s="4"/>
      <c r="C58" s="4"/>
      <c r="D58" s="5" t="s">
        <v>104</v>
      </c>
      <c r="E58" s="8"/>
      <c r="F58" s="1"/>
      <c r="G58" s="10"/>
      <c r="H58" s="10"/>
      <c r="I58" s="10"/>
      <c r="J58" s="10"/>
      <c r="K58" s="1"/>
      <c r="L58" s="1"/>
      <c r="M58" s="1"/>
      <c r="N58" s="39" t="e">
        <f>【PL】決算数値入力!#REF!</f>
        <v>#REF!</v>
      </c>
      <c r="O58" s="39" t="e">
        <f>【PL】決算数値入力!#REF!</f>
        <v>#REF!</v>
      </c>
      <c r="P58" s="39" t="e">
        <f>【PL】決算数値入力!#REF!</f>
        <v>#REF!</v>
      </c>
      <c r="Q58" s="39" t="e">
        <f>【PL】決算数値入力!#REF!</f>
        <v>#REF!</v>
      </c>
      <c r="R58" s="39" t="e">
        <f>【PL】決算数値入力!#REF!</f>
        <v>#REF!</v>
      </c>
      <c r="S58" s="39" t="e">
        <f>【PL】決算数値入力!#REF!</f>
        <v>#REF!</v>
      </c>
      <c r="T58" s="39">
        <f t="shared" ref="T58:BQ58" si="24">SUM(T59:T60)</f>
        <v>11610</v>
      </c>
      <c r="U58" s="39">
        <f t="shared" si="24"/>
        <v>5059249</v>
      </c>
      <c r="V58" s="39">
        <f t="shared" si="24"/>
        <v>9245871</v>
      </c>
      <c r="W58" s="39">
        <f t="shared" si="24"/>
        <v>18512235</v>
      </c>
      <c r="X58" s="39">
        <f t="shared" si="24"/>
        <v>26642786</v>
      </c>
      <c r="Y58" s="39">
        <f t="shared" si="24"/>
        <v>34316071</v>
      </c>
      <c r="Z58" s="39">
        <f t="shared" si="24"/>
        <v>38700148</v>
      </c>
      <c r="AA58" s="39">
        <f t="shared" si="24"/>
        <v>42991146</v>
      </c>
      <c r="AB58" s="39">
        <f t="shared" si="24"/>
        <v>48237112</v>
      </c>
      <c r="AC58" s="39">
        <f t="shared" si="24"/>
        <v>54629039</v>
      </c>
      <c r="AD58" s="39">
        <f t="shared" si="24"/>
        <v>59204122</v>
      </c>
      <c r="AE58" s="39">
        <f t="shared" si="24"/>
        <v>61986703</v>
      </c>
      <c r="AF58" s="39">
        <f t="shared" si="24"/>
        <v>64051633</v>
      </c>
      <c r="AG58" s="39">
        <f t="shared" si="24"/>
        <v>66037278</v>
      </c>
      <c r="AH58" s="39">
        <f t="shared" si="24"/>
        <v>75921974</v>
      </c>
      <c r="AI58" s="39">
        <f t="shared" si="24"/>
        <v>85594747</v>
      </c>
      <c r="AJ58" s="39">
        <f t="shared" si="24"/>
        <v>95051140</v>
      </c>
      <c r="AK58" s="39">
        <f t="shared" si="24"/>
        <v>104286620</v>
      </c>
      <c r="AL58" s="39">
        <f t="shared" si="24"/>
        <v>113926541</v>
      </c>
      <c r="AM58" s="39">
        <f t="shared" si="24"/>
        <v>123808960</v>
      </c>
      <c r="AN58" s="39">
        <f t="shared" si="24"/>
        <v>133438001</v>
      </c>
      <c r="AO58" s="39">
        <f t="shared" si="24"/>
        <v>142808346</v>
      </c>
      <c r="AP58" s="39">
        <f t="shared" si="24"/>
        <v>140574563</v>
      </c>
      <c r="AQ58" s="39">
        <f t="shared" si="24"/>
        <v>138254815</v>
      </c>
      <c r="AR58" s="39">
        <f t="shared" si="24"/>
        <v>135847291</v>
      </c>
      <c r="AS58" s="39">
        <f t="shared" si="24"/>
        <v>133350145</v>
      </c>
      <c r="AT58" s="39">
        <f t="shared" si="24"/>
        <v>130761497</v>
      </c>
      <c r="AU58" s="39">
        <f t="shared" si="24"/>
        <v>128079432</v>
      </c>
      <c r="AV58" s="39">
        <f t="shared" si="24"/>
        <v>125301983</v>
      </c>
      <c r="AW58" s="39">
        <f t="shared" si="24"/>
        <v>122427149</v>
      </c>
      <c r="AX58" s="39">
        <f t="shared" si="24"/>
        <v>119452881</v>
      </c>
      <c r="AY58" s="39">
        <f t="shared" si="24"/>
        <v>116377094</v>
      </c>
      <c r="AZ58" s="39">
        <f t="shared" si="24"/>
        <v>113197656</v>
      </c>
      <c r="BA58" s="39">
        <f t="shared" si="24"/>
        <v>109912391</v>
      </c>
      <c r="BB58" s="39">
        <f t="shared" si="24"/>
        <v>106519075</v>
      </c>
      <c r="BC58" s="39">
        <f t="shared" si="24"/>
        <v>103015438</v>
      </c>
      <c r="BD58" s="39">
        <f t="shared" si="24"/>
        <v>99399166</v>
      </c>
      <c r="BE58" s="39">
        <f t="shared" si="24"/>
        <v>95667893</v>
      </c>
      <c r="BF58" s="39">
        <f t="shared" si="24"/>
        <v>91819203</v>
      </c>
      <c r="BG58" s="39">
        <f t="shared" si="24"/>
        <v>87850631</v>
      </c>
      <c r="BH58" s="39">
        <f t="shared" si="24"/>
        <v>83759660</v>
      </c>
      <c r="BI58" s="39">
        <f t="shared" si="24"/>
        <v>79543718</v>
      </c>
      <c r="BJ58" s="39">
        <f t="shared" si="24"/>
        <v>75387979</v>
      </c>
      <c r="BK58" s="39">
        <f t="shared" si="24"/>
        <v>71264806</v>
      </c>
      <c r="BL58" s="39">
        <f t="shared" si="24"/>
        <v>66316488</v>
      </c>
      <c r="BM58" s="39">
        <f t="shared" si="24"/>
        <v>61578297</v>
      </c>
      <c r="BN58" s="39">
        <f t="shared" si="24"/>
        <v>57042927</v>
      </c>
      <c r="BO58" s="39">
        <f t="shared" si="24"/>
        <v>52597455</v>
      </c>
      <c r="BP58" s="39">
        <f t="shared" si="24"/>
        <v>48243774</v>
      </c>
      <c r="BQ58" s="39">
        <f t="shared" si="24"/>
        <v>44022870</v>
      </c>
    </row>
    <row r="59" spans="2:69">
      <c r="B59" s="4"/>
      <c r="C59" s="4"/>
      <c r="D59" s="4"/>
      <c r="E59" s="1" t="s">
        <v>105</v>
      </c>
      <c r="F59" s="1"/>
      <c r="G59" s="10"/>
      <c r="H59" s="10" t="s">
        <v>166</v>
      </c>
      <c r="I59" s="10"/>
      <c r="J59" s="10"/>
      <c r="K59" s="1" t="s">
        <v>173</v>
      </c>
      <c r="L59" s="1"/>
      <c r="M59" s="1"/>
      <c r="N59" s="39" t="e">
        <f>【PL】決算数値入力!#REF!</f>
        <v>#REF!</v>
      </c>
      <c r="O59" s="39" t="e">
        <f>【PL】決算数値入力!#REF!</f>
        <v>#REF!</v>
      </c>
      <c r="P59" s="39" t="e">
        <f>【PL】決算数値入力!#REF!</f>
        <v>#REF!</v>
      </c>
      <c r="Q59" s="39" t="e">
        <f>【PL】決算数値入力!#REF!</f>
        <v>#REF!</v>
      </c>
      <c r="R59" s="39" t="e">
        <f>【PL】決算数値入力!#REF!</f>
        <v>#REF!</v>
      </c>
      <c r="S59" s="39" t="e">
        <f>【PL】決算数値入力!#REF!</f>
        <v>#REF!</v>
      </c>
      <c r="T59" s="39">
        <v>11610</v>
      </c>
      <c r="U59" s="39">
        <v>10849</v>
      </c>
      <c r="V59" s="39">
        <v>7854</v>
      </c>
      <c r="W59" s="39">
        <v>4845</v>
      </c>
      <c r="X59" s="39">
        <v>1936</v>
      </c>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row>
    <row r="60" spans="2:69">
      <c r="B60" s="4"/>
      <c r="C60" s="4"/>
      <c r="D60" s="3"/>
      <c r="E60" s="1" t="s">
        <v>131</v>
      </c>
      <c r="F60" s="1"/>
      <c r="G60" s="10"/>
      <c r="H60" s="10" t="s">
        <v>166</v>
      </c>
      <c r="I60" s="10"/>
      <c r="J60" s="10"/>
      <c r="K60" s="1" t="s">
        <v>535</v>
      </c>
      <c r="L60" s="1"/>
      <c r="M60" s="1"/>
      <c r="N60" s="39" t="e">
        <f>【PL】決算数値入力!#REF!</f>
        <v>#REF!</v>
      </c>
      <c r="O60" s="39" t="e">
        <f>【PL】決算数値入力!#REF!</f>
        <v>#REF!</v>
      </c>
      <c r="P60" s="39" t="e">
        <f>【PL】決算数値入力!#REF!</f>
        <v>#REF!</v>
      </c>
      <c r="Q60" s="39" t="e">
        <f>【PL】決算数値入力!#REF!</f>
        <v>#REF!</v>
      </c>
      <c r="R60" s="39" t="e">
        <f>【PL】決算数値入力!#REF!</f>
        <v>#REF!</v>
      </c>
      <c r="S60" s="39" t="e">
        <f>【PL】決算数値入力!#REF!</f>
        <v>#REF!</v>
      </c>
      <c r="T60" s="39">
        <f>新規債返済スケジュール!E3</f>
        <v>0</v>
      </c>
      <c r="U60" s="39">
        <f>新規債返済スケジュール!F3</f>
        <v>5048400</v>
      </c>
      <c r="V60" s="39">
        <f>新規債返済スケジュール!G3</f>
        <v>9238017</v>
      </c>
      <c r="W60" s="39">
        <f>新規債返済スケジュール!H3</f>
        <v>18507390</v>
      </c>
      <c r="X60" s="39">
        <f>新規債返済スケジュール!I3</f>
        <v>26640850</v>
      </c>
      <c r="Y60" s="39">
        <f>新規債返済スケジュール!J3</f>
        <v>34316071</v>
      </c>
      <c r="Z60" s="39">
        <f>新規債返済スケジュール!K3</f>
        <v>38700148</v>
      </c>
      <c r="AA60" s="39">
        <f>新規債返済スケジュール!L3</f>
        <v>42991146</v>
      </c>
      <c r="AB60" s="39">
        <f>新規債返済スケジュール!M3</f>
        <v>48237112</v>
      </c>
      <c r="AC60" s="39">
        <f>新規債返済スケジュール!N3</f>
        <v>54629039</v>
      </c>
      <c r="AD60" s="39">
        <f>新規債返済スケジュール!O3</f>
        <v>59204122</v>
      </c>
      <c r="AE60" s="39">
        <f>新規債返済スケジュール!P3</f>
        <v>61986703</v>
      </c>
      <c r="AF60" s="39">
        <f>新規債返済スケジュール!Q3</f>
        <v>64051633</v>
      </c>
      <c r="AG60" s="39">
        <f>新規債返済スケジュール!R3</f>
        <v>66037278</v>
      </c>
      <c r="AH60" s="39">
        <f>新規債返済スケジュール!S3</f>
        <v>75921974</v>
      </c>
      <c r="AI60" s="39">
        <f>新規債返済スケジュール!T3</f>
        <v>85594747</v>
      </c>
      <c r="AJ60" s="39">
        <f>新規債返済スケジュール!U3</f>
        <v>95051140</v>
      </c>
      <c r="AK60" s="39">
        <f>新規債返済スケジュール!V3</f>
        <v>104286620</v>
      </c>
      <c r="AL60" s="39">
        <f>新規債返済スケジュール!W3</f>
        <v>113926541</v>
      </c>
      <c r="AM60" s="39">
        <f>新規債返済スケジュール!X3</f>
        <v>123808960</v>
      </c>
      <c r="AN60" s="39">
        <f>新規債返済スケジュール!Y3</f>
        <v>133438001</v>
      </c>
      <c r="AO60" s="39">
        <f>新規債返済スケジュール!Z3</f>
        <v>142808346</v>
      </c>
      <c r="AP60" s="39">
        <f>新規債返済スケジュール!AA3</f>
        <v>140574563</v>
      </c>
      <c r="AQ60" s="39">
        <f>新規債返済スケジュール!AB3</f>
        <v>138254815</v>
      </c>
      <c r="AR60" s="39">
        <f>新規債返済スケジュール!AC3</f>
        <v>135847291</v>
      </c>
      <c r="AS60" s="39">
        <f>新規債返済スケジュール!AD3</f>
        <v>133350145</v>
      </c>
      <c r="AT60" s="39">
        <f>新規債返済スケジュール!AE3</f>
        <v>130761497</v>
      </c>
      <c r="AU60" s="39">
        <f>新規債返済スケジュール!AF3</f>
        <v>128079432</v>
      </c>
      <c r="AV60" s="39">
        <f>新規債返済スケジュール!AG3</f>
        <v>125301983</v>
      </c>
      <c r="AW60" s="39">
        <f>新規債返済スケジュール!AH3</f>
        <v>122427149</v>
      </c>
      <c r="AX60" s="39">
        <f>新規債返済スケジュール!AI3</f>
        <v>119452881</v>
      </c>
      <c r="AY60" s="39">
        <f>新規債返済スケジュール!AJ3</f>
        <v>116377094</v>
      </c>
      <c r="AZ60" s="39">
        <f>新規債返済スケジュール!AK3</f>
        <v>113197656</v>
      </c>
      <c r="BA60" s="39">
        <f>新規債返済スケジュール!AL3</f>
        <v>109912391</v>
      </c>
      <c r="BB60" s="39">
        <f>新規債返済スケジュール!AM3</f>
        <v>106519075</v>
      </c>
      <c r="BC60" s="39">
        <f>新規債返済スケジュール!AN3</f>
        <v>103015438</v>
      </c>
      <c r="BD60" s="39">
        <f>新規債返済スケジュール!AO3</f>
        <v>99399166</v>
      </c>
      <c r="BE60" s="39">
        <f>新規債返済スケジュール!AP3</f>
        <v>95667893</v>
      </c>
      <c r="BF60" s="39">
        <f>新規債返済スケジュール!AQ3</f>
        <v>91819203</v>
      </c>
      <c r="BG60" s="39">
        <f>新規債返済スケジュール!AR3</f>
        <v>87850631</v>
      </c>
      <c r="BH60" s="39">
        <f>新規債返済スケジュール!AS3</f>
        <v>83759660</v>
      </c>
      <c r="BI60" s="39">
        <f>新規債返済スケジュール!AT3</f>
        <v>79543718</v>
      </c>
      <c r="BJ60" s="39">
        <f>新規債返済スケジュール!AU3</f>
        <v>75387979</v>
      </c>
      <c r="BK60" s="39">
        <f>新規債返済スケジュール!AV3</f>
        <v>71264806</v>
      </c>
      <c r="BL60" s="39">
        <f>新規債返済スケジュール!AW3</f>
        <v>66316488</v>
      </c>
      <c r="BM60" s="39">
        <f>新規債返済スケジュール!AX3</f>
        <v>61578297</v>
      </c>
      <c r="BN60" s="39">
        <f>新規債返済スケジュール!AY3</f>
        <v>57042927</v>
      </c>
      <c r="BO60" s="39">
        <f>新規債返済スケジュール!AZ3</f>
        <v>52597455</v>
      </c>
      <c r="BP60" s="39">
        <f>新規債返済スケジュール!BA3</f>
        <v>48243774</v>
      </c>
      <c r="BQ60" s="39">
        <f>新規債返済スケジュール!BB3</f>
        <v>44022870</v>
      </c>
    </row>
    <row r="61" spans="2:69">
      <c r="B61" s="4"/>
      <c r="C61" s="3"/>
      <c r="D61" s="9" t="s">
        <v>106</v>
      </c>
      <c r="E61" s="8"/>
      <c r="F61" s="1"/>
      <c r="G61" s="10"/>
      <c r="H61" s="10" t="s">
        <v>166</v>
      </c>
      <c r="I61" s="10"/>
      <c r="J61" s="10"/>
      <c r="K61" s="1" t="s">
        <v>532</v>
      </c>
      <c r="L61" s="1"/>
      <c r="M61" s="1"/>
      <c r="N61" s="39" t="e">
        <f>【PL】決算数値入力!#REF!</f>
        <v>#REF!</v>
      </c>
      <c r="O61" s="39" t="e">
        <f>【PL】決算数値入力!#REF!</f>
        <v>#REF!</v>
      </c>
      <c r="P61" s="39" t="e">
        <f>【PL】決算数値入力!#REF!</f>
        <v>#REF!</v>
      </c>
      <c r="Q61" s="39" t="e">
        <f>【PL】決算数値入力!#REF!</f>
        <v>#REF!</v>
      </c>
      <c r="R61" s="39" t="e">
        <f>【PL】決算数値入力!#REF!</f>
        <v>#REF!</v>
      </c>
      <c r="S61" s="39" t="e">
        <f>【PL】決算数値入力!#REF!</f>
        <v>#REF!</v>
      </c>
      <c r="T61" s="39" t="e">
        <f>S61</f>
        <v>#REF!</v>
      </c>
      <c r="U61" s="39" t="e">
        <f t="shared" ref="U61:BQ61" si="25">T61</f>
        <v>#REF!</v>
      </c>
      <c r="V61" s="39" t="e">
        <f t="shared" si="25"/>
        <v>#REF!</v>
      </c>
      <c r="W61" s="39" t="e">
        <f t="shared" si="25"/>
        <v>#REF!</v>
      </c>
      <c r="X61" s="39" t="e">
        <f t="shared" si="25"/>
        <v>#REF!</v>
      </c>
      <c r="Y61" s="39" t="e">
        <f t="shared" si="25"/>
        <v>#REF!</v>
      </c>
      <c r="Z61" s="39" t="e">
        <f t="shared" si="25"/>
        <v>#REF!</v>
      </c>
      <c r="AA61" s="39" t="e">
        <f t="shared" si="25"/>
        <v>#REF!</v>
      </c>
      <c r="AB61" s="39" t="e">
        <f t="shared" si="25"/>
        <v>#REF!</v>
      </c>
      <c r="AC61" s="39" t="e">
        <f t="shared" si="25"/>
        <v>#REF!</v>
      </c>
      <c r="AD61" s="39" t="e">
        <f t="shared" si="25"/>
        <v>#REF!</v>
      </c>
      <c r="AE61" s="39" t="e">
        <f t="shared" si="25"/>
        <v>#REF!</v>
      </c>
      <c r="AF61" s="39" t="e">
        <f t="shared" si="25"/>
        <v>#REF!</v>
      </c>
      <c r="AG61" s="39" t="e">
        <f t="shared" si="25"/>
        <v>#REF!</v>
      </c>
      <c r="AH61" s="39" t="e">
        <f t="shared" si="25"/>
        <v>#REF!</v>
      </c>
      <c r="AI61" s="39" t="e">
        <f t="shared" si="25"/>
        <v>#REF!</v>
      </c>
      <c r="AJ61" s="39" t="e">
        <f t="shared" si="25"/>
        <v>#REF!</v>
      </c>
      <c r="AK61" s="39" t="e">
        <f t="shared" si="25"/>
        <v>#REF!</v>
      </c>
      <c r="AL61" s="39" t="e">
        <f t="shared" si="25"/>
        <v>#REF!</v>
      </c>
      <c r="AM61" s="39" t="e">
        <f t="shared" si="25"/>
        <v>#REF!</v>
      </c>
      <c r="AN61" s="39" t="e">
        <f t="shared" si="25"/>
        <v>#REF!</v>
      </c>
      <c r="AO61" s="39" t="e">
        <f t="shared" si="25"/>
        <v>#REF!</v>
      </c>
      <c r="AP61" s="39" t="e">
        <f t="shared" si="25"/>
        <v>#REF!</v>
      </c>
      <c r="AQ61" s="39" t="e">
        <f t="shared" si="25"/>
        <v>#REF!</v>
      </c>
      <c r="AR61" s="39" t="e">
        <f t="shared" si="25"/>
        <v>#REF!</v>
      </c>
      <c r="AS61" s="39" t="e">
        <f t="shared" si="25"/>
        <v>#REF!</v>
      </c>
      <c r="AT61" s="39" t="e">
        <f t="shared" si="25"/>
        <v>#REF!</v>
      </c>
      <c r="AU61" s="39" t="e">
        <f t="shared" si="25"/>
        <v>#REF!</v>
      </c>
      <c r="AV61" s="39" t="e">
        <f t="shared" si="25"/>
        <v>#REF!</v>
      </c>
      <c r="AW61" s="39" t="e">
        <f t="shared" si="25"/>
        <v>#REF!</v>
      </c>
      <c r="AX61" s="39" t="e">
        <f t="shared" si="25"/>
        <v>#REF!</v>
      </c>
      <c r="AY61" s="39" t="e">
        <f t="shared" si="25"/>
        <v>#REF!</v>
      </c>
      <c r="AZ61" s="39" t="e">
        <f t="shared" si="25"/>
        <v>#REF!</v>
      </c>
      <c r="BA61" s="39" t="e">
        <f t="shared" si="25"/>
        <v>#REF!</v>
      </c>
      <c r="BB61" s="39" t="e">
        <f t="shared" si="25"/>
        <v>#REF!</v>
      </c>
      <c r="BC61" s="39" t="e">
        <f t="shared" si="25"/>
        <v>#REF!</v>
      </c>
      <c r="BD61" s="39" t="e">
        <f t="shared" si="25"/>
        <v>#REF!</v>
      </c>
      <c r="BE61" s="39" t="e">
        <f t="shared" si="25"/>
        <v>#REF!</v>
      </c>
      <c r="BF61" s="39" t="e">
        <f t="shared" si="25"/>
        <v>#REF!</v>
      </c>
      <c r="BG61" s="39" t="e">
        <f t="shared" si="25"/>
        <v>#REF!</v>
      </c>
      <c r="BH61" s="39" t="e">
        <f t="shared" si="25"/>
        <v>#REF!</v>
      </c>
      <c r="BI61" s="39" t="e">
        <f t="shared" si="25"/>
        <v>#REF!</v>
      </c>
      <c r="BJ61" s="39" t="e">
        <f t="shared" si="25"/>
        <v>#REF!</v>
      </c>
      <c r="BK61" s="39" t="e">
        <f t="shared" si="25"/>
        <v>#REF!</v>
      </c>
      <c r="BL61" s="39" t="e">
        <f t="shared" si="25"/>
        <v>#REF!</v>
      </c>
      <c r="BM61" s="39" t="e">
        <f t="shared" si="25"/>
        <v>#REF!</v>
      </c>
      <c r="BN61" s="39" t="e">
        <f t="shared" si="25"/>
        <v>#REF!</v>
      </c>
      <c r="BO61" s="39" t="e">
        <f t="shared" si="25"/>
        <v>#REF!</v>
      </c>
      <c r="BP61" s="39" t="e">
        <f t="shared" si="25"/>
        <v>#REF!</v>
      </c>
      <c r="BQ61" s="39" t="e">
        <f t="shared" si="25"/>
        <v>#REF!</v>
      </c>
    </row>
    <row r="62" spans="2:69">
      <c r="B62" s="4"/>
      <c r="C62" s="5" t="s">
        <v>107</v>
      </c>
      <c r="D62" s="7"/>
      <c r="E62" s="8"/>
      <c r="F62" s="1"/>
      <c r="G62" s="10"/>
      <c r="H62" s="10"/>
      <c r="I62" s="10"/>
      <c r="J62" s="10"/>
      <c r="K62" s="1"/>
      <c r="L62" s="1"/>
      <c r="M62" s="1"/>
      <c r="N62" s="39" t="e">
        <f>【PL】決算数値入力!#REF!</f>
        <v>#REF!</v>
      </c>
      <c r="O62" s="39" t="e">
        <f>【PL】決算数値入力!#REF!</f>
        <v>#REF!</v>
      </c>
      <c r="P62" s="39" t="e">
        <f>【PL】決算数値入力!#REF!</f>
        <v>#REF!</v>
      </c>
      <c r="Q62" s="39" t="e">
        <f>【PL】決算数値入力!#REF!</f>
        <v>#REF!</v>
      </c>
      <c r="R62" s="39" t="e">
        <f>【PL】決算数値入力!#REF!</f>
        <v>#REF!</v>
      </c>
      <c r="S62" s="39" t="e">
        <f>【PL】決算数値入力!#REF!</f>
        <v>#REF!</v>
      </c>
      <c r="T62" s="39">
        <f t="shared" ref="T62:BQ62" si="26">SUM(T63:T66)</f>
        <v>0</v>
      </c>
      <c r="U62" s="39">
        <f t="shared" si="26"/>
        <v>0</v>
      </c>
      <c r="V62" s="39">
        <f t="shared" si="26"/>
        <v>0</v>
      </c>
      <c r="W62" s="39">
        <f t="shared" si="26"/>
        <v>0</v>
      </c>
      <c r="X62" s="39">
        <f t="shared" si="26"/>
        <v>0</v>
      </c>
      <c r="Y62" s="39">
        <f t="shared" si="26"/>
        <v>0</v>
      </c>
      <c r="Z62" s="39">
        <f t="shared" si="26"/>
        <v>0</v>
      </c>
      <c r="AA62" s="39">
        <f t="shared" si="26"/>
        <v>0</v>
      </c>
      <c r="AB62" s="39">
        <f t="shared" si="26"/>
        <v>0</v>
      </c>
      <c r="AC62" s="39">
        <f t="shared" si="26"/>
        <v>0</v>
      </c>
      <c r="AD62" s="39">
        <f t="shared" si="26"/>
        <v>0</v>
      </c>
      <c r="AE62" s="39">
        <f t="shared" si="26"/>
        <v>0</v>
      </c>
      <c r="AF62" s="39">
        <f t="shared" si="26"/>
        <v>0</v>
      </c>
      <c r="AG62" s="39">
        <f t="shared" si="26"/>
        <v>0</v>
      </c>
      <c r="AH62" s="39">
        <f t="shared" si="26"/>
        <v>0</v>
      </c>
      <c r="AI62" s="39">
        <f t="shared" si="26"/>
        <v>0</v>
      </c>
      <c r="AJ62" s="39">
        <f t="shared" si="26"/>
        <v>0</v>
      </c>
      <c r="AK62" s="39">
        <f t="shared" si="26"/>
        <v>0</v>
      </c>
      <c r="AL62" s="39">
        <f t="shared" si="26"/>
        <v>0</v>
      </c>
      <c r="AM62" s="39">
        <f t="shared" si="26"/>
        <v>0</v>
      </c>
      <c r="AN62" s="39">
        <f t="shared" si="26"/>
        <v>0</v>
      </c>
      <c r="AO62" s="39">
        <f t="shared" si="26"/>
        <v>0</v>
      </c>
      <c r="AP62" s="39">
        <f t="shared" si="26"/>
        <v>0</v>
      </c>
      <c r="AQ62" s="39">
        <f t="shared" si="26"/>
        <v>0</v>
      </c>
      <c r="AR62" s="39">
        <f t="shared" si="26"/>
        <v>0</v>
      </c>
      <c r="AS62" s="39">
        <f t="shared" si="26"/>
        <v>0</v>
      </c>
      <c r="AT62" s="39">
        <f t="shared" si="26"/>
        <v>0</v>
      </c>
      <c r="AU62" s="39">
        <f t="shared" si="26"/>
        <v>0</v>
      </c>
      <c r="AV62" s="39">
        <f t="shared" si="26"/>
        <v>0</v>
      </c>
      <c r="AW62" s="39">
        <f t="shared" si="26"/>
        <v>0</v>
      </c>
      <c r="AX62" s="39">
        <f t="shared" si="26"/>
        <v>0</v>
      </c>
      <c r="AY62" s="39">
        <f t="shared" si="26"/>
        <v>0</v>
      </c>
      <c r="AZ62" s="39">
        <f t="shared" si="26"/>
        <v>0</v>
      </c>
      <c r="BA62" s="39">
        <f t="shared" si="26"/>
        <v>0</v>
      </c>
      <c r="BB62" s="39">
        <f t="shared" si="26"/>
        <v>0</v>
      </c>
      <c r="BC62" s="39">
        <f t="shared" si="26"/>
        <v>0</v>
      </c>
      <c r="BD62" s="39">
        <f t="shared" si="26"/>
        <v>0</v>
      </c>
      <c r="BE62" s="39">
        <f t="shared" si="26"/>
        <v>0</v>
      </c>
      <c r="BF62" s="39">
        <f t="shared" si="26"/>
        <v>0</v>
      </c>
      <c r="BG62" s="39">
        <f t="shared" si="26"/>
        <v>0</v>
      </c>
      <c r="BH62" s="39">
        <f t="shared" si="26"/>
        <v>0</v>
      </c>
      <c r="BI62" s="39">
        <f t="shared" si="26"/>
        <v>0</v>
      </c>
      <c r="BJ62" s="39">
        <f t="shared" si="26"/>
        <v>0</v>
      </c>
      <c r="BK62" s="39">
        <f t="shared" si="26"/>
        <v>0</v>
      </c>
      <c r="BL62" s="39">
        <f t="shared" si="26"/>
        <v>0</v>
      </c>
      <c r="BM62" s="39">
        <f t="shared" si="26"/>
        <v>0</v>
      </c>
      <c r="BN62" s="39">
        <f t="shared" si="26"/>
        <v>0</v>
      </c>
      <c r="BO62" s="39">
        <f t="shared" si="26"/>
        <v>0</v>
      </c>
      <c r="BP62" s="39">
        <f t="shared" si="26"/>
        <v>0</v>
      </c>
      <c r="BQ62" s="39">
        <f t="shared" si="26"/>
        <v>0</v>
      </c>
    </row>
    <row r="63" spans="2:69">
      <c r="B63" s="4"/>
      <c r="C63" s="4"/>
      <c r="D63" s="1" t="s">
        <v>108</v>
      </c>
      <c r="E63" s="1"/>
      <c r="F63" s="1"/>
      <c r="G63" s="10"/>
      <c r="H63" s="10" t="s">
        <v>166</v>
      </c>
      <c r="I63" s="10"/>
      <c r="J63" s="10"/>
      <c r="K63" s="1" t="s">
        <v>163</v>
      </c>
      <c r="L63" s="1"/>
      <c r="M63" s="1"/>
      <c r="N63" s="39" t="e">
        <f>【PL】決算数値入力!#REF!</f>
        <v>#REF!</v>
      </c>
      <c r="O63" s="39" t="e">
        <f>【PL】決算数値入力!#REF!</f>
        <v>#REF!</v>
      </c>
      <c r="P63" s="39" t="e">
        <f>【PL】決算数値入力!#REF!</f>
        <v>#REF!</v>
      </c>
      <c r="Q63" s="39" t="e">
        <f>【PL】決算数値入力!#REF!</f>
        <v>#REF!</v>
      </c>
      <c r="R63" s="39" t="e">
        <f>【PL】決算数値入力!#REF!</f>
        <v>#REF!</v>
      </c>
      <c r="S63" s="39" t="e">
        <f>【PL】決算数値入力!#REF!</f>
        <v>#REF!</v>
      </c>
      <c r="T63" s="40">
        <v>0</v>
      </c>
      <c r="U63" s="40">
        <v>0</v>
      </c>
      <c r="V63" s="40">
        <v>0</v>
      </c>
      <c r="W63" s="40">
        <v>0</v>
      </c>
      <c r="X63" s="40">
        <v>0</v>
      </c>
      <c r="Y63" s="40">
        <v>0</v>
      </c>
      <c r="Z63" s="40">
        <v>0</v>
      </c>
      <c r="AA63" s="40">
        <v>0</v>
      </c>
      <c r="AB63" s="40">
        <v>0</v>
      </c>
      <c r="AC63" s="40">
        <v>0</v>
      </c>
      <c r="AD63" s="40">
        <v>0</v>
      </c>
      <c r="AE63" s="40">
        <v>0</v>
      </c>
      <c r="AF63" s="40">
        <v>0</v>
      </c>
      <c r="AG63" s="40">
        <v>0</v>
      </c>
      <c r="AH63" s="40">
        <v>0</v>
      </c>
      <c r="AI63" s="40">
        <v>0</v>
      </c>
      <c r="AJ63" s="40">
        <v>0</v>
      </c>
      <c r="AK63" s="40">
        <v>0</v>
      </c>
      <c r="AL63" s="40">
        <v>0</v>
      </c>
      <c r="AM63" s="40">
        <v>0</v>
      </c>
      <c r="AN63" s="40">
        <v>0</v>
      </c>
      <c r="AO63" s="40">
        <v>0</v>
      </c>
      <c r="AP63" s="40">
        <v>0</v>
      </c>
      <c r="AQ63" s="40">
        <v>0</v>
      </c>
      <c r="AR63" s="40">
        <v>0</v>
      </c>
      <c r="AS63" s="40">
        <v>0</v>
      </c>
      <c r="AT63" s="40">
        <v>0</v>
      </c>
      <c r="AU63" s="40">
        <v>0</v>
      </c>
      <c r="AV63" s="40">
        <v>0</v>
      </c>
      <c r="AW63" s="40">
        <v>0</v>
      </c>
      <c r="AX63" s="40">
        <v>0</v>
      </c>
      <c r="AY63" s="40">
        <v>0</v>
      </c>
      <c r="AZ63" s="40">
        <v>0</v>
      </c>
      <c r="BA63" s="40">
        <v>0</v>
      </c>
      <c r="BB63" s="40">
        <v>0</v>
      </c>
      <c r="BC63" s="40">
        <v>0</v>
      </c>
      <c r="BD63" s="40">
        <v>0</v>
      </c>
      <c r="BE63" s="40">
        <v>0</v>
      </c>
      <c r="BF63" s="40">
        <v>0</v>
      </c>
      <c r="BG63" s="40">
        <v>0</v>
      </c>
      <c r="BH63" s="40">
        <v>0</v>
      </c>
      <c r="BI63" s="40">
        <v>0</v>
      </c>
      <c r="BJ63" s="40">
        <v>0</v>
      </c>
      <c r="BK63" s="40">
        <v>0</v>
      </c>
      <c r="BL63" s="40">
        <v>0</v>
      </c>
      <c r="BM63" s="40">
        <v>0</v>
      </c>
      <c r="BN63" s="40">
        <v>0</v>
      </c>
      <c r="BO63" s="40">
        <v>0</v>
      </c>
      <c r="BP63" s="40">
        <v>0</v>
      </c>
      <c r="BQ63" s="40">
        <v>0</v>
      </c>
    </row>
    <row r="64" spans="2:69">
      <c r="B64" s="4"/>
      <c r="C64" s="4"/>
      <c r="D64" s="1" t="s">
        <v>109</v>
      </c>
      <c r="E64" s="1"/>
      <c r="F64" s="1"/>
      <c r="G64" s="10"/>
      <c r="H64" s="10" t="s">
        <v>166</v>
      </c>
      <c r="I64" s="10"/>
      <c r="J64" s="10"/>
      <c r="K64" s="1" t="s">
        <v>163</v>
      </c>
      <c r="L64" s="1"/>
      <c r="M64" s="1"/>
      <c r="N64" s="39" t="e">
        <f>【PL】決算数値入力!#REF!</f>
        <v>#REF!</v>
      </c>
      <c r="O64" s="39" t="e">
        <f>【PL】決算数値入力!#REF!</f>
        <v>#REF!</v>
      </c>
      <c r="P64" s="39" t="e">
        <f>【PL】決算数値入力!#REF!</f>
        <v>#REF!</v>
      </c>
      <c r="Q64" s="39" t="e">
        <f>【PL】決算数値入力!#REF!</f>
        <v>#REF!</v>
      </c>
      <c r="R64" s="39" t="e">
        <f>【PL】決算数値入力!#REF!</f>
        <v>#REF!</v>
      </c>
      <c r="S64" s="39" t="e">
        <f>【PL】決算数値入力!#REF!</f>
        <v>#REF!</v>
      </c>
      <c r="T64" s="40">
        <v>0</v>
      </c>
      <c r="U64" s="40">
        <v>0</v>
      </c>
      <c r="V64" s="40">
        <v>0</v>
      </c>
      <c r="W64" s="40">
        <v>0</v>
      </c>
      <c r="X64" s="40">
        <v>0</v>
      </c>
      <c r="Y64" s="40">
        <v>0</v>
      </c>
      <c r="Z64" s="40">
        <v>0</v>
      </c>
      <c r="AA64" s="40">
        <v>0</v>
      </c>
      <c r="AB64" s="40">
        <v>0</v>
      </c>
      <c r="AC64" s="40">
        <v>0</v>
      </c>
      <c r="AD64" s="40">
        <v>0</v>
      </c>
      <c r="AE64" s="40">
        <v>0</v>
      </c>
      <c r="AF64" s="40">
        <v>0</v>
      </c>
      <c r="AG64" s="40">
        <v>0</v>
      </c>
      <c r="AH64" s="40">
        <v>0</v>
      </c>
      <c r="AI64" s="40">
        <v>0</v>
      </c>
      <c r="AJ64" s="40">
        <v>0</v>
      </c>
      <c r="AK64" s="40">
        <v>0</v>
      </c>
      <c r="AL64" s="40">
        <v>0</v>
      </c>
      <c r="AM64" s="40">
        <v>0</v>
      </c>
      <c r="AN64" s="40">
        <v>0</v>
      </c>
      <c r="AO64" s="40">
        <v>0</v>
      </c>
      <c r="AP64" s="40">
        <v>0</v>
      </c>
      <c r="AQ64" s="40">
        <v>0</v>
      </c>
      <c r="AR64" s="40">
        <v>0</v>
      </c>
      <c r="AS64" s="40">
        <v>0</v>
      </c>
      <c r="AT64" s="40">
        <v>0</v>
      </c>
      <c r="AU64" s="40">
        <v>0</v>
      </c>
      <c r="AV64" s="40">
        <v>0</v>
      </c>
      <c r="AW64" s="40">
        <v>0</v>
      </c>
      <c r="AX64" s="40">
        <v>0</v>
      </c>
      <c r="AY64" s="40">
        <v>0</v>
      </c>
      <c r="AZ64" s="40">
        <v>0</v>
      </c>
      <c r="BA64" s="40">
        <v>0</v>
      </c>
      <c r="BB64" s="40">
        <v>0</v>
      </c>
      <c r="BC64" s="40">
        <v>0</v>
      </c>
      <c r="BD64" s="40">
        <v>0</v>
      </c>
      <c r="BE64" s="40">
        <v>0</v>
      </c>
      <c r="BF64" s="40">
        <v>0</v>
      </c>
      <c r="BG64" s="40">
        <v>0</v>
      </c>
      <c r="BH64" s="40">
        <v>0</v>
      </c>
      <c r="BI64" s="40">
        <v>0</v>
      </c>
      <c r="BJ64" s="40">
        <v>0</v>
      </c>
      <c r="BK64" s="40">
        <v>0</v>
      </c>
      <c r="BL64" s="40">
        <v>0</v>
      </c>
      <c r="BM64" s="40">
        <v>0</v>
      </c>
      <c r="BN64" s="40">
        <v>0</v>
      </c>
      <c r="BO64" s="40">
        <v>0</v>
      </c>
      <c r="BP64" s="40">
        <v>0</v>
      </c>
      <c r="BQ64" s="40">
        <v>0</v>
      </c>
    </row>
    <row r="65" spans="2:69">
      <c r="B65" s="4"/>
      <c r="C65" s="4"/>
      <c r="D65" s="1" t="s">
        <v>110</v>
      </c>
      <c r="E65" s="1"/>
      <c r="F65" s="1"/>
      <c r="G65" s="10"/>
      <c r="H65" s="10" t="s">
        <v>166</v>
      </c>
      <c r="I65" s="10"/>
      <c r="J65" s="10"/>
      <c r="K65" s="1" t="s">
        <v>163</v>
      </c>
      <c r="L65" s="1"/>
      <c r="M65" s="1"/>
      <c r="N65" s="39" t="e">
        <f>【PL】決算数値入力!#REF!</f>
        <v>#REF!</v>
      </c>
      <c r="O65" s="39" t="e">
        <f>【PL】決算数値入力!#REF!</f>
        <v>#REF!</v>
      </c>
      <c r="P65" s="39" t="e">
        <f>【PL】決算数値入力!#REF!</f>
        <v>#REF!</v>
      </c>
      <c r="Q65" s="39" t="e">
        <f>【PL】決算数値入力!#REF!</f>
        <v>#REF!</v>
      </c>
      <c r="R65" s="39" t="e">
        <f>【PL】決算数値入力!#REF!</f>
        <v>#REF!</v>
      </c>
      <c r="S65" s="39" t="e">
        <f>【PL】決算数値入力!#REF!</f>
        <v>#REF!</v>
      </c>
      <c r="T65" s="40">
        <v>0</v>
      </c>
      <c r="U65" s="40">
        <v>0</v>
      </c>
      <c r="V65" s="40">
        <v>0</v>
      </c>
      <c r="W65" s="40">
        <v>0</v>
      </c>
      <c r="X65" s="40">
        <v>0</v>
      </c>
      <c r="Y65" s="40">
        <v>0</v>
      </c>
      <c r="Z65" s="40">
        <v>0</v>
      </c>
      <c r="AA65" s="40">
        <v>0</v>
      </c>
      <c r="AB65" s="40">
        <v>0</v>
      </c>
      <c r="AC65" s="40">
        <v>0</v>
      </c>
      <c r="AD65" s="40">
        <v>0</v>
      </c>
      <c r="AE65" s="40">
        <v>0</v>
      </c>
      <c r="AF65" s="40">
        <v>0</v>
      </c>
      <c r="AG65" s="40">
        <v>0</v>
      </c>
      <c r="AH65" s="40">
        <v>0</v>
      </c>
      <c r="AI65" s="40">
        <v>0</v>
      </c>
      <c r="AJ65" s="40">
        <v>0</v>
      </c>
      <c r="AK65" s="40">
        <v>0</v>
      </c>
      <c r="AL65" s="40">
        <v>0</v>
      </c>
      <c r="AM65" s="40">
        <v>0</v>
      </c>
      <c r="AN65" s="40">
        <v>0</v>
      </c>
      <c r="AO65" s="40">
        <v>0</v>
      </c>
      <c r="AP65" s="40">
        <v>0</v>
      </c>
      <c r="AQ65" s="40">
        <v>0</v>
      </c>
      <c r="AR65" s="40">
        <v>0</v>
      </c>
      <c r="AS65" s="40">
        <v>0</v>
      </c>
      <c r="AT65" s="40">
        <v>0</v>
      </c>
      <c r="AU65" s="40">
        <v>0</v>
      </c>
      <c r="AV65" s="40">
        <v>0</v>
      </c>
      <c r="AW65" s="40">
        <v>0</v>
      </c>
      <c r="AX65" s="40">
        <v>0</v>
      </c>
      <c r="AY65" s="40">
        <v>0</v>
      </c>
      <c r="AZ65" s="40">
        <v>0</v>
      </c>
      <c r="BA65" s="40">
        <v>0</v>
      </c>
      <c r="BB65" s="40">
        <v>0</v>
      </c>
      <c r="BC65" s="40">
        <v>0</v>
      </c>
      <c r="BD65" s="40">
        <v>0</v>
      </c>
      <c r="BE65" s="40">
        <v>0</v>
      </c>
      <c r="BF65" s="40">
        <v>0</v>
      </c>
      <c r="BG65" s="40">
        <v>0</v>
      </c>
      <c r="BH65" s="40">
        <v>0</v>
      </c>
      <c r="BI65" s="40">
        <v>0</v>
      </c>
      <c r="BJ65" s="40">
        <v>0</v>
      </c>
      <c r="BK65" s="40">
        <v>0</v>
      </c>
      <c r="BL65" s="40">
        <v>0</v>
      </c>
      <c r="BM65" s="40">
        <v>0</v>
      </c>
      <c r="BN65" s="40">
        <v>0</v>
      </c>
      <c r="BO65" s="40">
        <v>0</v>
      </c>
      <c r="BP65" s="40">
        <v>0</v>
      </c>
      <c r="BQ65" s="40">
        <v>0</v>
      </c>
    </row>
    <row r="66" spans="2:69">
      <c r="B66" s="3"/>
      <c r="C66" s="3"/>
      <c r="D66" s="1" t="s">
        <v>111</v>
      </c>
      <c r="E66" s="1"/>
      <c r="F66" s="1"/>
      <c r="G66" s="10"/>
      <c r="H66" s="10" t="s">
        <v>166</v>
      </c>
      <c r="I66" s="10"/>
      <c r="J66" s="10"/>
      <c r="K66" s="1" t="s">
        <v>163</v>
      </c>
      <c r="L66" s="1"/>
      <c r="M66" s="1"/>
      <c r="N66" s="39" t="e">
        <f>【PL】決算数値入力!#REF!</f>
        <v>#REF!</v>
      </c>
      <c r="O66" s="39" t="e">
        <f>【PL】決算数値入力!#REF!</f>
        <v>#REF!</v>
      </c>
      <c r="P66" s="39" t="e">
        <f>【PL】決算数値入力!#REF!</f>
        <v>#REF!</v>
      </c>
      <c r="Q66" s="39" t="e">
        <f>【PL】決算数値入力!#REF!</f>
        <v>#REF!</v>
      </c>
      <c r="R66" s="39" t="e">
        <f>【PL】決算数値入力!#REF!</f>
        <v>#REF!</v>
      </c>
      <c r="S66" s="39" t="e">
        <f>【PL】決算数値入力!#REF!</f>
        <v>#REF!</v>
      </c>
      <c r="T66" s="40">
        <v>0</v>
      </c>
      <c r="U66" s="40">
        <v>0</v>
      </c>
      <c r="V66" s="40">
        <v>0</v>
      </c>
      <c r="W66" s="40">
        <v>0</v>
      </c>
      <c r="X66" s="40">
        <v>0</v>
      </c>
      <c r="Y66" s="40">
        <v>0</v>
      </c>
      <c r="Z66" s="40">
        <v>0</v>
      </c>
      <c r="AA66" s="40">
        <v>0</v>
      </c>
      <c r="AB66" s="40">
        <v>0</v>
      </c>
      <c r="AC66" s="40">
        <v>0</v>
      </c>
      <c r="AD66" s="40">
        <v>0</v>
      </c>
      <c r="AE66" s="40">
        <v>0</v>
      </c>
      <c r="AF66" s="40">
        <v>0</v>
      </c>
      <c r="AG66" s="40">
        <v>0</v>
      </c>
      <c r="AH66" s="40">
        <v>0</v>
      </c>
      <c r="AI66" s="40">
        <v>0</v>
      </c>
      <c r="AJ66" s="40">
        <v>0</v>
      </c>
      <c r="AK66" s="40">
        <v>0</v>
      </c>
      <c r="AL66" s="40">
        <v>0</v>
      </c>
      <c r="AM66" s="40">
        <v>0</v>
      </c>
      <c r="AN66" s="40">
        <v>0</v>
      </c>
      <c r="AO66" s="40">
        <v>0</v>
      </c>
      <c r="AP66" s="40">
        <v>0</v>
      </c>
      <c r="AQ66" s="40">
        <v>0</v>
      </c>
      <c r="AR66" s="40">
        <v>0</v>
      </c>
      <c r="AS66" s="40">
        <v>0</v>
      </c>
      <c r="AT66" s="40">
        <v>0</v>
      </c>
      <c r="AU66" s="40">
        <v>0</v>
      </c>
      <c r="AV66" s="40">
        <v>0</v>
      </c>
      <c r="AW66" s="40">
        <v>0</v>
      </c>
      <c r="AX66" s="40">
        <v>0</v>
      </c>
      <c r="AY66" s="40">
        <v>0</v>
      </c>
      <c r="AZ66" s="40">
        <v>0</v>
      </c>
      <c r="BA66" s="40">
        <v>0</v>
      </c>
      <c r="BB66" s="40">
        <v>0</v>
      </c>
      <c r="BC66" s="40">
        <v>0</v>
      </c>
      <c r="BD66" s="40">
        <v>0</v>
      </c>
      <c r="BE66" s="40">
        <v>0</v>
      </c>
      <c r="BF66" s="40">
        <v>0</v>
      </c>
      <c r="BG66" s="40">
        <v>0</v>
      </c>
      <c r="BH66" s="40">
        <v>0</v>
      </c>
      <c r="BI66" s="40">
        <v>0</v>
      </c>
      <c r="BJ66" s="40">
        <v>0</v>
      </c>
      <c r="BK66" s="40">
        <v>0</v>
      </c>
      <c r="BL66" s="40">
        <v>0</v>
      </c>
      <c r="BM66" s="40">
        <v>0</v>
      </c>
      <c r="BN66" s="40">
        <v>0</v>
      </c>
      <c r="BO66" s="40">
        <v>0</v>
      </c>
      <c r="BP66" s="40">
        <v>0</v>
      </c>
      <c r="BQ66" s="40">
        <v>0</v>
      </c>
    </row>
    <row r="67" spans="2:69">
      <c r="B67" s="9" t="s">
        <v>112</v>
      </c>
      <c r="C67" s="7"/>
      <c r="D67" s="7"/>
      <c r="E67" s="8"/>
      <c r="F67" s="1"/>
      <c r="G67" s="10"/>
      <c r="H67" s="10"/>
      <c r="I67" s="10"/>
      <c r="J67" s="10"/>
      <c r="K67" s="1"/>
      <c r="L67" s="1"/>
      <c r="M67" s="1"/>
      <c r="N67" s="39" t="e">
        <f>【PL】決算数値入力!#REF!</f>
        <v>#REF!</v>
      </c>
      <c r="O67" s="39" t="e">
        <f>【PL】決算数値入力!#REF!</f>
        <v>#REF!</v>
      </c>
      <c r="P67" s="39" t="e">
        <f>【PL】決算数値入力!#REF!</f>
        <v>#REF!</v>
      </c>
      <c r="Q67" s="39" t="e">
        <f>【PL】決算数値入力!#REF!</f>
        <v>#REF!</v>
      </c>
      <c r="R67" s="39" t="e">
        <f>【PL】決算数値入力!#REF!</f>
        <v>#REF!</v>
      </c>
      <c r="S67" s="39" t="e">
        <f>【PL】決算数値入力!#REF!</f>
        <v>#REF!</v>
      </c>
      <c r="T67" s="39" t="e">
        <f t="shared" ref="T67:BQ67" si="27">T5-T23</f>
        <v>#REF!</v>
      </c>
      <c r="U67" s="39" t="e">
        <f t="shared" si="27"/>
        <v>#REF!</v>
      </c>
      <c r="V67" s="39" t="e">
        <f t="shared" si="27"/>
        <v>#REF!</v>
      </c>
      <c r="W67" s="39" t="e">
        <f t="shared" si="27"/>
        <v>#REF!</v>
      </c>
      <c r="X67" s="39" t="e">
        <f t="shared" si="27"/>
        <v>#REF!</v>
      </c>
      <c r="Y67" s="39" t="e">
        <f t="shared" si="27"/>
        <v>#REF!</v>
      </c>
      <c r="Z67" s="39" t="e">
        <f t="shared" si="27"/>
        <v>#REF!</v>
      </c>
      <c r="AA67" s="39" t="e">
        <f t="shared" si="27"/>
        <v>#REF!</v>
      </c>
      <c r="AB67" s="39" t="e">
        <f t="shared" si="27"/>
        <v>#REF!</v>
      </c>
      <c r="AC67" s="39" t="e">
        <f t="shared" si="27"/>
        <v>#REF!</v>
      </c>
      <c r="AD67" s="39" t="e">
        <f t="shared" si="27"/>
        <v>#REF!</v>
      </c>
      <c r="AE67" s="39" t="e">
        <f t="shared" si="27"/>
        <v>#REF!</v>
      </c>
      <c r="AF67" s="39" t="e">
        <f t="shared" si="27"/>
        <v>#REF!</v>
      </c>
      <c r="AG67" s="39" t="e">
        <f t="shared" si="27"/>
        <v>#REF!</v>
      </c>
      <c r="AH67" s="39" t="e">
        <f t="shared" si="27"/>
        <v>#REF!</v>
      </c>
      <c r="AI67" s="39" t="e">
        <f t="shared" si="27"/>
        <v>#REF!</v>
      </c>
      <c r="AJ67" s="39" t="e">
        <f t="shared" si="27"/>
        <v>#REF!</v>
      </c>
      <c r="AK67" s="39" t="e">
        <f t="shared" si="27"/>
        <v>#REF!</v>
      </c>
      <c r="AL67" s="39" t="e">
        <f t="shared" si="27"/>
        <v>#REF!</v>
      </c>
      <c r="AM67" s="39" t="e">
        <f t="shared" si="27"/>
        <v>#REF!</v>
      </c>
      <c r="AN67" s="39" t="e">
        <f t="shared" si="27"/>
        <v>#REF!</v>
      </c>
      <c r="AO67" s="39" t="e">
        <f t="shared" si="27"/>
        <v>#REF!</v>
      </c>
      <c r="AP67" s="39" t="e">
        <f t="shared" si="27"/>
        <v>#REF!</v>
      </c>
      <c r="AQ67" s="39" t="e">
        <f t="shared" si="27"/>
        <v>#REF!</v>
      </c>
      <c r="AR67" s="39" t="e">
        <f t="shared" si="27"/>
        <v>#REF!</v>
      </c>
      <c r="AS67" s="39" t="e">
        <f t="shared" si="27"/>
        <v>#REF!</v>
      </c>
      <c r="AT67" s="39" t="e">
        <f t="shared" si="27"/>
        <v>#REF!</v>
      </c>
      <c r="AU67" s="39" t="e">
        <f t="shared" si="27"/>
        <v>#REF!</v>
      </c>
      <c r="AV67" s="39" t="e">
        <f t="shared" si="27"/>
        <v>#REF!</v>
      </c>
      <c r="AW67" s="39" t="e">
        <f t="shared" si="27"/>
        <v>#REF!</v>
      </c>
      <c r="AX67" s="39" t="e">
        <f t="shared" si="27"/>
        <v>#REF!</v>
      </c>
      <c r="AY67" s="39" t="e">
        <f t="shared" si="27"/>
        <v>#REF!</v>
      </c>
      <c r="AZ67" s="39" t="e">
        <f t="shared" si="27"/>
        <v>#REF!</v>
      </c>
      <c r="BA67" s="39" t="e">
        <f t="shared" si="27"/>
        <v>#REF!</v>
      </c>
      <c r="BB67" s="39" t="e">
        <f t="shared" si="27"/>
        <v>#REF!</v>
      </c>
      <c r="BC67" s="39" t="e">
        <f t="shared" si="27"/>
        <v>#REF!</v>
      </c>
      <c r="BD67" s="39" t="e">
        <f t="shared" si="27"/>
        <v>#REF!</v>
      </c>
      <c r="BE67" s="39" t="e">
        <f t="shared" si="27"/>
        <v>#REF!</v>
      </c>
      <c r="BF67" s="39" t="e">
        <f t="shared" si="27"/>
        <v>#REF!</v>
      </c>
      <c r="BG67" s="39" t="e">
        <f t="shared" si="27"/>
        <v>#REF!</v>
      </c>
      <c r="BH67" s="39" t="e">
        <f t="shared" si="27"/>
        <v>#REF!</v>
      </c>
      <c r="BI67" s="39" t="e">
        <f t="shared" si="27"/>
        <v>#REF!</v>
      </c>
      <c r="BJ67" s="39" t="e">
        <f t="shared" si="27"/>
        <v>#REF!</v>
      </c>
      <c r="BK67" s="39" t="e">
        <f t="shared" si="27"/>
        <v>#REF!</v>
      </c>
      <c r="BL67" s="39" t="e">
        <f t="shared" si="27"/>
        <v>#REF!</v>
      </c>
      <c r="BM67" s="39" t="e">
        <f t="shared" si="27"/>
        <v>#REF!</v>
      </c>
      <c r="BN67" s="39" t="e">
        <f t="shared" si="27"/>
        <v>#REF!</v>
      </c>
      <c r="BO67" s="39" t="e">
        <f t="shared" si="27"/>
        <v>#REF!</v>
      </c>
      <c r="BP67" s="39" t="e">
        <f t="shared" si="27"/>
        <v>#REF!</v>
      </c>
      <c r="BQ67" s="39" t="e">
        <f t="shared" si="27"/>
        <v>#REF!</v>
      </c>
    </row>
    <row r="69" spans="2:69">
      <c r="B69" t="s">
        <v>113</v>
      </c>
    </row>
    <row r="70" spans="2:69">
      <c r="B70" s="11" t="s">
        <v>1</v>
      </c>
      <c r="C70" s="11" t="s">
        <v>2</v>
      </c>
      <c r="D70" s="12" t="s">
        <v>3</v>
      </c>
      <c r="E70" s="13"/>
      <c r="F70" s="20" t="s">
        <v>4</v>
      </c>
      <c r="G70" s="14"/>
      <c r="H70" s="14"/>
      <c r="I70" s="15"/>
      <c r="J70" s="311" t="s">
        <v>162</v>
      </c>
      <c r="K70" s="313" t="s">
        <v>8</v>
      </c>
      <c r="L70" s="11" t="s">
        <v>9</v>
      </c>
      <c r="M70" s="11" t="s">
        <v>10</v>
      </c>
      <c r="N70" s="30" t="s">
        <v>11</v>
      </c>
      <c r="O70" s="31"/>
      <c r="P70" s="31"/>
      <c r="Q70" s="31"/>
      <c r="R70" s="32"/>
      <c r="S70" s="35" t="s">
        <v>177</v>
      </c>
      <c r="T70" s="33" t="s">
        <v>17</v>
      </c>
      <c r="U70" s="31"/>
      <c r="V70" s="31"/>
      <c r="W70" s="32"/>
      <c r="X70" s="34" t="s">
        <v>68</v>
      </c>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row>
    <row r="71" spans="2:69">
      <c r="B71" s="17"/>
      <c r="C71" s="17"/>
      <c r="D71" s="18"/>
      <c r="E71" s="19"/>
      <c r="F71" s="17"/>
      <c r="G71" s="16" t="s">
        <v>5</v>
      </c>
      <c r="H71" s="16" t="s">
        <v>6</v>
      </c>
      <c r="I71" s="16" t="s">
        <v>7</v>
      </c>
      <c r="J71" s="312"/>
      <c r="K71" s="314"/>
      <c r="L71" s="17"/>
      <c r="M71" s="17"/>
      <c r="N71" s="35" t="s">
        <v>12</v>
      </c>
      <c r="O71" s="35" t="s">
        <v>13</v>
      </c>
      <c r="P71" s="35" t="s">
        <v>14</v>
      </c>
      <c r="Q71" s="35" t="s">
        <v>15</v>
      </c>
      <c r="R71" s="35" t="s">
        <v>16</v>
      </c>
      <c r="S71" s="35"/>
      <c r="T71" s="35" t="s">
        <v>18</v>
      </c>
      <c r="U71" s="35" t="s">
        <v>19</v>
      </c>
      <c r="V71" s="35" t="s">
        <v>20</v>
      </c>
      <c r="W71" s="35" t="s">
        <v>21</v>
      </c>
      <c r="X71" s="35" t="s">
        <v>22</v>
      </c>
      <c r="Y71" s="35" t="s">
        <v>23</v>
      </c>
      <c r="Z71" s="35" t="s">
        <v>24</v>
      </c>
      <c r="AA71" s="35" t="s">
        <v>25</v>
      </c>
      <c r="AB71" s="35" t="s">
        <v>26</v>
      </c>
      <c r="AC71" s="35" t="s">
        <v>27</v>
      </c>
      <c r="AD71" s="35" t="s">
        <v>28</v>
      </c>
      <c r="AE71" s="35" t="s">
        <v>29</v>
      </c>
      <c r="AF71" s="35" t="s">
        <v>30</v>
      </c>
      <c r="AG71" s="35" t="s">
        <v>31</v>
      </c>
      <c r="AH71" s="35" t="s">
        <v>32</v>
      </c>
      <c r="AI71" s="35" t="s">
        <v>33</v>
      </c>
      <c r="AJ71" s="35" t="s">
        <v>34</v>
      </c>
      <c r="AK71" s="35" t="s">
        <v>35</v>
      </c>
      <c r="AL71" s="35" t="s">
        <v>36</v>
      </c>
      <c r="AM71" s="35" t="s">
        <v>37</v>
      </c>
      <c r="AN71" s="35" t="s">
        <v>38</v>
      </c>
      <c r="AO71" s="35" t="s">
        <v>39</v>
      </c>
      <c r="AP71" s="35" t="s">
        <v>40</v>
      </c>
      <c r="AQ71" s="35" t="s">
        <v>41</v>
      </c>
      <c r="AR71" s="35" t="s">
        <v>42</v>
      </c>
      <c r="AS71" s="35" t="s">
        <v>43</v>
      </c>
      <c r="AT71" s="35" t="s">
        <v>44</v>
      </c>
      <c r="AU71" s="35" t="s">
        <v>45</v>
      </c>
      <c r="AV71" s="35" t="s">
        <v>46</v>
      </c>
      <c r="AW71" s="35" t="s">
        <v>47</v>
      </c>
      <c r="AX71" s="35" t="s">
        <v>48</v>
      </c>
      <c r="AY71" s="35" t="s">
        <v>49</v>
      </c>
      <c r="AZ71" s="35" t="s">
        <v>50</v>
      </c>
      <c r="BA71" s="35" t="s">
        <v>51</v>
      </c>
      <c r="BB71" s="35" t="s">
        <v>52</v>
      </c>
      <c r="BC71" s="35" t="s">
        <v>53</v>
      </c>
      <c r="BD71" s="35" t="s">
        <v>54</v>
      </c>
      <c r="BE71" s="35" t="s">
        <v>55</v>
      </c>
      <c r="BF71" s="35" t="s">
        <v>56</v>
      </c>
      <c r="BG71" s="35" t="s">
        <v>57</v>
      </c>
      <c r="BH71" s="35" t="s">
        <v>58</v>
      </c>
      <c r="BI71" s="35" t="s">
        <v>59</v>
      </c>
      <c r="BJ71" s="35" t="s">
        <v>60</v>
      </c>
      <c r="BK71" s="35" t="s">
        <v>61</v>
      </c>
      <c r="BL71" s="35" t="s">
        <v>62</v>
      </c>
      <c r="BM71" s="35" t="s">
        <v>63</v>
      </c>
      <c r="BN71" s="35" t="s">
        <v>64</v>
      </c>
      <c r="BO71" s="35" t="s">
        <v>65</v>
      </c>
      <c r="BP71" s="35" t="s">
        <v>66</v>
      </c>
      <c r="BQ71" s="35" t="s">
        <v>67</v>
      </c>
    </row>
    <row r="72" spans="2:69">
      <c r="B72" s="5" t="s">
        <v>114</v>
      </c>
      <c r="C72" s="7"/>
      <c r="D72" s="7"/>
      <c r="E72" s="8"/>
      <c r="F72" s="67"/>
      <c r="G72" s="67"/>
      <c r="H72" s="67"/>
      <c r="I72" s="67"/>
      <c r="J72" s="67"/>
      <c r="K72" s="1"/>
      <c r="L72" s="1"/>
      <c r="M72" s="1"/>
      <c r="N72" s="39">
        <f>SUM(N73:N78)</f>
        <v>0</v>
      </c>
      <c r="O72" s="39">
        <f t="shared" ref="O72:BQ72" si="28">SUM(O73:O78)</f>
        <v>0</v>
      </c>
      <c r="P72" s="39">
        <f t="shared" si="28"/>
        <v>0</v>
      </c>
      <c r="Q72" s="39">
        <f t="shared" si="28"/>
        <v>0</v>
      </c>
      <c r="R72" s="39">
        <f t="shared" si="28"/>
        <v>0</v>
      </c>
      <c r="S72" s="39">
        <f t="shared" ref="S72:S99" si="29">IFERROR(AVERAGE(N72:R72),0)</f>
        <v>0</v>
      </c>
      <c r="T72" s="39" t="e">
        <f t="shared" si="28"/>
        <v>#REF!</v>
      </c>
      <c r="U72" s="39" t="e">
        <f t="shared" si="28"/>
        <v>#REF!</v>
      </c>
      <c r="V72" s="39" t="e">
        <f t="shared" si="28"/>
        <v>#REF!</v>
      </c>
      <c r="W72" s="39" t="e">
        <f t="shared" si="28"/>
        <v>#REF!</v>
      </c>
      <c r="X72" s="39" t="e">
        <f t="shared" si="28"/>
        <v>#REF!</v>
      </c>
      <c r="Y72" s="39" t="e">
        <f t="shared" si="28"/>
        <v>#REF!</v>
      </c>
      <c r="Z72" s="39" t="e">
        <f t="shared" si="28"/>
        <v>#REF!</v>
      </c>
      <c r="AA72" s="39" t="e">
        <f t="shared" si="28"/>
        <v>#REF!</v>
      </c>
      <c r="AB72" s="39" t="e">
        <f t="shared" si="28"/>
        <v>#REF!</v>
      </c>
      <c r="AC72" s="39" t="e">
        <f t="shared" si="28"/>
        <v>#REF!</v>
      </c>
      <c r="AD72" s="39" t="e">
        <f t="shared" si="28"/>
        <v>#REF!</v>
      </c>
      <c r="AE72" s="39" t="e">
        <f t="shared" si="28"/>
        <v>#REF!</v>
      </c>
      <c r="AF72" s="39" t="e">
        <f t="shared" si="28"/>
        <v>#REF!</v>
      </c>
      <c r="AG72" s="39" t="e">
        <f t="shared" si="28"/>
        <v>#REF!</v>
      </c>
      <c r="AH72" s="39" t="e">
        <f t="shared" si="28"/>
        <v>#REF!</v>
      </c>
      <c r="AI72" s="39" t="e">
        <f t="shared" si="28"/>
        <v>#REF!</v>
      </c>
      <c r="AJ72" s="39" t="e">
        <f t="shared" si="28"/>
        <v>#REF!</v>
      </c>
      <c r="AK72" s="39" t="e">
        <f t="shared" si="28"/>
        <v>#REF!</v>
      </c>
      <c r="AL72" s="39" t="e">
        <f t="shared" si="28"/>
        <v>#REF!</v>
      </c>
      <c r="AM72" s="39" t="e">
        <f t="shared" si="28"/>
        <v>#REF!</v>
      </c>
      <c r="AN72" s="39" t="e">
        <f t="shared" si="28"/>
        <v>#REF!</v>
      </c>
      <c r="AO72" s="39" t="e">
        <f t="shared" si="28"/>
        <v>#REF!</v>
      </c>
      <c r="AP72" s="39" t="e">
        <f t="shared" si="28"/>
        <v>#REF!</v>
      </c>
      <c r="AQ72" s="39" t="e">
        <f t="shared" si="28"/>
        <v>#REF!</v>
      </c>
      <c r="AR72" s="39" t="e">
        <f t="shared" si="28"/>
        <v>#REF!</v>
      </c>
      <c r="AS72" s="39" t="e">
        <f t="shared" si="28"/>
        <v>#REF!</v>
      </c>
      <c r="AT72" s="39" t="e">
        <f t="shared" si="28"/>
        <v>#REF!</v>
      </c>
      <c r="AU72" s="39" t="e">
        <f t="shared" si="28"/>
        <v>#REF!</v>
      </c>
      <c r="AV72" s="39" t="e">
        <f t="shared" si="28"/>
        <v>#REF!</v>
      </c>
      <c r="AW72" s="39" t="e">
        <f t="shared" si="28"/>
        <v>#REF!</v>
      </c>
      <c r="AX72" s="39" t="e">
        <f t="shared" si="28"/>
        <v>#REF!</v>
      </c>
      <c r="AY72" s="39" t="e">
        <f t="shared" si="28"/>
        <v>#REF!</v>
      </c>
      <c r="AZ72" s="39" t="e">
        <f t="shared" si="28"/>
        <v>#REF!</v>
      </c>
      <c r="BA72" s="39" t="e">
        <f t="shared" si="28"/>
        <v>#REF!</v>
      </c>
      <c r="BB72" s="39" t="e">
        <f t="shared" si="28"/>
        <v>#REF!</v>
      </c>
      <c r="BC72" s="39" t="e">
        <f t="shared" si="28"/>
        <v>#REF!</v>
      </c>
      <c r="BD72" s="39" t="e">
        <f t="shared" si="28"/>
        <v>#REF!</v>
      </c>
      <c r="BE72" s="39" t="e">
        <f t="shared" si="28"/>
        <v>#REF!</v>
      </c>
      <c r="BF72" s="39" t="e">
        <f t="shared" si="28"/>
        <v>#REF!</v>
      </c>
      <c r="BG72" s="39" t="e">
        <f t="shared" si="28"/>
        <v>#REF!</v>
      </c>
      <c r="BH72" s="39" t="e">
        <f t="shared" si="28"/>
        <v>#REF!</v>
      </c>
      <c r="BI72" s="39" t="e">
        <f t="shared" si="28"/>
        <v>#REF!</v>
      </c>
      <c r="BJ72" s="39" t="e">
        <f t="shared" si="28"/>
        <v>#REF!</v>
      </c>
      <c r="BK72" s="39">
        <f t="shared" si="28"/>
        <v>0</v>
      </c>
      <c r="BL72" s="39">
        <f t="shared" si="28"/>
        <v>0</v>
      </c>
      <c r="BM72" s="39">
        <f t="shared" si="28"/>
        <v>0</v>
      </c>
      <c r="BN72" s="39">
        <f t="shared" si="28"/>
        <v>0</v>
      </c>
      <c r="BO72" s="39">
        <f t="shared" si="28"/>
        <v>0</v>
      </c>
      <c r="BP72" s="39">
        <f t="shared" si="28"/>
        <v>0</v>
      </c>
      <c r="BQ72" s="39">
        <f t="shared" si="28"/>
        <v>0</v>
      </c>
    </row>
    <row r="73" spans="2:69">
      <c r="B73" s="4"/>
      <c r="C73" s="9" t="s">
        <v>115</v>
      </c>
      <c r="D73" s="7"/>
      <c r="E73" s="8"/>
      <c r="F73" s="67"/>
      <c r="G73" s="67"/>
      <c r="H73" s="67"/>
      <c r="I73" s="67"/>
      <c r="J73" s="67"/>
      <c r="K73" s="1"/>
      <c r="L73" s="1"/>
      <c r="M73" s="1"/>
      <c r="N73" s="39"/>
      <c r="O73" s="39"/>
      <c r="P73" s="39"/>
      <c r="Q73" s="39"/>
      <c r="R73" s="39"/>
      <c r="S73" s="39">
        <f t="shared" si="29"/>
        <v>0</v>
      </c>
      <c r="T73" s="39" t="e">
        <f>T84+T87+T91-T76-T77</f>
        <v>#REF!</v>
      </c>
      <c r="U73" s="39" t="e">
        <f t="shared" ref="U73:BQ73" si="30">U84+U87+U91-U76-U77</f>
        <v>#REF!</v>
      </c>
      <c r="V73" s="39" t="e">
        <f t="shared" si="30"/>
        <v>#REF!</v>
      </c>
      <c r="W73" s="39" t="e">
        <f t="shared" si="30"/>
        <v>#REF!</v>
      </c>
      <c r="X73" s="39" t="e">
        <f t="shared" si="30"/>
        <v>#REF!</v>
      </c>
      <c r="Y73" s="39" t="e">
        <f t="shared" si="30"/>
        <v>#REF!</v>
      </c>
      <c r="Z73" s="39" t="e">
        <f t="shared" si="30"/>
        <v>#REF!</v>
      </c>
      <c r="AA73" s="39" t="e">
        <f t="shared" si="30"/>
        <v>#REF!</v>
      </c>
      <c r="AB73" s="39" t="e">
        <f t="shared" si="30"/>
        <v>#REF!</v>
      </c>
      <c r="AC73" s="39" t="e">
        <f t="shared" si="30"/>
        <v>#REF!</v>
      </c>
      <c r="AD73" s="39" t="e">
        <f t="shared" si="30"/>
        <v>#REF!</v>
      </c>
      <c r="AE73" s="39" t="e">
        <f t="shared" si="30"/>
        <v>#REF!</v>
      </c>
      <c r="AF73" s="39" t="e">
        <f t="shared" si="30"/>
        <v>#REF!</v>
      </c>
      <c r="AG73" s="39" t="e">
        <f t="shared" si="30"/>
        <v>#REF!</v>
      </c>
      <c r="AH73" s="39" t="e">
        <f t="shared" si="30"/>
        <v>#REF!</v>
      </c>
      <c r="AI73" s="39" t="e">
        <f t="shared" si="30"/>
        <v>#REF!</v>
      </c>
      <c r="AJ73" s="39" t="e">
        <f t="shared" si="30"/>
        <v>#REF!</v>
      </c>
      <c r="AK73" s="39" t="e">
        <f t="shared" si="30"/>
        <v>#REF!</v>
      </c>
      <c r="AL73" s="39" t="e">
        <f t="shared" si="30"/>
        <v>#REF!</v>
      </c>
      <c r="AM73" s="39" t="e">
        <f t="shared" si="30"/>
        <v>#REF!</v>
      </c>
      <c r="AN73" s="39" t="e">
        <f t="shared" si="30"/>
        <v>#REF!</v>
      </c>
      <c r="AO73" s="39" t="e">
        <f t="shared" si="30"/>
        <v>#REF!</v>
      </c>
      <c r="AP73" s="39" t="e">
        <f t="shared" si="30"/>
        <v>#REF!</v>
      </c>
      <c r="AQ73" s="39" t="e">
        <f t="shared" si="30"/>
        <v>#REF!</v>
      </c>
      <c r="AR73" s="39" t="e">
        <f t="shared" si="30"/>
        <v>#REF!</v>
      </c>
      <c r="AS73" s="39" t="e">
        <f t="shared" si="30"/>
        <v>#REF!</v>
      </c>
      <c r="AT73" s="39" t="e">
        <f t="shared" si="30"/>
        <v>#REF!</v>
      </c>
      <c r="AU73" s="39" t="e">
        <f t="shared" si="30"/>
        <v>#REF!</v>
      </c>
      <c r="AV73" s="39" t="e">
        <f t="shared" si="30"/>
        <v>#REF!</v>
      </c>
      <c r="AW73" s="39" t="e">
        <f t="shared" si="30"/>
        <v>#REF!</v>
      </c>
      <c r="AX73" s="39" t="e">
        <f t="shared" si="30"/>
        <v>#REF!</v>
      </c>
      <c r="AY73" s="39" t="e">
        <f t="shared" si="30"/>
        <v>#REF!</v>
      </c>
      <c r="AZ73" s="39" t="e">
        <f t="shared" si="30"/>
        <v>#REF!</v>
      </c>
      <c r="BA73" s="39" t="e">
        <f t="shared" si="30"/>
        <v>#REF!</v>
      </c>
      <c r="BB73" s="39" t="e">
        <f t="shared" si="30"/>
        <v>#REF!</v>
      </c>
      <c r="BC73" s="39" t="e">
        <f t="shared" si="30"/>
        <v>#REF!</v>
      </c>
      <c r="BD73" s="39" t="e">
        <f t="shared" si="30"/>
        <v>#REF!</v>
      </c>
      <c r="BE73" s="39" t="e">
        <f t="shared" si="30"/>
        <v>#REF!</v>
      </c>
      <c r="BF73" s="39" t="e">
        <f t="shared" si="30"/>
        <v>#REF!</v>
      </c>
      <c r="BG73" s="39" t="e">
        <f t="shared" si="30"/>
        <v>#REF!</v>
      </c>
      <c r="BH73" s="39" t="e">
        <f t="shared" si="30"/>
        <v>#REF!</v>
      </c>
      <c r="BI73" s="39" t="e">
        <f t="shared" si="30"/>
        <v>#REF!</v>
      </c>
      <c r="BJ73" s="39" t="e">
        <f t="shared" si="30"/>
        <v>#REF!</v>
      </c>
      <c r="BK73" s="39">
        <f t="shared" si="30"/>
        <v>0</v>
      </c>
      <c r="BL73" s="39">
        <f t="shared" si="30"/>
        <v>0</v>
      </c>
      <c r="BM73" s="39">
        <f t="shared" si="30"/>
        <v>0</v>
      </c>
      <c r="BN73" s="39">
        <f t="shared" si="30"/>
        <v>0</v>
      </c>
      <c r="BO73" s="39">
        <f t="shared" si="30"/>
        <v>0</v>
      </c>
      <c r="BP73" s="39">
        <f t="shared" si="30"/>
        <v>0</v>
      </c>
      <c r="BQ73" s="39">
        <f t="shared" si="30"/>
        <v>0</v>
      </c>
    </row>
    <row r="74" spans="2:69">
      <c r="B74" s="4"/>
      <c r="C74" s="9" t="s">
        <v>116</v>
      </c>
      <c r="D74" s="7"/>
      <c r="E74" s="8"/>
      <c r="F74" s="67"/>
      <c r="G74" s="67"/>
      <c r="H74" s="67"/>
      <c r="I74" s="67"/>
      <c r="J74" s="67"/>
      <c r="K74" s="1" t="s">
        <v>169</v>
      </c>
      <c r="L74" s="1"/>
      <c r="M74" s="1"/>
      <c r="N74" s="39"/>
      <c r="O74" s="39"/>
      <c r="P74" s="39"/>
      <c r="Q74" s="39"/>
      <c r="R74" s="39"/>
      <c r="S74" s="39">
        <f t="shared" si="29"/>
        <v>0</v>
      </c>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row>
    <row r="75" spans="2:69">
      <c r="B75" s="4"/>
      <c r="C75" s="9" t="s">
        <v>76</v>
      </c>
      <c r="D75" s="7"/>
      <c r="E75" s="8"/>
      <c r="F75" s="67"/>
      <c r="G75" s="67"/>
      <c r="H75" s="67"/>
      <c r="I75" s="67"/>
      <c r="J75" s="67"/>
      <c r="K75" s="1" t="s">
        <v>168</v>
      </c>
      <c r="L75" s="1"/>
      <c r="M75" s="1"/>
      <c r="N75" s="39"/>
      <c r="O75" s="39"/>
      <c r="P75" s="39"/>
      <c r="Q75" s="39"/>
      <c r="R75" s="39"/>
      <c r="S75" s="39">
        <f t="shared" si="29"/>
        <v>0</v>
      </c>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row>
    <row r="76" spans="2:69">
      <c r="B76" s="4"/>
      <c r="C76" s="9" t="s">
        <v>117</v>
      </c>
      <c r="D76" s="7"/>
      <c r="E76" s="8"/>
      <c r="F76" s="67"/>
      <c r="G76" s="67"/>
      <c r="H76" s="67"/>
      <c r="I76" s="67"/>
      <c r="J76" s="67"/>
      <c r="K76" s="1" t="s">
        <v>169</v>
      </c>
      <c r="L76" s="1"/>
      <c r="M76" s="1"/>
      <c r="N76" s="39"/>
      <c r="O76" s="39"/>
      <c r="P76" s="39"/>
      <c r="Q76" s="39"/>
      <c r="R76" s="39"/>
      <c r="S76" s="39">
        <f t="shared" si="29"/>
        <v>0</v>
      </c>
      <c r="T76" s="39" t="e">
        <f>(T87+T91)*0.55</f>
        <v>#REF!</v>
      </c>
      <c r="U76" s="39" t="e">
        <f t="shared" ref="U76:BQ76" si="31">(U87+U91)*0.55</f>
        <v>#REF!</v>
      </c>
      <c r="V76" s="39" t="e">
        <f t="shared" si="31"/>
        <v>#REF!</v>
      </c>
      <c r="W76" s="39" t="e">
        <f t="shared" si="31"/>
        <v>#REF!</v>
      </c>
      <c r="X76" s="39" t="e">
        <f t="shared" si="31"/>
        <v>#REF!</v>
      </c>
      <c r="Y76" s="39" t="e">
        <f t="shared" si="31"/>
        <v>#REF!</v>
      </c>
      <c r="Z76" s="39" t="e">
        <f t="shared" si="31"/>
        <v>#REF!</v>
      </c>
      <c r="AA76" s="39" t="e">
        <f t="shared" si="31"/>
        <v>#REF!</v>
      </c>
      <c r="AB76" s="39" t="e">
        <f t="shared" si="31"/>
        <v>#REF!</v>
      </c>
      <c r="AC76" s="39" t="e">
        <f t="shared" si="31"/>
        <v>#REF!</v>
      </c>
      <c r="AD76" s="39" t="e">
        <f t="shared" si="31"/>
        <v>#REF!</v>
      </c>
      <c r="AE76" s="39" t="e">
        <f t="shared" si="31"/>
        <v>#REF!</v>
      </c>
      <c r="AF76" s="39" t="e">
        <f t="shared" si="31"/>
        <v>#REF!</v>
      </c>
      <c r="AG76" s="39" t="e">
        <f t="shared" si="31"/>
        <v>#REF!</v>
      </c>
      <c r="AH76" s="39" t="e">
        <f>(AH87+AH91)*0.55</f>
        <v>#REF!</v>
      </c>
      <c r="AI76" s="39" t="e">
        <f t="shared" si="31"/>
        <v>#REF!</v>
      </c>
      <c r="AJ76" s="39" t="e">
        <f t="shared" si="31"/>
        <v>#REF!</v>
      </c>
      <c r="AK76" s="39" t="e">
        <f t="shared" si="31"/>
        <v>#REF!</v>
      </c>
      <c r="AL76" s="39" t="e">
        <f t="shared" si="31"/>
        <v>#REF!</v>
      </c>
      <c r="AM76" s="39" t="e">
        <f t="shared" si="31"/>
        <v>#REF!</v>
      </c>
      <c r="AN76" s="39" t="e">
        <f t="shared" si="31"/>
        <v>#REF!</v>
      </c>
      <c r="AO76" s="39" t="e">
        <f t="shared" si="31"/>
        <v>#REF!</v>
      </c>
      <c r="AP76" s="39" t="e">
        <f t="shared" si="31"/>
        <v>#REF!</v>
      </c>
      <c r="AQ76" s="39" t="e">
        <f t="shared" si="31"/>
        <v>#REF!</v>
      </c>
      <c r="AR76" s="39" t="e">
        <f t="shared" si="31"/>
        <v>#REF!</v>
      </c>
      <c r="AS76" s="39" t="e">
        <f t="shared" si="31"/>
        <v>#REF!</v>
      </c>
      <c r="AT76" s="39" t="e">
        <f t="shared" si="31"/>
        <v>#REF!</v>
      </c>
      <c r="AU76" s="39" t="e">
        <f t="shared" si="31"/>
        <v>#REF!</v>
      </c>
      <c r="AV76" s="39" t="e">
        <f t="shared" si="31"/>
        <v>#REF!</v>
      </c>
      <c r="AW76" s="39" t="e">
        <f t="shared" si="31"/>
        <v>#REF!</v>
      </c>
      <c r="AX76" s="39" t="e">
        <f t="shared" si="31"/>
        <v>#REF!</v>
      </c>
      <c r="AY76" s="39" t="e">
        <f t="shared" si="31"/>
        <v>#REF!</v>
      </c>
      <c r="AZ76" s="39" t="e">
        <f t="shared" si="31"/>
        <v>#REF!</v>
      </c>
      <c r="BA76" s="39" t="e">
        <f t="shared" si="31"/>
        <v>#REF!</v>
      </c>
      <c r="BB76" s="39" t="e">
        <f t="shared" si="31"/>
        <v>#REF!</v>
      </c>
      <c r="BC76" s="39" t="e">
        <f t="shared" si="31"/>
        <v>#REF!</v>
      </c>
      <c r="BD76" s="39" t="e">
        <f t="shared" si="31"/>
        <v>#REF!</v>
      </c>
      <c r="BE76" s="39" t="e">
        <f t="shared" si="31"/>
        <v>#REF!</v>
      </c>
      <c r="BF76" s="39" t="e">
        <f t="shared" si="31"/>
        <v>#REF!</v>
      </c>
      <c r="BG76" s="39" t="e">
        <f t="shared" si="31"/>
        <v>#REF!</v>
      </c>
      <c r="BH76" s="39" t="e">
        <f t="shared" si="31"/>
        <v>#REF!</v>
      </c>
      <c r="BI76" s="39" t="e">
        <f t="shared" si="31"/>
        <v>#REF!</v>
      </c>
      <c r="BJ76" s="39" t="e">
        <f t="shared" si="31"/>
        <v>#REF!</v>
      </c>
      <c r="BK76" s="39">
        <f t="shared" si="31"/>
        <v>0</v>
      </c>
      <c r="BL76" s="39">
        <f t="shared" si="31"/>
        <v>0</v>
      </c>
      <c r="BM76" s="39">
        <f t="shared" si="31"/>
        <v>0</v>
      </c>
      <c r="BN76" s="39">
        <f t="shared" si="31"/>
        <v>0</v>
      </c>
      <c r="BO76" s="39">
        <f t="shared" si="31"/>
        <v>0</v>
      </c>
      <c r="BP76" s="39">
        <f t="shared" si="31"/>
        <v>0</v>
      </c>
      <c r="BQ76" s="39">
        <f t="shared" si="31"/>
        <v>0</v>
      </c>
    </row>
    <row r="77" spans="2:69">
      <c r="B77" s="4"/>
      <c r="C77" s="9" t="s">
        <v>118</v>
      </c>
      <c r="D77" s="7"/>
      <c r="E77" s="8"/>
      <c r="F77" s="67"/>
      <c r="G77" s="67"/>
      <c r="H77" s="67"/>
      <c r="I77" s="67"/>
      <c r="J77" s="67"/>
      <c r="K77" s="1" t="s">
        <v>169</v>
      </c>
      <c r="L77" s="1"/>
      <c r="M77" s="1"/>
      <c r="N77" s="39"/>
      <c r="O77" s="39"/>
      <c r="P77" s="39"/>
      <c r="Q77" s="39"/>
      <c r="R77" s="39"/>
      <c r="S77" s="39">
        <f t="shared" si="29"/>
        <v>0</v>
      </c>
      <c r="T77" s="39" t="e">
        <f>(T87+T91)*0.325</f>
        <v>#REF!</v>
      </c>
      <c r="U77" s="39" t="e">
        <f t="shared" ref="U77:BQ77" si="32">(U87+U91)*0.325</f>
        <v>#REF!</v>
      </c>
      <c r="V77" s="39" t="e">
        <f t="shared" si="32"/>
        <v>#REF!</v>
      </c>
      <c r="W77" s="39" t="e">
        <f t="shared" si="32"/>
        <v>#REF!</v>
      </c>
      <c r="X77" s="39" t="e">
        <f t="shared" si="32"/>
        <v>#REF!</v>
      </c>
      <c r="Y77" s="39" t="e">
        <f t="shared" si="32"/>
        <v>#REF!</v>
      </c>
      <c r="Z77" s="39" t="e">
        <f t="shared" si="32"/>
        <v>#REF!</v>
      </c>
      <c r="AA77" s="39" t="e">
        <f t="shared" si="32"/>
        <v>#REF!</v>
      </c>
      <c r="AB77" s="39" t="e">
        <f t="shared" si="32"/>
        <v>#REF!</v>
      </c>
      <c r="AC77" s="39" t="e">
        <f t="shared" si="32"/>
        <v>#REF!</v>
      </c>
      <c r="AD77" s="39" t="e">
        <f t="shared" si="32"/>
        <v>#REF!</v>
      </c>
      <c r="AE77" s="39" t="e">
        <f t="shared" si="32"/>
        <v>#REF!</v>
      </c>
      <c r="AF77" s="39" t="e">
        <f t="shared" si="32"/>
        <v>#REF!</v>
      </c>
      <c r="AG77" s="39" t="e">
        <f t="shared" si="32"/>
        <v>#REF!</v>
      </c>
      <c r="AH77" s="39" t="e">
        <f t="shared" si="32"/>
        <v>#REF!</v>
      </c>
      <c r="AI77" s="39" t="e">
        <f t="shared" si="32"/>
        <v>#REF!</v>
      </c>
      <c r="AJ77" s="39" t="e">
        <f t="shared" si="32"/>
        <v>#REF!</v>
      </c>
      <c r="AK77" s="39" t="e">
        <f t="shared" si="32"/>
        <v>#REF!</v>
      </c>
      <c r="AL77" s="39" t="e">
        <f t="shared" si="32"/>
        <v>#REF!</v>
      </c>
      <c r="AM77" s="39" t="e">
        <f t="shared" si="32"/>
        <v>#REF!</v>
      </c>
      <c r="AN77" s="39" t="e">
        <f t="shared" si="32"/>
        <v>#REF!</v>
      </c>
      <c r="AO77" s="39" t="e">
        <f t="shared" si="32"/>
        <v>#REF!</v>
      </c>
      <c r="AP77" s="39" t="e">
        <f t="shared" si="32"/>
        <v>#REF!</v>
      </c>
      <c r="AQ77" s="39" t="e">
        <f t="shared" si="32"/>
        <v>#REF!</v>
      </c>
      <c r="AR77" s="39" t="e">
        <f t="shared" si="32"/>
        <v>#REF!</v>
      </c>
      <c r="AS77" s="39" t="e">
        <f t="shared" si="32"/>
        <v>#REF!</v>
      </c>
      <c r="AT77" s="39" t="e">
        <f t="shared" si="32"/>
        <v>#REF!</v>
      </c>
      <c r="AU77" s="39" t="e">
        <f t="shared" si="32"/>
        <v>#REF!</v>
      </c>
      <c r="AV77" s="39" t="e">
        <f t="shared" si="32"/>
        <v>#REF!</v>
      </c>
      <c r="AW77" s="39" t="e">
        <f t="shared" si="32"/>
        <v>#REF!</v>
      </c>
      <c r="AX77" s="39" t="e">
        <f t="shared" si="32"/>
        <v>#REF!</v>
      </c>
      <c r="AY77" s="39" t="e">
        <f t="shared" si="32"/>
        <v>#REF!</v>
      </c>
      <c r="AZ77" s="39" t="e">
        <f t="shared" si="32"/>
        <v>#REF!</v>
      </c>
      <c r="BA77" s="39" t="e">
        <f t="shared" si="32"/>
        <v>#REF!</v>
      </c>
      <c r="BB77" s="39" t="e">
        <f t="shared" si="32"/>
        <v>#REF!</v>
      </c>
      <c r="BC77" s="39" t="e">
        <f t="shared" si="32"/>
        <v>#REF!</v>
      </c>
      <c r="BD77" s="39" t="e">
        <f t="shared" si="32"/>
        <v>#REF!</v>
      </c>
      <c r="BE77" s="39" t="e">
        <f t="shared" si="32"/>
        <v>#REF!</v>
      </c>
      <c r="BF77" s="39" t="e">
        <f t="shared" si="32"/>
        <v>#REF!</v>
      </c>
      <c r="BG77" s="39" t="e">
        <f t="shared" si="32"/>
        <v>#REF!</v>
      </c>
      <c r="BH77" s="39" t="e">
        <f t="shared" si="32"/>
        <v>#REF!</v>
      </c>
      <c r="BI77" s="39" t="e">
        <f t="shared" si="32"/>
        <v>#REF!</v>
      </c>
      <c r="BJ77" s="39" t="e">
        <f t="shared" si="32"/>
        <v>#REF!</v>
      </c>
      <c r="BK77" s="39">
        <f t="shared" si="32"/>
        <v>0</v>
      </c>
      <c r="BL77" s="39">
        <f t="shared" si="32"/>
        <v>0</v>
      </c>
      <c r="BM77" s="39">
        <f t="shared" si="32"/>
        <v>0</v>
      </c>
      <c r="BN77" s="39">
        <f t="shared" si="32"/>
        <v>0</v>
      </c>
      <c r="BO77" s="39">
        <f t="shared" si="32"/>
        <v>0</v>
      </c>
      <c r="BP77" s="39">
        <f t="shared" si="32"/>
        <v>0</v>
      </c>
      <c r="BQ77" s="39">
        <f t="shared" si="32"/>
        <v>0</v>
      </c>
    </row>
    <row r="78" spans="2:69">
      <c r="B78" s="3"/>
      <c r="C78" s="9" t="s">
        <v>119</v>
      </c>
      <c r="D78" s="7"/>
      <c r="E78" s="8"/>
      <c r="F78" s="67"/>
      <c r="G78" s="67"/>
      <c r="H78" s="67"/>
      <c r="I78" s="67"/>
      <c r="J78" s="67"/>
      <c r="K78" s="1" t="s">
        <v>163</v>
      </c>
      <c r="L78" s="1"/>
      <c r="M78" s="1"/>
      <c r="N78" s="39"/>
      <c r="O78" s="39"/>
      <c r="P78" s="39"/>
      <c r="Q78" s="39"/>
      <c r="R78" s="39"/>
      <c r="S78" s="39">
        <f t="shared" si="29"/>
        <v>0</v>
      </c>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row>
    <row r="79" spans="2:69">
      <c r="B79" s="5" t="s">
        <v>120</v>
      </c>
      <c r="C79" s="7"/>
      <c r="D79" s="7"/>
      <c r="E79" s="8"/>
      <c r="F79" s="67"/>
      <c r="G79" s="67"/>
      <c r="H79" s="67"/>
      <c r="I79" s="67"/>
      <c r="J79" s="67"/>
      <c r="K79" s="1"/>
      <c r="L79" s="1"/>
      <c r="M79" s="1"/>
      <c r="N79" s="39">
        <f>SUM(N80,N84:N85,N89,N95,N98)</f>
        <v>2139000</v>
      </c>
      <c r="O79" s="39">
        <f t="shared" ref="O79:BQ79" si="33">SUM(O80,O84:O85,O89,O95,O98)</f>
        <v>74520</v>
      </c>
      <c r="P79" s="39">
        <f t="shared" si="33"/>
        <v>0</v>
      </c>
      <c r="Q79" s="39">
        <f t="shared" si="33"/>
        <v>0</v>
      </c>
      <c r="R79" s="39">
        <f t="shared" si="33"/>
        <v>0</v>
      </c>
      <c r="S79" s="39">
        <f t="shared" si="29"/>
        <v>442704</v>
      </c>
      <c r="T79" s="39" t="e">
        <f t="shared" si="33"/>
        <v>#REF!</v>
      </c>
      <c r="U79" s="39" t="e">
        <f t="shared" si="33"/>
        <v>#REF!</v>
      </c>
      <c r="V79" s="39" t="e">
        <f t="shared" si="33"/>
        <v>#REF!</v>
      </c>
      <c r="W79" s="39" t="e">
        <f t="shared" si="33"/>
        <v>#REF!</v>
      </c>
      <c r="X79" s="39" t="e">
        <f t="shared" si="33"/>
        <v>#REF!</v>
      </c>
      <c r="Y79" s="39" t="e">
        <f t="shared" si="33"/>
        <v>#REF!</v>
      </c>
      <c r="Z79" s="39" t="e">
        <f t="shared" si="33"/>
        <v>#REF!</v>
      </c>
      <c r="AA79" s="39" t="e">
        <f t="shared" si="33"/>
        <v>#REF!</v>
      </c>
      <c r="AB79" s="39" t="e">
        <f t="shared" si="33"/>
        <v>#REF!</v>
      </c>
      <c r="AC79" s="39" t="e">
        <f t="shared" si="33"/>
        <v>#REF!</v>
      </c>
      <c r="AD79" s="39" t="e">
        <f t="shared" si="33"/>
        <v>#REF!</v>
      </c>
      <c r="AE79" s="39" t="e">
        <f t="shared" si="33"/>
        <v>#REF!</v>
      </c>
      <c r="AF79" s="39" t="e">
        <f t="shared" si="33"/>
        <v>#REF!</v>
      </c>
      <c r="AG79" s="39" t="e">
        <f t="shared" si="33"/>
        <v>#REF!</v>
      </c>
      <c r="AH79" s="39" t="e">
        <f t="shared" si="33"/>
        <v>#REF!</v>
      </c>
      <c r="AI79" s="39" t="e">
        <f t="shared" si="33"/>
        <v>#REF!</v>
      </c>
      <c r="AJ79" s="39" t="e">
        <f t="shared" si="33"/>
        <v>#REF!</v>
      </c>
      <c r="AK79" s="39" t="e">
        <f t="shared" si="33"/>
        <v>#REF!</v>
      </c>
      <c r="AL79" s="39" t="e">
        <f t="shared" si="33"/>
        <v>#REF!</v>
      </c>
      <c r="AM79" s="39" t="e">
        <f t="shared" si="33"/>
        <v>#REF!</v>
      </c>
      <c r="AN79" s="39" t="e">
        <f t="shared" si="33"/>
        <v>#REF!</v>
      </c>
      <c r="AO79" s="39" t="e">
        <f t="shared" si="33"/>
        <v>#REF!</v>
      </c>
      <c r="AP79" s="39" t="e">
        <f t="shared" si="33"/>
        <v>#REF!</v>
      </c>
      <c r="AQ79" s="39" t="e">
        <f t="shared" si="33"/>
        <v>#REF!</v>
      </c>
      <c r="AR79" s="39" t="e">
        <f t="shared" si="33"/>
        <v>#REF!</v>
      </c>
      <c r="AS79" s="39" t="e">
        <f t="shared" si="33"/>
        <v>#REF!</v>
      </c>
      <c r="AT79" s="39" t="e">
        <f t="shared" si="33"/>
        <v>#REF!</v>
      </c>
      <c r="AU79" s="39" t="e">
        <f t="shared" si="33"/>
        <v>#REF!</v>
      </c>
      <c r="AV79" s="39" t="e">
        <f t="shared" si="33"/>
        <v>#REF!</v>
      </c>
      <c r="AW79" s="39" t="e">
        <f t="shared" si="33"/>
        <v>#REF!</v>
      </c>
      <c r="AX79" s="39" t="e">
        <f t="shared" si="33"/>
        <v>#REF!</v>
      </c>
      <c r="AY79" s="39" t="e">
        <f t="shared" si="33"/>
        <v>#REF!</v>
      </c>
      <c r="AZ79" s="39" t="e">
        <f t="shared" si="33"/>
        <v>#REF!</v>
      </c>
      <c r="BA79" s="39" t="e">
        <f t="shared" si="33"/>
        <v>#REF!</v>
      </c>
      <c r="BB79" s="39" t="e">
        <f t="shared" si="33"/>
        <v>#REF!</v>
      </c>
      <c r="BC79" s="39" t="e">
        <f t="shared" si="33"/>
        <v>#REF!</v>
      </c>
      <c r="BD79" s="39" t="e">
        <f t="shared" si="33"/>
        <v>#REF!</v>
      </c>
      <c r="BE79" s="39" t="e">
        <f t="shared" si="33"/>
        <v>#REF!</v>
      </c>
      <c r="BF79" s="39" t="e">
        <f t="shared" si="33"/>
        <v>#REF!</v>
      </c>
      <c r="BG79" s="39" t="e">
        <f t="shared" si="33"/>
        <v>#REF!</v>
      </c>
      <c r="BH79" s="39" t="e">
        <f t="shared" si="33"/>
        <v>#REF!</v>
      </c>
      <c r="BI79" s="39" t="e">
        <f t="shared" si="33"/>
        <v>#REF!</v>
      </c>
      <c r="BJ79" s="39" t="e">
        <f t="shared" si="33"/>
        <v>#REF!</v>
      </c>
      <c r="BK79" s="39">
        <f t="shared" si="33"/>
        <v>235634235</v>
      </c>
      <c r="BL79" s="39">
        <f t="shared" si="33"/>
        <v>225628201</v>
      </c>
      <c r="BM79" s="39">
        <f t="shared" si="33"/>
        <v>215970039</v>
      </c>
      <c r="BN79" s="39">
        <f t="shared" si="33"/>
        <v>211689036</v>
      </c>
      <c r="BO79" s="39">
        <f t="shared" si="33"/>
        <v>207318131</v>
      </c>
      <c r="BP79" s="39">
        <f t="shared" si="33"/>
        <v>200995447</v>
      </c>
      <c r="BQ79" s="39">
        <f t="shared" si="33"/>
        <v>192307993</v>
      </c>
    </row>
    <row r="80" spans="2:69">
      <c r="B80" s="4"/>
      <c r="C80" s="5" t="s">
        <v>121</v>
      </c>
      <c r="D80" s="7"/>
      <c r="E80" s="8"/>
      <c r="F80" s="67"/>
      <c r="G80" s="67"/>
      <c r="H80" s="67"/>
      <c r="I80" s="67"/>
      <c r="J80" s="67"/>
      <c r="K80" s="1"/>
      <c r="L80" s="1"/>
      <c r="M80" s="1"/>
      <c r="N80" s="39">
        <f>SUM(N81)</f>
        <v>0</v>
      </c>
      <c r="O80" s="39">
        <f t="shared" ref="O80:BQ80" si="34">SUM(O81)</f>
        <v>0</v>
      </c>
      <c r="P80" s="39">
        <f t="shared" si="34"/>
        <v>0</v>
      </c>
      <c r="Q80" s="39">
        <f t="shared" si="34"/>
        <v>0</v>
      </c>
      <c r="R80" s="39">
        <f t="shared" si="34"/>
        <v>0</v>
      </c>
      <c r="S80" s="39">
        <f t="shared" si="29"/>
        <v>0</v>
      </c>
      <c r="T80" s="39">
        <f t="shared" si="34"/>
        <v>0</v>
      </c>
      <c r="U80" s="39">
        <f t="shared" si="34"/>
        <v>0</v>
      </c>
      <c r="V80" s="39">
        <f t="shared" si="34"/>
        <v>0</v>
      </c>
      <c r="W80" s="39">
        <f t="shared" si="34"/>
        <v>0</v>
      </c>
      <c r="X80" s="39">
        <f t="shared" si="34"/>
        <v>0</v>
      </c>
      <c r="Y80" s="39">
        <f t="shared" si="34"/>
        <v>0</v>
      </c>
      <c r="Z80" s="39">
        <f t="shared" si="34"/>
        <v>0</v>
      </c>
      <c r="AA80" s="39">
        <f t="shared" si="34"/>
        <v>0</v>
      </c>
      <c r="AB80" s="39">
        <f t="shared" si="34"/>
        <v>0</v>
      </c>
      <c r="AC80" s="39">
        <f t="shared" si="34"/>
        <v>0</v>
      </c>
      <c r="AD80" s="39">
        <f t="shared" si="34"/>
        <v>0</v>
      </c>
      <c r="AE80" s="39">
        <f t="shared" si="34"/>
        <v>0</v>
      </c>
      <c r="AF80" s="39">
        <f t="shared" si="34"/>
        <v>0</v>
      </c>
      <c r="AG80" s="39">
        <f t="shared" si="34"/>
        <v>0</v>
      </c>
      <c r="AH80" s="39">
        <f t="shared" si="34"/>
        <v>0</v>
      </c>
      <c r="AI80" s="39">
        <f t="shared" si="34"/>
        <v>0</v>
      </c>
      <c r="AJ80" s="39">
        <f t="shared" si="34"/>
        <v>0</v>
      </c>
      <c r="AK80" s="39">
        <f t="shared" si="34"/>
        <v>0</v>
      </c>
      <c r="AL80" s="39">
        <f t="shared" si="34"/>
        <v>0</v>
      </c>
      <c r="AM80" s="39">
        <f t="shared" si="34"/>
        <v>0</v>
      </c>
      <c r="AN80" s="39">
        <f t="shared" si="34"/>
        <v>0</v>
      </c>
      <c r="AO80" s="39">
        <f t="shared" si="34"/>
        <v>0</v>
      </c>
      <c r="AP80" s="39">
        <f t="shared" si="34"/>
        <v>0</v>
      </c>
      <c r="AQ80" s="39">
        <f t="shared" si="34"/>
        <v>0</v>
      </c>
      <c r="AR80" s="39">
        <f t="shared" si="34"/>
        <v>0</v>
      </c>
      <c r="AS80" s="39">
        <f t="shared" si="34"/>
        <v>0</v>
      </c>
      <c r="AT80" s="39">
        <f t="shared" si="34"/>
        <v>0</v>
      </c>
      <c r="AU80" s="39">
        <f t="shared" si="34"/>
        <v>0</v>
      </c>
      <c r="AV80" s="39">
        <f t="shared" si="34"/>
        <v>0</v>
      </c>
      <c r="AW80" s="39">
        <f t="shared" si="34"/>
        <v>0</v>
      </c>
      <c r="AX80" s="39">
        <f t="shared" si="34"/>
        <v>0</v>
      </c>
      <c r="AY80" s="39">
        <f t="shared" si="34"/>
        <v>0</v>
      </c>
      <c r="AZ80" s="39">
        <f t="shared" si="34"/>
        <v>0</v>
      </c>
      <c r="BA80" s="39">
        <f t="shared" si="34"/>
        <v>0</v>
      </c>
      <c r="BB80" s="39">
        <f t="shared" si="34"/>
        <v>0</v>
      </c>
      <c r="BC80" s="39">
        <f t="shared" si="34"/>
        <v>0</v>
      </c>
      <c r="BD80" s="39">
        <f t="shared" si="34"/>
        <v>0</v>
      </c>
      <c r="BE80" s="39">
        <f t="shared" si="34"/>
        <v>0</v>
      </c>
      <c r="BF80" s="39">
        <f t="shared" si="34"/>
        <v>0</v>
      </c>
      <c r="BG80" s="39">
        <f t="shared" si="34"/>
        <v>0</v>
      </c>
      <c r="BH80" s="39">
        <f t="shared" si="34"/>
        <v>0</v>
      </c>
      <c r="BI80" s="39">
        <f t="shared" si="34"/>
        <v>0</v>
      </c>
      <c r="BJ80" s="39">
        <f t="shared" si="34"/>
        <v>0</v>
      </c>
      <c r="BK80" s="39">
        <f t="shared" si="34"/>
        <v>0</v>
      </c>
      <c r="BL80" s="39">
        <f t="shared" si="34"/>
        <v>0</v>
      </c>
      <c r="BM80" s="39">
        <f t="shared" si="34"/>
        <v>0</v>
      </c>
      <c r="BN80" s="39">
        <f t="shared" si="34"/>
        <v>0</v>
      </c>
      <c r="BO80" s="39">
        <f t="shared" si="34"/>
        <v>0</v>
      </c>
      <c r="BP80" s="39">
        <f t="shared" si="34"/>
        <v>0</v>
      </c>
      <c r="BQ80" s="39">
        <f t="shared" si="34"/>
        <v>0</v>
      </c>
    </row>
    <row r="81" spans="2:69">
      <c r="B81" s="4"/>
      <c r="C81" s="4"/>
      <c r="D81" s="5" t="s">
        <v>122</v>
      </c>
      <c r="E81" s="8"/>
      <c r="F81" s="67"/>
      <c r="G81" s="67"/>
      <c r="H81" s="67"/>
      <c r="I81" s="67"/>
      <c r="J81" s="67"/>
      <c r="K81" s="1"/>
      <c r="L81" s="1"/>
      <c r="M81" s="1"/>
      <c r="N81" s="39">
        <f>SUM(N82:N83)</f>
        <v>0</v>
      </c>
      <c r="O81" s="39">
        <f t="shared" ref="O81:BQ81" si="35">SUM(O82:O83)</f>
        <v>0</v>
      </c>
      <c r="P81" s="39">
        <f t="shared" si="35"/>
        <v>0</v>
      </c>
      <c r="Q81" s="39">
        <f t="shared" si="35"/>
        <v>0</v>
      </c>
      <c r="R81" s="39">
        <f t="shared" si="35"/>
        <v>0</v>
      </c>
      <c r="S81" s="39">
        <f t="shared" si="29"/>
        <v>0</v>
      </c>
      <c r="T81" s="39">
        <f t="shared" si="35"/>
        <v>0</v>
      </c>
      <c r="U81" s="39">
        <f t="shared" si="35"/>
        <v>0</v>
      </c>
      <c r="V81" s="39">
        <f t="shared" si="35"/>
        <v>0</v>
      </c>
      <c r="W81" s="39">
        <f t="shared" si="35"/>
        <v>0</v>
      </c>
      <c r="X81" s="39">
        <f t="shared" si="35"/>
        <v>0</v>
      </c>
      <c r="Y81" s="39">
        <f t="shared" si="35"/>
        <v>0</v>
      </c>
      <c r="Z81" s="39">
        <f t="shared" si="35"/>
        <v>0</v>
      </c>
      <c r="AA81" s="39">
        <f t="shared" si="35"/>
        <v>0</v>
      </c>
      <c r="AB81" s="39">
        <f t="shared" si="35"/>
        <v>0</v>
      </c>
      <c r="AC81" s="39">
        <f t="shared" si="35"/>
        <v>0</v>
      </c>
      <c r="AD81" s="39">
        <f t="shared" si="35"/>
        <v>0</v>
      </c>
      <c r="AE81" s="39">
        <f t="shared" si="35"/>
        <v>0</v>
      </c>
      <c r="AF81" s="39">
        <f t="shared" si="35"/>
        <v>0</v>
      </c>
      <c r="AG81" s="39">
        <f t="shared" si="35"/>
        <v>0</v>
      </c>
      <c r="AH81" s="39">
        <f t="shared" si="35"/>
        <v>0</v>
      </c>
      <c r="AI81" s="39">
        <f t="shared" si="35"/>
        <v>0</v>
      </c>
      <c r="AJ81" s="39">
        <f t="shared" si="35"/>
        <v>0</v>
      </c>
      <c r="AK81" s="39">
        <f t="shared" si="35"/>
        <v>0</v>
      </c>
      <c r="AL81" s="39">
        <f t="shared" si="35"/>
        <v>0</v>
      </c>
      <c r="AM81" s="39">
        <f t="shared" si="35"/>
        <v>0</v>
      </c>
      <c r="AN81" s="39">
        <f t="shared" si="35"/>
        <v>0</v>
      </c>
      <c r="AO81" s="39">
        <f t="shared" si="35"/>
        <v>0</v>
      </c>
      <c r="AP81" s="39">
        <f t="shared" si="35"/>
        <v>0</v>
      </c>
      <c r="AQ81" s="39">
        <f t="shared" si="35"/>
        <v>0</v>
      </c>
      <c r="AR81" s="39">
        <f t="shared" si="35"/>
        <v>0</v>
      </c>
      <c r="AS81" s="39">
        <f t="shared" si="35"/>
        <v>0</v>
      </c>
      <c r="AT81" s="39">
        <f t="shared" si="35"/>
        <v>0</v>
      </c>
      <c r="AU81" s="39">
        <f t="shared" si="35"/>
        <v>0</v>
      </c>
      <c r="AV81" s="39">
        <f t="shared" si="35"/>
        <v>0</v>
      </c>
      <c r="AW81" s="39">
        <f t="shared" si="35"/>
        <v>0</v>
      </c>
      <c r="AX81" s="39">
        <f t="shared" si="35"/>
        <v>0</v>
      </c>
      <c r="AY81" s="39">
        <f t="shared" si="35"/>
        <v>0</v>
      </c>
      <c r="AZ81" s="39">
        <f t="shared" si="35"/>
        <v>0</v>
      </c>
      <c r="BA81" s="39">
        <f t="shared" si="35"/>
        <v>0</v>
      </c>
      <c r="BB81" s="39">
        <f t="shared" si="35"/>
        <v>0</v>
      </c>
      <c r="BC81" s="39">
        <f t="shared" si="35"/>
        <v>0</v>
      </c>
      <c r="BD81" s="39">
        <f t="shared" si="35"/>
        <v>0</v>
      </c>
      <c r="BE81" s="39">
        <f t="shared" si="35"/>
        <v>0</v>
      </c>
      <c r="BF81" s="39">
        <f t="shared" si="35"/>
        <v>0</v>
      </c>
      <c r="BG81" s="39">
        <f t="shared" si="35"/>
        <v>0</v>
      </c>
      <c r="BH81" s="39">
        <f t="shared" si="35"/>
        <v>0</v>
      </c>
      <c r="BI81" s="39">
        <f t="shared" si="35"/>
        <v>0</v>
      </c>
      <c r="BJ81" s="39">
        <f t="shared" si="35"/>
        <v>0</v>
      </c>
      <c r="BK81" s="39">
        <f t="shared" si="35"/>
        <v>0</v>
      </c>
      <c r="BL81" s="39">
        <f t="shared" si="35"/>
        <v>0</v>
      </c>
      <c r="BM81" s="39">
        <f t="shared" si="35"/>
        <v>0</v>
      </c>
      <c r="BN81" s="39">
        <f t="shared" si="35"/>
        <v>0</v>
      </c>
      <c r="BO81" s="39">
        <f t="shared" si="35"/>
        <v>0</v>
      </c>
      <c r="BP81" s="39">
        <f t="shared" si="35"/>
        <v>0</v>
      </c>
      <c r="BQ81" s="39">
        <f t="shared" si="35"/>
        <v>0</v>
      </c>
    </row>
    <row r="82" spans="2:69">
      <c r="B82" s="4"/>
      <c r="C82" s="4"/>
      <c r="D82" s="4"/>
      <c r="E82" s="1" t="s">
        <v>89</v>
      </c>
      <c r="F82" s="67"/>
      <c r="G82" s="67"/>
      <c r="H82" s="67"/>
      <c r="I82" s="67"/>
      <c r="J82" s="67"/>
      <c r="K82" s="1" t="s">
        <v>163</v>
      </c>
      <c r="L82" s="1"/>
      <c r="M82" s="1"/>
      <c r="N82" s="39"/>
      <c r="O82" s="39"/>
      <c r="P82" s="39"/>
      <c r="Q82" s="39"/>
      <c r="R82" s="39"/>
      <c r="S82" s="39">
        <f t="shared" si="29"/>
        <v>0</v>
      </c>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row>
    <row r="83" spans="2:69">
      <c r="B83" s="4"/>
      <c r="C83" s="3"/>
      <c r="D83" s="3"/>
      <c r="E83" s="1" t="s">
        <v>94</v>
      </c>
      <c r="F83" s="67"/>
      <c r="G83" s="67"/>
      <c r="H83" s="67"/>
      <c r="I83" s="67"/>
      <c r="J83" s="67"/>
      <c r="K83" s="1" t="s">
        <v>163</v>
      </c>
      <c r="L83" s="1"/>
      <c r="M83" s="1"/>
      <c r="N83" s="39"/>
      <c r="O83" s="39"/>
      <c r="P83" s="39"/>
      <c r="Q83" s="39"/>
      <c r="R83" s="39"/>
      <c r="S83" s="39">
        <f t="shared" si="29"/>
        <v>0</v>
      </c>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row>
    <row r="84" spans="2:69">
      <c r="B84" s="4"/>
      <c r="C84" s="9" t="s">
        <v>123</v>
      </c>
      <c r="D84" s="7"/>
      <c r="E84" s="8"/>
      <c r="F84" s="67"/>
      <c r="G84" s="67"/>
      <c r="H84" s="67"/>
      <c r="I84" s="67"/>
      <c r="J84" s="67"/>
      <c r="K84" s="1"/>
      <c r="L84" s="1"/>
      <c r="M84" s="1"/>
      <c r="N84" s="39"/>
      <c r="O84" s="39"/>
      <c r="P84" s="39"/>
      <c r="Q84" s="39"/>
      <c r="R84" s="39"/>
      <c r="S84" s="39">
        <f t="shared" si="29"/>
        <v>0</v>
      </c>
      <c r="T84" s="39" t="e">
        <f>T126</f>
        <v>#REF!</v>
      </c>
      <c r="U84" s="39" t="e">
        <f t="shared" ref="U84:BQ84" si="36">U126</f>
        <v>#REF!</v>
      </c>
      <c r="V84" s="39" t="e">
        <f t="shared" si="36"/>
        <v>#REF!</v>
      </c>
      <c r="W84" s="39" t="e">
        <f t="shared" si="36"/>
        <v>#REF!</v>
      </c>
      <c r="X84" s="39" t="e">
        <f t="shared" si="36"/>
        <v>#REF!</v>
      </c>
      <c r="Y84" s="39" t="e">
        <f t="shared" si="36"/>
        <v>#REF!</v>
      </c>
      <c r="Z84" s="39" t="e">
        <f t="shared" si="36"/>
        <v>#REF!</v>
      </c>
      <c r="AA84" s="39" t="e">
        <f t="shared" si="36"/>
        <v>#REF!</v>
      </c>
      <c r="AB84" s="39" t="e">
        <f t="shared" si="36"/>
        <v>#REF!</v>
      </c>
      <c r="AC84" s="39" t="e">
        <f t="shared" si="36"/>
        <v>#REF!</v>
      </c>
      <c r="AD84" s="39" t="e">
        <f t="shared" si="36"/>
        <v>#REF!</v>
      </c>
      <c r="AE84" s="39" t="e">
        <f t="shared" si="36"/>
        <v>#REF!</v>
      </c>
      <c r="AF84" s="39" t="e">
        <f t="shared" si="36"/>
        <v>#REF!</v>
      </c>
      <c r="AG84" s="39" t="e">
        <f t="shared" si="36"/>
        <v>#REF!</v>
      </c>
      <c r="AH84" s="39" t="e">
        <f t="shared" si="36"/>
        <v>#REF!</v>
      </c>
      <c r="AI84" s="39" t="e">
        <f t="shared" si="36"/>
        <v>#REF!</v>
      </c>
      <c r="AJ84" s="39" t="e">
        <f t="shared" si="36"/>
        <v>#REF!</v>
      </c>
      <c r="AK84" s="39" t="e">
        <f t="shared" si="36"/>
        <v>#REF!</v>
      </c>
      <c r="AL84" s="39" t="e">
        <f t="shared" si="36"/>
        <v>#REF!</v>
      </c>
      <c r="AM84" s="39" t="e">
        <f t="shared" si="36"/>
        <v>#REF!</v>
      </c>
      <c r="AN84" s="39" t="e">
        <f t="shared" si="36"/>
        <v>#REF!</v>
      </c>
      <c r="AO84" s="39" t="e">
        <f t="shared" si="36"/>
        <v>#REF!</v>
      </c>
      <c r="AP84" s="39" t="e">
        <f t="shared" si="36"/>
        <v>#REF!</v>
      </c>
      <c r="AQ84" s="39" t="e">
        <f t="shared" si="36"/>
        <v>#REF!</v>
      </c>
      <c r="AR84" s="39" t="e">
        <f t="shared" si="36"/>
        <v>#REF!</v>
      </c>
      <c r="AS84" s="39" t="e">
        <f t="shared" si="36"/>
        <v>#REF!</v>
      </c>
      <c r="AT84" s="39" t="e">
        <f t="shared" si="36"/>
        <v>#REF!</v>
      </c>
      <c r="AU84" s="39" t="e">
        <f t="shared" si="36"/>
        <v>#REF!</v>
      </c>
      <c r="AV84" s="39" t="e">
        <f t="shared" si="36"/>
        <v>#REF!</v>
      </c>
      <c r="AW84" s="39" t="e">
        <f t="shared" si="36"/>
        <v>#REF!</v>
      </c>
      <c r="AX84" s="39" t="e">
        <f t="shared" si="36"/>
        <v>#REF!</v>
      </c>
      <c r="AY84" s="39" t="e">
        <f t="shared" si="36"/>
        <v>#REF!</v>
      </c>
      <c r="AZ84" s="39" t="e">
        <f t="shared" si="36"/>
        <v>#REF!</v>
      </c>
      <c r="BA84" s="39" t="e">
        <f t="shared" si="36"/>
        <v>#REF!</v>
      </c>
      <c r="BB84" s="39" t="e">
        <f t="shared" si="36"/>
        <v>#REF!</v>
      </c>
      <c r="BC84" s="39" t="e">
        <f t="shared" si="36"/>
        <v>#REF!</v>
      </c>
      <c r="BD84" s="39" t="e">
        <f t="shared" si="36"/>
        <v>#REF!</v>
      </c>
      <c r="BE84" s="39" t="e">
        <f t="shared" si="36"/>
        <v>#REF!</v>
      </c>
      <c r="BF84" s="39" t="e">
        <f t="shared" si="36"/>
        <v>#REF!</v>
      </c>
      <c r="BG84" s="39" t="e">
        <f t="shared" si="36"/>
        <v>#REF!</v>
      </c>
      <c r="BH84" s="39" t="e">
        <f t="shared" si="36"/>
        <v>#REF!</v>
      </c>
      <c r="BI84" s="39" t="e">
        <f t="shared" si="36"/>
        <v>#REF!</v>
      </c>
      <c r="BJ84" s="39" t="e">
        <f t="shared" si="36"/>
        <v>#REF!</v>
      </c>
      <c r="BK84" s="39">
        <f t="shared" si="36"/>
        <v>0</v>
      </c>
      <c r="BL84" s="39">
        <f t="shared" si="36"/>
        <v>0</v>
      </c>
      <c r="BM84" s="39">
        <f t="shared" si="36"/>
        <v>0</v>
      </c>
      <c r="BN84" s="39">
        <f t="shared" si="36"/>
        <v>0</v>
      </c>
      <c r="BO84" s="39">
        <f t="shared" si="36"/>
        <v>0</v>
      </c>
      <c r="BP84" s="39">
        <f t="shared" si="36"/>
        <v>0</v>
      </c>
      <c r="BQ84" s="39">
        <f t="shared" si="36"/>
        <v>0</v>
      </c>
    </row>
    <row r="85" spans="2:69">
      <c r="B85" s="4"/>
      <c r="C85" s="5" t="s">
        <v>124</v>
      </c>
      <c r="D85" s="7"/>
      <c r="E85" s="8"/>
      <c r="F85" s="67"/>
      <c r="G85" s="67"/>
      <c r="H85" s="67"/>
      <c r="I85" s="67"/>
      <c r="J85" s="67"/>
      <c r="K85" s="1"/>
      <c r="L85" s="1"/>
      <c r="M85" s="1"/>
      <c r="N85" s="39">
        <f>SUM(N86:N88)</f>
        <v>2139000</v>
      </c>
      <c r="O85" s="39">
        <f t="shared" ref="O85:BQ85" si="37">SUM(O86:O88)</f>
        <v>0</v>
      </c>
      <c r="P85" s="39">
        <f t="shared" si="37"/>
        <v>0</v>
      </c>
      <c r="Q85" s="39">
        <f t="shared" si="37"/>
        <v>0</v>
      </c>
      <c r="R85" s="39">
        <f t="shared" si="37"/>
        <v>0</v>
      </c>
      <c r="S85" s="39">
        <f t="shared" si="29"/>
        <v>427800</v>
      </c>
      <c r="T85" s="39" t="e">
        <f t="shared" si="37"/>
        <v>#REF!</v>
      </c>
      <c r="U85" s="39" t="e">
        <f t="shared" si="37"/>
        <v>#REF!</v>
      </c>
      <c r="V85" s="39" t="e">
        <f t="shared" si="37"/>
        <v>#REF!</v>
      </c>
      <c r="W85" s="39" t="e">
        <f t="shared" si="37"/>
        <v>#REF!</v>
      </c>
      <c r="X85" s="39" t="e">
        <f t="shared" si="37"/>
        <v>#REF!</v>
      </c>
      <c r="Y85" s="39" t="e">
        <f t="shared" si="37"/>
        <v>#REF!</v>
      </c>
      <c r="Z85" s="39" t="e">
        <f t="shared" si="37"/>
        <v>#REF!</v>
      </c>
      <c r="AA85" s="39" t="e">
        <f t="shared" si="37"/>
        <v>#REF!</v>
      </c>
      <c r="AB85" s="39" t="e">
        <f t="shared" si="37"/>
        <v>#REF!</v>
      </c>
      <c r="AC85" s="39" t="e">
        <f t="shared" si="37"/>
        <v>#REF!</v>
      </c>
      <c r="AD85" s="39" t="e">
        <f t="shared" si="37"/>
        <v>#REF!</v>
      </c>
      <c r="AE85" s="39" t="e">
        <f t="shared" si="37"/>
        <v>#REF!</v>
      </c>
      <c r="AF85" s="39" t="e">
        <f t="shared" si="37"/>
        <v>#REF!</v>
      </c>
      <c r="AG85" s="39" t="e">
        <f t="shared" si="37"/>
        <v>#REF!</v>
      </c>
      <c r="AH85" s="39" t="e">
        <f t="shared" si="37"/>
        <v>#REF!</v>
      </c>
      <c r="AI85" s="39" t="e">
        <f t="shared" si="37"/>
        <v>#REF!</v>
      </c>
      <c r="AJ85" s="39" t="e">
        <f t="shared" si="37"/>
        <v>#REF!</v>
      </c>
      <c r="AK85" s="39" t="e">
        <f t="shared" si="37"/>
        <v>#REF!</v>
      </c>
      <c r="AL85" s="39" t="e">
        <f t="shared" si="37"/>
        <v>#REF!</v>
      </c>
      <c r="AM85" s="39" t="e">
        <f t="shared" si="37"/>
        <v>#REF!</v>
      </c>
      <c r="AN85" s="39" t="e">
        <f t="shared" si="37"/>
        <v>#REF!</v>
      </c>
      <c r="AO85" s="39" t="e">
        <f t="shared" si="37"/>
        <v>#REF!</v>
      </c>
      <c r="AP85" s="39" t="e">
        <f t="shared" si="37"/>
        <v>#REF!</v>
      </c>
      <c r="AQ85" s="39" t="e">
        <f t="shared" si="37"/>
        <v>#REF!</v>
      </c>
      <c r="AR85" s="39" t="e">
        <f t="shared" si="37"/>
        <v>#REF!</v>
      </c>
      <c r="AS85" s="39" t="e">
        <f t="shared" si="37"/>
        <v>#REF!</v>
      </c>
      <c r="AT85" s="39" t="e">
        <f t="shared" si="37"/>
        <v>#REF!</v>
      </c>
      <c r="AU85" s="39" t="e">
        <f t="shared" si="37"/>
        <v>#REF!</v>
      </c>
      <c r="AV85" s="39" t="e">
        <f t="shared" si="37"/>
        <v>#REF!</v>
      </c>
      <c r="AW85" s="39" t="e">
        <f t="shared" si="37"/>
        <v>#REF!</v>
      </c>
      <c r="AX85" s="39" t="e">
        <f t="shared" si="37"/>
        <v>#REF!</v>
      </c>
      <c r="AY85" s="39" t="e">
        <f t="shared" si="37"/>
        <v>#REF!</v>
      </c>
      <c r="AZ85" s="39" t="e">
        <f t="shared" si="37"/>
        <v>#REF!</v>
      </c>
      <c r="BA85" s="39" t="e">
        <f t="shared" si="37"/>
        <v>#REF!</v>
      </c>
      <c r="BB85" s="39" t="e">
        <f t="shared" si="37"/>
        <v>#REF!</v>
      </c>
      <c r="BC85" s="39" t="e">
        <f t="shared" si="37"/>
        <v>#REF!</v>
      </c>
      <c r="BD85" s="39" t="e">
        <f t="shared" si="37"/>
        <v>#REF!</v>
      </c>
      <c r="BE85" s="39" t="e">
        <f t="shared" si="37"/>
        <v>#REF!</v>
      </c>
      <c r="BF85" s="39" t="e">
        <f t="shared" si="37"/>
        <v>#REF!</v>
      </c>
      <c r="BG85" s="39" t="e">
        <f t="shared" si="37"/>
        <v>#REF!</v>
      </c>
      <c r="BH85" s="39" t="e">
        <f t="shared" si="37"/>
        <v>#REF!</v>
      </c>
      <c r="BI85" s="39" t="e">
        <f t="shared" si="37"/>
        <v>#REF!</v>
      </c>
      <c r="BJ85" s="39" t="e">
        <f t="shared" si="37"/>
        <v>#REF!</v>
      </c>
      <c r="BK85" s="39">
        <f t="shared" si="37"/>
        <v>0</v>
      </c>
      <c r="BL85" s="39">
        <f t="shared" si="37"/>
        <v>0</v>
      </c>
      <c r="BM85" s="39">
        <f t="shared" si="37"/>
        <v>0</v>
      </c>
      <c r="BN85" s="39">
        <f t="shared" si="37"/>
        <v>0</v>
      </c>
      <c r="BO85" s="39">
        <f t="shared" si="37"/>
        <v>0</v>
      </c>
      <c r="BP85" s="39">
        <f t="shared" si="37"/>
        <v>0</v>
      </c>
      <c r="BQ85" s="39">
        <f t="shared" si="37"/>
        <v>0</v>
      </c>
    </row>
    <row r="86" spans="2:69">
      <c r="B86" s="4"/>
      <c r="C86" s="4"/>
      <c r="D86" s="9" t="s">
        <v>92</v>
      </c>
      <c r="E86" s="8"/>
      <c r="F86" s="67"/>
      <c r="G86" s="67"/>
      <c r="H86" s="67"/>
      <c r="I86" s="67"/>
      <c r="J86" s="67"/>
      <c r="K86" s="1"/>
      <c r="L86" s="1"/>
      <c r="M86" s="1"/>
      <c r="N86" s="39"/>
      <c r="O86" s="39"/>
      <c r="P86" s="39"/>
      <c r="Q86" s="39"/>
      <c r="R86" s="39"/>
      <c r="S86" s="39">
        <f t="shared" si="29"/>
        <v>0</v>
      </c>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row>
    <row r="87" spans="2:69">
      <c r="B87" s="4"/>
      <c r="C87" s="4"/>
      <c r="D87" s="9" t="s">
        <v>125</v>
      </c>
      <c r="E87" s="8"/>
      <c r="F87" s="67"/>
      <c r="G87" s="67"/>
      <c r="H87" s="67"/>
      <c r="I87" s="67"/>
      <c r="J87" s="67"/>
      <c r="K87" s="1" t="s">
        <v>249</v>
      </c>
      <c r="L87" s="1"/>
      <c r="M87" s="1"/>
      <c r="N87" s="39">
        <v>2139000</v>
      </c>
      <c r="O87" s="39">
        <v>0</v>
      </c>
      <c r="P87" s="39">
        <v>0</v>
      </c>
      <c r="Q87" s="39">
        <v>0</v>
      </c>
      <c r="R87" s="39">
        <v>0</v>
      </c>
      <c r="S87" s="39">
        <f t="shared" si="29"/>
        <v>427800</v>
      </c>
      <c r="T87" s="39" t="e">
        <f>(T121+T122)*1000000</f>
        <v>#REF!</v>
      </c>
      <c r="U87" s="39" t="e">
        <f t="shared" ref="U87:BQ87" si="38">(U121+U122)*1000000</f>
        <v>#REF!</v>
      </c>
      <c r="V87" s="39" t="e">
        <f t="shared" si="38"/>
        <v>#REF!</v>
      </c>
      <c r="W87" s="39" t="e">
        <f t="shared" si="38"/>
        <v>#REF!</v>
      </c>
      <c r="X87" s="39" t="e">
        <f t="shared" si="38"/>
        <v>#REF!</v>
      </c>
      <c r="Y87" s="39" t="e">
        <f t="shared" si="38"/>
        <v>#REF!</v>
      </c>
      <c r="Z87" s="39" t="e">
        <f t="shared" si="38"/>
        <v>#REF!</v>
      </c>
      <c r="AA87" s="39" t="e">
        <f t="shared" si="38"/>
        <v>#REF!</v>
      </c>
      <c r="AB87" s="39" t="e">
        <f t="shared" si="38"/>
        <v>#REF!</v>
      </c>
      <c r="AC87" s="39" t="e">
        <f t="shared" si="38"/>
        <v>#REF!</v>
      </c>
      <c r="AD87" s="39" t="e">
        <f t="shared" si="38"/>
        <v>#REF!</v>
      </c>
      <c r="AE87" s="39" t="e">
        <f t="shared" si="38"/>
        <v>#REF!</v>
      </c>
      <c r="AF87" s="39" t="e">
        <f t="shared" si="38"/>
        <v>#REF!</v>
      </c>
      <c r="AG87" s="39" t="e">
        <f t="shared" si="38"/>
        <v>#REF!</v>
      </c>
      <c r="AH87" s="39" t="e">
        <f t="shared" si="38"/>
        <v>#REF!</v>
      </c>
      <c r="AI87" s="39" t="e">
        <f t="shared" si="38"/>
        <v>#REF!</v>
      </c>
      <c r="AJ87" s="39" t="e">
        <f t="shared" si="38"/>
        <v>#REF!</v>
      </c>
      <c r="AK87" s="39" t="e">
        <f t="shared" si="38"/>
        <v>#REF!</v>
      </c>
      <c r="AL87" s="39" t="e">
        <f t="shared" si="38"/>
        <v>#REF!</v>
      </c>
      <c r="AM87" s="39" t="e">
        <f t="shared" si="38"/>
        <v>#REF!</v>
      </c>
      <c r="AN87" s="39" t="e">
        <f t="shared" si="38"/>
        <v>#REF!</v>
      </c>
      <c r="AO87" s="39" t="e">
        <f t="shared" si="38"/>
        <v>#REF!</v>
      </c>
      <c r="AP87" s="39" t="e">
        <f t="shared" si="38"/>
        <v>#REF!</v>
      </c>
      <c r="AQ87" s="39" t="e">
        <f t="shared" si="38"/>
        <v>#REF!</v>
      </c>
      <c r="AR87" s="39" t="e">
        <f t="shared" si="38"/>
        <v>#REF!</v>
      </c>
      <c r="AS87" s="39" t="e">
        <f t="shared" si="38"/>
        <v>#REF!</v>
      </c>
      <c r="AT87" s="39" t="e">
        <f t="shared" si="38"/>
        <v>#REF!</v>
      </c>
      <c r="AU87" s="39" t="e">
        <f t="shared" si="38"/>
        <v>#REF!</v>
      </c>
      <c r="AV87" s="39" t="e">
        <f t="shared" si="38"/>
        <v>#REF!</v>
      </c>
      <c r="AW87" s="39" t="e">
        <f t="shared" si="38"/>
        <v>#REF!</v>
      </c>
      <c r="AX87" s="39" t="e">
        <f t="shared" si="38"/>
        <v>#REF!</v>
      </c>
      <c r="AY87" s="39" t="e">
        <f t="shared" si="38"/>
        <v>#REF!</v>
      </c>
      <c r="AZ87" s="39" t="e">
        <f t="shared" si="38"/>
        <v>#REF!</v>
      </c>
      <c r="BA87" s="39" t="e">
        <f t="shared" si="38"/>
        <v>#REF!</v>
      </c>
      <c r="BB87" s="39" t="e">
        <f t="shared" si="38"/>
        <v>#REF!</v>
      </c>
      <c r="BC87" s="39" t="e">
        <f t="shared" si="38"/>
        <v>#REF!</v>
      </c>
      <c r="BD87" s="39" t="e">
        <f t="shared" si="38"/>
        <v>#REF!</v>
      </c>
      <c r="BE87" s="39" t="e">
        <f t="shared" si="38"/>
        <v>#REF!</v>
      </c>
      <c r="BF87" s="39" t="e">
        <f t="shared" si="38"/>
        <v>#REF!</v>
      </c>
      <c r="BG87" s="39" t="e">
        <f t="shared" si="38"/>
        <v>#REF!</v>
      </c>
      <c r="BH87" s="39" t="e">
        <f t="shared" si="38"/>
        <v>#REF!</v>
      </c>
      <c r="BI87" s="39" t="e">
        <f t="shared" si="38"/>
        <v>#REF!</v>
      </c>
      <c r="BJ87" s="39" t="e">
        <f t="shared" si="38"/>
        <v>#REF!</v>
      </c>
      <c r="BK87" s="39">
        <f t="shared" si="38"/>
        <v>0</v>
      </c>
      <c r="BL87" s="39">
        <f t="shared" si="38"/>
        <v>0</v>
      </c>
      <c r="BM87" s="39">
        <f t="shared" si="38"/>
        <v>0</v>
      </c>
      <c r="BN87" s="39">
        <f t="shared" si="38"/>
        <v>0</v>
      </c>
      <c r="BO87" s="39">
        <f t="shared" si="38"/>
        <v>0</v>
      </c>
      <c r="BP87" s="39">
        <f t="shared" si="38"/>
        <v>0</v>
      </c>
      <c r="BQ87" s="39">
        <f t="shared" si="38"/>
        <v>0</v>
      </c>
    </row>
    <row r="88" spans="2:69">
      <c r="B88" s="4"/>
      <c r="C88" s="3"/>
      <c r="D88" s="9" t="s">
        <v>126</v>
      </c>
      <c r="E88" s="8"/>
      <c r="F88" s="67"/>
      <c r="G88" s="67"/>
      <c r="H88" s="67"/>
      <c r="I88" s="67"/>
      <c r="J88" s="67"/>
      <c r="K88" s="1"/>
      <c r="L88" s="1"/>
      <c r="M88" s="1"/>
      <c r="N88" s="39"/>
      <c r="O88" s="39"/>
      <c r="P88" s="39"/>
      <c r="Q88" s="39"/>
      <c r="R88" s="39"/>
      <c r="S88" s="39">
        <f t="shared" si="29"/>
        <v>0</v>
      </c>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row>
    <row r="89" spans="2:69">
      <c r="B89" s="4"/>
      <c r="C89" s="5" t="s">
        <v>127</v>
      </c>
      <c r="D89" s="7"/>
      <c r="E89" s="8"/>
      <c r="F89" s="67"/>
      <c r="G89" s="67"/>
      <c r="H89" s="67"/>
      <c r="I89" s="67"/>
      <c r="J89" s="67"/>
      <c r="K89" s="1"/>
      <c r="L89" s="1"/>
      <c r="M89" s="1"/>
      <c r="N89" s="39">
        <f>SUM(N90:N94)</f>
        <v>0</v>
      </c>
      <c r="O89" s="39">
        <f t="shared" ref="O89:BQ89" si="39">SUM(O90:O94)</f>
        <v>74520</v>
      </c>
      <c r="P89" s="39">
        <f t="shared" si="39"/>
        <v>0</v>
      </c>
      <c r="Q89" s="39">
        <f t="shared" si="39"/>
        <v>0</v>
      </c>
      <c r="R89" s="39">
        <f t="shared" si="39"/>
        <v>0</v>
      </c>
      <c r="S89" s="39">
        <f t="shared" si="29"/>
        <v>14904</v>
      </c>
      <c r="T89" s="39" t="e">
        <f t="shared" si="39"/>
        <v>#REF!</v>
      </c>
      <c r="U89" s="39" t="e">
        <f t="shared" si="39"/>
        <v>#REF!</v>
      </c>
      <c r="V89" s="39" t="e">
        <f t="shared" si="39"/>
        <v>#REF!</v>
      </c>
      <c r="W89" s="39" t="e">
        <f t="shared" si="39"/>
        <v>#REF!</v>
      </c>
      <c r="X89" s="39" t="e">
        <f t="shared" si="39"/>
        <v>#REF!</v>
      </c>
      <c r="Y89" s="39" t="e">
        <f t="shared" si="39"/>
        <v>#REF!</v>
      </c>
      <c r="Z89" s="39" t="e">
        <f t="shared" si="39"/>
        <v>#REF!</v>
      </c>
      <c r="AA89" s="39" t="e">
        <f t="shared" si="39"/>
        <v>#REF!</v>
      </c>
      <c r="AB89" s="39" t="e">
        <f t="shared" si="39"/>
        <v>#REF!</v>
      </c>
      <c r="AC89" s="39" t="e">
        <f t="shared" si="39"/>
        <v>#REF!</v>
      </c>
      <c r="AD89" s="39" t="e">
        <f t="shared" si="39"/>
        <v>#REF!</v>
      </c>
      <c r="AE89" s="39" t="e">
        <f t="shared" si="39"/>
        <v>#REF!</v>
      </c>
      <c r="AF89" s="39" t="e">
        <f t="shared" si="39"/>
        <v>#REF!</v>
      </c>
      <c r="AG89" s="39" t="e">
        <f t="shared" si="39"/>
        <v>#REF!</v>
      </c>
      <c r="AH89" s="39" t="e">
        <f t="shared" si="39"/>
        <v>#REF!</v>
      </c>
      <c r="AI89" s="39" t="e">
        <f t="shared" si="39"/>
        <v>#REF!</v>
      </c>
      <c r="AJ89" s="39" t="e">
        <f t="shared" si="39"/>
        <v>#REF!</v>
      </c>
      <c r="AK89" s="39" t="e">
        <f t="shared" si="39"/>
        <v>#REF!</v>
      </c>
      <c r="AL89" s="39" t="e">
        <f t="shared" si="39"/>
        <v>#REF!</v>
      </c>
      <c r="AM89" s="39" t="e">
        <f t="shared" si="39"/>
        <v>#REF!</v>
      </c>
      <c r="AN89" s="39" t="e">
        <f t="shared" si="39"/>
        <v>#REF!</v>
      </c>
      <c r="AO89" s="39" t="e">
        <f t="shared" si="39"/>
        <v>#REF!</v>
      </c>
      <c r="AP89" s="39" t="e">
        <f t="shared" si="39"/>
        <v>#REF!</v>
      </c>
      <c r="AQ89" s="39" t="e">
        <f t="shared" si="39"/>
        <v>#REF!</v>
      </c>
      <c r="AR89" s="39" t="e">
        <f t="shared" si="39"/>
        <v>#REF!</v>
      </c>
      <c r="AS89" s="39" t="e">
        <f t="shared" si="39"/>
        <v>#REF!</v>
      </c>
      <c r="AT89" s="39" t="e">
        <f t="shared" si="39"/>
        <v>#REF!</v>
      </c>
      <c r="AU89" s="39" t="e">
        <f t="shared" si="39"/>
        <v>#REF!</v>
      </c>
      <c r="AV89" s="39" t="e">
        <f t="shared" si="39"/>
        <v>#REF!</v>
      </c>
      <c r="AW89" s="39" t="e">
        <f t="shared" si="39"/>
        <v>#REF!</v>
      </c>
      <c r="AX89" s="39" t="e">
        <f t="shared" si="39"/>
        <v>#REF!</v>
      </c>
      <c r="AY89" s="39" t="e">
        <f t="shared" si="39"/>
        <v>#REF!</v>
      </c>
      <c r="AZ89" s="39" t="e">
        <f t="shared" si="39"/>
        <v>#REF!</v>
      </c>
      <c r="BA89" s="39" t="e">
        <f t="shared" si="39"/>
        <v>#REF!</v>
      </c>
      <c r="BB89" s="39" t="e">
        <f t="shared" si="39"/>
        <v>#REF!</v>
      </c>
      <c r="BC89" s="39" t="e">
        <f t="shared" si="39"/>
        <v>#REF!</v>
      </c>
      <c r="BD89" s="39" t="e">
        <f t="shared" si="39"/>
        <v>#REF!</v>
      </c>
      <c r="BE89" s="39" t="e">
        <f t="shared" si="39"/>
        <v>#REF!</v>
      </c>
      <c r="BF89" s="39" t="e">
        <f t="shared" si="39"/>
        <v>#REF!</v>
      </c>
      <c r="BG89" s="39" t="e">
        <f t="shared" si="39"/>
        <v>#REF!</v>
      </c>
      <c r="BH89" s="39" t="e">
        <f t="shared" si="39"/>
        <v>#REF!</v>
      </c>
      <c r="BI89" s="39" t="e">
        <f t="shared" si="39"/>
        <v>#REF!</v>
      </c>
      <c r="BJ89" s="39" t="e">
        <f t="shared" si="39"/>
        <v>#REF!</v>
      </c>
      <c r="BK89" s="39">
        <f t="shared" si="39"/>
        <v>0</v>
      </c>
      <c r="BL89" s="39">
        <f t="shared" si="39"/>
        <v>0</v>
      </c>
      <c r="BM89" s="39">
        <f t="shared" si="39"/>
        <v>0</v>
      </c>
      <c r="BN89" s="39">
        <f t="shared" si="39"/>
        <v>0</v>
      </c>
      <c r="BO89" s="39">
        <f t="shared" si="39"/>
        <v>0</v>
      </c>
      <c r="BP89" s="39">
        <f t="shared" si="39"/>
        <v>0</v>
      </c>
      <c r="BQ89" s="39">
        <f t="shared" si="39"/>
        <v>0</v>
      </c>
    </row>
    <row r="90" spans="2:69">
      <c r="B90" s="4"/>
      <c r="C90" s="4"/>
      <c r="D90" s="9" t="s">
        <v>92</v>
      </c>
      <c r="E90" s="8"/>
      <c r="F90" s="67"/>
      <c r="G90" s="67"/>
      <c r="H90" s="67"/>
      <c r="I90" s="67"/>
      <c r="J90" s="67"/>
      <c r="K90" s="1"/>
      <c r="L90" s="1"/>
      <c r="M90" s="1"/>
      <c r="N90" s="39"/>
      <c r="O90" s="39"/>
      <c r="P90" s="39"/>
      <c r="Q90" s="39"/>
      <c r="R90" s="39"/>
      <c r="S90" s="39">
        <f t="shared" si="29"/>
        <v>0</v>
      </c>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row>
    <row r="91" spans="2:69">
      <c r="B91" s="4"/>
      <c r="C91" s="4"/>
      <c r="D91" s="9" t="s">
        <v>125</v>
      </c>
      <c r="E91" s="8"/>
      <c r="F91" s="67"/>
      <c r="G91" s="67"/>
      <c r="H91" s="67"/>
      <c r="I91" s="67"/>
      <c r="J91" s="67"/>
      <c r="K91" s="1" t="s">
        <v>249</v>
      </c>
      <c r="L91" s="1"/>
      <c r="M91" s="1"/>
      <c r="N91" s="39">
        <v>0</v>
      </c>
      <c r="O91" s="39">
        <v>74520</v>
      </c>
      <c r="P91" s="39">
        <v>0</v>
      </c>
      <c r="Q91" s="39">
        <v>0</v>
      </c>
      <c r="R91" s="39">
        <v>0</v>
      </c>
      <c r="S91" s="39">
        <f t="shared" si="29"/>
        <v>14904</v>
      </c>
      <c r="T91" s="39" t="e">
        <f>(T123+T124)*1000000</f>
        <v>#REF!</v>
      </c>
      <c r="U91" s="39" t="e">
        <f t="shared" ref="U91:BQ91" si="40">(U123+U124)*1000000</f>
        <v>#REF!</v>
      </c>
      <c r="V91" s="39" t="e">
        <f t="shared" si="40"/>
        <v>#REF!</v>
      </c>
      <c r="W91" s="39" t="e">
        <f t="shared" si="40"/>
        <v>#REF!</v>
      </c>
      <c r="X91" s="39" t="e">
        <f t="shared" si="40"/>
        <v>#REF!</v>
      </c>
      <c r="Y91" s="39" t="e">
        <f t="shared" si="40"/>
        <v>#REF!</v>
      </c>
      <c r="Z91" s="39" t="e">
        <f t="shared" si="40"/>
        <v>#REF!</v>
      </c>
      <c r="AA91" s="39" t="e">
        <f t="shared" si="40"/>
        <v>#REF!</v>
      </c>
      <c r="AB91" s="39" t="e">
        <f t="shared" si="40"/>
        <v>#REF!</v>
      </c>
      <c r="AC91" s="39" t="e">
        <f t="shared" si="40"/>
        <v>#REF!</v>
      </c>
      <c r="AD91" s="39" t="e">
        <f t="shared" si="40"/>
        <v>#REF!</v>
      </c>
      <c r="AE91" s="39" t="e">
        <f t="shared" si="40"/>
        <v>#REF!</v>
      </c>
      <c r="AF91" s="39" t="e">
        <f t="shared" si="40"/>
        <v>#REF!</v>
      </c>
      <c r="AG91" s="39" t="e">
        <f t="shared" si="40"/>
        <v>#REF!</v>
      </c>
      <c r="AH91" s="39" t="e">
        <f t="shared" si="40"/>
        <v>#REF!</v>
      </c>
      <c r="AI91" s="39" t="e">
        <f t="shared" si="40"/>
        <v>#REF!</v>
      </c>
      <c r="AJ91" s="39" t="e">
        <f t="shared" si="40"/>
        <v>#REF!</v>
      </c>
      <c r="AK91" s="39" t="e">
        <f t="shared" si="40"/>
        <v>#REF!</v>
      </c>
      <c r="AL91" s="39" t="e">
        <f t="shared" si="40"/>
        <v>#REF!</v>
      </c>
      <c r="AM91" s="39" t="e">
        <f t="shared" si="40"/>
        <v>#REF!</v>
      </c>
      <c r="AN91" s="39" t="e">
        <f t="shared" si="40"/>
        <v>#REF!</v>
      </c>
      <c r="AO91" s="39" t="e">
        <f t="shared" si="40"/>
        <v>#REF!</v>
      </c>
      <c r="AP91" s="39" t="e">
        <f t="shared" si="40"/>
        <v>#REF!</v>
      </c>
      <c r="AQ91" s="39" t="e">
        <f t="shared" si="40"/>
        <v>#REF!</v>
      </c>
      <c r="AR91" s="39" t="e">
        <f t="shared" si="40"/>
        <v>#REF!</v>
      </c>
      <c r="AS91" s="39" t="e">
        <f t="shared" si="40"/>
        <v>#REF!</v>
      </c>
      <c r="AT91" s="39" t="e">
        <f t="shared" si="40"/>
        <v>#REF!</v>
      </c>
      <c r="AU91" s="39" t="e">
        <f t="shared" si="40"/>
        <v>#REF!</v>
      </c>
      <c r="AV91" s="39" t="e">
        <f t="shared" si="40"/>
        <v>#REF!</v>
      </c>
      <c r="AW91" s="39" t="e">
        <f t="shared" si="40"/>
        <v>#REF!</v>
      </c>
      <c r="AX91" s="39" t="e">
        <f t="shared" si="40"/>
        <v>#REF!</v>
      </c>
      <c r="AY91" s="39" t="e">
        <f t="shared" si="40"/>
        <v>#REF!</v>
      </c>
      <c r="AZ91" s="39" t="e">
        <f t="shared" si="40"/>
        <v>#REF!</v>
      </c>
      <c r="BA91" s="39" t="e">
        <f t="shared" si="40"/>
        <v>#REF!</v>
      </c>
      <c r="BB91" s="39" t="e">
        <f t="shared" si="40"/>
        <v>#REF!</v>
      </c>
      <c r="BC91" s="39" t="e">
        <f t="shared" si="40"/>
        <v>#REF!</v>
      </c>
      <c r="BD91" s="39" t="e">
        <f t="shared" si="40"/>
        <v>#REF!</v>
      </c>
      <c r="BE91" s="39" t="e">
        <f t="shared" si="40"/>
        <v>#REF!</v>
      </c>
      <c r="BF91" s="39" t="e">
        <f t="shared" si="40"/>
        <v>#REF!</v>
      </c>
      <c r="BG91" s="39" t="e">
        <f t="shared" si="40"/>
        <v>#REF!</v>
      </c>
      <c r="BH91" s="39" t="e">
        <f t="shared" si="40"/>
        <v>#REF!</v>
      </c>
      <c r="BI91" s="39" t="e">
        <f t="shared" si="40"/>
        <v>#REF!</v>
      </c>
      <c r="BJ91" s="39" t="e">
        <f t="shared" si="40"/>
        <v>#REF!</v>
      </c>
      <c r="BK91" s="39">
        <f t="shared" si="40"/>
        <v>0</v>
      </c>
      <c r="BL91" s="39">
        <f t="shared" si="40"/>
        <v>0</v>
      </c>
      <c r="BM91" s="39">
        <f t="shared" si="40"/>
        <v>0</v>
      </c>
      <c r="BN91" s="39">
        <f t="shared" si="40"/>
        <v>0</v>
      </c>
      <c r="BO91" s="39">
        <f t="shared" si="40"/>
        <v>0</v>
      </c>
      <c r="BP91" s="39">
        <f t="shared" si="40"/>
        <v>0</v>
      </c>
      <c r="BQ91" s="39">
        <f t="shared" si="40"/>
        <v>0</v>
      </c>
    </row>
    <row r="92" spans="2:69">
      <c r="B92" s="4"/>
      <c r="C92" s="4"/>
      <c r="D92" s="9" t="s">
        <v>128</v>
      </c>
      <c r="E92" s="8"/>
      <c r="F92" s="67"/>
      <c r="G92" s="67"/>
      <c r="H92" s="67"/>
      <c r="I92" s="67"/>
      <c r="J92" s="67"/>
      <c r="K92" s="1"/>
      <c r="L92" s="1"/>
      <c r="M92" s="1"/>
      <c r="N92" s="39"/>
      <c r="O92" s="39"/>
      <c r="P92" s="39"/>
      <c r="Q92" s="39"/>
      <c r="R92" s="39"/>
      <c r="S92" s="39">
        <f t="shared" si="29"/>
        <v>0</v>
      </c>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row>
    <row r="93" spans="2:69">
      <c r="B93" s="4"/>
      <c r="C93" s="4"/>
      <c r="D93" s="9" t="s">
        <v>126</v>
      </c>
      <c r="E93" s="8"/>
      <c r="F93" s="67"/>
      <c r="G93" s="67"/>
      <c r="H93" s="67"/>
      <c r="I93" s="67"/>
      <c r="J93" s="67"/>
      <c r="K93" s="1"/>
      <c r="L93" s="1"/>
      <c r="M93" s="1"/>
      <c r="N93" s="39"/>
      <c r="O93" s="39"/>
      <c r="P93" s="39"/>
      <c r="Q93" s="39"/>
      <c r="R93" s="39"/>
      <c r="S93" s="39">
        <f t="shared" si="29"/>
        <v>0</v>
      </c>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row>
    <row r="94" spans="2:69">
      <c r="B94" s="4"/>
      <c r="C94" s="3"/>
      <c r="D94" s="9" t="s">
        <v>129</v>
      </c>
      <c r="E94" s="8"/>
      <c r="F94" s="67"/>
      <c r="G94" s="67"/>
      <c r="H94" s="67"/>
      <c r="I94" s="67"/>
      <c r="J94" s="67"/>
      <c r="K94" s="1"/>
      <c r="L94" s="1"/>
      <c r="M94" s="1"/>
      <c r="N94" s="39"/>
      <c r="O94" s="39"/>
      <c r="P94" s="39"/>
      <c r="Q94" s="39"/>
      <c r="R94" s="39"/>
      <c r="S94" s="39">
        <f t="shared" si="29"/>
        <v>0</v>
      </c>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row>
    <row r="95" spans="2:69">
      <c r="B95" s="4"/>
      <c r="C95" s="2" t="s">
        <v>130</v>
      </c>
      <c r="D95" s="1"/>
      <c r="E95" s="1"/>
      <c r="F95" s="67"/>
      <c r="G95" s="67"/>
      <c r="H95" s="67"/>
      <c r="I95" s="67"/>
      <c r="J95" s="67"/>
      <c r="K95" s="1"/>
      <c r="L95" s="1"/>
      <c r="M95" s="1"/>
      <c r="N95" s="39">
        <f>SUM(N96:N97)</f>
        <v>0</v>
      </c>
      <c r="O95" s="39">
        <f t="shared" ref="O95:BQ95" si="41">SUM(O96:O97)</f>
        <v>0</v>
      </c>
      <c r="P95" s="39">
        <f t="shared" si="41"/>
        <v>0</v>
      </c>
      <c r="Q95" s="39">
        <f t="shared" si="41"/>
        <v>0</v>
      </c>
      <c r="R95" s="39">
        <f t="shared" si="41"/>
        <v>0</v>
      </c>
      <c r="S95" s="39">
        <f t="shared" si="29"/>
        <v>0</v>
      </c>
      <c r="T95" s="39">
        <f t="shared" si="41"/>
        <v>106087</v>
      </c>
      <c r="U95" s="39">
        <f t="shared" si="41"/>
        <v>4530942</v>
      </c>
      <c r="V95" s="39">
        <f t="shared" si="41"/>
        <v>7910777</v>
      </c>
      <c r="W95" s="39">
        <f t="shared" si="41"/>
        <v>15334887</v>
      </c>
      <c r="X95" s="39">
        <f t="shared" si="41"/>
        <v>22050921</v>
      </c>
      <c r="Y95" s="39">
        <f t="shared" si="41"/>
        <v>28234419</v>
      </c>
      <c r="Z95" s="39">
        <f t="shared" si="41"/>
        <v>32666714</v>
      </c>
      <c r="AA95" s="39">
        <f t="shared" si="41"/>
        <v>37192087</v>
      </c>
      <c r="AB95" s="39">
        <f t="shared" si="41"/>
        <v>42622487</v>
      </c>
      <c r="AC95" s="39">
        <f t="shared" si="41"/>
        <v>49138919</v>
      </c>
      <c r="AD95" s="39">
        <f t="shared" si="41"/>
        <v>54496206</v>
      </c>
      <c r="AE95" s="39">
        <f t="shared" si="41"/>
        <v>58670006</v>
      </c>
      <c r="AF95" s="39">
        <f t="shared" si="41"/>
        <v>62445456</v>
      </c>
      <c r="AG95" s="39">
        <f t="shared" si="41"/>
        <v>66300193</v>
      </c>
      <c r="AH95" s="39">
        <f t="shared" si="41"/>
        <v>76391834</v>
      </c>
      <c r="AI95" s="39">
        <f t="shared" si="41"/>
        <v>86695401</v>
      </c>
      <c r="AJ95" s="39">
        <f t="shared" si="41"/>
        <v>97215343</v>
      </c>
      <c r="AK95" s="39">
        <f t="shared" si="41"/>
        <v>107956201</v>
      </c>
      <c r="AL95" s="39">
        <f t="shared" si="41"/>
        <v>119408616</v>
      </c>
      <c r="AM95" s="39">
        <f t="shared" si="41"/>
        <v>131474127</v>
      </c>
      <c r="AN95" s="39">
        <f t="shared" si="41"/>
        <v>143793015</v>
      </c>
      <c r="AO95" s="39">
        <f t="shared" si="41"/>
        <v>156370600</v>
      </c>
      <c r="AP95" s="39">
        <f t="shared" si="41"/>
        <v>160464378</v>
      </c>
      <c r="AQ95" s="39">
        <f t="shared" si="41"/>
        <v>164644124</v>
      </c>
      <c r="AR95" s="39">
        <f t="shared" si="41"/>
        <v>168911643</v>
      </c>
      <c r="AS95" s="39">
        <f t="shared" si="41"/>
        <v>173268782</v>
      </c>
      <c r="AT95" s="39">
        <f t="shared" si="41"/>
        <v>177717420</v>
      </c>
      <c r="AU95" s="39">
        <f t="shared" si="41"/>
        <v>182259480</v>
      </c>
      <c r="AV95" s="39">
        <f t="shared" si="41"/>
        <v>186896924</v>
      </c>
      <c r="AW95" s="39">
        <f t="shared" si="41"/>
        <v>191631756</v>
      </c>
      <c r="AX95" s="39">
        <f t="shared" si="41"/>
        <v>196466016</v>
      </c>
      <c r="AY95" s="39">
        <f t="shared" si="41"/>
        <v>201401796</v>
      </c>
      <c r="AZ95" s="39">
        <f t="shared" si="41"/>
        <v>206441228</v>
      </c>
      <c r="BA95" s="39">
        <f t="shared" si="41"/>
        <v>211586490</v>
      </c>
      <c r="BB95" s="39">
        <f t="shared" si="41"/>
        <v>216839797</v>
      </c>
      <c r="BC95" s="39">
        <f t="shared" si="41"/>
        <v>222203425</v>
      </c>
      <c r="BD95" s="39">
        <f t="shared" si="41"/>
        <v>227679692</v>
      </c>
      <c r="BE95" s="39">
        <f t="shared" si="41"/>
        <v>233270959</v>
      </c>
      <c r="BF95" s="39">
        <f t="shared" si="41"/>
        <v>238979645</v>
      </c>
      <c r="BG95" s="39">
        <f t="shared" si="41"/>
        <v>244808211</v>
      </c>
      <c r="BH95" s="39">
        <f t="shared" si="41"/>
        <v>250759180</v>
      </c>
      <c r="BI95" s="39">
        <f t="shared" si="41"/>
        <v>247892265</v>
      </c>
      <c r="BJ95" s="39">
        <f t="shared" si="41"/>
        <v>246341539</v>
      </c>
      <c r="BK95" s="39">
        <f t="shared" si="41"/>
        <v>235634235</v>
      </c>
      <c r="BL95" s="39">
        <f t="shared" si="41"/>
        <v>225628201</v>
      </c>
      <c r="BM95" s="39">
        <f t="shared" si="41"/>
        <v>215970039</v>
      </c>
      <c r="BN95" s="39">
        <f t="shared" si="41"/>
        <v>211689036</v>
      </c>
      <c r="BO95" s="39">
        <f t="shared" si="41"/>
        <v>207318131</v>
      </c>
      <c r="BP95" s="39">
        <f t="shared" si="41"/>
        <v>200995447</v>
      </c>
      <c r="BQ95" s="39">
        <f t="shared" si="41"/>
        <v>192307993</v>
      </c>
    </row>
    <row r="96" spans="2:69">
      <c r="B96" s="4"/>
      <c r="C96" s="4"/>
      <c r="D96" s="9" t="s">
        <v>105</v>
      </c>
      <c r="E96" s="8"/>
      <c r="F96" s="67"/>
      <c r="G96" s="67"/>
      <c r="H96" s="67"/>
      <c r="I96" s="67"/>
      <c r="J96" s="67"/>
      <c r="K96" s="1" t="s">
        <v>250</v>
      </c>
      <c r="L96" s="1"/>
      <c r="M96" s="1"/>
      <c r="N96" s="39"/>
      <c r="O96" s="39"/>
      <c r="P96" s="39"/>
      <c r="Q96" s="39"/>
      <c r="R96" s="39"/>
      <c r="S96" s="39">
        <f t="shared" si="29"/>
        <v>0</v>
      </c>
      <c r="T96" s="39">
        <v>106087</v>
      </c>
      <c r="U96" s="39">
        <v>636490</v>
      </c>
      <c r="V96" s="39">
        <v>639485</v>
      </c>
      <c r="W96" s="39">
        <v>642495</v>
      </c>
      <c r="X96" s="39">
        <v>537637</v>
      </c>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row>
    <row r="97" spans="2:69">
      <c r="B97" s="4"/>
      <c r="C97" s="3"/>
      <c r="D97" s="9" t="s">
        <v>131</v>
      </c>
      <c r="E97" s="8"/>
      <c r="F97" s="67"/>
      <c r="G97" s="67"/>
      <c r="H97" s="67"/>
      <c r="I97" s="67"/>
      <c r="J97" s="67"/>
      <c r="K97" s="1" t="s">
        <v>251</v>
      </c>
      <c r="L97" s="1"/>
      <c r="M97" s="1"/>
      <c r="N97" s="39"/>
      <c r="O97" s="39"/>
      <c r="P97" s="39"/>
      <c r="Q97" s="39"/>
      <c r="R97" s="39"/>
      <c r="S97" s="39">
        <f t="shared" si="29"/>
        <v>0</v>
      </c>
      <c r="T97" s="39">
        <f>新規債返済スケジュール!E2</f>
        <v>0</v>
      </c>
      <c r="U97" s="39">
        <f>新規債返済スケジュール!F2</f>
        <v>3894452</v>
      </c>
      <c r="V97" s="39">
        <f>新規債返済スケジュール!G2</f>
        <v>7271292</v>
      </c>
      <c r="W97" s="39">
        <f>新規債返済スケジュール!H2</f>
        <v>14692392</v>
      </c>
      <c r="X97" s="39">
        <f>新規債返済スケジュール!I2</f>
        <v>21513284</v>
      </c>
      <c r="Y97" s="39">
        <f>新規債返済スケジュール!J2</f>
        <v>28234419</v>
      </c>
      <c r="Z97" s="39">
        <f>新規債返済スケジュール!K2</f>
        <v>32666714</v>
      </c>
      <c r="AA97" s="39">
        <f>新規債返済スケジュール!L2</f>
        <v>37192087</v>
      </c>
      <c r="AB97" s="39">
        <f>新規債返済スケジュール!M2</f>
        <v>42622487</v>
      </c>
      <c r="AC97" s="39">
        <f>新規債返済スケジュール!N2</f>
        <v>49138919</v>
      </c>
      <c r="AD97" s="39">
        <f>新規債返済スケジュール!O2</f>
        <v>54496206</v>
      </c>
      <c r="AE97" s="39">
        <f>新規債返済スケジュール!P2</f>
        <v>58670006</v>
      </c>
      <c r="AF97" s="39">
        <f>新規債返済スケジュール!Q2</f>
        <v>62445456</v>
      </c>
      <c r="AG97" s="39">
        <f>新規債返済スケジュール!R2</f>
        <v>66300193</v>
      </c>
      <c r="AH97" s="39">
        <f>新規債返済スケジュール!S2</f>
        <v>76391834</v>
      </c>
      <c r="AI97" s="39">
        <f>新規債返済スケジュール!T2</f>
        <v>86695401</v>
      </c>
      <c r="AJ97" s="39">
        <f>新規債返済スケジュール!U2</f>
        <v>97215343</v>
      </c>
      <c r="AK97" s="39">
        <f>新規債返済スケジュール!V2</f>
        <v>107956201</v>
      </c>
      <c r="AL97" s="39">
        <f>新規債返済スケジュール!W2</f>
        <v>119408616</v>
      </c>
      <c r="AM97" s="39">
        <f>新規債返済スケジュール!X2</f>
        <v>131474127</v>
      </c>
      <c r="AN97" s="39">
        <f>新規債返済スケジュール!Y2</f>
        <v>143793015</v>
      </c>
      <c r="AO97" s="39">
        <f>新規債返済スケジュール!Z2</f>
        <v>156370600</v>
      </c>
      <c r="AP97" s="39">
        <f>新規債返済スケジュール!AA2</f>
        <v>160464378</v>
      </c>
      <c r="AQ97" s="39">
        <f>新規債返済スケジュール!AB2</f>
        <v>164644124</v>
      </c>
      <c r="AR97" s="39">
        <f>新規債返済スケジュール!AC2</f>
        <v>168911643</v>
      </c>
      <c r="AS97" s="39">
        <f>新規債返済スケジュール!AD2</f>
        <v>173268782</v>
      </c>
      <c r="AT97" s="39">
        <f>新規債返済スケジュール!AE2</f>
        <v>177717420</v>
      </c>
      <c r="AU97" s="39">
        <f>新規債返済スケジュール!AF2</f>
        <v>182259480</v>
      </c>
      <c r="AV97" s="39">
        <f>新規債返済スケジュール!AG2</f>
        <v>186896924</v>
      </c>
      <c r="AW97" s="39">
        <f>新規債返済スケジュール!AH2</f>
        <v>191631756</v>
      </c>
      <c r="AX97" s="39">
        <f>新規債返済スケジュール!AI2</f>
        <v>196466016</v>
      </c>
      <c r="AY97" s="39">
        <f>新規債返済スケジュール!AJ2</f>
        <v>201401796</v>
      </c>
      <c r="AZ97" s="39">
        <f>新規債返済スケジュール!AK2</f>
        <v>206441228</v>
      </c>
      <c r="BA97" s="39">
        <f>新規債返済スケジュール!AL2</f>
        <v>211586490</v>
      </c>
      <c r="BB97" s="39">
        <f>新規債返済スケジュール!AM2</f>
        <v>216839797</v>
      </c>
      <c r="BC97" s="39">
        <f>新規債返済スケジュール!AN2</f>
        <v>222203425</v>
      </c>
      <c r="BD97" s="39">
        <f>新規債返済スケジュール!AO2</f>
        <v>227679692</v>
      </c>
      <c r="BE97" s="39">
        <f>新規債返済スケジュール!AP2</f>
        <v>233270959</v>
      </c>
      <c r="BF97" s="39">
        <f>新規債返済スケジュール!AQ2</f>
        <v>238979645</v>
      </c>
      <c r="BG97" s="39">
        <f>新規債返済スケジュール!AR2</f>
        <v>244808211</v>
      </c>
      <c r="BH97" s="39">
        <f>新規債返済スケジュール!AS2</f>
        <v>250759180</v>
      </c>
      <c r="BI97" s="39">
        <f>新規債返済スケジュール!AT2</f>
        <v>247892265</v>
      </c>
      <c r="BJ97" s="39">
        <f>新規債返済スケジュール!AU2</f>
        <v>246341539</v>
      </c>
      <c r="BK97" s="39">
        <f>新規債返済スケジュール!AV2</f>
        <v>235634235</v>
      </c>
      <c r="BL97" s="39">
        <f>新規債返済スケジュール!AW2</f>
        <v>225628201</v>
      </c>
      <c r="BM97" s="39">
        <f>新規債返済スケジュール!AX2</f>
        <v>215970039</v>
      </c>
      <c r="BN97" s="39">
        <f>新規債返済スケジュール!AY2</f>
        <v>211689036</v>
      </c>
      <c r="BO97" s="39">
        <f>新規債返済スケジュール!AZ2</f>
        <v>207318131</v>
      </c>
      <c r="BP97" s="39">
        <f>新規債返済スケジュール!BA2</f>
        <v>200995447</v>
      </c>
      <c r="BQ97" s="39">
        <f>新規債返済スケジュール!BB2</f>
        <v>192307993</v>
      </c>
    </row>
    <row r="98" spans="2:69">
      <c r="B98" s="3"/>
      <c r="C98" s="1" t="s">
        <v>132</v>
      </c>
      <c r="D98" s="1"/>
      <c r="E98" s="1"/>
      <c r="F98" s="67"/>
      <c r="G98" s="67"/>
      <c r="H98" s="67"/>
      <c r="I98" s="67"/>
      <c r="J98" s="67"/>
      <c r="K98" s="1"/>
      <c r="L98" s="1"/>
      <c r="M98" s="1"/>
      <c r="N98" s="39"/>
      <c r="O98" s="39"/>
      <c r="P98" s="39"/>
      <c r="Q98" s="39"/>
      <c r="R98" s="39"/>
      <c r="S98" s="39">
        <f t="shared" si="29"/>
        <v>0</v>
      </c>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row>
    <row r="99" spans="2:69">
      <c r="B99" s="9" t="s">
        <v>133</v>
      </c>
      <c r="C99" s="7"/>
      <c r="D99" s="7"/>
      <c r="E99" s="8"/>
      <c r="F99" s="67"/>
      <c r="G99" s="67"/>
      <c r="H99" s="67"/>
      <c r="I99" s="67"/>
      <c r="J99" s="67"/>
      <c r="K99" s="1"/>
      <c r="L99" s="1"/>
      <c r="M99" s="1"/>
      <c r="N99" s="39">
        <f>N72-N79</f>
        <v>-2139000</v>
      </c>
      <c r="O99" s="39">
        <f t="shared" ref="O99:BQ99" si="42">O72-O79</f>
        <v>-74520</v>
      </c>
      <c r="P99" s="39">
        <f t="shared" si="42"/>
        <v>0</v>
      </c>
      <c r="Q99" s="39">
        <f t="shared" si="42"/>
        <v>0</v>
      </c>
      <c r="R99" s="39">
        <f t="shared" si="42"/>
        <v>0</v>
      </c>
      <c r="S99" s="39">
        <f t="shared" si="29"/>
        <v>-442704</v>
      </c>
      <c r="T99" s="39" t="e">
        <f>T72-T79</f>
        <v>#REF!</v>
      </c>
      <c r="U99" s="39" t="e">
        <f t="shared" si="42"/>
        <v>#REF!</v>
      </c>
      <c r="V99" s="39" t="e">
        <f t="shared" si="42"/>
        <v>#REF!</v>
      </c>
      <c r="W99" s="39" t="e">
        <f t="shared" si="42"/>
        <v>#REF!</v>
      </c>
      <c r="X99" s="39" t="e">
        <f t="shared" si="42"/>
        <v>#REF!</v>
      </c>
      <c r="Y99" s="39" t="e">
        <f t="shared" si="42"/>
        <v>#REF!</v>
      </c>
      <c r="Z99" s="39" t="e">
        <f t="shared" si="42"/>
        <v>#REF!</v>
      </c>
      <c r="AA99" s="39" t="e">
        <f t="shared" si="42"/>
        <v>#REF!</v>
      </c>
      <c r="AB99" s="39" t="e">
        <f t="shared" si="42"/>
        <v>#REF!</v>
      </c>
      <c r="AC99" s="39" t="e">
        <f t="shared" si="42"/>
        <v>#REF!</v>
      </c>
      <c r="AD99" s="39" t="e">
        <f t="shared" si="42"/>
        <v>#REF!</v>
      </c>
      <c r="AE99" s="39" t="e">
        <f t="shared" si="42"/>
        <v>#REF!</v>
      </c>
      <c r="AF99" s="39" t="e">
        <f t="shared" si="42"/>
        <v>#REF!</v>
      </c>
      <c r="AG99" s="39" t="e">
        <f t="shared" si="42"/>
        <v>#REF!</v>
      </c>
      <c r="AH99" s="39" t="e">
        <f t="shared" si="42"/>
        <v>#REF!</v>
      </c>
      <c r="AI99" s="39" t="e">
        <f t="shared" si="42"/>
        <v>#REF!</v>
      </c>
      <c r="AJ99" s="39" t="e">
        <f t="shared" si="42"/>
        <v>#REF!</v>
      </c>
      <c r="AK99" s="39" t="e">
        <f t="shared" si="42"/>
        <v>#REF!</v>
      </c>
      <c r="AL99" s="39" t="e">
        <f t="shared" si="42"/>
        <v>#REF!</v>
      </c>
      <c r="AM99" s="39" t="e">
        <f t="shared" si="42"/>
        <v>#REF!</v>
      </c>
      <c r="AN99" s="39" t="e">
        <f t="shared" si="42"/>
        <v>#REF!</v>
      </c>
      <c r="AO99" s="39" t="e">
        <f t="shared" si="42"/>
        <v>#REF!</v>
      </c>
      <c r="AP99" s="39" t="e">
        <f t="shared" si="42"/>
        <v>#REF!</v>
      </c>
      <c r="AQ99" s="39" t="e">
        <f t="shared" si="42"/>
        <v>#REF!</v>
      </c>
      <c r="AR99" s="39" t="e">
        <f t="shared" si="42"/>
        <v>#REF!</v>
      </c>
      <c r="AS99" s="39" t="e">
        <f t="shared" si="42"/>
        <v>#REF!</v>
      </c>
      <c r="AT99" s="39" t="e">
        <f t="shared" si="42"/>
        <v>#REF!</v>
      </c>
      <c r="AU99" s="39" t="e">
        <f t="shared" si="42"/>
        <v>#REF!</v>
      </c>
      <c r="AV99" s="39" t="e">
        <f t="shared" si="42"/>
        <v>#REF!</v>
      </c>
      <c r="AW99" s="39" t="e">
        <f t="shared" si="42"/>
        <v>#REF!</v>
      </c>
      <c r="AX99" s="39" t="e">
        <f t="shared" si="42"/>
        <v>#REF!</v>
      </c>
      <c r="AY99" s="39" t="e">
        <f t="shared" si="42"/>
        <v>#REF!</v>
      </c>
      <c r="AZ99" s="39" t="e">
        <f t="shared" si="42"/>
        <v>#REF!</v>
      </c>
      <c r="BA99" s="39" t="e">
        <f t="shared" si="42"/>
        <v>#REF!</v>
      </c>
      <c r="BB99" s="39" t="e">
        <f t="shared" si="42"/>
        <v>#REF!</v>
      </c>
      <c r="BC99" s="39" t="e">
        <f t="shared" si="42"/>
        <v>#REF!</v>
      </c>
      <c r="BD99" s="39" t="e">
        <f t="shared" si="42"/>
        <v>#REF!</v>
      </c>
      <c r="BE99" s="39" t="e">
        <f t="shared" si="42"/>
        <v>#REF!</v>
      </c>
      <c r="BF99" s="39" t="e">
        <f t="shared" si="42"/>
        <v>#REF!</v>
      </c>
      <c r="BG99" s="39" t="e">
        <f t="shared" si="42"/>
        <v>#REF!</v>
      </c>
      <c r="BH99" s="39" t="e">
        <f t="shared" si="42"/>
        <v>#REF!</v>
      </c>
      <c r="BI99" s="39" t="e">
        <f t="shared" si="42"/>
        <v>#REF!</v>
      </c>
      <c r="BJ99" s="39" t="e">
        <f t="shared" si="42"/>
        <v>#REF!</v>
      </c>
      <c r="BK99" s="39">
        <f t="shared" si="42"/>
        <v>-235634235</v>
      </c>
      <c r="BL99" s="39">
        <f t="shared" si="42"/>
        <v>-225628201</v>
      </c>
      <c r="BM99" s="39">
        <f t="shared" si="42"/>
        <v>-215970039</v>
      </c>
      <c r="BN99" s="39">
        <f t="shared" si="42"/>
        <v>-211689036</v>
      </c>
      <c r="BO99" s="39">
        <f t="shared" si="42"/>
        <v>-207318131</v>
      </c>
      <c r="BP99" s="39">
        <f t="shared" si="42"/>
        <v>-200995447</v>
      </c>
      <c r="BQ99" s="39">
        <f t="shared" si="42"/>
        <v>-192307993</v>
      </c>
    </row>
    <row r="101" spans="2:69">
      <c r="B101" t="s">
        <v>134</v>
      </c>
    </row>
    <row r="102" spans="2:69">
      <c r="B102" s="11" t="s">
        <v>1</v>
      </c>
      <c r="C102" s="11" t="s">
        <v>2</v>
      </c>
      <c r="D102" s="12" t="s">
        <v>3</v>
      </c>
      <c r="E102" s="13"/>
      <c r="F102" s="20" t="s">
        <v>4</v>
      </c>
      <c r="G102" s="14"/>
      <c r="H102" s="14"/>
      <c r="I102" s="15"/>
      <c r="J102" s="311" t="s">
        <v>162</v>
      </c>
      <c r="K102" s="11" t="s">
        <v>8</v>
      </c>
      <c r="L102" s="11" t="s">
        <v>9</v>
      </c>
      <c r="M102" s="11" t="s">
        <v>10</v>
      </c>
      <c r="N102" s="30" t="s">
        <v>11</v>
      </c>
      <c r="O102" s="31"/>
      <c r="P102" s="31"/>
      <c r="Q102" s="31"/>
      <c r="R102" s="32"/>
      <c r="S102" s="35" t="s">
        <v>177</v>
      </c>
      <c r="T102" s="33" t="s">
        <v>17</v>
      </c>
      <c r="U102" s="31"/>
      <c r="V102" s="31"/>
      <c r="W102" s="32"/>
      <c r="X102" s="34" t="s">
        <v>68</v>
      </c>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row>
    <row r="103" spans="2:69">
      <c r="B103" s="17"/>
      <c r="C103" s="17"/>
      <c r="D103" s="18"/>
      <c r="E103" s="19"/>
      <c r="F103" s="17"/>
      <c r="G103" s="16" t="s">
        <v>5</v>
      </c>
      <c r="H103" s="16" t="s">
        <v>6</v>
      </c>
      <c r="I103" s="16" t="s">
        <v>7</v>
      </c>
      <c r="J103" s="312"/>
      <c r="K103" s="17"/>
      <c r="L103" s="17"/>
      <c r="M103" s="17"/>
      <c r="N103" s="35" t="s">
        <v>12</v>
      </c>
      <c r="O103" s="35" t="s">
        <v>13</v>
      </c>
      <c r="P103" s="35" t="s">
        <v>14</v>
      </c>
      <c r="Q103" s="35" t="s">
        <v>15</v>
      </c>
      <c r="R103" s="35" t="s">
        <v>16</v>
      </c>
      <c r="S103" s="35"/>
      <c r="T103" s="35" t="s">
        <v>18</v>
      </c>
      <c r="U103" s="35" t="s">
        <v>19</v>
      </c>
      <c r="V103" s="35" t="s">
        <v>20</v>
      </c>
      <c r="W103" s="35" t="s">
        <v>21</v>
      </c>
      <c r="X103" s="35" t="s">
        <v>22</v>
      </c>
      <c r="Y103" s="35" t="s">
        <v>23</v>
      </c>
      <c r="Z103" s="35" t="s">
        <v>24</v>
      </c>
      <c r="AA103" s="35" t="s">
        <v>25</v>
      </c>
      <c r="AB103" s="35" t="s">
        <v>26</v>
      </c>
      <c r="AC103" s="35" t="s">
        <v>27</v>
      </c>
      <c r="AD103" s="35" t="s">
        <v>28</v>
      </c>
      <c r="AE103" s="35" t="s">
        <v>29</v>
      </c>
      <c r="AF103" s="35" t="s">
        <v>30</v>
      </c>
      <c r="AG103" s="35" t="s">
        <v>31</v>
      </c>
      <c r="AH103" s="35" t="s">
        <v>32</v>
      </c>
      <c r="AI103" s="35" t="s">
        <v>33</v>
      </c>
      <c r="AJ103" s="35" t="s">
        <v>34</v>
      </c>
      <c r="AK103" s="35" t="s">
        <v>35</v>
      </c>
      <c r="AL103" s="35" t="s">
        <v>36</v>
      </c>
      <c r="AM103" s="35" t="s">
        <v>37</v>
      </c>
      <c r="AN103" s="35" t="s">
        <v>38</v>
      </c>
      <c r="AO103" s="35" t="s">
        <v>39</v>
      </c>
      <c r="AP103" s="35" t="s">
        <v>40</v>
      </c>
      <c r="AQ103" s="35" t="s">
        <v>41</v>
      </c>
      <c r="AR103" s="35" t="s">
        <v>42</v>
      </c>
      <c r="AS103" s="35" t="s">
        <v>43</v>
      </c>
      <c r="AT103" s="35" t="s">
        <v>44</v>
      </c>
      <c r="AU103" s="35" t="s">
        <v>45</v>
      </c>
      <c r="AV103" s="35" t="s">
        <v>46</v>
      </c>
      <c r="AW103" s="35" t="s">
        <v>47</v>
      </c>
      <c r="AX103" s="35" t="s">
        <v>48</v>
      </c>
      <c r="AY103" s="35" t="s">
        <v>49</v>
      </c>
      <c r="AZ103" s="35" t="s">
        <v>50</v>
      </c>
      <c r="BA103" s="35" t="s">
        <v>51</v>
      </c>
      <c r="BB103" s="35" t="s">
        <v>52</v>
      </c>
      <c r="BC103" s="35" t="s">
        <v>53</v>
      </c>
      <c r="BD103" s="35" t="s">
        <v>54</v>
      </c>
      <c r="BE103" s="35" t="s">
        <v>55</v>
      </c>
      <c r="BF103" s="35" t="s">
        <v>56</v>
      </c>
      <c r="BG103" s="35" t="s">
        <v>57</v>
      </c>
      <c r="BH103" s="35" t="s">
        <v>58</v>
      </c>
      <c r="BI103" s="35" t="s">
        <v>59</v>
      </c>
      <c r="BJ103" s="35" t="s">
        <v>60</v>
      </c>
      <c r="BK103" s="35" t="s">
        <v>61</v>
      </c>
      <c r="BL103" s="35" t="s">
        <v>62</v>
      </c>
      <c r="BM103" s="35" t="s">
        <v>63</v>
      </c>
      <c r="BN103" s="35" t="s">
        <v>64</v>
      </c>
      <c r="BO103" s="35" t="s">
        <v>65</v>
      </c>
      <c r="BP103" s="35" t="s">
        <v>66</v>
      </c>
      <c r="BQ103" s="35" t="s">
        <v>67</v>
      </c>
    </row>
    <row r="104" spans="2:69">
      <c r="B104" s="9" t="s">
        <v>133</v>
      </c>
      <c r="C104" s="7"/>
      <c r="D104" s="7"/>
      <c r="E104" s="8"/>
      <c r="F104" s="67"/>
      <c r="G104" s="67"/>
      <c r="H104" s="67"/>
      <c r="I104" s="67"/>
      <c r="J104" s="67"/>
      <c r="K104" s="1"/>
      <c r="L104" s="1"/>
      <c r="M104" s="1"/>
      <c r="N104" s="39">
        <f>N99</f>
        <v>-2139000</v>
      </c>
      <c r="O104" s="39">
        <f t="shared" ref="O104:R104" si="43">O99</f>
        <v>-74520</v>
      </c>
      <c r="P104" s="39">
        <f t="shared" si="43"/>
        <v>0</v>
      </c>
      <c r="Q104" s="39">
        <f t="shared" si="43"/>
        <v>0</v>
      </c>
      <c r="R104" s="39">
        <f t="shared" si="43"/>
        <v>0</v>
      </c>
      <c r="S104" s="39">
        <f t="shared" ref="S104:S116" si="44">IFERROR(AVERAGE(N104:R104),0)</f>
        <v>-442704</v>
      </c>
      <c r="T104" s="39" t="e">
        <f t="shared" ref="T104:BQ104" si="45">T99</f>
        <v>#REF!</v>
      </c>
      <c r="U104" s="39" t="e">
        <f t="shared" si="45"/>
        <v>#REF!</v>
      </c>
      <c r="V104" s="39" t="e">
        <f t="shared" si="45"/>
        <v>#REF!</v>
      </c>
      <c r="W104" s="39" t="e">
        <f t="shared" si="45"/>
        <v>#REF!</v>
      </c>
      <c r="X104" s="39" t="e">
        <f t="shared" si="45"/>
        <v>#REF!</v>
      </c>
      <c r="Y104" s="39" t="e">
        <f t="shared" si="45"/>
        <v>#REF!</v>
      </c>
      <c r="Z104" s="39" t="e">
        <f t="shared" si="45"/>
        <v>#REF!</v>
      </c>
      <c r="AA104" s="39" t="e">
        <f t="shared" si="45"/>
        <v>#REF!</v>
      </c>
      <c r="AB104" s="39" t="e">
        <f t="shared" si="45"/>
        <v>#REF!</v>
      </c>
      <c r="AC104" s="39" t="e">
        <f t="shared" si="45"/>
        <v>#REF!</v>
      </c>
      <c r="AD104" s="39" t="e">
        <f t="shared" si="45"/>
        <v>#REF!</v>
      </c>
      <c r="AE104" s="39" t="e">
        <f t="shared" si="45"/>
        <v>#REF!</v>
      </c>
      <c r="AF104" s="39" t="e">
        <f t="shared" si="45"/>
        <v>#REF!</v>
      </c>
      <c r="AG104" s="39" t="e">
        <f t="shared" si="45"/>
        <v>#REF!</v>
      </c>
      <c r="AH104" s="39" t="e">
        <f t="shared" si="45"/>
        <v>#REF!</v>
      </c>
      <c r="AI104" s="39" t="e">
        <f t="shared" si="45"/>
        <v>#REF!</v>
      </c>
      <c r="AJ104" s="39" t="e">
        <f t="shared" si="45"/>
        <v>#REF!</v>
      </c>
      <c r="AK104" s="39" t="e">
        <f t="shared" si="45"/>
        <v>#REF!</v>
      </c>
      <c r="AL104" s="39" t="e">
        <f t="shared" si="45"/>
        <v>#REF!</v>
      </c>
      <c r="AM104" s="39" t="e">
        <f t="shared" si="45"/>
        <v>#REF!</v>
      </c>
      <c r="AN104" s="39" t="e">
        <f t="shared" si="45"/>
        <v>#REF!</v>
      </c>
      <c r="AO104" s="39" t="e">
        <f t="shared" si="45"/>
        <v>#REF!</v>
      </c>
      <c r="AP104" s="39" t="e">
        <f t="shared" si="45"/>
        <v>#REF!</v>
      </c>
      <c r="AQ104" s="39" t="e">
        <f t="shared" si="45"/>
        <v>#REF!</v>
      </c>
      <c r="AR104" s="39" t="e">
        <f t="shared" si="45"/>
        <v>#REF!</v>
      </c>
      <c r="AS104" s="39" t="e">
        <f t="shared" si="45"/>
        <v>#REF!</v>
      </c>
      <c r="AT104" s="39" t="e">
        <f t="shared" si="45"/>
        <v>#REF!</v>
      </c>
      <c r="AU104" s="39" t="e">
        <f t="shared" si="45"/>
        <v>#REF!</v>
      </c>
      <c r="AV104" s="39" t="e">
        <f t="shared" si="45"/>
        <v>#REF!</v>
      </c>
      <c r="AW104" s="39" t="e">
        <f t="shared" si="45"/>
        <v>#REF!</v>
      </c>
      <c r="AX104" s="39" t="e">
        <f t="shared" si="45"/>
        <v>#REF!</v>
      </c>
      <c r="AY104" s="39" t="e">
        <f t="shared" si="45"/>
        <v>#REF!</v>
      </c>
      <c r="AZ104" s="39" t="e">
        <f t="shared" si="45"/>
        <v>#REF!</v>
      </c>
      <c r="BA104" s="39" t="e">
        <f t="shared" si="45"/>
        <v>#REF!</v>
      </c>
      <c r="BB104" s="39" t="e">
        <f t="shared" si="45"/>
        <v>#REF!</v>
      </c>
      <c r="BC104" s="39" t="e">
        <f t="shared" si="45"/>
        <v>#REF!</v>
      </c>
      <c r="BD104" s="39" t="e">
        <f t="shared" si="45"/>
        <v>#REF!</v>
      </c>
      <c r="BE104" s="39" t="e">
        <f t="shared" si="45"/>
        <v>#REF!</v>
      </c>
      <c r="BF104" s="39" t="e">
        <f t="shared" si="45"/>
        <v>#REF!</v>
      </c>
      <c r="BG104" s="39" t="e">
        <f t="shared" si="45"/>
        <v>#REF!</v>
      </c>
      <c r="BH104" s="39" t="e">
        <f t="shared" si="45"/>
        <v>#REF!</v>
      </c>
      <c r="BI104" s="39" t="e">
        <f t="shared" si="45"/>
        <v>#REF!</v>
      </c>
      <c r="BJ104" s="39" t="e">
        <f t="shared" si="45"/>
        <v>#REF!</v>
      </c>
      <c r="BK104" s="39">
        <f t="shared" si="45"/>
        <v>-235634235</v>
      </c>
      <c r="BL104" s="39">
        <f t="shared" si="45"/>
        <v>-225628201</v>
      </c>
      <c r="BM104" s="39">
        <f t="shared" si="45"/>
        <v>-215970039</v>
      </c>
      <c r="BN104" s="39">
        <f t="shared" si="45"/>
        <v>-211689036</v>
      </c>
      <c r="BO104" s="39">
        <f t="shared" si="45"/>
        <v>-207318131</v>
      </c>
      <c r="BP104" s="39">
        <f t="shared" si="45"/>
        <v>-200995447</v>
      </c>
      <c r="BQ104" s="39">
        <f t="shared" si="45"/>
        <v>-192307993</v>
      </c>
    </row>
    <row r="105" spans="2:69">
      <c r="B105" s="308" t="s">
        <v>135</v>
      </c>
      <c r="C105" s="9" t="s">
        <v>136</v>
      </c>
      <c r="D105" s="7"/>
      <c r="E105" s="8"/>
      <c r="F105" s="67"/>
      <c r="G105" s="67"/>
      <c r="H105" s="67"/>
      <c r="I105" s="67"/>
      <c r="J105" s="67"/>
      <c r="K105" s="1"/>
      <c r="L105" s="1"/>
      <c r="M105" s="1"/>
      <c r="N105" s="39">
        <f>ROUND(SUM(N86:N87,N90:N92)-SUM(N86:N87,N90:N92)/1.08,0)</f>
        <v>158444</v>
      </c>
      <c r="O105" s="39">
        <f t="shared" ref="O105:R105" si="46">ROUND(SUM(O86:O87,O90:O92)-SUM(O86:O87,O90:O92)/1.08,0)</f>
        <v>5520</v>
      </c>
      <c r="P105" s="39">
        <f t="shared" si="46"/>
        <v>0</v>
      </c>
      <c r="Q105" s="39">
        <f t="shared" si="46"/>
        <v>0</v>
      </c>
      <c r="R105" s="39">
        <f t="shared" si="46"/>
        <v>0</v>
      </c>
      <c r="S105" s="39">
        <f t="shared" si="44"/>
        <v>32792.800000000003</v>
      </c>
      <c r="T105" s="39" t="e">
        <f>ROUND(SUM(T86:T87,T90:T92)-SUM(T86:T87,T90:T92)/1.09,0)</f>
        <v>#REF!</v>
      </c>
      <c r="U105" s="39" t="e">
        <f>ROUND(SUM(U86:U87,U90:U92)-SUM(U86:U87,U90:U92)/1.1,0)</f>
        <v>#REF!</v>
      </c>
      <c r="V105" s="39" t="e">
        <f t="shared" ref="V105:BQ105" si="47">ROUND(SUM(V86:V87,V90:V92)-SUM(V86:V87,V90:V92)/1.1,0)</f>
        <v>#REF!</v>
      </c>
      <c r="W105" s="39" t="e">
        <f t="shared" si="47"/>
        <v>#REF!</v>
      </c>
      <c r="X105" s="39" t="e">
        <f t="shared" si="47"/>
        <v>#REF!</v>
      </c>
      <c r="Y105" s="39" t="e">
        <f t="shared" si="47"/>
        <v>#REF!</v>
      </c>
      <c r="Z105" s="39" t="e">
        <f t="shared" si="47"/>
        <v>#REF!</v>
      </c>
      <c r="AA105" s="39" t="e">
        <f t="shared" si="47"/>
        <v>#REF!</v>
      </c>
      <c r="AB105" s="39" t="e">
        <f t="shared" si="47"/>
        <v>#REF!</v>
      </c>
      <c r="AC105" s="39" t="e">
        <f t="shared" si="47"/>
        <v>#REF!</v>
      </c>
      <c r="AD105" s="39" t="e">
        <f t="shared" si="47"/>
        <v>#REF!</v>
      </c>
      <c r="AE105" s="39" t="e">
        <f t="shared" si="47"/>
        <v>#REF!</v>
      </c>
      <c r="AF105" s="39" t="e">
        <f t="shared" si="47"/>
        <v>#REF!</v>
      </c>
      <c r="AG105" s="39" t="e">
        <f t="shared" si="47"/>
        <v>#REF!</v>
      </c>
      <c r="AH105" s="39" t="e">
        <f t="shared" si="47"/>
        <v>#REF!</v>
      </c>
      <c r="AI105" s="39" t="e">
        <f t="shared" si="47"/>
        <v>#REF!</v>
      </c>
      <c r="AJ105" s="39" t="e">
        <f t="shared" si="47"/>
        <v>#REF!</v>
      </c>
      <c r="AK105" s="39" t="e">
        <f t="shared" si="47"/>
        <v>#REF!</v>
      </c>
      <c r="AL105" s="39" t="e">
        <f t="shared" si="47"/>
        <v>#REF!</v>
      </c>
      <c r="AM105" s="39" t="e">
        <f t="shared" si="47"/>
        <v>#REF!</v>
      </c>
      <c r="AN105" s="39" t="e">
        <f t="shared" si="47"/>
        <v>#REF!</v>
      </c>
      <c r="AO105" s="39" t="e">
        <f t="shared" si="47"/>
        <v>#REF!</v>
      </c>
      <c r="AP105" s="39" t="e">
        <f t="shared" si="47"/>
        <v>#REF!</v>
      </c>
      <c r="AQ105" s="39" t="e">
        <f t="shared" si="47"/>
        <v>#REF!</v>
      </c>
      <c r="AR105" s="39" t="e">
        <f t="shared" si="47"/>
        <v>#REF!</v>
      </c>
      <c r="AS105" s="39" t="e">
        <f t="shared" si="47"/>
        <v>#REF!</v>
      </c>
      <c r="AT105" s="39" t="e">
        <f t="shared" si="47"/>
        <v>#REF!</v>
      </c>
      <c r="AU105" s="39" t="e">
        <f t="shared" si="47"/>
        <v>#REF!</v>
      </c>
      <c r="AV105" s="39" t="e">
        <f t="shared" si="47"/>
        <v>#REF!</v>
      </c>
      <c r="AW105" s="39" t="e">
        <f t="shared" si="47"/>
        <v>#REF!</v>
      </c>
      <c r="AX105" s="39" t="e">
        <f t="shared" si="47"/>
        <v>#REF!</v>
      </c>
      <c r="AY105" s="39" t="e">
        <f t="shared" si="47"/>
        <v>#REF!</v>
      </c>
      <c r="AZ105" s="39" t="e">
        <f t="shared" si="47"/>
        <v>#REF!</v>
      </c>
      <c r="BA105" s="39" t="e">
        <f t="shared" si="47"/>
        <v>#REF!</v>
      </c>
      <c r="BB105" s="39" t="e">
        <f t="shared" si="47"/>
        <v>#REF!</v>
      </c>
      <c r="BC105" s="39" t="e">
        <f t="shared" si="47"/>
        <v>#REF!</v>
      </c>
      <c r="BD105" s="39" t="e">
        <f t="shared" si="47"/>
        <v>#REF!</v>
      </c>
      <c r="BE105" s="39" t="e">
        <f t="shared" si="47"/>
        <v>#REF!</v>
      </c>
      <c r="BF105" s="39" t="e">
        <f t="shared" si="47"/>
        <v>#REF!</v>
      </c>
      <c r="BG105" s="39" t="e">
        <f t="shared" si="47"/>
        <v>#REF!</v>
      </c>
      <c r="BH105" s="39" t="e">
        <f t="shared" si="47"/>
        <v>#REF!</v>
      </c>
      <c r="BI105" s="39" t="e">
        <f t="shared" si="47"/>
        <v>#REF!</v>
      </c>
      <c r="BJ105" s="39" t="e">
        <f t="shared" si="47"/>
        <v>#REF!</v>
      </c>
      <c r="BK105" s="39">
        <f t="shared" si="47"/>
        <v>0</v>
      </c>
      <c r="BL105" s="39">
        <f t="shared" si="47"/>
        <v>0</v>
      </c>
      <c r="BM105" s="39">
        <f t="shared" si="47"/>
        <v>0</v>
      </c>
      <c r="BN105" s="39">
        <f t="shared" si="47"/>
        <v>0</v>
      </c>
      <c r="BO105" s="39">
        <f t="shared" si="47"/>
        <v>0</v>
      </c>
      <c r="BP105" s="39">
        <f t="shared" si="47"/>
        <v>0</v>
      </c>
      <c r="BQ105" s="39">
        <f t="shared" si="47"/>
        <v>0</v>
      </c>
    </row>
    <row r="106" spans="2:69">
      <c r="B106" s="309"/>
      <c r="C106" s="308" t="s">
        <v>137</v>
      </c>
      <c r="D106" s="9" t="s">
        <v>138</v>
      </c>
      <c r="E106" s="8"/>
      <c r="F106" s="67"/>
      <c r="G106" s="67"/>
      <c r="H106" s="67"/>
      <c r="I106" s="67"/>
      <c r="J106" s="67"/>
      <c r="K106" s="1"/>
      <c r="L106" s="1"/>
      <c r="M106" s="1"/>
      <c r="N106" s="39">
        <v>0</v>
      </c>
      <c r="O106" s="39" t="e">
        <f>N108</f>
        <v>#REF!</v>
      </c>
      <c r="P106" s="39" t="e">
        <f t="shared" ref="P106:R106" si="48">O108</f>
        <v>#REF!</v>
      </c>
      <c r="Q106" s="39" t="e">
        <f t="shared" si="48"/>
        <v>#REF!</v>
      </c>
      <c r="R106" s="39" t="e">
        <f t="shared" si="48"/>
        <v>#REF!</v>
      </c>
      <c r="S106" s="39">
        <f t="shared" si="44"/>
        <v>0</v>
      </c>
      <c r="T106" s="39">
        <v>0</v>
      </c>
      <c r="U106" s="39" t="e">
        <f>T108</f>
        <v>#REF!</v>
      </c>
      <c r="V106" s="39" t="e">
        <f t="shared" ref="V106:BQ106" si="49">U108</f>
        <v>#REF!</v>
      </c>
      <c r="W106" s="39" t="e">
        <f t="shared" si="49"/>
        <v>#REF!</v>
      </c>
      <c r="X106" s="39" t="e">
        <f t="shared" si="49"/>
        <v>#REF!</v>
      </c>
      <c r="Y106" s="39" t="e">
        <f t="shared" si="49"/>
        <v>#REF!</v>
      </c>
      <c r="Z106" s="39" t="e">
        <f t="shared" si="49"/>
        <v>#REF!</v>
      </c>
      <c r="AA106" s="39" t="e">
        <f t="shared" si="49"/>
        <v>#REF!</v>
      </c>
      <c r="AB106" s="39" t="e">
        <f t="shared" si="49"/>
        <v>#REF!</v>
      </c>
      <c r="AC106" s="39" t="e">
        <f t="shared" si="49"/>
        <v>#REF!</v>
      </c>
      <c r="AD106" s="39" t="e">
        <f t="shared" si="49"/>
        <v>#REF!</v>
      </c>
      <c r="AE106" s="39" t="e">
        <f t="shared" si="49"/>
        <v>#REF!</v>
      </c>
      <c r="AF106" s="39" t="e">
        <f t="shared" si="49"/>
        <v>#REF!</v>
      </c>
      <c r="AG106" s="39" t="e">
        <f t="shared" si="49"/>
        <v>#REF!</v>
      </c>
      <c r="AH106" s="39" t="e">
        <f t="shared" si="49"/>
        <v>#REF!</v>
      </c>
      <c r="AI106" s="39" t="e">
        <f t="shared" si="49"/>
        <v>#REF!</v>
      </c>
      <c r="AJ106" s="39" t="e">
        <f t="shared" si="49"/>
        <v>#REF!</v>
      </c>
      <c r="AK106" s="39" t="e">
        <f t="shared" si="49"/>
        <v>#REF!</v>
      </c>
      <c r="AL106" s="39" t="e">
        <f t="shared" si="49"/>
        <v>#REF!</v>
      </c>
      <c r="AM106" s="39" t="e">
        <f t="shared" si="49"/>
        <v>#REF!</v>
      </c>
      <c r="AN106" s="39" t="e">
        <f t="shared" si="49"/>
        <v>#REF!</v>
      </c>
      <c r="AO106" s="39" t="e">
        <f t="shared" si="49"/>
        <v>#REF!</v>
      </c>
      <c r="AP106" s="39" t="e">
        <f t="shared" si="49"/>
        <v>#REF!</v>
      </c>
      <c r="AQ106" s="39" t="e">
        <f t="shared" si="49"/>
        <v>#REF!</v>
      </c>
      <c r="AR106" s="39" t="e">
        <f t="shared" si="49"/>
        <v>#REF!</v>
      </c>
      <c r="AS106" s="39" t="e">
        <f t="shared" si="49"/>
        <v>#REF!</v>
      </c>
      <c r="AT106" s="39" t="e">
        <f t="shared" si="49"/>
        <v>#REF!</v>
      </c>
      <c r="AU106" s="39" t="e">
        <f t="shared" si="49"/>
        <v>#REF!</v>
      </c>
      <c r="AV106" s="39" t="e">
        <f t="shared" si="49"/>
        <v>#REF!</v>
      </c>
      <c r="AW106" s="39" t="e">
        <f t="shared" si="49"/>
        <v>#REF!</v>
      </c>
      <c r="AX106" s="39" t="e">
        <f t="shared" si="49"/>
        <v>#REF!</v>
      </c>
      <c r="AY106" s="39" t="e">
        <f t="shared" si="49"/>
        <v>#REF!</v>
      </c>
      <c r="AZ106" s="39" t="e">
        <f t="shared" si="49"/>
        <v>#REF!</v>
      </c>
      <c r="BA106" s="39" t="e">
        <f t="shared" si="49"/>
        <v>#REF!</v>
      </c>
      <c r="BB106" s="39" t="e">
        <f t="shared" si="49"/>
        <v>#REF!</v>
      </c>
      <c r="BC106" s="39" t="e">
        <f t="shared" si="49"/>
        <v>#REF!</v>
      </c>
      <c r="BD106" s="39" t="e">
        <f t="shared" si="49"/>
        <v>#REF!</v>
      </c>
      <c r="BE106" s="39" t="e">
        <f t="shared" si="49"/>
        <v>#REF!</v>
      </c>
      <c r="BF106" s="39" t="e">
        <f t="shared" si="49"/>
        <v>#REF!</v>
      </c>
      <c r="BG106" s="39" t="e">
        <f t="shared" si="49"/>
        <v>#REF!</v>
      </c>
      <c r="BH106" s="39" t="e">
        <f t="shared" si="49"/>
        <v>#REF!</v>
      </c>
      <c r="BI106" s="39" t="e">
        <f t="shared" si="49"/>
        <v>#REF!</v>
      </c>
      <c r="BJ106" s="39" t="e">
        <f t="shared" si="49"/>
        <v>#REF!</v>
      </c>
      <c r="BK106" s="39" t="e">
        <f t="shared" si="49"/>
        <v>#REF!</v>
      </c>
      <c r="BL106" s="39" t="e">
        <f t="shared" si="49"/>
        <v>#REF!</v>
      </c>
      <c r="BM106" s="39" t="e">
        <f t="shared" si="49"/>
        <v>#REF!</v>
      </c>
      <c r="BN106" s="39" t="e">
        <f t="shared" si="49"/>
        <v>#REF!</v>
      </c>
      <c r="BO106" s="39" t="e">
        <f t="shared" si="49"/>
        <v>#REF!</v>
      </c>
      <c r="BP106" s="39" t="e">
        <f t="shared" si="49"/>
        <v>#REF!</v>
      </c>
      <c r="BQ106" s="39" t="e">
        <f t="shared" si="49"/>
        <v>#REF!</v>
      </c>
    </row>
    <row r="107" spans="2:69">
      <c r="B107" s="309"/>
      <c r="C107" s="309"/>
      <c r="D107" s="9" t="s">
        <v>139</v>
      </c>
      <c r="E107" s="8"/>
      <c r="F107" s="67"/>
      <c r="G107" s="67"/>
      <c r="H107" s="67"/>
      <c r="I107" s="67"/>
      <c r="J107" s="67"/>
      <c r="K107" s="1"/>
      <c r="L107" s="1"/>
      <c r="M107" s="1"/>
      <c r="N107" s="39" t="e">
        <f>N67</f>
        <v>#REF!</v>
      </c>
      <c r="O107" s="39" t="e">
        <f>O67</f>
        <v>#REF!</v>
      </c>
      <c r="P107" s="39" t="e">
        <f t="shared" ref="P107:R107" si="50">P67</f>
        <v>#REF!</v>
      </c>
      <c r="Q107" s="39" t="e">
        <f t="shared" si="50"/>
        <v>#REF!</v>
      </c>
      <c r="R107" s="39" t="e">
        <f t="shared" si="50"/>
        <v>#REF!</v>
      </c>
      <c r="S107" s="39">
        <f t="shared" si="44"/>
        <v>0</v>
      </c>
      <c r="T107" s="39" t="e">
        <f>T67</f>
        <v>#REF!</v>
      </c>
      <c r="U107" s="39" t="e">
        <f t="shared" ref="U107:BQ107" si="51">U67</f>
        <v>#REF!</v>
      </c>
      <c r="V107" s="39" t="e">
        <f t="shared" si="51"/>
        <v>#REF!</v>
      </c>
      <c r="W107" s="39" t="e">
        <f t="shared" si="51"/>
        <v>#REF!</v>
      </c>
      <c r="X107" s="39" t="e">
        <f t="shared" si="51"/>
        <v>#REF!</v>
      </c>
      <c r="Y107" s="39" t="e">
        <f t="shared" si="51"/>
        <v>#REF!</v>
      </c>
      <c r="Z107" s="39" t="e">
        <f t="shared" si="51"/>
        <v>#REF!</v>
      </c>
      <c r="AA107" s="39" t="e">
        <f t="shared" si="51"/>
        <v>#REF!</v>
      </c>
      <c r="AB107" s="39" t="e">
        <f t="shared" si="51"/>
        <v>#REF!</v>
      </c>
      <c r="AC107" s="39" t="e">
        <f t="shared" si="51"/>
        <v>#REF!</v>
      </c>
      <c r="AD107" s="39" t="e">
        <f t="shared" si="51"/>
        <v>#REF!</v>
      </c>
      <c r="AE107" s="39" t="e">
        <f t="shared" si="51"/>
        <v>#REF!</v>
      </c>
      <c r="AF107" s="39" t="e">
        <f t="shared" si="51"/>
        <v>#REF!</v>
      </c>
      <c r="AG107" s="39" t="e">
        <f t="shared" si="51"/>
        <v>#REF!</v>
      </c>
      <c r="AH107" s="39" t="e">
        <f t="shared" si="51"/>
        <v>#REF!</v>
      </c>
      <c r="AI107" s="39" t="e">
        <f t="shared" si="51"/>
        <v>#REF!</v>
      </c>
      <c r="AJ107" s="39" t="e">
        <f t="shared" si="51"/>
        <v>#REF!</v>
      </c>
      <c r="AK107" s="39" t="e">
        <f t="shared" si="51"/>
        <v>#REF!</v>
      </c>
      <c r="AL107" s="39" t="e">
        <f t="shared" si="51"/>
        <v>#REF!</v>
      </c>
      <c r="AM107" s="39" t="e">
        <f t="shared" si="51"/>
        <v>#REF!</v>
      </c>
      <c r="AN107" s="39" t="e">
        <f t="shared" si="51"/>
        <v>#REF!</v>
      </c>
      <c r="AO107" s="39" t="e">
        <f t="shared" si="51"/>
        <v>#REF!</v>
      </c>
      <c r="AP107" s="39" t="e">
        <f t="shared" si="51"/>
        <v>#REF!</v>
      </c>
      <c r="AQ107" s="39" t="e">
        <f t="shared" si="51"/>
        <v>#REF!</v>
      </c>
      <c r="AR107" s="39" t="e">
        <f t="shared" si="51"/>
        <v>#REF!</v>
      </c>
      <c r="AS107" s="39" t="e">
        <f t="shared" si="51"/>
        <v>#REF!</v>
      </c>
      <c r="AT107" s="39" t="e">
        <f t="shared" si="51"/>
        <v>#REF!</v>
      </c>
      <c r="AU107" s="39" t="e">
        <f t="shared" si="51"/>
        <v>#REF!</v>
      </c>
      <c r="AV107" s="39" t="e">
        <f t="shared" si="51"/>
        <v>#REF!</v>
      </c>
      <c r="AW107" s="39" t="e">
        <f t="shared" si="51"/>
        <v>#REF!</v>
      </c>
      <c r="AX107" s="39" t="e">
        <f t="shared" si="51"/>
        <v>#REF!</v>
      </c>
      <c r="AY107" s="39" t="e">
        <f t="shared" si="51"/>
        <v>#REF!</v>
      </c>
      <c r="AZ107" s="39" t="e">
        <f t="shared" si="51"/>
        <v>#REF!</v>
      </c>
      <c r="BA107" s="39" t="e">
        <f t="shared" si="51"/>
        <v>#REF!</v>
      </c>
      <c r="BB107" s="39" t="e">
        <f t="shared" si="51"/>
        <v>#REF!</v>
      </c>
      <c r="BC107" s="39" t="e">
        <f t="shared" si="51"/>
        <v>#REF!</v>
      </c>
      <c r="BD107" s="39" t="e">
        <f t="shared" si="51"/>
        <v>#REF!</v>
      </c>
      <c r="BE107" s="39" t="e">
        <f t="shared" si="51"/>
        <v>#REF!</v>
      </c>
      <c r="BF107" s="39" t="e">
        <f t="shared" si="51"/>
        <v>#REF!</v>
      </c>
      <c r="BG107" s="39" t="e">
        <f t="shared" si="51"/>
        <v>#REF!</v>
      </c>
      <c r="BH107" s="39" t="e">
        <f t="shared" si="51"/>
        <v>#REF!</v>
      </c>
      <c r="BI107" s="39" t="e">
        <f t="shared" si="51"/>
        <v>#REF!</v>
      </c>
      <c r="BJ107" s="39" t="e">
        <f t="shared" si="51"/>
        <v>#REF!</v>
      </c>
      <c r="BK107" s="39" t="e">
        <f t="shared" si="51"/>
        <v>#REF!</v>
      </c>
      <c r="BL107" s="39" t="e">
        <f t="shared" si="51"/>
        <v>#REF!</v>
      </c>
      <c r="BM107" s="39" t="e">
        <f t="shared" si="51"/>
        <v>#REF!</v>
      </c>
      <c r="BN107" s="39" t="e">
        <f t="shared" si="51"/>
        <v>#REF!</v>
      </c>
      <c r="BO107" s="39" t="e">
        <f t="shared" si="51"/>
        <v>#REF!</v>
      </c>
      <c r="BP107" s="39" t="e">
        <f t="shared" si="51"/>
        <v>#REF!</v>
      </c>
      <c r="BQ107" s="39" t="e">
        <f t="shared" si="51"/>
        <v>#REF!</v>
      </c>
    </row>
    <row r="108" spans="2:69">
      <c r="B108" s="309"/>
      <c r="C108" s="310"/>
      <c r="D108" s="9" t="s">
        <v>140</v>
      </c>
      <c r="E108" s="8"/>
      <c r="F108" s="67"/>
      <c r="G108" s="67"/>
      <c r="H108" s="67"/>
      <c r="I108" s="67"/>
      <c r="J108" s="67"/>
      <c r="K108" s="1"/>
      <c r="L108" s="1"/>
      <c r="M108" s="1"/>
      <c r="N108" s="39" t="e">
        <f>SUM(N106:N107)</f>
        <v>#REF!</v>
      </c>
      <c r="O108" s="39" t="e">
        <f>SUM(O106:O107)</f>
        <v>#REF!</v>
      </c>
      <c r="P108" s="39" t="e">
        <f t="shared" ref="P108:R108" si="52">SUM(P106:P107)</f>
        <v>#REF!</v>
      </c>
      <c r="Q108" s="39" t="e">
        <f t="shared" si="52"/>
        <v>#REF!</v>
      </c>
      <c r="R108" s="39" t="e">
        <f t="shared" si="52"/>
        <v>#REF!</v>
      </c>
      <c r="S108" s="39">
        <f t="shared" si="44"/>
        <v>0</v>
      </c>
      <c r="T108" s="39" t="e">
        <f>SUM(T106:T107)</f>
        <v>#REF!</v>
      </c>
      <c r="U108" s="39" t="e">
        <f t="shared" ref="U108:BQ108" si="53">SUM(U106:U107)</f>
        <v>#REF!</v>
      </c>
      <c r="V108" s="39" t="e">
        <f t="shared" si="53"/>
        <v>#REF!</v>
      </c>
      <c r="W108" s="39" t="e">
        <f t="shared" si="53"/>
        <v>#REF!</v>
      </c>
      <c r="X108" s="39" t="e">
        <f t="shared" si="53"/>
        <v>#REF!</v>
      </c>
      <c r="Y108" s="39" t="e">
        <f t="shared" si="53"/>
        <v>#REF!</v>
      </c>
      <c r="Z108" s="39" t="e">
        <f t="shared" si="53"/>
        <v>#REF!</v>
      </c>
      <c r="AA108" s="39" t="e">
        <f t="shared" si="53"/>
        <v>#REF!</v>
      </c>
      <c r="AB108" s="39" t="e">
        <f t="shared" si="53"/>
        <v>#REF!</v>
      </c>
      <c r="AC108" s="39" t="e">
        <f t="shared" si="53"/>
        <v>#REF!</v>
      </c>
      <c r="AD108" s="39" t="e">
        <f t="shared" si="53"/>
        <v>#REF!</v>
      </c>
      <c r="AE108" s="39" t="e">
        <f t="shared" si="53"/>
        <v>#REF!</v>
      </c>
      <c r="AF108" s="39" t="e">
        <f t="shared" si="53"/>
        <v>#REF!</v>
      </c>
      <c r="AG108" s="39" t="e">
        <f t="shared" si="53"/>
        <v>#REF!</v>
      </c>
      <c r="AH108" s="39" t="e">
        <f t="shared" si="53"/>
        <v>#REF!</v>
      </c>
      <c r="AI108" s="39" t="e">
        <f t="shared" si="53"/>
        <v>#REF!</v>
      </c>
      <c r="AJ108" s="39" t="e">
        <f t="shared" si="53"/>
        <v>#REF!</v>
      </c>
      <c r="AK108" s="39" t="e">
        <f t="shared" si="53"/>
        <v>#REF!</v>
      </c>
      <c r="AL108" s="39" t="e">
        <f t="shared" si="53"/>
        <v>#REF!</v>
      </c>
      <c r="AM108" s="39" t="e">
        <f t="shared" si="53"/>
        <v>#REF!</v>
      </c>
      <c r="AN108" s="39" t="e">
        <f t="shared" si="53"/>
        <v>#REF!</v>
      </c>
      <c r="AO108" s="39" t="e">
        <f t="shared" si="53"/>
        <v>#REF!</v>
      </c>
      <c r="AP108" s="39" t="e">
        <f t="shared" si="53"/>
        <v>#REF!</v>
      </c>
      <c r="AQ108" s="39" t="e">
        <f t="shared" si="53"/>
        <v>#REF!</v>
      </c>
      <c r="AR108" s="39" t="e">
        <f t="shared" si="53"/>
        <v>#REF!</v>
      </c>
      <c r="AS108" s="39" t="e">
        <f t="shared" si="53"/>
        <v>#REF!</v>
      </c>
      <c r="AT108" s="39" t="e">
        <f t="shared" si="53"/>
        <v>#REF!</v>
      </c>
      <c r="AU108" s="39" t="e">
        <f t="shared" si="53"/>
        <v>#REF!</v>
      </c>
      <c r="AV108" s="39" t="e">
        <f t="shared" si="53"/>
        <v>#REF!</v>
      </c>
      <c r="AW108" s="39" t="e">
        <f t="shared" si="53"/>
        <v>#REF!</v>
      </c>
      <c r="AX108" s="39" t="e">
        <f t="shared" si="53"/>
        <v>#REF!</v>
      </c>
      <c r="AY108" s="39" t="e">
        <f t="shared" si="53"/>
        <v>#REF!</v>
      </c>
      <c r="AZ108" s="39" t="e">
        <f t="shared" si="53"/>
        <v>#REF!</v>
      </c>
      <c r="BA108" s="39" t="e">
        <f t="shared" si="53"/>
        <v>#REF!</v>
      </c>
      <c r="BB108" s="39" t="e">
        <f t="shared" si="53"/>
        <v>#REF!</v>
      </c>
      <c r="BC108" s="39" t="e">
        <f t="shared" si="53"/>
        <v>#REF!</v>
      </c>
      <c r="BD108" s="39" t="e">
        <f t="shared" si="53"/>
        <v>#REF!</v>
      </c>
      <c r="BE108" s="39" t="e">
        <f t="shared" si="53"/>
        <v>#REF!</v>
      </c>
      <c r="BF108" s="39" t="e">
        <f t="shared" si="53"/>
        <v>#REF!</v>
      </c>
      <c r="BG108" s="39" t="e">
        <f t="shared" si="53"/>
        <v>#REF!</v>
      </c>
      <c r="BH108" s="39" t="e">
        <f t="shared" si="53"/>
        <v>#REF!</v>
      </c>
      <c r="BI108" s="39" t="e">
        <f t="shared" si="53"/>
        <v>#REF!</v>
      </c>
      <c r="BJ108" s="39" t="e">
        <f t="shared" si="53"/>
        <v>#REF!</v>
      </c>
      <c r="BK108" s="39" t="e">
        <f t="shared" si="53"/>
        <v>#REF!</v>
      </c>
      <c r="BL108" s="39" t="e">
        <f t="shared" si="53"/>
        <v>#REF!</v>
      </c>
      <c r="BM108" s="39" t="e">
        <f t="shared" si="53"/>
        <v>#REF!</v>
      </c>
      <c r="BN108" s="39" t="e">
        <f t="shared" si="53"/>
        <v>#REF!</v>
      </c>
      <c r="BO108" s="39" t="e">
        <f t="shared" si="53"/>
        <v>#REF!</v>
      </c>
      <c r="BP108" s="39" t="e">
        <f t="shared" si="53"/>
        <v>#REF!</v>
      </c>
      <c r="BQ108" s="39" t="e">
        <f t="shared" si="53"/>
        <v>#REF!</v>
      </c>
    </row>
    <row r="109" spans="2:69">
      <c r="B109" s="309"/>
      <c r="C109" s="308" t="s">
        <v>141</v>
      </c>
      <c r="D109" s="9" t="s">
        <v>142</v>
      </c>
      <c r="E109" s="8"/>
      <c r="F109" s="67"/>
      <c r="G109" s="67"/>
      <c r="H109" s="67"/>
      <c r="I109" s="67"/>
      <c r="J109" s="67"/>
      <c r="K109" s="1"/>
      <c r="L109" s="1"/>
      <c r="M109" s="1"/>
      <c r="N109" s="39">
        <v>0</v>
      </c>
      <c r="O109" s="39" t="e">
        <f>N113</f>
        <v>#REF!</v>
      </c>
      <c r="P109" s="39" t="e">
        <f t="shared" ref="P109:R109" si="54">O113</f>
        <v>#REF!</v>
      </c>
      <c r="Q109" s="39" t="e">
        <f t="shared" si="54"/>
        <v>#REF!</v>
      </c>
      <c r="R109" s="39" t="e">
        <f t="shared" si="54"/>
        <v>#REF!</v>
      </c>
      <c r="S109" s="39">
        <f t="shared" si="44"/>
        <v>0</v>
      </c>
      <c r="T109" s="39" t="e">
        <f>R113</f>
        <v>#REF!</v>
      </c>
      <c r="U109" s="39" t="e">
        <f t="shared" ref="U109:BQ109" si="55">T113</f>
        <v>#REF!</v>
      </c>
      <c r="V109" s="39" t="e">
        <f>U113</f>
        <v>#REF!</v>
      </c>
      <c r="W109" s="39" t="e">
        <f t="shared" si="55"/>
        <v>#REF!</v>
      </c>
      <c r="X109" s="39" t="e">
        <f t="shared" si="55"/>
        <v>#REF!</v>
      </c>
      <c r="Y109" s="39" t="e">
        <f>X113</f>
        <v>#REF!</v>
      </c>
      <c r="Z109" s="39" t="e">
        <f t="shared" si="55"/>
        <v>#REF!</v>
      </c>
      <c r="AA109" s="39" t="e">
        <f t="shared" si="55"/>
        <v>#REF!</v>
      </c>
      <c r="AB109" s="39" t="e">
        <f t="shared" si="55"/>
        <v>#REF!</v>
      </c>
      <c r="AC109" s="39" t="e">
        <f t="shared" si="55"/>
        <v>#REF!</v>
      </c>
      <c r="AD109" s="39" t="e">
        <f t="shared" si="55"/>
        <v>#REF!</v>
      </c>
      <c r="AE109" s="39" t="e">
        <f t="shared" si="55"/>
        <v>#REF!</v>
      </c>
      <c r="AF109" s="39" t="e">
        <f t="shared" si="55"/>
        <v>#REF!</v>
      </c>
      <c r="AG109" s="39" t="e">
        <f t="shared" si="55"/>
        <v>#REF!</v>
      </c>
      <c r="AH109" s="39" t="e">
        <f t="shared" si="55"/>
        <v>#REF!</v>
      </c>
      <c r="AI109" s="39" t="e">
        <f t="shared" si="55"/>
        <v>#REF!</v>
      </c>
      <c r="AJ109" s="39" t="e">
        <f t="shared" si="55"/>
        <v>#REF!</v>
      </c>
      <c r="AK109" s="39" t="e">
        <f t="shared" si="55"/>
        <v>#REF!</v>
      </c>
      <c r="AL109" s="39" t="e">
        <f t="shared" si="55"/>
        <v>#REF!</v>
      </c>
      <c r="AM109" s="39" t="e">
        <f t="shared" si="55"/>
        <v>#REF!</v>
      </c>
      <c r="AN109" s="39" t="e">
        <f t="shared" si="55"/>
        <v>#REF!</v>
      </c>
      <c r="AO109" s="39" t="e">
        <f t="shared" si="55"/>
        <v>#REF!</v>
      </c>
      <c r="AP109" s="39" t="e">
        <f t="shared" si="55"/>
        <v>#REF!</v>
      </c>
      <c r="AQ109" s="39" t="e">
        <f t="shared" si="55"/>
        <v>#REF!</v>
      </c>
      <c r="AR109" s="39" t="e">
        <f t="shared" si="55"/>
        <v>#REF!</v>
      </c>
      <c r="AS109" s="39" t="e">
        <f t="shared" si="55"/>
        <v>#REF!</v>
      </c>
      <c r="AT109" s="39" t="e">
        <f t="shared" si="55"/>
        <v>#REF!</v>
      </c>
      <c r="AU109" s="39" t="e">
        <f t="shared" si="55"/>
        <v>#REF!</v>
      </c>
      <c r="AV109" s="39" t="e">
        <f t="shared" si="55"/>
        <v>#REF!</v>
      </c>
      <c r="AW109" s="39" t="e">
        <f t="shared" si="55"/>
        <v>#REF!</v>
      </c>
      <c r="AX109" s="39" t="e">
        <f t="shared" si="55"/>
        <v>#REF!</v>
      </c>
      <c r="AY109" s="39" t="e">
        <f t="shared" si="55"/>
        <v>#REF!</v>
      </c>
      <c r="AZ109" s="39" t="e">
        <f t="shared" si="55"/>
        <v>#REF!</v>
      </c>
      <c r="BA109" s="39" t="e">
        <f t="shared" si="55"/>
        <v>#REF!</v>
      </c>
      <c r="BB109" s="39" t="e">
        <f t="shared" si="55"/>
        <v>#REF!</v>
      </c>
      <c r="BC109" s="39" t="e">
        <f t="shared" si="55"/>
        <v>#REF!</v>
      </c>
      <c r="BD109" s="39" t="e">
        <f t="shared" si="55"/>
        <v>#REF!</v>
      </c>
      <c r="BE109" s="39" t="e">
        <f t="shared" si="55"/>
        <v>#REF!</v>
      </c>
      <c r="BF109" s="39" t="e">
        <f t="shared" si="55"/>
        <v>#REF!</v>
      </c>
      <c r="BG109" s="39" t="e">
        <f t="shared" si="55"/>
        <v>#REF!</v>
      </c>
      <c r="BH109" s="39" t="e">
        <f t="shared" si="55"/>
        <v>#REF!</v>
      </c>
      <c r="BI109" s="39" t="e">
        <f t="shared" si="55"/>
        <v>#REF!</v>
      </c>
      <c r="BJ109" s="39" t="e">
        <f t="shared" si="55"/>
        <v>#REF!</v>
      </c>
      <c r="BK109" s="39" t="e">
        <f t="shared" si="55"/>
        <v>#REF!</v>
      </c>
      <c r="BL109" s="39" t="e">
        <f t="shared" si="55"/>
        <v>#REF!</v>
      </c>
      <c r="BM109" s="39" t="e">
        <f t="shared" si="55"/>
        <v>#REF!</v>
      </c>
      <c r="BN109" s="39" t="e">
        <f t="shared" si="55"/>
        <v>#REF!</v>
      </c>
      <c r="BO109" s="39" t="e">
        <f t="shared" si="55"/>
        <v>#REF!</v>
      </c>
      <c r="BP109" s="39" t="e">
        <f t="shared" si="55"/>
        <v>#REF!</v>
      </c>
      <c r="BQ109" s="39" t="e">
        <f t="shared" si="55"/>
        <v>#REF!</v>
      </c>
    </row>
    <row r="110" spans="2:69">
      <c r="B110" s="309"/>
      <c r="C110" s="309"/>
      <c r="D110" s="308" t="s">
        <v>143</v>
      </c>
      <c r="E110" s="1" t="s">
        <v>101</v>
      </c>
      <c r="F110" s="67"/>
      <c r="G110" s="67"/>
      <c r="H110" s="67"/>
      <c r="I110" s="67"/>
      <c r="J110" s="67"/>
      <c r="K110" s="1"/>
      <c r="L110" s="1"/>
      <c r="M110" s="1"/>
      <c r="N110" s="39" t="e">
        <f>N51</f>
        <v>#REF!</v>
      </c>
      <c r="O110" s="39" t="e">
        <f>O51</f>
        <v>#REF!</v>
      </c>
      <c r="P110" s="39" t="e">
        <f t="shared" ref="P110:R110" si="56">P51</f>
        <v>#REF!</v>
      </c>
      <c r="Q110" s="39" t="e">
        <f t="shared" si="56"/>
        <v>#REF!</v>
      </c>
      <c r="R110" s="39" t="e">
        <f t="shared" si="56"/>
        <v>#REF!</v>
      </c>
      <c r="S110" s="39">
        <f t="shared" si="44"/>
        <v>0</v>
      </c>
      <c r="T110" s="39">
        <f>T51</f>
        <v>10539902</v>
      </c>
      <c r="U110" s="39">
        <f t="shared" ref="U110:BQ110" si="57">U51</f>
        <v>17673391</v>
      </c>
      <c r="V110" s="39">
        <f t="shared" si="57"/>
        <v>10582885</v>
      </c>
      <c r="W110" s="39">
        <f t="shared" si="57"/>
        <v>10582885</v>
      </c>
      <c r="X110" s="39">
        <f t="shared" si="57"/>
        <v>10567084</v>
      </c>
      <c r="Y110" s="39">
        <f t="shared" si="57"/>
        <v>10503880</v>
      </c>
      <c r="Z110" s="39">
        <f t="shared" si="57"/>
        <v>10445596</v>
      </c>
      <c r="AA110" s="39">
        <f t="shared" si="57"/>
        <v>16784631</v>
      </c>
      <c r="AB110" s="39">
        <f t="shared" si="57"/>
        <v>43889894</v>
      </c>
      <c r="AC110" s="39">
        <f t="shared" si="57"/>
        <v>56908006</v>
      </c>
      <c r="AD110" s="39">
        <f t="shared" si="57"/>
        <v>65941625</v>
      </c>
      <c r="AE110" s="39">
        <f t="shared" si="57"/>
        <v>76731099</v>
      </c>
      <c r="AF110" s="39">
        <f t="shared" si="57"/>
        <v>84888994</v>
      </c>
      <c r="AG110" s="39">
        <f t="shared" si="57"/>
        <v>94591616</v>
      </c>
      <c r="AH110" s="39">
        <f t="shared" si="57"/>
        <v>102149732</v>
      </c>
      <c r="AI110" s="39">
        <f t="shared" si="57"/>
        <v>106353669</v>
      </c>
      <c r="AJ110" s="39">
        <f t="shared" si="57"/>
        <v>108197980</v>
      </c>
      <c r="AK110" s="39">
        <f t="shared" si="57"/>
        <v>113163513</v>
      </c>
      <c r="AL110" s="39">
        <f t="shared" si="57"/>
        <v>127958645</v>
      </c>
      <c r="AM110" s="39">
        <f t="shared" si="57"/>
        <v>142355438</v>
      </c>
      <c r="AN110" s="39">
        <f t="shared" si="57"/>
        <v>156711720</v>
      </c>
      <c r="AO110" s="39">
        <f t="shared" si="57"/>
        <v>170765351</v>
      </c>
      <c r="AP110" s="39">
        <f t="shared" si="57"/>
        <v>186049669</v>
      </c>
      <c r="AQ110" s="39">
        <f t="shared" si="57"/>
        <v>201896416</v>
      </c>
      <c r="AR110" s="39">
        <f t="shared" si="57"/>
        <v>218146340</v>
      </c>
      <c r="AS110" s="39">
        <f t="shared" si="57"/>
        <v>234462129</v>
      </c>
      <c r="AT110" s="39">
        <f t="shared" si="57"/>
        <v>236567392</v>
      </c>
      <c r="AU110" s="39">
        <f t="shared" si="57"/>
        <v>238146339</v>
      </c>
      <c r="AV110" s="39">
        <f t="shared" si="57"/>
        <v>239725286</v>
      </c>
      <c r="AW110" s="39">
        <f t="shared" si="57"/>
        <v>241330549</v>
      </c>
      <c r="AX110" s="39">
        <f t="shared" si="57"/>
        <v>242935812</v>
      </c>
      <c r="AY110" s="39">
        <f t="shared" si="57"/>
        <v>244620023</v>
      </c>
      <c r="AZ110" s="39">
        <f t="shared" si="57"/>
        <v>246725286</v>
      </c>
      <c r="BA110" s="39">
        <f t="shared" si="57"/>
        <v>248830108</v>
      </c>
      <c r="BB110" s="39">
        <f t="shared" si="57"/>
        <v>250933957</v>
      </c>
      <c r="BC110" s="39">
        <f t="shared" si="57"/>
        <v>252512904</v>
      </c>
      <c r="BD110" s="39">
        <f t="shared" si="57"/>
        <v>253430911</v>
      </c>
      <c r="BE110" s="39">
        <f t="shared" si="57"/>
        <v>254885840</v>
      </c>
      <c r="BF110" s="39">
        <f t="shared" si="57"/>
        <v>256491103</v>
      </c>
      <c r="BG110" s="39">
        <f t="shared" si="57"/>
        <v>258175314</v>
      </c>
      <c r="BH110" s="39">
        <f t="shared" si="57"/>
        <v>260280577</v>
      </c>
      <c r="BI110" s="39">
        <f t="shared" si="57"/>
        <v>262385840</v>
      </c>
      <c r="BJ110" s="39">
        <f t="shared" si="57"/>
        <v>264491103</v>
      </c>
      <c r="BK110" s="39">
        <f t="shared" si="57"/>
        <v>266070050</v>
      </c>
      <c r="BL110" s="39">
        <f t="shared" si="57"/>
        <v>267648997</v>
      </c>
      <c r="BM110" s="39">
        <f t="shared" si="57"/>
        <v>262763165</v>
      </c>
      <c r="BN110" s="39">
        <f t="shared" si="57"/>
        <v>237263151</v>
      </c>
      <c r="BO110" s="39">
        <f t="shared" si="57"/>
        <v>225789471</v>
      </c>
      <c r="BP110" s="39">
        <f t="shared" si="57"/>
        <v>218421050</v>
      </c>
      <c r="BQ110" s="39">
        <f t="shared" si="57"/>
        <v>208157882</v>
      </c>
    </row>
    <row r="111" spans="2:69">
      <c r="B111" s="309"/>
      <c r="C111" s="309"/>
      <c r="D111" s="309"/>
      <c r="E111" s="1" t="s">
        <v>102</v>
      </c>
      <c r="F111" s="67"/>
      <c r="G111" s="67"/>
      <c r="H111" s="67"/>
      <c r="I111" s="67"/>
      <c r="J111" s="67"/>
      <c r="K111" s="1"/>
      <c r="L111" s="1"/>
      <c r="M111" s="1"/>
      <c r="N111" s="39" t="e">
        <f>N54</f>
        <v>#REF!</v>
      </c>
      <c r="O111" s="39" t="e">
        <f>O54</f>
        <v>#REF!</v>
      </c>
      <c r="P111" s="39" t="e">
        <f t="shared" ref="P111:R111" si="58">P54</f>
        <v>#REF!</v>
      </c>
      <c r="Q111" s="39" t="e">
        <f t="shared" si="58"/>
        <v>#REF!</v>
      </c>
      <c r="R111" s="39" t="e">
        <f t="shared" si="58"/>
        <v>#REF!</v>
      </c>
      <c r="S111" s="39">
        <f t="shared" si="44"/>
        <v>0</v>
      </c>
      <c r="T111" s="39">
        <f>T54</f>
        <v>0</v>
      </c>
      <c r="U111" s="39">
        <f t="shared" ref="U111:BQ111" si="59">U54</f>
        <v>0</v>
      </c>
      <c r="V111" s="39">
        <f t="shared" si="59"/>
        <v>0</v>
      </c>
      <c r="W111" s="39">
        <f t="shared" si="59"/>
        <v>0</v>
      </c>
      <c r="X111" s="39">
        <f t="shared" si="59"/>
        <v>0</v>
      </c>
      <c r="Y111" s="39">
        <f t="shared" si="59"/>
        <v>0</v>
      </c>
      <c r="Z111" s="39">
        <f t="shared" si="59"/>
        <v>0</v>
      </c>
      <c r="AA111" s="39">
        <f t="shared" si="59"/>
        <v>0</v>
      </c>
      <c r="AB111" s="39">
        <f t="shared" si="59"/>
        <v>0</v>
      </c>
      <c r="AC111" s="39">
        <f t="shared" si="59"/>
        <v>0</v>
      </c>
      <c r="AD111" s="39">
        <f t="shared" si="59"/>
        <v>0</v>
      </c>
      <c r="AE111" s="39">
        <f t="shared" si="59"/>
        <v>0</v>
      </c>
      <c r="AF111" s="39">
        <f t="shared" si="59"/>
        <v>0</v>
      </c>
      <c r="AG111" s="39">
        <f t="shared" si="59"/>
        <v>0</v>
      </c>
      <c r="AH111" s="39">
        <f t="shared" si="59"/>
        <v>0</v>
      </c>
      <c r="AI111" s="39">
        <f t="shared" si="59"/>
        <v>0</v>
      </c>
      <c r="AJ111" s="39">
        <f t="shared" si="59"/>
        <v>0</v>
      </c>
      <c r="AK111" s="39">
        <f t="shared" si="59"/>
        <v>0</v>
      </c>
      <c r="AL111" s="39">
        <f t="shared" si="59"/>
        <v>0</v>
      </c>
      <c r="AM111" s="39">
        <f t="shared" si="59"/>
        <v>0</v>
      </c>
      <c r="AN111" s="39">
        <f t="shared" si="59"/>
        <v>0</v>
      </c>
      <c r="AO111" s="39">
        <f t="shared" si="59"/>
        <v>0</v>
      </c>
      <c r="AP111" s="39">
        <f t="shared" si="59"/>
        <v>0</v>
      </c>
      <c r="AQ111" s="39">
        <f t="shared" si="59"/>
        <v>0</v>
      </c>
      <c r="AR111" s="39">
        <f t="shared" si="59"/>
        <v>0</v>
      </c>
      <c r="AS111" s="39">
        <f t="shared" si="59"/>
        <v>0</v>
      </c>
      <c r="AT111" s="39">
        <f t="shared" si="59"/>
        <v>0</v>
      </c>
      <c r="AU111" s="39">
        <f t="shared" si="59"/>
        <v>0</v>
      </c>
      <c r="AV111" s="39">
        <f t="shared" si="59"/>
        <v>0</v>
      </c>
      <c r="AW111" s="39">
        <f t="shared" si="59"/>
        <v>0</v>
      </c>
      <c r="AX111" s="39">
        <f t="shared" si="59"/>
        <v>0</v>
      </c>
      <c r="AY111" s="39">
        <f t="shared" si="59"/>
        <v>0</v>
      </c>
      <c r="AZ111" s="39">
        <f t="shared" si="59"/>
        <v>0</v>
      </c>
      <c r="BA111" s="39">
        <f t="shared" si="59"/>
        <v>0</v>
      </c>
      <c r="BB111" s="39">
        <f t="shared" si="59"/>
        <v>0</v>
      </c>
      <c r="BC111" s="39">
        <f t="shared" si="59"/>
        <v>0</v>
      </c>
      <c r="BD111" s="39">
        <f t="shared" si="59"/>
        <v>0</v>
      </c>
      <c r="BE111" s="39">
        <f t="shared" si="59"/>
        <v>0</v>
      </c>
      <c r="BF111" s="39">
        <f t="shared" si="59"/>
        <v>0</v>
      </c>
      <c r="BG111" s="39">
        <f t="shared" si="59"/>
        <v>0</v>
      </c>
      <c r="BH111" s="39">
        <f t="shared" si="59"/>
        <v>0</v>
      </c>
      <c r="BI111" s="39">
        <f t="shared" si="59"/>
        <v>0</v>
      </c>
      <c r="BJ111" s="39">
        <f t="shared" si="59"/>
        <v>0</v>
      </c>
      <c r="BK111" s="39">
        <f t="shared" si="59"/>
        <v>0</v>
      </c>
      <c r="BL111" s="39">
        <f t="shared" si="59"/>
        <v>0</v>
      </c>
      <c r="BM111" s="39">
        <f t="shared" si="59"/>
        <v>0</v>
      </c>
      <c r="BN111" s="39">
        <f t="shared" si="59"/>
        <v>0</v>
      </c>
      <c r="BO111" s="39">
        <f t="shared" si="59"/>
        <v>0</v>
      </c>
      <c r="BP111" s="39">
        <f t="shared" si="59"/>
        <v>0</v>
      </c>
      <c r="BQ111" s="39">
        <f t="shared" si="59"/>
        <v>0</v>
      </c>
    </row>
    <row r="112" spans="2:69">
      <c r="B112" s="309"/>
      <c r="C112" s="309"/>
      <c r="D112" s="310"/>
      <c r="E112" s="1" t="s">
        <v>144</v>
      </c>
      <c r="F112" s="67"/>
      <c r="G112" s="67"/>
      <c r="H112" s="67"/>
      <c r="I112" s="67"/>
      <c r="J112" s="67"/>
      <c r="K112" s="1"/>
      <c r="L112" s="1"/>
      <c r="M112" s="1"/>
      <c r="N112" s="39" t="e">
        <f>-N15</f>
        <v>#REF!</v>
      </c>
      <c r="O112" s="39" t="e">
        <f>-O15</f>
        <v>#REF!</v>
      </c>
      <c r="P112" s="39" t="e">
        <f t="shared" ref="P112:R112" si="60">-P15</f>
        <v>#REF!</v>
      </c>
      <c r="Q112" s="39" t="e">
        <f t="shared" si="60"/>
        <v>#REF!</v>
      </c>
      <c r="R112" s="39" t="e">
        <f t="shared" si="60"/>
        <v>#REF!</v>
      </c>
      <c r="S112" s="39">
        <f t="shared" si="44"/>
        <v>0</v>
      </c>
      <c r="T112" s="39">
        <f>-T15</f>
        <v>-4493777</v>
      </c>
      <c r="U112" s="39">
        <f t="shared" ref="U112:BQ112" si="61">-U15</f>
        <v>-11498029</v>
      </c>
      <c r="V112" s="39">
        <f t="shared" si="61"/>
        <v>-5367026</v>
      </c>
      <c r="W112" s="39">
        <f t="shared" si="61"/>
        <v>-5367026</v>
      </c>
      <c r="X112" s="39">
        <f t="shared" si="61"/>
        <v>-5367026</v>
      </c>
      <c r="Y112" s="39">
        <f t="shared" si="61"/>
        <v>-5367026</v>
      </c>
      <c r="Z112" s="39">
        <f t="shared" si="61"/>
        <v>-5367026</v>
      </c>
      <c r="AA112" s="39">
        <f t="shared" si="61"/>
        <v>-5367026</v>
      </c>
      <c r="AB112" s="39">
        <f t="shared" si="61"/>
        <v>-7033604.9473684207</v>
      </c>
      <c r="AC112" s="39">
        <f t="shared" si="61"/>
        <v>-8349394.4210526319</v>
      </c>
      <c r="AD112" s="39">
        <f t="shared" si="61"/>
        <v>-9665183.8947368413</v>
      </c>
      <c r="AE112" s="39">
        <f t="shared" si="61"/>
        <v>-10980973.368421052</v>
      </c>
      <c r="AF112" s="39">
        <f t="shared" si="61"/>
        <v>-12296762.842105262</v>
      </c>
      <c r="AG112" s="39">
        <f t="shared" si="61"/>
        <v>-12296762.842105262</v>
      </c>
      <c r="AH112" s="39">
        <f t="shared" si="61"/>
        <v>-12262449.842105262</v>
      </c>
      <c r="AI112" s="39">
        <f t="shared" si="61"/>
        <v>-10091008.842105262</v>
      </c>
      <c r="AJ112" s="39">
        <f t="shared" si="61"/>
        <v>-8146539.8421052629</v>
      </c>
      <c r="AK112" s="39">
        <f t="shared" si="61"/>
        <v>-7886130.8421052629</v>
      </c>
      <c r="AL112" s="39">
        <f t="shared" si="61"/>
        <v>-7706872.8421052629</v>
      </c>
      <c r="AM112" s="39">
        <f t="shared" si="61"/>
        <v>-7639596.8421052629</v>
      </c>
      <c r="AN112" s="39">
        <f t="shared" si="61"/>
        <v>-7639596.8421052629</v>
      </c>
      <c r="AO112" s="39">
        <f t="shared" si="61"/>
        <v>-7639596.8421052629</v>
      </c>
      <c r="AP112" s="39">
        <f t="shared" si="61"/>
        <v>-7639596.8421052629</v>
      </c>
      <c r="AQ112" s="39">
        <f t="shared" si="61"/>
        <v>-7639596.8421052629</v>
      </c>
      <c r="AR112" s="39">
        <f t="shared" si="61"/>
        <v>-7639596.8421052629</v>
      </c>
      <c r="AS112" s="39">
        <f t="shared" si="61"/>
        <v>-7639596.8421052629</v>
      </c>
      <c r="AT112" s="39">
        <f t="shared" si="61"/>
        <v>-7639596.8421052629</v>
      </c>
      <c r="AU112" s="39">
        <f t="shared" si="61"/>
        <v>-7639596.8421052629</v>
      </c>
      <c r="AV112" s="39">
        <f t="shared" si="61"/>
        <v>-7639596.8421052629</v>
      </c>
      <c r="AW112" s="39">
        <f t="shared" si="61"/>
        <v>-7639596.8421052629</v>
      </c>
      <c r="AX112" s="39">
        <f t="shared" si="61"/>
        <v>-7639596.8421052629</v>
      </c>
      <c r="AY112" s="39">
        <f t="shared" si="61"/>
        <v>-7639596.8421052629</v>
      </c>
      <c r="AZ112" s="39">
        <f t="shared" si="61"/>
        <v>-7639596.8421052629</v>
      </c>
      <c r="BA112" s="39">
        <f t="shared" si="61"/>
        <v>-7639596.8421052629</v>
      </c>
      <c r="BB112" s="39">
        <f t="shared" si="61"/>
        <v>-7639596.8421052629</v>
      </c>
      <c r="BC112" s="39">
        <f t="shared" si="61"/>
        <v>-7639596.8421052629</v>
      </c>
      <c r="BD112" s="39">
        <f t="shared" si="61"/>
        <v>-7061275.8421052629</v>
      </c>
      <c r="BE112" s="39">
        <f t="shared" si="61"/>
        <v>-6929736.8421052629</v>
      </c>
      <c r="BF112" s="39">
        <f t="shared" si="61"/>
        <v>-6929736.8421052629</v>
      </c>
      <c r="BG112" s="39">
        <f t="shared" si="61"/>
        <v>-6929736.8421052629</v>
      </c>
      <c r="BH112" s="39">
        <f t="shared" si="61"/>
        <v>-6929736.8421052629</v>
      </c>
      <c r="BI112" s="39">
        <f t="shared" si="61"/>
        <v>-6929736.8421052629</v>
      </c>
      <c r="BJ112" s="39">
        <f t="shared" si="61"/>
        <v>-6929736.8421052629</v>
      </c>
      <c r="BK112" s="39">
        <f t="shared" si="61"/>
        <v>-6929736.8421052629</v>
      </c>
      <c r="BL112" s="39">
        <f t="shared" si="61"/>
        <v>-6929736.8421052629</v>
      </c>
      <c r="BM112" s="39">
        <f t="shared" si="61"/>
        <v>-6929736.8421052629</v>
      </c>
      <c r="BN112" s="39">
        <f t="shared" si="61"/>
        <v>-6929736.8421052629</v>
      </c>
      <c r="BO112" s="39">
        <f t="shared" si="61"/>
        <v>-6929736.8421052629</v>
      </c>
      <c r="BP112" s="39">
        <f t="shared" si="61"/>
        <v>-6929736.8421052629</v>
      </c>
      <c r="BQ112" s="39">
        <f t="shared" si="61"/>
        <v>-6929736.8421052629</v>
      </c>
    </row>
    <row r="113" spans="2:69">
      <c r="B113" s="309"/>
      <c r="C113" s="310"/>
      <c r="D113" s="9" t="s">
        <v>140</v>
      </c>
      <c r="E113" s="8"/>
      <c r="F113" s="67"/>
      <c r="G113" s="67"/>
      <c r="H113" s="67"/>
      <c r="I113" s="67"/>
      <c r="J113" s="67"/>
      <c r="K113" s="1"/>
      <c r="L113" s="1"/>
      <c r="M113" s="1"/>
      <c r="N113" s="39" t="e">
        <f>SUM(N109:N112)</f>
        <v>#REF!</v>
      </c>
      <c r="O113" s="39" t="e">
        <f>SUM(O109:O112)</f>
        <v>#REF!</v>
      </c>
      <c r="P113" s="39" t="e">
        <f t="shared" ref="P113:R113" si="62">SUM(P109:P112)</f>
        <v>#REF!</v>
      </c>
      <c r="Q113" s="39" t="e">
        <f t="shared" si="62"/>
        <v>#REF!</v>
      </c>
      <c r="R113" s="39" t="e">
        <f t="shared" si="62"/>
        <v>#REF!</v>
      </c>
      <c r="S113" s="39">
        <f t="shared" si="44"/>
        <v>0</v>
      </c>
      <c r="T113" s="39" t="e">
        <f>SUM(T109:T112)</f>
        <v>#REF!</v>
      </c>
      <c r="U113" s="39" t="e">
        <f t="shared" ref="U113:BQ113" si="63">SUM(U109:U112)</f>
        <v>#REF!</v>
      </c>
      <c r="V113" s="39" t="e">
        <f t="shared" si="63"/>
        <v>#REF!</v>
      </c>
      <c r="W113" s="39" t="e">
        <f t="shared" si="63"/>
        <v>#REF!</v>
      </c>
      <c r="X113" s="39" t="e">
        <f t="shared" si="63"/>
        <v>#REF!</v>
      </c>
      <c r="Y113" s="39" t="e">
        <f t="shared" si="63"/>
        <v>#REF!</v>
      </c>
      <c r="Z113" s="39" t="e">
        <f t="shared" si="63"/>
        <v>#REF!</v>
      </c>
      <c r="AA113" s="39" t="e">
        <f t="shared" si="63"/>
        <v>#REF!</v>
      </c>
      <c r="AB113" s="39" t="e">
        <f t="shared" si="63"/>
        <v>#REF!</v>
      </c>
      <c r="AC113" s="39" t="e">
        <f t="shared" si="63"/>
        <v>#REF!</v>
      </c>
      <c r="AD113" s="39" t="e">
        <f t="shared" si="63"/>
        <v>#REF!</v>
      </c>
      <c r="AE113" s="39" t="e">
        <f t="shared" si="63"/>
        <v>#REF!</v>
      </c>
      <c r="AF113" s="39" t="e">
        <f t="shared" si="63"/>
        <v>#REF!</v>
      </c>
      <c r="AG113" s="39" t="e">
        <f t="shared" si="63"/>
        <v>#REF!</v>
      </c>
      <c r="AH113" s="39" t="e">
        <f t="shared" si="63"/>
        <v>#REF!</v>
      </c>
      <c r="AI113" s="39" t="e">
        <f t="shared" si="63"/>
        <v>#REF!</v>
      </c>
      <c r="AJ113" s="39" t="e">
        <f t="shared" si="63"/>
        <v>#REF!</v>
      </c>
      <c r="AK113" s="39" t="e">
        <f t="shared" si="63"/>
        <v>#REF!</v>
      </c>
      <c r="AL113" s="39" t="e">
        <f t="shared" si="63"/>
        <v>#REF!</v>
      </c>
      <c r="AM113" s="39" t="e">
        <f t="shared" si="63"/>
        <v>#REF!</v>
      </c>
      <c r="AN113" s="39" t="e">
        <f t="shared" si="63"/>
        <v>#REF!</v>
      </c>
      <c r="AO113" s="39" t="e">
        <f t="shared" si="63"/>
        <v>#REF!</v>
      </c>
      <c r="AP113" s="39" t="e">
        <f t="shared" si="63"/>
        <v>#REF!</v>
      </c>
      <c r="AQ113" s="39" t="e">
        <f t="shared" si="63"/>
        <v>#REF!</v>
      </c>
      <c r="AR113" s="39" t="e">
        <f t="shared" si="63"/>
        <v>#REF!</v>
      </c>
      <c r="AS113" s="39" t="e">
        <f t="shared" si="63"/>
        <v>#REF!</v>
      </c>
      <c r="AT113" s="39" t="e">
        <f t="shared" si="63"/>
        <v>#REF!</v>
      </c>
      <c r="AU113" s="39" t="e">
        <f t="shared" si="63"/>
        <v>#REF!</v>
      </c>
      <c r="AV113" s="39" t="e">
        <f t="shared" si="63"/>
        <v>#REF!</v>
      </c>
      <c r="AW113" s="39" t="e">
        <f t="shared" si="63"/>
        <v>#REF!</v>
      </c>
      <c r="AX113" s="39" t="e">
        <f t="shared" si="63"/>
        <v>#REF!</v>
      </c>
      <c r="AY113" s="39" t="e">
        <f t="shared" si="63"/>
        <v>#REF!</v>
      </c>
      <c r="AZ113" s="39" t="e">
        <f t="shared" si="63"/>
        <v>#REF!</v>
      </c>
      <c r="BA113" s="39" t="e">
        <f t="shared" si="63"/>
        <v>#REF!</v>
      </c>
      <c r="BB113" s="39" t="e">
        <f t="shared" si="63"/>
        <v>#REF!</v>
      </c>
      <c r="BC113" s="39" t="e">
        <f t="shared" si="63"/>
        <v>#REF!</v>
      </c>
      <c r="BD113" s="39" t="e">
        <f t="shared" si="63"/>
        <v>#REF!</v>
      </c>
      <c r="BE113" s="39" t="e">
        <f t="shared" si="63"/>
        <v>#REF!</v>
      </c>
      <c r="BF113" s="39" t="e">
        <f t="shared" si="63"/>
        <v>#REF!</v>
      </c>
      <c r="BG113" s="39" t="e">
        <f t="shared" si="63"/>
        <v>#REF!</v>
      </c>
      <c r="BH113" s="39" t="e">
        <f t="shared" si="63"/>
        <v>#REF!</v>
      </c>
      <c r="BI113" s="39" t="e">
        <f t="shared" si="63"/>
        <v>#REF!</v>
      </c>
      <c r="BJ113" s="39" t="e">
        <f t="shared" si="63"/>
        <v>#REF!</v>
      </c>
      <c r="BK113" s="39" t="e">
        <f t="shared" si="63"/>
        <v>#REF!</v>
      </c>
      <c r="BL113" s="39" t="e">
        <f t="shared" si="63"/>
        <v>#REF!</v>
      </c>
      <c r="BM113" s="39" t="e">
        <f t="shared" si="63"/>
        <v>#REF!</v>
      </c>
      <c r="BN113" s="39" t="e">
        <f t="shared" si="63"/>
        <v>#REF!</v>
      </c>
      <c r="BO113" s="39" t="e">
        <f t="shared" si="63"/>
        <v>#REF!</v>
      </c>
      <c r="BP113" s="39" t="e">
        <f t="shared" si="63"/>
        <v>#REF!</v>
      </c>
      <c r="BQ113" s="39" t="e">
        <f t="shared" si="63"/>
        <v>#REF!</v>
      </c>
    </row>
    <row r="114" spans="2:69">
      <c r="B114" s="310"/>
      <c r="C114" s="9" t="s">
        <v>145</v>
      </c>
      <c r="D114" s="7"/>
      <c r="E114" s="8"/>
      <c r="F114" s="67"/>
      <c r="G114" s="67"/>
      <c r="H114" s="67"/>
      <c r="I114" s="67"/>
      <c r="J114" s="67"/>
      <c r="K114" s="1"/>
      <c r="L114" s="1"/>
      <c r="M114" s="1"/>
      <c r="N114" s="39" t="e">
        <f>N108+N113</f>
        <v>#REF!</v>
      </c>
      <c r="O114" s="39" t="e">
        <f>O108+O113</f>
        <v>#REF!</v>
      </c>
      <c r="P114" s="39" t="e">
        <f t="shared" ref="P114:R114" si="64">P108+P113</f>
        <v>#REF!</v>
      </c>
      <c r="Q114" s="39" t="e">
        <f t="shared" si="64"/>
        <v>#REF!</v>
      </c>
      <c r="R114" s="39" t="e">
        <f t="shared" si="64"/>
        <v>#REF!</v>
      </c>
      <c r="S114" s="39">
        <f t="shared" si="44"/>
        <v>0</v>
      </c>
      <c r="T114" s="39" t="e">
        <f>T108+T113</f>
        <v>#REF!</v>
      </c>
      <c r="U114" s="39" t="e">
        <f>U108+U113</f>
        <v>#REF!</v>
      </c>
      <c r="V114" s="39" t="e">
        <f t="shared" ref="V114:BQ114" si="65">V108+V113</f>
        <v>#REF!</v>
      </c>
      <c r="W114" s="39" t="e">
        <f t="shared" si="65"/>
        <v>#REF!</v>
      </c>
      <c r="X114" s="39" t="e">
        <f t="shared" si="65"/>
        <v>#REF!</v>
      </c>
      <c r="Y114" s="39" t="e">
        <f t="shared" si="65"/>
        <v>#REF!</v>
      </c>
      <c r="Z114" s="39" t="e">
        <f t="shared" si="65"/>
        <v>#REF!</v>
      </c>
      <c r="AA114" s="39" t="e">
        <f t="shared" si="65"/>
        <v>#REF!</v>
      </c>
      <c r="AB114" s="39" t="e">
        <f t="shared" si="65"/>
        <v>#REF!</v>
      </c>
      <c r="AC114" s="39" t="e">
        <f t="shared" si="65"/>
        <v>#REF!</v>
      </c>
      <c r="AD114" s="39" t="e">
        <f t="shared" si="65"/>
        <v>#REF!</v>
      </c>
      <c r="AE114" s="39" t="e">
        <f t="shared" si="65"/>
        <v>#REF!</v>
      </c>
      <c r="AF114" s="39" t="e">
        <f t="shared" si="65"/>
        <v>#REF!</v>
      </c>
      <c r="AG114" s="39" t="e">
        <f t="shared" si="65"/>
        <v>#REF!</v>
      </c>
      <c r="AH114" s="39" t="e">
        <f t="shared" si="65"/>
        <v>#REF!</v>
      </c>
      <c r="AI114" s="39" t="e">
        <f t="shared" si="65"/>
        <v>#REF!</v>
      </c>
      <c r="AJ114" s="39" t="e">
        <f t="shared" si="65"/>
        <v>#REF!</v>
      </c>
      <c r="AK114" s="39" t="e">
        <f t="shared" si="65"/>
        <v>#REF!</v>
      </c>
      <c r="AL114" s="39" t="e">
        <f t="shared" si="65"/>
        <v>#REF!</v>
      </c>
      <c r="AM114" s="39" t="e">
        <f t="shared" si="65"/>
        <v>#REF!</v>
      </c>
      <c r="AN114" s="39" t="e">
        <f t="shared" si="65"/>
        <v>#REF!</v>
      </c>
      <c r="AO114" s="39" t="e">
        <f t="shared" si="65"/>
        <v>#REF!</v>
      </c>
      <c r="AP114" s="39" t="e">
        <f t="shared" si="65"/>
        <v>#REF!</v>
      </c>
      <c r="AQ114" s="39" t="e">
        <f t="shared" si="65"/>
        <v>#REF!</v>
      </c>
      <c r="AR114" s="39" t="e">
        <f t="shared" si="65"/>
        <v>#REF!</v>
      </c>
      <c r="AS114" s="39" t="e">
        <f t="shared" si="65"/>
        <v>#REF!</v>
      </c>
      <c r="AT114" s="39" t="e">
        <f t="shared" si="65"/>
        <v>#REF!</v>
      </c>
      <c r="AU114" s="39" t="e">
        <f t="shared" si="65"/>
        <v>#REF!</v>
      </c>
      <c r="AV114" s="39" t="e">
        <f t="shared" si="65"/>
        <v>#REF!</v>
      </c>
      <c r="AW114" s="39" t="e">
        <f t="shared" si="65"/>
        <v>#REF!</v>
      </c>
      <c r="AX114" s="39" t="e">
        <f t="shared" si="65"/>
        <v>#REF!</v>
      </c>
      <c r="AY114" s="39" t="e">
        <f t="shared" si="65"/>
        <v>#REF!</v>
      </c>
      <c r="AZ114" s="39" t="e">
        <f t="shared" si="65"/>
        <v>#REF!</v>
      </c>
      <c r="BA114" s="39" t="e">
        <f t="shared" si="65"/>
        <v>#REF!</v>
      </c>
      <c r="BB114" s="39" t="e">
        <f t="shared" si="65"/>
        <v>#REF!</v>
      </c>
      <c r="BC114" s="39" t="e">
        <f t="shared" si="65"/>
        <v>#REF!</v>
      </c>
      <c r="BD114" s="39" t="e">
        <f t="shared" si="65"/>
        <v>#REF!</v>
      </c>
      <c r="BE114" s="39" t="e">
        <f t="shared" si="65"/>
        <v>#REF!</v>
      </c>
      <c r="BF114" s="39" t="e">
        <f t="shared" si="65"/>
        <v>#REF!</v>
      </c>
      <c r="BG114" s="39" t="e">
        <f t="shared" si="65"/>
        <v>#REF!</v>
      </c>
      <c r="BH114" s="39" t="e">
        <f t="shared" si="65"/>
        <v>#REF!</v>
      </c>
      <c r="BI114" s="39" t="e">
        <f t="shared" si="65"/>
        <v>#REF!</v>
      </c>
      <c r="BJ114" s="39" t="e">
        <f t="shared" si="65"/>
        <v>#REF!</v>
      </c>
      <c r="BK114" s="39" t="e">
        <f t="shared" si="65"/>
        <v>#REF!</v>
      </c>
      <c r="BL114" s="39" t="e">
        <f t="shared" si="65"/>
        <v>#REF!</v>
      </c>
      <c r="BM114" s="39" t="e">
        <f t="shared" si="65"/>
        <v>#REF!</v>
      </c>
      <c r="BN114" s="39" t="e">
        <f t="shared" si="65"/>
        <v>#REF!</v>
      </c>
      <c r="BO114" s="39" t="e">
        <f t="shared" si="65"/>
        <v>#REF!</v>
      </c>
      <c r="BP114" s="39" t="e">
        <f t="shared" si="65"/>
        <v>#REF!</v>
      </c>
      <c r="BQ114" s="39" t="e">
        <f t="shared" si="65"/>
        <v>#REF!</v>
      </c>
    </row>
    <row r="115" spans="2:69">
      <c r="B115" s="305" t="s">
        <v>146</v>
      </c>
      <c r="C115" s="306"/>
      <c r="D115" s="306"/>
      <c r="E115" s="307"/>
      <c r="F115" s="67"/>
      <c r="G115" s="67"/>
      <c r="H115" s="67"/>
      <c r="I115" s="67"/>
      <c r="J115" s="67"/>
      <c r="K115" s="1"/>
      <c r="L115" s="1"/>
      <c r="M115" s="1"/>
      <c r="N115" s="39">
        <f>N104</f>
        <v>-2139000</v>
      </c>
      <c r="O115" s="39">
        <f t="shared" ref="O115:BQ115" si="66">O104</f>
        <v>-74520</v>
      </c>
      <c r="P115" s="39">
        <f t="shared" si="66"/>
        <v>0</v>
      </c>
      <c r="Q115" s="39">
        <f t="shared" si="66"/>
        <v>0</v>
      </c>
      <c r="R115" s="39">
        <f t="shared" si="66"/>
        <v>0</v>
      </c>
      <c r="S115" s="39">
        <f t="shared" si="44"/>
        <v>-442704</v>
      </c>
      <c r="T115" s="39" t="e">
        <f t="shared" si="66"/>
        <v>#REF!</v>
      </c>
      <c r="U115" s="39" t="e">
        <f t="shared" si="66"/>
        <v>#REF!</v>
      </c>
      <c r="V115" s="39" t="e">
        <f t="shared" si="66"/>
        <v>#REF!</v>
      </c>
      <c r="W115" s="39" t="e">
        <f t="shared" si="66"/>
        <v>#REF!</v>
      </c>
      <c r="X115" s="39" t="e">
        <f t="shared" si="66"/>
        <v>#REF!</v>
      </c>
      <c r="Y115" s="39" t="e">
        <f t="shared" si="66"/>
        <v>#REF!</v>
      </c>
      <c r="Z115" s="39" t="e">
        <f t="shared" si="66"/>
        <v>#REF!</v>
      </c>
      <c r="AA115" s="39" t="e">
        <f t="shared" si="66"/>
        <v>#REF!</v>
      </c>
      <c r="AB115" s="39" t="e">
        <f t="shared" si="66"/>
        <v>#REF!</v>
      </c>
      <c r="AC115" s="39" t="e">
        <f t="shared" si="66"/>
        <v>#REF!</v>
      </c>
      <c r="AD115" s="39" t="e">
        <f t="shared" si="66"/>
        <v>#REF!</v>
      </c>
      <c r="AE115" s="39" t="e">
        <f t="shared" si="66"/>
        <v>#REF!</v>
      </c>
      <c r="AF115" s="39" t="e">
        <f t="shared" si="66"/>
        <v>#REF!</v>
      </c>
      <c r="AG115" s="39" t="e">
        <f t="shared" si="66"/>
        <v>#REF!</v>
      </c>
      <c r="AH115" s="39" t="e">
        <f t="shared" si="66"/>
        <v>#REF!</v>
      </c>
      <c r="AI115" s="39" t="e">
        <f t="shared" si="66"/>
        <v>#REF!</v>
      </c>
      <c r="AJ115" s="39" t="e">
        <f t="shared" si="66"/>
        <v>#REF!</v>
      </c>
      <c r="AK115" s="39" t="e">
        <f t="shared" si="66"/>
        <v>#REF!</v>
      </c>
      <c r="AL115" s="39" t="e">
        <f t="shared" si="66"/>
        <v>#REF!</v>
      </c>
      <c r="AM115" s="39" t="e">
        <f t="shared" si="66"/>
        <v>#REF!</v>
      </c>
      <c r="AN115" s="39" t="e">
        <f t="shared" si="66"/>
        <v>#REF!</v>
      </c>
      <c r="AO115" s="39" t="e">
        <f t="shared" si="66"/>
        <v>#REF!</v>
      </c>
      <c r="AP115" s="39" t="e">
        <f t="shared" si="66"/>
        <v>#REF!</v>
      </c>
      <c r="AQ115" s="39" t="e">
        <f t="shared" si="66"/>
        <v>#REF!</v>
      </c>
      <c r="AR115" s="39" t="e">
        <f t="shared" si="66"/>
        <v>#REF!</v>
      </c>
      <c r="AS115" s="39" t="e">
        <f t="shared" si="66"/>
        <v>#REF!</v>
      </c>
      <c r="AT115" s="39" t="e">
        <f t="shared" si="66"/>
        <v>#REF!</v>
      </c>
      <c r="AU115" s="39" t="e">
        <f t="shared" si="66"/>
        <v>#REF!</v>
      </c>
      <c r="AV115" s="39" t="e">
        <f t="shared" si="66"/>
        <v>#REF!</v>
      </c>
      <c r="AW115" s="39" t="e">
        <f t="shared" si="66"/>
        <v>#REF!</v>
      </c>
      <c r="AX115" s="39" t="e">
        <f t="shared" si="66"/>
        <v>#REF!</v>
      </c>
      <c r="AY115" s="39" t="e">
        <f t="shared" si="66"/>
        <v>#REF!</v>
      </c>
      <c r="AZ115" s="39" t="e">
        <f t="shared" si="66"/>
        <v>#REF!</v>
      </c>
      <c r="BA115" s="39" t="e">
        <f t="shared" si="66"/>
        <v>#REF!</v>
      </c>
      <c r="BB115" s="39" t="e">
        <f t="shared" si="66"/>
        <v>#REF!</v>
      </c>
      <c r="BC115" s="39" t="e">
        <f t="shared" si="66"/>
        <v>#REF!</v>
      </c>
      <c r="BD115" s="39" t="e">
        <f t="shared" si="66"/>
        <v>#REF!</v>
      </c>
      <c r="BE115" s="39" t="e">
        <f t="shared" si="66"/>
        <v>#REF!</v>
      </c>
      <c r="BF115" s="39" t="e">
        <f t="shared" si="66"/>
        <v>#REF!</v>
      </c>
      <c r="BG115" s="39" t="e">
        <f t="shared" si="66"/>
        <v>#REF!</v>
      </c>
      <c r="BH115" s="39" t="e">
        <f t="shared" si="66"/>
        <v>#REF!</v>
      </c>
      <c r="BI115" s="39" t="e">
        <f t="shared" si="66"/>
        <v>#REF!</v>
      </c>
      <c r="BJ115" s="39" t="e">
        <f t="shared" si="66"/>
        <v>#REF!</v>
      </c>
      <c r="BK115" s="39">
        <f t="shared" si="66"/>
        <v>-235634235</v>
      </c>
      <c r="BL115" s="39">
        <f t="shared" si="66"/>
        <v>-225628201</v>
      </c>
      <c r="BM115" s="39">
        <f t="shared" si="66"/>
        <v>-215970039</v>
      </c>
      <c r="BN115" s="39">
        <f t="shared" si="66"/>
        <v>-211689036</v>
      </c>
      <c r="BO115" s="39">
        <f t="shared" si="66"/>
        <v>-207318131</v>
      </c>
      <c r="BP115" s="39">
        <f t="shared" si="66"/>
        <v>-200995447</v>
      </c>
      <c r="BQ115" s="39">
        <f t="shared" si="66"/>
        <v>-192307993</v>
      </c>
    </row>
    <row r="116" spans="2:69">
      <c r="B116" s="305" t="s">
        <v>147</v>
      </c>
      <c r="C116" s="306"/>
      <c r="D116" s="306"/>
      <c r="E116" s="307"/>
      <c r="F116" s="67"/>
      <c r="G116" s="67"/>
      <c r="H116" s="67"/>
      <c r="I116" s="67"/>
      <c r="J116" s="67"/>
      <c r="K116" s="1"/>
      <c r="L116" s="1"/>
      <c r="M116" s="1"/>
      <c r="N116" s="39" t="e">
        <f>N114+N115</f>
        <v>#REF!</v>
      </c>
      <c r="O116" s="39" t="e">
        <f>N116+O115+O114</f>
        <v>#REF!</v>
      </c>
      <c r="P116" s="39" t="e">
        <f t="shared" ref="P116:R116" si="67">O116+P115+P114</f>
        <v>#REF!</v>
      </c>
      <c r="Q116" s="39" t="e">
        <f t="shared" si="67"/>
        <v>#REF!</v>
      </c>
      <c r="R116" s="39" t="e">
        <f t="shared" si="67"/>
        <v>#REF!</v>
      </c>
      <c r="S116" s="39">
        <f t="shared" si="44"/>
        <v>0</v>
      </c>
      <c r="T116" s="39" t="e">
        <f>T115+T114</f>
        <v>#REF!</v>
      </c>
      <c r="U116" s="39" t="e">
        <f>U115+U114</f>
        <v>#REF!</v>
      </c>
      <c r="V116" s="39" t="e">
        <f>V115+V114</f>
        <v>#REF!</v>
      </c>
      <c r="W116" s="39" t="e">
        <f t="shared" ref="W116:BQ116" si="68">W115+W114</f>
        <v>#REF!</v>
      </c>
      <c r="X116" s="39" t="e">
        <f t="shared" si="68"/>
        <v>#REF!</v>
      </c>
      <c r="Y116" s="39" t="e">
        <f t="shared" si="68"/>
        <v>#REF!</v>
      </c>
      <c r="Z116" s="39" t="e">
        <f t="shared" si="68"/>
        <v>#REF!</v>
      </c>
      <c r="AA116" s="39" t="e">
        <f t="shared" si="68"/>
        <v>#REF!</v>
      </c>
      <c r="AB116" s="39" t="e">
        <f t="shared" si="68"/>
        <v>#REF!</v>
      </c>
      <c r="AC116" s="39" t="e">
        <f t="shared" si="68"/>
        <v>#REF!</v>
      </c>
      <c r="AD116" s="39" t="e">
        <f t="shared" si="68"/>
        <v>#REF!</v>
      </c>
      <c r="AE116" s="39" t="e">
        <f t="shared" si="68"/>
        <v>#REF!</v>
      </c>
      <c r="AF116" s="39" t="e">
        <f t="shared" si="68"/>
        <v>#REF!</v>
      </c>
      <c r="AG116" s="39" t="e">
        <f t="shared" si="68"/>
        <v>#REF!</v>
      </c>
      <c r="AH116" s="39" t="e">
        <f t="shared" si="68"/>
        <v>#REF!</v>
      </c>
      <c r="AI116" s="39" t="e">
        <f t="shared" si="68"/>
        <v>#REF!</v>
      </c>
      <c r="AJ116" s="39" t="e">
        <f t="shared" si="68"/>
        <v>#REF!</v>
      </c>
      <c r="AK116" s="39" t="e">
        <f t="shared" si="68"/>
        <v>#REF!</v>
      </c>
      <c r="AL116" s="39" t="e">
        <f t="shared" si="68"/>
        <v>#REF!</v>
      </c>
      <c r="AM116" s="39" t="e">
        <f t="shared" si="68"/>
        <v>#REF!</v>
      </c>
      <c r="AN116" s="39" t="e">
        <f t="shared" si="68"/>
        <v>#REF!</v>
      </c>
      <c r="AO116" s="39" t="e">
        <f t="shared" si="68"/>
        <v>#REF!</v>
      </c>
      <c r="AP116" s="39" t="e">
        <f t="shared" si="68"/>
        <v>#REF!</v>
      </c>
      <c r="AQ116" s="39" t="e">
        <f t="shared" si="68"/>
        <v>#REF!</v>
      </c>
      <c r="AR116" s="39" t="e">
        <f t="shared" si="68"/>
        <v>#REF!</v>
      </c>
      <c r="AS116" s="39" t="e">
        <f t="shared" si="68"/>
        <v>#REF!</v>
      </c>
      <c r="AT116" s="39" t="e">
        <f t="shared" si="68"/>
        <v>#REF!</v>
      </c>
      <c r="AU116" s="39" t="e">
        <f t="shared" si="68"/>
        <v>#REF!</v>
      </c>
      <c r="AV116" s="39" t="e">
        <f t="shared" si="68"/>
        <v>#REF!</v>
      </c>
      <c r="AW116" s="39" t="e">
        <f t="shared" si="68"/>
        <v>#REF!</v>
      </c>
      <c r="AX116" s="39" t="e">
        <f t="shared" si="68"/>
        <v>#REF!</v>
      </c>
      <c r="AY116" s="39" t="e">
        <f t="shared" si="68"/>
        <v>#REF!</v>
      </c>
      <c r="AZ116" s="39" t="e">
        <f t="shared" si="68"/>
        <v>#REF!</v>
      </c>
      <c r="BA116" s="39" t="e">
        <f t="shared" si="68"/>
        <v>#REF!</v>
      </c>
      <c r="BB116" s="39" t="e">
        <f t="shared" si="68"/>
        <v>#REF!</v>
      </c>
      <c r="BC116" s="39" t="e">
        <f t="shared" si="68"/>
        <v>#REF!</v>
      </c>
      <c r="BD116" s="39" t="e">
        <f t="shared" si="68"/>
        <v>#REF!</v>
      </c>
      <c r="BE116" s="39" t="e">
        <f t="shared" si="68"/>
        <v>#REF!</v>
      </c>
      <c r="BF116" s="39" t="e">
        <f t="shared" si="68"/>
        <v>#REF!</v>
      </c>
      <c r="BG116" s="39" t="e">
        <f t="shared" si="68"/>
        <v>#REF!</v>
      </c>
      <c r="BH116" s="39" t="e">
        <f t="shared" si="68"/>
        <v>#REF!</v>
      </c>
      <c r="BI116" s="39" t="e">
        <f t="shared" si="68"/>
        <v>#REF!</v>
      </c>
      <c r="BJ116" s="39" t="e">
        <f t="shared" si="68"/>
        <v>#REF!</v>
      </c>
      <c r="BK116" s="39" t="e">
        <f t="shared" si="68"/>
        <v>#REF!</v>
      </c>
      <c r="BL116" s="39" t="e">
        <f t="shared" si="68"/>
        <v>#REF!</v>
      </c>
      <c r="BM116" s="39" t="e">
        <f t="shared" si="68"/>
        <v>#REF!</v>
      </c>
      <c r="BN116" s="39" t="e">
        <f t="shared" si="68"/>
        <v>#REF!</v>
      </c>
      <c r="BO116" s="39" t="e">
        <f t="shared" si="68"/>
        <v>#REF!</v>
      </c>
      <c r="BP116" s="39" t="e">
        <f t="shared" si="68"/>
        <v>#REF!</v>
      </c>
      <c r="BQ116" s="39" t="e">
        <f t="shared" si="68"/>
        <v>#REF!</v>
      </c>
    </row>
    <row r="117" spans="2:69">
      <c r="B117" s="9" t="s">
        <v>148</v>
      </c>
      <c r="C117" s="7"/>
      <c r="D117" s="7"/>
      <c r="E117" s="8"/>
      <c r="F117" s="67"/>
      <c r="G117" s="67"/>
      <c r="H117" s="67"/>
      <c r="I117" s="67"/>
      <c r="J117" s="67"/>
      <c r="K117" s="1"/>
      <c r="L117" s="1"/>
      <c r="M117" s="1"/>
      <c r="N117" s="39"/>
      <c r="O117" s="39"/>
      <c r="P117" s="39"/>
      <c r="Q117" s="39"/>
      <c r="R117" s="39"/>
      <c r="S117" s="39"/>
      <c r="T117" s="39">
        <f>新規債返済スケジュール!E5</f>
        <v>240400000</v>
      </c>
      <c r="U117" s="39">
        <f>新規債返済スケジュール!F5</f>
        <v>439905548</v>
      </c>
      <c r="V117" s="39">
        <f>新規債返済スケジュール!G5</f>
        <v>881304256</v>
      </c>
      <c r="W117" s="39">
        <f>新規債返済スケジュール!H5</f>
        <v>1268611864</v>
      </c>
      <c r="X117" s="39">
        <f>新規債返済スケジュール!I5</f>
        <v>1634098580</v>
      </c>
      <c r="Y117" s="39">
        <f>新規債返済スケジュール!J5</f>
        <v>1842864161</v>
      </c>
      <c r="Z117" s="39">
        <f>新規債返済スケジュール!K5</f>
        <v>2047197447</v>
      </c>
      <c r="AA117" s="39">
        <f>新規債返済スケジュール!L5</f>
        <v>2297005360</v>
      </c>
      <c r="AB117" s="39">
        <f>新規債返済スケジュール!M5</f>
        <v>2601382873</v>
      </c>
      <c r="AC117" s="39">
        <f>新規債返済スケジュール!N5</f>
        <v>2819243954</v>
      </c>
      <c r="AD117" s="39">
        <f>新規債返済スケジュール!O5</f>
        <v>2951747748</v>
      </c>
      <c r="AE117" s="39">
        <f>新規債返済スケジュール!P5</f>
        <v>3050077742</v>
      </c>
      <c r="AF117" s="39">
        <f>新規債返済スケジュール!Q5</f>
        <v>3144632286</v>
      </c>
      <c r="AG117" s="39">
        <f>新規債返済スケジュール!R5</f>
        <v>3615332093</v>
      </c>
      <c r="AH117" s="39">
        <f>新規債返済スケジュール!S5</f>
        <v>4075940259</v>
      </c>
      <c r="AI117" s="39">
        <f>新規債返済スケジュール!T5</f>
        <v>4526244858</v>
      </c>
      <c r="AJ117" s="39">
        <f>新規債返済スケジュール!U5</f>
        <v>4966029515</v>
      </c>
      <c r="AK117" s="39">
        <f>新規債返済スケジュール!V5</f>
        <v>5425073314</v>
      </c>
      <c r="AL117" s="39">
        <f>新規債返済スケジュール!W5</f>
        <v>5895664698</v>
      </c>
      <c r="AM117" s="39">
        <f>新規債返済スケジュール!X5</f>
        <v>6354190571</v>
      </c>
      <c r="AN117" s="39">
        <f>新規債返済スケジュール!Y5</f>
        <v>6800397556</v>
      </c>
      <c r="AO117" s="39">
        <f>新規債返済スケジュール!Z5</f>
        <v>6694026956</v>
      </c>
      <c r="AP117" s="39">
        <f>新規債返済スケジュール!AA5</f>
        <v>6583562578</v>
      </c>
      <c r="AQ117" s="39">
        <f>新規債返済スケジュール!AB5</f>
        <v>6468918454</v>
      </c>
      <c r="AR117" s="39">
        <f>新規債返済スケジュール!AC5</f>
        <v>6350006811</v>
      </c>
      <c r="AS117" s="39">
        <f>新規債返済スケジュール!AD5</f>
        <v>6226738029</v>
      </c>
      <c r="AT117" s="39">
        <f>新規債返済スケジュール!AE5</f>
        <v>6099020609</v>
      </c>
      <c r="AU117" s="39">
        <f>新規債返済スケジュール!AF5</f>
        <v>5966761129</v>
      </c>
      <c r="AV117" s="39">
        <f>新規債返済スケジュール!AG5</f>
        <v>5829864205</v>
      </c>
      <c r="AW117" s="39">
        <f>新規債返済スケジュール!AH5</f>
        <v>5688232449</v>
      </c>
      <c r="AX117" s="39">
        <f>新規債返済スケジュール!AI5</f>
        <v>5541766433</v>
      </c>
      <c r="AY117" s="39">
        <f>新規債返済スケジュール!AJ5</f>
        <v>5390364637</v>
      </c>
      <c r="AZ117" s="39">
        <f>新規債返済スケジュール!AK5</f>
        <v>5233923409</v>
      </c>
      <c r="BA117" s="39">
        <f>新規債返済スケジュール!AL5</f>
        <v>5072336919</v>
      </c>
      <c r="BB117" s="39">
        <f>新規債返済スケジュール!AM5</f>
        <v>4905497122</v>
      </c>
      <c r="BC117" s="39">
        <f>新規債返済スケジュール!AN5</f>
        <v>4733293697</v>
      </c>
      <c r="BD117" s="39">
        <f>新規債返済スケジュール!AO5</f>
        <v>4555614005</v>
      </c>
      <c r="BE117" s="39">
        <f>新規債返済スケジュール!AP5</f>
        <v>4372343046</v>
      </c>
      <c r="BF117" s="39">
        <f>新規債返済スケジュール!AQ5</f>
        <v>4183363401</v>
      </c>
      <c r="BG117" s="39">
        <f>新規債返済スケジュール!AR5</f>
        <v>3988555190</v>
      </c>
      <c r="BH117" s="39">
        <f>新規債返済スケジュール!AS5</f>
        <v>3787796010</v>
      </c>
      <c r="BI117" s="39">
        <f>新規債返済スケジュール!AT5</f>
        <v>3589903746</v>
      </c>
      <c r="BJ117" s="39">
        <f>新規債返済スケジュール!AU5</f>
        <v>3393562206</v>
      </c>
      <c r="BK117" s="39">
        <f>新規債返済スケジュール!AV5</f>
        <v>3157927971</v>
      </c>
      <c r="BL117" s="39">
        <f>新規債返済スケジュール!AW5</f>
        <v>2932299769</v>
      </c>
      <c r="BM117" s="39">
        <f>新規債返済スケジュール!AX5</f>
        <v>2716329729</v>
      </c>
      <c r="BN117" s="39">
        <f>新規債返済スケジュール!AY5</f>
        <v>2504640695</v>
      </c>
      <c r="BO117" s="39">
        <f>新規債返済スケジュール!AZ5</f>
        <v>2297322566</v>
      </c>
      <c r="BP117" s="39">
        <f>新規債返済スケジュール!BA5</f>
        <v>2096327117</v>
      </c>
      <c r="BQ117" s="39">
        <f>新規債返済スケジュール!BB5</f>
        <v>1904019121</v>
      </c>
    </row>
    <row r="120" spans="2:69">
      <c r="S120" s="24" t="s">
        <v>256</v>
      </c>
    </row>
    <row r="121" spans="2:69">
      <c r="S121" s="74" t="s">
        <v>252</v>
      </c>
      <c r="T121" s="44" t="e">
        <f>#REF!</f>
        <v>#REF!</v>
      </c>
      <c r="U121" s="44" t="e">
        <f>#REF!</f>
        <v>#REF!</v>
      </c>
      <c r="V121" s="44" t="e">
        <f>#REF!</f>
        <v>#REF!</v>
      </c>
      <c r="W121" s="44" t="e">
        <f>#REF!</f>
        <v>#REF!</v>
      </c>
      <c r="X121" s="44" t="e">
        <f>#REF!</f>
        <v>#REF!</v>
      </c>
      <c r="Y121" s="44" t="e">
        <f>#REF!</f>
        <v>#REF!</v>
      </c>
      <c r="Z121" s="44" t="e">
        <f>#REF!</f>
        <v>#REF!</v>
      </c>
      <c r="AA121" s="44" t="e">
        <f>#REF!</f>
        <v>#REF!</v>
      </c>
      <c r="AB121" s="44" t="e">
        <f>#REF!</f>
        <v>#REF!</v>
      </c>
      <c r="AC121" s="44" t="e">
        <f>#REF!</f>
        <v>#REF!</v>
      </c>
      <c r="AD121" s="44" t="e">
        <f>#REF!</f>
        <v>#REF!</v>
      </c>
      <c r="AE121" s="44" t="e">
        <f>#REF!</f>
        <v>#REF!</v>
      </c>
      <c r="AF121" s="44" t="e">
        <f>#REF!</f>
        <v>#REF!</v>
      </c>
      <c r="AG121" s="44" t="e">
        <f>#REF!</f>
        <v>#REF!</v>
      </c>
      <c r="AH121" s="44" t="e">
        <f>#REF!</f>
        <v>#REF!</v>
      </c>
      <c r="AI121" s="44" t="e">
        <f>#REF!</f>
        <v>#REF!</v>
      </c>
      <c r="AJ121" s="44" t="e">
        <f>#REF!</f>
        <v>#REF!</v>
      </c>
      <c r="AK121" s="44" t="e">
        <f>#REF!</f>
        <v>#REF!</v>
      </c>
      <c r="AL121" s="44" t="e">
        <f>#REF!</f>
        <v>#REF!</v>
      </c>
      <c r="AM121" s="44" t="e">
        <f>#REF!</f>
        <v>#REF!</v>
      </c>
      <c r="AN121" s="44" t="e">
        <f>#REF!</f>
        <v>#REF!</v>
      </c>
      <c r="AO121" s="44" t="e">
        <f>#REF!</f>
        <v>#REF!</v>
      </c>
      <c r="AP121" s="44" t="e">
        <f>#REF!</f>
        <v>#REF!</v>
      </c>
      <c r="AQ121" s="44" t="e">
        <f>#REF!</f>
        <v>#REF!</v>
      </c>
      <c r="AR121" s="44" t="e">
        <f>#REF!</f>
        <v>#REF!</v>
      </c>
      <c r="AS121" s="44" t="e">
        <f>#REF!</f>
        <v>#REF!</v>
      </c>
      <c r="AT121" s="44" t="e">
        <f>#REF!</f>
        <v>#REF!</v>
      </c>
      <c r="AU121" s="44" t="e">
        <f>#REF!</f>
        <v>#REF!</v>
      </c>
      <c r="AV121" s="44" t="e">
        <f>#REF!</f>
        <v>#REF!</v>
      </c>
      <c r="AW121" s="44" t="e">
        <f>#REF!</f>
        <v>#REF!</v>
      </c>
      <c r="AX121" s="44" t="e">
        <f>#REF!</f>
        <v>#REF!</v>
      </c>
      <c r="AY121" s="44" t="e">
        <f>#REF!</f>
        <v>#REF!</v>
      </c>
      <c r="AZ121" s="44" t="e">
        <f>#REF!</f>
        <v>#REF!</v>
      </c>
      <c r="BA121" s="44" t="e">
        <f>#REF!</f>
        <v>#REF!</v>
      </c>
      <c r="BB121" s="44" t="e">
        <f>#REF!</f>
        <v>#REF!</v>
      </c>
      <c r="BC121" s="44" t="e">
        <f>#REF!</f>
        <v>#REF!</v>
      </c>
      <c r="BD121" s="44" t="e">
        <f>#REF!</f>
        <v>#REF!</v>
      </c>
      <c r="BE121" s="44" t="e">
        <f>#REF!</f>
        <v>#REF!</v>
      </c>
      <c r="BF121" s="44" t="e">
        <f>#REF!</f>
        <v>#REF!</v>
      </c>
      <c r="BG121" s="44" t="e">
        <f>#REF!</f>
        <v>#REF!</v>
      </c>
      <c r="BH121" s="44" t="e">
        <f>#REF!</f>
        <v>#REF!</v>
      </c>
      <c r="BI121" s="44" t="e">
        <f>#REF!</f>
        <v>#REF!</v>
      </c>
      <c r="BJ121" s="44" t="e">
        <f>#REF!</f>
        <v>#REF!</v>
      </c>
    </row>
    <row r="122" spans="2:69">
      <c r="S122" s="68" t="s">
        <v>253</v>
      </c>
      <c r="T122" s="44" t="e">
        <f>#REF!</f>
        <v>#REF!</v>
      </c>
      <c r="U122" s="44" t="e">
        <f>#REF!</f>
        <v>#REF!</v>
      </c>
      <c r="V122" s="44" t="e">
        <f>#REF!</f>
        <v>#REF!</v>
      </c>
      <c r="W122" s="44" t="e">
        <f>#REF!</f>
        <v>#REF!</v>
      </c>
      <c r="X122" s="44" t="e">
        <f>#REF!</f>
        <v>#REF!</v>
      </c>
      <c r="Y122" s="44" t="e">
        <f>#REF!</f>
        <v>#REF!</v>
      </c>
      <c r="Z122" s="44" t="e">
        <f>#REF!</f>
        <v>#REF!</v>
      </c>
      <c r="AA122" s="44" t="e">
        <f>#REF!</f>
        <v>#REF!</v>
      </c>
      <c r="AB122" s="44" t="e">
        <f>#REF!</f>
        <v>#REF!</v>
      </c>
      <c r="AC122" s="44" t="e">
        <f>#REF!</f>
        <v>#REF!</v>
      </c>
      <c r="AD122" s="44" t="e">
        <f>#REF!</f>
        <v>#REF!</v>
      </c>
      <c r="AE122" s="44" t="e">
        <f>#REF!</f>
        <v>#REF!</v>
      </c>
      <c r="AF122" s="44" t="e">
        <f>#REF!</f>
        <v>#REF!</v>
      </c>
      <c r="AG122" s="44" t="e">
        <f>#REF!</f>
        <v>#REF!</v>
      </c>
      <c r="AH122" s="44" t="e">
        <f>#REF!</f>
        <v>#REF!</v>
      </c>
      <c r="AI122" s="44" t="e">
        <f>#REF!</f>
        <v>#REF!</v>
      </c>
      <c r="AJ122" s="44" t="e">
        <f>#REF!</f>
        <v>#REF!</v>
      </c>
      <c r="AK122" s="44" t="e">
        <f>#REF!</f>
        <v>#REF!</v>
      </c>
      <c r="AL122" s="44" t="e">
        <f>#REF!</f>
        <v>#REF!</v>
      </c>
      <c r="AM122" s="44" t="e">
        <f>#REF!</f>
        <v>#REF!</v>
      </c>
      <c r="AN122" s="44" t="e">
        <f>#REF!</f>
        <v>#REF!</v>
      </c>
      <c r="AO122" s="44" t="e">
        <f>#REF!</f>
        <v>#REF!</v>
      </c>
      <c r="AP122" s="44" t="e">
        <f>#REF!</f>
        <v>#REF!</v>
      </c>
      <c r="AQ122" s="44" t="e">
        <f>#REF!</f>
        <v>#REF!</v>
      </c>
      <c r="AR122" s="44" t="e">
        <f>#REF!</f>
        <v>#REF!</v>
      </c>
      <c r="AS122" s="44" t="e">
        <f>#REF!</f>
        <v>#REF!</v>
      </c>
      <c r="AT122" s="44" t="e">
        <f>#REF!</f>
        <v>#REF!</v>
      </c>
      <c r="AU122" s="44" t="e">
        <f>#REF!</f>
        <v>#REF!</v>
      </c>
      <c r="AV122" s="44" t="e">
        <f>#REF!</f>
        <v>#REF!</v>
      </c>
      <c r="AW122" s="44" t="e">
        <f>#REF!</f>
        <v>#REF!</v>
      </c>
      <c r="AX122" s="44" t="e">
        <f>#REF!</f>
        <v>#REF!</v>
      </c>
      <c r="AY122" s="44" t="e">
        <f>#REF!</f>
        <v>#REF!</v>
      </c>
      <c r="AZ122" s="44" t="e">
        <f>#REF!</f>
        <v>#REF!</v>
      </c>
      <c r="BA122" s="44" t="e">
        <f>#REF!</f>
        <v>#REF!</v>
      </c>
      <c r="BB122" s="44" t="e">
        <f>#REF!</f>
        <v>#REF!</v>
      </c>
      <c r="BC122" s="44" t="e">
        <f>#REF!</f>
        <v>#REF!</v>
      </c>
      <c r="BD122" s="44" t="e">
        <f>#REF!</f>
        <v>#REF!</v>
      </c>
      <c r="BE122" s="44" t="e">
        <f>#REF!</f>
        <v>#REF!</v>
      </c>
      <c r="BF122" s="44" t="e">
        <f>#REF!</f>
        <v>#REF!</v>
      </c>
      <c r="BG122" s="44" t="e">
        <f>#REF!</f>
        <v>#REF!</v>
      </c>
      <c r="BH122" s="44" t="e">
        <f>#REF!</f>
        <v>#REF!</v>
      </c>
      <c r="BI122" s="44" t="e">
        <f>#REF!</f>
        <v>#REF!</v>
      </c>
      <c r="BJ122" s="44" t="e">
        <f>#REF!</f>
        <v>#REF!</v>
      </c>
    </row>
    <row r="123" spans="2:69">
      <c r="S123" s="68" t="s">
        <v>254</v>
      </c>
      <c r="T123" s="44" t="e">
        <f>#REF!</f>
        <v>#REF!</v>
      </c>
      <c r="U123" s="44" t="e">
        <f>#REF!</f>
        <v>#REF!</v>
      </c>
      <c r="V123" s="44" t="e">
        <f>#REF!</f>
        <v>#REF!</v>
      </c>
      <c r="W123" s="44" t="e">
        <f>#REF!</f>
        <v>#REF!</v>
      </c>
      <c r="X123" s="44" t="e">
        <f>#REF!</f>
        <v>#REF!</v>
      </c>
      <c r="Y123" s="44" t="e">
        <f>#REF!</f>
        <v>#REF!</v>
      </c>
      <c r="Z123" s="44" t="e">
        <f>#REF!</f>
        <v>#REF!</v>
      </c>
      <c r="AA123" s="44" t="e">
        <f>#REF!</f>
        <v>#REF!</v>
      </c>
      <c r="AB123" s="44" t="e">
        <f>#REF!</f>
        <v>#REF!</v>
      </c>
      <c r="AC123" s="44" t="e">
        <f>#REF!</f>
        <v>#REF!</v>
      </c>
      <c r="AD123" s="44" t="e">
        <f>#REF!</f>
        <v>#REF!</v>
      </c>
      <c r="AE123" s="44" t="e">
        <f>#REF!</f>
        <v>#REF!</v>
      </c>
      <c r="AF123" s="44" t="e">
        <f>#REF!</f>
        <v>#REF!</v>
      </c>
      <c r="AG123" s="44" t="e">
        <f>#REF!</f>
        <v>#REF!</v>
      </c>
      <c r="AH123" s="44" t="e">
        <f>#REF!</f>
        <v>#REF!</v>
      </c>
      <c r="AI123" s="44" t="e">
        <f>#REF!</f>
        <v>#REF!</v>
      </c>
      <c r="AJ123" s="44" t="e">
        <f>#REF!</f>
        <v>#REF!</v>
      </c>
      <c r="AK123" s="44" t="e">
        <f>#REF!</f>
        <v>#REF!</v>
      </c>
      <c r="AL123" s="44" t="e">
        <f>#REF!</f>
        <v>#REF!</v>
      </c>
      <c r="AM123" s="44" t="e">
        <f>#REF!</f>
        <v>#REF!</v>
      </c>
      <c r="AN123" s="44" t="e">
        <f>#REF!</f>
        <v>#REF!</v>
      </c>
      <c r="AO123" s="44" t="e">
        <f>#REF!</f>
        <v>#REF!</v>
      </c>
      <c r="AP123" s="44" t="e">
        <f>#REF!</f>
        <v>#REF!</v>
      </c>
      <c r="AQ123" s="44" t="e">
        <f>#REF!</f>
        <v>#REF!</v>
      </c>
      <c r="AR123" s="44" t="e">
        <f>#REF!</f>
        <v>#REF!</v>
      </c>
      <c r="AS123" s="44" t="e">
        <f>#REF!</f>
        <v>#REF!</v>
      </c>
      <c r="AT123" s="44" t="e">
        <f>#REF!</f>
        <v>#REF!</v>
      </c>
      <c r="AU123" s="44" t="e">
        <f>#REF!</f>
        <v>#REF!</v>
      </c>
      <c r="AV123" s="44" t="e">
        <f>#REF!</f>
        <v>#REF!</v>
      </c>
      <c r="AW123" s="44" t="e">
        <f>#REF!</f>
        <v>#REF!</v>
      </c>
      <c r="AX123" s="44" t="e">
        <f>#REF!</f>
        <v>#REF!</v>
      </c>
      <c r="AY123" s="44" t="e">
        <f>#REF!</f>
        <v>#REF!</v>
      </c>
      <c r="AZ123" s="44" t="e">
        <f>#REF!</f>
        <v>#REF!</v>
      </c>
      <c r="BA123" s="44" t="e">
        <f>#REF!</f>
        <v>#REF!</v>
      </c>
      <c r="BB123" s="44" t="e">
        <f>#REF!</f>
        <v>#REF!</v>
      </c>
      <c r="BC123" s="44" t="e">
        <f>#REF!</f>
        <v>#REF!</v>
      </c>
      <c r="BD123" s="44" t="e">
        <f>#REF!</f>
        <v>#REF!</v>
      </c>
      <c r="BE123" s="44" t="e">
        <f>#REF!</f>
        <v>#REF!</v>
      </c>
      <c r="BF123" s="44" t="e">
        <f>#REF!</f>
        <v>#REF!</v>
      </c>
      <c r="BG123" s="44" t="e">
        <f>#REF!</f>
        <v>#REF!</v>
      </c>
      <c r="BH123" s="44" t="e">
        <f>#REF!</f>
        <v>#REF!</v>
      </c>
      <c r="BI123" s="44" t="e">
        <f>#REF!</f>
        <v>#REF!</v>
      </c>
      <c r="BJ123" s="44" t="e">
        <f>#REF!</f>
        <v>#REF!</v>
      </c>
    </row>
    <row r="124" spans="2:69">
      <c r="S124" s="68" t="s">
        <v>255</v>
      </c>
      <c r="T124" s="44" t="e">
        <f>#REF!</f>
        <v>#REF!</v>
      </c>
      <c r="U124" s="44" t="e">
        <f>#REF!</f>
        <v>#REF!</v>
      </c>
      <c r="V124" s="44" t="e">
        <f>#REF!</f>
        <v>#REF!</v>
      </c>
      <c r="W124" s="44" t="e">
        <f>#REF!</f>
        <v>#REF!</v>
      </c>
      <c r="X124" s="44" t="e">
        <f>#REF!</f>
        <v>#REF!</v>
      </c>
      <c r="Y124" s="44" t="e">
        <f>#REF!</f>
        <v>#REF!</v>
      </c>
      <c r="Z124" s="44" t="e">
        <f>#REF!</f>
        <v>#REF!</v>
      </c>
      <c r="AA124" s="44" t="e">
        <f>#REF!</f>
        <v>#REF!</v>
      </c>
      <c r="AB124" s="44" t="e">
        <f>#REF!</f>
        <v>#REF!</v>
      </c>
      <c r="AC124" s="44" t="e">
        <f>#REF!</f>
        <v>#REF!</v>
      </c>
      <c r="AD124" s="44" t="e">
        <f>#REF!</f>
        <v>#REF!</v>
      </c>
      <c r="AE124" s="44" t="e">
        <f>#REF!</f>
        <v>#REF!</v>
      </c>
      <c r="AF124" s="44" t="e">
        <f>#REF!</f>
        <v>#REF!</v>
      </c>
      <c r="AG124" s="44" t="e">
        <f>#REF!</f>
        <v>#REF!</v>
      </c>
      <c r="AH124" s="44" t="e">
        <f>#REF!</f>
        <v>#REF!</v>
      </c>
      <c r="AI124" s="44" t="e">
        <f>#REF!</f>
        <v>#REF!</v>
      </c>
      <c r="AJ124" s="44" t="e">
        <f>#REF!</f>
        <v>#REF!</v>
      </c>
      <c r="AK124" s="44" t="e">
        <f>#REF!</f>
        <v>#REF!</v>
      </c>
      <c r="AL124" s="44" t="e">
        <f>#REF!</f>
        <v>#REF!</v>
      </c>
      <c r="AM124" s="44" t="e">
        <f>#REF!</f>
        <v>#REF!</v>
      </c>
      <c r="AN124" s="44" t="e">
        <f>#REF!</f>
        <v>#REF!</v>
      </c>
      <c r="AO124" s="44" t="e">
        <f>#REF!</f>
        <v>#REF!</v>
      </c>
      <c r="AP124" s="44" t="e">
        <f>#REF!</f>
        <v>#REF!</v>
      </c>
      <c r="AQ124" s="44" t="e">
        <f>#REF!</f>
        <v>#REF!</v>
      </c>
      <c r="AR124" s="44" t="e">
        <f>#REF!</f>
        <v>#REF!</v>
      </c>
      <c r="AS124" s="44" t="e">
        <f>#REF!</f>
        <v>#REF!</v>
      </c>
      <c r="AT124" s="44" t="e">
        <f>#REF!</f>
        <v>#REF!</v>
      </c>
      <c r="AU124" s="44" t="e">
        <f>#REF!</f>
        <v>#REF!</v>
      </c>
      <c r="AV124" s="44" t="e">
        <f>#REF!</f>
        <v>#REF!</v>
      </c>
      <c r="AW124" s="44" t="e">
        <f>#REF!</f>
        <v>#REF!</v>
      </c>
      <c r="AX124" s="44" t="e">
        <f>#REF!</f>
        <v>#REF!</v>
      </c>
      <c r="AY124" s="44" t="e">
        <f>#REF!</f>
        <v>#REF!</v>
      </c>
      <c r="AZ124" s="44" t="e">
        <f>#REF!</f>
        <v>#REF!</v>
      </c>
      <c r="BA124" s="44" t="e">
        <f>#REF!</f>
        <v>#REF!</v>
      </c>
      <c r="BB124" s="44" t="e">
        <f>#REF!</f>
        <v>#REF!</v>
      </c>
      <c r="BC124" s="44" t="e">
        <f>#REF!</f>
        <v>#REF!</v>
      </c>
      <c r="BD124" s="44" t="e">
        <f>#REF!</f>
        <v>#REF!</v>
      </c>
      <c r="BE124" s="44" t="e">
        <f>#REF!</f>
        <v>#REF!</v>
      </c>
      <c r="BF124" s="44" t="e">
        <f>#REF!</f>
        <v>#REF!</v>
      </c>
      <c r="BG124" s="44" t="e">
        <f>#REF!</f>
        <v>#REF!</v>
      </c>
      <c r="BH124" s="44" t="e">
        <f>#REF!</f>
        <v>#REF!</v>
      </c>
      <c r="BI124" s="44" t="e">
        <f>#REF!</f>
        <v>#REF!</v>
      </c>
      <c r="BJ124" s="44" t="e">
        <f>#REF!</f>
        <v>#REF!</v>
      </c>
    </row>
    <row r="126" spans="2:69">
      <c r="S126" s="68" t="s">
        <v>257</v>
      </c>
      <c r="T126" s="44" t="e">
        <f>#REF!</f>
        <v>#REF!</v>
      </c>
      <c r="U126" s="44" t="e">
        <f>#REF!</f>
        <v>#REF!</v>
      </c>
      <c r="V126" s="44" t="e">
        <f>#REF!</f>
        <v>#REF!</v>
      </c>
      <c r="W126" s="44" t="e">
        <f>#REF!</f>
        <v>#REF!</v>
      </c>
      <c r="X126" s="44" t="e">
        <f>#REF!</f>
        <v>#REF!</v>
      </c>
      <c r="Y126" s="44" t="e">
        <f>#REF!</f>
        <v>#REF!</v>
      </c>
      <c r="Z126" s="44" t="e">
        <f>#REF!</f>
        <v>#REF!</v>
      </c>
      <c r="AA126" s="44" t="e">
        <f>#REF!</f>
        <v>#REF!</v>
      </c>
      <c r="AB126" s="44" t="e">
        <f>#REF!</f>
        <v>#REF!</v>
      </c>
      <c r="AC126" s="44" t="e">
        <f>#REF!</f>
        <v>#REF!</v>
      </c>
      <c r="AD126" s="44" t="e">
        <f>#REF!</f>
        <v>#REF!</v>
      </c>
      <c r="AE126" s="44" t="e">
        <f>#REF!</f>
        <v>#REF!</v>
      </c>
      <c r="AF126" s="44" t="e">
        <f>#REF!</f>
        <v>#REF!</v>
      </c>
      <c r="AG126" s="44" t="e">
        <f>#REF!</f>
        <v>#REF!</v>
      </c>
      <c r="AH126" s="44" t="e">
        <f>#REF!</f>
        <v>#REF!</v>
      </c>
      <c r="AI126" s="44" t="e">
        <f>#REF!</f>
        <v>#REF!</v>
      </c>
      <c r="AJ126" s="44" t="e">
        <f>#REF!</f>
        <v>#REF!</v>
      </c>
      <c r="AK126" s="44" t="e">
        <f>#REF!</f>
        <v>#REF!</v>
      </c>
      <c r="AL126" s="44" t="e">
        <f>#REF!</f>
        <v>#REF!</v>
      </c>
      <c r="AM126" s="44" t="e">
        <f>#REF!</f>
        <v>#REF!</v>
      </c>
      <c r="AN126" s="44" t="e">
        <f>#REF!</f>
        <v>#REF!</v>
      </c>
      <c r="AO126" s="44" t="e">
        <f>#REF!</f>
        <v>#REF!</v>
      </c>
      <c r="AP126" s="44" t="e">
        <f>#REF!</f>
        <v>#REF!</v>
      </c>
      <c r="AQ126" s="44" t="e">
        <f>#REF!</f>
        <v>#REF!</v>
      </c>
      <c r="AR126" s="44" t="e">
        <f>#REF!</f>
        <v>#REF!</v>
      </c>
      <c r="AS126" s="44" t="e">
        <f>#REF!</f>
        <v>#REF!</v>
      </c>
      <c r="AT126" s="44" t="e">
        <f>#REF!</f>
        <v>#REF!</v>
      </c>
      <c r="AU126" s="44" t="e">
        <f>#REF!</f>
        <v>#REF!</v>
      </c>
      <c r="AV126" s="44" t="e">
        <f>#REF!</f>
        <v>#REF!</v>
      </c>
      <c r="AW126" s="44" t="e">
        <f>#REF!</f>
        <v>#REF!</v>
      </c>
      <c r="AX126" s="44" t="e">
        <f>#REF!</f>
        <v>#REF!</v>
      </c>
      <c r="AY126" s="44" t="e">
        <f>#REF!</f>
        <v>#REF!</v>
      </c>
      <c r="AZ126" s="44" t="e">
        <f>#REF!</f>
        <v>#REF!</v>
      </c>
      <c r="BA126" s="44" t="e">
        <f>#REF!</f>
        <v>#REF!</v>
      </c>
      <c r="BB126" s="44" t="e">
        <f>#REF!</f>
        <v>#REF!</v>
      </c>
      <c r="BC126" s="44" t="e">
        <f>#REF!</f>
        <v>#REF!</v>
      </c>
      <c r="BD126" s="44" t="e">
        <f>#REF!</f>
        <v>#REF!</v>
      </c>
      <c r="BE126" s="44" t="e">
        <f>#REF!</f>
        <v>#REF!</v>
      </c>
      <c r="BF126" s="44" t="e">
        <f>#REF!</f>
        <v>#REF!</v>
      </c>
      <c r="BG126" s="44" t="e">
        <f>#REF!</f>
        <v>#REF!</v>
      </c>
      <c r="BH126" s="44" t="e">
        <f>#REF!</f>
        <v>#REF!</v>
      </c>
      <c r="BI126" s="44" t="e">
        <f>#REF!</f>
        <v>#REF!</v>
      </c>
      <c r="BJ126" s="44" t="e">
        <f>#REF!</f>
        <v>#REF!</v>
      </c>
    </row>
  </sheetData>
  <autoFilter ref="B3:BQ67" xr:uid="{580772E3-389A-45F6-9719-21766B3B5060}"/>
  <customSheetViews>
    <customSheetView guid="{B05628F6-030D-4851-8E75-96DF5849F39A}" scale="85" showGridLines="0" showAutoFilter="1" hiddenColumns="1" state="hidden">
      <pane xSplit="5" ySplit="4" topLeftCell="F92" activePane="bottomRight" state="frozen"/>
      <selection pane="bottomRight" activeCell="T121" sqref="T121:T125"/>
      <pageMargins left="0.7" right="0.7" top="0.75" bottom="0.75" header="0.3" footer="0.3"/>
      <pageSetup paperSize="9" orientation="portrait" horizontalDpi="0" verticalDpi="0" r:id="rId1"/>
      <autoFilter ref="B3:BQ67" xr:uid="{9DE44629-CD93-4913-A67D-408AFE5978AF}"/>
    </customSheetView>
    <customSheetView guid="{1F923BC6-4AD1-4F20-A481-D76BE7901A2A}" scale="85" showGridLines="0" showAutoFilter="1" hiddenColumns="1" state="hidden">
      <pane xSplit="9" ySplit="4" topLeftCell="K92" activePane="bottomRight" state="frozen"/>
      <selection pane="bottomRight" activeCell="T121" sqref="T121:T125"/>
      <pageMargins left="0.7" right="0.7" top="0.75" bottom="0.75" header="0.3" footer="0.3"/>
      <pageSetup paperSize="9" orientation="portrait" horizontalDpi="0" verticalDpi="0" r:id="rId2"/>
      <autoFilter ref="B3:BQ67" xr:uid="{ACDD3A0C-D095-4A64-84C6-967045547E05}"/>
    </customSheetView>
  </customSheetViews>
  <mergeCells count="14">
    <mergeCell ref="J70:J71"/>
    <mergeCell ref="K70:K71"/>
    <mergeCell ref="J3:J4"/>
    <mergeCell ref="K3:K4"/>
    <mergeCell ref="F25:F32"/>
    <mergeCell ref="F33:F40"/>
    <mergeCell ref="F42:F50"/>
    <mergeCell ref="B116:E116"/>
    <mergeCell ref="J102:J103"/>
    <mergeCell ref="B105:B114"/>
    <mergeCell ref="C106:C108"/>
    <mergeCell ref="C109:C113"/>
    <mergeCell ref="D110:D112"/>
    <mergeCell ref="B115:E115"/>
  </mergeCells>
  <phoneticPr fontId="4"/>
  <pageMargins left="0.7" right="0.7" top="0.75" bottom="0.75" header="0.3" footer="0.3"/>
  <pageSetup paperSize="9" orientation="portrait" verticalDpi="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703F-059D-46B7-90E3-D445AAB1BEEC}">
  <sheetPr>
    <tabColor rgb="FFFFC000"/>
  </sheetPr>
  <dimension ref="B2:BQ123"/>
  <sheetViews>
    <sheetView showGridLines="0" zoomScale="85" zoomScaleNormal="85" workbookViewId="0">
      <pane xSplit="5" ySplit="4" topLeftCell="K17" activePane="bottomRight" state="frozen"/>
      <selection activeCell="I5" sqref="I5"/>
      <selection pane="topRight" activeCell="I5" sqref="I5"/>
      <selection pane="bottomLeft" activeCell="I5" sqref="I5"/>
      <selection pane="bottomRight" activeCell="O15" sqref="O15"/>
    </sheetView>
  </sheetViews>
  <sheetFormatPr defaultRowHeight="14.4" outlineLevelCol="1"/>
  <cols>
    <col min="1" max="1" width="2.90625" customWidth="1"/>
    <col min="2" max="4" width="3.90625" customWidth="1"/>
    <col min="5" max="5" width="23.453125" bestFit="1" customWidth="1"/>
    <col min="6" max="6" width="7.36328125" customWidth="1" outlineLevel="1"/>
    <col min="7" max="9" width="8.08984375" customWidth="1" outlineLevel="1"/>
    <col min="10" max="10" width="4.36328125" customWidth="1" outlineLevel="1"/>
    <col min="11" max="11" width="40" bestFit="1" customWidth="1"/>
    <col min="12" max="12" width="4.36328125" customWidth="1" outlineLevel="1"/>
    <col min="13" max="13" width="8.7265625" customWidth="1" outlineLevel="1"/>
    <col min="14" max="14" width="10" style="24" bestFit="1" customWidth="1"/>
    <col min="15" max="18" width="10" style="24" customWidth="1" outlineLevel="1"/>
    <col min="19" max="19" width="10" style="24" customWidth="1"/>
    <col min="20" max="20" width="8.90625" style="24" customWidth="1"/>
    <col min="21" max="28" width="8.90625" style="24" customWidth="1" outlineLevel="1"/>
    <col min="29" max="29" width="8.90625" style="24" bestFit="1" customWidth="1"/>
    <col min="30" max="38" width="8.90625" style="24" customWidth="1" outlineLevel="1"/>
    <col min="39" max="39" width="8.90625" style="24" bestFit="1" customWidth="1"/>
    <col min="40" max="48" width="8.90625" style="24" customWidth="1" outlineLevel="1"/>
    <col min="49" max="49" width="8.90625" style="24" customWidth="1"/>
    <col min="50" max="58" width="8.90625" style="24" customWidth="1" outlineLevel="1"/>
    <col min="59" max="59" width="8.90625" style="24" bestFit="1" customWidth="1"/>
    <col min="60" max="68" width="8.90625" style="24" customWidth="1" outlineLevel="1"/>
    <col min="69" max="69" width="8.90625" style="24" bestFit="1" customWidth="1"/>
  </cols>
  <sheetData>
    <row r="2" spans="2:69">
      <c r="B2" t="s">
        <v>0</v>
      </c>
      <c r="N2" s="24" t="s">
        <v>182</v>
      </c>
      <c r="T2" s="29">
        <v>1</v>
      </c>
      <c r="U2" s="29">
        <v>2</v>
      </c>
      <c r="V2" s="29">
        <v>3</v>
      </c>
      <c r="W2" s="29">
        <v>4</v>
      </c>
      <c r="X2" s="29">
        <v>5</v>
      </c>
      <c r="Y2" s="29">
        <v>6</v>
      </c>
      <c r="Z2" s="29">
        <v>7</v>
      </c>
      <c r="AA2" s="29">
        <v>8</v>
      </c>
      <c r="AB2" s="29">
        <v>9</v>
      </c>
      <c r="AC2" s="29">
        <v>10</v>
      </c>
      <c r="AD2" s="29">
        <v>11</v>
      </c>
      <c r="AE2" s="29">
        <v>12</v>
      </c>
      <c r="AF2" s="29">
        <v>13</v>
      </c>
      <c r="AG2" s="29">
        <v>14</v>
      </c>
      <c r="AH2" s="29">
        <v>15</v>
      </c>
      <c r="AI2" s="29">
        <v>16</v>
      </c>
      <c r="AJ2" s="29">
        <v>17</v>
      </c>
      <c r="AK2" s="29">
        <v>18</v>
      </c>
      <c r="AL2" s="29">
        <v>19</v>
      </c>
      <c r="AM2" s="29">
        <v>20</v>
      </c>
      <c r="AN2" s="29">
        <v>21</v>
      </c>
      <c r="AO2" s="29">
        <v>22</v>
      </c>
      <c r="AP2" s="29">
        <v>23</v>
      </c>
      <c r="AQ2" s="29">
        <v>24</v>
      </c>
      <c r="AR2" s="29">
        <v>25</v>
      </c>
      <c r="AS2" s="29">
        <v>26</v>
      </c>
      <c r="AT2" s="29">
        <v>27</v>
      </c>
      <c r="AU2" s="29">
        <v>28</v>
      </c>
      <c r="AV2" s="29">
        <v>29</v>
      </c>
      <c r="AW2" s="29">
        <v>30</v>
      </c>
      <c r="AX2" s="29">
        <v>31</v>
      </c>
      <c r="AY2" s="29">
        <v>32</v>
      </c>
      <c r="AZ2" s="29">
        <v>33</v>
      </c>
      <c r="BA2" s="29">
        <v>34</v>
      </c>
      <c r="BB2" s="29">
        <v>35</v>
      </c>
      <c r="BC2" s="29">
        <v>36</v>
      </c>
      <c r="BD2" s="29">
        <v>37</v>
      </c>
      <c r="BE2" s="29">
        <v>38</v>
      </c>
      <c r="BF2" s="29">
        <v>39</v>
      </c>
      <c r="BG2" s="29">
        <v>40</v>
      </c>
      <c r="BH2" s="29">
        <v>41</v>
      </c>
      <c r="BI2" s="29">
        <v>42</v>
      </c>
      <c r="BJ2" s="29">
        <v>43</v>
      </c>
      <c r="BK2" s="29">
        <v>44</v>
      </c>
      <c r="BL2" s="29">
        <v>45</v>
      </c>
      <c r="BM2" s="29">
        <v>46</v>
      </c>
      <c r="BN2" s="29">
        <v>47</v>
      </c>
      <c r="BO2" s="29">
        <v>48</v>
      </c>
      <c r="BP2" s="29">
        <v>49</v>
      </c>
      <c r="BQ2" s="29">
        <v>50</v>
      </c>
    </row>
    <row r="3" spans="2:69">
      <c r="B3" s="11" t="s">
        <v>1</v>
      </c>
      <c r="C3" s="11" t="s">
        <v>2</v>
      </c>
      <c r="D3" s="12" t="s">
        <v>3</v>
      </c>
      <c r="E3" s="13"/>
      <c r="F3" s="20" t="s">
        <v>4</v>
      </c>
      <c r="G3" s="14"/>
      <c r="H3" s="14"/>
      <c r="I3" s="15"/>
      <c r="J3" s="311" t="s">
        <v>162</v>
      </c>
      <c r="K3" s="313" t="s">
        <v>8</v>
      </c>
      <c r="L3" s="11" t="s">
        <v>9</v>
      </c>
      <c r="M3" s="11" t="s">
        <v>10</v>
      </c>
      <c r="N3" s="30" t="s">
        <v>11</v>
      </c>
      <c r="O3" s="31"/>
      <c r="P3" s="31"/>
      <c r="Q3" s="31"/>
      <c r="R3" s="32"/>
      <c r="S3" s="35" t="s">
        <v>177</v>
      </c>
      <c r="T3" s="33" t="s">
        <v>17</v>
      </c>
      <c r="U3" s="31"/>
      <c r="V3" s="31"/>
      <c r="W3" s="32"/>
      <c r="X3" s="34" t="s">
        <v>68</v>
      </c>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row>
    <row r="4" spans="2:69">
      <c r="B4" s="17"/>
      <c r="C4" s="17"/>
      <c r="D4" s="18"/>
      <c r="E4" s="19"/>
      <c r="F4" s="17"/>
      <c r="G4" s="16" t="s">
        <v>5</v>
      </c>
      <c r="H4" s="16" t="s">
        <v>6</v>
      </c>
      <c r="I4" s="16" t="s">
        <v>7</v>
      </c>
      <c r="J4" s="312"/>
      <c r="K4" s="314"/>
      <c r="L4" s="17"/>
      <c r="M4" s="17"/>
      <c r="N4" s="35" t="s">
        <v>531</v>
      </c>
      <c r="O4" s="35" t="s">
        <v>13</v>
      </c>
      <c r="P4" s="35" t="s">
        <v>14</v>
      </c>
      <c r="Q4" s="35" t="s">
        <v>15</v>
      </c>
      <c r="R4" s="35" t="s">
        <v>16</v>
      </c>
      <c r="S4" s="35"/>
      <c r="T4" s="35" t="s">
        <v>18</v>
      </c>
      <c r="U4" s="35" t="s">
        <v>19</v>
      </c>
      <c r="V4" s="35" t="s">
        <v>20</v>
      </c>
      <c r="W4" s="35" t="s">
        <v>21</v>
      </c>
      <c r="X4" s="35" t="s">
        <v>22</v>
      </c>
      <c r="Y4" s="35" t="s">
        <v>23</v>
      </c>
      <c r="Z4" s="35" t="s">
        <v>24</v>
      </c>
      <c r="AA4" s="35" t="s">
        <v>25</v>
      </c>
      <c r="AB4" s="35" t="s">
        <v>26</v>
      </c>
      <c r="AC4" s="35" t="s">
        <v>27</v>
      </c>
      <c r="AD4" s="35" t="s">
        <v>28</v>
      </c>
      <c r="AE4" s="35" t="s">
        <v>29</v>
      </c>
      <c r="AF4" s="35" t="s">
        <v>30</v>
      </c>
      <c r="AG4" s="35" t="s">
        <v>31</v>
      </c>
      <c r="AH4" s="35" t="s">
        <v>32</v>
      </c>
      <c r="AI4" s="35" t="s">
        <v>33</v>
      </c>
      <c r="AJ4" s="35" t="s">
        <v>34</v>
      </c>
      <c r="AK4" s="35" t="s">
        <v>35</v>
      </c>
      <c r="AL4" s="35" t="s">
        <v>36</v>
      </c>
      <c r="AM4" s="35" t="s">
        <v>37</v>
      </c>
      <c r="AN4" s="35" t="s">
        <v>38</v>
      </c>
      <c r="AO4" s="35" t="s">
        <v>39</v>
      </c>
      <c r="AP4" s="35" t="s">
        <v>40</v>
      </c>
      <c r="AQ4" s="35" t="s">
        <v>41</v>
      </c>
      <c r="AR4" s="35" t="s">
        <v>42</v>
      </c>
      <c r="AS4" s="35" t="s">
        <v>43</v>
      </c>
      <c r="AT4" s="35" t="s">
        <v>44</v>
      </c>
      <c r="AU4" s="35" t="s">
        <v>45</v>
      </c>
      <c r="AV4" s="35" t="s">
        <v>46</v>
      </c>
      <c r="AW4" s="35" t="s">
        <v>47</v>
      </c>
      <c r="AX4" s="35" t="s">
        <v>48</v>
      </c>
      <c r="AY4" s="35" t="s">
        <v>49</v>
      </c>
      <c r="AZ4" s="35" t="s">
        <v>50</v>
      </c>
      <c r="BA4" s="35" t="s">
        <v>51</v>
      </c>
      <c r="BB4" s="35" t="s">
        <v>52</v>
      </c>
      <c r="BC4" s="35" t="s">
        <v>53</v>
      </c>
      <c r="BD4" s="35" t="s">
        <v>54</v>
      </c>
      <c r="BE4" s="35" t="s">
        <v>55</v>
      </c>
      <c r="BF4" s="35" t="s">
        <v>56</v>
      </c>
      <c r="BG4" s="35" t="s">
        <v>57</v>
      </c>
      <c r="BH4" s="35" t="s">
        <v>58</v>
      </c>
      <c r="BI4" s="35" t="s">
        <v>59</v>
      </c>
      <c r="BJ4" s="35" t="s">
        <v>60</v>
      </c>
      <c r="BK4" s="35" t="s">
        <v>61</v>
      </c>
      <c r="BL4" s="35" t="s">
        <v>62</v>
      </c>
      <c r="BM4" s="35" t="s">
        <v>63</v>
      </c>
      <c r="BN4" s="35" t="s">
        <v>64</v>
      </c>
      <c r="BO4" s="35" t="s">
        <v>65</v>
      </c>
      <c r="BP4" s="35" t="s">
        <v>66</v>
      </c>
      <c r="BQ4" s="35" t="s">
        <v>67</v>
      </c>
    </row>
    <row r="5" spans="2:69">
      <c r="B5" s="5" t="s">
        <v>69</v>
      </c>
      <c r="C5" s="7"/>
      <c r="D5" s="7"/>
      <c r="E5" s="8"/>
      <c r="F5" s="1"/>
      <c r="G5" s="10"/>
      <c r="H5" s="10"/>
      <c r="I5" s="10"/>
      <c r="J5" s="10"/>
      <c r="K5" s="1"/>
      <c r="L5" s="1"/>
      <c r="M5" s="1"/>
      <c r="N5" s="39" t="e">
        <f>【PL】決算数値入力!#REF!</f>
        <v>#REF!</v>
      </c>
      <c r="O5" s="39" t="e">
        <f>【PL】決算数値入力!#REF!</f>
        <v>#REF!</v>
      </c>
      <c r="P5" s="39" t="e">
        <f>【PL】決算数値入力!#REF!</f>
        <v>#REF!</v>
      </c>
      <c r="Q5" s="39" t="e">
        <f>【PL】決算数値入力!#REF!</f>
        <v>#REF!</v>
      </c>
      <c r="R5" s="39" t="e">
        <f>【PL】決算数値入力!#REF!</f>
        <v>#REF!</v>
      </c>
      <c r="S5" s="39" t="e">
        <f>【PL】決算数値入力!#REF!</f>
        <v>#REF!</v>
      </c>
      <c r="T5" s="39" t="e">
        <f t="shared" ref="T5:BQ5" si="0">SUM(T6,T11,T18,T19)</f>
        <v>#REF!</v>
      </c>
      <c r="U5" s="39" t="e">
        <f t="shared" si="0"/>
        <v>#REF!</v>
      </c>
      <c r="V5" s="39" t="e">
        <f t="shared" si="0"/>
        <v>#REF!</v>
      </c>
      <c r="W5" s="39" t="e">
        <f t="shared" si="0"/>
        <v>#REF!</v>
      </c>
      <c r="X5" s="39" t="e">
        <f t="shared" si="0"/>
        <v>#REF!</v>
      </c>
      <c r="Y5" s="39" t="e">
        <f t="shared" si="0"/>
        <v>#REF!</v>
      </c>
      <c r="Z5" s="39" t="e">
        <f t="shared" si="0"/>
        <v>#REF!</v>
      </c>
      <c r="AA5" s="39" t="e">
        <f t="shared" si="0"/>
        <v>#REF!</v>
      </c>
      <c r="AB5" s="39" t="e">
        <f t="shared" si="0"/>
        <v>#REF!</v>
      </c>
      <c r="AC5" s="39" t="e">
        <f t="shared" si="0"/>
        <v>#REF!</v>
      </c>
      <c r="AD5" s="39" t="e">
        <f t="shared" si="0"/>
        <v>#REF!</v>
      </c>
      <c r="AE5" s="39" t="e">
        <f t="shared" si="0"/>
        <v>#REF!</v>
      </c>
      <c r="AF5" s="39" t="e">
        <f t="shared" si="0"/>
        <v>#REF!</v>
      </c>
      <c r="AG5" s="39" t="e">
        <f t="shared" si="0"/>
        <v>#REF!</v>
      </c>
      <c r="AH5" s="39" t="e">
        <f t="shared" si="0"/>
        <v>#REF!</v>
      </c>
      <c r="AI5" s="39" t="e">
        <f t="shared" si="0"/>
        <v>#REF!</v>
      </c>
      <c r="AJ5" s="39" t="e">
        <f t="shared" si="0"/>
        <v>#REF!</v>
      </c>
      <c r="AK5" s="39" t="e">
        <f t="shared" si="0"/>
        <v>#REF!</v>
      </c>
      <c r="AL5" s="39" t="e">
        <f t="shared" si="0"/>
        <v>#REF!</v>
      </c>
      <c r="AM5" s="39" t="e">
        <f t="shared" si="0"/>
        <v>#REF!</v>
      </c>
      <c r="AN5" s="39" t="e">
        <f t="shared" si="0"/>
        <v>#REF!</v>
      </c>
      <c r="AO5" s="39" t="e">
        <f t="shared" si="0"/>
        <v>#REF!</v>
      </c>
      <c r="AP5" s="39" t="e">
        <f t="shared" si="0"/>
        <v>#REF!</v>
      </c>
      <c r="AQ5" s="39" t="e">
        <f t="shared" si="0"/>
        <v>#REF!</v>
      </c>
      <c r="AR5" s="39" t="e">
        <f t="shared" si="0"/>
        <v>#REF!</v>
      </c>
      <c r="AS5" s="39" t="e">
        <f t="shared" si="0"/>
        <v>#REF!</v>
      </c>
      <c r="AT5" s="39" t="e">
        <f t="shared" si="0"/>
        <v>#REF!</v>
      </c>
      <c r="AU5" s="39" t="e">
        <f t="shared" si="0"/>
        <v>#REF!</v>
      </c>
      <c r="AV5" s="39" t="e">
        <f t="shared" si="0"/>
        <v>#REF!</v>
      </c>
      <c r="AW5" s="39" t="e">
        <f t="shared" si="0"/>
        <v>#REF!</v>
      </c>
      <c r="AX5" s="39" t="e">
        <f t="shared" si="0"/>
        <v>#REF!</v>
      </c>
      <c r="AY5" s="39" t="e">
        <f t="shared" si="0"/>
        <v>#REF!</v>
      </c>
      <c r="AZ5" s="39" t="e">
        <f t="shared" si="0"/>
        <v>#REF!</v>
      </c>
      <c r="BA5" s="39" t="e">
        <f t="shared" si="0"/>
        <v>#REF!</v>
      </c>
      <c r="BB5" s="39" t="e">
        <f t="shared" si="0"/>
        <v>#REF!</v>
      </c>
      <c r="BC5" s="39" t="e">
        <f t="shared" si="0"/>
        <v>#REF!</v>
      </c>
      <c r="BD5" s="39" t="e">
        <f t="shared" si="0"/>
        <v>#REF!</v>
      </c>
      <c r="BE5" s="39" t="e">
        <f t="shared" si="0"/>
        <v>#REF!</v>
      </c>
      <c r="BF5" s="39" t="e">
        <f t="shared" si="0"/>
        <v>#REF!</v>
      </c>
      <c r="BG5" s="39" t="e">
        <f t="shared" si="0"/>
        <v>#REF!</v>
      </c>
      <c r="BH5" s="39" t="e">
        <f t="shared" si="0"/>
        <v>#REF!</v>
      </c>
      <c r="BI5" s="39" t="e">
        <f t="shared" si="0"/>
        <v>#REF!</v>
      </c>
      <c r="BJ5" s="39" t="e">
        <f t="shared" si="0"/>
        <v>#REF!</v>
      </c>
      <c r="BK5" s="39" t="e">
        <f t="shared" si="0"/>
        <v>#REF!</v>
      </c>
      <c r="BL5" s="39" t="e">
        <f t="shared" si="0"/>
        <v>#REF!</v>
      </c>
      <c r="BM5" s="39" t="e">
        <f t="shared" si="0"/>
        <v>#REF!</v>
      </c>
      <c r="BN5" s="39" t="e">
        <f t="shared" si="0"/>
        <v>#REF!</v>
      </c>
      <c r="BO5" s="39" t="e">
        <f t="shared" si="0"/>
        <v>#REF!</v>
      </c>
      <c r="BP5" s="39" t="e">
        <f t="shared" si="0"/>
        <v>#REF!</v>
      </c>
      <c r="BQ5" s="39" t="e">
        <f t="shared" si="0"/>
        <v>#REF!</v>
      </c>
    </row>
    <row r="6" spans="2:69">
      <c r="B6" s="4"/>
      <c r="C6" s="5" t="s">
        <v>70</v>
      </c>
      <c r="D6" s="7"/>
      <c r="E6" s="8"/>
      <c r="F6" s="1"/>
      <c r="G6" s="10"/>
      <c r="H6" s="10"/>
      <c r="I6" s="10"/>
      <c r="J6" s="10"/>
      <c r="K6" s="1"/>
      <c r="L6" s="1"/>
      <c r="M6" s="1"/>
      <c r="N6" s="39" t="e">
        <f>【PL】決算数値入力!#REF!</f>
        <v>#REF!</v>
      </c>
      <c r="O6" s="39" t="e">
        <f>【PL】決算数値入力!#REF!</f>
        <v>#REF!</v>
      </c>
      <c r="P6" s="39" t="e">
        <f>【PL】決算数値入力!#REF!</f>
        <v>#REF!</v>
      </c>
      <c r="Q6" s="39" t="e">
        <f>【PL】決算数値入力!#REF!</f>
        <v>#REF!</v>
      </c>
      <c r="R6" s="39" t="e">
        <f>【PL】決算数値入力!#REF!</f>
        <v>#REF!</v>
      </c>
      <c r="S6" s="39" t="e">
        <f>【PL】決算数値入力!#REF!</f>
        <v>#REF!</v>
      </c>
      <c r="T6" s="39" t="e">
        <f t="shared" ref="T6:BQ6" si="1">SUM(T7:T10)</f>
        <v>#REF!</v>
      </c>
      <c r="U6" s="39" t="e">
        <f t="shared" si="1"/>
        <v>#REF!</v>
      </c>
      <c r="V6" s="39" t="e">
        <f t="shared" si="1"/>
        <v>#REF!</v>
      </c>
      <c r="W6" s="39" t="e">
        <f t="shared" si="1"/>
        <v>#REF!</v>
      </c>
      <c r="X6" s="39" t="e">
        <f t="shared" si="1"/>
        <v>#REF!</v>
      </c>
      <c r="Y6" s="39" t="e">
        <f t="shared" si="1"/>
        <v>#REF!</v>
      </c>
      <c r="Z6" s="39" t="e">
        <f t="shared" si="1"/>
        <v>#REF!</v>
      </c>
      <c r="AA6" s="39" t="e">
        <f t="shared" si="1"/>
        <v>#REF!</v>
      </c>
      <c r="AB6" s="39" t="e">
        <f t="shared" si="1"/>
        <v>#REF!</v>
      </c>
      <c r="AC6" s="39" t="e">
        <f t="shared" si="1"/>
        <v>#REF!</v>
      </c>
      <c r="AD6" s="39" t="e">
        <f t="shared" si="1"/>
        <v>#REF!</v>
      </c>
      <c r="AE6" s="39" t="e">
        <f t="shared" si="1"/>
        <v>#REF!</v>
      </c>
      <c r="AF6" s="39" t="e">
        <f t="shared" si="1"/>
        <v>#REF!</v>
      </c>
      <c r="AG6" s="39" t="e">
        <f t="shared" si="1"/>
        <v>#REF!</v>
      </c>
      <c r="AH6" s="39" t="e">
        <f t="shared" si="1"/>
        <v>#REF!</v>
      </c>
      <c r="AI6" s="39" t="e">
        <f t="shared" si="1"/>
        <v>#REF!</v>
      </c>
      <c r="AJ6" s="39" t="e">
        <f t="shared" si="1"/>
        <v>#REF!</v>
      </c>
      <c r="AK6" s="39" t="e">
        <f t="shared" si="1"/>
        <v>#REF!</v>
      </c>
      <c r="AL6" s="39" t="e">
        <f t="shared" si="1"/>
        <v>#REF!</v>
      </c>
      <c r="AM6" s="39" t="e">
        <f t="shared" si="1"/>
        <v>#REF!</v>
      </c>
      <c r="AN6" s="39" t="e">
        <f t="shared" si="1"/>
        <v>#REF!</v>
      </c>
      <c r="AO6" s="39" t="e">
        <f t="shared" si="1"/>
        <v>#REF!</v>
      </c>
      <c r="AP6" s="39" t="e">
        <f t="shared" si="1"/>
        <v>#REF!</v>
      </c>
      <c r="AQ6" s="39" t="e">
        <f t="shared" si="1"/>
        <v>#REF!</v>
      </c>
      <c r="AR6" s="39" t="e">
        <f t="shared" si="1"/>
        <v>#REF!</v>
      </c>
      <c r="AS6" s="39" t="e">
        <f t="shared" si="1"/>
        <v>#REF!</v>
      </c>
      <c r="AT6" s="39" t="e">
        <f t="shared" si="1"/>
        <v>#REF!</v>
      </c>
      <c r="AU6" s="39" t="e">
        <f t="shared" si="1"/>
        <v>#REF!</v>
      </c>
      <c r="AV6" s="39" t="e">
        <f t="shared" si="1"/>
        <v>#REF!</v>
      </c>
      <c r="AW6" s="39" t="e">
        <f t="shared" si="1"/>
        <v>#REF!</v>
      </c>
      <c r="AX6" s="39" t="e">
        <f t="shared" si="1"/>
        <v>#REF!</v>
      </c>
      <c r="AY6" s="39" t="e">
        <f t="shared" si="1"/>
        <v>#REF!</v>
      </c>
      <c r="AZ6" s="39" t="e">
        <f t="shared" si="1"/>
        <v>#REF!</v>
      </c>
      <c r="BA6" s="39" t="e">
        <f t="shared" si="1"/>
        <v>#REF!</v>
      </c>
      <c r="BB6" s="39" t="e">
        <f t="shared" si="1"/>
        <v>#REF!</v>
      </c>
      <c r="BC6" s="39" t="e">
        <f t="shared" si="1"/>
        <v>#REF!</v>
      </c>
      <c r="BD6" s="39" t="e">
        <f t="shared" si="1"/>
        <v>#REF!</v>
      </c>
      <c r="BE6" s="39" t="e">
        <f t="shared" si="1"/>
        <v>#REF!</v>
      </c>
      <c r="BF6" s="39" t="e">
        <f t="shared" si="1"/>
        <v>#REF!</v>
      </c>
      <c r="BG6" s="39" t="e">
        <f t="shared" si="1"/>
        <v>#REF!</v>
      </c>
      <c r="BH6" s="39" t="e">
        <f t="shared" si="1"/>
        <v>#REF!</v>
      </c>
      <c r="BI6" s="39" t="e">
        <f t="shared" si="1"/>
        <v>#REF!</v>
      </c>
      <c r="BJ6" s="39" t="e">
        <f t="shared" si="1"/>
        <v>#REF!</v>
      </c>
      <c r="BK6" s="39" t="e">
        <f t="shared" si="1"/>
        <v>#REF!</v>
      </c>
      <c r="BL6" s="39" t="e">
        <f t="shared" si="1"/>
        <v>#REF!</v>
      </c>
      <c r="BM6" s="39" t="e">
        <f t="shared" si="1"/>
        <v>#REF!</v>
      </c>
      <c r="BN6" s="39" t="e">
        <f t="shared" si="1"/>
        <v>#REF!</v>
      </c>
      <c r="BO6" s="39" t="e">
        <f t="shared" si="1"/>
        <v>#REF!</v>
      </c>
      <c r="BP6" s="39" t="e">
        <f t="shared" si="1"/>
        <v>#REF!</v>
      </c>
      <c r="BQ6" s="39" t="e">
        <f t="shared" si="1"/>
        <v>#REF!</v>
      </c>
    </row>
    <row r="7" spans="2:69">
      <c r="B7" s="4"/>
      <c r="C7" s="4"/>
      <c r="D7" s="9" t="s">
        <v>71</v>
      </c>
      <c r="E7" s="8"/>
      <c r="F7" s="1"/>
      <c r="G7" s="10"/>
      <c r="H7" s="10"/>
      <c r="I7" s="10"/>
      <c r="J7" s="10"/>
      <c r="K7" s="1" t="s">
        <v>167</v>
      </c>
      <c r="L7" s="1"/>
      <c r="M7" s="1"/>
      <c r="N7" s="39" t="e">
        <f>【PL】決算数値入力!#REF!</f>
        <v>#REF!</v>
      </c>
      <c r="O7" s="39" t="e">
        <f>【PL】決算数値入力!#REF!</f>
        <v>#REF!</v>
      </c>
      <c r="P7" s="39" t="e">
        <f>【PL】決算数値入力!#REF!</f>
        <v>#REF!</v>
      </c>
      <c r="Q7" s="39" t="e">
        <f>【PL】決算数値入力!#REF!</f>
        <v>#REF!</v>
      </c>
      <c r="R7" s="39" t="e">
        <f>【PL】決算数値入力!#REF!</f>
        <v>#REF!</v>
      </c>
      <c r="S7" s="39" t="e">
        <f>【PL】決算数値入力!#REF!</f>
        <v>#REF!</v>
      </c>
      <c r="T7" s="39" t="e">
        <f>'【料金算定－現行×改定率】給水収益'!S21</f>
        <v>#REF!</v>
      </c>
      <c r="U7" s="39" t="e">
        <f>'【料金算定－現行×改定率】給水収益'!T21</f>
        <v>#REF!</v>
      </c>
      <c r="V7" s="39" t="e">
        <f>'【料金算定－現行×改定率】給水収益'!U21</f>
        <v>#REF!</v>
      </c>
      <c r="W7" s="39" t="e">
        <f>'【料金算定－現行×改定率】給水収益'!V21</f>
        <v>#REF!</v>
      </c>
      <c r="X7" s="39" t="e">
        <f>'【料金算定－現行×改定率】給水収益'!W21</f>
        <v>#REF!</v>
      </c>
      <c r="Y7" s="39" t="e">
        <f>'【料金算定－現行×改定率】給水収益'!X21</f>
        <v>#REF!</v>
      </c>
      <c r="Z7" s="39" t="e">
        <f>'【料金算定－現行×改定率】給水収益'!Y21</f>
        <v>#REF!</v>
      </c>
      <c r="AA7" s="39" t="e">
        <f>'【料金算定－現行×改定率】給水収益'!Z21</f>
        <v>#REF!</v>
      </c>
      <c r="AB7" s="39" t="e">
        <f>'【料金算定－現行×改定率】給水収益'!AA21</f>
        <v>#REF!</v>
      </c>
      <c r="AC7" s="39" t="e">
        <f>'【料金算定－現行×改定率】給水収益'!AB21</f>
        <v>#REF!</v>
      </c>
      <c r="AD7" s="39" t="e">
        <f>'【料金算定－現行×改定率】給水収益'!AC21</f>
        <v>#REF!</v>
      </c>
      <c r="AE7" s="39" t="e">
        <f>'【料金算定－現行×改定率】給水収益'!AD21</f>
        <v>#REF!</v>
      </c>
      <c r="AF7" s="39" t="e">
        <f>'【料金算定－現行×改定率】給水収益'!AE21</f>
        <v>#REF!</v>
      </c>
      <c r="AG7" s="39" t="e">
        <f>'【料金算定－現行×改定率】給水収益'!AF21</f>
        <v>#REF!</v>
      </c>
      <c r="AH7" s="39" t="e">
        <f>'【料金算定－現行×改定率】給水収益'!AG21</f>
        <v>#REF!</v>
      </c>
      <c r="AI7" s="39" t="e">
        <f>'【料金算定－現行×改定率】給水収益'!AH21</f>
        <v>#REF!</v>
      </c>
      <c r="AJ7" s="39" t="e">
        <f>'【料金算定－現行×改定率】給水収益'!AI21</f>
        <v>#REF!</v>
      </c>
      <c r="AK7" s="39" t="e">
        <f>'【料金算定－現行×改定率】給水収益'!AJ21</f>
        <v>#REF!</v>
      </c>
      <c r="AL7" s="39" t="e">
        <f>'【料金算定－現行×改定率】給水収益'!AK21</f>
        <v>#REF!</v>
      </c>
      <c r="AM7" s="39" t="e">
        <f>'【料金算定－現行×改定率】給水収益'!AL21</f>
        <v>#REF!</v>
      </c>
      <c r="AN7" s="39" t="e">
        <f>'【料金算定－現行×改定率】給水収益'!AM21</f>
        <v>#REF!</v>
      </c>
      <c r="AO7" s="39" t="e">
        <f>'【料金算定－現行×改定率】給水収益'!AN21</f>
        <v>#REF!</v>
      </c>
      <c r="AP7" s="39" t="e">
        <f>'【料金算定－現行×改定率】給水収益'!AO21</f>
        <v>#REF!</v>
      </c>
      <c r="AQ7" s="39" t="e">
        <f>'【料金算定－現行×改定率】給水収益'!AP21</f>
        <v>#REF!</v>
      </c>
      <c r="AR7" s="39" t="e">
        <f>'【料金算定－現行×改定率】給水収益'!AQ21</f>
        <v>#REF!</v>
      </c>
      <c r="AS7" s="39" t="e">
        <f>'【料金算定－現行×改定率】給水収益'!AR21</f>
        <v>#REF!</v>
      </c>
      <c r="AT7" s="39" t="e">
        <f>'【料金算定－現行×改定率】給水収益'!AS21</f>
        <v>#REF!</v>
      </c>
      <c r="AU7" s="39" t="e">
        <f>'【料金算定－現行×改定率】給水収益'!AT21</f>
        <v>#REF!</v>
      </c>
      <c r="AV7" s="39" t="e">
        <f>'【料金算定－現行×改定率】給水収益'!AU21</f>
        <v>#REF!</v>
      </c>
      <c r="AW7" s="39" t="e">
        <f>'【料金算定－現行×改定率】給水収益'!AV21</f>
        <v>#REF!</v>
      </c>
      <c r="AX7" s="39" t="e">
        <f>'【料金算定－現行×改定率】給水収益'!AW21</f>
        <v>#REF!</v>
      </c>
      <c r="AY7" s="39" t="e">
        <f>'【料金算定－現行×改定率】給水収益'!AX21</f>
        <v>#REF!</v>
      </c>
      <c r="AZ7" s="39" t="e">
        <f>'【料金算定－現行×改定率】給水収益'!AY21</f>
        <v>#REF!</v>
      </c>
      <c r="BA7" s="39" t="e">
        <f>'【料金算定－現行×改定率】給水収益'!AZ21</f>
        <v>#REF!</v>
      </c>
      <c r="BB7" s="39" t="e">
        <f>'【料金算定－現行×改定率】給水収益'!BA21</f>
        <v>#REF!</v>
      </c>
      <c r="BC7" s="39" t="e">
        <f>'【料金算定－現行×改定率】給水収益'!BB21</f>
        <v>#REF!</v>
      </c>
      <c r="BD7" s="39" t="e">
        <f>'【料金算定－現行×改定率】給水収益'!BC21</f>
        <v>#REF!</v>
      </c>
      <c r="BE7" s="39" t="e">
        <f>'【料金算定－現行×改定率】給水収益'!BD21</f>
        <v>#REF!</v>
      </c>
      <c r="BF7" s="39" t="e">
        <f>'【料金算定－現行×改定率】給水収益'!BE21</f>
        <v>#REF!</v>
      </c>
      <c r="BG7" s="39" t="e">
        <f>'【料金算定－現行×改定率】給水収益'!BF21</f>
        <v>#REF!</v>
      </c>
      <c r="BH7" s="39" t="e">
        <f>'【料金算定－現行×改定率】給水収益'!BG21</f>
        <v>#REF!</v>
      </c>
      <c r="BI7" s="39" t="e">
        <f>'【料金算定－現行×改定率】給水収益'!BH21</f>
        <v>#REF!</v>
      </c>
      <c r="BJ7" s="39" t="e">
        <f>'【料金算定－現行×改定率】給水収益'!BI21</f>
        <v>#REF!</v>
      </c>
      <c r="BK7" s="39" t="e">
        <f>'【料金算定－現行×改定率】給水収益'!BJ21</f>
        <v>#REF!</v>
      </c>
      <c r="BL7" s="39" t="e">
        <f>'【料金算定－現行×改定率】給水収益'!BK21</f>
        <v>#REF!</v>
      </c>
      <c r="BM7" s="39" t="e">
        <f>'【料金算定－現行×改定率】給水収益'!BL21</f>
        <v>#REF!</v>
      </c>
      <c r="BN7" s="39" t="e">
        <f>'【料金算定－現行×改定率】給水収益'!BM21</f>
        <v>#REF!</v>
      </c>
      <c r="BO7" s="39" t="e">
        <f>'【料金算定－現行×改定率】給水収益'!BN21</f>
        <v>#REF!</v>
      </c>
      <c r="BP7" s="39" t="e">
        <f>'【料金算定－現行×改定率】給水収益'!BO21</f>
        <v>#REF!</v>
      </c>
      <c r="BQ7" s="39" t="e">
        <f>'【料金算定－現行×改定率】給水収益'!BP21</f>
        <v>#REF!</v>
      </c>
    </row>
    <row r="8" spans="2:69">
      <c r="B8" s="4"/>
      <c r="C8" s="4"/>
      <c r="D8" s="9" t="s">
        <v>72</v>
      </c>
      <c r="E8" s="8"/>
      <c r="F8" s="1"/>
      <c r="G8" s="10"/>
      <c r="H8" s="10"/>
      <c r="I8" s="10"/>
      <c r="J8" s="10"/>
      <c r="K8" s="1"/>
      <c r="L8" s="1"/>
      <c r="M8" s="1"/>
      <c r="N8" s="39" t="e">
        <f>【PL】決算数値入力!#REF!</f>
        <v>#REF!</v>
      </c>
      <c r="O8" s="39" t="e">
        <f>【PL】決算数値入力!#REF!</f>
        <v>#REF!</v>
      </c>
      <c r="P8" s="39" t="e">
        <f>【PL】決算数値入力!#REF!</f>
        <v>#REF!</v>
      </c>
      <c r="Q8" s="39" t="e">
        <f>【PL】決算数値入力!#REF!</f>
        <v>#REF!</v>
      </c>
      <c r="R8" s="39" t="e">
        <f>【PL】決算数値入力!#REF!</f>
        <v>#REF!</v>
      </c>
      <c r="S8" s="39" t="e">
        <f>【PL】決算数値入力!#REF!</f>
        <v>#REF!</v>
      </c>
      <c r="T8" s="39" t="e">
        <f>S8</f>
        <v>#REF!</v>
      </c>
      <c r="U8" s="39" t="e">
        <f t="shared" ref="U8:BQ8" si="2">T8</f>
        <v>#REF!</v>
      </c>
      <c r="V8" s="39" t="e">
        <f t="shared" si="2"/>
        <v>#REF!</v>
      </c>
      <c r="W8" s="39" t="e">
        <f t="shared" si="2"/>
        <v>#REF!</v>
      </c>
      <c r="X8" s="39" t="e">
        <f t="shared" si="2"/>
        <v>#REF!</v>
      </c>
      <c r="Y8" s="39" t="e">
        <f t="shared" si="2"/>
        <v>#REF!</v>
      </c>
      <c r="Z8" s="39" t="e">
        <f t="shared" si="2"/>
        <v>#REF!</v>
      </c>
      <c r="AA8" s="39" t="e">
        <f t="shared" si="2"/>
        <v>#REF!</v>
      </c>
      <c r="AB8" s="39" t="e">
        <f t="shared" si="2"/>
        <v>#REF!</v>
      </c>
      <c r="AC8" s="39" t="e">
        <f t="shared" si="2"/>
        <v>#REF!</v>
      </c>
      <c r="AD8" s="39" t="e">
        <f t="shared" si="2"/>
        <v>#REF!</v>
      </c>
      <c r="AE8" s="39" t="e">
        <f t="shared" si="2"/>
        <v>#REF!</v>
      </c>
      <c r="AF8" s="39" t="e">
        <f t="shared" si="2"/>
        <v>#REF!</v>
      </c>
      <c r="AG8" s="39" t="e">
        <f t="shared" si="2"/>
        <v>#REF!</v>
      </c>
      <c r="AH8" s="39" t="e">
        <f t="shared" si="2"/>
        <v>#REF!</v>
      </c>
      <c r="AI8" s="39" t="e">
        <f t="shared" si="2"/>
        <v>#REF!</v>
      </c>
      <c r="AJ8" s="39" t="e">
        <f t="shared" si="2"/>
        <v>#REF!</v>
      </c>
      <c r="AK8" s="39" t="e">
        <f t="shared" si="2"/>
        <v>#REF!</v>
      </c>
      <c r="AL8" s="39" t="e">
        <f t="shared" si="2"/>
        <v>#REF!</v>
      </c>
      <c r="AM8" s="39" t="e">
        <f t="shared" si="2"/>
        <v>#REF!</v>
      </c>
      <c r="AN8" s="39" t="e">
        <f t="shared" si="2"/>
        <v>#REF!</v>
      </c>
      <c r="AO8" s="39" t="e">
        <f t="shared" si="2"/>
        <v>#REF!</v>
      </c>
      <c r="AP8" s="39" t="e">
        <f t="shared" si="2"/>
        <v>#REF!</v>
      </c>
      <c r="AQ8" s="39" t="e">
        <f t="shared" si="2"/>
        <v>#REF!</v>
      </c>
      <c r="AR8" s="39" t="e">
        <f t="shared" si="2"/>
        <v>#REF!</v>
      </c>
      <c r="AS8" s="39" t="e">
        <f t="shared" si="2"/>
        <v>#REF!</v>
      </c>
      <c r="AT8" s="39" t="e">
        <f t="shared" si="2"/>
        <v>#REF!</v>
      </c>
      <c r="AU8" s="39" t="e">
        <f t="shared" si="2"/>
        <v>#REF!</v>
      </c>
      <c r="AV8" s="39" t="e">
        <f t="shared" si="2"/>
        <v>#REF!</v>
      </c>
      <c r="AW8" s="39" t="e">
        <f t="shared" si="2"/>
        <v>#REF!</v>
      </c>
      <c r="AX8" s="39" t="e">
        <f t="shared" si="2"/>
        <v>#REF!</v>
      </c>
      <c r="AY8" s="39" t="e">
        <f t="shared" si="2"/>
        <v>#REF!</v>
      </c>
      <c r="AZ8" s="39" t="e">
        <f t="shared" si="2"/>
        <v>#REF!</v>
      </c>
      <c r="BA8" s="39" t="e">
        <f t="shared" si="2"/>
        <v>#REF!</v>
      </c>
      <c r="BB8" s="39" t="e">
        <f t="shared" si="2"/>
        <v>#REF!</v>
      </c>
      <c r="BC8" s="39" t="e">
        <f t="shared" si="2"/>
        <v>#REF!</v>
      </c>
      <c r="BD8" s="39" t="e">
        <f t="shared" si="2"/>
        <v>#REF!</v>
      </c>
      <c r="BE8" s="39" t="e">
        <f t="shared" si="2"/>
        <v>#REF!</v>
      </c>
      <c r="BF8" s="39" t="e">
        <f t="shared" si="2"/>
        <v>#REF!</v>
      </c>
      <c r="BG8" s="39" t="e">
        <f t="shared" si="2"/>
        <v>#REF!</v>
      </c>
      <c r="BH8" s="39" t="e">
        <f t="shared" si="2"/>
        <v>#REF!</v>
      </c>
      <c r="BI8" s="39" t="e">
        <f t="shared" si="2"/>
        <v>#REF!</v>
      </c>
      <c r="BJ8" s="39" t="e">
        <f t="shared" si="2"/>
        <v>#REF!</v>
      </c>
      <c r="BK8" s="39" t="e">
        <f t="shared" si="2"/>
        <v>#REF!</v>
      </c>
      <c r="BL8" s="39" t="e">
        <f t="shared" si="2"/>
        <v>#REF!</v>
      </c>
      <c r="BM8" s="39" t="e">
        <f t="shared" si="2"/>
        <v>#REF!</v>
      </c>
      <c r="BN8" s="39" t="e">
        <f t="shared" si="2"/>
        <v>#REF!</v>
      </c>
      <c r="BO8" s="39" t="e">
        <f t="shared" si="2"/>
        <v>#REF!</v>
      </c>
      <c r="BP8" s="39" t="e">
        <f t="shared" si="2"/>
        <v>#REF!</v>
      </c>
      <c r="BQ8" s="39" t="e">
        <f t="shared" si="2"/>
        <v>#REF!</v>
      </c>
    </row>
    <row r="9" spans="2:69">
      <c r="B9" s="4"/>
      <c r="C9" s="4"/>
      <c r="D9" s="9" t="s">
        <v>430</v>
      </c>
      <c r="E9" s="8"/>
      <c r="F9" s="1"/>
      <c r="G9" s="10"/>
      <c r="H9" s="10"/>
      <c r="I9" s="10"/>
      <c r="J9" s="10"/>
      <c r="K9" s="1" t="s">
        <v>163</v>
      </c>
      <c r="L9" s="1"/>
      <c r="M9" s="1"/>
      <c r="N9" s="39" t="e">
        <f>【PL】決算数値入力!#REF!</f>
        <v>#REF!</v>
      </c>
      <c r="O9" s="39" t="e">
        <f>【PL】決算数値入力!#REF!</f>
        <v>#REF!</v>
      </c>
      <c r="P9" s="39" t="e">
        <f>【PL】決算数値入力!#REF!</f>
        <v>#REF!</v>
      </c>
      <c r="Q9" s="39" t="e">
        <f>【PL】決算数値入力!#REF!</f>
        <v>#REF!</v>
      </c>
      <c r="R9" s="39" t="e">
        <f>【PL】決算数値入力!#REF!</f>
        <v>#REF!</v>
      </c>
      <c r="S9" s="39" t="e">
        <f>【PL】決算数値入力!#REF!</f>
        <v>#REF!</v>
      </c>
      <c r="T9" s="39">
        <v>0</v>
      </c>
      <c r="U9" s="39">
        <v>0</v>
      </c>
      <c r="V9" s="39">
        <v>0</v>
      </c>
      <c r="W9" s="39">
        <v>0</v>
      </c>
      <c r="X9" s="39">
        <v>0</v>
      </c>
      <c r="Y9" s="39">
        <v>0</v>
      </c>
      <c r="Z9" s="39">
        <v>0</v>
      </c>
      <c r="AA9" s="39">
        <v>0</v>
      </c>
      <c r="AB9" s="39">
        <v>0</v>
      </c>
      <c r="AC9" s="39">
        <v>0</v>
      </c>
      <c r="AD9" s="39">
        <v>0</v>
      </c>
      <c r="AE9" s="39">
        <v>0</v>
      </c>
      <c r="AF9" s="39">
        <v>0</v>
      </c>
      <c r="AG9" s="39">
        <v>0</v>
      </c>
      <c r="AH9" s="39">
        <v>0</v>
      </c>
      <c r="AI9" s="39">
        <v>0</v>
      </c>
      <c r="AJ9" s="39">
        <v>0</v>
      </c>
      <c r="AK9" s="39">
        <v>0</v>
      </c>
      <c r="AL9" s="39">
        <v>0</v>
      </c>
      <c r="AM9" s="39">
        <v>0</v>
      </c>
      <c r="AN9" s="39">
        <v>0</v>
      </c>
      <c r="AO9" s="39">
        <v>0</v>
      </c>
      <c r="AP9" s="39">
        <v>0</v>
      </c>
      <c r="AQ9" s="39">
        <v>0</v>
      </c>
      <c r="AR9" s="39">
        <v>0</v>
      </c>
      <c r="AS9" s="39">
        <v>0</v>
      </c>
      <c r="AT9" s="39">
        <v>0</v>
      </c>
      <c r="AU9" s="39">
        <v>0</v>
      </c>
      <c r="AV9" s="39">
        <v>0</v>
      </c>
      <c r="AW9" s="39">
        <v>0</v>
      </c>
      <c r="AX9" s="39">
        <v>0</v>
      </c>
      <c r="AY9" s="39">
        <v>0</v>
      </c>
      <c r="AZ9" s="39">
        <v>0</v>
      </c>
      <c r="BA9" s="39">
        <v>0</v>
      </c>
      <c r="BB9" s="39">
        <v>0</v>
      </c>
      <c r="BC9" s="39">
        <v>0</v>
      </c>
      <c r="BD9" s="39">
        <v>0</v>
      </c>
      <c r="BE9" s="39">
        <v>0</v>
      </c>
      <c r="BF9" s="39">
        <v>0</v>
      </c>
      <c r="BG9" s="39">
        <v>0</v>
      </c>
      <c r="BH9" s="39">
        <v>0</v>
      </c>
      <c r="BI9" s="39">
        <v>0</v>
      </c>
      <c r="BJ9" s="39">
        <v>0</v>
      </c>
      <c r="BK9" s="39">
        <v>0</v>
      </c>
      <c r="BL9" s="39">
        <v>0</v>
      </c>
      <c r="BM9" s="39">
        <v>0</v>
      </c>
      <c r="BN9" s="39">
        <v>0</v>
      </c>
      <c r="BO9" s="39">
        <v>0</v>
      </c>
      <c r="BP9" s="39">
        <v>0</v>
      </c>
      <c r="BQ9" s="39">
        <v>0</v>
      </c>
    </row>
    <row r="10" spans="2:69">
      <c r="B10" s="4"/>
      <c r="C10" s="3"/>
      <c r="D10" s="9" t="s">
        <v>73</v>
      </c>
      <c r="E10" s="8"/>
      <c r="F10" s="1"/>
      <c r="G10" s="10"/>
      <c r="H10" s="10"/>
      <c r="I10" s="10"/>
      <c r="J10" s="10" t="s">
        <v>166</v>
      </c>
      <c r="K10" s="1" t="s">
        <v>560</v>
      </c>
      <c r="L10" s="1"/>
      <c r="M10" s="1"/>
      <c r="N10" s="39" t="e">
        <f>【PL】決算数値入力!#REF!</f>
        <v>#REF!</v>
      </c>
      <c r="O10" s="39" t="e">
        <f>【PL】決算数値入力!#REF!</f>
        <v>#REF!</v>
      </c>
      <c r="P10" s="39" t="e">
        <f>【PL】決算数値入力!#REF!</f>
        <v>#REF!</v>
      </c>
      <c r="Q10" s="39" t="e">
        <f>【PL】決算数値入力!#REF!</f>
        <v>#REF!</v>
      </c>
      <c r="R10" s="39" t="e">
        <f>【PL】決算数値入力!#REF!</f>
        <v>#REF!</v>
      </c>
      <c r="S10" s="39" t="e">
        <f>【PL】決算数値入力!#REF!</f>
        <v>#REF!</v>
      </c>
      <c r="T10" s="39" t="e">
        <f>S10</f>
        <v>#REF!</v>
      </c>
      <c r="U10" s="39" t="e">
        <f t="shared" ref="U10:BQ10" si="3">T10</f>
        <v>#REF!</v>
      </c>
      <c r="V10" s="39" t="e">
        <f t="shared" si="3"/>
        <v>#REF!</v>
      </c>
      <c r="W10" s="39" t="e">
        <f t="shared" si="3"/>
        <v>#REF!</v>
      </c>
      <c r="X10" s="39" t="e">
        <f t="shared" si="3"/>
        <v>#REF!</v>
      </c>
      <c r="Y10" s="39" t="e">
        <f t="shared" si="3"/>
        <v>#REF!</v>
      </c>
      <c r="Z10" s="39" t="e">
        <f t="shared" si="3"/>
        <v>#REF!</v>
      </c>
      <c r="AA10" s="39" t="e">
        <f t="shared" si="3"/>
        <v>#REF!</v>
      </c>
      <c r="AB10" s="39" t="e">
        <f t="shared" si="3"/>
        <v>#REF!</v>
      </c>
      <c r="AC10" s="39" t="e">
        <f t="shared" si="3"/>
        <v>#REF!</v>
      </c>
      <c r="AD10" s="39" t="e">
        <f t="shared" si="3"/>
        <v>#REF!</v>
      </c>
      <c r="AE10" s="39" t="e">
        <f t="shared" si="3"/>
        <v>#REF!</v>
      </c>
      <c r="AF10" s="39" t="e">
        <f t="shared" si="3"/>
        <v>#REF!</v>
      </c>
      <c r="AG10" s="39" t="e">
        <f t="shared" si="3"/>
        <v>#REF!</v>
      </c>
      <c r="AH10" s="39" t="e">
        <f t="shared" si="3"/>
        <v>#REF!</v>
      </c>
      <c r="AI10" s="39" t="e">
        <f t="shared" si="3"/>
        <v>#REF!</v>
      </c>
      <c r="AJ10" s="39" t="e">
        <f t="shared" si="3"/>
        <v>#REF!</v>
      </c>
      <c r="AK10" s="39" t="e">
        <f t="shared" si="3"/>
        <v>#REF!</v>
      </c>
      <c r="AL10" s="39" t="e">
        <f t="shared" si="3"/>
        <v>#REF!</v>
      </c>
      <c r="AM10" s="39" t="e">
        <f t="shared" si="3"/>
        <v>#REF!</v>
      </c>
      <c r="AN10" s="39" t="e">
        <f t="shared" si="3"/>
        <v>#REF!</v>
      </c>
      <c r="AO10" s="39" t="e">
        <f t="shared" si="3"/>
        <v>#REF!</v>
      </c>
      <c r="AP10" s="39" t="e">
        <f t="shared" si="3"/>
        <v>#REF!</v>
      </c>
      <c r="AQ10" s="39" t="e">
        <f t="shared" si="3"/>
        <v>#REF!</v>
      </c>
      <c r="AR10" s="39" t="e">
        <f t="shared" si="3"/>
        <v>#REF!</v>
      </c>
      <c r="AS10" s="39" t="e">
        <f t="shared" si="3"/>
        <v>#REF!</v>
      </c>
      <c r="AT10" s="39" t="e">
        <f t="shared" si="3"/>
        <v>#REF!</v>
      </c>
      <c r="AU10" s="39" t="e">
        <f t="shared" si="3"/>
        <v>#REF!</v>
      </c>
      <c r="AV10" s="39" t="e">
        <f t="shared" si="3"/>
        <v>#REF!</v>
      </c>
      <c r="AW10" s="39" t="e">
        <f t="shared" si="3"/>
        <v>#REF!</v>
      </c>
      <c r="AX10" s="39" t="e">
        <f t="shared" si="3"/>
        <v>#REF!</v>
      </c>
      <c r="AY10" s="39" t="e">
        <f t="shared" si="3"/>
        <v>#REF!</v>
      </c>
      <c r="AZ10" s="39" t="e">
        <f t="shared" si="3"/>
        <v>#REF!</v>
      </c>
      <c r="BA10" s="39" t="e">
        <f t="shared" si="3"/>
        <v>#REF!</v>
      </c>
      <c r="BB10" s="39" t="e">
        <f t="shared" si="3"/>
        <v>#REF!</v>
      </c>
      <c r="BC10" s="39" t="e">
        <f t="shared" si="3"/>
        <v>#REF!</v>
      </c>
      <c r="BD10" s="39" t="e">
        <f t="shared" si="3"/>
        <v>#REF!</v>
      </c>
      <c r="BE10" s="39" t="e">
        <f t="shared" si="3"/>
        <v>#REF!</v>
      </c>
      <c r="BF10" s="39" t="e">
        <f t="shared" si="3"/>
        <v>#REF!</v>
      </c>
      <c r="BG10" s="39" t="e">
        <f t="shared" si="3"/>
        <v>#REF!</v>
      </c>
      <c r="BH10" s="39" t="e">
        <f t="shared" si="3"/>
        <v>#REF!</v>
      </c>
      <c r="BI10" s="39" t="e">
        <f t="shared" si="3"/>
        <v>#REF!</v>
      </c>
      <c r="BJ10" s="39" t="e">
        <f t="shared" si="3"/>
        <v>#REF!</v>
      </c>
      <c r="BK10" s="39" t="e">
        <f t="shared" si="3"/>
        <v>#REF!</v>
      </c>
      <c r="BL10" s="39" t="e">
        <f t="shared" si="3"/>
        <v>#REF!</v>
      </c>
      <c r="BM10" s="39" t="e">
        <f t="shared" si="3"/>
        <v>#REF!</v>
      </c>
      <c r="BN10" s="39" t="e">
        <f t="shared" si="3"/>
        <v>#REF!</v>
      </c>
      <c r="BO10" s="39" t="e">
        <f t="shared" si="3"/>
        <v>#REF!</v>
      </c>
      <c r="BP10" s="39" t="e">
        <f t="shared" si="3"/>
        <v>#REF!</v>
      </c>
      <c r="BQ10" s="39" t="e">
        <f t="shared" si="3"/>
        <v>#REF!</v>
      </c>
    </row>
    <row r="11" spans="2:69">
      <c r="B11" s="4"/>
      <c r="C11" s="5" t="s">
        <v>74</v>
      </c>
      <c r="D11" s="7"/>
      <c r="E11" s="8"/>
      <c r="F11" s="1"/>
      <c r="G11" s="10"/>
      <c r="H11" s="10"/>
      <c r="I11" s="10"/>
      <c r="J11" s="10"/>
      <c r="K11" s="1"/>
      <c r="L11" s="1"/>
      <c r="M11" s="1"/>
      <c r="N11" s="39" t="e">
        <f>【PL】決算数値入力!#REF!</f>
        <v>#REF!</v>
      </c>
      <c r="O11" s="39" t="e">
        <f>【PL】決算数値入力!#REF!</f>
        <v>#REF!</v>
      </c>
      <c r="P11" s="39" t="e">
        <f>【PL】決算数値入力!#REF!</f>
        <v>#REF!</v>
      </c>
      <c r="Q11" s="39" t="e">
        <f>【PL】決算数値入力!#REF!</f>
        <v>#REF!</v>
      </c>
      <c r="R11" s="39" t="e">
        <f>【PL】決算数値入力!#REF!</f>
        <v>#REF!</v>
      </c>
      <c r="S11" s="39" t="e">
        <f>【PL】決算数値入力!#REF!</f>
        <v>#REF!</v>
      </c>
      <c r="T11" s="39" t="e">
        <f t="shared" ref="T11:BQ11" si="4">SUM(T12:T15)</f>
        <v>#REF!</v>
      </c>
      <c r="U11" s="39" t="e">
        <f t="shared" si="4"/>
        <v>#REF!</v>
      </c>
      <c r="V11" s="39" t="e">
        <f t="shared" si="4"/>
        <v>#REF!</v>
      </c>
      <c r="W11" s="39" t="e">
        <f t="shared" si="4"/>
        <v>#REF!</v>
      </c>
      <c r="X11" s="39" t="e">
        <f t="shared" si="4"/>
        <v>#REF!</v>
      </c>
      <c r="Y11" s="39" t="e">
        <f t="shared" si="4"/>
        <v>#REF!</v>
      </c>
      <c r="Z11" s="39" t="e">
        <f t="shared" si="4"/>
        <v>#REF!</v>
      </c>
      <c r="AA11" s="39" t="e">
        <f t="shared" si="4"/>
        <v>#REF!</v>
      </c>
      <c r="AB11" s="39" t="e">
        <f t="shared" si="4"/>
        <v>#REF!</v>
      </c>
      <c r="AC11" s="39" t="e">
        <f t="shared" si="4"/>
        <v>#REF!</v>
      </c>
      <c r="AD11" s="39" t="e">
        <f t="shared" si="4"/>
        <v>#REF!</v>
      </c>
      <c r="AE11" s="39" t="e">
        <f t="shared" si="4"/>
        <v>#REF!</v>
      </c>
      <c r="AF11" s="39" t="e">
        <f t="shared" si="4"/>
        <v>#REF!</v>
      </c>
      <c r="AG11" s="39" t="e">
        <f t="shared" si="4"/>
        <v>#REF!</v>
      </c>
      <c r="AH11" s="39" t="e">
        <f t="shared" si="4"/>
        <v>#REF!</v>
      </c>
      <c r="AI11" s="39" t="e">
        <f t="shared" si="4"/>
        <v>#REF!</v>
      </c>
      <c r="AJ11" s="39" t="e">
        <f t="shared" si="4"/>
        <v>#REF!</v>
      </c>
      <c r="AK11" s="39" t="e">
        <f t="shared" si="4"/>
        <v>#REF!</v>
      </c>
      <c r="AL11" s="39" t="e">
        <f t="shared" si="4"/>
        <v>#REF!</v>
      </c>
      <c r="AM11" s="39" t="e">
        <f t="shared" si="4"/>
        <v>#REF!</v>
      </c>
      <c r="AN11" s="39" t="e">
        <f t="shared" si="4"/>
        <v>#REF!</v>
      </c>
      <c r="AO11" s="39" t="e">
        <f t="shared" si="4"/>
        <v>#REF!</v>
      </c>
      <c r="AP11" s="39" t="e">
        <f t="shared" si="4"/>
        <v>#REF!</v>
      </c>
      <c r="AQ11" s="39" t="e">
        <f t="shared" si="4"/>
        <v>#REF!</v>
      </c>
      <c r="AR11" s="39" t="e">
        <f t="shared" si="4"/>
        <v>#REF!</v>
      </c>
      <c r="AS11" s="39" t="e">
        <f t="shared" si="4"/>
        <v>#REF!</v>
      </c>
      <c r="AT11" s="39" t="e">
        <f t="shared" si="4"/>
        <v>#REF!</v>
      </c>
      <c r="AU11" s="39" t="e">
        <f t="shared" si="4"/>
        <v>#REF!</v>
      </c>
      <c r="AV11" s="39" t="e">
        <f t="shared" si="4"/>
        <v>#REF!</v>
      </c>
      <c r="AW11" s="39" t="e">
        <f t="shared" si="4"/>
        <v>#REF!</v>
      </c>
      <c r="AX11" s="39" t="e">
        <f t="shared" si="4"/>
        <v>#REF!</v>
      </c>
      <c r="AY11" s="39" t="e">
        <f t="shared" si="4"/>
        <v>#REF!</v>
      </c>
      <c r="AZ11" s="39" t="e">
        <f t="shared" si="4"/>
        <v>#REF!</v>
      </c>
      <c r="BA11" s="39" t="e">
        <f t="shared" si="4"/>
        <v>#REF!</v>
      </c>
      <c r="BB11" s="39" t="e">
        <f t="shared" si="4"/>
        <v>#REF!</v>
      </c>
      <c r="BC11" s="39" t="e">
        <f t="shared" si="4"/>
        <v>#REF!</v>
      </c>
      <c r="BD11" s="39" t="e">
        <f t="shared" si="4"/>
        <v>#REF!</v>
      </c>
      <c r="BE11" s="39" t="e">
        <f t="shared" si="4"/>
        <v>#REF!</v>
      </c>
      <c r="BF11" s="39" t="e">
        <f t="shared" si="4"/>
        <v>#REF!</v>
      </c>
      <c r="BG11" s="39" t="e">
        <f t="shared" si="4"/>
        <v>#REF!</v>
      </c>
      <c r="BH11" s="39" t="e">
        <f t="shared" si="4"/>
        <v>#REF!</v>
      </c>
      <c r="BI11" s="39" t="e">
        <f t="shared" si="4"/>
        <v>#REF!</v>
      </c>
      <c r="BJ11" s="39" t="e">
        <f t="shared" si="4"/>
        <v>#REF!</v>
      </c>
      <c r="BK11" s="39" t="e">
        <f t="shared" si="4"/>
        <v>#REF!</v>
      </c>
      <c r="BL11" s="39" t="e">
        <f t="shared" si="4"/>
        <v>#REF!</v>
      </c>
      <c r="BM11" s="39" t="e">
        <f t="shared" si="4"/>
        <v>#REF!</v>
      </c>
      <c r="BN11" s="39" t="e">
        <f t="shared" si="4"/>
        <v>#REF!</v>
      </c>
      <c r="BO11" s="39" t="e">
        <f t="shared" si="4"/>
        <v>#REF!</v>
      </c>
      <c r="BP11" s="39" t="e">
        <f t="shared" si="4"/>
        <v>#REF!</v>
      </c>
      <c r="BQ11" s="39" t="e">
        <f t="shared" si="4"/>
        <v>#REF!</v>
      </c>
    </row>
    <row r="12" spans="2:69">
      <c r="B12" s="4"/>
      <c r="C12" s="4"/>
      <c r="D12" s="9" t="s">
        <v>75</v>
      </c>
      <c r="E12" s="8"/>
      <c r="F12" s="1"/>
      <c r="G12" s="10"/>
      <c r="H12" s="10"/>
      <c r="I12" s="10"/>
      <c r="J12" s="10" t="s">
        <v>166</v>
      </c>
      <c r="K12" s="1" t="s">
        <v>560</v>
      </c>
      <c r="L12" s="1"/>
      <c r="M12" s="1"/>
      <c r="N12" s="39" t="e">
        <f>【PL】決算数値入力!#REF!</f>
        <v>#REF!</v>
      </c>
      <c r="O12" s="39" t="e">
        <f>【PL】決算数値入力!#REF!</f>
        <v>#REF!</v>
      </c>
      <c r="P12" s="39" t="e">
        <f>【PL】決算数値入力!#REF!</f>
        <v>#REF!</v>
      </c>
      <c r="Q12" s="39" t="e">
        <f>【PL】決算数値入力!#REF!</f>
        <v>#REF!</v>
      </c>
      <c r="R12" s="39" t="e">
        <f>【PL】決算数値入力!#REF!</f>
        <v>#REF!</v>
      </c>
      <c r="S12" s="39" t="e">
        <f>【PL】決算数値入力!#REF!</f>
        <v>#REF!</v>
      </c>
      <c r="T12" s="39" t="e">
        <f>S12</f>
        <v>#REF!</v>
      </c>
      <c r="U12" s="39" t="e">
        <f t="shared" ref="U12:BQ14" si="5">T12</f>
        <v>#REF!</v>
      </c>
      <c r="V12" s="39" t="e">
        <f t="shared" si="5"/>
        <v>#REF!</v>
      </c>
      <c r="W12" s="39" t="e">
        <f t="shared" si="5"/>
        <v>#REF!</v>
      </c>
      <c r="X12" s="39" t="e">
        <f t="shared" si="5"/>
        <v>#REF!</v>
      </c>
      <c r="Y12" s="39" t="e">
        <f t="shared" si="5"/>
        <v>#REF!</v>
      </c>
      <c r="Z12" s="39" t="e">
        <f t="shared" si="5"/>
        <v>#REF!</v>
      </c>
      <c r="AA12" s="39" t="e">
        <f t="shared" si="5"/>
        <v>#REF!</v>
      </c>
      <c r="AB12" s="39" t="e">
        <f t="shared" si="5"/>
        <v>#REF!</v>
      </c>
      <c r="AC12" s="39" t="e">
        <f t="shared" si="5"/>
        <v>#REF!</v>
      </c>
      <c r="AD12" s="39" t="e">
        <f t="shared" si="5"/>
        <v>#REF!</v>
      </c>
      <c r="AE12" s="39" t="e">
        <f t="shared" si="5"/>
        <v>#REF!</v>
      </c>
      <c r="AF12" s="39" t="e">
        <f t="shared" si="5"/>
        <v>#REF!</v>
      </c>
      <c r="AG12" s="39" t="e">
        <f t="shared" si="5"/>
        <v>#REF!</v>
      </c>
      <c r="AH12" s="39" t="e">
        <f t="shared" si="5"/>
        <v>#REF!</v>
      </c>
      <c r="AI12" s="39" t="e">
        <f t="shared" si="5"/>
        <v>#REF!</v>
      </c>
      <c r="AJ12" s="39" t="e">
        <f t="shared" si="5"/>
        <v>#REF!</v>
      </c>
      <c r="AK12" s="39" t="e">
        <f t="shared" si="5"/>
        <v>#REF!</v>
      </c>
      <c r="AL12" s="39" t="e">
        <f t="shared" si="5"/>
        <v>#REF!</v>
      </c>
      <c r="AM12" s="39" t="e">
        <f t="shared" si="5"/>
        <v>#REF!</v>
      </c>
      <c r="AN12" s="39" t="e">
        <f t="shared" si="5"/>
        <v>#REF!</v>
      </c>
      <c r="AO12" s="39" t="e">
        <f t="shared" si="5"/>
        <v>#REF!</v>
      </c>
      <c r="AP12" s="39" t="e">
        <f t="shared" si="5"/>
        <v>#REF!</v>
      </c>
      <c r="AQ12" s="39" t="e">
        <f t="shared" si="5"/>
        <v>#REF!</v>
      </c>
      <c r="AR12" s="39" t="e">
        <f t="shared" si="5"/>
        <v>#REF!</v>
      </c>
      <c r="AS12" s="39" t="e">
        <f t="shared" si="5"/>
        <v>#REF!</v>
      </c>
      <c r="AT12" s="39" t="e">
        <f t="shared" si="5"/>
        <v>#REF!</v>
      </c>
      <c r="AU12" s="39" t="e">
        <f t="shared" si="5"/>
        <v>#REF!</v>
      </c>
      <c r="AV12" s="39" t="e">
        <f t="shared" si="5"/>
        <v>#REF!</v>
      </c>
      <c r="AW12" s="39" t="e">
        <f t="shared" si="5"/>
        <v>#REF!</v>
      </c>
      <c r="AX12" s="39" t="e">
        <f t="shared" si="5"/>
        <v>#REF!</v>
      </c>
      <c r="AY12" s="39" t="e">
        <f t="shared" si="5"/>
        <v>#REF!</v>
      </c>
      <c r="AZ12" s="39" t="e">
        <f t="shared" si="5"/>
        <v>#REF!</v>
      </c>
      <c r="BA12" s="39" t="e">
        <f t="shared" si="5"/>
        <v>#REF!</v>
      </c>
      <c r="BB12" s="39" t="e">
        <f t="shared" si="5"/>
        <v>#REF!</v>
      </c>
      <c r="BC12" s="39" t="e">
        <f t="shared" si="5"/>
        <v>#REF!</v>
      </c>
      <c r="BD12" s="39" t="e">
        <f t="shared" si="5"/>
        <v>#REF!</v>
      </c>
      <c r="BE12" s="39" t="e">
        <f t="shared" si="5"/>
        <v>#REF!</v>
      </c>
      <c r="BF12" s="39" t="e">
        <f t="shared" si="5"/>
        <v>#REF!</v>
      </c>
      <c r="BG12" s="39" t="e">
        <f t="shared" si="5"/>
        <v>#REF!</v>
      </c>
      <c r="BH12" s="39" t="e">
        <f t="shared" si="5"/>
        <v>#REF!</v>
      </c>
      <c r="BI12" s="39" t="e">
        <f t="shared" si="5"/>
        <v>#REF!</v>
      </c>
      <c r="BJ12" s="39" t="e">
        <f t="shared" si="5"/>
        <v>#REF!</v>
      </c>
      <c r="BK12" s="39" t="e">
        <f t="shared" si="5"/>
        <v>#REF!</v>
      </c>
      <c r="BL12" s="39" t="e">
        <f t="shared" si="5"/>
        <v>#REF!</v>
      </c>
      <c r="BM12" s="39" t="e">
        <f t="shared" si="5"/>
        <v>#REF!</v>
      </c>
      <c r="BN12" s="39" t="e">
        <f t="shared" si="5"/>
        <v>#REF!</v>
      </c>
      <c r="BO12" s="39" t="e">
        <f t="shared" si="5"/>
        <v>#REF!</v>
      </c>
      <c r="BP12" s="39" t="e">
        <f t="shared" si="5"/>
        <v>#REF!</v>
      </c>
      <c r="BQ12" s="39" t="e">
        <f t="shared" si="5"/>
        <v>#REF!</v>
      </c>
    </row>
    <row r="13" spans="2:69">
      <c r="B13" s="4"/>
      <c r="C13" s="4"/>
      <c r="D13" s="9" t="s">
        <v>76</v>
      </c>
      <c r="E13" s="8"/>
      <c r="F13" s="1"/>
      <c r="G13" s="10"/>
      <c r="H13" s="10"/>
      <c r="I13" s="10"/>
      <c r="J13" s="10" t="s">
        <v>166</v>
      </c>
      <c r="K13" s="1" t="s">
        <v>580</v>
      </c>
      <c r="L13" s="1"/>
      <c r="M13" s="1"/>
      <c r="N13" s="39" t="e">
        <f>【PL】決算数値入力!#REF!</f>
        <v>#REF!</v>
      </c>
      <c r="O13" s="39" t="e">
        <f>【PL】決算数値入力!#REF!</f>
        <v>#REF!</v>
      </c>
      <c r="P13" s="39" t="e">
        <f>【PL】決算数値入力!#REF!</f>
        <v>#REF!</v>
      </c>
      <c r="Q13" s="39" t="e">
        <f>【PL】決算数値入力!#REF!</f>
        <v>#REF!</v>
      </c>
      <c r="R13" s="39" t="e">
        <f>【PL】決算数値入力!#REF!</f>
        <v>#REF!</v>
      </c>
      <c r="S13" s="39" t="e">
        <f>【PL】決算数値入力!#REF!</f>
        <v>#REF!</v>
      </c>
      <c r="T13" s="39" t="e">
        <f>T43+T51+T58</f>
        <v>#REF!</v>
      </c>
      <c r="U13" s="39" t="e">
        <f t="shared" ref="U13:BQ13" si="6">U43+U51+U58</f>
        <v>#REF!</v>
      </c>
      <c r="V13" s="39" t="e">
        <f t="shared" si="6"/>
        <v>#REF!</v>
      </c>
      <c r="W13" s="39" t="e">
        <f t="shared" si="6"/>
        <v>#REF!</v>
      </c>
      <c r="X13" s="39" t="e">
        <f t="shared" si="6"/>
        <v>#REF!</v>
      </c>
      <c r="Y13" s="39" t="e">
        <f t="shared" si="6"/>
        <v>#REF!</v>
      </c>
      <c r="Z13" s="39" t="e">
        <f t="shared" si="6"/>
        <v>#REF!</v>
      </c>
      <c r="AA13" s="39" t="e">
        <f t="shared" si="6"/>
        <v>#REF!</v>
      </c>
      <c r="AB13" s="39" t="e">
        <f t="shared" si="6"/>
        <v>#REF!</v>
      </c>
      <c r="AC13" s="39" t="e">
        <f t="shared" si="6"/>
        <v>#REF!</v>
      </c>
      <c r="AD13" s="39" t="e">
        <f t="shared" si="6"/>
        <v>#REF!</v>
      </c>
      <c r="AE13" s="39" t="e">
        <f t="shared" si="6"/>
        <v>#REF!</v>
      </c>
      <c r="AF13" s="39" t="e">
        <f t="shared" si="6"/>
        <v>#REF!</v>
      </c>
      <c r="AG13" s="39" t="e">
        <f t="shared" si="6"/>
        <v>#REF!</v>
      </c>
      <c r="AH13" s="39" t="e">
        <f t="shared" si="6"/>
        <v>#REF!</v>
      </c>
      <c r="AI13" s="39" t="e">
        <f t="shared" si="6"/>
        <v>#REF!</v>
      </c>
      <c r="AJ13" s="39" t="e">
        <f t="shared" si="6"/>
        <v>#REF!</v>
      </c>
      <c r="AK13" s="39" t="e">
        <f t="shared" si="6"/>
        <v>#REF!</v>
      </c>
      <c r="AL13" s="39" t="e">
        <f t="shared" si="6"/>
        <v>#REF!</v>
      </c>
      <c r="AM13" s="39" t="e">
        <f t="shared" si="6"/>
        <v>#REF!</v>
      </c>
      <c r="AN13" s="39" t="e">
        <f t="shared" si="6"/>
        <v>#REF!</v>
      </c>
      <c r="AO13" s="39" t="e">
        <f t="shared" si="6"/>
        <v>#REF!</v>
      </c>
      <c r="AP13" s="39" t="e">
        <f t="shared" si="6"/>
        <v>#REF!</v>
      </c>
      <c r="AQ13" s="39" t="e">
        <f t="shared" si="6"/>
        <v>#REF!</v>
      </c>
      <c r="AR13" s="39" t="e">
        <f t="shared" si="6"/>
        <v>#REF!</v>
      </c>
      <c r="AS13" s="39" t="e">
        <f t="shared" si="6"/>
        <v>#REF!</v>
      </c>
      <c r="AT13" s="39" t="e">
        <f t="shared" si="6"/>
        <v>#REF!</v>
      </c>
      <c r="AU13" s="39" t="e">
        <f t="shared" si="6"/>
        <v>#REF!</v>
      </c>
      <c r="AV13" s="39" t="e">
        <f t="shared" si="6"/>
        <v>#REF!</v>
      </c>
      <c r="AW13" s="39" t="e">
        <f t="shared" si="6"/>
        <v>#REF!</v>
      </c>
      <c r="AX13" s="39" t="e">
        <f t="shared" si="6"/>
        <v>#REF!</v>
      </c>
      <c r="AY13" s="39" t="e">
        <f t="shared" si="6"/>
        <v>#REF!</v>
      </c>
      <c r="AZ13" s="39" t="e">
        <f t="shared" si="6"/>
        <v>#REF!</v>
      </c>
      <c r="BA13" s="39" t="e">
        <f t="shared" si="6"/>
        <v>#REF!</v>
      </c>
      <c r="BB13" s="39" t="e">
        <f t="shared" si="6"/>
        <v>#REF!</v>
      </c>
      <c r="BC13" s="39" t="e">
        <f t="shared" si="6"/>
        <v>#REF!</v>
      </c>
      <c r="BD13" s="39" t="e">
        <f t="shared" si="6"/>
        <v>#REF!</v>
      </c>
      <c r="BE13" s="39" t="e">
        <f t="shared" si="6"/>
        <v>#REF!</v>
      </c>
      <c r="BF13" s="39" t="e">
        <f t="shared" si="6"/>
        <v>#REF!</v>
      </c>
      <c r="BG13" s="39" t="e">
        <f t="shared" si="6"/>
        <v>#REF!</v>
      </c>
      <c r="BH13" s="39" t="e">
        <f t="shared" si="6"/>
        <v>#REF!</v>
      </c>
      <c r="BI13" s="39" t="e">
        <f t="shared" si="6"/>
        <v>#REF!</v>
      </c>
      <c r="BJ13" s="39" t="e">
        <f t="shared" si="6"/>
        <v>#REF!</v>
      </c>
      <c r="BK13" s="39" t="e">
        <f t="shared" si="6"/>
        <v>#REF!</v>
      </c>
      <c r="BL13" s="39" t="e">
        <f t="shared" si="6"/>
        <v>#REF!</v>
      </c>
      <c r="BM13" s="39" t="e">
        <f t="shared" si="6"/>
        <v>#REF!</v>
      </c>
      <c r="BN13" s="39" t="e">
        <f t="shared" si="6"/>
        <v>#REF!</v>
      </c>
      <c r="BO13" s="39" t="e">
        <f t="shared" si="6"/>
        <v>#REF!</v>
      </c>
      <c r="BP13" s="39" t="e">
        <f t="shared" si="6"/>
        <v>#REF!</v>
      </c>
      <c r="BQ13" s="39" t="e">
        <f t="shared" si="6"/>
        <v>#REF!</v>
      </c>
    </row>
    <row r="14" spans="2:69">
      <c r="B14" s="4"/>
      <c r="C14" s="4"/>
      <c r="D14" s="9" t="s">
        <v>77</v>
      </c>
      <c r="E14" s="8"/>
      <c r="F14" s="1"/>
      <c r="G14" s="10"/>
      <c r="H14" s="10"/>
      <c r="I14" s="10"/>
      <c r="J14" s="10" t="s">
        <v>166</v>
      </c>
      <c r="K14" s="1" t="s">
        <v>560</v>
      </c>
      <c r="L14" s="1"/>
      <c r="M14" s="1"/>
      <c r="N14" s="39" t="e">
        <f>【PL】決算数値入力!#REF!</f>
        <v>#REF!</v>
      </c>
      <c r="O14" s="39" t="e">
        <f>【PL】決算数値入力!#REF!</f>
        <v>#REF!</v>
      </c>
      <c r="P14" s="39" t="e">
        <f>【PL】決算数値入力!#REF!</f>
        <v>#REF!</v>
      </c>
      <c r="Q14" s="39" t="e">
        <f>【PL】決算数値入力!#REF!</f>
        <v>#REF!</v>
      </c>
      <c r="R14" s="39" t="e">
        <f>【PL】決算数値入力!#REF!</f>
        <v>#REF!</v>
      </c>
      <c r="S14" s="39" t="e">
        <f>【PL】決算数値入力!#REF!</f>
        <v>#REF!</v>
      </c>
      <c r="T14" s="39" t="e">
        <f>S14</f>
        <v>#REF!</v>
      </c>
      <c r="U14" s="39" t="e">
        <f t="shared" si="5"/>
        <v>#REF!</v>
      </c>
      <c r="V14" s="39" t="e">
        <f t="shared" si="5"/>
        <v>#REF!</v>
      </c>
      <c r="W14" s="39" t="e">
        <f t="shared" si="5"/>
        <v>#REF!</v>
      </c>
      <c r="X14" s="39" t="e">
        <f t="shared" si="5"/>
        <v>#REF!</v>
      </c>
      <c r="Y14" s="39" t="e">
        <f t="shared" si="5"/>
        <v>#REF!</v>
      </c>
      <c r="Z14" s="39" t="e">
        <f t="shared" si="5"/>
        <v>#REF!</v>
      </c>
      <c r="AA14" s="39" t="e">
        <f t="shared" si="5"/>
        <v>#REF!</v>
      </c>
      <c r="AB14" s="39" t="e">
        <f t="shared" si="5"/>
        <v>#REF!</v>
      </c>
      <c r="AC14" s="39" t="e">
        <f t="shared" si="5"/>
        <v>#REF!</v>
      </c>
      <c r="AD14" s="39" t="e">
        <f t="shared" si="5"/>
        <v>#REF!</v>
      </c>
      <c r="AE14" s="39" t="e">
        <f t="shared" si="5"/>
        <v>#REF!</v>
      </c>
      <c r="AF14" s="39" t="e">
        <f t="shared" si="5"/>
        <v>#REF!</v>
      </c>
      <c r="AG14" s="39" t="e">
        <f t="shared" si="5"/>
        <v>#REF!</v>
      </c>
      <c r="AH14" s="39" t="e">
        <f t="shared" si="5"/>
        <v>#REF!</v>
      </c>
      <c r="AI14" s="39" t="e">
        <f t="shared" si="5"/>
        <v>#REF!</v>
      </c>
      <c r="AJ14" s="39" t="e">
        <f t="shared" si="5"/>
        <v>#REF!</v>
      </c>
      <c r="AK14" s="39" t="e">
        <f t="shared" si="5"/>
        <v>#REF!</v>
      </c>
      <c r="AL14" s="39" t="e">
        <f t="shared" si="5"/>
        <v>#REF!</v>
      </c>
      <c r="AM14" s="39" t="e">
        <f t="shared" si="5"/>
        <v>#REF!</v>
      </c>
      <c r="AN14" s="39" t="e">
        <f t="shared" si="5"/>
        <v>#REF!</v>
      </c>
      <c r="AO14" s="39" t="e">
        <f t="shared" si="5"/>
        <v>#REF!</v>
      </c>
      <c r="AP14" s="39" t="e">
        <f t="shared" si="5"/>
        <v>#REF!</v>
      </c>
      <c r="AQ14" s="39" t="e">
        <f t="shared" si="5"/>
        <v>#REF!</v>
      </c>
      <c r="AR14" s="39" t="e">
        <f t="shared" si="5"/>
        <v>#REF!</v>
      </c>
      <c r="AS14" s="39" t="e">
        <f t="shared" si="5"/>
        <v>#REF!</v>
      </c>
      <c r="AT14" s="39" t="e">
        <f t="shared" si="5"/>
        <v>#REF!</v>
      </c>
      <c r="AU14" s="39" t="e">
        <f t="shared" si="5"/>
        <v>#REF!</v>
      </c>
      <c r="AV14" s="39" t="e">
        <f t="shared" si="5"/>
        <v>#REF!</v>
      </c>
      <c r="AW14" s="39" t="e">
        <f t="shared" si="5"/>
        <v>#REF!</v>
      </c>
      <c r="AX14" s="39" t="e">
        <f t="shared" si="5"/>
        <v>#REF!</v>
      </c>
      <c r="AY14" s="39" t="e">
        <f t="shared" si="5"/>
        <v>#REF!</v>
      </c>
      <c r="AZ14" s="39" t="e">
        <f t="shared" si="5"/>
        <v>#REF!</v>
      </c>
      <c r="BA14" s="39" t="e">
        <f t="shared" si="5"/>
        <v>#REF!</v>
      </c>
      <c r="BB14" s="39" t="e">
        <f t="shared" si="5"/>
        <v>#REF!</v>
      </c>
      <c r="BC14" s="39" t="e">
        <f t="shared" si="5"/>
        <v>#REF!</v>
      </c>
      <c r="BD14" s="39" t="e">
        <f t="shared" si="5"/>
        <v>#REF!</v>
      </c>
      <c r="BE14" s="39" t="e">
        <f t="shared" si="5"/>
        <v>#REF!</v>
      </c>
      <c r="BF14" s="39" t="e">
        <f t="shared" si="5"/>
        <v>#REF!</v>
      </c>
      <c r="BG14" s="39" t="e">
        <f t="shared" si="5"/>
        <v>#REF!</v>
      </c>
      <c r="BH14" s="39" t="e">
        <f t="shared" si="5"/>
        <v>#REF!</v>
      </c>
      <c r="BI14" s="39" t="e">
        <f t="shared" si="5"/>
        <v>#REF!</v>
      </c>
      <c r="BJ14" s="39" t="e">
        <f t="shared" si="5"/>
        <v>#REF!</v>
      </c>
      <c r="BK14" s="39" t="e">
        <f t="shared" si="5"/>
        <v>#REF!</v>
      </c>
      <c r="BL14" s="39" t="e">
        <f t="shared" si="5"/>
        <v>#REF!</v>
      </c>
      <c r="BM14" s="39" t="e">
        <f t="shared" si="5"/>
        <v>#REF!</v>
      </c>
      <c r="BN14" s="39" t="e">
        <f t="shared" si="5"/>
        <v>#REF!</v>
      </c>
      <c r="BO14" s="39" t="e">
        <f t="shared" si="5"/>
        <v>#REF!</v>
      </c>
      <c r="BP14" s="39" t="e">
        <f t="shared" si="5"/>
        <v>#REF!</v>
      </c>
      <c r="BQ14" s="39" t="e">
        <f t="shared" si="5"/>
        <v>#REF!</v>
      </c>
    </row>
    <row r="15" spans="2:69">
      <c r="B15" s="4"/>
      <c r="C15" s="4"/>
      <c r="D15" s="5" t="s">
        <v>78</v>
      </c>
      <c r="E15" s="8"/>
      <c r="F15" s="1"/>
      <c r="G15" s="10"/>
      <c r="H15" s="10"/>
      <c r="I15" s="10"/>
      <c r="J15" s="10"/>
      <c r="K15" s="1"/>
      <c r="L15" s="1"/>
      <c r="M15" s="1"/>
      <c r="N15" s="39" t="e">
        <f>【PL】決算数値入力!#REF!</f>
        <v>#REF!</v>
      </c>
      <c r="O15" s="39" t="e">
        <f>【PL】決算数値入力!#REF!</f>
        <v>#REF!</v>
      </c>
      <c r="P15" s="39" t="e">
        <f>【PL】決算数値入力!#REF!</f>
        <v>#REF!</v>
      </c>
      <c r="Q15" s="39" t="e">
        <f>【PL】決算数値入力!#REF!</f>
        <v>#REF!</v>
      </c>
      <c r="R15" s="39" t="e">
        <f>【PL】決算数値入力!#REF!</f>
        <v>#REF!</v>
      </c>
      <c r="S15" s="39" t="e">
        <f>【PL】決算数値入力!#REF!</f>
        <v>#REF!</v>
      </c>
      <c r="T15" s="39">
        <f t="shared" ref="T15:BQ15" si="7">SUM(T16:T17)</f>
        <v>7854154</v>
      </c>
      <c r="U15" s="39">
        <f t="shared" si="7"/>
        <v>7369181</v>
      </c>
      <c r="V15" s="39">
        <f t="shared" si="7"/>
        <v>7145856</v>
      </c>
      <c r="W15" s="39">
        <f t="shared" si="7"/>
        <v>6975465</v>
      </c>
      <c r="X15" s="39">
        <f t="shared" si="7"/>
        <v>6971670</v>
      </c>
      <c r="Y15" s="39">
        <f t="shared" si="7"/>
        <v>6791365</v>
      </c>
      <c r="Z15" s="39">
        <f t="shared" si="7"/>
        <v>6480393</v>
      </c>
      <c r="AA15" s="39">
        <f t="shared" si="7"/>
        <v>6480393</v>
      </c>
      <c r="AB15" s="39">
        <f t="shared" si="7"/>
        <v>8146971.9473684207</v>
      </c>
      <c r="AC15" s="39">
        <f t="shared" si="7"/>
        <v>9462761.421052631</v>
      </c>
      <c r="AD15" s="39">
        <f t="shared" si="7"/>
        <v>10764492.894736841</v>
      </c>
      <c r="AE15" s="39">
        <f t="shared" si="7"/>
        <v>11921337.368421052</v>
      </c>
      <c r="AF15" s="39">
        <f t="shared" si="7"/>
        <v>13237126.842105262</v>
      </c>
      <c r="AG15" s="39">
        <f t="shared" si="7"/>
        <v>12264190.842105262</v>
      </c>
      <c r="AH15" s="39">
        <f t="shared" si="7"/>
        <v>12264190.842105262</v>
      </c>
      <c r="AI15" s="39">
        <f t="shared" si="7"/>
        <v>11697439.842105262</v>
      </c>
      <c r="AJ15" s="39">
        <f t="shared" si="7"/>
        <v>11697439.842105262</v>
      </c>
      <c r="AK15" s="39">
        <f t="shared" si="7"/>
        <v>11618358.842105262</v>
      </c>
      <c r="AL15" s="39">
        <f t="shared" si="7"/>
        <v>11503835.842105262</v>
      </c>
      <c r="AM15" s="39">
        <f t="shared" si="7"/>
        <v>11503835.842105262</v>
      </c>
      <c r="AN15" s="39">
        <f t="shared" si="7"/>
        <v>11503835.842105262</v>
      </c>
      <c r="AO15" s="39">
        <f t="shared" si="7"/>
        <v>11322834.842105262</v>
      </c>
      <c r="AP15" s="39">
        <f t="shared" si="7"/>
        <v>11322834.842105262</v>
      </c>
      <c r="AQ15" s="39">
        <f t="shared" si="7"/>
        <v>11322834.842105262</v>
      </c>
      <c r="AR15" s="39">
        <f t="shared" si="7"/>
        <v>11322834.842105262</v>
      </c>
      <c r="AS15" s="39">
        <f t="shared" si="7"/>
        <v>11322834.842105262</v>
      </c>
      <c r="AT15" s="39">
        <f t="shared" si="7"/>
        <v>11322834.842105262</v>
      </c>
      <c r="AU15" s="39">
        <f t="shared" si="7"/>
        <v>11274486.842105262</v>
      </c>
      <c r="AV15" s="39">
        <f t="shared" si="7"/>
        <v>11274486.842105262</v>
      </c>
      <c r="AW15" s="39">
        <f t="shared" si="7"/>
        <v>11274486.842105262</v>
      </c>
      <c r="AX15" s="39">
        <f t="shared" si="7"/>
        <v>11274486.842105262</v>
      </c>
      <c r="AY15" s="39">
        <f t="shared" si="7"/>
        <v>10740456.842105262</v>
      </c>
      <c r="AZ15" s="39">
        <f t="shared" si="7"/>
        <v>10740456.842105262</v>
      </c>
      <c r="BA15" s="39">
        <f t="shared" si="7"/>
        <v>10634101.842105262</v>
      </c>
      <c r="BB15" s="39">
        <f t="shared" si="7"/>
        <v>10634101.842105262</v>
      </c>
      <c r="BC15" s="39">
        <f t="shared" si="7"/>
        <v>9740212.842105262</v>
      </c>
      <c r="BD15" s="39">
        <f t="shared" si="7"/>
        <v>9645463.842105262</v>
      </c>
      <c r="BE15" s="39">
        <f t="shared" si="7"/>
        <v>9250401.842105262</v>
      </c>
      <c r="BF15" s="39">
        <f t="shared" si="7"/>
        <v>8565594.842105262</v>
      </c>
      <c r="BG15" s="39">
        <f t="shared" si="7"/>
        <v>8565594.842105262</v>
      </c>
      <c r="BH15" s="39">
        <f t="shared" si="7"/>
        <v>8565594.842105262</v>
      </c>
      <c r="BI15" s="39">
        <f t="shared" si="7"/>
        <v>6929736.8421052629</v>
      </c>
      <c r="BJ15" s="39">
        <f t="shared" si="7"/>
        <v>6929736.8421052629</v>
      </c>
      <c r="BK15" s="39">
        <f t="shared" si="7"/>
        <v>6929736.8421052629</v>
      </c>
      <c r="BL15" s="39">
        <f t="shared" si="7"/>
        <v>6929736.8421052629</v>
      </c>
      <c r="BM15" s="39">
        <f t="shared" si="7"/>
        <v>6929736.8421052629</v>
      </c>
      <c r="BN15" s="39">
        <f t="shared" si="7"/>
        <v>6929736.8421052629</v>
      </c>
      <c r="BO15" s="39">
        <f t="shared" si="7"/>
        <v>6929736.8421052629</v>
      </c>
      <c r="BP15" s="39">
        <f t="shared" si="7"/>
        <v>6929736.8421052629</v>
      </c>
      <c r="BQ15" s="39">
        <f t="shared" si="7"/>
        <v>6929736.8421052629</v>
      </c>
    </row>
    <row r="16" spans="2:69">
      <c r="B16" s="4"/>
      <c r="C16" s="4"/>
      <c r="D16" s="4"/>
      <c r="E16" s="1" t="s">
        <v>79</v>
      </c>
      <c r="F16" s="1"/>
      <c r="G16" s="10"/>
      <c r="H16" s="10"/>
      <c r="I16" s="10"/>
      <c r="J16" s="10"/>
      <c r="K16" s="1" t="s">
        <v>170</v>
      </c>
      <c r="L16" s="1"/>
      <c r="M16" s="1"/>
      <c r="N16" s="39" t="e">
        <f>【PL】決算数値入力!#REF!</f>
        <v>#REF!</v>
      </c>
      <c r="O16" s="39" t="e">
        <f>【PL】決算数値入力!#REF!</f>
        <v>#REF!</v>
      </c>
      <c r="P16" s="39" t="e">
        <f>【PL】決算数値入力!#REF!</f>
        <v>#REF!</v>
      </c>
      <c r="Q16" s="39" t="e">
        <f>【PL】決算数値入力!#REF!</f>
        <v>#REF!</v>
      </c>
      <c r="R16" s="39" t="e">
        <f>【PL】決算数値入力!#REF!</f>
        <v>#REF!</v>
      </c>
      <c r="S16" s="39" t="e">
        <f>【PL】決算数値入力!#REF!</f>
        <v>#REF!</v>
      </c>
      <c r="T16" s="39">
        <v>7854154</v>
      </c>
      <c r="U16" s="39">
        <v>7369181</v>
      </c>
      <c r="V16" s="39">
        <v>7145856</v>
      </c>
      <c r="W16" s="39">
        <v>6975465</v>
      </c>
      <c r="X16" s="39">
        <v>6971670</v>
      </c>
      <c r="Y16" s="39">
        <v>6791365</v>
      </c>
      <c r="Z16" s="39">
        <v>6480393</v>
      </c>
      <c r="AA16" s="39">
        <v>6480393</v>
      </c>
      <c r="AB16" s="39">
        <v>6480393</v>
      </c>
      <c r="AC16" s="39">
        <v>6480393</v>
      </c>
      <c r="AD16" s="39">
        <v>6466335</v>
      </c>
      <c r="AE16" s="39">
        <v>6307390</v>
      </c>
      <c r="AF16" s="39">
        <v>6307390</v>
      </c>
      <c r="AG16" s="39">
        <v>5334454</v>
      </c>
      <c r="AH16" s="39">
        <v>5334454</v>
      </c>
      <c r="AI16" s="39">
        <v>4767703</v>
      </c>
      <c r="AJ16" s="39">
        <v>4767703</v>
      </c>
      <c r="AK16" s="39">
        <v>4688622</v>
      </c>
      <c r="AL16" s="39">
        <v>4574099</v>
      </c>
      <c r="AM16" s="39">
        <v>4574099</v>
      </c>
      <c r="AN16" s="39">
        <v>4574099</v>
      </c>
      <c r="AO16" s="39">
        <v>4393098</v>
      </c>
      <c r="AP16" s="39">
        <v>4393098</v>
      </c>
      <c r="AQ16" s="39">
        <v>4393098</v>
      </c>
      <c r="AR16" s="39">
        <v>4393098</v>
      </c>
      <c r="AS16" s="39">
        <v>4393098</v>
      </c>
      <c r="AT16" s="39">
        <v>4393098</v>
      </c>
      <c r="AU16" s="39">
        <v>4344750</v>
      </c>
      <c r="AV16" s="39">
        <v>4344750</v>
      </c>
      <c r="AW16" s="39">
        <v>4344750</v>
      </c>
      <c r="AX16" s="39">
        <v>4344750</v>
      </c>
      <c r="AY16" s="39">
        <v>3810720</v>
      </c>
      <c r="AZ16" s="39">
        <v>3810720</v>
      </c>
      <c r="BA16" s="39">
        <v>3704365</v>
      </c>
      <c r="BB16" s="39">
        <v>3704365</v>
      </c>
      <c r="BC16" s="39">
        <v>2810476</v>
      </c>
      <c r="BD16" s="39">
        <v>2715727</v>
      </c>
      <c r="BE16" s="39">
        <v>2320665</v>
      </c>
      <c r="BF16" s="39">
        <v>1635858</v>
      </c>
      <c r="BG16" s="39">
        <v>1635858</v>
      </c>
      <c r="BH16" s="39">
        <v>1635858</v>
      </c>
      <c r="BI16" s="39">
        <v>0</v>
      </c>
      <c r="BJ16" s="39">
        <v>0</v>
      </c>
      <c r="BK16" s="39">
        <v>0</v>
      </c>
      <c r="BL16" s="39">
        <v>0</v>
      </c>
      <c r="BM16" s="39">
        <v>0</v>
      </c>
      <c r="BN16" s="39">
        <v>0</v>
      </c>
      <c r="BO16" s="39">
        <v>0</v>
      </c>
      <c r="BP16" s="39">
        <v>0</v>
      </c>
      <c r="BQ16" s="39">
        <v>0</v>
      </c>
    </row>
    <row r="17" spans="2:69">
      <c r="B17" s="4"/>
      <c r="C17" s="3"/>
      <c r="D17" s="3"/>
      <c r="E17" s="1" t="s">
        <v>80</v>
      </c>
      <c r="F17" s="1"/>
      <c r="G17" s="10"/>
      <c r="H17" s="10"/>
      <c r="I17" s="10"/>
      <c r="J17" s="10"/>
      <c r="K17" s="1" t="s">
        <v>171</v>
      </c>
      <c r="L17" s="1"/>
      <c r="M17" s="1"/>
      <c r="N17" s="39" t="e">
        <f>【PL】決算数値入力!#REF!</f>
        <v>#REF!</v>
      </c>
      <c r="O17" s="39" t="e">
        <f>【PL】決算数値入力!#REF!</f>
        <v>#REF!</v>
      </c>
      <c r="P17" s="39" t="e">
        <f>【PL】決算数値入力!#REF!</f>
        <v>#REF!</v>
      </c>
      <c r="Q17" s="39" t="e">
        <f>【PL】決算数値入力!#REF!</f>
        <v>#REF!</v>
      </c>
      <c r="R17" s="39" t="e">
        <f>【PL】決算数値入力!#REF!</f>
        <v>#REF!</v>
      </c>
      <c r="S17" s="39" t="e">
        <f>【PL】決算数値入力!#REF!</f>
        <v>#REF!</v>
      </c>
      <c r="T17" s="39">
        <f>新規取得!I5</f>
        <v>0</v>
      </c>
      <c r="U17" s="39">
        <f>新規取得!J5</f>
        <v>0</v>
      </c>
      <c r="V17" s="39">
        <f>新規取得!K5</f>
        <v>0</v>
      </c>
      <c r="W17" s="39">
        <f>新規取得!L5</f>
        <v>0</v>
      </c>
      <c r="X17" s="39">
        <f>新規取得!M5</f>
        <v>0</v>
      </c>
      <c r="Y17" s="39">
        <f>新規取得!N5</f>
        <v>0</v>
      </c>
      <c r="Z17" s="39">
        <f>新規取得!O5</f>
        <v>0</v>
      </c>
      <c r="AA17" s="39">
        <f>新規取得!P5</f>
        <v>0</v>
      </c>
      <c r="AB17" s="39">
        <f>新規取得!Q5</f>
        <v>1666578.9473684211</v>
      </c>
      <c r="AC17" s="39">
        <f>新規取得!R5</f>
        <v>2982368.4210526319</v>
      </c>
      <c r="AD17" s="39">
        <f>新規取得!S5</f>
        <v>4298157.8947368423</v>
      </c>
      <c r="AE17" s="39">
        <f>新規取得!T5</f>
        <v>5613947.3684210526</v>
      </c>
      <c r="AF17" s="39">
        <f>新規取得!U5</f>
        <v>6929736.8421052629</v>
      </c>
      <c r="AG17" s="39">
        <f>新規取得!V5</f>
        <v>6929736.8421052629</v>
      </c>
      <c r="AH17" s="39">
        <f>新規取得!W5</f>
        <v>6929736.8421052629</v>
      </c>
      <c r="AI17" s="39">
        <f>新規取得!X5</f>
        <v>6929736.8421052629</v>
      </c>
      <c r="AJ17" s="39">
        <f>新規取得!Y5</f>
        <v>6929736.8421052629</v>
      </c>
      <c r="AK17" s="39">
        <f>新規取得!Z5</f>
        <v>6929736.8421052629</v>
      </c>
      <c r="AL17" s="39">
        <f>新規取得!AA5</f>
        <v>6929736.8421052629</v>
      </c>
      <c r="AM17" s="39">
        <f>新規取得!AB5</f>
        <v>6929736.8421052629</v>
      </c>
      <c r="AN17" s="39">
        <f>新規取得!AC5</f>
        <v>6929736.8421052629</v>
      </c>
      <c r="AO17" s="39">
        <f>新規取得!AD5</f>
        <v>6929736.8421052629</v>
      </c>
      <c r="AP17" s="39">
        <f>新規取得!AE5</f>
        <v>6929736.8421052629</v>
      </c>
      <c r="AQ17" s="39">
        <f>新規取得!AF5</f>
        <v>6929736.8421052629</v>
      </c>
      <c r="AR17" s="39">
        <f>新規取得!AG5</f>
        <v>6929736.8421052629</v>
      </c>
      <c r="AS17" s="39">
        <f>新規取得!AH5</f>
        <v>6929736.8421052629</v>
      </c>
      <c r="AT17" s="39">
        <f>新規取得!AI5</f>
        <v>6929736.8421052629</v>
      </c>
      <c r="AU17" s="39">
        <f>新規取得!AJ5</f>
        <v>6929736.8421052629</v>
      </c>
      <c r="AV17" s="39">
        <f>新規取得!AK5</f>
        <v>6929736.8421052629</v>
      </c>
      <c r="AW17" s="39">
        <f>新規取得!AL5</f>
        <v>6929736.8421052629</v>
      </c>
      <c r="AX17" s="39">
        <f>新規取得!AM5</f>
        <v>6929736.8421052629</v>
      </c>
      <c r="AY17" s="39">
        <f>新規取得!AN5</f>
        <v>6929736.8421052629</v>
      </c>
      <c r="AZ17" s="39">
        <f>新規取得!AO5</f>
        <v>6929736.8421052629</v>
      </c>
      <c r="BA17" s="39">
        <f>新規取得!AP5</f>
        <v>6929736.8421052629</v>
      </c>
      <c r="BB17" s="39">
        <f>新規取得!AQ5</f>
        <v>6929736.8421052629</v>
      </c>
      <c r="BC17" s="39">
        <f>新規取得!AR5</f>
        <v>6929736.8421052629</v>
      </c>
      <c r="BD17" s="39">
        <f>新規取得!AS5</f>
        <v>6929736.8421052629</v>
      </c>
      <c r="BE17" s="39">
        <f>新規取得!AT5</f>
        <v>6929736.8421052629</v>
      </c>
      <c r="BF17" s="39">
        <f>新規取得!AU5</f>
        <v>6929736.8421052629</v>
      </c>
      <c r="BG17" s="39">
        <f>新規取得!AV5</f>
        <v>6929736.8421052629</v>
      </c>
      <c r="BH17" s="39">
        <f>新規取得!AW5</f>
        <v>6929736.8421052629</v>
      </c>
      <c r="BI17" s="39">
        <f>新規取得!AX5</f>
        <v>6929736.8421052629</v>
      </c>
      <c r="BJ17" s="39">
        <f>新規取得!AY5</f>
        <v>6929736.8421052629</v>
      </c>
      <c r="BK17" s="39">
        <f>新規取得!AZ5</f>
        <v>6929736.8421052629</v>
      </c>
      <c r="BL17" s="39">
        <f>新規取得!BA5</f>
        <v>6929736.8421052629</v>
      </c>
      <c r="BM17" s="39">
        <f>新規取得!BB5</f>
        <v>6929736.8421052629</v>
      </c>
      <c r="BN17" s="39">
        <f>新規取得!BC5</f>
        <v>6929736.8421052629</v>
      </c>
      <c r="BO17" s="39">
        <f>新規取得!BD5</f>
        <v>6929736.8421052629</v>
      </c>
      <c r="BP17" s="39">
        <f>新規取得!BE5</f>
        <v>6929736.8421052629</v>
      </c>
      <c r="BQ17" s="39">
        <f>新規取得!BF5</f>
        <v>6929736.8421052629</v>
      </c>
    </row>
    <row r="18" spans="2:69">
      <c r="B18" s="4"/>
      <c r="C18" s="9" t="s">
        <v>81</v>
      </c>
      <c r="D18" s="7"/>
      <c r="E18" s="8"/>
      <c r="F18" s="1"/>
      <c r="G18" s="10"/>
      <c r="H18" s="10"/>
      <c r="I18" s="10"/>
      <c r="J18" s="10" t="s">
        <v>166</v>
      </c>
      <c r="K18" s="1" t="s">
        <v>163</v>
      </c>
      <c r="L18" s="1"/>
      <c r="M18" s="1"/>
      <c r="N18" s="39" t="e">
        <f>【PL】決算数値入力!#REF!</f>
        <v>#REF!</v>
      </c>
      <c r="O18" s="39" t="e">
        <f>【PL】決算数値入力!#REF!</f>
        <v>#REF!</v>
      </c>
      <c r="P18" s="39" t="e">
        <f>【PL】決算数値入力!#REF!</f>
        <v>#REF!</v>
      </c>
      <c r="Q18" s="39" t="e">
        <f>【PL】決算数値入力!#REF!</f>
        <v>#REF!</v>
      </c>
      <c r="R18" s="39" t="e">
        <f>【PL】決算数値入力!#REF!</f>
        <v>#REF!</v>
      </c>
      <c r="S18" s="39" t="e">
        <f>【PL】決算数値入力!#REF!</f>
        <v>#REF!</v>
      </c>
      <c r="T18" s="40">
        <v>0</v>
      </c>
      <c r="U18" s="40">
        <v>0</v>
      </c>
      <c r="V18" s="40">
        <v>0</v>
      </c>
      <c r="W18" s="40">
        <v>0</v>
      </c>
      <c r="X18" s="40">
        <v>0</v>
      </c>
      <c r="Y18" s="40">
        <v>0</v>
      </c>
      <c r="Z18" s="40">
        <v>0</v>
      </c>
      <c r="AA18" s="40">
        <v>0</v>
      </c>
      <c r="AB18" s="40">
        <v>0</v>
      </c>
      <c r="AC18" s="40">
        <v>0</v>
      </c>
      <c r="AD18" s="40">
        <v>0</v>
      </c>
      <c r="AE18" s="40">
        <v>0</v>
      </c>
      <c r="AF18" s="40">
        <v>0</v>
      </c>
      <c r="AG18" s="40">
        <v>0</v>
      </c>
      <c r="AH18" s="40">
        <v>0</v>
      </c>
      <c r="AI18" s="40">
        <v>0</v>
      </c>
      <c r="AJ18" s="40">
        <v>0</v>
      </c>
      <c r="AK18" s="40">
        <v>0</v>
      </c>
      <c r="AL18" s="40">
        <v>0</v>
      </c>
      <c r="AM18" s="40">
        <v>0</v>
      </c>
      <c r="AN18" s="40">
        <v>0</v>
      </c>
      <c r="AO18" s="40">
        <v>0</v>
      </c>
      <c r="AP18" s="40">
        <v>0</v>
      </c>
      <c r="AQ18" s="40">
        <v>0</v>
      </c>
      <c r="AR18" s="40">
        <v>0</v>
      </c>
      <c r="AS18" s="40">
        <v>0</v>
      </c>
      <c r="AT18" s="40">
        <v>0</v>
      </c>
      <c r="AU18" s="40">
        <v>0</v>
      </c>
      <c r="AV18" s="40">
        <v>0</v>
      </c>
      <c r="AW18" s="40">
        <v>0</v>
      </c>
      <c r="AX18" s="40">
        <v>0</v>
      </c>
      <c r="AY18" s="40">
        <v>0</v>
      </c>
      <c r="AZ18" s="40">
        <v>0</v>
      </c>
      <c r="BA18" s="40">
        <v>0</v>
      </c>
      <c r="BB18" s="40">
        <v>0</v>
      </c>
      <c r="BC18" s="40">
        <v>0</v>
      </c>
      <c r="BD18" s="40">
        <v>0</v>
      </c>
      <c r="BE18" s="40">
        <v>0</v>
      </c>
      <c r="BF18" s="40">
        <v>0</v>
      </c>
      <c r="BG18" s="40">
        <v>0</v>
      </c>
      <c r="BH18" s="40">
        <v>0</v>
      </c>
      <c r="BI18" s="40">
        <v>0</v>
      </c>
      <c r="BJ18" s="40">
        <v>0</v>
      </c>
      <c r="BK18" s="40">
        <v>0</v>
      </c>
      <c r="BL18" s="40">
        <v>0</v>
      </c>
      <c r="BM18" s="40">
        <v>0</v>
      </c>
      <c r="BN18" s="40">
        <v>0</v>
      </c>
      <c r="BO18" s="40">
        <v>0</v>
      </c>
      <c r="BP18" s="40">
        <v>0</v>
      </c>
      <c r="BQ18" s="40">
        <v>0</v>
      </c>
    </row>
    <row r="19" spans="2:69">
      <c r="B19" s="4"/>
      <c r="C19" s="5" t="s">
        <v>82</v>
      </c>
      <c r="D19" s="7"/>
      <c r="E19" s="8"/>
      <c r="F19" s="1"/>
      <c r="G19" s="10"/>
      <c r="H19" s="10"/>
      <c r="I19" s="10"/>
      <c r="J19" s="10"/>
      <c r="K19" s="1"/>
      <c r="L19" s="1"/>
      <c r="M19" s="1"/>
      <c r="N19" s="39" t="e">
        <f>【PL】決算数値入力!#REF!</f>
        <v>#REF!</v>
      </c>
      <c r="O19" s="39" t="e">
        <f>【PL】決算数値入力!#REF!</f>
        <v>#REF!</v>
      </c>
      <c r="P19" s="39" t="e">
        <f>【PL】決算数値入力!#REF!</f>
        <v>#REF!</v>
      </c>
      <c r="Q19" s="39" t="e">
        <f>【PL】決算数値入力!#REF!</f>
        <v>#REF!</v>
      </c>
      <c r="R19" s="39" t="e">
        <f>【PL】決算数値入力!#REF!</f>
        <v>#REF!</v>
      </c>
      <c r="S19" s="39" t="e">
        <f>【PL】決算数値入力!#REF!</f>
        <v>#REF!</v>
      </c>
      <c r="T19" s="39">
        <f t="shared" ref="T19:BQ19" si="8">SUM(T20:T22)</f>
        <v>0</v>
      </c>
      <c r="U19" s="39">
        <f t="shared" si="8"/>
        <v>0</v>
      </c>
      <c r="V19" s="39">
        <f t="shared" si="8"/>
        <v>0</v>
      </c>
      <c r="W19" s="39">
        <f t="shared" si="8"/>
        <v>0</v>
      </c>
      <c r="X19" s="39">
        <f t="shared" si="8"/>
        <v>0</v>
      </c>
      <c r="Y19" s="39">
        <f t="shared" si="8"/>
        <v>0</v>
      </c>
      <c r="Z19" s="39">
        <f t="shared" si="8"/>
        <v>0</v>
      </c>
      <c r="AA19" s="39">
        <f t="shared" si="8"/>
        <v>0</v>
      </c>
      <c r="AB19" s="39">
        <f t="shared" si="8"/>
        <v>0</v>
      </c>
      <c r="AC19" s="39">
        <f t="shared" si="8"/>
        <v>0</v>
      </c>
      <c r="AD19" s="39">
        <f t="shared" si="8"/>
        <v>0</v>
      </c>
      <c r="AE19" s="39">
        <f t="shared" si="8"/>
        <v>0</v>
      </c>
      <c r="AF19" s="39">
        <f t="shared" si="8"/>
        <v>0</v>
      </c>
      <c r="AG19" s="39">
        <f t="shared" si="8"/>
        <v>0</v>
      </c>
      <c r="AH19" s="39">
        <f t="shared" si="8"/>
        <v>0</v>
      </c>
      <c r="AI19" s="39">
        <f t="shared" si="8"/>
        <v>0</v>
      </c>
      <c r="AJ19" s="39">
        <f t="shared" si="8"/>
        <v>0</v>
      </c>
      <c r="AK19" s="39">
        <f t="shared" si="8"/>
        <v>0</v>
      </c>
      <c r="AL19" s="39">
        <f t="shared" si="8"/>
        <v>0</v>
      </c>
      <c r="AM19" s="39">
        <f t="shared" si="8"/>
        <v>0</v>
      </c>
      <c r="AN19" s="39">
        <f t="shared" si="8"/>
        <v>0</v>
      </c>
      <c r="AO19" s="39">
        <f t="shared" si="8"/>
        <v>0</v>
      </c>
      <c r="AP19" s="39">
        <f t="shared" si="8"/>
        <v>0</v>
      </c>
      <c r="AQ19" s="39">
        <f t="shared" si="8"/>
        <v>0</v>
      </c>
      <c r="AR19" s="39">
        <f t="shared" si="8"/>
        <v>0</v>
      </c>
      <c r="AS19" s="39">
        <f t="shared" si="8"/>
        <v>0</v>
      </c>
      <c r="AT19" s="39">
        <f t="shared" si="8"/>
        <v>0</v>
      </c>
      <c r="AU19" s="39">
        <f t="shared" si="8"/>
        <v>0</v>
      </c>
      <c r="AV19" s="39">
        <f t="shared" si="8"/>
        <v>0</v>
      </c>
      <c r="AW19" s="39">
        <f t="shared" si="8"/>
        <v>0</v>
      </c>
      <c r="AX19" s="39">
        <f t="shared" si="8"/>
        <v>0</v>
      </c>
      <c r="AY19" s="39">
        <f t="shared" si="8"/>
        <v>0</v>
      </c>
      <c r="AZ19" s="39">
        <f t="shared" si="8"/>
        <v>0</v>
      </c>
      <c r="BA19" s="39">
        <f t="shared" si="8"/>
        <v>0</v>
      </c>
      <c r="BB19" s="39">
        <f t="shared" si="8"/>
        <v>0</v>
      </c>
      <c r="BC19" s="39">
        <f t="shared" si="8"/>
        <v>0</v>
      </c>
      <c r="BD19" s="39">
        <f t="shared" si="8"/>
        <v>0</v>
      </c>
      <c r="BE19" s="39">
        <f t="shared" si="8"/>
        <v>0</v>
      </c>
      <c r="BF19" s="39">
        <f t="shared" si="8"/>
        <v>0</v>
      </c>
      <c r="BG19" s="39">
        <f t="shared" si="8"/>
        <v>0</v>
      </c>
      <c r="BH19" s="39">
        <f t="shared" si="8"/>
        <v>0</v>
      </c>
      <c r="BI19" s="39">
        <f t="shared" si="8"/>
        <v>0</v>
      </c>
      <c r="BJ19" s="39">
        <f t="shared" si="8"/>
        <v>0</v>
      </c>
      <c r="BK19" s="39">
        <f t="shared" si="8"/>
        <v>0</v>
      </c>
      <c r="BL19" s="39">
        <f t="shared" si="8"/>
        <v>0</v>
      </c>
      <c r="BM19" s="39">
        <f t="shared" si="8"/>
        <v>0</v>
      </c>
      <c r="BN19" s="39">
        <f t="shared" si="8"/>
        <v>0</v>
      </c>
      <c r="BO19" s="39">
        <f t="shared" si="8"/>
        <v>0</v>
      </c>
      <c r="BP19" s="39">
        <f t="shared" si="8"/>
        <v>0</v>
      </c>
      <c r="BQ19" s="39">
        <f t="shared" si="8"/>
        <v>0</v>
      </c>
    </row>
    <row r="20" spans="2:69">
      <c r="B20" s="4"/>
      <c r="C20" s="4"/>
      <c r="D20" s="9" t="s">
        <v>83</v>
      </c>
      <c r="E20" s="8"/>
      <c r="F20" s="1"/>
      <c r="G20" s="10"/>
      <c r="H20" s="10"/>
      <c r="I20" s="10"/>
      <c r="J20" s="10" t="s">
        <v>166</v>
      </c>
      <c r="K20" s="1" t="s">
        <v>163</v>
      </c>
      <c r="L20" s="1"/>
      <c r="M20" s="1"/>
      <c r="N20" s="39" t="e">
        <f>【PL】決算数値入力!#REF!</f>
        <v>#REF!</v>
      </c>
      <c r="O20" s="39" t="e">
        <f>【PL】決算数値入力!#REF!</f>
        <v>#REF!</v>
      </c>
      <c r="P20" s="39" t="e">
        <f>【PL】決算数値入力!#REF!</f>
        <v>#REF!</v>
      </c>
      <c r="Q20" s="39" t="e">
        <f>【PL】決算数値入力!#REF!</f>
        <v>#REF!</v>
      </c>
      <c r="R20" s="39" t="e">
        <f>【PL】決算数値入力!#REF!</f>
        <v>#REF!</v>
      </c>
      <c r="S20" s="39" t="e">
        <f>【PL】決算数値入力!#REF!</f>
        <v>#REF!</v>
      </c>
      <c r="T20" s="40">
        <v>0</v>
      </c>
      <c r="U20" s="40">
        <v>0</v>
      </c>
      <c r="V20" s="40">
        <v>0</v>
      </c>
      <c r="W20" s="40">
        <v>0</v>
      </c>
      <c r="X20" s="40">
        <v>0</v>
      </c>
      <c r="Y20" s="40">
        <v>0</v>
      </c>
      <c r="Z20" s="40">
        <v>0</v>
      </c>
      <c r="AA20" s="40">
        <v>0</v>
      </c>
      <c r="AB20" s="40">
        <v>0</v>
      </c>
      <c r="AC20" s="40">
        <v>0</v>
      </c>
      <c r="AD20" s="40">
        <v>0</v>
      </c>
      <c r="AE20" s="40">
        <v>0</v>
      </c>
      <c r="AF20" s="40">
        <v>0</v>
      </c>
      <c r="AG20" s="40">
        <v>0</v>
      </c>
      <c r="AH20" s="40">
        <v>0</v>
      </c>
      <c r="AI20" s="40">
        <v>0</v>
      </c>
      <c r="AJ20" s="40">
        <v>0</v>
      </c>
      <c r="AK20" s="40">
        <v>0</v>
      </c>
      <c r="AL20" s="40">
        <v>0</v>
      </c>
      <c r="AM20" s="40">
        <v>0</v>
      </c>
      <c r="AN20" s="40">
        <v>0</v>
      </c>
      <c r="AO20" s="40">
        <v>0</v>
      </c>
      <c r="AP20" s="40">
        <v>0</v>
      </c>
      <c r="AQ20" s="40">
        <v>0</v>
      </c>
      <c r="AR20" s="40">
        <v>0</v>
      </c>
      <c r="AS20" s="40">
        <v>0</v>
      </c>
      <c r="AT20" s="40">
        <v>0</v>
      </c>
      <c r="AU20" s="40">
        <v>0</v>
      </c>
      <c r="AV20" s="40">
        <v>0</v>
      </c>
      <c r="AW20" s="40">
        <v>0</v>
      </c>
      <c r="AX20" s="40">
        <v>0</v>
      </c>
      <c r="AY20" s="40">
        <v>0</v>
      </c>
      <c r="AZ20" s="40">
        <v>0</v>
      </c>
      <c r="BA20" s="40">
        <v>0</v>
      </c>
      <c r="BB20" s="40">
        <v>0</v>
      </c>
      <c r="BC20" s="40">
        <v>0</v>
      </c>
      <c r="BD20" s="40">
        <v>0</v>
      </c>
      <c r="BE20" s="40">
        <v>0</v>
      </c>
      <c r="BF20" s="40">
        <v>0</v>
      </c>
      <c r="BG20" s="40">
        <v>0</v>
      </c>
      <c r="BH20" s="40">
        <v>0</v>
      </c>
      <c r="BI20" s="40">
        <v>0</v>
      </c>
      <c r="BJ20" s="40">
        <v>0</v>
      </c>
      <c r="BK20" s="40">
        <v>0</v>
      </c>
      <c r="BL20" s="40">
        <v>0</v>
      </c>
      <c r="BM20" s="40">
        <v>0</v>
      </c>
      <c r="BN20" s="40">
        <v>0</v>
      </c>
      <c r="BO20" s="40">
        <v>0</v>
      </c>
      <c r="BP20" s="40">
        <v>0</v>
      </c>
      <c r="BQ20" s="40">
        <v>0</v>
      </c>
    </row>
    <row r="21" spans="2:69">
      <c r="B21" s="4"/>
      <c r="C21" s="4"/>
      <c r="D21" s="9" t="s">
        <v>84</v>
      </c>
      <c r="E21" s="8"/>
      <c r="F21" s="1"/>
      <c r="G21" s="10"/>
      <c r="H21" s="10"/>
      <c r="I21" s="10"/>
      <c r="J21" s="10" t="s">
        <v>166</v>
      </c>
      <c r="K21" s="1" t="s">
        <v>163</v>
      </c>
      <c r="L21" s="1"/>
      <c r="M21" s="1"/>
      <c r="N21" s="39" t="e">
        <f>【PL】決算数値入力!#REF!</f>
        <v>#REF!</v>
      </c>
      <c r="O21" s="39" t="e">
        <f>【PL】決算数値入力!#REF!</f>
        <v>#REF!</v>
      </c>
      <c r="P21" s="39" t="e">
        <f>【PL】決算数値入力!#REF!</f>
        <v>#REF!</v>
      </c>
      <c r="Q21" s="39" t="e">
        <f>【PL】決算数値入力!#REF!</f>
        <v>#REF!</v>
      </c>
      <c r="R21" s="39" t="e">
        <f>【PL】決算数値入力!#REF!</f>
        <v>#REF!</v>
      </c>
      <c r="S21" s="39" t="e">
        <f>【PL】決算数値入力!#REF!</f>
        <v>#REF!</v>
      </c>
      <c r="T21" s="40">
        <v>0</v>
      </c>
      <c r="U21" s="40">
        <v>0</v>
      </c>
      <c r="V21" s="40">
        <v>0</v>
      </c>
      <c r="W21" s="40">
        <v>0</v>
      </c>
      <c r="X21" s="40">
        <v>0</v>
      </c>
      <c r="Y21" s="40">
        <v>0</v>
      </c>
      <c r="Z21" s="40">
        <v>0</v>
      </c>
      <c r="AA21" s="40">
        <v>0</v>
      </c>
      <c r="AB21" s="40">
        <v>0</v>
      </c>
      <c r="AC21" s="40">
        <v>0</v>
      </c>
      <c r="AD21" s="40">
        <v>0</v>
      </c>
      <c r="AE21" s="40">
        <v>0</v>
      </c>
      <c r="AF21" s="40">
        <v>0</v>
      </c>
      <c r="AG21" s="40">
        <v>0</v>
      </c>
      <c r="AH21" s="40">
        <v>0</v>
      </c>
      <c r="AI21" s="40">
        <v>0</v>
      </c>
      <c r="AJ21" s="40">
        <v>0</v>
      </c>
      <c r="AK21" s="40">
        <v>0</v>
      </c>
      <c r="AL21" s="40">
        <v>0</v>
      </c>
      <c r="AM21" s="40">
        <v>0</v>
      </c>
      <c r="AN21" s="40">
        <v>0</v>
      </c>
      <c r="AO21" s="40">
        <v>0</v>
      </c>
      <c r="AP21" s="40">
        <v>0</v>
      </c>
      <c r="AQ21" s="40">
        <v>0</v>
      </c>
      <c r="AR21" s="40">
        <v>0</v>
      </c>
      <c r="AS21" s="40">
        <v>0</v>
      </c>
      <c r="AT21" s="40">
        <v>0</v>
      </c>
      <c r="AU21" s="40">
        <v>0</v>
      </c>
      <c r="AV21" s="40">
        <v>0</v>
      </c>
      <c r="AW21" s="40">
        <v>0</v>
      </c>
      <c r="AX21" s="40">
        <v>0</v>
      </c>
      <c r="AY21" s="40">
        <v>0</v>
      </c>
      <c r="AZ21" s="40">
        <v>0</v>
      </c>
      <c r="BA21" s="40">
        <v>0</v>
      </c>
      <c r="BB21" s="40">
        <v>0</v>
      </c>
      <c r="BC21" s="40">
        <v>0</v>
      </c>
      <c r="BD21" s="40">
        <v>0</v>
      </c>
      <c r="BE21" s="40">
        <v>0</v>
      </c>
      <c r="BF21" s="40">
        <v>0</v>
      </c>
      <c r="BG21" s="40">
        <v>0</v>
      </c>
      <c r="BH21" s="40">
        <v>0</v>
      </c>
      <c r="BI21" s="40">
        <v>0</v>
      </c>
      <c r="BJ21" s="40">
        <v>0</v>
      </c>
      <c r="BK21" s="40">
        <v>0</v>
      </c>
      <c r="BL21" s="40">
        <v>0</v>
      </c>
      <c r="BM21" s="40">
        <v>0</v>
      </c>
      <c r="BN21" s="40">
        <v>0</v>
      </c>
      <c r="BO21" s="40">
        <v>0</v>
      </c>
      <c r="BP21" s="40">
        <v>0</v>
      </c>
      <c r="BQ21" s="40">
        <v>0</v>
      </c>
    </row>
    <row r="22" spans="2:69">
      <c r="B22" s="3"/>
      <c r="C22" s="3"/>
      <c r="D22" s="9" t="s">
        <v>85</v>
      </c>
      <c r="E22" s="8"/>
      <c r="F22" s="1"/>
      <c r="G22" s="10"/>
      <c r="H22" s="10"/>
      <c r="I22" s="10"/>
      <c r="J22" s="10" t="s">
        <v>166</v>
      </c>
      <c r="K22" s="1" t="s">
        <v>163</v>
      </c>
      <c r="L22" s="1"/>
      <c r="M22" s="1"/>
      <c r="N22" s="39" t="e">
        <f>【PL】決算数値入力!#REF!</f>
        <v>#REF!</v>
      </c>
      <c r="O22" s="39" t="e">
        <f>【PL】決算数値入力!#REF!</f>
        <v>#REF!</v>
      </c>
      <c r="P22" s="39" t="e">
        <f>【PL】決算数値入力!#REF!</f>
        <v>#REF!</v>
      </c>
      <c r="Q22" s="39" t="e">
        <f>【PL】決算数値入力!#REF!</f>
        <v>#REF!</v>
      </c>
      <c r="R22" s="39" t="e">
        <f>【PL】決算数値入力!#REF!</f>
        <v>#REF!</v>
      </c>
      <c r="S22" s="39" t="e">
        <f>【PL】決算数値入力!#REF!</f>
        <v>#REF!</v>
      </c>
      <c r="T22" s="40">
        <v>0</v>
      </c>
      <c r="U22" s="40">
        <v>0</v>
      </c>
      <c r="V22" s="40">
        <v>0</v>
      </c>
      <c r="W22" s="40">
        <v>0</v>
      </c>
      <c r="X22" s="40">
        <v>0</v>
      </c>
      <c r="Y22" s="40">
        <v>0</v>
      </c>
      <c r="Z22" s="40">
        <v>0</v>
      </c>
      <c r="AA22" s="40">
        <v>0</v>
      </c>
      <c r="AB22" s="40">
        <v>0</v>
      </c>
      <c r="AC22" s="40">
        <v>0</v>
      </c>
      <c r="AD22" s="40">
        <v>0</v>
      </c>
      <c r="AE22" s="40">
        <v>0</v>
      </c>
      <c r="AF22" s="40">
        <v>0</v>
      </c>
      <c r="AG22" s="40">
        <v>0</v>
      </c>
      <c r="AH22" s="40">
        <v>0</v>
      </c>
      <c r="AI22" s="40">
        <v>0</v>
      </c>
      <c r="AJ22" s="40">
        <v>0</v>
      </c>
      <c r="AK22" s="40">
        <v>0</v>
      </c>
      <c r="AL22" s="40">
        <v>0</v>
      </c>
      <c r="AM22" s="40">
        <v>0</v>
      </c>
      <c r="AN22" s="40">
        <v>0</v>
      </c>
      <c r="AO22" s="40">
        <v>0</v>
      </c>
      <c r="AP22" s="40">
        <v>0</v>
      </c>
      <c r="AQ22" s="40">
        <v>0</v>
      </c>
      <c r="AR22" s="40">
        <v>0</v>
      </c>
      <c r="AS22" s="40">
        <v>0</v>
      </c>
      <c r="AT22" s="40">
        <v>0</v>
      </c>
      <c r="AU22" s="40">
        <v>0</v>
      </c>
      <c r="AV22" s="40">
        <v>0</v>
      </c>
      <c r="AW22" s="40">
        <v>0</v>
      </c>
      <c r="AX22" s="40">
        <v>0</v>
      </c>
      <c r="AY22" s="40">
        <v>0</v>
      </c>
      <c r="AZ22" s="40">
        <v>0</v>
      </c>
      <c r="BA22" s="40">
        <v>0</v>
      </c>
      <c r="BB22" s="40">
        <v>0</v>
      </c>
      <c r="BC22" s="40">
        <v>0</v>
      </c>
      <c r="BD22" s="40">
        <v>0</v>
      </c>
      <c r="BE22" s="40">
        <v>0</v>
      </c>
      <c r="BF22" s="40">
        <v>0</v>
      </c>
      <c r="BG22" s="40">
        <v>0</v>
      </c>
      <c r="BH22" s="40">
        <v>0</v>
      </c>
      <c r="BI22" s="40">
        <v>0</v>
      </c>
      <c r="BJ22" s="40">
        <v>0</v>
      </c>
      <c r="BK22" s="40">
        <v>0</v>
      </c>
      <c r="BL22" s="40">
        <v>0</v>
      </c>
      <c r="BM22" s="40">
        <v>0</v>
      </c>
      <c r="BN22" s="40">
        <v>0</v>
      </c>
      <c r="BO22" s="40">
        <v>0</v>
      </c>
      <c r="BP22" s="40">
        <v>0</v>
      </c>
      <c r="BQ22" s="40">
        <v>0</v>
      </c>
    </row>
    <row r="23" spans="2:69">
      <c r="B23" s="5" t="s">
        <v>86</v>
      </c>
      <c r="C23" s="7"/>
      <c r="D23" s="7"/>
      <c r="E23" s="8"/>
      <c r="F23" s="1"/>
      <c r="G23" s="10"/>
      <c r="H23" s="10"/>
      <c r="I23" s="10"/>
      <c r="J23" s="10"/>
      <c r="K23" s="1"/>
      <c r="L23" s="1"/>
      <c r="M23" s="1"/>
      <c r="N23" s="39" t="e">
        <f>【PL】決算数値入力!#REF!</f>
        <v>#REF!</v>
      </c>
      <c r="O23" s="39" t="e">
        <f>【PL】決算数値入力!#REF!</f>
        <v>#REF!</v>
      </c>
      <c r="P23" s="39" t="e">
        <f>【PL】決算数値入力!#REF!</f>
        <v>#REF!</v>
      </c>
      <c r="Q23" s="39" t="e">
        <f>【PL】決算数値入力!#REF!</f>
        <v>#REF!</v>
      </c>
      <c r="R23" s="39" t="e">
        <f>【PL】決算数値入力!#REF!</f>
        <v>#REF!</v>
      </c>
      <c r="S23" s="39" t="e">
        <f>【PL】決算数値入力!#REF!</f>
        <v>#REF!</v>
      </c>
      <c r="T23" s="39" t="e">
        <f t="shared" ref="T23:BQ23" si="9">SUM(T24,T57,T62)</f>
        <v>#REF!</v>
      </c>
      <c r="U23" s="39" t="e">
        <f t="shared" si="9"/>
        <v>#REF!</v>
      </c>
      <c r="V23" s="39" t="e">
        <f t="shared" si="9"/>
        <v>#REF!</v>
      </c>
      <c r="W23" s="39" t="e">
        <f t="shared" si="9"/>
        <v>#REF!</v>
      </c>
      <c r="X23" s="39" t="e">
        <f t="shared" si="9"/>
        <v>#REF!</v>
      </c>
      <c r="Y23" s="39" t="e">
        <f t="shared" si="9"/>
        <v>#REF!</v>
      </c>
      <c r="Z23" s="39" t="e">
        <f t="shared" si="9"/>
        <v>#REF!</v>
      </c>
      <c r="AA23" s="39" t="e">
        <f t="shared" si="9"/>
        <v>#REF!</v>
      </c>
      <c r="AB23" s="39" t="e">
        <f t="shared" si="9"/>
        <v>#REF!</v>
      </c>
      <c r="AC23" s="39" t="e">
        <f t="shared" si="9"/>
        <v>#REF!</v>
      </c>
      <c r="AD23" s="39" t="e">
        <f t="shared" si="9"/>
        <v>#REF!</v>
      </c>
      <c r="AE23" s="39" t="e">
        <f t="shared" si="9"/>
        <v>#REF!</v>
      </c>
      <c r="AF23" s="39" t="e">
        <f t="shared" si="9"/>
        <v>#REF!</v>
      </c>
      <c r="AG23" s="39" t="e">
        <f t="shared" si="9"/>
        <v>#REF!</v>
      </c>
      <c r="AH23" s="39" t="e">
        <f t="shared" si="9"/>
        <v>#REF!</v>
      </c>
      <c r="AI23" s="39" t="e">
        <f t="shared" si="9"/>
        <v>#REF!</v>
      </c>
      <c r="AJ23" s="39" t="e">
        <f t="shared" si="9"/>
        <v>#REF!</v>
      </c>
      <c r="AK23" s="39" t="e">
        <f t="shared" si="9"/>
        <v>#REF!</v>
      </c>
      <c r="AL23" s="39" t="e">
        <f t="shared" si="9"/>
        <v>#REF!</v>
      </c>
      <c r="AM23" s="39" t="e">
        <f t="shared" si="9"/>
        <v>#REF!</v>
      </c>
      <c r="AN23" s="39" t="e">
        <f t="shared" si="9"/>
        <v>#REF!</v>
      </c>
      <c r="AO23" s="39" t="e">
        <f t="shared" si="9"/>
        <v>#REF!</v>
      </c>
      <c r="AP23" s="39" t="e">
        <f t="shared" si="9"/>
        <v>#REF!</v>
      </c>
      <c r="AQ23" s="39" t="e">
        <f t="shared" si="9"/>
        <v>#REF!</v>
      </c>
      <c r="AR23" s="39" t="e">
        <f t="shared" si="9"/>
        <v>#REF!</v>
      </c>
      <c r="AS23" s="39" t="e">
        <f t="shared" si="9"/>
        <v>#REF!</v>
      </c>
      <c r="AT23" s="39" t="e">
        <f t="shared" si="9"/>
        <v>#REF!</v>
      </c>
      <c r="AU23" s="39" t="e">
        <f t="shared" si="9"/>
        <v>#REF!</v>
      </c>
      <c r="AV23" s="39" t="e">
        <f t="shared" si="9"/>
        <v>#REF!</v>
      </c>
      <c r="AW23" s="39" t="e">
        <f t="shared" si="9"/>
        <v>#REF!</v>
      </c>
      <c r="AX23" s="39" t="e">
        <f t="shared" si="9"/>
        <v>#REF!</v>
      </c>
      <c r="AY23" s="39" t="e">
        <f t="shared" si="9"/>
        <v>#REF!</v>
      </c>
      <c r="AZ23" s="39" t="e">
        <f t="shared" si="9"/>
        <v>#REF!</v>
      </c>
      <c r="BA23" s="39" t="e">
        <f t="shared" si="9"/>
        <v>#REF!</v>
      </c>
      <c r="BB23" s="39" t="e">
        <f t="shared" si="9"/>
        <v>#REF!</v>
      </c>
      <c r="BC23" s="39" t="e">
        <f t="shared" si="9"/>
        <v>#REF!</v>
      </c>
      <c r="BD23" s="39" t="e">
        <f t="shared" si="9"/>
        <v>#REF!</v>
      </c>
      <c r="BE23" s="39" t="e">
        <f t="shared" si="9"/>
        <v>#REF!</v>
      </c>
      <c r="BF23" s="39" t="e">
        <f t="shared" si="9"/>
        <v>#REF!</v>
      </c>
      <c r="BG23" s="39" t="e">
        <f t="shared" si="9"/>
        <v>#REF!</v>
      </c>
      <c r="BH23" s="39" t="e">
        <f t="shared" si="9"/>
        <v>#REF!</v>
      </c>
      <c r="BI23" s="39" t="e">
        <f t="shared" si="9"/>
        <v>#REF!</v>
      </c>
      <c r="BJ23" s="39" t="e">
        <f t="shared" si="9"/>
        <v>#REF!</v>
      </c>
      <c r="BK23" s="39" t="e">
        <f t="shared" si="9"/>
        <v>#REF!</v>
      </c>
      <c r="BL23" s="39" t="e">
        <f t="shared" si="9"/>
        <v>#REF!</v>
      </c>
      <c r="BM23" s="39" t="e">
        <f t="shared" si="9"/>
        <v>#REF!</v>
      </c>
      <c r="BN23" s="39" t="e">
        <f t="shared" si="9"/>
        <v>#REF!</v>
      </c>
      <c r="BO23" s="39" t="e">
        <f t="shared" si="9"/>
        <v>#REF!</v>
      </c>
      <c r="BP23" s="39" t="e">
        <f t="shared" si="9"/>
        <v>#REF!</v>
      </c>
      <c r="BQ23" s="39" t="e">
        <f t="shared" si="9"/>
        <v>#REF!</v>
      </c>
    </row>
    <row r="24" spans="2:69">
      <c r="B24" s="4"/>
      <c r="C24" s="5" t="s">
        <v>87</v>
      </c>
      <c r="D24" s="7"/>
      <c r="E24" s="8"/>
      <c r="F24" s="1"/>
      <c r="G24" s="10"/>
      <c r="H24" s="10"/>
      <c r="I24" s="10"/>
      <c r="J24" s="10"/>
      <c r="K24" s="1"/>
      <c r="L24" s="1"/>
      <c r="M24" s="1"/>
      <c r="N24" s="39" t="e">
        <f>【PL】決算数値入力!#REF!</f>
        <v>#REF!</v>
      </c>
      <c r="O24" s="39" t="e">
        <f>【PL】決算数値入力!#REF!</f>
        <v>#REF!</v>
      </c>
      <c r="P24" s="39" t="e">
        <f>【PL】決算数値入力!#REF!</f>
        <v>#REF!</v>
      </c>
      <c r="Q24" s="39" t="e">
        <f>【PL】決算数値入力!#REF!</f>
        <v>#REF!</v>
      </c>
      <c r="R24" s="39" t="e">
        <f>【PL】決算数値入力!#REF!</f>
        <v>#REF!</v>
      </c>
      <c r="S24" s="39" t="e">
        <f>【PL】決算数値入力!#REF!</f>
        <v>#REF!</v>
      </c>
      <c r="T24" s="39" t="e">
        <f t="shared" ref="T24:BQ24" si="10">SUM(T25,T33,T42,T51,T54)</f>
        <v>#REF!</v>
      </c>
      <c r="U24" s="39" t="e">
        <f t="shared" si="10"/>
        <v>#REF!</v>
      </c>
      <c r="V24" s="39" t="e">
        <f t="shared" si="10"/>
        <v>#REF!</v>
      </c>
      <c r="W24" s="39" t="e">
        <f t="shared" si="10"/>
        <v>#REF!</v>
      </c>
      <c r="X24" s="39" t="e">
        <f t="shared" si="10"/>
        <v>#REF!</v>
      </c>
      <c r="Y24" s="39" t="e">
        <f t="shared" si="10"/>
        <v>#REF!</v>
      </c>
      <c r="Z24" s="39" t="e">
        <f t="shared" si="10"/>
        <v>#REF!</v>
      </c>
      <c r="AA24" s="39" t="e">
        <f t="shared" si="10"/>
        <v>#REF!</v>
      </c>
      <c r="AB24" s="39" t="e">
        <f t="shared" si="10"/>
        <v>#REF!</v>
      </c>
      <c r="AC24" s="39" t="e">
        <f t="shared" si="10"/>
        <v>#REF!</v>
      </c>
      <c r="AD24" s="39" t="e">
        <f t="shared" si="10"/>
        <v>#REF!</v>
      </c>
      <c r="AE24" s="39" t="e">
        <f t="shared" si="10"/>
        <v>#REF!</v>
      </c>
      <c r="AF24" s="39" t="e">
        <f t="shared" si="10"/>
        <v>#REF!</v>
      </c>
      <c r="AG24" s="39" t="e">
        <f t="shared" si="10"/>
        <v>#REF!</v>
      </c>
      <c r="AH24" s="39" t="e">
        <f t="shared" si="10"/>
        <v>#REF!</v>
      </c>
      <c r="AI24" s="39" t="e">
        <f t="shared" si="10"/>
        <v>#REF!</v>
      </c>
      <c r="AJ24" s="39" t="e">
        <f t="shared" si="10"/>
        <v>#REF!</v>
      </c>
      <c r="AK24" s="39" t="e">
        <f t="shared" si="10"/>
        <v>#REF!</v>
      </c>
      <c r="AL24" s="39" t="e">
        <f t="shared" si="10"/>
        <v>#REF!</v>
      </c>
      <c r="AM24" s="39" t="e">
        <f t="shared" si="10"/>
        <v>#REF!</v>
      </c>
      <c r="AN24" s="39" t="e">
        <f t="shared" si="10"/>
        <v>#REF!</v>
      </c>
      <c r="AO24" s="39" t="e">
        <f t="shared" si="10"/>
        <v>#REF!</v>
      </c>
      <c r="AP24" s="39" t="e">
        <f t="shared" si="10"/>
        <v>#REF!</v>
      </c>
      <c r="AQ24" s="39" t="e">
        <f t="shared" si="10"/>
        <v>#REF!</v>
      </c>
      <c r="AR24" s="39" t="e">
        <f t="shared" si="10"/>
        <v>#REF!</v>
      </c>
      <c r="AS24" s="39" t="e">
        <f t="shared" si="10"/>
        <v>#REF!</v>
      </c>
      <c r="AT24" s="39" t="e">
        <f t="shared" si="10"/>
        <v>#REF!</v>
      </c>
      <c r="AU24" s="39" t="e">
        <f t="shared" si="10"/>
        <v>#REF!</v>
      </c>
      <c r="AV24" s="39" t="e">
        <f t="shared" si="10"/>
        <v>#REF!</v>
      </c>
      <c r="AW24" s="39" t="e">
        <f t="shared" si="10"/>
        <v>#REF!</v>
      </c>
      <c r="AX24" s="39" t="e">
        <f t="shared" si="10"/>
        <v>#REF!</v>
      </c>
      <c r="AY24" s="39" t="e">
        <f t="shared" si="10"/>
        <v>#REF!</v>
      </c>
      <c r="AZ24" s="39" t="e">
        <f t="shared" si="10"/>
        <v>#REF!</v>
      </c>
      <c r="BA24" s="39" t="e">
        <f t="shared" si="10"/>
        <v>#REF!</v>
      </c>
      <c r="BB24" s="39" t="e">
        <f t="shared" si="10"/>
        <v>#REF!</v>
      </c>
      <c r="BC24" s="39" t="e">
        <f t="shared" si="10"/>
        <v>#REF!</v>
      </c>
      <c r="BD24" s="39" t="e">
        <f t="shared" si="10"/>
        <v>#REF!</v>
      </c>
      <c r="BE24" s="39" t="e">
        <f t="shared" si="10"/>
        <v>#REF!</v>
      </c>
      <c r="BF24" s="39" t="e">
        <f t="shared" si="10"/>
        <v>#REF!</v>
      </c>
      <c r="BG24" s="39" t="e">
        <f t="shared" si="10"/>
        <v>#REF!</v>
      </c>
      <c r="BH24" s="39" t="e">
        <f t="shared" si="10"/>
        <v>#REF!</v>
      </c>
      <c r="BI24" s="39" t="e">
        <f t="shared" si="10"/>
        <v>#REF!</v>
      </c>
      <c r="BJ24" s="39" t="e">
        <f t="shared" si="10"/>
        <v>#REF!</v>
      </c>
      <c r="BK24" s="39" t="e">
        <f t="shared" si="10"/>
        <v>#REF!</v>
      </c>
      <c r="BL24" s="39" t="e">
        <f t="shared" si="10"/>
        <v>#REF!</v>
      </c>
      <c r="BM24" s="39" t="e">
        <f t="shared" si="10"/>
        <v>#REF!</v>
      </c>
      <c r="BN24" s="39" t="e">
        <f t="shared" si="10"/>
        <v>#REF!</v>
      </c>
      <c r="BO24" s="39" t="e">
        <f t="shared" si="10"/>
        <v>#REF!</v>
      </c>
      <c r="BP24" s="39" t="e">
        <f t="shared" si="10"/>
        <v>#REF!</v>
      </c>
      <c r="BQ24" s="39" t="e">
        <f t="shared" si="10"/>
        <v>#REF!</v>
      </c>
    </row>
    <row r="25" spans="2:69">
      <c r="B25" s="4"/>
      <c r="C25" s="4"/>
      <c r="D25" s="5" t="s">
        <v>88</v>
      </c>
      <c r="E25" s="8"/>
      <c r="F25" s="302" t="s">
        <v>174</v>
      </c>
      <c r="G25" s="10"/>
      <c r="H25" s="10"/>
      <c r="I25" s="10"/>
      <c r="J25" s="10"/>
      <c r="K25" s="1"/>
      <c r="L25" s="1"/>
      <c r="M25" s="1"/>
      <c r="N25" s="39" t="e">
        <f>【PL】決算数値入力!#REF!</f>
        <v>#REF!</v>
      </c>
      <c r="O25" s="39" t="e">
        <f>【PL】決算数値入力!#REF!</f>
        <v>#REF!</v>
      </c>
      <c r="P25" s="39" t="e">
        <f>【PL】決算数値入力!#REF!</f>
        <v>#REF!</v>
      </c>
      <c r="Q25" s="39" t="e">
        <f>【PL】決算数値入力!#REF!</f>
        <v>#REF!</v>
      </c>
      <c r="R25" s="39" t="e">
        <f>【PL】決算数値入力!#REF!</f>
        <v>#REF!</v>
      </c>
      <c r="S25" s="39" t="e">
        <f>【PL】決算数値入力!#REF!</f>
        <v>#REF!</v>
      </c>
      <c r="T25" s="39" t="e">
        <f t="shared" ref="T25:BQ25" si="11">SUM(T26:T32)</f>
        <v>#REF!</v>
      </c>
      <c r="U25" s="39" t="e">
        <f t="shared" si="11"/>
        <v>#REF!</v>
      </c>
      <c r="V25" s="39" t="e">
        <f t="shared" si="11"/>
        <v>#REF!</v>
      </c>
      <c r="W25" s="39" t="e">
        <f t="shared" si="11"/>
        <v>#REF!</v>
      </c>
      <c r="X25" s="39" t="e">
        <f t="shared" si="11"/>
        <v>#REF!</v>
      </c>
      <c r="Y25" s="39" t="e">
        <f t="shared" si="11"/>
        <v>#REF!</v>
      </c>
      <c r="Z25" s="39" t="e">
        <f t="shared" si="11"/>
        <v>#REF!</v>
      </c>
      <c r="AA25" s="39" t="e">
        <f t="shared" si="11"/>
        <v>#REF!</v>
      </c>
      <c r="AB25" s="39" t="e">
        <f t="shared" si="11"/>
        <v>#REF!</v>
      </c>
      <c r="AC25" s="39" t="e">
        <f t="shared" si="11"/>
        <v>#REF!</v>
      </c>
      <c r="AD25" s="39" t="e">
        <f t="shared" si="11"/>
        <v>#REF!</v>
      </c>
      <c r="AE25" s="39" t="e">
        <f t="shared" si="11"/>
        <v>#REF!</v>
      </c>
      <c r="AF25" s="39" t="e">
        <f t="shared" si="11"/>
        <v>#REF!</v>
      </c>
      <c r="AG25" s="39" t="e">
        <f t="shared" si="11"/>
        <v>#REF!</v>
      </c>
      <c r="AH25" s="39" t="e">
        <f t="shared" si="11"/>
        <v>#REF!</v>
      </c>
      <c r="AI25" s="39" t="e">
        <f t="shared" si="11"/>
        <v>#REF!</v>
      </c>
      <c r="AJ25" s="39" t="e">
        <f t="shared" si="11"/>
        <v>#REF!</v>
      </c>
      <c r="AK25" s="39" t="e">
        <f t="shared" si="11"/>
        <v>#REF!</v>
      </c>
      <c r="AL25" s="39" t="e">
        <f t="shared" si="11"/>
        <v>#REF!</v>
      </c>
      <c r="AM25" s="39" t="e">
        <f t="shared" si="11"/>
        <v>#REF!</v>
      </c>
      <c r="AN25" s="39" t="e">
        <f t="shared" si="11"/>
        <v>#REF!</v>
      </c>
      <c r="AO25" s="39" t="e">
        <f t="shared" si="11"/>
        <v>#REF!</v>
      </c>
      <c r="AP25" s="39" t="e">
        <f t="shared" si="11"/>
        <v>#REF!</v>
      </c>
      <c r="AQ25" s="39" t="e">
        <f t="shared" si="11"/>
        <v>#REF!</v>
      </c>
      <c r="AR25" s="39" t="e">
        <f t="shared" si="11"/>
        <v>#REF!</v>
      </c>
      <c r="AS25" s="39" t="e">
        <f t="shared" si="11"/>
        <v>#REF!</v>
      </c>
      <c r="AT25" s="39" t="e">
        <f t="shared" si="11"/>
        <v>#REF!</v>
      </c>
      <c r="AU25" s="39" t="e">
        <f t="shared" si="11"/>
        <v>#REF!</v>
      </c>
      <c r="AV25" s="39" t="e">
        <f t="shared" si="11"/>
        <v>#REF!</v>
      </c>
      <c r="AW25" s="39" t="e">
        <f t="shared" si="11"/>
        <v>#REF!</v>
      </c>
      <c r="AX25" s="39" t="e">
        <f t="shared" si="11"/>
        <v>#REF!</v>
      </c>
      <c r="AY25" s="39" t="e">
        <f t="shared" si="11"/>
        <v>#REF!</v>
      </c>
      <c r="AZ25" s="39" t="e">
        <f t="shared" si="11"/>
        <v>#REF!</v>
      </c>
      <c r="BA25" s="39" t="e">
        <f t="shared" si="11"/>
        <v>#REF!</v>
      </c>
      <c r="BB25" s="39" t="e">
        <f t="shared" si="11"/>
        <v>#REF!</v>
      </c>
      <c r="BC25" s="39" t="e">
        <f t="shared" si="11"/>
        <v>#REF!</v>
      </c>
      <c r="BD25" s="39" t="e">
        <f t="shared" si="11"/>
        <v>#REF!</v>
      </c>
      <c r="BE25" s="39" t="e">
        <f t="shared" si="11"/>
        <v>#REF!</v>
      </c>
      <c r="BF25" s="39" t="e">
        <f t="shared" si="11"/>
        <v>#REF!</v>
      </c>
      <c r="BG25" s="39" t="e">
        <f t="shared" si="11"/>
        <v>#REF!</v>
      </c>
      <c r="BH25" s="39" t="e">
        <f t="shared" si="11"/>
        <v>#REF!</v>
      </c>
      <c r="BI25" s="39" t="e">
        <f t="shared" si="11"/>
        <v>#REF!</v>
      </c>
      <c r="BJ25" s="39" t="e">
        <f t="shared" si="11"/>
        <v>#REF!</v>
      </c>
      <c r="BK25" s="39" t="e">
        <f t="shared" si="11"/>
        <v>#REF!</v>
      </c>
      <c r="BL25" s="39" t="e">
        <f t="shared" si="11"/>
        <v>#REF!</v>
      </c>
      <c r="BM25" s="39" t="e">
        <f t="shared" si="11"/>
        <v>#REF!</v>
      </c>
      <c r="BN25" s="39" t="e">
        <f t="shared" si="11"/>
        <v>#REF!</v>
      </c>
      <c r="BO25" s="39" t="e">
        <f t="shared" si="11"/>
        <v>#REF!</v>
      </c>
      <c r="BP25" s="39" t="e">
        <f t="shared" si="11"/>
        <v>#REF!</v>
      </c>
      <c r="BQ25" s="39" t="e">
        <f t="shared" si="11"/>
        <v>#REF!</v>
      </c>
    </row>
    <row r="26" spans="2:69">
      <c r="B26" s="4"/>
      <c r="C26" s="4"/>
      <c r="D26" s="4"/>
      <c r="E26" s="1" t="s">
        <v>89</v>
      </c>
      <c r="F26" s="303"/>
      <c r="G26" s="10"/>
      <c r="H26" s="10" t="s">
        <v>166</v>
      </c>
      <c r="I26" s="10"/>
      <c r="J26" s="10"/>
      <c r="K26" s="1" t="s">
        <v>562</v>
      </c>
      <c r="L26" s="10" t="s">
        <v>166</v>
      </c>
      <c r="M26" s="1"/>
      <c r="N26" s="39" t="e">
        <f>【PL】決算数値入力!#REF!</f>
        <v>#REF!</v>
      </c>
      <c r="O26" s="39" t="e">
        <f>【PL】決算数値入力!#REF!</f>
        <v>#REF!</v>
      </c>
      <c r="P26" s="39" t="e">
        <f>【PL】決算数値入力!#REF!</f>
        <v>#REF!</v>
      </c>
      <c r="Q26" s="39" t="e">
        <f>【PL】決算数値入力!#REF!</f>
        <v>#REF!</v>
      </c>
      <c r="R26" s="39" t="e">
        <f>【PL】決算数値入力!#REF!</f>
        <v>#REF!</v>
      </c>
      <c r="S26" s="39" t="e">
        <f>【PL】決算数値入力!#REF!</f>
        <v>#REF!</v>
      </c>
      <c r="T26" s="39" t="e">
        <f>ROUND(S26*(1+物価上昇率!$G$9),0)</f>
        <v>#REF!</v>
      </c>
      <c r="U26" s="39" t="e">
        <f>ROUND(T26*(1+物価上昇率!$G$9),0)</f>
        <v>#REF!</v>
      </c>
      <c r="V26" s="39" t="e">
        <f>ROUND(U26*(1+物価上昇率!$G$9),0)</f>
        <v>#REF!</v>
      </c>
      <c r="W26" s="39" t="e">
        <f>ROUND(V26*(1+物価上昇率!$G$9),0)</f>
        <v>#REF!</v>
      </c>
      <c r="X26" s="39" t="e">
        <f>ROUND(W26*(1+物価上昇率!$G$9),0)</f>
        <v>#REF!</v>
      </c>
      <c r="Y26" s="39" t="e">
        <f>ROUND(X26*(1+物価上昇率!$G$9),0)</f>
        <v>#REF!</v>
      </c>
      <c r="Z26" s="39" t="e">
        <f>ROUND(Y26*(1+物価上昇率!$G$9),0)</f>
        <v>#REF!</v>
      </c>
      <c r="AA26" s="39" t="e">
        <f>ROUND(Z26*(1+物価上昇率!$G$9),0)</f>
        <v>#REF!</v>
      </c>
      <c r="AB26" s="39" t="e">
        <f>ROUND(AA26*(1+物価上昇率!$G$9),0)</f>
        <v>#REF!</v>
      </c>
      <c r="AC26" s="39" t="e">
        <f>ROUND(AB26*(1+物価上昇率!$G$9),0)</f>
        <v>#REF!</v>
      </c>
      <c r="AD26" s="39" t="e">
        <f>ROUND(AC26*(1+物価上昇率!$G$9),0)</f>
        <v>#REF!</v>
      </c>
      <c r="AE26" s="39" t="e">
        <f>ROUND(AD26*(1+物価上昇率!$G$9),0)</f>
        <v>#REF!</v>
      </c>
      <c r="AF26" s="39" t="e">
        <f>ROUND(AE26*(1+物価上昇率!$G$9),0)</f>
        <v>#REF!</v>
      </c>
      <c r="AG26" s="39" t="e">
        <f>ROUND(AF26*(1+物価上昇率!$G$9),0)</f>
        <v>#REF!</v>
      </c>
      <c r="AH26" s="39" t="e">
        <f>ROUND(AG26*(1+物価上昇率!$G$9),0)</f>
        <v>#REF!</v>
      </c>
      <c r="AI26" s="39" t="e">
        <f>ROUND(AH26*(1+物価上昇率!$G$9),0)</f>
        <v>#REF!</v>
      </c>
      <c r="AJ26" s="39" t="e">
        <f>ROUND(AI26*(1+物価上昇率!$G$9),0)</f>
        <v>#REF!</v>
      </c>
      <c r="AK26" s="39" t="e">
        <f>ROUND(AJ26*(1+物価上昇率!$G$9),0)</f>
        <v>#REF!</v>
      </c>
      <c r="AL26" s="39" t="e">
        <f>ROUND(AK26*(1+物価上昇率!$G$9),0)</f>
        <v>#REF!</v>
      </c>
      <c r="AM26" s="39" t="e">
        <f>ROUND(AL26*(1+物価上昇率!$G$9),0)</f>
        <v>#REF!</v>
      </c>
      <c r="AN26" s="39" t="e">
        <f>ROUND(AM26*(1+物価上昇率!$G$9),0)</f>
        <v>#REF!</v>
      </c>
      <c r="AO26" s="39" t="e">
        <f>ROUND(AN26*(1+物価上昇率!$G$9),0)</f>
        <v>#REF!</v>
      </c>
      <c r="AP26" s="39" t="e">
        <f>ROUND(AO26*(1+物価上昇率!$G$9),0)</f>
        <v>#REF!</v>
      </c>
      <c r="AQ26" s="39" t="e">
        <f>ROUND(AP26*(1+物価上昇率!$G$9),0)</f>
        <v>#REF!</v>
      </c>
      <c r="AR26" s="39" t="e">
        <f>ROUND(AQ26*(1+物価上昇率!$G$9),0)</f>
        <v>#REF!</v>
      </c>
      <c r="AS26" s="39" t="e">
        <f>ROUND(AR26*(1+物価上昇率!$G$9),0)</f>
        <v>#REF!</v>
      </c>
      <c r="AT26" s="39" t="e">
        <f>ROUND(AS26*(1+物価上昇率!$G$9),0)</f>
        <v>#REF!</v>
      </c>
      <c r="AU26" s="39" t="e">
        <f>ROUND(AT26*(1+物価上昇率!$G$9),0)</f>
        <v>#REF!</v>
      </c>
      <c r="AV26" s="39" t="e">
        <f>ROUND(AU26*(1+物価上昇率!$G$9),0)</f>
        <v>#REF!</v>
      </c>
      <c r="AW26" s="39" t="e">
        <f>ROUND(AV26*(1+物価上昇率!$G$9),0)</f>
        <v>#REF!</v>
      </c>
      <c r="AX26" s="39" t="e">
        <f>ROUND(AW26*(1+物価上昇率!$G$9),0)</f>
        <v>#REF!</v>
      </c>
      <c r="AY26" s="39" t="e">
        <f>ROUND(AX26*(1+物価上昇率!$G$9),0)</f>
        <v>#REF!</v>
      </c>
      <c r="AZ26" s="39" t="e">
        <f>ROUND(AY26*(1+物価上昇率!$G$9),0)</f>
        <v>#REF!</v>
      </c>
      <c r="BA26" s="39" t="e">
        <f>ROUND(AZ26*(1+物価上昇率!$G$9),0)</f>
        <v>#REF!</v>
      </c>
      <c r="BB26" s="39" t="e">
        <f>ROUND(BA26*(1+物価上昇率!$G$9),0)</f>
        <v>#REF!</v>
      </c>
      <c r="BC26" s="39" t="e">
        <f>ROUND(BB26*(1+物価上昇率!$G$9),0)</f>
        <v>#REF!</v>
      </c>
      <c r="BD26" s="39" t="e">
        <f>ROUND(BC26*(1+物価上昇率!$G$9),0)</f>
        <v>#REF!</v>
      </c>
      <c r="BE26" s="39" t="e">
        <f>ROUND(BD26*(1+物価上昇率!$G$9),0)</f>
        <v>#REF!</v>
      </c>
      <c r="BF26" s="39" t="e">
        <f>ROUND(BE26*(1+物価上昇率!$G$9),0)</f>
        <v>#REF!</v>
      </c>
      <c r="BG26" s="39" t="e">
        <f>ROUND(BF26*(1+物価上昇率!$G$9),0)</f>
        <v>#REF!</v>
      </c>
      <c r="BH26" s="39" t="e">
        <f>ROUND(BG26*(1+物価上昇率!$G$9),0)</f>
        <v>#REF!</v>
      </c>
      <c r="BI26" s="39" t="e">
        <f>ROUND(BH26*(1+物価上昇率!$G$9),0)</f>
        <v>#REF!</v>
      </c>
      <c r="BJ26" s="39" t="e">
        <f>ROUND(BI26*(1+物価上昇率!$G$9),0)</f>
        <v>#REF!</v>
      </c>
      <c r="BK26" s="39" t="e">
        <f>ROUND(BJ26*(1+物価上昇率!$G$9),0)</f>
        <v>#REF!</v>
      </c>
      <c r="BL26" s="39" t="e">
        <f>ROUND(BK26*(1+物価上昇率!$G$9),0)</f>
        <v>#REF!</v>
      </c>
      <c r="BM26" s="39" t="e">
        <f>ROUND(BL26*(1+物価上昇率!$G$9),0)</f>
        <v>#REF!</v>
      </c>
      <c r="BN26" s="39" t="e">
        <f>ROUND(BM26*(1+物価上昇率!$G$9),0)</f>
        <v>#REF!</v>
      </c>
      <c r="BO26" s="39" t="e">
        <f>ROUND(BN26*(1+物価上昇率!$G$9),0)</f>
        <v>#REF!</v>
      </c>
      <c r="BP26" s="39" t="e">
        <f>ROUND(BO26*(1+物価上昇率!$G$9),0)</f>
        <v>#REF!</v>
      </c>
      <c r="BQ26" s="39" t="e">
        <f>ROUND(BP26*(1+物価上昇率!$G$9),0)</f>
        <v>#REF!</v>
      </c>
    </row>
    <row r="27" spans="2:69">
      <c r="B27" s="4"/>
      <c r="C27" s="4"/>
      <c r="D27" s="4"/>
      <c r="E27" s="1" t="s">
        <v>96</v>
      </c>
      <c r="F27" s="303"/>
      <c r="G27" s="10"/>
      <c r="H27" s="10"/>
      <c r="I27" s="10" t="s">
        <v>166</v>
      </c>
      <c r="J27" s="10"/>
      <c r="K27" s="1" t="s">
        <v>561</v>
      </c>
      <c r="L27" s="10" t="s">
        <v>166</v>
      </c>
      <c r="M27" s="1"/>
      <c r="N27" s="39" t="e">
        <f>【PL】決算数値入力!#REF!</f>
        <v>#REF!</v>
      </c>
      <c r="O27" s="39" t="e">
        <f>【PL】決算数値入力!#REF!</f>
        <v>#REF!</v>
      </c>
      <c r="P27" s="39" t="e">
        <f>【PL】決算数値入力!#REF!</f>
        <v>#REF!</v>
      </c>
      <c r="Q27" s="39" t="e">
        <f>【PL】決算数値入力!#REF!</f>
        <v>#REF!</v>
      </c>
      <c r="R27" s="39" t="e">
        <f>【PL】決算数値入力!#REF!</f>
        <v>#REF!</v>
      </c>
      <c r="S27" s="39" t="e">
        <f>【PL】決算数値入力!#REF!</f>
        <v>#REF!</v>
      </c>
      <c r="T27" s="39" t="e">
        <f>ROUND(SUM(【PL】決算数値入力!#REF!)/SUM(【収益】水需要予測!$N$19:$W$19),0)*【収益】水需要予測!Y21</f>
        <v>#REF!</v>
      </c>
      <c r="U27" s="39" t="e">
        <f>ROUND(SUM(【PL】決算数値入力!#REF!)/SUM(【収益】水需要予測!$N$19:$W$19),0)*【収益】水需要予測!Z21</f>
        <v>#REF!</v>
      </c>
      <c r="V27" s="39" t="e">
        <f>ROUND(SUM(【PL】決算数値入力!#REF!)/SUM(【収益】水需要予測!$N$19:$W$19),0)*【収益】水需要予測!AA21</f>
        <v>#REF!</v>
      </c>
      <c r="W27" s="39" t="e">
        <f>ROUND(SUM(【PL】決算数値入力!#REF!)/SUM(【収益】水需要予測!$N$19:$W$19),0)*【収益】水需要予測!AB21</f>
        <v>#REF!</v>
      </c>
      <c r="X27" s="39" t="e">
        <f>ROUND(SUM(【PL】決算数値入力!#REF!)/SUM(【収益】水需要予測!$N$19:$W$19),0)*【収益】水需要予測!AC21</f>
        <v>#REF!</v>
      </c>
      <c r="Y27" s="39" t="e">
        <f>ROUND(SUM(【PL】決算数値入力!#REF!)/SUM(【収益】水需要予測!$N$19:$W$19),0)*【収益】水需要予測!AD21</f>
        <v>#REF!</v>
      </c>
      <c r="Z27" s="39" t="e">
        <f>ROUND(SUM(【PL】決算数値入力!#REF!)/SUM(【収益】水需要予測!$N$19:$W$19),0)*【収益】水需要予測!AE21</f>
        <v>#REF!</v>
      </c>
      <c r="AA27" s="39" t="e">
        <f>ROUND(SUM(【PL】決算数値入力!#REF!)/SUM(【収益】水需要予測!$N$19:$W$19),0)*【収益】水需要予測!AF21</f>
        <v>#REF!</v>
      </c>
      <c r="AB27" s="39" t="e">
        <f>ROUND(SUM(【PL】決算数値入力!#REF!)/SUM(【収益】水需要予測!$N$19:$W$19),0)*【収益】水需要予測!AG21</f>
        <v>#REF!</v>
      </c>
      <c r="AC27" s="39" t="e">
        <f>ROUND(SUM(【PL】決算数値入力!#REF!)/SUM(【収益】水需要予測!$N$19:$W$19),0)*【収益】水需要予測!AH21</f>
        <v>#REF!</v>
      </c>
      <c r="AD27" s="39" t="e">
        <f>ROUND(SUM(【PL】決算数値入力!#REF!)/SUM(【収益】水需要予測!$N$19:$W$19),0)*【収益】水需要予測!AI21</f>
        <v>#REF!</v>
      </c>
      <c r="AE27" s="39" t="e">
        <f>ROUND(SUM(【PL】決算数値入力!#REF!)/SUM(【収益】水需要予測!$N$19:$W$19),0)*【収益】水需要予測!AJ21</f>
        <v>#REF!</v>
      </c>
      <c r="AF27" s="39" t="e">
        <f>ROUND(SUM(【PL】決算数値入力!#REF!)/SUM(【収益】水需要予測!$N$19:$W$19),0)*【収益】水需要予測!AK21</f>
        <v>#REF!</v>
      </c>
      <c r="AG27" s="39" t="e">
        <f>ROUND(SUM(【PL】決算数値入力!#REF!)/SUM(【収益】水需要予測!$N$19:$W$19),0)*【収益】水需要予測!AL21</f>
        <v>#REF!</v>
      </c>
      <c r="AH27" s="39" t="e">
        <f>ROUND(SUM(【PL】決算数値入力!#REF!)/SUM(【収益】水需要予測!$N$19:$W$19),0)*【収益】水需要予測!AM21</f>
        <v>#REF!</v>
      </c>
      <c r="AI27" s="39" t="e">
        <f>ROUND(SUM(【PL】決算数値入力!#REF!)/SUM(【収益】水需要予測!$N$19:$W$19),0)*【収益】水需要予測!AN21</f>
        <v>#REF!</v>
      </c>
      <c r="AJ27" s="39" t="e">
        <f>ROUND(SUM(【PL】決算数値入力!#REF!)/SUM(【収益】水需要予測!$N$19:$W$19),0)*【収益】水需要予測!AO21</f>
        <v>#REF!</v>
      </c>
      <c r="AK27" s="39" t="e">
        <f>ROUND(SUM(【PL】決算数値入力!#REF!)/SUM(【収益】水需要予測!$N$19:$W$19),0)*【収益】水需要予測!AP21</f>
        <v>#REF!</v>
      </c>
      <c r="AL27" s="39" t="e">
        <f>ROUND(SUM(【PL】決算数値入力!#REF!)/SUM(【収益】水需要予測!$N$19:$W$19),0)*【収益】水需要予測!AQ21</f>
        <v>#REF!</v>
      </c>
      <c r="AM27" s="39" t="e">
        <f>ROUND(SUM(【PL】決算数値入力!#REF!)/SUM(【収益】水需要予測!$N$19:$W$19),0)*【収益】水需要予測!AR21</f>
        <v>#REF!</v>
      </c>
      <c r="AN27" s="39" t="e">
        <f>ROUND(SUM(【PL】決算数値入力!#REF!)/SUM(【収益】水需要予測!$N$19:$W$19),0)*【収益】水需要予測!AS21</f>
        <v>#REF!</v>
      </c>
      <c r="AO27" s="39" t="e">
        <f>ROUND(SUM(【PL】決算数値入力!#REF!)/SUM(【収益】水需要予測!$N$19:$W$19),0)*【収益】水需要予測!AT21</f>
        <v>#REF!</v>
      </c>
      <c r="AP27" s="39" t="e">
        <f>ROUND(SUM(【PL】決算数値入力!#REF!)/SUM(【収益】水需要予測!$N$19:$W$19),0)*【収益】水需要予測!AU21</f>
        <v>#REF!</v>
      </c>
      <c r="AQ27" s="39" t="e">
        <f>ROUND(SUM(【PL】決算数値入力!#REF!)/SUM(【収益】水需要予測!$N$19:$W$19),0)*【収益】水需要予測!AV21</f>
        <v>#REF!</v>
      </c>
      <c r="AR27" s="39" t="e">
        <f>ROUND(SUM(【PL】決算数値入力!#REF!)/SUM(【収益】水需要予測!$N$19:$W$19),0)*【収益】水需要予測!AW21</f>
        <v>#REF!</v>
      </c>
      <c r="AS27" s="39" t="e">
        <f>ROUND(SUM(【PL】決算数値入力!#REF!)/SUM(【収益】水需要予測!$N$19:$W$19),0)*【収益】水需要予測!AX21</f>
        <v>#REF!</v>
      </c>
      <c r="AT27" s="39" t="e">
        <f>ROUND(SUM(【PL】決算数値入力!#REF!)/SUM(【収益】水需要予測!$N$19:$W$19),0)*【収益】水需要予測!AY21</f>
        <v>#REF!</v>
      </c>
      <c r="AU27" s="39" t="e">
        <f>ROUND(SUM(【PL】決算数値入力!#REF!)/SUM(【収益】水需要予測!$N$19:$W$19),0)*【収益】水需要予測!AZ21</f>
        <v>#REF!</v>
      </c>
      <c r="AV27" s="39" t="e">
        <f>ROUND(SUM(【PL】決算数値入力!#REF!)/SUM(【収益】水需要予測!$N$19:$W$19),0)*【収益】水需要予測!BA21</f>
        <v>#REF!</v>
      </c>
      <c r="AW27" s="39" t="e">
        <f>ROUND(SUM(【PL】決算数値入力!#REF!)/SUM(【収益】水需要予測!$N$19:$W$19),0)*【収益】水需要予測!BB21</f>
        <v>#REF!</v>
      </c>
      <c r="AX27" s="39" t="e">
        <f>ROUND(SUM(【PL】決算数値入力!#REF!)/SUM(【収益】水需要予測!$N$19:$W$19),0)*【収益】水需要予測!BC21</f>
        <v>#REF!</v>
      </c>
      <c r="AY27" s="39" t="e">
        <f>ROUND(SUM(【PL】決算数値入力!#REF!)/SUM(【収益】水需要予測!$N$19:$W$19),0)*【収益】水需要予測!BD21</f>
        <v>#REF!</v>
      </c>
      <c r="AZ27" s="39" t="e">
        <f>ROUND(SUM(【PL】決算数値入力!#REF!)/SUM(【収益】水需要予測!$N$19:$W$19),0)*【収益】水需要予測!BE21</f>
        <v>#REF!</v>
      </c>
      <c r="BA27" s="39" t="e">
        <f>ROUND(SUM(【PL】決算数値入力!#REF!)/SUM(【収益】水需要予測!$N$19:$W$19),0)*【収益】水需要予測!BF21</f>
        <v>#REF!</v>
      </c>
      <c r="BB27" s="39" t="e">
        <f>ROUND(SUM(【PL】決算数値入力!#REF!)/SUM(【収益】水需要予測!$N$19:$W$19),0)*【収益】水需要予測!BG21</f>
        <v>#REF!</v>
      </c>
      <c r="BC27" s="39" t="e">
        <f>ROUND(SUM(【PL】決算数値入力!#REF!)/SUM(【収益】水需要予測!$N$19:$W$19),0)*【収益】水需要予測!BH21</f>
        <v>#REF!</v>
      </c>
      <c r="BD27" s="39" t="e">
        <f>ROUND(SUM(【PL】決算数値入力!#REF!)/SUM(【収益】水需要予測!$N$19:$W$19),0)*【収益】水需要予測!BI21</f>
        <v>#REF!</v>
      </c>
      <c r="BE27" s="39" t="e">
        <f>ROUND(SUM(【PL】決算数値入力!#REF!)/SUM(【収益】水需要予測!$N$19:$W$19),0)*【収益】水需要予測!BJ21</f>
        <v>#REF!</v>
      </c>
      <c r="BF27" s="39" t="e">
        <f>ROUND(SUM(【PL】決算数値入力!#REF!)/SUM(【収益】水需要予測!$N$19:$W$19),0)*【収益】水需要予測!BK21</f>
        <v>#REF!</v>
      </c>
      <c r="BG27" s="39" t="e">
        <f>ROUND(SUM(【PL】決算数値入力!#REF!)/SUM(【収益】水需要予測!$N$19:$W$19),0)*【収益】水需要予測!BL21</f>
        <v>#REF!</v>
      </c>
      <c r="BH27" s="39" t="e">
        <f>ROUND(SUM(【PL】決算数値入力!#REF!)/SUM(【収益】水需要予測!$N$19:$W$19),0)*【収益】水需要予測!BM21</f>
        <v>#REF!</v>
      </c>
      <c r="BI27" s="39" t="e">
        <f>ROUND(SUM(【PL】決算数値入力!#REF!)/SUM(【収益】水需要予測!$N$19:$W$19),0)*【収益】水需要予測!BN21</f>
        <v>#REF!</v>
      </c>
      <c r="BJ27" s="39" t="e">
        <f>ROUND(SUM(【PL】決算数値入力!#REF!)/SUM(【収益】水需要予測!$N$19:$W$19),0)*【収益】水需要予測!BO21</f>
        <v>#REF!</v>
      </c>
      <c r="BK27" s="39" t="e">
        <f>ROUND(SUM(【PL】決算数値入力!#REF!)/SUM(【収益】水需要予測!$N$19:$W$19),0)*【収益】水需要予測!BP21</f>
        <v>#REF!</v>
      </c>
      <c r="BL27" s="39" t="e">
        <f>ROUND(SUM(【PL】決算数値入力!#REF!)/SUM(【収益】水需要予測!$N$19:$W$19),0)*【収益】水需要予測!BQ21</f>
        <v>#REF!</v>
      </c>
      <c r="BM27" s="39" t="e">
        <f>ROUND(SUM(【PL】決算数値入力!#REF!)/SUM(【収益】水需要予測!$N$19:$W$19),0)*【収益】水需要予測!BR21</f>
        <v>#REF!</v>
      </c>
      <c r="BN27" s="39" t="e">
        <f>ROUND(SUM(【PL】決算数値入力!#REF!)/SUM(【収益】水需要予測!$N$19:$W$19),0)*【収益】水需要予測!BS21</f>
        <v>#REF!</v>
      </c>
      <c r="BO27" s="39" t="e">
        <f>ROUND(SUM(【PL】決算数値入力!#REF!)/SUM(【収益】水需要予測!$N$19:$W$19),0)*【収益】水需要予測!BT21</f>
        <v>#REF!</v>
      </c>
      <c r="BP27" s="39" t="e">
        <f>ROUND(SUM(【PL】決算数値入力!#REF!)/SUM(【収益】水需要予測!$N$19:$W$19),0)*【収益】水需要予測!BU21</f>
        <v>#REF!</v>
      </c>
      <c r="BQ27" s="39" t="e">
        <f>ROUND(SUM(【PL】決算数値入力!#REF!)/SUM(【収益】水需要予測!$N$19:$W$19),0)*【収益】水需要予測!BV21</f>
        <v>#REF!</v>
      </c>
    </row>
    <row r="28" spans="2:69">
      <c r="B28" s="4"/>
      <c r="C28" s="4"/>
      <c r="D28" s="4"/>
      <c r="E28" s="1" t="s">
        <v>90</v>
      </c>
      <c r="F28" s="303"/>
      <c r="G28" s="10"/>
      <c r="H28" s="10"/>
      <c r="I28" s="10" t="s">
        <v>166</v>
      </c>
      <c r="J28" s="10"/>
      <c r="K28" s="1" t="s">
        <v>561</v>
      </c>
      <c r="L28" s="10" t="s">
        <v>166</v>
      </c>
      <c r="M28" s="1"/>
      <c r="N28" s="39" t="e">
        <f>【PL】決算数値入力!#REF!</f>
        <v>#REF!</v>
      </c>
      <c r="O28" s="39" t="e">
        <f>【PL】決算数値入力!#REF!</f>
        <v>#REF!</v>
      </c>
      <c r="P28" s="39" t="e">
        <f>【PL】決算数値入力!#REF!</f>
        <v>#REF!</v>
      </c>
      <c r="Q28" s="39" t="e">
        <f>【PL】決算数値入力!#REF!</f>
        <v>#REF!</v>
      </c>
      <c r="R28" s="39" t="e">
        <f>【PL】決算数値入力!#REF!</f>
        <v>#REF!</v>
      </c>
      <c r="S28" s="39" t="e">
        <f>【PL】決算数値入力!#REF!</f>
        <v>#REF!</v>
      </c>
      <c r="T28" s="39" t="e">
        <f>ROUND(SUM(【PL】決算数値入力!#REF!)/SUM(【収益】水需要予測!$N$19:$W$19)*【収益】水需要予測!Y21,0)</f>
        <v>#REF!</v>
      </c>
      <c r="U28" s="39" t="e">
        <f>ROUND(SUM(【PL】決算数値入力!#REF!)/SUM(【収益】水需要予測!$N$19:$W$19)*【収益】水需要予測!Z21,0)</f>
        <v>#REF!</v>
      </c>
      <c r="V28" s="39" t="e">
        <f>ROUND(SUM(【PL】決算数値入力!#REF!)/SUM(【収益】水需要予測!$N$19:$W$19)*【収益】水需要予測!AA21,0)</f>
        <v>#REF!</v>
      </c>
      <c r="W28" s="39" t="e">
        <f>ROUND(SUM(【PL】決算数値入力!#REF!)/SUM(【収益】水需要予測!$N$19:$W$19)*【収益】水需要予測!AB21,0)</f>
        <v>#REF!</v>
      </c>
      <c r="X28" s="39" t="e">
        <f>ROUND(SUM(【PL】決算数値入力!#REF!)/SUM(【収益】水需要予測!$N$19:$W$19)*【収益】水需要予測!AC21,0)</f>
        <v>#REF!</v>
      </c>
      <c r="Y28" s="39" t="e">
        <f>ROUND(SUM(【PL】決算数値入力!#REF!)/SUM(【収益】水需要予測!$N$19:$W$19)*【収益】水需要予測!AD21,0)</f>
        <v>#REF!</v>
      </c>
      <c r="Z28" s="39" t="e">
        <f>ROUND(SUM(【PL】決算数値入力!#REF!)/SUM(【収益】水需要予測!$N$19:$W$19)*【収益】水需要予測!AE21,0)</f>
        <v>#REF!</v>
      </c>
      <c r="AA28" s="39" t="e">
        <f>ROUND(SUM(【PL】決算数値入力!#REF!)/SUM(【収益】水需要予測!$N$19:$W$19)*【収益】水需要予測!AF21,0)</f>
        <v>#REF!</v>
      </c>
      <c r="AB28" s="39" t="e">
        <f>ROUND(SUM(【PL】決算数値入力!#REF!)/SUM(【収益】水需要予測!$N$19:$W$19)*【収益】水需要予測!AG21,0)</f>
        <v>#REF!</v>
      </c>
      <c r="AC28" s="39" t="e">
        <f>ROUND(SUM(【PL】決算数値入力!#REF!)/SUM(【収益】水需要予測!$N$19:$W$19)*【収益】水需要予測!AH21,0)</f>
        <v>#REF!</v>
      </c>
      <c r="AD28" s="39" t="e">
        <f>ROUND(SUM(【PL】決算数値入力!#REF!)/SUM(【収益】水需要予測!$N$19:$W$19)*【収益】水需要予測!AI21,0)</f>
        <v>#REF!</v>
      </c>
      <c r="AE28" s="39" t="e">
        <f>ROUND(SUM(【PL】決算数値入力!#REF!)/SUM(【収益】水需要予測!$N$19:$W$19)*【収益】水需要予測!AJ21,0)</f>
        <v>#REF!</v>
      </c>
      <c r="AF28" s="39" t="e">
        <f>ROUND(SUM(【PL】決算数値入力!#REF!)/SUM(【収益】水需要予測!$N$19:$W$19)*【収益】水需要予測!AK21,0)</f>
        <v>#REF!</v>
      </c>
      <c r="AG28" s="39" t="e">
        <f>ROUND(SUM(【PL】決算数値入力!#REF!)/SUM(【収益】水需要予測!$N$19:$W$19)*【収益】水需要予測!AL21,0)</f>
        <v>#REF!</v>
      </c>
      <c r="AH28" s="39" t="e">
        <f>ROUND(SUM(【PL】決算数値入力!#REF!)/SUM(【収益】水需要予測!$N$19:$W$19)*【収益】水需要予測!AM21,0)</f>
        <v>#REF!</v>
      </c>
      <c r="AI28" s="39" t="e">
        <f>ROUND(SUM(【PL】決算数値入力!#REF!)/SUM(【収益】水需要予測!$N$19:$W$19)*【収益】水需要予測!AN21,0)</f>
        <v>#REF!</v>
      </c>
      <c r="AJ28" s="39" t="e">
        <f>ROUND(SUM(【PL】決算数値入力!#REF!)/SUM(【収益】水需要予測!$N$19:$W$19)*【収益】水需要予測!AO21,0)</f>
        <v>#REF!</v>
      </c>
      <c r="AK28" s="39" t="e">
        <f>ROUND(SUM(【PL】決算数値入力!#REF!)/SUM(【収益】水需要予測!$N$19:$W$19)*【収益】水需要予測!AP21,0)</f>
        <v>#REF!</v>
      </c>
      <c r="AL28" s="39" t="e">
        <f>ROUND(SUM(【PL】決算数値入力!#REF!)/SUM(【収益】水需要予測!$N$19:$W$19)*【収益】水需要予測!AQ21,0)</f>
        <v>#REF!</v>
      </c>
      <c r="AM28" s="39" t="e">
        <f>ROUND(SUM(【PL】決算数値入力!#REF!)/SUM(【収益】水需要予測!$N$19:$W$19)*【収益】水需要予測!AR21,0)</f>
        <v>#REF!</v>
      </c>
      <c r="AN28" s="39" t="e">
        <f>ROUND(SUM(【PL】決算数値入力!#REF!)/SUM(【収益】水需要予測!$N$19:$W$19)*【収益】水需要予測!AS21,0)</f>
        <v>#REF!</v>
      </c>
      <c r="AO28" s="39" t="e">
        <f>ROUND(SUM(【PL】決算数値入力!#REF!)/SUM(【収益】水需要予測!$N$19:$W$19)*【収益】水需要予測!AT21,0)</f>
        <v>#REF!</v>
      </c>
      <c r="AP28" s="39" t="e">
        <f>ROUND(SUM(【PL】決算数値入力!#REF!)/SUM(【収益】水需要予測!$N$19:$W$19)*【収益】水需要予測!AU21,0)</f>
        <v>#REF!</v>
      </c>
      <c r="AQ28" s="39" t="e">
        <f>ROUND(SUM(【PL】決算数値入力!#REF!)/SUM(【収益】水需要予測!$N$19:$W$19)*【収益】水需要予測!AV21,0)</f>
        <v>#REF!</v>
      </c>
      <c r="AR28" s="39" t="e">
        <f>ROUND(SUM(【PL】決算数値入力!#REF!)/SUM(【収益】水需要予測!$N$19:$W$19)*【収益】水需要予測!AW21,0)</f>
        <v>#REF!</v>
      </c>
      <c r="AS28" s="39" t="e">
        <f>ROUND(SUM(【PL】決算数値入力!#REF!)/SUM(【収益】水需要予測!$N$19:$W$19)*【収益】水需要予測!AX21,0)</f>
        <v>#REF!</v>
      </c>
      <c r="AT28" s="39" t="e">
        <f>ROUND(SUM(【PL】決算数値入力!#REF!)/SUM(【収益】水需要予測!$N$19:$W$19)*【収益】水需要予測!AY21,0)</f>
        <v>#REF!</v>
      </c>
      <c r="AU28" s="39" t="e">
        <f>ROUND(SUM(【PL】決算数値入力!#REF!)/SUM(【収益】水需要予測!$N$19:$W$19)*【収益】水需要予測!AZ21,0)</f>
        <v>#REF!</v>
      </c>
      <c r="AV28" s="39" t="e">
        <f>ROUND(SUM(【PL】決算数値入力!#REF!)/SUM(【収益】水需要予測!$N$19:$W$19)*【収益】水需要予測!BA21,0)</f>
        <v>#REF!</v>
      </c>
      <c r="AW28" s="39" t="e">
        <f>ROUND(SUM(【PL】決算数値入力!#REF!)/SUM(【収益】水需要予測!$N$19:$W$19)*【収益】水需要予測!BB21,0)</f>
        <v>#REF!</v>
      </c>
      <c r="AX28" s="39" t="e">
        <f>ROUND(SUM(【PL】決算数値入力!#REF!)/SUM(【収益】水需要予測!$N$19:$W$19)*【収益】水需要予測!BC21,0)</f>
        <v>#REF!</v>
      </c>
      <c r="AY28" s="39" t="e">
        <f>ROUND(SUM(【PL】決算数値入力!#REF!)/SUM(【収益】水需要予測!$N$19:$W$19)*【収益】水需要予測!BD21,0)</f>
        <v>#REF!</v>
      </c>
      <c r="AZ28" s="39" t="e">
        <f>ROUND(SUM(【PL】決算数値入力!#REF!)/SUM(【収益】水需要予測!$N$19:$W$19)*【収益】水需要予測!BE21,0)</f>
        <v>#REF!</v>
      </c>
      <c r="BA28" s="39" t="e">
        <f>ROUND(SUM(【PL】決算数値入力!#REF!)/SUM(【収益】水需要予測!$N$19:$W$19)*【収益】水需要予測!BF21,0)</f>
        <v>#REF!</v>
      </c>
      <c r="BB28" s="39" t="e">
        <f>ROUND(SUM(【PL】決算数値入力!#REF!)/SUM(【収益】水需要予測!$N$19:$W$19)*【収益】水需要予測!BG21,0)</f>
        <v>#REF!</v>
      </c>
      <c r="BC28" s="39" t="e">
        <f>ROUND(SUM(【PL】決算数値入力!#REF!)/SUM(【収益】水需要予測!$N$19:$W$19)*【収益】水需要予測!BH21,0)</f>
        <v>#REF!</v>
      </c>
      <c r="BD28" s="39" t="e">
        <f>ROUND(SUM(【PL】決算数値入力!#REF!)/SUM(【収益】水需要予測!$N$19:$W$19)*【収益】水需要予測!BI21,0)</f>
        <v>#REF!</v>
      </c>
      <c r="BE28" s="39" t="e">
        <f>ROUND(SUM(【PL】決算数値入力!#REF!)/SUM(【収益】水需要予測!$N$19:$W$19)*【収益】水需要予測!BJ21,0)</f>
        <v>#REF!</v>
      </c>
      <c r="BF28" s="39" t="e">
        <f>ROUND(SUM(【PL】決算数値入力!#REF!)/SUM(【収益】水需要予測!$N$19:$W$19)*【収益】水需要予測!BK21,0)</f>
        <v>#REF!</v>
      </c>
      <c r="BG28" s="39" t="e">
        <f>ROUND(SUM(【PL】決算数値入力!#REF!)/SUM(【収益】水需要予測!$N$19:$W$19)*【収益】水需要予測!BL21,0)</f>
        <v>#REF!</v>
      </c>
      <c r="BH28" s="39" t="e">
        <f>ROUND(SUM(【PL】決算数値入力!#REF!)/SUM(【収益】水需要予測!$N$19:$W$19)*【収益】水需要予測!BM21,0)</f>
        <v>#REF!</v>
      </c>
      <c r="BI28" s="39" t="e">
        <f>ROUND(SUM(【PL】決算数値入力!#REF!)/SUM(【収益】水需要予測!$N$19:$W$19)*【収益】水需要予測!BN21,0)</f>
        <v>#REF!</v>
      </c>
      <c r="BJ28" s="39" t="e">
        <f>ROUND(SUM(【PL】決算数値入力!#REF!)/SUM(【収益】水需要予測!$N$19:$W$19)*【収益】水需要予測!BO21,0)</f>
        <v>#REF!</v>
      </c>
      <c r="BK28" s="39" t="e">
        <f>ROUND(SUM(【PL】決算数値入力!#REF!)/SUM(【収益】水需要予測!$N$19:$W$19)*【収益】水需要予測!BP21,0)</f>
        <v>#REF!</v>
      </c>
      <c r="BL28" s="39" t="e">
        <f>ROUND(SUM(【PL】決算数値入力!#REF!)/SUM(【収益】水需要予測!$N$19:$W$19)*【収益】水需要予測!BQ21,0)</f>
        <v>#REF!</v>
      </c>
      <c r="BM28" s="39" t="e">
        <f>ROUND(SUM(【PL】決算数値入力!#REF!)/SUM(【収益】水需要予測!$N$19:$W$19)*【収益】水需要予測!BR21,0)</f>
        <v>#REF!</v>
      </c>
      <c r="BN28" s="39" t="e">
        <f>ROUND(SUM(【PL】決算数値入力!#REF!)/SUM(【収益】水需要予測!$N$19:$W$19)*【収益】水需要予測!BS21,0)</f>
        <v>#REF!</v>
      </c>
      <c r="BO28" s="39" t="e">
        <f>ROUND(SUM(【PL】決算数値入力!#REF!)/SUM(【収益】水需要予測!$N$19:$W$19)*【収益】水需要予測!BT21,0)</f>
        <v>#REF!</v>
      </c>
      <c r="BP28" s="39" t="e">
        <f>ROUND(SUM(【PL】決算数値入力!#REF!)/SUM(【収益】水需要予測!$N$19:$W$19)*【収益】水需要予測!BU21,0)</f>
        <v>#REF!</v>
      </c>
      <c r="BQ28" s="39" t="e">
        <f>ROUND(SUM(【PL】決算数値入力!#REF!)/SUM(【収益】水需要予測!$N$19:$W$19)*【収益】水需要予測!BV21,0)</f>
        <v>#REF!</v>
      </c>
    </row>
    <row r="29" spans="2:69">
      <c r="B29" s="4"/>
      <c r="C29" s="4"/>
      <c r="D29" s="4"/>
      <c r="E29" s="1" t="s">
        <v>91</v>
      </c>
      <c r="F29" s="303"/>
      <c r="G29" s="10"/>
      <c r="H29" s="10" t="s">
        <v>166</v>
      </c>
      <c r="I29" s="10"/>
      <c r="J29" s="10"/>
      <c r="K29" s="1" t="s">
        <v>562</v>
      </c>
      <c r="L29" s="10" t="s">
        <v>166</v>
      </c>
      <c r="M29" s="1"/>
      <c r="N29" s="39" t="e">
        <f>【PL】決算数値入力!#REF!</f>
        <v>#REF!</v>
      </c>
      <c r="O29" s="39" t="e">
        <f>【PL】決算数値入力!#REF!</f>
        <v>#REF!</v>
      </c>
      <c r="P29" s="39" t="e">
        <f>【PL】決算数値入力!#REF!</f>
        <v>#REF!</v>
      </c>
      <c r="Q29" s="39" t="e">
        <f>【PL】決算数値入力!#REF!</f>
        <v>#REF!</v>
      </c>
      <c r="R29" s="39" t="e">
        <f>【PL】決算数値入力!#REF!</f>
        <v>#REF!</v>
      </c>
      <c r="S29" s="39" t="e">
        <f>【PL】決算数値入力!#REF!</f>
        <v>#REF!</v>
      </c>
      <c r="T29" s="39" t="e">
        <f>ROUND(S29*(1+物価上昇率!$G$9),0)</f>
        <v>#REF!</v>
      </c>
      <c r="U29" s="39" t="e">
        <f>ROUND(T29*(1+物価上昇率!$G$9),0)</f>
        <v>#REF!</v>
      </c>
      <c r="V29" s="39" t="e">
        <f>ROUND(U29*(1+物価上昇率!$G$9),0)</f>
        <v>#REF!</v>
      </c>
      <c r="W29" s="39" t="e">
        <f>ROUND(V29*(1+物価上昇率!$G$9),0)</f>
        <v>#REF!</v>
      </c>
      <c r="X29" s="39" t="e">
        <f>ROUND(W29*(1+物価上昇率!$G$9),0)</f>
        <v>#REF!</v>
      </c>
      <c r="Y29" s="39" t="e">
        <f>ROUND(X29*(1+物価上昇率!$G$9),0)</f>
        <v>#REF!</v>
      </c>
      <c r="Z29" s="39" t="e">
        <f>ROUND(Y29*(1+物価上昇率!$G$9),0)</f>
        <v>#REF!</v>
      </c>
      <c r="AA29" s="39" t="e">
        <f>ROUND(Z29*(1+物価上昇率!$G$9),0)</f>
        <v>#REF!</v>
      </c>
      <c r="AB29" s="39" t="e">
        <f>ROUND(AA29*(1+物価上昇率!$G$9),0)</f>
        <v>#REF!</v>
      </c>
      <c r="AC29" s="39" t="e">
        <f>ROUND(AB29*(1+物価上昇率!$G$9),0)</f>
        <v>#REF!</v>
      </c>
      <c r="AD29" s="39" t="e">
        <f>ROUND(AC29*(1+物価上昇率!$G$9),0)</f>
        <v>#REF!</v>
      </c>
      <c r="AE29" s="39" t="e">
        <f>ROUND(AD29*(1+物価上昇率!$G$9),0)</f>
        <v>#REF!</v>
      </c>
      <c r="AF29" s="39" t="e">
        <f>ROUND(AE29*(1+物価上昇率!$G$9),0)</f>
        <v>#REF!</v>
      </c>
      <c r="AG29" s="39" t="e">
        <f>ROUND(AF29*(1+物価上昇率!$G$9),0)</f>
        <v>#REF!</v>
      </c>
      <c r="AH29" s="39" t="e">
        <f>ROUND(AG29*(1+物価上昇率!$G$9),0)</f>
        <v>#REF!</v>
      </c>
      <c r="AI29" s="39" t="e">
        <f>ROUND(AH29*(1+物価上昇率!$G$9),0)</f>
        <v>#REF!</v>
      </c>
      <c r="AJ29" s="39" t="e">
        <f>ROUND(AI29*(1+物価上昇率!$G$9),0)</f>
        <v>#REF!</v>
      </c>
      <c r="AK29" s="39" t="e">
        <f>ROUND(AJ29*(1+物価上昇率!$G$9),0)</f>
        <v>#REF!</v>
      </c>
      <c r="AL29" s="39" t="e">
        <f>ROUND(AK29*(1+物価上昇率!$G$9),0)</f>
        <v>#REF!</v>
      </c>
      <c r="AM29" s="39" t="e">
        <f>ROUND(AL29*(1+物価上昇率!$G$9),0)</f>
        <v>#REF!</v>
      </c>
      <c r="AN29" s="39" t="e">
        <f>ROUND(AM29*(1+物価上昇率!$G$9),0)</f>
        <v>#REF!</v>
      </c>
      <c r="AO29" s="39" t="e">
        <f>ROUND(AN29*(1+物価上昇率!$G$9),0)</f>
        <v>#REF!</v>
      </c>
      <c r="AP29" s="39" t="e">
        <f>ROUND(AO29*(1+物価上昇率!$G$9),0)</f>
        <v>#REF!</v>
      </c>
      <c r="AQ29" s="39" t="e">
        <f>ROUND(AP29*(1+物価上昇率!$G$9),0)</f>
        <v>#REF!</v>
      </c>
      <c r="AR29" s="39" t="e">
        <f>ROUND(AQ29*(1+物価上昇率!$G$9),0)</f>
        <v>#REF!</v>
      </c>
      <c r="AS29" s="39" t="e">
        <f>ROUND(AR29*(1+物価上昇率!$G$9),0)</f>
        <v>#REF!</v>
      </c>
      <c r="AT29" s="39" t="e">
        <f>ROUND(AS29*(1+物価上昇率!$G$9),0)</f>
        <v>#REF!</v>
      </c>
      <c r="AU29" s="39" t="e">
        <f>ROUND(AT29*(1+物価上昇率!$G$9),0)</f>
        <v>#REF!</v>
      </c>
      <c r="AV29" s="39" t="e">
        <f>ROUND(AU29*(1+物価上昇率!$G$9),0)</f>
        <v>#REF!</v>
      </c>
      <c r="AW29" s="39" t="e">
        <f>ROUND(AV29*(1+物価上昇率!$G$9),0)</f>
        <v>#REF!</v>
      </c>
      <c r="AX29" s="39" t="e">
        <f>ROUND(AW29*(1+物価上昇率!$G$9),0)</f>
        <v>#REF!</v>
      </c>
      <c r="AY29" s="39" t="e">
        <f>ROUND(AX29*(1+物価上昇率!$G$9),0)</f>
        <v>#REF!</v>
      </c>
      <c r="AZ29" s="39" t="e">
        <f>ROUND(AY29*(1+物価上昇率!$G$9),0)</f>
        <v>#REF!</v>
      </c>
      <c r="BA29" s="39" t="e">
        <f>ROUND(AZ29*(1+物価上昇率!$G$9),0)</f>
        <v>#REF!</v>
      </c>
      <c r="BB29" s="39" t="e">
        <f>ROUND(BA29*(1+物価上昇率!$G$9),0)</f>
        <v>#REF!</v>
      </c>
      <c r="BC29" s="39" t="e">
        <f>ROUND(BB29*(1+物価上昇率!$G$9),0)</f>
        <v>#REF!</v>
      </c>
      <c r="BD29" s="39" t="e">
        <f>ROUND(BC29*(1+物価上昇率!$G$9),0)</f>
        <v>#REF!</v>
      </c>
      <c r="BE29" s="39" t="e">
        <f>ROUND(BD29*(1+物価上昇率!$G$9),0)</f>
        <v>#REF!</v>
      </c>
      <c r="BF29" s="39" t="e">
        <f>ROUND(BE29*(1+物価上昇率!$G$9),0)</f>
        <v>#REF!</v>
      </c>
      <c r="BG29" s="39" t="e">
        <f>ROUND(BF29*(1+物価上昇率!$G$9),0)</f>
        <v>#REF!</v>
      </c>
      <c r="BH29" s="39" t="e">
        <f>ROUND(BG29*(1+物価上昇率!$G$9),0)</f>
        <v>#REF!</v>
      </c>
      <c r="BI29" s="39" t="e">
        <f>ROUND(BH29*(1+物価上昇率!$G$9),0)</f>
        <v>#REF!</v>
      </c>
      <c r="BJ29" s="39" t="e">
        <f>ROUND(BI29*(1+物価上昇率!$G$9),0)</f>
        <v>#REF!</v>
      </c>
      <c r="BK29" s="39" t="e">
        <f>ROUND(BJ29*(1+物価上昇率!$G$9),0)</f>
        <v>#REF!</v>
      </c>
      <c r="BL29" s="39" t="e">
        <f>ROUND(BK29*(1+物価上昇率!$G$9),0)</f>
        <v>#REF!</v>
      </c>
      <c r="BM29" s="39" t="e">
        <f>ROUND(BL29*(1+物価上昇率!$G$9),0)</f>
        <v>#REF!</v>
      </c>
      <c r="BN29" s="39" t="e">
        <f>ROUND(BM29*(1+物価上昇率!$G$9),0)</f>
        <v>#REF!</v>
      </c>
      <c r="BO29" s="39" t="e">
        <f>ROUND(BN29*(1+物価上昇率!$G$9),0)</f>
        <v>#REF!</v>
      </c>
      <c r="BP29" s="39" t="e">
        <f>ROUND(BO29*(1+物価上昇率!$G$9),0)</f>
        <v>#REF!</v>
      </c>
      <c r="BQ29" s="39" t="e">
        <f>ROUND(BP29*(1+物価上昇率!$G$9),0)</f>
        <v>#REF!</v>
      </c>
    </row>
    <row r="30" spans="2:69">
      <c r="B30" s="4"/>
      <c r="C30" s="4"/>
      <c r="D30" s="4"/>
      <c r="E30" s="1" t="s">
        <v>92</v>
      </c>
      <c r="F30" s="303"/>
      <c r="G30" s="10"/>
      <c r="H30" s="10" t="s">
        <v>166</v>
      </c>
      <c r="I30" s="10"/>
      <c r="J30" s="10"/>
      <c r="K30" s="1" t="s">
        <v>562</v>
      </c>
      <c r="L30" s="10" t="s">
        <v>166</v>
      </c>
      <c r="M30" s="1"/>
      <c r="N30" s="39" t="e">
        <f>【PL】決算数値入力!#REF!</f>
        <v>#REF!</v>
      </c>
      <c r="O30" s="39" t="e">
        <f>【PL】決算数値入力!#REF!</f>
        <v>#REF!</v>
      </c>
      <c r="P30" s="39" t="e">
        <f>【PL】決算数値入力!#REF!</f>
        <v>#REF!</v>
      </c>
      <c r="Q30" s="39" t="e">
        <f>【PL】決算数値入力!#REF!</f>
        <v>#REF!</v>
      </c>
      <c r="R30" s="39" t="e">
        <f>【PL】決算数値入力!#REF!</f>
        <v>#REF!</v>
      </c>
      <c r="S30" s="39" t="e">
        <f>【PL】決算数値入力!#REF!</f>
        <v>#REF!</v>
      </c>
      <c r="T30" s="39" t="e">
        <f>ROUND(S30*(1+物価上昇率!$G$9),0)</f>
        <v>#REF!</v>
      </c>
      <c r="U30" s="39" t="e">
        <f>ROUND(T30*(1+物価上昇率!$G$9),0)</f>
        <v>#REF!</v>
      </c>
      <c r="V30" s="39" t="e">
        <f>ROUND(U30*(1+物価上昇率!$G$9),0)</f>
        <v>#REF!</v>
      </c>
      <c r="W30" s="39" t="e">
        <f>ROUND(V30*(1+物価上昇率!$G$9),0)</f>
        <v>#REF!</v>
      </c>
      <c r="X30" s="39" t="e">
        <f>ROUND(W30*(1+物価上昇率!$G$9),0)</f>
        <v>#REF!</v>
      </c>
      <c r="Y30" s="39" t="e">
        <f>ROUND(X30*(1+物価上昇率!$G$9),0)</f>
        <v>#REF!</v>
      </c>
      <c r="Z30" s="39" t="e">
        <f>ROUND(Y30*(1+物価上昇率!$G$9),0)</f>
        <v>#REF!</v>
      </c>
      <c r="AA30" s="39" t="e">
        <f>ROUND(Z30*(1+物価上昇率!$G$9),0)</f>
        <v>#REF!</v>
      </c>
      <c r="AB30" s="39" t="e">
        <f>ROUND(AA30*(1+物価上昇率!$G$9),0)</f>
        <v>#REF!</v>
      </c>
      <c r="AC30" s="39" t="e">
        <f>ROUND(AB30*(1+物価上昇率!$G$9),0)</f>
        <v>#REF!</v>
      </c>
      <c r="AD30" s="39" t="e">
        <f>ROUND(AC30*(1+物価上昇率!$G$9),0)</f>
        <v>#REF!</v>
      </c>
      <c r="AE30" s="39" t="e">
        <f>ROUND(AD30*(1+物価上昇率!$G$9),0)</f>
        <v>#REF!</v>
      </c>
      <c r="AF30" s="39" t="e">
        <f>ROUND(AE30*(1+物価上昇率!$G$9),0)</f>
        <v>#REF!</v>
      </c>
      <c r="AG30" s="39" t="e">
        <f>ROUND(AF30*(1+物価上昇率!$G$9),0)</f>
        <v>#REF!</v>
      </c>
      <c r="AH30" s="39" t="e">
        <f>ROUND(AG30*(1+物価上昇率!$G$9),0)</f>
        <v>#REF!</v>
      </c>
      <c r="AI30" s="39" t="e">
        <f>ROUND(AH30*(1+物価上昇率!$G$9),0)</f>
        <v>#REF!</v>
      </c>
      <c r="AJ30" s="39" t="e">
        <f>ROUND(AI30*(1+物価上昇率!$G$9),0)</f>
        <v>#REF!</v>
      </c>
      <c r="AK30" s="39" t="e">
        <f>ROUND(AJ30*(1+物価上昇率!$G$9),0)</f>
        <v>#REF!</v>
      </c>
      <c r="AL30" s="39" t="e">
        <f>ROUND(AK30*(1+物価上昇率!$G$9),0)</f>
        <v>#REF!</v>
      </c>
      <c r="AM30" s="39" t="e">
        <f>ROUND(AL30*(1+物価上昇率!$G$9),0)</f>
        <v>#REF!</v>
      </c>
      <c r="AN30" s="39" t="e">
        <f>ROUND(AM30*(1+物価上昇率!$G$9),0)</f>
        <v>#REF!</v>
      </c>
      <c r="AO30" s="39" t="e">
        <f>ROUND(AN30*(1+物価上昇率!$G$9),0)</f>
        <v>#REF!</v>
      </c>
      <c r="AP30" s="39" t="e">
        <f>ROUND(AO30*(1+物価上昇率!$G$9),0)</f>
        <v>#REF!</v>
      </c>
      <c r="AQ30" s="39" t="e">
        <f>ROUND(AP30*(1+物価上昇率!$G$9),0)</f>
        <v>#REF!</v>
      </c>
      <c r="AR30" s="39" t="e">
        <f>ROUND(AQ30*(1+物価上昇率!$G$9),0)</f>
        <v>#REF!</v>
      </c>
      <c r="AS30" s="39" t="e">
        <f>ROUND(AR30*(1+物価上昇率!$G$9),0)</f>
        <v>#REF!</v>
      </c>
      <c r="AT30" s="39" t="e">
        <f>ROUND(AS30*(1+物価上昇率!$G$9),0)</f>
        <v>#REF!</v>
      </c>
      <c r="AU30" s="39" t="e">
        <f>ROUND(AT30*(1+物価上昇率!$G$9),0)</f>
        <v>#REF!</v>
      </c>
      <c r="AV30" s="39" t="e">
        <f>ROUND(AU30*(1+物価上昇率!$G$9),0)</f>
        <v>#REF!</v>
      </c>
      <c r="AW30" s="39" t="e">
        <f>ROUND(AV30*(1+物価上昇率!$G$9),0)</f>
        <v>#REF!</v>
      </c>
      <c r="AX30" s="39" t="e">
        <f>ROUND(AW30*(1+物価上昇率!$G$9),0)</f>
        <v>#REF!</v>
      </c>
      <c r="AY30" s="39" t="e">
        <f>ROUND(AX30*(1+物価上昇率!$G$9),0)</f>
        <v>#REF!</v>
      </c>
      <c r="AZ30" s="39" t="e">
        <f>ROUND(AY30*(1+物価上昇率!$G$9),0)</f>
        <v>#REF!</v>
      </c>
      <c r="BA30" s="39" t="e">
        <f>ROUND(AZ30*(1+物価上昇率!$G$9),0)</f>
        <v>#REF!</v>
      </c>
      <c r="BB30" s="39" t="e">
        <f>ROUND(BA30*(1+物価上昇率!$G$9),0)</f>
        <v>#REF!</v>
      </c>
      <c r="BC30" s="39" t="e">
        <f>ROUND(BB30*(1+物価上昇率!$G$9),0)</f>
        <v>#REF!</v>
      </c>
      <c r="BD30" s="39" t="e">
        <f>ROUND(BC30*(1+物価上昇率!$G$9),0)</f>
        <v>#REF!</v>
      </c>
      <c r="BE30" s="39" t="e">
        <f>ROUND(BD30*(1+物価上昇率!$G$9),0)</f>
        <v>#REF!</v>
      </c>
      <c r="BF30" s="39" t="e">
        <f>ROUND(BE30*(1+物価上昇率!$G$9),0)</f>
        <v>#REF!</v>
      </c>
      <c r="BG30" s="39" t="e">
        <f>ROUND(BF30*(1+物価上昇率!$G$9),0)</f>
        <v>#REF!</v>
      </c>
      <c r="BH30" s="39" t="e">
        <f>ROUND(BG30*(1+物価上昇率!$G$9),0)</f>
        <v>#REF!</v>
      </c>
      <c r="BI30" s="39" t="e">
        <f>ROUND(BH30*(1+物価上昇率!$G$9),0)</f>
        <v>#REF!</v>
      </c>
      <c r="BJ30" s="39" t="e">
        <f>ROUND(BI30*(1+物価上昇率!$G$9),0)</f>
        <v>#REF!</v>
      </c>
      <c r="BK30" s="39" t="e">
        <f>ROUND(BJ30*(1+物価上昇率!$G$9),0)</f>
        <v>#REF!</v>
      </c>
      <c r="BL30" s="39" t="e">
        <f>ROUND(BK30*(1+物価上昇率!$G$9),0)</f>
        <v>#REF!</v>
      </c>
      <c r="BM30" s="39" t="e">
        <f>ROUND(BL30*(1+物価上昇率!$G$9),0)</f>
        <v>#REF!</v>
      </c>
      <c r="BN30" s="39" t="e">
        <f>ROUND(BM30*(1+物価上昇率!$G$9),0)</f>
        <v>#REF!</v>
      </c>
      <c r="BO30" s="39" t="e">
        <f>ROUND(BN30*(1+物価上昇率!$G$9),0)</f>
        <v>#REF!</v>
      </c>
      <c r="BP30" s="39" t="e">
        <f>ROUND(BO30*(1+物価上昇率!$G$9),0)</f>
        <v>#REF!</v>
      </c>
      <c r="BQ30" s="39" t="e">
        <f>ROUND(BP30*(1+物価上昇率!$G$9),0)</f>
        <v>#REF!</v>
      </c>
    </row>
    <row r="31" spans="2:69">
      <c r="B31" s="4"/>
      <c r="C31" s="4"/>
      <c r="D31" s="4"/>
      <c r="E31" s="1" t="s">
        <v>93</v>
      </c>
      <c r="F31" s="303"/>
      <c r="G31" s="10"/>
      <c r="H31" s="10" t="s">
        <v>166</v>
      </c>
      <c r="I31" s="10"/>
      <c r="J31" s="10"/>
      <c r="K31" s="1" t="s">
        <v>562</v>
      </c>
      <c r="L31" s="10" t="s">
        <v>166</v>
      </c>
      <c r="M31" s="1"/>
      <c r="N31" s="39" t="e">
        <f>【PL】決算数値入力!#REF!</f>
        <v>#REF!</v>
      </c>
      <c r="O31" s="39" t="e">
        <f>【PL】決算数値入力!#REF!</f>
        <v>#REF!</v>
      </c>
      <c r="P31" s="39" t="e">
        <f>【PL】決算数値入力!#REF!</f>
        <v>#REF!</v>
      </c>
      <c r="Q31" s="39" t="e">
        <f>【PL】決算数値入力!#REF!</f>
        <v>#REF!</v>
      </c>
      <c r="R31" s="39" t="e">
        <f>【PL】決算数値入力!#REF!</f>
        <v>#REF!</v>
      </c>
      <c r="S31" s="39" t="e">
        <f>【PL】決算数値入力!#REF!</f>
        <v>#REF!</v>
      </c>
      <c r="T31" s="39" t="e">
        <f>ROUND(S31*(1+物価上昇率!$G$9),0)</f>
        <v>#REF!</v>
      </c>
      <c r="U31" s="39" t="e">
        <f>ROUND(T31*(1+物価上昇率!$G$9),0)</f>
        <v>#REF!</v>
      </c>
      <c r="V31" s="39" t="e">
        <f>ROUND(U31*(1+物価上昇率!$G$9),0)</f>
        <v>#REF!</v>
      </c>
      <c r="W31" s="39" t="e">
        <f>ROUND(V31*(1+物価上昇率!$G$9),0)</f>
        <v>#REF!</v>
      </c>
      <c r="X31" s="39" t="e">
        <f>ROUND(W31*(1+物価上昇率!$G$9),0)</f>
        <v>#REF!</v>
      </c>
      <c r="Y31" s="39" t="e">
        <f>ROUND(X31*(1+物価上昇率!$G$9),0)</f>
        <v>#REF!</v>
      </c>
      <c r="Z31" s="39" t="e">
        <f>ROUND(Y31*(1+物価上昇率!$G$9),0)</f>
        <v>#REF!</v>
      </c>
      <c r="AA31" s="39" t="e">
        <f>ROUND(Z31*(1+物価上昇率!$G$9),0)</f>
        <v>#REF!</v>
      </c>
      <c r="AB31" s="39" t="e">
        <f>ROUND(AA31*(1+物価上昇率!$G$9),0)</f>
        <v>#REF!</v>
      </c>
      <c r="AC31" s="39" t="e">
        <f>ROUND(AB31*(1+物価上昇率!$G$9),0)</f>
        <v>#REF!</v>
      </c>
      <c r="AD31" s="39" t="e">
        <f>ROUND(AC31*(1+物価上昇率!$G$9),0)</f>
        <v>#REF!</v>
      </c>
      <c r="AE31" s="39" t="e">
        <f>ROUND(AD31*(1+物価上昇率!$G$9),0)</f>
        <v>#REF!</v>
      </c>
      <c r="AF31" s="39" t="e">
        <f>ROUND(AE31*(1+物価上昇率!$G$9),0)</f>
        <v>#REF!</v>
      </c>
      <c r="AG31" s="39" t="e">
        <f>ROUND(AF31*(1+物価上昇率!$G$9),0)</f>
        <v>#REF!</v>
      </c>
      <c r="AH31" s="39" t="e">
        <f>ROUND(AG31*(1+物価上昇率!$G$9),0)</f>
        <v>#REF!</v>
      </c>
      <c r="AI31" s="39" t="e">
        <f>ROUND(AH31*(1+物価上昇率!$G$9),0)</f>
        <v>#REF!</v>
      </c>
      <c r="AJ31" s="39" t="e">
        <f>ROUND(AI31*(1+物価上昇率!$G$9),0)</f>
        <v>#REF!</v>
      </c>
      <c r="AK31" s="39" t="e">
        <f>ROUND(AJ31*(1+物価上昇率!$G$9),0)</f>
        <v>#REF!</v>
      </c>
      <c r="AL31" s="39" t="e">
        <f>ROUND(AK31*(1+物価上昇率!$G$9),0)</f>
        <v>#REF!</v>
      </c>
      <c r="AM31" s="39" t="e">
        <f>ROUND(AL31*(1+物価上昇率!$G$9),0)</f>
        <v>#REF!</v>
      </c>
      <c r="AN31" s="39" t="e">
        <f>ROUND(AM31*(1+物価上昇率!$G$9),0)</f>
        <v>#REF!</v>
      </c>
      <c r="AO31" s="39" t="e">
        <f>ROUND(AN31*(1+物価上昇率!$G$9),0)</f>
        <v>#REF!</v>
      </c>
      <c r="AP31" s="39" t="e">
        <f>ROUND(AO31*(1+物価上昇率!$G$9),0)</f>
        <v>#REF!</v>
      </c>
      <c r="AQ31" s="39" t="e">
        <f>ROUND(AP31*(1+物価上昇率!$G$9),0)</f>
        <v>#REF!</v>
      </c>
      <c r="AR31" s="39" t="e">
        <f>ROUND(AQ31*(1+物価上昇率!$G$9),0)</f>
        <v>#REF!</v>
      </c>
      <c r="AS31" s="39" t="e">
        <f>ROUND(AR31*(1+物価上昇率!$G$9),0)</f>
        <v>#REF!</v>
      </c>
      <c r="AT31" s="39" t="e">
        <f>ROUND(AS31*(1+物価上昇率!$G$9),0)</f>
        <v>#REF!</v>
      </c>
      <c r="AU31" s="39" t="e">
        <f>ROUND(AT31*(1+物価上昇率!$G$9),0)</f>
        <v>#REF!</v>
      </c>
      <c r="AV31" s="39" t="e">
        <f>ROUND(AU31*(1+物価上昇率!$G$9),0)</f>
        <v>#REF!</v>
      </c>
      <c r="AW31" s="39" t="e">
        <f>ROUND(AV31*(1+物価上昇率!$G$9),0)</f>
        <v>#REF!</v>
      </c>
      <c r="AX31" s="39" t="e">
        <f>ROUND(AW31*(1+物価上昇率!$G$9),0)</f>
        <v>#REF!</v>
      </c>
      <c r="AY31" s="39" t="e">
        <f>ROUND(AX31*(1+物価上昇率!$G$9),0)</f>
        <v>#REF!</v>
      </c>
      <c r="AZ31" s="39" t="e">
        <f>ROUND(AY31*(1+物価上昇率!$G$9),0)</f>
        <v>#REF!</v>
      </c>
      <c r="BA31" s="39" t="e">
        <f>ROUND(AZ31*(1+物価上昇率!$G$9),0)</f>
        <v>#REF!</v>
      </c>
      <c r="BB31" s="39" t="e">
        <f>ROUND(BA31*(1+物価上昇率!$G$9),0)</f>
        <v>#REF!</v>
      </c>
      <c r="BC31" s="39" t="e">
        <f>ROUND(BB31*(1+物価上昇率!$G$9),0)</f>
        <v>#REF!</v>
      </c>
      <c r="BD31" s="39" t="e">
        <f>ROUND(BC31*(1+物価上昇率!$G$9),0)</f>
        <v>#REF!</v>
      </c>
      <c r="BE31" s="39" t="e">
        <f>ROUND(BD31*(1+物価上昇率!$G$9),0)</f>
        <v>#REF!</v>
      </c>
      <c r="BF31" s="39" t="e">
        <f>ROUND(BE31*(1+物価上昇率!$G$9),0)</f>
        <v>#REF!</v>
      </c>
      <c r="BG31" s="39" t="e">
        <f>ROUND(BF31*(1+物価上昇率!$G$9),0)</f>
        <v>#REF!</v>
      </c>
      <c r="BH31" s="39" t="e">
        <f>ROUND(BG31*(1+物価上昇率!$G$9),0)</f>
        <v>#REF!</v>
      </c>
      <c r="BI31" s="39" t="e">
        <f>ROUND(BH31*(1+物価上昇率!$G$9),0)</f>
        <v>#REF!</v>
      </c>
      <c r="BJ31" s="39" t="e">
        <f>ROUND(BI31*(1+物価上昇率!$G$9),0)</f>
        <v>#REF!</v>
      </c>
      <c r="BK31" s="39" t="e">
        <f>ROUND(BJ31*(1+物価上昇率!$G$9),0)</f>
        <v>#REF!</v>
      </c>
      <c r="BL31" s="39" t="e">
        <f>ROUND(BK31*(1+物価上昇率!$G$9),0)</f>
        <v>#REF!</v>
      </c>
      <c r="BM31" s="39" t="e">
        <f>ROUND(BL31*(1+物価上昇率!$G$9),0)</f>
        <v>#REF!</v>
      </c>
      <c r="BN31" s="39" t="e">
        <f>ROUND(BM31*(1+物価上昇率!$G$9),0)</f>
        <v>#REF!</v>
      </c>
      <c r="BO31" s="39" t="e">
        <f>ROUND(BN31*(1+物価上昇率!$G$9),0)</f>
        <v>#REF!</v>
      </c>
      <c r="BP31" s="39" t="e">
        <f>ROUND(BO31*(1+物価上昇率!$G$9),0)</f>
        <v>#REF!</v>
      </c>
      <c r="BQ31" s="39" t="e">
        <f>ROUND(BP31*(1+物価上昇率!$G$9),0)</f>
        <v>#REF!</v>
      </c>
    </row>
    <row r="32" spans="2:69">
      <c r="B32" s="4"/>
      <c r="C32" s="4"/>
      <c r="D32" s="3"/>
      <c r="E32" s="1" t="s">
        <v>94</v>
      </c>
      <c r="F32" s="304"/>
      <c r="G32" s="10"/>
      <c r="H32" s="10" t="s">
        <v>166</v>
      </c>
      <c r="I32" s="10"/>
      <c r="J32" s="10"/>
      <c r="K32" s="1" t="s">
        <v>560</v>
      </c>
      <c r="L32" s="1"/>
      <c r="M32" s="1"/>
      <c r="N32" s="39" t="e">
        <f>【PL】決算数値入力!#REF!</f>
        <v>#REF!</v>
      </c>
      <c r="O32" s="39" t="e">
        <f>【PL】決算数値入力!#REF!</f>
        <v>#REF!</v>
      </c>
      <c r="P32" s="39" t="e">
        <f>【PL】決算数値入力!#REF!</f>
        <v>#REF!</v>
      </c>
      <c r="Q32" s="39" t="e">
        <f>【PL】決算数値入力!#REF!</f>
        <v>#REF!</v>
      </c>
      <c r="R32" s="39" t="e">
        <f>【PL】決算数値入力!#REF!</f>
        <v>#REF!</v>
      </c>
      <c r="S32" s="39" t="e">
        <f>【PL】決算数値入力!#REF!</f>
        <v>#REF!</v>
      </c>
      <c r="T32" s="39" t="e">
        <f>S32</f>
        <v>#REF!</v>
      </c>
      <c r="U32" s="39" t="e">
        <f t="shared" ref="U32:BQ32" si="12">T32</f>
        <v>#REF!</v>
      </c>
      <c r="V32" s="39" t="e">
        <f t="shared" si="12"/>
        <v>#REF!</v>
      </c>
      <c r="W32" s="39" t="e">
        <f t="shared" si="12"/>
        <v>#REF!</v>
      </c>
      <c r="X32" s="39" t="e">
        <f t="shared" si="12"/>
        <v>#REF!</v>
      </c>
      <c r="Y32" s="39" t="e">
        <f t="shared" si="12"/>
        <v>#REF!</v>
      </c>
      <c r="Z32" s="39" t="e">
        <f t="shared" si="12"/>
        <v>#REF!</v>
      </c>
      <c r="AA32" s="39" t="e">
        <f t="shared" si="12"/>
        <v>#REF!</v>
      </c>
      <c r="AB32" s="39" t="e">
        <f t="shared" si="12"/>
        <v>#REF!</v>
      </c>
      <c r="AC32" s="39" t="e">
        <f t="shared" si="12"/>
        <v>#REF!</v>
      </c>
      <c r="AD32" s="39" t="e">
        <f t="shared" si="12"/>
        <v>#REF!</v>
      </c>
      <c r="AE32" s="39" t="e">
        <f t="shared" si="12"/>
        <v>#REF!</v>
      </c>
      <c r="AF32" s="39" t="e">
        <f t="shared" si="12"/>
        <v>#REF!</v>
      </c>
      <c r="AG32" s="39" t="e">
        <f t="shared" si="12"/>
        <v>#REF!</v>
      </c>
      <c r="AH32" s="39" t="e">
        <f t="shared" si="12"/>
        <v>#REF!</v>
      </c>
      <c r="AI32" s="39" t="e">
        <f t="shared" si="12"/>
        <v>#REF!</v>
      </c>
      <c r="AJ32" s="39" t="e">
        <f t="shared" si="12"/>
        <v>#REF!</v>
      </c>
      <c r="AK32" s="39" t="e">
        <f t="shared" si="12"/>
        <v>#REF!</v>
      </c>
      <c r="AL32" s="39" t="e">
        <f t="shared" si="12"/>
        <v>#REF!</v>
      </c>
      <c r="AM32" s="39" t="e">
        <f t="shared" si="12"/>
        <v>#REF!</v>
      </c>
      <c r="AN32" s="39" t="e">
        <f t="shared" si="12"/>
        <v>#REF!</v>
      </c>
      <c r="AO32" s="39" t="e">
        <f t="shared" si="12"/>
        <v>#REF!</v>
      </c>
      <c r="AP32" s="39" t="e">
        <f t="shared" si="12"/>
        <v>#REF!</v>
      </c>
      <c r="AQ32" s="39" t="e">
        <f t="shared" si="12"/>
        <v>#REF!</v>
      </c>
      <c r="AR32" s="39" t="e">
        <f t="shared" si="12"/>
        <v>#REF!</v>
      </c>
      <c r="AS32" s="39" t="e">
        <f t="shared" si="12"/>
        <v>#REF!</v>
      </c>
      <c r="AT32" s="39" t="e">
        <f t="shared" si="12"/>
        <v>#REF!</v>
      </c>
      <c r="AU32" s="39" t="e">
        <f t="shared" si="12"/>
        <v>#REF!</v>
      </c>
      <c r="AV32" s="39" t="e">
        <f t="shared" si="12"/>
        <v>#REF!</v>
      </c>
      <c r="AW32" s="39" t="e">
        <f t="shared" si="12"/>
        <v>#REF!</v>
      </c>
      <c r="AX32" s="39" t="e">
        <f t="shared" si="12"/>
        <v>#REF!</v>
      </c>
      <c r="AY32" s="39" t="e">
        <f t="shared" si="12"/>
        <v>#REF!</v>
      </c>
      <c r="AZ32" s="39" t="e">
        <f t="shared" si="12"/>
        <v>#REF!</v>
      </c>
      <c r="BA32" s="39" t="e">
        <f t="shared" si="12"/>
        <v>#REF!</v>
      </c>
      <c r="BB32" s="39" t="e">
        <f t="shared" si="12"/>
        <v>#REF!</v>
      </c>
      <c r="BC32" s="39" t="e">
        <f t="shared" si="12"/>
        <v>#REF!</v>
      </c>
      <c r="BD32" s="39" t="e">
        <f t="shared" si="12"/>
        <v>#REF!</v>
      </c>
      <c r="BE32" s="39" t="e">
        <f t="shared" si="12"/>
        <v>#REF!</v>
      </c>
      <c r="BF32" s="39" t="e">
        <f t="shared" si="12"/>
        <v>#REF!</v>
      </c>
      <c r="BG32" s="39" t="e">
        <f t="shared" si="12"/>
        <v>#REF!</v>
      </c>
      <c r="BH32" s="39" t="e">
        <f t="shared" si="12"/>
        <v>#REF!</v>
      </c>
      <c r="BI32" s="39" t="e">
        <f t="shared" si="12"/>
        <v>#REF!</v>
      </c>
      <c r="BJ32" s="39" t="e">
        <f t="shared" si="12"/>
        <v>#REF!</v>
      </c>
      <c r="BK32" s="39" t="e">
        <f t="shared" si="12"/>
        <v>#REF!</v>
      </c>
      <c r="BL32" s="39" t="e">
        <f t="shared" si="12"/>
        <v>#REF!</v>
      </c>
      <c r="BM32" s="39" t="e">
        <f t="shared" si="12"/>
        <v>#REF!</v>
      </c>
      <c r="BN32" s="39" t="e">
        <f t="shared" si="12"/>
        <v>#REF!</v>
      </c>
      <c r="BO32" s="39" t="e">
        <f t="shared" si="12"/>
        <v>#REF!</v>
      </c>
      <c r="BP32" s="39" t="e">
        <f t="shared" si="12"/>
        <v>#REF!</v>
      </c>
      <c r="BQ32" s="39" t="e">
        <f t="shared" si="12"/>
        <v>#REF!</v>
      </c>
    </row>
    <row r="33" spans="2:69">
      <c r="B33" s="4"/>
      <c r="C33" s="4"/>
      <c r="D33" s="5" t="s">
        <v>95</v>
      </c>
      <c r="E33" s="8"/>
      <c r="F33" s="302" t="s">
        <v>175</v>
      </c>
      <c r="G33" s="10"/>
      <c r="H33" s="10"/>
      <c r="I33" s="10"/>
      <c r="J33" s="10"/>
      <c r="K33" s="1"/>
      <c r="L33" s="1"/>
      <c r="M33" s="1"/>
      <c r="N33" s="39" t="e">
        <f>【PL】決算数値入力!#REF!</f>
        <v>#REF!</v>
      </c>
      <c r="O33" s="39" t="e">
        <f>【PL】決算数値入力!#REF!</f>
        <v>#REF!</v>
      </c>
      <c r="P33" s="39" t="e">
        <f>【PL】決算数値入力!#REF!</f>
        <v>#REF!</v>
      </c>
      <c r="Q33" s="39" t="e">
        <f>【PL】決算数値入力!#REF!</f>
        <v>#REF!</v>
      </c>
      <c r="R33" s="39" t="e">
        <f>【PL】決算数値入力!#REF!</f>
        <v>#REF!</v>
      </c>
      <c r="S33" s="39" t="e">
        <f>【PL】決算数値入力!#REF!</f>
        <v>#REF!</v>
      </c>
      <c r="T33" s="39" t="e">
        <f t="shared" ref="T33:BQ33" si="13">SUM(T34:T40)</f>
        <v>#REF!</v>
      </c>
      <c r="U33" s="39" t="e">
        <f t="shared" si="13"/>
        <v>#REF!</v>
      </c>
      <c r="V33" s="39" t="e">
        <f t="shared" si="13"/>
        <v>#REF!</v>
      </c>
      <c r="W33" s="39" t="e">
        <f t="shared" si="13"/>
        <v>#REF!</v>
      </c>
      <c r="X33" s="39" t="e">
        <f t="shared" si="13"/>
        <v>#REF!</v>
      </c>
      <c r="Y33" s="39" t="e">
        <f t="shared" si="13"/>
        <v>#REF!</v>
      </c>
      <c r="Z33" s="39" t="e">
        <f t="shared" si="13"/>
        <v>#REF!</v>
      </c>
      <c r="AA33" s="39" t="e">
        <f t="shared" si="13"/>
        <v>#REF!</v>
      </c>
      <c r="AB33" s="39" t="e">
        <f t="shared" si="13"/>
        <v>#REF!</v>
      </c>
      <c r="AC33" s="39" t="e">
        <f t="shared" si="13"/>
        <v>#REF!</v>
      </c>
      <c r="AD33" s="39" t="e">
        <f t="shared" si="13"/>
        <v>#REF!</v>
      </c>
      <c r="AE33" s="39" t="e">
        <f t="shared" si="13"/>
        <v>#REF!</v>
      </c>
      <c r="AF33" s="39" t="e">
        <f t="shared" si="13"/>
        <v>#REF!</v>
      </c>
      <c r="AG33" s="39" t="e">
        <f t="shared" si="13"/>
        <v>#REF!</v>
      </c>
      <c r="AH33" s="39" t="e">
        <f t="shared" si="13"/>
        <v>#REF!</v>
      </c>
      <c r="AI33" s="39" t="e">
        <f t="shared" si="13"/>
        <v>#REF!</v>
      </c>
      <c r="AJ33" s="39" t="e">
        <f t="shared" si="13"/>
        <v>#REF!</v>
      </c>
      <c r="AK33" s="39" t="e">
        <f t="shared" si="13"/>
        <v>#REF!</v>
      </c>
      <c r="AL33" s="39" t="e">
        <f t="shared" si="13"/>
        <v>#REF!</v>
      </c>
      <c r="AM33" s="39" t="e">
        <f t="shared" si="13"/>
        <v>#REF!</v>
      </c>
      <c r="AN33" s="39" t="e">
        <f t="shared" si="13"/>
        <v>#REF!</v>
      </c>
      <c r="AO33" s="39" t="e">
        <f t="shared" si="13"/>
        <v>#REF!</v>
      </c>
      <c r="AP33" s="39" t="e">
        <f t="shared" si="13"/>
        <v>#REF!</v>
      </c>
      <c r="AQ33" s="39" t="e">
        <f t="shared" si="13"/>
        <v>#REF!</v>
      </c>
      <c r="AR33" s="39" t="e">
        <f t="shared" si="13"/>
        <v>#REF!</v>
      </c>
      <c r="AS33" s="39" t="e">
        <f t="shared" si="13"/>
        <v>#REF!</v>
      </c>
      <c r="AT33" s="39" t="e">
        <f t="shared" si="13"/>
        <v>#REF!</v>
      </c>
      <c r="AU33" s="39" t="e">
        <f t="shared" si="13"/>
        <v>#REF!</v>
      </c>
      <c r="AV33" s="39" t="e">
        <f t="shared" si="13"/>
        <v>#REF!</v>
      </c>
      <c r="AW33" s="39" t="e">
        <f t="shared" si="13"/>
        <v>#REF!</v>
      </c>
      <c r="AX33" s="39" t="e">
        <f t="shared" si="13"/>
        <v>#REF!</v>
      </c>
      <c r="AY33" s="39" t="e">
        <f t="shared" si="13"/>
        <v>#REF!</v>
      </c>
      <c r="AZ33" s="39" t="e">
        <f t="shared" si="13"/>
        <v>#REF!</v>
      </c>
      <c r="BA33" s="39" t="e">
        <f t="shared" si="13"/>
        <v>#REF!</v>
      </c>
      <c r="BB33" s="39" t="e">
        <f t="shared" si="13"/>
        <v>#REF!</v>
      </c>
      <c r="BC33" s="39" t="e">
        <f t="shared" si="13"/>
        <v>#REF!</v>
      </c>
      <c r="BD33" s="39" t="e">
        <f t="shared" si="13"/>
        <v>#REF!</v>
      </c>
      <c r="BE33" s="39" t="e">
        <f t="shared" si="13"/>
        <v>#REF!</v>
      </c>
      <c r="BF33" s="39" t="e">
        <f t="shared" si="13"/>
        <v>#REF!</v>
      </c>
      <c r="BG33" s="39" t="e">
        <f t="shared" si="13"/>
        <v>#REF!</v>
      </c>
      <c r="BH33" s="39" t="e">
        <f t="shared" si="13"/>
        <v>#REF!</v>
      </c>
      <c r="BI33" s="39" t="e">
        <f t="shared" si="13"/>
        <v>#REF!</v>
      </c>
      <c r="BJ33" s="39" t="e">
        <f t="shared" si="13"/>
        <v>#REF!</v>
      </c>
      <c r="BK33" s="39" t="e">
        <f t="shared" si="13"/>
        <v>#REF!</v>
      </c>
      <c r="BL33" s="39" t="e">
        <f t="shared" si="13"/>
        <v>#REF!</v>
      </c>
      <c r="BM33" s="39" t="e">
        <f t="shared" si="13"/>
        <v>#REF!</v>
      </c>
      <c r="BN33" s="39" t="e">
        <f t="shared" si="13"/>
        <v>#REF!</v>
      </c>
      <c r="BO33" s="39" t="e">
        <f t="shared" si="13"/>
        <v>#REF!</v>
      </c>
      <c r="BP33" s="39" t="e">
        <f t="shared" si="13"/>
        <v>#REF!</v>
      </c>
      <c r="BQ33" s="39" t="e">
        <f t="shared" si="13"/>
        <v>#REF!</v>
      </c>
    </row>
    <row r="34" spans="2:69">
      <c r="B34" s="4"/>
      <c r="C34" s="4"/>
      <c r="D34" s="4"/>
      <c r="E34" s="1" t="s">
        <v>89</v>
      </c>
      <c r="F34" s="303"/>
      <c r="G34" s="10"/>
      <c r="H34" s="10" t="s">
        <v>166</v>
      </c>
      <c r="I34" s="10"/>
      <c r="J34" s="10"/>
      <c r="K34" s="1" t="s">
        <v>562</v>
      </c>
      <c r="L34" s="10" t="s">
        <v>166</v>
      </c>
      <c r="M34" s="1"/>
      <c r="N34" s="39" t="e">
        <f>【PL】決算数値入力!#REF!</f>
        <v>#REF!</v>
      </c>
      <c r="O34" s="39" t="e">
        <f>【PL】決算数値入力!#REF!</f>
        <v>#REF!</v>
      </c>
      <c r="P34" s="39" t="e">
        <f>【PL】決算数値入力!#REF!</f>
        <v>#REF!</v>
      </c>
      <c r="Q34" s="39" t="e">
        <f>【PL】決算数値入力!#REF!</f>
        <v>#REF!</v>
      </c>
      <c r="R34" s="39" t="e">
        <f>【PL】決算数値入力!#REF!</f>
        <v>#REF!</v>
      </c>
      <c r="S34" s="39" t="e">
        <f>【PL】決算数値入力!#REF!</f>
        <v>#REF!</v>
      </c>
      <c r="T34" s="39" t="e">
        <f>ROUND(S34*(1+物価上昇率!$G$9),0)</f>
        <v>#REF!</v>
      </c>
      <c r="U34" s="39" t="e">
        <f>ROUND(T34*(1+物価上昇率!$G$9),0)</f>
        <v>#REF!</v>
      </c>
      <c r="V34" s="39" t="e">
        <f>ROUND(U34*(1+物価上昇率!$G$9),0)</f>
        <v>#REF!</v>
      </c>
      <c r="W34" s="39" t="e">
        <f>ROUND(V34*(1+物価上昇率!$G$9),0)</f>
        <v>#REF!</v>
      </c>
      <c r="X34" s="39" t="e">
        <f>ROUND(W34*(1+物価上昇率!$G$9),0)</f>
        <v>#REF!</v>
      </c>
      <c r="Y34" s="39" t="e">
        <f>ROUND(X34*(1+物価上昇率!$G$9),0)</f>
        <v>#REF!</v>
      </c>
      <c r="Z34" s="39" t="e">
        <f>ROUND(Y34*(1+物価上昇率!$G$9),0)</f>
        <v>#REF!</v>
      </c>
      <c r="AA34" s="39" t="e">
        <f>ROUND(Z34*(1+物価上昇率!$G$9),0)</f>
        <v>#REF!</v>
      </c>
      <c r="AB34" s="39" t="e">
        <f>ROUND(AA34*(1+物価上昇率!$G$9),0)</f>
        <v>#REF!</v>
      </c>
      <c r="AC34" s="39" t="e">
        <f>ROUND(AB34*(1+物価上昇率!$G$9),0)</f>
        <v>#REF!</v>
      </c>
      <c r="AD34" s="39" t="e">
        <f>ROUND(AC34*(1+物価上昇率!$G$9),0)</f>
        <v>#REF!</v>
      </c>
      <c r="AE34" s="39" t="e">
        <f>ROUND(AD34*(1+物価上昇率!$G$9),0)</f>
        <v>#REF!</v>
      </c>
      <c r="AF34" s="39" t="e">
        <f>ROUND(AE34*(1+物価上昇率!$G$9),0)</f>
        <v>#REF!</v>
      </c>
      <c r="AG34" s="39" t="e">
        <f>ROUND(AF34*(1+物価上昇率!$G$9),0)</f>
        <v>#REF!</v>
      </c>
      <c r="AH34" s="39" t="e">
        <f>ROUND(AG34*(1+物価上昇率!$G$9),0)</f>
        <v>#REF!</v>
      </c>
      <c r="AI34" s="39" t="e">
        <f>ROUND(AH34*(1+物価上昇率!$G$9),0)</f>
        <v>#REF!</v>
      </c>
      <c r="AJ34" s="39" t="e">
        <f>ROUND(AI34*(1+物価上昇率!$G$9),0)</f>
        <v>#REF!</v>
      </c>
      <c r="AK34" s="39" t="e">
        <f>ROUND(AJ34*(1+物価上昇率!$G$9),0)</f>
        <v>#REF!</v>
      </c>
      <c r="AL34" s="39" t="e">
        <f>ROUND(AK34*(1+物価上昇率!$G$9),0)</f>
        <v>#REF!</v>
      </c>
      <c r="AM34" s="39" t="e">
        <f>ROUND(AL34*(1+物価上昇率!$G$9),0)</f>
        <v>#REF!</v>
      </c>
      <c r="AN34" s="39" t="e">
        <f>ROUND(AM34*(1+物価上昇率!$G$9),0)</f>
        <v>#REF!</v>
      </c>
      <c r="AO34" s="39" t="e">
        <f>ROUND(AN34*(1+物価上昇率!$G$9),0)</f>
        <v>#REF!</v>
      </c>
      <c r="AP34" s="39" t="e">
        <f>ROUND(AO34*(1+物価上昇率!$G$9),0)</f>
        <v>#REF!</v>
      </c>
      <c r="AQ34" s="39" t="e">
        <f>ROUND(AP34*(1+物価上昇率!$G$9),0)</f>
        <v>#REF!</v>
      </c>
      <c r="AR34" s="39" t="e">
        <f>ROUND(AQ34*(1+物価上昇率!$G$9),0)</f>
        <v>#REF!</v>
      </c>
      <c r="AS34" s="39" t="e">
        <f>ROUND(AR34*(1+物価上昇率!$G$9),0)</f>
        <v>#REF!</v>
      </c>
      <c r="AT34" s="39" t="e">
        <f>ROUND(AS34*(1+物価上昇率!$G$9),0)</f>
        <v>#REF!</v>
      </c>
      <c r="AU34" s="39" t="e">
        <f>ROUND(AT34*(1+物価上昇率!$G$9),0)</f>
        <v>#REF!</v>
      </c>
      <c r="AV34" s="39" t="e">
        <f>ROUND(AU34*(1+物価上昇率!$G$9),0)</f>
        <v>#REF!</v>
      </c>
      <c r="AW34" s="39" t="e">
        <f>ROUND(AV34*(1+物価上昇率!$G$9),0)</f>
        <v>#REF!</v>
      </c>
      <c r="AX34" s="39" t="e">
        <f>ROUND(AW34*(1+物価上昇率!$G$9),0)</f>
        <v>#REF!</v>
      </c>
      <c r="AY34" s="39" t="e">
        <f>ROUND(AX34*(1+物価上昇率!$G$9),0)</f>
        <v>#REF!</v>
      </c>
      <c r="AZ34" s="39" t="e">
        <f>ROUND(AY34*(1+物価上昇率!$G$9),0)</f>
        <v>#REF!</v>
      </c>
      <c r="BA34" s="39" t="e">
        <f>ROUND(AZ34*(1+物価上昇率!$G$9),0)</f>
        <v>#REF!</v>
      </c>
      <c r="BB34" s="39" t="e">
        <f>ROUND(BA34*(1+物価上昇率!$G$9),0)</f>
        <v>#REF!</v>
      </c>
      <c r="BC34" s="39" t="e">
        <f>ROUND(BB34*(1+物価上昇率!$G$9),0)</f>
        <v>#REF!</v>
      </c>
      <c r="BD34" s="39" t="e">
        <f>ROUND(BC34*(1+物価上昇率!$G$9),0)</f>
        <v>#REF!</v>
      </c>
      <c r="BE34" s="39" t="e">
        <f>ROUND(BD34*(1+物価上昇率!$G$9),0)</f>
        <v>#REF!</v>
      </c>
      <c r="BF34" s="39" t="e">
        <f>ROUND(BE34*(1+物価上昇率!$G$9),0)</f>
        <v>#REF!</v>
      </c>
      <c r="BG34" s="39" t="e">
        <f>ROUND(BF34*(1+物価上昇率!$G$9),0)</f>
        <v>#REF!</v>
      </c>
      <c r="BH34" s="39" t="e">
        <f>ROUND(BG34*(1+物価上昇率!$G$9),0)</f>
        <v>#REF!</v>
      </c>
      <c r="BI34" s="39" t="e">
        <f>ROUND(BH34*(1+物価上昇率!$G$9),0)</f>
        <v>#REF!</v>
      </c>
      <c r="BJ34" s="39" t="e">
        <f>ROUND(BI34*(1+物価上昇率!$G$9),0)</f>
        <v>#REF!</v>
      </c>
      <c r="BK34" s="39" t="e">
        <f>ROUND(BJ34*(1+物価上昇率!$G$9),0)</f>
        <v>#REF!</v>
      </c>
      <c r="BL34" s="39" t="e">
        <f>ROUND(BK34*(1+物価上昇率!$G$9),0)</f>
        <v>#REF!</v>
      </c>
      <c r="BM34" s="39" t="e">
        <f>ROUND(BL34*(1+物価上昇率!$G$9),0)</f>
        <v>#REF!</v>
      </c>
      <c r="BN34" s="39" t="e">
        <f>ROUND(BM34*(1+物価上昇率!$G$9),0)</f>
        <v>#REF!</v>
      </c>
      <c r="BO34" s="39" t="e">
        <f>ROUND(BN34*(1+物価上昇率!$G$9),0)</f>
        <v>#REF!</v>
      </c>
      <c r="BP34" s="39" t="e">
        <f>ROUND(BO34*(1+物価上昇率!$G$9),0)</f>
        <v>#REF!</v>
      </c>
      <c r="BQ34" s="39" t="e">
        <f>ROUND(BP34*(1+物価上昇率!$G$9),0)</f>
        <v>#REF!</v>
      </c>
    </row>
    <row r="35" spans="2:69">
      <c r="B35" s="4"/>
      <c r="C35" s="4"/>
      <c r="D35" s="4"/>
      <c r="E35" s="1" t="s">
        <v>96</v>
      </c>
      <c r="F35" s="303"/>
      <c r="G35" s="10"/>
      <c r="H35" s="10"/>
      <c r="I35" s="10" t="s">
        <v>166</v>
      </c>
      <c r="J35" s="10"/>
      <c r="K35" s="1" t="s">
        <v>561</v>
      </c>
      <c r="L35" s="10" t="s">
        <v>166</v>
      </c>
      <c r="M35" s="1"/>
      <c r="N35" s="39" t="e">
        <f>【PL】決算数値入力!#REF!</f>
        <v>#REF!</v>
      </c>
      <c r="O35" s="39" t="e">
        <f>【PL】決算数値入力!#REF!</f>
        <v>#REF!</v>
      </c>
      <c r="P35" s="39" t="e">
        <f>【PL】決算数値入力!#REF!</f>
        <v>#REF!</v>
      </c>
      <c r="Q35" s="39" t="e">
        <f>【PL】決算数値入力!#REF!</f>
        <v>#REF!</v>
      </c>
      <c r="R35" s="39" t="e">
        <f>【PL】決算数値入力!#REF!</f>
        <v>#REF!</v>
      </c>
      <c r="S35" s="39" t="e">
        <f>【PL】決算数値入力!#REF!</f>
        <v>#REF!</v>
      </c>
      <c r="T35" s="39" t="e">
        <f>ROUND(SUM(【PL】決算数値入力!#REF!)/SUM(【収益】水需要予測!$N$19:$W$19),0)*【収益】水需要予測!Y21</f>
        <v>#REF!</v>
      </c>
      <c r="U35" s="39" t="e">
        <f>ROUND(SUM(【PL】決算数値入力!#REF!)/SUM(【収益】水需要予測!$N$19:$W$19),0)*【収益】水需要予測!Z21</f>
        <v>#REF!</v>
      </c>
      <c r="V35" s="39" t="e">
        <f>ROUND(SUM(【PL】決算数値入力!#REF!)/SUM(【収益】水需要予測!$N$19:$W$19),0)*【収益】水需要予測!AA21</f>
        <v>#REF!</v>
      </c>
      <c r="W35" s="39" t="e">
        <f>ROUND(SUM(【PL】決算数値入力!#REF!)/SUM(【収益】水需要予測!$N$19:$W$19),0)*【収益】水需要予測!AB21</f>
        <v>#REF!</v>
      </c>
      <c r="X35" s="39" t="e">
        <f>ROUND(SUM(【PL】決算数値入力!#REF!)/SUM(【収益】水需要予測!$N$19:$W$19),0)*【収益】水需要予測!AC21</f>
        <v>#REF!</v>
      </c>
      <c r="Y35" s="39" t="e">
        <f>ROUND(SUM(【PL】決算数値入力!#REF!)/SUM(【収益】水需要予測!$N$19:$W$19),0)*【収益】水需要予測!AD21</f>
        <v>#REF!</v>
      </c>
      <c r="Z35" s="39" t="e">
        <f>ROUND(SUM(【PL】決算数値入力!#REF!)/SUM(【収益】水需要予測!$N$19:$W$19),0)*【収益】水需要予測!AE21</f>
        <v>#REF!</v>
      </c>
      <c r="AA35" s="39" t="e">
        <f>ROUND(SUM(【PL】決算数値入力!#REF!)/SUM(【収益】水需要予測!$N$19:$W$19),0)*【収益】水需要予測!AF21</f>
        <v>#REF!</v>
      </c>
      <c r="AB35" s="39" t="e">
        <f>ROUND(SUM(【PL】決算数値入力!#REF!)/SUM(【収益】水需要予測!$N$19:$W$19),0)*【収益】水需要予測!AG21</f>
        <v>#REF!</v>
      </c>
      <c r="AC35" s="39" t="e">
        <f>ROUND(SUM(【PL】決算数値入力!#REF!)/SUM(【収益】水需要予測!$N$19:$W$19),0)*【収益】水需要予測!AH21</f>
        <v>#REF!</v>
      </c>
      <c r="AD35" s="39" t="e">
        <f>ROUND(SUM(【PL】決算数値入力!#REF!)/SUM(【収益】水需要予測!$N$19:$W$19),0)*【収益】水需要予測!AI21</f>
        <v>#REF!</v>
      </c>
      <c r="AE35" s="39" t="e">
        <f>ROUND(SUM(【PL】決算数値入力!#REF!)/SUM(【収益】水需要予測!$N$19:$W$19),0)*【収益】水需要予測!AJ21</f>
        <v>#REF!</v>
      </c>
      <c r="AF35" s="39" t="e">
        <f>ROUND(SUM(【PL】決算数値入力!#REF!)/SUM(【収益】水需要予測!$N$19:$W$19),0)*【収益】水需要予測!AK21</f>
        <v>#REF!</v>
      </c>
      <c r="AG35" s="39" t="e">
        <f>ROUND(SUM(【PL】決算数値入力!#REF!)/SUM(【収益】水需要予測!$N$19:$W$19),0)*【収益】水需要予測!AL21</f>
        <v>#REF!</v>
      </c>
      <c r="AH35" s="39" t="e">
        <f>ROUND(SUM(【PL】決算数値入力!#REF!)/SUM(【収益】水需要予測!$N$19:$W$19),0)*【収益】水需要予測!AM21</f>
        <v>#REF!</v>
      </c>
      <c r="AI35" s="39" t="e">
        <f>ROUND(SUM(【PL】決算数値入力!#REF!)/SUM(【収益】水需要予測!$N$19:$W$19),0)*【収益】水需要予測!AN21</f>
        <v>#REF!</v>
      </c>
      <c r="AJ35" s="39" t="e">
        <f>ROUND(SUM(【PL】決算数値入力!#REF!)/SUM(【収益】水需要予測!$N$19:$W$19),0)*【収益】水需要予測!AO21</f>
        <v>#REF!</v>
      </c>
      <c r="AK35" s="39" t="e">
        <f>ROUND(SUM(【PL】決算数値入力!#REF!)/SUM(【収益】水需要予測!$N$19:$W$19),0)*【収益】水需要予測!AP21</f>
        <v>#REF!</v>
      </c>
      <c r="AL35" s="39" t="e">
        <f>ROUND(SUM(【PL】決算数値入力!#REF!)/SUM(【収益】水需要予測!$N$19:$W$19),0)*【収益】水需要予測!AQ21</f>
        <v>#REF!</v>
      </c>
      <c r="AM35" s="39" t="e">
        <f>ROUND(SUM(【PL】決算数値入力!#REF!)/SUM(【収益】水需要予測!$N$19:$W$19),0)*【収益】水需要予測!AR21</f>
        <v>#REF!</v>
      </c>
      <c r="AN35" s="39" t="e">
        <f>ROUND(SUM(【PL】決算数値入力!#REF!)/SUM(【収益】水需要予測!$N$19:$W$19),0)*【収益】水需要予測!AS21</f>
        <v>#REF!</v>
      </c>
      <c r="AO35" s="39" t="e">
        <f>ROUND(SUM(【PL】決算数値入力!#REF!)/SUM(【収益】水需要予測!$N$19:$W$19),0)*【収益】水需要予測!AT21</f>
        <v>#REF!</v>
      </c>
      <c r="AP35" s="39" t="e">
        <f>ROUND(SUM(【PL】決算数値入力!#REF!)/SUM(【収益】水需要予測!$N$19:$W$19),0)*【収益】水需要予測!AU21</f>
        <v>#REF!</v>
      </c>
      <c r="AQ35" s="39" t="e">
        <f>ROUND(SUM(【PL】決算数値入力!#REF!)/SUM(【収益】水需要予測!$N$19:$W$19),0)*【収益】水需要予測!AV21</f>
        <v>#REF!</v>
      </c>
      <c r="AR35" s="39" t="e">
        <f>ROUND(SUM(【PL】決算数値入力!#REF!)/SUM(【収益】水需要予測!$N$19:$W$19),0)*【収益】水需要予測!AW21</f>
        <v>#REF!</v>
      </c>
      <c r="AS35" s="39" t="e">
        <f>ROUND(SUM(【PL】決算数値入力!#REF!)/SUM(【収益】水需要予測!$N$19:$W$19),0)*【収益】水需要予測!AX21</f>
        <v>#REF!</v>
      </c>
      <c r="AT35" s="39" t="e">
        <f>ROUND(SUM(【PL】決算数値入力!#REF!)/SUM(【収益】水需要予測!$N$19:$W$19),0)*【収益】水需要予測!AY21</f>
        <v>#REF!</v>
      </c>
      <c r="AU35" s="39" t="e">
        <f>ROUND(SUM(【PL】決算数値入力!#REF!)/SUM(【収益】水需要予測!$N$19:$W$19),0)*【収益】水需要予測!AZ21</f>
        <v>#REF!</v>
      </c>
      <c r="AV35" s="39" t="e">
        <f>ROUND(SUM(【PL】決算数値入力!#REF!)/SUM(【収益】水需要予測!$N$19:$W$19),0)*【収益】水需要予測!BA21</f>
        <v>#REF!</v>
      </c>
      <c r="AW35" s="39" t="e">
        <f>ROUND(SUM(【PL】決算数値入力!#REF!)/SUM(【収益】水需要予測!$N$19:$W$19),0)*【収益】水需要予測!BB21</f>
        <v>#REF!</v>
      </c>
      <c r="AX35" s="39" t="e">
        <f>ROUND(SUM(【PL】決算数値入力!#REF!)/SUM(【収益】水需要予測!$N$19:$W$19),0)*【収益】水需要予測!BC21</f>
        <v>#REF!</v>
      </c>
      <c r="AY35" s="39" t="e">
        <f>ROUND(SUM(【PL】決算数値入力!#REF!)/SUM(【収益】水需要予測!$N$19:$W$19),0)*【収益】水需要予測!BD21</f>
        <v>#REF!</v>
      </c>
      <c r="AZ35" s="39" t="e">
        <f>ROUND(SUM(【PL】決算数値入力!#REF!)/SUM(【収益】水需要予測!$N$19:$W$19),0)*【収益】水需要予測!BE21</f>
        <v>#REF!</v>
      </c>
      <c r="BA35" s="39" t="e">
        <f>ROUND(SUM(【PL】決算数値入力!#REF!)/SUM(【収益】水需要予測!$N$19:$W$19),0)*【収益】水需要予測!BF21</f>
        <v>#REF!</v>
      </c>
      <c r="BB35" s="39" t="e">
        <f>ROUND(SUM(【PL】決算数値入力!#REF!)/SUM(【収益】水需要予測!$N$19:$W$19),0)*【収益】水需要予測!BG21</f>
        <v>#REF!</v>
      </c>
      <c r="BC35" s="39" t="e">
        <f>ROUND(SUM(【PL】決算数値入力!#REF!)/SUM(【収益】水需要予測!$N$19:$W$19),0)*【収益】水需要予測!BH21</f>
        <v>#REF!</v>
      </c>
      <c r="BD35" s="39" t="e">
        <f>ROUND(SUM(【PL】決算数値入力!#REF!)/SUM(【収益】水需要予測!$N$19:$W$19),0)*【収益】水需要予測!BI21</f>
        <v>#REF!</v>
      </c>
      <c r="BE35" s="39" t="e">
        <f>ROUND(SUM(【PL】決算数値入力!#REF!)/SUM(【収益】水需要予測!$N$19:$W$19),0)*【収益】水需要予測!BJ21</f>
        <v>#REF!</v>
      </c>
      <c r="BF35" s="39" t="e">
        <f>ROUND(SUM(【PL】決算数値入力!#REF!)/SUM(【収益】水需要予測!$N$19:$W$19),0)*【収益】水需要予測!BK21</f>
        <v>#REF!</v>
      </c>
      <c r="BG35" s="39" t="e">
        <f>ROUND(SUM(【PL】決算数値入力!#REF!)/SUM(【収益】水需要予測!$N$19:$W$19),0)*【収益】水需要予測!BL21</f>
        <v>#REF!</v>
      </c>
      <c r="BH35" s="39" t="e">
        <f>ROUND(SUM(【PL】決算数値入力!#REF!)/SUM(【収益】水需要予測!$N$19:$W$19),0)*【収益】水需要予測!BM21</f>
        <v>#REF!</v>
      </c>
      <c r="BI35" s="39" t="e">
        <f>ROUND(SUM(【PL】決算数値入力!#REF!)/SUM(【収益】水需要予測!$N$19:$W$19),0)*【収益】水需要予測!BN21</f>
        <v>#REF!</v>
      </c>
      <c r="BJ35" s="39" t="e">
        <f>ROUND(SUM(【PL】決算数値入力!#REF!)/SUM(【収益】水需要予測!$N$19:$W$19),0)*【収益】水需要予測!BO21</f>
        <v>#REF!</v>
      </c>
      <c r="BK35" s="39" t="e">
        <f>ROUND(SUM(【PL】決算数値入力!#REF!)/SUM(【収益】水需要予測!$N$19:$W$19),0)*【収益】水需要予測!BP21</f>
        <v>#REF!</v>
      </c>
      <c r="BL35" s="39" t="e">
        <f>ROUND(SUM(【PL】決算数値入力!#REF!)/SUM(【収益】水需要予測!$N$19:$W$19),0)*【収益】水需要予測!BQ21</f>
        <v>#REF!</v>
      </c>
      <c r="BM35" s="39" t="e">
        <f>ROUND(SUM(【PL】決算数値入力!#REF!)/SUM(【収益】水需要予測!$N$19:$W$19),0)*【収益】水需要予測!BR21</f>
        <v>#REF!</v>
      </c>
      <c r="BN35" s="39" t="e">
        <f>ROUND(SUM(【PL】決算数値入力!#REF!)/SUM(【収益】水需要予測!$N$19:$W$19),0)*【収益】水需要予測!BS21</f>
        <v>#REF!</v>
      </c>
      <c r="BO35" s="39" t="e">
        <f>ROUND(SUM(【PL】決算数値入力!#REF!)/SUM(【収益】水需要予測!$N$19:$W$19),0)*【収益】水需要予測!BT21</f>
        <v>#REF!</v>
      </c>
      <c r="BP35" s="39" t="e">
        <f>ROUND(SUM(【PL】決算数値入力!#REF!)/SUM(【収益】水需要予測!$N$19:$W$19),0)*【収益】水需要予測!BU21</f>
        <v>#REF!</v>
      </c>
      <c r="BQ35" s="39" t="e">
        <f>ROUND(SUM(【PL】決算数値入力!#REF!)/SUM(【収益】水需要予測!$N$19:$W$19),0)*【収益】水需要予測!BV21</f>
        <v>#REF!</v>
      </c>
    </row>
    <row r="36" spans="2:69">
      <c r="B36" s="4"/>
      <c r="C36" s="4"/>
      <c r="D36" s="4"/>
      <c r="E36" s="1" t="s">
        <v>90</v>
      </c>
      <c r="F36" s="303"/>
      <c r="G36" s="10"/>
      <c r="H36" s="10"/>
      <c r="I36" s="10" t="s">
        <v>166</v>
      </c>
      <c r="J36" s="10"/>
      <c r="K36" s="1" t="s">
        <v>561</v>
      </c>
      <c r="L36" s="10" t="s">
        <v>166</v>
      </c>
      <c r="M36" s="1"/>
      <c r="N36" s="39" t="e">
        <f>【PL】決算数値入力!#REF!</f>
        <v>#REF!</v>
      </c>
      <c r="O36" s="39" t="e">
        <f>【PL】決算数値入力!#REF!</f>
        <v>#REF!</v>
      </c>
      <c r="P36" s="39" t="e">
        <f>【PL】決算数値入力!#REF!</f>
        <v>#REF!</v>
      </c>
      <c r="Q36" s="39" t="e">
        <f>【PL】決算数値入力!#REF!</f>
        <v>#REF!</v>
      </c>
      <c r="R36" s="39" t="e">
        <f>【PL】決算数値入力!#REF!</f>
        <v>#REF!</v>
      </c>
      <c r="S36" s="39" t="e">
        <f>【PL】決算数値入力!#REF!</f>
        <v>#REF!</v>
      </c>
      <c r="T36" s="39" t="e">
        <f>ROUND(SUM(【PL】決算数値入力!#REF!)/SUM(【収益】水需要予測!$N$19:$W$19)*【収益】水需要予測!Y21,0)</f>
        <v>#REF!</v>
      </c>
      <c r="U36" s="39" t="e">
        <f>ROUND(SUM(【PL】決算数値入力!#REF!)/SUM(【収益】水需要予測!$N$19:$W$19)*【収益】水需要予測!Z21,0)</f>
        <v>#REF!</v>
      </c>
      <c r="V36" s="39" t="e">
        <f>ROUND(SUM(【PL】決算数値入力!#REF!)/SUM(【収益】水需要予測!$N$19:$W$19)*【収益】水需要予測!AA21,0)</f>
        <v>#REF!</v>
      </c>
      <c r="W36" s="39" t="e">
        <f>ROUND(SUM(【PL】決算数値入力!#REF!)/SUM(【収益】水需要予測!$N$19:$W$19)*【収益】水需要予測!AB21,0)</f>
        <v>#REF!</v>
      </c>
      <c r="X36" s="39" t="e">
        <f>ROUND(SUM(【PL】決算数値入力!#REF!)/SUM(【収益】水需要予測!$N$19:$W$19)*【収益】水需要予測!AC21,0)</f>
        <v>#REF!</v>
      </c>
      <c r="Y36" s="39" t="e">
        <f>ROUND(SUM(【PL】決算数値入力!#REF!)/SUM(【収益】水需要予測!$N$19:$W$19)*【収益】水需要予測!AD21,0)</f>
        <v>#REF!</v>
      </c>
      <c r="Z36" s="39" t="e">
        <f>ROUND(SUM(【PL】決算数値入力!#REF!)/SUM(【収益】水需要予測!$N$19:$W$19)*【収益】水需要予測!AE21,0)</f>
        <v>#REF!</v>
      </c>
      <c r="AA36" s="39" t="e">
        <f>ROUND(SUM(【PL】決算数値入力!#REF!)/SUM(【収益】水需要予測!$N$19:$W$19)*【収益】水需要予測!AF21,0)</f>
        <v>#REF!</v>
      </c>
      <c r="AB36" s="39" t="e">
        <f>ROUND(SUM(【PL】決算数値入力!#REF!)/SUM(【収益】水需要予測!$N$19:$W$19)*【収益】水需要予測!AG21,0)</f>
        <v>#REF!</v>
      </c>
      <c r="AC36" s="39" t="e">
        <f>ROUND(SUM(【PL】決算数値入力!#REF!)/SUM(【収益】水需要予測!$N$19:$W$19)*【収益】水需要予測!AH21,0)</f>
        <v>#REF!</v>
      </c>
      <c r="AD36" s="39" t="e">
        <f>ROUND(SUM(【PL】決算数値入力!#REF!)/SUM(【収益】水需要予測!$N$19:$W$19)*【収益】水需要予測!AI21,0)</f>
        <v>#REF!</v>
      </c>
      <c r="AE36" s="39" t="e">
        <f>ROUND(SUM(【PL】決算数値入力!#REF!)/SUM(【収益】水需要予測!$N$19:$W$19)*【収益】水需要予測!AJ21,0)</f>
        <v>#REF!</v>
      </c>
      <c r="AF36" s="39" t="e">
        <f>ROUND(SUM(【PL】決算数値入力!#REF!)/SUM(【収益】水需要予測!$N$19:$W$19)*【収益】水需要予測!AK21,0)</f>
        <v>#REF!</v>
      </c>
      <c r="AG36" s="39" t="e">
        <f>ROUND(SUM(【PL】決算数値入力!#REF!)/SUM(【収益】水需要予測!$N$19:$W$19)*【収益】水需要予測!AL21,0)</f>
        <v>#REF!</v>
      </c>
      <c r="AH36" s="39" t="e">
        <f>ROUND(SUM(【PL】決算数値入力!#REF!)/SUM(【収益】水需要予測!$N$19:$W$19)*【収益】水需要予測!AM21,0)</f>
        <v>#REF!</v>
      </c>
      <c r="AI36" s="39" t="e">
        <f>ROUND(SUM(【PL】決算数値入力!#REF!)/SUM(【収益】水需要予測!$N$19:$W$19)*【収益】水需要予測!AN21,0)</f>
        <v>#REF!</v>
      </c>
      <c r="AJ36" s="39" t="e">
        <f>ROUND(SUM(【PL】決算数値入力!#REF!)/SUM(【収益】水需要予測!$N$19:$W$19)*【収益】水需要予測!AO21,0)</f>
        <v>#REF!</v>
      </c>
      <c r="AK36" s="39" t="e">
        <f>ROUND(SUM(【PL】決算数値入力!#REF!)/SUM(【収益】水需要予測!$N$19:$W$19)*【収益】水需要予測!AP21,0)</f>
        <v>#REF!</v>
      </c>
      <c r="AL36" s="39" t="e">
        <f>ROUND(SUM(【PL】決算数値入力!#REF!)/SUM(【収益】水需要予測!$N$19:$W$19)*【収益】水需要予測!AQ21,0)</f>
        <v>#REF!</v>
      </c>
      <c r="AM36" s="39" t="e">
        <f>ROUND(SUM(【PL】決算数値入力!#REF!)/SUM(【収益】水需要予測!$N$19:$W$19)*【収益】水需要予測!AR21,0)</f>
        <v>#REF!</v>
      </c>
      <c r="AN36" s="39" t="e">
        <f>ROUND(SUM(【PL】決算数値入力!#REF!)/SUM(【収益】水需要予測!$N$19:$W$19)*【収益】水需要予測!AS21,0)</f>
        <v>#REF!</v>
      </c>
      <c r="AO36" s="39" t="e">
        <f>ROUND(SUM(【PL】決算数値入力!#REF!)/SUM(【収益】水需要予測!$N$19:$W$19)*【収益】水需要予測!AT21,0)</f>
        <v>#REF!</v>
      </c>
      <c r="AP36" s="39" t="e">
        <f>ROUND(SUM(【PL】決算数値入力!#REF!)/SUM(【収益】水需要予測!$N$19:$W$19)*【収益】水需要予測!AU21,0)</f>
        <v>#REF!</v>
      </c>
      <c r="AQ36" s="39" t="e">
        <f>ROUND(SUM(【PL】決算数値入力!#REF!)/SUM(【収益】水需要予測!$N$19:$W$19)*【収益】水需要予測!AV21,0)</f>
        <v>#REF!</v>
      </c>
      <c r="AR36" s="39" t="e">
        <f>ROUND(SUM(【PL】決算数値入力!#REF!)/SUM(【収益】水需要予測!$N$19:$W$19)*【収益】水需要予測!AW21,0)</f>
        <v>#REF!</v>
      </c>
      <c r="AS36" s="39" t="e">
        <f>ROUND(SUM(【PL】決算数値入力!#REF!)/SUM(【収益】水需要予測!$N$19:$W$19)*【収益】水需要予測!AX21,0)</f>
        <v>#REF!</v>
      </c>
      <c r="AT36" s="39" t="e">
        <f>ROUND(SUM(【PL】決算数値入力!#REF!)/SUM(【収益】水需要予測!$N$19:$W$19)*【収益】水需要予測!AY21,0)</f>
        <v>#REF!</v>
      </c>
      <c r="AU36" s="39" t="e">
        <f>ROUND(SUM(【PL】決算数値入力!#REF!)/SUM(【収益】水需要予測!$N$19:$W$19)*【収益】水需要予測!AZ21,0)</f>
        <v>#REF!</v>
      </c>
      <c r="AV36" s="39" t="e">
        <f>ROUND(SUM(【PL】決算数値入力!#REF!)/SUM(【収益】水需要予測!$N$19:$W$19)*【収益】水需要予測!BA21,0)</f>
        <v>#REF!</v>
      </c>
      <c r="AW36" s="39" t="e">
        <f>ROUND(SUM(【PL】決算数値入力!#REF!)/SUM(【収益】水需要予測!$N$19:$W$19)*【収益】水需要予測!BB21,0)</f>
        <v>#REF!</v>
      </c>
      <c r="AX36" s="39" t="e">
        <f>ROUND(SUM(【PL】決算数値入力!#REF!)/SUM(【収益】水需要予測!$N$19:$W$19)*【収益】水需要予測!BC21,0)</f>
        <v>#REF!</v>
      </c>
      <c r="AY36" s="39" t="e">
        <f>ROUND(SUM(【PL】決算数値入力!#REF!)/SUM(【収益】水需要予測!$N$19:$W$19)*【収益】水需要予測!BD21,0)</f>
        <v>#REF!</v>
      </c>
      <c r="AZ36" s="39" t="e">
        <f>ROUND(SUM(【PL】決算数値入力!#REF!)/SUM(【収益】水需要予測!$N$19:$W$19)*【収益】水需要予測!BE21,0)</f>
        <v>#REF!</v>
      </c>
      <c r="BA36" s="39" t="e">
        <f>ROUND(SUM(【PL】決算数値入力!#REF!)/SUM(【収益】水需要予測!$N$19:$W$19)*【収益】水需要予測!BF21,0)</f>
        <v>#REF!</v>
      </c>
      <c r="BB36" s="39" t="e">
        <f>ROUND(SUM(【PL】決算数値入力!#REF!)/SUM(【収益】水需要予測!$N$19:$W$19)*【収益】水需要予測!BG21,0)</f>
        <v>#REF!</v>
      </c>
      <c r="BC36" s="39" t="e">
        <f>ROUND(SUM(【PL】決算数値入力!#REF!)/SUM(【収益】水需要予測!$N$19:$W$19)*【収益】水需要予測!BH21,0)</f>
        <v>#REF!</v>
      </c>
      <c r="BD36" s="39" t="e">
        <f>ROUND(SUM(【PL】決算数値入力!#REF!)/SUM(【収益】水需要予測!$N$19:$W$19)*【収益】水需要予測!BI21,0)</f>
        <v>#REF!</v>
      </c>
      <c r="BE36" s="39" t="e">
        <f>ROUND(SUM(【PL】決算数値入力!#REF!)/SUM(【収益】水需要予測!$N$19:$W$19)*【収益】水需要予測!BJ21,0)</f>
        <v>#REF!</v>
      </c>
      <c r="BF36" s="39" t="e">
        <f>ROUND(SUM(【PL】決算数値入力!#REF!)/SUM(【収益】水需要予測!$N$19:$W$19)*【収益】水需要予測!BK21,0)</f>
        <v>#REF!</v>
      </c>
      <c r="BG36" s="39" t="e">
        <f>ROUND(SUM(【PL】決算数値入力!#REF!)/SUM(【収益】水需要予測!$N$19:$W$19)*【収益】水需要予測!BL21,0)</f>
        <v>#REF!</v>
      </c>
      <c r="BH36" s="39" t="e">
        <f>ROUND(SUM(【PL】決算数値入力!#REF!)/SUM(【収益】水需要予測!$N$19:$W$19)*【収益】水需要予測!BM21,0)</f>
        <v>#REF!</v>
      </c>
      <c r="BI36" s="39" t="e">
        <f>ROUND(SUM(【PL】決算数値入力!#REF!)/SUM(【収益】水需要予測!$N$19:$W$19)*【収益】水需要予測!BN21,0)</f>
        <v>#REF!</v>
      </c>
      <c r="BJ36" s="39" t="e">
        <f>ROUND(SUM(【PL】決算数値入力!#REF!)/SUM(【収益】水需要予測!$N$19:$W$19)*【収益】水需要予測!BO21,0)</f>
        <v>#REF!</v>
      </c>
      <c r="BK36" s="39" t="e">
        <f>ROUND(SUM(【PL】決算数値入力!#REF!)/SUM(【収益】水需要予測!$N$19:$W$19)*【収益】水需要予測!BP21,0)</f>
        <v>#REF!</v>
      </c>
      <c r="BL36" s="39" t="e">
        <f>ROUND(SUM(【PL】決算数値入力!#REF!)/SUM(【収益】水需要予測!$N$19:$W$19)*【収益】水需要予測!BQ21,0)</f>
        <v>#REF!</v>
      </c>
      <c r="BM36" s="39" t="e">
        <f>ROUND(SUM(【PL】決算数値入力!#REF!)/SUM(【収益】水需要予測!$N$19:$W$19)*【収益】水需要予測!BR21,0)</f>
        <v>#REF!</v>
      </c>
      <c r="BN36" s="39" t="e">
        <f>ROUND(SUM(【PL】決算数値入力!#REF!)/SUM(【収益】水需要予測!$N$19:$W$19)*【収益】水需要予測!BS21,0)</f>
        <v>#REF!</v>
      </c>
      <c r="BO36" s="39" t="e">
        <f>ROUND(SUM(【PL】決算数値入力!#REF!)/SUM(【収益】水需要予測!$N$19:$W$19)*【収益】水需要予測!BT21,0)</f>
        <v>#REF!</v>
      </c>
      <c r="BP36" s="39" t="e">
        <f>ROUND(SUM(【PL】決算数値入力!#REF!)/SUM(【収益】水需要予測!$N$19:$W$19)*【収益】水需要予測!BU21,0)</f>
        <v>#REF!</v>
      </c>
      <c r="BQ36" s="39" t="e">
        <f>ROUND(SUM(【PL】決算数値入力!#REF!)/SUM(【収益】水需要予測!$N$19:$W$19)*【収益】水需要予測!BV21,0)</f>
        <v>#REF!</v>
      </c>
    </row>
    <row r="37" spans="2:69">
      <c r="B37" s="4"/>
      <c r="C37" s="4"/>
      <c r="D37" s="4"/>
      <c r="E37" s="1" t="s">
        <v>91</v>
      </c>
      <c r="F37" s="303"/>
      <c r="G37" s="10"/>
      <c r="H37" s="10" t="s">
        <v>166</v>
      </c>
      <c r="I37" s="10"/>
      <c r="J37" s="10"/>
      <c r="K37" s="1" t="s">
        <v>562</v>
      </c>
      <c r="L37" s="10" t="s">
        <v>166</v>
      </c>
      <c r="M37" s="1"/>
      <c r="N37" s="39" t="e">
        <f>【PL】決算数値入力!#REF!</f>
        <v>#REF!</v>
      </c>
      <c r="O37" s="39" t="e">
        <f>【PL】決算数値入力!#REF!</f>
        <v>#REF!</v>
      </c>
      <c r="P37" s="39" t="e">
        <f>【PL】決算数値入力!#REF!</f>
        <v>#REF!</v>
      </c>
      <c r="Q37" s="39" t="e">
        <f>【PL】決算数値入力!#REF!</f>
        <v>#REF!</v>
      </c>
      <c r="R37" s="39" t="e">
        <f>【PL】決算数値入力!#REF!</f>
        <v>#REF!</v>
      </c>
      <c r="S37" s="39" t="e">
        <f>【PL】決算数値入力!#REF!</f>
        <v>#REF!</v>
      </c>
      <c r="T37" s="39" t="e">
        <f>ROUND(S37*(1+物価上昇率!$G$9),0)</f>
        <v>#REF!</v>
      </c>
      <c r="U37" s="39" t="e">
        <f>ROUND(T37*(1+物価上昇率!$G$9),0)</f>
        <v>#REF!</v>
      </c>
      <c r="V37" s="39" t="e">
        <f>ROUND(U37*(1+物価上昇率!$G$9),0)</f>
        <v>#REF!</v>
      </c>
      <c r="W37" s="39" t="e">
        <f>ROUND(V37*(1+物価上昇率!$G$9),0)</f>
        <v>#REF!</v>
      </c>
      <c r="X37" s="39" t="e">
        <f>ROUND(W37*(1+物価上昇率!$G$9),0)</f>
        <v>#REF!</v>
      </c>
      <c r="Y37" s="39" t="e">
        <f>ROUND(X37*(1+物価上昇率!$G$9),0)</f>
        <v>#REF!</v>
      </c>
      <c r="Z37" s="39" t="e">
        <f>ROUND(Y37*(1+物価上昇率!$G$9),0)</f>
        <v>#REF!</v>
      </c>
      <c r="AA37" s="39" t="e">
        <f>ROUND(Z37*(1+物価上昇率!$G$9),0)</f>
        <v>#REF!</v>
      </c>
      <c r="AB37" s="39" t="e">
        <f>ROUND(AA37*(1+物価上昇率!$G$9),0)</f>
        <v>#REF!</v>
      </c>
      <c r="AC37" s="39" t="e">
        <f>ROUND(AB37*(1+物価上昇率!$G$9),0)</f>
        <v>#REF!</v>
      </c>
      <c r="AD37" s="39" t="e">
        <f>ROUND(AC37*(1+物価上昇率!$G$9),0)</f>
        <v>#REF!</v>
      </c>
      <c r="AE37" s="39" t="e">
        <f>ROUND(AD37*(1+物価上昇率!$G$9),0)</f>
        <v>#REF!</v>
      </c>
      <c r="AF37" s="39" t="e">
        <f>ROUND(AE37*(1+物価上昇率!$G$9),0)</f>
        <v>#REF!</v>
      </c>
      <c r="AG37" s="39" t="e">
        <f>ROUND(AF37*(1+物価上昇率!$G$9),0)</f>
        <v>#REF!</v>
      </c>
      <c r="AH37" s="39" t="e">
        <f>ROUND(AG37*(1+物価上昇率!$G$9),0)</f>
        <v>#REF!</v>
      </c>
      <c r="AI37" s="39" t="e">
        <f>ROUND(AH37*(1+物価上昇率!$G$9),0)</f>
        <v>#REF!</v>
      </c>
      <c r="AJ37" s="39" t="e">
        <f>ROUND(AI37*(1+物価上昇率!$G$9),0)</f>
        <v>#REF!</v>
      </c>
      <c r="AK37" s="39" t="e">
        <f>ROUND(AJ37*(1+物価上昇率!$G$9),0)</f>
        <v>#REF!</v>
      </c>
      <c r="AL37" s="39" t="e">
        <f>ROUND(AK37*(1+物価上昇率!$G$9),0)</f>
        <v>#REF!</v>
      </c>
      <c r="AM37" s="39" t="e">
        <f>ROUND(AL37*(1+物価上昇率!$G$9),0)</f>
        <v>#REF!</v>
      </c>
      <c r="AN37" s="39" t="e">
        <f>ROUND(AM37*(1+物価上昇率!$G$9),0)</f>
        <v>#REF!</v>
      </c>
      <c r="AO37" s="39" t="e">
        <f>ROUND(AN37*(1+物価上昇率!$G$9),0)</f>
        <v>#REF!</v>
      </c>
      <c r="AP37" s="39" t="e">
        <f>ROUND(AO37*(1+物価上昇率!$G$9),0)</f>
        <v>#REF!</v>
      </c>
      <c r="AQ37" s="39" t="e">
        <f>ROUND(AP37*(1+物価上昇率!$G$9),0)</f>
        <v>#REF!</v>
      </c>
      <c r="AR37" s="39" t="e">
        <f>ROUND(AQ37*(1+物価上昇率!$G$9),0)</f>
        <v>#REF!</v>
      </c>
      <c r="AS37" s="39" t="e">
        <f>ROUND(AR37*(1+物価上昇率!$G$9),0)</f>
        <v>#REF!</v>
      </c>
      <c r="AT37" s="39" t="e">
        <f>ROUND(AS37*(1+物価上昇率!$G$9),0)</f>
        <v>#REF!</v>
      </c>
      <c r="AU37" s="39" t="e">
        <f>ROUND(AT37*(1+物価上昇率!$G$9),0)</f>
        <v>#REF!</v>
      </c>
      <c r="AV37" s="39" t="e">
        <f>ROUND(AU37*(1+物価上昇率!$G$9),0)</f>
        <v>#REF!</v>
      </c>
      <c r="AW37" s="39" t="e">
        <f>ROUND(AV37*(1+物価上昇率!$G$9),0)</f>
        <v>#REF!</v>
      </c>
      <c r="AX37" s="39" t="e">
        <f>ROUND(AW37*(1+物価上昇率!$G$9),0)</f>
        <v>#REF!</v>
      </c>
      <c r="AY37" s="39" t="e">
        <f>ROUND(AX37*(1+物価上昇率!$G$9),0)</f>
        <v>#REF!</v>
      </c>
      <c r="AZ37" s="39" t="e">
        <f>ROUND(AY37*(1+物価上昇率!$G$9),0)</f>
        <v>#REF!</v>
      </c>
      <c r="BA37" s="39" t="e">
        <f>ROUND(AZ37*(1+物価上昇率!$G$9),0)</f>
        <v>#REF!</v>
      </c>
      <c r="BB37" s="39" t="e">
        <f>ROUND(BA37*(1+物価上昇率!$G$9),0)</f>
        <v>#REF!</v>
      </c>
      <c r="BC37" s="39" t="e">
        <f>ROUND(BB37*(1+物価上昇率!$G$9),0)</f>
        <v>#REF!</v>
      </c>
      <c r="BD37" s="39" t="e">
        <f>ROUND(BC37*(1+物価上昇率!$G$9),0)</f>
        <v>#REF!</v>
      </c>
      <c r="BE37" s="39" t="e">
        <f>ROUND(BD37*(1+物価上昇率!$G$9),0)</f>
        <v>#REF!</v>
      </c>
      <c r="BF37" s="39" t="e">
        <f>ROUND(BE37*(1+物価上昇率!$G$9),0)</f>
        <v>#REF!</v>
      </c>
      <c r="BG37" s="39" t="e">
        <f>ROUND(BF37*(1+物価上昇率!$G$9),0)</f>
        <v>#REF!</v>
      </c>
      <c r="BH37" s="39" t="e">
        <f>ROUND(BG37*(1+物価上昇率!$G$9),0)</f>
        <v>#REF!</v>
      </c>
      <c r="BI37" s="39" t="e">
        <f>ROUND(BH37*(1+物価上昇率!$G$9),0)</f>
        <v>#REF!</v>
      </c>
      <c r="BJ37" s="39" t="e">
        <f>ROUND(BI37*(1+物価上昇率!$G$9),0)</f>
        <v>#REF!</v>
      </c>
      <c r="BK37" s="39" t="e">
        <f>ROUND(BJ37*(1+物価上昇率!$G$9),0)</f>
        <v>#REF!</v>
      </c>
      <c r="BL37" s="39" t="e">
        <f>ROUND(BK37*(1+物価上昇率!$G$9),0)</f>
        <v>#REF!</v>
      </c>
      <c r="BM37" s="39" t="e">
        <f>ROUND(BL37*(1+物価上昇率!$G$9),0)</f>
        <v>#REF!</v>
      </c>
      <c r="BN37" s="39" t="e">
        <f>ROUND(BM37*(1+物価上昇率!$G$9),0)</f>
        <v>#REF!</v>
      </c>
      <c r="BO37" s="39" t="e">
        <f>ROUND(BN37*(1+物価上昇率!$G$9),0)</f>
        <v>#REF!</v>
      </c>
      <c r="BP37" s="39" t="e">
        <f>ROUND(BO37*(1+物価上昇率!$G$9),0)</f>
        <v>#REF!</v>
      </c>
      <c r="BQ37" s="39" t="e">
        <f>ROUND(BP37*(1+物価上昇率!$G$9),0)</f>
        <v>#REF!</v>
      </c>
    </row>
    <row r="38" spans="2:69">
      <c r="B38" s="4"/>
      <c r="C38" s="4"/>
      <c r="D38" s="4"/>
      <c r="E38" s="1" t="s">
        <v>92</v>
      </c>
      <c r="F38" s="303"/>
      <c r="G38" s="10"/>
      <c r="H38" s="10" t="s">
        <v>166</v>
      </c>
      <c r="I38" s="10"/>
      <c r="J38" s="10"/>
      <c r="K38" s="1" t="s">
        <v>562</v>
      </c>
      <c r="L38" s="10" t="s">
        <v>166</v>
      </c>
      <c r="M38" s="1"/>
      <c r="N38" s="39" t="e">
        <f>【PL】決算数値入力!#REF!</f>
        <v>#REF!</v>
      </c>
      <c r="O38" s="39" t="e">
        <f>【PL】決算数値入力!#REF!</f>
        <v>#REF!</v>
      </c>
      <c r="P38" s="39" t="e">
        <f>【PL】決算数値入力!#REF!</f>
        <v>#REF!</v>
      </c>
      <c r="Q38" s="39" t="e">
        <f>【PL】決算数値入力!#REF!</f>
        <v>#REF!</v>
      </c>
      <c r="R38" s="39" t="e">
        <f>【PL】決算数値入力!#REF!</f>
        <v>#REF!</v>
      </c>
      <c r="S38" s="39" t="e">
        <f>【PL】決算数値入力!#REF!</f>
        <v>#REF!</v>
      </c>
      <c r="T38" s="39" t="e">
        <f>ROUND(S38*(1+物価上昇率!$G$9),0)</f>
        <v>#REF!</v>
      </c>
      <c r="U38" s="39" t="e">
        <f>ROUND(T38*(1+物価上昇率!$G$9),0)</f>
        <v>#REF!</v>
      </c>
      <c r="V38" s="39" t="e">
        <f>ROUND(U38*(1+物価上昇率!$G$9),0)</f>
        <v>#REF!</v>
      </c>
      <c r="W38" s="39" t="e">
        <f>ROUND(V38*(1+物価上昇率!$G$9),0)</f>
        <v>#REF!</v>
      </c>
      <c r="X38" s="39" t="e">
        <f>ROUND(W38*(1+物価上昇率!$G$9),0)</f>
        <v>#REF!</v>
      </c>
      <c r="Y38" s="39" t="e">
        <f>ROUND(X38*(1+物価上昇率!$G$9),0)</f>
        <v>#REF!</v>
      </c>
      <c r="Z38" s="39" t="e">
        <f>ROUND(Y38*(1+物価上昇率!$G$9),0)</f>
        <v>#REF!</v>
      </c>
      <c r="AA38" s="39" t="e">
        <f>ROUND(Z38*(1+物価上昇率!$G$9),0)</f>
        <v>#REF!</v>
      </c>
      <c r="AB38" s="39" t="e">
        <f>ROUND(AA38*(1+物価上昇率!$G$9),0)</f>
        <v>#REF!</v>
      </c>
      <c r="AC38" s="39" t="e">
        <f>ROUND(AB38*(1+物価上昇率!$G$9),0)</f>
        <v>#REF!</v>
      </c>
      <c r="AD38" s="39" t="e">
        <f>ROUND(AC38*(1+物価上昇率!$G$9),0)</f>
        <v>#REF!</v>
      </c>
      <c r="AE38" s="39" t="e">
        <f>ROUND(AD38*(1+物価上昇率!$G$9),0)</f>
        <v>#REF!</v>
      </c>
      <c r="AF38" s="39" t="e">
        <f>ROUND(AE38*(1+物価上昇率!$G$9),0)</f>
        <v>#REF!</v>
      </c>
      <c r="AG38" s="39" t="e">
        <f>ROUND(AF38*(1+物価上昇率!$G$9),0)</f>
        <v>#REF!</v>
      </c>
      <c r="AH38" s="39" t="e">
        <f>ROUND(AG38*(1+物価上昇率!$G$9),0)</f>
        <v>#REF!</v>
      </c>
      <c r="AI38" s="39" t="e">
        <f>ROUND(AH38*(1+物価上昇率!$G$9),0)</f>
        <v>#REF!</v>
      </c>
      <c r="AJ38" s="39" t="e">
        <f>ROUND(AI38*(1+物価上昇率!$G$9),0)</f>
        <v>#REF!</v>
      </c>
      <c r="AK38" s="39" t="e">
        <f>ROUND(AJ38*(1+物価上昇率!$G$9),0)</f>
        <v>#REF!</v>
      </c>
      <c r="AL38" s="39" t="e">
        <f>ROUND(AK38*(1+物価上昇率!$G$9),0)</f>
        <v>#REF!</v>
      </c>
      <c r="AM38" s="39" t="e">
        <f>ROUND(AL38*(1+物価上昇率!$G$9),0)</f>
        <v>#REF!</v>
      </c>
      <c r="AN38" s="39" t="e">
        <f>ROUND(AM38*(1+物価上昇率!$G$9),0)</f>
        <v>#REF!</v>
      </c>
      <c r="AO38" s="39" t="e">
        <f>ROUND(AN38*(1+物価上昇率!$G$9),0)</f>
        <v>#REF!</v>
      </c>
      <c r="AP38" s="39" t="e">
        <f>ROUND(AO38*(1+物価上昇率!$G$9),0)</f>
        <v>#REF!</v>
      </c>
      <c r="AQ38" s="39" t="e">
        <f>ROUND(AP38*(1+物価上昇率!$G$9),0)</f>
        <v>#REF!</v>
      </c>
      <c r="AR38" s="39" t="e">
        <f>ROUND(AQ38*(1+物価上昇率!$G$9),0)</f>
        <v>#REF!</v>
      </c>
      <c r="AS38" s="39" t="e">
        <f>ROUND(AR38*(1+物価上昇率!$G$9),0)</f>
        <v>#REF!</v>
      </c>
      <c r="AT38" s="39" t="e">
        <f>ROUND(AS38*(1+物価上昇率!$G$9),0)</f>
        <v>#REF!</v>
      </c>
      <c r="AU38" s="39" t="e">
        <f>ROUND(AT38*(1+物価上昇率!$G$9),0)</f>
        <v>#REF!</v>
      </c>
      <c r="AV38" s="39" t="e">
        <f>ROUND(AU38*(1+物価上昇率!$G$9),0)</f>
        <v>#REF!</v>
      </c>
      <c r="AW38" s="39" t="e">
        <f>ROUND(AV38*(1+物価上昇率!$G$9),0)</f>
        <v>#REF!</v>
      </c>
      <c r="AX38" s="39" t="e">
        <f>ROUND(AW38*(1+物価上昇率!$G$9),0)</f>
        <v>#REF!</v>
      </c>
      <c r="AY38" s="39" t="e">
        <f>ROUND(AX38*(1+物価上昇率!$G$9),0)</f>
        <v>#REF!</v>
      </c>
      <c r="AZ38" s="39" t="e">
        <f>ROUND(AY38*(1+物価上昇率!$G$9),0)</f>
        <v>#REF!</v>
      </c>
      <c r="BA38" s="39" t="e">
        <f>ROUND(AZ38*(1+物価上昇率!$G$9),0)</f>
        <v>#REF!</v>
      </c>
      <c r="BB38" s="39" t="e">
        <f>ROUND(BA38*(1+物価上昇率!$G$9),0)</f>
        <v>#REF!</v>
      </c>
      <c r="BC38" s="39" t="e">
        <f>ROUND(BB38*(1+物価上昇率!$G$9),0)</f>
        <v>#REF!</v>
      </c>
      <c r="BD38" s="39" t="e">
        <f>ROUND(BC38*(1+物価上昇率!$G$9),0)</f>
        <v>#REF!</v>
      </c>
      <c r="BE38" s="39" t="e">
        <f>ROUND(BD38*(1+物価上昇率!$G$9),0)</f>
        <v>#REF!</v>
      </c>
      <c r="BF38" s="39" t="e">
        <f>ROUND(BE38*(1+物価上昇率!$G$9),0)</f>
        <v>#REF!</v>
      </c>
      <c r="BG38" s="39" t="e">
        <f>ROUND(BF38*(1+物価上昇率!$G$9),0)</f>
        <v>#REF!</v>
      </c>
      <c r="BH38" s="39" t="e">
        <f>ROUND(BG38*(1+物価上昇率!$G$9),0)</f>
        <v>#REF!</v>
      </c>
      <c r="BI38" s="39" t="e">
        <f>ROUND(BH38*(1+物価上昇率!$G$9),0)</f>
        <v>#REF!</v>
      </c>
      <c r="BJ38" s="39" t="e">
        <f>ROUND(BI38*(1+物価上昇率!$G$9),0)</f>
        <v>#REF!</v>
      </c>
      <c r="BK38" s="39" t="e">
        <f>ROUND(BJ38*(1+物価上昇率!$G$9),0)</f>
        <v>#REF!</v>
      </c>
      <c r="BL38" s="39" t="e">
        <f>ROUND(BK38*(1+物価上昇率!$G$9),0)</f>
        <v>#REF!</v>
      </c>
      <c r="BM38" s="39" t="e">
        <f>ROUND(BL38*(1+物価上昇率!$G$9),0)</f>
        <v>#REF!</v>
      </c>
      <c r="BN38" s="39" t="e">
        <f>ROUND(BM38*(1+物価上昇率!$G$9),0)</f>
        <v>#REF!</v>
      </c>
      <c r="BO38" s="39" t="e">
        <f>ROUND(BN38*(1+物価上昇率!$G$9),0)</f>
        <v>#REF!</v>
      </c>
      <c r="BP38" s="39" t="e">
        <f>ROUND(BO38*(1+物価上昇率!$G$9),0)</f>
        <v>#REF!</v>
      </c>
      <c r="BQ38" s="39" t="e">
        <f>ROUND(BP38*(1+物価上昇率!$G$9),0)</f>
        <v>#REF!</v>
      </c>
    </row>
    <row r="39" spans="2:69">
      <c r="B39" s="4"/>
      <c r="C39" s="4"/>
      <c r="D39" s="4"/>
      <c r="E39" s="1" t="s">
        <v>93</v>
      </c>
      <c r="F39" s="303"/>
      <c r="G39" s="10"/>
      <c r="H39" s="10" t="s">
        <v>166</v>
      </c>
      <c r="I39" s="10"/>
      <c r="J39" s="10"/>
      <c r="K39" s="1" t="s">
        <v>562</v>
      </c>
      <c r="L39" s="10" t="s">
        <v>166</v>
      </c>
      <c r="M39" s="1"/>
      <c r="N39" s="39" t="e">
        <f>【PL】決算数値入力!#REF!</f>
        <v>#REF!</v>
      </c>
      <c r="O39" s="39" t="e">
        <f>【PL】決算数値入力!#REF!</f>
        <v>#REF!</v>
      </c>
      <c r="P39" s="39" t="e">
        <f>【PL】決算数値入力!#REF!</f>
        <v>#REF!</v>
      </c>
      <c r="Q39" s="39" t="e">
        <f>【PL】決算数値入力!#REF!</f>
        <v>#REF!</v>
      </c>
      <c r="R39" s="39" t="e">
        <f>【PL】決算数値入力!#REF!</f>
        <v>#REF!</v>
      </c>
      <c r="S39" s="39" t="e">
        <f>【PL】決算数値入力!#REF!</f>
        <v>#REF!</v>
      </c>
      <c r="T39" s="39" t="e">
        <f>ROUND(S39*(1+物価上昇率!$G$9),0)</f>
        <v>#REF!</v>
      </c>
      <c r="U39" s="39" t="e">
        <f>ROUND(T39*(1+物価上昇率!$G$9),0)</f>
        <v>#REF!</v>
      </c>
      <c r="V39" s="39" t="e">
        <f>ROUND(U39*(1+物価上昇率!$G$9),0)</f>
        <v>#REF!</v>
      </c>
      <c r="W39" s="39" t="e">
        <f>ROUND(V39*(1+物価上昇率!$G$9),0)</f>
        <v>#REF!</v>
      </c>
      <c r="X39" s="39" t="e">
        <f>ROUND(W39*(1+物価上昇率!$G$9),0)</f>
        <v>#REF!</v>
      </c>
      <c r="Y39" s="39" t="e">
        <f>ROUND(X39*(1+物価上昇率!$G$9),0)</f>
        <v>#REF!</v>
      </c>
      <c r="Z39" s="39" t="e">
        <f>ROUND(Y39*(1+物価上昇率!$G$9),0)</f>
        <v>#REF!</v>
      </c>
      <c r="AA39" s="39" t="e">
        <f>ROUND(Z39*(1+物価上昇率!$G$9),0)</f>
        <v>#REF!</v>
      </c>
      <c r="AB39" s="39" t="e">
        <f>ROUND(AA39*(1+物価上昇率!$G$9),0)</f>
        <v>#REF!</v>
      </c>
      <c r="AC39" s="39" t="e">
        <f>ROUND(AB39*(1+物価上昇率!$G$9),0)</f>
        <v>#REF!</v>
      </c>
      <c r="AD39" s="39" t="e">
        <f>ROUND(AC39*(1+物価上昇率!$G$9),0)</f>
        <v>#REF!</v>
      </c>
      <c r="AE39" s="39" t="e">
        <f>ROUND(AD39*(1+物価上昇率!$G$9),0)</f>
        <v>#REF!</v>
      </c>
      <c r="AF39" s="39" t="e">
        <f>ROUND(AE39*(1+物価上昇率!$G$9),0)</f>
        <v>#REF!</v>
      </c>
      <c r="AG39" s="39" t="e">
        <f>ROUND(AF39*(1+物価上昇率!$G$9),0)</f>
        <v>#REF!</v>
      </c>
      <c r="AH39" s="39" t="e">
        <f>ROUND(AG39*(1+物価上昇率!$G$9),0)</f>
        <v>#REF!</v>
      </c>
      <c r="AI39" s="39" t="e">
        <f>ROUND(AH39*(1+物価上昇率!$G$9),0)</f>
        <v>#REF!</v>
      </c>
      <c r="AJ39" s="39" t="e">
        <f>ROUND(AI39*(1+物価上昇率!$G$9),0)</f>
        <v>#REF!</v>
      </c>
      <c r="AK39" s="39" t="e">
        <f>ROUND(AJ39*(1+物価上昇率!$G$9),0)</f>
        <v>#REF!</v>
      </c>
      <c r="AL39" s="39" t="e">
        <f>ROUND(AK39*(1+物価上昇率!$G$9),0)</f>
        <v>#REF!</v>
      </c>
      <c r="AM39" s="39" t="e">
        <f>ROUND(AL39*(1+物価上昇率!$G$9),0)</f>
        <v>#REF!</v>
      </c>
      <c r="AN39" s="39" t="e">
        <f>ROUND(AM39*(1+物価上昇率!$G$9),0)</f>
        <v>#REF!</v>
      </c>
      <c r="AO39" s="39" t="e">
        <f>ROUND(AN39*(1+物価上昇率!$G$9),0)</f>
        <v>#REF!</v>
      </c>
      <c r="AP39" s="39" t="e">
        <f>ROUND(AO39*(1+物価上昇率!$G$9),0)</f>
        <v>#REF!</v>
      </c>
      <c r="AQ39" s="39" t="e">
        <f>ROUND(AP39*(1+物価上昇率!$G$9),0)</f>
        <v>#REF!</v>
      </c>
      <c r="AR39" s="39" t="e">
        <f>ROUND(AQ39*(1+物価上昇率!$G$9),0)</f>
        <v>#REF!</v>
      </c>
      <c r="AS39" s="39" t="e">
        <f>ROUND(AR39*(1+物価上昇率!$G$9),0)</f>
        <v>#REF!</v>
      </c>
      <c r="AT39" s="39" t="e">
        <f>ROUND(AS39*(1+物価上昇率!$G$9),0)</f>
        <v>#REF!</v>
      </c>
      <c r="AU39" s="39" t="e">
        <f>ROUND(AT39*(1+物価上昇率!$G$9),0)</f>
        <v>#REF!</v>
      </c>
      <c r="AV39" s="39" t="e">
        <f>ROUND(AU39*(1+物価上昇率!$G$9),0)</f>
        <v>#REF!</v>
      </c>
      <c r="AW39" s="39" t="e">
        <f>ROUND(AV39*(1+物価上昇率!$G$9),0)</f>
        <v>#REF!</v>
      </c>
      <c r="AX39" s="39" t="e">
        <f>ROUND(AW39*(1+物価上昇率!$G$9),0)</f>
        <v>#REF!</v>
      </c>
      <c r="AY39" s="39" t="e">
        <f>ROUND(AX39*(1+物価上昇率!$G$9),0)</f>
        <v>#REF!</v>
      </c>
      <c r="AZ39" s="39" t="e">
        <f>ROUND(AY39*(1+物価上昇率!$G$9),0)</f>
        <v>#REF!</v>
      </c>
      <c r="BA39" s="39" t="e">
        <f>ROUND(AZ39*(1+物価上昇率!$G$9),0)</f>
        <v>#REF!</v>
      </c>
      <c r="BB39" s="39" t="e">
        <f>ROUND(BA39*(1+物価上昇率!$G$9),0)</f>
        <v>#REF!</v>
      </c>
      <c r="BC39" s="39" t="e">
        <f>ROUND(BB39*(1+物価上昇率!$G$9),0)</f>
        <v>#REF!</v>
      </c>
      <c r="BD39" s="39" t="e">
        <f>ROUND(BC39*(1+物価上昇率!$G$9),0)</f>
        <v>#REF!</v>
      </c>
      <c r="BE39" s="39" t="e">
        <f>ROUND(BD39*(1+物価上昇率!$G$9),0)</f>
        <v>#REF!</v>
      </c>
      <c r="BF39" s="39" t="e">
        <f>ROUND(BE39*(1+物価上昇率!$G$9),0)</f>
        <v>#REF!</v>
      </c>
      <c r="BG39" s="39" t="e">
        <f>ROUND(BF39*(1+物価上昇率!$G$9),0)</f>
        <v>#REF!</v>
      </c>
      <c r="BH39" s="39" t="e">
        <f>ROUND(BG39*(1+物価上昇率!$G$9),0)</f>
        <v>#REF!</v>
      </c>
      <c r="BI39" s="39" t="e">
        <f>ROUND(BH39*(1+物価上昇率!$G$9),0)</f>
        <v>#REF!</v>
      </c>
      <c r="BJ39" s="39" t="e">
        <f>ROUND(BI39*(1+物価上昇率!$G$9),0)</f>
        <v>#REF!</v>
      </c>
      <c r="BK39" s="39" t="e">
        <f>ROUND(BJ39*(1+物価上昇率!$G$9),0)</f>
        <v>#REF!</v>
      </c>
      <c r="BL39" s="39" t="e">
        <f>ROUND(BK39*(1+物価上昇率!$G$9),0)</f>
        <v>#REF!</v>
      </c>
      <c r="BM39" s="39" t="e">
        <f>ROUND(BL39*(1+物価上昇率!$G$9),0)</f>
        <v>#REF!</v>
      </c>
      <c r="BN39" s="39" t="e">
        <f>ROUND(BM39*(1+物価上昇率!$G$9),0)</f>
        <v>#REF!</v>
      </c>
      <c r="BO39" s="39" t="e">
        <f>ROUND(BN39*(1+物価上昇率!$G$9),0)</f>
        <v>#REF!</v>
      </c>
      <c r="BP39" s="39" t="e">
        <f>ROUND(BO39*(1+物価上昇率!$G$9),0)</f>
        <v>#REF!</v>
      </c>
      <c r="BQ39" s="39" t="e">
        <f>ROUND(BP39*(1+物価上昇率!$G$9),0)</f>
        <v>#REF!</v>
      </c>
    </row>
    <row r="40" spans="2:69">
      <c r="B40" s="4"/>
      <c r="C40" s="4"/>
      <c r="D40" s="3"/>
      <c r="E40" s="1" t="s">
        <v>94</v>
      </c>
      <c r="F40" s="304"/>
      <c r="G40" s="10"/>
      <c r="H40" s="10" t="s">
        <v>166</v>
      </c>
      <c r="I40" s="10"/>
      <c r="J40" s="10"/>
      <c r="K40" s="1" t="s">
        <v>560</v>
      </c>
      <c r="L40" s="1"/>
      <c r="M40" s="1"/>
      <c r="N40" s="39" t="e">
        <f>【PL】決算数値入力!#REF!</f>
        <v>#REF!</v>
      </c>
      <c r="O40" s="39" t="e">
        <f>【PL】決算数値入力!#REF!</f>
        <v>#REF!</v>
      </c>
      <c r="P40" s="39" t="e">
        <f>【PL】決算数値入力!#REF!</f>
        <v>#REF!</v>
      </c>
      <c r="Q40" s="39" t="e">
        <f>【PL】決算数値入力!#REF!</f>
        <v>#REF!</v>
      </c>
      <c r="R40" s="39" t="e">
        <f>【PL】決算数値入力!#REF!</f>
        <v>#REF!</v>
      </c>
      <c r="S40" s="39" t="e">
        <f>【PL】決算数値入力!#REF!</f>
        <v>#REF!</v>
      </c>
      <c r="T40" s="39" t="e">
        <f>S40</f>
        <v>#REF!</v>
      </c>
      <c r="U40" s="39" t="e">
        <f t="shared" ref="U40:BQ40" si="14">T40</f>
        <v>#REF!</v>
      </c>
      <c r="V40" s="39" t="e">
        <f t="shared" si="14"/>
        <v>#REF!</v>
      </c>
      <c r="W40" s="39" t="e">
        <f t="shared" si="14"/>
        <v>#REF!</v>
      </c>
      <c r="X40" s="39" t="e">
        <f t="shared" si="14"/>
        <v>#REF!</v>
      </c>
      <c r="Y40" s="39" t="e">
        <f t="shared" si="14"/>
        <v>#REF!</v>
      </c>
      <c r="Z40" s="39" t="e">
        <f t="shared" si="14"/>
        <v>#REF!</v>
      </c>
      <c r="AA40" s="39" t="e">
        <f t="shared" si="14"/>
        <v>#REF!</v>
      </c>
      <c r="AB40" s="39" t="e">
        <f t="shared" si="14"/>
        <v>#REF!</v>
      </c>
      <c r="AC40" s="39" t="e">
        <f t="shared" si="14"/>
        <v>#REF!</v>
      </c>
      <c r="AD40" s="39" t="e">
        <f t="shared" si="14"/>
        <v>#REF!</v>
      </c>
      <c r="AE40" s="39" t="e">
        <f t="shared" si="14"/>
        <v>#REF!</v>
      </c>
      <c r="AF40" s="39" t="e">
        <f t="shared" si="14"/>
        <v>#REF!</v>
      </c>
      <c r="AG40" s="39" t="e">
        <f t="shared" si="14"/>
        <v>#REF!</v>
      </c>
      <c r="AH40" s="39" t="e">
        <f t="shared" si="14"/>
        <v>#REF!</v>
      </c>
      <c r="AI40" s="39" t="e">
        <f t="shared" si="14"/>
        <v>#REF!</v>
      </c>
      <c r="AJ40" s="39" t="e">
        <f t="shared" si="14"/>
        <v>#REF!</v>
      </c>
      <c r="AK40" s="39" t="e">
        <f t="shared" si="14"/>
        <v>#REF!</v>
      </c>
      <c r="AL40" s="39" t="e">
        <f t="shared" si="14"/>
        <v>#REF!</v>
      </c>
      <c r="AM40" s="39" t="e">
        <f t="shared" si="14"/>
        <v>#REF!</v>
      </c>
      <c r="AN40" s="39" t="e">
        <f t="shared" si="14"/>
        <v>#REF!</v>
      </c>
      <c r="AO40" s="39" t="e">
        <f t="shared" si="14"/>
        <v>#REF!</v>
      </c>
      <c r="AP40" s="39" t="e">
        <f t="shared" si="14"/>
        <v>#REF!</v>
      </c>
      <c r="AQ40" s="39" t="e">
        <f t="shared" si="14"/>
        <v>#REF!</v>
      </c>
      <c r="AR40" s="39" t="e">
        <f t="shared" si="14"/>
        <v>#REF!</v>
      </c>
      <c r="AS40" s="39" t="e">
        <f t="shared" si="14"/>
        <v>#REF!</v>
      </c>
      <c r="AT40" s="39" t="e">
        <f t="shared" si="14"/>
        <v>#REF!</v>
      </c>
      <c r="AU40" s="39" t="e">
        <f t="shared" si="14"/>
        <v>#REF!</v>
      </c>
      <c r="AV40" s="39" t="e">
        <f t="shared" si="14"/>
        <v>#REF!</v>
      </c>
      <c r="AW40" s="39" t="e">
        <f t="shared" si="14"/>
        <v>#REF!</v>
      </c>
      <c r="AX40" s="39" t="e">
        <f t="shared" si="14"/>
        <v>#REF!</v>
      </c>
      <c r="AY40" s="39" t="e">
        <f t="shared" si="14"/>
        <v>#REF!</v>
      </c>
      <c r="AZ40" s="39" t="e">
        <f t="shared" si="14"/>
        <v>#REF!</v>
      </c>
      <c r="BA40" s="39" t="e">
        <f t="shared" si="14"/>
        <v>#REF!</v>
      </c>
      <c r="BB40" s="39" t="e">
        <f t="shared" si="14"/>
        <v>#REF!</v>
      </c>
      <c r="BC40" s="39" t="e">
        <f t="shared" si="14"/>
        <v>#REF!</v>
      </c>
      <c r="BD40" s="39" t="e">
        <f t="shared" si="14"/>
        <v>#REF!</v>
      </c>
      <c r="BE40" s="39" t="e">
        <f t="shared" si="14"/>
        <v>#REF!</v>
      </c>
      <c r="BF40" s="39" t="e">
        <f t="shared" si="14"/>
        <v>#REF!</v>
      </c>
      <c r="BG40" s="39" t="e">
        <f t="shared" si="14"/>
        <v>#REF!</v>
      </c>
      <c r="BH40" s="39" t="e">
        <f t="shared" si="14"/>
        <v>#REF!</v>
      </c>
      <c r="BI40" s="39" t="e">
        <f t="shared" si="14"/>
        <v>#REF!</v>
      </c>
      <c r="BJ40" s="39" t="e">
        <f t="shared" si="14"/>
        <v>#REF!</v>
      </c>
      <c r="BK40" s="39" t="e">
        <f t="shared" si="14"/>
        <v>#REF!</v>
      </c>
      <c r="BL40" s="39" t="e">
        <f t="shared" si="14"/>
        <v>#REF!</v>
      </c>
      <c r="BM40" s="39" t="e">
        <f t="shared" si="14"/>
        <v>#REF!</v>
      </c>
      <c r="BN40" s="39" t="e">
        <f t="shared" si="14"/>
        <v>#REF!</v>
      </c>
      <c r="BO40" s="39" t="e">
        <f t="shared" si="14"/>
        <v>#REF!</v>
      </c>
      <c r="BP40" s="39" t="e">
        <f t="shared" si="14"/>
        <v>#REF!</v>
      </c>
      <c r="BQ40" s="39" t="e">
        <f t="shared" si="14"/>
        <v>#REF!</v>
      </c>
    </row>
    <row r="41" spans="2:69">
      <c r="B41" s="4"/>
      <c r="C41" s="4"/>
      <c r="D41" s="5" t="s">
        <v>450</v>
      </c>
      <c r="E41" s="8"/>
      <c r="F41" s="101"/>
      <c r="G41" s="10"/>
      <c r="H41" s="10"/>
      <c r="I41" s="10"/>
      <c r="J41" s="10"/>
      <c r="K41" s="1" t="s">
        <v>163</v>
      </c>
      <c r="L41" s="1"/>
      <c r="M41" s="1"/>
      <c r="N41" s="39" t="e">
        <f>【PL】決算数値入力!#REF!</f>
        <v>#REF!</v>
      </c>
      <c r="O41" s="39" t="e">
        <f>【PL】決算数値入力!#REF!</f>
        <v>#REF!</v>
      </c>
      <c r="P41" s="39" t="e">
        <f>【PL】決算数値入力!#REF!</f>
        <v>#REF!</v>
      </c>
      <c r="Q41" s="39" t="e">
        <f>【PL】決算数値入力!#REF!</f>
        <v>#REF!</v>
      </c>
      <c r="R41" s="39" t="e">
        <f>【PL】決算数値入力!#REF!</f>
        <v>#REF!</v>
      </c>
      <c r="S41" s="39" t="e">
        <f>【PL】決算数値入力!#REF!</f>
        <v>#REF!</v>
      </c>
      <c r="T41" s="40">
        <v>0</v>
      </c>
      <c r="U41" s="40">
        <v>0</v>
      </c>
      <c r="V41" s="40">
        <v>0</v>
      </c>
      <c r="W41" s="40">
        <v>0</v>
      </c>
      <c r="X41" s="40">
        <v>0</v>
      </c>
      <c r="Y41" s="40">
        <v>0</v>
      </c>
      <c r="Z41" s="40">
        <v>0</v>
      </c>
      <c r="AA41" s="40">
        <v>0</v>
      </c>
      <c r="AB41" s="40">
        <v>0</v>
      </c>
      <c r="AC41" s="40">
        <v>0</v>
      </c>
      <c r="AD41" s="40">
        <v>0</v>
      </c>
      <c r="AE41" s="40">
        <v>0</v>
      </c>
      <c r="AF41" s="40">
        <v>0</v>
      </c>
      <c r="AG41" s="40">
        <v>0</v>
      </c>
      <c r="AH41" s="40">
        <v>0</v>
      </c>
      <c r="AI41" s="40">
        <v>0</v>
      </c>
      <c r="AJ41" s="40">
        <v>0</v>
      </c>
      <c r="AK41" s="40">
        <v>0</v>
      </c>
      <c r="AL41" s="40">
        <v>0</v>
      </c>
      <c r="AM41" s="40">
        <v>0</v>
      </c>
      <c r="AN41" s="40">
        <v>0</v>
      </c>
      <c r="AO41" s="40">
        <v>0</v>
      </c>
      <c r="AP41" s="40">
        <v>0</v>
      </c>
      <c r="AQ41" s="40">
        <v>0</v>
      </c>
      <c r="AR41" s="40">
        <v>0</v>
      </c>
      <c r="AS41" s="40">
        <v>0</v>
      </c>
      <c r="AT41" s="40">
        <v>0</v>
      </c>
      <c r="AU41" s="40">
        <v>0</v>
      </c>
      <c r="AV41" s="40">
        <v>0</v>
      </c>
      <c r="AW41" s="40">
        <v>0</v>
      </c>
      <c r="AX41" s="40">
        <v>0</v>
      </c>
      <c r="AY41" s="40">
        <v>0</v>
      </c>
      <c r="AZ41" s="40">
        <v>0</v>
      </c>
      <c r="BA41" s="40">
        <v>0</v>
      </c>
      <c r="BB41" s="40">
        <v>0</v>
      </c>
      <c r="BC41" s="40">
        <v>0</v>
      </c>
      <c r="BD41" s="40">
        <v>0</v>
      </c>
      <c r="BE41" s="40">
        <v>0</v>
      </c>
      <c r="BF41" s="40">
        <v>0</v>
      </c>
      <c r="BG41" s="40">
        <v>0</v>
      </c>
      <c r="BH41" s="40">
        <v>0</v>
      </c>
      <c r="BI41" s="40">
        <v>0</v>
      </c>
      <c r="BJ41" s="40">
        <v>0</v>
      </c>
      <c r="BK41" s="40">
        <v>0</v>
      </c>
      <c r="BL41" s="40">
        <v>0</v>
      </c>
      <c r="BM41" s="40">
        <v>0</v>
      </c>
      <c r="BN41" s="40">
        <v>0</v>
      </c>
      <c r="BO41" s="40">
        <v>0</v>
      </c>
      <c r="BP41" s="40">
        <v>0</v>
      </c>
      <c r="BQ41" s="40">
        <v>0</v>
      </c>
    </row>
    <row r="42" spans="2:69">
      <c r="B42" s="4"/>
      <c r="C42" s="4"/>
      <c r="D42" s="5" t="s">
        <v>97</v>
      </c>
      <c r="E42" s="8"/>
      <c r="F42" s="302" t="s">
        <v>176</v>
      </c>
      <c r="G42" s="10"/>
      <c r="H42" s="10"/>
      <c r="I42" s="10"/>
      <c r="J42" s="10"/>
      <c r="K42" s="1"/>
      <c r="L42" s="1"/>
      <c r="M42" s="1"/>
      <c r="N42" s="39" t="e">
        <f>【PL】決算数値入力!#REF!</f>
        <v>#REF!</v>
      </c>
      <c r="O42" s="39" t="e">
        <f>【PL】決算数値入力!#REF!</f>
        <v>#REF!</v>
      </c>
      <c r="P42" s="39" t="e">
        <f>【PL】決算数値入力!#REF!</f>
        <v>#REF!</v>
      </c>
      <c r="Q42" s="39" t="e">
        <f>【PL】決算数値入力!#REF!</f>
        <v>#REF!</v>
      </c>
      <c r="R42" s="39" t="e">
        <f>【PL】決算数値入力!#REF!</f>
        <v>#REF!</v>
      </c>
      <c r="S42" s="39" t="e">
        <f>【PL】決算数値入力!#REF!</f>
        <v>#REF!</v>
      </c>
      <c r="T42" s="39" t="e">
        <f t="shared" ref="T42:BQ42" si="15">SUM(T43:T50)</f>
        <v>#REF!</v>
      </c>
      <c r="U42" s="39" t="e">
        <f t="shared" si="15"/>
        <v>#REF!</v>
      </c>
      <c r="V42" s="39" t="e">
        <f t="shared" si="15"/>
        <v>#REF!</v>
      </c>
      <c r="W42" s="39" t="e">
        <f t="shared" si="15"/>
        <v>#REF!</v>
      </c>
      <c r="X42" s="39" t="e">
        <f t="shared" si="15"/>
        <v>#REF!</v>
      </c>
      <c r="Y42" s="39" t="e">
        <f t="shared" si="15"/>
        <v>#REF!</v>
      </c>
      <c r="Z42" s="39" t="e">
        <f t="shared" si="15"/>
        <v>#REF!</v>
      </c>
      <c r="AA42" s="39" t="e">
        <f t="shared" si="15"/>
        <v>#REF!</v>
      </c>
      <c r="AB42" s="39" t="e">
        <f t="shared" si="15"/>
        <v>#REF!</v>
      </c>
      <c r="AC42" s="39" t="e">
        <f t="shared" si="15"/>
        <v>#REF!</v>
      </c>
      <c r="AD42" s="39" t="e">
        <f t="shared" si="15"/>
        <v>#REF!</v>
      </c>
      <c r="AE42" s="39" t="e">
        <f t="shared" si="15"/>
        <v>#REF!</v>
      </c>
      <c r="AF42" s="39" t="e">
        <f t="shared" si="15"/>
        <v>#REF!</v>
      </c>
      <c r="AG42" s="39" t="e">
        <f t="shared" si="15"/>
        <v>#REF!</v>
      </c>
      <c r="AH42" s="39" t="e">
        <f t="shared" si="15"/>
        <v>#REF!</v>
      </c>
      <c r="AI42" s="39" t="e">
        <f t="shared" si="15"/>
        <v>#REF!</v>
      </c>
      <c r="AJ42" s="39" t="e">
        <f t="shared" si="15"/>
        <v>#REF!</v>
      </c>
      <c r="AK42" s="39" t="e">
        <f t="shared" si="15"/>
        <v>#REF!</v>
      </c>
      <c r="AL42" s="39" t="e">
        <f t="shared" si="15"/>
        <v>#REF!</v>
      </c>
      <c r="AM42" s="39" t="e">
        <f t="shared" si="15"/>
        <v>#REF!</v>
      </c>
      <c r="AN42" s="39" t="e">
        <f t="shared" si="15"/>
        <v>#REF!</v>
      </c>
      <c r="AO42" s="39" t="e">
        <f t="shared" si="15"/>
        <v>#REF!</v>
      </c>
      <c r="AP42" s="39" t="e">
        <f t="shared" si="15"/>
        <v>#REF!</v>
      </c>
      <c r="AQ42" s="39" t="e">
        <f t="shared" si="15"/>
        <v>#REF!</v>
      </c>
      <c r="AR42" s="39" t="e">
        <f t="shared" si="15"/>
        <v>#REF!</v>
      </c>
      <c r="AS42" s="39" t="e">
        <f t="shared" si="15"/>
        <v>#REF!</v>
      </c>
      <c r="AT42" s="39" t="e">
        <f t="shared" si="15"/>
        <v>#REF!</v>
      </c>
      <c r="AU42" s="39" t="e">
        <f t="shared" si="15"/>
        <v>#REF!</v>
      </c>
      <c r="AV42" s="39" t="e">
        <f t="shared" si="15"/>
        <v>#REF!</v>
      </c>
      <c r="AW42" s="39" t="e">
        <f t="shared" si="15"/>
        <v>#REF!</v>
      </c>
      <c r="AX42" s="39" t="e">
        <f t="shared" si="15"/>
        <v>#REF!</v>
      </c>
      <c r="AY42" s="39" t="e">
        <f t="shared" si="15"/>
        <v>#REF!</v>
      </c>
      <c r="AZ42" s="39" t="e">
        <f t="shared" si="15"/>
        <v>#REF!</v>
      </c>
      <c r="BA42" s="39" t="e">
        <f t="shared" si="15"/>
        <v>#REF!</v>
      </c>
      <c r="BB42" s="39" t="e">
        <f t="shared" si="15"/>
        <v>#REF!</v>
      </c>
      <c r="BC42" s="39" t="e">
        <f t="shared" si="15"/>
        <v>#REF!</v>
      </c>
      <c r="BD42" s="39" t="e">
        <f t="shared" si="15"/>
        <v>#REF!</v>
      </c>
      <c r="BE42" s="39" t="e">
        <f t="shared" si="15"/>
        <v>#REF!</v>
      </c>
      <c r="BF42" s="39" t="e">
        <f t="shared" si="15"/>
        <v>#REF!</v>
      </c>
      <c r="BG42" s="39" t="e">
        <f t="shared" si="15"/>
        <v>#REF!</v>
      </c>
      <c r="BH42" s="39" t="e">
        <f t="shared" si="15"/>
        <v>#REF!</v>
      </c>
      <c r="BI42" s="39" t="e">
        <f t="shared" si="15"/>
        <v>#REF!</v>
      </c>
      <c r="BJ42" s="39" t="e">
        <f t="shared" si="15"/>
        <v>#REF!</v>
      </c>
      <c r="BK42" s="39" t="e">
        <f t="shared" si="15"/>
        <v>#REF!</v>
      </c>
      <c r="BL42" s="39" t="e">
        <f t="shared" si="15"/>
        <v>#REF!</v>
      </c>
      <c r="BM42" s="39" t="e">
        <f t="shared" si="15"/>
        <v>#REF!</v>
      </c>
      <c r="BN42" s="39" t="e">
        <f t="shared" si="15"/>
        <v>#REF!</v>
      </c>
      <c r="BO42" s="39" t="e">
        <f t="shared" si="15"/>
        <v>#REF!</v>
      </c>
      <c r="BP42" s="39" t="e">
        <f t="shared" si="15"/>
        <v>#REF!</v>
      </c>
      <c r="BQ42" s="39" t="e">
        <f t="shared" si="15"/>
        <v>#REF!</v>
      </c>
    </row>
    <row r="43" spans="2:69">
      <c r="B43" s="4"/>
      <c r="C43" s="4"/>
      <c r="D43" s="4"/>
      <c r="E43" s="1" t="s">
        <v>89</v>
      </c>
      <c r="F43" s="303"/>
      <c r="G43" s="10"/>
      <c r="H43" s="10" t="s">
        <v>166</v>
      </c>
      <c r="I43" s="10"/>
      <c r="J43" s="10"/>
      <c r="K43" s="1" t="s">
        <v>562</v>
      </c>
      <c r="L43" s="10" t="s">
        <v>166</v>
      </c>
      <c r="M43" s="1"/>
      <c r="N43" s="39" t="e">
        <f>【PL】決算数値入力!#REF!</f>
        <v>#REF!</v>
      </c>
      <c r="O43" s="39" t="e">
        <f>【PL】決算数値入力!#REF!</f>
        <v>#REF!</v>
      </c>
      <c r="P43" s="39" t="e">
        <f>【PL】決算数値入力!#REF!</f>
        <v>#REF!</v>
      </c>
      <c r="Q43" s="39" t="e">
        <f>【PL】決算数値入力!#REF!</f>
        <v>#REF!</v>
      </c>
      <c r="R43" s="39" t="e">
        <f>【PL】決算数値入力!#REF!</f>
        <v>#REF!</v>
      </c>
      <c r="S43" s="39" t="e">
        <f>【PL】決算数値入力!#REF!</f>
        <v>#REF!</v>
      </c>
      <c r="T43" s="39" t="e">
        <f>ROUND(S43*(1+物価上昇率!$G$9),0)</f>
        <v>#REF!</v>
      </c>
      <c r="U43" s="39" t="e">
        <f>ROUND(T43*(1+物価上昇率!$G$9),0)</f>
        <v>#REF!</v>
      </c>
      <c r="V43" s="39" t="e">
        <f>ROUND(U43*(1+物価上昇率!$G$9),0)</f>
        <v>#REF!</v>
      </c>
      <c r="W43" s="39" t="e">
        <f>ROUND(V43*(1+物価上昇率!$G$9),0)</f>
        <v>#REF!</v>
      </c>
      <c r="X43" s="39" t="e">
        <f>ROUND(W43*(1+物価上昇率!$G$9),0)</f>
        <v>#REF!</v>
      </c>
      <c r="Y43" s="39" t="e">
        <f>ROUND(X43*(1+物価上昇率!$G$9),0)</f>
        <v>#REF!</v>
      </c>
      <c r="Z43" s="39" t="e">
        <f>ROUND(Y43*(1+物価上昇率!$G$9),0)</f>
        <v>#REF!</v>
      </c>
      <c r="AA43" s="39" t="e">
        <f>ROUND(Z43*(1+物価上昇率!$G$9),0)</f>
        <v>#REF!</v>
      </c>
      <c r="AB43" s="39" t="e">
        <f>ROUND(AA43*(1+物価上昇率!$G$9),0)</f>
        <v>#REF!</v>
      </c>
      <c r="AC43" s="39" t="e">
        <f>ROUND(AB43*(1+物価上昇率!$G$9),0)</f>
        <v>#REF!</v>
      </c>
      <c r="AD43" s="39" t="e">
        <f>ROUND(AC43*(1+物価上昇率!$G$9),0)</f>
        <v>#REF!</v>
      </c>
      <c r="AE43" s="39" t="e">
        <f>ROUND(AD43*(1+物価上昇率!$G$9),0)</f>
        <v>#REF!</v>
      </c>
      <c r="AF43" s="39" t="e">
        <f>ROUND(AE43*(1+物価上昇率!$G$9),0)</f>
        <v>#REF!</v>
      </c>
      <c r="AG43" s="39" t="e">
        <f>ROUND(AF43*(1+物価上昇率!$G$9),0)</f>
        <v>#REF!</v>
      </c>
      <c r="AH43" s="39" t="e">
        <f>ROUND(AG43*(1+物価上昇率!$G$9),0)</f>
        <v>#REF!</v>
      </c>
      <c r="AI43" s="39" t="e">
        <f>ROUND(AH43*(1+物価上昇率!$G$9),0)</f>
        <v>#REF!</v>
      </c>
      <c r="AJ43" s="39" t="e">
        <f>ROUND(AI43*(1+物価上昇率!$G$9),0)</f>
        <v>#REF!</v>
      </c>
      <c r="AK43" s="39" t="e">
        <f>ROUND(AJ43*(1+物価上昇率!$G$9),0)</f>
        <v>#REF!</v>
      </c>
      <c r="AL43" s="39" t="e">
        <f>ROUND(AK43*(1+物価上昇率!$G$9),0)</f>
        <v>#REF!</v>
      </c>
      <c r="AM43" s="39" t="e">
        <f>ROUND(AL43*(1+物価上昇率!$G$9),0)</f>
        <v>#REF!</v>
      </c>
      <c r="AN43" s="39" t="e">
        <f>ROUND(AM43*(1+物価上昇率!$G$9),0)</f>
        <v>#REF!</v>
      </c>
      <c r="AO43" s="39" t="e">
        <f>ROUND(AN43*(1+物価上昇率!$G$9),0)</f>
        <v>#REF!</v>
      </c>
      <c r="AP43" s="39" t="e">
        <f>ROUND(AO43*(1+物価上昇率!$G$9),0)</f>
        <v>#REF!</v>
      </c>
      <c r="AQ43" s="39" t="e">
        <f>ROUND(AP43*(1+物価上昇率!$G$9),0)</f>
        <v>#REF!</v>
      </c>
      <c r="AR43" s="39" t="e">
        <f>ROUND(AQ43*(1+物価上昇率!$G$9),0)</f>
        <v>#REF!</v>
      </c>
      <c r="AS43" s="39" t="e">
        <f>ROUND(AR43*(1+物価上昇率!$G$9),0)</f>
        <v>#REF!</v>
      </c>
      <c r="AT43" s="39" t="e">
        <f>ROUND(AS43*(1+物価上昇率!$G$9),0)</f>
        <v>#REF!</v>
      </c>
      <c r="AU43" s="39" t="e">
        <f>ROUND(AT43*(1+物価上昇率!$G$9),0)</f>
        <v>#REF!</v>
      </c>
      <c r="AV43" s="39" t="e">
        <f>ROUND(AU43*(1+物価上昇率!$G$9),0)</f>
        <v>#REF!</v>
      </c>
      <c r="AW43" s="39" t="e">
        <f>ROUND(AV43*(1+物価上昇率!$G$9),0)</f>
        <v>#REF!</v>
      </c>
      <c r="AX43" s="39" t="e">
        <f>ROUND(AW43*(1+物価上昇率!$G$9),0)</f>
        <v>#REF!</v>
      </c>
      <c r="AY43" s="39" t="e">
        <f>ROUND(AX43*(1+物価上昇率!$G$9),0)</f>
        <v>#REF!</v>
      </c>
      <c r="AZ43" s="39" t="e">
        <f>ROUND(AY43*(1+物価上昇率!$G$9),0)</f>
        <v>#REF!</v>
      </c>
      <c r="BA43" s="39" t="e">
        <f>ROUND(AZ43*(1+物価上昇率!$G$9),0)</f>
        <v>#REF!</v>
      </c>
      <c r="BB43" s="39" t="e">
        <f>ROUND(BA43*(1+物価上昇率!$G$9),0)</f>
        <v>#REF!</v>
      </c>
      <c r="BC43" s="39" t="e">
        <f>ROUND(BB43*(1+物価上昇率!$G$9),0)</f>
        <v>#REF!</v>
      </c>
      <c r="BD43" s="39" t="e">
        <f>ROUND(BC43*(1+物価上昇率!$G$9),0)</f>
        <v>#REF!</v>
      </c>
      <c r="BE43" s="39" t="e">
        <f>ROUND(BD43*(1+物価上昇率!$G$9),0)</f>
        <v>#REF!</v>
      </c>
      <c r="BF43" s="39" t="e">
        <f>ROUND(BE43*(1+物価上昇率!$G$9),0)</f>
        <v>#REF!</v>
      </c>
      <c r="BG43" s="39" t="e">
        <f>ROUND(BF43*(1+物価上昇率!$G$9),0)</f>
        <v>#REF!</v>
      </c>
      <c r="BH43" s="39" t="e">
        <f>ROUND(BG43*(1+物価上昇率!$G$9),0)</f>
        <v>#REF!</v>
      </c>
      <c r="BI43" s="39" t="e">
        <f>ROUND(BH43*(1+物価上昇率!$G$9),0)</f>
        <v>#REF!</v>
      </c>
      <c r="BJ43" s="39" t="e">
        <f>ROUND(BI43*(1+物価上昇率!$G$9),0)</f>
        <v>#REF!</v>
      </c>
      <c r="BK43" s="39" t="e">
        <f>ROUND(BJ43*(1+物価上昇率!$G$9),0)</f>
        <v>#REF!</v>
      </c>
      <c r="BL43" s="39" t="e">
        <f>ROUND(BK43*(1+物価上昇率!$G$9),0)</f>
        <v>#REF!</v>
      </c>
      <c r="BM43" s="39" t="e">
        <f>ROUND(BL43*(1+物価上昇率!$G$9),0)</f>
        <v>#REF!</v>
      </c>
      <c r="BN43" s="39" t="e">
        <f>ROUND(BM43*(1+物価上昇率!$G$9),0)</f>
        <v>#REF!</v>
      </c>
      <c r="BO43" s="39" t="e">
        <f>ROUND(BN43*(1+物価上昇率!$G$9),0)</f>
        <v>#REF!</v>
      </c>
      <c r="BP43" s="39" t="e">
        <f>ROUND(BO43*(1+物価上昇率!$G$9),0)</f>
        <v>#REF!</v>
      </c>
      <c r="BQ43" s="39" t="e">
        <f>ROUND(BP43*(1+物価上昇率!$G$9),0)</f>
        <v>#REF!</v>
      </c>
    </row>
    <row r="44" spans="2:69">
      <c r="B44" s="4"/>
      <c r="C44" s="4"/>
      <c r="D44" s="4"/>
      <c r="E44" s="1" t="s">
        <v>98</v>
      </c>
      <c r="F44" s="303"/>
      <c r="G44" s="10"/>
      <c r="H44" s="10" t="s">
        <v>166</v>
      </c>
      <c r="I44" s="10"/>
      <c r="J44" s="10"/>
      <c r="K44" s="1" t="s">
        <v>562</v>
      </c>
      <c r="L44" s="10" t="s">
        <v>166</v>
      </c>
      <c r="M44" s="1"/>
      <c r="N44" s="39" t="e">
        <f>【PL】決算数値入力!#REF!</f>
        <v>#REF!</v>
      </c>
      <c r="O44" s="39" t="e">
        <f>【PL】決算数値入力!#REF!</f>
        <v>#REF!</v>
      </c>
      <c r="P44" s="39" t="e">
        <f>【PL】決算数値入力!#REF!</f>
        <v>#REF!</v>
      </c>
      <c r="Q44" s="39" t="e">
        <f>【PL】決算数値入力!#REF!</f>
        <v>#REF!</v>
      </c>
      <c r="R44" s="39" t="e">
        <f>【PL】決算数値入力!#REF!</f>
        <v>#REF!</v>
      </c>
      <c r="S44" s="39" t="e">
        <f>【PL】決算数値入力!#REF!</f>
        <v>#REF!</v>
      </c>
      <c r="T44" s="39" t="e">
        <f>ROUND(S44*(1+物価上昇率!$G$9),0)</f>
        <v>#REF!</v>
      </c>
      <c r="U44" s="39" t="e">
        <f>ROUND(T44*(1+物価上昇率!$G$9),0)</f>
        <v>#REF!</v>
      </c>
      <c r="V44" s="39" t="e">
        <f>ROUND(U44*(1+物価上昇率!$G$9),0)</f>
        <v>#REF!</v>
      </c>
      <c r="W44" s="39" t="e">
        <f>ROUND(V44*(1+物価上昇率!$G$9),0)</f>
        <v>#REF!</v>
      </c>
      <c r="X44" s="39" t="e">
        <f>ROUND(W44*(1+物価上昇率!$G$9),0)</f>
        <v>#REF!</v>
      </c>
      <c r="Y44" s="39" t="e">
        <f>ROUND(X44*(1+物価上昇率!$G$9),0)</f>
        <v>#REF!</v>
      </c>
      <c r="Z44" s="39" t="e">
        <f>ROUND(Y44*(1+物価上昇率!$G$9),0)</f>
        <v>#REF!</v>
      </c>
      <c r="AA44" s="39" t="e">
        <f>ROUND(Z44*(1+物価上昇率!$G$9),0)</f>
        <v>#REF!</v>
      </c>
      <c r="AB44" s="39" t="e">
        <f>ROUND(AA44*(1+物価上昇率!$G$9),0)</f>
        <v>#REF!</v>
      </c>
      <c r="AC44" s="39" t="e">
        <f>ROUND(AB44*(1+物価上昇率!$G$9),0)</f>
        <v>#REF!</v>
      </c>
      <c r="AD44" s="39" t="e">
        <f>ROUND(AC44*(1+物価上昇率!$G$9),0)</f>
        <v>#REF!</v>
      </c>
      <c r="AE44" s="39" t="e">
        <f>ROUND(AD44*(1+物価上昇率!$G$9),0)</f>
        <v>#REF!</v>
      </c>
      <c r="AF44" s="39" t="e">
        <f>ROUND(AE44*(1+物価上昇率!$G$9),0)</f>
        <v>#REF!</v>
      </c>
      <c r="AG44" s="39" t="e">
        <f>ROUND(AF44*(1+物価上昇率!$G$9),0)</f>
        <v>#REF!</v>
      </c>
      <c r="AH44" s="39" t="e">
        <f>ROUND(AG44*(1+物価上昇率!$G$9),0)</f>
        <v>#REF!</v>
      </c>
      <c r="AI44" s="39" t="e">
        <f>ROUND(AH44*(1+物価上昇率!$G$9),0)</f>
        <v>#REF!</v>
      </c>
      <c r="AJ44" s="39" t="e">
        <f>ROUND(AI44*(1+物価上昇率!$G$9),0)</f>
        <v>#REF!</v>
      </c>
      <c r="AK44" s="39" t="e">
        <f>ROUND(AJ44*(1+物価上昇率!$G$9),0)</f>
        <v>#REF!</v>
      </c>
      <c r="AL44" s="39" t="e">
        <f>ROUND(AK44*(1+物価上昇率!$G$9),0)</f>
        <v>#REF!</v>
      </c>
      <c r="AM44" s="39" t="e">
        <f>ROUND(AL44*(1+物価上昇率!$G$9),0)</f>
        <v>#REF!</v>
      </c>
      <c r="AN44" s="39" t="e">
        <f>ROUND(AM44*(1+物価上昇率!$G$9),0)</f>
        <v>#REF!</v>
      </c>
      <c r="AO44" s="39" t="e">
        <f>ROUND(AN44*(1+物価上昇率!$G$9),0)</f>
        <v>#REF!</v>
      </c>
      <c r="AP44" s="39" t="e">
        <f>ROUND(AO44*(1+物価上昇率!$G$9),0)</f>
        <v>#REF!</v>
      </c>
      <c r="AQ44" s="39" t="e">
        <f>ROUND(AP44*(1+物価上昇率!$G$9),0)</f>
        <v>#REF!</v>
      </c>
      <c r="AR44" s="39" t="e">
        <f>ROUND(AQ44*(1+物価上昇率!$G$9),0)</f>
        <v>#REF!</v>
      </c>
      <c r="AS44" s="39" t="e">
        <f>ROUND(AR44*(1+物価上昇率!$G$9),0)</f>
        <v>#REF!</v>
      </c>
      <c r="AT44" s="39" t="e">
        <f>ROUND(AS44*(1+物価上昇率!$G$9),0)</f>
        <v>#REF!</v>
      </c>
      <c r="AU44" s="39" t="e">
        <f>ROUND(AT44*(1+物価上昇率!$G$9),0)</f>
        <v>#REF!</v>
      </c>
      <c r="AV44" s="39" t="e">
        <f>ROUND(AU44*(1+物価上昇率!$G$9),0)</f>
        <v>#REF!</v>
      </c>
      <c r="AW44" s="39" t="e">
        <f>ROUND(AV44*(1+物価上昇率!$G$9),0)</f>
        <v>#REF!</v>
      </c>
      <c r="AX44" s="39" t="e">
        <f>ROUND(AW44*(1+物価上昇率!$G$9),0)</f>
        <v>#REF!</v>
      </c>
      <c r="AY44" s="39" t="e">
        <f>ROUND(AX44*(1+物価上昇率!$G$9),0)</f>
        <v>#REF!</v>
      </c>
      <c r="AZ44" s="39" t="e">
        <f>ROUND(AY44*(1+物価上昇率!$G$9),0)</f>
        <v>#REF!</v>
      </c>
      <c r="BA44" s="39" t="e">
        <f>ROUND(AZ44*(1+物価上昇率!$G$9),0)</f>
        <v>#REF!</v>
      </c>
      <c r="BB44" s="39" t="e">
        <f>ROUND(BA44*(1+物価上昇率!$G$9),0)</f>
        <v>#REF!</v>
      </c>
      <c r="BC44" s="39" t="e">
        <f>ROUND(BB44*(1+物価上昇率!$G$9),0)</f>
        <v>#REF!</v>
      </c>
      <c r="BD44" s="39" t="e">
        <f>ROUND(BC44*(1+物価上昇率!$G$9),0)</f>
        <v>#REF!</v>
      </c>
      <c r="BE44" s="39" t="e">
        <f>ROUND(BD44*(1+物価上昇率!$G$9),0)</f>
        <v>#REF!</v>
      </c>
      <c r="BF44" s="39" t="e">
        <f>ROUND(BE44*(1+物価上昇率!$G$9),0)</f>
        <v>#REF!</v>
      </c>
      <c r="BG44" s="39" t="e">
        <f>ROUND(BF44*(1+物価上昇率!$G$9),0)</f>
        <v>#REF!</v>
      </c>
      <c r="BH44" s="39" t="e">
        <f>ROUND(BG44*(1+物価上昇率!$G$9),0)</f>
        <v>#REF!</v>
      </c>
      <c r="BI44" s="39" t="e">
        <f>ROUND(BH44*(1+物価上昇率!$G$9),0)</f>
        <v>#REF!</v>
      </c>
      <c r="BJ44" s="39" t="e">
        <f>ROUND(BI44*(1+物価上昇率!$G$9),0)</f>
        <v>#REF!</v>
      </c>
      <c r="BK44" s="39" t="e">
        <f>ROUND(BJ44*(1+物価上昇率!$G$9),0)</f>
        <v>#REF!</v>
      </c>
      <c r="BL44" s="39" t="e">
        <f>ROUND(BK44*(1+物価上昇率!$G$9),0)</f>
        <v>#REF!</v>
      </c>
      <c r="BM44" s="39" t="e">
        <f>ROUND(BL44*(1+物価上昇率!$G$9),0)</f>
        <v>#REF!</v>
      </c>
      <c r="BN44" s="39" t="e">
        <f>ROUND(BM44*(1+物価上昇率!$G$9),0)</f>
        <v>#REF!</v>
      </c>
      <c r="BO44" s="39" t="e">
        <f>ROUND(BN44*(1+物価上昇率!$G$9),0)</f>
        <v>#REF!</v>
      </c>
      <c r="BP44" s="39" t="e">
        <f>ROUND(BO44*(1+物価上昇率!$G$9),0)</f>
        <v>#REF!</v>
      </c>
      <c r="BQ44" s="39" t="e">
        <f>ROUND(BP44*(1+物価上昇率!$G$9),0)</f>
        <v>#REF!</v>
      </c>
    </row>
    <row r="45" spans="2:69">
      <c r="B45" s="4"/>
      <c r="C45" s="4"/>
      <c r="D45" s="4"/>
      <c r="E45" s="1" t="s">
        <v>99</v>
      </c>
      <c r="F45" s="303"/>
      <c r="G45" s="10"/>
      <c r="H45" s="10" t="s">
        <v>166</v>
      </c>
      <c r="I45" s="10"/>
      <c r="J45" s="10"/>
      <c r="K45" s="1" t="s">
        <v>163</v>
      </c>
      <c r="L45" s="1"/>
      <c r="M45" s="1"/>
      <c r="N45" s="39" t="e">
        <f>【PL】決算数値入力!#REF!</f>
        <v>#REF!</v>
      </c>
      <c r="O45" s="39" t="e">
        <f>【PL】決算数値入力!#REF!</f>
        <v>#REF!</v>
      </c>
      <c r="P45" s="39" t="e">
        <f>【PL】決算数値入力!#REF!</f>
        <v>#REF!</v>
      </c>
      <c r="Q45" s="39" t="e">
        <f>【PL】決算数値入力!#REF!</f>
        <v>#REF!</v>
      </c>
      <c r="R45" s="39" t="e">
        <f>【PL】決算数値入力!#REF!</f>
        <v>#REF!</v>
      </c>
      <c r="S45" s="39" t="e">
        <f>【PL】決算数値入力!#REF!</f>
        <v>#REF!</v>
      </c>
      <c r="T45" s="40">
        <v>0</v>
      </c>
      <c r="U45" s="40">
        <v>0</v>
      </c>
      <c r="V45" s="40">
        <v>0</v>
      </c>
      <c r="W45" s="40">
        <v>0</v>
      </c>
      <c r="X45" s="40">
        <v>0</v>
      </c>
      <c r="Y45" s="40">
        <v>0</v>
      </c>
      <c r="Z45" s="40">
        <v>0</v>
      </c>
      <c r="AA45" s="40">
        <v>0</v>
      </c>
      <c r="AB45" s="40">
        <v>0</v>
      </c>
      <c r="AC45" s="40">
        <v>0</v>
      </c>
      <c r="AD45" s="40">
        <v>0</v>
      </c>
      <c r="AE45" s="40">
        <v>0</v>
      </c>
      <c r="AF45" s="40">
        <v>0</v>
      </c>
      <c r="AG45" s="40">
        <v>0</v>
      </c>
      <c r="AH45" s="40">
        <v>0</v>
      </c>
      <c r="AI45" s="40">
        <v>0</v>
      </c>
      <c r="AJ45" s="40">
        <v>0</v>
      </c>
      <c r="AK45" s="40">
        <v>0</v>
      </c>
      <c r="AL45" s="40">
        <v>0</v>
      </c>
      <c r="AM45" s="40">
        <v>0</v>
      </c>
      <c r="AN45" s="40">
        <v>0</v>
      </c>
      <c r="AO45" s="40">
        <v>0</v>
      </c>
      <c r="AP45" s="40">
        <v>0</v>
      </c>
      <c r="AQ45" s="40">
        <v>0</v>
      </c>
      <c r="AR45" s="40">
        <v>0</v>
      </c>
      <c r="AS45" s="40">
        <v>0</v>
      </c>
      <c r="AT45" s="40">
        <v>0</v>
      </c>
      <c r="AU45" s="40">
        <v>0</v>
      </c>
      <c r="AV45" s="40">
        <v>0</v>
      </c>
      <c r="AW45" s="40">
        <v>0</v>
      </c>
      <c r="AX45" s="40">
        <v>0</v>
      </c>
      <c r="AY45" s="40">
        <v>0</v>
      </c>
      <c r="AZ45" s="40">
        <v>0</v>
      </c>
      <c r="BA45" s="40">
        <v>0</v>
      </c>
      <c r="BB45" s="40">
        <v>0</v>
      </c>
      <c r="BC45" s="40">
        <v>0</v>
      </c>
      <c r="BD45" s="40">
        <v>0</v>
      </c>
      <c r="BE45" s="40">
        <v>0</v>
      </c>
      <c r="BF45" s="40">
        <v>0</v>
      </c>
      <c r="BG45" s="40">
        <v>0</v>
      </c>
      <c r="BH45" s="40">
        <v>0</v>
      </c>
      <c r="BI45" s="40">
        <v>0</v>
      </c>
      <c r="BJ45" s="40">
        <v>0</v>
      </c>
      <c r="BK45" s="40">
        <v>0</v>
      </c>
      <c r="BL45" s="40">
        <v>0</v>
      </c>
      <c r="BM45" s="40">
        <v>0</v>
      </c>
      <c r="BN45" s="40">
        <v>0</v>
      </c>
      <c r="BO45" s="40">
        <v>0</v>
      </c>
      <c r="BP45" s="40">
        <v>0</v>
      </c>
      <c r="BQ45" s="40">
        <v>0</v>
      </c>
    </row>
    <row r="46" spans="2:69">
      <c r="B46" s="4"/>
      <c r="C46" s="4"/>
      <c r="D46" s="4"/>
      <c r="E46" s="1" t="s">
        <v>100</v>
      </c>
      <c r="F46" s="303"/>
      <c r="G46" s="10"/>
      <c r="H46" s="10" t="s">
        <v>166</v>
      </c>
      <c r="I46" s="10"/>
      <c r="J46" s="10"/>
      <c r="K46" s="1" t="s">
        <v>163</v>
      </c>
      <c r="L46" s="10" t="s">
        <v>166</v>
      </c>
      <c r="M46" s="1"/>
      <c r="N46" s="39" t="e">
        <f>【PL】決算数値入力!#REF!</f>
        <v>#REF!</v>
      </c>
      <c r="O46" s="39" t="e">
        <f>【PL】決算数値入力!#REF!</f>
        <v>#REF!</v>
      </c>
      <c r="P46" s="39" t="e">
        <f>【PL】決算数値入力!#REF!</f>
        <v>#REF!</v>
      </c>
      <c r="Q46" s="39" t="e">
        <f>【PL】決算数値入力!#REF!</f>
        <v>#REF!</v>
      </c>
      <c r="R46" s="39" t="e">
        <f>【PL】決算数値入力!#REF!</f>
        <v>#REF!</v>
      </c>
      <c r="S46" s="39" t="e">
        <f>【PL】決算数値入力!#REF!</f>
        <v>#REF!</v>
      </c>
      <c r="T46" s="40">
        <v>0</v>
      </c>
      <c r="U46" s="40">
        <v>0</v>
      </c>
      <c r="V46" s="40">
        <v>0</v>
      </c>
      <c r="W46" s="40">
        <v>0</v>
      </c>
      <c r="X46" s="40">
        <v>0</v>
      </c>
      <c r="Y46" s="40">
        <v>0</v>
      </c>
      <c r="Z46" s="40">
        <v>0</v>
      </c>
      <c r="AA46" s="40">
        <v>0</v>
      </c>
      <c r="AB46" s="40">
        <v>0</v>
      </c>
      <c r="AC46" s="40">
        <v>0</v>
      </c>
      <c r="AD46" s="40">
        <v>0</v>
      </c>
      <c r="AE46" s="40">
        <v>0</v>
      </c>
      <c r="AF46" s="40">
        <v>0</v>
      </c>
      <c r="AG46" s="40">
        <v>0</v>
      </c>
      <c r="AH46" s="40">
        <v>0</v>
      </c>
      <c r="AI46" s="40">
        <v>0</v>
      </c>
      <c r="AJ46" s="40">
        <v>0</v>
      </c>
      <c r="AK46" s="40">
        <v>0</v>
      </c>
      <c r="AL46" s="40">
        <v>0</v>
      </c>
      <c r="AM46" s="40">
        <v>0</v>
      </c>
      <c r="AN46" s="40">
        <v>0</v>
      </c>
      <c r="AO46" s="40">
        <v>0</v>
      </c>
      <c r="AP46" s="40">
        <v>0</v>
      </c>
      <c r="AQ46" s="40">
        <v>0</v>
      </c>
      <c r="AR46" s="40">
        <v>0</v>
      </c>
      <c r="AS46" s="40">
        <v>0</v>
      </c>
      <c r="AT46" s="40">
        <v>0</v>
      </c>
      <c r="AU46" s="40">
        <v>0</v>
      </c>
      <c r="AV46" s="40">
        <v>0</v>
      </c>
      <c r="AW46" s="40">
        <v>0</v>
      </c>
      <c r="AX46" s="40">
        <v>0</v>
      </c>
      <c r="AY46" s="40">
        <v>0</v>
      </c>
      <c r="AZ46" s="40">
        <v>0</v>
      </c>
      <c r="BA46" s="40">
        <v>0</v>
      </c>
      <c r="BB46" s="40">
        <v>0</v>
      </c>
      <c r="BC46" s="40">
        <v>0</v>
      </c>
      <c r="BD46" s="40">
        <v>0</v>
      </c>
      <c r="BE46" s="40">
        <v>0</v>
      </c>
      <c r="BF46" s="40">
        <v>0</v>
      </c>
      <c r="BG46" s="40">
        <v>0</v>
      </c>
      <c r="BH46" s="40">
        <v>0</v>
      </c>
      <c r="BI46" s="40">
        <v>0</v>
      </c>
      <c r="BJ46" s="40">
        <v>0</v>
      </c>
      <c r="BK46" s="40">
        <v>0</v>
      </c>
      <c r="BL46" s="40">
        <v>0</v>
      </c>
      <c r="BM46" s="40">
        <v>0</v>
      </c>
      <c r="BN46" s="40">
        <v>0</v>
      </c>
      <c r="BO46" s="40">
        <v>0</v>
      </c>
      <c r="BP46" s="40">
        <v>0</v>
      </c>
      <c r="BQ46" s="40">
        <v>0</v>
      </c>
    </row>
    <row r="47" spans="2:69">
      <c r="B47" s="4"/>
      <c r="C47" s="4"/>
      <c r="D47" s="4"/>
      <c r="E47" s="1" t="s">
        <v>91</v>
      </c>
      <c r="F47" s="303"/>
      <c r="G47" s="10"/>
      <c r="H47" s="10" t="s">
        <v>166</v>
      </c>
      <c r="I47" s="10"/>
      <c r="J47" s="10"/>
      <c r="K47" s="1" t="s">
        <v>562</v>
      </c>
      <c r="L47" s="10" t="s">
        <v>166</v>
      </c>
      <c r="M47" s="1"/>
      <c r="N47" s="39" t="e">
        <f>【PL】決算数値入力!#REF!</f>
        <v>#REF!</v>
      </c>
      <c r="O47" s="39" t="e">
        <f>【PL】決算数値入力!#REF!</f>
        <v>#REF!</v>
      </c>
      <c r="P47" s="39" t="e">
        <f>【PL】決算数値入力!#REF!</f>
        <v>#REF!</v>
      </c>
      <c r="Q47" s="39" t="e">
        <f>【PL】決算数値入力!#REF!</f>
        <v>#REF!</v>
      </c>
      <c r="R47" s="39" t="e">
        <f>【PL】決算数値入力!#REF!</f>
        <v>#REF!</v>
      </c>
      <c r="S47" s="39" t="e">
        <f>【PL】決算数値入力!#REF!</f>
        <v>#REF!</v>
      </c>
      <c r="T47" s="39" t="e">
        <f>ROUND(S47*(1+物価上昇率!$G$9),0)</f>
        <v>#REF!</v>
      </c>
      <c r="U47" s="39" t="e">
        <f>ROUND(T47*(1+物価上昇率!$G$9),0)</f>
        <v>#REF!</v>
      </c>
      <c r="V47" s="39" t="e">
        <f>ROUND(U47*(1+物価上昇率!$G$9),0)</f>
        <v>#REF!</v>
      </c>
      <c r="W47" s="39" t="e">
        <f>ROUND(V47*(1+物価上昇率!$G$9),0)</f>
        <v>#REF!</v>
      </c>
      <c r="X47" s="39" t="e">
        <f>ROUND(W47*(1+物価上昇率!$G$9),0)</f>
        <v>#REF!</v>
      </c>
      <c r="Y47" s="39" t="e">
        <f>ROUND(X47*(1+物価上昇率!$G$9),0)</f>
        <v>#REF!</v>
      </c>
      <c r="Z47" s="39" t="e">
        <f>ROUND(Y47*(1+物価上昇率!$G$9),0)</f>
        <v>#REF!</v>
      </c>
      <c r="AA47" s="39" t="e">
        <f>ROUND(Z47*(1+物価上昇率!$G$9),0)</f>
        <v>#REF!</v>
      </c>
      <c r="AB47" s="39" t="e">
        <f>ROUND(AA47*(1+物価上昇率!$G$9),0)</f>
        <v>#REF!</v>
      </c>
      <c r="AC47" s="39" t="e">
        <f>ROUND(AB47*(1+物価上昇率!$G$9),0)</f>
        <v>#REF!</v>
      </c>
      <c r="AD47" s="39" t="e">
        <f>ROUND(AC47*(1+物価上昇率!$G$9),0)</f>
        <v>#REF!</v>
      </c>
      <c r="AE47" s="39" t="e">
        <f>ROUND(AD47*(1+物価上昇率!$G$9),0)</f>
        <v>#REF!</v>
      </c>
      <c r="AF47" s="39" t="e">
        <f>ROUND(AE47*(1+物価上昇率!$G$9),0)</f>
        <v>#REF!</v>
      </c>
      <c r="AG47" s="39" t="e">
        <f>ROUND(AF47*(1+物価上昇率!$G$9),0)</f>
        <v>#REF!</v>
      </c>
      <c r="AH47" s="39" t="e">
        <f>ROUND(AG47*(1+物価上昇率!$G$9),0)</f>
        <v>#REF!</v>
      </c>
      <c r="AI47" s="39" t="e">
        <f>ROUND(AH47*(1+物価上昇率!$G$9),0)</f>
        <v>#REF!</v>
      </c>
      <c r="AJ47" s="39" t="e">
        <f>ROUND(AI47*(1+物価上昇率!$G$9),0)</f>
        <v>#REF!</v>
      </c>
      <c r="AK47" s="39" t="e">
        <f>ROUND(AJ47*(1+物価上昇率!$G$9),0)</f>
        <v>#REF!</v>
      </c>
      <c r="AL47" s="39" t="e">
        <f>ROUND(AK47*(1+物価上昇率!$G$9),0)</f>
        <v>#REF!</v>
      </c>
      <c r="AM47" s="39" t="e">
        <f>ROUND(AL47*(1+物価上昇率!$G$9),0)</f>
        <v>#REF!</v>
      </c>
      <c r="AN47" s="39" t="e">
        <f>ROUND(AM47*(1+物価上昇率!$G$9),0)</f>
        <v>#REF!</v>
      </c>
      <c r="AO47" s="39" t="e">
        <f>ROUND(AN47*(1+物価上昇率!$G$9),0)</f>
        <v>#REF!</v>
      </c>
      <c r="AP47" s="39" t="e">
        <f>ROUND(AO47*(1+物価上昇率!$G$9),0)</f>
        <v>#REF!</v>
      </c>
      <c r="AQ47" s="39" t="e">
        <f>ROUND(AP47*(1+物価上昇率!$G$9),0)</f>
        <v>#REF!</v>
      </c>
      <c r="AR47" s="39" t="e">
        <f>ROUND(AQ47*(1+物価上昇率!$G$9),0)</f>
        <v>#REF!</v>
      </c>
      <c r="AS47" s="39" t="e">
        <f>ROUND(AR47*(1+物価上昇率!$G$9),0)</f>
        <v>#REF!</v>
      </c>
      <c r="AT47" s="39" t="e">
        <f>ROUND(AS47*(1+物価上昇率!$G$9),0)</f>
        <v>#REF!</v>
      </c>
      <c r="AU47" s="39" t="e">
        <f>ROUND(AT47*(1+物価上昇率!$G$9),0)</f>
        <v>#REF!</v>
      </c>
      <c r="AV47" s="39" t="e">
        <f>ROUND(AU47*(1+物価上昇率!$G$9),0)</f>
        <v>#REF!</v>
      </c>
      <c r="AW47" s="39" t="e">
        <f>ROUND(AV47*(1+物価上昇率!$G$9),0)</f>
        <v>#REF!</v>
      </c>
      <c r="AX47" s="39" t="e">
        <f>ROUND(AW47*(1+物価上昇率!$G$9),0)</f>
        <v>#REF!</v>
      </c>
      <c r="AY47" s="39" t="e">
        <f>ROUND(AX47*(1+物価上昇率!$G$9),0)</f>
        <v>#REF!</v>
      </c>
      <c r="AZ47" s="39" t="e">
        <f>ROUND(AY47*(1+物価上昇率!$G$9),0)</f>
        <v>#REF!</v>
      </c>
      <c r="BA47" s="39" t="e">
        <f>ROUND(AZ47*(1+物価上昇率!$G$9),0)</f>
        <v>#REF!</v>
      </c>
      <c r="BB47" s="39" t="e">
        <f>ROUND(BA47*(1+物価上昇率!$G$9),0)</f>
        <v>#REF!</v>
      </c>
      <c r="BC47" s="39" t="e">
        <f>ROUND(BB47*(1+物価上昇率!$G$9),0)</f>
        <v>#REF!</v>
      </c>
      <c r="BD47" s="39" t="e">
        <f>ROUND(BC47*(1+物価上昇率!$G$9),0)</f>
        <v>#REF!</v>
      </c>
      <c r="BE47" s="39" t="e">
        <f>ROUND(BD47*(1+物価上昇率!$G$9),0)</f>
        <v>#REF!</v>
      </c>
      <c r="BF47" s="39" t="e">
        <f>ROUND(BE47*(1+物価上昇率!$G$9),0)</f>
        <v>#REF!</v>
      </c>
      <c r="BG47" s="39" t="e">
        <f>ROUND(BF47*(1+物価上昇率!$G$9),0)</f>
        <v>#REF!</v>
      </c>
      <c r="BH47" s="39" t="e">
        <f>ROUND(BG47*(1+物価上昇率!$G$9),0)</f>
        <v>#REF!</v>
      </c>
      <c r="BI47" s="39" t="e">
        <f>ROUND(BH47*(1+物価上昇率!$G$9),0)</f>
        <v>#REF!</v>
      </c>
      <c r="BJ47" s="39" t="e">
        <f>ROUND(BI47*(1+物価上昇率!$G$9),0)</f>
        <v>#REF!</v>
      </c>
      <c r="BK47" s="39" t="e">
        <f>ROUND(BJ47*(1+物価上昇率!$G$9),0)</f>
        <v>#REF!</v>
      </c>
      <c r="BL47" s="39" t="e">
        <f>ROUND(BK47*(1+物価上昇率!$G$9),0)</f>
        <v>#REF!</v>
      </c>
      <c r="BM47" s="39" t="e">
        <f>ROUND(BL47*(1+物価上昇率!$G$9),0)</f>
        <v>#REF!</v>
      </c>
      <c r="BN47" s="39" t="e">
        <f>ROUND(BM47*(1+物価上昇率!$G$9),0)</f>
        <v>#REF!</v>
      </c>
      <c r="BO47" s="39" t="e">
        <f>ROUND(BN47*(1+物価上昇率!$G$9),0)</f>
        <v>#REF!</v>
      </c>
      <c r="BP47" s="39" t="e">
        <f>ROUND(BO47*(1+物価上昇率!$G$9),0)</f>
        <v>#REF!</v>
      </c>
      <c r="BQ47" s="39" t="e">
        <f>ROUND(BP47*(1+物価上昇率!$G$9),0)</f>
        <v>#REF!</v>
      </c>
    </row>
    <row r="48" spans="2:69">
      <c r="B48" s="4"/>
      <c r="C48" s="4"/>
      <c r="D48" s="4"/>
      <c r="E48" s="1" t="s">
        <v>92</v>
      </c>
      <c r="F48" s="303"/>
      <c r="G48" s="10"/>
      <c r="H48" s="10" t="s">
        <v>166</v>
      </c>
      <c r="I48" s="10"/>
      <c r="J48" s="10"/>
      <c r="K48" s="1" t="s">
        <v>562</v>
      </c>
      <c r="L48" s="10" t="s">
        <v>166</v>
      </c>
      <c r="M48" s="1"/>
      <c r="N48" s="39" t="e">
        <f>【PL】決算数値入力!#REF!</f>
        <v>#REF!</v>
      </c>
      <c r="O48" s="39" t="e">
        <f>【PL】決算数値入力!#REF!</f>
        <v>#REF!</v>
      </c>
      <c r="P48" s="39" t="e">
        <f>【PL】決算数値入力!#REF!</f>
        <v>#REF!</v>
      </c>
      <c r="Q48" s="39" t="e">
        <f>【PL】決算数値入力!#REF!</f>
        <v>#REF!</v>
      </c>
      <c r="R48" s="39" t="e">
        <f>【PL】決算数値入力!#REF!</f>
        <v>#REF!</v>
      </c>
      <c r="S48" s="39" t="e">
        <f>【PL】決算数値入力!#REF!</f>
        <v>#REF!</v>
      </c>
      <c r="T48" s="39" t="e">
        <f>ROUND(S48*(1+物価上昇率!$G$9),0)</f>
        <v>#REF!</v>
      </c>
      <c r="U48" s="39" t="e">
        <f>ROUND(T48*(1+物価上昇率!$G$9),0)</f>
        <v>#REF!</v>
      </c>
      <c r="V48" s="39" t="e">
        <f>ROUND(U48*(1+物価上昇率!$G$9),0)</f>
        <v>#REF!</v>
      </c>
      <c r="W48" s="39" t="e">
        <f>ROUND(V48*(1+物価上昇率!$G$9),0)</f>
        <v>#REF!</v>
      </c>
      <c r="X48" s="39" t="e">
        <f>ROUND(W48*(1+物価上昇率!$G$9),0)</f>
        <v>#REF!</v>
      </c>
      <c r="Y48" s="39" t="e">
        <f>ROUND(X48*(1+物価上昇率!$G$9),0)</f>
        <v>#REF!</v>
      </c>
      <c r="Z48" s="39" t="e">
        <f>ROUND(Y48*(1+物価上昇率!$G$9),0)</f>
        <v>#REF!</v>
      </c>
      <c r="AA48" s="39" t="e">
        <f>ROUND(Z48*(1+物価上昇率!$G$9),0)</f>
        <v>#REF!</v>
      </c>
      <c r="AB48" s="39" t="e">
        <f>ROUND(AA48*(1+物価上昇率!$G$9),0)</f>
        <v>#REF!</v>
      </c>
      <c r="AC48" s="39" t="e">
        <f>ROUND(AB48*(1+物価上昇率!$G$9),0)</f>
        <v>#REF!</v>
      </c>
      <c r="AD48" s="39" t="e">
        <f>ROUND(AC48*(1+物価上昇率!$G$9),0)</f>
        <v>#REF!</v>
      </c>
      <c r="AE48" s="39" t="e">
        <f>ROUND(AD48*(1+物価上昇率!$G$9),0)</f>
        <v>#REF!</v>
      </c>
      <c r="AF48" s="39" t="e">
        <f>ROUND(AE48*(1+物価上昇率!$G$9),0)</f>
        <v>#REF!</v>
      </c>
      <c r="AG48" s="39" t="e">
        <f>ROUND(AF48*(1+物価上昇率!$G$9),0)</f>
        <v>#REF!</v>
      </c>
      <c r="AH48" s="39" t="e">
        <f>ROUND(AG48*(1+物価上昇率!$G$9),0)</f>
        <v>#REF!</v>
      </c>
      <c r="AI48" s="39" t="e">
        <f>ROUND(AH48*(1+物価上昇率!$G$9),0)</f>
        <v>#REF!</v>
      </c>
      <c r="AJ48" s="39" t="e">
        <f>ROUND(AI48*(1+物価上昇率!$G$9),0)</f>
        <v>#REF!</v>
      </c>
      <c r="AK48" s="39" t="e">
        <f>ROUND(AJ48*(1+物価上昇率!$G$9),0)</f>
        <v>#REF!</v>
      </c>
      <c r="AL48" s="39" t="e">
        <f>ROUND(AK48*(1+物価上昇率!$G$9),0)</f>
        <v>#REF!</v>
      </c>
      <c r="AM48" s="39" t="e">
        <f>ROUND(AL48*(1+物価上昇率!$G$9),0)</f>
        <v>#REF!</v>
      </c>
      <c r="AN48" s="39" t="e">
        <f>ROUND(AM48*(1+物価上昇率!$G$9),0)</f>
        <v>#REF!</v>
      </c>
      <c r="AO48" s="39" t="e">
        <f>ROUND(AN48*(1+物価上昇率!$G$9),0)</f>
        <v>#REF!</v>
      </c>
      <c r="AP48" s="39" t="e">
        <f>ROUND(AO48*(1+物価上昇率!$G$9),0)</f>
        <v>#REF!</v>
      </c>
      <c r="AQ48" s="39" t="e">
        <f>ROUND(AP48*(1+物価上昇率!$G$9),0)</f>
        <v>#REF!</v>
      </c>
      <c r="AR48" s="39" t="e">
        <f>ROUND(AQ48*(1+物価上昇率!$G$9),0)</f>
        <v>#REF!</v>
      </c>
      <c r="AS48" s="39" t="e">
        <f>ROUND(AR48*(1+物価上昇率!$G$9),0)</f>
        <v>#REF!</v>
      </c>
      <c r="AT48" s="39" t="e">
        <f>ROUND(AS48*(1+物価上昇率!$G$9),0)</f>
        <v>#REF!</v>
      </c>
      <c r="AU48" s="39" t="e">
        <f>ROUND(AT48*(1+物価上昇率!$G$9),0)</f>
        <v>#REF!</v>
      </c>
      <c r="AV48" s="39" t="e">
        <f>ROUND(AU48*(1+物価上昇率!$G$9),0)</f>
        <v>#REF!</v>
      </c>
      <c r="AW48" s="39" t="e">
        <f>ROUND(AV48*(1+物価上昇率!$G$9),0)</f>
        <v>#REF!</v>
      </c>
      <c r="AX48" s="39" t="e">
        <f>ROUND(AW48*(1+物価上昇率!$G$9),0)</f>
        <v>#REF!</v>
      </c>
      <c r="AY48" s="39" t="e">
        <f>ROUND(AX48*(1+物価上昇率!$G$9),0)</f>
        <v>#REF!</v>
      </c>
      <c r="AZ48" s="39" t="e">
        <f>ROUND(AY48*(1+物価上昇率!$G$9),0)</f>
        <v>#REF!</v>
      </c>
      <c r="BA48" s="39" t="e">
        <f>ROUND(AZ48*(1+物価上昇率!$G$9),0)</f>
        <v>#REF!</v>
      </c>
      <c r="BB48" s="39" t="e">
        <f>ROUND(BA48*(1+物価上昇率!$G$9),0)</f>
        <v>#REF!</v>
      </c>
      <c r="BC48" s="39" t="e">
        <f>ROUND(BB48*(1+物価上昇率!$G$9),0)</f>
        <v>#REF!</v>
      </c>
      <c r="BD48" s="39" t="e">
        <f>ROUND(BC48*(1+物価上昇率!$G$9),0)</f>
        <v>#REF!</v>
      </c>
      <c r="BE48" s="39" t="e">
        <f>ROUND(BD48*(1+物価上昇率!$G$9),0)</f>
        <v>#REF!</v>
      </c>
      <c r="BF48" s="39" t="e">
        <f>ROUND(BE48*(1+物価上昇率!$G$9),0)</f>
        <v>#REF!</v>
      </c>
      <c r="BG48" s="39" t="e">
        <f>ROUND(BF48*(1+物価上昇率!$G$9),0)</f>
        <v>#REF!</v>
      </c>
      <c r="BH48" s="39" t="e">
        <f>ROUND(BG48*(1+物価上昇率!$G$9),0)</f>
        <v>#REF!</v>
      </c>
      <c r="BI48" s="39" t="e">
        <f>ROUND(BH48*(1+物価上昇率!$G$9),0)</f>
        <v>#REF!</v>
      </c>
      <c r="BJ48" s="39" t="e">
        <f>ROUND(BI48*(1+物価上昇率!$G$9),0)</f>
        <v>#REF!</v>
      </c>
      <c r="BK48" s="39" t="e">
        <f>ROUND(BJ48*(1+物価上昇率!$G$9),0)</f>
        <v>#REF!</v>
      </c>
      <c r="BL48" s="39" t="e">
        <f>ROUND(BK48*(1+物価上昇率!$G$9),0)</f>
        <v>#REF!</v>
      </c>
      <c r="BM48" s="39" t="e">
        <f>ROUND(BL48*(1+物価上昇率!$G$9),0)</f>
        <v>#REF!</v>
      </c>
      <c r="BN48" s="39" t="e">
        <f>ROUND(BM48*(1+物価上昇率!$G$9),0)</f>
        <v>#REF!</v>
      </c>
      <c r="BO48" s="39" t="e">
        <f>ROUND(BN48*(1+物価上昇率!$G$9),0)</f>
        <v>#REF!</v>
      </c>
      <c r="BP48" s="39" t="e">
        <f>ROUND(BO48*(1+物価上昇率!$G$9),0)</f>
        <v>#REF!</v>
      </c>
      <c r="BQ48" s="39" t="e">
        <f>ROUND(BP48*(1+物価上昇率!$G$9),0)</f>
        <v>#REF!</v>
      </c>
    </row>
    <row r="49" spans="2:69">
      <c r="B49" s="4"/>
      <c r="C49" s="4"/>
      <c r="D49" s="4"/>
      <c r="E49" s="1" t="s">
        <v>93</v>
      </c>
      <c r="F49" s="303"/>
      <c r="G49" s="10"/>
      <c r="H49" s="10" t="s">
        <v>166</v>
      </c>
      <c r="I49" s="10"/>
      <c r="J49" s="10"/>
      <c r="K49" s="1" t="s">
        <v>562</v>
      </c>
      <c r="L49" s="10" t="s">
        <v>166</v>
      </c>
      <c r="M49" s="1"/>
      <c r="N49" s="39" t="e">
        <f>【PL】決算数値入力!#REF!</f>
        <v>#REF!</v>
      </c>
      <c r="O49" s="39" t="e">
        <f>【PL】決算数値入力!#REF!</f>
        <v>#REF!</v>
      </c>
      <c r="P49" s="39" t="e">
        <f>【PL】決算数値入力!#REF!</f>
        <v>#REF!</v>
      </c>
      <c r="Q49" s="39" t="e">
        <f>【PL】決算数値入力!#REF!</f>
        <v>#REF!</v>
      </c>
      <c r="R49" s="39" t="e">
        <f>【PL】決算数値入力!#REF!</f>
        <v>#REF!</v>
      </c>
      <c r="S49" s="39" t="e">
        <f>【PL】決算数値入力!#REF!</f>
        <v>#REF!</v>
      </c>
      <c r="T49" s="39" t="e">
        <f>ROUND(S49*(1+物価上昇率!$G$9),0)</f>
        <v>#REF!</v>
      </c>
      <c r="U49" s="39" t="e">
        <f>ROUND(T49*(1+物価上昇率!$G$9),0)</f>
        <v>#REF!</v>
      </c>
      <c r="V49" s="39" t="e">
        <f>ROUND(U49*(1+物価上昇率!$G$9),0)</f>
        <v>#REF!</v>
      </c>
      <c r="W49" s="39" t="e">
        <f>ROUND(V49*(1+物価上昇率!$G$9),0)</f>
        <v>#REF!</v>
      </c>
      <c r="X49" s="39" t="e">
        <f>ROUND(W49*(1+物価上昇率!$G$9),0)</f>
        <v>#REF!</v>
      </c>
      <c r="Y49" s="39" t="e">
        <f>ROUND(X49*(1+物価上昇率!$G$9),0)</f>
        <v>#REF!</v>
      </c>
      <c r="Z49" s="39" t="e">
        <f>ROUND(Y49*(1+物価上昇率!$G$9),0)</f>
        <v>#REF!</v>
      </c>
      <c r="AA49" s="39" t="e">
        <f>ROUND(Z49*(1+物価上昇率!$G$9),0)</f>
        <v>#REF!</v>
      </c>
      <c r="AB49" s="39" t="e">
        <f>ROUND(AA49*(1+物価上昇率!$G$9),0)</f>
        <v>#REF!</v>
      </c>
      <c r="AC49" s="39" t="e">
        <f>ROUND(AB49*(1+物価上昇率!$G$9),0)</f>
        <v>#REF!</v>
      </c>
      <c r="AD49" s="39" t="e">
        <f>ROUND(AC49*(1+物価上昇率!$G$9),0)</f>
        <v>#REF!</v>
      </c>
      <c r="AE49" s="39" t="e">
        <f>ROUND(AD49*(1+物価上昇率!$G$9),0)</f>
        <v>#REF!</v>
      </c>
      <c r="AF49" s="39" t="e">
        <f>ROUND(AE49*(1+物価上昇率!$G$9),0)</f>
        <v>#REF!</v>
      </c>
      <c r="AG49" s="39" t="e">
        <f>ROUND(AF49*(1+物価上昇率!$G$9),0)</f>
        <v>#REF!</v>
      </c>
      <c r="AH49" s="39" t="e">
        <f>ROUND(AG49*(1+物価上昇率!$G$9),0)</f>
        <v>#REF!</v>
      </c>
      <c r="AI49" s="39" t="e">
        <f>ROUND(AH49*(1+物価上昇率!$G$9),0)</f>
        <v>#REF!</v>
      </c>
      <c r="AJ49" s="39" t="e">
        <f>ROUND(AI49*(1+物価上昇率!$G$9),0)</f>
        <v>#REF!</v>
      </c>
      <c r="AK49" s="39" t="e">
        <f>ROUND(AJ49*(1+物価上昇率!$G$9),0)</f>
        <v>#REF!</v>
      </c>
      <c r="AL49" s="39" t="e">
        <f>ROUND(AK49*(1+物価上昇率!$G$9),0)</f>
        <v>#REF!</v>
      </c>
      <c r="AM49" s="39" t="e">
        <f>ROUND(AL49*(1+物価上昇率!$G$9),0)</f>
        <v>#REF!</v>
      </c>
      <c r="AN49" s="39" t="e">
        <f>ROUND(AM49*(1+物価上昇率!$G$9),0)</f>
        <v>#REF!</v>
      </c>
      <c r="AO49" s="39" t="e">
        <f>ROUND(AN49*(1+物価上昇率!$G$9),0)</f>
        <v>#REF!</v>
      </c>
      <c r="AP49" s="39" t="e">
        <f>ROUND(AO49*(1+物価上昇率!$G$9),0)</f>
        <v>#REF!</v>
      </c>
      <c r="AQ49" s="39" t="e">
        <f>ROUND(AP49*(1+物価上昇率!$G$9),0)</f>
        <v>#REF!</v>
      </c>
      <c r="AR49" s="39" t="e">
        <f>ROUND(AQ49*(1+物価上昇率!$G$9),0)</f>
        <v>#REF!</v>
      </c>
      <c r="AS49" s="39" t="e">
        <f>ROUND(AR49*(1+物価上昇率!$G$9),0)</f>
        <v>#REF!</v>
      </c>
      <c r="AT49" s="39" t="e">
        <f>ROUND(AS49*(1+物価上昇率!$G$9),0)</f>
        <v>#REF!</v>
      </c>
      <c r="AU49" s="39" t="e">
        <f>ROUND(AT49*(1+物価上昇率!$G$9),0)</f>
        <v>#REF!</v>
      </c>
      <c r="AV49" s="39" t="e">
        <f>ROUND(AU49*(1+物価上昇率!$G$9),0)</f>
        <v>#REF!</v>
      </c>
      <c r="AW49" s="39" t="e">
        <f>ROUND(AV49*(1+物価上昇率!$G$9),0)</f>
        <v>#REF!</v>
      </c>
      <c r="AX49" s="39" t="e">
        <f>ROUND(AW49*(1+物価上昇率!$G$9),0)</f>
        <v>#REF!</v>
      </c>
      <c r="AY49" s="39" t="e">
        <f>ROUND(AX49*(1+物価上昇率!$G$9),0)</f>
        <v>#REF!</v>
      </c>
      <c r="AZ49" s="39" t="e">
        <f>ROUND(AY49*(1+物価上昇率!$G$9),0)</f>
        <v>#REF!</v>
      </c>
      <c r="BA49" s="39" t="e">
        <f>ROUND(AZ49*(1+物価上昇率!$G$9),0)</f>
        <v>#REF!</v>
      </c>
      <c r="BB49" s="39" t="e">
        <f>ROUND(BA49*(1+物価上昇率!$G$9),0)</f>
        <v>#REF!</v>
      </c>
      <c r="BC49" s="39" t="e">
        <f>ROUND(BB49*(1+物価上昇率!$G$9),0)</f>
        <v>#REF!</v>
      </c>
      <c r="BD49" s="39" t="e">
        <f>ROUND(BC49*(1+物価上昇率!$G$9),0)</f>
        <v>#REF!</v>
      </c>
      <c r="BE49" s="39" t="e">
        <f>ROUND(BD49*(1+物価上昇率!$G$9),0)</f>
        <v>#REF!</v>
      </c>
      <c r="BF49" s="39" t="e">
        <f>ROUND(BE49*(1+物価上昇率!$G$9),0)</f>
        <v>#REF!</v>
      </c>
      <c r="BG49" s="39" t="e">
        <f>ROUND(BF49*(1+物価上昇率!$G$9),0)</f>
        <v>#REF!</v>
      </c>
      <c r="BH49" s="39" t="e">
        <f>ROUND(BG49*(1+物価上昇率!$G$9),0)</f>
        <v>#REF!</v>
      </c>
      <c r="BI49" s="39" t="e">
        <f>ROUND(BH49*(1+物価上昇率!$G$9),0)</f>
        <v>#REF!</v>
      </c>
      <c r="BJ49" s="39" t="e">
        <f>ROUND(BI49*(1+物価上昇率!$G$9),0)</f>
        <v>#REF!</v>
      </c>
      <c r="BK49" s="39" t="e">
        <f>ROUND(BJ49*(1+物価上昇率!$G$9),0)</f>
        <v>#REF!</v>
      </c>
      <c r="BL49" s="39" t="e">
        <f>ROUND(BK49*(1+物価上昇率!$G$9),0)</f>
        <v>#REF!</v>
      </c>
      <c r="BM49" s="39" t="e">
        <f>ROUND(BL49*(1+物価上昇率!$G$9),0)</f>
        <v>#REF!</v>
      </c>
      <c r="BN49" s="39" t="e">
        <f>ROUND(BM49*(1+物価上昇率!$G$9),0)</f>
        <v>#REF!</v>
      </c>
      <c r="BO49" s="39" t="e">
        <f>ROUND(BN49*(1+物価上昇率!$G$9),0)</f>
        <v>#REF!</v>
      </c>
      <c r="BP49" s="39" t="e">
        <f>ROUND(BO49*(1+物価上昇率!$G$9),0)</f>
        <v>#REF!</v>
      </c>
      <c r="BQ49" s="39" t="e">
        <f>ROUND(BP49*(1+物価上昇率!$G$9),0)</f>
        <v>#REF!</v>
      </c>
    </row>
    <row r="50" spans="2:69">
      <c r="B50" s="4"/>
      <c r="C50" s="4"/>
      <c r="D50" s="3"/>
      <c r="E50" s="1" t="s">
        <v>94</v>
      </c>
      <c r="F50" s="304"/>
      <c r="G50" s="10"/>
      <c r="H50" s="10" t="s">
        <v>166</v>
      </c>
      <c r="I50" s="10"/>
      <c r="J50" s="10"/>
      <c r="K50" s="1" t="s">
        <v>560</v>
      </c>
      <c r="L50" s="1"/>
      <c r="M50" s="1"/>
      <c r="N50" s="39" t="e">
        <f>【PL】決算数値入力!#REF!</f>
        <v>#REF!</v>
      </c>
      <c r="O50" s="39" t="e">
        <f>【PL】決算数値入力!#REF!</f>
        <v>#REF!</v>
      </c>
      <c r="P50" s="39" t="e">
        <f>【PL】決算数値入力!#REF!</f>
        <v>#REF!</v>
      </c>
      <c r="Q50" s="39" t="e">
        <f>【PL】決算数値入力!#REF!</f>
        <v>#REF!</v>
      </c>
      <c r="R50" s="39" t="e">
        <f>【PL】決算数値入力!#REF!</f>
        <v>#REF!</v>
      </c>
      <c r="S50" s="39" t="e">
        <f>【PL】決算数値入力!#REF!</f>
        <v>#REF!</v>
      </c>
      <c r="T50" s="39" t="e">
        <f>S50</f>
        <v>#REF!</v>
      </c>
      <c r="U50" s="39" t="e">
        <f t="shared" ref="U50:BQ50" si="16">T50</f>
        <v>#REF!</v>
      </c>
      <c r="V50" s="39" t="e">
        <f t="shared" si="16"/>
        <v>#REF!</v>
      </c>
      <c r="W50" s="39" t="e">
        <f t="shared" si="16"/>
        <v>#REF!</v>
      </c>
      <c r="X50" s="39" t="e">
        <f t="shared" si="16"/>
        <v>#REF!</v>
      </c>
      <c r="Y50" s="39" t="e">
        <f t="shared" si="16"/>
        <v>#REF!</v>
      </c>
      <c r="Z50" s="39" t="e">
        <f t="shared" si="16"/>
        <v>#REF!</v>
      </c>
      <c r="AA50" s="39" t="e">
        <f t="shared" si="16"/>
        <v>#REF!</v>
      </c>
      <c r="AB50" s="39" t="e">
        <f t="shared" si="16"/>
        <v>#REF!</v>
      </c>
      <c r="AC50" s="39" t="e">
        <f t="shared" si="16"/>
        <v>#REF!</v>
      </c>
      <c r="AD50" s="39" t="e">
        <f t="shared" si="16"/>
        <v>#REF!</v>
      </c>
      <c r="AE50" s="39" t="e">
        <f t="shared" si="16"/>
        <v>#REF!</v>
      </c>
      <c r="AF50" s="39" t="e">
        <f t="shared" si="16"/>
        <v>#REF!</v>
      </c>
      <c r="AG50" s="39" t="e">
        <f t="shared" si="16"/>
        <v>#REF!</v>
      </c>
      <c r="AH50" s="39" t="e">
        <f t="shared" si="16"/>
        <v>#REF!</v>
      </c>
      <c r="AI50" s="39" t="e">
        <f t="shared" si="16"/>
        <v>#REF!</v>
      </c>
      <c r="AJ50" s="39" t="e">
        <f t="shared" si="16"/>
        <v>#REF!</v>
      </c>
      <c r="AK50" s="39" t="e">
        <f t="shared" si="16"/>
        <v>#REF!</v>
      </c>
      <c r="AL50" s="39" t="e">
        <f t="shared" si="16"/>
        <v>#REF!</v>
      </c>
      <c r="AM50" s="39" t="e">
        <f t="shared" si="16"/>
        <v>#REF!</v>
      </c>
      <c r="AN50" s="39" t="e">
        <f t="shared" si="16"/>
        <v>#REF!</v>
      </c>
      <c r="AO50" s="39" t="e">
        <f t="shared" si="16"/>
        <v>#REF!</v>
      </c>
      <c r="AP50" s="39" t="e">
        <f t="shared" si="16"/>
        <v>#REF!</v>
      </c>
      <c r="AQ50" s="39" t="e">
        <f t="shared" si="16"/>
        <v>#REF!</v>
      </c>
      <c r="AR50" s="39" t="e">
        <f t="shared" si="16"/>
        <v>#REF!</v>
      </c>
      <c r="AS50" s="39" t="e">
        <f t="shared" si="16"/>
        <v>#REF!</v>
      </c>
      <c r="AT50" s="39" t="e">
        <f t="shared" si="16"/>
        <v>#REF!</v>
      </c>
      <c r="AU50" s="39" t="e">
        <f t="shared" si="16"/>
        <v>#REF!</v>
      </c>
      <c r="AV50" s="39" t="e">
        <f t="shared" si="16"/>
        <v>#REF!</v>
      </c>
      <c r="AW50" s="39" t="e">
        <f t="shared" si="16"/>
        <v>#REF!</v>
      </c>
      <c r="AX50" s="39" t="e">
        <f t="shared" si="16"/>
        <v>#REF!</v>
      </c>
      <c r="AY50" s="39" t="e">
        <f t="shared" si="16"/>
        <v>#REF!</v>
      </c>
      <c r="AZ50" s="39" t="e">
        <f t="shared" si="16"/>
        <v>#REF!</v>
      </c>
      <c r="BA50" s="39" t="e">
        <f t="shared" si="16"/>
        <v>#REF!</v>
      </c>
      <c r="BB50" s="39" t="e">
        <f t="shared" si="16"/>
        <v>#REF!</v>
      </c>
      <c r="BC50" s="39" t="e">
        <f t="shared" si="16"/>
        <v>#REF!</v>
      </c>
      <c r="BD50" s="39" t="e">
        <f t="shared" si="16"/>
        <v>#REF!</v>
      </c>
      <c r="BE50" s="39" t="e">
        <f t="shared" si="16"/>
        <v>#REF!</v>
      </c>
      <c r="BF50" s="39" t="e">
        <f t="shared" si="16"/>
        <v>#REF!</v>
      </c>
      <c r="BG50" s="39" t="e">
        <f t="shared" si="16"/>
        <v>#REF!</v>
      </c>
      <c r="BH50" s="39" t="e">
        <f t="shared" si="16"/>
        <v>#REF!</v>
      </c>
      <c r="BI50" s="39" t="e">
        <f t="shared" si="16"/>
        <v>#REF!</v>
      </c>
      <c r="BJ50" s="39" t="e">
        <f t="shared" si="16"/>
        <v>#REF!</v>
      </c>
      <c r="BK50" s="39" t="e">
        <f t="shared" si="16"/>
        <v>#REF!</v>
      </c>
      <c r="BL50" s="39" t="e">
        <f t="shared" si="16"/>
        <v>#REF!</v>
      </c>
      <c r="BM50" s="39" t="e">
        <f t="shared" si="16"/>
        <v>#REF!</v>
      </c>
      <c r="BN50" s="39" t="e">
        <f t="shared" si="16"/>
        <v>#REF!</v>
      </c>
      <c r="BO50" s="39" t="e">
        <f t="shared" si="16"/>
        <v>#REF!</v>
      </c>
      <c r="BP50" s="39" t="e">
        <f t="shared" si="16"/>
        <v>#REF!</v>
      </c>
      <c r="BQ50" s="39" t="e">
        <f t="shared" si="16"/>
        <v>#REF!</v>
      </c>
    </row>
    <row r="51" spans="2:69">
      <c r="B51" s="4"/>
      <c r="C51" s="4"/>
      <c r="D51" s="5" t="s">
        <v>101</v>
      </c>
      <c r="E51" s="8"/>
      <c r="F51" s="1"/>
      <c r="G51" s="10"/>
      <c r="H51" s="10"/>
      <c r="I51" s="10"/>
      <c r="J51" s="10"/>
      <c r="K51" s="1"/>
      <c r="L51" s="1"/>
      <c r="M51" s="1"/>
      <c r="N51" s="39" t="e">
        <f>【PL】決算数値入力!#REF!</f>
        <v>#REF!</v>
      </c>
      <c r="O51" s="39" t="e">
        <f>【PL】決算数値入力!#REF!</f>
        <v>#REF!</v>
      </c>
      <c r="P51" s="39" t="e">
        <f>【PL】決算数値入力!#REF!</f>
        <v>#REF!</v>
      </c>
      <c r="Q51" s="39" t="e">
        <f>【PL】決算数値入力!#REF!</f>
        <v>#REF!</v>
      </c>
      <c r="R51" s="39" t="e">
        <f>【PL】決算数値入力!#REF!</f>
        <v>#REF!</v>
      </c>
      <c r="S51" s="39" t="e">
        <f>【PL】決算数値入力!#REF!</f>
        <v>#REF!</v>
      </c>
      <c r="T51" s="39">
        <f t="shared" ref="T51:BQ51" si="17">SUM(T52:T53)</f>
        <v>34653029</v>
      </c>
      <c r="U51" s="39">
        <f t="shared" si="17"/>
        <v>32839785</v>
      </c>
      <c r="V51" s="39">
        <f t="shared" si="17"/>
        <v>31307613.300000001</v>
      </c>
      <c r="W51" s="39">
        <f t="shared" si="17"/>
        <v>29949650</v>
      </c>
      <c r="X51" s="39">
        <f t="shared" si="17"/>
        <v>29785335</v>
      </c>
      <c r="Y51" s="39">
        <f t="shared" si="17"/>
        <v>28185184</v>
      </c>
      <c r="Z51" s="39">
        <f t="shared" si="17"/>
        <v>27518623</v>
      </c>
      <c r="AA51" s="39">
        <f t="shared" si="17"/>
        <v>33841068</v>
      </c>
      <c r="AB51" s="39">
        <f t="shared" si="17"/>
        <v>60643315</v>
      </c>
      <c r="AC51" s="39">
        <f t="shared" si="17"/>
        <v>73801210</v>
      </c>
      <c r="AD51" s="39">
        <f t="shared" si="17"/>
        <v>82207962</v>
      </c>
      <c r="AE51" s="39">
        <f t="shared" si="17"/>
        <v>92815595</v>
      </c>
      <c r="AF51" s="39">
        <f t="shared" si="17"/>
        <v>100930757</v>
      </c>
      <c r="AG51" s="39">
        <f t="shared" si="17"/>
        <v>105617251</v>
      </c>
      <c r="AH51" s="39">
        <f t="shared" si="17"/>
        <v>113275146</v>
      </c>
      <c r="AI51" s="39">
        <f t="shared" si="17"/>
        <v>118144439</v>
      </c>
      <c r="AJ51" s="39">
        <f t="shared" si="17"/>
        <v>123407597</v>
      </c>
      <c r="AK51" s="39">
        <f t="shared" si="17"/>
        <v>128276910</v>
      </c>
      <c r="AL51" s="39">
        <f t="shared" si="17"/>
        <v>142604631</v>
      </c>
      <c r="AM51" s="39">
        <f t="shared" si="17"/>
        <v>157078315</v>
      </c>
      <c r="AN51" s="39">
        <f t="shared" si="17"/>
        <v>170856268</v>
      </c>
      <c r="AO51" s="39">
        <f t="shared" si="17"/>
        <v>185149479</v>
      </c>
      <c r="AP51" s="39">
        <f t="shared" si="17"/>
        <v>200438953</v>
      </c>
      <c r="AQ51" s="39">
        <f t="shared" si="17"/>
        <v>216333690</v>
      </c>
      <c r="AR51" s="39">
        <f t="shared" si="17"/>
        <v>232649479</v>
      </c>
      <c r="AS51" s="39">
        <f t="shared" si="17"/>
        <v>248965268</v>
      </c>
      <c r="AT51" s="39">
        <f t="shared" si="17"/>
        <v>251070531</v>
      </c>
      <c r="AU51" s="39">
        <f t="shared" si="17"/>
        <v>252341678</v>
      </c>
      <c r="AV51" s="39">
        <f t="shared" si="17"/>
        <v>253920625</v>
      </c>
      <c r="AW51" s="39">
        <f t="shared" si="17"/>
        <v>255525888</v>
      </c>
      <c r="AX51" s="39">
        <f t="shared" si="17"/>
        <v>257131151</v>
      </c>
      <c r="AY51" s="39">
        <f t="shared" si="17"/>
        <v>258205535</v>
      </c>
      <c r="AZ51" s="39">
        <f t="shared" si="17"/>
        <v>259928636</v>
      </c>
      <c r="BA51" s="39">
        <f t="shared" si="17"/>
        <v>260777261</v>
      </c>
      <c r="BB51" s="39">
        <f t="shared" si="17"/>
        <v>262882524</v>
      </c>
      <c r="BC51" s="39">
        <f t="shared" si="17"/>
        <v>259062800</v>
      </c>
      <c r="BD51" s="39">
        <f t="shared" si="17"/>
        <v>260349585</v>
      </c>
      <c r="BE51" s="39">
        <f t="shared" si="17"/>
        <v>260657786</v>
      </c>
      <c r="BF51" s="39">
        <f t="shared" si="17"/>
        <v>260237758</v>
      </c>
      <c r="BG51" s="39">
        <f t="shared" si="17"/>
        <v>261388719</v>
      </c>
      <c r="BH51" s="39">
        <f t="shared" si="17"/>
        <v>263150857</v>
      </c>
      <c r="BI51" s="39">
        <f t="shared" si="17"/>
        <v>262385840</v>
      </c>
      <c r="BJ51" s="39">
        <f t="shared" si="17"/>
        <v>264491103</v>
      </c>
      <c r="BK51" s="39">
        <f t="shared" si="17"/>
        <v>266070050</v>
      </c>
      <c r="BL51" s="39">
        <f t="shared" si="17"/>
        <v>267648997</v>
      </c>
      <c r="BM51" s="39">
        <f t="shared" si="17"/>
        <v>262763165</v>
      </c>
      <c r="BN51" s="39">
        <f t="shared" si="17"/>
        <v>237263151</v>
      </c>
      <c r="BO51" s="39">
        <f t="shared" si="17"/>
        <v>225789471</v>
      </c>
      <c r="BP51" s="39">
        <f t="shared" si="17"/>
        <v>218421050</v>
      </c>
      <c r="BQ51" s="39">
        <f t="shared" si="17"/>
        <v>208157882</v>
      </c>
    </row>
    <row r="52" spans="2:69">
      <c r="B52" s="4"/>
      <c r="C52" s="4"/>
      <c r="D52" s="4"/>
      <c r="E52" s="1" t="s">
        <v>79</v>
      </c>
      <c r="F52" s="1"/>
      <c r="G52" s="10"/>
      <c r="H52" s="10" t="s">
        <v>166</v>
      </c>
      <c r="I52" s="10"/>
      <c r="J52" s="10"/>
      <c r="K52" s="1" t="s">
        <v>170</v>
      </c>
      <c r="L52" s="1"/>
      <c r="M52" s="1"/>
      <c r="N52" s="39" t="e">
        <f>【PL】決算数値入力!#REF!</f>
        <v>#REF!</v>
      </c>
      <c r="O52" s="39" t="e">
        <f>【PL】決算数値入力!#REF!</f>
        <v>#REF!</v>
      </c>
      <c r="P52" s="39" t="e">
        <f>【PL】決算数値入力!#REF!</f>
        <v>#REF!</v>
      </c>
      <c r="Q52" s="39" t="e">
        <f>【PL】決算数値入力!#REF!</f>
        <v>#REF!</v>
      </c>
      <c r="R52" s="39" t="e">
        <f>【PL】決算数値入力!#REF!</f>
        <v>#REF!</v>
      </c>
      <c r="S52" s="39" t="e">
        <f>【PL】決算数値入力!#REF!</f>
        <v>#REF!</v>
      </c>
      <c r="T52" s="39">
        <v>34653029</v>
      </c>
      <c r="U52" s="39">
        <v>32839785</v>
      </c>
      <c r="V52" s="39">
        <v>31307613.300000001</v>
      </c>
      <c r="W52" s="39">
        <v>29949650</v>
      </c>
      <c r="X52" s="39">
        <v>29785335</v>
      </c>
      <c r="Y52" s="39">
        <v>28185184</v>
      </c>
      <c r="Z52" s="39">
        <v>27518623</v>
      </c>
      <c r="AA52" s="39">
        <v>27349963</v>
      </c>
      <c r="AB52" s="39">
        <v>27046947</v>
      </c>
      <c r="AC52" s="39">
        <v>27046947</v>
      </c>
      <c r="AD52" s="39">
        <v>26243173</v>
      </c>
      <c r="AE52" s="39">
        <v>26061332</v>
      </c>
      <c r="AF52" s="39">
        <v>26018599</v>
      </c>
      <c r="AG52" s="39">
        <v>20941935</v>
      </c>
      <c r="AH52" s="39">
        <v>20941935</v>
      </c>
      <c r="AI52" s="39">
        <v>17284912</v>
      </c>
      <c r="AJ52" s="39">
        <v>17284912</v>
      </c>
      <c r="AK52" s="39">
        <v>16891067</v>
      </c>
      <c r="AL52" s="39">
        <v>16218788</v>
      </c>
      <c r="AM52" s="39">
        <v>16218788</v>
      </c>
      <c r="AN52" s="39">
        <v>15523057</v>
      </c>
      <c r="AO52" s="39">
        <v>15316268</v>
      </c>
      <c r="AP52" s="39">
        <v>15316268</v>
      </c>
      <c r="AQ52" s="39">
        <v>15316268</v>
      </c>
      <c r="AR52" s="39">
        <v>15316268</v>
      </c>
      <c r="AS52" s="39">
        <v>15316268</v>
      </c>
      <c r="AT52" s="39">
        <v>15316268</v>
      </c>
      <c r="AU52" s="39">
        <v>15008468</v>
      </c>
      <c r="AV52" s="39">
        <v>15008468</v>
      </c>
      <c r="AW52" s="39">
        <v>15008468</v>
      </c>
      <c r="AX52" s="39">
        <v>15008468</v>
      </c>
      <c r="AY52" s="39">
        <v>14398641</v>
      </c>
      <c r="AZ52" s="39">
        <v>14016479</v>
      </c>
      <c r="BA52" s="39">
        <v>12759841</v>
      </c>
      <c r="BB52" s="39">
        <v>12759841</v>
      </c>
      <c r="BC52" s="39">
        <v>7361170</v>
      </c>
      <c r="BD52" s="39">
        <v>7069008</v>
      </c>
      <c r="BE52" s="39">
        <v>5771946</v>
      </c>
      <c r="BF52" s="39">
        <v>3746655</v>
      </c>
      <c r="BG52" s="39">
        <v>3213405</v>
      </c>
      <c r="BH52" s="39">
        <v>2870280</v>
      </c>
      <c r="BI52" s="39">
        <v>0</v>
      </c>
      <c r="BJ52" s="39">
        <v>0</v>
      </c>
      <c r="BK52" s="39">
        <v>0</v>
      </c>
      <c r="BL52" s="39">
        <v>0</v>
      </c>
      <c r="BM52" s="39">
        <v>0</v>
      </c>
      <c r="BN52" s="39">
        <v>0</v>
      </c>
      <c r="BO52" s="39">
        <v>0</v>
      </c>
      <c r="BP52" s="39">
        <v>0</v>
      </c>
      <c r="BQ52" s="39">
        <v>0</v>
      </c>
    </row>
    <row r="53" spans="2:69">
      <c r="B53" s="4"/>
      <c r="C53" s="4"/>
      <c r="D53" s="3"/>
      <c r="E53" s="1" t="s">
        <v>80</v>
      </c>
      <c r="F53" s="1"/>
      <c r="G53" s="10"/>
      <c r="H53" s="10" t="s">
        <v>166</v>
      </c>
      <c r="I53" s="10"/>
      <c r="J53" s="10"/>
      <c r="K53" s="1" t="s">
        <v>171</v>
      </c>
      <c r="L53" s="1"/>
      <c r="M53" s="1"/>
      <c r="N53" s="39" t="e">
        <f>【PL】決算数値入力!#REF!</f>
        <v>#REF!</v>
      </c>
      <c r="O53" s="39" t="e">
        <f>【PL】決算数値入力!#REF!</f>
        <v>#REF!</v>
      </c>
      <c r="P53" s="39" t="e">
        <f>【PL】決算数値入力!#REF!</f>
        <v>#REF!</v>
      </c>
      <c r="Q53" s="39" t="e">
        <f>【PL】決算数値入力!#REF!</f>
        <v>#REF!</v>
      </c>
      <c r="R53" s="39" t="e">
        <f>【PL】決算数値入力!#REF!</f>
        <v>#REF!</v>
      </c>
      <c r="S53" s="39" t="e">
        <f>【PL】決算数値入力!#REF!</f>
        <v>#REF!</v>
      </c>
      <c r="T53" s="39">
        <f>新規取得!I2</f>
        <v>0</v>
      </c>
      <c r="U53" s="39">
        <f>新規取得!J2</f>
        <v>0</v>
      </c>
      <c r="V53" s="39">
        <f>新規取得!K2</f>
        <v>0</v>
      </c>
      <c r="W53" s="39">
        <f>新規取得!L2</f>
        <v>0</v>
      </c>
      <c r="X53" s="39">
        <f>新規取得!M2</f>
        <v>0</v>
      </c>
      <c r="Y53" s="39">
        <f>新規取得!N2</f>
        <v>0</v>
      </c>
      <c r="Z53" s="39">
        <f>新規取得!O2</f>
        <v>0</v>
      </c>
      <c r="AA53" s="39">
        <f>新規取得!P2</f>
        <v>6491105</v>
      </c>
      <c r="AB53" s="39">
        <f>新規取得!Q2</f>
        <v>33596368</v>
      </c>
      <c r="AC53" s="39">
        <f>新規取得!R2</f>
        <v>46754263</v>
      </c>
      <c r="AD53" s="39">
        <f>新規取得!S2</f>
        <v>55964789</v>
      </c>
      <c r="AE53" s="39">
        <f>新規取得!T2</f>
        <v>66754263</v>
      </c>
      <c r="AF53" s="39">
        <f>新規取得!U2</f>
        <v>74912158</v>
      </c>
      <c r="AG53" s="39">
        <f>新規取得!V2</f>
        <v>84675316</v>
      </c>
      <c r="AH53" s="39">
        <f>新規取得!W2</f>
        <v>92333211</v>
      </c>
      <c r="AI53" s="39">
        <f>新規取得!X2</f>
        <v>100859527</v>
      </c>
      <c r="AJ53" s="39">
        <f>新規取得!Y2</f>
        <v>106122685</v>
      </c>
      <c r="AK53" s="39">
        <f>新規取得!Z2</f>
        <v>111385843</v>
      </c>
      <c r="AL53" s="39">
        <f>新規取得!AA2</f>
        <v>126385843</v>
      </c>
      <c r="AM53" s="39">
        <f>新規取得!AB2</f>
        <v>140859527</v>
      </c>
      <c r="AN53" s="39">
        <f>新規取得!AC2</f>
        <v>155333211</v>
      </c>
      <c r="AO53" s="39">
        <f>新規取得!AD2</f>
        <v>169833211</v>
      </c>
      <c r="AP53" s="39">
        <f>新規取得!AE2</f>
        <v>185122685</v>
      </c>
      <c r="AQ53" s="39">
        <f>新規取得!AF2</f>
        <v>201017422</v>
      </c>
      <c r="AR53" s="39">
        <f>新規取得!AG2</f>
        <v>217333211</v>
      </c>
      <c r="AS53" s="39">
        <f>新規取得!AH2</f>
        <v>233649000</v>
      </c>
      <c r="AT53" s="39">
        <f>新規取得!AI2</f>
        <v>235754263</v>
      </c>
      <c r="AU53" s="39">
        <f>新規取得!AJ2</f>
        <v>237333210</v>
      </c>
      <c r="AV53" s="39">
        <f>新規取得!AK2</f>
        <v>238912157</v>
      </c>
      <c r="AW53" s="39">
        <f>新規取得!AL2</f>
        <v>240517420</v>
      </c>
      <c r="AX53" s="39">
        <f>新規取得!AM2</f>
        <v>242122683</v>
      </c>
      <c r="AY53" s="39">
        <f>新規取得!AN2</f>
        <v>243806894</v>
      </c>
      <c r="AZ53" s="39">
        <f>新規取得!AO2</f>
        <v>245912157</v>
      </c>
      <c r="BA53" s="39">
        <f>新規取得!AP2</f>
        <v>248017420</v>
      </c>
      <c r="BB53" s="39">
        <f>新規取得!AQ2</f>
        <v>250122683</v>
      </c>
      <c r="BC53" s="39">
        <f>新規取得!AR2</f>
        <v>251701630</v>
      </c>
      <c r="BD53" s="39">
        <f>新規取得!AS2</f>
        <v>253280577</v>
      </c>
      <c r="BE53" s="39">
        <f>新規取得!AT2</f>
        <v>254885840</v>
      </c>
      <c r="BF53" s="39">
        <f>新規取得!AU2</f>
        <v>256491103</v>
      </c>
      <c r="BG53" s="39">
        <f>新規取得!AV2</f>
        <v>258175314</v>
      </c>
      <c r="BH53" s="39">
        <f>新規取得!AW2</f>
        <v>260280577</v>
      </c>
      <c r="BI53" s="39">
        <f>新規取得!AX2</f>
        <v>262385840</v>
      </c>
      <c r="BJ53" s="39">
        <f>新規取得!AY2</f>
        <v>264491103</v>
      </c>
      <c r="BK53" s="39">
        <f>新規取得!AZ2</f>
        <v>266070050</v>
      </c>
      <c r="BL53" s="39">
        <f>新規取得!BA2</f>
        <v>267648997</v>
      </c>
      <c r="BM53" s="39">
        <f>新規取得!BB2</f>
        <v>262763165</v>
      </c>
      <c r="BN53" s="39">
        <f>新規取得!BC2</f>
        <v>237263151</v>
      </c>
      <c r="BO53" s="39">
        <f>新規取得!BD2</f>
        <v>225789471</v>
      </c>
      <c r="BP53" s="39">
        <f>新規取得!BE2</f>
        <v>218421050</v>
      </c>
      <c r="BQ53" s="39">
        <f>新規取得!BF2</f>
        <v>208157882</v>
      </c>
    </row>
    <row r="54" spans="2:69">
      <c r="B54" s="4"/>
      <c r="C54" s="4"/>
      <c r="D54" s="5" t="s">
        <v>102</v>
      </c>
      <c r="E54" s="8"/>
      <c r="F54" s="1"/>
      <c r="G54" s="10"/>
      <c r="H54" s="10"/>
      <c r="I54" s="10"/>
      <c r="J54" s="10"/>
      <c r="K54" s="1"/>
      <c r="L54" s="1"/>
      <c r="M54" s="1"/>
      <c r="N54" s="39" t="e">
        <f>【PL】決算数値入力!#REF!</f>
        <v>#REF!</v>
      </c>
      <c r="O54" s="39" t="e">
        <f>【PL】決算数値入力!#REF!</f>
        <v>#REF!</v>
      </c>
      <c r="P54" s="39" t="e">
        <f>【PL】決算数値入力!#REF!</f>
        <v>#REF!</v>
      </c>
      <c r="Q54" s="39" t="e">
        <f>【PL】決算数値入力!#REF!</f>
        <v>#REF!</v>
      </c>
      <c r="R54" s="39" t="e">
        <f>【PL】決算数値入力!#REF!</f>
        <v>#REF!</v>
      </c>
      <c r="S54" s="39" t="e">
        <f>【PL】決算数値入力!#REF!</f>
        <v>#REF!</v>
      </c>
      <c r="T54" s="39">
        <f t="shared" ref="T54:BQ54" si="18">SUM(T55:T56)</f>
        <v>0</v>
      </c>
      <c r="U54" s="39">
        <f t="shared" si="18"/>
        <v>0</v>
      </c>
      <c r="V54" s="39">
        <f t="shared" si="18"/>
        <v>0</v>
      </c>
      <c r="W54" s="39">
        <f t="shared" si="18"/>
        <v>0</v>
      </c>
      <c r="X54" s="39">
        <f t="shared" si="18"/>
        <v>0</v>
      </c>
      <c r="Y54" s="39">
        <f t="shared" si="18"/>
        <v>0</v>
      </c>
      <c r="Z54" s="39">
        <f t="shared" si="18"/>
        <v>0</v>
      </c>
      <c r="AA54" s="39">
        <f t="shared" si="18"/>
        <v>0</v>
      </c>
      <c r="AB54" s="39">
        <f t="shared" si="18"/>
        <v>0</v>
      </c>
      <c r="AC54" s="39">
        <f t="shared" si="18"/>
        <v>0</v>
      </c>
      <c r="AD54" s="39">
        <f t="shared" si="18"/>
        <v>0</v>
      </c>
      <c r="AE54" s="39">
        <f t="shared" si="18"/>
        <v>0</v>
      </c>
      <c r="AF54" s="39">
        <f t="shared" si="18"/>
        <v>0</v>
      </c>
      <c r="AG54" s="39">
        <f t="shared" si="18"/>
        <v>0</v>
      </c>
      <c r="AH54" s="39">
        <f t="shared" si="18"/>
        <v>0</v>
      </c>
      <c r="AI54" s="39">
        <f t="shared" si="18"/>
        <v>0</v>
      </c>
      <c r="AJ54" s="39">
        <f t="shared" si="18"/>
        <v>0</v>
      </c>
      <c r="AK54" s="39">
        <f t="shared" si="18"/>
        <v>0</v>
      </c>
      <c r="AL54" s="39">
        <f t="shared" si="18"/>
        <v>0</v>
      </c>
      <c r="AM54" s="39">
        <f t="shared" si="18"/>
        <v>0</v>
      </c>
      <c r="AN54" s="39">
        <f t="shared" si="18"/>
        <v>0</v>
      </c>
      <c r="AO54" s="39">
        <f t="shared" si="18"/>
        <v>0</v>
      </c>
      <c r="AP54" s="39">
        <f t="shared" si="18"/>
        <v>0</v>
      </c>
      <c r="AQ54" s="39">
        <f t="shared" si="18"/>
        <v>0</v>
      </c>
      <c r="AR54" s="39">
        <f t="shared" si="18"/>
        <v>0</v>
      </c>
      <c r="AS54" s="39">
        <f t="shared" si="18"/>
        <v>0</v>
      </c>
      <c r="AT54" s="39">
        <f t="shared" si="18"/>
        <v>0</v>
      </c>
      <c r="AU54" s="39">
        <f t="shared" si="18"/>
        <v>0</v>
      </c>
      <c r="AV54" s="39">
        <f t="shared" si="18"/>
        <v>0</v>
      </c>
      <c r="AW54" s="39">
        <f t="shared" si="18"/>
        <v>0</v>
      </c>
      <c r="AX54" s="39">
        <f t="shared" si="18"/>
        <v>0</v>
      </c>
      <c r="AY54" s="39">
        <f t="shared" si="18"/>
        <v>0</v>
      </c>
      <c r="AZ54" s="39">
        <f t="shared" si="18"/>
        <v>0</v>
      </c>
      <c r="BA54" s="39">
        <f t="shared" si="18"/>
        <v>0</v>
      </c>
      <c r="BB54" s="39">
        <f t="shared" si="18"/>
        <v>0</v>
      </c>
      <c r="BC54" s="39">
        <f t="shared" si="18"/>
        <v>0</v>
      </c>
      <c r="BD54" s="39">
        <f t="shared" si="18"/>
        <v>0</v>
      </c>
      <c r="BE54" s="39">
        <f t="shared" si="18"/>
        <v>0</v>
      </c>
      <c r="BF54" s="39">
        <f t="shared" si="18"/>
        <v>0</v>
      </c>
      <c r="BG54" s="39">
        <f t="shared" si="18"/>
        <v>0</v>
      </c>
      <c r="BH54" s="39">
        <f t="shared" si="18"/>
        <v>0</v>
      </c>
      <c r="BI54" s="39">
        <f t="shared" si="18"/>
        <v>0</v>
      </c>
      <c r="BJ54" s="39">
        <f t="shared" si="18"/>
        <v>0</v>
      </c>
      <c r="BK54" s="39">
        <f t="shared" si="18"/>
        <v>0</v>
      </c>
      <c r="BL54" s="39">
        <f t="shared" si="18"/>
        <v>0</v>
      </c>
      <c r="BM54" s="39">
        <f t="shared" si="18"/>
        <v>0</v>
      </c>
      <c r="BN54" s="39">
        <f t="shared" si="18"/>
        <v>0</v>
      </c>
      <c r="BO54" s="39">
        <f t="shared" si="18"/>
        <v>0</v>
      </c>
      <c r="BP54" s="39">
        <f t="shared" si="18"/>
        <v>0</v>
      </c>
      <c r="BQ54" s="39">
        <f t="shared" si="18"/>
        <v>0</v>
      </c>
    </row>
    <row r="55" spans="2:69">
      <c r="B55" s="4"/>
      <c r="C55" s="4"/>
      <c r="D55" s="4"/>
      <c r="E55" s="1" t="s">
        <v>164</v>
      </c>
      <c r="F55" s="1"/>
      <c r="G55" s="10"/>
      <c r="H55" s="10" t="s">
        <v>166</v>
      </c>
      <c r="I55" s="10"/>
      <c r="J55" s="10"/>
      <c r="K55" s="1" t="s">
        <v>172</v>
      </c>
      <c r="L55" s="1"/>
      <c r="M55" s="1"/>
      <c r="N55" s="39" t="e">
        <f>【PL】決算数値入力!#REF!</f>
        <v>#REF!</v>
      </c>
      <c r="O55" s="39" t="e">
        <f>【PL】決算数値入力!#REF!</f>
        <v>#REF!</v>
      </c>
      <c r="P55" s="39" t="e">
        <f>【PL】決算数値入力!#REF!</f>
        <v>#REF!</v>
      </c>
      <c r="Q55" s="39" t="e">
        <f>【PL】決算数値入力!#REF!</f>
        <v>#REF!</v>
      </c>
      <c r="R55" s="39" t="e">
        <f>【PL】決算数値入力!#REF!</f>
        <v>#REF!</v>
      </c>
      <c r="S55" s="39" t="e">
        <f>【PL】決算数値入力!#REF!</f>
        <v>#REF!</v>
      </c>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row>
    <row r="56" spans="2:69">
      <c r="B56" s="4"/>
      <c r="C56" s="3"/>
      <c r="D56" s="3"/>
      <c r="E56" s="1" t="s">
        <v>165</v>
      </c>
      <c r="F56" s="1"/>
      <c r="G56" s="10"/>
      <c r="H56" s="10" t="s">
        <v>166</v>
      </c>
      <c r="I56" s="10"/>
      <c r="J56" s="10"/>
      <c r="K56" s="1" t="s">
        <v>163</v>
      </c>
      <c r="L56" s="1"/>
      <c r="M56" s="1"/>
      <c r="N56" s="39" t="e">
        <f>【PL】決算数値入力!#REF!</f>
        <v>#REF!</v>
      </c>
      <c r="O56" s="39" t="e">
        <f>【PL】決算数値入力!#REF!</f>
        <v>#REF!</v>
      </c>
      <c r="P56" s="39" t="e">
        <f>【PL】決算数値入力!#REF!</f>
        <v>#REF!</v>
      </c>
      <c r="Q56" s="39" t="e">
        <f>【PL】決算数値入力!#REF!</f>
        <v>#REF!</v>
      </c>
      <c r="R56" s="39" t="e">
        <f>【PL】決算数値入力!#REF!</f>
        <v>#REF!</v>
      </c>
      <c r="S56" s="39" t="e">
        <f>【PL】決算数値入力!#REF!</f>
        <v>#REF!</v>
      </c>
      <c r="T56" s="40">
        <v>0</v>
      </c>
      <c r="U56" s="40">
        <v>0</v>
      </c>
      <c r="V56" s="40">
        <v>0</v>
      </c>
      <c r="W56" s="40">
        <v>0</v>
      </c>
      <c r="X56" s="40">
        <v>0</v>
      </c>
      <c r="Y56" s="40">
        <v>0</v>
      </c>
      <c r="Z56" s="40">
        <v>0</v>
      </c>
      <c r="AA56" s="40">
        <v>0</v>
      </c>
      <c r="AB56" s="40">
        <v>0</v>
      </c>
      <c r="AC56" s="40">
        <v>0</v>
      </c>
      <c r="AD56" s="40">
        <v>0</v>
      </c>
      <c r="AE56" s="40">
        <v>0</v>
      </c>
      <c r="AF56" s="40">
        <v>0</v>
      </c>
      <c r="AG56" s="40">
        <v>0</v>
      </c>
      <c r="AH56" s="40">
        <v>0</v>
      </c>
      <c r="AI56" s="40">
        <v>0</v>
      </c>
      <c r="AJ56" s="40">
        <v>0</v>
      </c>
      <c r="AK56" s="40">
        <v>0</v>
      </c>
      <c r="AL56" s="40">
        <v>0</v>
      </c>
      <c r="AM56" s="40">
        <v>0</v>
      </c>
      <c r="AN56" s="40">
        <v>0</v>
      </c>
      <c r="AO56" s="40">
        <v>0</v>
      </c>
      <c r="AP56" s="40">
        <v>0</v>
      </c>
      <c r="AQ56" s="40">
        <v>0</v>
      </c>
      <c r="AR56" s="40">
        <v>0</v>
      </c>
      <c r="AS56" s="40">
        <v>0</v>
      </c>
      <c r="AT56" s="40">
        <v>0</v>
      </c>
      <c r="AU56" s="40">
        <v>0</v>
      </c>
      <c r="AV56" s="40">
        <v>0</v>
      </c>
      <c r="AW56" s="40">
        <v>0</v>
      </c>
      <c r="AX56" s="40">
        <v>0</v>
      </c>
      <c r="AY56" s="40">
        <v>0</v>
      </c>
      <c r="AZ56" s="40">
        <v>0</v>
      </c>
      <c r="BA56" s="40">
        <v>0</v>
      </c>
      <c r="BB56" s="40">
        <v>0</v>
      </c>
      <c r="BC56" s="40">
        <v>0</v>
      </c>
      <c r="BD56" s="40">
        <v>0</v>
      </c>
      <c r="BE56" s="40">
        <v>0</v>
      </c>
      <c r="BF56" s="40">
        <v>0</v>
      </c>
      <c r="BG56" s="40">
        <v>0</v>
      </c>
      <c r="BH56" s="40">
        <v>0</v>
      </c>
      <c r="BI56" s="40">
        <v>0</v>
      </c>
      <c r="BJ56" s="40">
        <v>0</v>
      </c>
      <c r="BK56" s="40">
        <v>0</v>
      </c>
      <c r="BL56" s="40">
        <v>0</v>
      </c>
      <c r="BM56" s="40">
        <v>0</v>
      </c>
      <c r="BN56" s="40">
        <v>0</v>
      </c>
      <c r="BO56" s="40">
        <v>0</v>
      </c>
      <c r="BP56" s="40">
        <v>0</v>
      </c>
      <c r="BQ56" s="40">
        <v>0</v>
      </c>
    </row>
    <row r="57" spans="2:69">
      <c r="B57" s="4"/>
      <c r="C57" s="5" t="s">
        <v>103</v>
      </c>
      <c r="D57" s="7"/>
      <c r="E57" s="8"/>
      <c r="F57" s="1"/>
      <c r="G57" s="10"/>
      <c r="H57" s="10"/>
      <c r="I57" s="10"/>
      <c r="J57" s="10"/>
      <c r="K57" s="1"/>
      <c r="L57" s="1"/>
      <c r="M57" s="1"/>
      <c r="N57" s="39" t="e">
        <f>【PL】決算数値入力!#REF!</f>
        <v>#REF!</v>
      </c>
      <c r="O57" s="39" t="e">
        <f>【PL】決算数値入力!#REF!</f>
        <v>#REF!</v>
      </c>
      <c r="P57" s="39" t="e">
        <f>【PL】決算数値入力!#REF!</f>
        <v>#REF!</v>
      </c>
      <c r="Q57" s="39" t="e">
        <f>【PL】決算数値入力!#REF!</f>
        <v>#REF!</v>
      </c>
      <c r="R57" s="39" t="e">
        <f>【PL】決算数値入力!#REF!</f>
        <v>#REF!</v>
      </c>
      <c r="S57" s="39" t="e">
        <f>【PL】決算数値入力!#REF!</f>
        <v>#REF!</v>
      </c>
      <c r="T57" s="39" t="e">
        <f t="shared" ref="T57:BQ57" si="19">SUM(T58,T61)</f>
        <v>#REF!</v>
      </c>
      <c r="U57" s="39" t="e">
        <f t="shared" si="19"/>
        <v>#REF!</v>
      </c>
      <c r="V57" s="39" t="e">
        <f t="shared" si="19"/>
        <v>#REF!</v>
      </c>
      <c r="W57" s="39" t="e">
        <f t="shared" si="19"/>
        <v>#REF!</v>
      </c>
      <c r="X57" s="39" t="e">
        <f t="shared" si="19"/>
        <v>#REF!</v>
      </c>
      <c r="Y57" s="39" t="e">
        <f t="shared" si="19"/>
        <v>#REF!</v>
      </c>
      <c r="Z57" s="39" t="e">
        <f t="shared" si="19"/>
        <v>#REF!</v>
      </c>
      <c r="AA57" s="39" t="e">
        <f t="shared" si="19"/>
        <v>#REF!</v>
      </c>
      <c r="AB57" s="39" t="e">
        <f t="shared" si="19"/>
        <v>#REF!</v>
      </c>
      <c r="AC57" s="39" t="e">
        <f t="shared" si="19"/>
        <v>#REF!</v>
      </c>
      <c r="AD57" s="39" t="e">
        <f t="shared" si="19"/>
        <v>#REF!</v>
      </c>
      <c r="AE57" s="39" t="e">
        <f t="shared" si="19"/>
        <v>#REF!</v>
      </c>
      <c r="AF57" s="39" t="e">
        <f t="shared" si="19"/>
        <v>#REF!</v>
      </c>
      <c r="AG57" s="39" t="e">
        <f t="shared" si="19"/>
        <v>#REF!</v>
      </c>
      <c r="AH57" s="39" t="e">
        <f t="shared" si="19"/>
        <v>#REF!</v>
      </c>
      <c r="AI57" s="39" t="e">
        <f t="shared" si="19"/>
        <v>#REF!</v>
      </c>
      <c r="AJ57" s="39" t="e">
        <f t="shared" si="19"/>
        <v>#REF!</v>
      </c>
      <c r="AK57" s="39" t="e">
        <f t="shared" si="19"/>
        <v>#REF!</v>
      </c>
      <c r="AL57" s="39" t="e">
        <f t="shared" si="19"/>
        <v>#REF!</v>
      </c>
      <c r="AM57" s="39" t="e">
        <f t="shared" si="19"/>
        <v>#REF!</v>
      </c>
      <c r="AN57" s="39" t="e">
        <f t="shared" si="19"/>
        <v>#REF!</v>
      </c>
      <c r="AO57" s="39" t="e">
        <f t="shared" si="19"/>
        <v>#REF!</v>
      </c>
      <c r="AP57" s="39" t="e">
        <f t="shared" si="19"/>
        <v>#REF!</v>
      </c>
      <c r="AQ57" s="39" t="e">
        <f t="shared" si="19"/>
        <v>#REF!</v>
      </c>
      <c r="AR57" s="39" t="e">
        <f t="shared" si="19"/>
        <v>#REF!</v>
      </c>
      <c r="AS57" s="39" t="e">
        <f t="shared" si="19"/>
        <v>#REF!</v>
      </c>
      <c r="AT57" s="39" t="e">
        <f t="shared" si="19"/>
        <v>#REF!</v>
      </c>
      <c r="AU57" s="39" t="e">
        <f t="shared" si="19"/>
        <v>#REF!</v>
      </c>
      <c r="AV57" s="39" t="e">
        <f t="shared" si="19"/>
        <v>#REF!</v>
      </c>
      <c r="AW57" s="39" t="e">
        <f t="shared" si="19"/>
        <v>#REF!</v>
      </c>
      <c r="AX57" s="39" t="e">
        <f t="shared" si="19"/>
        <v>#REF!</v>
      </c>
      <c r="AY57" s="39" t="e">
        <f t="shared" si="19"/>
        <v>#REF!</v>
      </c>
      <c r="AZ57" s="39" t="e">
        <f t="shared" si="19"/>
        <v>#REF!</v>
      </c>
      <c r="BA57" s="39" t="e">
        <f t="shared" si="19"/>
        <v>#REF!</v>
      </c>
      <c r="BB57" s="39" t="e">
        <f t="shared" si="19"/>
        <v>#REF!</v>
      </c>
      <c r="BC57" s="39" t="e">
        <f t="shared" si="19"/>
        <v>#REF!</v>
      </c>
      <c r="BD57" s="39" t="e">
        <f t="shared" si="19"/>
        <v>#REF!</v>
      </c>
      <c r="BE57" s="39" t="e">
        <f t="shared" si="19"/>
        <v>#REF!</v>
      </c>
      <c r="BF57" s="39" t="e">
        <f t="shared" si="19"/>
        <v>#REF!</v>
      </c>
      <c r="BG57" s="39" t="e">
        <f t="shared" si="19"/>
        <v>#REF!</v>
      </c>
      <c r="BH57" s="39" t="e">
        <f t="shared" si="19"/>
        <v>#REF!</v>
      </c>
      <c r="BI57" s="39" t="e">
        <f t="shared" si="19"/>
        <v>#REF!</v>
      </c>
      <c r="BJ57" s="39" t="e">
        <f t="shared" si="19"/>
        <v>#REF!</v>
      </c>
      <c r="BK57" s="39" t="e">
        <f t="shared" si="19"/>
        <v>#REF!</v>
      </c>
      <c r="BL57" s="39" t="e">
        <f t="shared" si="19"/>
        <v>#REF!</v>
      </c>
      <c r="BM57" s="39" t="e">
        <f t="shared" si="19"/>
        <v>#REF!</v>
      </c>
      <c r="BN57" s="39" t="e">
        <f t="shared" si="19"/>
        <v>#REF!</v>
      </c>
      <c r="BO57" s="39" t="e">
        <f t="shared" si="19"/>
        <v>#REF!</v>
      </c>
      <c r="BP57" s="39" t="e">
        <f t="shared" si="19"/>
        <v>#REF!</v>
      </c>
      <c r="BQ57" s="39" t="e">
        <f t="shared" si="19"/>
        <v>#REF!</v>
      </c>
    </row>
    <row r="58" spans="2:69">
      <c r="B58" s="4"/>
      <c r="C58" s="4"/>
      <c r="D58" s="5" t="s">
        <v>104</v>
      </c>
      <c r="E58" s="8"/>
      <c r="F58" s="1"/>
      <c r="G58" s="10"/>
      <c r="H58" s="10"/>
      <c r="I58" s="10"/>
      <c r="J58" s="10"/>
      <c r="K58" s="1"/>
      <c r="L58" s="1"/>
      <c r="M58" s="1"/>
      <c r="N58" s="39" t="e">
        <f>【PL】決算数値入力!#REF!</f>
        <v>#REF!</v>
      </c>
      <c r="O58" s="39" t="e">
        <f>【PL】決算数値入力!#REF!</f>
        <v>#REF!</v>
      </c>
      <c r="P58" s="39" t="e">
        <f>【PL】決算数値入力!#REF!</f>
        <v>#REF!</v>
      </c>
      <c r="Q58" s="39" t="e">
        <f>【PL】決算数値入力!#REF!</f>
        <v>#REF!</v>
      </c>
      <c r="R58" s="39" t="e">
        <f>【PL】決算数値入力!#REF!</f>
        <v>#REF!</v>
      </c>
      <c r="S58" s="39" t="e">
        <f>【PL】決算数値入力!#REF!</f>
        <v>#REF!</v>
      </c>
      <c r="T58" s="39">
        <f t="shared" ref="T58:BQ58" si="20">SUM(T59:T60)</f>
        <v>8226195</v>
      </c>
      <c r="U58" s="39">
        <f t="shared" si="20"/>
        <v>11282630</v>
      </c>
      <c r="V58" s="39">
        <f t="shared" si="20"/>
        <v>13650492</v>
      </c>
      <c r="W58" s="39">
        <f t="shared" si="20"/>
        <v>21214210</v>
      </c>
      <c r="X58" s="39">
        <f t="shared" si="20"/>
        <v>27909312</v>
      </c>
      <c r="Y58" s="39">
        <f t="shared" si="20"/>
        <v>34936823</v>
      </c>
      <c r="Z58" s="39">
        <f t="shared" si="20"/>
        <v>39109117</v>
      </c>
      <c r="AA58" s="39">
        <f t="shared" si="20"/>
        <v>43285714</v>
      </c>
      <c r="AB58" s="39">
        <f t="shared" si="20"/>
        <v>48443838</v>
      </c>
      <c r="AC58" s="39">
        <f t="shared" si="20"/>
        <v>54759549</v>
      </c>
      <c r="AD58" s="39">
        <f t="shared" si="20"/>
        <v>59258505</v>
      </c>
      <c r="AE58" s="39">
        <f t="shared" si="20"/>
        <v>61986703</v>
      </c>
      <c r="AF58" s="39">
        <f t="shared" si="20"/>
        <v>64051633</v>
      </c>
      <c r="AG58" s="39">
        <f t="shared" si="20"/>
        <v>66037278</v>
      </c>
      <c r="AH58" s="39">
        <f t="shared" si="20"/>
        <v>75921974</v>
      </c>
      <c r="AI58" s="39">
        <f t="shared" si="20"/>
        <v>85594747</v>
      </c>
      <c r="AJ58" s="39">
        <f t="shared" si="20"/>
        <v>95051140</v>
      </c>
      <c r="AK58" s="39">
        <f t="shared" si="20"/>
        <v>104286620</v>
      </c>
      <c r="AL58" s="39">
        <f t="shared" si="20"/>
        <v>113926541</v>
      </c>
      <c r="AM58" s="39">
        <f t="shared" si="20"/>
        <v>123808960</v>
      </c>
      <c r="AN58" s="39">
        <f t="shared" si="20"/>
        <v>133438001</v>
      </c>
      <c r="AO58" s="39">
        <f t="shared" si="20"/>
        <v>142808346</v>
      </c>
      <c r="AP58" s="39">
        <f t="shared" si="20"/>
        <v>140574563</v>
      </c>
      <c r="AQ58" s="39">
        <f t="shared" si="20"/>
        <v>138254815</v>
      </c>
      <c r="AR58" s="39">
        <f t="shared" si="20"/>
        <v>135847291</v>
      </c>
      <c r="AS58" s="39">
        <f t="shared" si="20"/>
        <v>133350145</v>
      </c>
      <c r="AT58" s="39">
        <f t="shared" si="20"/>
        <v>130761497</v>
      </c>
      <c r="AU58" s="39">
        <f t="shared" si="20"/>
        <v>128079432</v>
      </c>
      <c r="AV58" s="39">
        <f t="shared" si="20"/>
        <v>125301983</v>
      </c>
      <c r="AW58" s="39">
        <f t="shared" si="20"/>
        <v>122427149</v>
      </c>
      <c r="AX58" s="39">
        <f t="shared" si="20"/>
        <v>119452881</v>
      </c>
      <c r="AY58" s="39">
        <f t="shared" si="20"/>
        <v>116377094</v>
      </c>
      <c r="AZ58" s="39">
        <f t="shared" si="20"/>
        <v>113197656</v>
      </c>
      <c r="BA58" s="39">
        <f t="shared" si="20"/>
        <v>109912391</v>
      </c>
      <c r="BB58" s="39">
        <f t="shared" si="20"/>
        <v>106519075</v>
      </c>
      <c r="BC58" s="39">
        <f t="shared" si="20"/>
        <v>103015438</v>
      </c>
      <c r="BD58" s="39">
        <f t="shared" si="20"/>
        <v>99399166</v>
      </c>
      <c r="BE58" s="39">
        <f t="shared" si="20"/>
        <v>95667893</v>
      </c>
      <c r="BF58" s="39">
        <f t="shared" si="20"/>
        <v>91819203</v>
      </c>
      <c r="BG58" s="39">
        <f t="shared" si="20"/>
        <v>87850631</v>
      </c>
      <c r="BH58" s="39">
        <f t="shared" si="20"/>
        <v>83759660</v>
      </c>
      <c r="BI58" s="39">
        <f t="shared" si="20"/>
        <v>79543718</v>
      </c>
      <c r="BJ58" s="39">
        <f t="shared" si="20"/>
        <v>75387979</v>
      </c>
      <c r="BK58" s="39">
        <f t="shared" si="20"/>
        <v>71264806</v>
      </c>
      <c r="BL58" s="39">
        <f t="shared" si="20"/>
        <v>66316488</v>
      </c>
      <c r="BM58" s="39">
        <f t="shared" si="20"/>
        <v>61578297</v>
      </c>
      <c r="BN58" s="39">
        <f t="shared" si="20"/>
        <v>57042927</v>
      </c>
      <c r="BO58" s="39">
        <f t="shared" si="20"/>
        <v>52597455</v>
      </c>
      <c r="BP58" s="39">
        <f t="shared" si="20"/>
        <v>48243774</v>
      </c>
      <c r="BQ58" s="39">
        <f t="shared" si="20"/>
        <v>44022870</v>
      </c>
    </row>
    <row r="59" spans="2:69">
      <c r="B59" s="4"/>
      <c r="C59" s="4"/>
      <c r="D59" s="4"/>
      <c r="E59" s="1" t="s">
        <v>105</v>
      </c>
      <c r="F59" s="1"/>
      <c r="G59" s="10"/>
      <c r="H59" s="10" t="s">
        <v>166</v>
      </c>
      <c r="I59" s="10"/>
      <c r="J59" s="10"/>
      <c r="K59" s="1" t="s">
        <v>173</v>
      </c>
      <c r="L59" s="1"/>
      <c r="M59" s="1"/>
      <c r="N59" s="39" t="e">
        <f>【PL】決算数値入力!#REF!</f>
        <v>#REF!</v>
      </c>
      <c r="O59" s="39" t="e">
        <f>【PL】決算数値入力!#REF!</f>
        <v>#REF!</v>
      </c>
      <c r="P59" s="39" t="e">
        <f>【PL】決算数値入力!#REF!</f>
        <v>#REF!</v>
      </c>
      <c r="Q59" s="39" t="e">
        <f>【PL】決算数値入力!#REF!</f>
        <v>#REF!</v>
      </c>
      <c r="R59" s="39" t="e">
        <f>【PL】決算数値入力!#REF!</f>
        <v>#REF!</v>
      </c>
      <c r="S59" s="39" t="e">
        <f>【PL】決算数値入力!#REF!</f>
        <v>#REF!</v>
      </c>
      <c r="T59" s="39">
        <v>8226195</v>
      </c>
      <c r="U59" s="39">
        <v>6234230</v>
      </c>
      <c r="V59" s="39">
        <v>4412475</v>
      </c>
      <c r="W59" s="39">
        <v>2706820</v>
      </c>
      <c r="X59" s="39">
        <v>1268462</v>
      </c>
      <c r="Y59" s="39">
        <v>620752</v>
      </c>
      <c r="Z59" s="39">
        <v>408969</v>
      </c>
      <c r="AA59" s="39">
        <v>294568</v>
      </c>
      <c r="AB59" s="39">
        <v>206726</v>
      </c>
      <c r="AC59" s="39">
        <v>130510</v>
      </c>
      <c r="AD59" s="39">
        <v>54383</v>
      </c>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row>
    <row r="60" spans="2:69">
      <c r="B60" s="4"/>
      <c r="C60" s="4"/>
      <c r="D60" s="3"/>
      <c r="E60" s="1" t="s">
        <v>131</v>
      </c>
      <c r="F60" s="1"/>
      <c r="G60" s="10"/>
      <c r="H60" s="10" t="s">
        <v>166</v>
      </c>
      <c r="I60" s="10"/>
      <c r="J60" s="10"/>
      <c r="K60" s="1" t="s">
        <v>581</v>
      </c>
      <c r="L60" s="1"/>
      <c r="M60" s="1"/>
      <c r="N60" s="39" t="e">
        <f>【PL】決算数値入力!#REF!</f>
        <v>#REF!</v>
      </c>
      <c r="O60" s="39" t="e">
        <f>【PL】決算数値入力!#REF!</f>
        <v>#REF!</v>
      </c>
      <c r="P60" s="39" t="e">
        <f>【PL】決算数値入力!#REF!</f>
        <v>#REF!</v>
      </c>
      <c r="Q60" s="39" t="e">
        <f>【PL】決算数値入力!#REF!</f>
        <v>#REF!</v>
      </c>
      <c r="R60" s="39" t="e">
        <f>【PL】決算数値入力!#REF!</f>
        <v>#REF!</v>
      </c>
      <c r="S60" s="39" t="e">
        <f>【PL】決算数値入力!#REF!</f>
        <v>#REF!</v>
      </c>
      <c r="T60" s="39">
        <f>新規債返済スケジュール!E3</f>
        <v>0</v>
      </c>
      <c r="U60" s="39">
        <f>新規債返済スケジュール!F3</f>
        <v>5048400</v>
      </c>
      <c r="V60" s="39">
        <f>新規債返済スケジュール!G3</f>
        <v>9238017</v>
      </c>
      <c r="W60" s="39">
        <f>新規債返済スケジュール!H3</f>
        <v>18507390</v>
      </c>
      <c r="X60" s="39">
        <f>新規債返済スケジュール!I3</f>
        <v>26640850</v>
      </c>
      <c r="Y60" s="39">
        <f>新規債返済スケジュール!J3</f>
        <v>34316071</v>
      </c>
      <c r="Z60" s="39">
        <f>新規債返済スケジュール!K3</f>
        <v>38700148</v>
      </c>
      <c r="AA60" s="39">
        <f>新規債返済スケジュール!L3</f>
        <v>42991146</v>
      </c>
      <c r="AB60" s="39">
        <f>新規債返済スケジュール!M3</f>
        <v>48237112</v>
      </c>
      <c r="AC60" s="39">
        <f>新規債返済スケジュール!N3</f>
        <v>54629039</v>
      </c>
      <c r="AD60" s="39">
        <f>新規債返済スケジュール!O3</f>
        <v>59204122</v>
      </c>
      <c r="AE60" s="39">
        <f>新規債返済スケジュール!P3</f>
        <v>61986703</v>
      </c>
      <c r="AF60" s="39">
        <f>新規債返済スケジュール!Q3</f>
        <v>64051633</v>
      </c>
      <c r="AG60" s="39">
        <f>新規債返済スケジュール!R3</f>
        <v>66037278</v>
      </c>
      <c r="AH60" s="39">
        <f>新規債返済スケジュール!S3</f>
        <v>75921974</v>
      </c>
      <c r="AI60" s="39">
        <f>新規債返済スケジュール!T3</f>
        <v>85594747</v>
      </c>
      <c r="AJ60" s="39">
        <f>新規債返済スケジュール!U3</f>
        <v>95051140</v>
      </c>
      <c r="AK60" s="39">
        <f>新規債返済スケジュール!V3</f>
        <v>104286620</v>
      </c>
      <c r="AL60" s="39">
        <f>新規債返済スケジュール!W3</f>
        <v>113926541</v>
      </c>
      <c r="AM60" s="39">
        <f>新規債返済スケジュール!X3</f>
        <v>123808960</v>
      </c>
      <c r="AN60" s="39">
        <f>新規債返済スケジュール!Y3</f>
        <v>133438001</v>
      </c>
      <c r="AO60" s="39">
        <f>新規債返済スケジュール!Z3</f>
        <v>142808346</v>
      </c>
      <c r="AP60" s="39">
        <f>新規債返済スケジュール!AA3</f>
        <v>140574563</v>
      </c>
      <c r="AQ60" s="39">
        <f>新規債返済スケジュール!AB3</f>
        <v>138254815</v>
      </c>
      <c r="AR60" s="39">
        <f>新規債返済スケジュール!AC3</f>
        <v>135847291</v>
      </c>
      <c r="AS60" s="39">
        <f>新規債返済スケジュール!AD3</f>
        <v>133350145</v>
      </c>
      <c r="AT60" s="39">
        <f>新規債返済スケジュール!AE3</f>
        <v>130761497</v>
      </c>
      <c r="AU60" s="39">
        <f>新規債返済スケジュール!AF3</f>
        <v>128079432</v>
      </c>
      <c r="AV60" s="39">
        <f>新規債返済スケジュール!AG3</f>
        <v>125301983</v>
      </c>
      <c r="AW60" s="39">
        <f>新規債返済スケジュール!AH3</f>
        <v>122427149</v>
      </c>
      <c r="AX60" s="39">
        <f>新規債返済スケジュール!AI3</f>
        <v>119452881</v>
      </c>
      <c r="AY60" s="39">
        <f>新規債返済スケジュール!AJ3</f>
        <v>116377094</v>
      </c>
      <c r="AZ60" s="39">
        <f>新規債返済スケジュール!AK3</f>
        <v>113197656</v>
      </c>
      <c r="BA60" s="39">
        <f>新規債返済スケジュール!AL3</f>
        <v>109912391</v>
      </c>
      <c r="BB60" s="39">
        <f>新規債返済スケジュール!AM3</f>
        <v>106519075</v>
      </c>
      <c r="BC60" s="39">
        <f>新規債返済スケジュール!AN3</f>
        <v>103015438</v>
      </c>
      <c r="BD60" s="39">
        <f>新規債返済スケジュール!AO3</f>
        <v>99399166</v>
      </c>
      <c r="BE60" s="39">
        <f>新規債返済スケジュール!AP3</f>
        <v>95667893</v>
      </c>
      <c r="BF60" s="39">
        <f>新規債返済スケジュール!AQ3</f>
        <v>91819203</v>
      </c>
      <c r="BG60" s="39">
        <f>新規債返済スケジュール!AR3</f>
        <v>87850631</v>
      </c>
      <c r="BH60" s="39">
        <f>新規債返済スケジュール!AS3</f>
        <v>83759660</v>
      </c>
      <c r="BI60" s="39">
        <f>新規債返済スケジュール!AT3</f>
        <v>79543718</v>
      </c>
      <c r="BJ60" s="39">
        <f>新規債返済スケジュール!AU3</f>
        <v>75387979</v>
      </c>
      <c r="BK60" s="39">
        <f>新規債返済スケジュール!AV3</f>
        <v>71264806</v>
      </c>
      <c r="BL60" s="39">
        <f>新規債返済スケジュール!AW3</f>
        <v>66316488</v>
      </c>
      <c r="BM60" s="39">
        <f>新規債返済スケジュール!AX3</f>
        <v>61578297</v>
      </c>
      <c r="BN60" s="39">
        <f>新規債返済スケジュール!AY3</f>
        <v>57042927</v>
      </c>
      <c r="BO60" s="39">
        <f>新規債返済スケジュール!AZ3</f>
        <v>52597455</v>
      </c>
      <c r="BP60" s="39">
        <f>新規債返済スケジュール!BA3</f>
        <v>48243774</v>
      </c>
      <c r="BQ60" s="39">
        <f>新規債返済スケジュール!BB3</f>
        <v>44022870</v>
      </c>
    </row>
    <row r="61" spans="2:69">
      <c r="B61" s="4"/>
      <c r="C61" s="3"/>
      <c r="D61" s="9" t="s">
        <v>106</v>
      </c>
      <c r="E61" s="8"/>
      <c r="F61" s="1"/>
      <c r="G61" s="10"/>
      <c r="H61" s="10" t="s">
        <v>166</v>
      </c>
      <c r="I61" s="10"/>
      <c r="J61" s="10"/>
      <c r="K61" s="1" t="s">
        <v>560</v>
      </c>
      <c r="L61" s="1"/>
      <c r="M61" s="1"/>
      <c r="N61" s="39" t="e">
        <f>【PL】決算数値入力!#REF!</f>
        <v>#REF!</v>
      </c>
      <c r="O61" s="39" t="e">
        <f>【PL】決算数値入力!#REF!</f>
        <v>#REF!</v>
      </c>
      <c r="P61" s="39" t="e">
        <f>【PL】決算数値入力!#REF!</f>
        <v>#REF!</v>
      </c>
      <c r="Q61" s="39" t="e">
        <f>【PL】決算数値入力!#REF!</f>
        <v>#REF!</v>
      </c>
      <c r="R61" s="39" t="e">
        <f>【PL】決算数値入力!#REF!</f>
        <v>#REF!</v>
      </c>
      <c r="S61" s="39" t="e">
        <f>【PL】決算数値入力!#REF!</f>
        <v>#REF!</v>
      </c>
      <c r="T61" s="39" t="e">
        <f>S61</f>
        <v>#REF!</v>
      </c>
      <c r="U61" s="39" t="e">
        <f t="shared" ref="U61:BQ61" si="21">T61</f>
        <v>#REF!</v>
      </c>
      <c r="V61" s="39" t="e">
        <f t="shared" si="21"/>
        <v>#REF!</v>
      </c>
      <c r="W61" s="39" t="e">
        <f t="shared" si="21"/>
        <v>#REF!</v>
      </c>
      <c r="X61" s="39" t="e">
        <f t="shared" si="21"/>
        <v>#REF!</v>
      </c>
      <c r="Y61" s="39" t="e">
        <f t="shared" si="21"/>
        <v>#REF!</v>
      </c>
      <c r="Z61" s="39" t="e">
        <f t="shared" si="21"/>
        <v>#REF!</v>
      </c>
      <c r="AA61" s="39" t="e">
        <f t="shared" si="21"/>
        <v>#REF!</v>
      </c>
      <c r="AB61" s="39" t="e">
        <f t="shared" si="21"/>
        <v>#REF!</v>
      </c>
      <c r="AC61" s="39" t="e">
        <f t="shared" si="21"/>
        <v>#REF!</v>
      </c>
      <c r="AD61" s="39" t="e">
        <f t="shared" si="21"/>
        <v>#REF!</v>
      </c>
      <c r="AE61" s="39" t="e">
        <f t="shared" si="21"/>
        <v>#REF!</v>
      </c>
      <c r="AF61" s="39" t="e">
        <f t="shared" si="21"/>
        <v>#REF!</v>
      </c>
      <c r="AG61" s="39" t="e">
        <f t="shared" si="21"/>
        <v>#REF!</v>
      </c>
      <c r="AH61" s="39" t="e">
        <f t="shared" si="21"/>
        <v>#REF!</v>
      </c>
      <c r="AI61" s="39" t="e">
        <f t="shared" si="21"/>
        <v>#REF!</v>
      </c>
      <c r="AJ61" s="39" t="e">
        <f t="shared" si="21"/>
        <v>#REF!</v>
      </c>
      <c r="AK61" s="39" t="e">
        <f t="shared" si="21"/>
        <v>#REF!</v>
      </c>
      <c r="AL61" s="39" t="e">
        <f t="shared" si="21"/>
        <v>#REF!</v>
      </c>
      <c r="AM61" s="39" t="e">
        <f t="shared" si="21"/>
        <v>#REF!</v>
      </c>
      <c r="AN61" s="39" t="e">
        <f t="shared" si="21"/>
        <v>#REF!</v>
      </c>
      <c r="AO61" s="39" t="e">
        <f t="shared" si="21"/>
        <v>#REF!</v>
      </c>
      <c r="AP61" s="39" t="e">
        <f t="shared" si="21"/>
        <v>#REF!</v>
      </c>
      <c r="AQ61" s="39" t="e">
        <f t="shared" si="21"/>
        <v>#REF!</v>
      </c>
      <c r="AR61" s="39" t="e">
        <f t="shared" si="21"/>
        <v>#REF!</v>
      </c>
      <c r="AS61" s="39" t="e">
        <f t="shared" si="21"/>
        <v>#REF!</v>
      </c>
      <c r="AT61" s="39" t="e">
        <f t="shared" si="21"/>
        <v>#REF!</v>
      </c>
      <c r="AU61" s="39" t="e">
        <f t="shared" si="21"/>
        <v>#REF!</v>
      </c>
      <c r="AV61" s="39" t="e">
        <f t="shared" si="21"/>
        <v>#REF!</v>
      </c>
      <c r="AW61" s="39" t="e">
        <f t="shared" si="21"/>
        <v>#REF!</v>
      </c>
      <c r="AX61" s="39" t="e">
        <f t="shared" si="21"/>
        <v>#REF!</v>
      </c>
      <c r="AY61" s="39" t="e">
        <f t="shared" si="21"/>
        <v>#REF!</v>
      </c>
      <c r="AZ61" s="39" t="e">
        <f t="shared" si="21"/>
        <v>#REF!</v>
      </c>
      <c r="BA61" s="39" t="e">
        <f t="shared" si="21"/>
        <v>#REF!</v>
      </c>
      <c r="BB61" s="39" t="e">
        <f t="shared" si="21"/>
        <v>#REF!</v>
      </c>
      <c r="BC61" s="39" t="e">
        <f t="shared" si="21"/>
        <v>#REF!</v>
      </c>
      <c r="BD61" s="39" t="e">
        <f t="shared" si="21"/>
        <v>#REF!</v>
      </c>
      <c r="BE61" s="39" t="e">
        <f t="shared" si="21"/>
        <v>#REF!</v>
      </c>
      <c r="BF61" s="39" t="e">
        <f t="shared" si="21"/>
        <v>#REF!</v>
      </c>
      <c r="BG61" s="39" t="e">
        <f t="shared" si="21"/>
        <v>#REF!</v>
      </c>
      <c r="BH61" s="39" t="e">
        <f t="shared" si="21"/>
        <v>#REF!</v>
      </c>
      <c r="BI61" s="39" t="e">
        <f t="shared" si="21"/>
        <v>#REF!</v>
      </c>
      <c r="BJ61" s="39" t="e">
        <f t="shared" si="21"/>
        <v>#REF!</v>
      </c>
      <c r="BK61" s="39" t="e">
        <f t="shared" si="21"/>
        <v>#REF!</v>
      </c>
      <c r="BL61" s="39" t="e">
        <f t="shared" si="21"/>
        <v>#REF!</v>
      </c>
      <c r="BM61" s="39" t="e">
        <f t="shared" si="21"/>
        <v>#REF!</v>
      </c>
      <c r="BN61" s="39" t="e">
        <f t="shared" si="21"/>
        <v>#REF!</v>
      </c>
      <c r="BO61" s="39" t="e">
        <f t="shared" si="21"/>
        <v>#REF!</v>
      </c>
      <c r="BP61" s="39" t="e">
        <f t="shared" si="21"/>
        <v>#REF!</v>
      </c>
      <c r="BQ61" s="39" t="e">
        <f t="shared" si="21"/>
        <v>#REF!</v>
      </c>
    </row>
    <row r="62" spans="2:69">
      <c r="B62" s="4"/>
      <c r="C62" s="5" t="s">
        <v>107</v>
      </c>
      <c r="D62" s="7"/>
      <c r="E62" s="8"/>
      <c r="F62" s="1"/>
      <c r="G62" s="10"/>
      <c r="H62" s="10"/>
      <c r="I62" s="10"/>
      <c r="J62" s="10"/>
      <c r="K62" s="1"/>
      <c r="L62" s="1"/>
      <c r="M62" s="1"/>
      <c r="N62" s="39" t="e">
        <f>【PL】決算数値入力!#REF!</f>
        <v>#REF!</v>
      </c>
      <c r="O62" s="39" t="e">
        <f>【PL】決算数値入力!#REF!</f>
        <v>#REF!</v>
      </c>
      <c r="P62" s="39" t="e">
        <f>【PL】決算数値入力!#REF!</f>
        <v>#REF!</v>
      </c>
      <c r="Q62" s="39" t="e">
        <f>【PL】決算数値入力!#REF!</f>
        <v>#REF!</v>
      </c>
      <c r="R62" s="39" t="e">
        <f>【PL】決算数値入力!#REF!</f>
        <v>#REF!</v>
      </c>
      <c r="S62" s="39" t="e">
        <f>【PL】決算数値入力!#REF!</f>
        <v>#REF!</v>
      </c>
      <c r="T62" s="39">
        <f t="shared" ref="T62:BQ62" si="22">SUM(T63:T66)</f>
        <v>0</v>
      </c>
      <c r="U62" s="39">
        <f t="shared" si="22"/>
        <v>0</v>
      </c>
      <c r="V62" s="39">
        <f t="shared" si="22"/>
        <v>0</v>
      </c>
      <c r="W62" s="39">
        <f t="shared" si="22"/>
        <v>0</v>
      </c>
      <c r="X62" s="39">
        <f t="shared" si="22"/>
        <v>0</v>
      </c>
      <c r="Y62" s="39">
        <f t="shared" si="22"/>
        <v>0</v>
      </c>
      <c r="Z62" s="39">
        <f t="shared" si="22"/>
        <v>0</v>
      </c>
      <c r="AA62" s="39">
        <f t="shared" si="22"/>
        <v>0</v>
      </c>
      <c r="AB62" s="39">
        <f t="shared" si="22"/>
        <v>0</v>
      </c>
      <c r="AC62" s="39">
        <f t="shared" si="22"/>
        <v>0</v>
      </c>
      <c r="AD62" s="39">
        <f t="shared" si="22"/>
        <v>0</v>
      </c>
      <c r="AE62" s="39">
        <f t="shared" si="22"/>
        <v>0</v>
      </c>
      <c r="AF62" s="39">
        <f t="shared" si="22"/>
        <v>0</v>
      </c>
      <c r="AG62" s="39">
        <f t="shared" si="22"/>
        <v>0</v>
      </c>
      <c r="AH62" s="39">
        <f t="shared" si="22"/>
        <v>0</v>
      </c>
      <c r="AI62" s="39">
        <f t="shared" si="22"/>
        <v>0</v>
      </c>
      <c r="AJ62" s="39">
        <f t="shared" si="22"/>
        <v>0</v>
      </c>
      <c r="AK62" s="39">
        <f t="shared" si="22"/>
        <v>0</v>
      </c>
      <c r="AL62" s="39">
        <f t="shared" si="22"/>
        <v>0</v>
      </c>
      <c r="AM62" s="39">
        <f t="shared" si="22"/>
        <v>0</v>
      </c>
      <c r="AN62" s="39">
        <f t="shared" si="22"/>
        <v>0</v>
      </c>
      <c r="AO62" s="39">
        <f t="shared" si="22"/>
        <v>0</v>
      </c>
      <c r="AP62" s="39">
        <f t="shared" si="22"/>
        <v>0</v>
      </c>
      <c r="AQ62" s="39">
        <f t="shared" si="22"/>
        <v>0</v>
      </c>
      <c r="AR62" s="39">
        <f t="shared" si="22"/>
        <v>0</v>
      </c>
      <c r="AS62" s="39">
        <f t="shared" si="22"/>
        <v>0</v>
      </c>
      <c r="AT62" s="39">
        <f t="shared" si="22"/>
        <v>0</v>
      </c>
      <c r="AU62" s="39">
        <f t="shared" si="22"/>
        <v>0</v>
      </c>
      <c r="AV62" s="39">
        <f t="shared" si="22"/>
        <v>0</v>
      </c>
      <c r="AW62" s="39">
        <f t="shared" si="22"/>
        <v>0</v>
      </c>
      <c r="AX62" s="39">
        <f t="shared" si="22"/>
        <v>0</v>
      </c>
      <c r="AY62" s="39">
        <f t="shared" si="22"/>
        <v>0</v>
      </c>
      <c r="AZ62" s="39">
        <f t="shared" si="22"/>
        <v>0</v>
      </c>
      <c r="BA62" s="39">
        <f t="shared" si="22"/>
        <v>0</v>
      </c>
      <c r="BB62" s="39">
        <f t="shared" si="22"/>
        <v>0</v>
      </c>
      <c r="BC62" s="39">
        <f t="shared" si="22"/>
        <v>0</v>
      </c>
      <c r="BD62" s="39">
        <f t="shared" si="22"/>
        <v>0</v>
      </c>
      <c r="BE62" s="39">
        <f t="shared" si="22"/>
        <v>0</v>
      </c>
      <c r="BF62" s="39">
        <f t="shared" si="22"/>
        <v>0</v>
      </c>
      <c r="BG62" s="39">
        <f t="shared" si="22"/>
        <v>0</v>
      </c>
      <c r="BH62" s="39">
        <f t="shared" si="22"/>
        <v>0</v>
      </c>
      <c r="BI62" s="39">
        <f t="shared" si="22"/>
        <v>0</v>
      </c>
      <c r="BJ62" s="39">
        <f t="shared" si="22"/>
        <v>0</v>
      </c>
      <c r="BK62" s="39">
        <f t="shared" si="22"/>
        <v>0</v>
      </c>
      <c r="BL62" s="39">
        <f t="shared" si="22"/>
        <v>0</v>
      </c>
      <c r="BM62" s="39">
        <f t="shared" si="22"/>
        <v>0</v>
      </c>
      <c r="BN62" s="39">
        <f t="shared" si="22"/>
        <v>0</v>
      </c>
      <c r="BO62" s="39">
        <f t="shared" si="22"/>
        <v>0</v>
      </c>
      <c r="BP62" s="39">
        <f t="shared" si="22"/>
        <v>0</v>
      </c>
      <c r="BQ62" s="39">
        <f t="shared" si="22"/>
        <v>0</v>
      </c>
    </row>
    <row r="63" spans="2:69">
      <c r="B63" s="4"/>
      <c r="C63" s="4"/>
      <c r="D63" s="1" t="s">
        <v>108</v>
      </c>
      <c r="E63" s="1"/>
      <c r="F63" s="1"/>
      <c r="G63" s="10"/>
      <c r="H63" s="10" t="s">
        <v>166</v>
      </c>
      <c r="I63" s="10"/>
      <c r="J63" s="10"/>
      <c r="K63" s="1" t="s">
        <v>163</v>
      </c>
      <c r="L63" s="1"/>
      <c r="M63" s="1"/>
      <c r="N63" s="39" t="e">
        <f>【PL】決算数値入力!#REF!</f>
        <v>#REF!</v>
      </c>
      <c r="O63" s="39" t="e">
        <f>【PL】決算数値入力!#REF!</f>
        <v>#REF!</v>
      </c>
      <c r="P63" s="39" t="e">
        <f>【PL】決算数値入力!#REF!</f>
        <v>#REF!</v>
      </c>
      <c r="Q63" s="39" t="e">
        <f>【PL】決算数値入力!#REF!</f>
        <v>#REF!</v>
      </c>
      <c r="R63" s="39" t="e">
        <f>【PL】決算数値入力!#REF!</f>
        <v>#REF!</v>
      </c>
      <c r="S63" s="39" t="e">
        <f>【PL】決算数値入力!#REF!</f>
        <v>#REF!</v>
      </c>
      <c r="T63" s="40">
        <v>0</v>
      </c>
      <c r="U63" s="40">
        <v>0</v>
      </c>
      <c r="V63" s="40">
        <v>0</v>
      </c>
      <c r="W63" s="40">
        <v>0</v>
      </c>
      <c r="X63" s="40">
        <v>0</v>
      </c>
      <c r="Y63" s="40">
        <v>0</v>
      </c>
      <c r="Z63" s="40">
        <v>0</v>
      </c>
      <c r="AA63" s="40">
        <v>0</v>
      </c>
      <c r="AB63" s="40">
        <v>0</v>
      </c>
      <c r="AC63" s="40">
        <v>0</v>
      </c>
      <c r="AD63" s="40">
        <v>0</v>
      </c>
      <c r="AE63" s="40">
        <v>0</v>
      </c>
      <c r="AF63" s="40">
        <v>0</v>
      </c>
      <c r="AG63" s="40">
        <v>0</v>
      </c>
      <c r="AH63" s="40">
        <v>0</v>
      </c>
      <c r="AI63" s="40">
        <v>0</v>
      </c>
      <c r="AJ63" s="40">
        <v>0</v>
      </c>
      <c r="AK63" s="40">
        <v>0</v>
      </c>
      <c r="AL63" s="40">
        <v>0</v>
      </c>
      <c r="AM63" s="40">
        <v>0</v>
      </c>
      <c r="AN63" s="40">
        <v>0</v>
      </c>
      <c r="AO63" s="40">
        <v>0</v>
      </c>
      <c r="AP63" s="40">
        <v>0</v>
      </c>
      <c r="AQ63" s="40">
        <v>0</v>
      </c>
      <c r="AR63" s="40">
        <v>0</v>
      </c>
      <c r="AS63" s="40">
        <v>0</v>
      </c>
      <c r="AT63" s="40">
        <v>0</v>
      </c>
      <c r="AU63" s="40">
        <v>0</v>
      </c>
      <c r="AV63" s="40">
        <v>0</v>
      </c>
      <c r="AW63" s="40">
        <v>0</v>
      </c>
      <c r="AX63" s="40">
        <v>0</v>
      </c>
      <c r="AY63" s="40">
        <v>0</v>
      </c>
      <c r="AZ63" s="40">
        <v>0</v>
      </c>
      <c r="BA63" s="40">
        <v>0</v>
      </c>
      <c r="BB63" s="40">
        <v>0</v>
      </c>
      <c r="BC63" s="40">
        <v>0</v>
      </c>
      <c r="BD63" s="40">
        <v>0</v>
      </c>
      <c r="BE63" s="40">
        <v>0</v>
      </c>
      <c r="BF63" s="40">
        <v>0</v>
      </c>
      <c r="BG63" s="40">
        <v>0</v>
      </c>
      <c r="BH63" s="40">
        <v>0</v>
      </c>
      <c r="BI63" s="40">
        <v>0</v>
      </c>
      <c r="BJ63" s="40">
        <v>0</v>
      </c>
      <c r="BK63" s="40">
        <v>0</v>
      </c>
      <c r="BL63" s="40">
        <v>0</v>
      </c>
      <c r="BM63" s="40">
        <v>0</v>
      </c>
      <c r="BN63" s="40">
        <v>0</v>
      </c>
      <c r="BO63" s="40">
        <v>0</v>
      </c>
      <c r="BP63" s="40">
        <v>0</v>
      </c>
      <c r="BQ63" s="40">
        <v>0</v>
      </c>
    </row>
    <row r="64" spans="2:69">
      <c r="B64" s="4"/>
      <c r="C64" s="4"/>
      <c r="D64" s="1" t="s">
        <v>109</v>
      </c>
      <c r="E64" s="1"/>
      <c r="F64" s="1"/>
      <c r="G64" s="10"/>
      <c r="H64" s="10" t="s">
        <v>166</v>
      </c>
      <c r="I64" s="10"/>
      <c r="J64" s="10"/>
      <c r="K64" s="1" t="s">
        <v>163</v>
      </c>
      <c r="L64" s="1"/>
      <c r="M64" s="1"/>
      <c r="N64" s="39" t="e">
        <f>【PL】決算数値入力!#REF!</f>
        <v>#REF!</v>
      </c>
      <c r="O64" s="39" t="e">
        <f>【PL】決算数値入力!#REF!</f>
        <v>#REF!</v>
      </c>
      <c r="P64" s="39" t="e">
        <f>【PL】決算数値入力!#REF!</f>
        <v>#REF!</v>
      </c>
      <c r="Q64" s="39" t="e">
        <f>【PL】決算数値入力!#REF!</f>
        <v>#REF!</v>
      </c>
      <c r="R64" s="39" t="e">
        <f>【PL】決算数値入力!#REF!</f>
        <v>#REF!</v>
      </c>
      <c r="S64" s="39" t="e">
        <f>【PL】決算数値入力!#REF!</f>
        <v>#REF!</v>
      </c>
      <c r="T64" s="40">
        <v>0</v>
      </c>
      <c r="U64" s="40">
        <v>0</v>
      </c>
      <c r="V64" s="40">
        <v>0</v>
      </c>
      <c r="W64" s="40">
        <v>0</v>
      </c>
      <c r="X64" s="40">
        <v>0</v>
      </c>
      <c r="Y64" s="40">
        <v>0</v>
      </c>
      <c r="Z64" s="40">
        <v>0</v>
      </c>
      <c r="AA64" s="40">
        <v>0</v>
      </c>
      <c r="AB64" s="40">
        <v>0</v>
      </c>
      <c r="AC64" s="40">
        <v>0</v>
      </c>
      <c r="AD64" s="40">
        <v>0</v>
      </c>
      <c r="AE64" s="40">
        <v>0</v>
      </c>
      <c r="AF64" s="40">
        <v>0</v>
      </c>
      <c r="AG64" s="40">
        <v>0</v>
      </c>
      <c r="AH64" s="40">
        <v>0</v>
      </c>
      <c r="AI64" s="40">
        <v>0</v>
      </c>
      <c r="AJ64" s="40">
        <v>0</v>
      </c>
      <c r="AK64" s="40">
        <v>0</v>
      </c>
      <c r="AL64" s="40">
        <v>0</v>
      </c>
      <c r="AM64" s="40">
        <v>0</v>
      </c>
      <c r="AN64" s="40">
        <v>0</v>
      </c>
      <c r="AO64" s="40">
        <v>0</v>
      </c>
      <c r="AP64" s="40">
        <v>0</v>
      </c>
      <c r="AQ64" s="40">
        <v>0</v>
      </c>
      <c r="AR64" s="40">
        <v>0</v>
      </c>
      <c r="AS64" s="40">
        <v>0</v>
      </c>
      <c r="AT64" s="40">
        <v>0</v>
      </c>
      <c r="AU64" s="40">
        <v>0</v>
      </c>
      <c r="AV64" s="40">
        <v>0</v>
      </c>
      <c r="AW64" s="40">
        <v>0</v>
      </c>
      <c r="AX64" s="40">
        <v>0</v>
      </c>
      <c r="AY64" s="40">
        <v>0</v>
      </c>
      <c r="AZ64" s="40">
        <v>0</v>
      </c>
      <c r="BA64" s="40">
        <v>0</v>
      </c>
      <c r="BB64" s="40">
        <v>0</v>
      </c>
      <c r="BC64" s="40">
        <v>0</v>
      </c>
      <c r="BD64" s="40">
        <v>0</v>
      </c>
      <c r="BE64" s="40">
        <v>0</v>
      </c>
      <c r="BF64" s="40">
        <v>0</v>
      </c>
      <c r="BG64" s="40">
        <v>0</v>
      </c>
      <c r="BH64" s="40">
        <v>0</v>
      </c>
      <c r="BI64" s="40">
        <v>0</v>
      </c>
      <c r="BJ64" s="40">
        <v>0</v>
      </c>
      <c r="BK64" s="40">
        <v>0</v>
      </c>
      <c r="BL64" s="40">
        <v>0</v>
      </c>
      <c r="BM64" s="40">
        <v>0</v>
      </c>
      <c r="BN64" s="40">
        <v>0</v>
      </c>
      <c r="BO64" s="40">
        <v>0</v>
      </c>
      <c r="BP64" s="40">
        <v>0</v>
      </c>
      <c r="BQ64" s="40">
        <v>0</v>
      </c>
    </row>
    <row r="65" spans="2:69">
      <c r="B65" s="4"/>
      <c r="C65" s="4"/>
      <c r="D65" s="1" t="s">
        <v>110</v>
      </c>
      <c r="E65" s="1"/>
      <c r="F65" s="1"/>
      <c r="G65" s="10"/>
      <c r="H65" s="10" t="s">
        <v>166</v>
      </c>
      <c r="I65" s="10"/>
      <c r="J65" s="10"/>
      <c r="K65" s="1" t="s">
        <v>163</v>
      </c>
      <c r="L65" s="1"/>
      <c r="M65" s="1"/>
      <c r="N65" s="39" t="e">
        <f>【PL】決算数値入力!#REF!</f>
        <v>#REF!</v>
      </c>
      <c r="O65" s="39" t="e">
        <f>【PL】決算数値入力!#REF!</f>
        <v>#REF!</v>
      </c>
      <c r="P65" s="39" t="e">
        <f>【PL】決算数値入力!#REF!</f>
        <v>#REF!</v>
      </c>
      <c r="Q65" s="39" t="e">
        <f>【PL】決算数値入力!#REF!</f>
        <v>#REF!</v>
      </c>
      <c r="R65" s="39" t="e">
        <f>【PL】決算数値入力!#REF!</f>
        <v>#REF!</v>
      </c>
      <c r="S65" s="39" t="e">
        <f>【PL】決算数値入力!#REF!</f>
        <v>#REF!</v>
      </c>
      <c r="T65" s="40">
        <v>0</v>
      </c>
      <c r="U65" s="40">
        <v>0</v>
      </c>
      <c r="V65" s="40">
        <v>0</v>
      </c>
      <c r="W65" s="40">
        <v>0</v>
      </c>
      <c r="X65" s="40">
        <v>0</v>
      </c>
      <c r="Y65" s="40">
        <v>0</v>
      </c>
      <c r="Z65" s="40">
        <v>0</v>
      </c>
      <c r="AA65" s="40">
        <v>0</v>
      </c>
      <c r="AB65" s="40">
        <v>0</v>
      </c>
      <c r="AC65" s="40">
        <v>0</v>
      </c>
      <c r="AD65" s="40">
        <v>0</v>
      </c>
      <c r="AE65" s="40">
        <v>0</v>
      </c>
      <c r="AF65" s="40">
        <v>0</v>
      </c>
      <c r="AG65" s="40">
        <v>0</v>
      </c>
      <c r="AH65" s="40">
        <v>0</v>
      </c>
      <c r="AI65" s="40">
        <v>0</v>
      </c>
      <c r="AJ65" s="40">
        <v>0</v>
      </c>
      <c r="AK65" s="40">
        <v>0</v>
      </c>
      <c r="AL65" s="40">
        <v>0</v>
      </c>
      <c r="AM65" s="40">
        <v>0</v>
      </c>
      <c r="AN65" s="40">
        <v>0</v>
      </c>
      <c r="AO65" s="40">
        <v>0</v>
      </c>
      <c r="AP65" s="40">
        <v>0</v>
      </c>
      <c r="AQ65" s="40">
        <v>0</v>
      </c>
      <c r="AR65" s="40">
        <v>0</v>
      </c>
      <c r="AS65" s="40">
        <v>0</v>
      </c>
      <c r="AT65" s="40">
        <v>0</v>
      </c>
      <c r="AU65" s="40">
        <v>0</v>
      </c>
      <c r="AV65" s="40">
        <v>0</v>
      </c>
      <c r="AW65" s="40">
        <v>0</v>
      </c>
      <c r="AX65" s="40">
        <v>0</v>
      </c>
      <c r="AY65" s="40">
        <v>0</v>
      </c>
      <c r="AZ65" s="40">
        <v>0</v>
      </c>
      <c r="BA65" s="40">
        <v>0</v>
      </c>
      <c r="BB65" s="40">
        <v>0</v>
      </c>
      <c r="BC65" s="40">
        <v>0</v>
      </c>
      <c r="BD65" s="40">
        <v>0</v>
      </c>
      <c r="BE65" s="40">
        <v>0</v>
      </c>
      <c r="BF65" s="40">
        <v>0</v>
      </c>
      <c r="BG65" s="40">
        <v>0</v>
      </c>
      <c r="BH65" s="40">
        <v>0</v>
      </c>
      <c r="BI65" s="40">
        <v>0</v>
      </c>
      <c r="BJ65" s="40">
        <v>0</v>
      </c>
      <c r="BK65" s="40">
        <v>0</v>
      </c>
      <c r="BL65" s="40">
        <v>0</v>
      </c>
      <c r="BM65" s="40">
        <v>0</v>
      </c>
      <c r="BN65" s="40">
        <v>0</v>
      </c>
      <c r="BO65" s="40">
        <v>0</v>
      </c>
      <c r="BP65" s="40">
        <v>0</v>
      </c>
      <c r="BQ65" s="40">
        <v>0</v>
      </c>
    </row>
    <row r="66" spans="2:69">
      <c r="B66" s="3"/>
      <c r="C66" s="3"/>
      <c r="D66" s="1" t="s">
        <v>111</v>
      </c>
      <c r="E66" s="1"/>
      <c r="F66" s="1"/>
      <c r="G66" s="10"/>
      <c r="H66" s="10" t="s">
        <v>166</v>
      </c>
      <c r="I66" s="10"/>
      <c r="J66" s="10"/>
      <c r="K66" s="1" t="s">
        <v>163</v>
      </c>
      <c r="L66" s="1"/>
      <c r="M66" s="1"/>
      <c r="N66" s="39" t="e">
        <f>【PL】決算数値入力!#REF!</f>
        <v>#REF!</v>
      </c>
      <c r="O66" s="39" t="e">
        <f>【PL】決算数値入力!#REF!</f>
        <v>#REF!</v>
      </c>
      <c r="P66" s="39" t="e">
        <f>【PL】決算数値入力!#REF!</f>
        <v>#REF!</v>
      </c>
      <c r="Q66" s="39" t="e">
        <f>【PL】決算数値入力!#REF!</f>
        <v>#REF!</v>
      </c>
      <c r="R66" s="39" t="e">
        <f>【PL】決算数値入力!#REF!</f>
        <v>#REF!</v>
      </c>
      <c r="S66" s="39" t="e">
        <f>【PL】決算数値入力!#REF!</f>
        <v>#REF!</v>
      </c>
      <c r="T66" s="40">
        <v>0</v>
      </c>
      <c r="U66" s="40">
        <v>0</v>
      </c>
      <c r="V66" s="40">
        <v>0</v>
      </c>
      <c r="W66" s="40">
        <v>0</v>
      </c>
      <c r="X66" s="40">
        <v>0</v>
      </c>
      <c r="Y66" s="40">
        <v>0</v>
      </c>
      <c r="Z66" s="40">
        <v>0</v>
      </c>
      <c r="AA66" s="40">
        <v>0</v>
      </c>
      <c r="AB66" s="40">
        <v>0</v>
      </c>
      <c r="AC66" s="40">
        <v>0</v>
      </c>
      <c r="AD66" s="40">
        <v>0</v>
      </c>
      <c r="AE66" s="40">
        <v>0</v>
      </c>
      <c r="AF66" s="40">
        <v>0</v>
      </c>
      <c r="AG66" s="40">
        <v>0</v>
      </c>
      <c r="AH66" s="40">
        <v>0</v>
      </c>
      <c r="AI66" s="40">
        <v>0</v>
      </c>
      <c r="AJ66" s="40">
        <v>0</v>
      </c>
      <c r="AK66" s="40">
        <v>0</v>
      </c>
      <c r="AL66" s="40">
        <v>0</v>
      </c>
      <c r="AM66" s="40">
        <v>0</v>
      </c>
      <c r="AN66" s="40">
        <v>0</v>
      </c>
      <c r="AO66" s="40">
        <v>0</v>
      </c>
      <c r="AP66" s="40">
        <v>0</v>
      </c>
      <c r="AQ66" s="40">
        <v>0</v>
      </c>
      <c r="AR66" s="40">
        <v>0</v>
      </c>
      <c r="AS66" s="40">
        <v>0</v>
      </c>
      <c r="AT66" s="40">
        <v>0</v>
      </c>
      <c r="AU66" s="40">
        <v>0</v>
      </c>
      <c r="AV66" s="40">
        <v>0</v>
      </c>
      <c r="AW66" s="40">
        <v>0</v>
      </c>
      <c r="AX66" s="40">
        <v>0</v>
      </c>
      <c r="AY66" s="40">
        <v>0</v>
      </c>
      <c r="AZ66" s="40">
        <v>0</v>
      </c>
      <c r="BA66" s="40">
        <v>0</v>
      </c>
      <c r="BB66" s="40">
        <v>0</v>
      </c>
      <c r="BC66" s="40">
        <v>0</v>
      </c>
      <c r="BD66" s="40">
        <v>0</v>
      </c>
      <c r="BE66" s="40">
        <v>0</v>
      </c>
      <c r="BF66" s="40">
        <v>0</v>
      </c>
      <c r="BG66" s="40">
        <v>0</v>
      </c>
      <c r="BH66" s="40">
        <v>0</v>
      </c>
      <c r="BI66" s="40">
        <v>0</v>
      </c>
      <c r="BJ66" s="40">
        <v>0</v>
      </c>
      <c r="BK66" s="40">
        <v>0</v>
      </c>
      <c r="BL66" s="40">
        <v>0</v>
      </c>
      <c r="BM66" s="40">
        <v>0</v>
      </c>
      <c r="BN66" s="40">
        <v>0</v>
      </c>
      <c r="BO66" s="40">
        <v>0</v>
      </c>
      <c r="BP66" s="40">
        <v>0</v>
      </c>
      <c r="BQ66" s="40">
        <v>0</v>
      </c>
    </row>
    <row r="67" spans="2:69">
      <c r="B67" s="9" t="s">
        <v>112</v>
      </c>
      <c r="C67" s="7"/>
      <c r="D67" s="7"/>
      <c r="E67" s="8"/>
      <c r="F67" s="1"/>
      <c r="G67" s="10"/>
      <c r="H67" s="10"/>
      <c r="I67" s="10"/>
      <c r="J67" s="10"/>
      <c r="K67" s="1"/>
      <c r="L67" s="1"/>
      <c r="M67" s="1"/>
      <c r="N67" s="39" t="e">
        <f>【PL】決算数値入力!#REF!</f>
        <v>#REF!</v>
      </c>
      <c r="O67" s="39" t="e">
        <f>【PL】決算数値入力!#REF!</f>
        <v>#REF!</v>
      </c>
      <c r="P67" s="39" t="e">
        <f>【PL】決算数値入力!#REF!</f>
        <v>#REF!</v>
      </c>
      <c r="Q67" s="39" t="e">
        <f>【PL】決算数値入力!#REF!</f>
        <v>#REF!</v>
      </c>
      <c r="R67" s="39" t="e">
        <f>【PL】決算数値入力!#REF!</f>
        <v>#REF!</v>
      </c>
      <c r="S67" s="39" t="e">
        <f>【PL】決算数値入力!#REF!</f>
        <v>#REF!</v>
      </c>
      <c r="T67" s="39" t="e">
        <f t="shared" ref="T67:BQ67" si="23">T5-T23</f>
        <v>#REF!</v>
      </c>
      <c r="U67" s="39" t="e">
        <f t="shared" si="23"/>
        <v>#REF!</v>
      </c>
      <c r="V67" s="39" t="e">
        <f t="shared" si="23"/>
        <v>#REF!</v>
      </c>
      <c r="W67" s="39" t="e">
        <f t="shared" si="23"/>
        <v>#REF!</v>
      </c>
      <c r="X67" s="39" t="e">
        <f t="shared" si="23"/>
        <v>#REF!</v>
      </c>
      <c r="Y67" s="39" t="e">
        <f t="shared" si="23"/>
        <v>#REF!</v>
      </c>
      <c r="Z67" s="39" t="e">
        <f t="shared" si="23"/>
        <v>#REF!</v>
      </c>
      <c r="AA67" s="39" t="e">
        <f t="shared" si="23"/>
        <v>#REF!</v>
      </c>
      <c r="AB67" s="39" t="e">
        <f t="shared" si="23"/>
        <v>#REF!</v>
      </c>
      <c r="AC67" s="39" t="e">
        <f t="shared" si="23"/>
        <v>#REF!</v>
      </c>
      <c r="AD67" s="39" t="e">
        <f t="shared" si="23"/>
        <v>#REF!</v>
      </c>
      <c r="AE67" s="39" t="e">
        <f t="shared" si="23"/>
        <v>#REF!</v>
      </c>
      <c r="AF67" s="39" t="e">
        <f t="shared" si="23"/>
        <v>#REF!</v>
      </c>
      <c r="AG67" s="39" t="e">
        <f t="shared" si="23"/>
        <v>#REF!</v>
      </c>
      <c r="AH67" s="39" t="e">
        <f t="shared" si="23"/>
        <v>#REF!</v>
      </c>
      <c r="AI67" s="39" t="e">
        <f t="shared" si="23"/>
        <v>#REF!</v>
      </c>
      <c r="AJ67" s="39" t="e">
        <f t="shared" si="23"/>
        <v>#REF!</v>
      </c>
      <c r="AK67" s="39" t="e">
        <f t="shared" si="23"/>
        <v>#REF!</v>
      </c>
      <c r="AL67" s="39" t="e">
        <f t="shared" si="23"/>
        <v>#REF!</v>
      </c>
      <c r="AM67" s="39" t="e">
        <f t="shared" si="23"/>
        <v>#REF!</v>
      </c>
      <c r="AN67" s="39" t="e">
        <f t="shared" si="23"/>
        <v>#REF!</v>
      </c>
      <c r="AO67" s="39" t="e">
        <f t="shared" si="23"/>
        <v>#REF!</v>
      </c>
      <c r="AP67" s="39" t="e">
        <f t="shared" si="23"/>
        <v>#REF!</v>
      </c>
      <c r="AQ67" s="39" t="e">
        <f t="shared" si="23"/>
        <v>#REF!</v>
      </c>
      <c r="AR67" s="39" t="e">
        <f t="shared" si="23"/>
        <v>#REF!</v>
      </c>
      <c r="AS67" s="39" t="e">
        <f t="shared" si="23"/>
        <v>#REF!</v>
      </c>
      <c r="AT67" s="39" t="e">
        <f t="shared" si="23"/>
        <v>#REF!</v>
      </c>
      <c r="AU67" s="39" t="e">
        <f t="shared" si="23"/>
        <v>#REF!</v>
      </c>
      <c r="AV67" s="39" t="e">
        <f t="shared" si="23"/>
        <v>#REF!</v>
      </c>
      <c r="AW67" s="39" t="e">
        <f t="shared" si="23"/>
        <v>#REF!</v>
      </c>
      <c r="AX67" s="39" t="e">
        <f t="shared" si="23"/>
        <v>#REF!</v>
      </c>
      <c r="AY67" s="39" t="e">
        <f t="shared" si="23"/>
        <v>#REF!</v>
      </c>
      <c r="AZ67" s="39" t="e">
        <f t="shared" si="23"/>
        <v>#REF!</v>
      </c>
      <c r="BA67" s="39" t="e">
        <f t="shared" si="23"/>
        <v>#REF!</v>
      </c>
      <c r="BB67" s="39" t="e">
        <f t="shared" si="23"/>
        <v>#REF!</v>
      </c>
      <c r="BC67" s="39" t="e">
        <f t="shared" si="23"/>
        <v>#REF!</v>
      </c>
      <c r="BD67" s="39" t="e">
        <f t="shared" si="23"/>
        <v>#REF!</v>
      </c>
      <c r="BE67" s="39" t="e">
        <f t="shared" si="23"/>
        <v>#REF!</v>
      </c>
      <c r="BF67" s="39" t="e">
        <f t="shared" si="23"/>
        <v>#REF!</v>
      </c>
      <c r="BG67" s="39" t="e">
        <f t="shared" si="23"/>
        <v>#REF!</v>
      </c>
      <c r="BH67" s="39" t="e">
        <f t="shared" si="23"/>
        <v>#REF!</v>
      </c>
      <c r="BI67" s="39" t="e">
        <f t="shared" si="23"/>
        <v>#REF!</v>
      </c>
      <c r="BJ67" s="39" t="e">
        <f t="shared" si="23"/>
        <v>#REF!</v>
      </c>
      <c r="BK67" s="39" t="e">
        <f t="shared" si="23"/>
        <v>#REF!</v>
      </c>
      <c r="BL67" s="39" t="e">
        <f t="shared" si="23"/>
        <v>#REF!</v>
      </c>
      <c r="BM67" s="39" t="e">
        <f t="shared" si="23"/>
        <v>#REF!</v>
      </c>
      <c r="BN67" s="39" t="e">
        <f t="shared" si="23"/>
        <v>#REF!</v>
      </c>
      <c r="BO67" s="39" t="e">
        <f t="shared" si="23"/>
        <v>#REF!</v>
      </c>
      <c r="BP67" s="39" t="e">
        <f t="shared" si="23"/>
        <v>#REF!</v>
      </c>
      <c r="BQ67" s="39" t="e">
        <f t="shared" si="23"/>
        <v>#REF!</v>
      </c>
    </row>
    <row r="69" spans="2:69">
      <c r="B69" t="s">
        <v>113</v>
      </c>
    </row>
    <row r="70" spans="2:69">
      <c r="B70" s="11" t="s">
        <v>1</v>
      </c>
      <c r="C70" s="11" t="s">
        <v>2</v>
      </c>
      <c r="D70" s="12" t="s">
        <v>3</v>
      </c>
      <c r="E70" s="13"/>
      <c r="F70" s="20" t="s">
        <v>4</v>
      </c>
      <c r="G70" s="14"/>
      <c r="H70" s="14"/>
      <c r="I70" s="15"/>
      <c r="J70" s="311" t="s">
        <v>162</v>
      </c>
      <c r="K70" s="313" t="s">
        <v>8</v>
      </c>
      <c r="L70" s="11" t="s">
        <v>9</v>
      </c>
      <c r="M70" s="11" t="s">
        <v>10</v>
      </c>
      <c r="N70" s="30" t="s">
        <v>11</v>
      </c>
      <c r="O70" s="31"/>
      <c r="P70" s="31"/>
      <c r="Q70" s="31"/>
      <c r="R70" s="32"/>
      <c r="S70" s="35" t="s">
        <v>177</v>
      </c>
      <c r="T70" s="33" t="s">
        <v>17</v>
      </c>
      <c r="U70" s="31"/>
      <c r="V70" s="31"/>
      <c r="W70" s="32"/>
      <c r="X70" s="34" t="s">
        <v>68</v>
      </c>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row>
    <row r="71" spans="2:69">
      <c r="B71" s="17"/>
      <c r="C71" s="17"/>
      <c r="D71" s="18"/>
      <c r="E71" s="19"/>
      <c r="F71" s="17"/>
      <c r="G71" s="16" t="s">
        <v>5</v>
      </c>
      <c r="H71" s="16" t="s">
        <v>6</v>
      </c>
      <c r="I71" s="16" t="s">
        <v>7</v>
      </c>
      <c r="J71" s="312"/>
      <c r="K71" s="314"/>
      <c r="L71" s="17"/>
      <c r="M71" s="17"/>
      <c r="N71" s="35" t="s">
        <v>12</v>
      </c>
      <c r="O71" s="35" t="s">
        <v>13</v>
      </c>
      <c r="P71" s="35" t="s">
        <v>14</v>
      </c>
      <c r="Q71" s="35" t="s">
        <v>15</v>
      </c>
      <c r="R71" s="35" t="s">
        <v>16</v>
      </c>
      <c r="S71" s="35"/>
      <c r="T71" s="35" t="s">
        <v>18</v>
      </c>
      <c r="U71" s="35" t="s">
        <v>19</v>
      </c>
      <c r="V71" s="35" t="s">
        <v>20</v>
      </c>
      <c r="W71" s="35" t="s">
        <v>21</v>
      </c>
      <c r="X71" s="35" t="s">
        <v>22</v>
      </c>
      <c r="Y71" s="35" t="s">
        <v>23</v>
      </c>
      <c r="Z71" s="35" t="s">
        <v>24</v>
      </c>
      <c r="AA71" s="35" t="s">
        <v>25</v>
      </c>
      <c r="AB71" s="35" t="s">
        <v>26</v>
      </c>
      <c r="AC71" s="35" t="s">
        <v>27</v>
      </c>
      <c r="AD71" s="35" t="s">
        <v>28</v>
      </c>
      <c r="AE71" s="35" t="s">
        <v>29</v>
      </c>
      <c r="AF71" s="35" t="s">
        <v>30</v>
      </c>
      <c r="AG71" s="35" t="s">
        <v>31</v>
      </c>
      <c r="AH71" s="35" t="s">
        <v>32</v>
      </c>
      <c r="AI71" s="35" t="s">
        <v>33</v>
      </c>
      <c r="AJ71" s="35" t="s">
        <v>34</v>
      </c>
      <c r="AK71" s="35" t="s">
        <v>35</v>
      </c>
      <c r="AL71" s="35" t="s">
        <v>36</v>
      </c>
      <c r="AM71" s="35" t="s">
        <v>37</v>
      </c>
      <c r="AN71" s="35" t="s">
        <v>38</v>
      </c>
      <c r="AO71" s="35" t="s">
        <v>39</v>
      </c>
      <c r="AP71" s="35" t="s">
        <v>40</v>
      </c>
      <c r="AQ71" s="35" t="s">
        <v>41</v>
      </c>
      <c r="AR71" s="35" t="s">
        <v>42</v>
      </c>
      <c r="AS71" s="35" t="s">
        <v>43</v>
      </c>
      <c r="AT71" s="35" t="s">
        <v>44</v>
      </c>
      <c r="AU71" s="35" t="s">
        <v>45</v>
      </c>
      <c r="AV71" s="35" t="s">
        <v>46</v>
      </c>
      <c r="AW71" s="35" t="s">
        <v>47</v>
      </c>
      <c r="AX71" s="35" t="s">
        <v>48</v>
      </c>
      <c r="AY71" s="35" t="s">
        <v>49</v>
      </c>
      <c r="AZ71" s="35" t="s">
        <v>50</v>
      </c>
      <c r="BA71" s="35" t="s">
        <v>51</v>
      </c>
      <c r="BB71" s="35" t="s">
        <v>52</v>
      </c>
      <c r="BC71" s="35" t="s">
        <v>53</v>
      </c>
      <c r="BD71" s="35" t="s">
        <v>54</v>
      </c>
      <c r="BE71" s="35" t="s">
        <v>55</v>
      </c>
      <c r="BF71" s="35" t="s">
        <v>56</v>
      </c>
      <c r="BG71" s="35" t="s">
        <v>57</v>
      </c>
      <c r="BH71" s="35" t="s">
        <v>58</v>
      </c>
      <c r="BI71" s="35" t="s">
        <v>59</v>
      </c>
      <c r="BJ71" s="35" t="s">
        <v>60</v>
      </c>
      <c r="BK71" s="35" t="s">
        <v>61</v>
      </c>
      <c r="BL71" s="35" t="s">
        <v>62</v>
      </c>
      <c r="BM71" s="35" t="s">
        <v>63</v>
      </c>
      <c r="BN71" s="35" t="s">
        <v>64</v>
      </c>
      <c r="BO71" s="35" t="s">
        <v>65</v>
      </c>
      <c r="BP71" s="35" t="s">
        <v>66</v>
      </c>
      <c r="BQ71" s="35" t="s">
        <v>67</v>
      </c>
    </row>
    <row r="72" spans="2:69">
      <c r="B72" s="5" t="s">
        <v>114</v>
      </c>
      <c r="C72" s="7"/>
      <c r="D72" s="7"/>
      <c r="E72" s="8"/>
      <c r="F72" s="67"/>
      <c r="G72" s="67"/>
      <c r="H72" s="67"/>
      <c r="I72" s="67"/>
      <c r="J72" s="67"/>
      <c r="K72" s="1"/>
      <c r="L72" s="1"/>
      <c r="M72" s="1"/>
      <c r="N72" s="39">
        <f>SUM(N73:N78)</f>
        <v>4548000</v>
      </c>
      <c r="O72" s="39">
        <f t="shared" ref="O72:R72" si="24">SUM(O73:O78)</f>
        <v>7788000</v>
      </c>
      <c r="P72" s="39">
        <f t="shared" si="24"/>
        <v>24637500</v>
      </c>
      <c r="Q72" s="39">
        <f t="shared" si="24"/>
        <v>0</v>
      </c>
      <c r="R72" s="39">
        <f t="shared" si="24"/>
        <v>9335000</v>
      </c>
      <c r="S72" s="39">
        <f t="shared" ref="S72:S99" si="25">IFERROR(AVERAGE(N72:R72),0)</f>
        <v>9261700</v>
      </c>
      <c r="T72" s="39">
        <f>SUM(T73:T78)</f>
        <v>150000000000000</v>
      </c>
      <c r="U72" s="39">
        <f>SUM(U73:U78)</f>
        <v>150000035000000</v>
      </c>
      <c r="V72" s="39">
        <f t="shared" ref="V72:BQ72" si="26">SUM(V73:V78)</f>
        <v>160000750000000</v>
      </c>
      <c r="W72" s="39">
        <f t="shared" si="26"/>
        <v>160000670000000</v>
      </c>
      <c r="X72" s="39">
        <f t="shared" si="26"/>
        <v>160000220000000</v>
      </c>
      <c r="Y72" s="39">
        <f t="shared" si="26"/>
        <v>160000070000000</v>
      </c>
      <c r="Z72" s="39">
        <f t="shared" si="26"/>
        <v>160000150000000</v>
      </c>
      <c r="AA72" s="39">
        <f t="shared" si="26"/>
        <v>160000150000000</v>
      </c>
      <c r="AB72" s="39">
        <f t="shared" si="26"/>
        <v>160000210000000</v>
      </c>
      <c r="AC72" s="39">
        <f t="shared" si="26"/>
        <v>160000130000000</v>
      </c>
      <c r="AD72" s="39">
        <f t="shared" si="26"/>
        <v>50000160000000</v>
      </c>
      <c r="AE72" s="39">
        <f t="shared" si="26"/>
        <v>50000130000000</v>
      </c>
      <c r="AF72" s="39">
        <f t="shared" si="26"/>
        <v>50000130000000</v>
      </c>
      <c r="AG72" s="39">
        <f t="shared" si="26"/>
        <v>50000500000000</v>
      </c>
      <c r="AH72" s="39">
        <f t="shared" si="26"/>
        <v>50000500000000</v>
      </c>
      <c r="AI72" s="39">
        <f t="shared" si="26"/>
        <v>50000500000000</v>
      </c>
      <c r="AJ72" s="39">
        <f t="shared" si="26"/>
        <v>50000500000000</v>
      </c>
      <c r="AK72" s="39">
        <f t="shared" si="26"/>
        <v>50000530000000</v>
      </c>
      <c r="AL72" s="39">
        <f t="shared" si="26"/>
        <v>50000550000000</v>
      </c>
      <c r="AM72" s="39">
        <f t="shared" si="26"/>
        <v>50000550000000</v>
      </c>
      <c r="AN72" s="39">
        <f t="shared" si="26"/>
        <v>50000550000000</v>
      </c>
      <c r="AO72" s="39">
        <f t="shared" si="26"/>
        <v>50000010000000</v>
      </c>
      <c r="AP72" s="39">
        <f t="shared" si="26"/>
        <v>50000010000000</v>
      </c>
      <c r="AQ72" s="39">
        <f t="shared" si="26"/>
        <v>50000010000000</v>
      </c>
      <c r="AR72" s="39">
        <f t="shared" si="26"/>
        <v>50000010000000</v>
      </c>
      <c r="AS72" s="39">
        <f t="shared" si="26"/>
        <v>50000010000000</v>
      </c>
      <c r="AT72" s="39">
        <f t="shared" si="26"/>
        <v>50000010000000</v>
      </c>
      <c r="AU72" s="39">
        <f t="shared" si="26"/>
        <v>50000010000000</v>
      </c>
      <c r="AV72" s="39">
        <f t="shared" si="26"/>
        <v>50000010000000</v>
      </c>
      <c r="AW72" s="39">
        <f t="shared" si="26"/>
        <v>50000010000000</v>
      </c>
      <c r="AX72" s="39">
        <f t="shared" si="26"/>
        <v>50000010000000</v>
      </c>
      <c r="AY72" s="39">
        <f t="shared" si="26"/>
        <v>50000010000000</v>
      </c>
      <c r="AZ72" s="39">
        <f t="shared" si="26"/>
        <v>50000010000000</v>
      </c>
      <c r="BA72" s="39">
        <f t="shared" si="26"/>
        <v>50000010000000</v>
      </c>
      <c r="BB72" s="39">
        <f t="shared" si="26"/>
        <v>50000010000000</v>
      </c>
      <c r="BC72" s="39">
        <f t="shared" si="26"/>
        <v>50000010000000</v>
      </c>
      <c r="BD72" s="39">
        <f t="shared" si="26"/>
        <v>50000010000000</v>
      </c>
      <c r="BE72" s="39">
        <f t="shared" si="26"/>
        <v>50000010000000</v>
      </c>
      <c r="BF72" s="39">
        <f t="shared" si="26"/>
        <v>50000010000000</v>
      </c>
      <c r="BG72" s="39">
        <f t="shared" si="26"/>
        <v>50000010000000</v>
      </c>
      <c r="BH72" s="39">
        <f t="shared" si="26"/>
        <v>50000010000000</v>
      </c>
      <c r="BI72" s="39">
        <f t="shared" si="26"/>
        <v>50000010000000</v>
      </c>
      <c r="BJ72" s="39">
        <f t="shared" si="26"/>
        <v>50000010000000</v>
      </c>
      <c r="BK72" s="39">
        <f t="shared" si="26"/>
        <v>0</v>
      </c>
      <c r="BL72" s="39">
        <f t="shared" si="26"/>
        <v>0</v>
      </c>
      <c r="BM72" s="39">
        <f t="shared" si="26"/>
        <v>0</v>
      </c>
      <c r="BN72" s="39">
        <f t="shared" si="26"/>
        <v>0</v>
      </c>
      <c r="BO72" s="39">
        <f t="shared" si="26"/>
        <v>0</v>
      </c>
      <c r="BP72" s="39">
        <f t="shared" si="26"/>
        <v>0</v>
      </c>
      <c r="BQ72" s="39">
        <f t="shared" si="26"/>
        <v>0</v>
      </c>
    </row>
    <row r="73" spans="2:69">
      <c r="B73" s="4"/>
      <c r="C73" s="9" t="s">
        <v>115</v>
      </c>
      <c r="D73" s="7"/>
      <c r="E73" s="8"/>
      <c r="F73" s="67"/>
      <c r="G73" s="67"/>
      <c r="H73" s="67"/>
      <c r="I73" s="67"/>
      <c r="J73" s="67"/>
      <c r="K73" s="1"/>
      <c r="L73" s="1"/>
      <c r="M73" s="1"/>
      <c r="N73" s="39"/>
      <c r="O73" s="39"/>
      <c r="P73" s="39"/>
      <c r="Q73" s="39"/>
      <c r="R73" s="39"/>
      <c r="S73" s="39">
        <f t="shared" si="25"/>
        <v>0</v>
      </c>
      <c r="T73" s="39">
        <f>IF((T81+T84+T91-T75-T76-T77)&lt;0,0,(T81+T84+T91-T75-T76-T77))</f>
        <v>149999993305595</v>
      </c>
      <c r="U73" s="39">
        <f t="shared" ref="U73:BQ73" si="27">IF((U81+U84+U91-U75-U76-U77)&lt;0,0,(U81+U84+U91-U75-U76-U77))</f>
        <v>150000035000000</v>
      </c>
      <c r="V73" s="39">
        <f t="shared" si="27"/>
        <v>160000750000000</v>
      </c>
      <c r="W73" s="39">
        <f t="shared" si="27"/>
        <v>160000670000000</v>
      </c>
      <c r="X73" s="39">
        <f t="shared" si="27"/>
        <v>160000220000000</v>
      </c>
      <c r="Y73" s="39">
        <f t="shared" si="27"/>
        <v>160000070000000</v>
      </c>
      <c r="Z73" s="39">
        <f t="shared" si="27"/>
        <v>160000150000000</v>
      </c>
      <c r="AA73" s="39">
        <f t="shared" si="27"/>
        <v>160000150000000</v>
      </c>
      <c r="AB73" s="39">
        <f t="shared" si="27"/>
        <v>160000210000000</v>
      </c>
      <c r="AC73" s="39">
        <f t="shared" si="27"/>
        <v>160000130000000</v>
      </c>
      <c r="AD73" s="39">
        <f t="shared" si="27"/>
        <v>50000160000000</v>
      </c>
      <c r="AE73" s="39">
        <f t="shared" si="27"/>
        <v>50000130000000</v>
      </c>
      <c r="AF73" s="39">
        <f t="shared" si="27"/>
        <v>50000130000000</v>
      </c>
      <c r="AG73" s="39">
        <f t="shared" si="27"/>
        <v>50000500000000</v>
      </c>
      <c r="AH73" s="39">
        <f t="shared" si="27"/>
        <v>50000500000000</v>
      </c>
      <c r="AI73" s="39">
        <f t="shared" si="27"/>
        <v>50000500000000</v>
      </c>
      <c r="AJ73" s="39">
        <f t="shared" si="27"/>
        <v>50000500000000</v>
      </c>
      <c r="AK73" s="39">
        <f t="shared" si="27"/>
        <v>50000530000000</v>
      </c>
      <c r="AL73" s="39">
        <f t="shared" si="27"/>
        <v>50000550000000</v>
      </c>
      <c r="AM73" s="39">
        <f t="shared" si="27"/>
        <v>50000550000000</v>
      </c>
      <c r="AN73" s="39">
        <f t="shared" si="27"/>
        <v>50000550000000</v>
      </c>
      <c r="AO73" s="39">
        <f t="shared" si="27"/>
        <v>50000010000000</v>
      </c>
      <c r="AP73" s="39">
        <f t="shared" si="27"/>
        <v>50000010000000</v>
      </c>
      <c r="AQ73" s="39">
        <f t="shared" si="27"/>
        <v>50000010000000</v>
      </c>
      <c r="AR73" s="39">
        <f t="shared" si="27"/>
        <v>50000010000000</v>
      </c>
      <c r="AS73" s="39">
        <f t="shared" si="27"/>
        <v>50000010000000</v>
      </c>
      <c r="AT73" s="39">
        <f t="shared" si="27"/>
        <v>50000010000000</v>
      </c>
      <c r="AU73" s="39">
        <f t="shared" si="27"/>
        <v>50000010000000</v>
      </c>
      <c r="AV73" s="39">
        <f t="shared" si="27"/>
        <v>50000010000000</v>
      </c>
      <c r="AW73" s="39">
        <f t="shared" si="27"/>
        <v>50000010000000</v>
      </c>
      <c r="AX73" s="39">
        <f t="shared" si="27"/>
        <v>50000010000000</v>
      </c>
      <c r="AY73" s="39">
        <f t="shared" si="27"/>
        <v>50000010000000</v>
      </c>
      <c r="AZ73" s="39">
        <f t="shared" si="27"/>
        <v>50000010000000</v>
      </c>
      <c r="BA73" s="39">
        <f t="shared" si="27"/>
        <v>50000010000000</v>
      </c>
      <c r="BB73" s="39">
        <f t="shared" si="27"/>
        <v>50000010000000</v>
      </c>
      <c r="BC73" s="39">
        <f t="shared" si="27"/>
        <v>50000010000000</v>
      </c>
      <c r="BD73" s="39">
        <f t="shared" si="27"/>
        <v>50000010000000</v>
      </c>
      <c r="BE73" s="39">
        <f t="shared" si="27"/>
        <v>50000010000000</v>
      </c>
      <c r="BF73" s="39">
        <f t="shared" si="27"/>
        <v>50000010000000</v>
      </c>
      <c r="BG73" s="39">
        <f t="shared" si="27"/>
        <v>50000010000000</v>
      </c>
      <c r="BH73" s="39">
        <f t="shared" si="27"/>
        <v>50000010000000</v>
      </c>
      <c r="BI73" s="39">
        <f t="shared" si="27"/>
        <v>50000010000000</v>
      </c>
      <c r="BJ73" s="39">
        <f t="shared" si="27"/>
        <v>50000010000000</v>
      </c>
      <c r="BK73" s="39">
        <f t="shared" si="27"/>
        <v>0</v>
      </c>
      <c r="BL73" s="39">
        <f t="shared" si="27"/>
        <v>0</v>
      </c>
      <c r="BM73" s="39">
        <f t="shared" si="27"/>
        <v>0</v>
      </c>
      <c r="BN73" s="39">
        <f t="shared" si="27"/>
        <v>0</v>
      </c>
      <c r="BO73" s="39">
        <f t="shared" si="27"/>
        <v>0</v>
      </c>
      <c r="BP73" s="39">
        <f t="shared" si="27"/>
        <v>0</v>
      </c>
      <c r="BQ73" s="39">
        <f t="shared" si="27"/>
        <v>0</v>
      </c>
    </row>
    <row r="74" spans="2:69">
      <c r="B74" s="4"/>
      <c r="C74" s="9" t="s">
        <v>116</v>
      </c>
      <c r="D74" s="7"/>
      <c r="E74" s="8"/>
      <c r="F74" s="67"/>
      <c r="G74" s="67"/>
      <c r="H74" s="67"/>
      <c r="I74" s="67"/>
      <c r="J74" s="67"/>
      <c r="K74" s="1" t="s">
        <v>169</v>
      </c>
      <c r="L74" s="1"/>
      <c r="M74" s="1"/>
      <c r="N74" s="39"/>
      <c r="O74" s="39"/>
      <c r="P74" s="39"/>
      <c r="Q74" s="39"/>
      <c r="R74" s="39"/>
      <c r="S74" s="39">
        <f t="shared" si="25"/>
        <v>0</v>
      </c>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row>
    <row r="75" spans="2:69">
      <c r="B75" s="4"/>
      <c r="C75" s="9" t="s">
        <v>76</v>
      </c>
      <c r="D75" s="7"/>
      <c r="E75" s="8"/>
      <c r="F75" s="67"/>
      <c r="G75" s="67"/>
      <c r="H75" s="67"/>
      <c r="I75" s="67"/>
      <c r="J75" s="67"/>
      <c r="K75" s="1" t="s">
        <v>579</v>
      </c>
      <c r="L75" s="1"/>
      <c r="M75" s="1"/>
      <c r="N75" s="39">
        <f>【PL】決算数値入力!K184</f>
        <v>4548000</v>
      </c>
      <c r="O75" s="39">
        <f>【PL】決算数値入力!L184</f>
        <v>7788000</v>
      </c>
      <c r="P75" s="39">
        <f>【PL】決算数値入力!M184</f>
        <v>24637500</v>
      </c>
      <c r="Q75" s="39">
        <f>【PL】決算数値入力!N184</f>
        <v>0</v>
      </c>
      <c r="R75" s="39">
        <f>【PL】決算数値入力!O184</f>
        <v>9335000</v>
      </c>
      <c r="S75" s="39">
        <f>【PL】決算数値入力!P184</f>
        <v>6694405</v>
      </c>
      <c r="T75" s="130">
        <f>$S$75</f>
        <v>6694405</v>
      </c>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row>
    <row r="76" spans="2:69">
      <c r="B76" s="4"/>
      <c r="C76" s="9" t="s">
        <v>117</v>
      </c>
      <c r="D76" s="7"/>
      <c r="E76" s="8"/>
      <c r="F76" s="67"/>
      <c r="G76" s="67"/>
      <c r="H76" s="67"/>
      <c r="I76" s="67"/>
      <c r="J76" s="67"/>
      <c r="K76" s="1" t="s">
        <v>169</v>
      </c>
      <c r="L76" s="1"/>
      <c r="M76" s="1"/>
      <c r="N76" s="39"/>
      <c r="O76" s="39"/>
      <c r="P76" s="39"/>
      <c r="Q76" s="39"/>
      <c r="R76" s="39"/>
      <c r="S76" s="39">
        <f t="shared" si="25"/>
        <v>0</v>
      </c>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row>
    <row r="77" spans="2:69">
      <c r="B77" s="4"/>
      <c r="C77" s="9" t="s">
        <v>118</v>
      </c>
      <c r="D77" s="7"/>
      <c r="E77" s="8"/>
      <c r="F77" s="67"/>
      <c r="G77" s="67"/>
      <c r="H77" s="67"/>
      <c r="I77" s="67"/>
      <c r="J77" s="67"/>
      <c r="K77" s="1" t="s">
        <v>169</v>
      </c>
      <c r="L77" s="1"/>
      <c r="M77" s="1"/>
      <c r="N77" s="39"/>
      <c r="O77" s="39"/>
      <c r="P77" s="39"/>
      <c r="Q77" s="39"/>
      <c r="R77" s="39"/>
      <c r="S77" s="39">
        <f t="shared" si="25"/>
        <v>0</v>
      </c>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row>
    <row r="78" spans="2:69">
      <c r="B78" s="3"/>
      <c r="C78" s="9" t="s">
        <v>119</v>
      </c>
      <c r="D78" s="7"/>
      <c r="E78" s="8"/>
      <c r="F78" s="67"/>
      <c r="G78" s="67"/>
      <c r="H78" s="67"/>
      <c r="I78" s="67"/>
      <c r="J78" s="67"/>
      <c r="K78" s="1" t="s">
        <v>163</v>
      </c>
      <c r="L78" s="1"/>
      <c r="M78" s="1"/>
      <c r="N78" s="39"/>
      <c r="O78" s="39"/>
      <c r="P78" s="39"/>
      <c r="Q78" s="39"/>
      <c r="R78" s="39"/>
      <c r="S78" s="39">
        <f t="shared" si="25"/>
        <v>0</v>
      </c>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row>
    <row r="79" spans="2:69">
      <c r="B79" s="5" t="s">
        <v>120</v>
      </c>
      <c r="C79" s="7"/>
      <c r="D79" s="7"/>
      <c r="E79" s="8"/>
      <c r="F79" s="67"/>
      <c r="G79" s="67"/>
      <c r="H79" s="67"/>
      <c r="I79" s="67"/>
      <c r="J79" s="67"/>
      <c r="K79" s="1"/>
      <c r="L79" s="1"/>
      <c r="M79" s="1"/>
      <c r="N79" s="39">
        <f>SUM(N80,N84:N85,N89,N95,N98)</f>
        <v>2746858038</v>
      </c>
      <c r="O79" s="39">
        <f t="shared" ref="O79:R79" si="28">SUM(O80,O84:O85,O89,O95,O98)</f>
        <v>150145895</v>
      </c>
      <c r="P79" s="39">
        <f t="shared" si="28"/>
        <v>345765337</v>
      </c>
      <c r="Q79" s="39">
        <f t="shared" si="28"/>
        <v>120983927</v>
      </c>
      <c r="R79" s="39">
        <f t="shared" si="28"/>
        <v>280177715</v>
      </c>
      <c r="S79" s="39">
        <f t="shared" si="25"/>
        <v>728786182.39999998</v>
      </c>
      <c r="T79" s="39">
        <f>SUM(T80,T84:T85,T89,T95,T98)</f>
        <v>160000079463153</v>
      </c>
      <c r="U79" s="39">
        <f t="shared" ref="U79:BQ79" si="29">SUM(U80,U84:U85,U89,U95,U98)</f>
        <v>250000103677346</v>
      </c>
      <c r="V79" s="39">
        <f t="shared" si="29"/>
        <v>260000809243717</v>
      </c>
      <c r="W79" s="39">
        <f t="shared" si="29"/>
        <v>260000726944226</v>
      </c>
      <c r="X79" s="39">
        <f t="shared" si="29"/>
        <v>260000264070542</v>
      </c>
      <c r="Y79" s="39">
        <f t="shared" si="29"/>
        <v>260000105997091</v>
      </c>
      <c r="Z79" s="39">
        <f t="shared" si="29"/>
        <v>160000187918317</v>
      </c>
      <c r="AA79" s="39">
        <f t="shared" si="29"/>
        <v>160000191518197</v>
      </c>
      <c r="AB79" s="39">
        <f t="shared" si="29"/>
        <v>160000256399311</v>
      </c>
      <c r="AC79" s="39">
        <f t="shared" si="29"/>
        <v>160000182991959</v>
      </c>
      <c r="AD79" s="39">
        <f t="shared" si="29"/>
        <v>50000218115657</v>
      </c>
      <c r="AE79" s="39">
        <f t="shared" si="29"/>
        <v>50000188670006</v>
      </c>
      <c r="AF79" s="39">
        <f t="shared" si="29"/>
        <v>50000192445456</v>
      </c>
      <c r="AG79" s="39">
        <f t="shared" si="29"/>
        <v>50000566300193</v>
      </c>
      <c r="AH79" s="39">
        <f t="shared" si="29"/>
        <v>50000576391834</v>
      </c>
      <c r="AI79" s="39">
        <f t="shared" si="29"/>
        <v>50000586695401</v>
      </c>
      <c r="AJ79" s="39">
        <f t="shared" si="29"/>
        <v>50000597215343</v>
      </c>
      <c r="AK79" s="39">
        <f t="shared" si="29"/>
        <v>50000637956201</v>
      </c>
      <c r="AL79" s="39">
        <f t="shared" si="29"/>
        <v>50000669408616</v>
      </c>
      <c r="AM79" s="39">
        <f t="shared" si="29"/>
        <v>50000681474127</v>
      </c>
      <c r="AN79" s="39">
        <f t="shared" si="29"/>
        <v>50000693793015</v>
      </c>
      <c r="AO79" s="39">
        <f t="shared" si="29"/>
        <v>50000166370600</v>
      </c>
      <c r="AP79" s="39">
        <f t="shared" si="29"/>
        <v>50000170464378</v>
      </c>
      <c r="AQ79" s="39">
        <f t="shared" si="29"/>
        <v>50000174644124</v>
      </c>
      <c r="AR79" s="39">
        <f t="shared" si="29"/>
        <v>50000178911643</v>
      </c>
      <c r="AS79" s="39">
        <f t="shared" si="29"/>
        <v>50000183268782</v>
      </c>
      <c r="AT79" s="39">
        <f t="shared" si="29"/>
        <v>50000187717420</v>
      </c>
      <c r="AU79" s="39">
        <f>SUM(AU80,AU84:AU85,AU89,AU95,AU98)</f>
        <v>50000192259480</v>
      </c>
      <c r="AV79" s="39">
        <f t="shared" si="29"/>
        <v>50000196896924</v>
      </c>
      <c r="AW79" s="39">
        <f t="shared" si="29"/>
        <v>50000201631756</v>
      </c>
      <c r="AX79" s="39">
        <f t="shared" si="29"/>
        <v>50000206466016</v>
      </c>
      <c r="AY79" s="39">
        <f t="shared" si="29"/>
        <v>50000211401796</v>
      </c>
      <c r="AZ79" s="39">
        <f t="shared" si="29"/>
        <v>50000216441228</v>
      </c>
      <c r="BA79" s="39">
        <f t="shared" si="29"/>
        <v>50000221586490</v>
      </c>
      <c r="BB79" s="39">
        <f t="shared" si="29"/>
        <v>50000226839797</v>
      </c>
      <c r="BC79" s="39">
        <f t="shared" si="29"/>
        <v>50000232203425</v>
      </c>
      <c r="BD79" s="39">
        <f t="shared" si="29"/>
        <v>50000237679692</v>
      </c>
      <c r="BE79" s="39">
        <f t="shared" si="29"/>
        <v>50000243270959</v>
      </c>
      <c r="BF79" s="39">
        <f t="shared" si="29"/>
        <v>50000248979645</v>
      </c>
      <c r="BG79" s="39">
        <f t="shared" si="29"/>
        <v>50000254808211</v>
      </c>
      <c r="BH79" s="39">
        <f t="shared" si="29"/>
        <v>50000260759180</v>
      </c>
      <c r="BI79" s="39">
        <f t="shared" si="29"/>
        <v>50000257892265</v>
      </c>
      <c r="BJ79" s="39">
        <f t="shared" si="29"/>
        <v>50000256341539</v>
      </c>
      <c r="BK79" s="39">
        <f t="shared" si="29"/>
        <v>235634235</v>
      </c>
      <c r="BL79" s="39">
        <f t="shared" si="29"/>
        <v>225628201</v>
      </c>
      <c r="BM79" s="39">
        <f t="shared" si="29"/>
        <v>215970039</v>
      </c>
      <c r="BN79" s="39">
        <f t="shared" si="29"/>
        <v>211689036</v>
      </c>
      <c r="BO79" s="39">
        <f t="shared" si="29"/>
        <v>207318131</v>
      </c>
      <c r="BP79" s="39">
        <f t="shared" si="29"/>
        <v>200995447</v>
      </c>
      <c r="BQ79" s="39">
        <f t="shared" si="29"/>
        <v>192307993</v>
      </c>
    </row>
    <row r="80" spans="2:69">
      <c r="B80" s="4"/>
      <c r="C80" s="5" t="s">
        <v>121</v>
      </c>
      <c r="D80" s="7"/>
      <c r="E80" s="8"/>
      <c r="F80" s="67"/>
      <c r="G80" s="67"/>
      <c r="H80" s="67"/>
      <c r="I80" s="67"/>
      <c r="J80" s="67"/>
      <c r="K80" s="1"/>
      <c r="L80" s="1"/>
      <c r="M80" s="1"/>
      <c r="N80" s="39">
        <f>SUM(N81)</f>
        <v>2741846624</v>
      </c>
      <c r="O80" s="39">
        <f t="shared" ref="O80:R80" si="30">SUM(O81)</f>
        <v>143318400</v>
      </c>
      <c r="P80" s="39">
        <f t="shared" si="30"/>
        <v>338424525</v>
      </c>
      <c r="Q80" s="39">
        <f t="shared" si="30"/>
        <v>111700392</v>
      </c>
      <c r="R80" s="39">
        <f t="shared" si="30"/>
        <v>267791962</v>
      </c>
      <c r="S80" s="39">
        <f t="shared" si="25"/>
        <v>720616380.60000002</v>
      </c>
      <c r="T80" s="39">
        <f t="shared" ref="T80:BQ80" si="31">SUM(T81)</f>
        <v>150000000000000</v>
      </c>
      <c r="U80" s="39">
        <f t="shared" si="31"/>
        <v>150000000000000</v>
      </c>
      <c r="V80" s="39">
        <f t="shared" si="31"/>
        <v>160000000000000</v>
      </c>
      <c r="W80" s="39">
        <f t="shared" si="31"/>
        <v>160000000000000</v>
      </c>
      <c r="X80" s="39">
        <f t="shared" si="31"/>
        <v>160000000000000</v>
      </c>
      <c r="Y80" s="39">
        <f t="shared" si="31"/>
        <v>160000000000000</v>
      </c>
      <c r="Z80" s="39">
        <f t="shared" si="31"/>
        <v>160000000000000</v>
      </c>
      <c r="AA80" s="39">
        <f t="shared" si="31"/>
        <v>160000000000000</v>
      </c>
      <c r="AB80" s="39">
        <f t="shared" si="31"/>
        <v>160000000000000</v>
      </c>
      <c r="AC80" s="39">
        <f t="shared" si="31"/>
        <v>160000000000000</v>
      </c>
      <c r="AD80" s="39">
        <f t="shared" si="31"/>
        <v>50000000000000</v>
      </c>
      <c r="AE80" s="39">
        <f t="shared" si="31"/>
        <v>50000000000000</v>
      </c>
      <c r="AF80" s="39">
        <f t="shared" si="31"/>
        <v>50000000000000</v>
      </c>
      <c r="AG80" s="39">
        <f t="shared" si="31"/>
        <v>50000000000000</v>
      </c>
      <c r="AH80" s="39">
        <f t="shared" si="31"/>
        <v>50000000000000</v>
      </c>
      <c r="AI80" s="39">
        <f t="shared" si="31"/>
        <v>50000000000000</v>
      </c>
      <c r="AJ80" s="39">
        <f t="shared" si="31"/>
        <v>50000000000000</v>
      </c>
      <c r="AK80" s="39">
        <f t="shared" si="31"/>
        <v>50000000000000</v>
      </c>
      <c r="AL80" s="39">
        <f t="shared" si="31"/>
        <v>50000000000000</v>
      </c>
      <c r="AM80" s="39">
        <f t="shared" si="31"/>
        <v>50000000000000</v>
      </c>
      <c r="AN80" s="39">
        <f t="shared" si="31"/>
        <v>50000000000000</v>
      </c>
      <c r="AO80" s="39">
        <f t="shared" si="31"/>
        <v>50000000000000</v>
      </c>
      <c r="AP80" s="39">
        <f t="shared" si="31"/>
        <v>50000000000000</v>
      </c>
      <c r="AQ80" s="39">
        <f t="shared" si="31"/>
        <v>50000000000000</v>
      </c>
      <c r="AR80" s="39">
        <f t="shared" si="31"/>
        <v>50000000000000</v>
      </c>
      <c r="AS80" s="39">
        <f t="shared" si="31"/>
        <v>50000000000000</v>
      </c>
      <c r="AT80" s="39">
        <f t="shared" si="31"/>
        <v>50000000000000</v>
      </c>
      <c r="AU80" s="39">
        <f t="shared" si="31"/>
        <v>50000000000000</v>
      </c>
      <c r="AV80" s="39">
        <f t="shared" si="31"/>
        <v>50000000000000</v>
      </c>
      <c r="AW80" s="39">
        <f t="shared" si="31"/>
        <v>50000000000000</v>
      </c>
      <c r="AX80" s="39">
        <f t="shared" si="31"/>
        <v>50000000000000</v>
      </c>
      <c r="AY80" s="39">
        <f t="shared" si="31"/>
        <v>50000000000000</v>
      </c>
      <c r="AZ80" s="39">
        <f t="shared" si="31"/>
        <v>50000000000000</v>
      </c>
      <c r="BA80" s="39">
        <f t="shared" si="31"/>
        <v>50000000000000</v>
      </c>
      <c r="BB80" s="39">
        <f t="shared" si="31"/>
        <v>50000000000000</v>
      </c>
      <c r="BC80" s="39">
        <f t="shared" si="31"/>
        <v>50000000000000</v>
      </c>
      <c r="BD80" s="39">
        <f t="shared" si="31"/>
        <v>50000000000000</v>
      </c>
      <c r="BE80" s="39">
        <f t="shared" si="31"/>
        <v>50000000000000</v>
      </c>
      <c r="BF80" s="39">
        <f t="shared" si="31"/>
        <v>50000000000000</v>
      </c>
      <c r="BG80" s="39">
        <f t="shared" si="31"/>
        <v>50000000000000</v>
      </c>
      <c r="BH80" s="39">
        <f t="shared" si="31"/>
        <v>50000000000000</v>
      </c>
      <c r="BI80" s="39">
        <f t="shared" si="31"/>
        <v>50000000000000</v>
      </c>
      <c r="BJ80" s="39">
        <f t="shared" si="31"/>
        <v>50000000000000</v>
      </c>
      <c r="BK80" s="39">
        <f t="shared" si="31"/>
        <v>0</v>
      </c>
      <c r="BL80" s="39">
        <f t="shared" si="31"/>
        <v>0</v>
      </c>
      <c r="BM80" s="39">
        <f t="shared" si="31"/>
        <v>0</v>
      </c>
      <c r="BN80" s="39">
        <f t="shared" si="31"/>
        <v>0</v>
      </c>
      <c r="BO80" s="39">
        <f t="shared" si="31"/>
        <v>0</v>
      </c>
      <c r="BP80" s="39">
        <f t="shared" si="31"/>
        <v>0</v>
      </c>
      <c r="BQ80" s="39">
        <f t="shared" si="31"/>
        <v>0</v>
      </c>
    </row>
    <row r="81" spans="2:69">
      <c r="B81" s="4"/>
      <c r="C81" s="4"/>
      <c r="D81" s="5" t="s">
        <v>122</v>
      </c>
      <c r="E81" s="8"/>
      <c r="F81" s="67"/>
      <c r="G81" s="67"/>
      <c r="H81" s="67"/>
      <c r="I81" s="67"/>
      <c r="J81" s="67"/>
      <c r="K81" s="1"/>
      <c r="L81" s="1"/>
      <c r="M81" s="1"/>
      <c r="N81" s="39">
        <f>SUM(N82:N83)</f>
        <v>2741846624</v>
      </c>
      <c r="O81" s="39">
        <f t="shared" ref="O81:R81" si="32">SUM(O82:O83)</f>
        <v>143318400</v>
      </c>
      <c r="P81" s="39">
        <f t="shared" si="32"/>
        <v>338424525</v>
      </c>
      <c r="Q81" s="39">
        <f t="shared" si="32"/>
        <v>111700392</v>
      </c>
      <c r="R81" s="39">
        <f t="shared" si="32"/>
        <v>267791962</v>
      </c>
      <c r="S81" s="39">
        <f t="shared" si="25"/>
        <v>720616380.60000002</v>
      </c>
      <c r="T81" s="39">
        <f t="shared" ref="T81:BQ81" si="33">SUM(T82:T83)</f>
        <v>150000000000000</v>
      </c>
      <c r="U81" s="39">
        <f t="shared" si="33"/>
        <v>150000000000000</v>
      </c>
      <c r="V81" s="39">
        <f t="shared" si="33"/>
        <v>160000000000000</v>
      </c>
      <c r="W81" s="39">
        <f t="shared" si="33"/>
        <v>160000000000000</v>
      </c>
      <c r="X81" s="39">
        <f t="shared" si="33"/>
        <v>160000000000000</v>
      </c>
      <c r="Y81" s="39">
        <f t="shared" si="33"/>
        <v>160000000000000</v>
      </c>
      <c r="Z81" s="39">
        <f t="shared" si="33"/>
        <v>160000000000000</v>
      </c>
      <c r="AA81" s="39">
        <f t="shared" si="33"/>
        <v>160000000000000</v>
      </c>
      <c r="AB81" s="39">
        <f t="shared" si="33"/>
        <v>160000000000000</v>
      </c>
      <c r="AC81" s="39">
        <f t="shared" si="33"/>
        <v>160000000000000</v>
      </c>
      <c r="AD81" s="39">
        <f t="shared" si="33"/>
        <v>50000000000000</v>
      </c>
      <c r="AE81" s="39">
        <f t="shared" si="33"/>
        <v>50000000000000</v>
      </c>
      <c r="AF81" s="39">
        <f t="shared" si="33"/>
        <v>50000000000000</v>
      </c>
      <c r="AG81" s="39">
        <f t="shared" si="33"/>
        <v>50000000000000</v>
      </c>
      <c r="AH81" s="39">
        <f t="shared" si="33"/>
        <v>50000000000000</v>
      </c>
      <c r="AI81" s="39">
        <f t="shared" si="33"/>
        <v>50000000000000</v>
      </c>
      <c r="AJ81" s="39">
        <f t="shared" si="33"/>
        <v>50000000000000</v>
      </c>
      <c r="AK81" s="39">
        <f t="shared" si="33"/>
        <v>50000000000000</v>
      </c>
      <c r="AL81" s="39">
        <f t="shared" si="33"/>
        <v>50000000000000</v>
      </c>
      <c r="AM81" s="39">
        <f t="shared" si="33"/>
        <v>50000000000000</v>
      </c>
      <c r="AN81" s="39">
        <f t="shared" si="33"/>
        <v>50000000000000</v>
      </c>
      <c r="AO81" s="39">
        <f t="shared" si="33"/>
        <v>50000000000000</v>
      </c>
      <c r="AP81" s="39">
        <f t="shared" si="33"/>
        <v>50000000000000</v>
      </c>
      <c r="AQ81" s="39">
        <f t="shared" si="33"/>
        <v>50000000000000</v>
      </c>
      <c r="AR81" s="39">
        <f t="shared" si="33"/>
        <v>50000000000000</v>
      </c>
      <c r="AS81" s="39">
        <f t="shared" si="33"/>
        <v>50000000000000</v>
      </c>
      <c r="AT81" s="39">
        <f t="shared" si="33"/>
        <v>50000000000000</v>
      </c>
      <c r="AU81" s="39">
        <f t="shared" si="33"/>
        <v>50000000000000</v>
      </c>
      <c r="AV81" s="39">
        <f t="shared" si="33"/>
        <v>50000000000000</v>
      </c>
      <c r="AW81" s="39">
        <f t="shared" si="33"/>
        <v>50000000000000</v>
      </c>
      <c r="AX81" s="39">
        <f t="shared" si="33"/>
        <v>50000000000000</v>
      </c>
      <c r="AY81" s="39">
        <f t="shared" si="33"/>
        <v>50000000000000</v>
      </c>
      <c r="AZ81" s="39">
        <f t="shared" si="33"/>
        <v>50000000000000</v>
      </c>
      <c r="BA81" s="39">
        <f t="shared" si="33"/>
        <v>50000000000000</v>
      </c>
      <c r="BB81" s="39">
        <f t="shared" si="33"/>
        <v>50000000000000</v>
      </c>
      <c r="BC81" s="39">
        <f t="shared" si="33"/>
        <v>50000000000000</v>
      </c>
      <c r="BD81" s="39">
        <f t="shared" si="33"/>
        <v>50000000000000</v>
      </c>
      <c r="BE81" s="39">
        <f t="shared" si="33"/>
        <v>50000000000000</v>
      </c>
      <c r="BF81" s="39">
        <f t="shared" si="33"/>
        <v>50000000000000</v>
      </c>
      <c r="BG81" s="39">
        <f t="shared" si="33"/>
        <v>50000000000000</v>
      </c>
      <c r="BH81" s="39">
        <f t="shared" si="33"/>
        <v>50000000000000</v>
      </c>
      <c r="BI81" s="39">
        <f t="shared" si="33"/>
        <v>50000000000000</v>
      </c>
      <c r="BJ81" s="39">
        <f t="shared" si="33"/>
        <v>50000000000000</v>
      </c>
      <c r="BK81" s="39">
        <f t="shared" si="33"/>
        <v>0</v>
      </c>
      <c r="BL81" s="39">
        <f t="shared" si="33"/>
        <v>0</v>
      </c>
      <c r="BM81" s="39">
        <f t="shared" si="33"/>
        <v>0</v>
      </c>
      <c r="BN81" s="39">
        <f t="shared" si="33"/>
        <v>0</v>
      </c>
      <c r="BO81" s="39">
        <f t="shared" si="33"/>
        <v>0</v>
      </c>
      <c r="BP81" s="39">
        <f t="shared" si="33"/>
        <v>0</v>
      </c>
      <c r="BQ81" s="39">
        <f t="shared" si="33"/>
        <v>0</v>
      </c>
    </row>
    <row r="82" spans="2:69">
      <c r="B82" s="4"/>
      <c r="C82" s="4"/>
      <c r="D82" s="4"/>
      <c r="E82" s="1" t="s">
        <v>89</v>
      </c>
      <c r="F82" s="67"/>
      <c r="G82" s="67"/>
      <c r="H82" s="67"/>
      <c r="I82" s="67"/>
      <c r="J82" s="67"/>
      <c r="K82" s="1" t="s">
        <v>163</v>
      </c>
      <c r="L82" s="1"/>
      <c r="M82" s="1"/>
      <c r="N82" s="39"/>
      <c r="O82" s="39"/>
      <c r="P82" s="39"/>
      <c r="Q82" s="39"/>
      <c r="R82" s="39"/>
      <c r="S82" s="39">
        <f t="shared" si="25"/>
        <v>0</v>
      </c>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row>
    <row r="83" spans="2:69">
      <c r="B83" s="4"/>
      <c r="C83" s="3"/>
      <c r="D83" s="3"/>
      <c r="E83" s="1" t="s">
        <v>94</v>
      </c>
      <c r="F83" s="67"/>
      <c r="G83" s="67"/>
      <c r="H83" s="67"/>
      <c r="I83" s="67"/>
      <c r="J83" s="67"/>
      <c r="K83" s="1" t="s">
        <v>163</v>
      </c>
      <c r="L83" s="1"/>
      <c r="M83" s="1"/>
      <c r="N83" s="39">
        <f>【PL】決算数値入力!K147</f>
        <v>2741846624</v>
      </c>
      <c r="O83" s="39">
        <f>【PL】決算数値入力!L147</f>
        <v>143318400</v>
      </c>
      <c r="P83" s="39">
        <f>【PL】決算数値入力!M147</f>
        <v>338424525</v>
      </c>
      <c r="Q83" s="39">
        <f>【PL】決算数値入力!N147</f>
        <v>111700392</v>
      </c>
      <c r="R83" s="39">
        <f>【PL】決算数値入力!O147</f>
        <v>267791962</v>
      </c>
      <c r="S83" s="39">
        <f t="shared" si="25"/>
        <v>720616380.60000002</v>
      </c>
      <c r="T83" s="39">
        <f>(T120+T121)*1000000</f>
        <v>150000000000000</v>
      </c>
      <c r="U83" s="39">
        <f t="shared" ref="U83:BQ83" si="34">(U120+U121)*1000000</f>
        <v>150000000000000</v>
      </c>
      <c r="V83" s="39">
        <f t="shared" si="34"/>
        <v>160000000000000</v>
      </c>
      <c r="W83" s="39">
        <f t="shared" si="34"/>
        <v>160000000000000</v>
      </c>
      <c r="X83" s="39">
        <f t="shared" si="34"/>
        <v>160000000000000</v>
      </c>
      <c r="Y83" s="39">
        <f t="shared" si="34"/>
        <v>160000000000000</v>
      </c>
      <c r="Z83" s="39">
        <f t="shared" si="34"/>
        <v>160000000000000</v>
      </c>
      <c r="AA83" s="39">
        <f t="shared" si="34"/>
        <v>160000000000000</v>
      </c>
      <c r="AB83" s="39">
        <f t="shared" si="34"/>
        <v>160000000000000</v>
      </c>
      <c r="AC83" s="39">
        <f t="shared" si="34"/>
        <v>160000000000000</v>
      </c>
      <c r="AD83" s="39">
        <f t="shared" si="34"/>
        <v>50000000000000</v>
      </c>
      <c r="AE83" s="39">
        <f t="shared" si="34"/>
        <v>50000000000000</v>
      </c>
      <c r="AF83" s="39">
        <f t="shared" si="34"/>
        <v>50000000000000</v>
      </c>
      <c r="AG83" s="39">
        <f t="shared" si="34"/>
        <v>50000000000000</v>
      </c>
      <c r="AH83" s="39">
        <f t="shared" si="34"/>
        <v>50000000000000</v>
      </c>
      <c r="AI83" s="39">
        <f t="shared" si="34"/>
        <v>50000000000000</v>
      </c>
      <c r="AJ83" s="39">
        <f t="shared" si="34"/>
        <v>50000000000000</v>
      </c>
      <c r="AK83" s="39">
        <f t="shared" si="34"/>
        <v>50000000000000</v>
      </c>
      <c r="AL83" s="39">
        <f t="shared" si="34"/>
        <v>50000000000000</v>
      </c>
      <c r="AM83" s="39">
        <f t="shared" si="34"/>
        <v>50000000000000</v>
      </c>
      <c r="AN83" s="39">
        <f t="shared" si="34"/>
        <v>50000000000000</v>
      </c>
      <c r="AO83" s="39">
        <f t="shared" si="34"/>
        <v>50000000000000</v>
      </c>
      <c r="AP83" s="39">
        <f t="shared" si="34"/>
        <v>50000000000000</v>
      </c>
      <c r="AQ83" s="39">
        <f t="shared" si="34"/>
        <v>50000000000000</v>
      </c>
      <c r="AR83" s="39">
        <f t="shared" si="34"/>
        <v>50000000000000</v>
      </c>
      <c r="AS83" s="39">
        <f t="shared" si="34"/>
        <v>50000000000000</v>
      </c>
      <c r="AT83" s="39">
        <f t="shared" si="34"/>
        <v>50000000000000</v>
      </c>
      <c r="AU83" s="39">
        <f t="shared" si="34"/>
        <v>50000000000000</v>
      </c>
      <c r="AV83" s="39">
        <f t="shared" si="34"/>
        <v>50000000000000</v>
      </c>
      <c r="AW83" s="39">
        <f t="shared" si="34"/>
        <v>50000000000000</v>
      </c>
      <c r="AX83" s="39">
        <f t="shared" si="34"/>
        <v>50000000000000</v>
      </c>
      <c r="AY83" s="39">
        <f t="shared" si="34"/>
        <v>50000000000000</v>
      </c>
      <c r="AZ83" s="39">
        <f t="shared" si="34"/>
        <v>50000000000000</v>
      </c>
      <c r="BA83" s="39">
        <f t="shared" si="34"/>
        <v>50000000000000</v>
      </c>
      <c r="BB83" s="39">
        <f t="shared" si="34"/>
        <v>50000000000000</v>
      </c>
      <c r="BC83" s="39">
        <f t="shared" si="34"/>
        <v>50000000000000</v>
      </c>
      <c r="BD83" s="39">
        <f t="shared" si="34"/>
        <v>50000000000000</v>
      </c>
      <c r="BE83" s="39">
        <f t="shared" si="34"/>
        <v>50000000000000</v>
      </c>
      <c r="BF83" s="39">
        <f t="shared" si="34"/>
        <v>50000000000000</v>
      </c>
      <c r="BG83" s="39">
        <f t="shared" si="34"/>
        <v>50000000000000</v>
      </c>
      <c r="BH83" s="39">
        <f t="shared" si="34"/>
        <v>50000000000000</v>
      </c>
      <c r="BI83" s="39">
        <f t="shared" si="34"/>
        <v>50000000000000</v>
      </c>
      <c r="BJ83" s="39">
        <f t="shared" si="34"/>
        <v>50000000000000</v>
      </c>
      <c r="BK83" s="39">
        <f t="shared" si="34"/>
        <v>0</v>
      </c>
      <c r="BL83" s="39">
        <f t="shared" si="34"/>
        <v>0</v>
      </c>
      <c r="BM83" s="39">
        <f t="shared" si="34"/>
        <v>0</v>
      </c>
      <c r="BN83" s="39">
        <f t="shared" si="34"/>
        <v>0</v>
      </c>
      <c r="BO83" s="39">
        <f t="shared" si="34"/>
        <v>0</v>
      </c>
      <c r="BP83" s="39">
        <f t="shared" si="34"/>
        <v>0</v>
      </c>
      <c r="BQ83" s="39">
        <f t="shared" si="34"/>
        <v>0</v>
      </c>
    </row>
    <row r="84" spans="2:69">
      <c r="B84" s="4"/>
      <c r="C84" s="9" t="s">
        <v>123</v>
      </c>
      <c r="D84" s="7"/>
      <c r="E84" s="8"/>
      <c r="F84" s="67"/>
      <c r="G84" s="67"/>
      <c r="H84" s="67"/>
      <c r="I84" s="67"/>
      <c r="J84" s="67"/>
      <c r="K84" s="1"/>
      <c r="L84" s="1"/>
      <c r="M84" s="1"/>
      <c r="N84" s="39"/>
      <c r="O84" s="39"/>
      <c r="P84" s="39"/>
      <c r="Q84" s="39"/>
      <c r="R84" s="39"/>
      <c r="S84" s="39">
        <f t="shared" si="25"/>
        <v>0</v>
      </c>
      <c r="T84" s="39">
        <f>T123</f>
        <v>0</v>
      </c>
      <c r="U84" s="39">
        <f t="shared" ref="U84:BQ84" si="35">U123</f>
        <v>35000000</v>
      </c>
      <c r="V84" s="39">
        <f t="shared" si="35"/>
        <v>750000000</v>
      </c>
      <c r="W84" s="39">
        <f t="shared" si="35"/>
        <v>670000000</v>
      </c>
      <c r="X84" s="39">
        <f t="shared" si="35"/>
        <v>220000000</v>
      </c>
      <c r="Y84" s="39">
        <f t="shared" si="35"/>
        <v>70000000</v>
      </c>
      <c r="Z84" s="39">
        <f t="shared" si="35"/>
        <v>150000000</v>
      </c>
      <c r="AA84" s="39">
        <f t="shared" si="35"/>
        <v>150000000</v>
      </c>
      <c r="AB84" s="39">
        <f t="shared" si="35"/>
        <v>210000000</v>
      </c>
      <c r="AC84" s="39">
        <f t="shared" si="35"/>
        <v>130000000</v>
      </c>
      <c r="AD84" s="39">
        <f t="shared" si="35"/>
        <v>160000000</v>
      </c>
      <c r="AE84" s="39">
        <f t="shared" si="35"/>
        <v>130000000</v>
      </c>
      <c r="AF84" s="39">
        <f t="shared" si="35"/>
        <v>130000000</v>
      </c>
      <c r="AG84" s="39">
        <f t="shared" si="35"/>
        <v>500000000</v>
      </c>
      <c r="AH84" s="39">
        <f t="shared" si="35"/>
        <v>500000000</v>
      </c>
      <c r="AI84" s="39">
        <f t="shared" si="35"/>
        <v>500000000</v>
      </c>
      <c r="AJ84" s="39">
        <f t="shared" si="35"/>
        <v>500000000</v>
      </c>
      <c r="AK84" s="39">
        <f t="shared" si="35"/>
        <v>530000000</v>
      </c>
      <c r="AL84" s="39">
        <f t="shared" si="35"/>
        <v>550000000</v>
      </c>
      <c r="AM84" s="39">
        <f t="shared" si="35"/>
        <v>550000000</v>
      </c>
      <c r="AN84" s="39">
        <f t="shared" si="35"/>
        <v>550000000</v>
      </c>
      <c r="AO84" s="39">
        <f t="shared" si="35"/>
        <v>10000000</v>
      </c>
      <c r="AP84" s="39">
        <f t="shared" si="35"/>
        <v>10000000</v>
      </c>
      <c r="AQ84" s="39">
        <f t="shared" si="35"/>
        <v>10000000</v>
      </c>
      <c r="AR84" s="39">
        <f t="shared" si="35"/>
        <v>10000000</v>
      </c>
      <c r="AS84" s="39">
        <f t="shared" si="35"/>
        <v>10000000</v>
      </c>
      <c r="AT84" s="39">
        <f t="shared" si="35"/>
        <v>10000000</v>
      </c>
      <c r="AU84" s="39">
        <f t="shared" si="35"/>
        <v>10000000</v>
      </c>
      <c r="AV84" s="39">
        <f t="shared" si="35"/>
        <v>10000000</v>
      </c>
      <c r="AW84" s="39">
        <f t="shared" si="35"/>
        <v>10000000</v>
      </c>
      <c r="AX84" s="39">
        <f t="shared" si="35"/>
        <v>10000000</v>
      </c>
      <c r="AY84" s="39">
        <f t="shared" si="35"/>
        <v>10000000</v>
      </c>
      <c r="AZ84" s="39">
        <f t="shared" si="35"/>
        <v>10000000</v>
      </c>
      <c r="BA84" s="39">
        <f t="shared" si="35"/>
        <v>10000000</v>
      </c>
      <c r="BB84" s="39">
        <f t="shared" si="35"/>
        <v>10000000</v>
      </c>
      <c r="BC84" s="39">
        <f t="shared" si="35"/>
        <v>10000000</v>
      </c>
      <c r="BD84" s="39">
        <f t="shared" si="35"/>
        <v>10000000</v>
      </c>
      <c r="BE84" s="39">
        <f t="shared" si="35"/>
        <v>10000000</v>
      </c>
      <c r="BF84" s="39">
        <f t="shared" si="35"/>
        <v>10000000</v>
      </c>
      <c r="BG84" s="39">
        <f t="shared" si="35"/>
        <v>10000000</v>
      </c>
      <c r="BH84" s="39">
        <f t="shared" si="35"/>
        <v>10000000</v>
      </c>
      <c r="BI84" s="39">
        <f t="shared" si="35"/>
        <v>10000000</v>
      </c>
      <c r="BJ84" s="39">
        <f t="shared" si="35"/>
        <v>10000000</v>
      </c>
      <c r="BK84" s="39">
        <f t="shared" si="35"/>
        <v>0</v>
      </c>
      <c r="BL84" s="39">
        <f t="shared" si="35"/>
        <v>0</v>
      </c>
      <c r="BM84" s="39">
        <f t="shared" si="35"/>
        <v>0</v>
      </c>
      <c r="BN84" s="39">
        <f t="shared" si="35"/>
        <v>0</v>
      </c>
      <c r="BO84" s="39">
        <f t="shared" si="35"/>
        <v>0</v>
      </c>
      <c r="BP84" s="39">
        <f t="shared" si="35"/>
        <v>0</v>
      </c>
      <c r="BQ84" s="39">
        <f t="shared" si="35"/>
        <v>0</v>
      </c>
    </row>
    <row r="85" spans="2:69">
      <c r="B85" s="4"/>
      <c r="C85" s="5" t="s">
        <v>124</v>
      </c>
      <c r="D85" s="7"/>
      <c r="E85" s="8"/>
      <c r="F85" s="67"/>
      <c r="G85" s="67"/>
      <c r="H85" s="67"/>
      <c r="I85" s="67"/>
      <c r="J85" s="67"/>
      <c r="K85" s="1"/>
      <c r="L85" s="1"/>
      <c r="M85" s="1"/>
      <c r="N85" s="39">
        <f>SUM(N86:N88)</f>
        <v>0</v>
      </c>
      <c r="O85" s="39">
        <f t="shared" ref="O85:R85" si="36">SUM(O86:O88)</f>
        <v>0</v>
      </c>
      <c r="P85" s="39">
        <f t="shared" si="36"/>
        <v>0</v>
      </c>
      <c r="Q85" s="39">
        <f t="shared" si="36"/>
        <v>0</v>
      </c>
      <c r="R85" s="39">
        <f t="shared" si="36"/>
        <v>0</v>
      </c>
      <c r="S85" s="39">
        <f t="shared" si="25"/>
        <v>0</v>
      </c>
      <c r="T85" s="39">
        <f t="shared" ref="T85:BQ85" si="37">SUM(T86:T88)</f>
        <v>10000000000000</v>
      </c>
      <c r="U85" s="39">
        <f t="shared" si="37"/>
        <v>100000000000000</v>
      </c>
      <c r="V85" s="39">
        <f t="shared" si="37"/>
        <v>100000000000000</v>
      </c>
      <c r="W85" s="39">
        <f t="shared" si="37"/>
        <v>100000000000000</v>
      </c>
      <c r="X85" s="39">
        <f t="shared" si="37"/>
        <v>100000000000000</v>
      </c>
      <c r="Y85" s="39">
        <f t="shared" si="37"/>
        <v>100000000000000</v>
      </c>
      <c r="Z85" s="39">
        <f t="shared" si="37"/>
        <v>0</v>
      </c>
      <c r="AA85" s="39">
        <f t="shared" si="37"/>
        <v>0</v>
      </c>
      <c r="AB85" s="39">
        <f t="shared" si="37"/>
        <v>0</v>
      </c>
      <c r="AC85" s="39">
        <f t="shared" si="37"/>
        <v>0</v>
      </c>
      <c r="AD85" s="39">
        <f t="shared" si="37"/>
        <v>0</v>
      </c>
      <c r="AE85" s="39">
        <f t="shared" si="37"/>
        <v>0</v>
      </c>
      <c r="AF85" s="39">
        <f t="shared" si="37"/>
        <v>0</v>
      </c>
      <c r="AG85" s="39">
        <f t="shared" si="37"/>
        <v>0</v>
      </c>
      <c r="AH85" s="39">
        <f t="shared" si="37"/>
        <v>0</v>
      </c>
      <c r="AI85" s="39">
        <f t="shared" si="37"/>
        <v>0</v>
      </c>
      <c r="AJ85" s="39">
        <f t="shared" si="37"/>
        <v>0</v>
      </c>
      <c r="AK85" s="39">
        <f t="shared" si="37"/>
        <v>0</v>
      </c>
      <c r="AL85" s="39">
        <f t="shared" si="37"/>
        <v>0</v>
      </c>
      <c r="AM85" s="39">
        <f t="shared" si="37"/>
        <v>0</v>
      </c>
      <c r="AN85" s="39">
        <f t="shared" si="37"/>
        <v>0</v>
      </c>
      <c r="AO85" s="39">
        <f t="shared" si="37"/>
        <v>0</v>
      </c>
      <c r="AP85" s="39">
        <f t="shared" si="37"/>
        <v>0</v>
      </c>
      <c r="AQ85" s="39">
        <f t="shared" si="37"/>
        <v>0</v>
      </c>
      <c r="AR85" s="39">
        <f t="shared" si="37"/>
        <v>0</v>
      </c>
      <c r="AS85" s="39">
        <f t="shared" si="37"/>
        <v>0</v>
      </c>
      <c r="AT85" s="39">
        <f t="shared" si="37"/>
        <v>0</v>
      </c>
      <c r="AU85" s="39">
        <f t="shared" si="37"/>
        <v>0</v>
      </c>
      <c r="AV85" s="39">
        <f t="shared" si="37"/>
        <v>0</v>
      </c>
      <c r="AW85" s="39">
        <f t="shared" si="37"/>
        <v>0</v>
      </c>
      <c r="AX85" s="39">
        <f t="shared" si="37"/>
        <v>0</v>
      </c>
      <c r="AY85" s="39">
        <f t="shared" si="37"/>
        <v>0</v>
      </c>
      <c r="AZ85" s="39">
        <f t="shared" si="37"/>
        <v>0</v>
      </c>
      <c r="BA85" s="39">
        <f t="shared" si="37"/>
        <v>0</v>
      </c>
      <c r="BB85" s="39">
        <f t="shared" si="37"/>
        <v>0</v>
      </c>
      <c r="BC85" s="39">
        <f t="shared" si="37"/>
        <v>0</v>
      </c>
      <c r="BD85" s="39">
        <f t="shared" si="37"/>
        <v>0</v>
      </c>
      <c r="BE85" s="39">
        <f t="shared" si="37"/>
        <v>0</v>
      </c>
      <c r="BF85" s="39">
        <f t="shared" si="37"/>
        <v>0</v>
      </c>
      <c r="BG85" s="39">
        <f t="shared" si="37"/>
        <v>0</v>
      </c>
      <c r="BH85" s="39">
        <f t="shared" si="37"/>
        <v>0</v>
      </c>
      <c r="BI85" s="39">
        <f t="shared" si="37"/>
        <v>0</v>
      </c>
      <c r="BJ85" s="39">
        <f t="shared" si="37"/>
        <v>0</v>
      </c>
      <c r="BK85" s="39">
        <f t="shared" si="37"/>
        <v>0</v>
      </c>
      <c r="BL85" s="39">
        <f t="shared" si="37"/>
        <v>0</v>
      </c>
      <c r="BM85" s="39">
        <f t="shared" si="37"/>
        <v>0</v>
      </c>
      <c r="BN85" s="39">
        <f t="shared" si="37"/>
        <v>0</v>
      </c>
      <c r="BO85" s="39">
        <f t="shared" si="37"/>
        <v>0</v>
      </c>
      <c r="BP85" s="39">
        <f t="shared" si="37"/>
        <v>0</v>
      </c>
      <c r="BQ85" s="39">
        <f t="shared" si="37"/>
        <v>0</v>
      </c>
    </row>
    <row r="86" spans="2:69">
      <c r="B86" s="4"/>
      <c r="C86" s="4"/>
      <c r="D86" s="9" t="s">
        <v>92</v>
      </c>
      <c r="E86" s="8"/>
      <c r="F86" s="67"/>
      <c r="G86" s="67"/>
      <c r="H86" s="67"/>
      <c r="I86" s="67"/>
      <c r="J86" s="67"/>
      <c r="K86" s="1"/>
      <c r="L86" s="1"/>
      <c r="M86" s="1"/>
      <c r="N86" s="39"/>
      <c r="O86" s="39"/>
      <c r="P86" s="39"/>
      <c r="Q86" s="39"/>
      <c r="R86" s="39"/>
      <c r="S86" s="39">
        <f t="shared" si="25"/>
        <v>0</v>
      </c>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row>
    <row r="87" spans="2:69">
      <c r="B87" s="4"/>
      <c r="C87" s="4"/>
      <c r="D87" s="9" t="s">
        <v>125</v>
      </c>
      <c r="E87" s="8"/>
      <c r="F87" s="67"/>
      <c r="G87" s="67"/>
      <c r="H87" s="67"/>
      <c r="I87" s="67"/>
      <c r="J87" s="67"/>
      <c r="K87" s="1" t="s">
        <v>249</v>
      </c>
      <c r="L87" s="1"/>
      <c r="M87" s="1"/>
      <c r="N87" s="39"/>
      <c r="O87" s="39">
        <v>0</v>
      </c>
      <c r="P87" s="39">
        <v>0</v>
      </c>
      <c r="Q87" s="39">
        <v>0</v>
      </c>
      <c r="R87" s="39">
        <v>0</v>
      </c>
      <c r="S87" s="39">
        <f t="shared" si="25"/>
        <v>0</v>
      </c>
      <c r="T87" s="39">
        <f>(T118+T119)*1000000</f>
        <v>10000000000000</v>
      </c>
      <c r="U87" s="39">
        <f t="shared" ref="U87:BQ87" si="38">(U118+U119)*1000000</f>
        <v>100000000000000</v>
      </c>
      <c r="V87" s="39">
        <f t="shared" si="38"/>
        <v>100000000000000</v>
      </c>
      <c r="W87" s="39">
        <f t="shared" si="38"/>
        <v>100000000000000</v>
      </c>
      <c r="X87" s="39">
        <f t="shared" si="38"/>
        <v>100000000000000</v>
      </c>
      <c r="Y87" s="39">
        <f t="shared" si="38"/>
        <v>100000000000000</v>
      </c>
      <c r="Z87" s="39">
        <f t="shared" si="38"/>
        <v>0</v>
      </c>
      <c r="AA87" s="39">
        <f t="shared" si="38"/>
        <v>0</v>
      </c>
      <c r="AB87" s="39">
        <f t="shared" si="38"/>
        <v>0</v>
      </c>
      <c r="AC87" s="39">
        <f t="shared" si="38"/>
        <v>0</v>
      </c>
      <c r="AD87" s="39">
        <f t="shared" si="38"/>
        <v>0</v>
      </c>
      <c r="AE87" s="39">
        <f t="shared" si="38"/>
        <v>0</v>
      </c>
      <c r="AF87" s="39">
        <f t="shared" si="38"/>
        <v>0</v>
      </c>
      <c r="AG87" s="39">
        <f t="shared" si="38"/>
        <v>0</v>
      </c>
      <c r="AH87" s="39">
        <f t="shared" si="38"/>
        <v>0</v>
      </c>
      <c r="AI87" s="39">
        <f t="shared" si="38"/>
        <v>0</v>
      </c>
      <c r="AJ87" s="39">
        <f t="shared" si="38"/>
        <v>0</v>
      </c>
      <c r="AK87" s="39">
        <f t="shared" si="38"/>
        <v>0</v>
      </c>
      <c r="AL87" s="39">
        <f t="shared" si="38"/>
        <v>0</v>
      </c>
      <c r="AM87" s="39">
        <f t="shared" si="38"/>
        <v>0</v>
      </c>
      <c r="AN87" s="39">
        <f t="shared" si="38"/>
        <v>0</v>
      </c>
      <c r="AO87" s="39">
        <f t="shared" si="38"/>
        <v>0</v>
      </c>
      <c r="AP87" s="39">
        <f>(AP118+AP119)*1000000</f>
        <v>0</v>
      </c>
      <c r="AQ87" s="39">
        <f t="shared" si="38"/>
        <v>0</v>
      </c>
      <c r="AR87" s="39">
        <f t="shared" si="38"/>
        <v>0</v>
      </c>
      <c r="AS87" s="39">
        <f t="shared" si="38"/>
        <v>0</v>
      </c>
      <c r="AT87" s="39">
        <f t="shared" si="38"/>
        <v>0</v>
      </c>
      <c r="AU87" s="39">
        <f t="shared" si="38"/>
        <v>0</v>
      </c>
      <c r="AV87" s="39">
        <f t="shared" si="38"/>
        <v>0</v>
      </c>
      <c r="AW87" s="39">
        <f t="shared" si="38"/>
        <v>0</v>
      </c>
      <c r="AX87" s="39">
        <f t="shared" si="38"/>
        <v>0</v>
      </c>
      <c r="AY87" s="39">
        <f t="shared" si="38"/>
        <v>0</v>
      </c>
      <c r="AZ87" s="39">
        <f t="shared" si="38"/>
        <v>0</v>
      </c>
      <c r="BA87" s="39">
        <f t="shared" si="38"/>
        <v>0</v>
      </c>
      <c r="BB87" s="39">
        <f t="shared" si="38"/>
        <v>0</v>
      </c>
      <c r="BC87" s="39">
        <f t="shared" si="38"/>
        <v>0</v>
      </c>
      <c r="BD87" s="39">
        <f t="shared" si="38"/>
        <v>0</v>
      </c>
      <c r="BE87" s="39">
        <f t="shared" si="38"/>
        <v>0</v>
      </c>
      <c r="BF87" s="39">
        <f t="shared" si="38"/>
        <v>0</v>
      </c>
      <c r="BG87" s="39">
        <f t="shared" si="38"/>
        <v>0</v>
      </c>
      <c r="BH87" s="39">
        <f t="shared" si="38"/>
        <v>0</v>
      </c>
      <c r="BI87" s="39">
        <f t="shared" si="38"/>
        <v>0</v>
      </c>
      <c r="BJ87" s="39">
        <f t="shared" si="38"/>
        <v>0</v>
      </c>
      <c r="BK87" s="39">
        <f t="shared" si="38"/>
        <v>0</v>
      </c>
      <c r="BL87" s="39">
        <f t="shared" si="38"/>
        <v>0</v>
      </c>
      <c r="BM87" s="39">
        <f t="shared" si="38"/>
        <v>0</v>
      </c>
      <c r="BN87" s="39">
        <f t="shared" si="38"/>
        <v>0</v>
      </c>
      <c r="BO87" s="39">
        <f t="shared" si="38"/>
        <v>0</v>
      </c>
      <c r="BP87" s="39">
        <f t="shared" si="38"/>
        <v>0</v>
      </c>
      <c r="BQ87" s="39">
        <f t="shared" si="38"/>
        <v>0</v>
      </c>
    </row>
    <row r="88" spans="2:69">
      <c r="B88" s="4"/>
      <c r="C88" s="3"/>
      <c r="D88" s="9" t="s">
        <v>126</v>
      </c>
      <c r="E88" s="8"/>
      <c r="F88" s="67"/>
      <c r="G88" s="67"/>
      <c r="H88" s="67"/>
      <c r="I88" s="67"/>
      <c r="J88" s="67"/>
      <c r="K88" s="1"/>
      <c r="L88" s="1"/>
      <c r="M88" s="1"/>
      <c r="N88" s="39"/>
      <c r="O88" s="39"/>
      <c r="P88" s="39"/>
      <c r="Q88" s="39"/>
      <c r="R88" s="39"/>
      <c r="S88" s="39">
        <f t="shared" si="25"/>
        <v>0</v>
      </c>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row>
    <row r="89" spans="2:69">
      <c r="B89" s="4"/>
      <c r="C89" s="5" t="s">
        <v>127</v>
      </c>
      <c r="D89" s="7"/>
      <c r="E89" s="8"/>
      <c r="F89" s="67"/>
      <c r="G89" s="67"/>
      <c r="H89" s="67"/>
      <c r="I89" s="67"/>
      <c r="J89" s="67"/>
      <c r="K89" s="1"/>
      <c r="L89" s="1"/>
      <c r="M89" s="1"/>
      <c r="N89" s="39">
        <f>SUM(N90:N94)</f>
        <v>0</v>
      </c>
      <c r="O89" s="39">
        <f t="shared" ref="O89:R89" si="39">SUM(O90:O94)</f>
        <v>74520</v>
      </c>
      <c r="P89" s="39">
        <f t="shared" si="39"/>
        <v>0</v>
      </c>
      <c r="Q89" s="39">
        <f t="shared" si="39"/>
        <v>0</v>
      </c>
      <c r="R89" s="39">
        <f t="shared" si="39"/>
        <v>0</v>
      </c>
      <c r="S89" s="39">
        <f t="shared" si="25"/>
        <v>14904</v>
      </c>
      <c r="T89" s="39">
        <f>SUM(T90:T94)</f>
        <v>0</v>
      </c>
      <c r="U89" s="39">
        <f t="shared" ref="U89:BQ89" si="40">SUM(U90:U94)</f>
        <v>0</v>
      </c>
      <c r="V89" s="39">
        <f t="shared" si="40"/>
        <v>0</v>
      </c>
      <c r="W89" s="39">
        <f t="shared" si="40"/>
        <v>0</v>
      </c>
      <c r="X89" s="39">
        <f t="shared" si="40"/>
        <v>0</v>
      </c>
      <c r="Y89" s="39">
        <f t="shared" si="40"/>
        <v>0</v>
      </c>
      <c r="Z89" s="39">
        <f t="shared" si="40"/>
        <v>0</v>
      </c>
      <c r="AA89" s="39">
        <f t="shared" si="40"/>
        <v>0</v>
      </c>
      <c r="AB89" s="39">
        <f t="shared" si="40"/>
        <v>0</v>
      </c>
      <c r="AC89" s="39">
        <f t="shared" si="40"/>
        <v>0</v>
      </c>
      <c r="AD89" s="39">
        <f t="shared" si="40"/>
        <v>0</v>
      </c>
      <c r="AE89" s="39">
        <f t="shared" si="40"/>
        <v>0</v>
      </c>
      <c r="AF89" s="39">
        <f t="shared" si="40"/>
        <v>0</v>
      </c>
      <c r="AG89" s="39">
        <f t="shared" si="40"/>
        <v>0</v>
      </c>
      <c r="AH89" s="39">
        <f t="shared" si="40"/>
        <v>0</v>
      </c>
      <c r="AI89" s="39">
        <f t="shared" si="40"/>
        <v>0</v>
      </c>
      <c r="AJ89" s="39">
        <f t="shared" si="40"/>
        <v>0</v>
      </c>
      <c r="AK89" s="39">
        <f t="shared" si="40"/>
        <v>0</v>
      </c>
      <c r="AL89" s="39">
        <f t="shared" si="40"/>
        <v>0</v>
      </c>
      <c r="AM89" s="39">
        <f t="shared" si="40"/>
        <v>0</v>
      </c>
      <c r="AN89" s="39">
        <f t="shared" si="40"/>
        <v>0</v>
      </c>
      <c r="AO89" s="39">
        <f t="shared" si="40"/>
        <v>0</v>
      </c>
      <c r="AP89" s="39">
        <f>SUM(AP90:AP94)</f>
        <v>0</v>
      </c>
      <c r="AQ89" s="39">
        <f t="shared" si="40"/>
        <v>0</v>
      </c>
      <c r="AR89" s="39">
        <f t="shared" si="40"/>
        <v>0</v>
      </c>
      <c r="AS89" s="39">
        <f t="shared" si="40"/>
        <v>0</v>
      </c>
      <c r="AT89" s="39">
        <f t="shared" si="40"/>
        <v>0</v>
      </c>
      <c r="AU89" s="39">
        <f t="shared" si="40"/>
        <v>0</v>
      </c>
      <c r="AV89" s="39">
        <f t="shared" si="40"/>
        <v>0</v>
      </c>
      <c r="AW89" s="39">
        <f t="shared" si="40"/>
        <v>0</v>
      </c>
      <c r="AX89" s="39">
        <f t="shared" si="40"/>
        <v>0</v>
      </c>
      <c r="AY89" s="39">
        <f t="shared" si="40"/>
        <v>0</v>
      </c>
      <c r="AZ89" s="39">
        <f t="shared" si="40"/>
        <v>0</v>
      </c>
      <c r="BA89" s="39">
        <f t="shared" si="40"/>
        <v>0</v>
      </c>
      <c r="BB89" s="39">
        <f t="shared" si="40"/>
        <v>0</v>
      </c>
      <c r="BC89" s="39">
        <f t="shared" si="40"/>
        <v>0</v>
      </c>
      <c r="BD89" s="39">
        <f t="shared" si="40"/>
        <v>0</v>
      </c>
      <c r="BE89" s="39">
        <f t="shared" si="40"/>
        <v>0</v>
      </c>
      <c r="BF89" s="39">
        <f t="shared" si="40"/>
        <v>0</v>
      </c>
      <c r="BG89" s="39">
        <f t="shared" si="40"/>
        <v>0</v>
      </c>
      <c r="BH89" s="39">
        <f t="shared" si="40"/>
        <v>0</v>
      </c>
      <c r="BI89" s="39">
        <f t="shared" si="40"/>
        <v>0</v>
      </c>
      <c r="BJ89" s="39">
        <f t="shared" si="40"/>
        <v>0</v>
      </c>
      <c r="BK89" s="39">
        <f t="shared" si="40"/>
        <v>0</v>
      </c>
      <c r="BL89" s="39">
        <f t="shared" si="40"/>
        <v>0</v>
      </c>
      <c r="BM89" s="39">
        <f t="shared" si="40"/>
        <v>0</v>
      </c>
      <c r="BN89" s="39">
        <f t="shared" si="40"/>
        <v>0</v>
      </c>
      <c r="BO89" s="39">
        <f t="shared" si="40"/>
        <v>0</v>
      </c>
      <c r="BP89" s="39">
        <f t="shared" si="40"/>
        <v>0</v>
      </c>
      <c r="BQ89" s="39">
        <f t="shared" si="40"/>
        <v>0</v>
      </c>
    </row>
    <row r="90" spans="2:69">
      <c r="B90" s="4"/>
      <c r="C90" s="4"/>
      <c r="D90" s="9" t="s">
        <v>92</v>
      </c>
      <c r="E90" s="8"/>
      <c r="F90" s="67"/>
      <c r="G90" s="67"/>
      <c r="H90" s="67"/>
      <c r="I90" s="67"/>
      <c r="J90" s="67"/>
      <c r="K90" s="1"/>
      <c r="L90" s="1"/>
      <c r="M90" s="1"/>
      <c r="N90" s="39"/>
      <c r="O90" s="39"/>
      <c r="P90" s="39"/>
      <c r="Q90" s="39"/>
      <c r="R90" s="39"/>
      <c r="S90" s="39">
        <f t="shared" si="25"/>
        <v>0</v>
      </c>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row>
    <row r="91" spans="2:69">
      <c r="B91" s="4"/>
      <c r="C91" s="4"/>
      <c r="D91" s="9" t="s">
        <v>125</v>
      </c>
      <c r="E91" s="8"/>
      <c r="F91" s="67"/>
      <c r="G91" s="67"/>
      <c r="H91" s="67"/>
      <c r="I91" s="67"/>
      <c r="J91" s="67"/>
      <c r="K91" s="1" t="s">
        <v>249</v>
      </c>
      <c r="L91" s="1"/>
      <c r="M91" s="1"/>
      <c r="N91" s="39">
        <v>0</v>
      </c>
      <c r="O91" s="39">
        <v>74520</v>
      </c>
      <c r="P91" s="39">
        <v>0</v>
      </c>
      <c r="Q91" s="39">
        <v>0</v>
      </c>
      <c r="R91" s="39">
        <v>0</v>
      </c>
      <c r="S91" s="39">
        <f t="shared" si="25"/>
        <v>14904</v>
      </c>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row>
    <row r="92" spans="2:69">
      <c r="B92" s="4"/>
      <c r="C92" s="4"/>
      <c r="D92" s="9" t="s">
        <v>128</v>
      </c>
      <c r="E92" s="8"/>
      <c r="F92" s="67"/>
      <c r="G92" s="67"/>
      <c r="H92" s="67"/>
      <c r="I92" s="67"/>
      <c r="J92" s="67"/>
      <c r="K92" s="1"/>
      <c r="L92" s="1"/>
      <c r="M92" s="1"/>
      <c r="N92" s="39"/>
      <c r="O92" s="39"/>
      <c r="P92" s="39"/>
      <c r="Q92" s="39"/>
      <c r="R92" s="39"/>
      <c r="S92" s="39">
        <f t="shared" si="25"/>
        <v>0</v>
      </c>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row>
    <row r="93" spans="2:69">
      <c r="B93" s="4"/>
      <c r="C93" s="4"/>
      <c r="D93" s="9" t="s">
        <v>126</v>
      </c>
      <c r="E93" s="8"/>
      <c r="F93" s="67"/>
      <c r="G93" s="67"/>
      <c r="H93" s="67"/>
      <c r="I93" s="67"/>
      <c r="J93" s="67"/>
      <c r="K93" s="1"/>
      <c r="L93" s="1"/>
      <c r="M93" s="1"/>
      <c r="N93" s="39"/>
      <c r="O93" s="39"/>
      <c r="P93" s="39"/>
      <c r="Q93" s="39"/>
      <c r="R93" s="39"/>
      <c r="S93" s="39">
        <f t="shared" si="25"/>
        <v>0</v>
      </c>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row>
    <row r="94" spans="2:69">
      <c r="B94" s="4"/>
      <c r="C94" s="3"/>
      <c r="D94" s="9" t="s">
        <v>129</v>
      </c>
      <c r="E94" s="8"/>
      <c r="F94" s="67"/>
      <c r="G94" s="67"/>
      <c r="H94" s="67"/>
      <c r="I94" s="67"/>
      <c r="J94" s="67"/>
      <c r="K94" s="1"/>
      <c r="L94" s="1"/>
      <c r="M94" s="1"/>
      <c r="N94" s="39"/>
      <c r="O94" s="39"/>
      <c r="P94" s="39"/>
      <c r="Q94" s="39"/>
      <c r="R94" s="39"/>
      <c r="S94" s="39">
        <f t="shared" si="25"/>
        <v>0</v>
      </c>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row>
    <row r="95" spans="2:69">
      <c r="B95" s="4"/>
      <c r="C95" s="2" t="s">
        <v>130</v>
      </c>
      <c r="D95" s="1"/>
      <c r="E95" s="1"/>
      <c r="F95" s="67"/>
      <c r="G95" s="67"/>
      <c r="H95" s="67"/>
      <c r="I95" s="67"/>
      <c r="J95" s="67"/>
      <c r="K95" s="1"/>
      <c r="L95" s="1"/>
      <c r="M95" s="1"/>
      <c r="N95" s="39">
        <f>SUM(N96:N97)</f>
        <v>5011414</v>
      </c>
      <c r="O95" s="39">
        <f t="shared" ref="O95:BQ95" si="41">SUM(O96:O97)</f>
        <v>6752975</v>
      </c>
      <c r="P95" s="39">
        <f t="shared" si="41"/>
        <v>7340812</v>
      </c>
      <c r="Q95" s="39">
        <f t="shared" si="41"/>
        <v>9283535</v>
      </c>
      <c r="R95" s="39">
        <f t="shared" si="41"/>
        <v>12385753</v>
      </c>
      <c r="S95" s="39">
        <f t="shared" si="25"/>
        <v>8154897.7999999998</v>
      </c>
      <c r="T95" s="39">
        <f t="shared" si="41"/>
        <v>79463153</v>
      </c>
      <c r="U95" s="39">
        <f t="shared" si="41"/>
        <v>68677346</v>
      </c>
      <c r="V95" s="39">
        <f t="shared" si="41"/>
        <v>59243717</v>
      </c>
      <c r="W95" s="39">
        <f t="shared" si="41"/>
        <v>56944226</v>
      </c>
      <c r="X95" s="39">
        <f t="shared" si="41"/>
        <v>44070542</v>
      </c>
      <c r="Y95" s="39">
        <f t="shared" si="41"/>
        <v>35997091</v>
      </c>
      <c r="Z95" s="39">
        <f t="shared" si="41"/>
        <v>37918317</v>
      </c>
      <c r="AA95" s="39">
        <f t="shared" si="41"/>
        <v>41518197</v>
      </c>
      <c r="AB95" s="39">
        <f t="shared" si="41"/>
        <v>46399311</v>
      </c>
      <c r="AC95" s="39">
        <f t="shared" si="41"/>
        <v>52991959</v>
      </c>
      <c r="AD95" s="39">
        <f t="shared" si="41"/>
        <v>58115657</v>
      </c>
      <c r="AE95" s="39">
        <f t="shared" si="41"/>
        <v>58670006</v>
      </c>
      <c r="AF95" s="39">
        <f t="shared" si="41"/>
        <v>62445456</v>
      </c>
      <c r="AG95" s="39">
        <f t="shared" si="41"/>
        <v>66300193</v>
      </c>
      <c r="AH95" s="39">
        <f t="shared" si="41"/>
        <v>76391834</v>
      </c>
      <c r="AI95" s="39">
        <f t="shared" si="41"/>
        <v>86695401</v>
      </c>
      <c r="AJ95" s="39">
        <f t="shared" si="41"/>
        <v>97215343</v>
      </c>
      <c r="AK95" s="39">
        <f t="shared" si="41"/>
        <v>107956201</v>
      </c>
      <c r="AL95" s="39">
        <f t="shared" si="41"/>
        <v>119408616</v>
      </c>
      <c r="AM95" s="39">
        <f t="shared" si="41"/>
        <v>131474127</v>
      </c>
      <c r="AN95" s="39">
        <f t="shared" si="41"/>
        <v>143793015</v>
      </c>
      <c r="AO95" s="39">
        <f t="shared" si="41"/>
        <v>156370600</v>
      </c>
      <c r="AP95" s="39">
        <f t="shared" si="41"/>
        <v>160464378</v>
      </c>
      <c r="AQ95" s="39">
        <f t="shared" si="41"/>
        <v>164644124</v>
      </c>
      <c r="AR95" s="39">
        <f t="shared" si="41"/>
        <v>168911643</v>
      </c>
      <c r="AS95" s="39">
        <f t="shared" si="41"/>
        <v>173268782</v>
      </c>
      <c r="AT95" s="39">
        <f t="shared" si="41"/>
        <v>177717420</v>
      </c>
      <c r="AU95" s="39">
        <f t="shared" si="41"/>
        <v>182259480</v>
      </c>
      <c r="AV95" s="39">
        <f t="shared" si="41"/>
        <v>186896924</v>
      </c>
      <c r="AW95" s="39">
        <f t="shared" si="41"/>
        <v>191631756</v>
      </c>
      <c r="AX95" s="39">
        <f t="shared" si="41"/>
        <v>196466016</v>
      </c>
      <c r="AY95" s="39">
        <f t="shared" si="41"/>
        <v>201401796</v>
      </c>
      <c r="AZ95" s="39">
        <f t="shared" si="41"/>
        <v>206441228</v>
      </c>
      <c r="BA95" s="39">
        <f t="shared" si="41"/>
        <v>211586490</v>
      </c>
      <c r="BB95" s="39">
        <f t="shared" si="41"/>
        <v>216839797</v>
      </c>
      <c r="BC95" s="39">
        <f t="shared" si="41"/>
        <v>222203425</v>
      </c>
      <c r="BD95" s="39">
        <f t="shared" si="41"/>
        <v>227679692</v>
      </c>
      <c r="BE95" s="39">
        <f t="shared" si="41"/>
        <v>233270959</v>
      </c>
      <c r="BF95" s="39">
        <f t="shared" si="41"/>
        <v>238979645</v>
      </c>
      <c r="BG95" s="39">
        <f t="shared" si="41"/>
        <v>244808211</v>
      </c>
      <c r="BH95" s="39">
        <f t="shared" si="41"/>
        <v>250759180</v>
      </c>
      <c r="BI95" s="39">
        <f t="shared" si="41"/>
        <v>247892265</v>
      </c>
      <c r="BJ95" s="39">
        <f t="shared" si="41"/>
        <v>246341539</v>
      </c>
      <c r="BK95" s="39">
        <f t="shared" si="41"/>
        <v>235634235</v>
      </c>
      <c r="BL95" s="39">
        <f t="shared" si="41"/>
        <v>225628201</v>
      </c>
      <c r="BM95" s="39">
        <f t="shared" si="41"/>
        <v>215970039</v>
      </c>
      <c r="BN95" s="39">
        <f t="shared" si="41"/>
        <v>211689036</v>
      </c>
      <c r="BO95" s="39">
        <f t="shared" si="41"/>
        <v>207318131</v>
      </c>
      <c r="BP95" s="39">
        <f t="shared" si="41"/>
        <v>200995447</v>
      </c>
      <c r="BQ95" s="39">
        <f t="shared" si="41"/>
        <v>192307993</v>
      </c>
    </row>
    <row r="96" spans="2:69">
      <c r="B96" s="4"/>
      <c r="C96" s="4"/>
      <c r="D96" s="9" t="s">
        <v>105</v>
      </c>
      <c r="E96" s="8"/>
      <c r="F96" s="67"/>
      <c r="G96" s="67"/>
      <c r="H96" s="67"/>
      <c r="I96" s="67"/>
      <c r="J96" s="67"/>
      <c r="K96" s="1" t="s">
        <v>250</v>
      </c>
      <c r="L96" s="1"/>
      <c r="M96" s="1"/>
      <c r="N96" s="39">
        <f>【PL】決算数値入力!K156</f>
        <v>5011414</v>
      </c>
      <c r="O96" s="39">
        <f>【PL】決算数値入力!L156</f>
        <v>6752975</v>
      </c>
      <c r="P96" s="39">
        <f>【PL】決算数値入力!M156</f>
        <v>7340812</v>
      </c>
      <c r="Q96" s="39">
        <f>【PL】決算数値入力!N156</f>
        <v>9283535</v>
      </c>
      <c r="R96" s="39">
        <f>【PL】決算数値入力!O156</f>
        <v>12385753</v>
      </c>
      <c r="S96" s="39">
        <f t="shared" si="25"/>
        <v>8154897.7999999998</v>
      </c>
      <c r="T96" s="39">
        <v>79463153</v>
      </c>
      <c r="U96" s="39">
        <v>64782894</v>
      </c>
      <c r="V96" s="39">
        <v>51972425</v>
      </c>
      <c r="W96" s="39">
        <v>42251834</v>
      </c>
      <c r="X96" s="39">
        <v>22557258</v>
      </c>
      <c r="Y96" s="39">
        <v>7762672</v>
      </c>
      <c r="Z96" s="39">
        <v>5251603</v>
      </c>
      <c r="AA96" s="39">
        <v>4326110</v>
      </c>
      <c r="AB96" s="39">
        <v>3776824</v>
      </c>
      <c r="AC96" s="39">
        <v>3853040</v>
      </c>
      <c r="AD96" s="39">
        <v>3619451</v>
      </c>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row>
    <row r="97" spans="2:69">
      <c r="B97" s="4"/>
      <c r="C97" s="3"/>
      <c r="D97" s="9" t="s">
        <v>131</v>
      </c>
      <c r="E97" s="8"/>
      <c r="F97" s="67"/>
      <c r="G97" s="67"/>
      <c r="H97" s="67"/>
      <c r="I97" s="67"/>
      <c r="J97" s="67"/>
      <c r="K97" s="1" t="s">
        <v>251</v>
      </c>
      <c r="L97" s="1"/>
      <c r="M97" s="1"/>
      <c r="N97" s="39"/>
      <c r="O97" s="39"/>
      <c r="P97" s="39"/>
      <c r="Q97" s="39"/>
      <c r="R97" s="39"/>
      <c r="S97" s="39">
        <f t="shared" si="25"/>
        <v>0</v>
      </c>
      <c r="T97" s="39">
        <f>新規債返済スケジュール!E2</f>
        <v>0</v>
      </c>
      <c r="U97" s="39">
        <f>新規債返済スケジュール!F2</f>
        <v>3894452</v>
      </c>
      <c r="V97" s="39">
        <f>新規債返済スケジュール!G2</f>
        <v>7271292</v>
      </c>
      <c r="W97" s="39">
        <f>新規債返済スケジュール!H2</f>
        <v>14692392</v>
      </c>
      <c r="X97" s="39">
        <f>新規債返済スケジュール!I2</f>
        <v>21513284</v>
      </c>
      <c r="Y97" s="39">
        <f>新規債返済スケジュール!J2</f>
        <v>28234419</v>
      </c>
      <c r="Z97" s="39">
        <f>新規債返済スケジュール!K2</f>
        <v>32666714</v>
      </c>
      <c r="AA97" s="39">
        <f>新規債返済スケジュール!L2</f>
        <v>37192087</v>
      </c>
      <c r="AB97" s="39">
        <f>新規債返済スケジュール!M2</f>
        <v>42622487</v>
      </c>
      <c r="AC97" s="39">
        <f>新規債返済スケジュール!N2</f>
        <v>49138919</v>
      </c>
      <c r="AD97" s="39">
        <f>新規債返済スケジュール!O2</f>
        <v>54496206</v>
      </c>
      <c r="AE97" s="39">
        <f>新規債返済スケジュール!P2</f>
        <v>58670006</v>
      </c>
      <c r="AF97" s="39">
        <f>新規債返済スケジュール!Q2</f>
        <v>62445456</v>
      </c>
      <c r="AG97" s="39">
        <f>新規債返済スケジュール!R2</f>
        <v>66300193</v>
      </c>
      <c r="AH97" s="39">
        <f>新規債返済スケジュール!S2</f>
        <v>76391834</v>
      </c>
      <c r="AI97" s="39">
        <f>新規債返済スケジュール!T2</f>
        <v>86695401</v>
      </c>
      <c r="AJ97" s="39">
        <f>新規債返済スケジュール!U2</f>
        <v>97215343</v>
      </c>
      <c r="AK97" s="39">
        <f>新規債返済スケジュール!V2</f>
        <v>107956201</v>
      </c>
      <c r="AL97" s="39">
        <f>新規債返済スケジュール!W2</f>
        <v>119408616</v>
      </c>
      <c r="AM97" s="39">
        <f>新規債返済スケジュール!X2</f>
        <v>131474127</v>
      </c>
      <c r="AN97" s="39">
        <f>新規債返済スケジュール!Y2</f>
        <v>143793015</v>
      </c>
      <c r="AO97" s="39">
        <f>新規債返済スケジュール!Z2</f>
        <v>156370600</v>
      </c>
      <c r="AP97" s="39">
        <f>新規債返済スケジュール!AA2</f>
        <v>160464378</v>
      </c>
      <c r="AQ97" s="39">
        <f>新規債返済スケジュール!AB2</f>
        <v>164644124</v>
      </c>
      <c r="AR97" s="39">
        <f>新規債返済スケジュール!AC2</f>
        <v>168911643</v>
      </c>
      <c r="AS97" s="39">
        <f>新規債返済スケジュール!AD2</f>
        <v>173268782</v>
      </c>
      <c r="AT97" s="39">
        <f>新規債返済スケジュール!AE2</f>
        <v>177717420</v>
      </c>
      <c r="AU97" s="39">
        <f>新規債返済スケジュール!AF2</f>
        <v>182259480</v>
      </c>
      <c r="AV97" s="39">
        <f>新規債返済スケジュール!AG2</f>
        <v>186896924</v>
      </c>
      <c r="AW97" s="39">
        <f>新規債返済スケジュール!AH2</f>
        <v>191631756</v>
      </c>
      <c r="AX97" s="39">
        <f>新規債返済スケジュール!AI2</f>
        <v>196466016</v>
      </c>
      <c r="AY97" s="39">
        <f>新規債返済スケジュール!AJ2</f>
        <v>201401796</v>
      </c>
      <c r="AZ97" s="39">
        <f>新規債返済スケジュール!AK2</f>
        <v>206441228</v>
      </c>
      <c r="BA97" s="39">
        <f>新規債返済スケジュール!AL2</f>
        <v>211586490</v>
      </c>
      <c r="BB97" s="39">
        <f>新規債返済スケジュール!AM2</f>
        <v>216839797</v>
      </c>
      <c r="BC97" s="39">
        <f>新規債返済スケジュール!AN2</f>
        <v>222203425</v>
      </c>
      <c r="BD97" s="39">
        <f>新規債返済スケジュール!AO2</f>
        <v>227679692</v>
      </c>
      <c r="BE97" s="39">
        <f>新規債返済スケジュール!AP2</f>
        <v>233270959</v>
      </c>
      <c r="BF97" s="39">
        <f>新規債返済スケジュール!AQ2</f>
        <v>238979645</v>
      </c>
      <c r="BG97" s="39">
        <f>新規債返済スケジュール!AR2</f>
        <v>244808211</v>
      </c>
      <c r="BH97" s="39">
        <f>新規債返済スケジュール!AS2</f>
        <v>250759180</v>
      </c>
      <c r="BI97" s="39">
        <f>新規債返済スケジュール!AT2</f>
        <v>247892265</v>
      </c>
      <c r="BJ97" s="39">
        <f>新規債返済スケジュール!AU2</f>
        <v>246341539</v>
      </c>
      <c r="BK97" s="39">
        <f>新規債返済スケジュール!AV2</f>
        <v>235634235</v>
      </c>
      <c r="BL97" s="39">
        <f>新規債返済スケジュール!AW2</f>
        <v>225628201</v>
      </c>
      <c r="BM97" s="39">
        <f>新規債返済スケジュール!AX2</f>
        <v>215970039</v>
      </c>
      <c r="BN97" s="39">
        <f>新規債返済スケジュール!AY2</f>
        <v>211689036</v>
      </c>
      <c r="BO97" s="39">
        <f>新規債返済スケジュール!AZ2</f>
        <v>207318131</v>
      </c>
      <c r="BP97" s="39">
        <f>新規債返済スケジュール!BA2</f>
        <v>200995447</v>
      </c>
      <c r="BQ97" s="39">
        <f>新規債返済スケジュール!BB2</f>
        <v>192307993</v>
      </c>
    </row>
    <row r="98" spans="2:69">
      <c r="B98" s="3"/>
      <c r="C98" s="1" t="s">
        <v>132</v>
      </c>
      <c r="D98" s="1"/>
      <c r="E98" s="1"/>
      <c r="F98" s="67"/>
      <c r="G98" s="67"/>
      <c r="H98" s="67"/>
      <c r="I98" s="67"/>
      <c r="J98" s="67"/>
      <c r="K98" s="1"/>
      <c r="L98" s="1"/>
      <c r="M98" s="1"/>
      <c r="N98" s="39"/>
      <c r="O98" s="39"/>
      <c r="P98" s="39"/>
      <c r="Q98" s="39"/>
      <c r="R98" s="39"/>
      <c r="S98" s="39">
        <f t="shared" si="25"/>
        <v>0</v>
      </c>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row>
    <row r="99" spans="2:69">
      <c r="B99" s="9" t="s">
        <v>133</v>
      </c>
      <c r="C99" s="7"/>
      <c r="D99" s="7"/>
      <c r="E99" s="8"/>
      <c r="F99" s="67"/>
      <c r="G99" s="67"/>
      <c r="H99" s="67"/>
      <c r="I99" s="67"/>
      <c r="J99" s="67"/>
      <c r="K99" s="1"/>
      <c r="L99" s="1"/>
      <c r="M99" s="1"/>
      <c r="N99" s="39">
        <f>N72-N79</f>
        <v>-2742310038</v>
      </c>
      <c r="O99" s="39">
        <f t="shared" ref="O99:BQ99" si="42">O72-O79</f>
        <v>-142357895</v>
      </c>
      <c r="P99" s="39">
        <f t="shared" si="42"/>
        <v>-321127837</v>
      </c>
      <c r="Q99" s="39">
        <f t="shared" si="42"/>
        <v>-120983927</v>
      </c>
      <c r="R99" s="39">
        <f t="shared" si="42"/>
        <v>-270842715</v>
      </c>
      <c r="S99" s="39">
        <f t="shared" si="25"/>
        <v>-719524482.39999998</v>
      </c>
      <c r="T99" s="39">
        <f>T72-T79</f>
        <v>-10000079463153</v>
      </c>
      <c r="U99" s="39">
        <f t="shared" si="42"/>
        <v>-100000068677346</v>
      </c>
      <c r="V99" s="39">
        <f t="shared" si="42"/>
        <v>-100000059243717</v>
      </c>
      <c r="W99" s="39">
        <f t="shared" si="42"/>
        <v>-100000056944226</v>
      </c>
      <c r="X99" s="39">
        <f t="shared" si="42"/>
        <v>-100000044070542</v>
      </c>
      <c r="Y99" s="39">
        <f t="shared" si="42"/>
        <v>-100000035997091</v>
      </c>
      <c r="Z99" s="39">
        <f t="shared" si="42"/>
        <v>-37918317</v>
      </c>
      <c r="AA99" s="39">
        <f t="shared" si="42"/>
        <v>-41518197</v>
      </c>
      <c r="AB99" s="39">
        <f t="shared" si="42"/>
        <v>-46399311</v>
      </c>
      <c r="AC99" s="39">
        <f t="shared" si="42"/>
        <v>-52991959</v>
      </c>
      <c r="AD99" s="39">
        <f t="shared" si="42"/>
        <v>-58115657</v>
      </c>
      <c r="AE99" s="39">
        <f t="shared" si="42"/>
        <v>-58670006</v>
      </c>
      <c r="AF99" s="39">
        <f t="shared" si="42"/>
        <v>-62445456</v>
      </c>
      <c r="AG99" s="39">
        <f t="shared" si="42"/>
        <v>-66300193</v>
      </c>
      <c r="AH99" s="39">
        <f t="shared" si="42"/>
        <v>-76391834</v>
      </c>
      <c r="AI99" s="39">
        <f t="shared" si="42"/>
        <v>-86695401</v>
      </c>
      <c r="AJ99" s="39">
        <f t="shared" si="42"/>
        <v>-97215343</v>
      </c>
      <c r="AK99" s="39">
        <f t="shared" si="42"/>
        <v>-107956201</v>
      </c>
      <c r="AL99" s="39">
        <f t="shared" si="42"/>
        <v>-119408616</v>
      </c>
      <c r="AM99" s="39">
        <f t="shared" si="42"/>
        <v>-131474127</v>
      </c>
      <c r="AN99" s="39">
        <f t="shared" si="42"/>
        <v>-143793015</v>
      </c>
      <c r="AO99" s="39">
        <f t="shared" si="42"/>
        <v>-156370600</v>
      </c>
      <c r="AP99" s="39">
        <f t="shared" si="42"/>
        <v>-160464378</v>
      </c>
      <c r="AQ99" s="39">
        <f t="shared" si="42"/>
        <v>-164644124</v>
      </c>
      <c r="AR99" s="39">
        <f t="shared" si="42"/>
        <v>-168911643</v>
      </c>
      <c r="AS99" s="39">
        <f t="shared" si="42"/>
        <v>-173268782</v>
      </c>
      <c r="AT99" s="39">
        <f t="shared" si="42"/>
        <v>-177717420</v>
      </c>
      <c r="AU99" s="39">
        <f t="shared" si="42"/>
        <v>-182259480</v>
      </c>
      <c r="AV99" s="39">
        <f t="shared" si="42"/>
        <v>-186896924</v>
      </c>
      <c r="AW99" s="39">
        <f t="shared" si="42"/>
        <v>-191631756</v>
      </c>
      <c r="AX99" s="39">
        <f t="shared" si="42"/>
        <v>-196466016</v>
      </c>
      <c r="AY99" s="39">
        <f t="shared" si="42"/>
        <v>-201401796</v>
      </c>
      <c r="AZ99" s="39">
        <f t="shared" si="42"/>
        <v>-206441228</v>
      </c>
      <c r="BA99" s="39">
        <f t="shared" si="42"/>
        <v>-211586490</v>
      </c>
      <c r="BB99" s="39">
        <f t="shared" si="42"/>
        <v>-216839797</v>
      </c>
      <c r="BC99" s="39">
        <f t="shared" si="42"/>
        <v>-222203425</v>
      </c>
      <c r="BD99" s="39">
        <f t="shared" si="42"/>
        <v>-227679692</v>
      </c>
      <c r="BE99" s="39">
        <f t="shared" si="42"/>
        <v>-233270959</v>
      </c>
      <c r="BF99" s="39">
        <f t="shared" si="42"/>
        <v>-238979645</v>
      </c>
      <c r="BG99" s="39">
        <f t="shared" si="42"/>
        <v>-244808211</v>
      </c>
      <c r="BH99" s="39">
        <f t="shared" si="42"/>
        <v>-250759180</v>
      </c>
      <c r="BI99" s="39">
        <f t="shared" si="42"/>
        <v>-247892265</v>
      </c>
      <c r="BJ99" s="39">
        <f t="shared" si="42"/>
        <v>-246341539</v>
      </c>
      <c r="BK99" s="39">
        <f t="shared" si="42"/>
        <v>-235634235</v>
      </c>
      <c r="BL99" s="39">
        <f t="shared" si="42"/>
        <v>-225628201</v>
      </c>
      <c r="BM99" s="39">
        <f t="shared" si="42"/>
        <v>-215970039</v>
      </c>
      <c r="BN99" s="39">
        <f t="shared" si="42"/>
        <v>-211689036</v>
      </c>
      <c r="BO99" s="39">
        <f t="shared" si="42"/>
        <v>-207318131</v>
      </c>
      <c r="BP99" s="39">
        <f t="shared" si="42"/>
        <v>-200995447</v>
      </c>
      <c r="BQ99" s="39">
        <f t="shared" si="42"/>
        <v>-192307993</v>
      </c>
    </row>
    <row r="101" spans="2:69">
      <c r="B101" t="s">
        <v>134</v>
      </c>
    </row>
    <row r="102" spans="2:69">
      <c r="B102" s="11" t="s">
        <v>1</v>
      </c>
      <c r="C102" s="11" t="s">
        <v>2</v>
      </c>
      <c r="D102" s="12" t="s">
        <v>3</v>
      </c>
      <c r="E102" s="13"/>
      <c r="F102" s="20" t="s">
        <v>4</v>
      </c>
      <c r="G102" s="14"/>
      <c r="H102" s="14"/>
      <c r="I102" s="15"/>
      <c r="J102" s="311" t="s">
        <v>162</v>
      </c>
      <c r="K102" s="11" t="s">
        <v>8</v>
      </c>
      <c r="L102" s="11" t="s">
        <v>9</v>
      </c>
      <c r="M102" s="11" t="s">
        <v>10</v>
      </c>
      <c r="N102" s="30" t="s">
        <v>11</v>
      </c>
      <c r="O102" s="31"/>
      <c r="P102" s="31"/>
      <c r="Q102" s="31"/>
      <c r="R102" s="32"/>
      <c r="S102" s="35" t="s">
        <v>177</v>
      </c>
      <c r="T102" s="33" t="s">
        <v>17</v>
      </c>
      <c r="U102" s="31"/>
      <c r="V102" s="31"/>
      <c r="W102" s="32"/>
      <c r="X102" s="34" t="s">
        <v>68</v>
      </c>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row>
    <row r="103" spans="2:69">
      <c r="B103" s="17"/>
      <c r="C103" s="17"/>
      <c r="D103" s="18"/>
      <c r="E103" s="19"/>
      <c r="F103" s="17"/>
      <c r="G103" s="16" t="s">
        <v>5</v>
      </c>
      <c r="H103" s="16" t="s">
        <v>6</v>
      </c>
      <c r="I103" s="16" t="s">
        <v>7</v>
      </c>
      <c r="J103" s="312"/>
      <c r="K103" s="17"/>
      <c r="L103" s="17"/>
      <c r="M103" s="17"/>
      <c r="N103" s="35" t="s">
        <v>12</v>
      </c>
      <c r="O103" s="35" t="s">
        <v>13</v>
      </c>
      <c r="P103" s="35" t="s">
        <v>14</v>
      </c>
      <c r="Q103" s="35" t="s">
        <v>15</v>
      </c>
      <c r="R103" s="35" t="s">
        <v>16</v>
      </c>
      <c r="S103" s="35"/>
      <c r="T103" s="35" t="s">
        <v>18</v>
      </c>
      <c r="U103" s="35" t="s">
        <v>19</v>
      </c>
      <c r="V103" s="35" t="s">
        <v>20</v>
      </c>
      <c r="W103" s="35" t="s">
        <v>21</v>
      </c>
      <c r="X103" s="35" t="s">
        <v>22</v>
      </c>
      <c r="Y103" s="35" t="s">
        <v>23</v>
      </c>
      <c r="Z103" s="35" t="s">
        <v>24</v>
      </c>
      <c r="AA103" s="35" t="s">
        <v>25</v>
      </c>
      <c r="AB103" s="35" t="s">
        <v>26</v>
      </c>
      <c r="AC103" s="35" t="s">
        <v>27</v>
      </c>
      <c r="AD103" s="35" t="s">
        <v>28</v>
      </c>
      <c r="AE103" s="35" t="s">
        <v>29</v>
      </c>
      <c r="AF103" s="35" t="s">
        <v>30</v>
      </c>
      <c r="AG103" s="35" t="s">
        <v>31</v>
      </c>
      <c r="AH103" s="35" t="s">
        <v>32</v>
      </c>
      <c r="AI103" s="35" t="s">
        <v>33</v>
      </c>
      <c r="AJ103" s="35" t="s">
        <v>34</v>
      </c>
      <c r="AK103" s="35" t="s">
        <v>35</v>
      </c>
      <c r="AL103" s="35" t="s">
        <v>36</v>
      </c>
      <c r="AM103" s="35" t="s">
        <v>37</v>
      </c>
      <c r="AN103" s="35" t="s">
        <v>38</v>
      </c>
      <c r="AO103" s="35" t="s">
        <v>39</v>
      </c>
      <c r="AP103" s="35" t="s">
        <v>40</v>
      </c>
      <c r="AQ103" s="35" t="s">
        <v>41</v>
      </c>
      <c r="AR103" s="35" t="s">
        <v>42</v>
      </c>
      <c r="AS103" s="35" t="s">
        <v>43</v>
      </c>
      <c r="AT103" s="35" t="s">
        <v>44</v>
      </c>
      <c r="AU103" s="35" t="s">
        <v>45</v>
      </c>
      <c r="AV103" s="35" t="s">
        <v>46</v>
      </c>
      <c r="AW103" s="35" t="s">
        <v>47</v>
      </c>
      <c r="AX103" s="35" t="s">
        <v>48</v>
      </c>
      <c r="AY103" s="35" t="s">
        <v>49</v>
      </c>
      <c r="AZ103" s="35" t="s">
        <v>50</v>
      </c>
      <c r="BA103" s="35" t="s">
        <v>51</v>
      </c>
      <c r="BB103" s="35" t="s">
        <v>52</v>
      </c>
      <c r="BC103" s="35" t="s">
        <v>53</v>
      </c>
      <c r="BD103" s="35" t="s">
        <v>54</v>
      </c>
      <c r="BE103" s="35" t="s">
        <v>55</v>
      </c>
      <c r="BF103" s="35" t="s">
        <v>56</v>
      </c>
      <c r="BG103" s="35" t="s">
        <v>57</v>
      </c>
      <c r="BH103" s="35" t="s">
        <v>58</v>
      </c>
      <c r="BI103" s="35" t="s">
        <v>59</v>
      </c>
      <c r="BJ103" s="35" t="s">
        <v>60</v>
      </c>
      <c r="BK103" s="35" t="s">
        <v>61</v>
      </c>
      <c r="BL103" s="35" t="s">
        <v>62</v>
      </c>
      <c r="BM103" s="35" t="s">
        <v>63</v>
      </c>
      <c r="BN103" s="35" t="s">
        <v>64</v>
      </c>
      <c r="BO103" s="35" t="s">
        <v>65</v>
      </c>
      <c r="BP103" s="35" t="s">
        <v>66</v>
      </c>
      <c r="BQ103" s="35" t="s">
        <v>67</v>
      </c>
    </row>
    <row r="104" spans="2:69">
      <c r="B104" s="9" t="s">
        <v>133</v>
      </c>
      <c r="C104" s="7"/>
      <c r="D104" s="7"/>
      <c r="E104" s="8"/>
      <c r="F104" s="67"/>
      <c r="G104" s="67"/>
      <c r="H104" s="67"/>
      <c r="I104" s="67"/>
      <c r="J104" s="67"/>
      <c r="K104" s="1"/>
      <c r="L104" s="1"/>
      <c r="M104" s="1"/>
      <c r="N104" s="39">
        <f>N99</f>
        <v>-2742310038</v>
      </c>
      <c r="O104" s="39">
        <f t="shared" ref="O104:R104" si="43">O99</f>
        <v>-142357895</v>
      </c>
      <c r="P104" s="39">
        <f t="shared" si="43"/>
        <v>-321127837</v>
      </c>
      <c r="Q104" s="39">
        <f t="shared" si="43"/>
        <v>-120983927</v>
      </c>
      <c r="R104" s="39">
        <f t="shared" si="43"/>
        <v>-270842715</v>
      </c>
      <c r="S104" s="39">
        <f t="shared" ref="S104:S112" si="44">IFERROR(AVERAGE(N104:R104),0)</f>
        <v>-719524482.39999998</v>
      </c>
      <c r="T104" s="39">
        <f t="shared" ref="T104:BQ104" si="45">T99</f>
        <v>-10000079463153</v>
      </c>
      <c r="U104" s="39">
        <f t="shared" si="45"/>
        <v>-100000068677346</v>
      </c>
      <c r="V104" s="39">
        <f t="shared" si="45"/>
        <v>-100000059243717</v>
      </c>
      <c r="W104" s="39">
        <f t="shared" si="45"/>
        <v>-100000056944226</v>
      </c>
      <c r="X104" s="39">
        <f t="shared" si="45"/>
        <v>-100000044070542</v>
      </c>
      <c r="Y104" s="39">
        <f t="shared" si="45"/>
        <v>-100000035997091</v>
      </c>
      <c r="Z104" s="39">
        <f t="shared" si="45"/>
        <v>-37918317</v>
      </c>
      <c r="AA104" s="39">
        <f t="shared" si="45"/>
        <v>-41518197</v>
      </c>
      <c r="AB104" s="39">
        <f t="shared" si="45"/>
        <v>-46399311</v>
      </c>
      <c r="AC104" s="39">
        <f t="shared" si="45"/>
        <v>-52991959</v>
      </c>
      <c r="AD104" s="39">
        <f t="shared" si="45"/>
        <v>-58115657</v>
      </c>
      <c r="AE104" s="39">
        <f t="shared" si="45"/>
        <v>-58670006</v>
      </c>
      <c r="AF104" s="39">
        <f t="shared" si="45"/>
        <v>-62445456</v>
      </c>
      <c r="AG104" s="39">
        <f t="shared" si="45"/>
        <v>-66300193</v>
      </c>
      <c r="AH104" s="39">
        <f t="shared" si="45"/>
        <v>-76391834</v>
      </c>
      <c r="AI104" s="39">
        <f t="shared" si="45"/>
        <v>-86695401</v>
      </c>
      <c r="AJ104" s="39">
        <f t="shared" si="45"/>
        <v>-97215343</v>
      </c>
      <c r="AK104" s="39">
        <f t="shared" si="45"/>
        <v>-107956201</v>
      </c>
      <c r="AL104" s="39">
        <f t="shared" si="45"/>
        <v>-119408616</v>
      </c>
      <c r="AM104" s="39">
        <f t="shared" si="45"/>
        <v>-131474127</v>
      </c>
      <c r="AN104" s="39">
        <f t="shared" si="45"/>
        <v>-143793015</v>
      </c>
      <c r="AO104" s="39">
        <f t="shared" si="45"/>
        <v>-156370600</v>
      </c>
      <c r="AP104" s="39">
        <f t="shared" si="45"/>
        <v>-160464378</v>
      </c>
      <c r="AQ104" s="39">
        <f t="shared" si="45"/>
        <v>-164644124</v>
      </c>
      <c r="AR104" s="39">
        <f t="shared" si="45"/>
        <v>-168911643</v>
      </c>
      <c r="AS104" s="39">
        <f t="shared" si="45"/>
        <v>-173268782</v>
      </c>
      <c r="AT104" s="39">
        <f t="shared" si="45"/>
        <v>-177717420</v>
      </c>
      <c r="AU104" s="39">
        <f t="shared" si="45"/>
        <v>-182259480</v>
      </c>
      <c r="AV104" s="39">
        <f t="shared" si="45"/>
        <v>-186896924</v>
      </c>
      <c r="AW104" s="39">
        <f t="shared" si="45"/>
        <v>-191631756</v>
      </c>
      <c r="AX104" s="39">
        <f t="shared" si="45"/>
        <v>-196466016</v>
      </c>
      <c r="AY104" s="39">
        <f t="shared" si="45"/>
        <v>-201401796</v>
      </c>
      <c r="AZ104" s="39">
        <f t="shared" si="45"/>
        <v>-206441228</v>
      </c>
      <c r="BA104" s="39">
        <f t="shared" si="45"/>
        <v>-211586490</v>
      </c>
      <c r="BB104" s="39">
        <f t="shared" si="45"/>
        <v>-216839797</v>
      </c>
      <c r="BC104" s="39">
        <f t="shared" si="45"/>
        <v>-222203425</v>
      </c>
      <c r="BD104" s="39">
        <f t="shared" si="45"/>
        <v>-227679692</v>
      </c>
      <c r="BE104" s="39">
        <f t="shared" si="45"/>
        <v>-233270959</v>
      </c>
      <c r="BF104" s="39">
        <f t="shared" si="45"/>
        <v>-238979645</v>
      </c>
      <c r="BG104" s="39">
        <f t="shared" si="45"/>
        <v>-244808211</v>
      </c>
      <c r="BH104" s="39">
        <f t="shared" si="45"/>
        <v>-250759180</v>
      </c>
      <c r="BI104" s="39">
        <f t="shared" si="45"/>
        <v>-247892265</v>
      </c>
      <c r="BJ104" s="39">
        <f t="shared" si="45"/>
        <v>-246341539</v>
      </c>
      <c r="BK104" s="39">
        <f t="shared" si="45"/>
        <v>-235634235</v>
      </c>
      <c r="BL104" s="39">
        <f t="shared" si="45"/>
        <v>-225628201</v>
      </c>
      <c r="BM104" s="39">
        <f t="shared" si="45"/>
        <v>-215970039</v>
      </c>
      <c r="BN104" s="39">
        <f t="shared" si="45"/>
        <v>-211689036</v>
      </c>
      <c r="BO104" s="39">
        <f t="shared" si="45"/>
        <v>-207318131</v>
      </c>
      <c r="BP104" s="39">
        <f t="shared" si="45"/>
        <v>-200995447</v>
      </c>
      <c r="BQ104" s="39">
        <f t="shared" si="45"/>
        <v>-192307993</v>
      </c>
    </row>
    <row r="105" spans="2:69">
      <c r="B105" s="309"/>
      <c r="C105" s="308" t="s">
        <v>137</v>
      </c>
      <c r="D105" s="9" t="s">
        <v>139</v>
      </c>
      <c r="E105" s="8"/>
      <c r="F105" s="67"/>
      <c r="G105" s="67"/>
      <c r="H105" s="67"/>
      <c r="I105" s="67"/>
      <c r="J105" s="67"/>
      <c r="K105" s="1"/>
      <c r="L105" s="1"/>
      <c r="M105" s="1"/>
      <c r="N105" s="39" t="e">
        <f>N67</f>
        <v>#REF!</v>
      </c>
      <c r="O105" s="39" t="e">
        <f>O67</f>
        <v>#REF!</v>
      </c>
      <c r="P105" s="39" t="e">
        <f>P67</f>
        <v>#REF!</v>
      </c>
      <c r="Q105" s="39" t="e">
        <f>Q67</f>
        <v>#REF!</v>
      </c>
      <c r="R105" s="39" t="e">
        <f>R67</f>
        <v>#REF!</v>
      </c>
      <c r="S105" s="39">
        <f t="shared" si="44"/>
        <v>0</v>
      </c>
      <c r="T105" s="39" t="e">
        <f t="shared" ref="T105:AY105" si="46">T67</f>
        <v>#REF!</v>
      </c>
      <c r="U105" s="39" t="e">
        <f t="shared" si="46"/>
        <v>#REF!</v>
      </c>
      <c r="V105" s="39" t="e">
        <f t="shared" si="46"/>
        <v>#REF!</v>
      </c>
      <c r="W105" s="39" t="e">
        <f t="shared" si="46"/>
        <v>#REF!</v>
      </c>
      <c r="X105" s="39" t="e">
        <f t="shared" si="46"/>
        <v>#REF!</v>
      </c>
      <c r="Y105" s="39" t="e">
        <f t="shared" si="46"/>
        <v>#REF!</v>
      </c>
      <c r="Z105" s="39" t="e">
        <f t="shared" si="46"/>
        <v>#REF!</v>
      </c>
      <c r="AA105" s="39" t="e">
        <f t="shared" si="46"/>
        <v>#REF!</v>
      </c>
      <c r="AB105" s="39" t="e">
        <f t="shared" si="46"/>
        <v>#REF!</v>
      </c>
      <c r="AC105" s="39" t="e">
        <f t="shared" si="46"/>
        <v>#REF!</v>
      </c>
      <c r="AD105" s="39" t="e">
        <f t="shared" si="46"/>
        <v>#REF!</v>
      </c>
      <c r="AE105" s="39" t="e">
        <f t="shared" si="46"/>
        <v>#REF!</v>
      </c>
      <c r="AF105" s="39" t="e">
        <f t="shared" si="46"/>
        <v>#REF!</v>
      </c>
      <c r="AG105" s="39" t="e">
        <f t="shared" si="46"/>
        <v>#REF!</v>
      </c>
      <c r="AH105" s="39" t="e">
        <f t="shared" si="46"/>
        <v>#REF!</v>
      </c>
      <c r="AI105" s="39" t="e">
        <f t="shared" si="46"/>
        <v>#REF!</v>
      </c>
      <c r="AJ105" s="39" t="e">
        <f t="shared" si="46"/>
        <v>#REF!</v>
      </c>
      <c r="AK105" s="39" t="e">
        <f t="shared" si="46"/>
        <v>#REF!</v>
      </c>
      <c r="AL105" s="39" t="e">
        <f t="shared" si="46"/>
        <v>#REF!</v>
      </c>
      <c r="AM105" s="39" t="e">
        <f t="shared" si="46"/>
        <v>#REF!</v>
      </c>
      <c r="AN105" s="39" t="e">
        <f t="shared" si="46"/>
        <v>#REF!</v>
      </c>
      <c r="AO105" s="39" t="e">
        <f t="shared" si="46"/>
        <v>#REF!</v>
      </c>
      <c r="AP105" s="39" t="e">
        <f t="shared" si="46"/>
        <v>#REF!</v>
      </c>
      <c r="AQ105" s="39" t="e">
        <f t="shared" si="46"/>
        <v>#REF!</v>
      </c>
      <c r="AR105" s="39" t="e">
        <f t="shared" si="46"/>
        <v>#REF!</v>
      </c>
      <c r="AS105" s="39" t="e">
        <f t="shared" si="46"/>
        <v>#REF!</v>
      </c>
      <c r="AT105" s="39" t="e">
        <f t="shared" si="46"/>
        <v>#REF!</v>
      </c>
      <c r="AU105" s="39" t="e">
        <f t="shared" si="46"/>
        <v>#REF!</v>
      </c>
      <c r="AV105" s="39" t="e">
        <f t="shared" si="46"/>
        <v>#REF!</v>
      </c>
      <c r="AW105" s="39" t="e">
        <f t="shared" si="46"/>
        <v>#REF!</v>
      </c>
      <c r="AX105" s="39" t="e">
        <f t="shared" si="46"/>
        <v>#REF!</v>
      </c>
      <c r="AY105" s="39" t="e">
        <f t="shared" si="46"/>
        <v>#REF!</v>
      </c>
      <c r="AZ105" s="39" t="e">
        <f t="shared" ref="AZ105:BQ105" si="47">AZ67</f>
        <v>#REF!</v>
      </c>
      <c r="BA105" s="39" t="e">
        <f t="shared" si="47"/>
        <v>#REF!</v>
      </c>
      <c r="BB105" s="39" t="e">
        <f t="shared" si="47"/>
        <v>#REF!</v>
      </c>
      <c r="BC105" s="39" t="e">
        <f t="shared" si="47"/>
        <v>#REF!</v>
      </c>
      <c r="BD105" s="39" t="e">
        <f t="shared" si="47"/>
        <v>#REF!</v>
      </c>
      <c r="BE105" s="39" t="e">
        <f t="shared" si="47"/>
        <v>#REF!</v>
      </c>
      <c r="BF105" s="39" t="e">
        <f t="shared" si="47"/>
        <v>#REF!</v>
      </c>
      <c r="BG105" s="39" t="e">
        <f t="shared" si="47"/>
        <v>#REF!</v>
      </c>
      <c r="BH105" s="39" t="e">
        <f t="shared" si="47"/>
        <v>#REF!</v>
      </c>
      <c r="BI105" s="39" t="e">
        <f t="shared" si="47"/>
        <v>#REF!</v>
      </c>
      <c r="BJ105" s="39" t="e">
        <f t="shared" si="47"/>
        <v>#REF!</v>
      </c>
      <c r="BK105" s="39" t="e">
        <f t="shared" si="47"/>
        <v>#REF!</v>
      </c>
      <c r="BL105" s="39" t="e">
        <f t="shared" si="47"/>
        <v>#REF!</v>
      </c>
      <c r="BM105" s="39" t="e">
        <f t="shared" si="47"/>
        <v>#REF!</v>
      </c>
      <c r="BN105" s="39" t="e">
        <f t="shared" si="47"/>
        <v>#REF!</v>
      </c>
      <c r="BO105" s="39" t="e">
        <f t="shared" si="47"/>
        <v>#REF!</v>
      </c>
      <c r="BP105" s="39" t="e">
        <f t="shared" si="47"/>
        <v>#REF!</v>
      </c>
      <c r="BQ105" s="39" t="e">
        <f t="shared" si="47"/>
        <v>#REF!</v>
      </c>
    </row>
    <row r="106" spans="2:69">
      <c r="B106" s="309"/>
      <c r="C106" s="310"/>
      <c r="D106" s="9" t="s">
        <v>187</v>
      </c>
      <c r="E106" s="8"/>
      <c r="F106" s="67"/>
      <c r="G106" s="67"/>
      <c r="H106" s="67"/>
      <c r="I106" s="67"/>
      <c r="J106" s="67"/>
      <c r="K106" s="1"/>
      <c r="L106" s="1"/>
      <c r="M106" s="1"/>
      <c r="N106" s="39" t="e">
        <f>SUM(N105:N105)</f>
        <v>#REF!</v>
      </c>
      <c r="O106" s="39" t="e">
        <f>SUM(O105:O105)</f>
        <v>#REF!</v>
      </c>
      <c r="P106" s="39" t="e">
        <f>SUM(P105:P105)</f>
        <v>#REF!</v>
      </c>
      <c r="Q106" s="39" t="e">
        <f>SUM(Q105:Q105)</f>
        <v>#REF!</v>
      </c>
      <c r="R106" s="39" t="e">
        <f>SUM(R105:R105)</f>
        <v>#REF!</v>
      </c>
      <c r="S106" s="39">
        <f t="shared" si="44"/>
        <v>0</v>
      </c>
      <c r="T106" s="39" t="e">
        <f t="shared" ref="T106:AY106" si="48">SUM(T105:T105)</f>
        <v>#REF!</v>
      </c>
      <c r="U106" s="39" t="e">
        <f t="shared" si="48"/>
        <v>#REF!</v>
      </c>
      <c r="V106" s="39" t="e">
        <f t="shared" si="48"/>
        <v>#REF!</v>
      </c>
      <c r="W106" s="39" t="e">
        <f t="shared" si="48"/>
        <v>#REF!</v>
      </c>
      <c r="X106" s="39" t="e">
        <f t="shared" si="48"/>
        <v>#REF!</v>
      </c>
      <c r="Y106" s="39" t="e">
        <f t="shared" si="48"/>
        <v>#REF!</v>
      </c>
      <c r="Z106" s="39" t="e">
        <f t="shared" si="48"/>
        <v>#REF!</v>
      </c>
      <c r="AA106" s="39" t="e">
        <f t="shared" si="48"/>
        <v>#REF!</v>
      </c>
      <c r="AB106" s="39" t="e">
        <f t="shared" si="48"/>
        <v>#REF!</v>
      </c>
      <c r="AC106" s="39" t="e">
        <f t="shared" si="48"/>
        <v>#REF!</v>
      </c>
      <c r="AD106" s="39" t="e">
        <f t="shared" si="48"/>
        <v>#REF!</v>
      </c>
      <c r="AE106" s="39" t="e">
        <f t="shared" si="48"/>
        <v>#REF!</v>
      </c>
      <c r="AF106" s="39" t="e">
        <f t="shared" si="48"/>
        <v>#REF!</v>
      </c>
      <c r="AG106" s="39" t="e">
        <f t="shared" si="48"/>
        <v>#REF!</v>
      </c>
      <c r="AH106" s="39" t="e">
        <f t="shared" si="48"/>
        <v>#REF!</v>
      </c>
      <c r="AI106" s="39" t="e">
        <f t="shared" si="48"/>
        <v>#REF!</v>
      </c>
      <c r="AJ106" s="39" t="e">
        <f t="shared" si="48"/>
        <v>#REF!</v>
      </c>
      <c r="AK106" s="39" t="e">
        <f t="shared" si="48"/>
        <v>#REF!</v>
      </c>
      <c r="AL106" s="39" t="e">
        <f t="shared" si="48"/>
        <v>#REF!</v>
      </c>
      <c r="AM106" s="39" t="e">
        <f t="shared" si="48"/>
        <v>#REF!</v>
      </c>
      <c r="AN106" s="39" t="e">
        <f t="shared" si="48"/>
        <v>#REF!</v>
      </c>
      <c r="AO106" s="39" t="e">
        <f t="shared" si="48"/>
        <v>#REF!</v>
      </c>
      <c r="AP106" s="39" t="e">
        <f t="shared" si="48"/>
        <v>#REF!</v>
      </c>
      <c r="AQ106" s="39" t="e">
        <f t="shared" si="48"/>
        <v>#REF!</v>
      </c>
      <c r="AR106" s="39" t="e">
        <f t="shared" si="48"/>
        <v>#REF!</v>
      </c>
      <c r="AS106" s="39" t="e">
        <f t="shared" si="48"/>
        <v>#REF!</v>
      </c>
      <c r="AT106" s="39" t="e">
        <f t="shared" si="48"/>
        <v>#REF!</v>
      </c>
      <c r="AU106" s="39" t="e">
        <f t="shared" si="48"/>
        <v>#REF!</v>
      </c>
      <c r="AV106" s="39" t="e">
        <f t="shared" si="48"/>
        <v>#REF!</v>
      </c>
      <c r="AW106" s="39" t="e">
        <f t="shared" si="48"/>
        <v>#REF!</v>
      </c>
      <c r="AX106" s="39" t="e">
        <f t="shared" si="48"/>
        <v>#REF!</v>
      </c>
      <c r="AY106" s="39" t="e">
        <f t="shared" si="48"/>
        <v>#REF!</v>
      </c>
      <c r="AZ106" s="39" t="e">
        <f t="shared" ref="AZ106:BQ106" si="49">SUM(AZ105:AZ105)</f>
        <v>#REF!</v>
      </c>
      <c r="BA106" s="39" t="e">
        <f t="shared" si="49"/>
        <v>#REF!</v>
      </c>
      <c r="BB106" s="39" t="e">
        <f t="shared" si="49"/>
        <v>#REF!</v>
      </c>
      <c r="BC106" s="39" t="e">
        <f t="shared" si="49"/>
        <v>#REF!</v>
      </c>
      <c r="BD106" s="39" t="e">
        <f t="shared" si="49"/>
        <v>#REF!</v>
      </c>
      <c r="BE106" s="39" t="e">
        <f t="shared" si="49"/>
        <v>#REF!</v>
      </c>
      <c r="BF106" s="39" t="e">
        <f t="shared" si="49"/>
        <v>#REF!</v>
      </c>
      <c r="BG106" s="39" t="e">
        <f t="shared" si="49"/>
        <v>#REF!</v>
      </c>
      <c r="BH106" s="39" t="e">
        <f t="shared" si="49"/>
        <v>#REF!</v>
      </c>
      <c r="BI106" s="39" t="e">
        <f t="shared" si="49"/>
        <v>#REF!</v>
      </c>
      <c r="BJ106" s="39" t="e">
        <f t="shared" si="49"/>
        <v>#REF!</v>
      </c>
      <c r="BK106" s="39" t="e">
        <f t="shared" si="49"/>
        <v>#REF!</v>
      </c>
      <c r="BL106" s="39" t="e">
        <f t="shared" si="49"/>
        <v>#REF!</v>
      </c>
      <c r="BM106" s="39" t="e">
        <f t="shared" si="49"/>
        <v>#REF!</v>
      </c>
      <c r="BN106" s="39" t="e">
        <f t="shared" si="49"/>
        <v>#REF!</v>
      </c>
      <c r="BO106" s="39" t="e">
        <f t="shared" si="49"/>
        <v>#REF!</v>
      </c>
      <c r="BP106" s="39" t="e">
        <f t="shared" si="49"/>
        <v>#REF!</v>
      </c>
      <c r="BQ106" s="39" t="e">
        <f t="shared" si="49"/>
        <v>#REF!</v>
      </c>
    </row>
    <row r="107" spans="2:69">
      <c r="B107" s="309"/>
      <c r="C107" s="308" t="s">
        <v>141</v>
      </c>
      <c r="D107" s="308" t="s">
        <v>143</v>
      </c>
      <c r="E107" s="1" t="s">
        <v>101</v>
      </c>
      <c r="F107" s="67"/>
      <c r="G107" s="67"/>
      <c r="H107" s="67"/>
      <c r="I107" s="67"/>
      <c r="J107" s="67"/>
      <c r="K107" s="1"/>
      <c r="L107" s="1"/>
      <c r="M107" s="1"/>
      <c r="N107" s="39" t="e">
        <f>N51</f>
        <v>#REF!</v>
      </c>
      <c r="O107" s="39" t="e">
        <f>O51</f>
        <v>#REF!</v>
      </c>
      <c r="P107" s="39" t="e">
        <f>P51</f>
        <v>#REF!</v>
      </c>
      <c r="Q107" s="39" t="e">
        <f>Q51</f>
        <v>#REF!</v>
      </c>
      <c r="R107" s="39" t="e">
        <f>R51</f>
        <v>#REF!</v>
      </c>
      <c r="S107" s="39">
        <f t="shared" si="44"/>
        <v>0</v>
      </c>
      <c r="T107" s="39">
        <f t="shared" ref="T107:AY107" si="50">T51</f>
        <v>34653029</v>
      </c>
      <c r="U107" s="39">
        <f t="shared" si="50"/>
        <v>32839785</v>
      </c>
      <c r="V107" s="39">
        <f t="shared" si="50"/>
        <v>31307613.300000001</v>
      </c>
      <c r="W107" s="39">
        <f t="shared" si="50"/>
        <v>29949650</v>
      </c>
      <c r="X107" s="39">
        <f t="shared" si="50"/>
        <v>29785335</v>
      </c>
      <c r="Y107" s="39">
        <f t="shared" si="50"/>
        <v>28185184</v>
      </c>
      <c r="Z107" s="39">
        <f t="shared" si="50"/>
        <v>27518623</v>
      </c>
      <c r="AA107" s="39">
        <f t="shared" si="50"/>
        <v>33841068</v>
      </c>
      <c r="AB107" s="39">
        <f t="shared" si="50"/>
        <v>60643315</v>
      </c>
      <c r="AC107" s="39">
        <f t="shared" si="50"/>
        <v>73801210</v>
      </c>
      <c r="AD107" s="39">
        <f t="shared" si="50"/>
        <v>82207962</v>
      </c>
      <c r="AE107" s="39">
        <f t="shared" si="50"/>
        <v>92815595</v>
      </c>
      <c r="AF107" s="39">
        <f t="shared" si="50"/>
        <v>100930757</v>
      </c>
      <c r="AG107" s="39">
        <f t="shared" si="50"/>
        <v>105617251</v>
      </c>
      <c r="AH107" s="39">
        <f t="shared" si="50"/>
        <v>113275146</v>
      </c>
      <c r="AI107" s="39">
        <f t="shared" si="50"/>
        <v>118144439</v>
      </c>
      <c r="AJ107" s="39">
        <f t="shared" si="50"/>
        <v>123407597</v>
      </c>
      <c r="AK107" s="39">
        <f t="shared" si="50"/>
        <v>128276910</v>
      </c>
      <c r="AL107" s="39">
        <f t="shared" si="50"/>
        <v>142604631</v>
      </c>
      <c r="AM107" s="39">
        <f t="shared" si="50"/>
        <v>157078315</v>
      </c>
      <c r="AN107" s="39">
        <f t="shared" si="50"/>
        <v>170856268</v>
      </c>
      <c r="AO107" s="39">
        <f t="shared" si="50"/>
        <v>185149479</v>
      </c>
      <c r="AP107" s="39">
        <f t="shared" si="50"/>
        <v>200438953</v>
      </c>
      <c r="AQ107" s="39">
        <f t="shared" si="50"/>
        <v>216333690</v>
      </c>
      <c r="AR107" s="39">
        <f t="shared" si="50"/>
        <v>232649479</v>
      </c>
      <c r="AS107" s="39">
        <f t="shared" si="50"/>
        <v>248965268</v>
      </c>
      <c r="AT107" s="39">
        <f t="shared" si="50"/>
        <v>251070531</v>
      </c>
      <c r="AU107" s="39">
        <f t="shared" si="50"/>
        <v>252341678</v>
      </c>
      <c r="AV107" s="39">
        <f t="shared" si="50"/>
        <v>253920625</v>
      </c>
      <c r="AW107" s="39">
        <f t="shared" si="50"/>
        <v>255525888</v>
      </c>
      <c r="AX107" s="39">
        <f t="shared" si="50"/>
        <v>257131151</v>
      </c>
      <c r="AY107" s="39">
        <f t="shared" si="50"/>
        <v>258205535</v>
      </c>
      <c r="AZ107" s="39">
        <f t="shared" ref="AZ107:BQ107" si="51">AZ51</f>
        <v>259928636</v>
      </c>
      <c r="BA107" s="39">
        <f t="shared" si="51"/>
        <v>260777261</v>
      </c>
      <c r="BB107" s="39">
        <f t="shared" si="51"/>
        <v>262882524</v>
      </c>
      <c r="BC107" s="39">
        <f t="shared" si="51"/>
        <v>259062800</v>
      </c>
      <c r="BD107" s="39">
        <f t="shared" si="51"/>
        <v>260349585</v>
      </c>
      <c r="BE107" s="39">
        <f t="shared" si="51"/>
        <v>260657786</v>
      </c>
      <c r="BF107" s="39">
        <f t="shared" si="51"/>
        <v>260237758</v>
      </c>
      <c r="BG107" s="39">
        <f t="shared" si="51"/>
        <v>261388719</v>
      </c>
      <c r="BH107" s="39">
        <f t="shared" si="51"/>
        <v>263150857</v>
      </c>
      <c r="BI107" s="39">
        <f t="shared" si="51"/>
        <v>262385840</v>
      </c>
      <c r="BJ107" s="39">
        <f t="shared" si="51"/>
        <v>264491103</v>
      </c>
      <c r="BK107" s="39">
        <f t="shared" si="51"/>
        <v>266070050</v>
      </c>
      <c r="BL107" s="39">
        <f t="shared" si="51"/>
        <v>267648997</v>
      </c>
      <c r="BM107" s="39">
        <f t="shared" si="51"/>
        <v>262763165</v>
      </c>
      <c r="BN107" s="39">
        <f t="shared" si="51"/>
        <v>237263151</v>
      </c>
      <c r="BO107" s="39">
        <f t="shared" si="51"/>
        <v>225789471</v>
      </c>
      <c r="BP107" s="39">
        <f t="shared" si="51"/>
        <v>218421050</v>
      </c>
      <c r="BQ107" s="39">
        <f t="shared" si="51"/>
        <v>208157882</v>
      </c>
    </row>
    <row r="108" spans="2:69">
      <c r="B108" s="309"/>
      <c r="C108" s="309"/>
      <c r="D108" s="309"/>
      <c r="E108" s="1" t="s">
        <v>102</v>
      </c>
      <c r="F108" s="67"/>
      <c r="G108" s="67"/>
      <c r="H108" s="67"/>
      <c r="I108" s="67"/>
      <c r="J108" s="67"/>
      <c r="K108" s="1"/>
      <c r="L108" s="1"/>
      <c r="M108" s="1"/>
      <c r="N108" s="39" t="e">
        <f>N54</f>
        <v>#REF!</v>
      </c>
      <c r="O108" s="39" t="e">
        <f>O54</f>
        <v>#REF!</v>
      </c>
      <c r="P108" s="39" t="e">
        <f>P54</f>
        <v>#REF!</v>
      </c>
      <c r="Q108" s="39" t="e">
        <f>Q54</f>
        <v>#REF!</v>
      </c>
      <c r="R108" s="39" t="e">
        <f>R54</f>
        <v>#REF!</v>
      </c>
      <c r="S108" s="39">
        <f t="shared" si="44"/>
        <v>0</v>
      </c>
      <c r="T108" s="39">
        <f t="shared" ref="T108:AY108" si="52">T54</f>
        <v>0</v>
      </c>
      <c r="U108" s="39">
        <f t="shared" si="52"/>
        <v>0</v>
      </c>
      <c r="V108" s="39">
        <f t="shared" si="52"/>
        <v>0</v>
      </c>
      <c r="W108" s="39">
        <f t="shared" si="52"/>
        <v>0</v>
      </c>
      <c r="X108" s="39">
        <f t="shared" si="52"/>
        <v>0</v>
      </c>
      <c r="Y108" s="39">
        <f t="shared" si="52"/>
        <v>0</v>
      </c>
      <c r="Z108" s="39">
        <f t="shared" si="52"/>
        <v>0</v>
      </c>
      <c r="AA108" s="39">
        <f t="shared" si="52"/>
        <v>0</v>
      </c>
      <c r="AB108" s="39">
        <f t="shared" si="52"/>
        <v>0</v>
      </c>
      <c r="AC108" s="39">
        <f t="shared" si="52"/>
        <v>0</v>
      </c>
      <c r="AD108" s="39">
        <f t="shared" si="52"/>
        <v>0</v>
      </c>
      <c r="AE108" s="39">
        <f t="shared" si="52"/>
        <v>0</v>
      </c>
      <c r="AF108" s="39">
        <f t="shared" si="52"/>
        <v>0</v>
      </c>
      <c r="AG108" s="39">
        <f t="shared" si="52"/>
        <v>0</v>
      </c>
      <c r="AH108" s="39">
        <f t="shared" si="52"/>
        <v>0</v>
      </c>
      <c r="AI108" s="39">
        <f t="shared" si="52"/>
        <v>0</v>
      </c>
      <c r="AJ108" s="39">
        <f t="shared" si="52"/>
        <v>0</v>
      </c>
      <c r="AK108" s="39">
        <f t="shared" si="52"/>
        <v>0</v>
      </c>
      <c r="AL108" s="39">
        <f t="shared" si="52"/>
        <v>0</v>
      </c>
      <c r="AM108" s="39">
        <f t="shared" si="52"/>
        <v>0</v>
      </c>
      <c r="AN108" s="39">
        <f t="shared" si="52"/>
        <v>0</v>
      </c>
      <c r="AO108" s="39">
        <f t="shared" si="52"/>
        <v>0</v>
      </c>
      <c r="AP108" s="39">
        <f t="shared" si="52"/>
        <v>0</v>
      </c>
      <c r="AQ108" s="39">
        <f t="shared" si="52"/>
        <v>0</v>
      </c>
      <c r="AR108" s="39">
        <f t="shared" si="52"/>
        <v>0</v>
      </c>
      <c r="AS108" s="39">
        <f t="shared" si="52"/>
        <v>0</v>
      </c>
      <c r="AT108" s="39">
        <f t="shared" si="52"/>
        <v>0</v>
      </c>
      <c r="AU108" s="39">
        <f t="shared" si="52"/>
        <v>0</v>
      </c>
      <c r="AV108" s="39">
        <f t="shared" si="52"/>
        <v>0</v>
      </c>
      <c r="AW108" s="39">
        <f t="shared" si="52"/>
        <v>0</v>
      </c>
      <c r="AX108" s="39">
        <f t="shared" si="52"/>
        <v>0</v>
      </c>
      <c r="AY108" s="39">
        <f t="shared" si="52"/>
        <v>0</v>
      </c>
      <c r="AZ108" s="39">
        <f t="shared" ref="AZ108:BQ108" si="53">AZ54</f>
        <v>0</v>
      </c>
      <c r="BA108" s="39">
        <f t="shared" si="53"/>
        <v>0</v>
      </c>
      <c r="BB108" s="39">
        <f t="shared" si="53"/>
        <v>0</v>
      </c>
      <c r="BC108" s="39">
        <f t="shared" si="53"/>
        <v>0</v>
      </c>
      <c r="BD108" s="39">
        <f t="shared" si="53"/>
        <v>0</v>
      </c>
      <c r="BE108" s="39">
        <f t="shared" si="53"/>
        <v>0</v>
      </c>
      <c r="BF108" s="39">
        <f t="shared" si="53"/>
        <v>0</v>
      </c>
      <c r="BG108" s="39">
        <f t="shared" si="53"/>
        <v>0</v>
      </c>
      <c r="BH108" s="39">
        <f t="shared" si="53"/>
        <v>0</v>
      </c>
      <c r="BI108" s="39">
        <f t="shared" si="53"/>
        <v>0</v>
      </c>
      <c r="BJ108" s="39">
        <f t="shared" si="53"/>
        <v>0</v>
      </c>
      <c r="BK108" s="39">
        <f t="shared" si="53"/>
        <v>0</v>
      </c>
      <c r="BL108" s="39">
        <f t="shared" si="53"/>
        <v>0</v>
      </c>
      <c r="BM108" s="39">
        <f t="shared" si="53"/>
        <v>0</v>
      </c>
      <c r="BN108" s="39">
        <f t="shared" si="53"/>
        <v>0</v>
      </c>
      <c r="BO108" s="39">
        <f t="shared" si="53"/>
        <v>0</v>
      </c>
      <c r="BP108" s="39">
        <f t="shared" si="53"/>
        <v>0</v>
      </c>
      <c r="BQ108" s="39">
        <f t="shared" si="53"/>
        <v>0</v>
      </c>
    </row>
    <row r="109" spans="2:69">
      <c r="B109" s="309"/>
      <c r="C109" s="309"/>
      <c r="D109" s="310"/>
      <c r="E109" s="1" t="s">
        <v>144</v>
      </c>
      <c r="F109" s="67"/>
      <c r="G109" s="67"/>
      <c r="H109" s="67"/>
      <c r="I109" s="67"/>
      <c r="J109" s="67"/>
      <c r="K109" s="1"/>
      <c r="L109" s="1"/>
      <c r="M109" s="1"/>
      <c r="N109" s="39" t="e">
        <f>-N15</f>
        <v>#REF!</v>
      </c>
      <c r="O109" s="39" t="e">
        <f>-O15</f>
        <v>#REF!</v>
      </c>
      <c r="P109" s="39" t="e">
        <f>-P15</f>
        <v>#REF!</v>
      </c>
      <c r="Q109" s="39" t="e">
        <f>-Q15</f>
        <v>#REF!</v>
      </c>
      <c r="R109" s="39" t="e">
        <f>-R15</f>
        <v>#REF!</v>
      </c>
      <c r="S109" s="39">
        <f t="shared" si="44"/>
        <v>0</v>
      </c>
      <c r="T109" s="39">
        <f t="shared" ref="T109:AY109" si="54">-T15</f>
        <v>-7854154</v>
      </c>
      <c r="U109" s="39">
        <f t="shared" si="54"/>
        <v>-7369181</v>
      </c>
      <c r="V109" s="39">
        <f t="shared" si="54"/>
        <v>-7145856</v>
      </c>
      <c r="W109" s="39">
        <f t="shared" si="54"/>
        <v>-6975465</v>
      </c>
      <c r="X109" s="39">
        <f t="shared" si="54"/>
        <v>-6971670</v>
      </c>
      <c r="Y109" s="39">
        <f t="shared" si="54"/>
        <v>-6791365</v>
      </c>
      <c r="Z109" s="39">
        <f t="shared" si="54"/>
        <v>-6480393</v>
      </c>
      <c r="AA109" s="39">
        <f t="shared" si="54"/>
        <v>-6480393</v>
      </c>
      <c r="AB109" s="39">
        <f t="shared" si="54"/>
        <v>-8146971.9473684207</v>
      </c>
      <c r="AC109" s="39">
        <f t="shared" si="54"/>
        <v>-9462761.421052631</v>
      </c>
      <c r="AD109" s="39">
        <f t="shared" si="54"/>
        <v>-10764492.894736841</v>
      </c>
      <c r="AE109" s="39">
        <f t="shared" si="54"/>
        <v>-11921337.368421052</v>
      </c>
      <c r="AF109" s="39">
        <f t="shared" si="54"/>
        <v>-13237126.842105262</v>
      </c>
      <c r="AG109" s="39">
        <f t="shared" si="54"/>
        <v>-12264190.842105262</v>
      </c>
      <c r="AH109" s="39">
        <f t="shared" si="54"/>
        <v>-12264190.842105262</v>
      </c>
      <c r="AI109" s="39">
        <f t="shared" si="54"/>
        <v>-11697439.842105262</v>
      </c>
      <c r="AJ109" s="39">
        <f t="shared" si="54"/>
        <v>-11697439.842105262</v>
      </c>
      <c r="AK109" s="39">
        <f t="shared" si="54"/>
        <v>-11618358.842105262</v>
      </c>
      <c r="AL109" s="39">
        <f t="shared" si="54"/>
        <v>-11503835.842105262</v>
      </c>
      <c r="AM109" s="39">
        <f t="shared" si="54"/>
        <v>-11503835.842105262</v>
      </c>
      <c r="AN109" s="39">
        <f t="shared" si="54"/>
        <v>-11503835.842105262</v>
      </c>
      <c r="AO109" s="39">
        <f t="shared" si="54"/>
        <v>-11322834.842105262</v>
      </c>
      <c r="AP109" s="39">
        <f t="shared" si="54"/>
        <v>-11322834.842105262</v>
      </c>
      <c r="AQ109" s="39">
        <f t="shared" si="54"/>
        <v>-11322834.842105262</v>
      </c>
      <c r="AR109" s="39">
        <f t="shared" si="54"/>
        <v>-11322834.842105262</v>
      </c>
      <c r="AS109" s="39">
        <f t="shared" si="54"/>
        <v>-11322834.842105262</v>
      </c>
      <c r="AT109" s="39">
        <f t="shared" si="54"/>
        <v>-11322834.842105262</v>
      </c>
      <c r="AU109" s="39">
        <f t="shared" si="54"/>
        <v>-11274486.842105262</v>
      </c>
      <c r="AV109" s="39">
        <f t="shared" si="54"/>
        <v>-11274486.842105262</v>
      </c>
      <c r="AW109" s="39">
        <f t="shared" si="54"/>
        <v>-11274486.842105262</v>
      </c>
      <c r="AX109" s="39">
        <f t="shared" si="54"/>
        <v>-11274486.842105262</v>
      </c>
      <c r="AY109" s="39">
        <f t="shared" si="54"/>
        <v>-10740456.842105262</v>
      </c>
      <c r="AZ109" s="39">
        <f t="shared" ref="AZ109:BQ109" si="55">-AZ15</f>
        <v>-10740456.842105262</v>
      </c>
      <c r="BA109" s="39">
        <f t="shared" si="55"/>
        <v>-10634101.842105262</v>
      </c>
      <c r="BB109" s="39">
        <f t="shared" si="55"/>
        <v>-10634101.842105262</v>
      </c>
      <c r="BC109" s="39">
        <f t="shared" si="55"/>
        <v>-9740212.842105262</v>
      </c>
      <c r="BD109" s="39">
        <f t="shared" si="55"/>
        <v>-9645463.842105262</v>
      </c>
      <c r="BE109" s="39">
        <f t="shared" si="55"/>
        <v>-9250401.842105262</v>
      </c>
      <c r="BF109" s="39">
        <f t="shared" si="55"/>
        <v>-8565594.842105262</v>
      </c>
      <c r="BG109" s="39">
        <f t="shared" si="55"/>
        <v>-8565594.842105262</v>
      </c>
      <c r="BH109" s="39">
        <f t="shared" si="55"/>
        <v>-8565594.842105262</v>
      </c>
      <c r="BI109" s="39">
        <f t="shared" si="55"/>
        <v>-6929736.8421052629</v>
      </c>
      <c r="BJ109" s="39">
        <f t="shared" si="55"/>
        <v>-6929736.8421052629</v>
      </c>
      <c r="BK109" s="39">
        <f t="shared" si="55"/>
        <v>-6929736.8421052629</v>
      </c>
      <c r="BL109" s="39">
        <f t="shared" si="55"/>
        <v>-6929736.8421052629</v>
      </c>
      <c r="BM109" s="39">
        <f t="shared" si="55"/>
        <v>-6929736.8421052629</v>
      </c>
      <c r="BN109" s="39">
        <f t="shared" si="55"/>
        <v>-6929736.8421052629</v>
      </c>
      <c r="BO109" s="39">
        <f t="shared" si="55"/>
        <v>-6929736.8421052629</v>
      </c>
      <c r="BP109" s="39">
        <f t="shared" si="55"/>
        <v>-6929736.8421052629</v>
      </c>
      <c r="BQ109" s="39">
        <f t="shared" si="55"/>
        <v>-6929736.8421052629</v>
      </c>
    </row>
    <row r="110" spans="2:69">
      <c r="B110" s="309"/>
      <c r="C110" s="310"/>
      <c r="D110" s="9" t="s">
        <v>140</v>
      </c>
      <c r="E110" s="8"/>
      <c r="F110" s="67"/>
      <c r="G110" s="67"/>
      <c r="H110" s="67"/>
      <c r="I110" s="67"/>
      <c r="J110" s="67"/>
      <c r="K110" s="1"/>
      <c r="L110" s="1"/>
      <c r="M110" s="1"/>
      <c r="N110" s="39" t="e">
        <f>SUM(N107:N109)</f>
        <v>#REF!</v>
      </c>
      <c r="O110" s="39" t="e">
        <f>SUM(O107:O109)</f>
        <v>#REF!</v>
      </c>
      <c r="P110" s="39" t="e">
        <f>SUM(P107:P109)</f>
        <v>#REF!</v>
      </c>
      <c r="Q110" s="39" t="e">
        <f>SUM(Q107:Q109)</f>
        <v>#REF!</v>
      </c>
      <c r="R110" s="39" t="e">
        <f>SUM(R107:R109)</f>
        <v>#REF!</v>
      </c>
      <c r="S110" s="39">
        <f t="shared" si="44"/>
        <v>0</v>
      </c>
      <c r="T110" s="39">
        <f t="shared" ref="T110:AY110" si="56">SUM(T107:T109)</f>
        <v>26798875</v>
      </c>
      <c r="U110" s="39">
        <f t="shared" si="56"/>
        <v>25470604</v>
      </c>
      <c r="V110" s="39">
        <f t="shared" si="56"/>
        <v>24161757.300000001</v>
      </c>
      <c r="W110" s="39">
        <f t="shared" si="56"/>
        <v>22974185</v>
      </c>
      <c r="X110" s="39">
        <f t="shared" si="56"/>
        <v>22813665</v>
      </c>
      <c r="Y110" s="39">
        <f t="shared" si="56"/>
        <v>21393819</v>
      </c>
      <c r="Z110" s="39">
        <f t="shared" si="56"/>
        <v>21038230</v>
      </c>
      <c r="AA110" s="39">
        <f t="shared" si="56"/>
        <v>27360675</v>
      </c>
      <c r="AB110" s="39">
        <f t="shared" si="56"/>
        <v>52496343.052631579</v>
      </c>
      <c r="AC110" s="39">
        <f t="shared" si="56"/>
        <v>64338448.578947365</v>
      </c>
      <c r="AD110" s="39">
        <f t="shared" si="56"/>
        <v>71443469.105263159</v>
      </c>
      <c r="AE110" s="39">
        <f t="shared" si="56"/>
        <v>80894257.631578952</v>
      </c>
      <c r="AF110" s="39">
        <f t="shared" si="56"/>
        <v>87693630.157894731</v>
      </c>
      <c r="AG110" s="39">
        <f t="shared" si="56"/>
        <v>93353060.157894731</v>
      </c>
      <c r="AH110" s="39">
        <f t="shared" si="56"/>
        <v>101010955.15789473</v>
      </c>
      <c r="AI110" s="39">
        <f t="shared" si="56"/>
        <v>106446999.15789473</v>
      </c>
      <c r="AJ110" s="39">
        <f t="shared" si="56"/>
        <v>111710157.15789473</v>
      </c>
      <c r="AK110" s="39">
        <f t="shared" si="56"/>
        <v>116658551.15789473</v>
      </c>
      <c r="AL110" s="39">
        <f t="shared" si="56"/>
        <v>131100795.15789473</v>
      </c>
      <c r="AM110" s="39">
        <f t="shared" si="56"/>
        <v>145574479.15789473</v>
      </c>
      <c r="AN110" s="39">
        <f t="shared" si="56"/>
        <v>159352432.15789473</v>
      </c>
      <c r="AO110" s="39">
        <f t="shared" si="56"/>
        <v>173826644.15789473</v>
      </c>
      <c r="AP110" s="39">
        <f t="shared" si="56"/>
        <v>189116118.15789473</v>
      </c>
      <c r="AQ110" s="39">
        <f t="shared" si="56"/>
        <v>205010855.15789473</v>
      </c>
      <c r="AR110" s="39">
        <f t="shared" si="56"/>
        <v>221326644.15789473</v>
      </c>
      <c r="AS110" s="39">
        <f t="shared" si="56"/>
        <v>237642433.15789473</v>
      </c>
      <c r="AT110" s="39">
        <f t="shared" si="56"/>
        <v>239747696.15789473</v>
      </c>
      <c r="AU110" s="39">
        <f t="shared" si="56"/>
        <v>241067191.15789473</v>
      </c>
      <c r="AV110" s="39">
        <f t="shared" si="56"/>
        <v>242646138.15789473</v>
      </c>
      <c r="AW110" s="39">
        <f t="shared" si="56"/>
        <v>244251401.15789473</v>
      </c>
      <c r="AX110" s="39">
        <f t="shared" si="56"/>
        <v>245856664.15789473</v>
      </c>
      <c r="AY110" s="39">
        <f t="shared" si="56"/>
        <v>247465078.15789473</v>
      </c>
      <c r="AZ110" s="39">
        <f t="shared" ref="AZ110:BQ110" si="57">SUM(AZ107:AZ109)</f>
        <v>249188179.15789473</v>
      </c>
      <c r="BA110" s="39">
        <f t="shared" si="57"/>
        <v>250143159.15789473</v>
      </c>
      <c r="BB110" s="39">
        <f t="shared" si="57"/>
        <v>252248422.15789473</v>
      </c>
      <c r="BC110" s="39">
        <f t="shared" si="57"/>
        <v>249322587.15789473</v>
      </c>
      <c r="BD110" s="39">
        <f t="shared" si="57"/>
        <v>250704121.15789473</v>
      </c>
      <c r="BE110" s="39">
        <f t="shared" si="57"/>
        <v>251407384.15789473</v>
      </c>
      <c r="BF110" s="39">
        <f t="shared" si="57"/>
        <v>251672163.15789473</v>
      </c>
      <c r="BG110" s="39">
        <f t="shared" si="57"/>
        <v>252823124.15789473</v>
      </c>
      <c r="BH110" s="39">
        <f t="shared" si="57"/>
        <v>254585262.15789473</v>
      </c>
      <c r="BI110" s="39">
        <f t="shared" si="57"/>
        <v>255456103.15789473</v>
      </c>
      <c r="BJ110" s="39">
        <f t="shared" si="57"/>
        <v>257561366.15789473</v>
      </c>
      <c r="BK110" s="39">
        <f t="shared" si="57"/>
        <v>259140313.15789473</v>
      </c>
      <c r="BL110" s="39">
        <f t="shared" si="57"/>
        <v>260719260.15789473</v>
      </c>
      <c r="BM110" s="39">
        <f t="shared" si="57"/>
        <v>255833428.15789473</v>
      </c>
      <c r="BN110" s="39">
        <f t="shared" si="57"/>
        <v>230333414.15789473</v>
      </c>
      <c r="BO110" s="39">
        <f t="shared" si="57"/>
        <v>218859734.15789473</v>
      </c>
      <c r="BP110" s="39">
        <f t="shared" si="57"/>
        <v>211491313.15789473</v>
      </c>
      <c r="BQ110" s="39">
        <f t="shared" si="57"/>
        <v>201228145.15789473</v>
      </c>
    </row>
    <row r="111" spans="2:69">
      <c r="B111" s="310"/>
      <c r="C111" s="9" t="s">
        <v>145</v>
      </c>
      <c r="D111" s="7"/>
      <c r="E111" s="8"/>
      <c r="F111" s="67"/>
      <c r="G111" s="67"/>
      <c r="H111" s="67"/>
      <c r="I111" s="67"/>
      <c r="J111" s="67"/>
      <c r="K111" s="1"/>
      <c r="L111" s="1"/>
      <c r="M111" s="1"/>
      <c r="N111" s="39" t="e">
        <f>N106+N110</f>
        <v>#REF!</v>
      </c>
      <c r="O111" s="39" t="e">
        <f>O106+O110</f>
        <v>#REF!</v>
      </c>
      <c r="P111" s="39" t="e">
        <f>P106+P110</f>
        <v>#REF!</v>
      </c>
      <c r="Q111" s="39" t="e">
        <f>Q106+Q110</f>
        <v>#REF!</v>
      </c>
      <c r="R111" s="39" t="e">
        <f>R106+R110</f>
        <v>#REF!</v>
      </c>
      <c r="S111" s="39">
        <f t="shared" si="44"/>
        <v>0</v>
      </c>
      <c r="T111" s="39" t="e">
        <f t="shared" ref="T111:AY111" si="58">T106+T110</f>
        <v>#REF!</v>
      </c>
      <c r="U111" s="39" t="e">
        <f t="shared" si="58"/>
        <v>#REF!</v>
      </c>
      <c r="V111" s="39" t="e">
        <f t="shared" si="58"/>
        <v>#REF!</v>
      </c>
      <c r="W111" s="39" t="e">
        <f t="shared" si="58"/>
        <v>#REF!</v>
      </c>
      <c r="X111" s="39" t="e">
        <f t="shared" si="58"/>
        <v>#REF!</v>
      </c>
      <c r="Y111" s="39" t="e">
        <f t="shared" si="58"/>
        <v>#REF!</v>
      </c>
      <c r="Z111" s="39" t="e">
        <f t="shared" si="58"/>
        <v>#REF!</v>
      </c>
      <c r="AA111" s="39" t="e">
        <f t="shared" si="58"/>
        <v>#REF!</v>
      </c>
      <c r="AB111" s="39" t="e">
        <f t="shared" si="58"/>
        <v>#REF!</v>
      </c>
      <c r="AC111" s="39" t="e">
        <f t="shared" si="58"/>
        <v>#REF!</v>
      </c>
      <c r="AD111" s="39" t="e">
        <f t="shared" si="58"/>
        <v>#REF!</v>
      </c>
      <c r="AE111" s="39" t="e">
        <f t="shared" si="58"/>
        <v>#REF!</v>
      </c>
      <c r="AF111" s="39" t="e">
        <f t="shared" si="58"/>
        <v>#REF!</v>
      </c>
      <c r="AG111" s="39" t="e">
        <f t="shared" si="58"/>
        <v>#REF!</v>
      </c>
      <c r="AH111" s="39" t="e">
        <f t="shared" si="58"/>
        <v>#REF!</v>
      </c>
      <c r="AI111" s="39" t="e">
        <f t="shared" si="58"/>
        <v>#REF!</v>
      </c>
      <c r="AJ111" s="39" t="e">
        <f t="shared" si="58"/>
        <v>#REF!</v>
      </c>
      <c r="AK111" s="39" t="e">
        <f t="shared" si="58"/>
        <v>#REF!</v>
      </c>
      <c r="AL111" s="39" t="e">
        <f t="shared" si="58"/>
        <v>#REF!</v>
      </c>
      <c r="AM111" s="39" t="e">
        <f t="shared" si="58"/>
        <v>#REF!</v>
      </c>
      <c r="AN111" s="39" t="e">
        <f t="shared" si="58"/>
        <v>#REF!</v>
      </c>
      <c r="AO111" s="39" t="e">
        <f t="shared" si="58"/>
        <v>#REF!</v>
      </c>
      <c r="AP111" s="39" t="e">
        <f t="shared" si="58"/>
        <v>#REF!</v>
      </c>
      <c r="AQ111" s="39" t="e">
        <f t="shared" si="58"/>
        <v>#REF!</v>
      </c>
      <c r="AR111" s="39" t="e">
        <f t="shared" si="58"/>
        <v>#REF!</v>
      </c>
      <c r="AS111" s="39" t="e">
        <f t="shared" si="58"/>
        <v>#REF!</v>
      </c>
      <c r="AT111" s="39" t="e">
        <f t="shared" si="58"/>
        <v>#REF!</v>
      </c>
      <c r="AU111" s="39" t="e">
        <f t="shared" si="58"/>
        <v>#REF!</v>
      </c>
      <c r="AV111" s="39" t="e">
        <f t="shared" si="58"/>
        <v>#REF!</v>
      </c>
      <c r="AW111" s="39" t="e">
        <f t="shared" si="58"/>
        <v>#REF!</v>
      </c>
      <c r="AX111" s="39" t="e">
        <f t="shared" si="58"/>
        <v>#REF!</v>
      </c>
      <c r="AY111" s="39" t="e">
        <f t="shared" si="58"/>
        <v>#REF!</v>
      </c>
      <c r="AZ111" s="39" t="e">
        <f t="shared" ref="AZ111:BQ111" si="59">AZ106+AZ110</f>
        <v>#REF!</v>
      </c>
      <c r="BA111" s="39" t="e">
        <f t="shared" si="59"/>
        <v>#REF!</v>
      </c>
      <c r="BB111" s="39" t="e">
        <f t="shared" si="59"/>
        <v>#REF!</v>
      </c>
      <c r="BC111" s="39" t="e">
        <f t="shared" si="59"/>
        <v>#REF!</v>
      </c>
      <c r="BD111" s="39" t="e">
        <f t="shared" si="59"/>
        <v>#REF!</v>
      </c>
      <c r="BE111" s="39" t="e">
        <f t="shared" si="59"/>
        <v>#REF!</v>
      </c>
      <c r="BF111" s="39" t="e">
        <f t="shared" si="59"/>
        <v>#REF!</v>
      </c>
      <c r="BG111" s="39" t="e">
        <f t="shared" si="59"/>
        <v>#REF!</v>
      </c>
      <c r="BH111" s="39" t="e">
        <f t="shared" si="59"/>
        <v>#REF!</v>
      </c>
      <c r="BI111" s="39" t="e">
        <f t="shared" si="59"/>
        <v>#REF!</v>
      </c>
      <c r="BJ111" s="39" t="e">
        <f t="shared" si="59"/>
        <v>#REF!</v>
      </c>
      <c r="BK111" s="39" t="e">
        <f t="shared" si="59"/>
        <v>#REF!</v>
      </c>
      <c r="BL111" s="39" t="e">
        <f t="shared" si="59"/>
        <v>#REF!</v>
      </c>
      <c r="BM111" s="39" t="e">
        <f t="shared" si="59"/>
        <v>#REF!</v>
      </c>
      <c r="BN111" s="39" t="e">
        <f t="shared" si="59"/>
        <v>#REF!</v>
      </c>
      <c r="BO111" s="39" t="e">
        <f t="shared" si="59"/>
        <v>#REF!</v>
      </c>
      <c r="BP111" s="39" t="e">
        <f t="shared" si="59"/>
        <v>#REF!</v>
      </c>
      <c r="BQ111" s="39" t="e">
        <f t="shared" si="59"/>
        <v>#REF!</v>
      </c>
    </row>
    <row r="112" spans="2:69">
      <c r="B112" s="305" t="s">
        <v>146</v>
      </c>
      <c r="C112" s="306"/>
      <c r="D112" s="306"/>
      <c r="E112" s="307"/>
      <c r="F112" s="67"/>
      <c r="G112" s="67"/>
      <c r="H112" s="67"/>
      <c r="I112" s="67"/>
      <c r="J112" s="67"/>
      <c r="K112" s="1"/>
      <c r="L112" s="1"/>
      <c r="M112" s="1"/>
      <c r="N112" s="39">
        <f>N104</f>
        <v>-2742310038</v>
      </c>
      <c r="O112" s="39">
        <f>O104</f>
        <v>-142357895</v>
      </c>
      <c r="P112" s="39">
        <f>P104</f>
        <v>-321127837</v>
      </c>
      <c r="Q112" s="39">
        <f>Q104</f>
        <v>-120983927</v>
      </c>
      <c r="R112" s="39">
        <f>R104</f>
        <v>-270842715</v>
      </c>
      <c r="S112" s="39">
        <f t="shared" si="44"/>
        <v>-719524482.39999998</v>
      </c>
      <c r="T112" s="39">
        <f t="shared" ref="T112:AY112" si="60">T104</f>
        <v>-10000079463153</v>
      </c>
      <c r="U112" s="39">
        <f t="shared" si="60"/>
        <v>-100000068677346</v>
      </c>
      <c r="V112" s="39">
        <f t="shared" si="60"/>
        <v>-100000059243717</v>
      </c>
      <c r="W112" s="39">
        <f t="shared" si="60"/>
        <v>-100000056944226</v>
      </c>
      <c r="X112" s="39">
        <f t="shared" si="60"/>
        <v>-100000044070542</v>
      </c>
      <c r="Y112" s="39">
        <f t="shared" si="60"/>
        <v>-100000035997091</v>
      </c>
      <c r="Z112" s="39">
        <f t="shared" si="60"/>
        <v>-37918317</v>
      </c>
      <c r="AA112" s="39">
        <f t="shared" si="60"/>
        <v>-41518197</v>
      </c>
      <c r="AB112" s="39">
        <f t="shared" si="60"/>
        <v>-46399311</v>
      </c>
      <c r="AC112" s="39">
        <f t="shared" si="60"/>
        <v>-52991959</v>
      </c>
      <c r="AD112" s="39">
        <f t="shared" si="60"/>
        <v>-58115657</v>
      </c>
      <c r="AE112" s="39">
        <f t="shared" si="60"/>
        <v>-58670006</v>
      </c>
      <c r="AF112" s="39">
        <f t="shared" si="60"/>
        <v>-62445456</v>
      </c>
      <c r="AG112" s="39">
        <f t="shared" si="60"/>
        <v>-66300193</v>
      </c>
      <c r="AH112" s="39">
        <f t="shared" si="60"/>
        <v>-76391834</v>
      </c>
      <c r="AI112" s="39">
        <f t="shared" si="60"/>
        <v>-86695401</v>
      </c>
      <c r="AJ112" s="39">
        <f t="shared" si="60"/>
        <v>-97215343</v>
      </c>
      <c r="AK112" s="39">
        <f t="shared" si="60"/>
        <v>-107956201</v>
      </c>
      <c r="AL112" s="39">
        <f t="shared" si="60"/>
        <v>-119408616</v>
      </c>
      <c r="AM112" s="39">
        <f t="shared" si="60"/>
        <v>-131474127</v>
      </c>
      <c r="AN112" s="39">
        <f t="shared" si="60"/>
        <v>-143793015</v>
      </c>
      <c r="AO112" s="39">
        <f t="shared" si="60"/>
        <v>-156370600</v>
      </c>
      <c r="AP112" s="39">
        <f t="shared" si="60"/>
        <v>-160464378</v>
      </c>
      <c r="AQ112" s="39">
        <f t="shared" si="60"/>
        <v>-164644124</v>
      </c>
      <c r="AR112" s="39">
        <f t="shared" si="60"/>
        <v>-168911643</v>
      </c>
      <c r="AS112" s="39">
        <f t="shared" si="60"/>
        <v>-173268782</v>
      </c>
      <c r="AT112" s="39">
        <f t="shared" si="60"/>
        <v>-177717420</v>
      </c>
      <c r="AU112" s="39">
        <f t="shared" si="60"/>
        <v>-182259480</v>
      </c>
      <c r="AV112" s="39">
        <f t="shared" si="60"/>
        <v>-186896924</v>
      </c>
      <c r="AW112" s="39">
        <f t="shared" si="60"/>
        <v>-191631756</v>
      </c>
      <c r="AX112" s="39">
        <f t="shared" si="60"/>
        <v>-196466016</v>
      </c>
      <c r="AY112" s="39">
        <f t="shared" si="60"/>
        <v>-201401796</v>
      </c>
      <c r="AZ112" s="39">
        <f t="shared" ref="AZ112:BQ112" si="61">AZ104</f>
        <v>-206441228</v>
      </c>
      <c r="BA112" s="39">
        <f t="shared" si="61"/>
        <v>-211586490</v>
      </c>
      <c r="BB112" s="39">
        <f t="shared" si="61"/>
        <v>-216839797</v>
      </c>
      <c r="BC112" s="39">
        <f t="shared" si="61"/>
        <v>-222203425</v>
      </c>
      <c r="BD112" s="39">
        <f t="shared" si="61"/>
        <v>-227679692</v>
      </c>
      <c r="BE112" s="39">
        <f t="shared" si="61"/>
        <v>-233270959</v>
      </c>
      <c r="BF112" s="39">
        <f t="shared" si="61"/>
        <v>-238979645</v>
      </c>
      <c r="BG112" s="39">
        <f t="shared" si="61"/>
        <v>-244808211</v>
      </c>
      <c r="BH112" s="39">
        <f t="shared" si="61"/>
        <v>-250759180</v>
      </c>
      <c r="BI112" s="39">
        <f t="shared" si="61"/>
        <v>-247892265</v>
      </c>
      <c r="BJ112" s="39">
        <f t="shared" si="61"/>
        <v>-246341539</v>
      </c>
      <c r="BK112" s="39">
        <f t="shared" si="61"/>
        <v>-235634235</v>
      </c>
      <c r="BL112" s="39">
        <f t="shared" si="61"/>
        <v>-225628201</v>
      </c>
      <c r="BM112" s="39">
        <f t="shared" si="61"/>
        <v>-215970039</v>
      </c>
      <c r="BN112" s="39">
        <f t="shared" si="61"/>
        <v>-211689036</v>
      </c>
      <c r="BO112" s="39">
        <f t="shared" si="61"/>
        <v>-207318131</v>
      </c>
      <c r="BP112" s="39">
        <f t="shared" si="61"/>
        <v>-200995447</v>
      </c>
      <c r="BQ112" s="39">
        <f t="shared" si="61"/>
        <v>-192307993</v>
      </c>
    </row>
    <row r="113" spans="2:69">
      <c r="B113" s="305" t="s">
        <v>147</v>
      </c>
      <c r="C113" s="306"/>
      <c r="D113" s="306"/>
      <c r="E113" s="307"/>
      <c r="F113" s="67"/>
      <c r="G113" s="67"/>
      <c r="H113" s="67"/>
      <c r="I113" s="67"/>
      <c r="J113" s="67"/>
      <c r="K113" s="1"/>
      <c r="L113" s="1"/>
      <c r="M113" s="1"/>
      <c r="N113" s="39">
        <f>【BS】決算数値入力!K27</f>
        <v>362817447</v>
      </c>
      <c r="O113" s="39">
        <f>【BS】決算数値入力!L27</f>
        <v>565026725</v>
      </c>
      <c r="P113" s="39">
        <f>【BS】決算数値入力!M27</f>
        <v>334744715</v>
      </c>
      <c r="Q113" s="39">
        <f>【BS】決算数値入力!N27</f>
        <v>143864193</v>
      </c>
      <c r="R113" s="39">
        <f>【BS】決算数値入力!O27</f>
        <v>132458270</v>
      </c>
      <c r="S113" s="39">
        <f>【BS】決算数値入力!Q28</f>
        <v>7.5670000000000002</v>
      </c>
      <c r="T113" s="39" t="e">
        <f>R113+T112+T111</f>
        <v>#REF!</v>
      </c>
      <c r="U113" s="39" t="e">
        <f>T113+U112+U111</f>
        <v>#REF!</v>
      </c>
      <c r="V113" s="39" t="e">
        <f t="shared" ref="V113:BQ113" si="62">U113+V112+V111</f>
        <v>#REF!</v>
      </c>
      <c r="W113" s="39" t="e">
        <f t="shared" si="62"/>
        <v>#REF!</v>
      </c>
      <c r="X113" s="39" t="e">
        <f>W113+X112+X111</f>
        <v>#REF!</v>
      </c>
      <c r="Y113" s="39" t="e">
        <f t="shared" si="62"/>
        <v>#REF!</v>
      </c>
      <c r="Z113" s="39" t="e">
        <f t="shared" si="62"/>
        <v>#REF!</v>
      </c>
      <c r="AA113" s="39" t="e">
        <f t="shared" si="62"/>
        <v>#REF!</v>
      </c>
      <c r="AB113" s="39" t="e">
        <f t="shared" si="62"/>
        <v>#REF!</v>
      </c>
      <c r="AC113" s="39" t="e">
        <f t="shared" si="62"/>
        <v>#REF!</v>
      </c>
      <c r="AD113" s="39" t="e">
        <f t="shared" si="62"/>
        <v>#REF!</v>
      </c>
      <c r="AE113" s="39" t="e">
        <f t="shared" si="62"/>
        <v>#REF!</v>
      </c>
      <c r="AF113" s="39" t="e">
        <f t="shared" si="62"/>
        <v>#REF!</v>
      </c>
      <c r="AG113" s="39" t="e">
        <f t="shared" si="62"/>
        <v>#REF!</v>
      </c>
      <c r="AH113" s="39" t="e">
        <f t="shared" si="62"/>
        <v>#REF!</v>
      </c>
      <c r="AI113" s="39" t="e">
        <f t="shared" si="62"/>
        <v>#REF!</v>
      </c>
      <c r="AJ113" s="39" t="e">
        <f t="shared" si="62"/>
        <v>#REF!</v>
      </c>
      <c r="AK113" s="39" t="e">
        <f t="shared" si="62"/>
        <v>#REF!</v>
      </c>
      <c r="AL113" s="39" t="e">
        <f t="shared" si="62"/>
        <v>#REF!</v>
      </c>
      <c r="AM113" s="39" t="e">
        <f t="shared" si="62"/>
        <v>#REF!</v>
      </c>
      <c r="AN113" s="39" t="e">
        <f t="shared" si="62"/>
        <v>#REF!</v>
      </c>
      <c r="AO113" s="39" t="e">
        <f t="shared" si="62"/>
        <v>#REF!</v>
      </c>
      <c r="AP113" s="39" t="e">
        <f t="shared" si="62"/>
        <v>#REF!</v>
      </c>
      <c r="AQ113" s="39" t="e">
        <f t="shared" si="62"/>
        <v>#REF!</v>
      </c>
      <c r="AR113" s="39" t="e">
        <f t="shared" si="62"/>
        <v>#REF!</v>
      </c>
      <c r="AS113" s="39" t="e">
        <f t="shared" si="62"/>
        <v>#REF!</v>
      </c>
      <c r="AT113" s="39" t="e">
        <f t="shared" si="62"/>
        <v>#REF!</v>
      </c>
      <c r="AU113" s="39" t="e">
        <f t="shared" si="62"/>
        <v>#REF!</v>
      </c>
      <c r="AV113" s="39" t="e">
        <f t="shared" si="62"/>
        <v>#REF!</v>
      </c>
      <c r="AW113" s="39" t="e">
        <f t="shared" si="62"/>
        <v>#REF!</v>
      </c>
      <c r="AX113" s="39" t="e">
        <f t="shared" si="62"/>
        <v>#REF!</v>
      </c>
      <c r="AY113" s="39" t="e">
        <f t="shared" si="62"/>
        <v>#REF!</v>
      </c>
      <c r="AZ113" s="39" t="e">
        <f t="shared" si="62"/>
        <v>#REF!</v>
      </c>
      <c r="BA113" s="39" t="e">
        <f t="shared" si="62"/>
        <v>#REF!</v>
      </c>
      <c r="BB113" s="39" t="e">
        <f t="shared" si="62"/>
        <v>#REF!</v>
      </c>
      <c r="BC113" s="39" t="e">
        <f t="shared" si="62"/>
        <v>#REF!</v>
      </c>
      <c r="BD113" s="39" t="e">
        <f t="shared" si="62"/>
        <v>#REF!</v>
      </c>
      <c r="BE113" s="39" t="e">
        <f t="shared" si="62"/>
        <v>#REF!</v>
      </c>
      <c r="BF113" s="39" t="e">
        <f t="shared" si="62"/>
        <v>#REF!</v>
      </c>
      <c r="BG113" s="39" t="e">
        <f t="shared" si="62"/>
        <v>#REF!</v>
      </c>
      <c r="BH113" s="39" t="e">
        <f t="shared" si="62"/>
        <v>#REF!</v>
      </c>
      <c r="BI113" s="39" t="e">
        <f t="shared" si="62"/>
        <v>#REF!</v>
      </c>
      <c r="BJ113" s="39" t="e">
        <f t="shared" si="62"/>
        <v>#REF!</v>
      </c>
      <c r="BK113" s="39" t="e">
        <f t="shared" si="62"/>
        <v>#REF!</v>
      </c>
      <c r="BL113" s="39" t="e">
        <f t="shared" si="62"/>
        <v>#REF!</v>
      </c>
      <c r="BM113" s="39" t="e">
        <f t="shared" si="62"/>
        <v>#REF!</v>
      </c>
      <c r="BN113" s="39" t="e">
        <f t="shared" si="62"/>
        <v>#REF!</v>
      </c>
      <c r="BO113" s="39" t="e">
        <f t="shared" si="62"/>
        <v>#REF!</v>
      </c>
      <c r="BP113" s="39" t="e">
        <f t="shared" si="62"/>
        <v>#REF!</v>
      </c>
      <c r="BQ113" s="39" t="e">
        <f t="shared" si="62"/>
        <v>#REF!</v>
      </c>
    </row>
    <row r="114" spans="2:69">
      <c r="B114" s="9" t="s">
        <v>148</v>
      </c>
      <c r="C114" s="7"/>
      <c r="D114" s="7"/>
      <c r="E114" s="8"/>
      <c r="F114" s="67"/>
      <c r="G114" s="67"/>
      <c r="H114" s="67"/>
      <c r="I114" s="67"/>
      <c r="J114" s="67"/>
      <c r="K114" s="1"/>
      <c r="L114" s="1"/>
      <c r="M114" s="1"/>
      <c r="N114" s="39">
        <f>【BS】決算数値入力!K38+【BS】決算数値入力!K44</f>
        <v>353124203</v>
      </c>
      <c r="O114" s="39">
        <f>【BS】決算数値入力!L38+【BS】決算数値入力!L44</f>
        <v>455771228</v>
      </c>
      <c r="P114" s="39">
        <f>【BS】決算数値入力!M38+【BS】決算数値入力!M44</f>
        <v>591530416</v>
      </c>
      <c r="Q114" s="39">
        <f>【BS】決算数値入力!N38+【BS】決算数値入力!N44</f>
        <v>639346881</v>
      </c>
      <c r="R114" s="39">
        <f>【BS】決算数値入力!O38+【BS】決算数値入力!O44</f>
        <v>763361128</v>
      </c>
      <c r="S114" s="39">
        <f>【BS】決算数値入力!P29</f>
        <v>0</v>
      </c>
      <c r="T114" s="39">
        <f>【BS】決算数値入力!P38+新規債返済スケジュール!E5</f>
        <v>450554111</v>
      </c>
      <c r="U114" s="39">
        <f>【BS】決算数値入力!Q38+新規債返済スケジュール!F5</f>
        <v>585276765</v>
      </c>
      <c r="V114" s="39">
        <f>【BS】決算数値入力!R38+新規債返済スケジュール!G5</f>
        <v>974703048</v>
      </c>
      <c r="W114" s="39">
        <f>【BS】決算数値入力!S38+新規債返済スケジュール!H5</f>
        <v>1319758822</v>
      </c>
      <c r="X114" s="39">
        <f>【BS】決算数値入力!T38+新規債返済スケジュール!I5</f>
        <v>1662688280</v>
      </c>
      <c r="Y114" s="39">
        <f>【BS】決算数値入力!U38+新規債返済スケジュール!J5</f>
        <v>1863691189</v>
      </c>
      <c r="Z114" s="39">
        <f>【BS】決算数値入力!V38+新規債返済スケジュール!K5</f>
        <v>2062772872</v>
      </c>
      <c r="AA114" s="39">
        <f>【BS】決算数値入力!W38+新規債返済スケジュール!L5</f>
        <v>2308254675</v>
      </c>
      <c r="AB114" s="39">
        <f>【BS】決算数値入力!X38+新規債返済スケジュール!M5</f>
        <v>2608855364</v>
      </c>
      <c r="AC114" s="39">
        <f>【BS】決算数値入力!Y38+新規債返済スケジュール!N5</f>
        <v>2822863405</v>
      </c>
      <c r="AD114" s="39">
        <f>【BS】決算数値入力!Z38+新規債返済スケジュール!O5</f>
        <v>2951747748</v>
      </c>
      <c r="AE114" s="39">
        <f>【BS】決算数値入力!AA38+新規債返済スケジュール!P5</f>
        <v>3050077742</v>
      </c>
      <c r="AF114" s="39">
        <f>【BS】決算数値入力!AB38+新規債返済スケジュール!Q5</f>
        <v>3144632286</v>
      </c>
      <c r="AG114" s="39">
        <f>【BS】決算数値入力!AC38+新規債返済スケジュール!R5</f>
        <v>3615332093</v>
      </c>
      <c r="AH114" s="39">
        <f>【BS】決算数値入力!AD38+新規債返済スケジュール!S5</f>
        <v>4075940259</v>
      </c>
      <c r="AI114" s="39">
        <f>【BS】決算数値入力!AE38+新規債返済スケジュール!T5</f>
        <v>4526244858</v>
      </c>
      <c r="AJ114" s="39">
        <f>【BS】決算数値入力!AF38+新規債返済スケジュール!U5</f>
        <v>4966029515</v>
      </c>
      <c r="AK114" s="39">
        <f>【BS】決算数値入力!AG38+新規債返済スケジュール!V5</f>
        <v>5425073314</v>
      </c>
      <c r="AL114" s="39">
        <f>【BS】決算数値入力!AH38+新規債返済スケジュール!W5</f>
        <v>5895664698</v>
      </c>
      <c r="AM114" s="39">
        <f>【BS】決算数値入力!AI38+新規債返済スケジュール!X5</f>
        <v>6354190571</v>
      </c>
      <c r="AN114" s="39">
        <f>【BS】決算数値入力!AJ38+新規債返済スケジュール!Y5</f>
        <v>6800397556</v>
      </c>
      <c r="AO114" s="39">
        <f>【BS】決算数値入力!AK38+新規債返済スケジュール!Z5</f>
        <v>6694026956</v>
      </c>
      <c r="AP114" s="39">
        <f>【BS】決算数値入力!AL38+新規債返済スケジュール!AA5</f>
        <v>6583562578</v>
      </c>
      <c r="AQ114" s="39">
        <f>【BS】決算数値入力!AM38+新規債返済スケジュール!AB5</f>
        <v>6468918454</v>
      </c>
      <c r="AR114" s="39">
        <f>【BS】決算数値入力!AN38+新規債返済スケジュール!AC5</f>
        <v>6350006811</v>
      </c>
      <c r="AS114" s="39">
        <f>【BS】決算数値入力!AO38+新規債返済スケジュール!AD5</f>
        <v>6226738029</v>
      </c>
      <c r="AT114" s="39">
        <f>【BS】決算数値入力!AP38+新規債返済スケジュール!AE5</f>
        <v>6099020609</v>
      </c>
      <c r="AU114" s="39">
        <f>【BS】決算数値入力!AQ38+新規債返済スケジュール!AF5</f>
        <v>5966761129</v>
      </c>
      <c r="AV114" s="39">
        <f>【BS】決算数値入力!AR38+新規債返済スケジュール!AG5</f>
        <v>5829864205</v>
      </c>
      <c r="AW114" s="39">
        <f>【BS】決算数値入力!AS38+新規債返済スケジュール!AH5</f>
        <v>5688232449</v>
      </c>
      <c r="AX114" s="39">
        <f>【BS】決算数値入力!AT38+新規債返済スケジュール!AI5</f>
        <v>5541766433</v>
      </c>
      <c r="AY114" s="39">
        <f>【BS】決算数値入力!AU38+新規債返済スケジュール!AJ5</f>
        <v>5390364637</v>
      </c>
      <c r="AZ114" s="39">
        <f>【BS】決算数値入力!AV38+新規債返済スケジュール!AK5</f>
        <v>5233923409</v>
      </c>
      <c r="BA114" s="39">
        <f>【BS】決算数値入力!AW38+新規債返済スケジュール!AL5</f>
        <v>5072336919</v>
      </c>
      <c r="BB114" s="39">
        <f>【BS】決算数値入力!AX38+新規債返済スケジュール!AM5</f>
        <v>4905497122</v>
      </c>
      <c r="BC114" s="39">
        <f>【BS】決算数値入力!AY38+新規債返済スケジュール!AN5</f>
        <v>4733293697</v>
      </c>
      <c r="BD114" s="39">
        <f>【BS】決算数値入力!AZ38+新規債返済スケジュール!AO5</f>
        <v>4555614005</v>
      </c>
      <c r="BE114" s="39">
        <f>【BS】決算数値入力!BA38+新規債返済スケジュール!AP5</f>
        <v>4372343046</v>
      </c>
      <c r="BF114" s="39">
        <f>【BS】決算数値入力!BB38+新規債返済スケジュール!AQ5</f>
        <v>4183363401</v>
      </c>
      <c r="BG114" s="39">
        <f>【BS】決算数値入力!BC38+新規債返済スケジュール!AR5</f>
        <v>3988555190</v>
      </c>
      <c r="BH114" s="39">
        <f>【BS】決算数値入力!BD38+新規債返済スケジュール!AS5</f>
        <v>3787796010</v>
      </c>
      <c r="BI114" s="39">
        <f>【BS】決算数値入力!BE38+新規債返済スケジュール!AT5</f>
        <v>3589903746</v>
      </c>
      <c r="BJ114" s="39">
        <f>【BS】決算数値入力!BF38+新規債返済スケジュール!AU5</f>
        <v>3393562206</v>
      </c>
      <c r="BK114" s="39">
        <f>【BS】決算数値入力!BG38+新規債返済スケジュール!AV5</f>
        <v>3157927971</v>
      </c>
      <c r="BL114" s="39">
        <f>【BS】決算数値入力!BH38+新規債返済スケジュール!AW5</f>
        <v>2932299769</v>
      </c>
      <c r="BM114" s="39">
        <f>【BS】決算数値入力!BI38+新規債返済スケジュール!AX5</f>
        <v>2716329729</v>
      </c>
      <c r="BN114" s="39">
        <f>【BS】決算数値入力!BJ38+新規債返済スケジュール!AY5</f>
        <v>2504640695</v>
      </c>
      <c r="BO114" s="39">
        <f>【BS】決算数値入力!BK38+新規債返済スケジュール!AZ5</f>
        <v>2297322566</v>
      </c>
      <c r="BP114" s="39">
        <f>【BS】決算数値入力!BL38+新規債返済スケジュール!BA5</f>
        <v>2096327117</v>
      </c>
      <c r="BQ114" s="39">
        <f>【BS】決算数値入力!BM38+新規債返済スケジュール!BB5</f>
        <v>1904019121</v>
      </c>
    </row>
    <row r="117" spans="2:69">
      <c r="S117" s="24" t="s">
        <v>256</v>
      </c>
    </row>
    <row r="118" spans="2:69">
      <c r="S118" s="74" t="s">
        <v>252</v>
      </c>
      <c r="T118" s="44">
        <f>【成行】財政シミュ!T119</f>
        <v>0</v>
      </c>
      <c r="U118" s="44">
        <f>【成行】財政シミュ!U119</f>
        <v>0</v>
      </c>
      <c r="V118" s="44">
        <f>【成行】財政シミュ!V119</f>
        <v>0</v>
      </c>
      <c r="W118" s="44">
        <f>【成行】財政シミュ!W119</f>
        <v>0</v>
      </c>
      <c r="X118" s="44">
        <f>【成行】財政シミュ!X119</f>
        <v>0</v>
      </c>
      <c r="Y118" s="44">
        <f>【成行】財政シミュ!Y119</f>
        <v>0</v>
      </c>
      <c r="Z118" s="44">
        <f>【成行】財政シミュ!Z119</f>
        <v>0</v>
      </c>
      <c r="AA118" s="44">
        <f>【成行】財政シミュ!AA119</f>
        <v>0</v>
      </c>
      <c r="AB118" s="44">
        <f>【成行】財政シミュ!AB119</f>
        <v>0</v>
      </c>
      <c r="AC118" s="44">
        <f>【成行】財政シミュ!AC119</f>
        <v>0</v>
      </c>
      <c r="AD118" s="44">
        <f>【成行】財政シミュ!AD119</f>
        <v>0</v>
      </c>
      <c r="AE118" s="44">
        <f>【成行】財政シミュ!AE119</f>
        <v>0</v>
      </c>
      <c r="AF118" s="44">
        <f>【成行】財政シミュ!AF119</f>
        <v>0</v>
      </c>
      <c r="AG118" s="44">
        <f>【成行】財政シミュ!AG119</f>
        <v>0</v>
      </c>
      <c r="AH118" s="44">
        <f>【成行】財政シミュ!AH119</f>
        <v>0</v>
      </c>
      <c r="AI118" s="44">
        <f>【成行】財政シミュ!AI119</f>
        <v>0</v>
      </c>
      <c r="AJ118" s="44">
        <f>【成行】財政シミュ!AJ119</f>
        <v>0</v>
      </c>
      <c r="AK118" s="44">
        <f>【成行】財政シミュ!AK119</f>
        <v>0</v>
      </c>
      <c r="AL118" s="44">
        <f>【成行】財政シミュ!AL119</f>
        <v>0</v>
      </c>
      <c r="AM118" s="44">
        <f>【成行】財政シミュ!AM119</f>
        <v>0</v>
      </c>
      <c r="AN118" s="44">
        <f>【成行】財政シミュ!AN119</f>
        <v>0</v>
      </c>
      <c r="AO118" s="44">
        <f>【成行】財政シミュ!AO119</f>
        <v>0</v>
      </c>
      <c r="AP118" s="44">
        <f>【成行】財政シミュ!AP119</f>
        <v>0</v>
      </c>
      <c r="AQ118" s="44">
        <f>【成行】財政シミュ!AQ119</f>
        <v>0</v>
      </c>
      <c r="AR118" s="44">
        <f>【成行】財政シミュ!AR119</f>
        <v>0</v>
      </c>
      <c r="AS118" s="44">
        <f>【成行】財政シミュ!AS119</f>
        <v>0</v>
      </c>
      <c r="AT118" s="44">
        <f>【成行】財政シミュ!AT119</f>
        <v>0</v>
      </c>
      <c r="AU118" s="44">
        <f>【成行】財政シミュ!AU119</f>
        <v>0</v>
      </c>
      <c r="AV118" s="44">
        <f>【成行】財政シミュ!AV119</f>
        <v>0</v>
      </c>
      <c r="AW118" s="44">
        <f>【成行】財政シミュ!AW119</f>
        <v>0</v>
      </c>
      <c r="AX118" s="44">
        <f>【成行】財政シミュ!AX119</f>
        <v>0</v>
      </c>
      <c r="AY118" s="44">
        <f>【成行】財政シミュ!AY119</f>
        <v>0</v>
      </c>
      <c r="AZ118" s="44">
        <f>【成行】財政シミュ!AZ119</f>
        <v>0</v>
      </c>
      <c r="BA118" s="44">
        <f>【成行】財政シミュ!BA119</f>
        <v>0</v>
      </c>
      <c r="BB118" s="44">
        <f>【成行】財政シミュ!BB119</f>
        <v>0</v>
      </c>
      <c r="BC118" s="44">
        <f>【成行】財政シミュ!BC119</f>
        <v>0</v>
      </c>
      <c r="BD118" s="44">
        <f>【成行】財政シミュ!BD119</f>
        <v>0</v>
      </c>
      <c r="BE118" s="44">
        <f>【成行】財政シミュ!BE119</f>
        <v>0</v>
      </c>
      <c r="BF118" s="44">
        <f>【成行】財政シミュ!BF119</f>
        <v>0</v>
      </c>
      <c r="BG118" s="44">
        <f>【成行】財政シミュ!BG119</f>
        <v>0</v>
      </c>
      <c r="BH118" s="44">
        <f>【成行】財政シミュ!BH119</f>
        <v>0</v>
      </c>
      <c r="BI118" s="44">
        <f>【成行】財政シミュ!BI119</f>
        <v>0</v>
      </c>
      <c r="BJ118" s="44">
        <f>【成行】財政シミュ!BJ119</f>
        <v>0</v>
      </c>
    </row>
    <row r="119" spans="2:69">
      <c r="S119" s="68" t="s">
        <v>253</v>
      </c>
      <c r="T119" s="44">
        <f>【成行】財政シミュ!T120</f>
        <v>10000000</v>
      </c>
      <c r="U119" s="44">
        <f>【成行】財政シミュ!U120</f>
        <v>100000000</v>
      </c>
      <c r="V119" s="44">
        <f>【成行】財政シミュ!V120</f>
        <v>100000000</v>
      </c>
      <c r="W119" s="44">
        <f>【成行】財政シミュ!W120</f>
        <v>100000000</v>
      </c>
      <c r="X119" s="44">
        <f>【成行】財政シミュ!X120</f>
        <v>100000000</v>
      </c>
      <c r="Y119" s="44">
        <f>【成行】財政シミュ!Y120</f>
        <v>100000000</v>
      </c>
      <c r="Z119" s="44">
        <f>【成行】財政シミュ!Z120</f>
        <v>0</v>
      </c>
      <c r="AA119" s="44">
        <f>【成行】財政シミュ!AA120</f>
        <v>0</v>
      </c>
      <c r="AB119" s="44">
        <f>【成行】財政シミュ!AB120</f>
        <v>0</v>
      </c>
      <c r="AC119" s="44">
        <f>【成行】財政シミュ!AC120</f>
        <v>0</v>
      </c>
      <c r="AD119" s="44">
        <f>【成行】財政シミュ!AD120</f>
        <v>0</v>
      </c>
      <c r="AE119" s="44">
        <f>【成行】財政シミュ!AE120</f>
        <v>0</v>
      </c>
      <c r="AF119" s="44">
        <f>【成行】財政シミュ!AF120</f>
        <v>0</v>
      </c>
      <c r="AG119" s="44">
        <f>【成行】財政シミュ!AG120</f>
        <v>0</v>
      </c>
      <c r="AH119" s="44">
        <f>【成行】財政シミュ!AH120</f>
        <v>0</v>
      </c>
      <c r="AI119" s="44">
        <f>【成行】財政シミュ!AI120</f>
        <v>0</v>
      </c>
      <c r="AJ119" s="44">
        <f>【成行】財政シミュ!AJ120</f>
        <v>0</v>
      </c>
      <c r="AK119" s="44">
        <f>【成行】財政シミュ!AK120</f>
        <v>0</v>
      </c>
      <c r="AL119" s="44">
        <f>【成行】財政シミュ!AL120</f>
        <v>0</v>
      </c>
      <c r="AM119" s="44">
        <f>【成行】財政シミュ!AM120</f>
        <v>0</v>
      </c>
      <c r="AN119" s="44">
        <f>【成行】財政シミュ!AN120</f>
        <v>0</v>
      </c>
      <c r="AO119" s="44">
        <f>【成行】財政シミュ!AO120</f>
        <v>0</v>
      </c>
      <c r="AP119" s="44">
        <f>【成行】財政シミュ!AP120</f>
        <v>0</v>
      </c>
      <c r="AQ119" s="44">
        <f>【成行】財政シミュ!AQ120</f>
        <v>0</v>
      </c>
      <c r="AR119" s="44">
        <f>【成行】財政シミュ!AR120</f>
        <v>0</v>
      </c>
      <c r="AS119" s="44">
        <f>【成行】財政シミュ!AS120</f>
        <v>0</v>
      </c>
      <c r="AT119" s="44">
        <f>【成行】財政シミュ!AT120</f>
        <v>0</v>
      </c>
      <c r="AU119" s="44">
        <f>【成行】財政シミュ!AU120</f>
        <v>0</v>
      </c>
      <c r="AV119" s="44">
        <f>【成行】財政シミュ!AV120</f>
        <v>0</v>
      </c>
      <c r="AW119" s="44">
        <f>【成行】財政シミュ!AW120</f>
        <v>0</v>
      </c>
      <c r="AX119" s="44">
        <f>【成行】財政シミュ!AX120</f>
        <v>0</v>
      </c>
      <c r="AY119" s="44">
        <f>【成行】財政シミュ!AY120</f>
        <v>0</v>
      </c>
      <c r="AZ119" s="44">
        <f>【成行】財政シミュ!AZ120</f>
        <v>0</v>
      </c>
      <c r="BA119" s="44">
        <f>【成行】財政シミュ!BA120</f>
        <v>0</v>
      </c>
      <c r="BB119" s="44">
        <f>【成行】財政シミュ!BB120</f>
        <v>0</v>
      </c>
      <c r="BC119" s="44">
        <f>【成行】財政シミュ!BC120</f>
        <v>0</v>
      </c>
      <c r="BD119" s="44">
        <f>【成行】財政シミュ!BD120</f>
        <v>0</v>
      </c>
      <c r="BE119" s="44">
        <f>【成行】財政シミュ!BE120</f>
        <v>0</v>
      </c>
      <c r="BF119" s="44">
        <f>【成行】財政シミュ!BF120</f>
        <v>0</v>
      </c>
      <c r="BG119" s="44">
        <f>【成行】財政シミュ!BG120</f>
        <v>0</v>
      </c>
      <c r="BH119" s="44">
        <f>【成行】財政シミュ!BH120</f>
        <v>0</v>
      </c>
      <c r="BI119" s="44">
        <f>【成行】財政シミュ!BI120</f>
        <v>0</v>
      </c>
      <c r="BJ119" s="44">
        <f>【成行】財政シミュ!BJ120</f>
        <v>0</v>
      </c>
    </row>
    <row r="120" spans="2:69">
      <c r="S120" s="68" t="s">
        <v>254</v>
      </c>
      <c r="T120" s="44">
        <f>【成行】財政シミュ!T121</f>
        <v>150000000</v>
      </c>
      <c r="U120" s="44">
        <f>【成行】財政シミュ!U121</f>
        <v>150000000</v>
      </c>
      <c r="V120" s="44">
        <f>【成行】財政シミュ!V121</f>
        <v>160000000</v>
      </c>
      <c r="W120" s="44">
        <f>【成行】財政シミュ!W121</f>
        <v>160000000</v>
      </c>
      <c r="X120" s="44">
        <f>【成行】財政シミュ!X121</f>
        <v>160000000</v>
      </c>
      <c r="Y120" s="44">
        <f>【成行】財政シミュ!Y121</f>
        <v>160000000</v>
      </c>
      <c r="Z120" s="44">
        <f>【成行】財政シミュ!Z121</f>
        <v>160000000</v>
      </c>
      <c r="AA120" s="44">
        <f>【成行】財政シミュ!AA121</f>
        <v>160000000</v>
      </c>
      <c r="AB120" s="44">
        <f>【成行】財政シミュ!AB121</f>
        <v>160000000</v>
      </c>
      <c r="AC120" s="44">
        <f>【成行】財政シミュ!AC121</f>
        <v>160000000</v>
      </c>
      <c r="AD120" s="44">
        <f>【成行】財政シミュ!AD121</f>
        <v>50000000</v>
      </c>
      <c r="AE120" s="44">
        <f>【成行】財政シミュ!AE121</f>
        <v>50000000</v>
      </c>
      <c r="AF120" s="44">
        <f>【成行】財政シミュ!AF121</f>
        <v>50000000</v>
      </c>
      <c r="AG120" s="44">
        <f>【成行】財政シミュ!AG121</f>
        <v>50000000</v>
      </c>
      <c r="AH120" s="44">
        <f>【成行】財政シミュ!AH121</f>
        <v>50000000</v>
      </c>
      <c r="AI120" s="44">
        <f>【成行】財政シミュ!AI121</f>
        <v>50000000</v>
      </c>
      <c r="AJ120" s="44">
        <f>【成行】財政シミュ!AJ121</f>
        <v>50000000</v>
      </c>
      <c r="AK120" s="44">
        <f>【成行】財政シミュ!AK121</f>
        <v>50000000</v>
      </c>
      <c r="AL120" s="44">
        <f>【成行】財政シミュ!AL121</f>
        <v>50000000</v>
      </c>
      <c r="AM120" s="44">
        <f>【成行】財政シミュ!AM121</f>
        <v>50000000</v>
      </c>
      <c r="AN120" s="44">
        <f>【成行】財政シミュ!AN121</f>
        <v>50000000</v>
      </c>
      <c r="AO120" s="44">
        <f>【成行】財政シミュ!AO121</f>
        <v>50000000</v>
      </c>
      <c r="AP120" s="44">
        <f>【成行】財政シミュ!AP121</f>
        <v>50000000</v>
      </c>
      <c r="AQ120" s="44">
        <f>【成行】財政シミュ!AQ121</f>
        <v>50000000</v>
      </c>
      <c r="AR120" s="44">
        <f>【成行】財政シミュ!AR121</f>
        <v>50000000</v>
      </c>
      <c r="AS120" s="44">
        <f>【成行】財政シミュ!AS121</f>
        <v>50000000</v>
      </c>
      <c r="AT120" s="44">
        <f>【成行】財政シミュ!AT121</f>
        <v>50000000</v>
      </c>
      <c r="AU120" s="44">
        <f>【成行】財政シミュ!AU121</f>
        <v>50000000</v>
      </c>
      <c r="AV120" s="44">
        <f>【成行】財政シミュ!AV121</f>
        <v>50000000</v>
      </c>
      <c r="AW120" s="44">
        <f>【成行】財政シミュ!AW121</f>
        <v>50000000</v>
      </c>
      <c r="AX120" s="44">
        <f>【成行】財政シミュ!AX121</f>
        <v>50000000</v>
      </c>
      <c r="AY120" s="44">
        <f>【成行】財政シミュ!AY121</f>
        <v>50000000</v>
      </c>
      <c r="AZ120" s="44">
        <f>【成行】財政シミュ!AZ121</f>
        <v>50000000</v>
      </c>
      <c r="BA120" s="44">
        <f>【成行】財政シミュ!BA121</f>
        <v>50000000</v>
      </c>
      <c r="BB120" s="44">
        <f>【成行】財政シミュ!BB121</f>
        <v>50000000</v>
      </c>
      <c r="BC120" s="44">
        <f>【成行】財政シミュ!BC121</f>
        <v>50000000</v>
      </c>
      <c r="BD120" s="44">
        <f>【成行】財政シミュ!BD121</f>
        <v>50000000</v>
      </c>
      <c r="BE120" s="44">
        <f>【成行】財政シミュ!BE121</f>
        <v>50000000</v>
      </c>
      <c r="BF120" s="44">
        <f>【成行】財政シミュ!BF121</f>
        <v>50000000</v>
      </c>
      <c r="BG120" s="44">
        <f>【成行】財政シミュ!BG121</f>
        <v>50000000</v>
      </c>
      <c r="BH120" s="44">
        <f>【成行】財政シミュ!BH121</f>
        <v>50000000</v>
      </c>
      <c r="BI120" s="44">
        <f>【成行】財政シミュ!BI121</f>
        <v>50000000</v>
      </c>
      <c r="BJ120" s="44">
        <f>【成行】財政シミュ!BJ121</f>
        <v>50000000</v>
      </c>
    </row>
    <row r="121" spans="2:69">
      <c r="S121" s="68" t="s">
        <v>255</v>
      </c>
      <c r="T121" s="44">
        <f>【成行】財政シミュ!T122</f>
        <v>0</v>
      </c>
      <c r="U121" s="44">
        <f>【成行】財政シミュ!U122</f>
        <v>0</v>
      </c>
      <c r="V121" s="44">
        <f>【成行】財政シミュ!V122</f>
        <v>0</v>
      </c>
      <c r="W121" s="44">
        <f>【成行】財政シミュ!W122</f>
        <v>0</v>
      </c>
      <c r="X121" s="44">
        <f>【成行】財政シミュ!X122</f>
        <v>0</v>
      </c>
      <c r="Y121" s="44">
        <f>【成行】財政シミュ!Y122</f>
        <v>0</v>
      </c>
      <c r="Z121" s="44">
        <f>【成行】財政シミュ!Z122</f>
        <v>0</v>
      </c>
      <c r="AA121" s="44">
        <f>【成行】財政シミュ!AA122</f>
        <v>0</v>
      </c>
      <c r="AB121" s="44">
        <f>【成行】財政シミュ!AB122</f>
        <v>0</v>
      </c>
      <c r="AC121" s="44">
        <f>【成行】財政シミュ!AC122</f>
        <v>0</v>
      </c>
      <c r="AD121" s="44">
        <f>【成行】財政シミュ!AD122</f>
        <v>0</v>
      </c>
      <c r="AE121" s="44">
        <f>【成行】財政シミュ!AE122</f>
        <v>0</v>
      </c>
      <c r="AF121" s="44">
        <f>【成行】財政シミュ!AF122</f>
        <v>0</v>
      </c>
      <c r="AG121" s="44">
        <f>【成行】財政シミュ!AG122</f>
        <v>0</v>
      </c>
      <c r="AH121" s="44">
        <f>【成行】財政シミュ!AH122</f>
        <v>0</v>
      </c>
      <c r="AI121" s="44">
        <f>【成行】財政シミュ!AI122</f>
        <v>0</v>
      </c>
      <c r="AJ121" s="44">
        <f>【成行】財政シミュ!AJ122</f>
        <v>0</v>
      </c>
      <c r="AK121" s="44">
        <f>【成行】財政シミュ!AK122</f>
        <v>0</v>
      </c>
      <c r="AL121" s="44">
        <f>【成行】財政シミュ!AL122</f>
        <v>0</v>
      </c>
      <c r="AM121" s="44">
        <f>【成行】財政シミュ!AM122</f>
        <v>0</v>
      </c>
      <c r="AN121" s="44">
        <f>【成行】財政シミュ!AN122</f>
        <v>0</v>
      </c>
      <c r="AO121" s="44">
        <f>【成行】財政シミュ!AO122</f>
        <v>0</v>
      </c>
      <c r="AP121" s="44">
        <f>【成行】財政シミュ!AP122</f>
        <v>0</v>
      </c>
      <c r="AQ121" s="44">
        <f>【成行】財政シミュ!AQ122</f>
        <v>0</v>
      </c>
      <c r="AR121" s="44">
        <f>【成行】財政シミュ!AR122</f>
        <v>0</v>
      </c>
      <c r="AS121" s="44">
        <f>【成行】財政シミュ!AS122</f>
        <v>0</v>
      </c>
      <c r="AT121" s="44">
        <f>【成行】財政シミュ!AT122</f>
        <v>0</v>
      </c>
      <c r="AU121" s="44">
        <f>【成行】財政シミュ!AU122</f>
        <v>0</v>
      </c>
      <c r="AV121" s="44">
        <f>【成行】財政シミュ!AV122</f>
        <v>0</v>
      </c>
      <c r="AW121" s="44">
        <f>【成行】財政シミュ!AW122</f>
        <v>0</v>
      </c>
      <c r="AX121" s="44">
        <f>【成行】財政シミュ!AX122</f>
        <v>0</v>
      </c>
      <c r="AY121" s="44">
        <f>【成行】財政シミュ!AY122</f>
        <v>0</v>
      </c>
      <c r="AZ121" s="44">
        <f>【成行】財政シミュ!AZ122</f>
        <v>0</v>
      </c>
      <c r="BA121" s="44">
        <f>【成行】財政シミュ!BA122</f>
        <v>0</v>
      </c>
      <c r="BB121" s="44">
        <f>【成行】財政シミュ!BB122</f>
        <v>0</v>
      </c>
      <c r="BC121" s="44">
        <f>【成行】財政シミュ!BC122</f>
        <v>0</v>
      </c>
      <c r="BD121" s="44">
        <f>【成行】財政シミュ!BD122</f>
        <v>0</v>
      </c>
      <c r="BE121" s="44">
        <f>【成行】財政シミュ!BE122</f>
        <v>0</v>
      </c>
      <c r="BF121" s="44">
        <f>【成行】財政シミュ!BF122</f>
        <v>0</v>
      </c>
      <c r="BG121" s="44">
        <f>【成行】財政シミュ!BG122</f>
        <v>0</v>
      </c>
      <c r="BH121" s="44">
        <f>【成行】財政シミュ!BH122</f>
        <v>0</v>
      </c>
      <c r="BI121" s="44">
        <f>【成行】財政シミュ!BI122</f>
        <v>0</v>
      </c>
      <c r="BJ121" s="44">
        <f>【成行】財政シミュ!BJ122</f>
        <v>0</v>
      </c>
    </row>
    <row r="123" spans="2:69">
      <c r="S123" s="68" t="s">
        <v>257</v>
      </c>
      <c r="T123" s="44">
        <f>【成行】財政シミュ!T124</f>
        <v>0</v>
      </c>
      <c r="U123" s="44">
        <f>【成行】財政シミュ!U124</f>
        <v>35000000</v>
      </c>
      <c r="V123" s="44">
        <f>【成行】財政シミュ!V124</f>
        <v>750000000</v>
      </c>
      <c r="W123" s="44">
        <f>【成行】財政シミュ!W124</f>
        <v>670000000</v>
      </c>
      <c r="X123" s="44">
        <f>【成行】財政シミュ!X124</f>
        <v>220000000</v>
      </c>
      <c r="Y123" s="44">
        <f>【成行】財政シミュ!Y124</f>
        <v>70000000</v>
      </c>
      <c r="Z123" s="44">
        <f>【成行】財政シミュ!Z124</f>
        <v>150000000</v>
      </c>
      <c r="AA123" s="44">
        <f>【成行】財政シミュ!AA124</f>
        <v>150000000</v>
      </c>
      <c r="AB123" s="44">
        <f>【成行】財政シミュ!AB124</f>
        <v>210000000</v>
      </c>
      <c r="AC123" s="44">
        <f>【成行】財政シミュ!AC124</f>
        <v>130000000</v>
      </c>
      <c r="AD123" s="44">
        <f>【成行】財政シミュ!AD124</f>
        <v>160000000</v>
      </c>
      <c r="AE123" s="44">
        <f>【成行】財政シミュ!AE124</f>
        <v>130000000</v>
      </c>
      <c r="AF123" s="44">
        <f>【成行】財政シミュ!AF124</f>
        <v>130000000</v>
      </c>
      <c r="AG123" s="44">
        <f>【成行】財政シミュ!AG124</f>
        <v>500000000</v>
      </c>
      <c r="AH123" s="44">
        <f>【成行】財政シミュ!AH124</f>
        <v>500000000</v>
      </c>
      <c r="AI123" s="44">
        <f>【成行】財政シミュ!AI124</f>
        <v>500000000</v>
      </c>
      <c r="AJ123" s="44">
        <f>【成行】財政シミュ!AJ124</f>
        <v>500000000</v>
      </c>
      <c r="AK123" s="44">
        <f>【成行】財政シミュ!AK124</f>
        <v>530000000</v>
      </c>
      <c r="AL123" s="44">
        <f>【成行】財政シミュ!AL124</f>
        <v>550000000</v>
      </c>
      <c r="AM123" s="44">
        <f>【成行】財政シミュ!AM124</f>
        <v>550000000</v>
      </c>
      <c r="AN123" s="44">
        <f>【成行】財政シミュ!AN124</f>
        <v>550000000</v>
      </c>
      <c r="AO123" s="44">
        <f>【成行】財政シミュ!AO124</f>
        <v>10000000</v>
      </c>
      <c r="AP123" s="44">
        <f>【成行】財政シミュ!AP124</f>
        <v>10000000</v>
      </c>
      <c r="AQ123" s="44">
        <f>【成行】財政シミュ!AQ124</f>
        <v>10000000</v>
      </c>
      <c r="AR123" s="44">
        <f>【成行】財政シミュ!AR124</f>
        <v>10000000</v>
      </c>
      <c r="AS123" s="44">
        <f>【成行】財政シミュ!AS124</f>
        <v>10000000</v>
      </c>
      <c r="AT123" s="44">
        <f>【成行】財政シミュ!AT124</f>
        <v>10000000</v>
      </c>
      <c r="AU123" s="44">
        <f>【成行】財政シミュ!AU124</f>
        <v>10000000</v>
      </c>
      <c r="AV123" s="44">
        <f>【成行】財政シミュ!AV124</f>
        <v>10000000</v>
      </c>
      <c r="AW123" s="44">
        <f>【成行】財政シミュ!AW124</f>
        <v>10000000</v>
      </c>
      <c r="AX123" s="44">
        <f>【成行】財政シミュ!AX124</f>
        <v>10000000</v>
      </c>
      <c r="AY123" s="44">
        <f>【成行】財政シミュ!AY124</f>
        <v>10000000</v>
      </c>
      <c r="AZ123" s="44">
        <f>【成行】財政シミュ!AZ124</f>
        <v>10000000</v>
      </c>
      <c r="BA123" s="44">
        <f>【成行】財政シミュ!BA124</f>
        <v>10000000</v>
      </c>
      <c r="BB123" s="44">
        <f>【成行】財政シミュ!BB124</f>
        <v>10000000</v>
      </c>
      <c r="BC123" s="44">
        <f>【成行】財政シミュ!BC124</f>
        <v>10000000</v>
      </c>
      <c r="BD123" s="44">
        <f>【成行】財政シミュ!BD124</f>
        <v>10000000</v>
      </c>
      <c r="BE123" s="44">
        <f>【成行】財政シミュ!BE124</f>
        <v>10000000</v>
      </c>
      <c r="BF123" s="44">
        <f>【成行】財政シミュ!BF124</f>
        <v>10000000</v>
      </c>
      <c r="BG123" s="44">
        <f>【成行】財政シミュ!BG124</f>
        <v>10000000</v>
      </c>
      <c r="BH123" s="44">
        <f>【成行】財政シミュ!BH124</f>
        <v>10000000</v>
      </c>
      <c r="BI123" s="44">
        <f>【成行】財政シミュ!BI124</f>
        <v>10000000</v>
      </c>
      <c r="BJ123" s="44">
        <f>【成行】財政シミュ!BJ124</f>
        <v>10000000</v>
      </c>
    </row>
  </sheetData>
  <autoFilter ref="B3:BQ67" xr:uid="{580772E3-389A-45F6-9719-21766B3B5060}"/>
  <customSheetViews>
    <customSheetView guid="{B05628F6-030D-4851-8E75-96DF5849F39A}" scale="85" showGridLines="0" showAutoFilter="1">
      <pane xSplit="5" ySplit="4" topLeftCell="F5" activePane="bottomRight" state="frozen"/>
      <selection pane="bottomRight" activeCell="O10" sqref="O10"/>
      <rowBreaks count="1" manualBreakCount="1">
        <brk id="67" max="16383" man="1"/>
      </rowBreaks>
      <pageMargins left="0.70866141732283472" right="0.70866141732283472" top="0.74803149606299213" bottom="0.74803149606299213" header="0.31496062992125984" footer="0.31496062992125984"/>
      <pageSetup paperSize="8" scale="70" orientation="landscape" horizontalDpi="0" verticalDpi="0" r:id="rId1"/>
      <headerFooter>
        <oddHeader>&amp;A</oddHeader>
        <oddFooter>&amp;P / &amp;N ページ</oddFooter>
      </headerFooter>
      <autoFilter ref="B3:BQ67" xr:uid="{EC32DC35-F227-4117-B02F-FF870635A0E5}"/>
    </customSheetView>
    <customSheetView guid="{1F923BC6-4AD1-4F20-A481-D76BE7901A2A}" scale="85" showPageBreaks="1" showGridLines="0" showAutoFilter="1">
      <pane xSplit="5" ySplit="4" topLeftCell="F5" activePane="bottomRight" state="frozen"/>
      <selection pane="bottomRight" activeCell="T114" sqref="T114"/>
      <rowBreaks count="1" manualBreakCount="1">
        <brk id="67" max="16383" man="1"/>
      </rowBreaks>
      <pageMargins left="0.70866141732283472" right="0.70866141732283472" top="0.74803149606299213" bottom="0.74803149606299213" header="0.31496062992125984" footer="0.31496062992125984"/>
      <pageSetup paperSize="8" scale="70" orientation="landscape" verticalDpi="0" r:id="rId2"/>
      <headerFooter>
        <oddHeader>&amp;A</oddHeader>
        <oddFooter>&amp;P / &amp;N ページ</oddFooter>
      </headerFooter>
      <autoFilter ref="B3:BQ67" xr:uid="{FF9E4D34-C3F4-4F9B-9826-55FC1BA9D2F1}"/>
    </customSheetView>
  </customSheetViews>
  <mergeCells count="14">
    <mergeCell ref="J70:J71"/>
    <mergeCell ref="K70:K71"/>
    <mergeCell ref="J3:J4"/>
    <mergeCell ref="K3:K4"/>
    <mergeCell ref="F25:F32"/>
    <mergeCell ref="F33:F40"/>
    <mergeCell ref="F42:F50"/>
    <mergeCell ref="B113:E113"/>
    <mergeCell ref="J102:J103"/>
    <mergeCell ref="B105:B111"/>
    <mergeCell ref="C105:C106"/>
    <mergeCell ref="C107:C110"/>
    <mergeCell ref="D107:D109"/>
    <mergeCell ref="B112:E112"/>
  </mergeCells>
  <phoneticPr fontId="4"/>
  <pageMargins left="0.70866141732283472" right="0.70866141732283472" top="0.74803149606299213" bottom="0.74803149606299213" header="0.31496062992125984" footer="0.31496062992125984"/>
  <pageSetup paperSize="8" scale="70" orientation="landscape" verticalDpi="0" r:id="rId3"/>
  <headerFooter>
    <oddHeader>&amp;A</oddHeader>
    <oddFooter>&amp;P / &amp;N ページ</oddFooter>
  </headerFooter>
  <rowBreaks count="1" manualBreakCount="1">
    <brk id="6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B5CCD-96F1-4621-A5DA-8DA520DEB84D}">
  <sheetPr>
    <tabColor rgb="FF00B050"/>
    <pageSetUpPr fitToPage="1"/>
  </sheetPr>
  <dimension ref="B2:BK62"/>
  <sheetViews>
    <sheetView showGridLines="0" view="pageBreakPreview" zoomScaleNormal="100" zoomScaleSheetLayoutView="100" workbookViewId="0">
      <pane xSplit="8" ySplit="9" topLeftCell="L10" activePane="bottomRight" state="frozen"/>
      <selection activeCell="I5" sqref="I5"/>
      <selection pane="topRight" activeCell="I5" sqref="I5"/>
      <selection pane="bottomLeft" activeCell="I5" sqref="I5"/>
      <selection pane="bottomRight" activeCell="BB11" sqref="BB11"/>
    </sheetView>
  </sheetViews>
  <sheetFormatPr defaultRowHeight="14.4"/>
  <cols>
    <col min="1" max="1" width="2.453125" customWidth="1"/>
    <col min="3" max="3" width="11.453125" style="24" bestFit="1" customWidth="1"/>
    <col min="4" max="6" width="11.453125" style="24" customWidth="1"/>
    <col min="8" max="8" width="9.36328125" bestFit="1" customWidth="1"/>
    <col min="9" max="13" width="8.90625" customWidth="1"/>
    <col min="14" max="15" width="9.36328125" bestFit="1" customWidth="1"/>
    <col min="16" max="16" width="10" bestFit="1" customWidth="1"/>
    <col min="17" max="19" width="9.36328125" bestFit="1" customWidth="1"/>
    <col min="20" max="20" width="8.90625" bestFit="1" customWidth="1"/>
    <col min="21" max="22" width="10.36328125" bestFit="1" customWidth="1"/>
    <col min="23" max="24" width="11.453125" bestFit="1" customWidth="1"/>
    <col min="25" max="25" width="9.36328125" bestFit="1" customWidth="1"/>
    <col min="26" max="26" width="10.36328125" bestFit="1" customWidth="1"/>
    <col min="27" max="28" width="8.90625" bestFit="1" customWidth="1"/>
    <col min="29" max="29" width="10.36328125" bestFit="1" customWidth="1"/>
    <col min="30" max="30" width="8.90625" bestFit="1" customWidth="1"/>
    <col min="31" max="32" width="9.36328125" bestFit="1" customWidth="1"/>
    <col min="33" max="33" width="8.90625" bestFit="1" customWidth="1"/>
    <col min="34" max="34" width="9.36328125" bestFit="1" customWidth="1"/>
    <col min="35" max="38" width="8.90625" bestFit="1" customWidth="1"/>
    <col min="39" max="39" width="11.453125" bestFit="1" customWidth="1"/>
    <col min="40" max="43" width="8.90625" bestFit="1" customWidth="1"/>
    <col min="44" max="44" width="9.36328125" bestFit="1" customWidth="1"/>
    <col min="45" max="45" width="8.90625" bestFit="1" customWidth="1"/>
    <col min="46" max="46" width="10.36328125" bestFit="1" customWidth="1"/>
    <col min="47" max="47" width="9.36328125" bestFit="1" customWidth="1"/>
    <col min="48" max="58" width="8.90625" bestFit="1" customWidth="1"/>
  </cols>
  <sheetData>
    <row r="2" spans="2:63">
      <c r="B2" t="s">
        <v>323</v>
      </c>
      <c r="H2" s="62" t="s">
        <v>101</v>
      </c>
      <c r="I2" s="64"/>
      <c r="J2" s="64">
        <f>I7-J7+J8</f>
        <v>0</v>
      </c>
      <c r="K2" s="64">
        <f>J7-K7+K8</f>
        <v>0</v>
      </c>
      <c r="L2" s="64">
        <f t="shared" ref="L2:BF2" si="0">K7-L7+L8</f>
        <v>0</v>
      </c>
      <c r="M2" s="64">
        <f t="shared" si="0"/>
        <v>0</v>
      </c>
      <c r="N2" s="64">
        <f t="shared" si="0"/>
        <v>0</v>
      </c>
      <c r="O2" s="64">
        <f>N7-O7+O8</f>
        <v>0</v>
      </c>
      <c r="P2" s="64">
        <f>O7-P7+P8</f>
        <v>6491105</v>
      </c>
      <c r="Q2" s="64">
        <f>P7-Q7+Q8</f>
        <v>33596368</v>
      </c>
      <c r="R2" s="64">
        <f t="shared" si="0"/>
        <v>46754263</v>
      </c>
      <c r="S2" s="64">
        <f t="shared" si="0"/>
        <v>55964789</v>
      </c>
      <c r="T2" s="64">
        <f t="shared" si="0"/>
        <v>66754263</v>
      </c>
      <c r="U2" s="64">
        <f t="shared" si="0"/>
        <v>74912158</v>
      </c>
      <c r="V2" s="64">
        <f t="shared" si="0"/>
        <v>84675316</v>
      </c>
      <c r="W2" s="64">
        <f t="shared" si="0"/>
        <v>92333211</v>
      </c>
      <c r="X2" s="64">
        <f t="shared" si="0"/>
        <v>100859527</v>
      </c>
      <c r="Y2" s="64">
        <f t="shared" si="0"/>
        <v>106122685</v>
      </c>
      <c r="Z2" s="64">
        <f>Y7-Z7+Z8</f>
        <v>111385843</v>
      </c>
      <c r="AA2" s="64">
        <f>Z7-AA7+AA8</f>
        <v>126385843</v>
      </c>
      <c r="AB2" s="64">
        <f t="shared" si="0"/>
        <v>140859527</v>
      </c>
      <c r="AC2" s="64">
        <f>AB7-AC7+AC8</f>
        <v>155333211</v>
      </c>
      <c r="AD2" s="64">
        <f t="shared" si="0"/>
        <v>169833211</v>
      </c>
      <c r="AE2" s="64">
        <f>AD7-AE7+AE8</f>
        <v>185122685</v>
      </c>
      <c r="AF2" s="64">
        <f t="shared" si="0"/>
        <v>201017422</v>
      </c>
      <c r="AG2" s="64">
        <f t="shared" si="0"/>
        <v>217333211</v>
      </c>
      <c r="AH2" s="64">
        <f t="shared" si="0"/>
        <v>233649000</v>
      </c>
      <c r="AI2" s="64">
        <f t="shared" si="0"/>
        <v>235754263</v>
      </c>
      <c r="AJ2" s="64">
        <f t="shared" si="0"/>
        <v>237333210</v>
      </c>
      <c r="AK2" s="64">
        <f t="shared" si="0"/>
        <v>238912157</v>
      </c>
      <c r="AL2" s="64">
        <f t="shared" si="0"/>
        <v>240517420</v>
      </c>
      <c r="AM2" s="64">
        <f t="shared" si="0"/>
        <v>242122683</v>
      </c>
      <c r="AN2" s="64">
        <f t="shared" si="0"/>
        <v>243806894</v>
      </c>
      <c r="AO2" s="64">
        <f t="shared" si="0"/>
        <v>245912157</v>
      </c>
      <c r="AP2" s="64">
        <f t="shared" si="0"/>
        <v>248017420</v>
      </c>
      <c r="AQ2" s="64">
        <f t="shared" si="0"/>
        <v>250122683</v>
      </c>
      <c r="AR2" s="64">
        <f t="shared" si="0"/>
        <v>251701630</v>
      </c>
      <c r="AS2" s="64">
        <f t="shared" si="0"/>
        <v>253280577</v>
      </c>
      <c r="AT2" s="64">
        <f t="shared" si="0"/>
        <v>254885840</v>
      </c>
      <c r="AU2" s="64">
        <f t="shared" si="0"/>
        <v>256491103</v>
      </c>
      <c r="AV2" s="64">
        <f t="shared" si="0"/>
        <v>258175314</v>
      </c>
      <c r="AW2" s="64">
        <f t="shared" si="0"/>
        <v>260280577</v>
      </c>
      <c r="AX2" s="64">
        <f t="shared" si="0"/>
        <v>262385840</v>
      </c>
      <c r="AY2" s="64">
        <f t="shared" si="0"/>
        <v>264491103</v>
      </c>
      <c r="AZ2" s="64">
        <f t="shared" si="0"/>
        <v>266070050</v>
      </c>
      <c r="BA2" s="64">
        <f t="shared" si="0"/>
        <v>267648997</v>
      </c>
      <c r="BB2" s="64">
        <f t="shared" si="0"/>
        <v>262763165</v>
      </c>
      <c r="BC2" s="64">
        <f t="shared" si="0"/>
        <v>237263151</v>
      </c>
      <c r="BD2" s="64">
        <f t="shared" si="0"/>
        <v>225789471</v>
      </c>
      <c r="BE2" s="64">
        <f t="shared" si="0"/>
        <v>218421050</v>
      </c>
      <c r="BF2" s="64">
        <f t="shared" si="0"/>
        <v>208157882</v>
      </c>
    </row>
    <row r="3" spans="2:63">
      <c r="B3" t="s">
        <v>324</v>
      </c>
      <c r="H3" s="41" t="s">
        <v>266</v>
      </c>
      <c r="I3" s="64"/>
      <c r="J3" s="64"/>
      <c r="K3" s="64"/>
      <c r="L3" s="64"/>
      <c r="M3" s="64"/>
      <c r="N3" s="64"/>
      <c r="O3" s="64"/>
      <c r="P3" s="64"/>
      <c r="Q3" s="64">
        <f>【成行】財政シミュ!$V$77/38</f>
        <v>1666578.9473684211</v>
      </c>
      <c r="R3" s="64">
        <f>【成行】財政シミュ!$V$77/38+【成行】財政シミュ!$W$77/38</f>
        <v>2982368.4210526319</v>
      </c>
      <c r="S3" s="64">
        <f>【成行】財政シミュ!$V$77/38+【成行】財政シミュ!$W$77/38+【成行】財政シミュ!$X$77/38</f>
        <v>4298157.8947368423</v>
      </c>
      <c r="T3" s="64">
        <f>【成行】財政シミュ!$V$77/38+【成行】財政シミュ!$W$77/38+【成行】財政シミュ!$X$77/38+【成行】財政シミュ!$Y$77/38</f>
        <v>5613947.3684210526</v>
      </c>
      <c r="U3" s="64">
        <f>【成行】財政シミュ!$V$77/38+【成行】財政シミュ!$W$77/38+【成行】財政シミュ!$X$77/38+【成行】財政シミュ!$Y$77/38+【成行】財政シミュ!$Z$77/38</f>
        <v>6929736.8421052629</v>
      </c>
      <c r="V3" s="64">
        <f>【成行】財政シミュ!$V$77/38+【成行】財政シミュ!$W$77/38+【成行】財政シミュ!$X$77/38+【成行】財政シミュ!$Y$77/38+【成行】財政シミュ!$Z$77/38</f>
        <v>6929736.8421052629</v>
      </c>
      <c r="W3" s="64">
        <f>【成行】財政シミュ!$V$77/38+【成行】財政シミュ!$W$77/38+【成行】財政シミュ!$X$77/38+【成行】財政シミュ!$Y$77/38+【成行】財政シミュ!$Z$77/38</f>
        <v>6929736.8421052629</v>
      </c>
      <c r="X3" s="64">
        <f>【成行】財政シミュ!$V$77/38+【成行】財政シミュ!$W$77/38+【成行】財政シミュ!$X$77/38+【成行】財政シミュ!$Y$77/38+【成行】財政シミュ!$Z$77/38</f>
        <v>6929736.8421052629</v>
      </c>
      <c r="Y3" s="64">
        <f>【成行】財政シミュ!$V$77/38+【成行】財政シミュ!$W$77/38+【成行】財政シミュ!$X$77/38+【成行】財政シミュ!$Y$77/38+【成行】財政シミュ!$Z$77/38</f>
        <v>6929736.8421052629</v>
      </c>
      <c r="Z3" s="64">
        <f>【成行】財政シミュ!$V$77/38+【成行】財政シミュ!$W$77/38+【成行】財政シミュ!$X$77/38+【成行】財政シミュ!$Y$77/38+【成行】財政シミュ!$Z$77/38</f>
        <v>6929736.8421052629</v>
      </c>
      <c r="AA3" s="64">
        <f>【成行】財政シミュ!$V$77/38+【成行】財政シミュ!$W$77/38+【成行】財政シミュ!$X$77/38+【成行】財政シミュ!$Y$77/38+【成行】財政シミュ!$Z$77/38</f>
        <v>6929736.8421052629</v>
      </c>
      <c r="AB3" s="64">
        <f>【成行】財政シミュ!$V$77/38+【成行】財政シミュ!$W$77/38+【成行】財政シミュ!$X$77/38+【成行】財政シミュ!$Y$77/38+【成行】財政シミュ!$Z$77/38</f>
        <v>6929736.8421052629</v>
      </c>
      <c r="AC3" s="64">
        <f>【成行】財政シミュ!$V$77/38+【成行】財政シミュ!$W$77/38+【成行】財政シミュ!$X$77/38+【成行】財政シミュ!$Y$77/38+【成行】財政シミュ!$Z$77/38</f>
        <v>6929736.8421052629</v>
      </c>
      <c r="AD3" s="64">
        <f>【成行】財政シミュ!$V$77/38+【成行】財政シミュ!$W$77/38+【成行】財政シミュ!$X$77/38+【成行】財政シミュ!$Y$77/38+【成行】財政シミュ!$Z$77/38</f>
        <v>6929736.8421052629</v>
      </c>
      <c r="AE3" s="64">
        <f>【成行】財政シミュ!$V$77/38+【成行】財政シミュ!$W$77/38+【成行】財政シミュ!$X$77/38+【成行】財政シミュ!$Y$77/38+【成行】財政シミュ!$Z$77/38</f>
        <v>6929736.8421052629</v>
      </c>
      <c r="AF3" s="64">
        <f>【成行】財政シミュ!$V$77/38+【成行】財政シミュ!$W$77/38+【成行】財政シミュ!$X$77/38+【成行】財政シミュ!$Y$77/38+【成行】財政シミュ!$Z$77/38</f>
        <v>6929736.8421052629</v>
      </c>
      <c r="AG3" s="64">
        <f>【成行】財政シミュ!$V$77/38+【成行】財政シミュ!$W$77/38+【成行】財政シミュ!$X$77/38+【成行】財政シミュ!$Y$77/38+【成行】財政シミュ!$Z$77/38</f>
        <v>6929736.8421052629</v>
      </c>
      <c r="AH3" s="64">
        <f>【成行】財政シミュ!$V$77/38+【成行】財政シミュ!$W$77/38+【成行】財政シミュ!$X$77/38+【成行】財政シミュ!$Y$77/38+【成行】財政シミュ!$Z$77/38</f>
        <v>6929736.8421052629</v>
      </c>
      <c r="AI3" s="64">
        <f>【成行】財政シミュ!$V$77/38+【成行】財政シミュ!$W$77/38+【成行】財政シミュ!$X$77/38+【成行】財政シミュ!$Y$77/38+【成行】財政シミュ!$Z$77/38</f>
        <v>6929736.8421052629</v>
      </c>
      <c r="AJ3" s="64">
        <f>【成行】財政シミュ!$V$77/38+【成行】財政シミュ!$W$77/38+【成行】財政シミュ!$X$77/38+【成行】財政シミュ!$Y$77/38+【成行】財政シミュ!$Z$77/38</f>
        <v>6929736.8421052629</v>
      </c>
      <c r="AK3" s="64">
        <f>【成行】財政シミュ!$V$77/38+【成行】財政シミュ!$W$77/38+【成行】財政シミュ!$X$77/38+【成行】財政シミュ!$Y$77/38+【成行】財政シミュ!$Z$77/38</f>
        <v>6929736.8421052629</v>
      </c>
      <c r="AL3" s="64">
        <f>【成行】財政シミュ!$V$77/38+【成行】財政シミュ!$W$77/38+【成行】財政シミュ!$X$77/38+【成行】財政シミュ!$Y$77/38+【成行】財政シミュ!$Z$77/38</f>
        <v>6929736.8421052629</v>
      </c>
      <c r="AM3" s="64">
        <f>【成行】財政シミュ!$V$77/38+【成行】財政シミュ!$W$77/38+【成行】財政シミュ!$X$77/38+【成行】財政シミュ!$Y$77/38+【成行】財政シミュ!$Z$77/38</f>
        <v>6929736.8421052629</v>
      </c>
      <c r="AN3" s="64">
        <f>【成行】財政シミュ!$V$77/38+【成行】財政シミュ!$W$77/38+【成行】財政シミュ!$X$77/38+【成行】財政シミュ!$Y$77/38+【成行】財政シミュ!$Z$77/38</f>
        <v>6929736.8421052629</v>
      </c>
      <c r="AO3" s="64">
        <f>【成行】財政シミュ!$V$77/38+【成行】財政シミュ!$W$77/38+【成行】財政シミュ!$X$77/38+【成行】財政シミュ!$Y$77/38+【成行】財政シミュ!$Z$77/38</f>
        <v>6929736.8421052629</v>
      </c>
      <c r="AP3" s="64">
        <f>【成行】財政シミュ!$V$77/38+【成行】財政シミュ!$W$77/38+【成行】財政シミュ!$X$77/38+【成行】財政シミュ!$Y$77/38+【成行】財政シミュ!$Z$77/38</f>
        <v>6929736.8421052629</v>
      </c>
      <c r="AQ3" s="64">
        <f>【成行】財政シミュ!$V$77/38+【成行】財政シミュ!$W$77/38+【成行】財政シミュ!$X$77/38+【成行】財政シミュ!$Y$77/38+【成行】財政シミュ!$Z$77/38</f>
        <v>6929736.8421052629</v>
      </c>
      <c r="AR3" s="64">
        <f>【成行】財政シミュ!$V$77/38+【成行】財政シミュ!$W$77/38+【成行】財政シミュ!$X$77/38+【成行】財政シミュ!$Y$77/38+【成行】財政シミュ!$Z$77/38</f>
        <v>6929736.8421052629</v>
      </c>
      <c r="AS3" s="64">
        <f>【成行】財政シミュ!$V$77/38+【成行】財政シミュ!$W$77/38+【成行】財政シミュ!$X$77/38+【成行】財政シミュ!$Y$77/38+【成行】財政シミュ!$Z$77/38</f>
        <v>6929736.8421052629</v>
      </c>
      <c r="AT3" s="64">
        <f>【成行】財政シミュ!$V$77/38+【成行】財政シミュ!$W$77/38+【成行】財政シミュ!$X$77/38+【成行】財政シミュ!$Y$77/38+【成行】財政シミュ!$Z$77/38</f>
        <v>6929736.8421052629</v>
      </c>
      <c r="AU3" s="64">
        <f>【成行】財政シミュ!$V$77/38+【成行】財政シミュ!$W$77/38+【成行】財政シミュ!$X$77/38+【成行】財政シミュ!$Y$77/38+【成行】財政シミュ!$Z$77/38</f>
        <v>6929736.8421052629</v>
      </c>
      <c r="AV3" s="64">
        <f>【成行】財政シミュ!$V$77/38+【成行】財政シミュ!$W$77/38+【成行】財政シミュ!$X$77/38+【成行】財政シミュ!$Y$77/38+【成行】財政シミュ!$Z$77/38</f>
        <v>6929736.8421052629</v>
      </c>
      <c r="AW3" s="64">
        <f>【成行】財政シミュ!$V$77/38+【成行】財政シミュ!$W$77/38+【成行】財政シミュ!$X$77/38+【成行】財政シミュ!$Y$77/38+【成行】財政シミュ!$Z$77/38</f>
        <v>6929736.8421052629</v>
      </c>
      <c r="AX3" s="64">
        <f>【成行】財政シミュ!$V$77/38+【成行】財政シミュ!$W$77/38+【成行】財政シミュ!$X$77/38+【成行】財政シミュ!$Y$77/38+【成行】財政シミュ!$Z$77/38</f>
        <v>6929736.8421052629</v>
      </c>
      <c r="AY3" s="64">
        <f>【成行】財政シミュ!$V$77/38+【成行】財政シミュ!$W$77/38+【成行】財政シミュ!$X$77/38+【成行】財政シミュ!$Y$77/38+【成行】財政シミュ!$Z$77/38</f>
        <v>6929736.8421052629</v>
      </c>
      <c r="AZ3" s="64">
        <f>【成行】財政シミュ!$V$77/38+【成行】財政シミュ!$W$77/38+【成行】財政シミュ!$X$77/38+【成行】財政シミュ!$Y$77/38+【成行】財政シミュ!$Z$77/38</f>
        <v>6929736.8421052629</v>
      </c>
      <c r="BA3" s="64">
        <f>【成行】財政シミュ!$V$77/38+【成行】財政シミュ!$W$77/38+【成行】財政シミュ!$X$77/38+【成行】財政シミュ!$Y$77/38+【成行】財政シミュ!$Z$77/38</f>
        <v>6929736.8421052629</v>
      </c>
      <c r="BB3" s="64">
        <f>【成行】財政シミュ!$V$77/38+【成行】財政シミュ!$W$77/38+【成行】財政シミュ!$X$77/38+【成行】財政シミュ!$Y$77/38+【成行】財政シミュ!$Z$77/38</f>
        <v>6929736.8421052629</v>
      </c>
      <c r="BC3" s="64">
        <f>【成行】財政シミュ!$V$77/38+【成行】財政シミュ!$W$77/38+【成行】財政シミュ!$X$77/38+【成行】財政シミュ!$Y$77/38+【成行】財政シミュ!$Z$77/38</f>
        <v>6929736.8421052629</v>
      </c>
      <c r="BD3" s="64">
        <f>【成行】財政シミュ!$V$77/38+【成行】財政シミュ!$W$77/38+【成行】財政シミュ!$X$77/38+【成行】財政シミュ!$Y$77/38+【成行】財政シミュ!$Z$77/38</f>
        <v>6929736.8421052629</v>
      </c>
      <c r="BE3" s="64">
        <f>【成行】財政シミュ!$V$77/38+【成行】財政シミュ!$W$77/38+【成行】財政シミュ!$X$77/38+【成行】財政シミュ!$Y$77/38+【成行】財政シミュ!$Z$77/38</f>
        <v>6929736.8421052629</v>
      </c>
      <c r="BF3" s="64">
        <f>【成行】財政シミュ!$V$77/38+【成行】財政シミュ!$W$77/38+【成行】財政シミュ!$X$77/38+【成行】財政シミュ!$Y$77/38+【成行】財政シミュ!$Z$77/38</f>
        <v>6929736.8421052629</v>
      </c>
    </row>
    <row r="4" spans="2:63">
      <c r="B4" s="321" t="s">
        <v>327</v>
      </c>
      <c r="C4" s="321"/>
      <c r="D4" s="321"/>
      <c r="E4" s="321"/>
      <c r="F4" s="321"/>
      <c r="G4" s="321"/>
      <c r="H4" s="41" t="s">
        <v>267</v>
      </c>
      <c r="I4" s="64"/>
      <c r="J4" s="64"/>
      <c r="K4" s="64"/>
      <c r="L4" s="64"/>
      <c r="M4" s="64"/>
      <c r="N4" s="64"/>
      <c r="O4" s="64"/>
      <c r="P4" s="64"/>
      <c r="Q4" s="64"/>
      <c r="R4" s="64"/>
      <c r="S4" s="64"/>
      <c r="T4" s="64"/>
      <c r="U4" s="1"/>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row>
    <row r="5" spans="2:63">
      <c r="B5" s="321"/>
      <c r="C5" s="321"/>
      <c r="D5" s="321"/>
      <c r="E5" s="321"/>
      <c r="F5" s="321"/>
      <c r="G5" s="321"/>
      <c r="H5" s="41" t="s">
        <v>268</v>
      </c>
      <c r="I5" s="64">
        <f>SUM(I3:I4)</f>
        <v>0</v>
      </c>
      <c r="J5" s="64">
        <f t="shared" ref="J5:BF5" si="1">SUM(J3:J4)</f>
        <v>0</v>
      </c>
      <c r="K5" s="64">
        <f t="shared" si="1"/>
        <v>0</v>
      </c>
      <c r="L5" s="64">
        <f t="shared" si="1"/>
        <v>0</v>
      </c>
      <c r="M5" s="64">
        <f t="shared" si="1"/>
        <v>0</v>
      </c>
      <c r="N5" s="64">
        <f t="shared" si="1"/>
        <v>0</v>
      </c>
      <c r="O5" s="64">
        <f t="shared" si="1"/>
        <v>0</v>
      </c>
      <c r="P5" s="64">
        <f t="shared" si="1"/>
        <v>0</v>
      </c>
      <c r="Q5" s="64">
        <f t="shared" si="1"/>
        <v>1666578.9473684211</v>
      </c>
      <c r="R5" s="64">
        <f t="shared" si="1"/>
        <v>2982368.4210526319</v>
      </c>
      <c r="S5" s="64">
        <f t="shared" si="1"/>
        <v>4298157.8947368423</v>
      </c>
      <c r="T5" s="64">
        <f t="shared" si="1"/>
        <v>5613947.3684210526</v>
      </c>
      <c r="U5" s="64">
        <f t="shared" si="1"/>
        <v>6929736.8421052629</v>
      </c>
      <c r="V5" s="64">
        <f t="shared" si="1"/>
        <v>6929736.8421052629</v>
      </c>
      <c r="W5" s="64">
        <f t="shared" si="1"/>
        <v>6929736.8421052629</v>
      </c>
      <c r="X5" s="64">
        <f t="shared" si="1"/>
        <v>6929736.8421052629</v>
      </c>
      <c r="Y5" s="64">
        <f t="shared" si="1"/>
        <v>6929736.8421052629</v>
      </c>
      <c r="Z5" s="64">
        <f t="shared" si="1"/>
        <v>6929736.8421052629</v>
      </c>
      <c r="AA5" s="64">
        <f t="shared" si="1"/>
        <v>6929736.8421052629</v>
      </c>
      <c r="AB5" s="64">
        <f t="shared" si="1"/>
        <v>6929736.8421052629</v>
      </c>
      <c r="AC5" s="64">
        <f t="shared" si="1"/>
        <v>6929736.8421052629</v>
      </c>
      <c r="AD5" s="64">
        <f t="shared" si="1"/>
        <v>6929736.8421052629</v>
      </c>
      <c r="AE5" s="64">
        <f t="shared" si="1"/>
        <v>6929736.8421052629</v>
      </c>
      <c r="AF5" s="64">
        <f t="shared" si="1"/>
        <v>6929736.8421052629</v>
      </c>
      <c r="AG5" s="64">
        <f t="shared" si="1"/>
        <v>6929736.8421052629</v>
      </c>
      <c r="AH5" s="64">
        <f t="shared" si="1"/>
        <v>6929736.8421052629</v>
      </c>
      <c r="AI5" s="64">
        <f t="shared" si="1"/>
        <v>6929736.8421052629</v>
      </c>
      <c r="AJ5" s="64">
        <f t="shared" si="1"/>
        <v>6929736.8421052629</v>
      </c>
      <c r="AK5" s="64">
        <f t="shared" si="1"/>
        <v>6929736.8421052629</v>
      </c>
      <c r="AL5" s="64">
        <f t="shared" si="1"/>
        <v>6929736.8421052629</v>
      </c>
      <c r="AM5" s="64">
        <f t="shared" si="1"/>
        <v>6929736.8421052629</v>
      </c>
      <c r="AN5" s="64">
        <f t="shared" si="1"/>
        <v>6929736.8421052629</v>
      </c>
      <c r="AO5" s="64">
        <f t="shared" si="1"/>
        <v>6929736.8421052629</v>
      </c>
      <c r="AP5" s="64">
        <f t="shared" si="1"/>
        <v>6929736.8421052629</v>
      </c>
      <c r="AQ5" s="64">
        <f t="shared" si="1"/>
        <v>6929736.8421052629</v>
      </c>
      <c r="AR5" s="64">
        <f t="shared" si="1"/>
        <v>6929736.8421052629</v>
      </c>
      <c r="AS5" s="64">
        <f t="shared" si="1"/>
        <v>6929736.8421052629</v>
      </c>
      <c r="AT5" s="64">
        <f t="shared" si="1"/>
        <v>6929736.8421052629</v>
      </c>
      <c r="AU5" s="64">
        <f t="shared" si="1"/>
        <v>6929736.8421052629</v>
      </c>
      <c r="AV5" s="64">
        <f t="shared" si="1"/>
        <v>6929736.8421052629</v>
      </c>
      <c r="AW5" s="64">
        <f t="shared" si="1"/>
        <v>6929736.8421052629</v>
      </c>
      <c r="AX5" s="64">
        <f t="shared" si="1"/>
        <v>6929736.8421052629</v>
      </c>
      <c r="AY5" s="64">
        <f t="shared" si="1"/>
        <v>6929736.8421052629</v>
      </c>
      <c r="AZ5" s="64">
        <f t="shared" si="1"/>
        <v>6929736.8421052629</v>
      </c>
      <c r="BA5" s="64">
        <f t="shared" si="1"/>
        <v>6929736.8421052629</v>
      </c>
      <c r="BB5" s="64">
        <f t="shared" si="1"/>
        <v>6929736.8421052629</v>
      </c>
      <c r="BC5" s="64">
        <f t="shared" si="1"/>
        <v>6929736.8421052629</v>
      </c>
      <c r="BD5" s="64">
        <f t="shared" si="1"/>
        <v>6929736.8421052629</v>
      </c>
      <c r="BE5" s="64">
        <f t="shared" si="1"/>
        <v>6929736.8421052629</v>
      </c>
      <c r="BF5" s="64">
        <f t="shared" si="1"/>
        <v>6929736.8421052629</v>
      </c>
    </row>
    <row r="6" spans="2:63">
      <c r="B6" s="321"/>
      <c r="C6" s="321"/>
      <c r="D6" s="321"/>
      <c r="E6" s="321"/>
      <c r="F6" s="321"/>
      <c r="G6" s="321"/>
      <c r="I6" s="63"/>
      <c r="J6" s="63"/>
      <c r="K6" s="63"/>
      <c r="L6" s="63"/>
      <c r="M6" s="63"/>
      <c r="N6" s="63"/>
      <c r="O6" s="63"/>
      <c r="P6" s="63"/>
      <c r="Q6" s="63"/>
      <c r="R6" s="63"/>
      <c r="S6" s="63"/>
      <c r="T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row>
    <row r="7" spans="2:63">
      <c r="B7" t="s">
        <v>325</v>
      </c>
      <c r="I7" s="64">
        <f t="shared" ref="I7:AN7" si="2">SUM(I10:I58)</f>
        <v>0</v>
      </c>
      <c r="J7" s="64">
        <f t="shared" si="2"/>
        <v>0</v>
      </c>
      <c r="K7" s="64">
        <f t="shared" si="2"/>
        <v>0</v>
      </c>
      <c r="L7" s="64">
        <f t="shared" si="2"/>
        <v>0</v>
      </c>
      <c r="M7" s="64">
        <f t="shared" si="2"/>
        <v>0</v>
      </c>
      <c r="N7" s="64">
        <f t="shared" si="2"/>
        <v>0</v>
      </c>
      <c r="O7" s="64">
        <f t="shared" si="2"/>
        <v>246662000</v>
      </c>
      <c r="P7" s="64">
        <f>SUM(P10:P58)</f>
        <v>1270170895</v>
      </c>
      <c r="Q7" s="64">
        <f t="shared" si="2"/>
        <v>1736574527</v>
      </c>
      <c r="R7" s="64">
        <f t="shared" si="2"/>
        <v>2039820264</v>
      </c>
      <c r="S7" s="64">
        <f t="shared" si="2"/>
        <v>2393855475</v>
      </c>
      <c r="T7" s="64">
        <f t="shared" si="2"/>
        <v>2637101212</v>
      </c>
      <c r="U7" s="64">
        <f t="shared" si="2"/>
        <v>2933189054</v>
      </c>
      <c r="V7" s="64">
        <f t="shared" si="2"/>
        <v>3139513738</v>
      </c>
      <c r="W7" s="64">
        <f t="shared" si="2"/>
        <v>3371180527</v>
      </c>
      <c r="X7" s="64">
        <f t="shared" si="2"/>
        <v>3470321000</v>
      </c>
      <c r="Y7" s="64">
        <f>SUM(Y10:Y58)</f>
        <v>3564198315</v>
      </c>
      <c r="Z7" s="64">
        <f>SUM(Z10:Z58)</f>
        <v>4022812472</v>
      </c>
      <c r="AA7" s="64">
        <f t="shared" si="2"/>
        <v>4446426629</v>
      </c>
      <c r="AB7" s="64">
        <f t="shared" si="2"/>
        <v>4855567102</v>
      </c>
      <c r="AC7" s="64">
        <f t="shared" si="2"/>
        <v>5251233891</v>
      </c>
      <c r="AD7" s="64">
        <f t="shared" si="2"/>
        <v>5662400680</v>
      </c>
      <c r="AE7" s="64">
        <f t="shared" si="2"/>
        <v>6081277995</v>
      </c>
      <c r="AF7" s="64">
        <f t="shared" si="2"/>
        <v>6500260573</v>
      </c>
      <c r="AG7" s="64">
        <f t="shared" si="2"/>
        <v>6902927362</v>
      </c>
      <c r="AH7" s="64">
        <f t="shared" si="2"/>
        <v>6749278362</v>
      </c>
      <c r="AI7" s="64">
        <f t="shared" si="2"/>
        <v>6573524099</v>
      </c>
      <c r="AJ7" s="64">
        <f t="shared" si="2"/>
        <v>6396190889</v>
      </c>
      <c r="AK7" s="64">
        <f t="shared" si="2"/>
        <v>6218278732</v>
      </c>
      <c r="AL7" s="64">
        <f t="shared" si="2"/>
        <v>6038761312</v>
      </c>
      <c r="AM7" s="64">
        <f t="shared" si="2"/>
        <v>5860638629</v>
      </c>
      <c r="AN7" s="64">
        <f t="shared" si="2"/>
        <v>5696831735</v>
      </c>
      <c r="AO7" s="64">
        <f t="shared" ref="AO7:BF7" si="3">SUM(AO10:AO58)</f>
        <v>5530919578</v>
      </c>
      <c r="AP7" s="64">
        <f t="shared" si="3"/>
        <v>5362902158</v>
      </c>
      <c r="AQ7" s="64">
        <f t="shared" si="3"/>
        <v>5172779475</v>
      </c>
      <c r="AR7" s="64">
        <f t="shared" si="3"/>
        <v>4981077845</v>
      </c>
      <c r="AS7" s="64">
        <f t="shared" si="3"/>
        <v>4788797268</v>
      </c>
      <c r="AT7" s="64">
        <f t="shared" si="3"/>
        <v>4594911428</v>
      </c>
      <c r="AU7" s="64">
        <f t="shared" si="3"/>
        <v>4402420325</v>
      </c>
      <c r="AV7" s="64">
        <f t="shared" si="3"/>
        <v>4224245011</v>
      </c>
      <c r="AW7" s="64">
        <f t="shared" si="3"/>
        <v>4043964434</v>
      </c>
      <c r="AX7" s="64">
        <f t="shared" si="3"/>
        <v>3861578594</v>
      </c>
      <c r="AY7" s="64">
        <f t="shared" si="3"/>
        <v>3657087491</v>
      </c>
      <c r="AZ7" s="64">
        <f t="shared" si="3"/>
        <v>3451017441</v>
      </c>
      <c r="BA7" s="64">
        <f t="shared" si="3"/>
        <v>3244368444</v>
      </c>
      <c r="BB7" s="64">
        <f t="shared" si="3"/>
        <v>3042605279</v>
      </c>
      <c r="BC7" s="64">
        <f t="shared" si="3"/>
        <v>2869342128</v>
      </c>
      <c r="BD7" s="64">
        <f t="shared" si="3"/>
        <v>2713552657</v>
      </c>
      <c r="BE7" s="64">
        <f t="shared" si="3"/>
        <v>2515131607</v>
      </c>
      <c r="BF7" s="64">
        <f t="shared" si="3"/>
        <v>2326973725</v>
      </c>
    </row>
    <row r="8" spans="2:63">
      <c r="B8" t="s">
        <v>326</v>
      </c>
      <c r="I8" s="64"/>
      <c r="J8" s="64"/>
      <c r="K8" s="64"/>
      <c r="L8" s="64"/>
      <c r="M8" s="64"/>
      <c r="N8" s="64"/>
      <c r="O8" s="64" cm="1">
        <f t="array" ref="O8:BK8">TRANSPOSE(F10:F58)</f>
        <v>246662000</v>
      </c>
      <c r="P8" s="64">
        <v>1030000000</v>
      </c>
      <c r="Q8" s="64">
        <v>500000000</v>
      </c>
      <c r="R8" s="64">
        <v>350000000</v>
      </c>
      <c r="S8" s="64">
        <v>410000000</v>
      </c>
      <c r="T8" s="64">
        <v>310000000</v>
      </c>
      <c r="U8" s="64">
        <v>371000000</v>
      </c>
      <c r="V8" s="64">
        <v>291000000</v>
      </c>
      <c r="W8" s="64">
        <v>324000000</v>
      </c>
      <c r="X8" s="64">
        <v>200000000</v>
      </c>
      <c r="Y8" s="64">
        <v>200000000</v>
      </c>
      <c r="Z8" s="64">
        <v>570000000</v>
      </c>
      <c r="AA8" s="64">
        <v>550000000</v>
      </c>
      <c r="AB8" s="64">
        <v>550000000</v>
      </c>
      <c r="AC8" s="64">
        <v>551000000</v>
      </c>
      <c r="AD8" s="64">
        <v>581000000</v>
      </c>
      <c r="AE8" s="64">
        <v>604000000</v>
      </c>
      <c r="AF8" s="64">
        <v>620000000</v>
      </c>
      <c r="AG8" s="64">
        <v>620000000</v>
      </c>
      <c r="AH8" s="64">
        <v>80000000</v>
      </c>
      <c r="AI8" s="64">
        <v>60000000</v>
      </c>
      <c r="AJ8" s="64">
        <v>60000000</v>
      </c>
      <c r="AK8" s="64">
        <v>61000000</v>
      </c>
      <c r="AL8" s="64">
        <v>61000000</v>
      </c>
      <c r="AM8" s="64">
        <v>64000000</v>
      </c>
      <c r="AN8" s="64">
        <v>80000000</v>
      </c>
      <c r="AO8" s="64">
        <v>80000000</v>
      </c>
      <c r="AP8" s="64">
        <v>80000000</v>
      </c>
      <c r="AQ8" s="64">
        <v>60000000</v>
      </c>
      <c r="AR8" s="64">
        <v>60000000</v>
      </c>
      <c r="AS8" s="64">
        <v>61000000</v>
      </c>
      <c r="AT8" s="64">
        <v>61000000</v>
      </c>
      <c r="AU8" s="64">
        <v>64000000</v>
      </c>
      <c r="AV8" s="64">
        <v>80000000</v>
      </c>
      <c r="AW8" s="64">
        <v>80000000</v>
      </c>
      <c r="AX8" s="64">
        <v>80000000</v>
      </c>
      <c r="AY8" s="64">
        <v>60000000</v>
      </c>
      <c r="AZ8" s="64">
        <v>60000000</v>
      </c>
      <c r="BA8" s="64">
        <v>61000000</v>
      </c>
      <c r="BB8" s="64">
        <v>61000000</v>
      </c>
      <c r="BC8" s="64">
        <v>64000000</v>
      </c>
      <c r="BD8" s="64">
        <v>70000000</v>
      </c>
      <c r="BE8" s="64">
        <v>20000000</v>
      </c>
      <c r="BF8" s="64">
        <v>20000000</v>
      </c>
      <c r="BG8">
        <v>0</v>
      </c>
      <c r="BH8">
        <v>0</v>
      </c>
      <c r="BI8">
        <v>1000000</v>
      </c>
      <c r="BJ8">
        <v>1000000</v>
      </c>
      <c r="BK8">
        <v>4000000</v>
      </c>
    </row>
    <row r="9" spans="2:63">
      <c r="B9" s="62" t="s">
        <v>265</v>
      </c>
      <c r="C9" s="68" t="s">
        <v>123</v>
      </c>
      <c r="D9" s="68" t="s">
        <v>124</v>
      </c>
      <c r="E9" s="68" t="s">
        <v>127</v>
      </c>
      <c r="F9" s="68" t="s">
        <v>151</v>
      </c>
      <c r="G9" s="62" t="s">
        <v>263</v>
      </c>
      <c r="H9" s="62" t="s">
        <v>264</v>
      </c>
      <c r="I9" s="62"/>
      <c r="J9" s="62"/>
      <c r="K9" s="62"/>
      <c r="L9" s="62"/>
      <c r="M9" s="62"/>
      <c r="N9" s="62"/>
      <c r="O9" s="62" t="s">
        <v>711</v>
      </c>
      <c r="P9" s="62" t="s">
        <v>25</v>
      </c>
      <c r="Q9" s="62" t="s">
        <v>26</v>
      </c>
      <c r="R9" s="62" t="s">
        <v>27</v>
      </c>
      <c r="S9" s="62" t="s">
        <v>28</v>
      </c>
      <c r="T9" s="62" t="s">
        <v>29</v>
      </c>
      <c r="U9" s="62" t="s">
        <v>30</v>
      </c>
      <c r="V9" s="62" t="s">
        <v>31</v>
      </c>
      <c r="W9" s="62" t="s">
        <v>32</v>
      </c>
      <c r="X9" s="62" t="s">
        <v>33</v>
      </c>
      <c r="Y9" s="62" t="s">
        <v>34</v>
      </c>
      <c r="Z9" s="62" t="s">
        <v>35</v>
      </c>
      <c r="AA9" s="62" t="s">
        <v>36</v>
      </c>
      <c r="AB9" s="62" t="s">
        <v>37</v>
      </c>
      <c r="AC9" s="62" t="s">
        <v>38</v>
      </c>
      <c r="AD9" s="62" t="s">
        <v>39</v>
      </c>
      <c r="AE9" s="62" t="s">
        <v>40</v>
      </c>
      <c r="AF9" s="62" t="s">
        <v>41</v>
      </c>
      <c r="AG9" s="62" t="s">
        <v>42</v>
      </c>
      <c r="AH9" s="62" t="s">
        <v>43</v>
      </c>
      <c r="AI9" s="62" t="s">
        <v>44</v>
      </c>
      <c r="AJ9" s="62" t="s">
        <v>45</v>
      </c>
      <c r="AK9" s="62" t="s">
        <v>46</v>
      </c>
      <c r="AL9" s="62" t="s">
        <v>47</v>
      </c>
      <c r="AM9" s="62" t="s">
        <v>48</v>
      </c>
      <c r="AN9" s="62" t="s">
        <v>49</v>
      </c>
      <c r="AO9" s="62" t="s">
        <v>50</v>
      </c>
      <c r="AP9" s="62" t="s">
        <v>51</v>
      </c>
      <c r="AQ9" s="62" t="s">
        <v>52</v>
      </c>
      <c r="AR9" s="62" t="s">
        <v>53</v>
      </c>
      <c r="AS9" s="62" t="s">
        <v>54</v>
      </c>
      <c r="AT9" s="62" t="s">
        <v>55</v>
      </c>
      <c r="AU9" s="62" t="s">
        <v>56</v>
      </c>
      <c r="AV9" s="62" t="s">
        <v>57</v>
      </c>
      <c r="AW9" s="62" t="s">
        <v>58</v>
      </c>
      <c r="AX9" s="62" t="s">
        <v>59</v>
      </c>
      <c r="AY9" s="62" t="s">
        <v>60</v>
      </c>
      <c r="AZ9" s="62" t="s">
        <v>61</v>
      </c>
      <c r="BA9" s="62" t="s">
        <v>62</v>
      </c>
      <c r="BB9" s="62" t="s">
        <v>63</v>
      </c>
      <c r="BC9" s="62" t="s">
        <v>64</v>
      </c>
      <c r="BD9" s="62" t="s">
        <v>65</v>
      </c>
      <c r="BE9" s="62" t="s">
        <v>66</v>
      </c>
      <c r="BF9" s="62" t="s">
        <v>67</v>
      </c>
    </row>
    <row r="10" spans="2:63">
      <c r="B10" s="156" t="s">
        <v>711</v>
      </c>
      <c r="C10" s="182"/>
      <c r="D10" s="182">
        <f>(【成行】財政シミュ!U86)</f>
        <v>32732000</v>
      </c>
      <c r="E10" s="182" cm="1">
        <f t="array" ref="E10:E58">TRANSPOSE(【成行】財政シミュ!U90:BQ90)</f>
        <v>213930000</v>
      </c>
      <c r="F10" s="182">
        <f t="shared" ref="F10" si="4">SUM(C10:E10)</f>
        <v>246662000</v>
      </c>
      <c r="G10" s="170">
        <v>38</v>
      </c>
      <c r="H10" s="182">
        <f>ROUND(F10/G10,0)</f>
        <v>6491105</v>
      </c>
      <c r="I10" s="188"/>
      <c r="J10" s="188">
        <f>IF(J$9=$B10,$F10,IF(I10&gt;0,I10-$H10,0))</f>
        <v>0</v>
      </c>
      <c r="K10" s="188">
        <f>IF(K$9=$B10,$F10,IF(J10&gt;0,J10-$H10,0))</f>
        <v>0</v>
      </c>
      <c r="L10" s="188">
        <f t="shared" ref="L10" si="5">IF(L$9=$B10,$F10,IF(K10&gt;0,K10-$H10,0))</f>
        <v>0</v>
      </c>
      <c r="M10" s="188">
        <f t="shared" ref="M10" si="6">IF(M$9=$B10,$F10,IF(L10&gt;0,L10-$H10,0))</f>
        <v>0</v>
      </c>
      <c r="N10" s="188">
        <f t="shared" ref="N10" si="7">IF(N$9=$B10,$F10,IF(M10&gt;0,M10-$H10,0))</f>
        <v>0</v>
      </c>
      <c r="O10" s="188">
        <f>IF(O$9=$B10,$F10,IF(N10&gt;0,N10-$H10,0))</f>
        <v>246662000</v>
      </c>
      <c r="P10" s="188">
        <f>IF(P$9=$B10,$F10,IF(O10&gt;0,O10-$H10,0))</f>
        <v>240170895</v>
      </c>
      <c r="Q10" s="188">
        <f>IF(Q$9=$B10,$F10,IF(P10&gt;0,P10-$H10,0))</f>
        <v>233679790</v>
      </c>
      <c r="R10" s="188">
        <f>IF(R$9=$B10,$F10,IF(Q10&gt;0,Q10-$H10,0))</f>
        <v>227188685</v>
      </c>
      <c r="S10" s="188">
        <f t="shared" ref="S10" si="8">IF(S$9=$B10,$F10,IF(R10&gt;0,R10-$H10,0))</f>
        <v>220697580</v>
      </c>
      <c r="T10" s="188">
        <f t="shared" ref="T10" si="9">IF(T$9=$B10,$F10,IF(S10&gt;0,S10-$H10,0))</f>
        <v>214206475</v>
      </c>
      <c r="U10" s="188">
        <f t="shared" ref="U10" si="10">IF(U$9=$B10,$F10,IF(T10&gt;0,T10-$H10,0))</f>
        <v>207715370</v>
      </c>
      <c r="V10" s="188">
        <f t="shared" ref="V10" si="11">IF(V$9=$B10,$F10,IF(U10&gt;0,U10-$H10,0))</f>
        <v>201224265</v>
      </c>
      <c r="W10" s="188">
        <f t="shared" ref="W10" si="12">IF(W$9=$B10,$F10,IF(V10&gt;0,V10-$H10,0))</f>
        <v>194733160</v>
      </c>
      <c r="X10" s="188">
        <f t="shared" ref="X10" si="13">IF(X$9=$B10,$F10,IF(W10&gt;0,W10-$H10,0))</f>
        <v>188242055</v>
      </c>
      <c r="Y10" s="188">
        <f t="shared" ref="Y10" si="14">IF(Y$9=$B10,$F10,IF(X10&gt;0,X10-$H10,0))</f>
        <v>181750950</v>
      </c>
      <c r="Z10" s="188">
        <f t="shared" ref="Z10" si="15">IF(Z$9=$B10,$F10,IF(Y10&gt;0,Y10-$H10,0))</f>
        <v>175259845</v>
      </c>
      <c r="AA10" s="188">
        <f t="shared" ref="AA10" si="16">IF(AA$9=$B10,$F10,IF(Z10&gt;0,Z10-$H10,0))</f>
        <v>168768740</v>
      </c>
      <c r="AB10" s="188">
        <f t="shared" ref="AB10" si="17">IF(AB$9=$B10,$F10,IF(AA10&gt;0,AA10-$H10,0))</f>
        <v>162277635</v>
      </c>
      <c r="AC10" s="188">
        <f t="shared" ref="AC10" si="18">IF(AC$9=$B10,$F10,IF(AB10&gt;0,AB10-$H10,0))</f>
        <v>155786530</v>
      </c>
      <c r="AD10" s="188">
        <f t="shared" ref="AD10" si="19">IF(AD$9=$B10,$F10,IF(AC10&gt;0,AC10-$H10,0))</f>
        <v>149295425</v>
      </c>
      <c r="AE10" s="188">
        <f t="shared" ref="AE10" si="20">IF(AE$9=$B10,$F10,IF(AD10&gt;0,AD10-$H10,0))</f>
        <v>142804320</v>
      </c>
      <c r="AF10" s="188">
        <f t="shared" ref="AF10" si="21">IF(AF$9=$B10,$F10,IF(AE10&gt;0,AE10-$H10,0))</f>
        <v>136313215</v>
      </c>
      <c r="AG10" s="188">
        <f t="shared" ref="AG10" si="22">IF(AG$9=$B10,$F10,IF(AF10&gt;0,AF10-$H10,0))</f>
        <v>129822110</v>
      </c>
      <c r="AH10" s="188">
        <f t="shared" ref="AH10" si="23">IF(AH$9=$B10,$F10,IF(AG10&gt;0,AG10-$H10,0))</f>
        <v>123331005</v>
      </c>
      <c r="AI10" s="188">
        <f t="shared" ref="AI10" si="24">IF(AI$9=$B10,$F10,IF(AH10&gt;0,AH10-$H10,0))</f>
        <v>116839900</v>
      </c>
      <c r="AJ10" s="188">
        <f t="shared" ref="AJ10" si="25">IF(AJ$9=$B10,$F10,IF(AI10&gt;0,AI10-$H10,0))</f>
        <v>110348795</v>
      </c>
      <c r="AK10" s="188">
        <f t="shared" ref="AK10" si="26">IF(AK$9=$B10,$F10,IF(AJ10&gt;0,AJ10-$H10,0))</f>
        <v>103857690</v>
      </c>
      <c r="AL10" s="188">
        <f t="shared" ref="AL10" si="27">IF(AL$9=$B10,$F10,IF(AK10&gt;0,AK10-$H10,0))</f>
        <v>97366585</v>
      </c>
      <c r="AM10" s="188">
        <f t="shared" ref="AM10" si="28">IF(AM$9=$B10,$F10,IF(AL10&gt;0,AL10-$H10,0))</f>
        <v>90875480</v>
      </c>
      <c r="AN10" s="188">
        <f t="shared" ref="AN10" si="29">IF(AN$9=$B10,$F10,IF(AM10&gt;0,AM10-$H10,0))</f>
        <v>84384375</v>
      </c>
      <c r="AO10" s="188">
        <f t="shared" ref="AO10" si="30">IF(AO$9=$B10,$F10,IF(AN10&gt;0,AN10-$H10,0))</f>
        <v>77893270</v>
      </c>
      <c r="AP10" s="188">
        <f t="shared" ref="AP10" si="31">IF(AP$9=$B10,$F10,IF(AO10&gt;0,AO10-$H10,0))</f>
        <v>71402165</v>
      </c>
      <c r="AQ10" s="188">
        <f t="shared" ref="AQ10" si="32">IF(AQ$9=$B10,$F10,IF(AP10&gt;0,AP10-$H10,0))</f>
        <v>64911060</v>
      </c>
      <c r="AR10" s="188">
        <f t="shared" ref="AR10" si="33">IF(AR$9=$B10,$F10,IF(AQ10&gt;0,AQ10-$H10,0))</f>
        <v>58419955</v>
      </c>
      <c r="AS10" s="188">
        <f t="shared" ref="AS10" si="34">IF(AS$9=$B10,$F10,IF(AR10&gt;0,AR10-$H10,0))</f>
        <v>51928850</v>
      </c>
      <c r="AT10" s="188">
        <f t="shared" ref="AT10" si="35">IF(AT$9=$B10,$F10,IF(AS10&gt;0,AS10-$H10,0))</f>
        <v>45437745</v>
      </c>
      <c r="AU10" s="188">
        <f t="shared" ref="AU10" si="36">IF(AU$9=$B10,$F10,IF(AT10&gt;0,AT10-$H10,0))</f>
        <v>38946640</v>
      </c>
      <c r="AV10" s="188">
        <f t="shared" ref="AV10" si="37">IF(AV$9=$B10,$F10,IF(AU10&gt;0,AU10-$H10,0))</f>
        <v>32455535</v>
      </c>
      <c r="AW10" s="188">
        <f t="shared" ref="AW10:AW11" si="38">IF(AW$9=$B10,$F10,IF(AV10&gt;0,AV10-$H10,0))</f>
        <v>25964430</v>
      </c>
      <c r="AX10" s="188">
        <f t="shared" ref="AX10:AX11" si="39">IF(AX$9=$B10,$F10,IF(AW10&gt;0,AW10-$H10,0))</f>
        <v>19473325</v>
      </c>
      <c r="AY10" s="188">
        <f t="shared" ref="AY10:AY12" si="40">IF(AY$9=$B10,$F10,IF(AX10&gt;0,AX10-$H10,0))</f>
        <v>12982220</v>
      </c>
      <c r="AZ10" s="188">
        <f t="shared" ref="AZ10:AZ13" si="41">IF(AZ$9=$B10,$F10,IF(AY10&gt;0,AY10-$H10,0))</f>
        <v>6491115</v>
      </c>
      <c r="BA10" s="188">
        <f t="shared" ref="BA10:BA13" si="42">IF(BA$9=$B10,$F10,IF(AZ10&gt;0,AZ10-$H10,0))</f>
        <v>10</v>
      </c>
      <c r="BB10" s="188">
        <v>0</v>
      </c>
      <c r="BC10" s="188">
        <f t="shared" ref="BC10" si="43">IF(BC$9=$B10,$F10,IF(BB10&gt;0,BB10-$H10,0))</f>
        <v>0</v>
      </c>
      <c r="BD10" s="188">
        <f t="shared" ref="BD10" si="44">IF(BD$9=$B10,$F10,IF(BC10&gt;0,BC10-$H10,0))</f>
        <v>0</v>
      </c>
      <c r="BE10" s="188">
        <f t="shared" ref="BE10" si="45">IF(BE$9=$B10,$F10,IF(BD10&gt;0,BD10-$H10,0))</f>
        <v>0</v>
      </c>
      <c r="BF10" s="188">
        <f t="shared" ref="BF10" si="46">IF(BF$9=$B10,$F10,IF(BE10&gt;0,BE10-$H10,0))</f>
        <v>0</v>
      </c>
    </row>
    <row r="11" spans="2:63">
      <c r="B11" s="156" t="s">
        <v>712</v>
      </c>
      <c r="C11" s="182"/>
      <c r="D11" s="182">
        <f>(【成行】財政シミュ!V86)</f>
        <v>750000000</v>
      </c>
      <c r="E11" s="182">
        <v>280000000</v>
      </c>
      <c r="F11" s="182">
        <f t="shared" ref="F11:F58" si="47">SUM(C11:E11)</f>
        <v>1030000000</v>
      </c>
      <c r="G11" s="170">
        <v>38</v>
      </c>
      <c r="H11" s="182">
        <f>ROUND(F11/G11,0)</f>
        <v>27105263</v>
      </c>
      <c r="I11" s="188"/>
      <c r="J11" s="188">
        <f t="shared" ref="J11:BF11" si="48">IF(J$9=$B11,$F11,IF(I11&gt;0,I11-$H11,0))</f>
        <v>0</v>
      </c>
      <c r="K11" s="188">
        <f t="shared" si="48"/>
        <v>0</v>
      </c>
      <c r="L11" s="188">
        <f t="shared" si="48"/>
        <v>0</v>
      </c>
      <c r="M11" s="188">
        <f t="shared" si="48"/>
        <v>0</v>
      </c>
      <c r="N11" s="188">
        <f t="shared" si="48"/>
        <v>0</v>
      </c>
      <c r="O11" s="188">
        <f t="shared" si="48"/>
        <v>0</v>
      </c>
      <c r="P11" s="188">
        <f>IF(P$9=$B11,$F11,IF(O11&gt;0,O11-$H11,0))</f>
        <v>1030000000</v>
      </c>
      <c r="Q11" s="188">
        <f t="shared" si="48"/>
        <v>1002894737</v>
      </c>
      <c r="R11" s="188">
        <f t="shared" si="48"/>
        <v>975789474</v>
      </c>
      <c r="S11" s="188">
        <f t="shared" si="48"/>
        <v>948684211</v>
      </c>
      <c r="T11" s="188">
        <f t="shared" si="48"/>
        <v>921578948</v>
      </c>
      <c r="U11" s="188">
        <f t="shared" si="48"/>
        <v>894473685</v>
      </c>
      <c r="V11" s="188">
        <f t="shared" si="48"/>
        <v>867368422</v>
      </c>
      <c r="W11" s="188">
        <f t="shared" si="48"/>
        <v>840263159</v>
      </c>
      <c r="X11" s="188">
        <f t="shared" si="48"/>
        <v>813157896</v>
      </c>
      <c r="Y11" s="188">
        <f t="shared" si="48"/>
        <v>786052633</v>
      </c>
      <c r="Z11" s="188">
        <f t="shared" si="48"/>
        <v>758947370</v>
      </c>
      <c r="AA11" s="188">
        <f t="shared" si="48"/>
        <v>731842107</v>
      </c>
      <c r="AB11" s="188">
        <f t="shared" si="48"/>
        <v>704736844</v>
      </c>
      <c r="AC11" s="188">
        <f t="shared" si="48"/>
        <v>677631581</v>
      </c>
      <c r="AD11" s="188">
        <f t="shared" si="48"/>
        <v>650526318</v>
      </c>
      <c r="AE11" s="188">
        <f t="shared" si="48"/>
        <v>623421055</v>
      </c>
      <c r="AF11" s="188">
        <f t="shared" si="48"/>
        <v>596315792</v>
      </c>
      <c r="AG11" s="188">
        <f t="shared" si="48"/>
        <v>569210529</v>
      </c>
      <c r="AH11" s="188">
        <f t="shared" si="48"/>
        <v>542105266</v>
      </c>
      <c r="AI11" s="188">
        <f t="shared" si="48"/>
        <v>515000003</v>
      </c>
      <c r="AJ11" s="188">
        <f t="shared" si="48"/>
        <v>487894740</v>
      </c>
      <c r="AK11" s="188">
        <f t="shared" si="48"/>
        <v>460789477</v>
      </c>
      <c r="AL11" s="188">
        <f t="shared" si="48"/>
        <v>433684214</v>
      </c>
      <c r="AM11" s="188">
        <f t="shared" si="48"/>
        <v>406578951</v>
      </c>
      <c r="AN11" s="188">
        <f t="shared" si="48"/>
        <v>379473688</v>
      </c>
      <c r="AO11" s="188">
        <f t="shared" si="48"/>
        <v>352368425</v>
      </c>
      <c r="AP11" s="188">
        <f t="shared" si="48"/>
        <v>325263162</v>
      </c>
      <c r="AQ11" s="188">
        <f t="shared" si="48"/>
        <v>298157899</v>
      </c>
      <c r="AR11" s="188">
        <f t="shared" si="48"/>
        <v>271052636</v>
      </c>
      <c r="AS11" s="188">
        <f t="shared" si="48"/>
        <v>243947373</v>
      </c>
      <c r="AT11" s="188">
        <f t="shared" si="48"/>
        <v>216842110</v>
      </c>
      <c r="AU11" s="188">
        <f t="shared" si="48"/>
        <v>189736847</v>
      </c>
      <c r="AV11" s="188">
        <f t="shared" si="48"/>
        <v>162631584</v>
      </c>
      <c r="AW11" s="188">
        <f t="shared" si="38"/>
        <v>135526321</v>
      </c>
      <c r="AX11" s="188">
        <f t="shared" si="39"/>
        <v>108421058</v>
      </c>
      <c r="AY11" s="188">
        <f t="shared" si="40"/>
        <v>81315795</v>
      </c>
      <c r="AZ11" s="188">
        <f t="shared" si="41"/>
        <v>54210532</v>
      </c>
      <c r="BA11" s="188">
        <f t="shared" si="42"/>
        <v>27105269</v>
      </c>
      <c r="BB11" s="188">
        <f t="shared" si="48"/>
        <v>6</v>
      </c>
      <c r="BC11" s="188">
        <v>0</v>
      </c>
      <c r="BD11" s="188">
        <f t="shared" si="48"/>
        <v>0</v>
      </c>
      <c r="BE11" s="188">
        <f t="shared" si="48"/>
        <v>0</v>
      </c>
      <c r="BF11" s="188">
        <f t="shared" si="48"/>
        <v>0</v>
      </c>
    </row>
    <row r="12" spans="2:63">
      <c r="B12" s="156" t="s">
        <v>713</v>
      </c>
      <c r="C12" s="182"/>
      <c r="D12" s="182">
        <f>(【成行】財政シミュ!X86)</f>
        <v>220000000</v>
      </c>
      <c r="E12" s="182">
        <v>280000000</v>
      </c>
      <c r="F12" s="182">
        <f t="shared" si="47"/>
        <v>500000000</v>
      </c>
      <c r="G12" s="170">
        <v>38</v>
      </c>
      <c r="H12" s="182">
        <f t="shared" ref="H12:H58" si="49">ROUND(F12/G12,0)</f>
        <v>13157895</v>
      </c>
      <c r="I12" s="188"/>
      <c r="J12" s="188">
        <f t="shared" ref="J12:BF13" si="50">IF(J$9=$B12,$F12,IF(I12&gt;0,I12-$H12,0))</f>
        <v>0</v>
      </c>
      <c r="K12" s="188">
        <f t="shared" si="50"/>
        <v>0</v>
      </c>
      <c r="L12" s="188">
        <f t="shared" si="50"/>
        <v>0</v>
      </c>
      <c r="M12" s="188">
        <f t="shared" si="50"/>
        <v>0</v>
      </c>
      <c r="N12" s="188">
        <f t="shared" si="50"/>
        <v>0</v>
      </c>
      <c r="O12" s="188">
        <f t="shared" si="50"/>
        <v>0</v>
      </c>
      <c r="P12" s="188">
        <f t="shared" si="50"/>
        <v>0</v>
      </c>
      <c r="Q12" s="188">
        <f t="shared" si="50"/>
        <v>500000000</v>
      </c>
      <c r="R12" s="188">
        <f t="shared" si="50"/>
        <v>486842105</v>
      </c>
      <c r="S12" s="188">
        <f t="shared" si="50"/>
        <v>473684210</v>
      </c>
      <c r="T12" s="188">
        <f t="shared" si="50"/>
        <v>460526315</v>
      </c>
      <c r="U12" s="188">
        <f t="shared" si="50"/>
        <v>447368420</v>
      </c>
      <c r="V12" s="188">
        <f t="shared" si="50"/>
        <v>434210525</v>
      </c>
      <c r="W12" s="188">
        <f t="shared" si="50"/>
        <v>421052630</v>
      </c>
      <c r="X12" s="188">
        <f t="shared" si="50"/>
        <v>407894735</v>
      </c>
      <c r="Y12" s="188">
        <f t="shared" si="50"/>
        <v>394736840</v>
      </c>
      <c r="Z12" s="188">
        <f t="shared" si="50"/>
        <v>381578945</v>
      </c>
      <c r="AA12" s="188">
        <f t="shared" si="50"/>
        <v>368421050</v>
      </c>
      <c r="AB12" s="188">
        <f t="shared" si="50"/>
        <v>355263155</v>
      </c>
      <c r="AC12" s="188">
        <f t="shared" si="50"/>
        <v>342105260</v>
      </c>
      <c r="AD12" s="188">
        <f t="shared" si="50"/>
        <v>328947365</v>
      </c>
      <c r="AE12" s="188">
        <f t="shared" si="50"/>
        <v>315789470</v>
      </c>
      <c r="AF12" s="188">
        <f t="shared" si="50"/>
        <v>302631575</v>
      </c>
      <c r="AG12" s="188">
        <f t="shared" si="50"/>
        <v>289473680</v>
      </c>
      <c r="AH12" s="188">
        <f t="shared" si="50"/>
        <v>276315785</v>
      </c>
      <c r="AI12" s="188">
        <f t="shared" si="50"/>
        <v>263157890</v>
      </c>
      <c r="AJ12" s="188">
        <f t="shared" si="50"/>
        <v>249999995</v>
      </c>
      <c r="AK12" s="188">
        <f t="shared" si="50"/>
        <v>236842100</v>
      </c>
      <c r="AL12" s="188">
        <f t="shared" si="50"/>
        <v>223684205</v>
      </c>
      <c r="AM12" s="188">
        <f t="shared" si="50"/>
        <v>210526310</v>
      </c>
      <c r="AN12" s="188">
        <f t="shared" si="50"/>
        <v>197368415</v>
      </c>
      <c r="AO12" s="188">
        <f t="shared" si="50"/>
        <v>184210520</v>
      </c>
      <c r="AP12" s="188">
        <f t="shared" si="50"/>
        <v>171052625</v>
      </c>
      <c r="AQ12" s="188">
        <f t="shared" si="50"/>
        <v>157894730</v>
      </c>
      <c r="AR12" s="188">
        <f t="shared" si="50"/>
        <v>144736835</v>
      </c>
      <c r="AS12" s="188">
        <f t="shared" si="50"/>
        <v>131578940</v>
      </c>
      <c r="AT12" s="188">
        <f t="shared" si="50"/>
        <v>118421045</v>
      </c>
      <c r="AU12" s="188">
        <f t="shared" si="50"/>
        <v>105263150</v>
      </c>
      <c r="AV12" s="188">
        <f t="shared" si="50"/>
        <v>92105255</v>
      </c>
      <c r="AW12" s="188">
        <f t="shared" si="50"/>
        <v>78947360</v>
      </c>
      <c r="AX12" s="188">
        <f t="shared" si="50"/>
        <v>65789465</v>
      </c>
      <c r="AY12" s="188">
        <f t="shared" si="40"/>
        <v>52631570</v>
      </c>
      <c r="AZ12" s="188">
        <f t="shared" si="41"/>
        <v>39473675</v>
      </c>
      <c r="BA12" s="188">
        <f t="shared" si="42"/>
        <v>26315780</v>
      </c>
      <c r="BB12" s="188">
        <f t="shared" si="50"/>
        <v>13157885</v>
      </c>
      <c r="BC12" s="188">
        <v>0</v>
      </c>
      <c r="BD12" s="188">
        <f t="shared" si="50"/>
        <v>0</v>
      </c>
      <c r="BE12" s="188">
        <f t="shared" si="50"/>
        <v>0</v>
      </c>
      <c r="BF12" s="188">
        <f t="shared" si="50"/>
        <v>0</v>
      </c>
    </row>
    <row r="13" spans="2:63">
      <c r="B13" s="156" t="s">
        <v>728</v>
      </c>
      <c r="C13" s="182"/>
      <c r="D13" s="182">
        <f>(【成行】財政シミュ!Y86)</f>
        <v>70000000</v>
      </c>
      <c r="E13" s="182">
        <v>280000000</v>
      </c>
      <c r="F13" s="182">
        <f t="shared" si="47"/>
        <v>350000000</v>
      </c>
      <c r="G13" s="170">
        <v>38</v>
      </c>
      <c r="H13" s="182">
        <f t="shared" si="49"/>
        <v>9210526</v>
      </c>
      <c r="I13" s="188"/>
      <c r="J13" s="188">
        <f t="shared" ref="J13:BF13" si="51">IF(J$9=$B13,$F13,IF(I13&gt;0,I13-$H13,0))</f>
        <v>0</v>
      </c>
      <c r="K13" s="188">
        <f t="shared" si="51"/>
        <v>0</v>
      </c>
      <c r="L13" s="188">
        <f t="shared" si="51"/>
        <v>0</v>
      </c>
      <c r="M13" s="188">
        <f t="shared" si="51"/>
        <v>0</v>
      </c>
      <c r="N13" s="188">
        <f t="shared" si="51"/>
        <v>0</v>
      </c>
      <c r="O13" s="188">
        <f t="shared" si="51"/>
        <v>0</v>
      </c>
      <c r="P13" s="188">
        <f t="shared" si="51"/>
        <v>0</v>
      </c>
      <c r="Q13" s="188">
        <f t="shared" si="51"/>
        <v>0</v>
      </c>
      <c r="R13" s="188">
        <f t="shared" si="51"/>
        <v>350000000</v>
      </c>
      <c r="S13" s="188">
        <f t="shared" si="51"/>
        <v>340789474</v>
      </c>
      <c r="T13" s="188">
        <f t="shared" si="51"/>
        <v>331578948</v>
      </c>
      <c r="U13" s="188">
        <f t="shared" si="51"/>
        <v>322368422</v>
      </c>
      <c r="V13" s="188">
        <f t="shared" si="51"/>
        <v>313157896</v>
      </c>
      <c r="W13" s="188">
        <f t="shared" si="51"/>
        <v>303947370</v>
      </c>
      <c r="X13" s="188">
        <f t="shared" si="51"/>
        <v>294736844</v>
      </c>
      <c r="Y13" s="188">
        <f t="shared" si="51"/>
        <v>285526318</v>
      </c>
      <c r="Z13" s="188">
        <f t="shared" si="51"/>
        <v>276315792</v>
      </c>
      <c r="AA13" s="188">
        <f t="shared" si="51"/>
        <v>267105266</v>
      </c>
      <c r="AB13" s="188">
        <f t="shared" si="51"/>
        <v>257894740</v>
      </c>
      <c r="AC13" s="188">
        <f t="shared" si="51"/>
        <v>248684214</v>
      </c>
      <c r="AD13" s="188">
        <f t="shared" si="51"/>
        <v>239473688</v>
      </c>
      <c r="AE13" s="188">
        <f t="shared" si="51"/>
        <v>230263162</v>
      </c>
      <c r="AF13" s="188">
        <f t="shared" si="51"/>
        <v>221052636</v>
      </c>
      <c r="AG13" s="188">
        <f t="shared" si="51"/>
        <v>211842110</v>
      </c>
      <c r="AH13" s="188">
        <f t="shared" si="51"/>
        <v>202631584</v>
      </c>
      <c r="AI13" s="188">
        <f t="shared" si="51"/>
        <v>193421058</v>
      </c>
      <c r="AJ13" s="188">
        <f t="shared" si="51"/>
        <v>184210532</v>
      </c>
      <c r="AK13" s="188">
        <f t="shared" si="51"/>
        <v>175000006</v>
      </c>
      <c r="AL13" s="188">
        <f t="shared" si="51"/>
        <v>165789480</v>
      </c>
      <c r="AM13" s="188">
        <f t="shared" si="51"/>
        <v>156578954</v>
      </c>
      <c r="AN13" s="188">
        <f t="shared" si="51"/>
        <v>147368428</v>
      </c>
      <c r="AO13" s="188">
        <f t="shared" si="51"/>
        <v>138157902</v>
      </c>
      <c r="AP13" s="188">
        <f t="shared" si="51"/>
        <v>128947376</v>
      </c>
      <c r="AQ13" s="188">
        <f t="shared" si="51"/>
        <v>119736850</v>
      </c>
      <c r="AR13" s="188">
        <f t="shared" si="51"/>
        <v>110526324</v>
      </c>
      <c r="AS13" s="188">
        <f t="shared" si="51"/>
        <v>101315798</v>
      </c>
      <c r="AT13" s="188">
        <f t="shared" si="51"/>
        <v>92105272</v>
      </c>
      <c r="AU13" s="188">
        <f t="shared" si="51"/>
        <v>82894746</v>
      </c>
      <c r="AV13" s="188">
        <f t="shared" si="51"/>
        <v>73684220</v>
      </c>
      <c r="AW13" s="188">
        <f t="shared" si="51"/>
        <v>64473694</v>
      </c>
      <c r="AX13" s="188">
        <f t="shared" si="51"/>
        <v>55263168</v>
      </c>
      <c r="AY13" s="188">
        <f t="shared" si="51"/>
        <v>46052642</v>
      </c>
      <c r="AZ13" s="188">
        <f t="shared" si="41"/>
        <v>36842116</v>
      </c>
      <c r="BA13" s="188">
        <f t="shared" si="42"/>
        <v>27631590</v>
      </c>
      <c r="BB13" s="188">
        <f t="shared" si="50"/>
        <v>18421064</v>
      </c>
      <c r="BC13" s="188">
        <f t="shared" si="51"/>
        <v>9210538</v>
      </c>
      <c r="BD13" s="188">
        <f t="shared" si="51"/>
        <v>12</v>
      </c>
      <c r="BE13" s="188">
        <v>0</v>
      </c>
      <c r="BF13" s="188">
        <f t="shared" si="51"/>
        <v>0</v>
      </c>
    </row>
    <row r="14" spans="2:63">
      <c r="B14" s="1" t="s">
        <v>730</v>
      </c>
      <c r="C14" s="182"/>
      <c r="D14" s="182">
        <f>(【成行】財政シミュ!Z86)</f>
        <v>150000000</v>
      </c>
      <c r="E14" s="182">
        <v>260000000</v>
      </c>
      <c r="F14" s="182">
        <f t="shared" si="47"/>
        <v>410000000</v>
      </c>
      <c r="G14" s="170">
        <v>38</v>
      </c>
      <c r="H14" s="182">
        <f t="shared" si="49"/>
        <v>10789474</v>
      </c>
      <c r="I14" s="188"/>
      <c r="J14" s="188">
        <f t="shared" ref="J14:BF14" si="52">IF(J$9=$B14,$F14,IF(I14&gt;0,I14-$H14,0))</f>
        <v>0</v>
      </c>
      <c r="K14" s="188">
        <f t="shared" si="52"/>
        <v>0</v>
      </c>
      <c r="L14" s="188">
        <f t="shared" si="52"/>
        <v>0</v>
      </c>
      <c r="M14" s="188">
        <f t="shared" si="52"/>
        <v>0</v>
      </c>
      <c r="N14" s="188">
        <f t="shared" si="52"/>
        <v>0</v>
      </c>
      <c r="O14" s="188">
        <f t="shared" si="52"/>
        <v>0</v>
      </c>
      <c r="P14" s="188">
        <f t="shared" si="52"/>
        <v>0</v>
      </c>
      <c r="Q14" s="188">
        <f t="shared" si="52"/>
        <v>0</v>
      </c>
      <c r="R14" s="188">
        <f t="shared" si="52"/>
        <v>0</v>
      </c>
      <c r="S14" s="188">
        <f t="shared" si="52"/>
        <v>410000000</v>
      </c>
      <c r="T14" s="188">
        <f t="shared" si="52"/>
        <v>399210526</v>
      </c>
      <c r="U14" s="188">
        <f t="shared" si="52"/>
        <v>388421052</v>
      </c>
      <c r="V14" s="188">
        <f t="shared" si="52"/>
        <v>377631578</v>
      </c>
      <c r="W14" s="188">
        <f t="shared" si="52"/>
        <v>366842104</v>
      </c>
      <c r="X14" s="188">
        <f t="shared" si="52"/>
        <v>356052630</v>
      </c>
      <c r="Y14" s="188">
        <f t="shared" si="52"/>
        <v>345263156</v>
      </c>
      <c r="Z14" s="188">
        <f t="shared" si="52"/>
        <v>334473682</v>
      </c>
      <c r="AA14" s="188">
        <f t="shared" si="52"/>
        <v>323684208</v>
      </c>
      <c r="AB14" s="188">
        <f t="shared" si="52"/>
        <v>312894734</v>
      </c>
      <c r="AC14" s="188">
        <f t="shared" si="52"/>
        <v>302105260</v>
      </c>
      <c r="AD14" s="188">
        <f t="shared" si="52"/>
        <v>291315786</v>
      </c>
      <c r="AE14" s="188">
        <f t="shared" si="52"/>
        <v>280526312</v>
      </c>
      <c r="AF14" s="188">
        <f t="shared" si="52"/>
        <v>269736838</v>
      </c>
      <c r="AG14" s="188">
        <f t="shared" si="52"/>
        <v>258947364</v>
      </c>
      <c r="AH14" s="188">
        <f t="shared" si="52"/>
        <v>248157890</v>
      </c>
      <c r="AI14" s="188">
        <f t="shared" si="52"/>
        <v>237368416</v>
      </c>
      <c r="AJ14" s="188">
        <f t="shared" si="52"/>
        <v>226578942</v>
      </c>
      <c r="AK14" s="188">
        <f t="shared" si="52"/>
        <v>215789468</v>
      </c>
      <c r="AL14" s="188">
        <f t="shared" si="52"/>
        <v>204999994</v>
      </c>
      <c r="AM14" s="188">
        <f t="shared" si="52"/>
        <v>194210520</v>
      </c>
      <c r="AN14" s="188">
        <f t="shared" si="52"/>
        <v>183421046</v>
      </c>
      <c r="AO14" s="188">
        <f t="shared" si="52"/>
        <v>172631572</v>
      </c>
      <c r="AP14" s="188">
        <f t="shared" si="52"/>
        <v>161842098</v>
      </c>
      <c r="AQ14" s="188">
        <f t="shared" si="52"/>
        <v>151052624</v>
      </c>
      <c r="AR14" s="188">
        <f t="shared" si="52"/>
        <v>140263150</v>
      </c>
      <c r="AS14" s="188">
        <f t="shared" si="52"/>
        <v>129473676</v>
      </c>
      <c r="AT14" s="188">
        <f t="shared" si="52"/>
        <v>118684202</v>
      </c>
      <c r="AU14" s="188">
        <f t="shared" si="52"/>
        <v>107894728</v>
      </c>
      <c r="AV14" s="188">
        <f t="shared" si="52"/>
        <v>97105254</v>
      </c>
      <c r="AW14" s="188">
        <f t="shared" si="52"/>
        <v>86315780</v>
      </c>
      <c r="AX14" s="188">
        <f t="shared" si="52"/>
        <v>75526306</v>
      </c>
      <c r="AY14" s="188">
        <f t="shared" si="52"/>
        <v>64736832</v>
      </c>
      <c r="AZ14" s="188">
        <f t="shared" si="52"/>
        <v>53947358</v>
      </c>
      <c r="BA14" s="188">
        <f t="shared" si="52"/>
        <v>43157884</v>
      </c>
      <c r="BB14" s="188">
        <f t="shared" si="52"/>
        <v>32368410</v>
      </c>
      <c r="BC14" s="188">
        <f t="shared" si="52"/>
        <v>21578936</v>
      </c>
      <c r="BD14" s="188">
        <f t="shared" si="52"/>
        <v>10789462</v>
      </c>
      <c r="BE14" s="188">
        <v>0</v>
      </c>
      <c r="BF14" s="188">
        <f t="shared" si="52"/>
        <v>0</v>
      </c>
    </row>
    <row r="15" spans="2:63">
      <c r="B15" s="1" t="s">
        <v>731</v>
      </c>
      <c r="C15" s="182"/>
      <c r="D15" s="182">
        <f>(【成行】財政シミュ!AA86)</f>
        <v>150000000</v>
      </c>
      <c r="E15" s="182">
        <v>160000000</v>
      </c>
      <c r="F15" s="182">
        <f t="shared" si="47"/>
        <v>310000000</v>
      </c>
      <c r="G15" s="170">
        <v>38</v>
      </c>
      <c r="H15" s="182">
        <f t="shared" si="49"/>
        <v>8157895</v>
      </c>
      <c r="I15" s="188"/>
      <c r="J15" s="188">
        <f t="shared" ref="J15:BE15" si="53">IF(J$9=$B15,$F15,IF(I15&gt;0,I15-$H15,0))</f>
        <v>0</v>
      </c>
      <c r="K15" s="188">
        <f t="shared" si="53"/>
        <v>0</v>
      </c>
      <c r="L15" s="188">
        <f t="shared" si="53"/>
        <v>0</v>
      </c>
      <c r="M15" s="188">
        <f t="shared" si="53"/>
        <v>0</v>
      </c>
      <c r="N15" s="188">
        <f t="shared" si="53"/>
        <v>0</v>
      </c>
      <c r="O15" s="188">
        <f t="shared" si="53"/>
        <v>0</v>
      </c>
      <c r="P15" s="188">
        <f t="shared" si="53"/>
        <v>0</v>
      </c>
      <c r="Q15" s="188">
        <f t="shared" si="53"/>
        <v>0</v>
      </c>
      <c r="R15" s="188">
        <f t="shared" si="53"/>
        <v>0</v>
      </c>
      <c r="S15" s="188">
        <f t="shared" si="53"/>
        <v>0</v>
      </c>
      <c r="T15" s="188">
        <f t="shared" si="53"/>
        <v>310000000</v>
      </c>
      <c r="U15" s="188">
        <f t="shared" si="53"/>
        <v>301842105</v>
      </c>
      <c r="V15" s="188">
        <f t="shared" si="53"/>
        <v>293684210</v>
      </c>
      <c r="W15" s="188">
        <f t="shared" si="53"/>
        <v>285526315</v>
      </c>
      <c r="X15" s="188">
        <f t="shared" si="53"/>
        <v>277368420</v>
      </c>
      <c r="Y15" s="188">
        <f t="shared" si="53"/>
        <v>269210525</v>
      </c>
      <c r="Z15" s="188">
        <f t="shared" si="53"/>
        <v>261052630</v>
      </c>
      <c r="AA15" s="188">
        <f t="shared" si="53"/>
        <v>252894735</v>
      </c>
      <c r="AB15" s="188">
        <f t="shared" si="53"/>
        <v>244736840</v>
      </c>
      <c r="AC15" s="188">
        <f t="shared" si="53"/>
        <v>236578945</v>
      </c>
      <c r="AD15" s="188">
        <f t="shared" si="53"/>
        <v>228421050</v>
      </c>
      <c r="AE15" s="188">
        <f t="shared" si="53"/>
        <v>220263155</v>
      </c>
      <c r="AF15" s="188">
        <f t="shared" si="53"/>
        <v>212105260</v>
      </c>
      <c r="AG15" s="188">
        <f t="shared" si="53"/>
        <v>203947365</v>
      </c>
      <c r="AH15" s="188">
        <f t="shared" si="53"/>
        <v>195789470</v>
      </c>
      <c r="AI15" s="188">
        <f t="shared" si="53"/>
        <v>187631575</v>
      </c>
      <c r="AJ15" s="188">
        <f t="shared" si="53"/>
        <v>179473680</v>
      </c>
      <c r="AK15" s="188">
        <f t="shared" si="53"/>
        <v>171315785</v>
      </c>
      <c r="AL15" s="188">
        <f t="shared" si="53"/>
        <v>163157890</v>
      </c>
      <c r="AM15" s="188">
        <f t="shared" si="53"/>
        <v>154999995</v>
      </c>
      <c r="AN15" s="188">
        <f t="shared" si="53"/>
        <v>146842100</v>
      </c>
      <c r="AO15" s="188">
        <f t="shared" si="53"/>
        <v>138684205</v>
      </c>
      <c r="AP15" s="188">
        <f t="shared" si="53"/>
        <v>130526310</v>
      </c>
      <c r="AQ15" s="188">
        <f t="shared" si="53"/>
        <v>122368415</v>
      </c>
      <c r="AR15" s="188">
        <f t="shared" si="53"/>
        <v>114210520</v>
      </c>
      <c r="AS15" s="188">
        <f t="shared" si="53"/>
        <v>106052625</v>
      </c>
      <c r="AT15" s="188">
        <f t="shared" si="53"/>
        <v>97894730</v>
      </c>
      <c r="AU15" s="188">
        <f t="shared" si="53"/>
        <v>89736835</v>
      </c>
      <c r="AV15" s="188">
        <f t="shared" si="53"/>
        <v>81578940</v>
      </c>
      <c r="AW15" s="188">
        <f t="shared" si="53"/>
        <v>73421045</v>
      </c>
      <c r="AX15" s="188">
        <f t="shared" si="53"/>
        <v>65263150</v>
      </c>
      <c r="AY15" s="188">
        <f t="shared" si="53"/>
        <v>57105255</v>
      </c>
      <c r="AZ15" s="188">
        <f t="shared" si="53"/>
        <v>48947360</v>
      </c>
      <c r="BA15" s="188">
        <f t="shared" si="53"/>
        <v>40789465</v>
      </c>
      <c r="BB15" s="188">
        <f t="shared" si="53"/>
        <v>32631570</v>
      </c>
      <c r="BC15" s="188">
        <f t="shared" si="53"/>
        <v>24473675</v>
      </c>
      <c r="BD15" s="188">
        <f t="shared" si="53"/>
        <v>16315780</v>
      </c>
      <c r="BE15" s="188">
        <f t="shared" si="53"/>
        <v>8157885</v>
      </c>
      <c r="BF15" s="188">
        <v>0</v>
      </c>
    </row>
    <row r="16" spans="2:63">
      <c r="B16" s="1" t="s">
        <v>30</v>
      </c>
      <c r="C16" s="182"/>
      <c r="D16" s="182">
        <f>(【成行】財政シミュ!AB86)</f>
        <v>210000000</v>
      </c>
      <c r="E16" s="182">
        <v>161000000</v>
      </c>
      <c r="F16" s="182">
        <f t="shared" si="47"/>
        <v>371000000</v>
      </c>
      <c r="G16" s="170">
        <v>38</v>
      </c>
      <c r="H16" s="182">
        <f t="shared" si="49"/>
        <v>9763158</v>
      </c>
      <c r="I16" s="188"/>
      <c r="J16" s="188">
        <f t="shared" ref="J16:BF16" si="54">IF(J$9=$B16,$F16,IF(I16&gt;0,I16-$H16,0))</f>
        <v>0</v>
      </c>
      <c r="K16" s="188">
        <f t="shared" si="54"/>
        <v>0</v>
      </c>
      <c r="L16" s="188">
        <f t="shared" si="54"/>
        <v>0</v>
      </c>
      <c r="M16" s="188">
        <f t="shared" si="54"/>
        <v>0</v>
      </c>
      <c r="N16" s="188">
        <f t="shared" si="54"/>
        <v>0</v>
      </c>
      <c r="O16" s="188">
        <f t="shared" si="54"/>
        <v>0</v>
      </c>
      <c r="P16" s="188">
        <f t="shared" si="54"/>
        <v>0</v>
      </c>
      <c r="Q16" s="188">
        <f t="shared" si="54"/>
        <v>0</v>
      </c>
      <c r="R16" s="188">
        <f t="shared" si="54"/>
        <v>0</v>
      </c>
      <c r="S16" s="188">
        <f t="shared" si="54"/>
        <v>0</v>
      </c>
      <c r="T16" s="188">
        <f t="shared" si="54"/>
        <v>0</v>
      </c>
      <c r="U16" s="188">
        <f t="shared" si="54"/>
        <v>371000000</v>
      </c>
      <c r="V16" s="188">
        <f t="shared" si="54"/>
        <v>361236842</v>
      </c>
      <c r="W16" s="188">
        <f t="shared" si="54"/>
        <v>351473684</v>
      </c>
      <c r="X16" s="188">
        <f t="shared" si="54"/>
        <v>341710526</v>
      </c>
      <c r="Y16" s="188">
        <f t="shared" si="54"/>
        <v>331947368</v>
      </c>
      <c r="Z16" s="188">
        <f t="shared" si="54"/>
        <v>322184210</v>
      </c>
      <c r="AA16" s="188">
        <f t="shared" si="54"/>
        <v>312421052</v>
      </c>
      <c r="AB16" s="188">
        <f t="shared" si="54"/>
        <v>302657894</v>
      </c>
      <c r="AC16" s="188">
        <f t="shared" si="54"/>
        <v>292894736</v>
      </c>
      <c r="AD16" s="188">
        <f t="shared" si="54"/>
        <v>283131578</v>
      </c>
      <c r="AE16" s="188">
        <f t="shared" si="54"/>
        <v>273368420</v>
      </c>
      <c r="AF16" s="188">
        <f t="shared" si="54"/>
        <v>263605262</v>
      </c>
      <c r="AG16" s="188">
        <f t="shared" si="54"/>
        <v>253842104</v>
      </c>
      <c r="AH16" s="188">
        <f t="shared" si="54"/>
        <v>244078946</v>
      </c>
      <c r="AI16" s="188">
        <f t="shared" si="54"/>
        <v>234315788</v>
      </c>
      <c r="AJ16" s="188">
        <f t="shared" si="54"/>
        <v>224552630</v>
      </c>
      <c r="AK16" s="188">
        <f t="shared" si="54"/>
        <v>214789472</v>
      </c>
      <c r="AL16" s="188">
        <f t="shared" si="54"/>
        <v>205026314</v>
      </c>
      <c r="AM16" s="188">
        <f t="shared" si="54"/>
        <v>195263156</v>
      </c>
      <c r="AN16" s="188">
        <f t="shared" si="54"/>
        <v>185499998</v>
      </c>
      <c r="AO16" s="188">
        <f t="shared" si="54"/>
        <v>175736840</v>
      </c>
      <c r="AP16" s="188">
        <f t="shared" si="54"/>
        <v>165973682</v>
      </c>
      <c r="AQ16" s="188">
        <f t="shared" si="54"/>
        <v>156210524</v>
      </c>
      <c r="AR16" s="188">
        <f t="shared" si="54"/>
        <v>146447366</v>
      </c>
      <c r="AS16" s="188">
        <f t="shared" si="54"/>
        <v>136684208</v>
      </c>
      <c r="AT16" s="188">
        <f t="shared" si="54"/>
        <v>126921050</v>
      </c>
      <c r="AU16" s="188">
        <f t="shared" si="54"/>
        <v>117157892</v>
      </c>
      <c r="AV16" s="188">
        <f t="shared" si="54"/>
        <v>107394734</v>
      </c>
      <c r="AW16" s="188">
        <f t="shared" si="54"/>
        <v>97631576</v>
      </c>
      <c r="AX16" s="188">
        <f t="shared" si="54"/>
        <v>87868418</v>
      </c>
      <c r="AY16" s="188">
        <f t="shared" si="54"/>
        <v>78105260</v>
      </c>
      <c r="AZ16" s="188">
        <f t="shared" si="54"/>
        <v>68342102</v>
      </c>
      <c r="BA16" s="188">
        <f t="shared" si="54"/>
        <v>58578944</v>
      </c>
      <c r="BB16" s="188">
        <f t="shared" si="54"/>
        <v>48815786</v>
      </c>
      <c r="BC16" s="188">
        <f t="shared" si="54"/>
        <v>39052628</v>
      </c>
      <c r="BD16" s="188">
        <f t="shared" si="54"/>
        <v>29289470</v>
      </c>
      <c r="BE16" s="188">
        <f t="shared" si="54"/>
        <v>19526312</v>
      </c>
      <c r="BF16" s="188">
        <f t="shared" si="54"/>
        <v>9763154</v>
      </c>
    </row>
    <row r="17" spans="2:59">
      <c r="B17" s="1" t="s">
        <v>31</v>
      </c>
      <c r="C17" s="182"/>
      <c r="D17" s="182">
        <f>(【成行】財政シミュ!AC86)</f>
        <v>130000000</v>
      </c>
      <c r="E17" s="182">
        <v>161000000</v>
      </c>
      <c r="F17" s="182">
        <f t="shared" si="47"/>
        <v>291000000</v>
      </c>
      <c r="G17" s="170">
        <v>38</v>
      </c>
      <c r="H17" s="182">
        <f t="shared" si="49"/>
        <v>7657895</v>
      </c>
      <c r="I17" s="188"/>
      <c r="J17" s="188">
        <f>IF(J$9=$B17,$F17,IF(I17&gt;0,I17-$H17,0))</f>
        <v>0</v>
      </c>
      <c r="K17" s="188">
        <f t="shared" ref="K17:BF17" si="55">IF(K$9=$B17,$F17,IF(J17&gt;0,J17-$H17,0))</f>
        <v>0</v>
      </c>
      <c r="L17" s="188">
        <f t="shared" si="55"/>
        <v>0</v>
      </c>
      <c r="M17" s="188">
        <f t="shared" si="55"/>
        <v>0</v>
      </c>
      <c r="N17" s="188">
        <f t="shared" si="55"/>
        <v>0</v>
      </c>
      <c r="O17" s="188">
        <f t="shared" si="55"/>
        <v>0</v>
      </c>
      <c r="P17" s="188">
        <f t="shared" si="55"/>
        <v>0</v>
      </c>
      <c r="Q17" s="188">
        <f t="shared" si="55"/>
        <v>0</v>
      </c>
      <c r="R17" s="188">
        <f t="shared" si="55"/>
        <v>0</v>
      </c>
      <c r="S17" s="188">
        <f t="shared" si="55"/>
        <v>0</v>
      </c>
      <c r="T17" s="188">
        <f t="shared" si="55"/>
        <v>0</v>
      </c>
      <c r="U17" s="188">
        <f t="shared" si="55"/>
        <v>0</v>
      </c>
      <c r="V17" s="188">
        <f t="shared" si="55"/>
        <v>291000000</v>
      </c>
      <c r="W17" s="188">
        <f t="shared" si="55"/>
        <v>283342105</v>
      </c>
      <c r="X17" s="188">
        <f t="shared" si="55"/>
        <v>275684210</v>
      </c>
      <c r="Y17" s="188">
        <f t="shared" si="55"/>
        <v>268026315</v>
      </c>
      <c r="Z17" s="188">
        <f t="shared" si="55"/>
        <v>260368420</v>
      </c>
      <c r="AA17" s="188">
        <f t="shared" si="55"/>
        <v>252710525</v>
      </c>
      <c r="AB17" s="188">
        <f t="shared" si="55"/>
        <v>245052630</v>
      </c>
      <c r="AC17" s="188">
        <f t="shared" si="55"/>
        <v>237394735</v>
      </c>
      <c r="AD17" s="188">
        <f t="shared" si="55"/>
        <v>229736840</v>
      </c>
      <c r="AE17" s="188">
        <f t="shared" si="55"/>
        <v>222078945</v>
      </c>
      <c r="AF17" s="188">
        <f t="shared" si="55"/>
        <v>214421050</v>
      </c>
      <c r="AG17" s="188">
        <f t="shared" si="55"/>
        <v>206763155</v>
      </c>
      <c r="AH17" s="188">
        <f t="shared" si="55"/>
        <v>199105260</v>
      </c>
      <c r="AI17" s="188">
        <f t="shared" si="55"/>
        <v>191447365</v>
      </c>
      <c r="AJ17" s="188">
        <f t="shared" si="55"/>
        <v>183789470</v>
      </c>
      <c r="AK17" s="188">
        <f t="shared" si="55"/>
        <v>176131575</v>
      </c>
      <c r="AL17" s="188">
        <f t="shared" si="55"/>
        <v>168473680</v>
      </c>
      <c r="AM17" s="188">
        <f t="shared" si="55"/>
        <v>160815785</v>
      </c>
      <c r="AN17" s="188">
        <f t="shared" si="55"/>
        <v>153157890</v>
      </c>
      <c r="AO17" s="188">
        <f t="shared" si="55"/>
        <v>145499995</v>
      </c>
      <c r="AP17" s="188">
        <f t="shared" si="55"/>
        <v>137842100</v>
      </c>
      <c r="AQ17" s="188">
        <f t="shared" si="55"/>
        <v>130184205</v>
      </c>
      <c r="AR17" s="188">
        <f t="shared" si="55"/>
        <v>122526310</v>
      </c>
      <c r="AS17" s="188">
        <f t="shared" si="55"/>
        <v>114868415</v>
      </c>
      <c r="AT17" s="188">
        <f t="shared" si="55"/>
        <v>107210520</v>
      </c>
      <c r="AU17" s="188">
        <f t="shared" si="55"/>
        <v>99552625</v>
      </c>
      <c r="AV17" s="188">
        <f t="shared" si="55"/>
        <v>91894730</v>
      </c>
      <c r="AW17" s="188">
        <f t="shared" si="55"/>
        <v>84236835</v>
      </c>
      <c r="AX17" s="188">
        <f t="shared" si="55"/>
        <v>76578940</v>
      </c>
      <c r="AY17" s="188">
        <f t="shared" si="55"/>
        <v>68921045</v>
      </c>
      <c r="AZ17" s="188">
        <f t="shared" si="55"/>
        <v>61263150</v>
      </c>
      <c r="BA17" s="188">
        <f t="shared" si="55"/>
        <v>53605255</v>
      </c>
      <c r="BB17" s="188">
        <f t="shared" si="55"/>
        <v>45947360</v>
      </c>
      <c r="BC17" s="188">
        <f t="shared" si="55"/>
        <v>38289465</v>
      </c>
      <c r="BD17" s="188">
        <f t="shared" si="55"/>
        <v>30631570</v>
      </c>
      <c r="BE17" s="188">
        <f t="shared" si="55"/>
        <v>22973675</v>
      </c>
      <c r="BF17" s="188">
        <f t="shared" si="55"/>
        <v>15315780</v>
      </c>
      <c r="BG17" s="63"/>
    </row>
    <row r="18" spans="2:59">
      <c r="B18" s="1" t="s">
        <v>32</v>
      </c>
      <c r="C18" s="182"/>
      <c r="D18" s="182">
        <f>(【成行】財政シミュ!AD86)</f>
        <v>160000000</v>
      </c>
      <c r="E18" s="182">
        <v>164000000</v>
      </c>
      <c r="F18" s="182">
        <f t="shared" si="47"/>
        <v>324000000</v>
      </c>
      <c r="G18" s="170">
        <v>38</v>
      </c>
      <c r="H18" s="182">
        <f t="shared" si="49"/>
        <v>8526316</v>
      </c>
      <c r="I18" s="188"/>
      <c r="J18" s="188">
        <f t="shared" ref="J18:O18" si="56">IF(J$9=$B18,$F18,IF(I18&gt;0,I18-$H18,0))</f>
        <v>0</v>
      </c>
      <c r="K18" s="188">
        <f t="shared" si="56"/>
        <v>0</v>
      </c>
      <c r="L18" s="188">
        <f t="shared" si="56"/>
        <v>0</v>
      </c>
      <c r="M18" s="188">
        <f t="shared" si="56"/>
        <v>0</v>
      </c>
      <c r="N18" s="188">
        <f t="shared" si="56"/>
        <v>0</v>
      </c>
      <c r="O18" s="188">
        <f t="shared" si="56"/>
        <v>0</v>
      </c>
      <c r="P18" s="188">
        <f t="shared" ref="P18:BF18" si="57">IF(P$9=$B18,$F18,IF(O18&gt;0,O18-$H18,0))</f>
        <v>0</v>
      </c>
      <c r="Q18" s="188">
        <f t="shared" si="57"/>
        <v>0</v>
      </c>
      <c r="R18" s="188">
        <f t="shared" si="57"/>
        <v>0</v>
      </c>
      <c r="S18" s="188">
        <f t="shared" si="57"/>
        <v>0</v>
      </c>
      <c r="T18" s="188">
        <f t="shared" si="57"/>
        <v>0</v>
      </c>
      <c r="U18" s="188">
        <f t="shared" si="57"/>
        <v>0</v>
      </c>
      <c r="V18" s="188">
        <f t="shared" si="57"/>
        <v>0</v>
      </c>
      <c r="W18" s="188">
        <f t="shared" si="57"/>
        <v>324000000</v>
      </c>
      <c r="X18" s="188">
        <f t="shared" si="57"/>
        <v>315473684</v>
      </c>
      <c r="Y18" s="188">
        <f t="shared" si="57"/>
        <v>306947368</v>
      </c>
      <c r="Z18" s="188">
        <f t="shared" si="57"/>
        <v>298421052</v>
      </c>
      <c r="AA18" s="188">
        <f t="shared" si="57"/>
        <v>289894736</v>
      </c>
      <c r="AB18" s="188">
        <f t="shared" si="57"/>
        <v>281368420</v>
      </c>
      <c r="AC18" s="188">
        <f t="shared" si="57"/>
        <v>272842104</v>
      </c>
      <c r="AD18" s="188">
        <f t="shared" si="57"/>
        <v>264315788</v>
      </c>
      <c r="AE18" s="188">
        <f t="shared" si="57"/>
        <v>255789472</v>
      </c>
      <c r="AF18" s="188">
        <f t="shared" si="57"/>
        <v>247263156</v>
      </c>
      <c r="AG18" s="188">
        <f t="shared" si="57"/>
        <v>238736840</v>
      </c>
      <c r="AH18" s="188">
        <f t="shared" si="57"/>
        <v>230210524</v>
      </c>
      <c r="AI18" s="188">
        <f t="shared" si="57"/>
        <v>221684208</v>
      </c>
      <c r="AJ18" s="188">
        <f t="shared" si="57"/>
        <v>213157892</v>
      </c>
      <c r="AK18" s="188">
        <f t="shared" si="57"/>
        <v>204631576</v>
      </c>
      <c r="AL18" s="188">
        <f t="shared" si="57"/>
        <v>196105260</v>
      </c>
      <c r="AM18" s="188">
        <f t="shared" si="57"/>
        <v>187578944</v>
      </c>
      <c r="AN18" s="188">
        <f t="shared" si="57"/>
        <v>179052628</v>
      </c>
      <c r="AO18" s="188">
        <f t="shared" si="57"/>
        <v>170526312</v>
      </c>
      <c r="AP18" s="188">
        <f t="shared" si="57"/>
        <v>161999996</v>
      </c>
      <c r="AQ18" s="188">
        <f t="shared" si="57"/>
        <v>153473680</v>
      </c>
      <c r="AR18" s="188">
        <f t="shared" si="57"/>
        <v>144947364</v>
      </c>
      <c r="AS18" s="188">
        <f t="shared" si="57"/>
        <v>136421048</v>
      </c>
      <c r="AT18" s="188">
        <f t="shared" si="57"/>
        <v>127894732</v>
      </c>
      <c r="AU18" s="188">
        <f t="shared" si="57"/>
        <v>119368416</v>
      </c>
      <c r="AV18" s="188">
        <f t="shared" si="57"/>
        <v>110842100</v>
      </c>
      <c r="AW18" s="188">
        <f t="shared" si="57"/>
        <v>102315784</v>
      </c>
      <c r="AX18" s="188">
        <f t="shared" si="57"/>
        <v>93789468</v>
      </c>
      <c r="AY18" s="188">
        <f t="shared" si="57"/>
        <v>85263152</v>
      </c>
      <c r="AZ18" s="188">
        <f t="shared" si="57"/>
        <v>76736836</v>
      </c>
      <c r="BA18" s="188">
        <f t="shared" si="57"/>
        <v>68210520</v>
      </c>
      <c r="BB18" s="188">
        <f t="shared" si="57"/>
        <v>59684204</v>
      </c>
      <c r="BC18" s="188">
        <f t="shared" si="57"/>
        <v>51157888</v>
      </c>
      <c r="BD18" s="188">
        <f t="shared" si="57"/>
        <v>42631572</v>
      </c>
      <c r="BE18" s="188">
        <f t="shared" si="57"/>
        <v>34105256</v>
      </c>
      <c r="BF18" s="188">
        <f t="shared" si="57"/>
        <v>25578940</v>
      </c>
    </row>
    <row r="19" spans="2:59">
      <c r="B19" s="1" t="s">
        <v>33</v>
      </c>
      <c r="C19" s="182"/>
      <c r="D19" s="182">
        <f>(【成行】財政シミュ!AE86)</f>
        <v>130000000</v>
      </c>
      <c r="E19" s="182">
        <v>70000000</v>
      </c>
      <c r="F19" s="182">
        <f t="shared" si="47"/>
        <v>200000000</v>
      </c>
      <c r="G19" s="170">
        <v>38</v>
      </c>
      <c r="H19" s="182">
        <f t="shared" si="49"/>
        <v>5263158</v>
      </c>
      <c r="I19" s="188"/>
      <c r="J19" s="188">
        <f t="shared" ref="J19:O19" si="58">IF(J$9=$B19,$F19,IF(I19&gt;0,I19-$H19,0))</f>
        <v>0</v>
      </c>
      <c r="K19" s="188">
        <f t="shared" si="58"/>
        <v>0</v>
      </c>
      <c r="L19" s="188">
        <f t="shared" si="58"/>
        <v>0</v>
      </c>
      <c r="M19" s="188">
        <f t="shared" si="58"/>
        <v>0</v>
      </c>
      <c r="N19" s="188">
        <f t="shared" si="58"/>
        <v>0</v>
      </c>
      <c r="O19" s="188">
        <f t="shared" si="58"/>
        <v>0</v>
      </c>
      <c r="P19" s="188">
        <f t="shared" ref="P19:BF19" si="59">IF(P$9=$B19,$F19,IF(O19&gt;0,O19-$H19,0))</f>
        <v>0</v>
      </c>
      <c r="Q19" s="188">
        <f t="shared" si="59"/>
        <v>0</v>
      </c>
      <c r="R19" s="188">
        <f t="shared" si="59"/>
        <v>0</v>
      </c>
      <c r="S19" s="188">
        <f t="shared" si="59"/>
        <v>0</v>
      </c>
      <c r="T19" s="188">
        <f t="shared" si="59"/>
        <v>0</v>
      </c>
      <c r="U19" s="188">
        <f t="shared" si="59"/>
        <v>0</v>
      </c>
      <c r="V19" s="188">
        <f t="shared" si="59"/>
        <v>0</v>
      </c>
      <c r="W19" s="188">
        <f t="shared" si="59"/>
        <v>0</v>
      </c>
      <c r="X19" s="188">
        <f t="shared" si="59"/>
        <v>200000000</v>
      </c>
      <c r="Y19" s="188">
        <f t="shared" si="59"/>
        <v>194736842</v>
      </c>
      <c r="Z19" s="188">
        <f t="shared" si="59"/>
        <v>189473684</v>
      </c>
      <c r="AA19" s="188">
        <f t="shared" si="59"/>
        <v>184210526</v>
      </c>
      <c r="AB19" s="188">
        <f t="shared" si="59"/>
        <v>178947368</v>
      </c>
      <c r="AC19" s="188">
        <f t="shared" si="59"/>
        <v>173684210</v>
      </c>
      <c r="AD19" s="188">
        <f t="shared" si="59"/>
        <v>168421052</v>
      </c>
      <c r="AE19" s="188">
        <f t="shared" si="59"/>
        <v>163157894</v>
      </c>
      <c r="AF19" s="188">
        <f t="shared" si="59"/>
        <v>157894736</v>
      </c>
      <c r="AG19" s="188">
        <f t="shared" si="59"/>
        <v>152631578</v>
      </c>
      <c r="AH19" s="188">
        <f t="shared" si="59"/>
        <v>147368420</v>
      </c>
      <c r="AI19" s="188">
        <f t="shared" si="59"/>
        <v>142105262</v>
      </c>
      <c r="AJ19" s="188">
        <f t="shared" si="59"/>
        <v>136842104</v>
      </c>
      <c r="AK19" s="188">
        <f t="shared" si="59"/>
        <v>131578946</v>
      </c>
      <c r="AL19" s="188">
        <f t="shared" si="59"/>
        <v>126315788</v>
      </c>
      <c r="AM19" s="188">
        <f t="shared" si="59"/>
        <v>121052630</v>
      </c>
      <c r="AN19" s="188">
        <f t="shared" si="59"/>
        <v>115789472</v>
      </c>
      <c r="AO19" s="188">
        <f t="shared" si="59"/>
        <v>110526314</v>
      </c>
      <c r="AP19" s="188">
        <f t="shared" si="59"/>
        <v>105263156</v>
      </c>
      <c r="AQ19" s="188">
        <f t="shared" si="59"/>
        <v>99999998</v>
      </c>
      <c r="AR19" s="188">
        <f t="shared" si="59"/>
        <v>94736840</v>
      </c>
      <c r="AS19" s="188">
        <f t="shared" si="59"/>
        <v>89473682</v>
      </c>
      <c r="AT19" s="188">
        <f t="shared" si="59"/>
        <v>84210524</v>
      </c>
      <c r="AU19" s="188">
        <f t="shared" si="59"/>
        <v>78947366</v>
      </c>
      <c r="AV19" s="188">
        <f t="shared" si="59"/>
        <v>73684208</v>
      </c>
      <c r="AW19" s="188">
        <f t="shared" si="59"/>
        <v>68421050</v>
      </c>
      <c r="AX19" s="188">
        <f t="shared" si="59"/>
        <v>63157892</v>
      </c>
      <c r="AY19" s="188">
        <f t="shared" si="59"/>
        <v>57894734</v>
      </c>
      <c r="AZ19" s="188">
        <f t="shared" si="59"/>
        <v>52631576</v>
      </c>
      <c r="BA19" s="188">
        <f t="shared" si="59"/>
        <v>47368418</v>
      </c>
      <c r="BB19" s="188">
        <f t="shared" si="59"/>
        <v>42105260</v>
      </c>
      <c r="BC19" s="188">
        <f t="shared" si="59"/>
        <v>36842102</v>
      </c>
      <c r="BD19" s="188">
        <f t="shared" si="59"/>
        <v>31578944</v>
      </c>
      <c r="BE19" s="188">
        <f t="shared" si="59"/>
        <v>26315786</v>
      </c>
      <c r="BF19" s="188">
        <f t="shared" si="59"/>
        <v>21052628</v>
      </c>
    </row>
    <row r="20" spans="2:59">
      <c r="B20" s="1" t="s">
        <v>34</v>
      </c>
      <c r="C20" s="182"/>
      <c r="D20" s="182">
        <f>(【成行】財政シミュ!AF86)</f>
        <v>130000000</v>
      </c>
      <c r="E20" s="182">
        <v>70000000</v>
      </c>
      <c r="F20" s="182">
        <f t="shared" si="47"/>
        <v>200000000</v>
      </c>
      <c r="G20" s="170">
        <v>38</v>
      </c>
      <c r="H20" s="182">
        <f t="shared" si="49"/>
        <v>5263158</v>
      </c>
      <c r="I20" s="188"/>
      <c r="J20" s="188">
        <f t="shared" ref="J20:O20" si="60">IF(J$9=$B20,$F20,IF(I20&gt;0,I20-$H20,0))</f>
        <v>0</v>
      </c>
      <c r="K20" s="188">
        <f t="shared" si="60"/>
        <v>0</v>
      </c>
      <c r="L20" s="188">
        <f t="shared" si="60"/>
        <v>0</v>
      </c>
      <c r="M20" s="188">
        <f t="shared" si="60"/>
        <v>0</v>
      </c>
      <c r="N20" s="188">
        <f t="shared" si="60"/>
        <v>0</v>
      </c>
      <c r="O20" s="188">
        <f t="shared" si="60"/>
        <v>0</v>
      </c>
      <c r="P20" s="188">
        <f t="shared" ref="P20:BF20" si="61">IF(P$9=$B20,$F20,IF(O20&gt;0,O20-$H20,0))</f>
        <v>0</v>
      </c>
      <c r="Q20" s="188">
        <f t="shared" si="61"/>
        <v>0</v>
      </c>
      <c r="R20" s="188">
        <f t="shared" si="61"/>
        <v>0</v>
      </c>
      <c r="S20" s="188">
        <f t="shared" si="61"/>
        <v>0</v>
      </c>
      <c r="T20" s="188">
        <f t="shared" si="61"/>
        <v>0</v>
      </c>
      <c r="U20" s="188">
        <f t="shared" si="61"/>
        <v>0</v>
      </c>
      <c r="V20" s="188">
        <f t="shared" si="61"/>
        <v>0</v>
      </c>
      <c r="W20" s="188">
        <f t="shared" si="61"/>
        <v>0</v>
      </c>
      <c r="X20" s="188">
        <f t="shared" si="61"/>
        <v>0</v>
      </c>
      <c r="Y20" s="188">
        <f t="shared" si="61"/>
        <v>200000000</v>
      </c>
      <c r="Z20" s="188">
        <f t="shared" si="61"/>
        <v>194736842</v>
      </c>
      <c r="AA20" s="188">
        <f t="shared" si="61"/>
        <v>189473684</v>
      </c>
      <c r="AB20" s="188">
        <f t="shared" si="61"/>
        <v>184210526</v>
      </c>
      <c r="AC20" s="188">
        <f t="shared" si="61"/>
        <v>178947368</v>
      </c>
      <c r="AD20" s="188">
        <f t="shared" si="61"/>
        <v>173684210</v>
      </c>
      <c r="AE20" s="188">
        <f t="shared" si="61"/>
        <v>168421052</v>
      </c>
      <c r="AF20" s="188">
        <f t="shared" si="61"/>
        <v>163157894</v>
      </c>
      <c r="AG20" s="188">
        <f t="shared" si="61"/>
        <v>157894736</v>
      </c>
      <c r="AH20" s="188">
        <f t="shared" si="61"/>
        <v>152631578</v>
      </c>
      <c r="AI20" s="188">
        <f t="shared" si="61"/>
        <v>147368420</v>
      </c>
      <c r="AJ20" s="188">
        <f t="shared" si="61"/>
        <v>142105262</v>
      </c>
      <c r="AK20" s="188">
        <f t="shared" si="61"/>
        <v>136842104</v>
      </c>
      <c r="AL20" s="188">
        <f t="shared" si="61"/>
        <v>131578946</v>
      </c>
      <c r="AM20" s="188">
        <f t="shared" si="61"/>
        <v>126315788</v>
      </c>
      <c r="AN20" s="188">
        <f t="shared" si="61"/>
        <v>121052630</v>
      </c>
      <c r="AO20" s="188">
        <f t="shared" si="61"/>
        <v>115789472</v>
      </c>
      <c r="AP20" s="188">
        <f t="shared" si="61"/>
        <v>110526314</v>
      </c>
      <c r="AQ20" s="188">
        <f t="shared" si="61"/>
        <v>105263156</v>
      </c>
      <c r="AR20" s="188">
        <f t="shared" si="61"/>
        <v>99999998</v>
      </c>
      <c r="AS20" s="188">
        <f t="shared" si="61"/>
        <v>94736840</v>
      </c>
      <c r="AT20" s="188">
        <f t="shared" si="61"/>
        <v>89473682</v>
      </c>
      <c r="AU20" s="188">
        <f t="shared" si="61"/>
        <v>84210524</v>
      </c>
      <c r="AV20" s="188">
        <f t="shared" si="61"/>
        <v>78947366</v>
      </c>
      <c r="AW20" s="188">
        <f t="shared" si="61"/>
        <v>73684208</v>
      </c>
      <c r="AX20" s="188">
        <f t="shared" si="61"/>
        <v>68421050</v>
      </c>
      <c r="AY20" s="188">
        <f t="shared" si="61"/>
        <v>63157892</v>
      </c>
      <c r="AZ20" s="188">
        <f t="shared" si="61"/>
        <v>57894734</v>
      </c>
      <c r="BA20" s="188">
        <f t="shared" si="61"/>
        <v>52631576</v>
      </c>
      <c r="BB20" s="188">
        <f t="shared" si="61"/>
        <v>47368418</v>
      </c>
      <c r="BC20" s="188">
        <f t="shared" si="61"/>
        <v>42105260</v>
      </c>
      <c r="BD20" s="188">
        <f t="shared" si="61"/>
        <v>36842102</v>
      </c>
      <c r="BE20" s="188">
        <f t="shared" si="61"/>
        <v>31578944</v>
      </c>
      <c r="BF20" s="188">
        <f t="shared" si="61"/>
        <v>26315786</v>
      </c>
    </row>
    <row r="21" spans="2:59">
      <c r="B21" s="1" t="s">
        <v>35</v>
      </c>
      <c r="C21" s="182"/>
      <c r="D21" s="182">
        <f>(【成行】財政シミュ!AG86)</f>
        <v>500000000</v>
      </c>
      <c r="E21" s="182">
        <v>70000000</v>
      </c>
      <c r="F21" s="182">
        <f t="shared" si="47"/>
        <v>570000000</v>
      </c>
      <c r="G21" s="170">
        <v>38</v>
      </c>
      <c r="H21" s="182">
        <f t="shared" si="49"/>
        <v>15000000</v>
      </c>
      <c r="I21" s="188"/>
      <c r="J21" s="188">
        <f t="shared" ref="J21:O21" si="62">IF(J$9=$B21,$F21,IF(I21&gt;0,I21-$H21,0))</f>
        <v>0</v>
      </c>
      <c r="K21" s="188">
        <f t="shared" si="62"/>
        <v>0</v>
      </c>
      <c r="L21" s="188">
        <f t="shared" si="62"/>
        <v>0</v>
      </c>
      <c r="M21" s="188">
        <f t="shared" si="62"/>
        <v>0</v>
      </c>
      <c r="N21" s="188">
        <f t="shared" si="62"/>
        <v>0</v>
      </c>
      <c r="O21" s="188">
        <f t="shared" si="62"/>
        <v>0</v>
      </c>
      <c r="P21" s="188">
        <f t="shared" ref="P21:BF21" si="63">IF(P$9=$B21,$F21,IF(O21&gt;0,O21-$H21,0))</f>
        <v>0</v>
      </c>
      <c r="Q21" s="188">
        <f t="shared" si="63"/>
        <v>0</v>
      </c>
      <c r="R21" s="188">
        <f t="shared" si="63"/>
        <v>0</v>
      </c>
      <c r="S21" s="188">
        <f t="shared" si="63"/>
        <v>0</v>
      </c>
      <c r="T21" s="188">
        <f t="shared" si="63"/>
        <v>0</v>
      </c>
      <c r="U21" s="188">
        <f t="shared" si="63"/>
        <v>0</v>
      </c>
      <c r="V21" s="188">
        <f t="shared" si="63"/>
        <v>0</v>
      </c>
      <c r="W21" s="188">
        <f t="shared" si="63"/>
        <v>0</v>
      </c>
      <c r="X21" s="188">
        <f t="shared" si="63"/>
        <v>0</v>
      </c>
      <c r="Y21" s="188">
        <f t="shared" si="63"/>
        <v>0</v>
      </c>
      <c r="Z21" s="188">
        <f t="shared" si="63"/>
        <v>570000000</v>
      </c>
      <c r="AA21" s="188">
        <f t="shared" si="63"/>
        <v>555000000</v>
      </c>
      <c r="AB21" s="188">
        <f t="shared" si="63"/>
        <v>540000000</v>
      </c>
      <c r="AC21" s="188">
        <f t="shared" si="63"/>
        <v>525000000</v>
      </c>
      <c r="AD21" s="188">
        <f t="shared" si="63"/>
        <v>510000000</v>
      </c>
      <c r="AE21" s="188">
        <f t="shared" si="63"/>
        <v>495000000</v>
      </c>
      <c r="AF21" s="188">
        <f t="shared" si="63"/>
        <v>480000000</v>
      </c>
      <c r="AG21" s="188">
        <f t="shared" si="63"/>
        <v>465000000</v>
      </c>
      <c r="AH21" s="188">
        <f t="shared" si="63"/>
        <v>450000000</v>
      </c>
      <c r="AI21" s="188">
        <f t="shared" si="63"/>
        <v>435000000</v>
      </c>
      <c r="AJ21" s="188">
        <f t="shared" si="63"/>
        <v>420000000</v>
      </c>
      <c r="AK21" s="188">
        <f t="shared" si="63"/>
        <v>405000000</v>
      </c>
      <c r="AL21" s="188">
        <f t="shared" si="63"/>
        <v>390000000</v>
      </c>
      <c r="AM21" s="188">
        <f t="shared" si="63"/>
        <v>375000000</v>
      </c>
      <c r="AN21" s="188">
        <f t="shared" si="63"/>
        <v>360000000</v>
      </c>
      <c r="AO21" s="188">
        <f t="shared" si="63"/>
        <v>345000000</v>
      </c>
      <c r="AP21" s="188">
        <f t="shared" si="63"/>
        <v>330000000</v>
      </c>
      <c r="AQ21" s="188">
        <f t="shared" si="63"/>
        <v>315000000</v>
      </c>
      <c r="AR21" s="188">
        <f t="shared" si="63"/>
        <v>300000000</v>
      </c>
      <c r="AS21" s="188">
        <f t="shared" si="63"/>
        <v>285000000</v>
      </c>
      <c r="AT21" s="188">
        <f t="shared" si="63"/>
        <v>270000000</v>
      </c>
      <c r="AU21" s="188">
        <f t="shared" si="63"/>
        <v>255000000</v>
      </c>
      <c r="AV21" s="188">
        <f t="shared" si="63"/>
        <v>240000000</v>
      </c>
      <c r="AW21" s="188">
        <f t="shared" si="63"/>
        <v>225000000</v>
      </c>
      <c r="AX21" s="188">
        <f t="shared" si="63"/>
        <v>210000000</v>
      </c>
      <c r="AY21" s="188">
        <f t="shared" si="63"/>
        <v>195000000</v>
      </c>
      <c r="AZ21" s="188">
        <f t="shared" si="63"/>
        <v>180000000</v>
      </c>
      <c r="BA21" s="188">
        <f t="shared" si="63"/>
        <v>165000000</v>
      </c>
      <c r="BB21" s="188">
        <f t="shared" si="63"/>
        <v>150000000</v>
      </c>
      <c r="BC21" s="188">
        <f t="shared" si="63"/>
        <v>135000000</v>
      </c>
      <c r="BD21" s="188">
        <f t="shared" si="63"/>
        <v>120000000</v>
      </c>
      <c r="BE21" s="188">
        <f t="shared" si="63"/>
        <v>105000000</v>
      </c>
      <c r="BF21" s="188">
        <f t="shared" si="63"/>
        <v>90000000</v>
      </c>
    </row>
    <row r="22" spans="2:59">
      <c r="B22" s="1" t="s">
        <v>36</v>
      </c>
      <c r="C22" s="182"/>
      <c r="D22" s="182">
        <f>(【成行】財政シミュ!AH86)</f>
        <v>500000000</v>
      </c>
      <c r="E22" s="182">
        <v>50000000</v>
      </c>
      <c r="F22" s="182">
        <f t="shared" si="47"/>
        <v>550000000</v>
      </c>
      <c r="G22" s="170">
        <v>38</v>
      </c>
      <c r="H22" s="182">
        <f t="shared" si="49"/>
        <v>14473684</v>
      </c>
      <c r="I22" s="188"/>
      <c r="J22" s="188">
        <f t="shared" ref="J22:O22" si="64">IF(J$9=$B22,$F22,IF(I22&gt;0,I22-$H22,0))</f>
        <v>0</v>
      </c>
      <c r="K22" s="188">
        <f t="shared" si="64"/>
        <v>0</v>
      </c>
      <c r="L22" s="188">
        <f t="shared" si="64"/>
        <v>0</v>
      </c>
      <c r="M22" s="188">
        <f t="shared" si="64"/>
        <v>0</v>
      </c>
      <c r="N22" s="188">
        <f t="shared" si="64"/>
        <v>0</v>
      </c>
      <c r="O22" s="188">
        <f t="shared" si="64"/>
        <v>0</v>
      </c>
      <c r="P22" s="188">
        <f t="shared" ref="P22:BF22" si="65">IF(P$9=$B22,$F22,IF(O22&gt;0,O22-$H22,0))</f>
        <v>0</v>
      </c>
      <c r="Q22" s="188">
        <f t="shared" si="65"/>
        <v>0</v>
      </c>
      <c r="R22" s="188">
        <f t="shared" si="65"/>
        <v>0</v>
      </c>
      <c r="S22" s="188">
        <f t="shared" si="65"/>
        <v>0</v>
      </c>
      <c r="T22" s="188">
        <f t="shared" si="65"/>
        <v>0</v>
      </c>
      <c r="U22" s="188">
        <f t="shared" si="65"/>
        <v>0</v>
      </c>
      <c r="V22" s="188">
        <f t="shared" si="65"/>
        <v>0</v>
      </c>
      <c r="W22" s="188">
        <f t="shared" si="65"/>
        <v>0</v>
      </c>
      <c r="X22" s="188">
        <f t="shared" si="65"/>
        <v>0</v>
      </c>
      <c r="Y22" s="188">
        <f t="shared" si="65"/>
        <v>0</v>
      </c>
      <c r="Z22" s="188">
        <f t="shared" si="65"/>
        <v>0</v>
      </c>
      <c r="AA22" s="188">
        <f t="shared" si="65"/>
        <v>550000000</v>
      </c>
      <c r="AB22" s="188">
        <f t="shared" si="65"/>
        <v>535526316</v>
      </c>
      <c r="AC22" s="188">
        <f t="shared" si="65"/>
        <v>521052632</v>
      </c>
      <c r="AD22" s="188">
        <f t="shared" si="65"/>
        <v>506578948</v>
      </c>
      <c r="AE22" s="188">
        <f t="shared" si="65"/>
        <v>492105264</v>
      </c>
      <c r="AF22" s="188">
        <f t="shared" si="65"/>
        <v>477631580</v>
      </c>
      <c r="AG22" s="188">
        <f t="shared" si="65"/>
        <v>463157896</v>
      </c>
      <c r="AH22" s="188">
        <f t="shared" si="65"/>
        <v>448684212</v>
      </c>
      <c r="AI22" s="188">
        <f t="shared" si="65"/>
        <v>434210528</v>
      </c>
      <c r="AJ22" s="188">
        <f t="shared" si="65"/>
        <v>419736844</v>
      </c>
      <c r="AK22" s="188">
        <f t="shared" si="65"/>
        <v>405263160</v>
      </c>
      <c r="AL22" s="188">
        <f t="shared" si="65"/>
        <v>390789476</v>
      </c>
      <c r="AM22" s="188">
        <f t="shared" si="65"/>
        <v>376315792</v>
      </c>
      <c r="AN22" s="188">
        <f t="shared" si="65"/>
        <v>361842108</v>
      </c>
      <c r="AO22" s="188">
        <f t="shared" si="65"/>
        <v>347368424</v>
      </c>
      <c r="AP22" s="188">
        <f t="shared" si="65"/>
        <v>332894740</v>
      </c>
      <c r="AQ22" s="188">
        <f t="shared" si="65"/>
        <v>318421056</v>
      </c>
      <c r="AR22" s="188">
        <f t="shared" si="65"/>
        <v>303947372</v>
      </c>
      <c r="AS22" s="188">
        <f t="shared" si="65"/>
        <v>289473688</v>
      </c>
      <c r="AT22" s="188">
        <f t="shared" si="65"/>
        <v>275000004</v>
      </c>
      <c r="AU22" s="188">
        <f t="shared" si="65"/>
        <v>260526320</v>
      </c>
      <c r="AV22" s="188">
        <f t="shared" si="65"/>
        <v>246052636</v>
      </c>
      <c r="AW22" s="188">
        <f t="shared" si="65"/>
        <v>231578952</v>
      </c>
      <c r="AX22" s="188">
        <f t="shared" si="65"/>
        <v>217105268</v>
      </c>
      <c r="AY22" s="188">
        <f t="shared" si="65"/>
        <v>202631584</v>
      </c>
      <c r="AZ22" s="188">
        <f t="shared" si="65"/>
        <v>188157900</v>
      </c>
      <c r="BA22" s="188">
        <f t="shared" si="65"/>
        <v>173684216</v>
      </c>
      <c r="BB22" s="188">
        <f t="shared" si="65"/>
        <v>159210532</v>
      </c>
      <c r="BC22" s="188">
        <f t="shared" si="65"/>
        <v>144736848</v>
      </c>
      <c r="BD22" s="188">
        <f t="shared" si="65"/>
        <v>130263164</v>
      </c>
      <c r="BE22" s="188">
        <f t="shared" si="65"/>
        <v>115789480</v>
      </c>
      <c r="BF22" s="188">
        <f t="shared" si="65"/>
        <v>101315796</v>
      </c>
    </row>
    <row r="23" spans="2:59">
      <c r="B23" s="1" t="s">
        <v>37</v>
      </c>
      <c r="C23" s="182"/>
      <c r="D23" s="182">
        <f>(【成行】財政シミュ!AI86)</f>
        <v>500000000</v>
      </c>
      <c r="E23" s="182">
        <v>50000000</v>
      </c>
      <c r="F23" s="182">
        <f t="shared" si="47"/>
        <v>550000000</v>
      </c>
      <c r="G23" s="170">
        <v>38</v>
      </c>
      <c r="H23" s="182">
        <f t="shared" si="49"/>
        <v>14473684</v>
      </c>
      <c r="I23" s="188"/>
      <c r="J23" s="188">
        <f t="shared" ref="J23:O23" si="66">IF(J$9=$B23,$F23,IF(I23&gt;0,I23-$H23,0))</f>
        <v>0</v>
      </c>
      <c r="K23" s="188">
        <f t="shared" si="66"/>
        <v>0</v>
      </c>
      <c r="L23" s="188">
        <f t="shared" si="66"/>
        <v>0</v>
      </c>
      <c r="M23" s="188">
        <f t="shared" si="66"/>
        <v>0</v>
      </c>
      <c r="N23" s="188">
        <f t="shared" si="66"/>
        <v>0</v>
      </c>
      <c r="O23" s="188">
        <f t="shared" si="66"/>
        <v>0</v>
      </c>
      <c r="P23" s="188">
        <f t="shared" ref="P23:BF23" si="67">IF(P$9=$B23,$F23,IF(O23&gt;0,O23-$H23,0))</f>
        <v>0</v>
      </c>
      <c r="Q23" s="188">
        <f t="shared" si="67"/>
        <v>0</v>
      </c>
      <c r="R23" s="188">
        <f t="shared" si="67"/>
        <v>0</v>
      </c>
      <c r="S23" s="188">
        <f t="shared" si="67"/>
        <v>0</v>
      </c>
      <c r="T23" s="188">
        <f t="shared" si="67"/>
        <v>0</v>
      </c>
      <c r="U23" s="188">
        <f t="shared" si="67"/>
        <v>0</v>
      </c>
      <c r="V23" s="188">
        <f t="shared" si="67"/>
        <v>0</v>
      </c>
      <c r="W23" s="188">
        <f t="shared" si="67"/>
        <v>0</v>
      </c>
      <c r="X23" s="188">
        <f t="shared" si="67"/>
        <v>0</v>
      </c>
      <c r="Y23" s="188">
        <f t="shared" si="67"/>
        <v>0</v>
      </c>
      <c r="Z23" s="188">
        <f t="shared" si="67"/>
        <v>0</v>
      </c>
      <c r="AA23" s="188">
        <f t="shared" si="67"/>
        <v>0</v>
      </c>
      <c r="AB23" s="188">
        <f t="shared" si="67"/>
        <v>550000000</v>
      </c>
      <c r="AC23" s="188">
        <f t="shared" si="67"/>
        <v>535526316</v>
      </c>
      <c r="AD23" s="188">
        <f t="shared" si="67"/>
        <v>521052632</v>
      </c>
      <c r="AE23" s="188">
        <f t="shared" si="67"/>
        <v>506578948</v>
      </c>
      <c r="AF23" s="188">
        <f t="shared" si="67"/>
        <v>492105264</v>
      </c>
      <c r="AG23" s="188">
        <f t="shared" si="67"/>
        <v>477631580</v>
      </c>
      <c r="AH23" s="188">
        <f t="shared" si="67"/>
        <v>463157896</v>
      </c>
      <c r="AI23" s="188">
        <f t="shared" si="67"/>
        <v>448684212</v>
      </c>
      <c r="AJ23" s="188">
        <f t="shared" si="67"/>
        <v>434210528</v>
      </c>
      <c r="AK23" s="188">
        <f t="shared" si="67"/>
        <v>419736844</v>
      </c>
      <c r="AL23" s="188">
        <f t="shared" si="67"/>
        <v>405263160</v>
      </c>
      <c r="AM23" s="188">
        <f t="shared" si="67"/>
        <v>390789476</v>
      </c>
      <c r="AN23" s="188">
        <f t="shared" si="67"/>
        <v>376315792</v>
      </c>
      <c r="AO23" s="188">
        <f t="shared" si="67"/>
        <v>361842108</v>
      </c>
      <c r="AP23" s="188">
        <f t="shared" si="67"/>
        <v>347368424</v>
      </c>
      <c r="AQ23" s="188">
        <f t="shared" si="67"/>
        <v>332894740</v>
      </c>
      <c r="AR23" s="188">
        <f t="shared" si="67"/>
        <v>318421056</v>
      </c>
      <c r="AS23" s="188">
        <f t="shared" si="67"/>
        <v>303947372</v>
      </c>
      <c r="AT23" s="188">
        <f t="shared" si="67"/>
        <v>289473688</v>
      </c>
      <c r="AU23" s="188">
        <f t="shared" si="67"/>
        <v>275000004</v>
      </c>
      <c r="AV23" s="188">
        <f t="shared" si="67"/>
        <v>260526320</v>
      </c>
      <c r="AW23" s="188">
        <f t="shared" si="67"/>
        <v>246052636</v>
      </c>
      <c r="AX23" s="188">
        <f t="shared" si="67"/>
        <v>231578952</v>
      </c>
      <c r="AY23" s="188">
        <f t="shared" si="67"/>
        <v>217105268</v>
      </c>
      <c r="AZ23" s="188">
        <f t="shared" si="67"/>
        <v>202631584</v>
      </c>
      <c r="BA23" s="188">
        <f t="shared" si="67"/>
        <v>188157900</v>
      </c>
      <c r="BB23" s="188">
        <f t="shared" si="67"/>
        <v>173684216</v>
      </c>
      <c r="BC23" s="188">
        <f t="shared" si="67"/>
        <v>159210532</v>
      </c>
      <c r="BD23" s="188">
        <f t="shared" si="67"/>
        <v>144736848</v>
      </c>
      <c r="BE23" s="188">
        <f t="shared" si="67"/>
        <v>130263164</v>
      </c>
      <c r="BF23" s="188">
        <f t="shared" si="67"/>
        <v>115789480</v>
      </c>
    </row>
    <row r="24" spans="2:59">
      <c r="B24" s="1" t="s">
        <v>38</v>
      </c>
      <c r="C24" s="182"/>
      <c r="D24" s="182">
        <f>(【成行】財政シミュ!AJ86)</f>
        <v>500000000</v>
      </c>
      <c r="E24" s="182">
        <v>51000000</v>
      </c>
      <c r="F24" s="182">
        <f t="shared" si="47"/>
        <v>551000000</v>
      </c>
      <c r="G24" s="170">
        <v>38</v>
      </c>
      <c r="H24" s="182">
        <f t="shared" si="49"/>
        <v>14500000</v>
      </c>
      <c r="I24" s="188"/>
      <c r="J24" s="188">
        <f t="shared" ref="J24:O24" si="68">IF(J$9=$B24,$F24,IF(I24&gt;0,I24-$H24,0))</f>
        <v>0</v>
      </c>
      <c r="K24" s="188">
        <f t="shared" si="68"/>
        <v>0</v>
      </c>
      <c r="L24" s="188">
        <f t="shared" si="68"/>
        <v>0</v>
      </c>
      <c r="M24" s="188">
        <f t="shared" si="68"/>
        <v>0</v>
      </c>
      <c r="N24" s="188">
        <f t="shared" si="68"/>
        <v>0</v>
      </c>
      <c r="O24" s="188">
        <f t="shared" si="68"/>
        <v>0</v>
      </c>
      <c r="P24" s="188">
        <f t="shared" ref="P24:BF24" si="69">IF(P$9=$B24,$F24,IF(O24&gt;0,O24-$H24,0))</f>
        <v>0</v>
      </c>
      <c r="Q24" s="188">
        <f t="shared" si="69"/>
        <v>0</v>
      </c>
      <c r="R24" s="188">
        <f t="shared" si="69"/>
        <v>0</v>
      </c>
      <c r="S24" s="188">
        <f t="shared" si="69"/>
        <v>0</v>
      </c>
      <c r="T24" s="188">
        <f t="shared" si="69"/>
        <v>0</v>
      </c>
      <c r="U24" s="188">
        <f t="shared" si="69"/>
        <v>0</v>
      </c>
      <c r="V24" s="188">
        <f t="shared" si="69"/>
        <v>0</v>
      </c>
      <c r="W24" s="188">
        <f t="shared" si="69"/>
        <v>0</v>
      </c>
      <c r="X24" s="188">
        <f t="shared" si="69"/>
        <v>0</v>
      </c>
      <c r="Y24" s="188">
        <f t="shared" si="69"/>
        <v>0</v>
      </c>
      <c r="Z24" s="188">
        <f t="shared" si="69"/>
        <v>0</v>
      </c>
      <c r="AA24" s="188">
        <f t="shared" si="69"/>
        <v>0</v>
      </c>
      <c r="AB24" s="188">
        <f t="shared" si="69"/>
        <v>0</v>
      </c>
      <c r="AC24" s="188">
        <f t="shared" si="69"/>
        <v>551000000</v>
      </c>
      <c r="AD24" s="188">
        <f t="shared" si="69"/>
        <v>536500000</v>
      </c>
      <c r="AE24" s="188">
        <f t="shared" si="69"/>
        <v>522000000</v>
      </c>
      <c r="AF24" s="188">
        <f t="shared" si="69"/>
        <v>507500000</v>
      </c>
      <c r="AG24" s="188">
        <f t="shared" si="69"/>
        <v>493000000</v>
      </c>
      <c r="AH24" s="188">
        <f t="shared" si="69"/>
        <v>478500000</v>
      </c>
      <c r="AI24" s="188">
        <f t="shared" si="69"/>
        <v>464000000</v>
      </c>
      <c r="AJ24" s="188">
        <f t="shared" si="69"/>
        <v>449500000</v>
      </c>
      <c r="AK24" s="188">
        <f t="shared" si="69"/>
        <v>435000000</v>
      </c>
      <c r="AL24" s="188">
        <f t="shared" si="69"/>
        <v>420500000</v>
      </c>
      <c r="AM24" s="188">
        <f t="shared" si="69"/>
        <v>406000000</v>
      </c>
      <c r="AN24" s="188">
        <f t="shared" si="69"/>
        <v>391500000</v>
      </c>
      <c r="AO24" s="188">
        <f t="shared" si="69"/>
        <v>377000000</v>
      </c>
      <c r="AP24" s="188">
        <f t="shared" si="69"/>
        <v>362500000</v>
      </c>
      <c r="AQ24" s="188">
        <f t="shared" si="69"/>
        <v>348000000</v>
      </c>
      <c r="AR24" s="188">
        <f t="shared" si="69"/>
        <v>333500000</v>
      </c>
      <c r="AS24" s="188">
        <f t="shared" si="69"/>
        <v>319000000</v>
      </c>
      <c r="AT24" s="188">
        <f t="shared" si="69"/>
        <v>304500000</v>
      </c>
      <c r="AU24" s="188">
        <f t="shared" si="69"/>
        <v>290000000</v>
      </c>
      <c r="AV24" s="188">
        <f t="shared" si="69"/>
        <v>275500000</v>
      </c>
      <c r="AW24" s="188">
        <f t="shared" si="69"/>
        <v>261000000</v>
      </c>
      <c r="AX24" s="188">
        <f t="shared" si="69"/>
        <v>246500000</v>
      </c>
      <c r="AY24" s="188">
        <f t="shared" si="69"/>
        <v>232000000</v>
      </c>
      <c r="AZ24" s="188">
        <f t="shared" si="69"/>
        <v>217500000</v>
      </c>
      <c r="BA24" s="188">
        <f t="shared" si="69"/>
        <v>203000000</v>
      </c>
      <c r="BB24" s="188">
        <f t="shared" si="69"/>
        <v>188500000</v>
      </c>
      <c r="BC24" s="188">
        <f t="shared" si="69"/>
        <v>174000000</v>
      </c>
      <c r="BD24" s="188">
        <f t="shared" si="69"/>
        <v>159500000</v>
      </c>
      <c r="BE24" s="188">
        <f t="shared" si="69"/>
        <v>145000000</v>
      </c>
      <c r="BF24" s="188">
        <f t="shared" si="69"/>
        <v>130500000</v>
      </c>
    </row>
    <row r="25" spans="2:59">
      <c r="B25" s="1" t="s">
        <v>39</v>
      </c>
      <c r="C25" s="182"/>
      <c r="D25" s="182">
        <f>(【成行】財政シミュ!AK86)</f>
        <v>530000000</v>
      </c>
      <c r="E25" s="182">
        <v>51000000</v>
      </c>
      <c r="F25" s="182">
        <f t="shared" si="47"/>
        <v>581000000</v>
      </c>
      <c r="G25" s="170">
        <v>38</v>
      </c>
      <c r="H25" s="182">
        <f t="shared" si="49"/>
        <v>15289474</v>
      </c>
      <c r="I25" s="188"/>
      <c r="J25" s="188">
        <f t="shared" ref="J25:O25" si="70">IF(J$9=$B25,$F25,IF(I25&gt;0,I25-$H25,0))</f>
        <v>0</v>
      </c>
      <c r="K25" s="188">
        <f t="shared" si="70"/>
        <v>0</v>
      </c>
      <c r="L25" s="188">
        <f t="shared" si="70"/>
        <v>0</v>
      </c>
      <c r="M25" s="188">
        <f t="shared" si="70"/>
        <v>0</v>
      </c>
      <c r="N25" s="188">
        <f t="shared" si="70"/>
        <v>0</v>
      </c>
      <c r="O25" s="188">
        <f t="shared" si="70"/>
        <v>0</v>
      </c>
      <c r="P25" s="188">
        <f t="shared" ref="P25:BF25" si="71">IF(P$9=$B25,$F25,IF(O25&gt;0,O25-$H25,0))</f>
        <v>0</v>
      </c>
      <c r="Q25" s="188">
        <f t="shared" si="71"/>
        <v>0</v>
      </c>
      <c r="R25" s="188">
        <f t="shared" si="71"/>
        <v>0</v>
      </c>
      <c r="S25" s="188">
        <f t="shared" si="71"/>
        <v>0</v>
      </c>
      <c r="T25" s="188">
        <f t="shared" si="71"/>
        <v>0</v>
      </c>
      <c r="U25" s="188">
        <f t="shared" si="71"/>
        <v>0</v>
      </c>
      <c r="V25" s="188">
        <f t="shared" si="71"/>
        <v>0</v>
      </c>
      <c r="W25" s="188">
        <f t="shared" si="71"/>
        <v>0</v>
      </c>
      <c r="X25" s="188">
        <f t="shared" si="71"/>
        <v>0</v>
      </c>
      <c r="Y25" s="188">
        <f t="shared" si="71"/>
        <v>0</v>
      </c>
      <c r="Z25" s="188">
        <f t="shared" si="71"/>
        <v>0</v>
      </c>
      <c r="AA25" s="188">
        <f t="shared" si="71"/>
        <v>0</v>
      </c>
      <c r="AB25" s="188">
        <f t="shared" si="71"/>
        <v>0</v>
      </c>
      <c r="AC25" s="188">
        <f t="shared" si="71"/>
        <v>0</v>
      </c>
      <c r="AD25" s="188">
        <f t="shared" si="71"/>
        <v>581000000</v>
      </c>
      <c r="AE25" s="188">
        <f t="shared" si="71"/>
        <v>565710526</v>
      </c>
      <c r="AF25" s="188">
        <f t="shared" si="71"/>
        <v>550421052</v>
      </c>
      <c r="AG25" s="188">
        <f t="shared" si="71"/>
        <v>535131578</v>
      </c>
      <c r="AH25" s="188">
        <f t="shared" si="71"/>
        <v>519842104</v>
      </c>
      <c r="AI25" s="188">
        <f t="shared" si="71"/>
        <v>504552630</v>
      </c>
      <c r="AJ25" s="188">
        <f t="shared" si="71"/>
        <v>489263156</v>
      </c>
      <c r="AK25" s="188">
        <f t="shared" si="71"/>
        <v>473973682</v>
      </c>
      <c r="AL25" s="188">
        <f t="shared" si="71"/>
        <v>458684208</v>
      </c>
      <c r="AM25" s="188">
        <f t="shared" si="71"/>
        <v>443394734</v>
      </c>
      <c r="AN25" s="188">
        <f t="shared" si="71"/>
        <v>428105260</v>
      </c>
      <c r="AO25" s="188">
        <f t="shared" si="71"/>
        <v>412815786</v>
      </c>
      <c r="AP25" s="188">
        <f t="shared" si="71"/>
        <v>397526312</v>
      </c>
      <c r="AQ25" s="188">
        <f t="shared" si="71"/>
        <v>382236838</v>
      </c>
      <c r="AR25" s="188">
        <f t="shared" si="71"/>
        <v>366947364</v>
      </c>
      <c r="AS25" s="188">
        <f t="shared" si="71"/>
        <v>351657890</v>
      </c>
      <c r="AT25" s="188">
        <f t="shared" si="71"/>
        <v>336368416</v>
      </c>
      <c r="AU25" s="188">
        <f t="shared" si="71"/>
        <v>321078942</v>
      </c>
      <c r="AV25" s="188">
        <f t="shared" si="71"/>
        <v>305789468</v>
      </c>
      <c r="AW25" s="188">
        <f t="shared" si="71"/>
        <v>290499994</v>
      </c>
      <c r="AX25" s="188">
        <f t="shared" si="71"/>
        <v>275210520</v>
      </c>
      <c r="AY25" s="188">
        <f t="shared" si="71"/>
        <v>259921046</v>
      </c>
      <c r="AZ25" s="188">
        <f t="shared" si="71"/>
        <v>244631572</v>
      </c>
      <c r="BA25" s="188">
        <f t="shared" si="71"/>
        <v>229342098</v>
      </c>
      <c r="BB25" s="188">
        <f t="shared" si="71"/>
        <v>214052624</v>
      </c>
      <c r="BC25" s="188">
        <f t="shared" si="71"/>
        <v>198763150</v>
      </c>
      <c r="BD25" s="188">
        <f t="shared" si="71"/>
        <v>183473676</v>
      </c>
      <c r="BE25" s="188">
        <f t="shared" si="71"/>
        <v>168184202</v>
      </c>
      <c r="BF25" s="188">
        <f t="shared" si="71"/>
        <v>152894728</v>
      </c>
    </row>
    <row r="26" spans="2:59">
      <c r="B26" s="1" t="s">
        <v>40</v>
      </c>
      <c r="C26" s="182"/>
      <c r="D26" s="182">
        <f>(【成行】財政シミュ!AL86)</f>
        <v>550000000</v>
      </c>
      <c r="E26" s="182">
        <v>54000000</v>
      </c>
      <c r="F26" s="182">
        <f t="shared" si="47"/>
        <v>604000000</v>
      </c>
      <c r="G26" s="170">
        <v>38</v>
      </c>
      <c r="H26" s="182">
        <f t="shared" si="49"/>
        <v>15894737</v>
      </c>
      <c r="I26" s="188"/>
      <c r="J26" s="188">
        <f t="shared" ref="J26:O26" si="72">IF(J$9=$B26,$F26,IF(I26&gt;0,I26-$H26,0))</f>
        <v>0</v>
      </c>
      <c r="K26" s="188">
        <f t="shared" si="72"/>
        <v>0</v>
      </c>
      <c r="L26" s="188">
        <f t="shared" si="72"/>
        <v>0</v>
      </c>
      <c r="M26" s="188">
        <f t="shared" si="72"/>
        <v>0</v>
      </c>
      <c r="N26" s="188">
        <f t="shared" si="72"/>
        <v>0</v>
      </c>
      <c r="O26" s="188">
        <f t="shared" si="72"/>
        <v>0</v>
      </c>
      <c r="P26" s="188">
        <f t="shared" ref="P26:BF26" si="73">IF(P$9=$B26,$F26,IF(O26&gt;0,O26-$H26,0))</f>
        <v>0</v>
      </c>
      <c r="Q26" s="188">
        <f t="shared" si="73"/>
        <v>0</v>
      </c>
      <c r="R26" s="188">
        <f t="shared" si="73"/>
        <v>0</v>
      </c>
      <c r="S26" s="188">
        <f t="shared" si="73"/>
        <v>0</v>
      </c>
      <c r="T26" s="188">
        <f t="shared" si="73"/>
        <v>0</v>
      </c>
      <c r="U26" s="188">
        <f t="shared" si="73"/>
        <v>0</v>
      </c>
      <c r="V26" s="188">
        <f t="shared" si="73"/>
        <v>0</v>
      </c>
      <c r="W26" s="188">
        <f t="shared" si="73"/>
        <v>0</v>
      </c>
      <c r="X26" s="188">
        <f t="shared" si="73"/>
        <v>0</v>
      </c>
      <c r="Y26" s="188">
        <f t="shared" si="73"/>
        <v>0</v>
      </c>
      <c r="Z26" s="188">
        <f t="shared" si="73"/>
        <v>0</v>
      </c>
      <c r="AA26" s="188">
        <f t="shared" si="73"/>
        <v>0</v>
      </c>
      <c r="AB26" s="188">
        <f t="shared" si="73"/>
        <v>0</v>
      </c>
      <c r="AC26" s="188">
        <f t="shared" si="73"/>
        <v>0</v>
      </c>
      <c r="AD26" s="188">
        <f t="shared" si="73"/>
        <v>0</v>
      </c>
      <c r="AE26" s="188">
        <f t="shared" si="73"/>
        <v>604000000</v>
      </c>
      <c r="AF26" s="188">
        <f t="shared" si="73"/>
        <v>588105263</v>
      </c>
      <c r="AG26" s="188">
        <f t="shared" si="73"/>
        <v>572210526</v>
      </c>
      <c r="AH26" s="188">
        <f t="shared" si="73"/>
        <v>556315789</v>
      </c>
      <c r="AI26" s="188">
        <f t="shared" si="73"/>
        <v>540421052</v>
      </c>
      <c r="AJ26" s="188">
        <f t="shared" si="73"/>
        <v>524526315</v>
      </c>
      <c r="AK26" s="188">
        <f t="shared" si="73"/>
        <v>508631578</v>
      </c>
      <c r="AL26" s="188">
        <f t="shared" si="73"/>
        <v>492736841</v>
      </c>
      <c r="AM26" s="188">
        <f t="shared" si="73"/>
        <v>476842104</v>
      </c>
      <c r="AN26" s="188">
        <f t="shared" si="73"/>
        <v>460947367</v>
      </c>
      <c r="AO26" s="188">
        <f t="shared" si="73"/>
        <v>445052630</v>
      </c>
      <c r="AP26" s="188">
        <f t="shared" si="73"/>
        <v>429157893</v>
      </c>
      <c r="AQ26" s="188">
        <f t="shared" si="73"/>
        <v>413263156</v>
      </c>
      <c r="AR26" s="188">
        <f t="shared" si="73"/>
        <v>397368419</v>
      </c>
      <c r="AS26" s="188">
        <f t="shared" si="73"/>
        <v>381473682</v>
      </c>
      <c r="AT26" s="188">
        <f t="shared" si="73"/>
        <v>365578945</v>
      </c>
      <c r="AU26" s="188">
        <f t="shared" si="73"/>
        <v>349684208</v>
      </c>
      <c r="AV26" s="188">
        <f t="shared" si="73"/>
        <v>333789471</v>
      </c>
      <c r="AW26" s="188">
        <f t="shared" si="73"/>
        <v>317894734</v>
      </c>
      <c r="AX26" s="188">
        <f t="shared" si="73"/>
        <v>301999997</v>
      </c>
      <c r="AY26" s="188">
        <f t="shared" si="73"/>
        <v>286105260</v>
      </c>
      <c r="AZ26" s="188">
        <f t="shared" si="73"/>
        <v>270210523</v>
      </c>
      <c r="BA26" s="188">
        <f t="shared" si="73"/>
        <v>254315786</v>
      </c>
      <c r="BB26" s="188">
        <f t="shared" si="73"/>
        <v>238421049</v>
      </c>
      <c r="BC26" s="188">
        <f t="shared" si="73"/>
        <v>222526312</v>
      </c>
      <c r="BD26" s="188">
        <f t="shared" si="73"/>
        <v>206631575</v>
      </c>
      <c r="BE26" s="188">
        <f t="shared" si="73"/>
        <v>190736838</v>
      </c>
      <c r="BF26" s="188">
        <f t="shared" si="73"/>
        <v>174842101</v>
      </c>
    </row>
    <row r="27" spans="2:59">
      <c r="B27" s="1" t="s">
        <v>41</v>
      </c>
      <c r="C27" s="182"/>
      <c r="D27" s="182">
        <f>(【成行】財政シミュ!AM86)</f>
        <v>550000000</v>
      </c>
      <c r="E27" s="182">
        <v>70000000</v>
      </c>
      <c r="F27" s="182">
        <f t="shared" si="47"/>
        <v>620000000</v>
      </c>
      <c r="G27" s="170">
        <v>38</v>
      </c>
      <c r="H27" s="182">
        <f t="shared" si="49"/>
        <v>16315789</v>
      </c>
      <c r="I27" s="188"/>
      <c r="J27" s="188">
        <f t="shared" ref="J27:O27" si="74">IF(J$9=$B27,$F27,IF(I27&gt;0,I27-$H27,0))</f>
        <v>0</v>
      </c>
      <c r="K27" s="188">
        <f t="shared" si="74"/>
        <v>0</v>
      </c>
      <c r="L27" s="188">
        <f t="shared" si="74"/>
        <v>0</v>
      </c>
      <c r="M27" s="188">
        <f t="shared" si="74"/>
        <v>0</v>
      </c>
      <c r="N27" s="188">
        <f t="shared" si="74"/>
        <v>0</v>
      </c>
      <c r="O27" s="188">
        <f t="shared" si="74"/>
        <v>0</v>
      </c>
      <c r="P27" s="188">
        <f t="shared" ref="P27:BF27" si="75">IF(P$9=$B27,$F27,IF(O27&gt;0,O27-$H27,0))</f>
        <v>0</v>
      </c>
      <c r="Q27" s="188">
        <f t="shared" si="75"/>
        <v>0</v>
      </c>
      <c r="R27" s="188">
        <f t="shared" si="75"/>
        <v>0</v>
      </c>
      <c r="S27" s="188">
        <f t="shared" si="75"/>
        <v>0</v>
      </c>
      <c r="T27" s="188">
        <f t="shared" si="75"/>
        <v>0</v>
      </c>
      <c r="U27" s="188">
        <f t="shared" si="75"/>
        <v>0</v>
      </c>
      <c r="V27" s="188">
        <f t="shared" si="75"/>
        <v>0</v>
      </c>
      <c r="W27" s="188">
        <f t="shared" si="75"/>
        <v>0</v>
      </c>
      <c r="X27" s="188">
        <f t="shared" si="75"/>
        <v>0</v>
      </c>
      <c r="Y27" s="188">
        <f t="shared" si="75"/>
        <v>0</v>
      </c>
      <c r="Z27" s="188">
        <f t="shared" si="75"/>
        <v>0</v>
      </c>
      <c r="AA27" s="188">
        <f t="shared" si="75"/>
        <v>0</v>
      </c>
      <c r="AB27" s="188">
        <f t="shared" si="75"/>
        <v>0</v>
      </c>
      <c r="AC27" s="188">
        <f t="shared" si="75"/>
        <v>0</v>
      </c>
      <c r="AD27" s="188">
        <f t="shared" si="75"/>
        <v>0</v>
      </c>
      <c r="AE27" s="188">
        <f t="shared" si="75"/>
        <v>0</v>
      </c>
      <c r="AF27" s="188">
        <f t="shared" si="75"/>
        <v>620000000</v>
      </c>
      <c r="AG27" s="188">
        <f t="shared" si="75"/>
        <v>603684211</v>
      </c>
      <c r="AH27" s="188">
        <f t="shared" si="75"/>
        <v>587368422</v>
      </c>
      <c r="AI27" s="188">
        <f t="shared" si="75"/>
        <v>571052633</v>
      </c>
      <c r="AJ27" s="188">
        <f t="shared" si="75"/>
        <v>554736844</v>
      </c>
      <c r="AK27" s="188">
        <f t="shared" si="75"/>
        <v>538421055</v>
      </c>
      <c r="AL27" s="188">
        <f t="shared" si="75"/>
        <v>522105266</v>
      </c>
      <c r="AM27" s="188">
        <f t="shared" si="75"/>
        <v>505789477</v>
      </c>
      <c r="AN27" s="188">
        <f t="shared" si="75"/>
        <v>489473688</v>
      </c>
      <c r="AO27" s="188">
        <f t="shared" si="75"/>
        <v>473157899</v>
      </c>
      <c r="AP27" s="188">
        <f t="shared" si="75"/>
        <v>456842110</v>
      </c>
      <c r="AQ27" s="188">
        <f t="shared" si="75"/>
        <v>440526321</v>
      </c>
      <c r="AR27" s="188">
        <f t="shared" si="75"/>
        <v>424210532</v>
      </c>
      <c r="AS27" s="188">
        <f t="shared" si="75"/>
        <v>407894743</v>
      </c>
      <c r="AT27" s="188">
        <f t="shared" si="75"/>
        <v>391578954</v>
      </c>
      <c r="AU27" s="188">
        <f t="shared" si="75"/>
        <v>375263165</v>
      </c>
      <c r="AV27" s="188">
        <f t="shared" si="75"/>
        <v>358947376</v>
      </c>
      <c r="AW27" s="188">
        <f t="shared" si="75"/>
        <v>342631587</v>
      </c>
      <c r="AX27" s="188">
        <f t="shared" si="75"/>
        <v>326315798</v>
      </c>
      <c r="AY27" s="188">
        <f t="shared" si="75"/>
        <v>310000009</v>
      </c>
      <c r="AZ27" s="188">
        <f t="shared" si="75"/>
        <v>293684220</v>
      </c>
      <c r="BA27" s="188">
        <f t="shared" si="75"/>
        <v>277368431</v>
      </c>
      <c r="BB27" s="188">
        <f t="shared" si="75"/>
        <v>261052642</v>
      </c>
      <c r="BC27" s="188">
        <f t="shared" si="75"/>
        <v>244736853</v>
      </c>
      <c r="BD27" s="188">
        <f t="shared" si="75"/>
        <v>228421064</v>
      </c>
      <c r="BE27" s="188">
        <f t="shared" si="75"/>
        <v>212105275</v>
      </c>
      <c r="BF27" s="188">
        <f t="shared" si="75"/>
        <v>195789486</v>
      </c>
    </row>
    <row r="28" spans="2:59">
      <c r="B28" s="1" t="s">
        <v>42</v>
      </c>
      <c r="C28" s="182"/>
      <c r="D28" s="182">
        <f>(【成行】財政シミュ!AN86)</f>
        <v>550000000</v>
      </c>
      <c r="E28" s="182">
        <v>70000000</v>
      </c>
      <c r="F28" s="182">
        <f t="shared" si="47"/>
        <v>620000000</v>
      </c>
      <c r="G28" s="170">
        <v>38</v>
      </c>
      <c r="H28" s="182">
        <f t="shared" si="49"/>
        <v>16315789</v>
      </c>
      <c r="I28" s="188"/>
      <c r="J28" s="188">
        <f t="shared" ref="J28:O28" si="76">IF(J$9=$B28,$F28,IF(I28&gt;0,I28-$H28,0))</f>
        <v>0</v>
      </c>
      <c r="K28" s="188">
        <f t="shared" si="76"/>
        <v>0</v>
      </c>
      <c r="L28" s="188">
        <f t="shared" si="76"/>
        <v>0</v>
      </c>
      <c r="M28" s="188">
        <f t="shared" si="76"/>
        <v>0</v>
      </c>
      <c r="N28" s="188">
        <f t="shared" si="76"/>
        <v>0</v>
      </c>
      <c r="O28" s="188">
        <f t="shared" si="76"/>
        <v>0</v>
      </c>
      <c r="P28" s="188">
        <f t="shared" ref="P28:BF28" si="77">IF(P$9=$B28,$F28,IF(O28&gt;0,O28-$H28,0))</f>
        <v>0</v>
      </c>
      <c r="Q28" s="188">
        <f t="shared" si="77"/>
        <v>0</v>
      </c>
      <c r="R28" s="188">
        <f t="shared" si="77"/>
        <v>0</v>
      </c>
      <c r="S28" s="188">
        <f t="shared" si="77"/>
        <v>0</v>
      </c>
      <c r="T28" s="188">
        <f t="shared" si="77"/>
        <v>0</v>
      </c>
      <c r="U28" s="188">
        <f t="shared" si="77"/>
        <v>0</v>
      </c>
      <c r="V28" s="188">
        <f t="shared" si="77"/>
        <v>0</v>
      </c>
      <c r="W28" s="188">
        <f t="shared" si="77"/>
        <v>0</v>
      </c>
      <c r="X28" s="188">
        <f t="shared" si="77"/>
        <v>0</v>
      </c>
      <c r="Y28" s="188">
        <f t="shared" si="77"/>
        <v>0</v>
      </c>
      <c r="Z28" s="188">
        <f t="shared" si="77"/>
        <v>0</v>
      </c>
      <c r="AA28" s="188">
        <f t="shared" si="77"/>
        <v>0</v>
      </c>
      <c r="AB28" s="188">
        <f t="shared" si="77"/>
        <v>0</v>
      </c>
      <c r="AC28" s="188">
        <f t="shared" si="77"/>
        <v>0</v>
      </c>
      <c r="AD28" s="188">
        <f t="shared" si="77"/>
        <v>0</v>
      </c>
      <c r="AE28" s="188">
        <f t="shared" si="77"/>
        <v>0</v>
      </c>
      <c r="AF28" s="188">
        <f t="shared" si="77"/>
        <v>0</v>
      </c>
      <c r="AG28" s="188">
        <f t="shared" si="77"/>
        <v>620000000</v>
      </c>
      <c r="AH28" s="188">
        <f t="shared" si="77"/>
        <v>603684211</v>
      </c>
      <c r="AI28" s="188">
        <f t="shared" si="77"/>
        <v>587368422</v>
      </c>
      <c r="AJ28" s="188">
        <f t="shared" si="77"/>
        <v>571052633</v>
      </c>
      <c r="AK28" s="188">
        <f t="shared" si="77"/>
        <v>554736844</v>
      </c>
      <c r="AL28" s="188">
        <f t="shared" si="77"/>
        <v>538421055</v>
      </c>
      <c r="AM28" s="188">
        <f t="shared" si="77"/>
        <v>522105266</v>
      </c>
      <c r="AN28" s="188">
        <f t="shared" si="77"/>
        <v>505789477</v>
      </c>
      <c r="AO28" s="188">
        <f t="shared" si="77"/>
        <v>489473688</v>
      </c>
      <c r="AP28" s="188">
        <f t="shared" si="77"/>
        <v>473157899</v>
      </c>
      <c r="AQ28" s="188">
        <f t="shared" si="77"/>
        <v>456842110</v>
      </c>
      <c r="AR28" s="188">
        <f t="shared" si="77"/>
        <v>440526321</v>
      </c>
      <c r="AS28" s="188">
        <f t="shared" si="77"/>
        <v>424210532</v>
      </c>
      <c r="AT28" s="188">
        <f t="shared" si="77"/>
        <v>407894743</v>
      </c>
      <c r="AU28" s="188">
        <f t="shared" si="77"/>
        <v>391578954</v>
      </c>
      <c r="AV28" s="188">
        <f t="shared" si="77"/>
        <v>375263165</v>
      </c>
      <c r="AW28" s="188">
        <f t="shared" si="77"/>
        <v>358947376</v>
      </c>
      <c r="AX28" s="188">
        <f t="shared" si="77"/>
        <v>342631587</v>
      </c>
      <c r="AY28" s="188">
        <f t="shared" si="77"/>
        <v>326315798</v>
      </c>
      <c r="AZ28" s="188">
        <f t="shared" si="77"/>
        <v>310000009</v>
      </c>
      <c r="BA28" s="188">
        <f t="shared" si="77"/>
        <v>293684220</v>
      </c>
      <c r="BB28" s="188">
        <f t="shared" si="77"/>
        <v>277368431</v>
      </c>
      <c r="BC28" s="188">
        <f t="shared" si="77"/>
        <v>261052642</v>
      </c>
      <c r="BD28" s="188">
        <f t="shared" si="77"/>
        <v>244736853</v>
      </c>
      <c r="BE28" s="188">
        <f t="shared" si="77"/>
        <v>228421064</v>
      </c>
      <c r="BF28" s="188">
        <f t="shared" si="77"/>
        <v>212105275</v>
      </c>
    </row>
    <row r="29" spans="2:59">
      <c r="B29" s="1" t="s">
        <v>43</v>
      </c>
      <c r="C29" s="182"/>
      <c r="D29" s="182">
        <f>(【成行】財政シミュ!AO86)</f>
        <v>10000000</v>
      </c>
      <c r="E29" s="182">
        <v>70000000</v>
      </c>
      <c r="F29" s="182">
        <f t="shared" si="47"/>
        <v>80000000</v>
      </c>
      <c r="G29" s="170">
        <v>38</v>
      </c>
      <c r="H29" s="184">
        <f t="shared" si="49"/>
        <v>2105263</v>
      </c>
      <c r="I29" s="188"/>
      <c r="J29" s="188">
        <f t="shared" ref="J29:O29" si="78">IF(J$9=$B29,$F29,IF(I29&gt;0,I29-$H29,0))</f>
        <v>0</v>
      </c>
      <c r="K29" s="188">
        <f t="shared" si="78"/>
        <v>0</v>
      </c>
      <c r="L29" s="188">
        <f t="shared" si="78"/>
        <v>0</v>
      </c>
      <c r="M29" s="188">
        <f t="shared" si="78"/>
        <v>0</v>
      </c>
      <c r="N29" s="188">
        <f t="shared" si="78"/>
        <v>0</v>
      </c>
      <c r="O29" s="188">
        <f t="shared" si="78"/>
        <v>0</v>
      </c>
      <c r="P29" s="188">
        <f t="shared" ref="P29:BF29" si="79">IF(P$9=$B29,$F29,IF(O29&gt;0,O29-$H29,0))</f>
        <v>0</v>
      </c>
      <c r="Q29" s="188">
        <f t="shared" si="79"/>
        <v>0</v>
      </c>
      <c r="R29" s="188">
        <f t="shared" si="79"/>
        <v>0</v>
      </c>
      <c r="S29" s="188">
        <f t="shared" si="79"/>
        <v>0</v>
      </c>
      <c r="T29" s="188">
        <f t="shared" si="79"/>
        <v>0</v>
      </c>
      <c r="U29" s="188">
        <f t="shared" si="79"/>
        <v>0</v>
      </c>
      <c r="V29" s="188">
        <f t="shared" si="79"/>
        <v>0</v>
      </c>
      <c r="W29" s="188">
        <f t="shared" si="79"/>
        <v>0</v>
      </c>
      <c r="X29" s="188">
        <f t="shared" si="79"/>
        <v>0</v>
      </c>
      <c r="Y29" s="188">
        <f t="shared" si="79"/>
        <v>0</v>
      </c>
      <c r="Z29" s="188">
        <f t="shared" si="79"/>
        <v>0</v>
      </c>
      <c r="AA29" s="188">
        <f t="shared" si="79"/>
        <v>0</v>
      </c>
      <c r="AB29" s="188">
        <f t="shared" si="79"/>
        <v>0</v>
      </c>
      <c r="AC29" s="188">
        <f t="shared" si="79"/>
        <v>0</v>
      </c>
      <c r="AD29" s="188">
        <f t="shared" si="79"/>
        <v>0</v>
      </c>
      <c r="AE29" s="188">
        <f t="shared" si="79"/>
        <v>0</v>
      </c>
      <c r="AF29" s="188">
        <f t="shared" si="79"/>
        <v>0</v>
      </c>
      <c r="AG29" s="188">
        <f t="shared" si="79"/>
        <v>0</v>
      </c>
      <c r="AH29" s="188">
        <f t="shared" si="79"/>
        <v>80000000</v>
      </c>
      <c r="AI29" s="188">
        <f t="shared" si="79"/>
        <v>77894737</v>
      </c>
      <c r="AJ29" s="188">
        <f t="shared" si="79"/>
        <v>75789474</v>
      </c>
      <c r="AK29" s="188">
        <f t="shared" si="79"/>
        <v>73684211</v>
      </c>
      <c r="AL29" s="188">
        <f t="shared" si="79"/>
        <v>71578948</v>
      </c>
      <c r="AM29" s="188">
        <f t="shared" si="79"/>
        <v>69473685</v>
      </c>
      <c r="AN29" s="188">
        <f t="shared" si="79"/>
        <v>67368422</v>
      </c>
      <c r="AO29" s="188">
        <f t="shared" si="79"/>
        <v>65263159</v>
      </c>
      <c r="AP29" s="188">
        <f t="shared" si="79"/>
        <v>63157896</v>
      </c>
      <c r="AQ29" s="188">
        <f t="shared" si="79"/>
        <v>61052633</v>
      </c>
      <c r="AR29" s="188">
        <f t="shared" si="79"/>
        <v>58947370</v>
      </c>
      <c r="AS29" s="188">
        <f t="shared" si="79"/>
        <v>56842107</v>
      </c>
      <c r="AT29" s="188">
        <f t="shared" si="79"/>
        <v>54736844</v>
      </c>
      <c r="AU29" s="188">
        <f t="shared" si="79"/>
        <v>52631581</v>
      </c>
      <c r="AV29" s="188">
        <f t="shared" si="79"/>
        <v>50526318</v>
      </c>
      <c r="AW29" s="188">
        <f t="shared" si="79"/>
        <v>48421055</v>
      </c>
      <c r="AX29" s="188">
        <f t="shared" si="79"/>
        <v>46315792</v>
      </c>
      <c r="AY29" s="188">
        <f t="shared" si="79"/>
        <v>44210529</v>
      </c>
      <c r="AZ29" s="188">
        <f t="shared" si="79"/>
        <v>42105266</v>
      </c>
      <c r="BA29" s="188">
        <f t="shared" si="79"/>
        <v>40000003</v>
      </c>
      <c r="BB29" s="188">
        <f t="shared" si="79"/>
        <v>37894740</v>
      </c>
      <c r="BC29" s="188">
        <f t="shared" si="79"/>
        <v>35789477</v>
      </c>
      <c r="BD29" s="188">
        <f t="shared" si="79"/>
        <v>33684214</v>
      </c>
      <c r="BE29" s="188">
        <f t="shared" si="79"/>
        <v>31578951</v>
      </c>
      <c r="BF29" s="188">
        <f t="shared" si="79"/>
        <v>29473688</v>
      </c>
    </row>
    <row r="30" spans="2:59">
      <c r="B30" s="1" t="s">
        <v>44</v>
      </c>
      <c r="C30" s="182"/>
      <c r="D30" s="182">
        <f>(【成行】財政シミュ!AP86)</f>
        <v>10000000</v>
      </c>
      <c r="E30" s="182">
        <v>50000000</v>
      </c>
      <c r="F30" s="182">
        <f t="shared" si="47"/>
        <v>60000000</v>
      </c>
      <c r="G30" s="170">
        <v>38</v>
      </c>
      <c r="H30" s="184">
        <f t="shared" si="49"/>
        <v>1578947</v>
      </c>
      <c r="I30" s="188"/>
      <c r="J30" s="188">
        <f t="shared" ref="J30:O30" si="80">IF(J$9=$B30,$F30,IF(I30&gt;0,I30-$H30,0))</f>
        <v>0</v>
      </c>
      <c r="K30" s="188">
        <f t="shared" si="80"/>
        <v>0</v>
      </c>
      <c r="L30" s="188">
        <f t="shared" si="80"/>
        <v>0</v>
      </c>
      <c r="M30" s="188">
        <f t="shared" si="80"/>
        <v>0</v>
      </c>
      <c r="N30" s="188">
        <f t="shared" si="80"/>
        <v>0</v>
      </c>
      <c r="O30" s="188">
        <f t="shared" si="80"/>
        <v>0</v>
      </c>
      <c r="P30" s="188">
        <f t="shared" ref="P30:BF30" si="81">IF(P$9=$B30,$F30,IF(O30&gt;0,O30-$H30,0))</f>
        <v>0</v>
      </c>
      <c r="Q30" s="188">
        <f t="shared" si="81"/>
        <v>0</v>
      </c>
      <c r="R30" s="188">
        <f t="shared" si="81"/>
        <v>0</v>
      </c>
      <c r="S30" s="188">
        <f t="shared" si="81"/>
        <v>0</v>
      </c>
      <c r="T30" s="188">
        <f t="shared" si="81"/>
        <v>0</v>
      </c>
      <c r="U30" s="188">
        <f t="shared" si="81"/>
        <v>0</v>
      </c>
      <c r="V30" s="188">
        <f t="shared" si="81"/>
        <v>0</v>
      </c>
      <c r="W30" s="188">
        <f t="shared" si="81"/>
        <v>0</v>
      </c>
      <c r="X30" s="188">
        <f t="shared" si="81"/>
        <v>0</v>
      </c>
      <c r="Y30" s="188">
        <f t="shared" si="81"/>
        <v>0</v>
      </c>
      <c r="Z30" s="188">
        <f t="shared" si="81"/>
        <v>0</v>
      </c>
      <c r="AA30" s="188">
        <f t="shared" si="81"/>
        <v>0</v>
      </c>
      <c r="AB30" s="188">
        <f t="shared" si="81"/>
        <v>0</v>
      </c>
      <c r="AC30" s="188">
        <f t="shared" si="81"/>
        <v>0</v>
      </c>
      <c r="AD30" s="188">
        <f t="shared" si="81"/>
        <v>0</v>
      </c>
      <c r="AE30" s="188">
        <f t="shared" si="81"/>
        <v>0</v>
      </c>
      <c r="AF30" s="188">
        <f t="shared" si="81"/>
        <v>0</v>
      </c>
      <c r="AG30" s="188">
        <f t="shared" si="81"/>
        <v>0</v>
      </c>
      <c r="AH30" s="188">
        <f t="shared" si="81"/>
        <v>0</v>
      </c>
      <c r="AI30" s="188">
        <f t="shared" si="81"/>
        <v>60000000</v>
      </c>
      <c r="AJ30" s="188">
        <f t="shared" si="81"/>
        <v>58421053</v>
      </c>
      <c r="AK30" s="188">
        <f t="shared" si="81"/>
        <v>56842106</v>
      </c>
      <c r="AL30" s="188">
        <f t="shared" si="81"/>
        <v>55263159</v>
      </c>
      <c r="AM30" s="188">
        <f t="shared" si="81"/>
        <v>53684212</v>
      </c>
      <c r="AN30" s="188">
        <f t="shared" si="81"/>
        <v>52105265</v>
      </c>
      <c r="AO30" s="188">
        <f t="shared" si="81"/>
        <v>50526318</v>
      </c>
      <c r="AP30" s="188">
        <f t="shared" si="81"/>
        <v>48947371</v>
      </c>
      <c r="AQ30" s="188">
        <f t="shared" si="81"/>
        <v>47368424</v>
      </c>
      <c r="AR30" s="188">
        <f t="shared" si="81"/>
        <v>45789477</v>
      </c>
      <c r="AS30" s="188">
        <f t="shared" si="81"/>
        <v>44210530</v>
      </c>
      <c r="AT30" s="188">
        <f t="shared" si="81"/>
        <v>42631583</v>
      </c>
      <c r="AU30" s="188">
        <f t="shared" si="81"/>
        <v>41052636</v>
      </c>
      <c r="AV30" s="188">
        <f t="shared" si="81"/>
        <v>39473689</v>
      </c>
      <c r="AW30" s="188">
        <f t="shared" si="81"/>
        <v>37894742</v>
      </c>
      <c r="AX30" s="188">
        <f t="shared" si="81"/>
        <v>36315795</v>
      </c>
      <c r="AY30" s="188">
        <f t="shared" si="81"/>
        <v>34736848</v>
      </c>
      <c r="AZ30" s="188">
        <f t="shared" si="81"/>
        <v>33157901</v>
      </c>
      <c r="BA30" s="188">
        <f t="shared" si="81"/>
        <v>31578954</v>
      </c>
      <c r="BB30" s="188">
        <f t="shared" si="81"/>
        <v>30000007</v>
      </c>
      <c r="BC30" s="188">
        <f t="shared" si="81"/>
        <v>28421060</v>
      </c>
      <c r="BD30" s="188">
        <f t="shared" si="81"/>
        <v>26842113</v>
      </c>
      <c r="BE30" s="188">
        <f t="shared" si="81"/>
        <v>25263166</v>
      </c>
      <c r="BF30" s="188">
        <f t="shared" si="81"/>
        <v>23684219</v>
      </c>
    </row>
    <row r="31" spans="2:59">
      <c r="B31" s="1" t="s">
        <v>45</v>
      </c>
      <c r="C31" s="182"/>
      <c r="D31" s="182">
        <f>(【成行】財政シミュ!AQ86)</f>
        <v>10000000</v>
      </c>
      <c r="E31" s="182">
        <v>50000000</v>
      </c>
      <c r="F31" s="182">
        <f t="shared" si="47"/>
        <v>60000000</v>
      </c>
      <c r="G31" s="170">
        <v>38</v>
      </c>
      <c r="H31" s="184">
        <f t="shared" si="49"/>
        <v>1578947</v>
      </c>
      <c r="I31" s="188"/>
      <c r="J31" s="188">
        <f t="shared" ref="J31:O31" si="82">IF(J$9=$B31,$F31,IF(I31&gt;0,I31-$H31,0))</f>
        <v>0</v>
      </c>
      <c r="K31" s="188">
        <f t="shared" si="82"/>
        <v>0</v>
      </c>
      <c r="L31" s="188">
        <f t="shared" si="82"/>
        <v>0</v>
      </c>
      <c r="M31" s="188">
        <f t="shared" si="82"/>
        <v>0</v>
      </c>
      <c r="N31" s="188">
        <f t="shared" si="82"/>
        <v>0</v>
      </c>
      <c r="O31" s="188">
        <f t="shared" si="82"/>
        <v>0</v>
      </c>
      <c r="P31" s="188">
        <f t="shared" ref="P31:BF31" si="83">IF(P$9=$B31,$F31,IF(O31&gt;0,O31-$H31,0))</f>
        <v>0</v>
      </c>
      <c r="Q31" s="188">
        <f t="shared" si="83"/>
        <v>0</v>
      </c>
      <c r="R31" s="188">
        <f t="shared" si="83"/>
        <v>0</v>
      </c>
      <c r="S31" s="188">
        <f t="shared" si="83"/>
        <v>0</v>
      </c>
      <c r="T31" s="188">
        <f t="shared" si="83"/>
        <v>0</v>
      </c>
      <c r="U31" s="188">
        <f t="shared" si="83"/>
        <v>0</v>
      </c>
      <c r="V31" s="188">
        <f t="shared" si="83"/>
        <v>0</v>
      </c>
      <c r="W31" s="188">
        <f t="shared" si="83"/>
        <v>0</v>
      </c>
      <c r="X31" s="188">
        <f t="shared" si="83"/>
        <v>0</v>
      </c>
      <c r="Y31" s="188">
        <f t="shared" si="83"/>
        <v>0</v>
      </c>
      <c r="Z31" s="188">
        <f t="shared" si="83"/>
        <v>0</v>
      </c>
      <c r="AA31" s="188">
        <f t="shared" si="83"/>
        <v>0</v>
      </c>
      <c r="AB31" s="188">
        <f t="shared" si="83"/>
        <v>0</v>
      </c>
      <c r="AC31" s="188">
        <f t="shared" si="83"/>
        <v>0</v>
      </c>
      <c r="AD31" s="188">
        <f t="shared" si="83"/>
        <v>0</v>
      </c>
      <c r="AE31" s="188">
        <f t="shared" si="83"/>
        <v>0</v>
      </c>
      <c r="AF31" s="188">
        <f t="shared" si="83"/>
        <v>0</v>
      </c>
      <c r="AG31" s="188">
        <f t="shared" si="83"/>
        <v>0</v>
      </c>
      <c r="AH31" s="188">
        <f t="shared" si="83"/>
        <v>0</v>
      </c>
      <c r="AI31" s="188">
        <f t="shared" si="83"/>
        <v>0</v>
      </c>
      <c r="AJ31" s="188">
        <f t="shared" si="83"/>
        <v>60000000</v>
      </c>
      <c r="AK31" s="188">
        <f t="shared" si="83"/>
        <v>58421053</v>
      </c>
      <c r="AL31" s="188">
        <f t="shared" si="83"/>
        <v>56842106</v>
      </c>
      <c r="AM31" s="188">
        <f t="shared" si="83"/>
        <v>55263159</v>
      </c>
      <c r="AN31" s="188">
        <f t="shared" si="83"/>
        <v>53684212</v>
      </c>
      <c r="AO31" s="188">
        <f t="shared" si="83"/>
        <v>52105265</v>
      </c>
      <c r="AP31" s="188">
        <f t="shared" si="83"/>
        <v>50526318</v>
      </c>
      <c r="AQ31" s="188">
        <f t="shared" si="83"/>
        <v>48947371</v>
      </c>
      <c r="AR31" s="188">
        <f t="shared" si="83"/>
        <v>47368424</v>
      </c>
      <c r="AS31" s="188">
        <f t="shared" si="83"/>
        <v>45789477</v>
      </c>
      <c r="AT31" s="188">
        <f t="shared" si="83"/>
        <v>44210530</v>
      </c>
      <c r="AU31" s="188">
        <f t="shared" si="83"/>
        <v>42631583</v>
      </c>
      <c r="AV31" s="188">
        <f t="shared" si="83"/>
        <v>41052636</v>
      </c>
      <c r="AW31" s="188">
        <f t="shared" si="83"/>
        <v>39473689</v>
      </c>
      <c r="AX31" s="188">
        <f t="shared" si="83"/>
        <v>37894742</v>
      </c>
      <c r="AY31" s="188">
        <f t="shared" si="83"/>
        <v>36315795</v>
      </c>
      <c r="AZ31" s="188">
        <f t="shared" si="83"/>
        <v>34736848</v>
      </c>
      <c r="BA31" s="188">
        <f t="shared" si="83"/>
        <v>33157901</v>
      </c>
      <c r="BB31" s="188">
        <f t="shared" si="83"/>
        <v>31578954</v>
      </c>
      <c r="BC31" s="188">
        <f t="shared" si="83"/>
        <v>30000007</v>
      </c>
      <c r="BD31" s="188">
        <f t="shared" si="83"/>
        <v>28421060</v>
      </c>
      <c r="BE31" s="188">
        <f t="shared" si="83"/>
        <v>26842113</v>
      </c>
      <c r="BF31" s="188">
        <f t="shared" si="83"/>
        <v>25263166</v>
      </c>
    </row>
    <row r="32" spans="2:59">
      <c r="B32" s="1" t="s">
        <v>46</v>
      </c>
      <c r="C32" s="182"/>
      <c r="D32" s="182">
        <f>(【成行】財政シミュ!AR86)</f>
        <v>10000000</v>
      </c>
      <c r="E32" s="182">
        <v>51000000</v>
      </c>
      <c r="F32" s="182">
        <f t="shared" si="47"/>
        <v>61000000</v>
      </c>
      <c r="G32" s="170">
        <v>38</v>
      </c>
      <c r="H32" s="184">
        <f t="shared" si="49"/>
        <v>1605263</v>
      </c>
      <c r="I32" s="188"/>
      <c r="J32" s="188">
        <f t="shared" ref="J32:O32" si="84">IF(J$9=$B32,$F32,IF(I32&gt;0,I32-$H32,0))</f>
        <v>0</v>
      </c>
      <c r="K32" s="188">
        <f t="shared" si="84"/>
        <v>0</v>
      </c>
      <c r="L32" s="188">
        <f t="shared" si="84"/>
        <v>0</v>
      </c>
      <c r="M32" s="188">
        <f t="shared" si="84"/>
        <v>0</v>
      </c>
      <c r="N32" s="188">
        <f t="shared" si="84"/>
        <v>0</v>
      </c>
      <c r="O32" s="188">
        <f t="shared" si="84"/>
        <v>0</v>
      </c>
      <c r="P32" s="188">
        <f t="shared" ref="P32:BF32" si="85">IF(P$9=$B32,$F32,IF(O32&gt;0,O32-$H32,0))</f>
        <v>0</v>
      </c>
      <c r="Q32" s="188">
        <f t="shared" si="85"/>
        <v>0</v>
      </c>
      <c r="R32" s="188">
        <f t="shared" si="85"/>
        <v>0</v>
      </c>
      <c r="S32" s="188">
        <f t="shared" si="85"/>
        <v>0</v>
      </c>
      <c r="T32" s="188">
        <f t="shared" si="85"/>
        <v>0</v>
      </c>
      <c r="U32" s="188">
        <f t="shared" si="85"/>
        <v>0</v>
      </c>
      <c r="V32" s="188">
        <f t="shared" si="85"/>
        <v>0</v>
      </c>
      <c r="W32" s="188">
        <f t="shared" si="85"/>
        <v>0</v>
      </c>
      <c r="X32" s="188">
        <f t="shared" si="85"/>
        <v>0</v>
      </c>
      <c r="Y32" s="188">
        <f t="shared" si="85"/>
        <v>0</v>
      </c>
      <c r="Z32" s="188">
        <f t="shared" si="85"/>
        <v>0</v>
      </c>
      <c r="AA32" s="188">
        <f t="shared" si="85"/>
        <v>0</v>
      </c>
      <c r="AB32" s="188">
        <f t="shared" si="85"/>
        <v>0</v>
      </c>
      <c r="AC32" s="188">
        <f t="shared" si="85"/>
        <v>0</v>
      </c>
      <c r="AD32" s="188">
        <f t="shared" si="85"/>
        <v>0</v>
      </c>
      <c r="AE32" s="188">
        <f t="shared" si="85"/>
        <v>0</v>
      </c>
      <c r="AF32" s="188">
        <f t="shared" si="85"/>
        <v>0</v>
      </c>
      <c r="AG32" s="188">
        <f t="shared" si="85"/>
        <v>0</v>
      </c>
      <c r="AH32" s="188">
        <f t="shared" si="85"/>
        <v>0</v>
      </c>
      <c r="AI32" s="188">
        <f t="shared" si="85"/>
        <v>0</v>
      </c>
      <c r="AJ32" s="188">
        <f t="shared" si="85"/>
        <v>0</v>
      </c>
      <c r="AK32" s="188">
        <f t="shared" si="85"/>
        <v>61000000</v>
      </c>
      <c r="AL32" s="188">
        <f t="shared" si="85"/>
        <v>59394737</v>
      </c>
      <c r="AM32" s="188">
        <f t="shared" si="85"/>
        <v>57789474</v>
      </c>
      <c r="AN32" s="188">
        <f t="shared" si="85"/>
        <v>56184211</v>
      </c>
      <c r="AO32" s="188">
        <f t="shared" si="85"/>
        <v>54578948</v>
      </c>
      <c r="AP32" s="188">
        <f t="shared" si="85"/>
        <v>52973685</v>
      </c>
      <c r="AQ32" s="188">
        <f t="shared" si="85"/>
        <v>51368422</v>
      </c>
      <c r="AR32" s="188">
        <f t="shared" si="85"/>
        <v>49763159</v>
      </c>
      <c r="AS32" s="188">
        <f t="shared" si="85"/>
        <v>48157896</v>
      </c>
      <c r="AT32" s="188">
        <f t="shared" si="85"/>
        <v>46552633</v>
      </c>
      <c r="AU32" s="188">
        <f t="shared" si="85"/>
        <v>44947370</v>
      </c>
      <c r="AV32" s="188">
        <f t="shared" si="85"/>
        <v>43342107</v>
      </c>
      <c r="AW32" s="188">
        <f t="shared" si="85"/>
        <v>41736844</v>
      </c>
      <c r="AX32" s="188">
        <f t="shared" si="85"/>
        <v>40131581</v>
      </c>
      <c r="AY32" s="188">
        <f t="shared" si="85"/>
        <v>38526318</v>
      </c>
      <c r="AZ32" s="188">
        <f t="shared" si="85"/>
        <v>36921055</v>
      </c>
      <c r="BA32" s="188">
        <f t="shared" si="85"/>
        <v>35315792</v>
      </c>
      <c r="BB32" s="188">
        <f t="shared" si="85"/>
        <v>33710529</v>
      </c>
      <c r="BC32" s="188">
        <f t="shared" si="85"/>
        <v>32105266</v>
      </c>
      <c r="BD32" s="188">
        <f t="shared" si="85"/>
        <v>30500003</v>
      </c>
      <c r="BE32" s="188">
        <f t="shared" si="85"/>
        <v>28894740</v>
      </c>
      <c r="BF32" s="188">
        <f t="shared" si="85"/>
        <v>27289477</v>
      </c>
    </row>
    <row r="33" spans="2:58">
      <c r="B33" s="1" t="s">
        <v>47</v>
      </c>
      <c r="C33" s="182"/>
      <c r="D33" s="182">
        <f>(【成行】財政シミュ!AS86)</f>
        <v>10000000</v>
      </c>
      <c r="E33" s="182">
        <v>51000000</v>
      </c>
      <c r="F33" s="182">
        <f t="shared" si="47"/>
        <v>61000000</v>
      </c>
      <c r="G33" s="170">
        <v>38</v>
      </c>
      <c r="H33" s="182">
        <f t="shared" si="49"/>
        <v>1605263</v>
      </c>
      <c r="I33" s="188"/>
      <c r="J33" s="188">
        <f t="shared" ref="J33:O33" si="86">IF(J$9=$B33,$F33,IF(I33&gt;0,I33-$H33,0))</f>
        <v>0</v>
      </c>
      <c r="K33" s="188">
        <f t="shared" si="86"/>
        <v>0</v>
      </c>
      <c r="L33" s="188">
        <f t="shared" si="86"/>
        <v>0</v>
      </c>
      <c r="M33" s="188">
        <f t="shared" si="86"/>
        <v>0</v>
      </c>
      <c r="N33" s="188">
        <f t="shared" si="86"/>
        <v>0</v>
      </c>
      <c r="O33" s="188">
        <f t="shared" si="86"/>
        <v>0</v>
      </c>
      <c r="P33" s="188">
        <f t="shared" ref="P33:BF33" si="87">IF(P$9=$B33,$F33,IF(O33&gt;0,O33-$H33,0))</f>
        <v>0</v>
      </c>
      <c r="Q33" s="188">
        <f t="shared" si="87"/>
        <v>0</v>
      </c>
      <c r="R33" s="188">
        <f t="shared" si="87"/>
        <v>0</v>
      </c>
      <c r="S33" s="188">
        <f t="shared" si="87"/>
        <v>0</v>
      </c>
      <c r="T33" s="188">
        <f t="shared" si="87"/>
        <v>0</v>
      </c>
      <c r="U33" s="188">
        <f t="shared" si="87"/>
        <v>0</v>
      </c>
      <c r="V33" s="188">
        <f t="shared" si="87"/>
        <v>0</v>
      </c>
      <c r="W33" s="188">
        <f t="shared" si="87"/>
        <v>0</v>
      </c>
      <c r="X33" s="188">
        <f t="shared" si="87"/>
        <v>0</v>
      </c>
      <c r="Y33" s="188">
        <f t="shared" si="87"/>
        <v>0</v>
      </c>
      <c r="Z33" s="188">
        <f t="shared" si="87"/>
        <v>0</v>
      </c>
      <c r="AA33" s="188">
        <f t="shared" si="87"/>
        <v>0</v>
      </c>
      <c r="AB33" s="188">
        <f t="shared" si="87"/>
        <v>0</v>
      </c>
      <c r="AC33" s="188">
        <f t="shared" si="87"/>
        <v>0</v>
      </c>
      <c r="AD33" s="188">
        <f t="shared" si="87"/>
        <v>0</v>
      </c>
      <c r="AE33" s="188">
        <f t="shared" si="87"/>
        <v>0</v>
      </c>
      <c r="AF33" s="188">
        <f t="shared" si="87"/>
        <v>0</v>
      </c>
      <c r="AG33" s="188">
        <f t="shared" si="87"/>
        <v>0</v>
      </c>
      <c r="AH33" s="188">
        <f t="shared" si="87"/>
        <v>0</v>
      </c>
      <c r="AI33" s="188">
        <f t="shared" si="87"/>
        <v>0</v>
      </c>
      <c r="AJ33" s="188">
        <f t="shared" si="87"/>
        <v>0</v>
      </c>
      <c r="AK33" s="188">
        <f t="shared" si="87"/>
        <v>0</v>
      </c>
      <c r="AL33" s="188">
        <f t="shared" si="87"/>
        <v>61000000</v>
      </c>
      <c r="AM33" s="188">
        <f t="shared" si="87"/>
        <v>59394737</v>
      </c>
      <c r="AN33" s="188">
        <f t="shared" si="87"/>
        <v>57789474</v>
      </c>
      <c r="AO33" s="188">
        <f t="shared" si="87"/>
        <v>56184211</v>
      </c>
      <c r="AP33" s="188">
        <f t="shared" si="87"/>
        <v>54578948</v>
      </c>
      <c r="AQ33" s="188">
        <f t="shared" si="87"/>
        <v>52973685</v>
      </c>
      <c r="AR33" s="188">
        <f t="shared" si="87"/>
        <v>51368422</v>
      </c>
      <c r="AS33" s="188">
        <f t="shared" si="87"/>
        <v>49763159</v>
      </c>
      <c r="AT33" s="188">
        <f t="shared" si="87"/>
        <v>48157896</v>
      </c>
      <c r="AU33" s="188">
        <f t="shared" si="87"/>
        <v>46552633</v>
      </c>
      <c r="AV33" s="188">
        <f t="shared" si="87"/>
        <v>44947370</v>
      </c>
      <c r="AW33" s="188">
        <f t="shared" si="87"/>
        <v>43342107</v>
      </c>
      <c r="AX33" s="188">
        <f t="shared" si="87"/>
        <v>41736844</v>
      </c>
      <c r="AY33" s="188">
        <f t="shared" si="87"/>
        <v>40131581</v>
      </c>
      <c r="AZ33" s="188">
        <f t="shared" si="87"/>
        <v>38526318</v>
      </c>
      <c r="BA33" s="188">
        <f t="shared" si="87"/>
        <v>36921055</v>
      </c>
      <c r="BB33" s="188">
        <f t="shared" si="87"/>
        <v>35315792</v>
      </c>
      <c r="BC33" s="188">
        <f t="shared" si="87"/>
        <v>33710529</v>
      </c>
      <c r="BD33" s="188">
        <f t="shared" si="87"/>
        <v>32105266</v>
      </c>
      <c r="BE33" s="188">
        <f t="shared" si="87"/>
        <v>30500003</v>
      </c>
      <c r="BF33" s="188">
        <f t="shared" si="87"/>
        <v>28894740</v>
      </c>
    </row>
    <row r="34" spans="2:58">
      <c r="B34" s="1" t="s">
        <v>48</v>
      </c>
      <c r="C34" s="182"/>
      <c r="D34" s="182">
        <f>(【成行】財政シミュ!AT86)</f>
        <v>10000000</v>
      </c>
      <c r="E34" s="182">
        <v>54000000</v>
      </c>
      <c r="F34" s="182">
        <f t="shared" si="47"/>
        <v>64000000</v>
      </c>
      <c r="G34" s="170">
        <v>38</v>
      </c>
      <c r="H34" s="184">
        <f t="shared" si="49"/>
        <v>1684211</v>
      </c>
      <c r="I34" s="188"/>
      <c r="J34" s="188">
        <f t="shared" ref="J34:O34" si="88">IF(J$9=$B34,$F34,IF(I34&gt;0,I34-$H34,0))</f>
        <v>0</v>
      </c>
      <c r="K34" s="188">
        <f t="shared" si="88"/>
        <v>0</v>
      </c>
      <c r="L34" s="188">
        <f t="shared" si="88"/>
        <v>0</v>
      </c>
      <c r="M34" s="188">
        <f t="shared" si="88"/>
        <v>0</v>
      </c>
      <c r="N34" s="188">
        <f t="shared" si="88"/>
        <v>0</v>
      </c>
      <c r="O34" s="188">
        <f t="shared" si="88"/>
        <v>0</v>
      </c>
      <c r="P34" s="188">
        <f t="shared" ref="P34:BF34" si="89">IF(P$9=$B34,$F34,IF(O34&gt;0,O34-$H34,0))</f>
        <v>0</v>
      </c>
      <c r="Q34" s="188">
        <f t="shared" si="89"/>
        <v>0</v>
      </c>
      <c r="R34" s="188">
        <f t="shared" si="89"/>
        <v>0</v>
      </c>
      <c r="S34" s="188">
        <f t="shared" si="89"/>
        <v>0</v>
      </c>
      <c r="T34" s="188">
        <f t="shared" si="89"/>
        <v>0</v>
      </c>
      <c r="U34" s="188">
        <f t="shared" si="89"/>
        <v>0</v>
      </c>
      <c r="V34" s="188">
        <f t="shared" si="89"/>
        <v>0</v>
      </c>
      <c r="W34" s="188">
        <f t="shared" si="89"/>
        <v>0</v>
      </c>
      <c r="X34" s="188">
        <f t="shared" si="89"/>
        <v>0</v>
      </c>
      <c r="Y34" s="188">
        <f t="shared" si="89"/>
        <v>0</v>
      </c>
      <c r="Z34" s="188">
        <f t="shared" si="89"/>
        <v>0</v>
      </c>
      <c r="AA34" s="188">
        <f t="shared" si="89"/>
        <v>0</v>
      </c>
      <c r="AB34" s="188">
        <f t="shared" si="89"/>
        <v>0</v>
      </c>
      <c r="AC34" s="188">
        <f t="shared" si="89"/>
        <v>0</v>
      </c>
      <c r="AD34" s="188">
        <f t="shared" si="89"/>
        <v>0</v>
      </c>
      <c r="AE34" s="188">
        <f t="shared" si="89"/>
        <v>0</v>
      </c>
      <c r="AF34" s="188">
        <f t="shared" si="89"/>
        <v>0</v>
      </c>
      <c r="AG34" s="188">
        <f t="shared" si="89"/>
        <v>0</v>
      </c>
      <c r="AH34" s="188">
        <f t="shared" si="89"/>
        <v>0</v>
      </c>
      <c r="AI34" s="188">
        <f t="shared" si="89"/>
        <v>0</v>
      </c>
      <c r="AJ34" s="188">
        <f t="shared" si="89"/>
        <v>0</v>
      </c>
      <c r="AK34" s="188">
        <f t="shared" si="89"/>
        <v>0</v>
      </c>
      <c r="AL34" s="188">
        <f t="shared" si="89"/>
        <v>0</v>
      </c>
      <c r="AM34" s="188">
        <f t="shared" si="89"/>
        <v>64000000</v>
      </c>
      <c r="AN34" s="188">
        <f t="shared" si="89"/>
        <v>62315789</v>
      </c>
      <c r="AO34" s="188">
        <f t="shared" si="89"/>
        <v>60631578</v>
      </c>
      <c r="AP34" s="188">
        <f t="shared" si="89"/>
        <v>58947367</v>
      </c>
      <c r="AQ34" s="188">
        <f t="shared" si="89"/>
        <v>57263156</v>
      </c>
      <c r="AR34" s="188">
        <f t="shared" si="89"/>
        <v>55578945</v>
      </c>
      <c r="AS34" s="188">
        <f t="shared" si="89"/>
        <v>53894734</v>
      </c>
      <c r="AT34" s="188">
        <f t="shared" si="89"/>
        <v>52210523</v>
      </c>
      <c r="AU34" s="188">
        <f t="shared" si="89"/>
        <v>50526312</v>
      </c>
      <c r="AV34" s="188">
        <f t="shared" si="89"/>
        <v>48842101</v>
      </c>
      <c r="AW34" s="188">
        <f t="shared" si="89"/>
        <v>47157890</v>
      </c>
      <c r="AX34" s="188">
        <f t="shared" si="89"/>
        <v>45473679</v>
      </c>
      <c r="AY34" s="188">
        <f t="shared" si="89"/>
        <v>43789468</v>
      </c>
      <c r="AZ34" s="188">
        <f t="shared" si="89"/>
        <v>42105257</v>
      </c>
      <c r="BA34" s="188">
        <f t="shared" si="89"/>
        <v>40421046</v>
      </c>
      <c r="BB34" s="188">
        <f t="shared" si="89"/>
        <v>38736835</v>
      </c>
      <c r="BC34" s="188">
        <f t="shared" si="89"/>
        <v>37052624</v>
      </c>
      <c r="BD34" s="188">
        <f t="shared" si="89"/>
        <v>35368413</v>
      </c>
      <c r="BE34" s="188">
        <f t="shared" si="89"/>
        <v>33684202</v>
      </c>
      <c r="BF34" s="188">
        <f t="shared" si="89"/>
        <v>31999991</v>
      </c>
    </row>
    <row r="35" spans="2:58">
      <c r="B35" s="1" t="s">
        <v>49</v>
      </c>
      <c r="C35" s="182"/>
      <c r="D35" s="182">
        <f>(【成行】財政シミュ!AU86)</f>
        <v>10000000</v>
      </c>
      <c r="E35" s="182">
        <v>70000000</v>
      </c>
      <c r="F35" s="182">
        <f t="shared" si="47"/>
        <v>80000000</v>
      </c>
      <c r="G35" s="170">
        <v>38</v>
      </c>
      <c r="H35" s="182">
        <f t="shared" si="49"/>
        <v>2105263</v>
      </c>
      <c r="I35" s="188"/>
      <c r="J35" s="188">
        <f t="shared" ref="J35:O35" si="90">IF(J$9=$B35,$F35,IF(I35&gt;0,I35-$H35,0))</f>
        <v>0</v>
      </c>
      <c r="K35" s="188">
        <f t="shared" si="90"/>
        <v>0</v>
      </c>
      <c r="L35" s="188">
        <f t="shared" si="90"/>
        <v>0</v>
      </c>
      <c r="M35" s="188">
        <f t="shared" si="90"/>
        <v>0</v>
      </c>
      <c r="N35" s="188">
        <f t="shared" si="90"/>
        <v>0</v>
      </c>
      <c r="O35" s="188">
        <f t="shared" si="90"/>
        <v>0</v>
      </c>
      <c r="P35" s="188">
        <f t="shared" ref="P35:BF35" si="91">IF(P$9=$B35,$F35,IF(O35&gt;0,O35-$H35,0))</f>
        <v>0</v>
      </c>
      <c r="Q35" s="188">
        <f t="shared" si="91"/>
        <v>0</v>
      </c>
      <c r="R35" s="188">
        <f t="shared" si="91"/>
        <v>0</v>
      </c>
      <c r="S35" s="188">
        <f t="shared" si="91"/>
        <v>0</v>
      </c>
      <c r="T35" s="188">
        <f t="shared" si="91"/>
        <v>0</v>
      </c>
      <c r="U35" s="188">
        <f t="shared" si="91"/>
        <v>0</v>
      </c>
      <c r="V35" s="188">
        <f t="shared" si="91"/>
        <v>0</v>
      </c>
      <c r="W35" s="188">
        <f t="shared" si="91"/>
        <v>0</v>
      </c>
      <c r="X35" s="188">
        <f t="shared" si="91"/>
        <v>0</v>
      </c>
      <c r="Y35" s="188">
        <f t="shared" si="91"/>
        <v>0</v>
      </c>
      <c r="Z35" s="188">
        <f t="shared" si="91"/>
        <v>0</v>
      </c>
      <c r="AA35" s="188">
        <f t="shared" si="91"/>
        <v>0</v>
      </c>
      <c r="AB35" s="188">
        <f t="shared" si="91"/>
        <v>0</v>
      </c>
      <c r="AC35" s="188">
        <f t="shared" si="91"/>
        <v>0</v>
      </c>
      <c r="AD35" s="188">
        <f t="shared" si="91"/>
        <v>0</v>
      </c>
      <c r="AE35" s="188">
        <f t="shared" si="91"/>
        <v>0</v>
      </c>
      <c r="AF35" s="188">
        <f t="shared" si="91"/>
        <v>0</v>
      </c>
      <c r="AG35" s="188">
        <f t="shared" si="91"/>
        <v>0</v>
      </c>
      <c r="AH35" s="188">
        <f t="shared" si="91"/>
        <v>0</v>
      </c>
      <c r="AI35" s="188">
        <f t="shared" si="91"/>
        <v>0</v>
      </c>
      <c r="AJ35" s="188">
        <f t="shared" si="91"/>
        <v>0</v>
      </c>
      <c r="AK35" s="188">
        <f t="shared" si="91"/>
        <v>0</v>
      </c>
      <c r="AL35" s="188">
        <f t="shared" si="91"/>
        <v>0</v>
      </c>
      <c r="AM35" s="188">
        <f t="shared" si="91"/>
        <v>0</v>
      </c>
      <c r="AN35" s="188">
        <f t="shared" si="91"/>
        <v>80000000</v>
      </c>
      <c r="AO35" s="188">
        <f t="shared" si="91"/>
        <v>77894737</v>
      </c>
      <c r="AP35" s="188">
        <f t="shared" si="91"/>
        <v>75789474</v>
      </c>
      <c r="AQ35" s="188">
        <f t="shared" si="91"/>
        <v>73684211</v>
      </c>
      <c r="AR35" s="188">
        <f t="shared" si="91"/>
        <v>71578948</v>
      </c>
      <c r="AS35" s="188">
        <f t="shared" si="91"/>
        <v>69473685</v>
      </c>
      <c r="AT35" s="188">
        <f t="shared" si="91"/>
        <v>67368422</v>
      </c>
      <c r="AU35" s="188">
        <f t="shared" si="91"/>
        <v>65263159</v>
      </c>
      <c r="AV35" s="188">
        <f t="shared" si="91"/>
        <v>63157896</v>
      </c>
      <c r="AW35" s="188">
        <f t="shared" si="91"/>
        <v>61052633</v>
      </c>
      <c r="AX35" s="188">
        <f t="shared" si="91"/>
        <v>58947370</v>
      </c>
      <c r="AY35" s="188">
        <f t="shared" si="91"/>
        <v>56842107</v>
      </c>
      <c r="AZ35" s="188">
        <f t="shared" si="91"/>
        <v>54736844</v>
      </c>
      <c r="BA35" s="188">
        <f t="shared" si="91"/>
        <v>52631581</v>
      </c>
      <c r="BB35" s="188">
        <f t="shared" si="91"/>
        <v>50526318</v>
      </c>
      <c r="BC35" s="188">
        <f t="shared" si="91"/>
        <v>48421055</v>
      </c>
      <c r="BD35" s="188">
        <f t="shared" si="91"/>
        <v>46315792</v>
      </c>
      <c r="BE35" s="188">
        <f t="shared" si="91"/>
        <v>44210529</v>
      </c>
      <c r="BF35" s="188">
        <f t="shared" si="91"/>
        <v>42105266</v>
      </c>
    </row>
    <row r="36" spans="2:58">
      <c r="B36" s="1" t="s">
        <v>50</v>
      </c>
      <c r="C36" s="182"/>
      <c r="D36" s="182">
        <f>(【成行】財政シミュ!AV86)</f>
        <v>10000000</v>
      </c>
      <c r="E36" s="182">
        <v>70000000</v>
      </c>
      <c r="F36" s="182">
        <f t="shared" si="47"/>
        <v>80000000</v>
      </c>
      <c r="G36" s="170">
        <v>38</v>
      </c>
      <c r="H36" s="182">
        <f t="shared" si="49"/>
        <v>2105263</v>
      </c>
      <c r="I36" s="188"/>
      <c r="J36" s="188">
        <f t="shared" ref="J36:O36" si="92">IF(J$9=$B36,$F36,IF(I36&gt;0,I36-$H36,0))</f>
        <v>0</v>
      </c>
      <c r="K36" s="188">
        <f t="shared" si="92"/>
        <v>0</v>
      </c>
      <c r="L36" s="188">
        <f t="shared" si="92"/>
        <v>0</v>
      </c>
      <c r="M36" s="188">
        <f t="shared" si="92"/>
        <v>0</v>
      </c>
      <c r="N36" s="188">
        <f t="shared" si="92"/>
        <v>0</v>
      </c>
      <c r="O36" s="188">
        <f t="shared" si="92"/>
        <v>0</v>
      </c>
      <c r="P36" s="188">
        <f t="shared" ref="P36:BF36" si="93">IF(P$9=$B36,$F36,IF(O36&gt;0,O36-$H36,0))</f>
        <v>0</v>
      </c>
      <c r="Q36" s="188">
        <f t="shared" si="93"/>
        <v>0</v>
      </c>
      <c r="R36" s="188">
        <f t="shared" si="93"/>
        <v>0</v>
      </c>
      <c r="S36" s="188">
        <f t="shared" si="93"/>
        <v>0</v>
      </c>
      <c r="T36" s="188">
        <f t="shared" si="93"/>
        <v>0</v>
      </c>
      <c r="U36" s="188">
        <f t="shared" si="93"/>
        <v>0</v>
      </c>
      <c r="V36" s="188">
        <f t="shared" si="93"/>
        <v>0</v>
      </c>
      <c r="W36" s="188">
        <f t="shared" si="93"/>
        <v>0</v>
      </c>
      <c r="X36" s="188">
        <f t="shared" si="93"/>
        <v>0</v>
      </c>
      <c r="Y36" s="188">
        <f t="shared" si="93"/>
        <v>0</v>
      </c>
      <c r="Z36" s="188">
        <f t="shared" si="93"/>
        <v>0</v>
      </c>
      <c r="AA36" s="188">
        <f t="shared" si="93"/>
        <v>0</v>
      </c>
      <c r="AB36" s="188">
        <f t="shared" si="93"/>
        <v>0</v>
      </c>
      <c r="AC36" s="188">
        <f t="shared" si="93"/>
        <v>0</v>
      </c>
      <c r="AD36" s="188">
        <f t="shared" si="93"/>
        <v>0</v>
      </c>
      <c r="AE36" s="188">
        <f t="shared" si="93"/>
        <v>0</v>
      </c>
      <c r="AF36" s="188">
        <f t="shared" si="93"/>
        <v>0</v>
      </c>
      <c r="AG36" s="188">
        <f t="shared" si="93"/>
        <v>0</v>
      </c>
      <c r="AH36" s="188">
        <f t="shared" si="93"/>
        <v>0</v>
      </c>
      <c r="AI36" s="188">
        <f t="shared" si="93"/>
        <v>0</v>
      </c>
      <c r="AJ36" s="188">
        <f t="shared" si="93"/>
        <v>0</v>
      </c>
      <c r="AK36" s="188">
        <f t="shared" si="93"/>
        <v>0</v>
      </c>
      <c r="AL36" s="188">
        <f t="shared" si="93"/>
        <v>0</v>
      </c>
      <c r="AM36" s="188">
        <f t="shared" si="93"/>
        <v>0</v>
      </c>
      <c r="AN36" s="188">
        <f t="shared" si="93"/>
        <v>0</v>
      </c>
      <c r="AO36" s="188">
        <f t="shared" si="93"/>
        <v>80000000</v>
      </c>
      <c r="AP36" s="188">
        <f t="shared" si="93"/>
        <v>77894737</v>
      </c>
      <c r="AQ36" s="188">
        <f t="shared" si="93"/>
        <v>75789474</v>
      </c>
      <c r="AR36" s="188">
        <f t="shared" si="93"/>
        <v>73684211</v>
      </c>
      <c r="AS36" s="188">
        <f t="shared" si="93"/>
        <v>71578948</v>
      </c>
      <c r="AT36" s="188">
        <f t="shared" si="93"/>
        <v>69473685</v>
      </c>
      <c r="AU36" s="188">
        <f t="shared" si="93"/>
        <v>67368422</v>
      </c>
      <c r="AV36" s="188">
        <f t="shared" si="93"/>
        <v>65263159</v>
      </c>
      <c r="AW36" s="188">
        <f t="shared" si="93"/>
        <v>63157896</v>
      </c>
      <c r="AX36" s="188">
        <f t="shared" si="93"/>
        <v>61052633</v>
      </c>
      <c r="AY36" s="188">
        <f t="shared" si="93"/>
        <v>58947370</v>
      </c>
      <c r="AZ36" s="188">
        <f t="shared" si="93"/>
        <v>56842107</v>
      </c>
      <c r="BA36" s="188">
        <f t="shared" si="93"/>
        <v>54736844</v>
      </c>
      <c r="BB36" s="188">
        <f t="shared" si="93"/>
        <v>52631581</v>
      </c>
      <c r="BC36" s="188">
        <f t="shared" si="93"/>
        <v>50526318</v>
      </c>
      <c r="BD36" s="188">
        <f t="shared" si="93"/>
        <v>48421055</v>
      </c>
      <c r="BE36" s="188">
        <f t="shared" si="93"/>
        <v>46315792</v>
      </c>
      <c r="BF36" s="188">
        <f t="shared" si="93"/>
        <v>44210529</v>
      </c>
    </row>
    <row r="37" spans="2:58">
      <c r="B37" s="1" t="s">
        <v>51</v>
      </c>
      <c r="C37" s="182"/>
      <c r="D37" s="182">
        <f>(【成行】財政シミュ!AW86)</f>
        <v>10000000</v>
      </c>
      <c r="E37" s="182">
        <v>70000000</v>
      </c>
      <c r="F37" s="182">
        <f t="shared" si="47"/>
        <v>80000000</v>
      </c>
      <c r="G37" s="170">
        <v>38</v>
      </c>
      <c r="H37" s="182">
        <f t="shared" si="49"/>
        <v>2105263</v>
      </c>
      <c r="I37" s="188"/>
      <c r="J37" s="188">
        <f t="shared" ref="J37:O37" si="94">IF(J$9=$B37,$F37,IF(I37&gt;0,I37-$H37,0))</f>
        <v>0</v>
      </c>
      <c r="K37" s="188">
        <f t="shared" si="94"/>
        <v>0</v>
      </c>
      <c r="L37" s="188">
        <f t="shared" si="94"/>
        <v>0</v>
      </c>
      <c r="M37" s="188">
        <f t="shared" si="94"/>
        <v>0</v>
      </c>
      <c r="N37" s="188">
        <f t="shared" si="94"/>
        <v>0</v>
      </c>
      <c r="O37" s="188">
        <f t="shared" si="94"/>
        <v>0</v>
      </c>
      <c r="P37" s="188">
        <f t="shared" ref="P37:BF37" si="95">IF(P$9=$B37,$F37,IF(O37&gt;0,O37-$H37,0))</f>
        <v>0</v>
      </c>
      <c r="Q37" s="188">
        <f t="shared" si="95"/>
        <v>0</v>
      </c>
      <c r="R37" s="188">
        <f t="shared" si="95"/>
        <v>0</v>
      </c>
      <c r="S37" s="188">
        <f t="shared" si="95"/>
        <v>0</v>
      </c>
      <c r="T37" s="188">
        <f t="shared" si="95"/>
        <v>0</v>
      </c>
      <c r="U37" s="188">
        <f t="shared" si="95"/>
        <v>0</v>
      </c>
      <c r="V37" s="188">
        <f t="shared" si="95"/>
        <v>0</v>
      </c>
      <c r="W37" s="188">
        <f t="shared" si="95"/>
        <v>0</v>
      </c>
      <c r="X37" s="188">
        <f t="shared" si="95"/>
        <v>0</v>
      </c>
      <c r="Y37" s="188">
        <f t="shared" si="95"/>
        <v>0</v>
      </c>
      <c r="Z37" s="188">
        <f t="shared" si="95"/>
        <v>0</v>
      </c>
      <c r="AA37" s="188">
        <f t="shared" si="95"/>
        <v>0</v>
      </c>
      <c r="AB37" s="188">
        <f t="shared" si="95"/>
        <v>0</v>
      </c>
      <c r="AC37" s="188">
        <f t="shared" si="95"/>
        <v>0</v>
      </c>
      <c r="AD37" s="188">
        <f t="shared" si="95"/>
        <v>0</v>
      </c>
      <c r="AE37" s="188">
        <f t="shared" si="95"/>
        <v>0</v>
      </c>
      <c r="AF37" s="188">
        <f t="shared" si="95"/>
        <v>0</v>
      </c>
      <c r="AG37" s="188">
        <f t="shared" si="95"/>
        <v>0</v>
      </c>
      <c r="AH37" s="188">
        <f t="shared" si="95"/>
        <v>0</v>
      </c>
      <c r="AI37" s="188">
        <f t="shared" si="95"/>
        <v>0</v>
      </c>
      <c r="AJ37" s="188">
        <f t="shared" si="95"/>
        <v>0</v>
      </c>
      <c r="AK37" s="188">
        <f t="shared" si="95"/>
        <v>0</v>
      </c>
      <c r="AL37" s="188">
        <f t="shared" si="95"/>
        <v>0</v>
      </c>
      <c r="AM37" s="188">
        <f t="shared" si="95"/>
        <v>0</v>
      </c>
      <c r="AN37" s="188">
        <f t="shared" si="95"/>
        <v>0</v>
      </c>
      <c r="AO37" s="188">
        <f t="shared" si="95"/>
        <v>0</v>
      </c>
      <c r="AP37" s="188">
        <f t="shared" si="95"/>
        <v>80000000</v>
      </c>
      <c r="AQ37" s="188">
        <f t="shared" si="95"/>
        <v>77894737</v>
      </c>
      <c r="AR37" s="188">
        <f t="shared" si="95"/>
        <v>75789474</v>
      </c>
      <c r="AS37" s="188">
        <f t="shared" si="95"/>
        <v>73684211</v>
      </c>
      <c r="AT37" s="188">
        <f t="shared" si="95"/>
        <v>71578948</v>
      </c>
      <c r="AU37" s="188">
        <f t="shared" si="95"/>
        <v>69473685</v>
      </c>
      <c r="AV37" s="188">
        <f t="shared" si="95"/>
        <v>67368422</v>
      </c>
      <c r="AW37" s="188">
        <f t="shared" si="95"/>
        <v>65263159</v>
      </c>
      <c r="AX37" s="188">
        <f t="shared" si="95"/>
        <v>63157896</v>
      </c>
      <c r="AY37" s="188">
        <f t="shared" si="95"/>
        <v>61052633</v>
      </c>
      <c r="AZ37" s="188">
        <f t="shared" si="95"/>
        <v>58947370</v>
      </c>
      <c r="BA37" s="188">
        <f t="shared" si="95"/>
        <v>56842107</v>
      </c>
      <c r="BB37" s="188">
        <f t="shared" si="95"/>
        <v>54736844</v>
      </c>
      <c r="BC37" s="188">
        <f t="shared" si="95"/>
        <v>52631581</v>
      </c>
      <c r="BD37" s="188">
        <f t="shared" si="95"/>
        <v>50526318</v>
      </c>
      <c r="BE37" s="188">
        <f t="shared" si="95"/>
        <v>48421055</v>
      </c>
      <c r="BF37" s="188">
        <f t="shared" si="95"/>
        <v>46315792</v>
      </c>
    </row>
    <row r="38" spans="2:58">
      <c r="B38" s="1" t="s">
        <v>52</v>
      </c>
      <c r="C38" s="182"/>
      <c r="D38" s="182">
        <f>(【成行】財政シミュ!AX86)</f>
        <v>10000000</v>
      </c>
      <c r="E38" s="182">
        <v>50000000</v>
      </c>
      <c r="F38" s="182">
        <f t="shared" si="47"/>
        <v>60000000</v>
      </c>
      <c r="G38" s="170">
        <v>38</v>
      </c>
      <c r="H38" s="182">
        <f t="shared" si="49"/>
        <v>1578947</v>
      </c>
      <c r="I38" s="188"/>
      <c r="J38" s="188">
        <f t="shared" ref="J38:O38" si="96">IF(J$9=$B38,$F38,IF(I38&gt;0,I38-$H38,0))</f>
        <v>0</v>
      </c>
      <c r="K38" s="188">
        <f t="shared" si="96"/>
        <v>0</v>
      </c>
      <c r="L38" s="188">
        <f t="shared" si="96"/>
        <v>0</v>
      </c>
      <c r="M38" s="188">
        <f t="shared" si="96"/>
        <v>0</v>
      </c>
      <c r="N38" s="188">
        <f t="shared" si="96"/>
        <v>0</v>
      </c>
      <c r="O38" s="188">
        <f t="shared" si="96"/>
        <v>0</v>
      </c>
      <c r="P38" s="188">
        <f t="shared" ref="P38:BF38" si="97">IF(P$9=$B38,$F38,IF(O38&gt;0,O38-$H38,0))</f>
        <v>0</v>
      </c>
      <c r="Q38" s="188">
        <f t="shared" si="97"/>
        <v>0</v>
      </c>
      <c r="R38" s="188">
        <f t="shared" si="97"/>
        <v>0</v>
      </c>
      <c r="S38" s="188">
        <f t="shared" si="97"/>
        <v>0</v>
      </c>
      <c r="T38" s="188">
        <f t="shared" si="97"/>
        <v>0</v>
      </c>
      <c r="U38" s="188">
        <f t="shared" si="97"/>
        <v>0</v>
      </c>
      <c r="V38" s="188">
        <f t="shared" si="97"/>
        <v>0</v>
      </c>
      <c r="W38" s="188">
        <f t="shared" si="97"/>
        <v>0</v>
      </c>
      <c r="X38" s="188">
        <f t="shared" si="97"/>
        <v>0</v>
      </c>
      <c r="Y38" s="188">
        <f t="shared" si="97"/>
        <v>0</v>
      </c>
      <c r="Z38" s="188">
        <f t="shared" si="97"/>
        <v>0</v>
      </c>
      <c r="AA38" s="188">
        <f t="shared" si="97"/>
        <v>0</v>
      </c>
      <c r="AB38" s="188">
        <f t="shared" si="97"/>
        <v>0</v>
      </c>
      <c r="AC38" s="188">
        <f t="shared" si="97"/>
        <v>0</v>
      </c>
      <c r="AD38" s="188">
        <f t="shared" si="97"/>
        <v>0</v>
      </c>
      <c r="AE38" s="188">
        <f t="shared" si="97"/>
        <v>0</v>
      </c>
      <c r="AF38" s="188">
        <f t="shared" si="97"/>
        <v>0</v>
      </c>
      <c r="AG38" s="188">
        <f t="shared" si="97"/>
        <v>0</v>
      </c>
      <c r="AH38" s="188">
        <f t="shared" si="97"/>
        <v>0</v>
      </c>
      <c r="AI38" s="188">
        <f t="shared" si="97"/>
        <v>0</v>
      </c>
      <c r="AJ38" s="188">
        <f t="shared" si="97"/>
        <v>0</v>
      </c>
      <c r="AK38" s="188">
        <f t="shared" si="97"/>
        <v>0</v>
      </c>
      <c r="AL38" s="188">
        <f t="shared" si="97"/>
        <v>0</v>
      </c>
      <c r="AM38" s="188">
        <f t="shared" si="97"/>
        <v>0</v>
      </c>
      <c r="AN38" s="188">
        <f t="shared" si="97"/>
        <v>0</v>
      </c>
      <c r="AO38" s="188">
        <f t="shared" si="97"/>
        <v>0</v>
      </c>
      <c r="AP38" s="188">
        <f t="shared" si="97"/>
        <v>0</v>
      </c>
      <c r="AQ38" s="188">
        <f t="shared" si="97"/>
        <v>60000000</v>
      </c>
      <c r="AR38" s="188">
        <f t="shared" si="97"/>
        <v>58421053</v>
      </c>
      <c r="AS38" s="188">
        <f t="shared" si="97"/>
        <v>56842106</v>
      </c>
      <c r="AT38" s="188">
        <f t="shared" si="97"/>
        <v>55263159</v>
      </c>
      <c r="AU38" s="188">
        <f t="shared" si="97"/>
        <v>53684212</v>
      </c>
      <c r="AV38" s="188">
        <f t="shared" si="97"/>
        <v>52105265</v>
      </c>
      <c r="AW38" s="188">
        <f t="shared" si="97"/>
        <v>50526318</v>
      </c>
      <c r="AX38" s="188">
        <f t="shared" si="97"/>
        <v>48947371</v>
      </c>
      <c r="AY38" s="188">
        <f t="shared" si="97"/>
        <v>47368424</v>
      </c>
      <c r="AZ38" s="188">
        <f t="shared" si="97"/>
        <v>45789477</v>
      </c>
      <c r="BA38" s="188">
        <f t="shared" si="97"/>
        <v>44210530</v>
      </c>
      <c r="BB38" s="188">
        <f t="shared" si="97"/>
        <v>42631583</v>
      </c>
      <c r="BC38" s="188">
        <f t="shared" si="97"/>
        <v>41052636</v>
      </c>
      <c r="BD38" s="188">
        <f t="shared" si="97"/>
        <v>39473689</v>
      </c>
      <c r="BE38" s="188">
        <f t="shared" si="97"/>
        <v>37894742</v>
      </c>
      <c r="BF38" s="188">
        <f t="shared" si="97"/>
        <v>36315795</v>
      </c>
    </row>
    <row r="39" spans="2:58">
      <c r="B39" s="1" t="s">
        <v>53</v>
      </c>
      <c r="C39" s="182"/>
      <c r="D39" s="182">
        <f>(【成行】財政シミュ!AY86)</f>
        <v>10000000</v>
      </c>
      <c r="E39" s="182">
        <v>50000000</v>
      </c>
      <c r="F39" s="182">
        <f t="shared" si="47"/>
        <v>60000000</v>
      </c>
      <c r="G39" s="170">
        <v>38</v>
      </c>
      <c r="H39" s="182">
        <f t="shared" si="49"/>
        <v>1578947</v>
      </c>
      <c r="I39" s="188"/>
      <c r="J39" s="188">
        <f t="shared" ref="J39:O39" si="98">IF(J$9=$B39,$F39,IF(I39&gt;0,I39-$H39,0))</f>
        <v>0</v>
      </c>
      <c r="K39" s="188">
        <f t="shared" si="98"/>
        <v>0</v>
      </c>
      <c r="L39" s="188">
        <f t="shared" si="98"/>
        <v>0</v>
      </c>
      <c r="M39" s="188">
        <f t="shared" si="98"/>
        <v>0</v>
      </c>
      <c r="N39" s="188">
        <f t="shared" si="98"/>
        <v>0</v>
      </c>
      <c r="O39" s="188">
        <f t="shared" si="98"/>
        <v>0</v>
      </c>
      <c r="P39" s="188">
        <f t="shared" ref="P39:BF39" si="99">IF(P$9=$B39,$F39,IF(O39&gt;0,O39-$H39,0))</f>
        <v>0</v>
      </c>
      <c r="Q39" s="188">
        <f t="shared" si="99"/>
        <v>0</v>
      </c>
      <c r="R39" s="188">
        <f t="shared" si="99"/>
        <v>0</v>
      </c>
      <c r="S39" s="188">
        <f t="shared" si="99"/>
        <v>0</v>
      </c>
      <c r="T39" s="188">
        <f t="shared" si="99"/>
        <v>0</v>
      </c>
      <c r="U39" s="188">
        <f t="shared" si="99"/>
        <v>0</v>
      </c>
      <c r="V39" s="188">
        <f t="shared" si="99"/>
        <v>0</v>
      </c>
      <c r="W39" s="188">
        <f t="shared" si="99"/>
        <v>0</v>
      </c>
      <c r="X39" s="188">
        <f t="shared" si="99"/>
        <v>0</v>
      </c>
      <c r="Y39" s="188">
        <f t="shared" si="99"/>
        <v>0</v>
      </c>
      <c r="Z39" s="188">
        <f t="shared" si="99"/>
        <v>0</v>
      </c>
      <c r="AA39" s="188">
        <f t="shared" si="99"/>
        <v>0</v>
      </c>
      <c r="AB39" s="188">
        <f t="shared" si="99"/>
        <v>0</v>
      </c>
      <c r="AC39" s="188">
        <f t="shared" si="99"/>
        <v>0</v>
      </c>
      <c r="AD39" s="188">
        <f t="shared" si="99"/>
        <v>0</v>
      </c>
      <c r="AE39" s="188">
        <f t="shared" si="99"/>
        <v>0</v>
      </c>
      <c r="AF39" s="188">
        <f t="shared" si="99"/>
        <v>0</v>
      </c>
      <c r="AG39" s="188">
        <f t="shared" si="99"/>
        <v>0</v>
      </c>
      <c r="AH39" s="188">
        <f t="shared" si="99"/>
        <v>0</v>
      </c>
      <c r="AI39" s="188">
        <f t="shared" si="99"/>
        <v>0</v>
      </c>
      <c r="AJ39" s="188">
        <f t="shared" si="99"/>
        <v>0</v>
      </c>
      <c r="AK39" s="188">
        <f t="shared" si="99"/>
        <v>0</v>
      </c>
      <c r="AL39" s="188">
        <f t="shared" si="99"/>
        <v>0</v>
      </c>
      <c r="AM39" s="188">
        <f t="shared" si="99"/>
        <v>0</v>
      </c>
      <c r="AN39" s="188">
        <f t="shared" si="99"/>
        <v>0</v>
      </c>
      <c r="AO39" s="188">
        <f t="shared" si="99"/>
        <v>0</v>
      </c>
      <c r="AP39" s="188">
        <f t="shared" si="99"/>
        <v>0</v>
      </c>
      <c r="AQ39" s="188">
        <f t="shared" si="99"/>
        <v>0</v>
      </c>
      <c r="AR39" s="188">
        <f t="shared" si="99"/>
        <v>60000000</v>
      </c>
      <c r="AS39" s="188">
        <f t="shared" si="99"/>
        <v>58421053</v>
      </c>
      <c r="AT39" s="188">
        <f t="shared" si="99"/>
        <v>56842106</v>
      </c>
      <c r="AU39" s="188">
        <f t="shared" si="99"/>
        <v>55263159</v>
      </c>
      <c r="AV39" s="188">
        <f t="shared" si="99"/>
        <v>53684212</v>
      </c>
      <c r="AW39" s="188">
        <f t="shared" si="99"/>
        <v>52105265</v>
      </c>
      <c r="AX39" s="188">
        <f t="shared" si="99"/>
        <v>50526318</v>
      </c>
      <c r="AY39" s="188">
        <f t="shared" si="99"/>
        <v>48947371</v>
      </c>
      <c r="AZ39" s="188">
        <f t="shared" si="99"/>
        <v>47368424</v>
      </c>
      <c r="BA39" s="188">
        <f t="shared" si="99"/>
        <v>45789477</v>
      </c>
      <c r="BB39" s="188">
        <f t="shared" si="99"/>
        <v>44210530</v>
      </c>
      <c r="BC39" s="188">
        <f t="shared" si="99"/>
        <v>42631583</v>
      </c>
      <c r="BD39" s="188">
        <f t="shared" si="99"/>
        <v>41052636</v>
      </c>
      <c r="BE39" s="188">
        <f t="shared" si="99"/>
        <v>39473689</v>
      </c>
      <c r="BF39" s="188">
        <f t="shared" si="99"/>
        <v>37894742</v>
      </c>
    </row>
    <row r="40" spans="2:58">
      <c r="B40" s="1" t="s">
        <v>54</v>
      </c>
      <c r="C40" s="182"/>
      <c r="D40" s="182">
        <f>(【成行】財政シミュ!AZ86)</f>
        <v>10000000</v>
      </c>
      <c r="E40" s="182">
        <v>51000000</v>
      </c>
      <c r="F40" s="182">
        <f t="shared" si="47"/>
        <v>61000000</v>
      </c>
      <c r="G40" s="170">
        <v>38</v>
      </c>
      <c r="H40" s="182">
        <f t="shared" si="49"/>
        <v>1605263</v>
      </c>
      <c r="I40" s="188"/>
      <c r="J40" s="188">
        <f t="shared" ref="J40:O40" si="100">IF(J$9=$B40,$F40,IF(I40&gt;0,I40-$H40,0))</f>
        <v>0</v>
      </c>
      <c r="K40" s="188">
        <f t="shared" si="100"/>
        <v>0</v>
      </c>
      <c r="L40" s="188">
        <f t="shared" si="100"/>
        <v>0</v>
      </c>
      <c r="M40" s="188">
        <f t="shared" si="100"/>
        <v>0</v>
      </c>
      <c r="N40" s="188">
        <f t="shared" si="100"/>
        <v>0</v>
      </c>
      <c r="O40" s="188">
        <f t="shared" si="100"/>
        <v>0</v>
      </c>
      <c r="P40" s="188">
        <f t="shared" ref="P40:BF40" si="101">IF(P$9=$B40,$F40,IF(O40&gt;0,O40-$H40,0))</f>
        <v>0</v>
      </c>
      <c r="Q40" s="188">
        <f t="shared" si="101"/>
        <v>0</v>
      </c>
      <c r="R40" s="188">
        <f t="shared" si="101"/>
        <v>0</v>
      </c>
      <c r="S40" s="188">
        <f t="shared" si="101"/>
        <v>0</v>
      </c>
      <c r="T40" s="188">
        <f t="shared" si="101"/>
        <v>0</v>
      </c>
      <c r="U40" s="188">
        <f t="shared" si="101"/>
        <v>0</v>
      </c>
      <c r="V40" s="188">
        <f t="shared" si="101"/>
        <v>0</v>
      </c>
      <c r="W40" s="188">
        <f t="shared" si="101"/>
        <v>0</v>
      </c>
      <c r="X40" s="188">
        <f t="shared" si="101"/>
        <v>0</v>
      </c>
      <c r="Y40" s="188">
        <f t="shared" si="101"/>
        <v>0</v>
      </c>
      <c r="Z40" s="188">
        <f t="shared" si="101"/>
        <v>0</v>
      </c>
      <c r="AA40" s="188">
        <f t="shared" si="101"/>
        <v>0</v>
      </c>
      <c r="AB40" s="188">
        <f t="shared" si="101"/>
        <v>0</v>
      </c>
      <c r="AC40" s="188">
        <f t="shared" si="101"/>
        <v>0</v>
      </c>
      <c r="AD40" s="188">
        <f t="shared" si="101"/>
        <v>0</v>
      </c>
      <c r="AE40" s="188">
        <f t="shared" si="101"/>
        <v>0</v>
      </c>
      <c r="AF40" s="188">
        <f t="shared" si="101"/>
        <v>0</v>
      </c>
      <c r="AG40" s="188">
        <f t="shared" si="101"/>
        <v>0</v>
      </c>
      <c r="AH40" s="188">
        <f t="shared" si="101"/>
        <v>0</v>
      </c>
      <c r="AI40" s="188">
        <f t="shared" si="101"/>
        <v>0</v>
      </c>
      <c r="AJ40" s="188">
        <f t="shared" si="101"/>
        <v>0</v>
      </c>
      <c r="AK40" s="188">
        <f t="shared" si="101"/>
        <v>0</v>
      </c>
      <c r="AL40" s="188">
        <f t="shared" si="101"/>
        <v>0</v>
      </c>
      <c r="AM40" s="188">
        <f t="shared" si="101"/>
        <v>0</v>
      </c>
      <c r="AN40" s="188">
        <f t="shared" si="101"/>
        <v>0</v>
      </c>
      <c r="AO40" s="188">
        <f t="shared" si="101"/>
        <v>0</v>
      </c>
      <c r="AP40" s="188">
        <f t="shared" si="101"/>
        <v>0</v>
      </c>
      <c r="AQ40" s="188">
        <f t="shared" si="101"/>
        <v>0</v>
      </c>
      <c r="AR40" s="188">
        <f t="shared" si="101"/>
        <v>0</v>
      </c>
      <c r="AS40" s="188">
        <f t="shared" si="101"/>
        <v>61000000</v>
      </c>
      <c r="AT40" s="188">
        <f t="shared" si="101"/>
        <v>59394737</v>
      </c>
      <c r="AU40" s="188">
        <f t="shared" si="101"/>
        <v>57789474</v>
      </c>
      <c r="AV40" s="188">
        <f t="shared" si="101"/>
        <v>56184211</v>
      </c>
      <c r="AW40" s="188">
        <f t="shared" si="101"/>
        <v>54578948</v>
      </c>
      <c r="AX40" s="188">
        <f t="shared" si="101"/>
        <v>52973685</v>
      </c>
      <c r="AY40" s="188">
        <f t="shared" si="101"/>
        <v>51368422</v>
      </c>
      <c r="AZ40" s="188">
        <f t="shared" si="101"/>
        <v>49763159</v>
      </c>
      <c r="BA40" s="188">
        <f t="shared" si="101"/>
        <v>48157896</v>
      </c>
      <c r="BB40" s="188">
        <f t="shared" si="101"/>
        <v>46552633</v>
      </c>
      <c r="BC40" s="188">
        <f t="shared" si="101"/>
        <v>44947370</v>
      </c>
      <c r="BD40" s="188">
        <f t="shared" si="101"/>
        <v>43342107</v>
      </c>
      <c r="BE40" s="188">
        <f t="shared" si="101"/>
        <v>41736844</v>
      </c>
      <c r="BF40" s="188">
        <f t="shared" si="101"/>
        <v>40131581</v>
      </c>
    </row>
    <row r="41" spans="2:58">
      <c r="B41" s="1" t="s">
        <v>55</v>
      </c>
      <c r="C41" s="182"/>
      <c r="D41" s="182">
        <f>(【成行】財政シミュ!BA86)</f>
        <v>10000000</v>
      </c>
      <c r="E41" s="182">
        <v>51000000</v>
      </c>
      <c r="F41" s="182">
        <f t="shared" si="47"/>
        <v>61000000</v>
      </c>
      <c r="G41" s="170">
        <v>38</v>
      </c>
      <c r="H41" s="182">
        <f t="shared" si="49"/>
        <v>1605263</v>
      </c>
      <c r="I41" s="188"/>
      <c r="J41" s="188">
        <f t="shared" ref="J41:O41" si="102">IF(J$9=$B41,$F41,IF(I41&gt;0,I41-$H41,0))</f>
        <v>0</v>
      </c>
      <c r="K41" s="188">
        <f t="shared" si="102"/>
        <v>0</v>
      </c>
      <c r="L41" s="188">
        <f t="shared" si="102"/>
        <v>0</v>
      </c>
      <c r="M41" s="188">
        <f t="shared" si="102"/>
        <v>0</v>
      </c>
      <c r="N41" s="188">
        <f t="shared" si="102"/>
        <v>0</v>
      </c>
      <c r="O41" s="188">
        <f t="shared" si="102"/>
        <v>0</v>
      </c>
      <c r="P41" s="188">
        <f t="shared" ref="P41:BF41" si="103">IF(P$9=$B41,$F41,IF(O41&gt;0,O41-$H41,0))</f>
        <v>0</v>
      </c>
      <c r="Q41" s="188">
        <f t="shared" si="103"/>
        <v>0</v>
      </c>
      <c r="R41" s="188">
        <f t="shared" si="103"/>
        <v>0</v>
      </c>
      <c r="S41" s="188">
        <f t="shared" si="103"/>
        <v>0</v>
      </c>
      <c r="T41" s="188">
        <f t="shared" si="103"/>
        <v>0</v>
      </c>
      <c r="U41" s="188">
        <f t="shared" si="103"/>
        <v>0</v>
      </c>
      <c r="V41" s="188">
        <f t="shared" si="103"/>
        <v>0</v>
      </c>
      <c r="W41" s="188">
        <f t="shared" si="103"/>
        <v>0</v>
      </c>
      <c r="X41" s="188">
        <f t="shared" si="103"/>
        <v>0</v>
      </c>
      <c r="Y41" s="188">
        <f t="shared" si="103"/>
        <v>0</v>
      </c>
      <c r="Z41" s="188">
        <f t="shared" si="103"/>
        <v>0</v>
      </c>
      <c r="AA41" s="188">
        <f t="shared" si="103"/>
        <v>0</v>
      </c>
      <c r="AB41" s="188">
        <f t="shared" si="103"/>
        <v>0</v>
      </c>
      <c r="AC41" s="188">
        <f t="shared" si="103"/>
        <v>0</v>
      </c>
      <c r="AD41" s="188">
        <f t="shared" si="103"/>
        <v>0</v>
      </c>
      <c r="AE41" s="188">
        <f t="shared" si="103"/>
        <v>0</v>
      </c>
      <c r="AF41" s="188">
        <f t="shared" si="103"/>
        <v>0</v>
      </c>
      <c r="AG41" s="188">
        <f t="shared" si="103"/>
        <v>0</v>
      </c>
      <c r="AH41" s="188">
        <f t="shared" si="103"/>
        <v>0</v>
      </c>
      <c r="AI41" s="188">
        <f t="shared" si="103"/>
        <v>0</v>
      </c>
      <c r="AJ41" s="188">
        <f t="shared" si="103"/>
        <v>0</v>
      </c>
      <c r="AK41" s="188">
        <f t="shared" si="103"/>
        <v>0</v>
      </c>
      <c r="AL41" s="188">
        <f t="shared" si="103"/>
        <v>0</v>
      </c>
      <c r="AM41" s="188">
        <f t="shared" si="103"/>
        <v>0</v>
      </c>
      <c r="AN41" s="188">
        <f t="shared" si="103"/>
        <v>0</v>
      </c>
      <c r="AO41" s="188">
        <f t="shared" si="103"/>
        <v>0</v>
      </c>
      <c r="AP41" s="188">
        <f t="shared" si="103"/>
        <v>0</v>
      </c>
      <c r="AQ41" s="188">
        <f t="shared" si="103"/>
        <v>0</v>
      </c>
      <c r="AR41" s="188">
        <f t="shared" si="103"/>
        <v>0</v>
      </c>
      <c r="AS41" s="188">
        <f t="shared" si="103"/>
        <v>0</v>
      </c>
      <c r="AT41" s="188">
        <f t="shared" si="103"/>
        <v>61000000</v>
      </c>
      <c r="AU41" s="188">
        <f t="shared" si="103"/>
        <v>59394737</v>
      </c>
      <c r="AV41" s="188">
        <f t="shared" si="103"/>
        <v>57789474</v>
      </c>
      <c r="AW41" s="188">
        <f t="shared" si="103"/>
        <v>56184211</v>
      </c>
      <c r="AX41" s="188">
        <f t="shared" si="103"/>
        <v>54578948</v>
      </c>
      <c r="AY41" s="188">
        <f t="shared" si="103"/>
        <v>52973685</v>
      </c>
      <c r="AZ41" s="188">
        <f t="shared" si="103"/>
        <v>51368422</v>
      </c>
      <c r="BA41" s="188">
        <f t="shared" si="103"/>
        <v>49763159</v>
      </c>
      <c r="BB41" s="188">
        <f t="shared" si="103"/>
        <v>48157896</v>
      </c>
      <c r="BC41" s="188">
        <f t="shared" si="103"/>
        <v>46552633</v>
      </c>
      <c r="BD41" s="188">
        <f t="shared" si="103"/>
        <v>44947370</v>
      </c>
      <c r="BE41" s="188">
        <f t="shared" si="103"/>
        <v>43342107</v>
      </c>
      <c r="BF41" s="188">
        <f t="shared" si="103"/>
        <v>41736844</v>
      </c>
    </row>
    <row r="42" spans="2:58">
      <c r="B42" s="1" t="s">
        <v>56</v>
      </c>
      <c r="C42" s="182"/>
      <c r="D42" s="182">
        <f>(【成行】財政シミュ!BB86)</f>
        <v>10000000</v>
      </c>
      <c r="E42" s="182">
        <v>54000000</v>
      </c>
      <c r="F42" s="182">
        <f t="shared" si="47"/>
        <v>64000000</v>
      </c>
      <c r="G42" s="170">
        <v>38</v>
      </c>
      <c r="H42" s="182">
        <f t="shared" si="49"/>
        <v>1684211</v>
      </c>
      <c r="I42" s="188"/>
      <c r="J42" s="188">
        <f t="shared" ref="J42:O42" si="104">IF(J$9=$B42,$F42,IF(I42&gt;0,I42-$H42,0))</f>
        <v>0</v>
      </c>
      <c r="K42" s="188">
        <f t="shared" si="104"/>
        <v>0</v>
      </c>
      <c r="L42" s="188">
        <f t="shared" si="104"/>
        <v>0</v>
      </c>
      <c r="M42" s="188">
        <f t="shared" si="104"/>
        <v>0</v>
      </c>
      <c r="N42" s="188">
        <f t="shared" si="104"/>
        <v>0</v>
      </c>
      <c r="O42" s="188">
        <f t="shared" si="104"/>
        <v>0</v>
      </c>
      <c r="P42" s="188">
        <f t="shared" ref="P42:BF42" si="105">IF(P$9=$B42,$F42,IF(O42&gt;0,O42-$H42,0))</f>
        <v>0</v>
      </c>
      <c r="Q42" s="188">
        <f t="shared" si="105"/>
        <v>0</v>
      </c>
      <c r="R42" s="188">
        <f t="shared" si="105"/>
        <v>0</v>
      </c>
      <c r="S42" s="188">
        <f t="shared" si="105"/>
        <v>0</v>
      </c>
      <c r="T42" s="188">
        <f t="shared" si="105"/>
        <v>0</v>
      </c>
      <c r="U42" s="188">
        <f t="shared" si="105"/>
        <v>0</v>
      </c>
      <c r="V42" s="188">
        <f t="shared" si="105"/>
        <v>0</v>
      </c>
      <c r="W42" s="188">
        <f t="shared" si="105"/>
        <v>0</v>
      </c>
      <c r="X42" s="188">
        <f t="shared" si="105"/>
        <v>0</v>
      </c>
      <c r="Y42" s="188">
        <f t="shared" si="105"/>
        <v>0</v>
      </c>
      <c r="Z42" s="188">
        <f t="shared" si="105"/>
        <v>0</v>
      </c>
      <c r="AA42" s="188">
        <f t="shared" si="105"/>
        <v>0</v>
      </c>
      <c r="AB42" s="188">
        <f t="shared" si="105"/>
        <v>0</v>
      </c>
      <c r="AC42" s="188">
        <f t="shared" si="105"/>
        <v>0</v>
      </c>
      <c r="AD42" s="188">
        <f t="shared" si="105"/>
        <v>0</v>
      </c>
      <c r="AE42" s="188">
        <f t="shared" si="105"/>
        <v>0</v>
      </c>
      <c r="AF42" s="188">
        <f t="shared" si="105"/>
        <v>0</v>
      </c>
      <c r="AG42" s="188">
        <f t="shared" si="105"/>
        <v>0</v>
      </c>
      <c r="AH42" s="188">
        <f t="shared" si="105"/>
        <v>0</v>
      </c>
      <c r="AI42" s="188">
        <f t="shared" si="105"/>
        <v>0</v>
      </c>
      <c r="AJ42" s="188">
        <f t="shared" si="105"/>
        <v>0</v>
      </c>
      <c r="AK42" s="188">
        <f t="shared" si="105"/>
        <v>0</v>
      </c>
      <c r="AL42" s="188">
        <f t="shared" si="105"/>
        <v>0</v>
      </c>
      <c r="AM42" s="188">
        <f t="shared" si="105"/>
        <v>0</v>
      </c>
      <c r="AN42" s="188">
        <f t="shared" si="105"/>
        <v>0</v>
      </c>
      <c r="AO42" s="188">
        <f t="shared" si="105"/>
        <v>0</v>
      </c>
      <c r="AP42" s="188">
        <f t="shared" si="105"/>
        <v>0</v>
      </c>
      <c r="AQ42" s="188">
        <f t="shared" si="105"/>
        <v>0</v>
      </c>
      <c r="AR42" s="188">
        <f t="shared" si="105"/>
        <v>0</v>
      </c>
      <c r="AS42" s="188">
        <f t="shared" si="105"/>
        <v>0</v>
      </c>
      <c r="AT42" s="188">
        <f t="shared" si="105"/>
        <v>0</v>
      </c>
      <c r="AU42" s="188">
        <f t="shared" si="105"/>
        <v>64000000</v>
      </c>
      <c r="AV42" s="188">
        <f t="shared" si="105"/>
        <v>62315789</v>
      </c>
      <c r="AW42" s="188">
        <f t="shared" si="105"/>
        <v>60631578</v>
      </c>
      <c r="AX42" s="188">
        <f t="shared" si="105"/>
        <v>58947367</v>
      </c>
      <c r="AY42" s="188">
        <f t="shared" si="105"/>
        <v>57263156</v>
      </c>
      <c r="AZ42" s="188">
        <f t="shared" si="105"/>
        <v>55578945</v>
      </c>
      <c r="BA42" s="188">
        <f t="shared" si="105"/>
        <v>53894734</v>
      </c>
      <c r="BB42" s="188">
        <f t="shared" si="105"/>
        <v>52210523</v>
      </c>
      <c r="BC42" s="188">
        <f t="shared" si="105"/>
        <v>50526312</v>
      </c>
      <c r="BD42" s="188">
        <f t="shared" si="105"/>
        <v>48842101</v>
      </c>
      <c r="BE42" s="188">
        <f t="shared" si="105"/>
        <v>47157890</v>
      </c>
      <c r="BF42" s="188">
        <f t="shared" si="105"/>
        <v>45473679</v>
      </c>
    </row>
    <row r="43" spans="2:58">
      <c r="B43" s="1" t="s">
        <v>57</v>
      </c>
      <c r="C43" s="182"/>
      <c r="D43" s="182">
        <f>(【成行】財政シミュ!BC86)</f>
        <v>10000000</v>
      </c>
      <c r="E43" s="182">
        <v>70000000</v>
      </c>
      <c r="F43" s="182">
        <f t="shared" si="47"/>
        <v>80000000</v>
      </c>
      <c r="G43" s="170">
        <v>38</v>
      </c>
      <c r="H43" s="182">
        <f t="shared" si="49"/>
        <v>2105263</v>
      </c>
      <c r="I43" s="188"/>
      <c r="J43" s="188">
        <f t="shared" ref="J43:O43" si="106">IF(J$9=$B43,$F43,IF(I43&gt;0,I43-$H43,0))</f>
        <v>0</v>
      </c>
      <c r="K43" s="188">
        <f t="shared" si="106"/>
        <v>0</v>
      </c>
      <c r="L43" s="188">
        <f t="shared" si="106"/>
        <v>0</v>
      </c>
      <c r="M43" s="188">
        <f t="shared" si="106"/>
        <v>0</v>
      </c>
      <c r="N43" s="188">
        <f t="shared" si="106"/>
        <v>0</v>
      </c>
      <c r="O43" s="188">
        <f t="shared" si="106"/>
        <v>0</v>
      </c>
      <c r="P43" s="188">
        <f t="shared" ref="P43:BF43" si="107">IF(P$9=$B43,$F43,IF(O43&gt;0,O43-$H43,0))</f>
        <v>0</v>
      </c>
      <c r="Q43" s="188">
        <f t="shared" si="107"/>
        <v>0</v>
      </c>
      <c r="R43" s="188">
        <f t="shared" si="107"/>
        <v>0</v>
      </c>
      <c r="S43" s="188">
        <f t="shared" si="107"/>
        <v>0</v>
      </c>
      <c r="T43" s="188">
        <f t="shared" si="107"/>
        <v>0</v>
      </c>
      <c r="U43" s="188">
        <f t="shared" si="107"/>
        <v>0</v>
      </c>
      <c r="V43" s="188">
        <f t="shared" si="107"/>
        <v>0</v>
      </c>
      <c r="W43" s="188">
        <f t="shared" si="107"/>
        <v>0</v>
      </c>
      <c r="X43" s="188">
        <f t="shared" si="107"/>
        <v>0</v>
      </c>
      <c r="Y43" s="188">
        <f t="shared" si="107"/>
        <v>0</v>
      </c>
      <c r="Z43" s="188">
        <f t="shared" si="107"/>
        <v>0</v>
      </c>
      <c r="AA43" s="188">
        <f t="shared" si="107"/>
        <v>0</v>
      </c>
      <c r="AB43" s="188">
        <f t="shared" si="107"/>
        <v>0</v>
      </c>
      <c r="AC43" s="188">
        <f t="shared" si="107"/>
        <v>0</v>
      </c>
      <c r="AD43" s="188">
        <f t="shared" si="107"/>
        <v>0</v>
      </c>
      <c r="AE43" s="188">
        <f t="shared" si="107"/>
        <v>0</v>
      </c>
      <c r="AF43" s="188">
        <f t="shared" si="107"/>
        <v>0</v>
      </c>
      <c r="AG43" s="188">
        <f t="shared" si="107"/>
        <v>0</v>
      </c>
      <c r="AH43" s="188">
        <f t="shared" si="107"/>
        <v>0</v>
      </c>
      <c r="AI43" s="188">
        <f t="shared" si="107"/>
        <v>0</v>
      </c>
      <c r="AJ43" s="188">
        <f t="shared" si="107"/>
        <v>0</v>
      </c>
      <c r="AK43" s="188">
        <f t="shared" si="107"/>
        <v>0</v>
      </c>
      <c r="AL43" s="188">
        <f t="shared" si="107"/>
        <v>0</v>
      </c>
      <c r="AM43" s="188">
        <f t="shared" si="107"/>
        <v>0</v>
      </c>
      <c r="AN43" s="188">
        <f t="shared" si="107"/>
        <v>0</v>
      </c>
      <c r="AO43" s="188">
        <f t="shared" si="107"/>
        <v>0</v>
      </c>
      <c r="AP43" s="188">
        <f t="shared" si="107"/>
        <v>0</v>
      </c>
      <c r="AQ43" s="188">
        <f t="shared" si="107"/>
        <v>0</v>
      </c>
      <c r="AR43" s="188">
        <f t="shared" si="107"/>
        <v>0</v>
      </c>
      <c r="AS43" s="188">
        <f t="shared" si="107"/>
        <v>0</v>
      </c>
      <c r="AT43" s="188">
        <f t="shared" si="107"/>
        <v>0</v>
      </c>
      <c r="AU43" s="188">
        <f t="shared" si="107"/>
        <v>0</v>
      </c>
      <c r="AV43" s="188">
        <f t="shared" si="107"/>
        <v>80000000</v>
      </c>
      <c r="AW43" s="188">
        <f t="shared" si="107"/>
        <v>77894737</v>
      </c>
      <c r="AX43" s="188">
        <f t="shared" si="107"/>
        <v>75789474</v>
      </c>
      <c r="AY43" s="188">
        <f t="shared" si="107"/>
        <v>73684211</v>
      </c>
      <c r="AZ43" s="188">
        <f t="shared" si="107"/>
        <v>71578948</v>
      </c>
      <c r="BA43" s="188">
        <f t="shared" si="107"/>
        <v>69473685</v>
      </c>
      <c r="BB43" s="188">
        <f t="shared" si="107"/>
        <v>67368422</v>
      </c>
      <c r="BC43" s="188">
        <f t="shared" si="107"/>
        <v>65263159</v>
      </c>
      <c r="BD43" s="188">
        <f t="shared" si="107"/>
        <v>63157896</v>
      </c>
      <c r="BE43" s="188">
        <f t="shared" si="107"/>
        <v>61052633</v>
      </c>
      <c r="BF43" s="188">
        <f t="shared" si="107"/>
        <v>58947370</v>
      </c>
    </row>
    <row r="44" spans="2:58">
      <c r="B44" s="1" t="s">
        <v>58</v>
      </c>
      <c r="C44" s="182"/>
      <c r="D44" s="182">
        <f>(【成行】財政シミュ!BD86)</f>
        <v>10000000</v>
      </c>
      <c r="E44" s="182">
        <v>70000000</v>
      </c>
      <c r="F44" s="182">
        <f t="shared" si="47"/>
        <v>80000000</v>
      </c>
      <c r="G44" s="170">
        <v>38</v>
      </c>
      <c r="H44" s="182">
        <f t="shared" si="49"/>
        <v>2105263</v>
      </c>
      <c r="I44" s="188"/>
      <c r="J44" s="188">
        <f t="shared" ref="J44:O44" si="108">IF(J$9=$B44,$F44,IF(I44&gt;0,I44-$H44,0))</f>
        <v>0</v>
      </c>
      <c r="K44" s="188">
        <f t="shared" si="108"/>
        <v>0</v>
      </c>
      <c r="L44" s="188">
        <f t="shared" si="108"/>
        <v>0</v>
      </c>
      <c r="M44" s="188">
        <f t="shared" si="108"/>
        <v>0</v>
      </c>
      <c r="N44" s="188">
        <f t="shared" si="108"/>
        <v>0</v>
      </c>
      <c r="O44" s="188">
        <f t="shared" si="108"/>
        <v>0</v>
      </c>
      <c r="P44" s="188">
        <f t="shared" ref="P44:BF44" si="109">IF(P$9=$B44,$F44,IF(O44&gt;0,O44-$H44,0))</f>
        <v>0</v>
      </c>
      <c r="Q44" s="188">
        <f t="shared" si="109"/>
        <v>0</v>
      </c>
      <c r="R44" s="188">
        <f t="shared" si="109"/>
        <v>0</v>
      </c>
      <c r="S44" s="188">
        <f t="shared" si="109"/>
        <v>0</v>
      </c>
      <c r="T44" s="188">
        <f t="shared" si="109"/>
        <v>0</v>
      </c>
      <c r="U44" s="188">
        <f t="shared" si="109"/>
        <v>0</v>
      </c>
      <c r="V44" s="188">
        <f t="shared" si="109"/>
        <v>0</v>
      </c>
      <c r="W44" s="188">
        <f t="shared" si="109"/>
        <v>0</v>
      </c>
      <c r="X44" s="188">
        <f t="shared" si="109"/>
        <v>0</v>
      </c>
      <c r="Y44" s="188">
        <f t="shared" si="109"/>
        <v>0</v>
      </c>
      <c r="Z44" s="188">
        <f t="shared" si="109"/>
        <v>0</v>
      </c>
      <c r="AA44" s="188">
        <f t="shared" si="109"/>
        <v>0</v>
      </c>
      <c r="AB44" s="188">
        <f t="shared" si="109"/>
        <v>0</v>
      </c>
      <c r="AC44" s="188">
        <f t="shared" si="109"/>
        <v>0</v>
      </c>
      <c r="AD44" s="188">
        <f t="shared" si="109"/>
        <v>0</v>
      </c>
      <c r="AE44" s="188">
        <f t="shared" si="109"/>
        <v>0</v>
      </c>
      <c r="AF44" s="188">
        <f t="shared" si="109"/>
        <v>0</v>
      </c>
      <c r="AG44" s="188">
        <f t="shared" si="109"/>
        <v>0</v>
      </c>
      <c r="AH44" s="188">
        <f t="shared" si="109"/>
        <v>0</v>
      </c>
      <c r="AI44" s="188">
        <f t="shared" si="109"/>
        <v>0</v>
      </c>
      <c r="AJ44" s="188">
        <f t="shared" si="109"/>
        <v>0</v>
      </c>
      <c r="AK44" s="188">
        <f t="shared" si="109"/>
        <v>0</v>
      </c>
      <c r="AL44" s="188">
        <f t="shared" si="109"/>
        <v>0</v>
      </c>
      <c r="AM44" s="188">
        <f t="shared" si="109"/>
        <v>0</v>
      </c>
      <c r="AN44" s="188">
        <f t="shared" si="109"/>
        <v>0</v>
      </c>
      <c r="AO44" s="188">
        <f t="shared" si="109"/>
        <v>0</v>
      </c>
      <c r="AP44" s="188">
        <f t="shared" si="109"/>
        <v>0</v>
      </c>
      <c r="AQ44" s="188">
        <f t="shared" si="109"/>
        <v>0</v>
      </c>
      <c r="AR44" s="188">
        <f t="shared" si="109"/>
        <v>0</v>
      </c>
      <c r="AS44" s="188">
        <f t="shared" si="109"/>
        <v>0</v>
      </c>
      <c r="AT44" s="188">
        <f t="shared" si="109"/>
        <v>0</v>
      </c>
      <c r="AU44" s="188">
        <f t="shared" si="109"/>
        <v>0</v>
      </c>
      <c r="AV44" s="188">
        <f t="shared" si="109"/>
        <v>0</v>
      </c>
      <c r="AW44" s="188">
        <f t="shared" si="109"/>
        <v>80000000</v>
      </c>
      <c r="AX44" s="188">
        <f t="shared" si="109"/>
        <v>77894737</v>
      </c>
      <c r="AY44" s="188">
        <f t="shared" si="109"/>
        <v>75789474</v>
      </c>
      <c r="AZ44" s="188">
        <f t="shared" si="109"/>
        <v>73684211</v>
      </c>
      <c r="BA44" s="188">
        <f t="shared" si="109"/>
        <v>71578948</v>
      </c>
      <c r="BB44" s="188">
        <f t="shared" si="109"/>
        <v>69473685</v>
      </c>
      <c r="BC44" s="188">
        <f t="shared" si="109"/>
        <v>67368422</v>
      </c>
      <c r="BD44" s="188">
        <f t="shared" si="109"/>
        <v>65263159</v>
      </c>
      <c r="BE44" s="188">
        <f t="shared" si="109"/>
        <v>63157896</v>
      </c>
      <c r="BF44" s="188">
        <f t="shared" si="109"/>
        <v>61052633</v>
      </c>
    </row>
    <row r="45" spans="2:58">
      <c r="B45" s="1" t="s">
        <v>59</v>
      </c>
      <c r="C45" s="182"/>
      <c r="D45" s="182">
        <f>(【成行】財政シミュ!BE86)</f>
        <v>10000000</v>
      </c>
      <c r="E45" s="182">
        <v>70000000</v>
      </c>
      <c r="F45" s="182">
        <f t="shared" si="47"/>
        <v>80000000</v>
      </c>
      <c r="G45" s="170">
        <v>38</v>
      </c>
      <c r="H45" s="182">
        <f t="shared" si="49"/>
        <v>2105263</v>
      </c>
      <c r="I45" s="188"/>
      <c r="J45" s="188">
        <f t="shared" ref="J45:O45" si="110">IF(J$9=$B45,$F45,IF(I45&gt;0,I45-$H45,0))</f>
        <v>0</v>
      </c>
      <c r="K45" s="188">
        <f t="shared" si="110"/>
        <v>0</v>
      </c>
      <c r="L45" s="188">
        <f t="shared" si="110"/>
        <v>0</v>
      </c>
      <c r="M45" s="188">
        <f t="shared" si="110"/>
        <v>0</v>
      </c>
      <c r="N45" s="188">
        <f t="shared" si="110"/>
        <v>0</v>
      </c>
      <c r="O45" s="188">
        <f t="shared" si="110"/>
        <v>0</v>
      </c>
      <c r="P45" s="188">
        <f t="shared" ref="P45:BF45" si="111">IF(P$9=$B45,$F45,IF(O45&gt;0,O45-$H45,0))</f>
        <v>0</v>
      </c>
      <c r="Q45" s="188">
        <f t="shared" si="111"/>
        <v>0</v>
      </c>
      <c r="R45" s="188">
        <f t="shared" si="111"/>
        <v>0</v>
      </c>
      <c r="S45" s="188">
        <f t="shared" si="111"/>
        <v>0</v>
      </c>
      <c r="T45" s="188">
        <f t="shared" si="111"/>
        <v>0</v>
      </c>
      <c r="U45" s="188">
        <f t="shared" si="111"/>
        <v>0</v>
      </c>
      <c r="V45" s="188">
        <f t="shared" si="111"/>
        <v>0</v>
      </c>
      <c r="W45" s="188">
        <f t="shared" si="111"/>
        <v>0</v>
      </c>
      <c r="X45" s="188">
        <f t="shared" si="111"/>
        <v>0</v>
      </c>
      <c r="Y45" s="188">
        <f t="shared" si="111"/>
        <v>0</v>
      </c>
      <c r="Z45" s="188">
        <f t="shared" si="111"/>
        <v>0</v>
      </c>
      <c r="AA45" s="188">
        <f t="shared" si="111"/>
        <v>0</v>
      </c>
      <c r="AB45" s="188">
        <f t="shared" si="111"/>
        <v>0</v>
      </c>
      <c r="AC45" s="188">
        <f t="shared" si="111"/>
        <v>0</v>
      </c>
      <c r="AD45" s="188">
        <f t="shared" si="111"/>
        <v>0</v>
      </c>
      <c r="AE45" s="188">
        <f t="shared" si="111"/>
        <v>0</v>
      </c>
      <c r="AF45" s="188">
        <f t="shared" si="111"/>
        <v>0</v>
      </c>
      <c r="AG45" s="188">
        <f t="shared" si="111"/>
        <v>0</v>
      </c>
      <c r="AH45" s="188">
        <f t="shared" si="111"/>
        <v>0</v>
      </c>
      <c r="AI45" s="188">
        <f t="shared" si="111"/>
        <v>0</v>
      </c>
      <c r="AJ45" s="188">
        <f t="shared" si="111"/>
        <v>0</v>
      </c>
      <c r="AK45" s="188">
        <f t="shared" si="111"/>
        <v>0</v>
      </c>
      <c r="AL45" s="188">
        <f t="shared" si="111"/>
        <v>0</v>
      </c>
      <c r="AM45" s="188">
        <f t="shared" si="111"/>
        <v>0</v>
      </c>
      <c r="AN45" s="188">
        <f t="shared" si="111"/>
        <v>0</v>
      </c>
      <c r="AO45" s="188">
        <f t="shared" si="111"/>
        <v>0</v>
      </c>
      <c r="AP45" s="188">
        <f t="shared" si="111"/>
        <v>0</v>
      </c>
      <c r="AQ45" s="188">
        <f t="shared" si="111"/>
        <v>0</v>
      </c>
      <c r="AR45" s="188">
        <f t="shared" si="111"/>
        <v>0</v>
      </c>
      <c r="AS45" s="188">
        <f t="shared" si="111"/>
        <v>0</v>
      </c>
      <c r="AT45" s="188">
        <f t="shared" si="111"/>
        <v>0</v>
      </c>
      <c r="AU45" s="188">
        <f t="shared" si="111"/>
        <v>0</v>
      </c>
      <c r="AV45" s="188">
        <f t="shared" si="111"/>
        <v>0</v>
      </c>
      <c r="AW45" s="188">
        <f t="shared" si="111"/>
        <v>0</v>
      </c>
      <c r="AX45" s="188">
        <f t="shared" si="111"/>
        <v>80000000</v>
      </c>
      <c r="AY45" s="188">
        <f t="shared" si="111"/>
        <v>77894737</v>
      </c>
      <c r="AZ45" s="188">
        <f t="shared" si="111"/>
        <v>75789474</v>
      </c>
      <c r="BA45" s="188">
        <f t="shared" si="111"/>
        <v>73684211</v>
      </c>
      <c r="BB45" s="188">
        <f t="shared" si="111"/>
        <v>71578948</v>
      </c>
      <c r="BC45" s="188">
        <f t="shared" si="111"/>
        <v>69473685</v>
      </c>
      <c r="BD45" s="188">
        <f t="shared" si="111"/>
        <v>67368422</v>
      </c>
      <c r="BE45" s="188">
        <f t="shared" si="111"/>
        <v>65263159</v>
      </c>
      <c r="BF45" s="188">
        <f t="shared" si="111"/>
        <v>63157896</v>
      </c>
    </row>
    <row r="46" spans="2:58">
      <c r="B46" s="1" t="s">
        <v>60</v>
      </c>
      <c r="C46" s="182"/>
      <c r="D46" s="182">
        <f>(【成行】財政シミュ!BF86)</f>
        <v>10000000</v>
      </c>
      <c r="E46" s="182">
        <v>50000000</v>
      </c>
      <c r="F46" s="182">
        <f t="shared" si="47"/>
        <v>60000000</v>
      </c>
      <c r="G46" s="170">
        <v>38</v>
      </c>
      <c r="H46" s="182">
        <f t="shared" si="49"/>
        <v>1578947</v>
      </c>
      <c r="I46" s="188"/>
      <c r="J46" s="188">
        <f t="shared" ref="J46:O46" si="112">IF(J$9=$B46,$F46,IF(I46&gt;0,I46-$H46,0))</f>
        <v>0</v>
      </c>
      <c r="K46" s="188">
        <f t="shared" si="112"/>
        <v>0</v>
      </c>
      <c r="L46" s="188">
        <f t="shared" si="112"/>
        <v>0</v>
      </c>
      <c r="M46" s="188">
        <f t="shared" si="112"/>
        <v>0</v>
      </c>
      <c r="N46" s="188">
        <f t="shared" si="112"/>
        <v>0</v>
      </c>
      <c r="O46" s="188">
        <f t="shared" si="112"/>
        <v>0</v>
      </c>
      <c r="P46" s="188">
        <f t="shared" ref="P46:BF46" si="113">IF(P$9=$B46,$F46,IF(O46&gt;0,O46-$H46,0))</f>
        <v>0</v>
      </c>
      <c r="Q46" s="188">
        <f t="shared" si="113"/>
        <v>0</v>
      </c>
      <c r="R46" s="188">
        <f t="shared" si="113"/>
        <v>0</v>
      </c>
      <c r="S46" s="188">
        <f t="shared" si="113"/>
        <v>0</v>
      </c>
      <c r="T46" s="188">
        <f t="shared" si="113"/>
        <v>0</v>
      </c>
      <c r="U46" s="188">
        <f t="shared" si="113"/>
        <v>0</v>
      </c>
      <c r="V46" s="188">
        <f t="shared" si="113"/>
        <v>0</v>
      </c>
      <c r="W46" s="188">
        <f t="shared" si="113"/>
        <v>0</v>
      </c>
      <c r="X46" s="188">
        <f t="shared" si="113"/>
        <v>0</v>
      </c>
      <c r="Y46" s="188">
        <f t="shared" si="113"/>
        <v>0</v>
      </c>
      <c r="Z46" s="188">
        <f t="shared" si="113"/>
        <v>0</v>
      </c>
      <c r="AA46" s="188">
        <f t="shared" si="113"/>
        <v>0</v>
      </c>
      <c r="AB46" s="188">
        <f t="shared" si="113"/>
        <v>0</v>
      </c>
      <c r="AC46" s="188">
        <f t="shared" si="113"/>
        <v>0</v>
      </c>
      <c r="AD46" s="188">
        <f t="shared" si="113"/>
        <v>0</v>
      </c>
      <c r="AE46" s="188">
        <f t="shared" si="113"/>
        <v>0</v>
      </c>
      <c r="AF46" s="188">
        <f t="shared" si="113"/>
        <v>0</v>
      </c>
      <c r="AG46" s="188">
        <f t="shared" si="113"/>
        <v>0</v>
      </c>
      <c r="AH46" s="188">
        <f t="shared" si="113"/>
        <v>0</v>
      </c>
      <c r="AI46" s="188">
        <f t="shared" si="113"/>
        <v>0</v>
      </c>
      <c r="AJ46" s="188">
        <f t="shared" si="113"/>
        <v>0</v>
      </c>
      <c r="AK46" s="188">
        <f t="shared" si="113"/>
        <v>0</v>
      </c>
      <c r="AL46" s="188">
        <f t="shared" si="113"/>
        <v>0</v>
      </c>
      <c r="AM46" s="188">
        <f t="shared" si="113"/>
        <v>0</v>
      </c>
      <c r="AN46" s="188">
        <f t="shared" si="113"/>
        <v>0</v>
      </c>
      <c r="AO46" s="188">
        <f t="shared" si="113"/>
        <v>0</v>
      </c>
      <c r="AP46" s="188">
        <f t="shared" si="113"/>
        <v>0</v>
      </c>
      <c r="AQ46" s="188">
        <f t="shared" si="113"/>
        <v>0</v>
      </c>
      <c r="AR46" s="188">
        <f t="shared" si="113"/>
        <v>0</v>
      </c>
      <c r="AS46" s="188">
        <f t="shared" si="113"/>
        <v>0</v>
      </c>
      <c r="AT46" s="188">
        <f t="shared" si="113"/>
        <v>0</v>
      </c>
      <c r="AU46" s="188">
        <f t="shared" si="113"/>
        <v>0</v>
      </c>
      <c r="AV46" s="188">
        <f t="shared" si="113"/>
        <v>0</v>
      </c>
      <c r="AW46" s="188">
        <f t="shared" si="113"/>
        <v>0</v>
      </c>
      <c r="AX46" s="188">
        <f t="shared" si="113"/>
        <v>0</v>
      </c>
      <c r="AY46" s="188">
        <f t="shared" si="113"/>
        <v>60000000</v>
      </c>
      <c r="AZ46" s="188">
        <f t="shared" si="113"/>
        <v>58421053</v>
      </c>
      <c r="BA46" s="188">
        <f t="shared" si="113"/>
        <v>56842106</v>
      </c>
      <c r="BB46" s="188">
        <f t="shared" si="113"/>
        <v>55263159</v>
      </c>
      <c r="BC46" s="188">
        <f t="shared" si="113"/>
        <v>53684212</v>
      </c>
      <c r="BD46" s="188">
        <f t="shared" si="113"/>
        <v>52105265</v>
      </c>
      <c r="BE46" s="188">
        <f t="shared" si="113"/>
        <v>50526318</v>
      </c>
      <c r="BF46" s="188">
        <f t="shared" si="113"/>
        <v>48947371</v>
      </c>
    </row>
    <row r="47" spans="2:58">
      <c r="B47" s="1" t="s">
        <v>61</v>
      </c>
      <c r="C47" s="182"/>
      <c r="D47" s="182">
        <f>(【成行】財政シミュ!BG86)</f>
        <v>10000000</v>
      </c>
      <c r="E47" s="182">
        <v>50000000</v>
      </c>
      <c r="F47" s="182">
        <f t="shared" si="47"/>
        <v>60000000</v>
      </c>
      <c r="G47" s="170">
        <v>38</v>
      </c>
      <c r="H47" s="182">
        <f t="shared" si="49"/>
        <v>1578947</v>
      </c>
      <c r="I47" s="188"/>
      <c r="J47" s="188">
        <f t="shared" ref="J47:O47" si="114">IF(J$9=$B47,$F47,IF(I47&gt;0,I47-$H47,0))</f>
        <v>0</v>
      </c>
      <c r="K47" s="188">
        <f t="shared" si="114"/>
        <v>0</v>
      </c>
      <c r="L47" s="188">
        <f t="shared" si="114"/>
        <v>0</v>
      </c>
      <c r="M47" s="188">
        <f t="shared" si="114"/>
        <v>0</v>
      </c>
      <c r="N47" s="188">
        <f t="shared" si="114"/>
        <v>0</v>
      </c>
      <c r="O47" s="188">
        <f t="shared" si="114"/>
        <v>0</v>
      </c>
      <c r="P47" s="188">
        <f t="shared" ref="P47:BF47" si="115">IF(P$9=$B47,$F47,IF(O47&gt;0,O47-$H47,0))</f>
        <v>0</v>
      </c>
      <c r="Q47" s="188">
        <f t="shared" si="115"/>
        <v>0</v>
      </c>
      <c r="R47" s="188">
        <f t="shared" si="115"/>
        <v>0</v>
      </c>
      <c r="S47" s="188">
        <f t="shared" si="115"/>
        <v>0</v>
      </c>
      <c r="T47" s="188">
        <f t="shared" si="115"/>
        <v>0</v>
      </c>
      <c r="U47" s="188">
        <f t="shared" si="115"/>
        <v>0</v>
      </c>
      <c r="V47" s="188">
        <f t="shared" si="115"/>
        <v>0</v>
      </c>
      <c r="W47" s="188">
        <f t="shared" si="115"/>
        <v>0</v>
      </c>
      <c r="X47" s="188">
        <f t="shared" si="115"/>
        <v>0</v>
      </c>
      <c r="Y47" s="188">
        <f t="shared" si="115"/>
        <v>0</v>
      </c>
      <c r="Z47" s="188">
        <f t="shared" si="115"/>
        <v>0</v>
      </c>
      <c r="AA47" s="188">
        <f t="shared" si="115"/>
        <v>0</v>
      </c>
      <c r="AB47" s="188">
        <f t="shared" si="115"/>
        <v>0</v>
      </c>
      <c r="AC47" s="188">
        <f t="shared" si="115"/>
        <v>0</v>
      </c>
      <c r="AD47" s="188">
        <f t="shared" si="115"/>
        <v>0</v>
      </c>
      <c r="AE47" s="188">
        <f t="shared" si="115"/>
        <v>0</v>
      </c>
      <c r="AF47" s="188">
        <f t="shared" si="115"/>
        <v>0</v>
      </c>
      <c r="AG47" s="188">
        <f t="shared" si="115"/>
        <v>0</v>
      </c>
      <c r="AH47" s="188">
        <f t="shared" si="115"/>
        <v>0</v>
      </c>
      <c r="AI47" s="188">
        <f t="shared" si="115"/>
        <v>0</v>
      </c>
      <c r="AJ47" s="188">
        <f t="shared" si="115"/>
        <v>0</v>
      </c>
      <c r="AK47" s="188">
        <f t="shared" si="115"/>
        <v>0</v>
      </c>
      <c r="AL47" s="188">
        <f t="shared" si="115"/>
        <v>0</v>
      </c>
      <c r="AM47" s="188">
        <f t="shared" si="115"/>
        <v>0</v>
      </c>
      <c r="AN47" s="188">
        <f t="shared" si="115"/>
        <v>0</v>
      </c>
      <c r="AO47" s="188">
        <f t="shared" si="115"/>
        <v>0</v>
      </c>
      <c r="AP47" s="188">
        <f t="shared" si="115"/>
        <v>0</v>
      </c>
      <c r="AQ47" s="188">
        <f t="shared" si="115"/>
        <v>0</v>
      </c>
      <c r="AR47" s="188">
        <f t="shared" si="115"/>
        <v>0</v>
      </c>
      <c r="AS47" s="188">
        <f t="shared" si="115"/>
        <v>0</v>
      </c>
      <c r="AT47" s="188">
        <f t="shared" si="115"/>
        <v>0</v>
      </c>
      <c r="AU47" s="188">
        <f t="shared" si="115"/>
        <v>0</v>
      </c>
      <c r="AV47" s="188">
        <f t="shared" si="115"/>
        <v>0</v>
      </c>
      <c r="AW47" s="188">
        <f t="shared" si="115"/>
        <v>0</v>
      </c>
      <c r="AX47" s="188">
        <f t="shared" si="115"/>
        <v>0</v>
      </c>
      <c r="AY47" s="188">
        <f t="shared" si="115"/>
        <v>0</v>
      </c>
      <c r="AZ47" s="188">
        <f t="shared" si="115"/>
        <v>60000000</v>
      </c>
      <c r="BA47" s="188">
        <f t="shared" si="115"/>
        <v>58421053</v>
      </c>
      <c r="BB47" s="188">
        <f t="shared" si="115"/>
        <v>56842106</v>
      </c>
      <c r="BC47" s="188">
        <f t="shared" si="115"/>
        <v>55263159</v>
      </c>
      <c r="BD47" s="188">
        <f t="shared" si="115"/>
        <v>53684212</v>
      </c>
      <c r="BE47" s="188">
        <f t="shared" si="115"/>
        <v>52105265</v>
      </c>
      <c r="BF47" s="188">
        <f t="shared" si="115"/>
        <v>50526318</v>
      </c>
    </row>
    <row r="48" spans="2:58">
      <c r="B48" s="1" t="s">
        <v>62</v>
      </c>
      <c r="C48" s="182"/>
      <c r="D48" s="182">
        <f>(【成行】財政シミュ!BH86)</f>
        <v>10000000</v>
      </c>
      <c r="E48" s="182">
        <v>51000000</v>
      </c>
      <c r="F48" s="182">
        <f t="shared" si="47"/>
        <v>61000000</v>
      </c>
      <c r="G48" s="170">
        <v>38</v>
      </c>
      <c r="H48" s="182">
        <f t="shared" si="49"/>
        <v>1605263</v>
      </c>
      <c r="I48" s="188"/>
      <c r="J48" s="188">
        <f t="shared" ref="J48:O48" si="116">IF(J$9=$B48,$F48,IF(I48&gt;0,I48-$H48,0))</f>
        <v>0</v>
      </c>
      <c r="K48" s="188">
        <f t="shared" si="116"/>
        <v>0</v>
      </c>
      <c r="L48" s="188">
        <f t="shared" si="116"/>
        <v>0</v>
      </c>
      <c r="M48" s="188">
        <f t="shared" si="116"/>
        <v>0</v>
      </c>
      <c r="N48" s="188">
        <f t="shared" si="116"/>
        <v>0</v>
      </c>
      <c r="O48" s="188">
        <f t="shared" si="116"/>
        <v>0</v>
      </c>
      <c r="P48" s="188">
        <f t="shared" ref="P48:BF48" si="117">IF(P$9=$B48,$F48,IF(O48&gt;0,O48-$H48,0))</f>
        <v>0</v>
      </c>
      <c r="Q48" s="188">
        <f t="shared" si="117"/>
        <v>0</v>
      </c>
      <c r="R48" s="188">
        <f t="shared" si="117"/>
        <v>0</v>
      </c>
      <c r="S48" s="188">
        <f t="shared" si="117"/>
        <v>0</v>
      </c>
      <c r="T48" s="188">
        <f t="shared" si="117"/>
        <v>0</v>
      </c>
      <c r="U48" s="188">
        <f t="shared" si="117"/>
        <v>0</v>
      </c>
      <c r="V48" s="188">
        <f t="shared" si="117"/>
        <v>0</v>
      </c>
      <c r="W48" s="188">
        <f t="shared" si="117"/>
        <v>0</v>
      </c>
      <c r="X48" s="188">
        <f t="shared" si="117"/>
        <v>0</v>
      </c>
      <c r="Y48" s="188">
        <f t="shared" si="117"/>
        <v>0</v>
      </c>
      <c r="Z48" s="188">
        <f t="shared" si="117"/>
        <v>0</v>
      </c>
      <c r="AA48" s="188">
        <f t="shared" si="117"/>
        <v>0</v>
      </c>
      <c r="AB48" s="188">
        <f t="shared" si="117"/>
        <v>0</v>
      </c>
      <c r="AC48" s="188">
        <f t="shared" si="117"/>
        <v>0</v>
      </c>
      <c r="AD48" s="188">
        <f t="shared" si="117"/>
        <v>0</v>
      </c>
      <c r="AE48" s="188">
        <f t="shared" si="117"/>
        <v>0</v>
      </c>
      <c r="AF48" s="188">
        <f t="shared" si="117"/>
        <v>0</v>
      </c>
      <c r="AG48" s="188">
        <f t="shared" si="117"/>
        <v>0</v>
      </c>
      <c r="AH48" s="188">
        <f t="shared" si="117"/>
        <v>0</v>
      </c>
      <c r="AI48" s="188">
        <f t="shared" si="117"/>
        <v>0</v>
      </c>
      <c r="AJ48" s="188">
        <f t="shared" si="117"/>
        <v>0</v>
      </c>
      <c r="AK48" s="188">
        <f t="shared" si="117"/>
        <v>0</v>
      </c>
      <c r="AL48" s="188">
        <f t="shared" si="117"/>
        <v>0</v>
      </c>
      <c r="AM48" s="188">
        <f t="shared" si="117"/>
        <v>0</v>
      </c>
      <c r="AN48" s="188">
        <f t="shared" si="117"/>
        <v>0</v>
      </c>
      <c r="AO48" s="188">
        <f t="shared" si="117"/>
        <v>0</v>
      </c>
      <c r="AP48" s="188">
        <f t="shared" si="117"/>
        <v>0</v>
      </c>
      <c r="AQ48" s="188">
        <f t="shared" si="117"/>
        <v>0</v>
      </c>
      <c r="AR48" s="188">
        <f t="shared" si="117"/>
        <v>0</v>
      </c>
      <c r="AS48" s="188">
        <f t="shared" si="117"/>
        <v>0</v>
      </c>
      <c r="AT48" s="188">
        <f t="shared" si="117"/>
        <v>0</v>
      </c>
      <c r="AU48" s="188">
        <f t="shared" si="117"/>
        <v>0</v>
      </c>
      <c r="AV48" s="188">
        <f t="shared" si="117"/>
        <v>0</v>
      </c>
      <c r="AW48" s="188">
        <f t="shared" si="117"/>
        <v>0</v>
      </c>
      <c r="AX48" s="188">
        <f t="shared" si="117"/>
        <v>0</v>
      </c>
      <c r="AY48" s="188">
        <f t="shared" si="117"/>
        <v>0</v>
      </c>
      <c r="AZ48" s="188">
        <f t="shared" si="117"/>
        <v>0</v>
      </c>
      <c r="BA48" s="188">
        <f t="shared" si="117"/>
        <v>61000000</v>
      </c>
      <c r="BB48" s="188">
        <f t="shared" si="117"/>
        <v>59394737</v>
      </c>
      <c r="BC48" s="188">
        <f t="shared" si="117"/>
        <v>57789474</v>
      </c>
      <c r="BD48" s="188">
        <f t="shared" si="117"/>
        <v>56184211</v>
      </c>
      <c r="BE48" s="188">
        <f t="shared" si="117"/>
        <v>54578948</v>
      </c>
      <c r="BF48" s="188">
        <f t="shared" si="117"/>
        <v>52973685</v>
      </c>
    </row>
    <row r="49" spans="2:58">
      <c r="B49" s="1" t="s">
        <v>63</v>
      </c>
      <c r="C49" s="182"/>
      <c r="D49" s="182">
        <f>(【成行】財政シミュ!BI86)</f>
        <v>10000000</v>
      </c>
      <c r="E49" s="182">
        <v>51000000</v>
      </c>
      <c r="F49" s="182">
        <f t="shared" si="47"/>
        <v>61000000</v>
      </c>
      <c r="G49" s="170">
        <v>38</v>
      </c>
      <c r="H49" s="182">
        <f t="shared" si="49"/>
        <v>1605263</v>
      </c>
      <c r="I49" s="188"/>
      <c r="J49" s="188">
        <f t="shared" ref="J49:O49" si="118">IF(J$9=$B49,$F49,IF(I49&gt;0,I49-$H49,0))</f>
        <v>0</v>
      </c>
      <c r="K49" s="188">
        <f t="shared" si="118"/>
        <v>0</v>
      </c>
      <c r="L49" s="188">
        <f t="shared" si="118"/>
        <v>0</v>
      </c>
      <c r="M49" s="188">
        <f t="shared" si="118"/>
        <v>0</v>
      </c>
      <c r="N49" s="188">
        <f t="shared" si="118"/>
        <v>0</v>
      </c>
      <c r="O49" s="188">
        <f t="shared" si="118"/>
        <v>0</v>
      </c>
      <c r="P49" s="188">
        <f t="shared" ref="P49:BF49" si="119">IF(P$9=$B49,$F49,IF(O49&gt;0,O49-$H49,0))</f>
        <v>0</v>
      </c>
      <c r="Q49" s="188">
        <f t="shared" si="119"/>
        <v>0</v>
      </c>
      <c r="R49" s="188">
        <f t="shared" si="119"/>
        <v>0</v>
      </c>
      <c r="S49" s="188">
        <f t="shared" si="119"/>
        <v>0</v>
      </c>
      <c r="T49" s="188">
        <f t="shared" si="119"/>
        <v>0</v>
      </c>
      <c r="U49" s="188">
        <f t="shared" si="119"/>
        <v>0</v>
      </c>
      <c r="V49" s="188">
        <f t="shared" si="119"/>
        <v>0</v>
      </c>
      <c r="W49" s="188">
        <f t="shared" si="119"/>
        <v>0</v>
      </c>
      <c r="X49" s="188">
        <f t="shared" si="119"/>
        <v>0</v>
      </c>
      <c r="Y49" s="188">
        <f t="shared" si="119"/>
        <v>0</v>
      </c>
      <c r="Z49" s="188">
        <f t="shared" si="119"/>
        <v>0</v>
      </c>
      <c r="AA49" s="188">
        <f t="shared" si="119"/>
        <v>0</v>
      </c>
      <c r="AB49" s="188">
        <f t="shared" si="119"/>
        <v>0</v>
      </c>
      <c r="AC49" s="188">
        <f t="shared" si="119"/>
        <v>0</v>
      </c>
      <c r="AD49" s="188">
        <f t="shared" si="119"/>
        <v>0</v>
      </c>
      <c r="AE49" s="188">
        <f t="shared" si="119"/>
        <v>0</v>
      </c>
      <c r="AF49" s="188">
        <f t="shared" si="119"/>
        <v>0</v>
      </c>
      <c r="AG49" s="188">
        <f t="shared" si="119"/>
        <v>0</v>
      </c>
      <c r="AH49" s="188">
        <f t="shared" si="119"/>
        <v>0</v>
      </c>
      <c r="AI49" s="188">
        <f t="shared" si="119"/>
        <v>0</v>
      </c>
      <c r="AJ49" s="188">
        <f t="shared" si="119"/>
        <v>0</v>
      </c>
      <c r="AK49" s="188">
        <f t="shared" si="119"/>
        <v>0</v>
      </c>
      <c r="AL49" s="188">
        <f t="shared" si="119"/>
        <v>0</v>
      </c>
      <c r="AM49" s="188">
        <f t="shared" si="119"/>
        <v>0</v>
      </c>
      <c r="AN49" s="188">
        <f t="shared" si="119"/>
        <v>0</v>
      </c>
      <c r="AO49" s="188">
        <f t="shared" si="119"/>
        <v>0</v>
      </c>
      <c r="AP49" s="188">
        <f t="shared" si="119"/>
        <v>0</v>
      </c>
      <c r="AQ49" s="188">
        <f t="shared" si="119"/>
        <v>0</v>
      </c>
      <c r="AR49" s="188">
        <f t="shared" si="119"/>
        <v>0</v>
      </c>
      <c r="AS49" s="188">
        <f t="shared" si="119"/>
        <v>0</v>
      </c>
      <c r="AT49" s="188">
        <f t="shared" si="119"/>
        <v>0</v>
      </c>
      <c r="AU49" s="188">
        <f t="shared" si="119"/>
        <v>0</v>
      </c>
      <c r="AV49" s="188">
        <f t="shared" si="119"/>
        <v>0</v>
      </c>
      <c r="AW49" s="188">
        <f t="shared" si="119"/>
        <v>0</v>
      </c>
      <c r="AX49" s="188">
        <f t="shared" si="119"/>
        <v>0</v>
      </c>
      <c r="AY49" s="188">
        <f t="shared" si="119"/>
        <v>0</v>
      </c>
      <c r="AZ49" s="188">
        <f t="shared" si="119"/>
        <v>0</v>
      </c>
      <c r="BA49" s="188">
        <f t="shared" si="119"/>
        <v>0</v>
      </c>
      <c r="BB49" s="188">
        <f t="shared" si="119"/>
        <v>61000000</v>
      </c>
      <c r="BC49" s="188">
        <f t="shared" si="119"/>
        <v>59394737</v>
      </c>
      <c r="BD49" s="188">
        <f t="shared" si="119"/>
        <v>57789474</v>
      </c>
      <c r="BE49" s="188">
        <f t="shared" si="119"/>
        <v>56184211</v>
      </c>
      <c r="BF49" s="188">
        <f t="shared" si="119"/>
        <v>54578948</v>
      </c>
    </row>
    <row r="50" spans="2:58">
      <c r="B50" s="1" t="s">
        <v>64</v>
      </c>
      <c r="C50" s="182"/>
      <c r="D50" s="182">
        <f>(【成行】財政シミュ!BJ86)</f>
        <v>10000000</v>
      </c>
      <c r="E50" s="182">
        <v>54000000</v>
      </c>
      <c r="F50" s="182">
        <f t="shared" si="47"/>
        <v>64000000</v>
      </c>
      <c r="G50" s="170">
        <v>38</v>
      </c>
      <c r="H50" s="182">
        <f t="shared" si="49"/>
        <v>1684211</v>
      </c>
      <c r="I50" s="188"/>
      <c r="J50" s="188">
        <f t="shared" ref="J50:O50" si="120">IF(J$9=$B50,$F50,IF(I50&gt;0,I50-$H50,0))</f>
        <v>0</v>
      </c>
      <c r="K50" s="188">
        <f t="shared" si="120"/>
        <v>0</v>
      </c>
      <c r="L50" s="188">
        <f t="shared" si="120"/>
        <v>0</v>
      </c>
      <c r="M50" s="188">
        <f t="shared" si="120"/>
        <v>0</v>
      </c>
      <c r="N50" s="188">
        <f t="shared" si="120"/>
        <v>0</v>
      </c>
      <c r="O50" s="188">
        <f t="shared" si="120"/>
        <v>0</v>
      </c>
      <c r="P50" s="188">
        <f t="shared" ref="P50:BF50" si="121">IF(P$9=$B50,$F50,IF(O50&gt;0,O50-$H50,0))</f>
        <v>0</v>
      </c>
      <c r="Q50" s="188">
        <f t="shared" si="121"/>
        <v>0</v>
      </c>
      <c r="R50" s="188">
        <f t="shared" si="121"/>
        <v>0</v>
      </c>
      <c r="S50" s="188">
        <f t="shared" si="121"/>
        <v>0</v>
      </c>
      <c r="T50" s="188">
        <f t="shared" si="121"/>
        <v>0</v>
      </c>
      <c r="U50" s="188">
        <f t="shared" si="121"/>
        <v>0</v>
      </c>
      <c r="V50" s="188">
        <f t="shared" si="121"/>
        <v>0</v>
      </c>
      <c r="W50" s="188">
        <f t="shared" si="121"/>
        <v>0</v>
      </c>
      <c r="X50" s="188">
        <f t="shared" si="121"/>
        <v>0</v>
      </c>
      <c r="Y50" s="188">
        <f t="shared" si="121"/>
        <v>0</v>
      </c>
      <c r="Z50" s="188">
        <f t="shared" si="121"/>
        <v>0</v>
      </c>
      <c r="AA50" s="188">
        <f t="shared" si="121"/>
        <v>0</v>
      </c>
      <c r="AB50" s="188">
        <f t="shared" si="121"/>
        <v>0</v>
      </c>
      <c r="AC50" s="188">
        <f t="shared" si="121"/>
        <v>0</v>
      </c>
      <c r="AD50" s="188">
        <f t="shared" si="121"/>
        <v>0</v>
      </c>
      <c r="AE50" s="188">
        <f t="shared" si="121"/>
        <v>0</v>
      </c>
      <c r="AF50" s="188">
        <f t="shared" si="121"/>
        <v>0</v>
      </c>
      <c r="AG50" s="188">
        <f t="shared" si="121"/>
        <v>0</v>
      </c>
      <c r="AH50" s="188">
        <f t="shared" si="121"/>
        <v>0</v>
      </c>
      <c r="AI50" s="188">
        <f t="shared" si="121"/>
        <v>0</v>
      </c>
      <c r="AJ50" s="188">
        <f t="shared" si="121"/>
        <v>0</v>
      </c>
      <c r="AK50" s="188">
        <f t="shared" si="121"/>
        <v>0</v>
      </c>
      <c r="AL50" s="188">
        <f t="shared" si="121"/>
        <v>0</v>
      </c>
      <c r="AM50" s="188">
        <f t="shared" si="121"/>
        <v>0</v>
      </c>
      <c r="AN50" s="188">
        <f t="shared" si="121"/>
        <v>0</v>
      </c>
      <c r="AO50" s="188">
        <f t="shared" si="121"/>
        <v>0</v>
      </c>
      <c r="AP50" s="188">
        <f t="shared" si="121"/>
        <v>0</v>
      </c>
      <c r="AQ50" s="188">
        <f t="shared" si="121"/>
        <v>0</v>
      </c>
      <c r="AR50" s="188">
        <f t="shared" si="121"/>
        <v>0</v>
      </c>
      <c r="AS50" s="188">
        <f t="shared" si="121"/>
        <v>0</v>
      </c>
      <c r="AT50" s="188">
        <f t="shared" si="121"/>
        <v>0</v>
      </c>
      <c r="AU50" s="188">
        <f t="shared" si="121"/>
        <v>0</v>
      </c>
      <c r="AV50" s="188">
        <f t="shared" si="121"/>
        <v>0</v>
      </c>
      <c r="AW50" s="188">
        <f t="shared" si="121"/>
        <v>0</v>
      </c>
      <c r="AX50" s="188">
        <f t="shared" si="121"/>
        <v>0</v>
      </c>
      <c r="AY50" s="188">
        <f t="shared" si="121"/>
        <v>0</v>
      </c>
      <c r="AZ50" s="188">
        <f t="shared" si="121"/>
        <v>0</v>
      </c>
      <c r="BA50" s="188">
        <f t="shared" si="121"/>
        <v>0</v>
      </c>
      <c r="BB50" s="188">
        <f t="shared" si="121"/>
        <v>0</v>
      </c>
      <c r="BC50" s="188">
        <f t="shared" si="121"/>
        <v>64000000</v>
      </c>
      <c r="BD50" s="188">
        <f t="shared" si="121"/>
        <v>62315789</v>
      </c>
      <c r="BE50" s="188">
        <f t="shared" si="121"/>
        <v>60631578</v>
      </c>
      <c r="BF50" s="188">
        <f t="shared" si="121"/>
        <v>58947367</v>
      </c>
    </row>
    <row r="51" spans="2:58">
      <c r="B51" s="1" t="s">
        <v>65</v>
      </c>
      <c r="C51" s="182"/>
      <c r="D51" s="182">
        <f>(【成行】財政シミュ!BK86)</f>
        <v>0</v>
      </c>
      <c r="E51" s="182">
        <v>70000000</v>
      </c>
      <c r="F51" s="182">
        <f t="shared" si="47"/>
        <v>70000000</v>
      </c>
      <c r="G51" s="170">
        <v>38</v>
      </c>
      <c r="H51" s="182">
        <f t="shared" si="49"/>
        <v>1842105</v>
      </c>
      <c r="I51" s="188"/>
      <c r="J51" s="188">
        <f t="shared" ref="J51:O51" si="122">IF(J$9=$B51,$F51,IF(I51&gt;0,I51-$H51,0))</f>
        <v>0</v>
      </c>
      <c r="K51" s="188">
        <f t="shared" si="122"/>
        <v>0</v>
      </c>
      <c r="L51" s="188">
        <f t="shared" si="122"/>
        <v>0</v>
      </c>
      <c r="M51" s="188">
        <f t="shared" si="122"/>
        <v>0</v>
      </c>
      <c r="N51" s="188">
        <f t="shared" si="122"/>
        <v>0</v>
      </c>
      <c r="O51" s="188">
        <f t="shared" si="122"/>
        <v>0</v>
      </c>
      <c r="P51" s="188">
        <f t="shared" ref="P51:BF51" si="123">IF(P$9=$B51,$F51,IF(O51&gt;0,O51-$H51,0))</f>
        <v>0</v>
      </c>
      <c r="Q51" s="188">
        <f t="shared" si="123"/>
        <v>0</v>
      </c>
      <c r="R51" s="188">
        <f t="shared" si="123"/>
        <v>0</v>
      </c>
      <c r="S51" s="188">
        <f t="shared" si="123"/>
        <v>0</v>
      </c>
      <c r="T51" s="188">
        <f t="shared" si="123"/>
        <v>0</v>
      </c>
      <c r="U51" s="188">
        <f t="shared" si="123"/>
        <v>0</v>
      </c>
      <c r="V51" s="188">
        <f t="shared" si="123"/>
        <v>0</v>
      </c>
      <c r="W51" s="188">
        <f t="shared" si="123"/>
        <v>0</v>
      </c>
      <c r="X51" s="188">
        <f t="shared" si="123"/>
        <v>0</v>
      </c>
      <c r="Y51" s="188">
        <f t="shared" si="123"/>
        <v>0</v>
      </c>
      <c r="Z51" s="188">
        <f t="shared" si="123"/>
        <v>0</v>
      </c>
      <c r="AA51" s="188">
        <f t="shared" si="123"/>
        <v>0</v>
      </c>
      <c r="AB51" s="188">
        <f t="shared" si="123"/>
        <v>0</v>
      </c>
      <c r="AC51" s="188">
        <f t="shared" si="123"/>
        <v>0</v>
      </c>
      <c r="AD51" s="188">
        <f t="shared" si="123"/>
        <v>0</v>
      </c>
      <c r="AE51" s="188">
        <f t="shared" si="123"/>
        <v>0</v>
      </c>
      <c r="AF51" s="188">
        <f t="shared" si="123"/>
        <v>0</v>
      </c>
      <c r="AG51" s="188">
        <f t="shared" si="123"/>
        <v>0</v>
      </c>
      <c r="AH51" s="188">
        <f t="shared" si="123"/>
        <v>0</v>
      </c>
      <c r="AI51" s="188">
        <f t="shared" si="123"/>
        <v>0</v>
      </c>
      <c r="AJ51" s="188">
        <f t="shared" si="123"/>
        <v>0</v>
      </c>
      <c r="AK51" s="188">
        <f t="shared" si="123"/>
        <v>0</v>
      </c>
      <c r="AL51" s="188">
        <f t="shared" si="123"/>
        <v>0</v>
      </c>
      <c r="AM51" s="188">
        <f t="shared" si="123"/>
        <v>0</v>
      </c>
      <c r="AN51" s="188">
        <f t="shared" si="123"/>
        <v>0</v>
      </c>
      <c r="AO51" s="188">
        <f t="shared" si="123"/>
        <v>0</v>
      </c>
      <c r="AP51" s="188">
        <f t="shared" si="123"/>
        <v>0</v>
      </c>
      <c r="AQ51" s="188">
        <f t="shared" si="123"/>
        <v>0</v>
      </c>
      <c r="AR51" s="188">
        <f t="shared" si="123"/>
        <v>0</v>
      </c>
      <c r="AS51" s="188">
        <f t="shared" si="123"/>
        <v>0</v>
      </c>
      <c r="AT51" s="188">
        <f t="shared" si="123"/>
        <v>0</v>
      </c>
      <c r="AU51" s="188">
        <f t="shared" si="123"/>
        <v>0</v>
      </c>
      <c r="AV51" s="188">
        <f t="shared" si="123"/>
        <v>0</v>
      </c>
      <c r="AW51" s="188">
        <f t="shared" si="123"/>
        <v>0</v>
      </c>
      <c r="AX51" s="188">
        <f t="shared" si="123"/>
        <v>0</v>
      </c>
      <c r="AY51" s="188">
        <f t="shared" si="123"/>
        <v>0</v>
      </c>
      <c r="AZ51" s="188">
        <f t="shared" si="123"/>
        <v>0</v>
      </c>
      <c r="BA51" s="188">
        <f t="shared" si="123"/>
        <v>0</v>
      </c>
      <c r="BB51" s="188">
        <f t="shared" si="123"/>
        <v>0</v>
      </c>
      <c r="BC51" s="188">
        <f t="shared" si="123"/>
        <v>0</v>
      </c>
      <c r="BD51" s="188">
        <f t="shared" si="123"/>
        <v>70000000</v>
      </c>
      <c r="BE51" s="188">
        <f t="shared" si="123"/>
        <v>68157895</v>
      </c>
      <c r="BF51" s="188">
        <f t="shared" si="123"/>
        <v>66315790</v>
      </c>
    </row>
    <row r="52" spans="2:58">
      <c r="B52" s="1" t="s">
        <v>66</v>
      </c>
      <c r="C52" s="182"/>
      <c r="D52" s="182">
        <f>(【成行】財政シミュ!BL86)</f>
        <v>0</v>
      </c>
      <c r="E52" s="182">
        <v>20000000</v>
      </c>
      <c r="F52" s="182">
        <f t="shared" si="47"/>
        <v>20000000</v>
      </c>
      <c r="G52" s="170">
        <v>38</v>
      </c>
      <c r="H52" s="182">
        <f t="shared" si="49"/>
        <v>526316</v>
      </c>
      <c r="I52" s="188"/>
      <c r="J52" s="188">
        <f t="shared" ref="J52:O52" si="124">IF(J$9=$B52,$F52,IF(I52&gt;0,I52-$H52,0))</f>
        <v>0</v>
      </c>
      <c r="K52" s="188">
        <f t="shared" si="124"/>
        <v>0</v>
      </c>
      <c r="L52" s="188">
        <f t="shared" si="124"/>
        <v>0</v>
      </c>
      <c r="M52" s="188">
        <f t="shared" si="124"/>
        <v>0</v>
      </c>
      <c r="N52" s="188">
        <f t="shared" si="124"/>
        <v>0</v>
      </c>
      <c r="O52" s="188">
        <f t="shared" si="124"/>
        <v>0</v>
      </c>
      <c r="P52" s="188">
        <f t="shared" ref="P52:BF52" si="125">IF(P$9=$B52,$F52,IF(O52&gt;0,O52-$H52,0))</f>
        <v>0</v>
      </c>
      <c r="Q52" s="188">
        <f t="shared" si="125"/>
        <v>0</v>
      </c>
      <c r="R52" s="188">
        <f t="shared" si="125"/>
        <v>0</v>
      </c>
      <c r="S52" s="188">
        <f t="shared" si="125"/>
        <v>0</v>
      </c>
      <c r="T52" s="188">
        <f t="shared" si="125"/>
        <v>0</v>
      </c>
      <c r="U52" s="188">
        <f t="shared" si="125"/>
        <v>0</v>
      </c>
      <c r="V52" s="188">
        <f t="shared" si="125"/>
        <v>0</v>
      </c>
      <c r="W52" s="188">
        <f t="shared" si="125"/>
        <v>0</v>
      </c>
      <c r="X52" s="188">
        <f t="shared" si="125"/>
        <v>0</v>
      </c>
      <c r="Y52" s="188">
        <f t="shared" si="125"/>
        <v>0</v>
      </c>
      <c r="Z52" s="188">
        <f t="shared" si="125"/>
        <v>0</v>
      </c>
      <c r="AA52" s="188">
        <f t="shared" si="125"/>
        <v>0</v>
      </c>
      <c r="AB52" s="188">
        <f t="shared" si="125"/>
        <v>0</v>
      </c>
      <c r="AC52" s="188">
        <f t="shared" si="125"/>
        <v>0</v>
      </c>
      <c r="AD52" s="188">
        <f t="shared" si="125"/>
        <v>0</v>
      </c>
      <c r="AE52" s="188">
        <f t="shared" si="125"/>
        <v>0</v>
      </c>
      <c r="AF52" s="188">
        <f t="shared" si="125"/>
        <v>0</v>
      </c>
      <c r="AG52" s="188">
        <f t="shared" si="125"/>
        <v>0</v>
      </c>
      <c r="AH52" s="188">
        <f t="shared" si="125"/>
        <v>0</v>
      </c>
      <c r="AI52" s="188">
        <f t="shared" si="125"/>
        <v>0</v>
      </c>
      <c r="AJ52" s="188">
        <f t="shared" si="125"/>
        <v>0</v>
      </c>
      <c r="AK52" s="188">
        <f t="shared" si="125"/>
        <v>0</v>
      </c>
      <c r="AL52" s="188">
        <f t="shared" si="125"/>
        <v>0</v>
      </c>
      <c r="AM52" s="188">
        <f t="shared" si="125"/>
        <v>0</v>
      </c>
      <c r="AN52" s="188">
        <f t="shared" si="125"/>
        <v>0</v>
      </c>
      <c r="AO52" s="188">
        <f t="shared" si="125"/>
        <v>0</v>
      </c>
      <c r="AP52" s="188">
        <f t="shared" si="125"/>
        <v>0</v>
      </c>
      <c r="AQ52" s="188">
        <f t="shared" si="125"/>
        <v>0</v>
      </c>
      <c r="AR52" s="188">
        <f t="shared" si="125"/>
        <v>0</v>
      </c>
      <c r="AS52" s="188">
        <f t="shared" si="125"/>
        <v>0</v>
      </c>
      <c r="AT52" s="188">
        <f t="shared" si="125"/>
        <v>0</v>
      </c>
      <c r="AU52" s="188">
        <f t="shared" si="125"/>
        <v>0</v>
      </c>
      <c r="AV52" s="188">
        <f t="shared" si="125"/>
        <v>0</v>
      </c>
      <c r="AW52" s="188">
        <f t="shared" si="125"/>
        <v>0</v>
      </c>
      <c r="AX52" s="188">
        <f t="shared" si="125"/>
        <v>0</v>
      </c>
      <c r="AY52" s="188">
        <f t="shared" si="125"/>
        <v>0</v>
      </c>
      <c r="AZ52" s="188">
        <f t="shared" si="125"/>
        <v>0</v>
      </c>
      <c r="BA52" s="188">
        <f t="shared" si="125"/>
        <v>0</v>
      </c>
      <c r="BB52" s="188">
        <f t="shared" si="125"/>
        <v>0</v>
      </c>
      <c r="BC52" s="188">
        <f t="shared" si="125"/>
        <v>0</v>
      </c>
      <c r="BD52" s="188">
        <f t="shared" si="125"/>
        <v>0</v>
      </c>
      <c r="BE52" s="188">
        <f t="shared" si="125"/>
        <v>20000000</v>
      </c>
      <c r="BF52" s="188">
        <f t="shared" si="125"/>
        <v>19473684</v>
      </c>
    </row>
    <row r="53" spans="2:58">
      <c r="B53" s="1" t="s">
        <v>67</v>
      </c>
      <c r="C53" s="182"/>
      <c r="D53" s="182">
        <f>(【成行】財政シミュ!BM86)</f>
        <v>0</v>
      </c>
      <c r="E53" s="182">
        <v>20000000</v>
      </c>
      <c r="F53" s="182">
        <f t="shared" si="47"/>
        <v>20000000</v>
      </c>
      <c r="G53" s="170">
        <v>38</v>
      </c>
      <c r="H53" s="182">
        <f t="shared" si="49"/>
        <v>526316</v>
      </c>
      <c r="I53" s="188"/>
      <c r="J53" s="188">
        <f t="shared" ref="J53:O53" si="126">IF(J$9=$B53,$F53,IF(I53&gt;0,I53-$H53,0))</f>
        <v>0</v>
      </c>
      <c r="K53" s="188">
        <f t="shared" si="126"/>
        <v>0</v>
      </c>
      <c r="L53" s="188">
        <f t="shared" si="126"/>
        <v>0</v>
      </c>
      <c r="M53" s="188">
        <f t="shared" si="126"/>
        <v>0</v>
      </c>
      <c r="N53" s="188">
        <f t="shared" si="126"/>
        <v>0</v>
      </c>
      <c r="O53" s="188">
        <f t="shared" si="126"/>
        <v>0</v>
      </c>
      <c r="P53" s="188">
        <f t="shared" ref="P53:BF53" si="127">IF(P$9=$B53,$F53,IF(O53&gt;0,O53-$H53,0))</f>
        <v>0</v>
      </c>
      <c r="Q53" s="188">
        <f t="shared" si="127"/>
        <v>0</v>
      </c>
      <c r="R53" s="188">
        <f t="shared" si="127"/>
        <v>0</v>
      </c>
      <c r="S53" s="188">
        <f t="shared" si="127"/>
        <v>0</v>
      </c>
      <c r="T53" s="188">
        <f t="shared" si="127"/>
        <v>0</v>
      </c>
      <c r="U53" s="188">
        <f t="shared" si="127"/>
        <v>0</v>
      </c>
      <c r="V53" s="188">
        <f t="shared" si="127"/>
        <v>0</v>
      </c>
      <c r="W53" s="188">
        <f t="shared" si="127"/>
        <v>0</v>
      </c>
      <c r="X53" s="188">
        <f t="shared" si="127"/>
        <v>0</v>
      </c>
      <c r="Y53" s="188">
        <f t="shared" si="127"/>
        <v>0</v>
      </c>
      <c r="Z53" s="188">
        <f t="shared" si="127"/>
        <v>0</v>
      </c>
      <c r="AA53" s="188">
        <f t="shared" si="127"/>
        <v>0</v>
      </c>
      <c r="AB53" s="188">
        <f t="shared" si="127"/>
        <v>0</v>
      </c>
      <c r="AC53" s="188">
        <f t="shared" si="127"/>
        <v>0</v>
      </c>
      <c r="AD53" s="188">
        <f t="shared" si="127"/>
        <v>0</v>
      </c>
      <c r="AE53" s="188">
        <f t="shared" si="127"/>
        <v>0</v>
      </c>
      <c r="AF53" s="188">
        <f t="shared" si="127"/>
        <v>0</v>
      </c>
      <c r="AG53" s="188">
        <f t="shared" si="127"/>
        <v>0</v>
      </c>
      <c r="AH53" s="188">
        <f t="shared" si="127"/>
        <v>0</v>
      </c>
      <c r="AI53" s="188">
        <f t="shared" si="127"/>
        <v>0</v>
      </c>
      <c r="AJ53" s="188">
        <f t="shared" si="127"/>
        <v>0</v>
      </c>
      <c r="AK53" s="188">
        <f t="shared" si="127"/>
        <v>0</v>
      </c>
      <c r="AL53" s="188">
        <f t="shared" si="127"/>
        <v>0</v>
      </c>
      <c r="AM53" s="188">
        <f t="shared" si="127"/>
        <v>0</v>
      </c>
      <c r="AN53" s="188">
        <f t="shared" si="127"/>
        <v>0</v>
      </c>
      <c r="AO53" s="188">
        <f t="shared" si="127"/>
        <v>0</v>
      </c>
      <c r="AP53" s="188">
        <f t="shared" si="127"/>
        <v>0</v>
      </c>
      <c r="AQ53" s="188">
        <f t="shared" si="127"/>
        <v>0</v>
      </c>
      <c r="AR53" s="188">
        <f t="shared" si="127"/>
        <v>0</v>
      </c>
      <c r="AS53" s="188">
        <f t="shared" si="127"/>
        <v>0</v>
      </c>
      <c r="AT53" s="188">
        <f t="shared" si="127"/>
        <v>0</v>
      </c>
      <c r="AU53" s="188">
        <f t="shared" si="127"/>
        <v>0</v>
      </c>
      <c r="AV53" s="188">
        <f t="shared" si="127"/>
        <v>0</v>
      </c>
      <c r="AW53" s="188">
        <f t="shared" si="127"/>
        <v>0</v>
      </c>
      <c r="AX53" s="188">
        <f t="shared" si="127"/>
        <v>0</v>
      </c>
      <c r="AY53" s="188">
        <f t="shared" si="127"/>
        <v>0</v>
      </c>
      <c r="AZ53" s="188">
        <f t="shared" si="127"/>
        <v>0</v>
      </c>
      <c r="BA53" s="188">
        <f t="shared" si="127"/>
        <v>0</v>
      </c>
      <c r="BB53" s="188">
        <f t="shared" si="127"/>
        <v>0</v>
      </c>
      <c r="BC53" s="188">
        <f t="shared" si="127"/>
        <v>0</v>
      </c>
      <c r="BD53" s="188">
        <f t="shared" si="127"/>
        <v>0</v>
      </c>
      <c r="BE53" s="188">
        <f t="shared" si="127"/>
        <v>0</v>
      </c>
      <c r="BF53" s="188">
        <f t="shared" si="127"/>
        <v>20000000</v>
      </c>
    </row>
    <row r="54" spans="2:58">
      <c r="B54" s="1" t="s">
        <v>670</v>
      </c>
      <c r="C54" s="182"/>
      <c r="D54" s="182">
        <f>(【成行】財政シミュ!BN86)</f>
        <v>0</v>
      </c>
      <c r="E54" s="182">
        <v>0</v>
      </c>
      <c r="F54" s="182">
        <f t="shared" si="47"/>
        <v>0</v>
      </c>
      <c r="G54" s="170">
        <v>38</v>
      </c>
      <c r="H54" s="182">
        <f t="shared" si="49"/>
        <v>0</v>
      </c>
      <c r="I54" s="188"/>
      <c r="J54" s="188">
        <f t="shared" ref="J54:O54" si="128">IF(J$9=$B54,$F54,IF(I54&gt;0,I54-$H54,0))</f>
        <v>0</v>
      </c>
      <c r="K54" s="188">
        <f t="shared" si="128"/>
        <v>0</v>
      </c>
      <c r="L54" s="188">
        <f t="shared" si="128"/>
        <v>0</v>
      </c>
      <c r="M54" s="188">
        <f t="shared" si="128"/>
        <v>0</v>
      </c>
      <c r="N54" s="188">
        <f t="shared" si="128"/>
        <v>0</v>
      </c>
      <c r="O54" s="188">
        <f t="shared" si="128"/>
        <v>0</v>
      </c>
      <c r="P54" s="188">
        <f t="shared" ref="P54:BF54" si="129">IF(P$9=$B54,$F54,IF(O54&gt;0,O54-$H54,0))</f>
        <v>0</v>
      </c>
      <c r="Q54" s="188">
        <f t="shared" si="129"/>
        <v>0</v>
      </c>
      <c r="R54" s="188">
        <f t="shared" si="129"/>
        <v>0</v>
      </c>
      <c r="S54" s="188">
        <f t="shared" si="129"/>
        <v>0</v>
      </c>
      <c r="T54" s="188">
        <f t="shared" si="129"/>
        <v>0</v>
      </c>
      <c r="U54" s="188">
        <f t="shared" si="129"/>
        <v>0</v>
      </c>
      <c r="V54" s="188">
        <f t="shared" si="129"/>
        <v>0</v>
      </c>
      <c r="W54" s="188">
        <f t="shared" si="129"/>
        <v>0</v>
      </c>
      <c r="X54" s="188">
        <f t="shared" si="129"/>
        <v>0</v>
      </c>
      <c r="Y54" s="188">
        <f t="shared" si="129"/>
        <v>0</v>
      </c>
      <c r="Z54" s="188">
        <f t="shared" si="129"/>
        <v>0</v>
      </c>
      <c r="AA54" s="188">
        <f t="shared" si="129"/>
        <v>0</v>
      </c>
      <c r="AB54" s="188">
        <f t="shared" si="129"/>
        <v>0</v>
      </c>
      <c r="AC54" s="188">
        <f t="shared" si="129"/>
        <v>0</v>
      </c>
      <c r="AD54" s="188">
        <f t="shared" si="129"/>
        <v>0</v>
      </c>
      <c r="AE54" s="188">
        <f t="shared" si="129"/>
        <v>0</v>
      </c>
      <c r="AF54" s="188">
        <f t="shared" si="129"/>
        <v>0</v>
      </c>
      <c r="AG54" s="188">
        <f t="shared" si="129"/>
        <v>0</v>
      </c>
      <c r="AH54" s="188">
        <f t="shared" si="129"/>
        <v>0</v>
      </c>
      <c r="AI54" s="188">
        <f t="shared" si="129"/>
        <v>0</v>
      </c>
      <c r="AJ54" s="188">
        <f t="shared" si="129"/>
        <v>0</v>
      </c>
      <c r="AK54" s="188">
        <f t="shared" si="129"/>
        <v>0</v>
      </c>
      <c r="AL54" s="188">
        <f t="shared" si="129"/>
        <v>0</v>
      </c>
      <c r="AM54" s="188">
        <f t="shared" si="129"/>
        <v>0</v>
      </c>
      <c r="AN54" s="188">
        <f t="shared" si="129"/>
        <v>0</v>
      </c>
      <c r="AO54" s="188">
        <f t="shared" si="129"/>
        <v>0</v>
      </c>
      <c r="AP54" s="188">
        <f t="shared" si="129"/>
        <v>0</v>
      </c>
      <c r="AQ54" s="188">
        <f t="shared" si="129"/>
        <v>0</v>
      </c>
      <c r="AR54" s="188">
        <f t="shared" si="129"/>
        <v>0</v>
      </c>
      <c r="AS54" s="188">
        <f t="shared" si="129"/>
        <v>0</v>
      </c>
      <c r="AT54" s="188">
        <f t="shared" si="129"/>
        <v>0</v>
      </c>
      <c r="AU54" s="188">
        <f t="shared" si="129"/>
        <v>0</v>
      </c>
      <c r="AV54" s="188">
        <f t="shared" si="129"/>
        <v>0</v>
      </c>
      <c r="AW54" s="188">
        <f t="shared" si="129"/>
        <v>0</v>
      </c>
      <c r="AX54" s="188">
        <f t="shared" si="129"/>
        <v>0</v>
      </c>
      <c r="AY54" s="188">
        <f t="shared" si="129"/>
        <v>0</v>
      </c>
      <c r="AZ54" s="188">
        <f t="shared" si="129"/>
        <v>0</v>
      </c>
      <c r="BA54" s="188">
        <f t="shared" si="129"/>
        <v>0</v>
      </c>
      <c r="BB54" s="188">
        <f t="shared" si="129"/>
        <v>0</v>
      </c>
      <c r="BC54" s="188">
        <f t="shared" si="129"/>
        <v>0</v>
      </c>
      <c r="BD54" s="188">
        <f t="shared" si="129"/>
        <v>0</v>
      </c>
      <c r="BE54" s="188">
        <f t="shared" si="129"/>
        <v>0</v>
      </c>
      <c r="BF54" s="188">
        <f t="shared" si="129"/>
        <v>0</v>
      </c>
    </row>
    <row r="55" spans="2:58">
      <c r="B55" s="1" t="s">
        <v>671</v>
      </c>
      <c r="C55" s="182"/>
      <c r="D55" s="182">
        <f>(【成行】財政シミュ!BO86)</f>
        <v>0</v>
      </c>
      <c r="E55" s="182">
        <v>0</v>
      </c>
      <c r="F55" s="182">
        <f t="shared" si="47"/>
        <v>0</v>
      </c>
      <c r="G55" s="170">
        <v>38</v>
      </c>
      <c r="H55" s="182">
        <f t="shared" si="49"/>
        <v>0</v>
      </c>
      <c r="I55" s="188"/>
      <c r="J55" s="188">
        <f t="shared" ref="J55:O55" si="130">IF(J$9=$B55,$F55,IF(I55&gt;0,I55-$H55,0))</f>
        <v>0</v>
      </c>
      <c r="K55" s="188">
        <f t="shared" si="130"/>
        <v>0</v>
      </c>
      <c r="L55" s="188">
        <f t="shared" si="130"/>
        <v>0</v>
      </c>
      <c r="M55" s="188">
        <f t="shared" si="130"/>
        <v>0</v>
      </c>
      <c r="N55" s="188">
        <f t="shared" si="130"/>
        <v>0</v>
      </c>
      <c r="O55" s="188">
        <f t="shared" si="130"/>
        <v>0</v>
      </c>
      <c r="P55" s="188">
        <f t="shared" ref="P55:BF55" si="131">IF(P$9=$B55,$F55,IF(O55&gt;0,O55-$H55,0))</f>
        <v>0</v>
      </c>
      <c r="Q55" s="188">
        <f t="shared" si="131"/>
        <v>0</v>
      </c>
      <c r="R55" s="188">
        <f t="shared" si="131"/>
        <v>0</v>
      </c>
      <c r="S55" s="188">
        <f t="shared" si="131"/>
        <v>0</v>
      </c>
      <c r="T55" s="188">
        <f t="shared" si="131"/>
        <v>0</v>
      </c>
      <c r="U55" s="188">
        <f t="shared" si="131"/>
        <v>0</v>
      </c>
      <c r="V55" s="188">
        <f t="shared" si="131"/>
        <v>0</v>
      </c>
      <c r="W55" s="188">
        <f t="shared" si="131"/>
        <v>0</v>
      </c>
      <c r="X55" s="188">
        <f t="shared" si="131"/>
        <v>0</v>
      </c>
      <c r="Y55" s="188">
        <f t="shared" si="131"/>
        <v>0</v>
      </c>
      <c r="Z55" s="188">
        <f t="shared" si="131"/>
        <v>0</v>
      </c>
      <c r="AA55" s="188">
        <f t="shared" si="131"/>
        <v>0</v>
      </c>
      <c r="AB55" s="188">
        <f t="shared" si="131"/>
        <v>0</v>
      </c>
      <c r="AC55" s="188">
        <f t="shared" si="131"/>
        <v>0</v>
      </c>
      <c r="AD55" s="188">
        <f t="shared" si="131"/>
        <v>0</v>
      </c>
      <c r="AE55" s="188">
        <f t="shared" si="131"/>
        <v>0</v>
      </c>
      <c r="AF55" s="188">
        <f t="shared" si="131"/>
        <v>0</v>
      </c>
      <c r="AG55" s="188">
        <f t="shared" si="131"/>
        <v>0</v>
      </c>
      <c r="AH55" s="188">
        <f t="shared" si="131"/>
        <v>0</v>
      </c>
      <c r="AI55" s="188">
        <f t="shared" si="131"/>
        <v>0</v>
      </c>
      <c r="AJ55" s="188">
        <f t="shared" si="131"/>
        <v>0</v>
      </c>
      <c r="AK55" s="188">
        <f t="shared" si="131"/>
        <v>0</v>
      </c>
      <c r="AL55" s="188">
        <f t="shared" si="131"/>
        <v>0</v>
      </c>
      <c r="AM55" s="188">
        <f t="shared" si="131"/>
        <v>0</v>
      </c>
      <c r="AN55" s="188">
        <f t="shared" si="131"/>
        <v>0</v>
      </c>
      <c r="AO55" s="188">
        <f t="shared" si="131"/>
        <v>0</v>
      </c>
      <c r="AP55" s="188">
        <f t="shared" si="131"/>
        <v>0</v>
      </c>
      <c r="AQ55" s="188">
        <f t="shared" si="131"/>
        <v>0</v>
      </c>
      <c r="AR55" s="188">
        <f t="shared" si="131"/>
        <v>0</v>
      </c>
      <c r="AS55" s="188">
        <f t="shared" si="131"/>
        <v>0</v>
      </c>
      <c r="AT55" s="188">
        <f t="shared" si="131"/>
        <v>0</v>
      </c>
      <c r="AU55" s="188">
        <f t="shared" si="131"/>
        <v>0</v>
      </c>
      <c r="AV55" s="188">
        <f t="shared" si="131"/>
        <v>0</v>
      </c>
      <c r="AW55" s="188">
        <f t="shared" si="131"/>
        <v>0</v>
      </c>
      <c r="AX55" s="188">
        <f t="shared" si="131"/>
        <v>0</v>
      </c>
      <c r="AY55" s="188">
        <f t="shared" si="131"/>
        <v>0</v>
      </c>
      <c r="AZ55" s="188">
        <f t="shared" si="131"/>
        <v>0</v>
      </c>
      <c r="BA55" s="188">
        <f t="shared" si="131"/>
        <v>0</v>
      </c>
      <c r="BB55" s="188">
        <f t="shared" si="131"/>
        <v>0</v>
      </c>
      <c r="BC55" s="188">
        <f t="shared" si="131"/>
        <v>0</v>
      </c>
      <c r="BD55" s="188">
        <f t="shared" si="131"/>
        <v>0</v>
      </c>
      <c r="BE55" s="188">
        <f t="shared" si="131"/>
        <v>0</v>
      </c>
      <c r="BF55" s="188">
        <f t="shared" si="131"/>
        <v>0</v>
      </c>
    </row>
    <row r="56" spans="2:58">
      <c r="B56" s="1" t="s">
        <v>672</v>
      </c>
      <c r="C56" s="182"/>
      <c r="D56" s="182">
        <f>(【成行】財政シミュ!BP86)</f>
        <v>0</v>
      </c>
      <c r="E56" s="182">
        <v>1000000</v>
      </c>
      <c r="F56" s="182">
        <f t="shared" si="47"/>
        <v>1000000</v>
      </c>
      <c r="G56" s="170">
        <v>38</v>
      </c>
      <c r="H56" s="182">
        <f t="shared" si="49"/>
        <v>26316</v>
      </c>
      <c r="I56" s="188"/>
      <c r="J56" s="188">
        <f t="shared" ref="J56:O56" si="132">IF(J$9=$B56,$F56,IF(I56&gt;0,I56-$H56,0))</f>
        <v>0</v>
      </c>
      <c r="K56" s="188">
        <f t="shared" si="132"/>
        <v>0</v>
      </c>
      <c r="L56" s="188">
        <f t="shared" si="132"/>
        <v>0</v>
      </c>
      <c r="M56" s="188">
        <f t="shared" si="132"/>
        <v>0</v>
      </c>
      <c r="N56" s="188">
        <f t="shared" si="132"/>
        <v>0</v>
      </c>
      <c r="O56" s="188">
        <f t="shared" si="132"/>
        <v>0</v>
      </c>
      <c r="P56" s="188">
        <f t="shared" ref="P56:BF56" si="133">IF(P$9=$B56,$F56,IF(O56&gt;0,O56-$H56,0))</f>
        <v>0</v>
      </c>
      <c r="Q56" s="188">
        <f t="shared" si="133"/>
        <v>0</v>
      </c>
      <c r="R56" s="188">
        <f t="shared" si="133"/>
        <v>0</v>
      </c>
      <c r="S56" s="188">
        <f t="shared" si="133"/>
        <v>0</v>
      </c>
      <c r="T56" s="188">
        <f t="shared" si="133"/>
        <v>0</v>
      </c>
      <c r="U56" s="188">
        <f t="shared" si="133"/>
        <v>0</v>
      </c>
      <c r="V56" s="188">
        <f t="shared" si="133"/>
        <v>0</v>
      </c>
      <c r="W56" s="188">
        <f t="shared" si="133"/>
        <v>0</v>
      </c>
      <c r="X56" s="188">
        <f t="shared" si="133"/>
        <v>0</v>
      </c>
      <c r="Y56" s="188">
        <f t="shared" si="133"/>
        <v>0</v>
      </c>
      <c r="Z56" s="188">
        <f t="shared" si="133"/>
        <v>0</v>
      </c>
      <c r="AA56" s="188">
        <f t="shared" si="133"/>
        <v>0</v>
      </c>
      <c r="AB56" s="188">
        <f t="shared" si="133"/>
        <v>0</v>
      </c>
      <c r="AC56" s="188">
        <f t="shared" si="133"/>
        <v>0</v>
      </c>
      <c r="AD56" s="188">
        <f t="shared" si="133"/>
        <v>0</v>
      </c>
      <c r="AE56" s="188">
        <f t="shared" si="133"/>
        <v>0</v>
      </c>
      <c r="AF56" s="188">
        <f t="shared" si="133"/>
        <v>0</v>
      </c>
      <c r="AG56" s="188">
        <f t="shared" si="133"/>
        <v>0</v>
      </c>
      <c r="AH56" s="188">
        <f t="shared" si="133"/>
        <v>0</v>
      </c>
      <c r="AI56" s="188">
        <f t="shared" si="133"/>
        <v>0</v>
      </c>
      <c r="AJ56" s="188">
        <f t="shared" si="133"/>
        <v>0</v>
      </c>
      <c r="AK56" s="188">
        <f t="shared" si="133"/>
        <v>0</v>
      </c>
      <c r="AL56" s="188">
        <f t="shared" si="133"/>
        <v>0</v>
      </c>
      <c r="AM56" s="188">
        <f t="shared" si="133"/>
        <v>0</v>
      </c>
      <c r="AN56" s="188">
        <f t="shared" si="133"/>
        <v>0</v>
      </c>
      <c r="AO56" s="188">
        <f t="shared" si="133"/>
        <v>0</v>
      </c>
      <c r="AP56" s="188">
        <f t="shared" si="133"/>
        <v>0</v>
      </c>
      <c r="AQ56" s="188">
        <f t="shared" si="133"/>
        <v>0</v>
      </c>
      <c r="AR56" s="188">
        <f t="shared" si="133"/>
        <v>0</v>
      </c>
      <c r="AS56" s="188">
        <f t="shared" si="133"/>
        <v>0</v>
      </c>
      <c r="AT56" s="188">
        <f t="shared" si="133"/>
        <v>0</v>
      </c>
      <c r="AU56" s="188">
        <f t="shared" si="133"/>
        <v>0</v>
      </c>
      <c r="AV56" s="188">
        <f t="shared" si="133"/>
        <v>0</v>
      </c>
      <c r="AW56" s="188">
        <f t="shared" si="133"/>
        <v>0</v>
      </c>
      <c r="AX56" s="188">
        <f t="shared" si="133"/>
        <v>0</v>
      </c>
      <c r="AY56" s="188">
        <f t="shared" si="133"/>
        <v>0</v>
      </c>
      <c r="AZ56" s="188">
        <f t="shared" si="133"/>
        <v>0</v>
      </c>
      <c r="BA56" s="188">
        <f t="shared" si="133"/>
        <v>0</v>
      </c>
      <c r="BB56" s="188">
        <f t="shared" si="133"/>
        <v>0</v>
      </c>
      <c r="BC56" s="188">
        <f t="shared" si="133"/>
        <v>0</v>
      </c>
      <c r="BD56" s="188">
        <f t="shared" si="133"/>
        <v>0</v>
      </c>
      <c r="BE56" s="188">
        <f t="shared" si="133"/>
        <v>0</v>
      </c>
      <c r="BF56" s="188">
        <f t="shared" si="133"/>
        <v>0</v>
      </c>
    </row>
    <row r="57" spans="2:58">
      <c r="B57" s="1" t="s">
        <v>673</v>
      </c>
      <c r="C57" s="182"/>
      <c r="D57" s="182">
        <f>(【成行】財政シミュ!BQ86)</f>
        <v>0</v>
      </c>
      <c r="E57" s="182">
        <v>1000000</v>
      </c>
      <c r="F57" s="182">
        <f t="shared" si="47"/>
        <v>1000000</v>
      </c>
      <c r="G57" s="170">
        <v>38</v>
      </c>
      <c r="H57" s="182">
        <f t="shared" si="49"/>
        <v>26316</v>
      </c>
      <c r="I57" s="188"/>
      <c r="J57" s="188">
        <f t="shared" ref="J57:O57" si="134">IF(J$9=$B57,$F57,IF(I57&gt;0,I57-$H57,0))</f>
        <v>0</v>
      </c>
      <c r="K57" s="188">
        <f t="shared" si="134"/>
        <v>0</v>
      </c>
      <c r="L57" s="188">
        <f t="shared" si="134"/>
        <v>0</v>
      </c>
      <c r="M57" s="188">
        <f t="shared" si="134"/>
        <v>0</v>
      </c>
      <c r="N57" s="188">
        <f t="shared" si="134"/>
        <v>0</v>
      </c>
      <c r="O57" s="188">
        <f t="shared" si="134"/>
        <v>0</v>
      </c>
      <c r="P57" s="188">
        <f t="shared" ref="P57:BF57" si="135">IF(P$9=$B57,$F57,IF(O57&gt;0,O57-$H57,0))</f>
        <v>0</v>
      </c>
      <c r="Q57" s="188">
        <f t="shared" si="135"/>
        <v>0</v>
      </c>
      <c r="R57" s="188">
        <f t="shared" si="135"/>
        <v>0</v>
      </c>
      <c r="S57" s="188">
        <f t="shared" si="135"/>
        <v>0</v>
      </c>
      <c r="T57" s="188">
        <f t="shared" si="135"/>
        <v>0</v>
      </c>
      <c r="U57" s="188">
        <f t="shared" si="135"/>
        <v>0</v>
      </c>
      <c r="V57" s="188">
        <f t="shared" si="135"/>
        <v>0</v>
      </c>
      <c r="W57" s="188">
        <f t="shared" si="135"/>
        <v>0</v>
      </c>
      <c r="X57" s="188">
        <f t="shared" si="135"/>
        <v>0</v>
      </c>
      <c r="Y57" s="188">
        <f t="shared" si="135"/>
        <v>0</v>
      </c>
      <c r="Z57" s="188">
        <f t="shared" si="135"/>
        <v>0</v>
      </c>
      <c r="AA57" s="188">
        <f t="shared" si="135"/>
        <v>0</v>
      </c>
      <c r="AB57" s="188">
        <f t="shared" si="135"/>
        <v>0</v>
      </c>
      <c r="AC57" s="188">
        <f t="shared" si="135"/>
        <v>0</v>
      </c>
      <c r="AD57" s="188">
        <f t="shared" si="135"/>
        <v>0</v>
      </c>
      <c r="AE57" s="188">
        <f t="shared" si="135"/>
        <v>0</v>
      </c>
      <c r="AF57" s="188">
        <f t="shared" si="135"/>
        <v>0</v>
      </c>
      <c r="AG57" s="188">
        <f t="shared" si="135"/>
        <v>0</v>
      </c>
      <c r="AH57" s="188">
        <f t="shared" si="135"/>
        <v>0</v>
      </c>
      <c r="AI57" s="188">
        <f t="shared" si="135"/>
        <v>0</v>
      </c>
      <c r="AJ57" s="188">
        <f t="shared" si="135"/>
        <v>0</v>
      </c>
      <c r="AK57" s="188">
        <f t="shared" si="135"/>
        <v>0</v>
      </c>
      <c r="AL57" s="188">
        <f t="shared" si="135"/>
        <v>0</v>
      </c>
      <c r="AM57" s="188">
        <f t="shared" si="135"/>
        <v>0</v>
      </c>
      <c r="AN57" s="188">
        <f t="shared" si="135"/>
        <v>0</v>
      </c>
      <c r="AO57" s="188">
        <f t="shared" si="135"/>
        <v>0</v>
      </c>
      <c r="AP57" s="188">
        <f t="shared" si="135"/>
        <v>0</v>
      </c>
      <c r="AQ57" s="188">
        <f t="shared" si="135"/>
        <v>0</v>
      </c>
      <c r="AR57" s="188">
        <f t="shared" si="135"/>
        <v>0</v>
      </c>
      <c r="AS57" s="188">
        <f t="shared" si="135"/>
        <v>0</v>
      </c>
      <c r="AT57" s="188">
        <f t="shared" si="135"/>
        <v>0</v>
      </c>
      <c r="AU57" s="188">
        <f t="shared" si="135"/>
        <v>0</v>
      </c>
      <c r="AV57" s="188">
        <f t="shared" si="135"/>
        <v>0</v>
      </c>
      <c r="AW57" s="188">
        <f t="shared" si="135"/>
        <v>0</v>
      </c>
      <c r="AX57" s="188">
        <f t="shared" si="135"/>
        <v>0</v>
      </c>
      <c r="AY57" s="188">
        <f t="shared" si="135"/>
        <v>0</v>
      </c>
      <c r="AZ57" s="188">
        <f t="shared" si="135"/>
        <v>0</v>
      </c>
      <c r="BA57" s="188">
        <f t="shared" si="135"/>
        <v>0</v>
      </c>
      <c r="BB57" s="188">
        <f t="shared" si="135"/>
        <v>0</v>
      </c>
      <c r="BC57" s="188">
        <f t="shared" si="135"/>
        <v>0</v>
      </c>
      <c r="BD57" s="188">
        <f t="shared" si="135"/>
        <v>0</v>
      </c>
      <c r="BE57" s="188">
        <f t="shared" si="135"/>
        <v>0</v>
      </c>
      <c r="BF57" s="188">
        <f t="shared" si="135"/>
        <v>0</v>
      </c>
    </row>
    <row r="58" spans="2:58">
      <c r="B58" s="1" t="s">
        <v>674</v>
      </c>
      <c r="C58" s="182"/>
      <c r="D58" s="182">
        <f>(【成行】財政シミュ!BR86)</f>
        <v>0</v>
      </c>
      <c r="E58" s="182">
        <v>4000000</v>
      </c>
      <c r="F58" s="182">
        <f t="shared" si="47"/>
        <v>4000000</v>
      </c>
      <c r="G58" s="170">
        <v>38</v>
      </c>
      <c r="H58" s="182">
        <f t="shared" si="49"/>
        <v>105263</v>
      </c>
      <c r="I58" s="188"/>
      <c r="J58" s="188">
        <f t="shared" ref="J58:O58" si="136">IF(J$9=$B58,$F58,IF(I58&gt;0,I58-$H58,0))</f>
        <v>0</v>
      </c>
      <c r="K58" s="188">
        <f t="shared" si="136"/>
        <v>0</v>
      </c>
      <c r="L58" s="188">
        <f t="shared" si="136"/>
        <v>0</v>
      </c>
      <c r="M58" s="188">
        <f t="shared" si="136"/>
        <v>0</v>
      </c>
      <c r="N58" s="188">
        <f t="shared" si="136"/>
        <v>0</v>
      </c>
      <c r="O58" s="188">
        <f t="shared" si="136"/>
        <v>0</v>
      </c>
      <c r="P58" s="188">
        <f t="shared" ref="P58:BF58" si="137">IF(P$9=$B58,$F58,IF(O58&gt;0,O58-$H58,0))</f>
        <v>0</v>
      </c>
      <c r="Q58" s="188">
        <f t="shared" si="137"/>
        <v>0</v>
      </c>
      <c r="R58" s="188">
        <f t="shared" si="137"/>
        <v>0</v>
      </c>
      <c r="S58" s="188">
        <f t="shared" si="137"/>
        <v>0</v>
      </c>
      <c r="T58" s="188">
        <f t="shared" si="137"/>
        <v>0</v>
      </c>
      <c r="U58" s="188">
        <f t="shared" si="137"/>
        <v>0</v>
      </c>
      <c r="V58" s="188">
        <f t="shared" si="137"/>
        <v>0</v>
      </c>
      <c r="W58" s="188">
        <f t="shared" si="137"/>
        <v>0</v>
      </c>
      <c r="X58" s="188">
        <f t="shared" si="137"/>
        <v>0</v>
      </c>
      <c r="Y58" s="188">
        <f t="shared" si="137"/>
        <v>0</v>
      </c>
      <c r="Z58" s="188">
        <f t="shared" si="137"/>
        <v>0</v>
      </c>
      <c r="AA58" s="188">
        <f t="shared" si="137"/>
        <v>0</v>
      </c>
      <c r="AB58" s="188">
        <f t="shared" si="137"/>
        <v>0</v>
      </c>
      <c r="AC58" s="188">
        <f t="shared" si="137"/>
        <v>0</v>
      </c>
      <c r="AD58" s="188">
        <f t="shared" si="137"/>
        <v>0</v>
      </c>
      <c r="AE58" s="188">
        <f t="shared" si="137"/>
        <v>0</v>
      </c>
      <c r="AF58" s="188">
        <f t="shared" si="137"/>
        <v>0</v>
      </c>
      <c r="AG58" s="188">
        <f t="shared" si="137"/>
        <v>0</v>
      </c>
      <c r="AH58" s="188">
        <f t="shared" si="137"/>
        <v>0</v>
      </c>
      <c r="AI58" s="188">
        <f t="shared" si="137"/>
        <v>0</v>
      </c>
      <c r="AJ58" s="188">
        <f t="shared" si="137"/>
        <v>0</v>
      </c>
      <c r="AK58" s="188">
        <f t="shared" si="137"/>
        <v>0</v>
      </c>
      <c r="AL58" s="188">
        <f t="shared" si="137"/>
        <v>0</v>
      </c>
      <c r="AM58" s="188">
        <f t="shared" si="137"/>
        <v>0</v>
      </c>
      <c r="AN58" s="188">
        <f t="shared" si="137"/>
        <v>0</v>
      </c>
      <c r="AO58" s="188">
        <f t="shared" si="137"/>
        <v>0</v>
      </c>
      <c r="AP58" s="188">
        <f t="shared" si="137"/>
        <v>0</v>
      </c>
      <c r="AQ58" s="188">
        <f t="shared" si="137"/>
        <v>0</v>
      </c>
      <c r="AR58" s="188">
        <f t="shared" si="137"/>
        <v>0</v>
      </c>
      <c r="AS58" s="188">
        <f t="shared" si="137"/>
        <v>0</v>
      </c>
      <c r="AT58" s="188">
        <f t="shared" si="137"/>
        <v>0</v>
      </c>
      <c r="AU58" s="188">
        <f t="shared" si="137"/>
        <v>0</v>
      </c>
      <c r="AV58" s="188">
        <f t="shared" si="137"/>
        <v>0</v>
      </c>
      <c r="AW58" s="188">
        <f t="shared" si="137"/>
        <v>0</v>
      </c>
      <c r="AX58" s="188">
        <f t="shared" si="137"/>
        <v>0</v>
      </c>
      <c r="AY58" s="188">
        <f t="shared" si="137"/>
        <v>0</v>
      </c>
      <c r="AZ58" s="188">
        <f t="shared" si="137"/>
        <v>0</v>
      </c>
      <c r="BA58" s="188">
        <f t="shared" si="137"/>
        <v>0</v>
      </c>
      <c r="BB58" s="188">
        <f t="shared" si="137"/>
        <v>0</v>
      </c>
      <c r="BC58" s="188">
        <f t="shared" si="137"/>
        <v>0</v>
      </c>
      <c r="BD58" s="188">
        <f t="shared" si="137"/>
        <v>0</v>
      </c>
      <c r="BE58" s="188">
        <f t="shared" si="137"/>
        <v>0</v>
      </c>
      <c r="BF58" s="188">
        <f t="shared" si="137"/>
        <v>0</v>
      </c>
    </row>
    <row r="60" spans="2:58">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row>
    <row r="61" spans="2:58">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row>
    <row r="62" spans="2:58">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c r="BF62" s="55"/>
    </row>
  </sheetData>
  <autoFilter ref="B9:H58" xr:uid="{72A74B29-71EB-457A-B229-0C69C5A0EF13}"/>
  <customSheetViews>
    <customSheetView guid="{B05628F6-030D-4851-8E75-96DF5849F39A}" showPageBreaks="1" showGridLines="0" fitToPage="1" printArea="1" showAutoFilter="1" view="pageBreakPreview">
      <pane xSplit="8" ySplit="9" topLeftCell="I10" activePane="bottomRight" state="frozen"/>
      <selection pane="bottomRight" activeCell="H5" sqref="H5"/>
      <pageMargins left="0.70866141732283472" right="0.70866141732283472" top="0.74803149606299213" bottom="0.74803149606299213" header="0.31496062992125984" footer="0.31496062992125984"/>
      <pageSetup paperSize="8" scale="87" fitToWidth="0" orientation="landscape" r:id="rId1"/>
      <headerFooter>
        <oddHeader>&amp;A</oddHeader>
        <oddFooter>&amp;P / &amp;N ページ</oddFooter>
      </headerFooter>
      <autoFilter ref="B9:H59" xr:uid="{C2848712-8ECC-49B7-B0A3-C0A8C6931BB7}"/>
    </customSheetView>
    <customSheetView guid="{1F923BC6-4AD1-4F20-A481-D76BE7901A2A}" showPageBreaks="1" showGridLines="0" fitToPage="1" printArea="1" showAutoFilter="1" view="pageBreakPreview">
      <pane xSplit="8" ySplit="9" topLeftCell="I10" activePane="bottomRight" state="frozen"/>
      <selection pane="bottomRight" activeCell="B10" sqref="B10"/>
      <pageMargins left="0.70866141732283472" right="0.70866141732283472" top="0.74803149606299213" bottom="0.74803149606299213" header="0.31496062992125984" footer="0.31496062992125984"/>
      <pageSetup paperSize="8" scale="87" fitToWidth="0" orientation="landscape" r:id="rId2"/>
      <headerFooter>
        <oddHeader>&amp;A</oddHeader>
        <oddFooter>&amp;P / &amp;N ページ</oddFooter>
      </headerFooter>
      <autoFilter ref="B9:H59" xr:uid="{3F8697B0-5D55-4803-9BFA-61553F2E3D8B}"/>
    </customSheetView>
  </customSheetViews>
  <mergeCells count="1">
    <mergeCell ref="B4:G6"/>
  </mergeCells>
  <phoneticPr fontId="4"/>
  <pageMargins left="0.70866141732283472" right="0.70866141732283472" top="0.74803149606299213" bottom="0.74803149606299213" header="0.31496062992125984" footer="0.31496062992125984"/>
  <pageSetup paperSize="8" scale="89" fitToWidth="0" orientation="landscape" r:id="rId3"/>
  <headerFooter>
    <oddHeader>&amp;A</oddHeader>
    <oddFooter>&amp;P / &amp;N ページ</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B6597-BF3C-4448-B501-6EB684EEC009}">
  <sheetPr>
    <tabColor theme="5" tint="-0.249977111117893"/>
  </sheetPr>
  <dimension ref="A2:BQ125"/>
  <sheetViews>
    <sheetView showGridLines="0" view="pageBreakPreview" zoomScale="85" zoomScaleNormal="85" zoomScaleSheetLayoutView="85" workbookViewId="0">
      <pane xSplit="5" ySplit="4" topLeftCell="F5" activePane="bottomRight" state="frozen"/>
      <selection activeCell="I5" sqref="I5"/>
      <selection pane="topRight" activeCell="I5" sqref="I5"/>
      <selection pane="bottomLeft" activeCell="I5" sqref="I5"/>
      <selection pane="bottomRight" activeCell="T92" sqref="T92"/>
    </sheetView>
  </sheetViews>
  <sheetFormatPr defaultRowHeight="14.4" outlineLevelCol="1"/>
  <cols>
    <col min="1" max="1" width="2.90625" customWidth="1"/>
    <col min="2" max="4" width="3.90625" customWidth="1"/>
    <col min="5" max="5" width="23.453125" bestFit="1" customWidth="1"/>
    <col min="6" max="6" width="7.36328125" hidden="1" customWidth="1" outlineLevel="1"/>
    <col min="7" max="9" width="8.08984375" hidden="1" customWidth="1" outlineLevel="1"/>
    <col min="10" max="10" width="4.36328125" hidden="1" customWidth="1" outlineLevel="1"/>
    <col min="11" max="11" width="40" bestFit="1" customWidth="1" collapsed="1"/>
    <col min="12" max="12" width="4.36328125" hidden="1" customWidth="1" outlineLevel="1"/>
    <col min="13" max="13" width="8.7265625" hidden="1" customWidth="1" outlineLevel="1"/>
    <col min="14" max="14" width="10" style="24" bestFit="1" customWidth="1" collapsed="1"/>
    <col min="15" max="18" width="10" style="24" hidden="1" customWidth="1" outlineLevel="1"/>
    <col min="19" max="19" width="10" style="24" customWidth="1" collapsed="1"/>
    <col min="20" max="20" width="8.90625" style="24" customWidth="1"/>
    <col min="21" max="28" width="8.90625" style="24" customWidth="1" outlineLevel="1"/>
    <col min="29" max="29" width="8.90625" style="24" bestFit="1" customWidth="1"/>
    <col min="30" max="38" width="8.90625" style="24" customWidth="1" outlineLevel="1"/>
    <col min="39" max="39" width="8.90625" style="24" bestFit="1" customWidth="1"/>
    <col min="40" max="48" width="8.90625" style="24" customWidth="1" outlineLevel="1"/>
    <col min="49" max="49" width="8.90625" style="24" customWidth="1"/>
    <col min="50" max="58" width="8.90625" style="24" customWidth="1" outlineLevel="1"/>
    <col min="59" max="59" width="8.90625" style="24" bestFit="1" customWidth="1"/>
    <col min="60" max="68" width="8.90625" style="24" customWidth="1" outlineLevel="1"/>
    <col min="69" max="69" width="8.90625" style="24" bestFit="1" customWidth="1"/>
  </cols>
  <sheetData>
    <row r="2" spans="2:69">
      <c r="B2" t="s">
        <v>0</v>
      </c>
      <c r="N2" s="24" t="s">
        <v>182</v>
      </c>
      <c r="T2" s="29">
        <v>1</v>
      </c>
      <c r="U2" s="29">
        <v>2</v>
      </c>
      <c r="V2" s="29">
        <v>3</v>
      </c>
      <c r="W2" s="29">
        <v>4</v>
      </c>
      <c r="X2" s="29">
        <v>5</v>
      </c>
      <c r="Y2" s="29">
        <v>6</v>
      </c>
      <c r="Z2" s="29">
        <v>7</v>
      </c>
      <c r="AA2" s="29">
        <v>8</v>
      </c>
      <c r="AB2" s="29">
        <v>9</v>
      </c>
      <c r="AC2" s="29">
        <v>10</v>
      </c>
      <c r="AD2" s="29">
        <v>11</v>
      </c>
      <c r="AE2" s="29">
        <v>12</v>
      </c>
      <c r="AF2" s="29">
        <v>13</v>
      </c>
      <c r="AG2" s="29">
        <v>14</v>
      </c>
      <c r="AH2" s="29">
        <v>15</v>
      </c>
      <c r="AI2" s="29">
        <v>16</v>
      </c>
      <c r="AJ2" s="29">
        <v>17</v>
      </c>
      <c r="AK2" s="29">
        <v>18</v>
      </c>
      <c r="AL2" s="29">
        <v>19</v>
      </c>
      <c r="AM2" s="29">
        <v>20</v>
      </c>
      <c r="AN2" s="29">
        <v>21</v>
      </c>
      <c r="AO2" s="29">
        <v>22</v>
      </c>
      <c r="AP2" s="29">
        <v>23</v>
      </c>
      <c r="AQ2" s="29">
        <v>24</v>
      </c>
      <c r="AR2" s="29">
        <v>25</v>
      </c>
      <c r="AS2" s="29">
        <v>26</v>
      </c>
      <c r="AT2" s="29">
        <v>27</v>
      </c>
      <c r="AU2" s="29">
        <v>28</v>
      </c>
      <c r="AV2" s="29">
        <v>29</v>
      </c>
      <c r="AW2" s="29">
        <v>30</v>
      </c>
      <c r="AX2" s="29">
        <v>31</v>
      </c>
      <c r="AY2" s="29">
        <v>32</v>
      </c>
      <c r="AZ2" s="29">
        <v>33</v>
      </c>
      <c r="BA2" s="29">
        <v>34</v>
      </c>
      <c r="BB2" s="29">
        <v>35</v>
      </c>
      <c r="BC2" s="29">
        <v>36</v>
      </c>
      <c r="BD2" s="29">
        <v>37</v>
      </c>
      <c r="BE2" s="29">
        <v>38</v>
      </c>
      <c r="BF2" s="29">
        <v>39</v>
      </c>
      <c r="BG2" s="29">
        <v>40</v>
      </c>
      <c r="BH2" s="29">
        <v>41</v>
      </c>
      <c r="BI2" s="29">
        <v>42</v>
      </c>
      <c r="BJ2" s="29">
        <v>43</v>
      </c>
      <c r="BK2" s="29">
        <v>44</v>
      </c>
      <c r="BL2" s="29">
        <v>45</v>
      </c>
      <c r="BM2" s="29">
        <v>46</v>
      </c>
      <c r="BN2" s="29">
        <v>47</v>
      </c>
      <c r="BO2" s="29">
        <v>48</v>
      </c>
      <c r="BP2" s="29">
        <v>49</v>
      </c>
      <c r="BQ2" s="29">
        <v>50</v>
      </c>
    </row>
    <row r="3" spans="2:69">
      <c r="B3" s="11" t="s">
        <v>1</v>
      </c>
      <c r="C3" s="11" t="s">
        <v>2</v>
      </c>
      <c r="D3" s="12" t="s">
        <v>3</v>
      </c>
      <c r="E3" s="13"/>
      <c r="F3" s="20" t="s">
        <v>4</v>
      </c>
      <c r="G3" s="14"/>
      <c r="H3" s="14"/>
      <c r="I3" s="15"/>
      <c r="J3" s="311" t="s">
        <v>162</v>
      </c>
      <c r="K3" s="313" t="s">
        <v>8</v>
      </c>
      <c r="L3" s="11" t="s">
        <v>9</v>
      </c>
      <c r="M3" s="11" t="s">
        <v>10</v>
      </c>
      <c r="N3" s="30" t="s">
        <v>11</v>
      </c>
      <c r="O3" s="31"/>
      <c r="P3" s="31"/>
      <c r="Q3" s="31"/>
      <c r="R3" s="32"/>
      <c r="S3" s="35" t="s">
        <v>177</v>
      </c>
      <c r="T3" s="33" t="s">
        <v>17</v>
      </c>
      <c r="U3" s="31"/>
      <c r="V3" s="31"/>
      <c r="W3" s="32"/>
      <c r="X3" s="34" t="s">
        <v>68</v>
      </c>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row>
    <row r="4" spans="2:69">
      <c r="B4" s="17"/>
      <c r="C4" s="17"/>
      <c r="D4" s="18"/>
      <c r="E4" s="19"/>
      <c r="F4" s="17"/>
      <c r="G4" s="250" t="s">
        <v>5</v>
      </c>
      <c r="H4" s="250" t="s">
        <v>6</v>
      </c>
      <c r="I4" s="250" t="s">
        <v>7</v>
      </c>
      <c r="J4" s="312"/>
      <c r="K4" s="314"/>
      <c r="L4" s="17"/>
      <c r="M4" s="17"/>
      <c r="N4" s="35" t="s">
        <v>589</v>
      </c>
      <c r="O4" s="35" t="s">
        <v>19</v>
      </c>
      <c r="P4" s="35" t="s">
        <v>20</v>
      </c>
      <c r="Q4" s="35" t="s">
        <v>588</v>
      </c>
      <c r="R4" s="35" t="s">
        <v>594</v>
      </c>
      <c r="S4" s="35"/>
      <c r="T4" s="35" t="s">
        <v>710</v>
      </c>
      <c r="U4" s="35" t="s">
        <v>711</v>
      </c>
      <c r="V4" s="35" t="s">
        <v>712</v>
      </c>
      <c r="W4" s="35" t="s">
        <v>713</v>
      </c>
      <c r="X4" s="35" t="s">
        <v>27</v>
      </c>
      <c r="Y4" s="35" t="s">
        <v>28</v>
      </c>
      <c r="Z4" s="35" t="s">
        <v>29</v>
      </c>
      <c r="AA4" s="35" t="s">
        <v>30</v>
      </c>
      <c r="AB4" s="35" t="s">
        <v>31</v>
      </c>
      <c r="AC4" s="35" t="s">
        <v>32</v>
      </c>
      <c r="AD4" s="35" t="s">
        <v>33</v>
      </c>
      <c r="AE4" s="35" t="s">
        <v>34</v>
      </c>
      <c r="AF4" s="35" t="s">
        <v>35</v>
      </c>
      <c r="AG4" s="35" t="s">
        <v>36</v>
      </c>
      <c r="AH4" s="35" t="s">
        <v>37</v>
      </c>
      <c r="AI4" s="35" t="s">
        <v>38</v>
      </c>
      <c r="AJ4" s="35" t="s">
        <v>39</v>
      </c>
      <c r="AK4" s="35" t="s">
        <v>40</v>
      </c>
      <c r="AL4" s="35" t="s">
        <v>41</v>
      </c>
      <c r="AM4" s="35" t="s">
        <v>42</v>
      </c>
      <c r="AN4" s="35" t="s">
        <v>43</v>
      </c>
      <c r="AO4" s="35" t="s">
        <v>44</v>
      </c>
      <c r="AP4" s="35" t="s">
        <v>45</v>
      </c>
      <c r="AQ4" s="35" t="s">
        <v>46</v>
      </c>
      <c r="AR4" s="35" t="s">
        <v>47</v>
      </c>
      <c r="AS4" s="35" t="s">
        <v>48</v>
      </c>
      <c r="AT4" s="35" t="s">
        <v>49</v>
      </c>
      <c r="AU4" s="35" t="s">
        <v>50</v>
      </c>
      <c r="AV4" s="35" t="s">
        <v>51</v>
      </c>
      <c r="AW4" s="35" t="s">
        <v>52</v>
      </c>
      <c r="AX4" s="35" t="s">
        <v>53</v>
      </c>
      <c r="AY4" s="35" t="s">
        <v>54</v>
      </c>
      <c r="AZ4" s="35" t="s">
        <v>55</v>
      </c>
      <c r="BA4" s="35" t="s">
        <v>56</v>
      </c>
      <c r="BB4" s="35" t="s">
        <v>57</v>
      </c>
      <c r="BC4" s="35" t="s">
        <v>58</v>
      </c>
      <c r="BD4" s="35" t="s">
        <v>59</v>
      </c>
      <c r="BE4" s="35" t="s">
        <v>60</v>
      </c>
      <c r="BF4" s="35" t="s">
        <v>61</v>
      </c>
      <c r="BG4" s="35" t="s">
        <v>62</v>
      </c>
      <c r="BH4" s="35" t="s">
        <v>63</v>
      </c>
      <c r="BI4" s="35" t="s">
        <v>64</v>
      </c>
      <c r="BJ4" s="35" t="s">
        <v>65</v>
      </c>
      <c r="BK4" s="35" t="s">
        <v>66</v>
      </c>
      <c r="BL4" s="35" t="s">
        <v>67</v>
      </c>
      <c r="BM4" s="35" t="s">
        <v>670</v>
      </c>
      <c r="BN4" s="35" t="s">
        <v>671</v>
      </c>
      <c r="BO4" s="35" t="s">
        <v>672</v>
      </c>
      <c r="BP4" s="35" t="s">
        <v>673</v>
      </c>
      <c r="BQ4" s="35" t="s">
        <v>674</v>
      </c>
    </row>
    <row r="5" spans="2:69">
      <c r="B5" s="5" t="s">
        <v>69</v>
      </c>
      <c r="C5" s="7"/>
      <c r="D5" s="7"/>
      <c r="E5" s="8"/>
      <c r="F5" s="1"/>
      <c r="G5" s="249"/>
      <c r="H5" s="249"/>
      <c r="I5" s="249"/>
      <c r="J5" s="249"/>
      <c r="K5" s="1"/>
      <c r="L5" s="1"/>
      <c r="M5" s="1"/>
      <c r="N5" s="39">
        <f>【PL】決算数値入力!W5</f>
        <v>236084433</v>
      </c>
      <c r="O5" s="39">
        <f>【PL】決算数値入力!X5</f>
        <v>471816622</v>
      </c>
      <c r="P5" s="39">
        <f>【PL】決算数値入力!Y5</f>
        <v>506142175</v>
      </c>
      <c r="Q5" s="39">
        <f>【PL】決算数値入力!Z5</f>
        <v>593505600</v>
      </c>
      <c r="R5" s="39">
        <f>【PL】決算数値入力!AA5</f>
        <v>504865980</v>
      </c>
      <c r="S5" s="39">
        <f>【PL】決算数値入力!AB5</f>
        <v>343746513.80000001</v>
      </c>
      <c r="T5" s="39">
        <f>SUM(T6,T11,T19,T20)</f>
        <v>504636259.89999998</v>
      </c>
      <c r="U5" s="39">
        <f t="shared" ref="U5:BQ5" si="0">SUM(U6,U11,U19,U20)</f>
        <v>540917408.89999998</v>
      </c>
      <c r="V5" s="39">
        <f t="shared" si="0"/>
        <v>549941228.89999998</v>
      </c>
      <c r="W5" s="39">
        <f t="shared" si="0"/>
        <v>551892165.84736848</v>
      </c>
      <c r="X5" s="39">
        <f t="shared" si="0"/>
        <v>544636285.32105267</v>
      </c>
      <c r="Y5" s="39">
        <f t="shared" si="0"/>
        <v>538311763.79473686</v>
      </c>
      <c r="Z5" s="39">
        <f t="shared" si="0"/>
        <v>528700463.26842105</v>
      </c>
      <c r="AA5" s="39">
        <f t="shared" si="0"/>
        <v>524058634.74210525</v>
      </c>
      <c r="AB5" s="39">
        <f t="shared" si="0"/>
        <v>523541139.74210525</v>
      </c>
      <c r="AC5" s="39">
        <f t="shared" si="0"/>
        <v>521627629.74210525</v>
      </c>
      <c r="AD5" s="39">
        <f t="shared" si="0"/>
        <v>516823074.74210525</v>
      </c>
      <c r="AE5" s="39">
        <f t="shared" si="0"/>
        <v>459351689.74210525</v>
      </c>
      <c r="AF5" s="39">
        <f t="shared" si="0"/>
        <v>445148216.74210525</v>
      </c>
      <c r="AG5" s="39">
        <f t="shared" si="0"/>
        <v>438512168.74210525</v>
      </c>
      <c r="AH5" s="39">
        <f t="shared" si="0"/>
        <v>440350422.74210525</v>
      </c>
      <c r="AI5" s="39">
        <f t="shared" si="0"/>
        <v>446087458.74210525</v>
      </c>
      <c r="AJ5" s="39">
        <f t="shared" si="0"/>
        <v>434049210.74210525</v>
      </c>
      <c r="AK5" s="39">
        <f t="shared" si="0"/>
        <v>439725063.74210525</v>
      </c>
      <c r="AL5" s="39">
        <f t="shared" si="0"/>
        <v>445523841.74210525</v>
      </c>
      <c r="AM5" s="39">
        <f t="shared" si="0"/>
        <v>452305644.74210525</v>
      </c>
      <c r="AN5" s="39">
        <f t="shared" si="0"/>
        <v>458662186.74210525</v>
      </c>
      <c r="AO5" s="39">
        <f t="shared" si="0"/>
        <v>461856139.74210525</v>
      </c>
      <c r="AP5" s="39">
        <f t="shared" si="0"/>
        <v>455458570.74210525</v>
      </c>
      <c r="AQ5" s="39">
        <f t="shared" si="0"/>
        <v>450279591.74210525</v>
      </c>
      <c r="AR5" s="39">
        <f t="shared" si="0"/>
        <v>446160078.74210525</v>
      </c>
      <c r="AS5" s="39">
        <f t="shared" si="0"/>
        <v>441602085.74210525</v>
      </c>
      <c r="AT5" s="39">
        <f t="shared" si="0"/>
        <v>433981927.74210525</v>
      </c>
      <c r="AU5" s="39">
        <f t="shared" si="0"/>
        <v>429177126.74210525</v>
      </c>
      <c r="AV5" s="39">
        <f t="shared" si="0"/>
        <v>424825046.74210525</v>
      </c>
      <c r="AW5" s="39">
        <f t="shared" si="0"/>
        <v>420288211.74210525</v>
      </c>
      <c r="AX5" s="39">
        <f t="shared" si="0"/>
        <v>415469762.74210525</v>
      </c>
      <c r="AY5" s="39">
        <f t="shared" si="0"/>
        <v>397549035.74210525</v>
      </c>
      <c r="AZ5" s="39">
        <f t="shared" si="0"/>
        <v>389867305.74210525</v>
      </c>
      <c r="BA5" s="39">
        <f t="shared" si="0"/>
        <v>384702216.74210525</v>
      </c>
      <c r="BB5" s="39">
        <f t="shared" si="0"/>
        <v>375580635.74210525</v>
      </c>
      <c r="BC5" s="39">
        <f t="shared" si="0"/>
        <v>357958081.74210525</v>
      </c>
      <c r="BD5" s="39">
        <f t="shared" si="0"/>
        <v>344169657.74210525</v>
      </c>
      <c r="BE5" s="39">
        <f t="shared" si="0"/>
        <v>306293872.74210525</v>
      </c>
      <c r="BF5" s="39">
        <f t="shared" si="0"/>
        <v>283989732.74210525</v>
      </c>
      <c r="BG5" s="39">
        <f t="shared" si="0"/>
        <v>277134213.74210525</v>
      </c>
      <c r="BH5" s="39">
        <f t="shared" si="0"/>
        <v>271987881.74210525</v>
      </c>
      <c r="BI5" s="39">
        <f t="shared" si="0"/>
        <v>266479913.74210525</v>
      </c>
      <c r="BJ5" s="39">
        <f t="shared" si="0"/>
        <v>261266847.74210525</v>
      </c>
      <c r="BK5" s="39">
        <f t="shared" si="0"/>
        <v>256549220.74210525</v>
      </c>
      <c r="BL5" s="39">
        <f t="shared" si="0"/>
        <v>251046714.74210525</v>
      </c>
      <c r="BM5" s="39">
        <f t="shared" si="0"/>
        <v>238257598.89999998</v>
      </c>
      <c r="BN5" s="39">
        <f t="shared" si="0"/>
        <v>230062756.89999998</v>
      </c>
      <c r="BO5" s="39">
        <f t="shared" si="0"/>
        <v>222158349.89999998</v>
      </c>
      <c r="BP5" s="39">
        <f t="shared" si="0"/>
        <v>212733766.89999998</v>
      </c>
      <c r="BQ5" s="39">
        <f t="shared" si="0"/>
        <v>205099302.89999998</v>
      </c>
    </row>
    <row r="6" spans="2:69">
      <c r="B6" s="4"/>
      <c r="C6" s="5" t="s">
        <v>70</v>
      </c>
      <c r="D6" s="7"/>
      <c r="E6" s="8"/>
      <c r="F6" s="1"/>
      <c r="G6" s="249"/>
      <c r="H6" s="249"/>
      <c r="I6" s="249"/>
      <c r="J6" s="249"/>
      <c r="K6" s="1"/>
      <c r="L6" s="1"/>
      <c r="M6" s="1"/>
      <c r="N6" s="39">
        <f>【PL】決算数値入力!W6</f>
        <v>115230130</v>
      </c>
      <c r="O6" s="39">
        <f>【PL】決算数値入力!X6</f>
        <v>119471832</v>
      </c>
      <c r="P6" s="39">
        <f>【PL】決算数値入力!Y6</f>
        <v>122357520</v>
      </c>
      <c r="Q6" s="39">
        <f>【PL】決算数値入力!Z6</f>
        <v>119852700</v>
      </c>
      <c r="R6" s="39">
        <f>【PL】決算数値入力!AA6</f>
        <v>120750259</v>
      </c>
      <c r="S6" s="39">
        <f>【PL】決算数値入力!AB6</f>
        <v>112378170</v>
      </c>
      <c r="T6" s="39">
        <f>SUM(T7:T10)</f>
        <v>140027361</v>
      </c>
      <c r="U6" s="39">
        <f t="shared" ref="U6:BQ6" si="1">SUM(U7:U10)</f>
        <v>167897466</v>
      </c>
      <c r="V6" s="39">
        <f t="shared" si="1"/>
        <v>165682471</v>
      </c>
      <c r="W6" s="39">
        <f t="shared" si="1"/>
        <v>163755788</v>
      </c>
      <c r="X6" s="39">
        <f t="shared" si="1"/>
        <v>161881949</v>
      </c>
      <c r="Y6" s="39">
        <f t="shared" si="1"/>
        <v>160284815</v>
      </c>
      <c r="Z6" s="39">
        <f t="shared" si="1"/>
        <v>156945160</v>
      </c>
      <c r="AA6" s="39">
        <f t="shared" si="1"/>
        <v>155292619</v>
      </c>
      <c r="AB6" s="39">
        <f t="shared" si="1"/>
        <v>153676334</v>
      </c>
      <c r="AC6" s="39">
        <f t="shared" si="1"/>
        <v>152310145</v>
      </c>
      <c r="AD6" s="39">
        <f t="shared" si="1"/>
        <v>150520038</v>
      </c>
      <c r="AE6" s="39">
        <f t="shared" si="1"/>
        <v>146865112</v>
      </c>
      <c r="AF6" s="39">
        <f t="shared" si="1"/>
        <v>145505611</v>
      </c>
      <c r="AG6" s="39">
        <f t="shared" si="1"/>
        <v>144368200</v>
      </c>
      <c r="AH6" s="39">
        <f t="shared" si="1"/>
        <v>142844469</v>
      </c>
      <c r="AI6" s="39">
        <f t="shared" si="1"/>
        <v>141554543</v>
      </c>
      <c r="AJ6" s="39">
        <f t="shared" si="1"/>
        <v>137547551</v>
      </c>
      <c r="AK6" s="39">
        <f t="shared" si="1"/>
        <v>136608624</v>
      </c>
      <c r="AL6" s="39">
        <f t="shared" si="1"/>
        <v>135329148</v>
      </c>
      <c r="AM6" s="39">
        <f t="shared" si="1"/>
        <v>134239972</v>
      </c>
      <c r="AN6" s="39">
        <f t="shared" si="1"/>
        <v>133168715</v>
      </c>
      <c r="AO6" s="39">
        <f t="shared" si="1"/>
        <v>129216514</v>
      </c>
      <c r="AP6" s="39">
        <f t="shared" si="1"/>
        <v>128138305</v>
      </c>
      <c r="AQ6" s="39">
        <f t="shared" si="1"/>
        <v>127240353</v>
      </c>
      <c r="AR6" s="39">
        <f t="shared" si="1"/>
        <v>126339750</v>
      </c>
      <c r="AS6" s="39">
        <f t="shared" si="1"/>
        <v>125608030</v>
      </c>
      <c r="AT6" s="39">
        <f t="shared" si="1"/>
        <v>121314752</v>
      </c>
      <c r="AU6" s="39">
        <f t="shared" si="1"/>
        <v>120598905</v>
      </c>
      <c r="AV6" s="39">
        <f t="shared" si="1"/>
        <v>119899789</v>
      </c>
      <c r="AW6" s="39">
        <f t="shared" si="1"/>
        <v>119339174</v>
      </c>
      <c r="AX6" s="39">
        <f t="shared" si="1"/>
        <v>118519773</v>
      </c>
      <c r="AY6" s="39">
        <f t="shared" si="1"/>
        <v>117834759</v>
      </c>
      <c r="AZ6" s="39">
        <f t="shared" si="1"/>
        <v>117152374</v>
      </c>
      <c r="BA6" s="39">
        <f t="shared" si="1"/>
        <v>116616564</v>
      </c>
      <c r="BB6" s="39">
        <f t="shared" si="1"/>
        <v>115821638</v>
      </c>
      <c r="BC6" s="39">
        <f t="shared" si="1"/>
        <v>115175509</v>
      </c>
      <c r="BD6" s="39">
        <f t="shared" si="1"/>
        <v>114526872</v>
      </c>
      <c r="BE6" s="39">
        <f t="shared" si="1"/>
        <v>114001501</v>
      </c>
      <c r="BF6" s="39">
        <f t="shared" si="1"/>
        <v>113246329</v>
      </c>
      <c r="BG6" s="39">
        <f t="shared" si="1"/>
        <v>112614423</v>
      </c>
      <c r="BH6" s="39">
        <f t="shared" si="1"/>
        <v>111997939</v>
      </c>
      <c r="BI6" s="39">
        <f t="shared" si="1"/>
        <v>111500453</v>
      </c>
      <c r="BJ6" s="39">
        <f t="shared" si="1"/>
        <v>110765103</v>
      </c>
      <c r="BK6" s="39">
        <f t="shared" si="1"/>
        <v>110166802</v>
      </c>
      <c r="BL6" s="39">
        <f t="shared" si="1"/>
        <v>109568501</v>
      </c>
      <c r="BM6" s="39">
        <f t="shared" si="1"/>
        <v>109073600</v>
      </c>
      <c r="BN6" s="39">
        <f t="shared" si="1"/>
        <v>108382569</v>
      </c>
      <c r="BO6" s="39">
        <f t="shared" si="1"/>
        <v>107801142</v>
      </c>
      <c r="BP6" s="39">
        <f t="shared" si="1"/>
        <v>107222223</v>
      </c>
      <c r="BQ6" s="39">
        <f t="shared" si="1"/>
        <v>106764205</v>
      </c>
    </row>
    <row r="7" spans="2:69">
      <c r="B7" s="4"/>
      <c r="C7" s="4"/>
      <c r="D7" s="9" t="s">
        <v>71</v>
      </c>
      <c r="E7" s="8"/>
      <c r="F7" s="1"/>
      <c r="G7" s="249"/>
      <c r="H7" s="249"/>
      <c r="I7" s="249"/>
      <c r="J7" s="249"/>
      <c r="K7" s="1" t="s">
        <v>167</v>
      </c>
      <c r="L7" s="1"/>
      <c r="M7" s="1"/>
      <c r="N7" s="39">
        <f>【PL】決算数値入力!W7</f>
        <v>114968230</v>
      </c>
      <c r="O7" s="39">
        <f>【PL】決算数値入力!X7</f>
        <v>119265632</v>
      </c>
      <c r="P7" s="39">
        <f>【PL】決算数値入力!Y7</f>
        <v>122177720</v>
      </c>
      <c r="Q7" s="39">
        <f>【PL】決算数値入力!Z7</f>
        <v>119610300</v>
      </c>
      <c r="R7" s="39">
        <f>【PL】決算数値入力!AA7</f>
        <v>120553459</v>
      </c>
      <c r="S7" s="39">
        <f>【PL】決算数値入力!AB7</f>
        <v>111985280</v>
      </c>
      <c r="T7" s="130">
        <f>'【収益－現行】給水収益 (料金改定後)'!S32</f>
        <v>139634471</v>
      </c>
      <c r="U7" s="130">
        <f>'【収益－現行】給水収益 (料金改定後)'!T32</f>
        <v>167504576</v>
      </c>
      <c r="V7" s="130">
        <f>'【収益－現行】給水収益 (料金改定後)'!U32</f>
        <v>165289581</v>
      </c>
      <c r="W7" s="130">
        <f>'【収益－現行】給水収益 (料金改定後)'!V32</f>
        <v>163362898</v>
      </c>
      <c r="X7" s="130">
        <f>'【収益－現行】給水収益 (料金改定後)'!W32</f>
        <v>161489059</v>
      </c>
      <c r="Y7" s="130">
        <f>'【収益－現行】給水収益 (料金改定後)'!X32</f>
        <v>159891925</v>
      </c>
      <c r="Z7" s="130">
        <f>'【収益－現行】給水収益 (料金改定後)'!Y32</f>
        <v>156552270</v>
      </c>
      <c r="AA7" s="130">
        <f>'【収益－現行】給水収益 (料金改定後)'!Z32</f>
        <v>154899729</v>
      </c>
      <c r="AB7" s="130">
        <f>'【収益－現行】給水収益 (料金改定後)'!AA32</f>
        <v>153283444</v>
      </c>
      <c r="AC7" s="130">
        <f>'【収益－現行】給水収益 (料金改定後)'!AB32</f>
        <v>151917255</v>
      </c>
      <c r="AD7" s="130">
        <f>'【収益－現行】給水収益 (料金改定後)'!AC32</f>
        <v>150127148</v>
      </c>
      <c r="AE7" s="130">
        <f>'【収益－現行】給水収益 (料金改定後)'!AD32</f>
        <v>146472222</v>
      </c>
      <c r="AF7" s="130">
        <f>'【収益－現行】給水収益 (料金改定後)'!AE32</f>
        <v>145112721</v>
      </c>
      <c r="AG7" s="130">
        <f>'【収益－現行】給水収益 (料金改定後)'!AF32</f>
        <v>143975310</v>
      </c>
      <c r="AH7" s="130">
        <f>'【収益－現行】給水収益 (料金改定後)'!AG32</f>
        <v>142451579</v>
      </c>
      <c r="AI7" s="130">
        <f>'【収益－現行】給水収益 (料金改定後)'!AH32</f>
        <v>141161653</v>
      </c>
      <c r="AJ7" s="130">
        <f>'【収益－現行】給水収益 (料金改定後)'!AI32</f>
        <v>137154661</v>
      </c>
      <c r="AK7" s="130">
        <f>'【収益－現行】給水収益 (料金改定後)'!AJ32</f>
        <v>136215734</v>
      </c>
      <c r="AL7" s="130">
        <f>'【収益－現行】給水収益 (料金改定後)'!AK32</f>
        <v>134936258</v>
      </c>
      <c r="AM7" s="130">
        <f>'【収益－現行】給水収益 (料金改定後)'!AL32</f>
        <v>133847082</v>
      </c>
      <c r="AN7" s="130">
        <f>'【収益－現行】給水収益 (料金改定後)'!AM32</f>
        <v>132775825</v>
      </c>
      <c r="AO7" s="130">
        <f>'【収益－現行】給水収益 (料金改定後)'!AN32</f>
        <v>128823624</v>
      </c>
      <c r="AP7" s="130">
        <f>'【収益－現行】給水収益 (料金改定後)'!AO32</f>
        <v>127745415</v>
      </c>
      <c r="AQ7" s="130">
        <f>'【収益－現行】給水収益 (料金改定後)'!AP32</f>
        <v>126847463</v>
      </c>
      <c r="AR7" s="130">
        <f>'【収益－現行】給水収益 (料金改定後)'!AQ32</f>
        <v>125946860</v>
      </c>
      <c r="AS7" s="130">
        <f>'【収益－現行】給水収益 (料金改定後)'!AR32</f>
        <v>125215140</v>
      </c>
      <c r="AT7" s="130">
        <f>'【収益－現行】給水収益 (料金改定後)'!AS32</f>
        <v>120921862</v>
      </c>
      <c r="AU7" s="130">
        <f>'【収益－現行】給水収益 (料金改定後)'!AT32</f>
        <v>120206015</v>
      </c>
      <c r="AV7" s="130">
        <f>'【収益－現行】給水収益 (料金改定後)'!AU32</f>
        <v>119506899</v>
      </c>
      <c r="AW7" s="130">
        <f>'【収益－現行】給水収益 (料金改定後)'!AV32</f>
        <v>118946284</v>
      </c>
      <c r="AX7" s="130">
        <f>'【収益－現行】給水収益 (料金改定後)'!AW32</f>
        <v>118126883</v>
      </c>
      <c r="AY7" s="130">
        <f>'【収益－現行】給水収益 (料金改定後)'!AX32</f>
        <v>117441869</v>
      </c>
      <c r="AZ7" s="130">
        <f>'【収益－現行】給水収益 (料金改定後)'!AY32</f>
        <v>116759484</v>
      </c>
      <c r="BA7" s="130">
        <f>'【収益－現行】給水収益 (料金改定後)'!AZ32</f>
        <v>116223674</v>
      </c>
      <c r="BB7" s="130">
        <f>'【収益－現行】給水収益 (料金改定後)'!BA32</f>
        <v>115428748</v>
      </c>
      <c r="BC7" s="130">
        <f>'【収益－現行】給水収益 (料金改定後)'!BB32</f>
        <v>114782619</v>
      </c>
      <c r="BD7" s="130">
        <f>'【収益－現行】給水収益 (料金改定後)'!BC32</f>
        <v>114133982</v>
      </c>
      <c r="BE7" s="130">
        <f>'【収益－現行】給水収益 (料金改定後)'!BD32</f>
        <v>113608611</v>
      </c>
      <c r="BF7" s="130">
        <f>'【収益－現行】給水収益 (料金改定後)'!BE32</f>
        <v>112853439</v>
      </c>
      <c r="BG7" s="130">
        <f>'【収益－現行】給水収益 (料金改定後)'!BF32</f>
        <v>112221533</v>
      </c>
      <c r="BH7" s="130">
        <f>'【収益－現行】給水収益 (料金改定後)'!BG32</f>
        <v>111605049</v>
      </c>
      <c r="BI7" s="130">
        <f>'【収益－現行】給水収益 (料金改定後)'!BH32</f>
        <v>111107563</v>
      </c>
      <c r="BJ7" s="130">
        <f>'【収益－現行】給水収益 (料金改定後)'!BI32</f>
        <v>110372213</v>
      </c>
      <c r="BK7" s="130">
        <f>'【収益－現行】給水収益 (料金改定後)'!BJ32</f>
        <v>109773912</v>
      </c>
      <c r="BL7" s="130">
        <f>'【収益－現行】給水収益 (料金改定後)'!BK32</f>
        <v>109175611</v>
      </c>
      <c r="BM7" s="130">
        <f>'【収益－現行】給水収益 (料金改定後)'!BL32</f>
        <v>108680710</v>
      </c>
      <c r="BN7" s="130">
        <f>'【収益－現行】給水収益 (料金改定後)'!BM32</f>
        <v>107989679</v>
      </c>
      <c r="BO7" s="130">
        <f>'【収益－現行】給水収益 (料金改定後)'!BN32</f>
        <v>107408252</v>
      </c>
      <c r="BP7" s="130">
        <f>'【収益－現行】給水収益 (料金改定後)'!BO32</f>
        <v>106829333</v>
      </c>
      <c r="BQ7" s="130">
        <f>'【収益－現行】給水収益 (料金改定後)'!BP32</f>
        <v>106371315</v>
      </c>
    </row>
    <row r="8" spans="2:69">
      <c r="B8" s="4"/>
      <c r="C8" s="4"/>
      <c r="D8" s="9" t="s">
        <v>72</v>
      </c>
      <c r="E8" s="8"/>
      <c r="F8" s="1"/>
      <c r="G8" s="249"/>
      <c r="H8" s="249"/>
      <c r="I8" s="249"/>
      <c r="J8" s="249"/>
      <c r="K8" s="1"/>
      <c r="L8" s="1"/>
      <c r="M8" s="1"/>
      <c r="N8" s="39">
        <f>【PL】決算数値入力!W8</f>
        <v>0</v>
      </c>
      <c r="O8" s="39">
        <f>【PL】決算数値入力!X8</f>
        <v>0</v>
      </c>
      <c r="P8" s="39">
        <f>【PL】決算数値入力!Y8</f>
        <v>0</v>
      </c>
      <c r="Q8" s="39">
        <f>【PL】決算数値入力!Z8</f>
        <v>0</v>
      </c>
      <c r="R8" s="39">
        <f>【PL】決算数値入力!AA8</f>
        <v>0</v>
      </c>
      <c r="S8" s="39">
        <f>【PL】決算数値入力!AB8</f>
        <v>0</v>
      </c>
      <c r="T8" s="39">
        <f>S8</f>
        <v>0</v>
      </c>
      <c r="U8" s="39">
        <f t="shared" ref="U8:BQ8" si="2">T8</f>
        <v>0</v>
      </c>
      <c r="V8" s="39">
        <f t="shared" si="2"/>
        <v>0</v>
      </c>
      <c r="W8" s="39">
        <f t="shared" si="2"/>
        <v>0</v>
      </c>
      <c r="X8" s="39">
        <f t="shared" si="2"/>
        <v>0</v>
      </c>
      <c r="Y8" s="39">
        <f t="shared" si="2"/>
        <v>0</v>
      </c>
      <c r="Z8" s="39">
        <f t="shared" si="2"/>
        <v>0</v>
      </c>
      <c r="AA8" s="39">
        <f t="shared" si="2"/>
        <v>0</v>
      </c>
      <c r="AB8" s="39">
        <f t="shared" si="2"/>
        <v>0</v>
      </c>
      <c r="AC8" s="39">
        <f t="shared" si="2"/>
        <v>0</v>
      </c>
      <c r="AD8" s="39">
        <f t="shared" si="2"/>
        <v>0</v>
      </c>
      <c r="AE8" s="39">
        <f t="shared" si="2"/>
        <v>0</v>
      </c>
      <c r="AF8" s="39">
        <f t="shared" si="2"/>
        <v>0</v>
      </c>
      <c r="AG8" s="39">
        <f t="shared" si="2"/>
        <v>0</v>
      </c>
      <c r="AH8" s="39">
        <f t="shared" si="2"/>
        <v>0</v>
      </c>
      <c r="AI8" s="39">
        <f t="shared" si="2"/>
        <v>0</v>
      </c>
      <c r="AJ8" s="39">
        <f t="shared" si="2"/>
        <v>0</v>
      </c>
      <c r="AK8" s="39">
        <f t="shared" si="2"/>
        <v>0</v>
      </c>
      <c r="AL8" s="39">
        <f t="shared" si="2"/>
        <v>0</v>
      </c>
      <c r="AM8" s="39">
        <f t="shared" si="2"/>
        <v>0</v>
      </c>
      <c r="AN8" s="39">
        <f t="shared" si="2"/>
        <v>0</v>
      </c>
      <c r="AO8" s="39">
        <f t="shared" si="2"/>
        <v>0</v>
      </c>
      <c r="AP8" s="39">
        <f t="shared" si="2"/>
        <v>0</v>
      </c>
      <c r="AQ8" s="39">
        <f t="shared" si="2"/>
        <v>0</v>
      </c>
      <c r="AR8" s="39">
        <f t="shared" si="2"/>
        <v>0</v>
      </c>
      <c r="AS8" s="39">
        <f t="shared" si="2"/>
        <v>0</v>
      </c>
      <c r="AT8" s="39">
        <f t="shared" si="2"/>
        <v>0</v>
      </c>
      <c r="AU8" s="39">
        <f t="shared" si="2"/>
        <v>0</v>
      </c>
      <c r="AV8" s="39">
        <f t="shared" si="2"/>
        <v>0</v>
      </c>
      <c r="AW8" s="39">
        <f t="shared" si="2"/>
        <v>0</v>
      </c>
      <c r="AX8" s="39">
        <f t="shared" si="2"/>
        <v>0</v>
      </c>
      <c r="AY8" s="39">
        <f t="shared" si="2"/>
        <v>0</v>
      </c>
      <c r="AZ8" s="39">
        <f t="shared" si="2"/>
        <v>0</v>
      </c>
      <c r="BA8" s="39">
        <f t="shared" si="2"/>
        <v>0</v>
      </c>
      <c r="BB8" s="39">
        <f t="shared" si="2"/>
        <v>0</v>
      </c>
      <c r="BC8" s="39">
        <f t="shared" si="2"/>
        <v>0</v>
      </c>
      <c r="BD8" s="39">
        <f t="shared" si="2"/>
        <v>0</v>
      </c>
      <c r="BE8" s="39">
        <f t="shared" si="2"/>
        <v>0</v>
      </c>
      <c r="BF8" s="39">
        <f t="shared" si="2"/>
        <v>0</v>
      </c>
      <c r="BG8" s="39">
        <f t="shared" si="2"/>
        <v>0</v>
      </c>
      <c r="BH8" s="39">
        <f t="shared" si="2"/>
        <v>0</v>
      </c>
      <c r="BI8" s="39">
        <f t="shared" si="2"/>
        <v>0</v>
      </c>
      <c r="BJ8" s="39">
        <f t="shared" si="2"/>
        <v>0</v>
      </c>
      <c r="BK8" s="39">
        <f t="shared" si="2"/>
        <v>0</v>
      </c>
      <c r="BL8" s="39">
        <f t="shared" si="2"/>
        <v>0</v>
      </c>
      <c r="BM8" s="39">
        <f t="shared" si="2"/>
        <v>0</v>
      </c>
      <c r="BN8" s="39">
        <f t="shared" si="2"/>
        <v>0</v>
      </c>
      <c r="BO8" s="39">
        <f t="shared" si="2"/>
        <v>0</v>
      </c>
      <c r="BP8" s="39">
        <f t="shared" si="2"/>
        <v>0</v>
      </c>
      <c r="BQ8" s="39">
        <f t="shared" si="2"/>
        <v>0</v>
      </c>
    </row>
    <row r="9" spans="2:69">
      <c r="B9" s="4"/>
      <c r="C9" s="4"/>
      <c r="D9" s="9" t="s">
        <v>430</v>
      </c>
      <c r="E9" s="8"/>
      <c r="F9" s="1"/>
      <c r="G9" s="249"/>
      <c r="H9" s="249"/>
      <c r="I9" s="249"/>
      <c r="J9" s="249"/>
      <c r="K9" s="1" t="s">
        <v>163</v>
      </c>
      <c r="L9" s="1"/>
      <c r="M9" s="1"/>
      <c r="N9" s="39">
        <f>【PL】決算数値入力!W9</f>
        <v>0</v>
      </c>
      <c r="O9" s="39">
        <f>【PL】決算数値入力!X9</f>
        <v>0</v>
      </c>
      <c r="P9" s="39">
        <f>【PL】決算数値入力!Y9</f>
        <v>0</v>
      </c>
      <c r="Q9" s="39">
        <f>【PL】決算数値入力!Z9</f>
        <v>0</v>
      </c>
      <c r="R9" s="39">
        <f>【PL】決算数値入力!AA9</f>
        <v>0</v>
      </c>
      <c r="S9" s="39">
        <f>【PL】決算数値入力!AB9</f>
        <v>0</v>
      </c>
      <c r="T9" s="39">
        <v>0</v>
      </c>
      <c r="U9" s="39">
        <v>0</v>
      </c>
      <c r="V9" s="39">
        <v>0</v>
      </c>
      <c r="W9" s="39">
        <v>0</v>
      </c>
      <c r="X9" s="39">
        <v>0</v>
      </c>
      <c r="Y9" s="39">
        <v>0</v>
      </c>
      <c r="Z9" s="39">
        <v>0</v>
      </c>
      <c r="AA9" s="39">
        <v>0</v>
      </c>
      <c r="AB9" s="39">
        <v>0</v>
      </c>
      <c r="AC9" s="39">
        <v>0</v>
      </c>
      <c r="AD9" s="39">
        <v>0</v>
      </c>
      <c r="AE9" s="39">
        <v>0</v>
      </c>
      <c r="AF9" s="39">
        <v>0</v>
      </c>
      <c r="AG9" s="39">
        <v>0</v>
      </c>
      <c r="AH9" s="39">
        <v>0</v>
      </c>
      <c r="AI9" s="39">
        <v>0</v>
      </c>
      <c r="AJ9" s="39">
        <v>0</v>
      </c>
      <c r="AK9" s="39">
        <v>0</v>
      </c>
      <c r="AL9" s="39">
        <v>0</v>
      </c>
      <c r="AM9" s="39">
        <v>0</v>
      </c>
      <c r="AN9" s="39">
        <v>0</v>
      </c>
      <c r="AO9" s="39">
        <v>0</v>
      </c>
      <c r="AP9" s="39">
        <v>0</v>
      </c>
      <c r="AQ9" s="39">
        <v>0</v>
      </c>
      <c r="AR9" s="39">
        <v>0</v>
      </c>
      <c r="AS9" s="39">
        <v>0</v>
      </c>
      <c r="AT9" s="39">
        <v>0</v>
      </c>
      <c r="AU9" s="39">
        <v>0</v>
      </c>
      <c r="AV9" s="39">
        <v>0</v>
      </c>
      <c r="AW9" s="39">
        <v>0</v>
      </c>
      <c r="AX9" s="39">
        <v>0</v>
      </c>
      <c r="AY9" s="39">
        <v>0</v>
      </c>
      <c r="AZ9" s="39">
        <v>0</v>
      </c>
      <c r="BA9" s="39">
        <v>0</v>
      </c>
      <c r="BB9" s="39">
        <v>0</v>
      </c>
      <c r="BC9" s="39">
        <v>0</v>
      </c>
      <c r="BD9" s="39">
        <v>0</v>
      </c>
      <c r="BE9" s="39">
        <v>0</v>
      </c>
      <c r="BF9" s="39">
        <v>0</v>
      </c>
      <c r="BG9" s="39">
        <v>0</v>
      </c>
      <c r="BH9" s="39">
        <v>0</v>
      </c>
      <c r="BI9" s="39">
        <v>0</v>
      </c>
      <c r="BJ9" s="39">
        <v>0</v>
      </c>
      <c r="BK9" s="39">
        <v>0</v>
      </c>
      <c r="BL9" s="39">
        <v>0</v>
      </c>
      <c r="BM9" s="39">
        <v>0</v>
      </c>
      <c r="BN9" s="39">
        <v>0</v>
      </c>
      <c r="BO9" s="39">
        <v>0</v>
      </c>
      <c r="BP9" s="39">
        <v>0</v>
      </c>
      <c r="BQ9" s="39">
        <v>0</v>
      </c>
    </row>
    <row r="10" spans="2:69">
      <c r="B10" s="4"/>
      <c r="C10" s="3"/>
      <c r="D10" s="9" t="s">
        <v>73</v>
      </c>
      <c r="E10" s="8"/>
      <c r="F10" s="1"/>
      <c r="G10" s="249"/>
      <c r="H10" s="249"/>
      <c r="I10" s="249"/>
      <c r="J10" s="249" t="s">
        <v>166</v>
      </c>
      <c r="K10" s="180" t="s">
        <v>719</v>
      </c>
      <c r="L10" s="1"/>
      <c r="M10" s="1"/>
      <c r="N10" s="39">
        <f>【PL】決算数値入力!W10</f>
        <v>261900</v>
      </c>
      <c r="O10" s="39">
        <f>【PL】決算数値入力!X10</f>
        <v>206200</v>
      </c>
      <c r="P10" s="39">
        <f>【PL】決算数値入力!Y10</f>
        <v>179800</v>
      </c>
      <c r="Q10" s="39">
        <f>【PL】決算数値入力!Z10</f>
        <v>242400</v>
      </c>
      <c r="R10" s="39">
        <f>【PL】決算数値入力!AA10</f>
        <v>196800</v>
      </c>
      <c r="S10" s="39">
        <f>【PL】決算数値入力!AB10</f>
        <v>392890</v>
      </c>
      <c r="T10" s="39">
        <f>S10</f>
        <v>392890</v>
      </c>
      <c r="U10" s="39">
        <f t="shared" ref="U10:BQ10" si="3">T10</f>
        <v>392890</v>
      </c>
      <c r="V10" s="39">
        <f t="shared" si="3"/>
        <v>392890</v>
      </c>
      <c r="W10" s="39">
        <f t="shared" si="3"/>
        <v>392890</v>
      </c>
      <c r="X10" s="39">
        <f t="shared" si="3"/>
        <v>392890</v>
      </c>
      <c r="Y10" s="39">
        <f t="shared" si="3"/>
        <v>392890</v>
      </c>
      <c r="Z10" s="39">
        <f t="shared" si="3"/>
        <v>392890</v>
      </c>
      <c r="AA10" s="39">
        <f t="shared" si="3"/>
        <v>392890</v>
      </c>
      <c r="AB10" s="39">
        <f t="shared" si="3"/>
        <v>392890</v>
      </c>
      <c r="AC10" s="39">
        <f t="shared" si="3"/>
        <v>392890</v>
      </c>
      <c r="AD10" s="39">
        <f t="shared" si="3"/>
        <v>392890</v>
      </c>
      <c r="AE10" s="39">
        <f t="shared" si="3"/>
        <v>392890</v>
      </c>
      <c r="AF10" s="39">
        <f t="shared" si="3"/>
        <v>392890</v>
      </c>
      <c r="AG10" s="39">
        <f t="shared" si="3"/>
        <v>392890</v>
      </c>
      <c r="AH10" s="39">
        <f t="shared" si="3"/>
        <v>392890</v>
      </c>
      <c r="AI10" s="39">
        <f t="shared" si="3"/>
        <v>392890</v>
      </c>
      <c r="AJ10" s="39">
        <f t="shared" si="3"/>
        <v>392890</v>
      </c>
      <c r="AK10" s="39">
        <f t="shared" si="3"/>
        <v>392890</v>
      </c>
      <c r="AL10" s="39">
        <f t="shared" si="3"/>
        <v>392890</v>
      </c>
      <c r="AM10" s="39">
        <f t="shared" si="3"/>
        <v>392890</v>
      </c>
      <c r="AN10" s="39">
        <f t="shared" si="3"/>
        <v>392890</v>
      </c>
      <c r="AO10" s="39">
        <f t="shared" si="3"/>
        <v>392890</v>
      </c>
      <c r="AP10" s="39">
        <f t="shared" si="3"/>
        <v>392890</v>
      </c>
      <c r="AQ10" s="39">
        <f t="shared" si="3"/>
        <v>392890</v>
      </c>
      <c r="AR10" s="39">
        <f t="shared" si="3"/>
        <v>392890</v>
      </c>
      <c r="AS10" s="39">
        <f t="shared" si="3"/>
        <v>392890</v>
      </c>
      <c r="AT10" s="39">
        <f t="shared" si="3"/>
        <v>392890</v>
      </c>
      <c r="AU10" s="39">
        <f t="shared" si="3"/>
        <v>392890</v>
      </c>
      <c r="AV10" s="39">
        <f t="shared" si="3"/>
        <v>392890</v>
      </c>
      <c r="AW10" s="39">
        <f t="shared" si="3"/>
        <v>392890</v>
      </c>
      <c r="AX10" s="39">
        <f t="shared" si="3"/>
        <v>392890</v>
      </c>
      <c r="AY10" s="39">
        <f t="shared" si="3"/>
        <v>392890</v>
      </c>
      <c r="AZ10" s="39">
        <f t="shared" si="3"/>
        <v>392890</v>
      </c>
      <c r="BA10" s="39">
        <f t="shared" si="3"/>
        <v>392890</v>
      </c>
      <c r="BB10" s="39">
        <f t="shared" si="3"/>
        <v>392890</v>
      </c>
      <c r="BC10" s="39">
        <f t="shared" si="3"/>
        <v>392890</v>
      </c>
      <c r="BD10" s="39">
        <f t="shared" si="3"/>
        <v>392890</v>
      </c>
      <c r="BE10" s="39">
        <f t="shared" si="3"/>
        <v>392890</v>
      </c>
      <c r="BF10" s="39">
        <f t="shared" si="3"/>
        <v>392890</v>
      </c>
      <c r="BG10" s="39">
        <f t="shared" si="3"/>
        <v>392890</v>
      </c>
      <c r="BH10" s="39">
        <f t="shared" si="3"/>
        <v>392890</v>
      </c>
      <c r="BI10" s="39">
        <f t="shared" si="3"/>
        <v>392890</v>
      </c>
      <c r="BJ10" s="39">
        <f t="shared" si="3"/>
        <v>392890</v>
      </c>
      <c r="BK10" s="39">
        <f t="shared" si="3"/>
        <v>392890</v>
      </c>
      <c r="BL10" s="39">
        <f t="shared" si="3"/>
        <v>392890</v>
      </c>
      <c r="BM10" s="39">
        <f t="shared" si="3"/>
        <v>392890</v>
      </c>
      <c r="BN10" s="39">
        <f t="shared" si="3"/>
        <v>392890</v>
      </c>
      <c r="BO10" s="39">
        <f t="shared" si="3"/>
        <v>392890</v>
      </c>
      <c r="BP10" s="39">
        <f t="shared" si="3"/>
        <v>392890</v>
      </c>
      <c r="BQ10" s="39">
        <f t="shared" si="3"/>
        <v>392890</v>
      </c>
    </row>
    <row r="11" spans="2:69">
      <c r="B11" s="4"/>
      <c r="C11" s="5" t="s">
        <v>74</v>
      </c>
      <c r="D11" s="7"/>
      <c r="E11" s="8"/>
      <c r="F11" s="1"/>
      <c r="G11" s="249"/>
      <c r="H11" s="249"/>
      <c r="I11" s="249"/>
      <c r="J11" s="249"/>
      <c r="K11" s="1"/>
      <c r="L11" s="1"/>
      <c r="M11" s="1"/>
      <c r="N11" s="39">
        <f>【PL】決算数値入力!W11</f>
        <v>120854303</v>
      </c>
      <c r="O11" s="39">
        <f>【PL】決算数値入力!X11</f>
        <v>352344790</v>
      </c>
      <c r="P11" s="39">
        <f>【PL】決算数値入力!Y11</f>
        <v>383784655</v>
      </c>
      <c r="Q11" s="39">
        <f>【PL】決算数値入力!Z11</f>
        <v>473652900</v>
      </c>
      <c r="R11" s="39">
        <f>【PL】決算数値入力!AA11</f>
        <v>384115721</v>
      </c>
      <c r="S11" s="39">
        <f>【PL】決算数値入力!AB12</f>
        <v>15431.1</v>
      </c>
      <c r="T11" s="39">
        <f>SUM(T12:T16)</f>
        <v>364608898.89999998</v>
      </c>
      <c r="U11" s="39">
        <f t="shared" ref="U11:BQ11" si="4">SUM(U12:U16)</f>
        <v>373019942.89999998</v>
      </c>
      <c r="V11" s="39">
        <f>SUM(V12:V16)</f>
        <v>384258757.89999998</v>
      </c>
      <c r="W11" s="39">
        <f t="shared" si="4"/>
        <v>388136377.84736842</v>
      </c>
      <c r="X11" s="39">
        <f t="shared" si="4"/>
        <v>382754336.32105267</v>
      </c>
      <c r="Y11" s="39">
        <f t="shared" si="4"/>
        <v>378026948.7947368</v>
      </c>
      <c r="Z11" s="39">
        <f t="shared" si="4"/>
        <v>371755303.26842105</v>
      </c>
      <c r="AA11" s="39">
        <f t="shared" si="4"/>
        <v>368766015.74210525</v>
      </c>
      <c r="AB11" s="39">
        <f t="shared" si="4"/>
        <v>369864805.74210525</v>
      </c>
      <c r="AC11" s="39">
        <f t="shared" si="4"/>
        <v>369317484.74210525</v>
      </c>
      <c r="AD11" s="39">
        <f t="shared" si="4"/>
        <v>366303036.74210525</v>
      </c>
      <c r="AE11" s="39">
        <f t="shared" si="4"/>
        <v>312486577.74210525</v>
      </c>
      <c r="AF11" s="39">
        <f t="shared" si="4"/>
        <v>299642605.74210525</v>
      </c>
      <c r="AG11" s="39">
        <f t="shared" si="4"/>
        <v>294143968.74210525</v>
      </c>
      <c r="AH11" s="39">
        <f t="shared" si="4"/>
        <v>297505953.74210525</v>
      </c>
      <c r="AI11" s="39">
        <f t="shared" si="4"/>
        <v>304532915.74210525</v>
      </c>
      <c r="AJ11" s="39">
        <f t="shared" si="4"/>
        <v>296501659.74210525</v>
      </c>
      <c r="AK11" s="39">
        <f t="shared" si="4"/>
        <v>303116439.74210525</v>
      </c>
      <c r="AL11" s="39">
        <f t="shared" si="4"/>
        <v>310194693.74210525</v>
      </c>
      <c r="AM11" s="39">
        <f t="shared" si="4"/>
        <v>318065672.74210525</v>
      </c>
      <c r="AN11" s="39">
        <f t="shared" si="4"/>
        <v>325493471.74210525</v>
      </c>
      <c r="AO11" s="39">
        <f t="shared" si="4"/>
        <v>332639625.74210525</v>
      </c>
      <c r="AP11" s="39">
        <f t="shared" si="4"/>
        <v>327320265.74210525</v>
      </c>
      <c r="AQ11" s="39">
        <f t="shared" si="4"/>
        <v>323039238.74210525</v>
      </c>
      <c r="AR11" s="39">
        <f t="shared" si="4"/>
        <v>319820328.74210525</v>
      </c>
      <c r="AS11" s="39">
        <f t="shared" si="4"/>
        <v>315994055.74210525</v>
      </c>
      <c r="AT11" s="39">
        <f t="shared" si="4"/>
        <v>312667175.74210525</v>
      </c>
      <c r="AU11" s="39">
        <f t="shared" si="4"/>
        <v>308578221.74210525</v>
      </c>
      <c r="AV11" s="39">
        <f t="shared" si="4"/>
        <v>304925257.74210525</v>
      </c>
      <c r="AW11" s="39">
        <f t="shared" si="4"/>
        <v>300949037.74210525</v>
      </c>
      <c r="AX11" s="39">
        <f t="shared" si="4"/>
        <v>296949989.74210525</v>
      </c>
      <c r="AY11" s="39">
        <f t="shared" si="4"/>
        <v>279714276.74210525</v>
      </c>
      <c r="AZ11" s="39">
        <f t="shared" si="4"/>
        <v>272714931.74210525</v>
      </c>
      <c r="BA11" s="39">
        <f t="shared" si="4"/>
        <v>268085652.74210528</v>
      </c>
      <c r="BB11" s="39">
        <f t="shared" si="4"/>
        <v>259758997.74210528</v>
      </c>
      <c r="BC11" s="39">
        <f t="shared" si="4"/>
        <v>242782572.74210528</v>
      </c>
      <c r="BD11" s="39">
        <f t="shared" si="4"/>
        <v>229642785.74210525</v>
      </c>
      <c r="BE11" s="39">
        <f t="shared" si="4"/>
        <v>192292371.74210525</v>
      </c>
      <c r="BF11" s="39">
        <f t="shared" si="4"/>
        <v>170743403.74210525</v>
      </c>
      <c r="BG11" s="39">
        <f t="shared" si="4"/>
        <v>164519790.74210525</v>
      </c>
      <c r="BH11" s="39">
        <f t="shared" si="4"/>
        <v>159989942.74210525</v>
      </c>
      <c r="BI11" s="39">
        <f t="shared" si="4"/>
        <v>154979460.74210525</v>
      </c>
      <c r="BJ11" s="39">
        <f t="shared" si="4"/>
        <v>150501744.74210525</v>
      </c>
      <c r="BK11" s="39">
        <f t="shared" si="4"/>
        <v>146382418.74210525</v>
      </c>
      <c r="BL11" s="39">
        <f t="shared" si="4"/>
        <v>141478213.74210525</v>
      </c>
      <c r="BM11" s="39">
        <f t="shared" si="4"/>
        <v>129183998.89999999</v>
      </c>
      <c r="BN11" s="39">
        <f t="shared" si="4"/>
        <v>121680187.89999999</v>
      </c>
      <c r="BO11" s="39">
        <f t="shared" si="4"/>
        <v>114357207.89999999</v>
      </c>
      <c r="BP11" s="39">
        <f t="shared" si="4"/>
        <v>105511543.89999999</v>
      </c>
      <c r="BQ11" s="39">
        <f t="shared" si="4"/>
        <v>98335097.899999991</v>
      </c>
    </row>
    <row r="12" spans="2:69">
      <c r="B12" s="4"/>
      <c r="C12" s="4"/>
      <c r="D12" s="9" t="s">
        <v>75</v>
      </c>
      <c r="E12" s="8"/>
      <c r="F12" s="1"/>
      <c r="G12" s="249"/>
      <c r="H12" s="249"/>
      <c r="I12" s="249"/>
      <c r="J12" s="249" t="s">
        <v>166</v>
      </c>
      <c r="K12" s="180" t="s">
        <v>719</v>
      </c>
      <c r="L12" s="1"/>
      <c r="M12" s="1"/>
      <c r="N12" s="39">
        <f>【PL】決算数値入力!W12</f>
        <v>0</v>
      </c>
      <c r="O12" s="39">
        <f>【PL】決算数値入力!X12</f>
        <v>0</v>
      </c>
      <c r="P12" s="39">
        <f>【PL】決算数値入力!Y12</f>
        <v>0</v>
      </c>
      <c r="Q12" s="39">
        <f>【PL】決算数値入力!Z12</f>
        <v>0</v>
      </c>
      <c r="R12" s="39">
        <f>【PL】決算数値入力!AA12</f>
        <v>0</v>
      </c>
      <c r="S12" s="39">
        <f>【PL】決算数値入力!AB12</f>
        <v>15431.1</v>
      </c>
      <c r="T12" s="39">
        <f>S12</f>
        <v>15431.1</v>
      </c>
      <c r="U12" s="39">
        <f t="shared" ref="U12:BQ12" si="5">T12</f>
        <v>15431.1</v>
      </c>
      <c r="V12" s="39">
        <f t="shared" si="5"/>
        <v>15431.1</v>
      </c>
      <c r="W12" s="39">
        <f t="shared" si="5"/>
        <v>15431.1</v>
      </c>
      <c r="X12" s="39">
        <f t="shared" si="5"/>
        <v>15431.1</v>
      </c>
      <c r="Y12" s="39">
        <f t="shared" si="5"/>
        <v>15431.1</v>
      </c>
      <c r="Z12" s="39">
        <f t="shared" si="5"/>
        <v>15431.1</v>
      </c>
      <c r="AA12" s="39">
        <f t="shared" si="5"/>
        <v>15431.1</v>
      </c>
      <c r="AB12" s="39">
        <f t="shared" si="5"/>
        <v>15431.1</v>
      </c>
      <c r="AC12" s="39">
        <f t="shared" si="5"/>
        <v>15431.1</v>
      </c>
      <c r="AD12" s="39">
        <f t="shared" si="5"/>
        <v>15431.1</v>
      </c>
      <c r="AE12" s="39">
        <f t="shared" si="5"/>
        <v>15431.1</v>
      </c>
      <c r="AF12" s="39">
        <f t="shared" si="5"/>
        <v>15431.1</v>
      </c>
      <c r="AG12" s="39">
        <f t="shared" si="5"/>
        <v>15431.1</v>
      </c>
      <c r="AH12" s="39">
        <f t="shared" si="5"/>
        <v>15431.1</v>
      </c>
      <c r="AI12" s="39">
        <f t="shared" si="5"/>
        <v>15431.1</v>
      </c>
      <c r="AJ12" s="39">
        <f t="shared" si="5"/>
        <v>15431.1</v>
      </c>
      <c r="AK12" s="39">
        <f t="shared" si="5"/>
        <v>15431.1</v>
      </c>
      <c r="AL12" s="39">
        <f t="shared" si="5"/>
        <v>15431.1</v>
      </c>
      <c r="AM12" s="39">
        <f t="shared" si="5"/>
        <v>15431.1</v>
      </c>
      <c r="AN12" s="39">
        <f t="shared" si="5"/>
        <v>15431.1</v>
      </c>
      <c r="AO12" s="39">
        <f t="shared" si="5"/>
        <v>15431.1</v>
      </c>
      <c r="AP12" s="39">
        <f t="shared" si="5"/>
        <v>15431.1</v>
      </c>
      <c r="AQ12" s="39">
        <f t="shared" si="5"/>
        <v>15431.1</v>
      </c>
      <c r="AR12" s="39">
        <f t="shared" si="5"/>
        <v>15431.1</v>
      </c>
      <c r="AS12" s="39">
        <f t="shared" si="5"/>
        <v>15431.1</v>
      </c>
      <c r="AT12" s="39">
        <f t="shared" si="5"/>
        <v>15431.1</v>
      </c>
      <c r="AU12" s="39">
        <f t="shared" si="5"/>
        <v>15431.1</v>
      </c>
      <c r="AV12" s="39">
        <f t="shared" si="5"/>
        <v>15431.1</v>
      </c>
      <c r="AW12" s="39">
        <f t="shared" si="5"/>
        <v>15431.1</v>
      </c>
      <c r="AX12" s="39">
        <f t="shared" si="5"/>
        <v>15431.1</v>
      </c>
      <c r="AY12" s="39">
        <f t="shared" si="5"/>
        <v>15431.1</v>
      </c>
      <c r="AZ12" s="39">
        <f t="shared" si="5"/>
        <v>15431.1</v>
      </c>
      <c r="BA12" s="39">
        <f t="shared" si="5"/>
        <v>15431.1</v>
      </c>
      <c r="BB12" s="39">
        <f t="shared" si="5"/>
        <v>15431.1</v>
      </c>
      <c r="BC12" s="39">
        <f t="shared" si="5"/>
        <v>15431.1</v>
      </c>
      <c r="BD12" s="39">
        <f t="shared" si="5"/>
        <v>15431.1</v>
      </c>
      <c r="BE12" s="39">
        <f t="shared" si="5"/>
        <v>15431.1</v>
      </c>
      <c r="BF12" s="39">
        <f t="shared" si="5"/>
        <v>15431.1</v>
      </c>
      <c r="BG12" s="39">
        <f t="shared" si="5"/>
        <v>15431.1</v>
      </c>
      <c r="BH12" s="39">
        <f t="shared" si="5"/>
        <v>15431.1</v>
      </c>
      <c r="BI12" s="39">
        <f t="shared" si="5"/>
        <v>15431.1</v>
      </c>
      <c r="BJ12" s="39">
        <f t="shared" si="5"/>
        <v>15431.1</v>
      </c>
      <c r="BK12" s="39">
        <f t="shared" si="5"/>
        <v>15431.1</v>
      </c>
      <c r="BL12" s="39">
        <f t="shared" si="5"/>
        <v>15431.1</v>
      </c>
      <c r="BM12" s="39">
        <f t="shared" si="5"/>
        <v>15431.1</v>
      </c>
      <c r="BN12" s="39">
        <f t="shared" si="5"/>
        <v>15431.1</v>
      </c>
      <c r="BO12" s="39">
        <f t="shared" si="5"/>
        <v>15431.1</v>
      </c>
      <c r="BP12" s="39">
        <f t="shared" si="5"/>
        <v>15431.1</v>
      </c>
      <c r="BQ12" s="39">
        <f t="shared" si="5"/>
        <v>15431.1</v>
      </c>
    </row>
    <row r="13" spans="2:69">
      <c r="B13" s="4"/>
      <c r="C13" s="4"/>
      <c r="D13" s="9" t="s">
        <v>76</v>
      </c>
      <c r="E13" s="8"/>
      <c r="F13" s="1"/>
      <c r="G13" s="249"/>
      <c r="H13" s="249"/>
      <c r="I13" s="249"/>
      <c r="J13" s="249" t="s">
        <v>166</v>
      </c>
      <c r="K13" s="1" t="s">
        <v>580</v>
      </c>
      <c r="L13" s="1"/>
      <c r="M13" s="1"/>
      <c r="N13" s="39">
        <f>【PL】決算数値入力!W13</f>
        <v>23034829</v>
      </c>
      <c r="O13" s="39">
        <f>【PL】決算数値入力!X13</f>
        <v>61004862</v>
      </c>
      <c r="P13" s="39">
        <f>【PL】決算数値入力!Y13</f>
        <v>0</v>
      </c>
      <c r="Q13" s="39">
        <f>【PL】決算数値入力!Z13</f>
        <v>25962175</v>
      </c>
      <c r="R13" s="39">
        <f>【PL】決算数値入力!AA13</f>
        <v>25117004</v>
      </c>
      <c r="S13" s="39">
        <f>【PL】決算数値入力!AB13</f>
        <v>13834221</v>
      </c>
      <c r="T13" s="39">
        <f>T44+T59</f>
        <v>25500721</v>
      </c>
      <c r="U13" s="39">
        <f>U44+U59</f>
        <v>33861477</v>
      </c>
      <c r="V13" s="85">
        <f>V44+V59</f>
        <v>38616631</v>
      </c>
      <c r="W13" s="39">
        <f>W44+W59</f>
        <v>47830328</v>
      </c>
      <c r="X13" s="39">
        <f t="shared" ref="X13:BQ13" si="6">X44+X59</f>
        <v>55812079</v>
      </c>
      <c r="Y13" s="39">
        <f t="shared" si="6"/>
        <v>63330098</v>
      </c>
      <c r="Z13" s="39">
        <f t="shared" si="6"/>
        <v>67407860</v>
      </c>
      <c r="AA13" s="39">
        <f t="shared" si="6"/>
        <v>71335475</v>
      </c>
      <c r="AB13" s="39">
        <f t="shared" si="6"/>
        <v>76115801</v>
      </c>
      <c r="AC13" s="39">
        <f t="shared" si="6"/>
        <v>82137605</v>
      </c>
      <c r="AD13" s="39">
        <f t="shared" si="6"/>
        <v>86349011</v>
      </c>
      <c r="AE13" s="39">
        <f t="shared" si="6"/>
        <v>88799550</v>
      </c>
      <c r="AF13" s="39">
        <f t="shared" si="6"/>
        <v>90526562</v>
      </c>
      <c r="AG13" s="39">
        <f t="shared" si="6"/>
        <v>92168299</v>
      </c>
      <c r="AH13" s="39">
        <f t="shared" si="6"/>
        <v>101706561</v>
      </c>
      <c r="AI13" s="39">
        <f t="shared" si="6"/>
        <v>111070019</v>
      </c>
      <c r="AJ13" s="39">
        <f t="shared" si="6"/>
        <v>120314851</v>
      </c>
      <c r="AK13" s="39">
        <f t="shared" si="6"/>
        <v>129350747</v>
      </c>
      <c r="AL13" s="39">
        <f t="shared" si="6"/>
        <v>138790735</v>
      </c>
      <c r="AM13" s="39">
        <f t="shared" si="6"/>
        <v>148478707</v>
      </c>
      <c r="AN13" s="39">
        <f t="shared" si="6"/>
        <v>157919311</v>
      </c>
      <c r="AO13" s="39">
        <f t="shared" si="6"/>
        <v>167103819</v>
      </c>
      <c r="AP13" s="39">
        <f t="shared" si="6"/>
        <v>164730759</v>
      </c>
      <c r="AQ13" s="39">
        <f t="shared" si="6"/>
        <v>162308901</v>
      </c>
      <c r="AR13" s="39">
        <f t="shared" si="6"/>
        <v>159835054</v>
      </c>
      <c r="AS13" s="39">
        <f t="shared" si="6"/>
        <v>157330159</v>
      </c>
      <c r="AT13" s="39">
        <f t="shared" si="6"/>
        <v>154931269</v>
      </c>
      <c r="AU13" s="39">
        <f t="shared" si="6"/>
        <v>152515071</v>
      </c>
      <c r="AV13" s="39">
        <f t="shared" si="6"/>
        <v>150006414</v>
      </c>
      <c r="AW13" s="39">
        <f t="shared" si="6"/>
        <v>147403329</v>
      </c>
      <c r="AX13" s="39">
        <f t="shared" si="6"/>
        <v>144703799</v>
      </c>
      <c r="AY13" s="39">
        <f t="shared" si="6"/>
        <v>141905772</v>
      </c>
      <c r="AZ13" s="39">
        <f t="shared" si="6"/>
        <v>139007149</v>
      </c>
      <c r="BA13" s="39">
        <f t="shared" si="6"/>
        <v>136005788</v>
      </c>
      <c r="BB13" s="39">
        <f t="shared" si="6"/>
        <v>132899499</v>
      </c>
      <c r="BC13" s="39">
        <f t="shared" si="6"/>
        <v>129686047</v>
      </c>
      <c r="BD13" s="39">
        <f t="shared" si="6"/>
        <v>126363152</v>
      </c>
      <c r="BE13" s="39">
        <f t="shared" si="6"/>
        <v>122928483</v>
      </c>
      <c r="BF13" s="39">
        <f t="shared" si="6"/>
        <v>119379659</v>
      </c>
      <c r="BG13" s="39">
        <f t="shared" si="6"/>
        <v>115714252</v>
      </c>
      <c r="BH13" s="39">
        <f t="shared" si="6"/>
        <v>111929781</v>
      </c>
      <c r="BI13" s="39">
        <f t="shared" si="6"/>
        <v>108023710</v>
      </c>
      <c r="BJ13" s="39">
        <f t="shared" si="6"/>
        <v>104181251</v>
      </c>
      <c r="BK13" s="39">
        <f t="shared" si="6"/>
        <v>100374804</v>
      </c>
      <c r="BL13" s="39">
        <f t="shared" si="6"/>
        <v>95746696</v>
      </c>
      <c r="BM13" s="39">
        <f t="shared" si="6"/>
        <v>91332237</v>
      </c>
      <c r="BN13" s="39">
        <f t="shared" si="6"/>
        <v>87124160</v>
      </c>
      <c r="BO13" s="39">
        <f t="shared" si="6"/>
        <v>83009582</v>
      </c>
      <c r="BP13" s="39">
        <f t="shared" si="6"/>
        <v>78990434</v>
      </c>
      <c r="BQ13" s="39">
        <f t="shared" si="6"/>
        <v>75107743</v>
      </c>
    </row>
    <row r="14" spans="2:69">
      <c r="B14" s="4"/>
      <c r="C14" s="4"/>
      <c r="D14" s="9" t="s">
        <v>471</v>
      </c>
      <c r="E14" s="8"/>
      <c r="F14" s="1"/>
      <c r="G14" s="249"/>
      <c r="H14" s="249"/>
      <c r="I14" s="249"/>
      <c r="J14" s="249"/>
      <c r="K14" s="1"/>
      <c r="L14" s="1"/>
      <c r="M14" s="1"/>
      <c r="N14" s="39"/>
      <c r="O14" s="39"/>
      <c r="P14" s="39"/>
      <c r="Q14" s="39"/>
      <c r="R14" s="39"/>
      <c r="S14" s="39"/>
      <c r="T14" s="39"/>
      <c r="U14" s="39"/>
      <c r="V14" s="157">
        <f>V60</f>
        <v>10790095</v>
      </c>
      <c r="W14" s="157">
        <f t="shared" ref="W14:BQ14" si="7">W60</f>
        <v>10529945</v>
      </c>
      <c r="X14" s="157">
        <f t="shared" si="7"/>
        <v>10171513</v>
      </c>
      <c r="Y14" s="157">
        <f t="shared" si="7"/>
        <v>9805314</v>
      </c>
      <c r="Z14" s="157">
        <f t="shared" si="7"/>
        <v>9287703</v>
      </c>
      <c r="AA14" s="157">
        <f t="shared" si="7"/>
        <v>8710700</v>
      </c>
      <c r="AB14" s="157">
        <f t="shared" si="7"/>
        <v>8029090</v>
      </c>
      <c r="AC14" s="157">
        <f t="shared" si="7"/>
        <v>7440621</v>
      </c>
      <c r="AD14" s="157">
        <f t="shared" si="7"/>
        <v>6856197</v>
      </c>
      <c r="AE14" s="157">
        <f t="shared" si="7"/>
        <v>6300979</v>
      </c>
      <c r="AF14" s="157">
        <f t="shared" si="7"/>
        <v>5737430</v>
      </c>
      <c r="AG14" s="157">
        <f t="shared" si="7"/>
        <v>5165410</v>
      </c>
      <c r="AH14" s="157">
        <f t="shared" si="7"/>
        <v>4588354</v>
      </c>
      <c r="AI14" s="157">
        <f t="shared" si="7"/>
        <v>4045880</v>
      </c>
      <c r="AJ14" s="157">
        <f t="shared" si="7"/>
        <v>3598596</v>
      </c>
      <c r="AK14" s="157">
        <f t="shared" si="7"/>
        <v>3160696</v>
      </c>
      <c r="AL14" s="157">
        <f t="shared" si="7"/>
        <v>2719825</v>
      </c>
      <c r="AM14" s="157">
        <f t="shared" si="7"/>
        <v>2281790</v>
      </c>
      <c r="AN14" s="157">
        <f t="shared" si="7"/>
        <v>1847085</v>
      </c>
      <c r="AO14" s="157">
        <f t="shared" si="7"/>
        <v>1412272</v>
      </c>
      <c r="AP14" s="157">
        <f t="shared" si="7"/>
        <v>1021280</v>
      </c>
      <c r="AQ14" s="157">
        <f t="shared" si="7"/>
        <v>664686</v>
      </c>
      <c r="AR14" s="157">
        <f t="shared" si="7"/>
        <v>341080</v>
      </c>
      <c r="AS14" s="157">
        <f t="shared" si="7"/>
        <v>73217</v>
      </c>
      <c r="AT14" s="157">
        <f t="shared" si="7"/>
        <v>0</v>
      </c>
      <c r="AU14" s="157">
        <f t="shared" si="7"/>
        <v>0</v>
      </c>
      <c r="AV14" s="157">
        <f t="shared" si="7"/>
        <v>0</v>
      </c>
      <c r="AW14" s="157">
        <f t="shared" si="7"/>
        <v>0</v>
      </c>
      <c r="AX14" s="157">
        <f t="shared" si="7"/>
        <v>0</v>
      </c>
      <c r="AY14" s="157">
        <f t="shared" si="7"/>
        <v>0</v>
      </c>
      <c r="AZ14" s="157">
        <f t="shared" si="7"/>
        <v>0</v>
      </c>
      <c r="BA14" s="157">
        <f t="shared" si="7"/>
        <v>0</v>
      </c>
      <c r="BB14" s="157">
        <f t="shared" si="7"/>
        <v>0</v>
      </c>
      <c r="BC14" s="157">
        <f t="shared" si="7"/>
        <v>0</v>
      </c>
      <c r="BD14" s="157">
        <f t="shared" si="7"/>
        <v>0</v>
      </c>
      <c r="BE14" s="157">
        <f t="shared" si="7"/>
        <v>0</v>
      </c>
      <c r="BF14" s="157">
        <f t="shared" si="7"/>
        <v>0</v>
      </c>
      <c r="BG14" s="157">
        <f t="shared" si="7"/>
        <v>0</v>
      </c>
      <c r="BH14" s="157">
        <f t="shared" si="7"/>
        <v>0</v>
      </c>
      <c r="BI14" s="157">
        <f t="shared" si="7"/>
        <v>0</v>
      </c>
      <c r="BJ14" s="157">
        <f t="shared" si="7"/>
        <v>0</v>
      </c>
      <c r="BK14" s="157">
        <f t="shared" si="7"/>
        <v>0</v>
      </c>
      <c r="BL14" s="157">
        <f t="shared" si="7"/>
        <v>0</v>
      </c>
      <c r="BM14" s="157">
        <f t="shared" si="7"/>
        <v>0</v>
      </c>
      <c r="BN14" s="157">
        <f t="shared" si="7"/>
        <v>0</v>
      </c>
      <c r="BO14" s="157">
        <f t="shared" si="7"/>
        <v>0</v>
      </c>
      <c r="BP14" s="157">
        <f t="shared" si="7"/>
        <v>0</v>
      </c>
      <c r="BQ14" s="157">
        <f t="shared" si="7"/>
        <v>0</v>
      </c>
    </row>
    <row r="15" spans="2:69">
      <c r="B15" s="4"/>
      <c r="C15" s="4"/>
      <c r="D15" s="9" t="s">
        <v>77</v>
      </c>
      <c r="E15" s="8"/>
      <c r="F15" s="1"/>
      <c r="G15" s="249"/>
      <c r="H15" s="249"/>
      <c r="I15" s="249"/>
      <c r="J15" s="249" t="s">
        <v>166</v>
      </c>
      <c r="K15" s="180" t="s">
        <v>719</v>
      </c>
      <c r="L15" s="1"/>
      <c r="M15" s="1"/>
      <c r="N15" s="39">
        <f>【PL】決算数値入力!W15</f>
        <v>2684327</v>
      </c>
      <c r="O15" s="39">
        <f>【PL】決算数値入力!X15</f>
        <v>2450229</v>
      </c>
      <c r="P15" s="39">
        <f>【PL】決算数値入力!Y15</f>
        <v>22402177</v>
      </c>
      <c r="Q15" s="39">
        <f>【PL】決算数値入力!Z15</f>
        <v>8371047</v>
      </c>
      <c r="R15" s="39">
        <f>【PL】決算数値入力!AA15</f>
        <v>2589660</v>
      </c>
      <c r="S15" s="39">
        <f>【PL】決算数値入力!AB15</f>
        <v>4890572.7999999998</v>
      </c>
      <c r="T15" s="39">
        <f>S15</f>
        <v>4890572.7999999998</v>
      </c>
      <c r="U15" s="39">
        <f t="shared" ref="U15:BQ15" si="8">T15</f>
        <v>4890572.7999999998</v>
      </c>
      <c r="V15" s="39">
        <f t="shared" si="8"/>
        <v>4890572.7999999998</v>
      </c>
      <c r="W15" s="39">
        <f t="shared" si="8"/>
        <v>4890572.7999999998</v>
      </c>
      <c r="X15" s="39">
        <f t="shared" si="8"/>
        <v>4890572.7999999998</v>
      </c>
      <c r="Y15" s="39">
        <f t="shared" si="8"/>
        <v>4890572.7999999998</v>
      </c>
      <c r="Z15" s="39">
        <f t="shared" si="8"/>
        <v>4890572.7999999998</v>
      </c>
      <c r="AA15" s="39">
        <f t="shared" si="8"/>
        <v>4890572.7999999998</v>
      </c>
      <c r="AB15" s="39">
        <f t="shared" si="8"/>
        <v>4890572.7999999998</v>
      </c>
      <c r="AC15" s="39">
        <f t="shared" si="8"/>
        <v>4890572.7999999998</v>
      </c>
      <c r="AD15" s="39">
        <f t="shared" si="8"/>
        <v>4890572.7999999998</v>
      </c>
      <c r="AE15" s="39">
        <f t="shared" si="8"/>
        <v>4890572.7999999998</v>
      </c>
      <c r="AF15" s="39">
        <f t="shared" si="8"/>
        <v>4890572.7999999998</v>
      </c>
      <c r="AG15" s="39">
        <f t="shared" si="8"/>
        <v>4890572.7999999998</v>
      </c>
      <c r="AH15" s="39">
        <f t="shared" si="8"/>
        <v>4890572.7999999998</v>
      </c>
      <c r="AI15" s="39">
        <f t="shared" si="8"/>
        <v>4890572.7999999998</v>
      </c>
      <c r="AJ15" s="39">
        <f t="shared" si="8"/>
        <v>4890572.7999999998</v>
      </c>
      <c r="AK15" s="39">
        <f t="shared" si="8"/>
        <v>4890572.7999999998</v>
      </c>
      <c r="AL15" s="39">
        <f t="shared" si="8"/>
        <v>4890572.7999999998</v>
      </c>
      <c r="AM15" s="39">
        <f t="shared" si="8"/>
        <v>4890572.7999999998</v>
      </c>
      <c r="AN15" s="39">
        <f t="shared" si="8"/>
        <v>4890572.7999999998</v>
      </c>
      <c r="AO15" s="39">
        <f t="shared" si="8"/>
        <v>4890572.7999999998</v>
      </c>
      <c r="AP15" s="39">
        <f t="shared" si="8"/>
        <v>4890572.7999999998</v>
      </c>
      <c r="AQ15" s="39">
        <f t="shared" si="8"/>
        <v>4890572.7999999998</v>
      </c>
      <c r="AR15" s="39">
        <f t="shared" si="8"/>
        <v>4890572.7999999998</v>
      </c>
      <c r="AS15" s="39">
        <f t="shared" si="8"/>
        <v>4890572.7999999998</v>
      </c>
      <c r="AT15" s="39">
        <f t="shared" si="8"/>
        <v>4890572.7999999998</v>
      </c>
      <c r="AU15" s="39">
        <f t="shared" si="8"/>
        <v>4890572.7999999998</v>
      </c>
      <c r="AV15" s="39">
        <f t="shared" si="8"/>
        <v>4890572.7999999998</v>
      </c>
      <c r="AW15" s="39">
        <f t="shared" si="8"/>
        <v>4890572.7999999998</v>
      </c>
      <c r="AX15" s="39">
        <f t="shared" si="8"/>
        <v>4890572.7999999998</v>
      </c>
      <c r="AY15" s="39">
        <f t="shared" si="8"/>
        <v>4890572.7999999998</v>
      </c>
      <c r="AZ15" s="39">
        <f t="shared" si="8"/>
        <v>4890572.7999999998</v>
      </c>
      <c r="BA15" s="39">
        <f t="shared" si="8"/>
        <v>4890572.7999999998</v>
      </c>
      <c r="BB15" s="39">
        <f t="shared" si="8"/>
        <v>4890572.7999999998</v>
      </c>
      <c r="BC15" s="39">
        <f t="shared" si="8"/>
        <v>4890572.7999999998</v>
      </c>
      <c r="BD15" s="39">
        <f t="shared" si="8"/>
        <v>4890572.7999999998</v>
      </c>
      <c r="BE15" s="39">
        <f t="shared" si="8"/>
        <v>4890572.7999999998</v>
      </c>
      <c r="BF15" s="39">
        <f t="shared" si="8"/>
        <v>4890572.7999999998</v>
      </c>
      <c r="BG15" s="39">
        <f t="shared" si="8"/>
        <v>4890572.7999999998</v>
      </c>
      <c r="BH15" s="39">
        <f t="shared" si="8"/>
        <v>4890572.7999999998</v>
      </c>
      <c r="BI15" s="39">
        <f t="shared" si="8"/>
        <v>4890572.7999999998</v>
      </c>
      <c r="BJ15" s="39">
        <f t="shared" si="8"/>
        <v>4890572.7999999998</v>
      </c>
      <c r="BK15" s="39">
        <f t="shared" si="8"/>
        <v>4890572.7999999998</v>
      </c>
      <c r="BL15" s="39">
        <f t="shared" si="8"/>
        <v>4890572.7999999998</v>
      </c>
      <c r="BM15" s="39">
        <f t="shared" si="8"/>
        <v>4890572.7999999998</v>
      </c>
      <c r="BN15" s="39">
        <f t="shared" si="8"/>
        <v>4890572.7999999998</v>
      </c>
      <c r="BO15" s="39">
        <f t="shared" si="8"/>
        <v>4890572.7999999998</v>
      </c>
      <c r="BP15" s="39">
        <f t="shared" si="8"/>
        <v>4890572.7999999998</v>
      </c>
      <c r="BQ15" s="39">
        <f t="shared" si="8"/>
        <v>4890572.7999999998</v>
      </c>
    </row>
    <row r="16" spans="2:69">
      <c r="B16" s="4"/>
      <c r="C16" s="4"/>
      <c r="D16" s="5" t="s">
        <v>78</v>
      </c>
      <c r="E16" s="8"/>
      <c r="F16" s="1"/>
      <c r="G16" s="249"/>
      <c r="H16" s="249"/>
      <c r="I16" s="249"/>
      <c r="J16" s="249"/>
      <c r="K16" s="1"/>
      <c r="L16" s="1"/>
      <c r="M16" s="1"/>
      <c r="N16" s="39">
        <f>【PL】決算数値入力!W16</f>
        <v>95135147</v>
      </c>
      <c r="O16" s="39">
        <f>【PL】決算数値入力!X16</f>
        <v>288889699</v>
      </c>
      <c r="P16" s="39">
        <f>【PL】決算数値入力!Y16</f>
        <v>336382478</v>
      </c>
      <c r="Q16" s="39">
        <f>【PL】決算数値入力!Z16</f>
        <v>419319678</v>
      </c>
      <c r="R16" s="39">
        <f>【PL】決算数値入力!AA16</f>
        <v>336409057</v>
      </c>
      <c r="S16" s="39">
        <f>【PL】決算数値入力!AB16</f>
        <v>196728118.90000001</v>
      </c>
      <c r="T16" s="39">
        <f t="shared" ref="T16:V16" si="9">SUM(T17:T18)</f>
        <v>334202174</v>
      </c>
      <c r="U16" s="39">
        <f t="shared" si="9"/>
        <v>334252462</v>
      </c>
      <c r="V16" s="39">
        <f t="shared" si="9"/>
        <v>329946028</v>
      </c>
      <c r="W16" s="39">
        <f>SUM(W17:W18)</f>
        <v>324870100.94736844</v>
      </c>
      <c r="X16" s="39">
        <f t="shared" ref="X16:BQ16" si="10">SUM(X17:X18)</f>
        <v>311864740.42105263</v>
      </c>
      <c r="Y16" s="39">
        <f t="shared" si="10"/>
        <v>299985532.89473683</v>
      </c>
      <c r="Z16" s="39">
        <f t="shared" si="10"/>
        <v>290153736.36842108</v>
      </c>
      <c r="AA16" s="39">
        <f t="shared" si="10"/>
        <v>283813836.84210527</v>
      </c>
      <c r="AB16" s="39">
        <f t="shared" si="10"/>
        <v>280813910.84210527</v>
      </c>
      <c r="AC16" s="39">
        <f t="shared" si="10"/>
        <v>274833254.84210527</v>
      </c>
      <c r="AD16" s="39">
        <f t="shared" si="10"/>
        <v>268191824.84210527</v>
      </c>
      <c r="AE16" s="39">
        <f t="shared" si="10"/>
        <v>212480044.84210527</v>
      </c>
      <c r="AF16" s="39">
        <f t="shared" si="10"/>
        <v>198472609.84210527</v>
      </c>
      <c r="AG16" s="39">
        <f t="shared" si="10"/>
        <v>191904255.84210527</v>
      </c>
      <c r="AH16" s="39">
        <f t="shared" si="10"/>
        <v>186305034.84210527</v>
      </c>
      <c r="AI16" s="39">
        <f t="shared" si="10"/>
        <v>184511012.84210527</v>
      </c>
      <c r="AJ16" s="39">
        <f t="shared" si="10"/>
        <v>167682208.84210527</v>
      </c>
      <c r="AK16" s="39">
        <f t="shared" si="10"/>
        <v>165698992.84210527</v>
      </c>
      <c r="AL16" s="39">
        <f t="shared" si="10"/>
        <v>163778129.84210527</v>
      </c>
      <c r="AM16" s="39">
        <f t="shared" si="10"/>
        <v>162399171.84210527</v>
      </c>
      <c r="AN16" s="39">
        <f t="shared" si="10"/>
        <v>160821071.84210527</v>
      </c>
      <c r="AO16" s="39">
        <f t="shared" si="10"/>
        <v>159217530.84210527</v>
      </c>
      <c r="AP16" s="39">
        <f t="shared" si="10"/>
        <v>156662222.84210527</v>
      </c>
      <c r="AQ16" s="39">
        <f t="shared" si="10"/>
        <v>155159647.84210527</v>
      </c>
      <c r="AR16" s="39">
        <f t="shared" si="10"/>
        <v>154738190.84210527</v>
      </c>
      <c r="AS16" s="39">
        <f t="shared" si="10"/>
        <v>153684675.84210527</v>
      </c>
      <c r="AT16" s="39">
        <f t="shared" si="10"/>
        <v>152829902.84210527</v>
      </c>
      <c r="AU16" s="39">
        <f t="shared" si="10"/>
        <v>151157146.84210527</v>
      </c>
      <c r="AV16" s="39">
        <f t="shared" si="10"/>
        <v>150012839.84210527</v>
      </c>
      <c r="AW16" s="39">
        <f t="shared" si="10"/>
        <v>148639704.84210527</v>
      </c>
      <c r="AX16" s="39">
        <f t="shared" si="10"/>
        <v>147340186.84210527</v>
      </c>
      <c r="AY16" s="39">
        <f t="shared" si="10"/>
        <v>132902500.84210527</v>
      </c>
      <c r="AZ16" s="39">
        <f t="shared" si="10"/>
        <v>128801778.84210527</v>
      </c>
      <c r="BA16" s="39">
        <f t="shared" si="10"/>
        <v>127173860.84210527</v>
      </c>
      <c r="BB16" s="39">
        <f t="shared" si="10"/>
        <v>121953494.84210527</v>
      </c>
      <c r="BC16" s="39">
        <f t="shared" si="10"/>
        <v>108190521.84210527</v>
      </c>
      <c r="BD16" s="39">
        <f t="shared" si="10"/>
        <v>98373629.842105269</v>
      </c>
      <c r="BE16" s="39">
        <f t="shared" si="10"/>
        <v>64457884.842105262</v>
      </c>
      <c r="BF16" s="39">
        <f t="shared" si="10"/>
        <v>46457740.842105262</v>
      </c>
      <c r="BG16" s="39">
        <f t="shared" si="10"/>
        <v>43899534.842105262</v>
      </c>
      <c r="BH16" s="39">
        <f t="shared" si="10"/>
        <v>43154157.842105262</v>
      </c>
      <c r="BI16" s="39">
        <f t="shared" si="10"/>
        <v>42049746.842105262</v>
      </c>
      <c r="BJ16" s="39">
        <f t="shared" si="10"/>
        <v>41414489.842105262</v>
      </c>
      <c r="BK16" s="39">
        <f t="shared" si="10"/>
        <v>41101610.842105262</v>
      </c>
      <c r="BL16" s="39">
        <f t="shared" si="10"/>
        <v>40825513.842105262</v>
      </c>
      <c r="BM16" s="39">
        <f t="shared" si="10"/>
        <v>32945758</v>
      </c>
      <c r="BN16" s="39">
        <f t="shared" si="10"/>
        <v>29650024</v>
      </c>
      <c r="BO16" s="39">
        <f t="shared" si="10"/>
        <v>26441622</v>
      </c>
      <c r="BP16" s="39">
        <f t="shared" si="10"/>
        <v>21615106</v>
      </c>
      <c r="BQ16" s="39">
        <f t="shared" si="10"/>
        <v>18321351</v>
      </c>
    </row>
    <row r="17" spans="2:69">
      <c r="B17" s="4"/>
      <c r="C17" s="4"/>
      <c r="D17" s="4"/>
      <c r="E17" s="1" t="s">
        <v>733</v>
      </c>
      <c r="F17" s="1"/>
      <c r="G17" s="249"/>
      <c r="H17" s="249"/>
      <c r="I17" s="249"/>
      <c r="J17" s="249"/>
      <c r="K17" s="1" t="s">
        <v>170</v>
      </c>
      <c r="L17" s="1"/>
      <c r="M17" s="1"/>
      <c r="N17" s="85">
        <f>【PL】決算数値入力!W17</f>
        <v>95135147</v>
      </c>
      <c r="O17" s="85">
        <f>【PL】決算数値入力!X17</f>
        <v>288889699</v>
      </c>
      <c r="P17" s="85">
        <f>【PL】決算数値入力!Y17</f>
        <v>336382478</v>
      </c>
      <c r="Q17" s="85">
        <f>【PL】決算数値入力!Z17</f>
        <v>419319678</v>
      </c>
      <c r="R17" s="85">
        <f>【PL】決算数値入力!AA17</f>
        <v>336409057</v>
      </c>
      <c r="S17" s="85">
        <f>【PL】決算数値入力!AB17</f>
        <v>196728118.90000001</v>
      </c>
      <c r="T17" s="85">
        <v>334202174</v>
      </c>
      <c r="U17" s="85">
        <v>334252462</v>
      </c>
      <c r="V17" s="85">
        <v>329946028</v>
      </c>
      <c r="W17" s="85">
        <v>323203522</v>
      </c>
      <c r="X17" s="85">
        <v>308882372</v>
      </c>
      <c r="Y17" s="85">
        <v>295687375</v>
      </c>
      <c r="Z17" s="85">
        <v>284539789</v>
      </c>
      <c r="AA17" s="85">
        <v>276884100</v>
      </c>
      <c r="AB17" s="85">
        <v>273884174</v>
      </c>
      <c r="AC17" s="85">
        <v>267903518</v>
      </c>
      <c r="AD17" s="85">
        <v>261262088</v>
      </c>
      <c r="AE17" s="85">
        <v>205550308</v>
      </c>
      <c r="AF17" s="85">
        <v>191542873</v>
      </c>
      <c r="AG17" s="85">
        <v>184974519</v>
      </c>
      <c r="AH17" s="85">
        <v>179375298</v>
      </c>
      <c r="AI17" s="85">
        <v>177581276</v>
      </c>
      <c r="AJ17" s="85">
        <v>160752472</v>
      </c>
      <c r="AK17" s="85">
        <v>158769256</v>
      </c>
      <c r="AL17" s="85">
        <v>156848393</v>
      </c>
      <c r="AM17" s="85">
        <v>155469435</v>
      </c>
      <c r="AN17" s="85">
        <v>153891335</v>
      </c>
      <c r="AO17" s="85">
        <v>152287794</v>
      </c>
      <c r="AP17" s="85">
        <v>149732486</v>
      </c>
      <c r="AQ17" s="85">
        <v>148229911</v>
      </c>
      <c r="AR17" s="85">
        <v>147808454</v>
      </c>
      <c r="AS17" s="85">
        <v>146754939</v>
      </c>
      <c r="AT17" s="85">
        <v>145900166</v>
      </c>
      <c r="AU17" s="85">
        <v>144227410</v>
      </c>
      <c r="AV17" s="85">
        <v>143083103</v>
      </c>
      <c r="AW17" s="85">
        <v>141709968</v>
      </c>
      <c r="AX17" s="85">
        <v>140410450</v>
      </c>
      <c r="AY17" s="85">
        <v>125972764</v>
      </c>
      <c r="AZ17" s="85">
        <v>121872042</v>
      </c>
      <c r="BA17" s="85">
        <v>120244124</v>
      </c>
      <c r="BB17" s="85">
        <v>115023758</v>
      </c>
      <c r="BC17" s="85">
        <v>101260785</v>
      </c>
      <c r="BD17" s="85">
        <v>91443893</v>
      </c>
      <c r="BE17" s="85">
        <v>57528148</v>
      </c>
      <c r="BF17" s="85">
        <v>39528004</v>
      </c>
      <c r="BG17" s="85">
        <v>36969798</v>
      </c>
      <c r="BH17" s="85">
        <v>36224421</v>
      </c>
      <c r="BI17" s="85">
        <v>35120010</v>
      </c>
      <c r="BJ17" s="85">
        <v>34484753</v>
      </c>
      <c r="BK17" s="85">
        <v>34171874</v>
      </c>
      <c r="BL17" s="85">
        <v>33895777</v>
      </c>
      <c r="BM17" s="85">
        <v>32945758</v>
      </c>
      <c r="BN17" s="85">
        <v>29650024</v>
      </c>
      <c r="BO17" s="85">
        <v>26441622</v>
      </c>
      <c r="BP17" s="85">
        <v>21615106</v>
      </c>
      <c r="BQ17" s="85">
        <v>18321351</v>
      </c>
    </row>
    <row r="18" spans="2:69">
      <c r="B18" s="4"/>
      <c r="C18" s="3"/>
      <c r="D18" s="3"/>
      <c r="E18" s="1" t="s">
        <v>734</v>
      </c>
      <c r="F18" s="1"/>
      <c r="G18" s="249"/>
      <c r="H18" s="249"/>
      <c r="I18" s="249"/>
      <c r="J18" s="249"/>
      <c r="K18" s="1" t="s">
        <v>171</v>
      </c>
      <c r="L18" s="1"/>
      <c r="M18" s="1"/>
      <c r="N18" s="85">
        <f>【PL】決算数値入力!W18</f>
        <v>0</v>
      </c>
      <c r="O18" s="85">
        <f>【PL】決算数値入力!X18</f>
        <v>0</v>
      </c>
      <c r="P18" s="85">
        <f>【PL】決算数値入力!Y18</f>
        <v>0</v>
      </c>
      <c r="Q18" s="85">
        <f>【PL】決算数値入力!Z18</f>
        <v>0</v>
      </c>
      <c r="R18" s="85">
        <f>【PL】決算数値入力!AA18</f>
        <v>0</v>
      </c>
      <c r="S18" s="85">
        <f>【PL】決算数値入力!AB18</f>
        <v>0</v>
      </c>
      <c r="T18" s="85">
        <f>新規取得!I5</f>
        <v>0</v>
      </c>
      <c r="U18" s="85">
        <f>新規取得!J5</f>
        <v>0</v>
      </c>
      <c r="V18" s="85">
        <f>新規取得!P5</f>
        <v>0</v>
      </c>
      <c r="W18" s="85">
        <f>新規取得!Q5</f>
        <v>1666578.9473684211</v>
      </c>
      <c r="X18" s="85">
        <f>新規取得!R5</f>
        <v>2982368.4210526319</v>
      </c>
      <c r="Y18" s="85">
        <f>新規取得!S5</f>
        <v>4298157.8947368423</v>
      </c>
      <c r="Z18" s="85">
        <f>新規取得!T5</f>
        <v>5613947.3684210526</v>
      </c>
      <c r="AA18" s="85">
        <f>新規取得!U5</f>
        <v>6929736.8421052629</v>
      </c>
      <c r="AB18" s="85">
        <f>新規取得!V5</f>
        <v>6929736.8421052629</v>
      </c>
      <c r="AC18" s="85">
        <f>新規取得!W5</f>
        <v>6929736.8421052629</v>
      </c>
      <c r="AD18" s="85">
        <f>新規取得!X5</f>
        <v>6929736.8421052629</v>
      </c>
      <c r="AE18" s="85">
        <f>新規取得!Y5</f>
        <v>6929736.8421052629</v>
      </c>
      <c r="AF18" s="85">
        <f>新規取得!Z5</f>
        <v>6929736.8421052629</v>
      </c>
      <c r="AG18" s="85">
        <f>新規取得!AA5</f>
        <v>6929736.8421052629</v>
      </c>
      <c r="AH18" s="85">
        <f>新規取得!AB5</f>
        <v>6929736.8421052629</v>
      </c>
      <c r="AI18" s="85">
        <f>新規取得!AC5</f>
        <v>6929736.8421052629</v>
      </c>
      <c r="AJ18" s="85">
        <f>新規取得!AD5</f>
        <v>6929736.8421052629</v>
      </c>
      <c r="AK18" s="85">
        <f>新規取得!AE5</f>
        <v>6929736.8421052629</v>
      </c>
      <c r="AL18" s="85">
        <f>新規取得!AF5</f>
        <v>6929736.8421052629</v>
      </c>
      <c r="AM18" s="85">
        <f>新規取得!AG5</f>
        <v>6929736.8421052629</v>
      </c>
      <c r="AN18" s="85">
        <f>新規取得!AH5</f>
        <v>6929736.8421052629</v>
      </c>
      <c r="AO18" s="85">
        <f>新規取得!AI5</f>
        <v>6929736.8421052629</v>
      </c>
      <c r="AP18" s="85">
        <f>新規取得!AJ5</f>
        <v>6929736.8421052629</v>
      </c>
      <c r="AQ18" s="85">
        <f>新規取得!AK5</f>
        <v>6929736.8421052629</v>
      </c>
      <c r="AR18" s="85">
        <f>新規取得!AL5</f>
        <v>6929736.8421052629</v>
      </c>
      <c r="AS18" s="85">
        <f>新規取得!AM5</f>
        <v>6929736.8421052629</v>
      </c>
      <c r="AT18" s="85">
        <f>新規取得!AN5</f>
        <v>6929736.8421052629</v>
      </c>
      <c r="AU18" s="85">
        <f>新規取得!AO5</f>
        <v>6929736.8421052629</v>
      </c>
      <c r="AV18" s="85">
        <f>新規取得!AP5</f>
        <v>6929736.8421052629</v>
      </c>
      <c r="AW18" s="85">
        <f>新規取得!AQ5</f>
        <v>6929736.8421052629</v>
      </c>
      <c r="AX18" s="85">
        <f>新規取得!AR5</f>
        <v>6929736.8421052629</v>
      </c>
      <c r="AY18" s="85">
        <f>新規取得!AS5</f>
        <v>6929736.8421052629</v>
      </c>
      <c r="AZ18" s="85">
        <f>新規取得!AT5</f>
        <v>6929736.8421052629</v>
      </c>
      <c r="BA18" s="85">
        <f>新規取得!AU5</f>
        <v>6929736.8421052629</v>
      </c>
      <c r="BB18" s="85">
        <f>新規取得!AV5</f>
        <v>6929736.8421052629</v>
      </c>
      <c r="BC18" s="85">
        <f>新規取得!AW5</f>
        <v>6929736.8421052629</v>
      </c>
      <c r="BD18" s="85">
        <f>新規取得!AX5</f>
        <v>6929736.8421052629</v>
      </c>
      <c r="BE18" s="85">
        <f>新規取得!AY5</f>
        <v>6929736.8421052629</v>
      </c>
      <c r="BF18" s="85">
        <f>新規取得!AZ5</f>
        <v>6929736.8421052629</v>
      </c>
      <c r="BG18" s="85">
        <f>新規取得!BA5</f>
        <v>6929736.8421052629</v>
      </c>
      <c r="BH18" s="85">
        <f>新規取得!BB5</f>
        <v>6929736.8421052629</v>
      </c>
      <c r="BI18" s="85">
        <f>新規取得!BC5</f>
        <v>6929736.8421052629</v>
      </c>
      <c r="BJ18" s="85">
        <f>新規取得!BD5</f>
        <v>6929736.8421052629</v>
      </c>
      <c r="BK18" s="85">
        <f>新規取得!BE5</f>
        <v>6929736.8421052629</v>
      </c>
      <c r="BL18" s="85">
        <f>新規取得!BF5</f>
        <v>6929736.8421052629</v>
      </c>
      <c r="BM18" s="85">
        <f>新規取得!BG5</f>
        <v>0</v>
      </c>
      <c r="BN18" s="85">
        <f>新規取得!BH5</f>
        <v>0</v>
      </c>
      <c r="BO18" s="85">
        <f>新規取得!BI5</f>
        <v>0</v>
      </c>
      <c r="BP18" s="85">
        <f>新規取得!BJ5</f>
        <v>0</v>
      </c>
      <c r="BQ18" s="85">
        <f>新規取得!BK5</f>
        <v>0</v>
      </c>
    </row>
    <row r="19" spans="2:69">
      <c r="B19" s="4"/>
      <c r="C19" s="9" t="s">
        <v>81</v>
      </c>
      <c r="D19" s="7"/>
      <c r="E19" s="8"/>
      <c r="F19" s="1"/>
      <c r="G19" s="249"/>
      <c r="H19" s="249"/>
      <c r="I19" s="249"/>
      <c r="J19" s="249" t="s">
        <v>166</v>
      </c>
      <c r="K19" s="1" t="s">
        <v>163</v>
      </c>
      <c r="L19" s="1"/>
      <c r="M19" s="1"/>
      <c r="N19" s="85">
        <f>【PL】決算数値入力!W19</f>
        <v>0</v>
      </c>
      <c r="O19" s="85">
        <f>【PL】決算数値入力!X19</f>
        <v>0</v>
      </c>
      <c r="P19" s="85">
        <f>【PL】決算数値入力!Y19</f>
        <v>0</v>
      </c>
      <c r="Q19" s="85">
        <f>【PL】決算数値入力!Z19</f>
        <v>0</v>
      </c>
      <c r="R19" s="85">
        <f>【PL】決算数値入力!AA19</f>
        <v>0</v>
      </c>
      <c r="S19" s="85">
        <f>【PL】決算数値入力!AB19</f>
        <v>0</v>
      </c>
      <c r="T19" s="85">
        <v>0</v>
      </c>
      <c r="U19" s="85">
        <v>0</v>
      </c>
      <c r="V19" s="85">
        <v>0</v>
      </c>
      <c r="W19" s="85">
        <v>0</v>
      </c>
      <c r="X19" s="85">
        <v>0</v>
      </c>
      <c r="Y19" s="85">
        <v>0</v>
      </c>
      <c r="Z19" s="85">
        <v>0</v>
      </c>
      <c r="AA19" s="85">
        <v>0</v>
      </c>
      <c r="AB19" s="85">
        <v>0</v>
      </c>
      <c r="AC19" s="85">
        <v>0</v>
      </c>
      <c r="AD19" s="85">
        <v>0</v>
      </c>
      <c r="AE19" s="85">
        <v>0</v>
      </c>
      <c r="AF19" s="85">
        <v>0</v>
      </c>
      <c r="AG19" s="85">
        <v>0</v>
      </c>
      <c r="AH19" s="85">
        <v>0</v>
      </c>
      <c r="AI19" s="85">
        <v>0</v>
      </c>
      <c r="AJ19" s="85">
        <v>0</v>
      </c>
      <c r="AK19" s="85">
        <v>0</v>
      </c>
      <c r="AL19" s="85">
        <v>0</v>
      </c>
      <c r="AM19" s="85">
        <v>0</v>
      </c>
      <c r="AN19" s="85">
        <v>0</v>
      </c>
      <c r="AO19" s="85">
        <v>0</v>
      </c>
      <c r="AP19" s="85">
        <v>0</v>
      </c>
      <c r="AQ19" s="85">
        <v>0</v>
      </c>
      <c r="AR19" s="85">
        <v>0</v>
      </c>
      <c r="AS19" s="85">
        <v>0</v>
      </c>
      <c r="AT19" s="85">
        <v>0</v>
      </c>
      <c r="AU19" s="85">
        <v>0</v>
      </c>
      <c r="AV19" s="85">
        <v>0</v>
      </c>
      <c r="AW19" s="85">
        <v>0</v>
      </c>
      <c r="AX19" s="85">
        <v>0</v>
      </c>
      <c r="AY19" s="85">
        <v>0</v>
      </c>
      <c r="AZ19" s="85">
        <v>0</v>
      </c>
      <c r="BA19" s="85">
        <v>0</v>
      </c>
      <c r="BB19" s="85">
        <v>0</v>
      </c>
      <c r="BC19" s="85">
        <v>0</v>
      </c>
      <c r="BD19" s="85">
        <v>0</v>
      </c>
      <c r="BE19" s="85">
        <v>0</v>
      </c>
      <c r="BF19" s="85">
        <v>0</v>
      </c>
      <c r="BG19" s="85">
        <v>0</v>
      </c>
      <c r="BH19" s="85">
        <v>0</v>
      </c>
      <c r="BI19" s="85">
        <v>0</v>
      </c>
      <c r="BJ19" s="85">
        <v>0</v>
      </c>
      <c r="BK19" s="85">
        <v>0</v>
      </c>
      <c r="BL19" s="85">
        <v>0</v>
      </c>
      <c r="BM19" s="85">
        <v>0</v>
      </c>
      <c r="BN19" s="85">
        <v>0</v>
      </c>
      <c r="BO19" s="85">
        <v>0</v>
      </c>
      <c r="BP19" s="85">
        <v>0</v>
      </c>
      <c r="BQ19" s="85">
        <v>0</v>
      </c>
    </row>
    <row r="20" spans="2:69">
      <c r="B20" s="4"/>
      <c r="C20" s="5" t="s">
        <v>82</v>
      </c>
      <c r="D20" s="7"/>
      <c r="E20" s="8"/>
      <c r="F20" s="1"/>
      <c r="G20" s="249"/>
      <c r="H20" s="249"/>
      <c r="I20" s="249"/>
      <c r="J20" s="249"/>
      <c r="K20" s="1"/>
      <c r="L20" s="1"/>
      <c r="M20" s="1"/>
      <c r="N20" s="85">
        <f>【PL】決算数値入力!W20</f>
        <v>0</v>
      </c>
      <c r="O20" s="85">
        <f>【PL】決算数値入力!X20</f>
        <v>0</v>
      </c>
      <c r="P20" s="85">
        <f>【PL】決算数値入力!Y20</f>
        <v>0</v>
      </c>
      <c r="Q20" s="85">
        <f>【PL】決算数値入力!Z20</f>
        <v>0</v>
      </c>
      <c r="R20" s="85">
        <f>【PL】決算数値入力!AA20</f>
        <v>0</v>
      </c>
      <c r="S20" s="85">
        <f>【PL】決算数値入力!AB20</f>
        <v>0</v>
      </c>
      <c r="T20" s="85">
        <f t="shared" ref="T20:BQ20" si="11">SUM(T21:T23)</f>
        <v>0</v>
      </c>
      <c r="U20" s="85">
        <f t="shared" si="11"/>
        <v>0</v>
      </c>
      <c r="V20" s="85">
        <f t="shared" si="11"/>
        <v>0</v>
      </c>
      <c r="W20" s="85">
        <f t="shared" si="11"/>
        <v>0</v>
      </c>
      <c r="X20" s="85">
        <f t="shared" si="11"/>
        <v>0</v>
      </c>
      <c r="Y20" s="85">
        <f t="shared" si="11"/>
        <v>0</v>
      </c>
      <c r="Z20" s="85">
        <f t="shared" si="11"/>
        <v>0</v>
      </c>
      <c r="AA20" s="85">
        <f t="shared" si="11"/>
        <v>0</v>
      </c>
      <c r="AB20" s="85">
        <f t="shared" si="11"/>
        <v>0</v>
      </c>
      <c r="AC20" s="85">
        <f t="shared" si="11"/>
        <v>0</v>
      </c>
      <c r="AD20" s="85">
        <f t="shared" si="11"/>
        <v>0</v>
      </c>
      <c r="AE20" s="85">
        <f t="shared" si="11"/>
        <v>0</v>
      </c>
      <c r="AF20" s="85">
        <f t="shared" si="11"/>
        <v>0</v>
      </c>
      <c r="AG20" s="85">
        <f t="shared" si="11"/>
        <v>0</v>
      </c>
      <c r="AH20" s="85">
        <f t="shared" si="11"/>
        <v>0</v>
      </c>
      <c r="AI20" s="85">
        <f t="shared" si="11"/>
        <v>0</v>
      </c>
      <c r="AJ20" s="85">
        <f t="shared" si="11"/>
        <v>0</v>
      </c>
      <c r="AK20" s="85">
        <f t="shared" si="11"/>
        <v>0</v>
      </c>
      <c r="AL20" s="85">
        <f t="shared" si="11"/>
        <v>0</v>
      </c>
      <c r="AM20" s="85">
        <f t="shared" si="11"/>
        <v>0</v>
      </c>
      <c r="AN20" s="85">
        <f t="shared" si="11"/>
        <v>0</v>
      </c>
      <c r="AO20" s="85">
        <f t="shared" si="11"/>
        <v>0</v>
      </c>
      <c r="AP20" s="85">
        <f t="shared" si="11"/>
        <v>0</v>
      </c>
      <c r="AQ20" s="85">
        <f t="shared" si="11"/>
        <v>0</v>
      </c>
      <c r="AR20" s="85">
        <f t="shared" si="11"/>
        <v>0</v>
      </c>
      <c r="AS20" s="85">
        <f t="shared" si="11"/>
        <v>0</v>
      </c>
      <c r="AT20" s="85">
        <f t="shared" si="11"/>
        <v>0</v>
      </c>
      <c r="AU20" s="85">
        <f t="shared" si="11"/>
        <v>0</v>
      </c>
      <c r="AV20" s="85">
        <f t="shared" si="11"/>
        <v>0</v>
      </c>
      <c r="AW20" s="85">
        <f t="shared" si="11"/>
        <v>0</v>
      </c>
      <c r="AX20" s="85">
        <f t="shared" si="11"/>
        <v>0</v>
      </c>
      <c r="AY20" s="85">
        <f t="shared" si="11"/>
        <v>0</v>
      </c>
      <c r="AZ20" s="85">
        <f t="shared" si="11"/>
        <v>0</v>
      </c>
      <c r="BA20" s="85">
        <f t="shared" si="11"/>
        <v>0</v>
      </c>
      <c r="BB20" s="85">
        <f t="shared" si="11"/>
        <v>0</v>
      </c>
      <c r="BC20" s="85">
        <f t="shared" si="11"/>
        <v>0</v>
      </c>
      <c r="BD20" s="85">
        <f t="shared" si="11"/>
        <v>0</v>
      </c>
      <c r="BE20" s="85">
        <f t="shared" si="11"/>
        <v>0</v>
      </c>
      <c r="BF20" s="85">
        <f t="shared" si="11"/>
        <v>0</v>
      </c>
      <c r="BG20" s="85">
        <f t="shared" si="11"/>
        <v>0</v>
      </c>
      <c r="BH20" s="85">
        <f t="shared" si="11"/>
        <v>0</v>
      </c>
      <c r="BI20" s="85">
        <f t="shared" si="11"/>
        <v>0</v>
      </c>
      <c r="BJ20" s="85">
        <f t="shared" si="11"/>
        <v>0</v>
      </c>
      <c r="BK20" s="85">
        <f t="shared" si="11"/>
        <v>0</v>
      </c>
      <c r="BL20" s="85">
        <f t="shared" si="11"/>
        <v>0</v>
      </c>
      <c r="BM20" s="85">
        <f t="shared" si="11"/>
        <v>0</v>
      </c>
      <c r="BN20" s="85">
        <f t="shared" si="11"/>
        <v>0</v>
      </c>
      <c r="BO20" s="85">
        <f t="shared" si="11"/>
        <v>0</v>
      </c>
      <c r="BP20" s="85">
        <f t="shared" si="11"/>
        <v>0</v>
      </c>
      <c r="BQ20" s="85">
        <f t="shared" si="11"/>
        <v>0</v>
      </c>
    </row>
    <row r="21" spans="2:69">
      <c r="B21" s="4"/>
      <c r="C21" s="4"/>
      <c r="D21" s="9" t="s">
        <v>83</v>
      </c>
      <c r="E21" s="8"/>
      <c r="F21" s="1"/>
      <c r="G21" s="249"/>
      <c r="H21" s="249"/>
      <c r="I21" s="249"/>
      <c r="J21" s="249" t="s">
        <v>166</v>
      </c>
      <c r="K21" s="1" t="s">
        <v>163</v>
      </c>
      <c r="L21" s="1"/>
      <c r="M21" s="1"/>
      <c r="N21" s="85">
        <f>【PL】決算数値入力!W21</f>
        <v>0</v>
      </c>
      <c r="O21" s="85">
        <f>【PL】決算数値入力!X21</f>
        <v>0</v>
      </c>
      <c r="P21" s="85">
        <f>【PL】決算数値入力!Y21</f>
        <v>0</v>
      </c>
      <c r="Q21" s="85">
        <f>【PL】決算数値入力!Z21</f>
        <v>0</v>
      </c>
      <c r="R21" s="85">
        <f>【PL】決算数値入力!AA21</f>
        <v>0</v>
      </c>
      <c r="S21" s="85">
        <f>【PL】決算数値入力!AB21</f>
        <v>0</v>
      </c>
      <c r="T21" s="85">
        <v>0</v>
      </c>
      <c r="U21" s="85">
        <v>0</v>
      </c>
      <c r="V21" s="85">
        <v>0</v>
      </c>
      <c r="W21" s="85">
        <v>0</v>
      </c>
      <c r="X21" s="85">
        <v>0</v>
      </c>
      <c r="Y21" s="85">
        <v>0</v>
      </c>
      <c r="Z21" s="85">
        <v>0</v>
      </c>
      <c r="AA21" s="85">
        <v>0</v>
      </c>
      <c r="AB21" s="85">
        <v>0</v>
      </c>
      <c r="AC21" s="85">
        <v>0</v>
      </c>
      <c r="AD21" s="85">
        <v>0</v>
      </c>
      <c r="AE21" s="85">
        <v>0</v>
      </c>
      <c r="AF21" s="85">
        <v>0</v>
      </c>
      <c r="AG21" s="85">
        <v>0</v>
      </c>
      <c r="AH21" s="85">
        <v>0</v>
      </c>
      <c r="AI21" s="85">
        <v>0</v>
      </c>
      <c r="AJ21" s="85">
        <v>0</v>
      </c>
      <c r="AK21" s="85">
        <v>0</v>
      </c>
      <c r="AL21" s="85">
        <v>0</v>
      </c>
      <c r="AM21" s="85">
        <v>0</v>
      </c>
      <c r="AN21" s="85">
        <v>0</v>
      </c>
      <c r="AO21" s="85">
        <v>0</v>
      </c>
      <c r="AP21" s="85">
        <v>0</v>
      </c>
      <c r="AQ21" s="85">
        <v>0</v>
      </c>
      <c r="AR21" s="85">
        <v>0</v>
      </c>
      <c r="AS21" s="85">
        <v>0</v>
      </c>
      <c r="AT21" s="85">
        <v>0</v>
      </c>
      <c r="AU21" s="85">
        <v>0</v>
      </c>
      <c r="AV21" s="85">
        <v>0</v>
      </c>
      <c r="AW21" s="85">
        <v>0</v>
      </c>
      <c r="AX21" s="85">
        <v>0</v>
      </c>
      <c r="AY21" s="85">
        <v>0</v>
      </c>
      <c r="AZ21" s="85">
        <v>0</v>
      </c>
      <c r="BA21" s="85">
        <v>0</v>
      </c>
      <c r="BB21" s="85">
        <v>0</v>
      </c>
      <c r="BC21" s="85">
        <v>0</v>
      </c>
      <c r="BD21" s="85">
        <v>0</v>
      </c>
      <c r="BE21" s="85">
        <v>0</v>
      </c>
      <c r="BF21" s="85">
        <v>0</v>
      </c>
      <c r="BG21" s="85">
        <v>0</v>
      </c>
      <c r="BH21" s="85">
        <v>0</v>
      </c>
      <c r="BI21" s="85">
        <v>0</v>
      </c>
      <c r="BJ21" s="85">
        <v>0</v>
      </c>
      <c r="BK21" s="85">
        <v>0</v>
      </c>
      <c r="BL21" s="85">
        <v>0</v>
      </c>
      <c r="BM21" s="85">
        <v>0</v>
      </c>
      <c r="BN21" s="85">
        <v>0</v>
      </c>
      <c r="BO21" s="85">
        <v>0</v>
      </c>
      <c r="BP21" s="85">
        <v>0</v>
      </c>
      <c r="BQ21" s="85">
        <v>0</v>
      </c>
    </row>
    <row r="22" spans="2:69">
      <c r="B22" s="4"/>
      <c r="C22" s="4"/>
      <c r="D22" s="9" t="s">
        <v>84</v>
      </c>
      <c r="E22" s="8"/>
      <c r="F22" s="1"/>
      <c r="G22" s="249"/>
      <c r="H22" s="249"/>
      <c r="I22" s="249"/>
      <c r="J22" s="249" t="s">
        <v>166</v>
      </c>
      <c r="K22" s="1" t="s">
        <v>163</v>
      </c>
      <c r="L22" s="1"/>
      <c r="M22" s="1"/>
      <c r="N22" s="85">
        <f>【PL】決算数値入力!W22</f>
        <v>0</v>
      </c>
      <c r="O22" s="85">
        <f>【PL】決算数値入力!X22</f>
        <v>0</v>
      </c>
      <c r="P22" s="85">
        <f>【PL】決算数値入力!Y22</f>
        <v>0</v>
      </c>
      <c r="Q22" s="85">
        <f>【PL】決算数値入力!Z22</f>
        <v>0</v>
      </c>
      <c r="R22" s="85">
        <f>【PL】決算数値入力!AA22</f>
        <v>0</v>
      </c>
      <c r="S22" s="85">
        <f>【PL】決算数値入力!AB22</f>
        <v>0</v>
      </c>
      <c r="T22" s="85"/>
      <c r="U22" s="189"/>
      <c r="V22" s="85">
        <v>0</v>
      </c>
      <c r="W22" s="85">
        <v>0</v>
      </c>
      <c r="X22" s="85">
        <v>0</v>
      </c>
      <c r="Y22" s="85">
        <v>0</v>
      </c>
      <c r="Z22" s="85">
        <v>0</v>
      </c>
      <c r="AA22" s="85">
        <v>0</v>
      </c>
      <c r="AB22" s="85">
        <v>0</v>
      </c>
      <c r="AC22" s="85">
        <v>0</v>
      </c>
      <c r="AD22" s="85">
        <v>0</v>
      </c>
      <c r="AE22" s="85">
        <v>0</v>
      </c>
      <c r="AF22" s="85">
        <v>0</v>
      </c>
      <c r="AG22" s="85">
        <v>0</v>
      </c>
      <c r="AH22" s="85">
        <v>0</v>
      </c>
      <c r="AI22" s="85">
        <v>0</v>
      </c>
      <c r="AJ22" s="85">
        <v>0</v>
      </c>
      <c r="AK22" s="85">
        <v>0</v>
      </c>
      <c r="AL22" s="85">
        <v>0</v>
      </c>
      <c r="AM22" s="85">
        <v>0</v>
      </c>
      <c r="AN22" s="85">
        <v>0</v>
      </c>
      <c r="AO22" s="85">
        <v>0</v>
      </c>
      <c r="AP22" s="85">
        <v>0</v>
      </c>
      <c r="AQ22" s="85">
        <v>0</v>
      </c>
      <c r="AR22" s="85">
        <v>0</v>
      </c>
      <c r="AS22" s="85">
        <v>0</v>
      </c>
      <c r="AT22" s="85">
        <v>0</v>
      </c>
      <c r="AU22" s="85">
        <v>0</v>
      </c>
      <c r="AV22" s="85">
        <v>0</v>
      </c>
      <c r="AW22" s="85">
        <v>0</v>
      </c>
      <c r="AX22" s="85">
        <v>0</v>
      </c>
      <c r="AY22" s="85">
        <v>0</v>
      </c>
      <c r="AZ22" s="85">
        <v>0</v>
      </c>
      <c r="BA22" s="85">
        <v>0</v>
      </c>
      <c r="BB22" s="85">
        <v>0</v>
      </c>
      <c r="BC22" s="85">
        <v>0</v>
      </c>
      <c r="BD22" s="85">
        <v>0</v>
      </c>
      <c r="BE22" s="85">
        <v>0</v>
      </c>
      <c r="BF22" s="85">
        <v>0</v>
      </c>
      <c r="BG22" s="85">
        <v>0</v>
      </c>
      <c r="BH22" s="85">
        <v>0</v>
      </c>
      <c r="BI22" s="85">
        <v>0</v>
      </c>
      <c r="BJ22" s="85">
        <v>0</v>
      </c>
      <c r="BK22" s="85">
        <v>0</v>
      </c>
      <c r="BL22" s="85">
        <v>0</v>
      </c>
      <c r="BM22" s="85">
        <v>0</v>
      </c>
      <c r="BN22" s="85">
        <v>0</v>
      </c>
      <c r="BO22" s="85">
        <v>0</v>
      </c>
      <c r="BP22" s="85">
        <v>0</v>
      </c>
      <c r="BQ22" s="85">
        <v>0</v>
      </c>
    </row>
    <row r="23" spans="2:69">
      <c r="B23" s="3"/>
      <c r="C23" s="3"/>
      <c r="D23" s="9" t="s">
        <v>85</v>
      </c>
      <c r="E23" s="8"/>
      <c r="F23" s="1"/>
      <c r="G23" s="249"/>
      <c r="H23" s="249"/>
      <c r="I23" s="249"/>
      <c r="J23" s="249" t="s">
        <v>166</v>
      </c>
      <c r="K23" s="1" t="s">
        <v>163</v>
      </c>
      <c r="L23" s="1"/>
      <c r="M23" s="1"/>
      <c r="N23" s="85">
        <f>【PL】決算数値入力!W23</f>
        <v>0</v>
      </c>
      <c r="O23" s="85">
        <f>【PL】決算数値入力!X23</f>
        <v>0</v>
      </c>
      <c r="P23" s="85">
        <f>【PL】決算数値入力!Y23</f>
        <v>0</v>
      </c>
      <c r="Q23" s="85">
        <f>【PL】決算数値入力!Z23</f>
        <v>0</v>
      </c>
      <c r="R23" s="85">
        <f>【PL】決算数値入力!AA23</f>
        <v>0</v>
      </c>
      <c r="S23" s="85">
        <f>【PL】決算数値入力!AB23</f>
        <v>0</v>
      </c>
      <c r="T23" s="85">
        <v>0</v>
      </c>
      <c r="U23" s="85">
        <v>0</v>
      </c>
      <c r="V23" s="85">
        <v>0</v>
      </c>
      <c r="W23" s="85">
        <v>0</v>
      </c>
      <c r="X23" s="85">
        <v>0</v>
      </c>
      <c r="Y23" s="85">
        <v>0</v>
      </c>
      <c r="Z23" s="85">
        <v>0</v>
      </c>
      <c r="AA23" s="85">
        <v>0</v>
      </c>
      <c r="AB23" s="85">
        <v>0</v>
      </c>
      <c r="AC23" s="85">
        <v>0</v>
      </c>
      <c r="AD23" s="85">
        <v>0</v>
      </c>
      <c r="AE23" s="85">
        <v>0</v>
      </c>
      <c r="AF23" s="85">
        <v>0</v>
      </c>
      <c r="AG23" s="85">
        <v>0</v>
      </c>
      <c r="AH23" s="85">
        <v>0</v>
      </c>
      <c r="AI23" s="85">
        <v>0</v>
      </c>
      <c r="AJ23" s="85">
        <v>0</v>
      </c>
      <c r="AK23" s="85">
        <v>0</v>
      </c>
      <c r="AL23" s="85">
        <v>0</v>
      </c>
      <c r="AM23" s="85">
        <v>0</v>
      </c>
      <c r="AN23" s="85">
        <v>0</v>
      </c>
      <c r="AO23" s="85">
        <v>0</v>
      </c>
      <c r="AP23" s="85">
        <v>0</v>
      </c>
      <c r="AQ23" s="85">
        <v>0</v>
      </c>
      <c r="AR23" s="85">
        <v>0</v>
      </c>
      <c r="AS23" s="85">
        <v>0</v>
      </c>
      <c r="AT23" s="85">
        <v>0</v>
      </c>
      <c r="AU23" s="85">
        <v>0</v>
      </c>
      <c r="AV23" s="85">
        <v>0</v>
      </c>
      <c r="AW23" s="85">
        <v>0</v>
      </c>
      <c r="AX23" s="85">
        <v>0</v>
      </c>
      <c r="AY23" s="85">
        <v>0</v>
      </c>
      <c r="AZ23" s="85">
        <v>0</v>
      </c>
      <c r="BA23" s="85">
        <v>0</v>
      </c>
      <c r="BB23" s="85">
        <v>0</v>
      </c>
      <c r="BC23" s="85">
        <v>0</v>
      </c>
      <c r="BD23" s="85">
        <v>0</v>
      </c>
      <c r="BE23" s="85">
        <v>0</v>
      </c>
      <c r="BF23" s="85">
        <v>0</v>
      </c>
      <c r="BG23" s="85">
        <v>0</v>
      </c>
      <c r="BH23" s="85">
        <v>0</v>
      </c>
      <c r="BI23" s="85">
        <v>0</v>
      </c>
      <c r="BJ23" s="85">
        <v>0</v>
      </c>
      <c r="BK23" s="85">
        <v>0</v>
      </c>
      <c r="BL23" s="85">
        <v>0</v>
      </c>
      <c r="BM23" s="85">
        <v>0</v>
      </c>
      <c r="BN23" s="85">
        <v>0</v>
      </c>
      <c r="BO23" s="85">
        <v>0</v>
      </c>
      <c r="BP23" s="85">
        <v>0</v>
      </c>
      <c r="BQ23" s="85">
        <v>0</v>
      </c>
    </row>
    <row r="24" spans="2:69">
      <c r="B24" s="5" t="s">
        <v>86</v>
      </c>
      <c r="C24" s="7"/>
      <c r="D24" s="7"/>
      <c r="E24" s="8"/>
      <c r="F24" s="1"/>
      <c r="G24" s="249"/>
      <c r="H24" s="249"/>
      <c r="I24" s="249"/>
      <c r="J24" s="249"/>
      <c r="K24" s="1"/>
      <c r="L24" s="1"/>
      <c r="M24" s="1"/>
      <c r="N24" s="39">
        <f>【PL】決算数値入力!W24</f>
        <v>390874183</v>
      </c>
      <c r="O24" s="39">
        <f>【PL】決算数値入力!X24</f>
        <v>507845824</v>
      </c>
      <c r="P24" s="39">
        <f>【PL】決算数値入力!Y24</f>
        <v>543887736</v>
      </c>
      <c r="Q24" s="39">
        <f>【PL】決算数値入力!Z24</f>
        <v>694576672</v>
      </c>
      <c r="R24" s="39">
        <f>【PL】決算数値入力!AA24</f>
        <v>564428515</v>
      </c>
      <c r="S24" s="39">
        <f>【PL】決算数値入力!AB24</f>
        <v>420868994.39999998</v>
      </c>
      <c r="T24" s="39">
        <f>SUM(T25,T58,T63)</f>
        <v>532105330</v>
      </c>
      <c r="U24" s="39">
        <f>SUM(U25,U58,U63)</f>
        <v>546680663</v>
      </c>
      <c r="V24" s="85">
        <f t="shared" ref="V24:BQ24" si="12">SUM(V25,V58,V63)</f>
        <v>554561152</v>
      </c>
      <c r="W24" s="39">
        <f t="shared" si="12"/>
        <v>584482252</v>
      </c>
      <c r="X24" s="39">
        <f t="shared" si="12"/>
        <v>591468537</v>
      </c>
      <c r="Y24" s="39">
        <f t="shared" si="12"/>
        <v>594356181</v>
      </c>
      <c r="Z24" s="39">
        <f t="shared" si="12"/>
        <v>594585505</v>
      </c>
      <c r="AA24" s="39">
        <f t="shared" si="12"/>
        <v>597174026</v>
      </c>
      <c r="AB24" s="39">
        <f t="shared" si="12"/>
        <v>609218905</v>
      </c>
      <c r="AC24" s="39">
        <f t="shared" si="12"/>
        <v>617107303</v>
      </c>
      <c r="AD24" s="39">
        <f t="shared" si="12"/>
        <v>622596280</v>
      </c>
      <c r="AE24" s="39">
        <f t="shared" si="12"/>
        <v>571880200</v>
      </c>
      <c r="AF24" s="39">
        <f t="shared" si="12"/>
        <v>564488705</v>
      </c>
      <c r="AG24" s="39">
        <f t="shared" si="12"/>
        <v>573822193</v>
      </c>
      <c r="AH24" s="39">
        <f t="shared" si="12"/>
        <v>591758422</v>
      </c>
      <c r="AI24" s="39">
        <f t="shared" si="12"/>
        <v>613330956</v>
      </c>
      <c r="AJ24" s="39">
        <f t="shared" si="12"/>
        <v>618685011</v>
      </c>
      <c r="AK24" s="39">
        <f t="shared" si="12"/>
        <v>640738884</v>
      </c>
      <c r="AL24" s="39">
        <f t="shared" si="12"/>
        <v>664106761</v>
      </c>
      <c r="AM24" s="39">
        <f t="shared" si="12"/>
        <v>689012913</v>
      </c>
      <c r="AN24" s="39">
        <f t="shared" si="12"/>
        <v>713763712</v>
      </c>
      <c r="AO24" s="39">
        <f t="shared" si="12"/>
        <v>724246469</v>
      </c>
      <c r="AP24" s="39">
        <f t="shared" si="12"/>
        <v>721801617</v>
      </c>
      <c r="AQ24" s="39">
        <f t="shared" si="12"/>
        <v>719923899</v>
      </c>
      <c r="AR24" s="39">
        <f t="shared" si="12"/>
        <v>719225818</v>
      </c>
      <c r="AS24" s="39">
        <f t="shared" si="12"/>
        <v>717966991</v>
      </c>
      <c r="AT24" s="39">
        <f t="shared" si="12"/>
        <v>717336946</v>
      </c>
      <c r="AU24" s="39">
        <f t="shared" si="12"/>
        <v>716182613</v>
      </c>
      <c r="AV24" s="39">
        <f t="shared" si="12"/>
        <v>715734834</v>
      </c>
      <c r="AW24" s="39">
        <f t="shared" si="12"/>
        <v>714949116</v>
      </c>
      <c r="AX24" s="39">
        <f t="shared" si="12"/>
        <v>713740709</v>
      </c>
      <c r="AY24" s="39">
        <f t="shared" si="12"/>
        <v>698735965</v>
      </c>
      <c r="AZ24" s="39">
        <f t="shared" si="12"/>
        <v>694310253</v>
      </c>
      <c r="BA24" s="39">
        <f t="shared" si="12"/>
        <v>692639335</v>
      </c>
      <c r="BB24" s="39">
        <f t="shared" si="12"/>
        <v>687126298</v>
      </c>
      <c r="BC24" s="39">
        <f t="shared" si="12"/>
        <v>672827397</v>
      </c>
      <c r="BD24" s="39">
        <f t="shared" si="12"/>
        <v>662688881</v>
      </c>
      <c r="BE24" s="39">
        <f t="shared" si="12"/>
        <v>627474403</v>
      </c>
      <c r="BF24" s="39">
        <f t="shared" si="12"/>
        <v>608269380</v>
      </c>
      <c r="BG24" s="39">
        <f t="shared" si="12"/>
        <v>605079220</v>
      </c>
      <c r="BH24" s="39">
        <f t="shared" si="12"/>
        <v>595695869</v>
      </c>
      <c r="BI24" s="39">
        <f t="shared" si="12"/>
        <v>565834344</v>
      </c>
      <c r="BJ24" s="39">
        <f t="shared" si="12"/>
        <v>551226034</v>
      </c>
      <c r="BK24" s="39">
        <f t="shared" si="12"/>
        <v>534115136</v>
      </c>
      <c r="BL24" s="39">
        <f t="shared" si="12"/>
        <v>517943935</v>
      </c>
      <c r="BM24" s="39">
        <f t="shared" si="12"/>
        <v>305862608</v>
      </c>
      <c r="BN24" s="39">
        <f t="shared" si="12"/>
        <v>299765589</v>
      </c>
      <c r="BO24" s="39">
        <f t="shared" si="12"/>
        <v>292976131</v>
      </c>
      <c r="BP24" s="39">
        <f t="shared" si="12"/>
        <v>285562264</v>
      </c>
      <c r="BQ24" s="39">
        <f t="shared" si="12"/>
        <v>280012115</v>
      </c>
    </row>
    <row r="25" spans="2:69">
      <c r="B25" s="4"/>
      <c r="C25" s="5" t="s">
        <v>87</v>
      </c>
      <c r="D25" s="7"/>
      <c r="E25" s="8"/>
      <c r="F25" s="1"/>
      <c r="G25" s="249"/>
      <c r="H25" s="249"/>
      <c r="I25" s="249"/>
      <c r="J25" s="249"/>
      <c r="K25" s="1"/>
      <c r="L25" s="1"/>
      <c r="M25" s="1"/>
      <c r="N25" s="39">
        <f>【PL】決算数値入力!W25</f>
        <v>276187944</v>
      </c>
      <c r="O25" s="39">
        <f>【PL】決算数値入力!X25</f>
        <v>493988554</v>
      </c>
      <c r="P25" s="39">
        <f>【PL】決算数値入力!Y25</f>
        <v>537473069</v>
      </c>
      <c r="Q25" s="39">
        <f>【PL】決算数値入力!Z25</f>
        <v>687804951</v>
      </c>
      <c r="R25" s="39">
        <f>【PL】決算数値入力!AA25</f>
        <v>548360734</v>
      </c>
      <c r="S25" s="39">
        <f>【PL】決算数値入力!AB25</f>
        <v>359425182.19999999</v>
      </c>
      <c r="T25" s="39">
        <f>SUM(T26,T34,T43,T52,T55)</f>
        <v>517451551.60000002</v>
      </c>
      <c r="U25" s="39">
        <f t="shared" ref="U25:BQ25" si="13">SUM(U26,U34,U43,U52,U55)</f>
        <v>523866176.60000002</v>
      </c>
      <c r="V25" s="85">
        <f t="shared" si="13"/>
        <v>527193760.60000002</v>
      </c>
      <c r="W25" s="39">
        <f t="shared" si="13"/>
        <v>548105637.60000002</v>
      </c>
      <c r="X25" s="39">
        <f t="shared" si="13"/>
        <v>547316894.60000002</v>
      </c>
      <c r="Y25" s="39">
        <f t="shared" si="13"/>
        <v>542895516.60000002</v>
      </c>
      <c r="Z25" s="39">
        <f t="shared" si="13"/>
        <v>539258374.60000002</v>
      </c>
      <c r="AA25" s="39">
        <f t="shared" si="13"/>
        <v>538132900.60000002</v>
      </c>
      <c r="AB25" s="39">
        <f t="shared" si="13"/>
        <v>545613423.60000002</v>
      </c>
      <c r="AC25" s="39">
        <f t="shared" si="13"/>
        <v>547698363.60000002</v>
      </c>
      <c r="AD25" s="39">
        <f t="shared" si="13"/>
        <v>549196681.60000002</v>
      </c>
      <c r="AE25" s="39">
        <f t="shared" si="13"/>
        <v>496253238.60000002</v>
      </c>
      <c r="AF25" s="39">
        <f t="shared" si="13"/>
        <v>487360362.60000002</v>
      </c>
      <c r="AG25" s="39">
        <f t="shared" si="13"/>
        <v>495280225.60000002</v>
      </c>
      <c r="AH25" s="39">
        <f t="shared" si="13"/>
        <v>503908814.60000002</v>
      </c>
      <c r="AI25" s="39">
        <f t="shared" si="13"/>
        <v>516351049.60000002</v>
      </c>
      <c r="AJ25" s="85">
        <f t="shared" si="13"/>
        <v>512695995.60000002</v>
      </c>
      <c r="AK25" s="85">
        <f t="shared" si="13"/>
        <v>525952288.60000002</v>
      </c>
      <c r="AL25" s="85">
        <f t="shared" si="13"/>
        <v>540121115.60000002</v>
      </c>
      <c r="AM25" s="39">
        <f t="shared" si="13"/>
        <v>555582883.60000002</v>
      </c>
      <c r="AN25" s="39">
        <f t="shared" si="13"/>
        <v>571139346.60000002</v>
      </c>
      <c r="AO25" s="39">
        <f t="shared" si="13"/>
        <v>572686571.60000002</v>
      </c>
      <c r="AP25" s="39">
        <f t="shared" si="13"/>
        <v>572866494.60000002</v>
      </c>
      <c r="AQ25" s="39">
        <f t="shared" si="13"/>
        <v>573665118.60000002</v>
      </c>
      <c r="AR25" s="39">
        <f t="shared" si="13"/>
        <v>575698167.60000002</v>
      </c>
      <c r="AS25" s="39">
        <f t="shared" si="13"/>
        <v>577204349.60000002</v>
      </c>
      <c r="AT25" s="39">
        <f t="shared" si="13"/>
        <v>579236169.60000002</v>
      </c>
      <c r="AU25" s="39">
        <f t="shared" si="13"/>
        <v>580763901.60000002</v>
      </c>
      <c r="AV25" s="39">
        <f t="shared" si="13"/>
        <v>583093571.60000002</v>
      </c>
      <c r="AW25" s="39">
        <f t="shared" si="13"/>
        <v>585182687.60000002</v>
      </c>
      <c r="AX25" s="39">
        <f t="shared" si="13"/>
        <v>586948548.60000002</v>
      </c>
      <c r="AY25" s="39">
        <f t="shared" si="13"/>
        <v>575019591.60000002</v>
      </c>
      <c r="AZ25" s="39">
        <f t="shared" si="13"/>
        <v>573773317.60000002</v>
      </c>
      <c r="BA25" s="39">
        <f t="shared" si="13"/>
        <v>575387664.60000002</v>
      </c>
      <c r="BB25" s="39">
        <f t="shared" si="13"/>
        <v>573267943.60000002</v>
      </c>
      <c r="BC25" s="39">
        <f t="shared" si="13"/>
        <v>562472679.60000002</v>
      </c>
      <c r="BD25" s="39">
        <f t="shared" si="13"/>
        <v>555950435.60000002</v>
      </c>
      <c r="BE25" s="39">
        <f t="shared" si="13"/>
        <v>524467230.60000002</v>
      </c>
      <c r="BF25" s="39">
        <f t="shared" si="13"/>
        <v>509110897.60000002</v>
      </c>
      <c r="BG25" s="39">
        <f t="shared" si="13"/>
        <v>509889309.60000002</v>
      </c>
      <c r="BH25" s="39">
        <f t="shared" si="13"/>
        <v>504596929.60000002</v>
      </c>
      <c r="BI25" s="39">
        <f t="shared" si="13"/>
        <v>478951346.60000002</v>
      </c>
      <c r="BJ25" s="39">
        <f t="shared" si="13"/>
        <v>468498775.60000002</v>
      </c>
      <c r="BK25" s="39">
        <f t="shared" si="13"/>
        <v>455511050.60000002</v>
      </c>
      <c r="BL25" s="39">
        <f t="shared" si="13"/>
        <v>444288167.60000002</v>
      </c>
      <c r="BM25" s="39">
        <f t="shared" si="13"/>
        <v>236945031.59999999</v>
      </c>
      <c r="BN25" s="39">
        <f t="shared" si="13"/>
        <v>235383382.59999999</v>
      </c>
      <c r="BO25" s="39">
        <f t="shared" si="13"/>
        <v>233039396.59999999</v>
      </c>
      <c r="BP25" s="39">
        <f t="shared" si="13"/>
        <v>229979210.59999999</v>
      </c>
      <c r="BQ25" s="39">
        <f t="shared" si="13"/>
        <v>228649965.59999999</v>
      </c>
    </row>
    <row r="26" spans="2:69">
      <c r="B26" s="4"/>
      <c r="C26" s="4"/>
      <c r="D26" s="5" t="s">
        <v>88</v>
      </c>
      <c r="E26" s="8"/>
      <c r="F26" s="302" t="s">
        <v>174</v>
      </c>
      <c r="G26" s="249"/>
      <c r="H26" s="249"/>
      <c r="I26" s="249"/>
      <c r="J26" s="249"/>
      <c r="K26" s="1"/>
      <c r="L26" s="1"/>
      <c r="M26" s="1"/>
      <c r="N26" s="39">
        <f>【PL】決算数値入力!W26</f>
        <v>68125490</v>
      </c>
      <c r="O26" s="39">
        <f>【PL】決算数値入力!X26</f>
        <v>86729085</v>
      </c>
      <c r="P26" s="39">
        <f>【PL】決算数値入力!Y26</f>
        <v>77675517</v>
      </c>
      <c r="Q26" s="39">
        <f>【PL】決算数値入力!Z26</f>
        <v>81124641</v>
      </c>
      <c r="R26" s="39">
        <f>【PL】決算数値入力!AA26</f>
        <v>85901288</v>
      </c>
      <c r="S26" s="39">
        <f>【PL】決算数値入力!AB26</f>
        <v>69189920.900000006</v>
      </c>
      <c r="T26" s="39">
        <f>SUM(T27:T33)</f>
        <v>64166869.600000001</v>
      </c>
      <c r="U26" s="39">
        <f t="shared" ref="U26:BQ26" si="14">SUM(U27:U33)</f>
        <v>64698199.600000001</v>
      </c>
      <c r="V26" s="85">
        <f t="shared" si="14"/>
        <v>65210912.600000001</v>
      </c>
      <c r="W26" s="39">
        <f t="shared" si="14"/>
        <v>65733138.600000001</v>
      </c>
      <c r="X26" s="39">
        <f t="shared" si="14"/>
        <v>66261969.600000001</v>
      </c>
      <c r="Y26" s="39">
        <f t="shared" si="14"/>
        <v>66800190.600000001</v>
      </c>
      <c r="Z26" s="39">
        <f t="shared" si="14"/>
        <v>67324194.599999994</v>
      </c>
      <c r="AA26" s="39">
        <f t="shared" si="14"/>
        <v>67874655.599999994</v>
      </c>
      <c r="AB26" s="39">
        <f t="shared" si="14"/>
        <v>68431790.599999994</v>
      </c>
      <c r="AC26" s="39">
        <f t="shared" si="14"/>
        <v>68998328.599999994</v>
      </c>
      <c r="AD26" s="39">
        <f t="shared" si="14"/>
        <v>69566154.599999994</v>
      </c>
      <c r="AE26" s="39">
        <f t="shared" si="14"/>
        <v>70118325.599999994</v>
      </c>
      <c r="AF26" s="39">
        <f t="shared" si="14"/>
        <v>70704666.599999994</v>
      </c>
      <c r="AG26" s="39">
        <f t="shared" si="14"/>
        <v>71300234.599999994</v>
      </c>
      <c r="AH26" s="39">
        <f t="shared" si="14"/>
        <v>71897891.599999994</v>
      </c>
      <c r="AI26" s="39">
        <f t="shared" si="14"/>
        <v>72505125.599999994</v>
      </c>
      <c r="AJ26" s="39">
        <f t="shared" si="14"/>
        <v>73087148.599999994</v>
      </c>
      <c r="AK26" s="39">
        <f t="shared" si="14"/>
        <v>73712927.599999994</v>
      </c>
      <c r="AL26" s="39">
        <f t="shared" si="14"/>
        <v>74341581.599999994</v>
      </c>
      <c r="AM26" s="39">
        <f t="shared" si="14"/>
        <v>74979669.599999994</v>
      </c>
      <c r="AN26" s="39">
        <f t="shared" si="14"/>
        <v>75625107.599999994</v>
      </c>
      <c r="AO26" s="39">
        <f t="shared" si="14"/>
        <v>76243218.599999994</v>
      </c>
      <c r="AP26" s="39">
        <f t="shared" si="14"/>
        <v>76903077.599999994</v>
      </c>
      <c r="AQ26" s="39">
        <f t="shared" si="14"/>
        <v>77572457.599999994</v>
      </c>
      <c r="AR26" s="39">
        <f t="shared" si="14"/>
        <v>78249307.599999994</v>
      </c>
      <c r="AS26" s="39">
        <f t="shared" si="14"/>
        <v>78935733.599999994</v>
      </c>
      <c r="AT26" s="39">
        <f t="shared" si="14"/>
        <v>79587038.599999994</v>
      </c>
      <c r="AU26" s="39">
        <f t="shared" si="14"/>
        <v>80289009.599999994</v>
      </c>
      <c r="AV26" s="39">
        <f t="shared" si="14"/>
        <v>80998986.599999994</v>
      </c>
      <c r="AW26" s="39">
        <f t="shared" si="14"/>
        <v>81718485.599999994</v>
      </c>
      <c r="AX26" s="39">
        <f t="shared" si="14"/>
        <v>82442900.599999994</v>
      </c>
      <c r="AY26" s="39">
        <f t="shared" si="14"/>
        <v>83177010.599999994</v>
      </c>
      <c r="AZ26" s="39">
        <f t="shared" si="14"/>
        <v>83919272.599999994</v>
      </c>
      <c r="BA26" s="39">
        <f t="shared" si="14"/>
        <v>84671534.599999994</v>
      </c>
      <c r="BB26" s="39">
        <f t="shared" si="14"/>
        <v>85429018.599999994</v>
      </c>
      <c r="BC26" s="39">
        <f t="shared" si="14"/>
        <v>86196686.599999994</v>
      </c>
      <c r="BD26" s="39">
        <f t="shared" si="14"/>
        <v>86972870.599999994</v>
      </c>
      <c r="BE26" s="39">
        <f t="shared" si="14"/>
        <v>87759145.599999994</v>
      </c>
      <c r="BF26" s="39">
        <f t="shared" si="14"/>
        <v>88551368.599999994</v>
      </c>
      <c r="BG26" s="39">
        <f t="shared" si="14"/>
        <v>89353871.599999994</v>
      </c>
      <c r="BH26" s="39">
        <f t="shared" si="14"/>
        <v>90165475.599999994</v>
      </c>
      <c r="BI26" s="39">
        <f t="shared" si="14"/>
        <v>90987486.599999994</v>
      </c>
      <c r="BJ26" s="39">
        <f t="shared" si="14"/>
        <v>91815771.599999994</v>
      </c>
      <c r="BK26" s="39">
        <f t="shared" si="14"/>
        <v>92654864.599999994</v>
      </c>
      <c r="BL26" s="39">
        <f t="shared" si="14"/>
        <v>93503253.599999994</v>
      </c>
      <c r="BM26" s="39">
        <f t="shared" si="14"/>
        <v>94362385.599999994</v>
      </c>
      <c r="BN26" s="39">
        <f t="shared" si="14"/>
        <v>95228532.599999994</v>
      </c>
      <c r="BO26" s="39">
        <f t="shared" si="14"/>
        <v>96105630.599999994</v>
      </c>
      <c r="BP26" s="39">
        <f t="shared" si="14"/>
        <v>96992442.599999994</v>
      </c>
      <c r="BQ26" s="39">
        <f t="shared" si="14"/>
        <v>97890555.599999994</v>
      </c>
    </row>
    <row r="27" spans="2:69">
      <c r="B27" s="4"/>
      <c r="C27" s="4"/>
      <c r="D27" s="4"/>
      <c r="E27" s="1" t="s">
        <v>89</v>
      </c>
      <c r="F27" s="303"/>
      <c r="G27" s="249"/>
      <c r="H27" s="249" t="s">
        <v>166</v>
      </c>
      <c r="I27" s="249"/>
      <c r="J27" s="249"/>
      <c r="K27" s="180" t="s">
        <v>720</v>
      </c>
      <c r="L27" s="249" t="s">
        <v>166</v>
      </c>
      <c r="M27" s="1"/>
      <c r="N27" s="39">
        <f>【PL】決算数値入力!W27</f>
        <v>6871890</v>
      </c>
      <c r="O27" s="39">
        <f>【PL】決算数値入力!X27</f>
        <v>6834594</v>
      </c>
      <c r="P27" s="39">
        <f>【PL】決算数値入力!Y27</f>
        <v>6604994</v>
      </c>
      <c r="Q27" s="39">
        <f>【PL】決算数値入力!Z27</f>
        <v>6808256</v>
      </c>
      <c r="R27" s="39">
        <f>【PL】決算数値入力!AA27</f>
        <v>6912531</v>
      </c>
      <c r="S27" s="39">
        <f>【PL】決算数値入力!AB27</f>
        <v>7539318.4000000004</v>
      </c>
      <c r="T27" s="39">
        <f>ROUND(S27*(1+物価上昇率!$H$9),0)</f>
        <v>7622251</v>
      </c>
      <c r="U27" s="39">
        <f>ROUND(T27*(1+物価上昇率!$H$9),0)</f>
        <v>7706096</v>
      </c>
      <c r="V27" s="85">
        <f>ROUND(U27*(1+物価上昇率!$H$9),0)</f>
        <v>7790863</v>
      </c>
      <c r="W27" s="39">
        <f>ROUND(V27*(1+物価上昇率!$H$9),0)</f>
        <v>7876562</v>
      </c>
      <c r="X27" s="39">
        <f>ROUND(W27*(1+物価上昇率!$H$9),0)</f>
        <v>7963204</v>
      </c>
      <c r="Y27" s="39">
        <f>ROUND(X27*(1+物価上昇率!$H$9),0)</f>
        <v>8050799</v>
      </c>
      <c r="Z27" s="39">
        <f>ROUND(Y27*(1+物価上昇率!$H$9),0)</f>
        <v>8139358</v>
      </c>
      <c r="AA27" s="39">
        <f>ROUND(Z27*(1+物価上昇率!$H$9),0)</f>
        <v>8228891</v>
      </c>
      <c r="AB27" s="39">
        <f>ROUND(AA27*(1+物価上昇率!$H$9),0)</f>
        <v>8319409</v>
      </c>
      <c r="AC27" s="39">
        <f>ROUND(AB27*(1+物価上昇率!$H$9),0)</f>
        <v>8410922</v>
      </c>
      <c r="AD27" s="39">
        <f>ROUND(AC27*(1+物価上昇率!$H$9),0)</f>
        <v>8503442</v>
      </c>
      <c r="AE27" s="39">
        <f>ROUND(AD27*(1+物価上昇率!$H$9),0)</f>
        <v>8596980</v>
      </c>
      <c r="AF27" s="39">
        <f>ROUND(AE27*(1+物価上昇率!$H$9),0)</f>
        <v>8691547</v>
      </c>
      <c r="AG27" s="39">
        <f>ROUND(AF27*(1+物価上昇率!$H$9),0)</f>
        <v>8787154</v>
      </c>
      <c r="AH27" s="39">
        <f>ROUND(AG27*(1+物価上昇率!$H$9),0)</f>
        <v>8883813</v>
      </c>
      <c r="AI27" s="39">
        <f>ROUND(AH27*(1+物価上昇率!$H$9),0)</f>
        <v>8981535</v>
      </c>
      <c r="AJ27" s="39">
        <f>ROUND(AI27*(1+物価上昇率!$H$9),0)</f>
        <v>9080332</v>
      </c>
      <c r="AK27" s="39">
        <f>ROUND(AJ27*(1+物価上昇率!$H$9),0)</f>
        <v>9180216</v>
      </c>
      <c r="AL27" s="39">
        <f>ROUND(AK27*(1+物価上昇率!$H$9),0)</f>
        <v>9281198</v>
      </c>
      <c r="AM27" s="39">
        <f>ROUND(AL27*(1+物価上昇率!$H$9),0)</f>
        <v>9383291</v>
      </c>
      <c r="AN27" s="39">
        <f>ROUND(AM27*(1+物価上昇率!$H$9),0)</f>
        <v>9486507</v>
      </c>
      <c r="AO27" s="39">
        <f>ROUND(AN27*(1+物価上昇率!$H$9),0)</f>
        <v>9590859</v>
      </c>
      <c r="AP27" s="39">
        <f>ROUND(AO27*(1+物価上昇率!$H$9),0)</f>
        <v>9696358</v>
      </c>
      <c r="AQ27" s="39">
        <f>ROUND(AP27*(1+物価上昇率!$H$9),0)</f>
        <v>9803018</v>
      </c>
      <c r="AR27" s="39">
        <f>ROUND(AQ27*(1+物価上昇率!$H$9),0)</f>
        <v>9910851</v>
      </c>
      <c r="AS27" s="39">
        <f>ROUND(AR27*(1+物価上昇率!$H$9),0)</f>
        <v>10019870</v>
      </c>
      <c r="AT27" s="39">
        <f>ROUND(AS27*(1+物価上昇率!$H$9),0)</f>
        <v>10130089</v>
      </c>
      <c r="AU27" s="39">
        <f>ROUND(AT27*(1+物価上昇率!$H$9),0)</f>
        <v>10241520</v>
      </c>
      <c r="AV27" s="39">
        <f>ROUND(AU27*(1+物価上昇率!$H$9),0)</f>
        <v>10354177</v>
      </c>
      <c r="AW27" s="39">
        <f>ROUND(AV27*(1+物価上昇率!$H$9),0)</f>
        <v>10468073</v>
      </c>
      <c r="AX27" s="39">
        <f>ROUND(AW27*(1+物価上昇率!$H$9),0)</f>
        <v>10583222</v>
      </c>
      <c r="AY27" s="39">
        <f>ROUND(AX27*(1+物価上昇率!$H$9),0)</f>
        <v>10699637</v>
      </c>
      <c r="AZ27" s="39">
        <f>ROUND(AY27*(1+物価上昇率!$H$9),0)</f>
        <v>10817333</v>
      </c>
      <c r="BA27" s="39">
        <f>ROUND(AZ27*(1+物価上昇率!$H$9),0)</f>
        <v>10936324</v>
      </c>
      <c r="BB27" s="39">
        <f>ROUND(BA27*(1+物価上昇率!$H$9),0)</f>
        <v>11056624</v>
      </c>
      <c r="BC27" s="39">
        <f>ROUND(BB27*(1+物価上昇率!$H$9),0)</f>
        <v>11178247</v>
      </c>
      <c r="BD27" s="39">
        <f>ROUND(BC27*(1+物価上昇率!$H$9),0)</f>
        <v>11301208</v>
      </c>
      <c r="BE27" s="39">
        <f>ROUND(BD27*(1+物価上昇率!$H$9),0)</f>
        <v>11425521</v>
      </c>
      <c r="BF27" s="39">
        <f>ROUND(BE27*(1+物価上昇率!$H$9),0)</f>
        <v>11551202</v>
      </c>
      <c r="BG27" s="39">
        <f>ROUND(BF27*(1+物価上昇率!$H$9),0)</f>
        <v>11678265</v>
      </c>
      <c r="BH27" s="39">
        <f>ROUND(BG27*(1+物価上昇率!$H$9),0)</f>
        <v>11806726</v>
      </c>
      <c r="BI27" s="39">
        <f>ROUND(BH27*(1+物価上昇率!$H$9),0)</f>
        <v>11936600</v>
      </c>
      <c r="BJ27" s="39">
        <f>ROUND(BI27*(1+物価上昇率!$H$9),0)</f>
        <v>12067903</v>
      </c>
      <c r="BK27" s="39">
        <f>ROUND(BJ27*(1+物価上昇率!$H$9),0)</f>
        <v>12200650</v>
      </c>
      <c r="BL27" s="39">
        <f>ROUND(BK27*(1+物価上昇率!$H$9),0)</f>
        <v>12334857</v>
      </c>
      <c r="BM27" s="39">
        <f>ROUND(BL27*(1+物価上昇率!$H$9),0)</f>
        <v>12470540</v>
      </c>
      <c r="BN27" s="39">
        <f>ROUND(BM27*(1+物価上昇率!$H$9),0)</f>
        <v>12607716</v>
      </c>
      <c r="BO27" s="39">
        <f>ROUND(BN27*(1+物価上昇率!$H$9),0)</f>
        <v>12746401</v>
      </c>
      <c r="BP27" s="39">
        <f>ROUND(BO27*(1+物価上昇率!$H$9),0)</f>
        <v>12886611</v>
      </c>
      <c r="BQ27" s="39">
        <f>ROUND(BP27*(1+物価上昇率!$H$9),0)</f>
        <v>13028364</v>
      </c>
    </row>
    <row r="28" spans="2:69">
      <c r="B28" s="4"/>
      <c r="C28" s="4"/>
      <c r="D28" s="4"/>
      <c r="E28" s="1" t="s">
        <v>96</v>
      </c>
      <c r="F28" s="303"/>
      <c r="G28" s="249"/>
      <c r="H28" s="249"/>
      <c r="I28" s="249" t="s">
        <v>166</v>
      </c>
      <c r="J28" s="249"/>
      <c r="K28" s="180" t="s">
        <v>721</v>
      </c>
      <c r="L28" s="249" t="s">
        <v>166</v>
      </c>
      <c r="M28" s="1"/>
      <c r="N28" s="39">
        <f>【PL】決算数値入力!W28</f>
        <v>2543653</v>
      </c>
      <c r="O28" s="39">
        <f>【PL】決算数値入力!X28</f>
        <v>6880183</v>
      </c>
      <c r="P28" s="39">
        <f>【PL】決算数値入力!Y28</f>
        <v>7599848</v>
      </c>
      <c r="Q28" s="39">
        <f>【PL】決算数値入力!Z28</f>
        <v>9405448</v>
      </c>
      <c r="R28" s="39">
        <f>【PL】決算数値入力!AA28</f>
        <v>8392602</v>
      </c>
      <c r="S28" s="39">
        <f>【PL】決算数値入力!AB28</f>
        <v>4481765.5999999996</v>
      </c>
      <c r="T28" s="39">
        <f>ROUND(SUM(【PL】決算数値入力!$AB$28)/SUM(【収益】水需要予測!$N$19:$W$19),0)*【収益】水需要予測!Y21</f>
        <v>924716</v>
      </c>
      <c r="U28" s="39">
        <f>ROUND(SUM(【PL】決算数値入力!$AB$28)/SUM(【収益】水需要予測!$N$19:$W$19),0)*【収益】水需要予測!Z21</f>
        <v>922751</v>
      </c>
      <c r="V28" s="85">
        <f>ROUND(SUM(【PL】決算数値入力!$AB$28)/SUM(【収益】水需要予測!$N$19:$W$19),0)*【収益】水需要予測!AA21</f>
        <v>901322</v>
      </c>
      <c r="W28" s="39">
        <f>ROUND(SUM(【PL】決算数値入力!$AB$28)/SUM(【収益】水需要予測!$N$19:$W$19),0)*【収益】水需要予測!AB21</f>
        <v>882735</v>
      </c>
      <c r="X28" s="39">
        <f>ROUND(SUM(【PL】決算数値入力!$AB$28)/SUM(【収益】水需要予測!$N$19:$W$19),0)*【収益】水需要予測!AC21</f>
        <v>864628</v>
      </c>
      <c r="Y28" s="39">
        <f>ROUND(SUM(【PL】決算数値入力!$AB$28)/SUM(【収益】水需要予測!$N$19:$W$19),0)*【収益】水需要予測!AD21</f>
        <v>849162</v>
      </c>
      <c r="Z28" s="39">
        <f>ROUND(SUM(【PL】決算数値入力!$AB$28)/SUM(【収益】水需要予測!$N$19:$W$19),0)*【収益】水需要予測!AE21</f>
        <v>817519</v>
      </c>
      <c r="AA28" s="39">
        <f>ROUND(SUM(【PL】決算数値入力!$AB$28)/SUM(【収益】水需要予測!$N$19:$W$19),0)*【収益】水需要予測!AF21</f>
        <v>801976</v>
      </c>
      <c r="AB28" s="39">
        <f>ROUND(SUM(【PL】決算数値入力!$AB$28)/SUM(【収益】水需要予測!$N$19:$W$19),0)*【収益】水需要予測!AG21</f>
        <v>786754</v>
      </c>
      <c r="AC28" s="39">
        <f>ROUND(SUM(【PL】決算数値入力!$AB$28)/SUM(【収益】水需要予測!$N$19:$W$19),0)*【収益】水需要予測!AH21</f>
        <v>773967</v>
      </c>
      <c r="AD28" s="39">
        <f>ROUND(SUM(【PL】決算数値入力!$AB$28)/SUM(【収益】水需要予測!$N$19:$W$19),0)*【収益】水需要予測!AI21</f>
        <v>757110</v>
      </c>
      <c r="AE28" s="39">
        <f>ROUND(SUM(【PL】決算数値入力!$AB$28)/SUM(【収益】水需要予測!$N$19:$W$19),0)*【収益】水需要予測!AJ21</f>
        <v>722660</v>
      </c>
      <c r="AF28" s="39">
        <f>ROUND(SUM(【PL】決算数値入力!$AB$28)/SUM(【収益】水需要予測!$N$19:$W$19),0)*【収益】水需要予測!AK21</f>
        <v>710162</v>
      </c>
      <c r="AG28" s="39">
        <f>ROUND(SUM(【PL】決算数値入力!$AB$28)/SUM(【収益】水需要予測!$N$19:$W$19),0)*【収益】水需要予測!AL21</f>
        <v>699735</v>
      </c>
      <c r="AH28" s="39">
        <f>ROUND(SUM(【PL】決算数値入力!$AB$28)/SUM(【収益】水需要予測!$N$19:$W$19),0)*【収益】水需要予測!AM21</f>
        <v>685646</v>
      </c>
      <c r="AI28" s="39">
        <f>ROUND(SUM(【PL】決算数値入力!$AB$28)/SUM(【収益】水需要予測!$N$19:$W$19),0)*【収益】水需要予測!AN21</f>
        <v>673788</v>
      </c>
      <c r="AJ28" s="39">
        <f>ROUND(SUM(【PL】決算数値入力!$AB$28)/SUM(【収益】水需要予測!$N$19:$W$19),0)*【収益】水需要予測!AO21</f>
        <v>636453</v>
      </c>
      <c r="AK28" s="39">
        <f>ROUND(SUM(【PL】決算数値入力!$AB$28)/SUM(【収益】水需要予測!$N$19:$W$19),0)*【収益】水需要予測!AP21</f>
        <v>628396</v>
      </c>
      <c r="AL28" s="39">
        <f>ROUND(SUM(【PL】決算数値入力!$AB$28)/SUM(【収益】水需要予測!$N$19:$W$19),0)*【収益】水需要予測!AQ21</f>
        <v>617065</v>
      </c>
      <c r="AM28" s="39">
        <f>ROUND(SUM(【PL】決算数値入力!$AB$28)/SUM(【収益】水需要予測!$N$19:$W$19),0)*【収益】水需要予測!AR21</f>
        <v>607611</v>
      </c>
      <c r="AN28" s="39">
        <f>ROUND(SUM(【PL】決算数値入力!$AB$28)/SUM(【収益】水需要予測!$N$19:$W$19),0)*【収益】水需要予測!AS21</f>
        <v>598317</v>
      </c>
      <c r="AO28" s="39">
        <f>ROUND(SUM(【PL】決算数値入力!$AB$28)/SUM(【収益】水需要予測!$N$19:$W$19),0)*【収益】水需要予測!AT21</f>
        <v>561556</v>
      </c>
      <c r="AP28" s="39">
        <f>ROUND(SUM(【PL】決算数値入力!$AB$28)/SUM(【収益】水需要予測!$N$19:$W$19),0)*【収益】水需要予測!AU21</f>
        <v>552170</v>
      </c>
      <c r="AQ28" s="39">
        <f>ROUND(SUM(【PL】決算数値入力!$AB$28)/SUM(【収益】水需要予測!$N$19:$W$19),0)*【収益】水需要予測!AV21</f>
        <v>544479</v>
      </c>
      <c r="AR28" s="39">
        <f>ROUND(SUM(【PL】決算数値入力!$AB$28)/SUM(【収益】水需要予測!$N$19:$W$19),0)*【収益】水需要予測!AW21</f>
        <v>536787</v>
      </c>
      <c r="AS28" s="39">
        <f>ROUND(SUM(【PL】決算数値入力!$AB$28)/SUM(【収益】水需要予測!$N$19:$W$19),0)*【収益】水需要予測!AX21</f>
        <v>530706</v>
      </c>
      <c r="AT28" s="39">
        <f>ROUND(SUM(【PL】決算数値入力!$AB$28)/SUM(【収益】水需要予測!$N$19:$W$19),0)*【収益】水需要予測!AY21</f>
        <v>490640</v>
      </c>
      <c r="AU28" s="39">
        <f>ROUND(SUM(【PL】決算数値入力!$AB$28)/SUM(【収益】水需要予測!$N$19:$W$19),0)*【収益】水需要予測!AZ21</f>
        <v>484711</v>
      </c>
      <c r="AV28" s="39">
        <f>ROUND(SUM(【PL】決算数値入力!$AB$28)/SUM(【収益】水需要予測!$N$19:$W$19),0)*【収益】水需要予測!BA21</f>
        <v>478942</v>
      </c>
      <c r="AW28" s="39">
        <f>ROUND(SUM(【PL】決算数値入力!$AB$28)/SUM(【収益】水需要予測!$N$19:$W$19),0)*【収益】水需要予測!BB21</f>
        <v>474470</v>
      </c>
      <c r="AX28" s="39">
        <f>ROUND(SUM(【PL】決算数値入力!$AB$28)/SUM(【収益】水需要予測!$N$19:$W$19),0)*【収益】水需要予測!BC21</f>
        <v>467566</v>
      </c>
      <c r="AY28" s="39">
        <f>ROUND(SUM(【PL】決算数値入力!$AB$28)/SUM(【収益】水需要予測!$N$19:$W$19),0)*【収益】水需要予測!BD21</f>
        <v>461958</v>
      </c>
      <c r="AZ28" s="39">
        <f>ROUND(SUM(【PL】決算数値入力!$AB$28)/SUM(【収益】水需要予測!$N$19:$W$19),0)*【収益】水需要予測!BE21</f>
        <v>456349</v>
      </c>
      <c r="BA28" s="39">
        <f>ROUND(SUM(【PL】決算数値入力!$AB$28)/SUM(【収益】水需要予測!$N$19:$W$19),0)*【収益】水需要予測!BF21</f>
        <v>452137</v>
      </c>
      <c r="BB28" s="39">
        <f>ROUND(SUM(【PL】決算数値入力!$AB$28)/SUM(【収益】水需要予測!$N$19:$W$19),0)*【収益】水需要予測!BG21</f>
        <v>445453</v>
      </c>
      <c r="BC28" s="39">
        <f>ROUND(SUM(【PL】決算数値入力!$AB$28)/SUM(【収益】水需要予測!$N$19:$W$19),0)*【収益】水需要予測!BH21</f>
        <v>440166</v>
      </c>
      <c r="BD28" s="39">
        <f>ROUND(SUM(【PL】決算数値入力!$AB$28)/SUM(【収益】水需要予測!$N$19:$W$19),0)*【収益】水需要予測!BI21</f>
        <v>434878</v>
      </c>
      <c r="BE28" s="39">
        <f>ROUND(SUM(【PL】決算数値入力!$AB$28)/SUM(【収益】水需要予測!$N$19:$W$19),0)*【収益】水需要予測!BJ21</f>
        <v>430767</v>
      </c>
      <c r="BF28" s="39">
        <f>ROUND(SUM(【PL】決算数値入力!$AB$28)/SUM(【収益】水需要予測!$N$19:$W$19),0)*【収益】水需要予測!BK21</f>
        <v>424463</v>
      </c>
      <c r="BG28" s="39">
        <f>ROUND(SUM(【PL】決算数値入力!$AB$28)/SUM(【収益】水需要予測!$N$19:$W$19),0)*【収益】水需要予測!BL21</f>
        <v>419335</v>
      </c>
      <c r="BH28" s="39">
        <f>ROUND(SUM(【PL】決算数値入力!$AB$28)/SUM(【収益】水需要予測!$N$19:$W$19),0)*【収益】水需要予測!BM21</f>
        <v>414368</v>
      </c>
      <c r="BI28" s="39">
        <f>ROUND(SUM(【PL】決算数値入力!$AB$28)/SUM(【収益】水需要予測!$N$19:$W$19),0)*【収益】水需要予測!BN21</f>
        <v>410522</v>
      </c>
      <c r="BJ28" s="39">
        <f>ROUND(SUM(【PL】決算数値入力!$AB$28)/SUM(【収益】水需要予測!$N$19:$W$19),0)*【収益】水需要予測!BO21</f>
        <v>404433</v>
      </c>
      <c r="BK28" s="39">
        <f>ROUND(SUM(【PL】決算数値入力!$AB$28)/SUM(【収益】水需要予測!$N$19:$W$19),0)*【収益】水需要予測!BP21</f>
        <v>399626</v>
      </c>
      <c r="BL28" s="39">
        <f>ROUND(SUM(【PL】決算数値入力!$AB$28)/SUM(【収益】水需要予測!$N$19:$W$19),0)*【収益】水需要予測!BQ21</f>
        <v>394819</v>
      </c>
      <c r="BM28" s="39">
        <f>ROUND(SUM(【PL】決算数値入力!$AB$28)/SUM(【収益】水需要予測!$N$19:$W$19),0)*【収益】水需要予測!BR21</f>
        <v>391081</v>
      </c>
      <c r="BN28" s="39">
        <f>ROUND(SUM(【PL】決算数値入力!$AB$28)/SUM(【収益】水需要予測!$N$19:$W$19),0)*【収益】水需要予測!BS21</f>
        <v>385365</v>
      </c>
      <c r="BO28" s="39">
        <f>ROUND(SUM(【PL】決算数値入力!$AB$28)/SUM(【収益】水需要予測!$N$19:$W$19),0)*【収益】水需要予測!BT21</f>
        <v>380718</v>
      </c>
      <c r="BP28" s="39">
        <f>ROUND(SUM(【PL】決算数値入力!$AB$28)/SUM(【収益】水需要予測!$N$19:$W$19),0)*【収益】水需要予測!BU21</f>
        <v>376072</v>
      </c>
      <c r="BQ28" s="39">
        <f>ROUND(SUM(【PL】決算数値入力!$AB$28)/SUM(【収益】水需要予測!$N$19:$W$19),0)*【収益】水需要予測!BV21</f>
        <v>372603</v>
      </c>
    </row>
    <row r="29" spans="2:69">
      <c r="B29" s="4"/>
      <c r="C29" s="4"/>
      <c r="D29" s="4"/>
      <c r="E29" s="1" t="s">
        <v>90</v>
      </c>
      <c r="F29" s="303"/>
      <c r="G29" s="249"/>
      <c r="H29" s="249"/>
      <c r="I29" s="249" t="s">
        <v>166</v>
      </c>
      <c r="J29" s="249"/>
      <c r="K29" s="180" t="s">
        <v>721</v>
      </c>
      <c r="L29" s="249" t="s">
        <v>166</v>
      </c>
      <c r="M29" s="1"/>
      <c r="N29" s="39">
        <f>【PL】決算数値入力!W29</f>
        <v>2231130</v>
      </c>
      <c r="O29" s="39">
        <f>【PL】決算数値入力!X29</f>
        <v>2383550</v>
      </c>
      <c r="P29" s="39">
        <f>【PL】決算数値入力!Y29</f>
        <v>2505150</v>
      </c>
      <c r="Q29" s="39">
        <f>【PL】決算数値入力!Z29</f>
        <v>2578200</v>
      </c>
      <c r="R29" s="39">
        <f>【PL】決算数値入力!AA29</f>
        <v>3328640</v>
      </c>
      <c r="S29" s="39">
        <f>【PL】決算数値入力!AB29</f>
        <v>2232707.9</v>
      </c>
      <c r="T29" s="39">
        <f>ROUND(SUM(【PL】決算数値入力!$AB$29)/SUM(【収益】水需要予測!$N$19:$W$19)*【収益】水需要予測!Y21,0)</f>
        <v>238712</v>
      </c>
      <c r="U29" s="39">
        <f>ROUND(SUM(【PL】決算数値入力!$AB$29)/SUM(【収益】水需要予測!$N$19:$W$19)*【収益】水需要予測!Z21,0)</f>
        <v>238205</v>
      </c>
      <c r="V29" s="39">
        <f>ROUND(SUM(【PL】決算数値入力!$AB$29)/SUM(【収益】水需要予測!$N$19:$W$19)*【収益】水需要予測!AA21,0)</f>
        <v>232673</v>
      </c>
      <c r="W29" s="39">
        <f>ROUND(SUM(【PL】決算数値入力!$AB$29)/SUM(【収益】水需要予測!$N$19:$W$19)*【収益】水需要予測!AB21,0)</f>
        <v>227875</v>
      </c>
      <c r="X29" s="39">
        <f>ROUND(SUM(【PL】決算数値入力!$AB$29)/SUM(【収益】水需要予測!$N$19:$W$19)*【収益】水需要予測!AC21,0)</f>
        <v>223201</v>
      </c>
      <c r="Y29" s="39">
        <f>ROUND(SUM(【PL】決算数値入力!$AB$29)/SUM(【収益】水需要予測!$N$19:$W$19)*【収益】水需要予測!AD21,0)</f>
        <v>219208</v>
      </c>
      <c r="Z29" s="39">
        <f>ROUND(SUM(【PL】決算数値入力!$AB$29)/SUM(【収益】水需要予測!$N$19:$W$19)*【収益】水需要予測!AE21,0)</f>
        <v>211040</v>
      </c>
      <c r="AA29" s="39">
        <f>ROUND(SUM(【PL】決算数値入力!$AB$29)/SUM(【収益】水需要予測!$N$19:$W$19)*【収益】水需要予測!AF21,0)</f>
        <v>207027</v>
      </c>
      <c r="AB29" s="39">
        <f>ROUND(SUM(【PL】決算数値入力!$AB$29)/SUM(【収益】水需要予測!$N$19:$W$19)*【収益】水需要予測!AG21,0)</f>
        <v>203098</v>
      </c>
      <c r="AC29" s="39">
        <f>ROUND(SUM(【PL】決算数値入力!$AB$29)/SUM(【収益】水需要予測!$N$19:$W$19)*【収益】水需要予測!AH21,0)</f>
        <v>199797</v>
      </c>
      <c r="AD29" s="39">
        <f>ROUND(SUM(【PL】決算数値入力!$AB$29)/SUM(【収益】水需要予測!$N$19:$W$19)*【収益】水需要予測!AI21,0)</f>
        <v>195445</v>
      </c>
      <c r="AE29" s="39">
        <f>ROUND(SUM(【PL】決算数値入力!$AB$29)/SUM(【収益】水需要予測!$N$19:$W$19)*【収益】水需要予測!AJ21,0)</f>
        <v>186552</v>
      </c>
      <c r="AF29" s="39">
        <f>ROUND(SUM(【PL】決算数値入力!$AB$29)/SUM(【収益】水需要予測!$N$19:$W$19)*【収益】水需要予測!AK21,0)</f>
        <v>183326</v>
      </c>
      <c r="AG29" s="39">
        <f>ROUND(SUM(【PL】決算数値入力!$AB$29)/SUM(【収益】水需要予測!$N$19:$W$19)*【収益】水需要予測!AL21,0)</f>
        <v>180634</v>
      </c>
      <c r="AH29" s="39">
        <f>ROUND(SUM(【PL】決算数値入力!$AB$29)/SUM(【収益】水需要予測!$N$19:$W$19)*【収益】水需要予測!AM21,0)</f>
        <v>176997</v>
      </c>
      <c r="AI29" s="39">
        <f>ROUND(SUM(【PL】決算数値入力!$AB$29)/SUM(【収益】水需要予測!$N$19:$W$19)*【収益】水需要予測!AN21,0)</f>
        <v>173936</v>
      </c>
      <c r="AJ29" s="39">
        <f>ROUND(SUM(【PL】決算数値入力!$AB$29)/SUM(【収益】水需要予測!$N$19:$W$19)*【収益】水需要予測!AO21,0)</f>
        <v>164298</v>
      </c>
      <c r="AK29" s="39">
        <f>ROUND(SUM(【PL】決算数値入力!$AB$29)/SUM(【収益】水需要予測!$N$19:$W$19)*【収益】水需要予測!AP21,0)</f>
        <v>162218</v>
      </c>
      <c r="AL29" s="39">
        <f>ROUND(SUM(【PL】決算数値入力!$AB$29)/SUM(【収益】水需要予測!$N$19:$W$19)*【収益】水需要予測!AQ21,0)</f>
        <v>159293</v>
      </c>
      <c r="AM29" s="39">
        <f>ROUND(SUM(【PL】決算数値入力!$AB$29)/SUM(【収益】水需要予測!$N$19:$W$19)*【収益】水需要予測!AR21,0)</f>
        <v>156853</v>
      </c>
      <c r="AN29" s="39">
        <f>ROUND(SUM(【PL】決算数値入力!$AB$29)/SUM(【収益】水需要予測!$N$19:$W$19)*【収益】水需要予測!AS21,0)</f>
        <v>154453</v>
      </c>
      <c r="AO29" s="39">
        <f>ROUND(SUM(【PL】決算数値入力!$AB$29)/SUM(【収益】水需要予測!$N$19:$W$19)*【収益】水需要予測!AT21,0)</f>
        <v>144964</v>
      </c>
      <c r="AP29" s="39">
        <f>ROUND(SUM(【PL】決算数値入力!$AB$29)/SUM(【収益】水需要予測!$N$19:$W$19)*【収益】水需要予測!AU21,0)</f>
        <v>142541</v>
      </c>
      <c r="AQ29" s="39">
        <f>ROUND(SUM(【PL】決算数値入力!$AB$29)/SUM(【収益】水需要予測!$N$19:$W$19)*【収益】水需要予測!AV21,0)</f>
        <v>140555</v>
      </c>
      <c r="AR29" s="39">
        <f>ROUND(SUM(【PL】決算数値入力!$AB$29)/SUM(【収益】水需要予測!$N$19:$W$19)*【収益】水需要予測!AW21,0)</f>
        <v>138570</v>
      </c>
      <c r="AS29" s="39">
        <f>ROUND(SUM(【PL】決算数値入力!$AB$29)/SUM(【収益】水需要予測!$N$19:$W$19)*【収益】水需要予測!AX21,0)</f>
        <v>137000</v>
      </c>
      <c r="AT29" s="39">
        <f>ROUND(SUM(【PL】決算数値入力!$AB$29)/SUM(【収益】水需要予測!$N$19:$W$19)*【収益】水需要予測!AY21,0)</f>
        <v>126657</v>
      </c>
      <c r="AU29" s="39">
        <f>ROUND(SUM(【PL】決算数値入力!$AB$29)/SUM(【収益】水需要予測!$N$19:$W$19)*【収益】水需要予測!AZ21,0)</f>
        <v>125126</v>
      </c>
      <c r="AV29" s="39">
        <f>ROUND(SUM(【PL】決算数値入力!$AB$29)/SUM(【収益】水需要予測!$N$19:$W$19)*【収益】水需要予測!BA21,0)</f>
        <v>123637</v>
      </c>
      <c r="AW29" s="39">
        <f>ROUND(SUM(【PL】決算数値入力!$AB$29)/SUM(【収益】水需要予測!$N$19:$W$19)*【収益】水需要予測!BB21,0)</f>
        <v>122483</v>
      </c>
      <c r="AX29" s="39">
        <f>ROUND(SUM(【PL】決算数値入力!$AB$29)/SUM(【収益】水需要予測!$N$19:$W$19)*【収益】水需要予測!BC21,0)</f>
        <v>120700</v>
      </c>
      <c r="AY29" s="39">
        <f>ROUND(SUM(【PL】決算数値入力!$AB$29)/SUM(【収益】水需要予測!$N$19:$W$19)*【収益】水需要予測!BD21,0)</f>
        <v>119253</v>
      </c>
      <c r="AZ29" s="39">
        <f>ROUND(SUM(【PL】決算数値入力!$AB$29)/SUM(【収益】水需要予測!$N$19:$W$19)*【収益】水需要予測!BE21,0)</f>
        <v>117805</v>
      </c>
      <c r="BA29" s="39">
        <f>ROUND(SUM(【PL】決算数値入力!$AB$29)/SUM(【収益】水需要予測!$N$19:$W$19)*【収益】水需要予測!BF21,0)</f>
        <v>116718</v>
      </c>
      <c r="BB29" s="39">
        <f>ROUND(SUM(【PL】決算数値入力!$AB$29)/SUM(【収益】水需要予測!$N$19:$W$19)*【収益】水需要予測!BG21,0)</f>
        <v>114992</v>
      </c>
      <c r="BC29" s="39">
        <f>ROUND(SUM(【PL】決算数値入力!$AB$29)/SUM(【収益】水需要予測!$N$19:$W$19)*【収益】水需要予測!BH21,0)</f>
        <v>113627</v>
      </c>
      <c r="BD29" s="39">
        <f>ROUND(SUM(【PL】決算数値入力!$AB$29)/SUM(【収益】水需要予測!$N$19:$W$19)*【収益】水需要予測!BI21,0)</f>
        <v>112262</v>
      </c>
      <c r="BE29" s="39">
        <f>ROUND(SUM(【PL】決算数値入力!$AB$29)/SUM(【収益】水需要予測!$N$19:$W$19)*【収益】水需要予測!BJ21,0)</f>
        <v>111201</v>
      </c>
      <c r="BF29" s="39">
        <f>ROUND(SUM(【PL】決算数値入力!$AB$29)/SUM(【収益】水需要予測!$N$19:$W$19)*【収益】水需要予測!BK21,0)</f>
        <v>109574</v>
      </c>
      <c r="BG29" s="39">
        <f>ROUND(SUM(【PL】決算数値入力!$AB$29)/SUM(【収益】水需要予測!$N$19:$W$19)*【収益】水需要予測!BL21,0)</f>
        <v>108250</v>
      </c>
      <c r="BH29" s="39">
        <f>ROUND(SUM(【PL】決算数値入力!$AB$29)/SUM(【収益】水需要予測!$N$19:$W$19)*【収益】水需要予測!BM21,0)</f>
        <v>106968</v>
      </c>
      <c r="BI29" s="39">
        <f>ROUND(SUM(【PL】決算数値入力!$AB$29)/SUM(【収益】水需要予測!$N$19:$W$19)*【収益】水需要予測!BN21,0)</f>
        <v>105975</v>
      </c>
      <c r="BJ29" s="39">
        <f>ROUND(SUM(【PL】決算数値入力!$AB$29)/SUM(【収益】水需要予測!$N$19:$W$19)*【収益】水需要予測!BO21,0)</f>
        <v>104403</v>
      </c>
      <c r="BK29" s="39">
        <f>ROUND(SUM(【PL】決算数値入力!$AB$29)/SUM(【収益】水需要予測!$N$19:$W$19)*【収益】水需要予測!BP21,0)</f>
        <v>103162</v>
      </c>
      <c r="BL29" s="39">
        <f>ROUND(SUM(【PL】決算数値入力!$AB$29)/SUM(【収益】水需要予測!$N$19:$W$19)*【収益】水需要予測!BQ21,0)</f>
        <v>101921</v>
      </c>
      <c r="BM29" s="39">
        <f>ROUND(SUM(【PL】決算数値入力!$AB$29)/SUM(【収益】水需要予測!$N$19:$W$19)*【収益】水需要予測!BR21,0)</f>
        <v>100956</v>
      </c>
      <c r="BN29" s="39">
        <f>ROUND(SUM(【PL】決算数値入力!$AB$29)/SUM(【収益】水需要予測!$N$19:$W$19)*【収益】水需要予測!BS21,0)</f>
        <v>99481</v>
      </c>
      <c r="BO29" s="39">
        <f>ROUND(SUM(【PL】決算数値入力!$AB$29)/SUM(【収益】水需要予測!$N$19:$W$19)*【収益】水需要予測!BT21,0)</f>
        <v>98281</v>
      </c>
      <c r="BP29" s="39">
        <f>ROUND(SUM(【PL】決算数値入力!$AB$29)/SUM(【収益】水需要予測!$N$19:$W$19)*【収益】水需要予測!BU21,0)</f>
        <v>97082</v>
      </c>
      <c r="BQ29" s="39">
        <f>ROUND(SUM(【PL】決算数値入力!$AB$29)/SUM(【収益】水需要予測!$N$19:$W$19)*【収益】水需要予測!BV21,0)</f>
        <v>96186</v>
      </c>
    </row>
    <row r="30" spans="2:69">
      <c r="B30" s="4"/>
      <c r="C30" s="4"/>
      <c r="D30" s="4"/>
      <c r="E30" s="1" t="s">
        <v>91</v>
      </c>
      <c r="F30" s="303"/>
      <c r="G30" s="249"/>
      <c r="H30" s="249" t="s">
        <v>166</v>
      </c>
      <c r="I30" s="249"/>
      <c r="J30" s="249"/>
      <c r="K30" s="180" t="s">
        <v>720</v>
      </c>
      <c r="L30" s="249" t="s">
        <v>166</v>
      </c>
      <c r="M30" s="1"/>
      <c r="N30" s="39">
        <f>【PL】決算数値入力!W30</f>
        <v>4684722</v>
      </c>
      <c r="O30" s="39">
        <f>【PL】決算数値入力!X30</f>
        <v>8618000</v>
      </c>
      <c r="P30" s="39">
        <f>【PL】決算数値入力!Y30</f>
        <v>1967420</v>
      </c>
      <c r="Q30" s="39">
        <f>【PL】決算数値入力!Z30</f>
        <v>0</v>
      </c>
      <c r="R30" s="39">
        <f>【PL】決算数値入力!AA30</f>
        <v>3913900</v>
      </c>
      <c r="S30" s="39">
        <f>【PL】決算数値入力!AB30</f>
        <v>2660995.2000000002</v>
      </c>
      <c r="T30" s="39">
        <f>ROUND(S30*(1+物価上昇率!$H$9),0)</f>
        <v>2690266</v>
      </c>
      <c r="U30" s="39">
        <f>ROUND(T30*(1+物価上昇率!$H$9),0)</f>
        <v>2719859</v>
      </c>
      <c r="V30" s="39">
        <f>ROUND(U30*(1+物価上昇率!$H$9),0)</f>
        <v>2749777</v>
      </c>
      <c r="W30" s="39">
        <f>ROUND(V30*(1+物価上昇率!$H$9),0)</f>
        <v>2780025</v>
      </c>
      <c r="X30" s="39">
        <f>ROUND(W30*(1+物価上昇率!$H$9),0)</f>
        <v>2810605</v>
      </c>
      <c r="Y30" s="39">
        <f>ROUND(X30*(1+物価上昇率!$H$9),0)</f>
        <v>2841522</v>
      </c>
      <c r="Z30" s="39">
        <f>ROUND(Y30*(1+物価上昇率!$H$9),0)</f>
        <v>2872779</v>
      </c>
      <c r="AA30" s="39">
        <f>ROUND(Z30*(1+物価上昇率!$H$9),0)</f>
        <v>2904380</v>
      </c>
      <c r="AB30" s="39">
        <f>ROUND(AA30*(1+物価上昇率!$H$9),0)</f>
        <v>2936328</v>
      </c>
      <c r="AC30" s="39">
        <f>ROUND(AB30*(1+物価上昇率!$H$9),0)</f>
        <v>2968628</v>
      </c>
      <c r="AD30" s="39">
        <f>ROUND(AC30*(1+物価上昇率!$H$9),0)</f>
        <v>3001283</v>
      </c>
      <c r="AE30" s="39">
        <f>ROUND(AD30*(1+物価上昇率!$H$9),0)</f>
        <v>3034297</v>
      </c>
      <c r="AF30" s="39">
        <f>ROUND(AE30*(1+物価上昇率!$H$9),0)</f>
        <v>3067674</v>
      </c>
      <c r="AG30" s="39">
        <f>ROUND(AF30*(1+物価上昇率!$H$9),0)</f>
        <v>3101418</v>
      </c>
      <c r="AH30" s="39">
        <f>ROUND(AG30*(1+物価上昇率!$H$9),0)</f>
        <v>3135534</v>
      </c>
      <c r="AI30" s="39">
        <f>ROUND(AH30*(1+物価上昇率!$H$9),0)</f>
        <v>3170025</v>
      </c>
      <c r="AJ30" s="39">
        <f>ROUND(AI30*(1+物価上昇率!$H$9),0)</f>
        <v>3204895</v>
      </c>
      <c r="AK30" s="39">
        <f>ROUND(AJ30*(1+物価上昇率!$H$9),0)</f>
        <v>3240149</v>
      </c>
      <c r="AL30" s="39">
        <f>ROUND(AK30*(1+物価上昇率!$H$9),0)</f>
        <v>3275791</v>
      </c>
      <c r="AM30" s="39">
        <f>ROUND(AL30*(1+物価上昇率!$H$9),0)</f>
        <v>3311825</v>
      </c>
      <c r="AN30" s="39">
        <f>ROUND(AM30*(1+物価上昇率!$H$9),0)</f>
        <v>3348255</v>
      </c>
      <c r="AO30" s="39">
        <f>ROUND(AN30*(1+物価上昇率!$H$9),0)</f>
        <v>3385086</v>
      </c>
      <c r="AP30" s="39">
        <f>ROUND(AO30*(1+物価上昇率!$H$9),0)</f>
        <v>3422322</v>
      </c>
      <c r="AQ30" s="39">
        <f>ROUND(AP30*(1+物価上昇率!$H$9),0)</f>
        <v>3459968</v>
      </c>
      <c r="AR30" s="39">
        <f>ROUND(AQ30*(1+物価上昇率!$H$9),0)</f>
        <v>3498028</v>
      </c>
      <c r="AS30" s="39">
        <f>ROUND(AR30*(1+物価上昇率!$H$9),0)</f>
        <v>3536506</v>
      </c>
      <c r="AT30" s="39">
        <f>ROUND(AS30*(1+物価上昇率!$H$9),0)</f>
        <v>3575408</v>
      </c>
      <c r="AU30" s="39">
        <f>ROUND(AT30*(1+物価上昇率!$H$9),0)</f>
        <v>3614737</v>
      </c>
      <c r="AV30" s="39">
        <f>ROUND(AU30*(1+物価上昇率!$H$9),0)</f>
        <v>3654499</v>
      </c>
      <c r="AW30" s="39">
        <f>ROUND(AV30*(1+物価上昇率!$H$9),0)</f>
        <v>3694698</v>
      </c>
      <c r="AX30" s="39">
        <f>ROUND(AW30*(1+物価上昇率!$H$9),0)</f>
        <v>3735340</v>
      </c>
      <c r="AY30" s="39">
        <f>ROUND(AX30*(1+物価上昇率!$H$9),0)</f>
        <v>3776429</v>
      </c>
      <c r="AZ30" s="39">
        <f>ROUND(AY30*(1+物価上昇率!$H$9),0)</f>
        <v>3817970</v>
      </c>
      <c r="BA30" s="39">
        <f>ROUND(AZ30*(1+物価上昇率!$H$9),0)</f>
        <v>3859968</v>
      </c>
      <c r="BB30" s="39">
        <f>ROUND(BA30*(1+物価上昇率!$H$9),0)</f>
        <v>3902428</v>
      </c>
      <c r="BC30" s="39">
        <f>ROUND(BB30*(1+物価上昇率!$H$9),0)</f>
        <v>3945355</v>
      </c>
      <c r="BD30" s="39">
        <f>ROUND(BC30*(1+物価上昇率!$H$9),0)</f>
        <v>3988754</v>
      </c>
      <c r="BE30" s="39">
        <f>ROUND(BD30*(1+物価上昇率!$H$9),0)</f>
        <v>4032630</v>
      </c>
      <c r="BF30" s="39">
        <f>ROUND(BE30*(1+物価上昇率!$H$9),0)</f>
        <v>4076989</v>
      </c>
      <c r="BG30" s="39">
        <f>ROUND(BF30*(1+物価上昇率!$H$9),0)</f>
        <v>4121836</v>
      </c>
      <c r="BH30" s="39">
        <f>ROUND(BG30*(1+物価上昇率!$H$9),0)</f>
        <v>4167176</v>
      </c>
      <c r="BI30" s="39">
        <f>ROUND(BH30*(1+物価上昇率!$H$9),0)</f>
        <v>4213015</v>
      </c>
      <c r="BJ30" s="39">
        <f>ROUND(BI30*(1+物価上昇率!$H$9),0)</f>
        <v>4259358</v>
      </c>
      <c r="BK30" s="39">
        <f>ROUND(BJ30*(1+物価上昇率!$H$9),0)</f>
        <v>4306211</v>
      </c>
      <c r="BL30" s="39">
        <f>ROUND(BK30*(1+物価上昇率!$H$9),0)</f>
        <v>4353579</v>
      </c>
      <c r="BM30" s="39">
        <f>ROUND(BL30*(1+物価上昇率!$H$9),0)</f>
        <v>4401468</v>
      </c>
      <c r="BN30" s="39">
        <f>ROUND(BM30*(1+物価上昇率!$H$9),0)</f>
        <v>4449884</v>
      </c>
      <c r="BO30" s="39">
        <f>ROUND(BN30*(1+物価上昇率!$H$9),0)</f>
        <v>4498833</v>
      </c>
      <c r="BP30" s="39">
        <f>ROUND(BO30*(1+物価上昇率!$H$9),0)</f>
        <v>4548320</v>
      </c>
      <c r="BQ30" s="39">
        <f>ROUND(BP30*(1+物価上昇率!$H$9),0)</f>
        <v>4598352</v>
      </c>
    </row>
    <row r="31" spans="2:69">
      <c r="B31" s="4"/>
      <c r="C31" s="4"/>
      <c r="D31" s="4"/>
      <c r="E31" s="1" t="s">
        <v>92</v>
      </c>
      <c r="F31" s="303"/>
      <c r="G31" s="249"/>
      <c r="H31" s="249" t="s">
        <v>166</v>
      </c>
      <c r="I31" s="249"/>
      <c r="J31" s="249"/>
      <c r="K31" s="180" t="s">
        <v>720</v>
      </c>
      <c r="L31" s="249" t="s">
        <v>166</v>
      </c>
      <c r="M31" s="1"/>
      <c r="N31" s="39">
        <f>【PL】決算数値入力!W31</f>
        <v>33900347</v>
      </c>
      <c r="O31" s="39">
        <f>【PL】決算数値入力!X31</f>
        <v>31437870</v>
      </c>
      <c r="P31" s="39">
        <f>【PL】決算数値入力!Y31</f>
        <v>37142870</v>
      </c>
      <c r="Q31" s="39">
        <f>【PL】決算数値入力!Z31</f>
        <v>33639873</v>
      </c>
      <c r="R31" s="39">
        <f>【PL】決算数値入力!AA31</f>
        <v>36092000</v>
      </c>
      <c r="S31" s="39">
        <f>【PL】決算数値入力!AB31</f>
        <v>30459801</v>
      </c>
      <c r="T31" s="39">
        <f>ROUND(S31*(1+物価上昇率!$H$9),0)</f>
        <v>30794859</v>
      </c>
      <c r="U31" s="39">
        <f>ROUND(T31*(1+物価上昇率!$H$9),0)</f>
        <v>31133602</v>
      </c>
      <c r="V31" s="39">
        <f>ROUND(U31*(1+物価上昇率!$H$9),0)</f>
        <v>31476072</v>
      </c>
      <c r="W31" s="39">
        <f>ROUND(V31*(1+物価上昇率!$H$9),0)</f>
        <v>31822309</v>
      </c>
      <c r="X31" s="39">
        <f>ROUND(W31*(1+物価上昇率!$H$9),0)</f>
        <v>32172354</v>
      </c>
      <c r="Y31" s="39">
        <f>ROUND(X31*(1+物価上昇率!$H$9),0)</f>
        <v>32526250</v>
      </c>
      <c r="Z31" s="39">
        <f>ROUND(Y31*(1+物価上昇率!$H$9),0)</f>
        <v>32884039</v>
      </c>
      <c r="AA31" s="39">
        <f>ROUND(Z31*(1+物価上昇率!$H$9),0)</f>
        <v>33245763</v>
      </c>
      <c r="AB31" s="39">
        <f>ROUND(AA31*(1+物価上昇率!$H$9),0)</f>
        <v>33611466</v>
      </c>
      <c r="AC31" s="39">
        <f>ROUND(AB31*(1+物価上昇率!$H$9),0)</f>
        <v>33981192</v>
      </c>
      <c r="AD31" s="39">
        <f>ROUND(AC31*(1+物価上昇率!$H$9),0)</f>
        <v>34354985</v>
      </c>
      <c r="AE31" s="39">
        <f>ROUND(AD31*(1+物価上昇率!$H$9),0)</f>
        <v>34732890</v>
      </c>
      <c r="AF31" s="39">
        <f>ROUND(AE31*(1+物価上昇率!$H$9),0)</f>
        <v>35114952</v>
      </c>
      <c r="AG31" s="39">
        <f>ROUND(AF31*(1+物価上昇率!$H$9),0)</f>
        <v>35501216</v>
      </c>
      <c r="AH31" s="39">
        <f>ROUND(AG31*(1+物価上昇率!$H$9),0)</f>
        <v>35891729</v>
      </c>
      <c r="AI31" s="39">
        <f>ROUND(AH31*(1+物価上昇率!$H$9),0)</f>
        <v>36286538</v>
      </c>
      <c r="AJ31" s="39">
        <f>ROUND(AI31*(1+物価上昇率!$H$9),0)</f>
        <v>36685690</v>
      </c>
      <c r="AK31" s="39">
        <f>ROUND(AJ31*(1+物価上昇率!$H$9),0)</f>
        <v>37089233</v>
      </c>
      <c r="AL31" s="39">
        <f>ROUND(AK31*(1+物価上昇率!$H$9),0)</f>
        <v>37497215</v>
      </c>
      <c r="AM31" s="39">
        <f>ROUND(AL31*(1+物価上昇率!$H$9),0)</f>
        <v>37909684</v>
      </c>
      <c r="AN31" s="39">
        <f>ROUND(AM31*(1+物価上昇率!$H$9),0)</f>
        <v>38326691</v>
      </c>
      <c r="AO31" s="39">
        <f>ROUND(AN31*(1+物価上昇率!$H$9),0)</f>
        <v>38748285</v>
      </c>
      <c r="AP31" s="39">
        <f>ROUND(AO31*(1+物価上昇率!$H$9),0)</f>
        <v>39174516</v>
      </c>
      <c r="AQ31" s="39">
        <f>ROUND(AP31*(1+物価上昇率!$H$9),0)</f>
        <v>39605436</v>
      </c>
      <c r="AR31" s="39">
        <f>ROUND(AQ31*(1+物価上昇率!$H$9),0)</f>
        <v>40041096</v>
      </c>
      <c r="AS31" s="39">
        <f>ROUND(AR31*(1+物価上昇率!$H$9),0)</f>
        <v>40481548</v>
      </c>
      <c r="AT31" s="39">
        <f>ROUND(AS31*(1+物価上昇率!$H$9),0)</f>
        <v>40926845</v>
      </c>
      <c r="AU31" s="39">
        <f>ROUND(AT31*(1+物価上昇率!$H$9),0)</f>
        <v>41377040</v>
      </c>
      <c r="AV31" s="39">
        <f>ROUND(AU31*(1+物価上昇率!$H$9),0)</f>
        <v>41832187</v>
      </c>
      <c r="AW31" s="39">
        <f>ROUND(AV31*(1+物価上昇率!$H$9),0)</f>
        <v>42292341</v>
      </c>
      <c r="AX31" s="39">
        <f>ROUND(AW31*(1+物価上昇率!$H$9),0)</f>
        <v>42757557</v>
      </c>
      <c r="AY31" s="39">
        <f>ROUND(AX31*(1+物価上昇率!$H$9),0)</f>
        <v>43227890</v>
      </c>
      <c r="AZ31" s="39">
        <f>ROUND(AY31*(1+物価上昇率!$H$9),0)</f>
        <v>43703397</v>
      </c>
      <c r="BA31" s="39">
        <f>ROUND(AZ31*(1+物価上昇率!$H$9),0)</f>
        <v>44184134</v>
      </c>
      <c r="BB31" s="39">
        <f>ROUND(BA31*(1+物価上昇率!$H$9),0)</f>
        <v>44670159</v>
      </c>
      <c r="BC31" s="39">
        <f>ROUND(BB31*(1+物価上昇率!$H$9),0)</f>
        <v>45161531</v>
      </c>
      <c r="BD31" s="39">
        <f>ROUND(BC31*(1+物価上昇率!$H$9),0)</f>
        <v>45658308</v>
      </c>
      <c r="BE31" s="39">
        <f>ROUND(BD31*(1+物価上昇率!$H$9),0)</f>
        <v>46160549</v>
      </c>
      <c r="BF31" s="39">
        <f>ROUND(BE31*(1+物価上昇率!$H$9),0)</f>
        <v>46668315</v>
      </c>
      <c r="BG31" s="39">
        <f>ROUND(BF31*(1+物価上昇率!$H$9),0)</f>
        <v>47181666</v>
      </c>
      <c r="BH31" s="39">
        <f>ROUND(BG31*(1+物価上昇率!$H$9),0)</f>
        <v>47700664</v>
      </c>
      <c r="BI31" s="39">
        <f>ROUND(BH31*(1+物価上昇率!$H$9),0)</f>
        <v>48225371</v>
      </c>
      <c r="BJ31" s="39">
        <f>ROUND(BI31*(1+物価上昇率!$H$9),0)</f>
        <v>48755850</v>
      </c>
      <c r="BK31" s="39">
        <f>ROUND(BJ31*(1+物価上昇率!$H$9),0)</f>
        <v>49292164</v>
      </c>
      <c r="BL31" s="39">
        <f>ROUND(BK31*(1+物価上昇率!$H$9),0)</f>
        <v>49834378</v>
      </c>
      <c r="BM31" s="39">
        <f>ROUND(BL31*(1+物価上昇率!$H$9),0)</f>
        <v>50382556</v>
      </c>
      <c r="BN31" s="39">
        <f>ROUND(BM31*(1+物価上昇率!$H$9),0)</f>
        <v>50936764</v>
      </c>
      <c r="BO31" s="39">
        <f>ROUND(BN31*(1+物価上昇率!$H$9),0)</f>
        <v>51497068</v>
      </c>
      <c r="BP31" s="39">
        <f>ROUND(BO31*(1+物価上昇率!$H$9),0)</f>
        <v>52063536</v>
      </c>
      <c r="BQ31" s="39">
        <f>ROUND(BP31*(1+物価上昇率!$H$9),0)</f>
        <v>52636235</v>
      </c>
    </row>
    <row r="32" spans="2:69">
      <c r="B32" s="4"/>
      <c r="C32" s="4"/>
      <c r="D32" s="4"/>
      <c r="E32" s="1" t="s">
        <v>93</v>
      </c>
      <c r="F32" s="303"/>
      <c r="G32" s="249"/>
      <c r="H32" s="249" t="s">
        <v>166</v>
      </c>
      <c r="I32" s="249"/>
      <c r="J32" s="249"/>
      <c r="K32" s="180" t="s">
        <v>720</v>
      </c>
      <c r="L32" s="249" t="s">
        <v>166</v>
      </c>
      <c r="M32" s="1"/>
      <c r="N32" s="39">
        <f>【PL】決算数値入力!W32</f>
        <v>7655578</v>
      </c>
      <c r="O32" s="39">
        <f>【PL】決算数値入力!X32</f>
        <v>9645808</v>
      </c>
      <c r="P32" s="39">
        <f>【PL】決算数値入力!Y32</f>
        <v>9829369</v>
      </c>
      <c r="Q32" s="39">
        <f>【PL】決算数値入力!Z32</f>
        <v>10153949</v>
      </c>
      <c r="R32" s="39">
        <f>【PL】決算数値入力!AA32</f>
        <v>9171593</v>
      </c>
      <c r="S32" s="39">
        <f>【PL】決算数値入力!AB32</f>
        <v>7339389.2000000002</v>
      </c>
      <c r="T32" s="39">
        <f>ROUND(S32*(1+物価上昇率!$H$9),0)</f>
        <v>7420122</v>
      </c>
      <c r="U32" s="39">
        <f>ROUND(T32*(1+物価上昇率!$H$9),0)</f>
        <v>7501743</v>
      </c>
      <c r="V32" s="39">
        <f>ROUND(U32*(1+物価上昇率!$H$9),0)</f>
        <v>7584262</v>
      </c>
      <c r="W32" s="39">
        <f>ROUND(V32*(1+物価上昇率!$H$9),0)</f>
        <v>7667689</v>
      </c>
      <c r="X32" s="39">
        <f>ROUND(W32*(1+物価上昇率!$H$9),0)</f>
        <v>7752034</v>
      </c>
      <c r="Y32" s="39">
        <f>ROUND(X32*(1+物価上昇率!$H$9),0)</f>
        <v>7837306</v>
      </c>
      <c r="Z32" s="39">
        <f>ROUND(Y32*(1+物価上昇率!$H$9),0)</f>
        <v>7923516</v>
      </c>
      <c r="AA32" s="39">
        <f>ROUND(Z32*(1+物価上昇率!$H$9),0)</f>
        <v>8010675</v>
      </c>
      <c r="AB32" s="39">
        <f>ROUND(AA32*(1+物価上昇率!$H$9),0)</f>
        <v>8098792</v>
      </c>
      <c r="AC32" s="39">
        <f>ROUND(AB32*(1+物価上昇率!$H$9),0)</f>
        <v>8187879</v>
      </c>
      <c r="AD32" s="39">
        <f>ROUND(AC32*(1+物価上昇率!$H$9),0)</f>
        <v>8277946</v>
      </c>
      <c r="AE32" s="39">
        <f>ROUND(AD32*(1+物価上昇率!$H$9),0)</f>
        <v>8369003</v>
      </c>
      <c r="AF32" s="39">
        <f>ROUND(AE32*(1+物価上昇率!$H$9),0)</f>
        <v>8461062</v>
      </c>
      <c r="AG32" s="39">
        <f>ROUND(AF32*(1+物価上昇率!$H$9),0)</f>
        <v>8554134</v>
      </c>
      <c r="AH32" s="39">
        <f>ROUND(AG32*(1+物価上昇率!$H$9),0)</f>
        <v>8648229</v>
      </c>
      <c r="AI32" s="39">
        <f>ROUND(AH32*(1+物価上昇率!$H$9),0)</f>
        <v>8743360</v>
      </c>
      <c r="AJ32" s="39">
        <f>ROUND(AI32*(1+物価上昇率!$H$9),0)</f>
        <v>8839537</v>
      </c>
      <c r="AK32" s="39">
        <f>ROUND(AJ32*(1+物価上昇率!$H$9),0)</f>
        <v>8936772</v>
      </c>
      <c r="AL32" s="39">
        <f>ROUND(AK32*(1+物価上昇率!$H$9),0)</f>
        <v>9035076</v>
      </c>
      <c r="AM32" s="39">
        <f>ROUND(AL32*(1+物価上昇率!$H$9),0)</f>
        <v>9134462</v>
      </c>
      <c r="AN32" s="39">
        <f>ROUND(AM32*(1+物価上昇率!$H$9),0)</f>
        <v>9234941</v>
      </c>
      <c r="AO32" s="39">
        <f>ROUND(AN32*(1+物価上昇率!$H$9),0)</f>
        <v>9336525</v>
      </c>
      <c r="AP32" s="39">
        <f>ROUND(AO32*(1+物価上昇率!$H$9),0)</f>
        <v>9439227</v>
      </c>
      <c r="AQ32" s="39">
        <f>ROUND(AP32*(1+物価上昇率!$H$9),0)</f>
        <v>9543058</v>
      </c>
      <c r="AR32" s="39">
        <f>ROUND(AQ32*(1+物価上昇率!$H$9),0)</f>
        <v>9648032</v>
      </c>
      <c r="AS32" s="39">
        <f>ROUND(AR32*(1+物価上昇率!$H$9),0)</f>
        <v>9754160</v>
      </c>
      <c r="AT32" s="39">
        <f>ROUND(AS32*(1+物価上昇率!$H$9),0)</f>
        <v>9861456</v>
      </c>
      <c r="AU32" s="39">
        <f>ROUND(AT32*(1+物価上昇率!$H$9),0)</f>
        <v>9969932</v>
      </c>
      <c r="AV32" s="39">
        <f>ROUND(AU32*(1+物価上昇率!$H$9),0)</f>
        <v>10079601</v>
      </c>
      <c r="AW32" s="39">
        <f>ROUND(AV32*(1+物価上昇率!$H$9),0)</f>
        <v>10190477</v>
      </c>
      <c r="AX32" s="39">
        <f>ROUND(AW32*(1+物価上昇率!$H$9),0)</f>
        <v>10302572</v>
      </c>
      <c r="AY32" s="39">
        <f>ROUND(AX32*(1+物価上昇率!$H$9),0)</f>
        <v>10415900</v>
      </c>
      <c r="AZ32" s="39">
        <f>ROUND(AY32*(1+物価上昇率!$H$9),0)</f>
        <v>10530475</v>
      </c>
      <c r="BA32" s="39">
        <f>ROUND(AZ32*(1+物価上昇率!$H$9),0)</f>
        <v>10646310</v>
      </c>
      <c r="BB32" s="39">
        <f>ROUND(BA32*(1+物価上昇率!$H$9),0)</f>
        <v>10763419</v>
      </c>
      <c r="BC32" s="39">
        <f>ROUND(BB32*(1+物価上昇率!$H$9),0)</f>
        <v>10881817</v>
      </c>
      <c r="BD32" s="39">
        <f>ROUND(BC32*(1+物価上昇率!$H$9),0)</f>
        <v>11001517</v>
      </c>
      <c r="BE32" s="39">
        <f>ROUND(BD32*(1+物価上昇率!$H$9),0)</f>
        <v>11122534</v>
      </c>
      <c r="BF32" s="39">
        <f>ROUND(BE32*(1+物価上昇率!$H$9),0)</f>
        <v>11244882</v>
      </c>
      <c r="BG32" s="39">
        <f>ROUND(BF32*(1+物価上昇率!$H$9),0)</f>
        <v>11368576</v>
      </c>
      <c r="BH32" s="39">
        <f>ROUND(BG32*(1+物価上昇率!$H$9),0)</f>
        <v>11493630</v>
      </c>
      <c r="BI32" s="39">
        <f>ROUND(BH32*(1+物価上昇率!$H$9),0)</f>
        <v>11620060</v>
      </c>
      <c r="BJ32" s="39">
        <f>ROUND(BI32*(1+物価上昇率!$H$9),0)</f>
        <v>11747881</v>
      </c>
      <c r="BK32" s="39">
        <f>ROUND(BJ32*(1+物価上昇率!$H$9),0)</f>
        <v>11877108</v>
      </c>
      <c r="BL32" s="39">
        <f>ROUND(BK32*(1+物価上昇率!$H$9),0)</f>
        <v>12007756</v>
      </c>
      <c r="BM32" s="39">
        <f>ROUND(BL32*(1+物価上昇率!$H$9),0)</f>
        <v>12139841</v>
      </c>
      <c r="BN32" s="39">
        <f>ROUND(BM32*(1+物価上昇率!$H$9),0)</f>
        <v>12273379</v>
      </c>
      <c r="BO32" s="39">
        <f>ROUND(BN32*(1+物価上昇率!$H$9),0)</f>
        <v>12408386</v>
      </c>
      <c r="BP32" s="39">
        <f>ROUND(BO32*(1+物価上昇率!$H$9),0)</f>
        <v>12544878</v>
      </c>
      <c r="BQ32" s="39">
        <f>ROUND(BP32*(1+物価上昇率!$H$9),0)</f>
        <v>12682872</v>
      </c>
    </row>
    <row r="33" spans="2:69">
      <c r="B33" s="4"/>
      <c r="C33" s="4"/>
      <c r="D33" s="3"/>
      <c r="E33" s="1" t="s">
        <v>94</v>
      </c>
      <c r="F33" s="304"/>
      <c r="G33" s="249"/>
      <c r="H33" s="249" t="s">
        <v>166</v>
      </c>
      <c r="I33" s="249"/>
      <c r="J33" s="249"/>
      <c r="K33" s="180" t="s">
        <v>719</v>
      </c>
      <c r="L33" s="1"/>
      <c r="M33" s="1"/>
      <c r="N33" s="39">
        <f>【PL】決算数値入力!W33</f>
        <v>10238170</v>
      </c>
      <c r="O33" s="39">
        <f>【PL】決算数値入力!X33</f>
        <v>20929080</v>
      </c>
      <c r="P33" s="39">
        <f>【PL】決算数値入力!Y33</f>
        <v>12025866</v>
      </c>
      <c r="Q33" s="39">
        <f>【PL】決算数値入力!Z33</f>
        <v>18538915</v>
      </c>
      <c r="R33" s="39">
        <f>【PL】決算数値入力!AA33</f>
        <v>18090022</v>
      </c>
      <c r="S33" s="39">
        <f>【PL】決算数値入力!AB33</f>
        <v>14475943.6</v>
      </c>
      <c r="T33" s="39">
        <f>S33</f>
        <v>14475943.6</v>
      </c>
      <c r="U33" s="39">
        <f t="shared" ref="U33:BQ33" si="15">T33</f>
        <v>14475943.6</v>
      </c>
      <c r="V33" s="39">
        <f t="shared" si="15"/>
        <v>14475943.6</v>
      </c>
      <c r="W33" s="39">
        <f t="shared" si="15"/>
        <v>14475943.6</v>
      </c>
      <c r="X33" s="39">
        <f t="shared" si="15"/>
        <v>14475943.6</v>
      </c>
      <c r="Y33" s="39">
        <f t="shared" si="15"/>
        <v>14475943.6</v>
      </c>
      <c r="Z33" s="39">
        <f t="shared" si="15"/>
        <v>14475943.6</v>
      </c>
      <c r="AA33" s="39">
        <f t="shared" si="15"/>
        <v>14475943.6</v>
      </c>
      <c r="AB33" s="39">
        <f t="shared" si="15"/>
        <v>14475943.6</v>
      </c>
      <c r="AC33" s="39">
        <f t="shared" si="15"/>
        <v>14475943.6</v>
      </c>
      <c r="AD33" s="39">
        <f t="shared" si="15"/>
        <v>14475943.6</v>
      </c>
      <c r="AE33" s="39">
        <f t="shared" si="15"/>
        <v>14475943.6</v>
      </c>
      <c r="AF33" s="39">
        <f t="shared" si="15"/>
        <v>14475943.6</v>
      </c>
      <c r="AG33" s="39">
        <f t="shared" si="15"/>
        <v>14475943.6</v>
      </c>
      <c r="AH33" s="39">
        <f t="shared" si="15"/>
        <v>14475943.6</v>
      </c>
      <c r="AI33" s="39">
        <f t="shared" si="15"/>
        <v>14475943.6</v>
      </c>
      <c r="AJ33" s="39">
        <f t="shared" si="15"/>
        <v>14475943.6</v>
      </c>
      <c r="AK33" s="39">
        <f t="shared" si="15"/>
        <v>14475943.6</v>
      </c>
      <c r="AL33" s="39">
        <f t="shared" si="15"/>
        <v>14475943.6</v>
      </c>
      <c r="AM33" s="39">
        <f t="shared" si="15"/>
        <v>14475943.6</v>
      </c>
      <c r="AN33" s="39">
        <f t="shared" si="15"/>
        <v>14475943.6</v>
      </c>
      <c r="AO33" s="39">
        <f t="shared" si="15"/>
        <v>14475943.6</v>
      </c>
      <c r="AP33" s="39">
        <f t="shared" si="15"/>
        <v>14475943.6</v>
      </c>
      <c r="AQ33" s="39">
        <f t="shared" si="15"/>
        <v>14475943.6</v>
      </c>
      <c r="AR33" s="39">
        <f t="shared" si="15"/>
        <v>14475943.6</v>
      </c>
      <c r="AS33" s="39">
        <f t="shared" si="15"/>
        <v>14475943.6</v>
      </c>
      <c r="AT33" s="39">
        <f t="shared" si="15"/>
        <v>14475943.6</v>
      </c>
      <c r="AU33" s="39">
        <f t="shared" si="15"/>
        <v>14475943.6</v>
      </c>
      <c r="AV33" s="39">
        <f t="shared" si="15"/>
        <v>14475943.6</v>
      </c>
      <c r="AW33" s="39">
        <f t="shared" si="15"/>
        <v>14475943.6</v>
      </c>
      <c r="AX33" s="39">
        <f t="shared" si="15"/>
        <v>14475943.6</v>
      </c>
      <c r="AY33" s="39">
        <f t="shared" si="15"/>
        <v>14475943.6</v>
      </c>
      <c r="AZ33" s="39">
        <f t="shared" si="15"/>
        <v>14475943.6</v>
      </c>
      <c r="BA33" s="39">
        <f t="shared" si="15"/>
        <v>14475943.6</v>
      </c>
      <c r="BB33" s="39">
        <f t="shared" si="15"/>
        <v>14475943.6</v>
      </c>
      <c r="BC33" s="39">
        <f t="shared" si="15"/>
        <v>14475943.6</v>
      </c>
      <c r="BD33" s="39">
        <f t="shared" si="15"/>
        <v>14475943.6</v>
      </c>
      <c r="BE33" s="39">
        <f t="shared" si="15"/>
        <v>14475943.6</v>
      </c>
      <c r="BF33" s="39">
        <f t="shared" si="15"/>
        <v>14475943.6</v>
      </c>
      <c r="BG33" s="39">
        <f t="shared" si="15"/>
        <v>14475943.6</v>
      </c>
      <c r="BH33" s="39">
        <f t="shared" si="15"/>
        <v>14475943.6</v>
      </c>
      <c r="BI33" s="39">
        <f t="shared" si="15"/>
        <v>14475943.6</v>
      </c>
      <c r="BJ33" s="39">
        <f t="shared" si="15"/>
        <v>14475943.6</v>
      </c>
      <c r="BK33" s="39">
        <f t="shared" si="15"/>
        <v>14475943.6</v>
      </c>
      <c r="BL33" s="39">
        <f t="shared" si="15"/>
        <v>14475943.6</v>
      </c>
      <c r="BM33" s="39">
        <f t="shared" si="15"/>
        <v>14475943.6</v>
      </c>
      <c r="BN33" s="39">
        <f t="shared" si="15"/>
        <v>14475943.6</v>
      </c>
      <c r="BO33" s="39">
        <f t="shared" si="15"/>
        <v>14475943.6</v>
      </c>
      <c r="BP33" s="39">
        <f t="shared" si="15"/>
        <v>14475943.6</v>
      </c>
      <c r="BQ33" s="39">
        <f t="shared" si="15"/>
        <v>14475943.6</v>
      </c>
    </row>
    <row r="34" spans="2:69">
      <c r="B34" s="4"/>
      <c r="C34" s="4"/>
      <c r="D34" s="5" t="s">
        <v>95</v>
      </c>
      <c r="E34" s="8"/>
      <c r="F34" s="302" t="s">
        <v>175</v>
      </c>
      <c r="G34" s="249"/>
      <c r="H34" s="249"/>
      <c r="I34" s="249"/>
      <c r="J34" s="249"/>
      <c r="K34" s="1"/>
      <c r="L34" s="1"/>
      <c r="M34" s="1"/>
      <c r="N34" s="39">
        <f>【PL】決算数値入力!W34</f>
        <v>39566820</v>
      </c>
      <c r="O34" s="39">
        <f>【PL】決算数値入力!X34</f>
        <v>36646933</v>
      </c>
      <c r="P34" s="39">
        <f>【PL】決算数値入力!Y34</f>
        <v>35722581</v>
      </c>
      <c r="Q34" s="39">
        <f>【PL】決算数値入力!Z34</f>
        <v>36936296</v>
      </c>
      <c r="R34" s="39">
        <f>【PL】決算数値入力!AA34</f>
        <v>32180340</v>
      </c>
      <c r="S34" s="39">
        <f>【PL】決算数値入力!AB34</f>
        <v>34923211.200000003</v>
      </c>
      <c r="T34" s="39">
        <f>SUM(T35:T41)</f>
        <v>33124149</v>
      </c>
      <c r="U34" s="39">
        <f t="shared" ref="U34:BQ34" si="16">SUM(U35:U41)</f>
        <v>33488515</v>
      </c>
      <c r="V34" s="39">
        <f t="shared" si="16"/>
        <v>33856889</v>
      </c>
      <c r="W34" s="39">
        <f t="shared" si="16"/>
        <v>34229316</v>
      </c>
      <c r="X34" s="39">
        <f t="shared" si="16"/>
        <v>34605838</v>
      </c>
      <c r="Y34" s="39">
        <f t="shared" si="16"/>
        <v>34986502</v>
      </c>
      <c r="Z34" s="39">
        <f t="shared" si="16"/>
        <v>35371354</v>
      </c>
      <c r="AA34" s="39">
        <f t="shared" si="16"/>
        <v>35760439</v>
      </c>
      <c r="AB34" s="39">
        <f t="shared" si="16"/>
        <v>36153804</v>
      </c>
      <c r="AC34" s="39">
        <f t="shared" si="16"/>
        <v>36551496</v>
      </c>
      <c r="AD34" s="39">
        <f t="shared" si="16"/>
        <v>36953562</v>
      </c>
      <c r="AE34" s="39">
        <f t="shared" si="16"/>
        <v>37360052</v>
      </c>
      <c r="AF34" s="39">
        <f t="shared" si="16"/>
        <v>37771012</v>
      </c>
      <c r="AG34" s="39">
        <f t="shared" si="16"/>
        <v>38186493</v>
      </c>
      <c r="AH34" s="39">
        <f t="shared" si="16"/>
        <v>38606544</v>
      </c>
      <c r="AI34" s="39">
        <f t="shared" si="16"/>
        <v>39031215</v>
      </c>
      <c r="AJ34" s="39">
        <f t="shared" si="16"/>
        <v>39460560</v>
      </c>
      <c r="AK34" s="39">
        <f t="shared" si="16"/>
        <v>39894627</v>
      </c>
      <c r="AL34" s="39">
        <f t="shared" si="16"/>
        <v>40333467</v>
      </c>
      <c r="AM34" s="39">
        <f t="shared" si="16"/>
        <v>40777134</v>
      </c>
      <c r="AN34" s="39">
        <f t="shared" si="16"/>
        <v>41225682</v>
      </c>
      <c r="AO34" s="39">
        <f t="shared" si="16"/>
        <v>41679165</v>
      </c>
      <c r="AP34" s="39">
        <f t="shared" si="16"/>
        <v>42137637</v>
      </c>
      <c r="AQ34" s="39">
        <f t="shared" si="16"/>
        <v>42601151</v>
      </c>
      <c r="AR34" s="39">
        <f t="shared" si="16"/>
        <v>43069763</v>
      </c>
      <c r="AS34" s="39">
        <f t="shared" si="16"/>
        <v>43543530</v>
      </c>
      <c r="AT34" s="39">
        <f t="shared" si="16"/>
        <v>44022509</v>
      </c>
      <c r="AU34" s="39">
        <f t="shared" si="16"/>
        <v>44506757</v>
      </c>
      <c r="AV34" s="39">
        <f t="shared" si="16"/>
        <v>44996331</v>
      </c>
      <c r="AW34" s="39">
        <f t="shared" si="16"/>
        <v>45491291</v>
      </c>
      <c r="AX34" s="39">
        <f t="shared" si="16"/>
        <v>45991695</v>
      </c>
      <c r="AY34" s="39">
        <f t="shared" si="16"/>
        <v>46497604</v>
      </c>
      <c r="AZ34" s="39">
        <f t="shared" si="16"/>
        <v>47009078</v>
      </c>
      <c r="BA34" s="39">
        <f t="shared" si="16"/>
        <v>47526177</v>
      </c>
      <c r="BB34" s="39">
        <f t="shared" si="16"/>
        <v>48048965</v>
      </c>
      <c r="BC34" s="39">
        <f t="shared" si="16"/>
        <v>48577503</v>
      </c>
      <c r="BD34" s="39">
        <f t="shared" si="16"/>
        <v>49111856</v>
      </c>
      <c r="BE34" s="39">
        <f t="shared" si="16"/>
        <v>49652086</v>
      </c>
      <c r="BF34" s="39">
        <f t="shared" si="16"/>
        <v>50198260</v>
      </c>
      <c r="BG34" s="39">
        <f t="shared" si="16"/>
        <v>50750441</v>
      </c>
      <c r="BH34" s="39">
        <f t="shared" si="16"/>
        <v>51308697</v>
      </c>
      <c r="BI34" s="39">
        <f t="shared" si="16"/>
        <v>51873093</v>
      </c>
      <c r="BJ34" s="39">
        <f t="shared" si="16"/>
        <v>52443697</v>
      </c>
      <c r="BK34" s="39">
        <f t="shared" si="16"/>
        <v>53020578</v>
      </c>
      <c r="BL34" s="39">
        <f t="shared" si="16"/>
        <v>53603804</v>
      </c>
      <c r="BM34" s="39">
        <f t="shared" si="16"/>
        <v>54193446</v>
      </c>
      <c r="BN34" s="39">
        <f t="shared" si="16"/>
        <v>54789574</v>
      </c>
      <c r="BO34" s="39">
        <f t="shared" si="16"/>
        <v>55392260</v>
      </c>
      <c r="BP34" s="39">
        <f t="shared" si="16"/>
        <v>56001575</v>
      </c>
      <c r="BQ34" s="39">
        <f t="shared" si="16"/>
        <v>56617592</v>
      </c>
    </row>
    <row r="35" spans="2:69">
      <c r="B35" s="4"/>
      <c r="C35" s="4"/>
      <c r="D35" s="4"/>
      <c r="E35" s="1" t="s">
        <v>89</v>
      </c>
      <c r="F35" s="303"/>
      <c r="G35" s="249"/>
      <c r="H35" s="249" t="s">
        <v>166</v>
      </c>
      <c r="I35" s="249"/>
      <c r="J35" s="249"/>
      <c r="K35" s="180" t="s">
        <v>720</v>
      </c>
      <c r="L35" s="249" t="s">
        <v>166</v>
      </c>
      <c r="M35" s="1"/>
      <c r="N35" s="39">
        <f>【PL】決算数値入力!W35</f>
        <v>13528381</v>
      </c>
      <c r="O35" s="39">
        <f>【PL】決算数値入力!X35</f>
        <v>10517166</v>
      </c>
      <c r="P35" s="39">
        <f>【PL】決算数値入力!Y35</f>
        <v>10463981</v>
      </c>
      <c r="Q35" s="39">
        <f>【PL】決算数値入力!Z35</f>
        <v>10732216</v>
      </c>
      <c r="R35" s="39">
        <f>【PL】決算数値入力!AA35</f>
        <v>6777049</v>
      </c>
      <c r="S35" s="39">
        <f>【PL】決算数値入力!AB35</f>
        <v>12599584.9</v>
      </c>
      <c r="T35" s="39">
        <f>ROUND(S35*(1+物価上昇率!$H$9),0)</f>
        <v>12738180</v>
      </c>
      <c r="U35" s="39">
        <f>ROUND(T35*(1+物価上昇率!$H$9),0)</f>
        <v>12878300</v>
      </c>
      <c r="V35" s="39">
        <f>ROUND(U35*(1+物価上昇率!$H$9),0)</f>
        <v>13019961</v>
      </c>
      <c r="W35" s="39">
        <f>ROUND(V35*(1+物価上昇率!$H$9),0)</f>
        <v>13163181</v>
      </c>
      <c r="X35" s="39">
        <f>ROUND(W35*(1+物価上昇率!$H$9),0)</f>
        <v>13307976</v>
      </c>
      <c r="Y35" s="39">
        <f>ROUND(X35*(1+物価上昇率!$H$9),0)</f>
        <v>13454364</v>
      </c>
      <c r="Z35" s="39">
        <f>ROUND(Y35*(1+物価上昇率!$H$9),0)</f>
        <v>13602362</v>
      </c>
      <c r="AA35" s="39">
        <f>ROUND(Z35*(1+物価上昇率!$H$9),0)</f>
        <v>13751988</v>
      </c>
      <c r="AB35" s="39">
        <f>ROUND(AA35*(1+物価上昇率!$H$9),0)</f>
        <v>13903260</v>
      </c>
      <c r="AC35" s="39">
        <f>ROUND(AB35*(1+物価上昇率!$H$9),0)</f>
        <v>14056196</v>
      </c>
      <c r="AD35" s="39">
        <f>ROUND(AC35*(1+物価上昇率!$H$9),0)</f>
        <v>14210814</v>
      </c>
      <c r="AE35" s="39">
        <f>ROUND(AD35*(1+物価上昇率!$H$9),0)</f>
        <v>14367133</v>
      </c>
      <c r="AF35" s="39">
        <f>ROUND(AE35*(1+物価上昇率!$H$9),0)</f>
        <v>14525171</v>
      </c>
      <c r="AG35" s="39">
        <f>ROUND(AF35*(1+物価上昇率!$H$9),0)</f>
        <v>14684948</v>
      </c>
      <c r="AH35" s="39">
        <f>ROUND(AG35*(1+物価上昇率!$H$9),0)</f>
        <v>14846482</v>
      </c>
      <c r="AI35" s="39">
        <f>ROUND(AH35*(1+物価上昇率!$H$9),0)</f>
        <v>15009793</v>
      </c>
      <c r="AJ35" s="39">
        <f>ROUND(AI35*(1+物価上昇率!$H$9),0)</f>
        <v>15174901</v>
      </c>
      <c r="AK35" s="39">
        <f>ROUND(AJ35*(1+物価上昇率!$H$9),0)</f>
        <v>15341825</v>
      </c>
      <c r="AL35" s="39">
        <f>ROUND(AK35*(1+物価上昇率!$H$9),0)</f>
        <v>15510585</v>
      </c>
      <c r="AM35" s="39">
        <f>ROUND(AL35*(1+物価上昇率!$H$9),0)</f>
        <v>15681201</v>
      </c>
      <c r="AN35" s="39">
        <f>ROUND(AM35*(1+物価上昇率!$H$9),0)</f>
        <v>15853694</v>
      </c>
      <c r="AO35" s="39">
        <f>ROUND(AN35*(1+物価上昇率!$H$9),0)</f>
        <v>16028085</v>
      </c>
      <c r="AP35" s="39">
        <f>ROUND(AO35*(1+物価上昇率!$H$9),0)</f>
        <v>16204394</v>
      </c>
      <c r="AQ35" s="39">
        <f>ROUND(AP35*(1+物価上昇率!$H$9),0)</f>
        <v>16382642</v>
      </c>
      <c r="AR35" s="39">
        <f>ROUND(AQ35*(1+物価上昇率!$H$9),0)</f>
        <v>16562851</v>
      </c>
      <c r="AS35" s="39">
        <f>ROUND(AR35*(1+物価上昇率!$H$9),0)</f>
        <v>16745042</v>
      </c>
      <c r="AT35" s="39">
        <f>ROUND(AS35*(1+物価上昇率!$H$9),0)</f>
        <v>16929237</v>
      </c>
      <c r="AU35" s="39">
        <f>ROUND(AT35*(1+物価上昇率!$H$9),0)</f>
        <v>17115459</v>
      </c>
      <c r="AV35" s="39">
        <f>ROUND(AU35*(1+物価上昇率!$H$9),0)</f>
        <v>17303729</v>
      </c>
      <c r="AW35" s="39">
        <f>ROUND(AV35*(1+物価上昇率!$H$9),0)</f>
        <v>17494070</v>
      </c>
      <c r="AX35" s="39">
        <f>ROUND(AW35*(1+物価上昇率!$H$9),0)</f>
        <v>17686505</v>
      </c>
      <c r="AY35" s="39">
        <f>ROUND(AX35*(1+物価上昇率!$H$9),0)</f>
        <v>17881057</v>
      </c>
      <c r="AZ35" s="39">
        <f>ROUND(AY35*(1+物価上昇率!$H$9),0)</f>
        <v>18077749</v>
      </c>
      <c r="BA35" s="39">
        <f>ROUND(AZ35*(1+物価上昇率!$H$9),0)</f>
        <v>18276604</v>
      </c>
      <c r="BB35" s="39">
        <f>ROUND(BA35*(1+物価上昇率!$H$9),0)</f>
        <v>18477647</v>
      </c>
      <c r="BC35" s="39">
        <f>ROUND(BB35*(1+物価上昇率!$H$9),0)</f>
        <v>18680901</v>
      </c>
      <c r="BD35" s="39">
        <f>ROUND(BC35*(1+物価上昇率!$H$9),0)</f>
        <v>18886391</v>
      </c>
      <c r="BE35" s="39">
        <f>ROUND(BD35*(1+物価上昇率!$H$9),0)</f>
        <v>19094141</v>
      </c>
      <c r="BF35" s="39">
        <f>ROUND(BE35*(1+物価上昇率!$H$9),0)</f>
        <v>19304177</v>
      </c>
      <c r="BG35" s="39">
        <f>ROUND(BF35*(1+物価上昇率!$H$9),0)</f>
        <v>19516523</v>
      </c>
      <c r="BH35" s="39">
        <f>ROUND(BG35*(1+物価上昇率!$H$9),0)</f>
        <v>19731205</v>
      </c>
      <c r="BI35" s="39">
        <f>ROUND(BH35*(1+物価上昇率!$H$9),0)</f>
        <v>19948248</v>
      </c>
      <c r="BJ35" s="39">
        <f>ROUND(BI35*(1+物価上昇率!$H$9),0)</f>
        <v>20167679</v>
      </c>
      <c r="BK35" s="39">
        <f>ROUND(BJ35*(1+物価上昇率!$H$9),0)</f>
        <v>20389523</v>
      </c>
      <c r="BL35" s="39">
        <f>ROUND(BK35*(1+物価上昇率!$H$9),0)</f>
        <v>20613808</v>
      </c>
      <c r="BM35" s="39">
        <f>ROUND(BL35*(1+物価上昇率!$H$9),0)</f>
        <v>20840560</v>
      </c>
      <c r="BN35" s="39">
        <f>ROUND(BM35*(1+物価上昇率!$H$9),0)</f>
        <v>21069806</v>
      </c>
      <c r="BO35" s="39">
        <f>ROUND(BN35*(1+物価上昇率!$H$9),0)</f>
        <v>21301574</v>
      </c>
      <c r="BP35" s="39">
        <f>ROUND(BO35*(1+物価上昇率!$H$9),0)</f>
        <v>21535891</v>
      </c>
      <c r="BQ35" s="39">
        <f>ROUND(BP35*(1+物価上昇率!$H$9),0)</f>
        <v>21772786</v>
      </c>
    </row>
    <row r="36" spans="2:69">
      <c r="B36" s="4"/>
      <c r="C36" s="4"/>
      <c r="D36" s="4"/>
      <c r="E36" s="1" t="s">
        <v>96</v>
      </c>
      <c r="F36" s="303"/>
      <c r="G36" s="249"/>
      <c r="H36" s="249"/>
      <c r="I36" s="249" t="s">
        <v>166</v>
      </c>
      <c r="J36" s="249"/>
      <c r="K36" s="180" t="s">
        <v>721</v>
      </c>
      <c r="L36" s="249" t="s">
        <v>166</v>
      </c>
      <c r="M36" s="1"/>
      <c r="N36" s="39">
        <f>【PL】決算数値入力!W36</f>
        <v>3189420</v>
      </c>
      <c r="O36" s="39">
        <f>【PL】決算数値入力!X36</f>
        <v>2083304</v>
      </c>
      <c r="P36" s="39">
        <f>【PL】決算数値入力!Y36</f>
        <v>2339387</v>
      </c>
      <c r="Q36" s="39">
        <f>【PL】決算数値入力!Z36</f>
        <v>3088131</v>
      </c>
      <c r="R36" s="39">
        <f>【PL】決算数値入力!AA36</f>
        <v>2470534</v>
      </c>
      <c r="S36" s="39">
        <f>【PL】決算数値入力!AB36</f>
        <v>2159463.6</v>
      </c>
      <c r="T36" s="39">
        <f>ROUND(SUM(【PL】決算数値入力!$AB$36)/SUM(【収益】水需要予測!$N$19:$W$19),0)*【収益】水需要予測!Y21</f>
        <v>0</v>
      </c>
      <c r="U36" s="39">
        <f>ROUND(SUM(【PL】決算数値入力!$AB$36)/SUM(【収益】水需要予測!$N$19:$W$19),0)*【収益】水需要予測!Z21</f>
        <v>0</v>
      </c>
      <c r="V36" s="39">
        <f>ROUND(SUM(【PL】決算数値入力!$AB$36)/SUM(【収益】水需要予測!$N$19:$W$19),0)*【収益】水需要予測!AA21</f>
        <v>0</v>
      </c>
      <c r="W36" s="39">
        <f>ROUND(SUM(【PL】決算数値入力!$AB$36)/SUM(【収益】水需要予測!$N$19:$W$19),0)*【収益】水需要予測!AB21</f>
        <v>0</v>
      </c>
      <c r="X36" s="39">
        <f>ROUND(SUM(【PL】決算数値入力!$AB$36)/SUM(【収益】水需要予測!$N$19:$W$19),0)*【収益】水需要予測!AC21</f>
        <v>0</v>
      </c>
      <c r="Y36" s="39">
        <f>ROUND(SUM(【PL】決算数値入力!$AB$36)/SUM(【収益】水需要予測!$N$19:$W$19),0)*【収益】水需要予測!AD21</f>
        <v>0</v>
      </c>
      <c r="Z36" s="39">
        <f>ROUND(SUM(【PL】決算数値入力!$AB$36)/SUM(【収益】水需要予測!$N$19:$W$19),0)*【収益】水需要予測!AE21</f>
        <v>0</v>
      </c>
      <c r="AA36" s="39">
        <f>ROUND(SUM(【PL】決算数値入力!$AB$36)/SUM(【収益】水需要予測!$N$19:$W$19),0)*【収益】水需要予測!AF21</f>
        <v>0</v>
      </c>
      <c r="AB36" s="39">
        <f>ROUND(SUM(【PL】決算数値入力!$AB$36)/SUM(【収益】水需要予測!$N$19:$W$19),0)*【収益】水需要予測!AG21</f>
        <v>0</v>
      </c>
      <c r="AC36" s="39">
        <f>ROUND(SUM(【PL】決算数値入力!$AB$36)/SUM(【収益】水需要予測!$N$19:$W$19),0)*【収益】水需要予測!AH21</f>
        <v>0</v>
      </c>
      <c r="AD36" s="39">
        <f>ROUND(SUM(【PL】決算数値入力!$AB$36)/SUM(【収益】水需要予測!$N$19:$W$19),0)*【収益】水需要予測!AI21</f>
        <v>0</v>
      </c>
      <c r="AE36" s="39">
        <f>ROUND(SUM(【PL】決算数値入力!$AB$36)/SUM(【収益】水需要予測!$N$19:$W$19),0)*【収益】水需要予測!AJ21</f>
        <v>0</v>
      </c>
      <c r="AF36" s="39">
        <f>ROUND(SUM(【PL】決算数値入力!$AB$36)/SUM(【収益】水需要予測!$N$19:$W$19),0)*【収益】水需要予測!AK21</f>
        <v>0</v>
      </c>
      <c r="AG36" s="39">
        <f>ROUND(SUM(【PL】決算数値入力!$AB$36)/SUM(【収益】水需要予測!$N$19:$W$19),0)*【収益】水需要予測!AL21</f>
        <v>0</v>
      </c>
      <c r="AH36" s="39">
        <f>ROUND(SUM(【PL】決算数値入力!$AB$36)/SUM(【収益】水需要予測!$N$19:$W$19),0)*【収益】水需要予測!AM21</f>
        <v>0</v>
      </c>
      <c r="AI36" s="39">
        <f>ROUND(SUM(【PL】決算数値入力!$AB$36)/SUM(【収益】水需要予測!$N$19:$W$19),0)*【収益】水需要予測!AN21</f>
        <v>0</v>
      </c>
      <c r="AJ36" s="39">
        <f>ROUND(SUM(【PL】決算数値入力!$AB$36)/SUM(【収益】水需要予測!$N$19:$W$19),0)*【収益】水需要予測!AO21</f>
        <v>0</v>
      </c>
      <c r="AK36" s="39">
        <f>ROUND(SUM(【PL】決算数値入力!$AB$36)/SUM(【収益】水需要予測!$N$19:$W$19),0)*【収益】水需要予測!AP21</f>
        <v>0</v>
      </c>
      <c r="AL36" s="39">
        <f>ROUND(SUM(【PL】決算数値入力!$AB$36)/SUM(【収益】水需要予測!$N$19:$W$19),0)*【収益】水需要予測!AQ21</f>
        <v>0</v>
      </c>
      <c r="AM36" s="39">
        <f>ROUND(SUM(【PL】決算数値入力!$AB$36)/SUM(【収益】水需要予測!$N$19:$W$19),0)*【収益】水需要予測!AR21</f>
        <v>0</v>
      </c>
      <c r="AN36" s="39">
        <f>ROUND(SUM(【PL】決算数値入力!$AB$36)/SUM(【収益】水需要予測!$N$19:$W$19),0)*【収益】水需要予測!AS21</f>
        <v>0</v>
      </c>
      <c r="AO36" s="39">
        <f>ROUND(SUM(【PL】決算数値入力!$AB$36)/SUM(【収益】水需要予測!$N$19:$W$19),0)*【収益】水需要予測!AT21</f>
        <v>0</v>
      </c>
      <c r="AP36" s="39">
        <f>ROUND(SUM(【PL】決算数値入力!$AB$36)/SUM(【収益】水需要予測!$N$19:$W$19),0)*【収益】水需要予測!AU21</f>
        <v>0</v>
      </c>
      <c r="AQ36" s="39">
        <f>ROUND(SUM(【PL】決算数値入力!$AB$36)/SUM(【収益】水需要予測!$N$19:$W$19),0)*【収益】水需要予測!AV21</f>
        <v>0</v>
      </c>
      <c r="AR36" s="39">
        <f>ROUND(SUM(【PL】決算数値入力!$AB$36)/SUM(【収益】水需要予測!$N$19:$W$19),0)*【収益】水需要予測!AW21</f>
        <v>0</v>
      </c>
      <c r="AS36" s="39">
        <f>ROUND(SUM(【PL】決算数値入力!$AB$36)/SUM(【収益】水需要予測!$N$19:$W$19),0)*【収益】水需要予測!AX21</f>
        <v>0</v>
      </c>
      <c r="AT36" s="39">
        <f>ROUND(SUM(【PL】決算数値入力!$AB$36)/SUM(【収益】水需要予測!$N$19:$W$19),0)*【収益】水需要予測!AY21</f>
        <v>0</v>
      </c>
      <c r="AU36" s="39">
        <f>ROUND(SUM(【PL】決算数値入力!$AB$36)/SUM(【収益】水需要予測!$N$19:$W$19),0)*【収益】水需要予測!AZ21</f>
        <v>0</v>
      </c>
      <c r="AV36" s="39">
        <f>ROUND(SUM(【PL】決算数値入力!$AB$36)/SUM(【収益】水需要予測!$N$19:$W$19),0)*【収益】水需要予測!BA21</f>
        <v>0</v>
      </c>
      <c r="AW36" s="39">
        <f>ROUND(SUM(【PL】決算数値入力!$AB$36)/SUM(【収益】水需要予測!$N$19:$W$19),0)*【収益】水需要予測!BB21</f>
        <v>0</v>
      </c>
      <c r="AX36" s="39">
        <f>ROUND(SUM(【PL】決算数値入力!$AB$36)/SUM(【収益】水需要予測!$N$19:$W$19),0)*【収益】水需要予測!BC21</f>
        <v>0</v>
      </c>
      <c r="AY36" s="39">
        <f>ROUND(SUM(【PL】決算数値入力!$AB$36)/SUM(【収益】水需要予測!$N$19:$W$19),0)*【収益】水需要予測!BD21</f>
        <v>0</v>
      </c>
      <c r="AZ36" s="39">
        <f>ROUND(SUM(【PL】決算数値入力!$AB$36)/SUM(【収益】水需要予測!$N$19:$W$19),0)*【収益】水需要予測!BE21</f>
        <v>0</v>
      </c>
      <c r="BA36" s="39">
        <f>ROUND(SUM(【PL】決算数値入力!$AB$36)/SUM(【収益】水需要予測!$N$19:$W$19),0)*【収益】水需要予測!BF21</f>
        <v>0</v>
      </c>
      <c r="BB36" s="39">
        <f>ROUND(SUM(【PL】決算数値入力!$AB$36)/SUM(【収益】水需要予測!$N$19:$W$19),0)*【収益】水需要予測!BG21</f>
        <v>0</v>
      </c>
      <c r="BC36" s="39">
        <f>ROUND(SUM(【PL】決算数値入力!$AB$36)/SUM(【収益】水需要予測!$N$19:$W$19),0)*【収益】水需要予測!BH21</f>
        <v>0</v>
      </c>
      <c r="BD36" s="39">
        <f>ROUND(SUM(【PL】決算数値入力!$AB$36)/SUM(【収益】水需要予測!$N$19:$W$19),0)*【収益】水需要予測!BI21</f>
        <v>0</v>
      </c>
      <c r="BE36" s="39">
        <f>ROUND(SUM(【PL】決算数値入力!$AB$36)/SUM(【収益】水需要予測!$N$19:$W$19),0)*【収益】水需要予測!BJ21</f>
        <v>0</v>
      </c>
      <c r="BF36" s="39">
        <f>ROUND(SUM(【PL】決算数値入力!$AB$36)/SUM(【収益】水需要予測!$N$19:$W$19),0)*【収益】水需要予測!BK21</f>
        <v>0</v>
      </c>
      <c r="BG36" s="39">
        <f>ROUND(SUM(【PL】決算数値入力!$AB$36)/SUM(【収益】水需要予測!$N$19:$W$19),0)*【収益】水需要予測!BL21</f>
        <v>0</v>
      </c>
      <c r="BH36" s="39">
        <f>ROUND(SUM(【PL】決算数値入力!$AB$36)/SUM(【収益】水需要予測!$N$19:$W$19),0)*【収益】水需要予測!BM21</f>
        <v>0</v>
      </c>
      <c r="BI36" s="39">
        <f>ROUND(SUM(【PL】決算数値入力!$AB$36)/SUM(【収益】水需要予測!$N$19:$W$19),0)*【収益】水需要予測!BN21</f>
        <v>0</v>
      </c>
      <c r="BJ36" s="39">
        <f>ROUND(SUM(【PL】決算数値入力!$AB$36)/SUM(【収益】水需要予測!$N$19:$W$19),0)*【収益】水需要予測!BO21</f>
        <v>0</v>
      </c>
      <c r="BK36" s="39">
        <f>ROUND(SUM(【PL】決算数値入力!$AB$36)/SUM(【収益】水需要予測!$N$19:$W$19),0)*【収益】水需要予測!BP21</f>
        <v>0</v>
      </c>
      <c r="BL36" s="39">
        <f>ROUND(SUM(【PL】決算数値入力!$AB$36)/SUM(【収益】水需要予測!$N$19:$W$19),0)*【収益】水需要予測!BQ21</f>
        <v>0</v>
      </c>
      <c r="BM36" s="39">
        <f>ROUND(SUM(【PL】決算数値入力!$AB$36)/SUM(【収益】水需要予測!$N$19:$W$19),0)*【収益】水需要予測!BR21</f>
        <v>0</v>
      </c>
      <c r="BN36" s="39">
        <f>ROUND(SUM(【PL】決算数値入力!$AB$36)/SUM(【収益】水需要予測!$N$19:$W$19),0)*【収益】水需要予測!BS21</f>
        <v>0</v>
      </c>
      <c r="BO36" s="39">
        <f>ROUND(SUM(【PL】決算数値入力!$AB$36)/SUM(【収益】水需要予測!$N$19:$W$19),0)*【収益】水需要予測!BT21</f>
        <v>0</v>
      </c>
      <c r="BP36" s="39">
        <f>ROUND(SUM(【PL】決算数値入力!$AB$36)/SUM(【収益】水需要予測!$N$19:$W$19),0)*【収益】水需要予測!BU21</f>
        <v>0</v>
      </c>
      <c r="BQ36" s="39">
        <f>ROUND(SUM(【PL】決算数値入力!$AB$36)/SUM(【収益】水需要予測!$N$19:$W$19),0)*【収益】水需要予測!BV21</f>
        <v>0</v>
      </c>
    </row>
    <row r="37" spans="2:69">
      <c r="B37" s="4"/>
      <c r="C37" s="4"/>
      <c r="D37" s="4"/>
      <c r="E37" s="1" t="s">
        <v>90</v>
      </c>
      <c r="F37" s="303"/>
      <c r="G37" s="249"/>
      <c r="H37" s="249"/>
      <c r="I37" s="249" t="s">
        <v>166</v>
      </c>
      <c r="J37" s="249"/>
      <c r="K37" s="180" t="s">
        <v>721</v>
      </c>
      <c r="L37" s="249" t="s">
        <v>166</v>
      </c>
      <c r="M37" s="1"/>
      <c r="N37" s="39">
        <f>【PL】決算数値入力!W37</f>
        <v>0</v>
      </c>
      <c r="O37" s="39">
        <f>【PL】決算数値入力!X37</f>
        <v>0</v>
      </c>
      <c r="P37" s="39">
        <f>【PL】決算数値入力!Y37</f>
        <v>0</v>
      </c>
      <c r="Q37" s="39">
        <f>【PL】決算数値入力!Z37</f>
        <v>0</v>
      </c>
      <c r="R37" s="39">
        <f>【PL】決算数値入力!AA37</f>
        <v>0</v>
      </c>
      <c r="S37" s="39">
        <f>【PL】決算数値入力!AB37</f>
        <v>0</v>
      </c>
      <c r="T37" s="39">
        <f>ROUND(SUM(【PL】決算数値入力!AB37)/SUM(【収益】水需要予測!$N$19:$W$19)*【収益】水需要予測!Y21,0)</f>
        <v>0</v>
      </c>
      <c r="U37" s="39">
        <f>ROUND(SUM(【PL】決算数値入力!$AB$37)/SUM(【収益】水需要予測!$N$19:$W$19)*【収益】水需要予測!Z21,0)</f>
        <v>0</v>
      </c>
      <c r="V37" s="39">
        <f>ROUND(SUM(【PL】決算数値入力!$AB$37)/SUM(【収益】水需要予測!$N$19:$W$19)*【収益】水需要予測!AA21,0)</f>
        <v>0</v>
      </c>
      <c r="W37" s="39">
        <f>ROUND(SUM(【PL】決算数値入力!$AB$37)/SUM(【収益】水需要予測!$N$19:$W$19)*【収益】水需要予測!AB21,0)</f>
        <v>0</v>
      </c>
      <c r="X37" s="39">
        <f>ROUND(SUM(【PL】決算数値入力!$AB$37)/SUM(【収益】水需要予測!$N$19:$W$19)*【収益】水需要予測!AC21,0)</f>
        <v>0</v>
      </c>
      <c r="Y37" s="39">
        <f>ROUND(SUM(【PL】決算数値入力!$AB$37)/SUM(【収益】水需要予測!$N$19:$W$19)*【収益】水需要予測!AD21,0)</f>
        <v>0</v>
      </c>
      <c r="Z37" s="39">
        <f>ROUND(SUM(【PL】決算数値入力!$AB$37)/SUM(【収益】水需要予測!$N$19:$W$19)*【収益】水需要予測!AE21,0)</f>
        <v>0</v>
      </c>
      <c r="AA37" s="39">
        <f>ROUND(SUM(【PL】決算数値入力!$AB$37)/SUM(【収益】水需要予測!$N$19:$W$19)*【収益】水需要予測!AF21,0)</f>
        <v>0</v>
      </c>
      <c r="AB37" s="39">
        <f>ROUND(SUM(【PL】決算数値入力!$AB$37)/SUM(【収益】水需要予測!$N$19:$W$19)*【収益】水需要予測!AG21,0)</f>
        <v>0</v>
      </c>
      <c r="AC37" s="39">
        <f>ROUND(SUM(【PL】決算数値入力!$AB$37)/SUM(【収益】水需要予測!$N$19:$W$19)*【収益】水需要予測!AH21,0)</f>
        <v>0</v>
      </c>
      <c r="AD37" s="39">
        <f>ROUND(SUM(【PL】決算数値入力!$AB$37)/SUM(【収益】水需要予測!$N$19:$W$19)*【収益】水需要予測!AI21,0)</f>
        <v>0</v>
      </c>
      <c r="AE37" s="39">
        <f>ROUND(SUM(【PL】決算数値入力!$AB$37)/SUM(【収益】水需要予測!$N$19:$W$19)*【収益】水需要予測!AJ21,0)</f>
        <v>0</v>
      </c>
      <c r="AF37" s="39">
        <f>ROUND(SUM(【PL】決算数値入力!$AB$37)/SUM(【収益】水需要予測!$N$19:$W$19)*【収益】水需要予測!AK21,0)</f>
        <v>0</v>
      </c>
      <c r="AG37" s="39">
        <f>ROUND(SUM(【PL】決算数値入力!$AB$37)/SUM(【収益】水需要予測!$N$19:$W$19)*【収益】水需要予測!AL21,0)</f>
        <v>0</v>
      </c>
      <c r="AH37" s="39">
        <f>ROUND(SUM(【PL】決算数値入力!$AB$37)/SUM(【収益】水需要予測!$N$19:$W$19)*【収益】水需要予測!AM21,0)</f>
        <v>0</v>
      </c>
      <c r="AI37" s="39">
        <f>ROUND(SUM(【PL】決算数値入力!$AB$37)/SUM(【収益】水需要予測!$N$19:$W$19)*【収益】水需要予測!AN21,0)</f>
        <v>0</v>
      </c>
      <c r="AJ37" s="39">
        <f>ROUND(SUM(【PL】決算数値入力!$AB$37)/SUM(【収益】水需要予測!$N$19:$W$19)*【収益】水需要予測!AO21,0)</f>
        <v>0</v>
      </c>
      <c r="AK37" s="39">
        <f>ROUND(SUM(【PL】決算数値入力!$AB$37)/SUM(【収益】水需要予測!$N$19:$W$19)*【収益】水需要予測!AP21,0)</f>
        <v>0</v>
      </c>
      <c r="AL37" s="39">
        <f>ROUND(SUM(【PL】決算数値入力!$AB$37)/SUM(【収益】水需要予測!$N$19:$W$19)*【収益】水需要予測!AQ21,0)</f>
        <v>0</v>
      </c>
      <c r="AM37" s="39">
        <f>ROUND(SUM(【PL】決算数値入力!$AB$37)/SUM(【収益】水需要予測!$N$19:$W$19)*【収益】水需要予測!AR21,0)</f>
        <v>0</v>
      </c>
      <c r="AN37" s="39">
        <f>ROUND(SUM(【PL】決算数値入力!$AB$37)/SUM(【収益】水需要予測!$N$19:$W$19)*【収益】水需要予測!AS21,0)</f>
        <v>0</v>
      </c>
      <c r="AO37" s="39">
        <f>ROUND(SUM(【PL】決算数値入力!$AB$37)/SUM(【収益】水需要予測!$N$19:$W$19)*【収益】水需要予測!AT21,0)</f>
        <v>0</v>
      </c>
      <c r="AP37" s="39">
        <f>ROUND(SUM(【PL】決算数値入力!$AB$37)/SUM(【収益】水需要予測!$N$19:$W$19)*【収益】水需要予測!AU21,0)</f>
        <v>0</v>
      </c>
      <c r="AQ37" s="39">
        <f>ROUND(SUM(【PL】決算数値入力!$AB$37)/SUM(【収益】水需要予測!$N$19:$W$19)*【収益】水需要予測!AV21,0)</f>
        <v>0</v>
      </c>
      <c r="AR37" s="39">
        <f>ROUND(SUM(【PL】決算数値入力!$AB$37)/SUM(【収益】水需要予測!$N$19:$W$19)*【収益】水需要予測!AW21,0)</f>
        <v>0</v>
      </c>
      <c r="AS37" s="39">
        <f>ROUND(SUM(【PL】決算数値入力!$AB$37)/SUM(【収益】水需要予測!$N$19:$W$19)*【収益】水需要予測!AX21,0)</f>
        <v>0</v>
      </c>
      <c r="AT37" s="39">
        <f>ROUND(SUM(【PL】決算数値入力!$AB$37)/SUM(【収益】水需要予測!$N$19:$W$19)*【収益】水需要予測!AY21,0)</f>
        <v>0</v>
      </c>
      <c r="AU37" s="39">
        <f>ROUND(SUM(【PL】決算数値入力!$AB$37)/SUM(【収益】水需要予測!$N$19:$W$19)*【収益】水需要予測!AZ21,0)</f>
        <v>0</v>
      </c>
      <c r="AV37" s="39">
        <f>ROUND(SUM(【PL】決算数値入力!$AB$37)/SUM(【収益】水需要予測!$N$19:$W$19)*【収益】水需要予測!BA21,0)</f>
        <v>0</v>
      </c>
      <c r="AW37" s="39">
        <f>ROUND(SUM(【PL】決算数値入力!$AB$37)/SUM(【収益】水需要予測!$N$19:$W$19)*【収益】水需要予測!BB21,0)</f>
        <v>0</v>
      </c>
      <c r="AX37" s="39">
        <f>ROUND(SUM(【PL】決算数値入力!$AB$37)/SUM(【収益】水需要予測!$N$19:$W$19)*【収益】水需要予測!BC21,0)</f>
        <v>0</v>
      </c>
      <c r="AY37" s="39">
        <f>ROUND(SUM(【PL】決算数値入力!$AB$37)/SUM(【収益】水需要予測!$N$19:$W$19)*【収益】水需要予測!BD21,0)</f>
        <v>0</v>
      </c>
      <c r="AZ37" s="39">
        <f>ROUND(SUM(【PL】決算数値入力!$AB$37)/SUM(【収益】水需要予測!$N$19:$W$19)*【収益】水需要予測!BE21,0)</f>
        <v>0</v>
      </c>
      <c r="BA37" s="39">
        <f>ROUND(SUM(【PL】決算数値入力!$AB$37)/SUM(【収益】水需要予測!$N$19:$W$19)*【収益】水需要予測!BF21,0)</f>
        <v>0</v>
      </c>
      <c r="BB37" s="39">
        <f>ROUND(SUM(【PL】決算数値入力!$AB$37)/SUM(【収益】水需要予測!$N$19:$W$19)*【収益】水需要予測!BG21,0)</f>
        <v>0</v>
      </c>
      <c r="BC37" s="39">
        <f>ROUND(SUM(【PL】決算数値入力!$AB$37)/SUM(【収益】水需要予測!$N$19:$W$19)*【収益】水需要予測!BH21,0)</f>
        <v>0</v>
      </c>
      <c r="BD37" s="39">
        <f>ROUND(SUM(【PL】決算数値入力!$AB$37)/SUM(【収益】水需要予測!$N$19:$W$19)*【収益】水需要予測!BI21,0)</f>
        <v>0</v>
      </c>
      <c r="BE37" s="39">
        <f>ROUND(SUM(【PL】決算数値入力!$AB$37)/SUM(【収益】水需要予測!$N$19:$W$19)*【収益】水需要予測!BJ21,0)</f>
        <v>0</v>
      </c>
      <c r="BF37" s="39">
        <f>ROUND(SUM(【PL】決算数値入力!$AB$37)/SUM(【収益】水需要予測!$N$19:$W$19)*【収益】水需要予測!BK21,0)</f>
        <v>0</v>
      </c>
      <c r="BG37" s="39">
        <f>ROUND(SUM(【PL】決算数値入力!$AB$37)/SUM(【収益】水需要予測!$N$19:$W$19)*【収益】水需要予測!BL21,0)</f>
        <v>0</v>
      </c>
      <c r="BH37" s="39">
        <f>ROUND(SUM(【PL】決算数値入力!$AB$37)/SUM(【収益】水需要予測!$N$19:$W$19)*【収益】水需要予測!BM21,0)</f>
        <v>0</v>
      </c>
      <c r="BI37" s="39">
        <f>ROUND(SUM(【PL】決算数値入力!$AB$37)/SUM(【収益】水需要予測!$N$19:$W$19)*【収益】水需要予測!BN21,0)</f>
        <v>0</v>
      </c>
      <c r="BJ37" s="39">
        <f>ROUND(SUM(【PL】決算数値入力!$AB$37)/SUM(【収益】水需要予測!$N$19:$W$19)*【収益】水需要予測!BO21,0)</f>
        <v>0</v>
      </c>
      <c r="BK37" s="39">
        <f>ROUND(SUM(【PL】決算数値入力!$AB$37)/SUM(【収益】水需要予測!$N$19:$W$19)*【収益】水需要予測!BP21,0)</f>
        <v>0</v>
      </c>
      <c r="BL37" s="39">
        <f>ROUND(SUM(【PL】決算数値入力!$AB$37)/SUM(【収益】水需要予測!$N$19:$W$19)*【収益】水需要予測!BQ21,0)</f>
        <v>0</v>
      </c>
      <c r="BM37" s="39">
        <f>ROUND(SUM(【PL】決算数値入力!$AB$37)/SUM(【収益】水需要予測!$N$19:$W$19)*【収益】水需要予測!BR21,0)</f>
        <v>0</v>
      </c>
      <c r="BN37" s="39">
        <f>ROUND(SUM(【PL】決算数値入力!$AB$37)/SUM(【収益】水需要予測!$N$19:$W$19)*【収益】水需要予測!BS21,0)</f>
        <v>0</v>
      </c>
      <c r="BO37" s="39">
        <f>ROUND(SUM(【PL】決算数値入力!$AB$37)/SUM(【収益】水需要予測!$N$19:$W$19)*【収益】水需要予測!BT21,0)</f>
        <v>0</v>
      </c>
      <c r="BP37" s="39">
        <f>ROUND(SUM(【PL】決算数値入力!$AB$37)/SUM(【収益】水需要予測!$N$19:$W$19)*【収益】水需要予測!BU21,0)</f>
        <v>0</v>
      </c>
      <c r="BQ37" s="39">
        <f>ROUND(SUM(【PL】決算数値入力!$AB$37)/SUM(【収益】水需要予測!$N$19:$W$19)*【収益】水需要予測!BV21,0)</f>
        <v>0</v>
      </c>
    </row>
    <row r="38" spans="2:69">
      <c r="B38" s="4"/>
      <c r="C38" s="4"/>
      <c r="D38" s="4"/>
      <c r="E38" s="1" t="s">
        <v>91</v>
      </c>
      <c r="F38" s="303"/>
      <c r="G38" s="249"/>
      <c r="H38" s="249" t="s">
        <v>166</v>
      </c>
      <c r="I38" s="249"/>
      <c r="J38" s="249"/>
      <c r="K38" s="180" t="s">
        <v>720</v>
      </c>
      <c r="L38" s="249" t="s">
        <v>166</v>
      </c>
      <c r="M38" s="1"/>
      <c r="N38" s="39">
        <f>【PL】決算数値入力!W38</f>
        <v>1577280</v>
      </c>
      <c r="O38" s="39">
        <f>【PL】決算数値入力!X38</f>
        <v>327448</v>
      </c>
      <c r="P38" s="39">
        <f>【PL】決算数値入力!Y38</f>
        <v>569069</v>
      </c>
      <c r="Q38" s="39">
        <f>【PL】決算数値入力!Z38</f>
        <v>3745890</v>
      </c>
      <c r="R38" s="39">
        <f>【PL】決算数値入力!AA38</f>
        <v>3642734</v>
      </c>
      <c r="S38" s="39">
        <f>【PL】決算数値入力!AB38</f>
        <v>1417521.1</v>
      </c>
      <c r="T38" s="39">
        <f>ROUND(S38*(1+物価上昇率!$H$9),0)</f>
        <v>1433114</v>
      </c>
      <c r="U38" s="39">
        <f>ROUND(T38*(1+物価上昇率!$H$9),0)</f>
        <v>1448878</v>
      </c>
      <c r="V38" s="39">
        <f>ROUND(U38*(1+物価上昇率!$H$9),0)</f>
        <v>1464816</v>
      </c>
      <c r="W38" s="39">
        <f>ROUND(V38*(1+物価上昇率!$H$9),0)</f>
        <v>1480929</v>
      </c>
      <c r="X38" s="39">
        <f>ROUND(W38*(1+物価上昇率!$H$9),0)</f>
        <v>1497219</v>
      </c>
      <c r="Y38" s="39">
        <f>ROUND(X38*(1+物価上昇率!$H$9),0)</f>
        <v>1513688</v>
      </c>
      <c r="Z38" s="39">
        <f>ROUND(Y38*(1+物価上昇率!$H$9),0)</f>
        <v>1530339</v>
      </c>
      <c r="AA38" s="39">
        <f>ROUND(Z38*(1+物価上昇率!$H$9),0)</f>
        <v>1547173</v>
      </c>
      <c r="AB38" s="39">
        <f>ROUND(AA38*(1+物価上昇率!$H$9),0)</f>
        <v>1564192</v>
      </c>
      <c r="AC38" s="39">
        <f>ROUND(AB38*(1+物価上昇率!$H$9),0)</f>
        <v>1581398</v>
      </c>
      <c r="AD38" s="39">
        <f>ROUND(AC38*(1+物価上昇率!$H$9),0)</f>
        <v>1598793</v>
      </c>
      <c r="AE38" s="39">
        <f>ROUND(AD38*(1+物価上昇率!$H$9),0)</f>
        <v>1616380</v>
      </c>
      <c r="AF38" s="39">
        <f>ROUND(AE38*(1+物価上昇率!$H$9),0)</f>
        <v>1634160</v>
      </c>
      <c r="AG38" s="39">
        <f>ROUND(AF38*(1+物価上昇率!$H$9),0)</f>
        <v>1652136</v>
      </c>
      <c r="AH38" s="39">
        <f>ROUND(AG38*(1+物価上昇率!$H$9),0)</f>
        <v>1670309</v>
      </c>
      <c r="AI38" s="39">
        <f>ROUND(AH38*(1+物価上昇率!$H$9),0)</f>
        <v>1688682</v>
      </c>
      <c r="AJ38" s="39">
        <f>ROUND(AI38*(1+物価上昇率!$H$9),0)</f>
        <v>1707258</v>
      </c>
      <c r="AK38" s="39">
        <f>ROUND(AJ38*(1+物価上昇率!$H$9),0)</f>
        <v>1726038</v>
      </c>
      <c r="AL38" s="39">
        <f>ROUND(AK38*(1+物価上昇率!$H$9),0)</f>
        <v>1745024</v>
      </c>
      <c r="AM38" s="39">
        <f>ROUND(AL38*(1+物価上昇率!$H$9),0)</f>
        <v>1764219</v>
      </c>
      <c r="AN38" s="39">
        <f>ROUND(AM38*(1+物価上昇率!$H$9),0)</f>
        <v>1783625</v>
      </c>
      <c r="AO38" s="39">
        <f>ROUND(AN38*(1+物価上昇率!$H$9),0)</f>
        <v>1803245</v>
      </c>
      <c r="AP38" s="39">
        <f>ROUND(AO38*(1+物価上昇率!$H$9),0)</f>
        <v>1823081</v>
      </c>
      <c r="AQ38" s="39">
        <f>ROUND(AP38*(1+物価上昇率!$H$9),0)</f>
        <v>1843135</v>
      </c>
      <c r="AR38" s="39">
        <f>ROUND(AQ38*(1+物価上昇率!$H$9),0)</f>
        <v>1863409</v>
      </c>
      <c r="AS38" s="39">
        <f>ROUND(AR38*(1+物価上昇率!$H$9),0)</f>
        <v>1883906</v>
      </c>
      <c r="AT38" s="39">
        <f>ROUND(AS38*(1+物価上昇率!$H$9),0)</f>
        <v>1904629</v>
      </c>
      <c r="AU38" s="39">
        <f>ROUND(AT38*(1+物価上昇率!$H$9),0)</f>
        <v>1925580</v>
      </c>
      <c r="AV38" s="39">
        <f>ROUND(AU38*(1+物価上昇率!$H$9),0)</f>
        <v>1946761</v>
      </c>
      <c r="AW38" s="39">
        <f>ROUND(AV38*(1+物価上昇率!$H$9),0)</f>
        <v>1968175</v>
      </c>
      <c r="AX38" s="39">
        <f>ROUND(AW38*(1+物価上昇率!$H$9),0)</f>
        <v>1989825</v>
      </c>
      <c r="AY38" s="39">
        <f>ROUND(AX38*(1+物価上昇率!$H$9),0)</f>
        <v>2011713</v>
      </c>
      <c r="AZ38" s="39">
        <f>ROUND(AY38*(1+物価上昇率!$H$9),0)</f>
        <v>2033842</v>
      </c>
      <c r="BA38" s="39">
        <f>ROUND(AZ38*(1+物価上昇率!$H$9),0)</f>
        <v>2056214</v>
      </c>
      <c r="BB38" s="39">
        <f>ROUND(BA38*(1+物価上昇率!$H$9),0)</f>
        <v>2078832</v>
      </c>
      <c r="BC38" s="39">
        <f>ROUND(BB38*(1+物価上昇率!$H$9),0)</f>
        <v>2101699</v>
      </c>
      <c r="BD38" s="39">
        <f>ROUND(BC38*(1+物価上昇率!$H$9),0)</f>
        <v>2124818</v>
      </c>
      <c r="BE38" s="39">
        <f>ROUND(BD38*(1+物価上昇率!$H$9),0)</f>
        <v>2148191</v>
      </c>
      <c r="BF38" s="39">
        <f>ROUND(BE38*(1+物価上昇率!$H$9),0)</f>
        <v>2171821</v>
      </c>
      <c r="BG38" s="39">
        <f>ROUND(BF38*(1+物価上昇率!$H$9),0)</f>
        <v>2195711</v>
      </c>
      <c r="BH38" s="39">
        <f>ROUND(BG38*(1+物価上昇率!$H$9),0)</f>
        <v>2219864</v>
      </c>
      <c r="BI38" s="39">
        <f>ROUND(BH38*(1+物価上昇率!$H$9),0)</f>
        <v>2244283</v>
      </c>
      <c r="BJ38" s="39">
        <f>ROUND(BI38*(1+物価上昇率!$H$9),0)</f>
        <v>2268970</v>
      </c>
      <c r="BK38" s="39">
        <f>ROUND(BJ38*(1+物価上昇率!$H$9),0)</f>
        <v>2293929</v>
      </c>
      <c r="BL38" s="39">
        <f>ROUND(BK38*(1+物価上昇率!$H$9),0)</f>
        <v>2319162</v>
      </c>
      <c r="BM38" s="39">
        <f>ROUND(BL38*(1+物価上昇率!$H$9),0)</f>
        <v>2344673</v>
      </c>
      <c r="BN38" s="39">
        <f>ROUND(BM38*(1+物価上昇率!$H$9),0)</f>
        <v>2370464</v>
      </c>
      <c r="BO38" s="39">
        <f>ROUND(BN38*(1+物価上昇率!$H$9),0)</f>
        <v>2396539</v>
      </c>
      <c r="BP38" s="39">
        <f>ROUND(BO38*(1+物価上昇率!$H$9),0)</f>
        <v>2422901</v>
      </c>
      <c r="BQ38" s="39">
        <f>ROUND(BP38*(1+物価上昇率!$H$9),0)</f>
        <v>2449553</v>
      </c>
    </row>
    <row r="39" spans="2:69">
      <c r="B39" s="4"/>
      <c r="C39" s="4"/>
      <c r="D39" s="4"/>
      <c r="E39" s="1" t="s">
        <v>92</v>
      </c>
      <c r="F39" s="303"/>
      <c r="G39" s="249"/>
      <c r="H39" s="249" t="s">
        <v>166</v>
      </c>
      <c r="I39" s="249"/>
      <c r="J39" s="249"/>
      <c r="K39" s="180" t="s">
        <v>720</v>
      </c>
      <c r="L39" s="249" t="s">
        <v>166</v>
      </c>
      <c r="M39" s="1"/>
      <c r="N39" s="39">
        <f>【PL】決算数値入力!W39</f>
        <v>17175629</v>
      </c>
      <c r="O39" s="39">
        <f>【PL】決算数値入力!X39</f>
        <v>18885642</v>
      </c>
      <c r="P39" s="39">
        <f>【PL】決算数値入力!Y39</f>
        <v>16161047</v>
      </c>
      <c r="Q39" s="39">
        <f>【PL】決算数値入力!Z39</f>
        <v>13583646</v>
      </c>
      <c r="R39" s="39">
        <f>【PL】決算数値入力!AA39</f>
        <v>13164934</v>
      </c>
      <c r="S39" s="39">
        <f>【PL】決算数値入力!AB39</f>
        <v>14950335.1</v>
      </c>
      <c r="T39" s="39">
        <f>ROUND(S39*(1+物価上昇率!$H$9),0)</f>
        <v>15114789</v>
      </c>
      <c r="U39" s="39">
        <f>ROUND(T39*(1+物価上昇率!$H$9),0)</f>
        <v>15281052</v>
      </c>
      <c r="V39" s="39">
        <f>ROUND(U39*(1+物価上昇率!$H$9),0)</f>
        <v>15449144</v>
      </c>
      <c r="W39" s="39">
        <f>ROUND(V39*(1+物価上昇率!$H$9),0)</f>
        <v>15619085</v>
      </c>
      <c r="X39" s="39">
        <f>ROUND(W39*(1+物価上昇率!$H$9),0)</f>
        <v>15790895</v>
      </c>
      <c r="Y39" s="39">
        <f>ROUND(X39*(1+物価上昇率!$H$9),0)</f>
        <v>15964595</v>
      </c>
      <c r="Z39" s="39">
        <f>ROUND(Y39*(1+物価上昇率!$H$9),0)</f>
        <v>16140206</v>
      </c>
      <c r="AA39" s="39">
        <f>ROUND(Z39*(1+物価上昇率!$H$9),0)</f>
        <v>16317748</v>
      </c>
      <c r="AB39" s="39">
        <f>ROUND(AA39*(1+物価上昇率!$H$9),0)</f>
        <v>16497243</v>
      </c>
      <c r="AC39" s="39">
        <f>ROUND(AB39*(1+物価上昇率!$H$9),0)</f>
        <v>16678713</v>
      </c>
      <c r="AD39" s="39">
        <f>ROUND(AC39*(1+物価上昇率!$H$9),0)</f>
        <v>16862179</v>
      </c>
      <c r="AE39" s="39">
        <f>ROUND(AD39*(1+物価上昇率!$H$9),0)</f>
        <v>17047663</v>
      </c>
      <c r="AF39" s="39">
        <f>ROUND(AE39*(1+物価上昇率!$H$9),0)</f>
        <v>17235187</v>
      </c>
      <c r="AG39" s="39">
        <f>ROUND(AF39*(1+物価上昇率!$H$9),0)</f>
        <v>17424774</v>
      </c>
      <c r="AH39" s="39">
        <f>ROUND(AG39*(1+物価上昇率!$H$9),0)</f>
        <v>17616447</v>
      </c>
      <c r="AI39" s="39">
        <f>ROUND(AH39*(1+物価上昇率!$H$9),0)</f>
        <v>17810228</v>
      </c>
      <c r="AJ39" s="39">
        <f>ROUND(AI39*(1+物価上昇率!$H$9),0)</f>
        <v>18006141</v>
      </c>
      <c r="AK39" s="39">
        <f>ROUND(AJ39*(1+物価上昇率!$H$9),0)</f>
        <v>18204209</v>
      </c>
      <c r="AL39" s="39">
        <f>ROUND(AK39*(1+物価上昇率!$H$9),0)</f>
        <v>18404455</v>
      </c>
      <c r="AM39" s="39">
        <f>ROUND(AL39*(1+物価上昇率!$H$9),0)</f>
        <v>18606904</v>
      </c>
      <c r="AN39" s="39">
        <f>ROUND(AM39*(1+物価上昇率!$H$9),0)</f>
        <v>18811580</v>
      </c>
      <c r="AO39" s="39">
        <f>ROUND(AN39*(1+物価上昇率!$H$9),0)</f>
        <v>19018507</v>
      </c>
      <c r="AP39" s="39">
        <f>ROUND(AO39*(1+物価上昇率!$H$9),0)</f>
        <v>19227711</v>
      </c>
      <c r="AQ39" s="39">
        <f>ROUND(AP39*(1+物価上昇率!$H$9),0)</f>
        <v>19439216</v>
      </c>
      <c r="AR39" s="39">
        <f>ROUND(AQ39*(1+物価上昇率!$H$9),0)</f>
        <v>19653047</v>
      </c>
      <c r="AS39" s="39">
        <f>ROUND(AR39*(1+物価上昇率!$H$9),0)</f>
        <v>19869231</v>
      </c>
      <c r="AT39" s="39">
        <f>ROUND(AS39*(1+物価上昇率!$H$9),0)</f>
        <v>20087793</v>
      </c>
      <c r="AU39" s="39">
        <f>ROUND(AT39*(1+物価上昇率!$H$9),0)</f>
        <v>20308759</v>
      </c>
      <c r="AV39" s="39">
        <f>ROUND(AU39*(1+物価上昇率!$H$9),0)</f>
        <v>20532155</v>
      </c>
      <c r="AW39" s="39">
        <f>ROUND(AV39*(1+物価上昇率!$H$9),0)</f>
        <v>20758009</v>
      </c>
      <c r="AX39" s="39">
        <f>ROUND(AW39*(1+物価上昇率!$H$9),0)</f>
        <v>20986347</v>
      </c>
      <c r="AY39" s="39">
        <f>ROUND(AX39*(1+物価上昇率!$H$9),0)</f>
        <v>21217197</v>
      </c>
      <c r="AZ39" s="39">
        <f>ROUND(AY39*(1+物価上昇率!$H$9),0)</f>
        <v>21450586</v>
      </c>
      <c r="BA39" s="39">
        <f>ROUND(AZ39*(1+物価上昇率!$H$9),0)</f>
        <v>21686542</v>
      </c>
      <c r="BB39" s="39">
        <f>ROUND(BA39*(1+物価上昇率!$H$9),0)</f>
        <v>21925094</v>
      </c>
      <c r="BC39" s="39">
        <f>ROUND(BB39*(1+物価上昇率!$H$9),0)</f>
        <v>22166270</v>
      </c>
      <c r="BD39" s="39">
        <f>ROUND(BC39*(1+物価上昇率!$H$9),0)</f>
        <v>22410099</v>
      </c>
      <c r="BE39" s="39">
        <f>ROUND(BD39*(1+物価上昇率!$H$9),0)</f>
        <v>22656610</v>
      </c>
      <c r="BF39" s="39">
        <f>ROUND(BE39*(1+物価上昇率!$H$9),0)</f>
        <v>22905833</v>
      </c>
      <c r="BG39" s="39">
        <f>ROUND(BF39*(1+物価上昇率!$H$9),0)</f>
        <v>23157797</v>
      </c>
      <c r="BH39" s="39">
        <f>ROUND(BG39*(1+物価上昇率!$H$9),0)</f>
        <v>23412533</v>
      </c>
      <c r="BI39" s="39">
        <f>ROUND(BH39*(1+物価上昇率!$H$9),0)</f>
        <v>23670071</v>
      </c>
      <c r="BJ39" s="39">
        <f>ROUND(BI39*(1+物価上昇率!$H$9),0)</f>
        <v>23930442</v>
      </c>
      <c r="BK39" s="39">
        <f>ROUND(BJ39*(1+物価上昇率!$H$9),0)</f>
        <v>24193677</v>
      </c>
      <c r="BL39" s="39">
        <f>ROUND(BK39*(1+物価上昇率!$H$9),0)</f>
        <v>24459807</v>
      </c>
      <c r="BM39" s="39">
        <f>ROUND(BL39*(1+物価上昇率!$H$9),0)</f>
        <v>24728865</v>
      </c>
      <c r="BN39" s="39">
        <f>ROUND(BM39*(1+物価上昇率!$H$9),0)</f>
        <v>25000883</v>
      </c>
      <c r="BO39" s="39">
        <f>ROUND(BN39*(1+物価上昇率!$H$9),0)</f>
        <v>25275893</v>
      </c>
      <c r="BP39" s="39">
        <f>ROUND(BO39*(1+物価上昇率!$H$9),0)</f>
        <v>25553928</v>
      </c>
      <c r="BQ39" s="39">
        <f>ROUND(BP39*(1+物価上昇率!$H$9),0)</f>
        <v>25835021</v>
      </c>
    </row>
    <row r="40" spans="2:69">
      <c r="B40" s="4"/>
      <c r="C40" s="4"/>
      <c r="D40" s="4"/>
      <c r="E40" s="1" t="s">
        <v>93</v>
      </c>
      <c r="F40" s="303"/>
      <c r="G40" s="249"/>
      <c r="H40" s="249" t="s">
        <v>166</v>
      </c>
      <c r="I40" s="249"/>
      <c r="J40" s="249"/>
      <c r="K40" s="180" t="s">
        <v>720</v>
      </c>
      <c r="L40" s="249" t="s">
        <v>166</v>
      </c>
      <c r="M40" s="1"/>
      <c r="N40" s="39">
        <f>【PL】決算数値入力!W40</f>
        <v>4096110</v>
      </c>
      <c r="O40" s="39">
        <f>【PL】決算数値入力!X40</f>
        <v>4833373</v>
      </c>
      <c r="P40" s="39">
        <f>【PL】決算数値入力!Y40</f>
        <v>6189097</v>
      </c>
      <c r="Q40" s="39">
        <f>【PL】決算数値入力!Z40</f>
        <v>5786413</v>
      </c>
      <c r="R40" s="39">
        <f>【PL】決算数値入力!AA40</f>
        <v>6125089</v>
      </c>
      <c r="S40" s="39">
        <f>【PL】決算数値入力!AB40</f>
        <v>3796306.5</v>
      </c>
      <c r="T40" s="39">
        <f>ROUND(S40*(1+物価上昇率!$H$9),0)</f>
        <v>3838066</v>
      </c>
      <c r="U40" s="39">
        <f>ROUND(T40*(1+物価上昇率!$H$9),0)</f>
        <v>3880285</v>
      </c>
      <c r="V40" s="39">
        <f>ROUND(U40*(1+物価上昇率!$H$9),0)</f>
        <v>3922968</v>
      </c>
      <c r="W40" s="39">
        <f>ROUND(V40*(1+物価上昇率!$H$9),0)</f>
        <v>3966121</v>
      </c>
      <c r="X40" s="39">
        <f>ROUND(W40*(1+物価上昇率!$H$9),0)</f>
        <v>4009748</v>
      </c>
      <c r="Y40" s="39">
        <f>ROUND(X40*(1+物価上昇率!$H$9),0)</f>
        <v>4053855</v>
      </c>
      <c r="Z40" s="39">
        <f>ROUND(Y40*(1+物価上昇率!$H$9),0)</f>
        <v>4098447</v>
      </c>
      <c r="AA40" s="39">
        <f>ROUND(Z40*(1+物価上昇率!$H$9),0)</f>
        <v>4143530</v>
      </c>
      <c r="AB40" s="39">
        <f>ROUND(AA40*(1+物価上昇率!$H$9),0)</f>
        <v>4189109</v>
      </c>
      <c r="AC40" s="39">
        <f>ROUND(AB40*(1+物価上昇率!$H$9),0)</f>
        <v>4235189</v>
      </c>
      <c r="AD40" s="39">
        <f>ROUND(AC40*(1+物価上昇率!$H$9),0)</f>
        <v>4281776</v>
      </c>
      <c r="AE40" s="39">
        <f>ROUND(AD40*(1+物価上昇率!$H$9),0)</f>
        <v>4328876</v>
      </c>
      <c r="AF40" s="39">
        <f>ROUND(AE40*(1+物価上昇率!$H$9),0)</f>
        <v>4376494</v>
      </c>
      <c r="AG40" s="39">
        <f>ROUND(AF40*(1+物価上昇率!$H$9),0)</f>
        <v>4424635</v>
      </c>
      <c r="AH40" s="39">
        <f>ROUND(AG40*(1+物価上昇率!$H$9),0)</f>
        <v>4473306</v>
      </c>
      <c r="AI40" s="39">
        <f>ROUND(AH40*(1+物価上昇率!$H$9),0)</f>
        <v>4522512</v>
      </c>
      <c r="AJ40" s="39">
        <f>ROUND(AI40*(1+物価上昇率!$H$9),0)</f>
        <v>4572260</v>
      </c>
      <c r="AK40" s="39">
        <f>ROUND(AJ40*(1+物価上昇率!$H$9),0)</f>
        <v>4622555</v>
      </c>
      <c r="AL40" s="39">
        <f>ROUND(AK40*(1+物価上昇率!$H$9),0)</f>
        <v>4673403</v>
      </c>
      <c r="AM40" s="39">
        <f>ROUND(AL40*(1+物価上昇率!$H$9),0)</f>
        <v>4724810</v>
      </c>
      <c r="AN40" s="39">
        <f>ROUND(AM40*(1+物価上昇率!$H$9),0)</f>
        <v>4776783</v>
      </c>
      <c r="AO40" s="39">
        <f>ROUND(AN40*(1+物価上昇率!$H$9),0)</f>
        <v>4829328</v>
      </c>
      <c r="AP40" s="39">
        <f>ROUND(AO40*(1+物価上昇率!$H$9),0)</f>
        <v>4882451</v>
      </c>
      <c r="AQ40" s="39">
        <f>ROUND(AP40*(1+物価上昇率!$H$9),0)</f>
        <v>4936158</v>
      </c>
      <c r="AR40" s="39">
        <f>ROUND(AQ40*(1+物価上昇率!$H$9),0)</f>
        <v>4990456</v>
      </c>
      <c r="AS40" s="39">
        <f>ROUND(AR40*(1+物価上昇率!$H$9),0)</f>
        <v>5045351</v>
      </c>
      <c r="AT40" s="39">
        <f>ROUND(AS40*(1+物価上昇率!$H$9),0)</f>
        <v>5100850</v>
      </c>
      <c r="AU40" s="39">
        <f>ROUND(AT40*(1+物価上昇率!$H$9),0)</f>
        <v>5156959</v>
      </c>
      <c r="AV40" s="39">
        <f>ROUND(AU40*(1+物価上昇率!$H$9),0)</f>
        <v>5213686</v>
      </c>
      <c r="AW40" s="39">
        <f>ROUND(AV40*(1+物価上昇率!$H$9),0)</f>
        <v>5271037</v>
      </c>
      <c r="AX40" s="39">
        <f>ROUND(AW40*(1+物価上昇率!$H$9),0)</f>
        <v>5329018</v>
      </c>
      <c r="AY40" s="39">
        <f>ROUND(AX40*(1+物価上昇率!$H$9),0)</f>
        <v>5387637</v>
      </c>
      <c r="AZ40" s="39">
        <f>ROUND(AY40*(1+物価上昇率!$H$9),0)</f>
        <v>5446901</v>
      </c>
      <c r="BA40" s="39">
        <f>ROUND(AZ40*(1+物価上昇率!$H$9),0)</f>
        <v>5506817</v>
      </c>
      <c r="BB40" s="39">
        <f>ROUND(BA40*(1+物価上昇率!$H$9),0)</f>
        <v>5567392</v>
      </c>
      <c r="BC40" s="39">
        <f>ROUND(BB40*(1+物価上昇率!$H$9),0)</f>
        <v>5628633</v>
      </c>
      <c r="BD40" s="39">
        <f>ROUND(BC40*(1+物価上昇率!$H$9),0)</f>
        <v>5690548</v>
      </c>
      <c r="BE40" s="39">
        <f>ROUND(BD40*(1+物価上昇率!$H$9),0)</f>
        <v>5753144</v>
      </c>
      <c r="BF40" s="39">
        <f>ROUND(BE40*(1+物価上昇率!$H$9),0)</f>
        <v>5816429</v>
      </c>
      <c r="BG40" s="39">
        <f>ROUND(BF40*(1+物価上昇率!$H$9),0)</f>
        <v>5880410</v>
      </c>
      <c r="BH40" s="39">
        <f>ROUND(BG40*(1+物価上昇率!$H$9),0)</f>
        <v>5945095</v>
      </c>
      <c r="BI40" s="39">
        <f>ROUND(BH40*(1+物価上昇率!$H$9),0)</f>
        <v>6010491</v>
      </c>
      <c r="BJ40" s="39">
        <f>ROUND(BI40*(1+物価上昇率!$H$9),0)</f>
        <v>6076606</v>
      </c>
      <c r="BK40" s="39">
        <f>ROUND(BJ40*(1+物価上昇率!$H$9),0)</f>
        <v>6143449</v>
      </c>
      <c r="BL40" s="39">
        <f>ROUND(BK40*(1+物価上昇率!$H$9),0)</f>
        <v>6211027</v>
      </c>
      <c r="BM40" s="39">
        <f>ROUND(BL40*(1+物価上昇率!$H$9),0)</f>
        <v>6279348</v>
      </c>
      <c r="BN40" s="39">
        <f>ROUND(BM40*(1+物価上昇率!$H$9),0)</f>
        <v>6348421</v>
      </c>
      <c r="BO40" s="39">
        <f>ROUND(BN40*(1+物価上昇率!$H$9),0)</f>
        <v>6418254</v>
      </c>
      <c r="BP40" s="39">
        <f>ROUND(BO40*(1+物価上昇率!$H$9),0)</f>
        <v>6488855</v>
      </c>
      <c r="BQ40" s="39">
        <f>ROUND(BP40*(1+物価上昇率!$H$9),0)</f>
        <v>6560232</v>
      </c>
    </row>
    <row r="41" spans="2:69">
      <c r="B41" s="4"/>
      <c r="C41" s="4"/>
      <c r="D41" s="3"/>
      <c r="E41" s="1" t="s">
        <v>94</v>
      </c>
      <c r="F41" s="304"/>
      <c r="G41" s="249"/>
      <c r="H41" s="249" t="s">
        <v>166</v>
      </c>
      <c r="I41" s="249"/>
      <c r="J41" s="249"/>
      <c r="K41" s="180" t="s">
        <v>719</v>
      </c>
      <c r="L41" s="1"/>
      <c r="M41" s="1"/>
      <c r="N41" s="39">
        <f>【PL】決算数値入力!W41</f>
        <v>0</v>
      </c>
      <c r="O41" s="39">
        <f>【PL】決算数値入力!X41</f>
        <v>0</v>
      </c>
      <c r="P41" s="39">
        <f>【PL】決算数値入力!Y41</f>
        <v>0</v>
      </c>
      <c r="Q41" s="39">
        <f>【PL】決算数値入力!Z41</f>
        <v>0</v>
      </c>
      <c r="R41" s="39">
        <f>【PL】決算数値入力!AA41</f>
        <v>0</v>
      </c>
      <c r="S41" s="39">
        <f>【PL】決算数値入力!AB41</f>
        <v>0</v>
      </c>
      <c r="T41" s="39">
        <f>S41</f>
        <v>0</v>
      </c>
      <c r="U41" s="39">
        <f t="shared" ref="U41:BQ41" si="17">T41</f>
        <v>0</v>
      </c>
      <c r="V41" s="39">
        <f t="shared" si="17"/>
        <v>0</v>
      </c>
      <c r="W41" s="39">
        <f t="shared" si="17"/>
        <v>0</v>
      </c>
      <c r="X41" s="39">
        <f t="shared" si="17"/>
        <v>0</v>
      </c>
      <c r="Y41" s="39">
        <f t="shared" si="17"/>
        <v>0</v>
      </c>
      <c r="Z41" s="39">
        <f t="shared" si="17"/>
        <v>0</v>
      </c>
      <c r="AA41" s="39">
        <f t="shared" si="17"/>
        <v>0</v>
      </c>
      <c r="AB41" s="39">
        <f t="shared" si="17"/>
        <v>0</v>
      </c>
      <c r="AC41" s="39">
        <f t="shared" si="17"/>
        <v>0</v>
      </c>
      <c r="AD41" s="39">
        <f t="shared" si="17"/>
        <v>0</v>
      </c>
      <c r="AE41" s="39">
        <f t="shared" si="17"/>
        <v>0</v>
      </c>
      <c r="AF41" s="39">
        <f t="shared" si="17"/>
        <v>0</v>
      </c>
      <c r="AG41" s="39">
        <f t="shared" si="17"/>
        <v>0</v>
      </c>
      <c r="AH41" s="39">
        <f t="shared" si="17"/>
        <v>0</v>
      </c>
      <c r="AI41" s="39">
        <f t="shared" si="17"/>
        <v>0</v>
      </c>
      <c r="AJ41" s="39">
        <f t="shared" si="17"/>
        <v>0</v>
      </c>
      <c r="AK41" s="39">
        <f t="shared" si="17"/>
        <v>0</v>
      </c>
      <c r="AL41" s="39">
        <f t="shared" si="17"/>
        <v>0</v>
      </c>
      <c r="AM41" s="39">
        <f t="shared" si="17"/>
        <v>0</v>
      </c>
      <c r="AN41" s="39">
        <f t="shared" si="17"/>
        <v>0</v>
      </c>
      <c r="AO41" s="39">
        <f t="shared" si="17"/>
        <v>0</v>
      </c>
      <c r="AP41" s="39">
        <f t="shared" si="17"/>
        <v>0</v>
      </c>
      <c r="AQ41" s="39">
        <f t="shared" si="17"/>
        <v>0</v>
      </c>
      <c r="AR41" s="39">
        <f t="shared" si="17"/>
        <v>0</v>
      </c>
      <c r="AS41" s="39">
        <f t="shared" si="17"/>
        <v>0</v>
      </c>
      <c r="AT41" s="39">
        <f t="shared" si="17"/>
        <v>0</v>
      </c>
      <c r="AU41" s="39">
        <f t="shared" si="17"/>
        <v>0</v>
      </c>
      <c r="AV41" s="39">
        <f t="shared" si="17"/>
        <v>0</v>
      </c>
      <c r="AW41" s="39">
        <f t="shared" si="17"/>
        <v>0</v>
      </c>
      <c r="AX41" s="39">
        <f t="shared" si="17"/>
        <v>0</v>
      </c>
      <c r="AY41" s="39">
        <f t="shared" si="17"/>
        <v>0</v>
      </c>
      <c r="AZ41" s="39">
        <f t="shared" si="17"/>
        <v>0</v>
      </c>
      <c r="BA41" s="39">
        <f t="shared" si="17"/>
        <v>0</v>
      </c>
      <c r="BB41" s="39">
        <f t="shared" si="17"/>
        <v>0</v>
      </c>
      <c r="BC41" s="39">
        <f t="shared" si="17"/>
        <v>0</v>
      </c>
      <c r="BD41" s="39">
        <f t="shared" si="17"/>
        <v>0</v>
      </c>
      <c r="BE41" s="39">
        <f t="shared" si="17"/>
        <v>0</v>
      </c>
      <c r="BF41" s="39">
        <f t="shared" si="17"/>
        <v>0</v>
      </c>
      <c r="BG41" s="39">
        <f t="shared" si="17"/>
        <v>0</v>
      </c>
      <c r="BH41" s="39">
        <f t="shared" si="17"/>
        <v>0</v>
      </c>
      <c r="BI41" s="39">
        <f t="shared" si="17"/>
        <v>0</v>
      </c>
      <c r="BJ41" s="39">
        <f t="shared" si="17"/>
        <v>0</v>
      </c>
      <c r="BK41" s="39">
        <f t="shared" si="17"/>
        <v>0</v>
      </c>
      <c r="BL41" s="39">
        <f t="shared" si="17"/>
        <v>0</v>
      </c>
      <c r="BM41" s="39">
        <f t="shared" si="17"/>
        <v>0</v>
      </c>
      <c r="BN41" s="39">
        <f t="shared" si="17"/>
        <v>0</v>
      </c>
      <c r="BO41" s="39">
        <f t="shared" si="17"/>
        <v>0</v>
      </c>
      <c r="BP41" s="39">
        <f t="shared" si="17"/>
        <v>0</v>
      </c>
      <c r="BQ41" s="39">
        <f t="shared" si="17"/>
        <v>0</v>
      </c>
    </row>
    <row r="42" spans="2:69">
      <c r="B42" s="4"/>
      <c r="C42" s="4"/>
      <c r="D42" s="5" t="s">
        <v>450</v>
      </c>
      <c r="E42" s="8"/>
      <c r="F42" s="248"/>
      <c r="G42" s="249"/>
      <c r="H42" s="249"/>
      <c r="I42" s="249"/>
      <c r="J42" s="249"/>
      <c r="K42" s="1" t="s">
        <v>163</v>
      </c>
      <c r="L42" s="1"/>
      <c r="M42" s="1"/>
      <c r="N42" s="85">
        <f>【PL】決算数値入力!W42</f>
        <v>0</v>
      </c>
      <c r="O42" s="85">
        <f>【PL】決算数値入力!X42</f>
        <v>0</v>
      </c>
      <c r="P42" s="85">
        <f>【PL】決算数値入力!Y42</f>
        <v>0</v>
      </c>
      <c r="Q42" s="85">
        <f>【PL】決算数値入力!Z42</f>
        <v>0</v>
      </c>
      <c r="R42" s="85">
        <f>【PL】決算数値入力!AA42</f>
        <v>0</v>
      </c>
      <c r="S42" s="85">
        <f>【PL】決算数値入力!AB42</f>
        <v>0</v>
      </c>
      <c r="T42" s="85">
        <v>0</v>
      </c>
      <c r="U42" s="85">
        <v>0</v>
      </c>
      <c r="V42" s="85">
        <v>0</v>
      </c>
      <c r="W42" s="85">
        <v>0</v>
      </c>
      <c r="X42" s="85">
        <v>0</v>
      </c>
      <c r="Y42" s="85">
        <v>0</v>
      </c>
      <c r="Z42" s="85">
        <v>0</v>
      </c>
      <c r="AA42" s="85">
        <v>0</v>
      </c>
      <c r="AB42" s="85">
        <v>0</v>
      </c>
      <c r="AC42" s="85">
        <v>0</v>
      </c>
      <c r="AD42" s="85">
        <v>0</v>
      </c>
      <c r="AE42" s="85">
        <v>0</v>
      </c>
      <c r="AF42" s="85">
        <v>0</v>
      </c>
      <c r="AG42" s="85">
        <v>0</v>
      </c>
      <c r="AH42" s="85">
        <v>0</v>
      </c>
      <c r="AI42" s="85">
        <v>0</v>
      </c>
      <c r="AJ42" s="85">
        <v>0</v>
      </c>
      <c r="AK42" s="85">
        <v>0</v>
      </c>
      <c r="AL42" s="85">
        <v>0</v>
      </c>
      <c r="AM42" s="85">
        <v>0</v>
      </c>
      <c r="AN42" s="85">
        <v>0</v>
      </c>
      <c r="AO42" s="85">
        <v>0</v>
      </c>
      <c r="AP42" s="85">
        <v>0</v>
      </c>
      <c r="AQ42" s="85">
        <v>0</v>
      </c>
      <c r="AR42" s="85">
        <v>0</v>
      </c>
      <c r="AS42" s="85">
        <v>0</v>
      </c>
      <c r="AT42" s="85">
        <v>0</v>
      </c>
      <c r="AU42" s="85">
        <v>0</v>
      </c>
      <c r="AV42" s="85">
        <v>0</v>
      </c>
      <c r="AW42" s="85">
        <v>0</v>
      </c>
      <c r="AX42" s="85">
        <v>0</v>
      </c>
      <c r="AY42" s="85">
        <v>0</v>
      </c>
      <c r="AZ42" s="85">
        <v>0</v>
      </c>
      <c r="BA42" s="85">
        <v>0</v>
      </c>
      <c r="BB42" s="85">
        <v>0</v>
      </c>
      <c r="BC42" s="85">
        <v>0</v>
      </c>
      <c r="BD42" s="85">
        <v>0</v>
      </c>
      <c r="BE42" s="85">
        <v>0</v>
      </c>
      <c r="BF42" s="85">
        <v>0</v>
      </c>
      <c r="BG42" s="85">
        <v>0</v>
      </c>
      <c r="BH42" s="85">
        <v>0</v>
      </c>
      <c r="BI42" s="85">
        <v>0</v>
      </c>
      <c r="BJ42" s="85">
        <v>0</v>
      </c>
      <c r="BK42" s="85">
        <v>0</v>
      </c>
      <c r="BL42" s="85">
        <v>0</v>
      </c>
      <c r="BM42" s="85">
        <v>0</v>
      </c>
      <c r="BN42" s="85">
        <v>0</v>
      </c>
      <c r="BO42" s="85">
        <v>0</v>
      </c>
      <c r="BP42" s="85">
        <v>0</v>
      </c>
      <c r="BQ42" s="85">
        <v>0</v>
      </c>
    </row>
    <row r="43" spans="2:69">
      <c r="B43" s="4"/>
      <c r="C43" s="4"/>
      <c r="D43" s="5" t="s">
        <v>97</v>
      </c>
      <c r="E43" s="8"/>
      <c r="F43" s="302" t="s">
        <v>176</v>
      </c>
      <c r="G43" s="249"/>
      <c r="H43" s="249"/>
      <c r="I43" s="249"/>
      <c r="J43" s="249"/>
      <c r="K43" s="1"/>
      <c r="L43" s="1"/>
      <c r="M43" s="1"/>
      <c r="N43" s="39">
        <f>【PL】決算数値入力!W43</f>
        <v>28068995</v>
      </c>
      <c r="O43" s="39">
        <f>【PL】決算数値入力!X43</f>
        <v>38902891</v>
      </c>
      <c r="P43" s="39">
        <f>【PL】決算数値入力!Y43</f>
        <v>34633799</v>
      </c>
      <c r="Q43" s="39">
        <f>【PL】決算数値入力!Z43</f>
        <v>56238492</v>
      </c>
      <c r="R43" s="39">
        <f>【PL】決算数値入力!AA43</f>
        <v>39372697</v>
      </c>
      <c r="S43" s="39">
        <f>【PL】決算数値入力!AB43</f>
        <v>31797738.799999997</v>
      </c>
      <c r="T43" s="39">
        <f t="shared" ref="T43:BQ43" si="18">SUM(T44:T51)</f>
        <v>32147514</v>
      </c>
      <c r="U43" s="39">
        <f t="shared" si="18"/>
        <v>32501137</v>
      </c>
      <c r="V43" s="39">
        <f t="shared" si="18"/>
        <v>32858650</v>
      </c>
      <c r="W43" s="39">
        <f t="shared" si="18"/>
        <v>33220095</v>
      </c>
      <c r="X43" s="39">
        <f t="shared" si="18"/>
        <v>33585517</v>
      </c>
      <c r="Y43" s="39">
        <f t="shared" si="18"/>
        <v>33954958</v>
      </c>
      <c r="Z43" s="39">
        <f t="shared" si="18"/>
        <v>34328463</v>
      </c>
      <c r="AA43" s="39">
        <f t="shared" si="18"/>
        <v>34706076</v>
      </c>
      <c r="AB43" s="39">
        <f t="shared" si="18"/>
        <v>35087843</v>
      </c>
      <c r="AC43" s="39">
        <f t="shared" si="18"/>
        <v>35473810</v>
      </c>
      <c r="AD43" s="39">
        <f t="shared" si="18"/>
        <v>35864022</v>
      </c>
      <c r="AE43" s="39">
        <f t="shared" si="18"/>
        <v>36258526</v>
      </c>
      <c r="AF43" s="39">
        <f t="shared" si="18"/>
        <v>36657371</v>
      </c>
      <c r="AG43" s="39">
        <f t="shared" si="18"/>
        <v>37060601</v>
      </c>
      <c r="AH43" s="39">
        <f t="shared" si="18"/>
        <v>37468267</v>
      </c>
      <c r="AI43" s="39">
        <f t="shared" si="18"/>
        <v>37880418</v>
      </c>
      <c r="AJ43" s="39">
        <f t="shared" si="18"/>
        <v>38297102</v>
      </c>
      <c r="AK43" s="39">
        <f t="shared" si="18"/>
        <v>38718370</v>
      </c>
      <c r="AL43" s="39">
        <f t="shared" si="18"/>
        <v>39144272</v>
      </c>
      <c r="AM43" s="39">
        <f t="shared" si="18"/>
        <v>39574859</v>
      </c>
      <c r="AN43" s="39">
        <f t="shared" si="18"/>
        <v>40010184</v>
      </c>
      <c r="AO43" s="39">
        <f t="shared" si="18"/>
        <v>40450296</v>
      </c>
      <c r="AP43" s="39">
        <f t="shared" si="18"/>
        <v>40895249</v>
      </c>
      <c r="AQ43" s="39">
        <f t="shared" si="18"/>
        <v>41345096</v>
      </c>
      <c r="AR43" s="39">
        <f t="shared" si="18"/>
        <v>41799892</v>
      </c>
      <c r="AS43" s="39">
        <f t="shared" si="18"/>
        <v>42259691</v>
      </c>
      <c r="AT43" s="39">
        <f t="shared" si="18"/>
        <v>42724548</v>
      </c>
      <c r="AU43" s="39">
        <f t="shared" si="18"/>
        <v>43194518</v>
      </c>
      <c r="AV43" s="39">
        <f t="shared" si="18"/>
        <v>43669658</v>
      </c>
      <c r="AW43" s="39">
        <f t="shared" si="18"/>
        <v>44150024</v>
      </c>
      <c r="AX43" s="39">
        <f t="shared" si="18"/>
        <v>44635675</v>
      </c>
      <c r="AY43" s="39">
        <f t="shared" si="18"/>
        <v>45126667</v>
      </c>
      <c r="AZ43" s="39">
        <f t="shared" si="18"/>
        <v>45623060</v>
      </c>
      <c r="BA43" s="39">
        <f t="shared" si="18"/>
        <v>46124913</v>
      </c>
      <c r="BB43" s="39">
        <f t="shared" si="18"/>
        <v>46632287</v>
      </c>
      <c r="BC43" s="39">
        <f t="shared" si="18"/>
        <v>47145242</v>
      </c>
      <c r="BD43" s="39">
        <f t="shared" si="18"/>
        <v>47663840</v>
      </c>
      <c r="BE43" s="39">
        <f t="shared" si="18"/>
        <v>48188142</v>
      </c>
      <c r="BF43" s="39">
        <f t="shared" si="18"/>
        <v>48718212</v>
      </c>
      <c r="BG43" s="39">
        <f t="shared" si="18"/>
        <v>49254113</v>
      </c>
      <c r="BH43" s="39">
        <f t="shared" si="18"/>
        <v>49795908</v>
      </c>
      <c r="BI43" s="39">
        <f t="shared" si="18"/>
        <v>50343663</v>
      </c>
      <c r="BJ43" s="39">
        <f t="shared" si="18"/>
        <v>50897444</v>
      </c>
      <c r="BK43" s="39">
        <f t="shared" si="18"/>
        <v>51457316</v>
      </c>
      <c r="BL43" s="39">
        <f t="shared" si="18"/>
        <v>52023346</v>
      </c>
      <c r="BM43" s="39">
        <f t="shared" si="18"/>
        <v>52595603</v>
      </c>
      <c r="BN43" s="39">
        <f t="shared" si="18"/>
        <v>53174154</v>
      </c>
      <c r="BO43" s="39">
        <f t="shared" si="18"/>
        <v>53759070</v>
      </c>
      <c r="BP43" s="39">
        <f t="shared" si="18"/>
        <v>54350419</v>
      </c>
      <c r="BQ43" s="39">
        <f t="shared" si="18"/>
        <v>54948273</v>
      </c>
    </row>
    <row r="44" spans="2:69">
      <c r="B44" s="4"/>
      <c r="C44" s="4"/>
      <c r="D44" s="4"/>
      <c r="E44" s="1" t="s">
        <v>89</v>
      </c>
      <c r="F44" s="303"/>
      <c r="G44" s="249"/>
      <c r="H44" s="249" t="s">
        <v>166</v>
      </c>
      <c r="I44" s="249"/>
      <c r="J44" s="249"/>
      <c r="K44" s="180" t="s">
        <v>720</v>
      </c>
      <c r="L44" s="249" t="s">
        <v>166</v>
      </c>
      <c r="M44" s="1"/>
      <c r="N44" s="39">
        <f>【PL】決算数値入力!W44</f>
        <v>15362936</v>
      </c>
      <c r="O44" s="39">
        <f>【PL】決算数値入力!X44</f>
        <v>14555234</v>
      </c>
      <c r="P44" s="39">
        <f>【PL】決算数値入力!Y44</f>
        <v>16036318</v>
      </c>
      <c r="Q44" s="39">
        <f>【PL】決算数値入力!Z44</f>
        <v>33509229</v>
      </c>
      <c r="R44" s="39">
        <f>【PL】決算数値入力!AA44</f>
        <v>21652038</v>
      </c>
      <c r="S44" s="39">
        <f>【PL】決算数値入力!AB44</f>
        <v>17988350.099999998</v>
      </c>
      <c r="T44" s="39">
        <f>ROUND(S44*(1+物価上昇率!$H$9),0)</f>
        <v>18186222</v>
      </c>
      <c r="U44" s="39">
        <f>ROUND(T44*(1+物価上昇率!$H$9),0)</f>
        <v>18386270</v>
      </c>
      <c r="V44" s="39">
        <f>ROUND(U44*(1+物価上昇率!$H$9),0)</f>
        <v>18588519</v>
      </c>
      <c r="W44" s="39">
        <f>ROUND(V44*(1+物価上昇率!$H$9),0)</f>
        <v>18792993</v>
      </c>
      <c r="X44" s="39">
        <f>ROUND(W44*(1+物価上昇率!$H$9),0)</f>
        <v>18999716</v>
      </c>
      <c r="Y44" s="39">
        <f>ROUND(X44*(1+物価上昇率!$H$9),0)</f>
        <v>19208713</v>
      </c>
      <c r="Z44" s="39">
        <f>ROUND(Y44*(1+物価上昇率!$H$9),0)</f>
        <v>19420009</v>
      </c>
      <c r="AA44" s="39">
        <f>ROUND(Z44*(1+物価上昇率!$H$9),0)</f>
        <v>19633629</v>
      </c>
      <c r="AB44" s="39">
        <f>ROUND(AA44*(1+物価上昇率!$H$9),0)</f>
        <v>19849599</v>
      </c>
      <c r="AC44" s="39">
        <f>ROUND(AB44*(1+物価上昇率!$H$9),0)</f>
        <v>20067945</v>
      </c>
      <c r="AD44" s="39">
        <f>ROUND(AC44*(1+物価上昇率!$H$9),0)</f>
        <v>20288692</v>
      </c>
      <c r="AE44" s="39">
        <f>ROUND(AD44*(1+物価上昇率!$H$9),0)</f>
        <v>20511868</v>
      </c>
      <c r="AF44" s="39">
        <f>ROUND(AE44*(1+物価上昇率!$H$9),0)</f>
        <v>20737499</v>
      </c>
      <c r="AG44" s="39">
        <f>ROUND(AF44*(1+物価上昇率!$H$9),0)</f>
        <v>20965611</v>
      </c>
      <c r="AH44" s="39">
        <f>ROUND(AG44*(1+物価上昇率!$H$9),0)</f>
        <v>21196233</v>
      </c>
      <c r="AI44" s="39">
        <f>ROUND(AH44*(1+物価上昇率!$H$9),0)</f>
        <v>21429392</v>
      </c>
      <c r="AJ44" s="39">
        <f>ROUND(AI44*(1+物価上昇率!$H$9),0)</f>
        <v>21665115</v>
      </c>
      <c r="AK44" s="39">
        <f>ROUND(AJ44*(1+物価上昇率!$H$9),0)</f>
        <v>21903431</v>
      </c>
      <c r="AL44" s="39">
        <f>ROUND(AK44*(1+物価上昇率!$H$9),0)</f>
        <v>22144369</v>
      </c>
      <c r="AM44" s="39">
        <f>ROUND(AL44*(1+物価上昇率!$H$9),0)</f>
        <v>22387957</v>
      </c>
      <c r="AN44" s="39">
        <f>ROUND(AM44*(1+物価上昇率!$H$9),0)</f>
        <v>22634225</v>
      </c>
      <c r="AO44" s="39">
        <f>ROUND(AN44*(1+物価上昇率!$H$9),0)</f>
        <v>22883201</v>
      </c>
      <c r="AP44" s="39">
        <f>ROUND(AO44*(1+物価上昇率!$H$9),0)</f>
        <v>23134916</v>
      </c>
      <c r="AQ44" s="39">
        <f>ROUND(AP44*(1+物価上昇率!$H$9),0)</f>
        <v>23389400</v>
      </c>
      <c r="AR44" s="39">
        <f>ROUND(AQ44*(1+物価上昇率!$H$9),0)</f>
        <v>23646683</v>
      </c>
      <c r="AS44" s="39">
        <f>ROUND(AR44*(1+物価上昇率!$H$9),0)</f>
        <v>23906797</v>
      </c>
      <c r="AT44" s="39">
        <f>ROUND(AS44*(1+物価上昇率!$H$9),0)</f>
        <v>24169772</v>
      </c>
      <c r="AU44" s="39">
        <f>ROUND(AT44*(1+物価上昇率!$H$9),0)</f>
        <v>24435639</v>
      </c>
      <c r="AV44" s="39">
        <f>ROUND(AU44*(1+物価上昇率!$H$9),0)</f>
        <v>24704431</v>
      </c>
      <c r="AW44" s="39">
        <f>ROUND(AV44*(1+物価上昇率!$H$9),0)</f>
        <v>24976180</v>
      </c>
      <c r="AX44" s="39">
        <f>ROUND(AW44*(1+物価上昇率!$H$9),0)</f>
        <v>25250918</v>
      </c>
      <c r="AY44" s="39">
        <f>ROUND(AX44*(1+物価上昇率!$H$9),0)</f>
        <v>25528678</v>
      </c>
      <c r="AZ44" s="39">
        <f>ROUND(AY44*(1+物価上昇率!$H$9),0)</f>
        <v>25809493</v>
      </c>
      <c r="BA44" s="39">
        <f>ROUND(AZ44*(1+物価上昇率!$H$9),0)</f>
        <v>26093397</v>
      </c>
      <c r="BB44" s="39">
        <f>ROUND(BA44*(1+物価上昇率!$H$9),0)</f>
        <v>26380424</v>
      </c>
      <c r="BC44" s="39">
        <f>ROUND(BB44*(1+物価上昇率!$H$9),0)</f>
        <v>26670609</v>
      </c>
      <c r="BD44" s="39">
        <f>ROUND(BC44*(1+物価上昇率!$H$9),0)</f>
        <v>26963986</v>
      </c>
      <c r="BE44" s="39">
        <f>ROUND(BD44*(1+物価上昇率!$H$9),0)</f>
        <v>27260590</v>
      </c>
      <c r="BF44" s="39">
        <f>ROUND(BE44*(1+物価上昇率!$H$9),0)</f>
        <v>27560456</v>
      </c>
      <c r="BG44" s="39">
        <f>ROUND(BF44*(1+物価上昇率!$H$9),0)</f>
        <v>27863621</v>
      </c>
      <c r="BH44" s="39">
        <f>ROUND(BG44*(1+物価上昇率!$H$9),0)</f>
        <v>28170121</v>
      </c>
      <c r="BI44" s="39">
        <f>ROUND(BH44*(1+物価上昇率!$H$9),0)</f>
        <v>28479992</v>
      </c>
      <c r="BJ44" s="39">
        <f>ROUND(BI44*(1+物価上昇率!$H$9),0)</f>
        <v>28793272</v>
      </c>
      <c r="BK44" s="39">
        <f>ROUND(BJ44*(1+物価上昇率!$H$9),0)</f>
        <v>29109998</v>
      </c>
      <c r="BL44" s="39">
        <f>ROUND(BK44*(1+物価上昇率!$H$9),0)</f>
        <v>29430208</v>
      </c>
      <c r="BM44" s="39">
        <f>ROUND(BL44*(1+物価上昇率!$H$9),0)</f>
        <v>29753940</v>
      </c>
      <c r="BN44" s="39">
        <f>ROUND(BM44*(1+物価上昇率!$H$9),0)</f>
        <v>30081233</v>
      </c>
      <c r="BO44" s="39">
        <f>ROUND(BN44*(1+物価上昇率!$H$9),0)</f>
        <v>30412127</v>
      </c>
      <c r="BP44" s="39">
        <f>ROUND(BO44*(1+物価上昇率!$H$9),0)</f>
        <v>30746660</v>
      </c>
      <c r="BQ44" s="39">
        <f>ROUND(BP44*(1+物価上昇率!$H$9),0)</f>
        <v>31084873</v>
      </c>
    </row>
    <row r="45" spans="2:69">
      <c r="B45" s="4"/>
      <c r="C45" s="4"/>
      <c r="D45" s="4"/>
      <c r="E45" s="1" t="s">
        <v>98</v>
      </c>
      <c r="F45" s="303"/>
      <c r="G45" s="249"/>
      <c r="H45" s="249" t="s">
        <v>166</v>
      </c>
      <c r="I45" s="249"/>
      <c r="J45" s="249"/>
      <c r="K45" s="180" t="s">
        <v>720</v>
      </c>
      <c r="L45" s="249" t="s">
        <v>166</v>
      </c>
      <c r="M45" s="1"/>
      <c r="N45" s="39">
        <f>【PL】決算数値入力!W45</f>
        <v>0</v>
      </c>
      <c r="O45" s="39">
        <f>【PL】決算数値入力!X45</f>
        <v>0</v>
      </c>
      <c r="P45" s="39">
        <f>【PL】決算数値入力!Y45</f>
        <v>0</v>
      </c>
      <c r="Q45" s="39">
        <f>【PL】決算数値入力!Z45</f>
        <v>0</v>
      </c>
      <c r="R45" s="39">
        <f>【PL】決算数値入力!AA45</f>
        <v>0</v>
      </c>
      <c r="S45" s="39">
        <f>【PL】決算数値入力!AB45</f>
        <v>0</v>
      </c>
      <c r="T45" s="39">
        <f>ROUND(S45*(1+物価上昇率!$H$9),0)</f>
        <v>0</v>
      </c>
      <c r="U45" s="39">
        <f>ROUND(T45*(1+物価上昇率!$H$9),0)</f>
        <v>0</v>
      </c>
      <c r="V45" s="39">
        <f>ROUND(U45*(1+物価上昇率!$H$9),0)</f>
        <v>0</v>
      </c>
      <c r="W45" s="39">
        <f>ROUND(V45*(1+物価上昇率!$H$9),0)</f>
        <v>0</v>
      </c>
      <c r="X45" s="39">
        <f>ROUND(W45*(1+物価上昇率!$H$9),0)</f>
        <v>0</v>
      </c>
      <c r="Y45" s="39">
        <f>ROUND(X45*(1+物価上昇率!$H$9),0)</f>
        <v>0</v>
      </c>
      <c r="Z45" s="39">
        <f>ROUND(Y45*(1+物価上昇率!$H$9),0)</f>
        <v>0</v>
      </c>
      <c r="AA45" s="39">
        <f>ROUND(Z45*(1+物価上昇率!$H$9),0)</f>
        <v>0</v>
      </c>
      <c r="AB45" s="39">
        <f>ROUND(AA45*(1+物価上昇率!$H$9),0)</f>
        <v>0</v>
      </c>
      <c r="AC45" s="39">
        <f>ROUND(AB45*(1+物価上昇率!$H$9),0)</f>
        <v>0</v>
      </c>
      <c r="AD45" s="39">
        <f>ROUND(AC45*(1+物価上昇率!$H$9),0)</f>
        <v>0</v>
      </c>
      <c r="AE45" s="39">
        <f>ROUND(AD45*(1+物価上昇率!$H$9),0)</f>
        <v>0</v>
      </c>
      <c r="AF45" s="39">
        <f>ROUND(AE45*(1+物価上昇率!$H$9),0)</f>
        <v>0</v>
      </c>
      <c r="AG45" s="39">
        <f>ROUND(AF45*(1+物価上昇率!$H$9),0)</f>
        <v>0</v>
      </c>
      <c r="AH45" s="39">
        <f>ROUND(AG45*(1+物価上昇率!$H$9),0)</f>
        <v>0</v>
      </c>
      <c r="AI45" s="39">
        <f>ROUND(AH45*(1+物価上昇率!$H$9),0)</f>
        <v>0</v>
      </c>
      <c r="AJ45" s="39">
        <f>ROUND(AI45*(1+物価上昇率!$H$9),0)</f>
        <v>0</v>
      </c>
      <c r="AK45" s="39">
        <f>ROUND(AJ45*(1+物価上昇率!$H$9),0)</f>
        <v>0</v>
      </c>
      <c r="AL45" s="39">
        <f>ROUND(AK45*(1+物価上昇率!$H$9),0)</f>
        <v>0</v>
      </c>
      <c r="AM45" s="39">
        <f>ROUND(AL45*(1+物価上昇率!$H$9),0)</f>
        <v>0</v>
      </c>
      <c r="AN45" s="39">
        <f>ROUND(AM45*(1+物価上昇率!$H$9),0)</f>
        <v>0</v>
      </c>
      <c r="AO45" s="39">
        <f>ROUND(AN45*(1+物価上昇率!$H$9),0)</f>
        <v>0</v>
      </c>
      <c r="AP45" s="39">
        <f>ROUND(AO45*(1+物価上昇率!$H$9),0)</f>
        <v>0</v>
      </c>
      <c r="AQ45" s="39">
        <f>ROUND(AP45*(1+物価上昇率!$H$9),0)</f>
        <v>0</v>
      </c>
      <c r="AR45" s="39">
        <f>ROUND(AQ45*(1+物価上昇率!$H$9),0)</f>
        <v>0</v>
      </c>
      <c r="AS45" s="39">
        <f>ROUND(AR45*(1+物価上昇率!$H$9),0)</f>
        <v>0</v>
      </c>
      <c r="AT45" s="39">
        <f>ROUND(AS45*(1+物価上昇率!$H$9),0)</f>
        <v>0</v>
      </c>
      <c r="AU45" s="39">
        <f>ROUND(AT45*(1+物価上昇率!$H$9),0)</f>
        <v>0</v>
      </c>
      <c r="AV45" s="39">
        <f>ROUND(AU45*(1+物価上昇率!$H$9),0)</f>
        <v>0</v>
      </c>
      <c r="AW45" s="39">
        <f>ROUND(AV45*(1+物価上昇率!$H$9),0)</f>
        <v>0</v>
      </c>
      <c r="AX45" s="39">
        <f>ROUND(AW45*(1+物価上昇率!$H$9),0)</f>
        <v>0</v>
      </c>
      <c r="AY45" s="39">
        <f>ROUND(AX45*(1+物価上昇率!$H$9),0)</f>
        <v>0</v>
      </c>
      <c r="AZ45" s="39">
        <f>ROUND(AY45*(1+物価上昇率!$H$9),0)</f>
        <v>0</v>
      </c>
      <c r="BA45" s="39">
        <f>ROUND(AZ45*(1+物価上昇率!$H$9),0)</f>
        <v>0</v>
      </c>
      <c r="BB45" s="39">
        <f>ROUND(BA45*(1+物価上昇率!$H$9),0)</f>
        <v>0</v>
      </c>
      <c r="BC45" s="39">
        <f>ROUND(BB45*(1+物価上昇率!$H$9),0)</f>
        <v>0</v>
      </c>
      <c r="BD45" s="39">
        <f>ROUND(BC45*(1+物価上昇率!$H$9),0)</f>
        <v>0</v>
      </c>
      <c r="BE45" s="39">
        <f>ROUND(BD45*(1+物価上昇率!$H$9),0)</f>
        <v>0</v>
      </c>
      <c r="BF45" s="39">
        <f>ROUND(BE45*(1+物価上昇率!$H$9),0)</f>
        <v>0</v>
      </c>
      <c r="BG45" s="39">
        <f>ROUND(BF45*(1+物価上昇率!$H$9),0)</f>
        <v>0</v>
      </c>
      <c r="BH45" s="39">
        <f>ROUND(BG45*(1+物価上昇率!$H$9),0)</f>
        <v>0</v>
      </c>
      <c r="BI45" s="39">
        <f>ROUND(BH45*(1+物価上昇率!$H$9),0)</f>
        <v>0</v>
      </c>
      <c r="BJ45" s="39">
        <f>ROUND(BI45*(1+物価上昇率!$H$9),0)</f>
        <v>0</v>
      </c>
      <c r="BK45" s="39">
        <f>ROUND(BJ45*(1+物価上昇率!$H$9),0)</f>
        <v>0</v>
      </c>
      <c r="BL45" s="39">
        <f>ROUND(BK45*(1+物価上昇率!$H$9),0)</f>
        <v>0</v>
      </c>
      <c r="BM45" s="39">
        <f>ROUND(BL45*(1+物価上昇率!$H$9),0)</f>
        <v>0</v>
      </c>
      <c r="BN45" s="39">
        <f>ROUND(BM45*(1+物価上昇率!$H$9),0)</f>
        <v>0</v>
      </c>
      <c r="BO45" s="39">
        <f>ROUND(BN45*(1+物価上昇率!$H$9),0)</f>
        <v>0</v>
      </c>
      <c r="BP45" s="39">
        <f>ROUND(BO45*(1+物価上昇率!$H$9),0)</f>
        <v>0</v>
      </c>
      <c r="BQ45" s="39">
        <f>ROUND(BP45*(1+物価上昇率!$H$9),0)</f>
        <v>0</v>
      </c>
    </row>
    <row r="46" spans="2:69">
      <c r="B46" s="4"/>
      <c r="C46" s="4"/>
      <c r="D46" s="4"/>
      <c r="E46" s="1" t="s">
        <v>99</v>
      </c>
      <c r="F46" s="303"/>
      <c r="G46" s="249"/>
      <c r="H46" s="249" t="s">
        <v>166</v>
      </c>
      <c r="I46" s="249"/>
      <c r="J46" s="249"/>
      <c r="K46" s="1" t="s">
        <v>163</v>
      </c>
      <c r="L46" s="1"/>
      <c r="M46" s="1"/>
      <c r="N46" s="85">
        <f>【PL】決算数値入力!W46</f>
        <v>0</v>
      </c>
      <c r="O46" s="85">
        <f>【PL】決算数値入力!X46</f>
        <v>0</v>
      </c>
      <c r="P46" s="85">
        <f>【PL】決算数値入力!Y46</f>
        <v>0</v>
      </c>
      <c r="Q46" s="85">
        <f>【PL】決算数値入力!Z46</f>
        <v>0</v>
      </c>
      <c r="R46" s="85">
        <f>【PL】決算数値入力!AA46</f>
        <v>0</v>
      </c>
      <c r="S46" s="85">
        <f>【PL】決算数値入力!AB46</f>
        <v>0</v>
      </c>
      <c r="T46" s="85">
        <v>0</v>
      </c>
      <c r="U46" s="85">
        <v>0</v>
      </c>
      <c r="V46" s="85">
        <v>0</v>
      </c>
      <c r="W46" s="85">
        <v>0</v>
      </c>
      <c r="X46" s="85">
        <v>0</v>
      </c>
      <c r="Y46" s="85">
        <v>0</v>
      </c>
      <c r="Z46" s="85">
        <v>0</v>
      </c>
      <c r="AA46" s="85">
        <v>0</v>
      </c>
      <c r="AB46" s="85">
        <v>0</v>
      </c>
      <c r="AC46" s="85">
        <v>0</v>
      </c>
      <c r="AD46" s="85">
        <v>0</v>
      </c>
      <c r="AE46" s="85">
        <v>0</v>
      </c>
      <c r="AF46" s="85">
        <v>0</v>
      </c>
      <c r="AG46" s="85">
        <v>0</v>
      </c>
      <c r="AH46" s="85">
        <v>0</v>
      </c>
      <c r="AI46" s="85">
        <v>0</v>
      </c>
      <c r="AJ46" s="85">
        <v>0</v>
      </c>
      <c r="AK46" s="85">
        <v>0</v>
      </c>
      <c r="AL46" s="85">
        <v>0</v>
      </c>
      <c r="AM46" s="85">
        <v>0</v>
      </c>
      <c r="AN46" s="85">
        <v>0</v>
      </c>
      <c r="AO46" s="85">
        <v>0</v>
      </c>
      <c r="AP46" s="85">
        <v>0</v>
      </c>
      <c r="AQ46" s="85">
        <v>0</v>
      </c>
      <c r="AR46" s="85">
        <v>0</v>
      </c>
      <c r="AS46" s="85">
        <v>0</v>
      </c>
      <c r="AT46" s="85">
        <v>0</v>
      </c>
      <c r="AU46" s="85">
        <v>0</v>
      </c>
      <c r="AV46" s="85">
        <v>0</v>
      </c>
      <c r="AW46" s="85">
        <v>0</v>
      </c>
      <c r="AX46" s="85">
        <v>0</v>
      </c>
      <c r="AY46" s="85">
        <v>0</v>
      </c>
      <c r="AZ46" s="85">
        <v>0</v>
      </c>
      <c r="BA46" s="85">
        <v>0</v>
      </c>
      <c r="BB46" s="85">
        <v>0</v>
      </c>
      <c r="BC46" s="85">
        <v>0</v>
      </c>
      <c r="BD46" s="85">
        <v>0</v>
      </c>
      <c r="BE46" s="85">
        <v>0</v>
      </c>
      <c r="BF46" s="85">
        <v>0</v>
      </c>
      <c r="BG46" s="85">
        <v>0</v>
      </c>
      <c r="BH46" s="85">
        <v>0</v>
      </c>
      <c r="BI46" s="85">
        <v>0</v>
      </c>
      <c r="BJ46" s="85">
        <v>0</v>
      </c>
      <c r="BK46" s="85">
        <v>0</v>
      </c>
      <c r="BL46" s="85">
        <v>0</v>
      </c>
      <c r="BM46" s="85">
        <v>0</v>
      </c>
      <c r="BN46" s="85">
        <v>0</v>
      </c>
      <c r="BO46" s="85">
        <v>0</v>
      </c>
      <c r="BP46" s="85">
        <v>0</v>
      </c>
      <c r="BQ46" s="85">
        <v>0</v>
      </c>
    </row>
    <row r="47" spans="2:69">
      <c r="B47" s="4"/>
      <c r="C47" s="4"/>
      <c r="D47" s="4"/>
      <c r="E47" s="1" t="s">
        <v>100</v>
      </c>
      <c r="F47" s="303"/>
      <c r="G47" s="249"/>
      <c r="H47" s="249" t="s">
        <v>166</v>
      </c>
      <c r="I47" s="249"/>
      <c r="J47" s="249"/>
      <c r="K47" s="1" t="s">
        <v>163</v>
      </c>
      <c r="L47" s="249" t="s">
        <v>166</v>
      </c>
      <c r="M47" s="1"/>
      <c r="N47" s="85">
        <f>【PL】決算数値入力!W47</f>
        <v>0</v>
      </c>
      <c r="O47" s="85">
        <f>【PL】決算数値入力!X47</f>
        <v>0</v>
      </c>
      <c r="P47" s="85">
        <f>【PL】決算数値入力!Y47</f>
        <v>0</v>
      </c>
      <c r="Q47" s="85">
        <f>【PL】決算数値入力!Z47</f>
        <v>0</v>
      </c>
      <c r="R47" s="85">
        <f>【PL】決算数値入力!AA47</f>
        <v>0</v>
      </c>
      <c r="S47" s="85">
        <f>【PL】決算数値入力!AB47</f>
        <v>0</v>
      </c>
      <c r="T47" s="85">
        <v>0</v>
      </c>
      <c r="U47" s="85">
        <v>0</v>
      </c>
      <c r="V47" s="85">
        <v>0</v>
      </c>
      <c r="W47" s="85">
        <v>0</v>
      </c>
      <c r="X47" s="85">
        <v>0</v>
      </c>
      <c r="Y47" s="85">
        <v>0</v>
      </c>
      <c r="Z47" s="85">
        <v>0</v>
      </c>
      <c r="AA47" s="85">
        <v>0</v>
      </c>
      <c r="AB47" s="85">
        <v>0</v>
      </c>
      <c r="AC47" s="85">
        <v>0</v>
      </c>
      <c r="AD47" s="85">
        <v>0</v>
      </c>
      <c r="AE47" s="85">
        <v>0</v>
      </c>
      <c r="AF47" s="85">
        <v>0</v>
      </c>
      <c r="AG47" s="85">
        <v>0</v>
      </c>
      <c r="AH47" s="85">
        <v>0</v>
      </c>
      <c r="AI47" s="85">
        <v>0</v>
      </c>
      <c r="AJ47" s="85">
        <v>0</v>
      </c>
      <c r="AK47" s="85">
        <v>0</v>
      </c>
      <c r="AL47" s="85">
        <v>0</v>
      </c>
      <c r="AM47" s="85">
        <v>0</v>
      </c>
      <c r="AN47" s="85">
        <v>0</v>
      </c>
      <c r="AO47" s="85">
        <v>0</v>
      </c>
      <c r="AP47" s="85">
        <v>0</v>
      </c>
      <c r="AQ47" s="85">
        <v>0</v>
      </c>
      <c r="AR47" s="85">
        <v>0</v>
      </c>
      <c r="AS47" s="85">
        <v>0</v>
      </c>
      <c r="AT47" s="85">
        <v>0</v>
      </c>
      <c r="AU47" s="85">
        <v>0</v>
      </c>
      <c r="AV47" s="85">
        <v>0</v>
      </c>
      <c r="AW47" s="85">
        <v>0</v>
      </c>
      <c r="AX47" s="85">
        <v>0</v>
      </c>
      <c r="AY47" s="85">
        <v>0</v>
      </c>
      <c r="AZ47" s="85">
        <v>0</v>
      </c>
      <c r="BA47" s="85">
        <v>0</v>
      </c>
      <c r="BB47" s="85">
        <v>0</v>
      </c>
      <c r="BC47" s="85">
        <v>0</v>
      </c>
      <c r="BD47" s="85">
        <v>0</v>
      </c>
      <c r="BE47" s="85">
        <v>0</v>
      </c>
      <c r="BF47" s="85">
        <v>0</v>
      </c>
      <c r="BG47" s="85">
        <v>0</v>
      </c>
      <c r="BH47" s="85">
        <v>0</v>
      </c>
      <c r="BI47" s="85">
        <v>0</v>
      </c>
      <c r="BJ47" s="85">
        <v>0</v>
      </c>
      <c r="BK47" s="85">
        <v>0</v>
      </c>
      <c r="BL47" s="85">
        <v>0</v>
      </c>
      <c r="BM47" s="85">
        <v>0</v>
      </c>
      <c r="BN47" s="85">
        <v>0</v>
      </c>
      <c r="BO47" s="85">
        <v>0</v>
      </c>
      <c r="BP47" s="85">
        <v>0</v>
      </c>
      <c r="BQ47" s="85">
        <v>0</v>
      </c>
    </row>
    <row r="48" spans="2:69">
      <c r="B48" s="4"/>
      <c r="C48" s="4"/>
      <c r="D48" s="4"/>
      <c r="E48" s="1" t="s">
        <v>91</v>
      </c>
      <c r="F48" s="303"/>
      <c r="G48" s="249"/>
      <c r="H48" s="249" t="s">
        <v>166</v>
      </c>
      <c r="I48" s="249"/>
      <c r="J48" s="249"/>
      <c r="K48" s="180" t="s">
        <v>720</v>
      </c>
      <c r="L48" s="249" t="s">
        <v>166</v>
      </c>
      <c r="M48" s="1"/>
      <c r="N48" s="39">
        <f>【PL】決算数値入力!W48</f>
        <v>44050</v>
      </c>
      <c r="O48" s="39">
        <f>【PL】決算数値入力!X48</f>
        <v>0</v>
      </c>
      <c r="P48" s="39">
        <f>【PL】決算数値入力!Y48</f>
        <v>41350</v>
      </c>
      <c r="Q48" s="39">
        <f>【PL】決算数値入力!Z48</f>
        <v>0</v>
      </c>
      <c r="R48" s="39">
        <f>【PL】決算数値入力!AA48</f>
        <v>49820</v>
      </c>
      <c r="S48" s="39">
        <f>【PL】決算数値入力!AB48</f>
        <v>44962</v>
      </c>
      <c r="T48" s="39">
        <f>ROUND(S48*(1+物価上昇率!$H$9),0)</f>
        <v>45457</v>
      </c>
      <c r="U48" s="39">
        <f>ROUND(T48*(1+物価上昇率!$H$9),0)</f>
        <v>45957</v>
      </c>
      <c r="V48" s="39">
        <f>ROUND(U48*(1+物価上昇率!$H$9),0)</f>
        <v>46463</v>
      </c>
      <c r="W48" s="39">
        <f>ROUND(V48*(1+物価上昇率!$H$9),0)</f>
        <v>46974</v>
      </c>
      <c r="X48" s="39">
        <f>ROUND(W48*(1+物価上昇率!$H$9),0)</f>
        <v>47491</v>
      </c>
      <c r="Y48" s="39">
        <f>ROUND(X48*(1+物価上昇率!$H$9),0)</f>
        <v>48013</v>
      </c>
      <c r="Z48" s="39">
        <f>ROUND(Y48*(1+物価上昇率!$H$9),0)</f>
        <v>48541</v>
      </c>
      <c r="AA48" s="39">
        <f>ROUND(Z48*(1+物価上昇率!$H$9),0)</f>
        <v>49075</v>
      </c>
      <c r="AB48" s="39">
        <f>ROUND(AA48*(1+物価上昇率!$H$9),0)</f>
        <v>49615</v>
      </c>
      <c r="AC48" s="39">
        <f>ROUND(AB48*(1+物価上昇率!$H$9),0)</f>
        <v>50161</v>
      </c>
      <c r="AD48" s="39">
        <f>ROUND(AC48*(1+物価上昇率!$H$9),0)</f>
        <v>50713</v>
      </c>
      <c r="AE48" s="39">
        <f>ROUND(AD48*(1+物価上昇率!$H$9),0)</f>
        <v>51271</v>
      </c>
      <c r="AF48" s="39">
        <f>ROUND(AE48*(1+物価上昇率!$H$9),0)</f>
        <v>51835</v>
      </c>
      <c r="AG48" s="39">
        <f>ROUND(AF48*(1+物価上昇率!$H$9),0)</f>
        <v>52405</v>
      </c>
      <c r="AH48" s="39">
        <f>ROUND(AG48*(1+物価上昇率!$H$9),0)</f>
        <v>52981</v>
      </c>
      <c r="AI48" s="39">
        <f>ROUND(AH48*(1+物価上昇率!$H$9),0)</f>
        <v>53564</v>
      </c>
      <c r="AJ48" s="39">
        <f>ROUND(AI48*(1+物価上昇率!$H$9),0)</f>
        <v>54153</v>
      </c>
      <c r="AK48" s="39">
        <f>ROUND(AJ48*(1+物価上昇率!$H$9),0)</f>
        <v>54749</v>
      </c>
      <c r="AL48" s="39">
        <f>ROUND(AK48*(1+物価上昇率!$H$9),0)</f>
        <v>55351</v>
      </c>
      <c r="AM48" s="39">
        <f>ROUND(AL48*(1+物価上昇率!$H$9),0)</f>
        <v>55960</v>
      </c>
      <c r="AN48" s="39">
        <f>ROUND(AM48*(1+物価上昇率!$H$9),0)</f>
        <v>56576</v>
      </c>
      <c r="AO48" s="39">
        <f>ROUND(AN48*(1+物価上昇率!$H$9),0)</f>
        <v>57198</v>
      </c>
      <c r="AP48" s="39">
        <f>ROUND(AO48*(1+物価上昇率!$H$9),0)</f>
        <v>57827</v>
      </c>
      <c r="AQ48" s="39">
        <f>ROUND(AP48*(1+物価上昇率!$H$9),0)</f>
        <v>58463</v>
      </c>
      <c r="AR48" s="39">
        <f>ROUND(AQ48*(1+物価上昇率!$H$9),0)</f>
        <v>59106</v>
      </c>
      <c r="AS48" s="39">
        <f>ROUND(AR48*(1+物価上昇率!$H$9),0)</f>
        <v>59756</v>
      </c>
      <c r="AT48" s="39">
        <f>ROUND(AS48*(1+物価上昇率!$H$9),0)</f>
        <v>60413</v>
      </c>
      <c r="AU48" s="39">
        <f>ROUND(AT48*(1+物価上昇率!$H$9),0)</f>
        <v>61078</v>
      </c>
      <c r="AV48" s="39">
        <f>ROUND(AU48*(1+物価上昇率!$H$9),0)</f>
        <v>61750</v>
      </c>
      <c r="AW48" s="39">
        <f>ROUND(AV48*(1+物価上昇率!$H$9),0)</f>
        <v>62429</v>
      </c>
      <c r="AX48" s="39">
        <f>ROUND(AW48*(1+物価上昇率!$H$9),0)</f>
        <v>63116</v>
      </c>
      <c r="AY48" s="39">
        <f>ROUND(AX48*(1+物価上昇率!$H$9),0)</f>
        <v>63810</v>
      </c>
      <c r="AZ48" s="39">
        <f>ROUND(AY48*(1+物価上昇率!$H$9),0)</f>
        <v>64512</v>
      </c>
      <c r="BA48" s="39">
        <f>ROUND(AZ48*(1+物価上昇率!$H$9),0)</f>
        <v>65222</v>
      </c>
      <c r="BB48" s="39">
        <f>ROUND(BA48*(1+物価上昇率!$H$9),0)</f>
        <v>65939</v>
      </c>
      <c r="BC48" s="39">
        <f>ROUND(BB48*(1+物価上昇率!$H$9),0)</f>
        <v>66664</v>
      </c>
      <c r="BD48" s="39">
        <f>ROUND(BC48*(1+物価上昇率!$H$9),0)</f>
        <v>67397</v>
      </c>
      <c r="BE48" s="39">
        <f>ROUND(BD48*(1+物価上昇率!$H$9),0)</f>
        <v>68138</v>
      </c>
      <c r="BF48" s="39">
        <f>ROUND(BE48*(1+物価上昇率!$H$9),0)</f>
        <v>68888</v>
      </c>
      <c r="BG48" s="39">
        <f>ROUND(BF48*(1+物価上昇率!$H$9),0)</f>
        <v>69646</v>
      </c>
      <c r="BH48" s="39">
        <f>ROUND(BG48*(1+物価上昇率!$H$9),0)</f>
        <v>70412</v>
      </c>
      <c r="BI48" s="39">
        <f>ROUND(BH48*(1+物価上昇率!$H$9),0)</f>
        <v>71187</v>
      </c>
      <c r="BJ48" s="39">
        <f>ROUND(BI48*(1+物価上昇率!$H$9),0)</f>
        <v>71970</v>
      </c>
      <c r="BK48" s="39">
        <f>ROUND(BJ48*(1+物価上昇率!$H$9),0)</f>
        <v>72762</v>
      </c>
      <c r="BL48" s="39">
        <f>ROUND(BK48*(1+物価上昇率!$H$9),0)</f>
        <v>73562</v>
      </c>
      <c r="BM48" s="39">
        <f>ROUND(BL48*(1+物価上昇率!$H$9),0)</f>
        <v>74371</v>
      </c>
      <c r="BN48" s="39">
        <f>ROUND(BM48*(1+物価上昇率!$H$9),0)</f>
        <v>75189</v>
      </c>
      <c r="BO48" s="39">
        <f>ROUND(BN48*(1+物価上昇率!$H$9),0)</f>
        <v>76016</v>
      </c>
      <c r="BP48" s="39">
        <f>ROUND(BO48*(1+物価上昇率!$H$9),0)</f>
        <v>76852</v>
      </c>
      <c r="BQ48" s="39">
        <f>ROUND(BP48*(1+物価上昇率!$H$9),0)</f>
        <v>77697</v>
      </c>
    </row>
    <row r="49" spans="2:69">
      <c r="B49" s="4"/>
      <c r="C49" s="4"/>
      <c r="D49" s="4"/>
      <c r="E49" s="1" t="s">
        <v>92</v>
      </c>
      <c r="F49" s="303"/>
      <c r="G49" s="249"/>
      <c r="H49" s="249" t="s">
        <v>166</v>
      </c>
      <c r="I49" s="249"/>
      <c r="J49" s="249"/>
      <c r="K49" s="180" t="s">
        <v>720</v>
      </c>
      <c r="L49" s="249" t="s">
        <v>166</v>
      </c>
      <c r="M49" s="1"/>
      <c r="N49" s="39">
        <f>【PL】決算数値入力!W49</f>
        <v>3738298</v>
      </c>
      <c r="O49" s="39">
        <f>【PL】決算数値入力!X49</f>
        <v>17166788</v>
      </c>
      <c r="P49" s="39">
        <f>【PL】決算数値入力!Y49</f>
        <v>9892260</v>
      </c>
      <c r="Q49" s="39">
        <f>【PL】決算数値入力!Z49</f>
        <v>14519671</v>
      </c>
      <c r="R49" s="39">
        <f>【PL】決算数値入力!AA49</f>
        <v>9915945</v>
      </c>
      <c r="S49" s="39">
        <f>【PL】決算数値入力!AB49</f>
        <v>7403703.5</v>
      </c>
      <c r="T49" s="39">
        <f>ROUND(S49*(1+物価上昇率!$H$9),0)</f>
        <v>7485144</v>
      </c>
      <c r="U49" s="39">
        <f>ROUND(T49*(1+物価上昇率!$H$9),0)</f>
        <v>7567481</v>
      </c>
      <c r="V49" s="39">
        <f>ROUND(U49*(1+物価上昇率!$H$9),0)</f>
        <v>7650723</v>
      </c>
      <c r="W49" s="39">
        <f>ROUND(V49*(1+物価上昇率!$H$9),0)</f>
        <v>7734881</v>
      </c>
      <c r="X49" s="39">
        <f>ROUND(W49*(1+物価上昇率!$H$9),0)</f>
        <v>7819965</v>
      </c>
      <c r="Y49" s="39">
        <f>ROUND(X49*(1+物価上昇率!$H$9),0)</f>
        <v>7905985</v>
      </c>
      <c r="Z49" s="39">
        <f>ROUND(Y49*(1+物価上昇率!$H$9),0)</f>
        <v>7992951</v>
      </c>
      <c r="AA49" s="39">
        <f>ROUND(Z49*(1+物価上昇率!$H$9),0)</f>
        <v>8080873</v>
      </c>
      <c r="AB49" s="39">
        <f>ROUND(AA49*(1+物価上昇率!$H$9),0)</f>
        <v>8169763</v>
      </c>
      <c r="AC49" s="39">
        <f>ROUND(AB49*(1+物価上昇率!$H$9),0)</f>
        <v>8259630</v>
      </c>
      <c r="AD49" s="39">
        <f>ROUND(AC49*(1+物価上昇率!$H$9),0)</f>
        <v>8350486</v>
      </c>
      <c r="AE49" s="39">
        <f>ROUND(AD49*(1+物価上昇率!$H$9),0)</f>
        <v>8442341</v>
      </c>
      <c r="AF49" s="39">
        <f>ROUND(AE49*(1+物価上昇率!$H$9),0)</f>
        <v>8535207</v>
      </c>
      <c r="AG49" s="39">
        <f>ROUND(AF49*(1+物価上昇率!$H$9),0)</f>
        <v>8629094</v>
      </c>
      <c r="AH49" s="39">
        <f>ROUND(AG49*(1+物価上昇率!$H$9),0)</f>
        <v>8724014</v>
      </c>
      <c r="AI49" s="39">
        <f>ROUND(AH49*(1+物価上昇率!$H$9),0)</f>
        <v>8819978</v>
      </c>
      <c r="AJ49" s="39">
        <f>ROUND(AI49*(1+物価上昇率!$H$9),0)</f>
        <v>8916998</v>
      </c>
      <c r="AK49" s="39">
        <f>ROUND(AJ49*(1+物価上昇率!$H$9),0)</f>
        <v>9015085</v>
      </c>
      <c r="AL49" s="39">
        <f>ROUND(AK49*(1+物価上昇率!$H$9),0)</f>
        <v>9114251</v>
      </c>
      <c r="AM49" s="39">
        <f>ROUND(AL49*(1+物価上昇率!$H$9),0)</f>
        <v>9214508</v>
      </c>
      <c r="AN49" s="39">
        <f>ROUND(AM49*(1+物価上昇率!$H$9),0)</f>
        <v>9315868</v>
      </c>
      <c r="AO49" s="39">
        <f>ROUND(AN49*(1+物価上昇率!$H$9),0)</f>
        <v>9418343</v>
      </c>
      <c r="AP49" s="39">
        <f>ROUND(AO49*(1+物価上昇率!$H$9),0)</f>
        <v>9521945</v>
      </c>
      <c r="AQ49" s="39">
        <f>ROUND(AP49*(1+物価上昇率!$H$9),0)</f>
        <v>9626686</v>
      </c>
      <c r="AR49" s="39">
        <f>ROUND(AQ49*(1+物価上昇率!$H$9),0)</f>
        <v>9732580</v>
      </c>
      <c r="AS49" s="39">
        <f>ROUND(AR49*(1+物価上昇率!$H$9),0)</f>
        <v>9839638</v>
      </c>
      <c r="AT49" s="39">
        <f>ROUND(AS49*(1+物価上昇率!$H$9),0)</f>
        <v>9947874</v>
      </c>
      <c r="AU49" s="39">
        <f>ROUND(AT49*(1+物価上昇率!$H$9),0)</f>
        <v>10057301</v>
      </c>
      <c r="AV49" s="39">
        <f>ROUND(AU49*(1+物価上昇率!$H$9),0)</f>
        <v>10167931</v>
      </c>
      <c r="AW49" s="39">
        <f>ROUND(AV49*(1+物価上昇率!$H$9),0)</f>
        <v>10279778</v>
      </c>
      <c r="AX49" s="39">
        <f>ROUND(AW49*(1+物価上昇率!$H$9),0)</f>
        <v>10392856</v>
      </c>
      <c r="AY49" s="39">
        <f>ROUND(AX49*(1+物価上昇率!$H$9),0)</f>
        <v>10507177</v>
      </c>
      <c r="AZ49" s="39">
        <f>ROUND(AY49*(1+物価上昇率!$H$9),0)</f>
        <v>10622756</v>
      </c>
      <c r="BA49" s="39">
        <f>ROUND(AZ49*(1+物価上昇率!$H$9),0)</f>
        <v>10739606</v>
      </c>
      <c r="BB49" s="39">
        <f>ROUND(BA49*(1+物価上昇率!$H$9),0)</f>
        <v>10857742</v>
      </c>
      <c r="BC49" s="39">
        <f>ROUND(BB49*(1+物価上昇率!$H$9),0)</f>
        <v>10977177</v>
      </c>
      <c r="BD49" s="39">
        <f>ROUND(BC49*(1+物価上昇率!$H$9),0)</f>
        <v>11097926</v>
      </c>
      <c r="BE49" s="39">
        <f>ROUND(BD49*(1+物価上昇率!$H$9),0)</f>
        <v>11220003</v>
      </c>
      <c r="BF49" s="39">
        <f>ROUND(BE49*(1+物価上昇率!$H$9),0)</f>
        <v>11343423</v>
      </c>
      <c r="BG49" s="39">
        <f>ROUND(BF49*(1+物価上昇率!$H$9),0)</f>
        <v>11468201</v>
      </c>
      <c r="BH49" s="39">
        <f>ROUND(BG49*(1+物価上昇率!$H$9),0)</f>
        <v>11594351</v>
      </c>
      <c r="BI49" s="39">
        <f>ROUND(BH49*(1+物価上昇率!$H$9),0)</f>
        <v>11721889</v>
      </c>
      <c r="BJ49" s="39">
        <f>ROUND(BI49*(1+物価上昇率!$H$9),0)</f>
        <v>11850830</v>
      </c>
      <c r="BK49" s="39">
        <f>ROUND(BJ49*(1+物価上昇率!$H$9),0)</f>
        <v>11981189</v>
      </c>
      <c r="BL49" s="39">
        <f>ROUND(BK49*(1+物価上昇率!$H$9),0)</f>
        <v>12112982</v>
      </c>
      <c r="BM49" s="39">
        <f>ROUND(BL49*(1+物価上昇率!$H$9),0)</f>
        <v>12246225</v>
      </c>
      <c r="BN49" s="39">
        <f>ROUND(BM49*(1+物価上昇率!$H$9),0)</f>
        <v>12380933</v>
      </c>
      <c r="BO49" s="39">
        <f>ROUND(BN49*(1+物価上昇率!$H$9),0)</f>
        <v>12517123</v>
      </c>
      <c r="BP49" s="39">
        <f>ROUND(BO49*(1+物価上昇率!$H$9),0)</f>
        <v>12654811</v>
      </c>
      <c r="BQ49" s="39">
        <f>ROUND(BP49*(1+物価上昇率!$H$9),0)</f>
        <v>12794014</v>
      </c>
    </row>
    <row r="50" spans="2:69">
      <c r="B50" s="4"/>
      <c r="C50" s="4"/>
      <c r="D50" s="4"/>
      <c r="E50" s="1" t="s">
        <v>93</v>
      </c>
      <c r="F50" s="303"/>
      <c r="G50" s="249"/>
      <c r="H50" s="249" t="s">
        <v>166</v>
      </c>
      <c r="I50" s="249"/>
      <c r="J50" s="249"/>
      <c r="K50" s="180" t="s">
        <v>720</v>
      </c>
      <c r="L50" s="249" t="s">
        <v>166</v>
      </c>
      <c r="M50" s="1"/>
      <c r="N50" s="39">
        <f>【PL】決算数値入力!W50</f>
        <v>8923711</v>
      </c>
      <c r="O50" s="39">
        <f>【PL】決算数値入力!X50</f>
        <v>7180869</v>
      </c>
      <c r="P50" s="39">
        <f>【PL】決算数値入力!Y50</f>
        <v>8663871</v>
      </c>
      <c r="Q50" s="39">
        <f>【PL】決算数値入力!Z50</f>
        <v>8209592</v>
      </c>
      <c r="R50" s="39">
        <f>【PL】決算数値入力!AA50</f>
        <v>7754894</v>
      </c>
      <c r="S50" s="39">
        <f>【PL】決算数値入力!AB50</f>
        <v>6360723.2000000002</v>
      </c>
      <c r="T50" s="39">
        <f>ROUND(S50*(1+物価上昇率!$H$9),0)</f>
        <v>6430691</v>
      </c>
      <c r="U50" s="39">
        <f>ROUND(T50*(1+物価上昇率!$H$9),0)</f>
        <v>6501429</v>
      </c>
      <c r="V50" s="39">
        <f>ROUND(U50*(1+物価上昇率!$H$9),0)</f>
        <v>6572945</v>
      </c>
      <c r="W50" s="39">
        <f>ROUND(V50*(1+物価上昇率!$H$9),0)</f>
        <v>6645247</v>
      </c>
      <c r="X50" s="39">
        <f>ROUND(W50*(1+物価上昇率!$H$9),0)</f>
        <v>6718345</v>
      </c>
      <c r="Y50" s="39">
        <f>ROUND(X50*(1+物価上昇率!$H$9),0)</f>
        <v>6792247</v>
      </c>
      <c r="Z50" s="39">
        <f>ROUND(Y50*(1+物価上昇率!$H$9),0)</f>
        <v>6866962</v>
      </c>
      <c r="AA50" s="39">
        <f>ROUND(Z50*(1+物価上昇率!$H$9),0)</f>
        <v>6942499</v>
      </c>
      <c r="AB50" s="39">
        <f>ROUND(AA50*(1+物価上昇率!$H$9),0)</f>
        <v>7018866</v>
      </c>
      <c r="AC50" s="39">
        <f>ROUND(AB50*(1+物価上昇率!$H$9),0)</f>
        <v>7096074</v>
      </c>
      <c r="AD50" s="39">
        <f>ROUND(AC50*(1+物価上昇率!$H$9),0)</f>
        <v>7174131</v>
      </c>
      <c r="AE50" s="39">
        <f>ROUND(AD50*(1+物価上昇率!$H$9),0)</f>
        <v>7253046</v>
      </c>
      <c r="AF50" s="39">
        <f>ROUND(AE50*(1+物価上昇率!$H$9),0)</f>
        <v>7332830</v>
      </c>
      <c r="AG50" s="39">
        <f>ROUND(AF50*(1+物価上昇率!$H$9),0)</f>
        <v>7413491</v>
      </c>
      <c r="AH50" s="39">
        <f>ROUND(AG50*(1+物価上昇率!$H$9),0)</f>
        <v>7495039</v>
      </c>
      <c r="AI50" s="39">
        <f>ROUND(AH50*(1+物価上昇率!$H$9),0)</f>
        <v>7577484</v>
      </c>
      <c r="AJ50" s="39">
        <f>ROUND(AI50*(1+物価上昇率!$H$9),0)</f>
        <v>7660836</v>
      </c>
      <c r="AK50" s="39">
        <f>ROUND(AJ50*(1+物価上昇率!$H$9),0)</f>
        <v>7745105</v>
      </c>
      <c r="AL50" s="39">
        <f>ROUND(AK50*(1+物価上昇率!$H$9),0)</f>
        <v>7830301</v>
      </c>
      <c r="AM50" s="39">
        <f>ROUND(AL50*(1+物価上昇率!$H$9),0)</f>
        <v>7916434</v>
      </c>
      <c r="AN50" s="39">
        <f>ROUND(AM50*(1+物価上昇率!$H$9),0)</f>
        <v>8003515</v>
      </c>
      <c r="AO50" s="39">
        <f>ROUND(AN50*(1+物価上昇率!$H$9),0)</f>
        <v>8091554</v>
      </c>
      <c r="AP50" s="39">
        <f>ROUND(AO50*(1+物価上昇率!$H$9),0)</f>
        <v>8180561</v>
      </c>
      <c r="AQ50" s="39">
        <f>ROUND(AP50*(1+物価上昇率!$H$9),0)</f>
        <v>8270547</v>
      </c>
      <c r="AR50" s="39">
        <f>ROUND(AQ50*(1+物価上昇率!$H$9),0)</f>
        <v>8361523</v>
      </c>
      <c r="AS50" s="39">
        <f>ROUND(AR50*(1+物価上昇率!$H$9),0)</f>
        <v>8453500</v>
      </c>
      <c r="AT50" s="39">
        <f>ROUND(AS50*(1+物価上昇率!$H$9),0)</f>
        <v>8546489</v>
      </c>
      <c r="AU50" s="39">
        <f>ROUND(AT50*(1+物価上昇率!$H$9),0)</f>
        <v>8640500</v>
      </c>
      <c r="AV50" s="39">
        <f>ROUND(AU50*(1+物価上昇率!$H$9),0)</f>
        <v>8735546</v>
      </c>
      <c r="AW50" s="39">
        <f>ROUND(AV50*(1+物価上昇率!$H$9),0)</f>
        <v>8831637</v>
      </c>
      <c r="AX50" s="39">
        <f>ROUND(AW50*(1+物価上昇率!$H$9),0)</f>
        <v>8928785</v>
      </c>
      <c r="AY50" s="39">
        <f>ROUND(AX50*(1+物価上昇率!$H$9),0)</f>
        <v>9027002</v>
      </c>
      <c r="AZ50" s="39">
        <f>ROUND(AY50*(1+物価上昇率!$H$9),0)</f>
        <v>9126299</v>
      </c>
      <c r="BA50" s="39">
        <f>ROUND(AZ50*(1+物価上昇率!$H$9),0)</f>
        <v>9226688</v>
      </c>
      <c r="BB50" s="39">
        <f>ROUND(BA50*(1+物価上昇率!$H$9),0)</f>
        <v>9328182</v>
      </c>
      <c r="BC50" s="39">
        <f>ROUND(BB50*(1+物価上昇率!$H$9),0)</f>
        <v>9430792</v>
      </c>
      <c r="BD50" s="39">
        <f>ROUND(BC50*(1+物価上昇率!$H$9),0)</f>
        <v>9534531</v>
      </c>
      <c r="BE50" s="39">
        <f>ROUND(BD50*(1+物価上昇率!$H$9),0)</f>
        <v>9639411</v>
      </c>
      <c r="BF50" s="39">
        <f>ROUND(BE50*(1+物価上昇率!$H$9),0)</f>
        <v>9745445</v>
      </c>
      <c r="BG50" s="39">
        <f>ROUND(BF50*(1+物価上昇率!$H$9),0)</f>
        <v>9852645</v>
      </c>
      <c r="BH50" s="39">
        <f>ROUND(BG50*(1+物価上昇率!$H$9),0)</f>
        <v>9961024</v>
      </c>
      <c r="BI50" s="39">
        <f>ROUND(BH50*(1+物価上昇率!$H$9),0)</f>
        <v>10070595</v>
      </c>
      <c r="BJ50" s="39">
        <f>ROUND(BI50*(1+物価上昇率!$H$9),0)</f>
        <v>10181372</v>
      </c>
      <c r="BK50" s="39">
        <f>ROUND(BJ50*(1+物価上昇率!$H$9),0)</f>
        <v>10293367</v>
      </c>
      <c r="BL50" s="39">
        <f>ROUND(BK50*(1+物価上昇率!$H$9),0)</f>
        <v>10406594</v>
      </c>
      <c r="BM50" s="39">
        <f>ROUND(BL50*(1+物価上昇率!$H$9),0)</f>
        <v>10521067</v>
      </c>
      <c r="BN50" s="39">
        <f>ROUND(BM50*(1+物価上昇率!$H$9),0)</f>
        <v>10636799</v>
      </c>
      <c r="BO50" s="39">
        <f>ROUND(BN50*(1+物価上昇率!$H$9),0)</f>
        <v>10753804</v>
      </c>
      <c r="BP50" s="39">
        <f>ROUND(BO50*(1+物価上昇率!$H$9),0)</f>
        <v>10872096</v>
      </c>
      <c r="BQ50" s="39">
        <f>ROUND(BP50*(1+物価上昇率!$H$9),0)</f>
        <v>10991689</v>
      </c>
    </row>
    <row r="51" spans="2:69">
      <c r="B51" s="4"/>
      <c r="C51" s="4"/>
      <c r="D51" s="3"/>
      <c r="E51" s="1" t="s">
        <v>94</v>
      </c>
      <c r="F51" s="304"/>
      <c r="G51" s="249"/>
      <c r="H51" s="249" t="s">
        <v>166</v>
      </c>
      <c r="I51" s="249"/>
      <c r="J51" s="249"/>
      <c r="K51" s="180" t="s">
        <v>720</v>
      </c>
      <c r="L51" s="1"/>
      <c r="M51" s="1"/>
      <c r="N51" s="39">
        <f>【PL】決算数値入力!W51</f>
        <v>0</v>
      </c>
      <c r="O51" s="39">
        <f>【PL】決算数値入力!X51</f>
        <v>0</v>
      </c>
      <c r="P51" s="39">
        <f>【PL】決算数値入力!Y51</f>
        <v>0</v>
      </c>
      <c r="Q51" s="39">
        <f>【PL】決算数値入力!Z51</f>
        <v>0</v>
      </c>
      <c r="R51" s="39">
        <f>【PL】決算数値入力!AA51</f>
        <v>0</v>
      </c>
      <c r="S51" s="39">
        <f>【PL】決算数値入力!AB51</f>
        <v>0</v>
      </c>
      <c r="T51" s="39">
        <f>S51</f>
        <v>0</v>
      </c>
      <c r="U51" s="39">
        <f t="shared" ref="U51:BQ51" si="19">T51</f>
        <v>0</v>
      </c>
      <c r="V51" s="39">
        <f t="shared" si="19"/>
        <v>0</v>
      </c>
      <c r="W51" s="39">
        <f t="shared" si="19"/>
        <v>0</v>
      </c>
      <c r="X51" s="39">
        <f t="shared" si="19"/>
        <v>0</v>
      </c>
      <c r="Y51" s="39">
        <f t="shared" si="19"/>
        <v>0</v>
      </c>
      <c r="Z51" s="39">
        <f t="shared" si="19"/>
        <v>0</v>
      </c>
      <c r="AA51" s="39">
        <f t="shared" si="19"/>
        <v>0</v>
      </c>
      <c r="AB51" s="39">
        <f t="shared" si="19"/>
        <v>0</v>
      </c>
      <c r="AC51" s="39">
        <f t="shared" si="19"/>
        <v>0</v>
      </c>
      <c r="AD51" s="39">
        <f t="shared" si="19"/>
        <v>0</v>
      </c>
      <c r="AE51" s="39">
        <f t="shared" si="19"/>
        <v>0</v>
      </c>
      <c r="AF51" s="39">
        <f t="shared" si="19"/>
        <v>0</v>
      </c>
      <c r="AG51" s="39">
        <f t="shared" si="19"/>
        <v>0</v>
      </c>
      <c r="AH51" s="39">
        <f t="shared" si="19"/>
        <v>0</v>
      </c>
      <c r="AI51" s="39">
        <f t="shared" si="19"/>
        <v>0</v>
      </c>
      <c r="AJ51" s="39">
        <f t="shared" si="19"/>
        <v>0</v>
      </c>
      <c r="AK51" s="39">
        <f t="shared" si="19"/>
        <v>0</v>
      </c>
      <c r="AL51" s="39">
        <f t="shared" si="19"/>
        <v>0</v>
      </c>
      <c r="AM51" s="39">
        <f t="shared" si="19"/>
        <v>0</v>
      </c>
      <c r="AN51" s="39">
        <f t="shared" si="19"/>
        <v>0</v>
      </c>
      <c r="AO51" s="39">
        <f t="shared" si="19"/>
        <v>0</v>
      </c>
      <c r="AP51" s="39">
        <f t="shared" si="19"/>
        <v>0</v>
      </c>
      <c r="AQ51" s="39">
        <f t="shared" si="19"/>
        <v>0</v>
      </c>
      <c r="AR51" s="39">
        <f t="shared" si="19"/>
        <v>0</v>
      </c>
      <c r="AS51" s="39">
        <f t="shared" si="19"/>
        <v>0</v>
      </c>
      <c r="AT51" s="39">
        <f t="shared" si="19"/>
        <v>0</v>
      </c>
      <c r="AU51" s="39">
        <f t="shared" si="19"/>
        <v>0</v>
      </c>
      <c r="AV51" s="39">
        <f t="shared" si="19"/>
        <v>0</v>
      </c>
      <c r="AW51" s="39">
        <f t="shared" si="19"/>
        <v>0</v>
      </c>
      <c r="AX51" s="39">
        <f t="shared" si="19"/>
        <v>0</v>
      </c>
      <c r="AY51" s="39">
        <f t="shared" si="19"/>
        <v>0</v>
      </c>
      <c r="AZ51" s="39">
        <f t="shared" si="19"/>
        <v>0</v>
      </c>
      <c r="BA51" s="39">
        <f t="shared" si="19"/>
        <v>0</v>
      </c>
      <c r="BB51" s="39">
        <f t="shared" si="19"/>
        <v>0</v>
      </c>
      <c r="BC51" s="39">
        <f t="shared" si="19"/>
        <v>0</v>
      </c>
      <c r="BD51" s="39">
        <f t="shared" si="19"/>
        <v>0</v>
      </c>
      <c r="BE51" s="39">
        <f t="shared" si="19"/>
        <v>0</v>
      </c>
      <c r="BF51" s="39">
        <f t="shared" si="19"/>
        <v>0</v>
      </c>
      <c r="BG51" s="39">
        <f t="shared" si="19"/>
        <v>0</v>
      </c>
      <c r="BH51" s="39">
        <f t="shared" si="19"/>
        <v>0</v>
      </c>
      <c r="BI51" s="39">
        <f t="shared" si="19"/>
        <v>0</v>
      </c>
      <c r="BJ51" s="39">
        <f t="shared" si="19"/>
        <v>0</v>
      </c>
      <c r="BK51" s="39">
        <f t="shared" si="19"/>
        <v>0</v>
      </c>
      <c r="BL51" s="39">
        <f t="shared" si="19"/>
        <v>0</v>
      </c>
      <c r="BM51" s="39">
        <f t="shared" si="19"/>
        <v>0</v>
      </c>
      <c r="BN51" s="39">
        <f t="shared" si="19"/>
        <v>0</v>
      </c>
      <c r="BO51" s="39">
        <f t="shared" si="19"/>
        <v>0</v>
      </c>
      <c r="BP51" s="39">
        <f t="shared" si="19"/>
        <v>0</v>
      </c>
      <c r="BQ51" s="39">
        <f t="shared" si="19"/>
        <v>0</v>
      </c>
    </row>
    <row r="52" spans="2:69">
      <c r="B52" s="4"/>
      <c r="C52" s="4"/>
      <c r="D52" s="5" t="s">
        <v>101</v>
      </c>
      <c r="E52" s="8"/>
      <c r="F52" s="1"/>
      <c r="G52" s="249"/>
      <c r="H52" s="249"/>
      <c r="I52" s="249"/>
      <c r="J52" s="249"/>
      <c r="K52" s="1"/>
      <c r="L52" s="1"/>
      <c r="M52" s="1"/>
      <c r="N52" s="39">
        <f>【PL】決算数値入力!W52</f>
        <v>140426639</v>
      </c>
      <c r="O52" s="39">
        <f>【PL】決算数値入力!X52</f>
        <v>331709645</v>
      </c>
      <c r="P52" s="39">
        <f>【PL】決算数値入力!Y52</f>
        <v>389441172</v>
      </c>
      <c r="Q52" s="39">
        <f>【PL】決算数値入力!Z52</f>
        <v>513505522</v>
      </c>
      <c r="R52" s="39">
        <f>【PL】決算数値入力!AA52</f>
        <v>390906409</v>
      </c>
      <c r="S52" s="39">
        <f>【PL】決算数値入力!AB52</f>
        <v>223418265.59999999</v>
      </c>
      <c r="T52" s="39">
        <f t="shared" ref="T52:BQ52" si="20">SUM(T53:T54)</f>
        <v>388013019</v>
      </c>
      <c r="U52" s="39">
        <f t="shared" si="20"/>
        <v>393178325</v>
      </c>
      <c r="V52" s="85">
        <f t="shared" si="20"/>
        <v>395267309</v>
      </c>
      <c r="W52" s="85">
        <f t="shared" si="20"/>
        <v>414923088</v>
      </c>
      <c r="X52" s="85">
        <f t="shared" si="20"/>
        <v>412863570</v>
      </c>
      <c r="Y52" s="85">
        <f t="shared" si="20"/>
        <v>407153866</v>
      </c>
      <c r="Z52" s="85">
        <f t="shared" si="20"/>
        <v>402234363</v>
      </c>
      <c r="AA52" s="85">
        <f t="shared" si="20"/>
        <v>399791730</v>
      </c>
      <c r="AB52" s="85">
        <f t="shared" si="20"/>
        <v>405939986</v>
      </c>
      <c r="AC52" s="85">
        <f t="shared" si="20"/>
        <v>406674729</v>
      </c>
      <c r="AD52" s="85">
        <f t="shared" si="20"/>
        <v>406812943</v>
      </c>
      <c r="AE52" s="85">
        <f t="shared" si="20"/>
        <v>352516335</v>
      </c>
      <c r="AF52" s="189">
        <f>SUM(AF53:AF54)</f>
        <v>342227313</v>
      </c>
      <c r="AG52" s="85">
        <f t="shared" si="20"/>
        <v>348732897</v>
      </c>
      <c r="AH52" s="85">
        <f t="shared" si="20"/>
        <v>355936112</v>
      </c>
      <c r="AI52" s="85">
        <f t="shared" si="20"/>
        <v>366934291</v>
      </c>
      <c r="AJ52" s="85">
        <f t="shared" si="20"/>
        <v>361851185</v>
      </c>
      <c r="AK52" s="85">
        <f t="shared" si="20"/>
        <v>373626364</v>
      </c>
      <c r="AL52" s="85">
        <f t="shared" si="20"/>
        <v>386301795</v>
      </c>
      <c r="AM52" s="85">
        <f t="shared" si="20"/>
        <v>400251221</v>
      </c>
      <c r="AN52" s="39">
        <f t="shared" si="20"/>
        <v>414278373</v>
      </c>
      <c r="AO52" s="85">
        <f t="shared" si="20"/>
        <v>414313892</v>
      </c>
      <c r="AP52" s="85">
        <f t="shared" si="20"/>
        <v>412930531</v>
      </c>
      <c r="AQ52" s="85">
        <f t="shared" si="20"/>
        <v>412146414</v>
      </c>
      <c r="AR52" s="85">
        <f t="shared" si="20"/>
        <v>412579205</v>
      </c>
      <c r="AS52" s="39">
        <f t="shared" si="20"/>
        <v>412465395</v>
      </c>
      <c r="AT52" s="39">
        <f t="shared" si="20"/>
        <v>412902074</v>
      </c>
      <c r="AU52" s="39">
        <f t="shared" si="20"/>
        <v>412773617</v>
      </c>
      <c r="AV52" s="39">
        <f t="shared" si="20"/>
        <v>413428596</v>
      </c>
      <c r="AW52" s="39">
        <f t="shared" si="20"/>
        <v>413822887</v>
      </c>
      <c r="AX52" s="39">
        <f t="shared" si="20"/>
        <v>413878278</v>
      </c>
      <c r="AY52" s="39">
        <f t="shared" si="20"/>
        <v>400218310</v>
      </c>
      <c r="AZ52" s="39">
        <f t="shared" si="20"/>
        <v>397221907</v>
      </c>
      <c r="BA52" s="39">
        <f t="shared" si="20"/>
        <v>397065040</v>
      </c>
      <c r="BB52" s="39">
        <f t="shared" si="20"/>
        <v>393157673</v>
      </c>
      <c r="BC52" s="39">
        <f t="shared" si="20"/>
        <v>380553248</v>
      </c>
      <c r="BD52" s="39">
        <f t="shared" si="20"/>
        <v>372201869</v>
      </c>
      <c r="BE52" s="39">
        <f t="shared" si="20"/>
        <v>338867857</v>
      </c>
      <c r="BF52" s="39">
        <f t="shared" si="20"/>
        <v>321643057</v>
      </c>
      <c r="BG52" s="39">
        <f t="shared" si="20"/>
        <v>320530884</v>
      </c>
      <c r="BH52" s="39">
        <f t="shared" si="20"/>
        <v>313326849</v>
      </c>
      <c r="BI52" s="39">
        <f t="shared" si="20"/>
        <v>285747104</v>
      </c>
      <c r="BJ52" s="39">
        <f t="shared" si="20"/>
        <v>273341863</v>
      </c>
      <c r="BK52" s="39">
        <f t="shared" si="20"/>
        <v>258378292</v>
      </c>
      <c r="BL52" s="39">
        <f t="shared" si="20"/>
        <v>245157764</v>
      </c>
      <c r="BM52" s="39">
        <f t="shared" si="20"/>
        <v>35793597</v>
      </c>
      <c r="BN52" s="39">
        <f t="shared" si="20"/>
        <v>32191122</v>
      </c>
      <c r="BO52" s="39">
        <f t="shared" si="20"/>
        <v>27782436</v>
      </c>
      <c r="BP52" s="39">
        <f t="shared" si="20"/>
        <v>22634774</v>
      </c>
      <c r="BQ52" s="39">
        <f t="shared" si="20"/>
        <v>19193545</v>
      </c>
    </row>
    <row r="53" spans="2:69">
      <c r="B53" s="4"/>
      <c r="C53" s="4"/>
      <c r="D53" s="4"/>
      <c r="E53" s="1" t="s">
        <v>733</v>
      </c>
      <c r="F53" s="1"/>
      <c r="G53" s="249"/>
      <c r="H53" s="249" t="s">
        <v>166</v>
      </c>
      <c r="I53" s="249"/>
      <c r="J53" s="249"/>
      <c r="K53" s="1" t="s">
        <v>170</v>
      </c>
      <c r="L53" s="1"/>
      <c r="M53" s="1"/>
      <c r="N53" s="85">
        <f>【PL】決算数値入力!W53</f>
        <v>140426639</v>
      </c>
      <c r="O53" s="85">
        <f>【PL】決算数値入力!X53</f>
        <v>331709645</v>
      </c>
      <c r="P53" s="85">
        <f>【PL】決算数値入力!Y53</f>
        <v>389441172</v>
      </c>
      <c r="Q53" s="85">
        <f>【PL】決算数値入力!Z53</f>
        <v>513505522</v>
      </c>
      <c r="R53" s="85">
        <f>【PL】決算数値入力!AA53</f>
        <v>390906409</v>
      </c>
      <c r="S53" s="85">
        <f>【PL】決算数値入力!AB53</f>
        <v>353197877.39999998</v>
      </c>
      <c r="T53" s="85">
        <v>388013019</v>
      </c>
      <c r="U53" s="85">
        <v>393178325</v>
      </c>
      <c r="V53" s="85">
        <v>388776204</v>
      </c>
      <c r="W53" s="85">
        <v>381326720</v>
      </c>
      <c r="X53" s="85">
        <v>366109307</v>
      </c>
      <c r="Y53" s="85">
        <v>351189077</v>
      </c>
      <c r="Z53" s="85">
        <v>335480100</v>
      </c>
      <c r="AA53" s="85">
        <v>324879572</v>
      </c>
      <c r="AB53" s="85">
        <v>321264670</v>
      </c>
      <c r="AC53" s="85">
        <v>314341518</v>
      </c>
      <c r="AD53" s="85">
        <v>305953416</v>
      </c>
      <c r="AE53" s="85">
        <v>246393650</v>
      </c>
      <c r="AF53" s="85">
        <v>230841470</v>
      </c>
      <c r="AG53" s="85">
        <v>222347054</v>
      </c>
      <c r="AH53" s="85">
        <v>215076585</v>
      </c>
      <c r="AI53" s="85">
        <v>211601080</v>
      </c>
      <c r="AJ53" s="85">
        <v>192017974</v>
      </c>
      <c r="AK53" s="85">
        <v>188503679</v>
      </c>
      <c r="AL53" s="85">
        <v>185284373</v>
      </c>
      <c r="AM53" s="85">
        <v>182918010</v>
      </c>
      <c r="AN53" s="85">
        <v>180629373</v>
      </c>
      <c r="AO53" s="85">
        <v>178559629</v>
      </c>
      <c r="AP53" s="85">
        <v>175597321</v>
      </c>
      <c r="AQ53" s="85">
        <v>173234257</v>
      </c>
      <c r="AR53" s="85">
        <v>172061785</v>
      </c>
      <c r="AS53" s="85">
        <v>170342712</v>
      </c>
      <c r="AT53" s="85">
        <v>169095180</v>
      </c>
      <c r="AU53" s="85">
        <v>166861460</v>
      </c>
      <c r="AV53" s="85">
        <v>165411176</v>
      </c>
      <c r="AW53" s="130">
        <v>163700204</v>
      </c>
      <c r="AX53" s="85">
        <v>162176648</v>
      </c>
      <c r="AY53" s="85">
        <v>146937733</v>
      </c>
      <c r="AZ53" s="85">
        <v>142336067</v>
      </c>
      <c r="BA53" s="85">
        <v>140573937</v>
      </c>
      <c r="BB53" s="85">
        <v>134982359</v>
      </c>
      <c r="BC53" s="85">
        <v>120272671</v>
      </c>
      <c r="BD53" s="85">
        <v>109816029</v>
      </c>
      <c r="BE53" s="85">
        <v>74376754</v>
      </c>
      <c r="BF53" s="85">
        <v>55573007</v>
      </c>
      <c r="BG53" s="85">
        <v>52881887</v>
      </c>
      <c r="BH53" s="85">
        <v>50563684</v>
      </c>
      <c r="BI53" s="85">
        <v>48483953</v>
      </c>
      <c r="BJ53" s="85">
        <v>47552392</v>
      </c>
      <c r="BK53" s="85">
        <v>39957242</v>
      </c>
      <c r="BL53" s="85">
        <v>36999882</v>
      </c>
      <c r="BM53" s="85">
        <v>35793597</v>
      </c>
      <c r="BN53" s="85">
        <v>32191122</v>
      </c>
      <c r="BO53" s="85">
        <v>27782436</v>
      </c>
      <c r="BP53" s="85">
        <v>22634774</v>
      </c>
      <c r="BQ53" s="85">
        <v>19193545</v>
      </c>
    </row>
    <row r="54" spans="2:69">
      <c r="B54" s="4"/>
      <c r="C54" s="4"/>
      <c r="D54" s="3"/>
      <c r="E54" s="1" t="s">
        <v>734</v>
      </c>
      <c r="F54" s="1"/>
      <c r="G54" s="249"/>
      <c r="H54" s="249" t="s">
        <v>166</v>
      </c>
      <c r="I54" s="249"/>
      <c r="J54" s="249"/>
      <c r="K54" s="1" t="s">
        <v>171</v>
      </c>
      <c r="L54" s="1"/>
      <c r="M54" s="1"/>
      <c r="N54" s="85">
        <f>【PL】決算数値入力!W54</f>
        <v>0</v>
      </c>
      <c r="O54" s="85">
        <f>【PL】決算数値入力!X54</f>
        <v>0</v>
      </c>
      <c r="P54" s="85">
        <f>【PL】決算数値入力!Y54</f>
        <v>0</v>
      </c>
      <c r="Q54" s="85">
        <f>【PL】決算数値入力!Z54</f>
        <v>0</v>
      </c>
      <c r="R54" s="85">
        <f>【PL】決算数値入力!AA54</f>
        <v>0</v>
      </c>
      <c r="S54" s="85">
        <f>【PL】決算数値入力!AB54</f>
        <v>0</v>
      </c>
      <c r="T54" s="85">
        <f>新規取得!I2</f>
        <v>0</v>
      </c>
      <c r="U54" s="85">
        <f>新規取得!O2</f>
        <v>0</v>
      </c>
      <c r="V54" s="85">
        <f>新規取得!P2</f>
        <v>6491105</v>
      </c>
      <c r="W54" s="85">
        <f>新規取得!Q2</f>
        <v>33596368</v>
      </c>
      <c r="X54" s="85">
        <f>新規取得!R2</f>
        <v>46754263</v>
      </c>
      <c r="Y54" s="85">
        <f>新規取得!S2</f>
        <v>55964789</v>
      </c>
      <c r="Z54" s="85">
        <f>新規取得!T2</f>
        <v>66754263</v>
      </c>
      <c r="AA54" s="85">
        <f>新規取得!U2</f>
        <v>74912158</v>
      </c>
      <c r="AB54" s="85">
        <f>新規取得!V2</f>
        <v>84675316</v>
      </c>
      <c r="AC54" s="85">
        <f>新規取得!W2</f>
        <v>92333211</v>
      </c>
      <c r="AD54" s="85">
        <f>新規取得!X2</f>
        <v>100859527</v>
      </c>
      <c r="AE54" s="85">
        <f>新規取得!Y2</f>
        <v>106122685</v>
      </c>
      <c r="AF54" s="189">
        <f>新規取得!Z2</f>
        <v>111385843</v>
      </c>
      <c r="AG54" s="85">
        <f>新規取得!AA2</f>
        <v>126385843</v>
      </c>
      <c r="AH54" s="85">
        <f>新規取得!AB2</f>
        <v>140859527</v>
      </c>
      <c r="AI54" s="85">
        <f>新規取得!AC2</f>
        <v>155333211</v>
      </c>
      <c r="AJ54" s="85">
        <f>新規取得!AD2</f>
        <v>169833211</v>
      </c>
      <c r="AK54" s="85">
        <f>新規取得!AE2</f>
        <v>185122685</v>
      </c>
      <c r="AL54" s="85">
        <f>新規取得!AF2</f>
        <v>201017422</v>
      </c>
      <c r="AM54" s="85">
        <f>新規取得!AG2</f>
        <v>217333211</v>
      </c>
      <c r="AN54" s="85">
        <f>新規取得!AH2</f>
        <v>233649000</v>
      </c>
      <c r="AO54" s="85">
        <f>新規取得!AI2</f>
        <v>235754263</v>
      </c>
      <c r="AP54" s="85">
        <f>新規取得!AJ2</f>
        <v>237333210</v>
      </c>
      <c r="AQ54" s="85">
        <f>新規取得!AK2</f>
        <v>238912157</v>
      </c>
      <c r="AR54" s="85">
        <f>新規取得!AL2</f>
        <v>240517420</v>
      </c>
      <c r="AS54" s="85">
        <f>新規取得!AM2</f>
        <v>242122683</v>
      </c>
      <c r="AT54" s="85">
        <f>新規取得!AN2</f>
        <v>243806894</v>
      </c>
      <c r="AU54" s="85">
        <f>新規取得!AO2</f>
        <v>245912157</v>
      </c>
      <c r="AV54" s="85">
        <f>新規取得!AP2</f>
        <v>248017420</v>
      </c>
      <c r="AW54" s="85">
        <f>新規取得!AQ2</f>
        <v>250122683</v>
      </c>
      <c r="AX54" s="85">
        <f>新規取得!AR2</f>
        <v>251701630</v>
      </c>
      <c r="AY54" s="85">
        <f>新規取得!AS2</f>
        <v>253280577</v>
      </c>
      <c r="AZ54" s="85">
        <f>新規取得!AT2</f>
        <v>254885840</v>
      </c>
      <c r="BA54" s="85">
        <f>新規取得!AU2</f>
        <v>256491103</v>
      </c>
      <c r="BB54" s="85">
        <f>新規取得!AV2</f>
        <v>258175314</v>
      </c>
      <c r="BC54" s="85">
        <f>新規取得!AW2</f>
        <v>260280577</v>
      </c>
      <c r="BD54" s="85">
        <f>新規取得!AX2</f>
        <v>262385840</v>
      </c>
      <c r="BE54" s="85">
        <f>新規取得!AY2</f>
        <v>264491103</v>
      </c>
      <c r="BF54" s="85">
        <f>新規取得!AZ2</f>
        <v>266070050</v>
      </c>
      <c r="BG54" s="85">
        <f>新規取得!BA2</f>
        <v>267648997</v>
      </c>
      <c r="BH54" s="85">
        <f>新規取得!BB2</f>
        <v>262763165</v>
      </c>
      <c r="BI54" s="85">
        <f>新規取得!BC2</f>
        <v>237263151</v>
      </c>
      <c r="BJ54" s="85">
        <f>新規取得!BD2</f>
        <v>225789471</v>
      </c>
      <c r="BK54" s="85">
        <f>新規取得!BE2</f>
        <v>218421050</v>
      </c>
      <c r="BL54" s="85">
        <f>新規取得!BF2</f>
        <v>208157882</v>
      </c>
      <c r="BM54" s="85">
        <f>新規取得!BG2</f>
        <v>0</v>
      </c>
      <c r="BN54" s="85">
        <f>新規取得!BH2</f>
        <v>0</v>
      </c>
      <c r="BO54" s="85">
        <f>新規取得!BI2</f>
        <v>0</v>
      </c>
      <c r="BP54" s="85">
        <f>新規取得!BJ2</f>
        <v>0</v>
      </c>
      <c r="BQ54" s="85">
        <f>新規取得!BK2</f>
        <v>0</v>
      </c>
    </row>
    <row r="55" spans="2:69">
      <c r="B55" s="4"/>
      <c r="C55" s="4"/>
      <c r="D55" s="5" t="s">
        <v>102</v>
      </c>
      <c r="E55" s="8"/>
      <c r="F55" s="1"/>
      <c r="G55" s="249"/>
      <c r="H55" s="249"/>
      <c r="I55" s="249"/>
      <c r="J55" s="249"/>
      <c r="K55" s="1"/>
      <c r="L55" s="1"/>
      <c r="M55" s="1"/>
      <c r="N55" s="39">
        <f>【PL】決算数値入力!W55</f>
        <v>0</v>
      </c>
      <c r="O55" s="39">
        <f>【PL】決算数値入力!X55</f>
        <v>0</v>
      </c>
      <c r="P55" s="39">
        <f>【PL】決算数値入力!Y55</f>
        <v>0</v>
      </c>
      <c r="Q55" s="39">
        <f>【PL】決算数値入力!Z55</f>
        <v>0</v>
      </c>
      <c r="R55" s="39">
        <f>【PL】決算数値入力!AA55</f>
        <v>0</v>
      </c>
      <c r="S55" s="39">
        <f>【PL】決算数値入力!AB55</f>
        <v>0</v>
      </c>
      <c r="T55" s="39">
        <f t="shared" ref="T55:BQ55" si="21">SUM(T56:T57)</f>
        <v>0</v>
      </c>
      <c r="U55" s="39">
        <f t="shared" si="21"/>
        <v>0</v>
      </c>
      <c r="V55" s="39">
        <f t="shared" si="21"/>
        <v>0</v>
      </c>
      <c r="W55" s="39">
        <f t="shared" si="21"/>
        <v>0</v>
      </c>
      <c r="X55" s="39">
        <f t="shared" si="21"/>
        <v>0</v>
      </c>
      <c r="Y55" s="39">
        <f t="shared" si="21"/>
        <v>0</v>
      </c>
      <c r="Z55" s="39">
        <f t="shared" si="21"/>
        <v>0</v>
      </c>
      <c r="AA55" s="39">
        <f t="shared" si="21"/>
        <v>0</v>
      </c>
      <c r="AB55" s="39">
        <f t="shared" si="21"/>
        <v>0</v>
      </c>
      <c r="AC55" s="39">
        <f t="shared" si="21"/>
        <v>0</v>
      </c>
      <c r="AD55" s="39">
        <f t="shared" si="21"/>
        <v>0</v>
      </c>
      <c r="AE55" s="39">
        <f t="shared" si="21"/>
        <v>0</v>
      </c>
      <c r="AF55" s="39">
        <f t="shared" si="21"/>
        <v>0</v>
      </c>
      <c r="AG55" s="39">
        <f t="shared" si="21"/>
        <v>0</v>
      </c>
      <c r="AH55" s="39">
        <f t="shared" si="21"/>
        <v>0</v>
      </c>
      <c r="AI55" s="39">
        <f t="shared" si="21"/>
        <v>0</v>
      </c>
      <c r="AJ55" s="39">
        <f t="shared" si="21"/>
        <v>0</v>
      </c>
      <c r="AK55" s="39">
        <f t="shared" si="21"/>
        <v>0</v>
      </c>
      <c r="AL55" s="39">
        <f t="shared" si="21"/>
        <v>0</v>
      </c>
      <c r="AM55" s="39">
        <f t="shared" si="21"/>
        <v>0</v>
      </c>
      <c r="AN55" s="39">
        <f t="shared" si="21"/>
        <v>0</v>
      </c>
      <c r="AO55" s="39">
        <f t="shared" si="21"/>
        <v>0</v>
      </c>
      <c r="AP55" s="39">
        <f t="shared" si="21"/>
        <v>0</v>
      </c>
      <c r="AQ55" s="39">
        <f t="shared" si="21"/>
        <v>0</v>
      </c>
      <c r="AR55" s="39">
        <f t="shared" si="21"/>
        <v>0</v>
      </c>
      <c r="AS55" s="39">
        <f t="shared" si="21"/>
        <v>0</v>
      </c>
      <c r="AT55" s="39">
        <f t="shared" si="21"/>
        <v>0</v>
      </c>
      <c r="AU55" s="39">
        <f t="shared" si="21"/>
        <v>0</v>
      </c>
      <c r="AV55" s="39">
        <f t="shared" si="21"/>
        <v>0</v>
      </c>
      <c r="AW55" s="39">
        <f t="shared" si="21"/>
        <v>0</v>
      </c>
      <c r="AX55" s="39">
        <f t="shared" si="21"/>
        <v>0</v>
      </c>
      <c r="AY55" s="39">
        <f t="shared" si="21"/>
        <v>0</v>
      </c>
      <c r="AZ55" s="39">
        <f t="shared" si="21"/>
        <v>0</v>
      </c>
      <c r="BA55" s="39">
        <f t="shared" si="21"/>
        <v>0</v>
      </c>
      <c r="BB55" s="39">
        <f t="shared" si="21"/>
        <v>0</v>
      </c>
      <c r="BC55" s="39">
        <f t="shared" si="21"/>
        <v>0</v>
      </c>
      <c r="BD55" s="39">
        <f t="shared" si="21"/>
        <v>0</v>
      </c>
      <c r="BE55" s="39">
        <f t="shared" si="21"/>
        <v>0</v>
      </c>
      <c r="BF55" s="39">
        <f t="shared" si="21"/>
        <v>0</v>
      </c>
      <c r="BG55" s="39">
        <f t="shared" si="21"/>
        <v>0</v>
      </c>
      <c r="BH55" s="39">
        <f t="shared" si="21"/>
        <v>0</v>
      </c>
      <c r="BI55" s="39">
        <f t="shared" si="21"/>
        <v>0</v>
      </c>
      <c r="BJ55" s="39">
        <f t="shared" si="21"/>
        <v>0</v>
      </c>
      <c r="BK55" s="39">
        <f t="shared" si="21"/>
        <v>0</v>
      </c>
      <c r="BL55" s="39">
        <f t="shared" si="21"/>
        <v>0</v>
      </c>
      <c r="BM55" s="39">
        <f t="shared" si="21"/>
        <v>0</v>
      </c>
      <c r="BN55" s="39">
        <f t="shared" si="21"/>
        <v>0</v>
      </c>
      <c r="BO55" s="39">
        <f t="shared" si="21"/>
        <v>0</v>
      </c>
      <c r="BP55" s="39">
        <f t="shared" si="21"/>
        <v>0</v>
      </c>
      <c r="BQ55" s="39">
        <f t="shared" si="21"/>
        <v>0</v>
      </c>
    </row>
    <row r="56" spans="2:69">
      <c r="B56" s="4"/>
      <c r="C56" s="4"/>
      <c r="D56" s="4"/>
      <c r="E56" s="1" t="s">
        <v>164</v>
      </c>
      <c r="F56" s="1"/>
      <c r="G56" s="249"/>
      <c r="H56" s="249" t="s">
        <v>166</v>
      </c>
      <c r="I56" s="249"/>
      <c r="J56" s="249"/>
      <c r="K56" s="1" t="s">
        <v>172</v>
      </c>
      <c r="L56" s="1"/>
      <c r="M56" s="1"/>
      <c r="N56" s="39">
        <f>【PL】決算数値入力!W56</f>
        <v>0</v>
      </c>
      <c r="O56" s="39">
        <f>【PL】決算数値入力!X56</f>
        <v>0</v>
      </c>
      <c r="P56" s="39">
        <f>【PL】決算数値入力!Y56</f>
        <v>0</v>
      </c>
      <c r="Q56" s="39">
        <f>【PL】決算数値入力!Z56</f>
        <v>0</v>
      </c>
      <c r="R56" s="39">
        <f>【PL】決算数値入力!AA56</f>
        <v>0</v>
      </c>
      <c r="S56" s="39">
        <f>【PL】決算数値入力!AB56</f>
        <v>0</v>
      </c>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row>
    <row r="57" spans="2:69">
      <c r="B57" s="4"/>
      <c r="C57" s="3"/>
      <c r="D57" s="3"/>
      <c r="E57" s="1" t="s">
        <v>165</v>
      </c>
      <c r="F57" s="1"/>
      <c r="G57" s="249"/>
      <c r="H57" s="249" t="s">
        <v>166</v>
      </c>
      <c r="I57" s="249"/>
      <c r="J57" s="249"/>
      <c r="K57" s="1" t="s">
        <v>163</v>
      </c>
      <c r="L57" s="1"/>
      <c r="M57" s="1"/>
      <c r="N57" s="85">
        <f>【PL】決算数値入力!W57</f>
        <v>0</v>
      </c>
      <c r="O57" s="85">
        <f>【PL】決算数値入力!X57</f>
        <v>0</v>
      </c>
      <c r="P57" s="85">
        <f>【PL】決算数値入力!Y57</f>
        <v>0</v>
      </c>
      <c r="Q57" s="85">
        <f>【PL】決算数値入力!Z57</f>
        <v>0</v>
      </c>
      <c r="R57" s="85">
        <f>【PL】決算数値入力!AA57</f>
        <v>0</v>
      </c>
      <c r="S57" s="85">
        <f>【PL】決算数値入力!AB57</f>
        <v>0</v>
      </c>
      <c r="T57" s="85">
        <v>0</v>
      </c>
      <c r="U57" s="85">
        <v>0</v>
      </c>
      <c r="V57" s="85">
        <v>0</v>
      </c>
      <c r="W57" s="85">
        <v>0</v>
      </c>
      <c r="X57" s="85">
        <v>0</v>
      </c>
      <c r="Y57" s="85">
        <v>0</v>
      </c>
      <c r="Z57" s="85">
        <v>0</v>
      </c>
      <c r="AA57" s="85">
        <v>0</v>
      </c>
      <c r="AB57" s="85">
        <v>0</v>
      </c>
      <c r="AC57" s="85">
        <v>0</v>
      </c>
      <c r="AD57" s="85">
        <v>0</v>
      </c>
      <c r="AE57" s="85">
        <v>0</v>
      </c>
      <c r="AF57" s="85">
        <v>0</v>
      </c>
      <c r="AG57" s="85">
        <v>0</v>
      </c>
      <c r="AH57" s="85">
        <v>0</v>
      </c>
      <c r="AI57" s="85">
        <v>0</v>
      </c>
      <c r="AJ57" s="85">
        <v>0</v>
      </c>
      <c r="AK57" s="85">
        <v>0</v>
      </c>
      <c r="AL57" s="85">
        <v>0</v>
      </c>
      <c r="AM57" s="85">
        <v>0</v>
      </c>
      <c r="AN57" s="85">
        <v>0</v>
      </c>
      <c r="AO57" s="85">
        <v>0</v>
      </c>
      <c r="AP57" s="85">
        <v>0</v>
      </c>
      <c r="AQ57" s="85">
        <v>0</v>
      </c>
      <c r="AR57" s="85">
        <v>0</v>
      </c>
      <c r="AS57" s="85">
        <v>0</v>
      </c>
      <c r="AT57" s="85">
        <v>0</v>
      </c>
      <c r="AU57" s="85">
        <v>0</v>
      </c>
      <c r="AV57" s="85">
        <v>0</v>
      </c>
      <c r="AW57" s="85">
        <v>0</v>
      </c>
      <c r="AX57" s="85">
        <v>0</v>
      </c>
      <c r="AY57" s="85">
        <v>0</v>
      </c>
      <c r="AZ57" s="85">
        <v>0</v>
      </c>
      <c r="BA57" s="85">
        <v>0</v>
      </c>
      <c r="BB57" s="85">
        <v>0</v>
      </c>
      <c r="BC57" s="85">
        <v>0</v>
      </c>
      <c r="BD57" s="85">
        <v>0</v>
      </c>
      <c r="BE57" s="85">
        <v>0</v>
      </c>
      <c r="BF57" s="85">
        <v>0</v>
      </c>
      <c r="BG57" s="85">
        <v>0</v>
      </c>
      <c r="BH57" s="85">
        <v>0</v>
      </c>
      <c r="BI57" s="85">
        <v>0</v>
      </c>
      <c r="BJ57" s="85">
        <v>0</v>
      </c>
      <c r="BK57" s="85">
        <v>0</v>
      </c>
      <c r="BL57" s="85">
        <v>0</v>
      </c>
      <c r="BM57" s="85">
        <v>0</v>
      </c>
      <c r="BN57" s="85">
        <v>0</v>
      </c>
      <c r="BO57" s="85">
        <v>0</v>
      </c>
      <c r="BP57" s="85">
        <v>0</v>
      </c>
      <c r="BQ57" s="85">
        <v>0</v>
      </c>
    </row>
    <row r="58" spans="2:69">
      <c r="B58" s="4"/>
      <c r="C58" s="5" t="s">
        <v>103</v>
      </c>
      <c r="D58" s="7"/>
      <c r="E58" s="8"/>
      <c r="F58" s="1"/>
      <c r="G58" s="249"/>
      <c r="H58" s="249"/>
      <c r="I58" s="249"/>
      <c r="J58" s="249"/>
      <c r="K58" s="1"/>
      <c r="L58" s="1"/>
      <c r="M58" s="1"/>
      <c r="N58" s="39">
        <f>【PL】決算数値入力!W58</f>
        <v>39544692</v>
      </c>
      <c r="O58" s="39">
        <f>【PL】決算数値入力!X58</f>
        <v>13857270</v>
      </c>
      <c r="P58" s="39">
        <f>【PL】決算数値入力!Y58</f>
        <v>6414667</v>
      </c>
      <c r="Q58" s="39">
        <f>【PL】決算数値入力!Z58</f>
        <v>6771721</v>
      </c>
      <c r="R58" s="39">
        <f>【PL】決算数値入力!AA58</f>
        <v>16067781</v>
      </c>
      <c r="S58" s="39">
        <f>【PL】決算数値入力!AB58</f>
        <v>18069225.200000003</v>
      </c>
      <c r="T58" s="39">
        <f t="shared" ref="T58:BQ58" si="22">SUM(T59,T62)</f>
        <v>14653778.4</v>
      </c>
      <c r="U58" s="39">
        <f t="shared" si="22"/>
        <v>22814486.399999999</v>
      </c>
      <c r="V58" s="39">
        <f t="shared" si="22"/>
        <v>27367391.399999999</v>
      </c>
      <c r="W58" s="39">
        <f t="shared" si="22"/>
        <v>36376614.399999999</v>
      </c>
      <c r="X58" s="39">
        <f t="shared" si="22"/>
        <v>44151642.399999999</v>
      </c>
      <c r="Y58" s="39">
        <f t="shared" si="22"/>
        <v>51460664.399999999</v>
      </c>
      <c r="Z58" s="39">
        <f t="shared" si="22"/>
        <v>55327130.399999999</v>
      </c>
      <c r="AA58" s="39">
        <f t="shared" si="22"/>
        <v>59041125.399999999</v>
      </c>
      <c r="AB58" s="39">
        <f t="shared" si="22"/>
        <v>63605481.399999999</v>
      </c>
      <c r="AC58" s="39">
        <f t="shared" si="22"/>
        <v>69408939.400000006</v>
      </c>
      <c r="AD58" s="39">
        <f t="shared" si="22"/>
        <v>73399598.400000006</v>
      </c>
      <c r="AE58" s="39">
        <f t="shared" si="22"/>
        <v>75626961.400000006</v>
      </c>
      <c r="AF58" s="39">
        <f t="shared" si="22"/>
        <v>77128342.400000006</v>
      </c>
      <c r="AG58" s="39">
        <f t="shared" si="22"/>
        <v>78541967.400000006</v>
      </c>
      <c r="AH58" s="39">
        <f t="shared" si="22"/>
        <v>87849607.400000006</v>
      </c>
      <c r="AI58" s="39">
        <f t="shared" si="22"/>
        <v>96979906.400000006</v>
      </c>
      <c r="AJ58" s="39">
        <f t="shared" si="22"/>
        <v>105989015.40000001</v>
      </c>
      <c r="AK58" s="39">
        <f t="shared" si="22"/>
        <v>114786595.40000001</v>
      </c>
      <c r="AL58" s="39">
        <f t="shared" si="22"/>
        <v>123985645.40000001</v>
      </c>
      <c r="AM58" s="39">
        <f t="shared" si="22"/>
        <v>133430029.40000001</v>
      </c>
      <c r="AN58" s="39">
        <f t="shared" si="22"/>
        <v>142624365.40000001</v>
      </c>
      <c r="AO58" s="39">
        <f t="shared" si="22"/>
        <v>151559897.40000001</v>
      </c>
      <c r="AP58" s="39">
        <f t="shared" si="22"/>
        <v>148935122.40000001</v>
      </c>
      <c r="AQ58" s="39">
        <f t="shared" si="22"/>
        <v>146258780.40000001</v>
      </c>
      <c r="AR58" s="39">
        <f t="shared" si="22"/>
        <v>143527650.40000001</v>
      </c>
      <c r="AS58" s="39">
        <f t="shared" si="22"/>
        <v>140762641.40000001</v>
      </c>
      <c r="AT58" s="39">
        <f t="shared" si="22"/>
        <v>138100776.40000001</v>
      </c>
      <c r="AU58" s="39">
        <f t="shared" si="22"/>
        <v>135418711.40000001</v>
      </c>
      <c r="AV58" s="39">
        <f t="shared" si="22"/>
        <v>132641262.40000001</v>
      </c>
      <c r="AW58" s="39">
        <f t="shared" si="22"/>
        <v>129766428.40000001</v>
      </c>
      <c r="AX58" s="39">
        <f t="shared" si="22"/>
        <v>126792160.40000001</v>
      </c>
      <c r="AY58" s="39">
        <f t="shared" si="22"/>
        <v>123716373.40000001</v>
      </c>
      <c r="AZ58" s="39">
        <f t="shared" si="22"/>
        <v>120536935.40000001</v>
      </c>
      <c r="BA58" s="39">
        <f t="shared" si="22"/>
        <v>117251670.40000001</v>
      </c>
      <c r="BB58" s="39">
        <f t="shared" si="22"/>
        <v>113858354.40000001</v>
      </c>
      <c r="BC58" s="39">
        <f t="shared" si="22"/>
        <v>110354717.40000001</v>
      </c>
      <c r="BD58" s="39">
        <f t="shared" si="22"/>
        <v>106738445.40000001</v>
      </c>
      <c r="BE58" s="39">
        <f t="shared" si="22"/>
        <v>103007172.40000001</v>
      </c>
      <c r="BF58" s="39">
        <f t="shared" si="22"/>
        <v>99158482.400000006</v>
      </c>
      <c r="BG58" s="39">
        <f t="shared" si="22"/>
        <v>95189910.400000006</v>
      </c>
      <c r="BH58" s="39">
        <f t="shared" si="22"/>
        <v>91098939.400000006</v>
      </c>
      <c r="BI58" s="39">
        <f t="shared" si="22"/>
        <v>86882997.400000006</v>
      </c>
      <c r="BJ58" s="39">
        <f t="shared" si="22"/>
        <v>82727258.400000006</v>
      </c>
      <c r="BK58" s="39">
        <f t="shared" si="22"/>
        <v>78604085.400000006</v>
      </c>
      <c r="BL58" s="39">
        <f t="shared" si="22"/>
        <v>73655767.400000006</v>
      </c>
      <c r="BM58" s="39">
        <f t="shared" si="22"/>
        <v>68917576.400000006</v>
      </c>
      <c r="BN58" s="39">
        <f t="shared" si="22"/>
        <v>64382206.399999999</v>
      </c>
      <c r="BO58" s="39">
        <f t="shared" si="22"/>
        <v>59936734.399999999</v>
      </c>
      <c r="BP58" s="39">
        <f t="shared" si="22"/>
        <v>55583053.399999999</v>
      </c>
      <c r="BQ58" s="39">
        <f t="shared" si="22"/>
        <v>51362149.399999999</v>
      </c>
    </row>
    <row r="59" spans="2:69">
      <c r="B59" s="4"/>
      <c r="C59" s="4"/>
      <c r="D59" s="5" t="s">
        <v>104</v>
      </c>
      <c r="E59" s="8"/>
      <c r="F59" s="1"/>
      <c r="G59" s="249"/>
      <c r="H59" s="249"/>
      <c r="I59" s="249"/>
      <c r="J59" s="249"/>
      <c r="K59" s="1"/>
      <c r="L59" s="1"/>
      <c r="M59" s="1"/>
      <c r="N59" s="39">
        <f>【PL】決算数値入力!W59</f>
        <v>3322502</v>
      </c>
      <c r="O59" s="39">
        <f>【PL】決算数値入力!X59</f>
        <v>3316293</v>
      </c>
      <c r="P59" s="39">
        <f>【PL】決算数値入力!Y59</f>
        <v>3627476</v>
      </c>
      <c r="Q59" s="39">
        <f>【PL】決算数値入力!Z59</f>
        <v>4367904</v>
      </c>
      <c r="R59" s="39">
        <f>【PL】決算数値入力!AA59</f>
        <v>4944124</v>
      </c>
      <c r="S59" s="39">
        <f>【PL】決算数値入力!AB59</f>
        <v>10729945.800000001</v>
      </c>
      <c r="T59" s="39">
        <f t="shared" ref="T59:BQ59" si="23">SUM(T60:T61)</f>
        <v>7314499</v>
      </c>
      <c r="U59" s="39">
        <f t="shared" si="23"/>
        <v>15475207</v>
      </c>
      <c r="V59" s="39">
        <f t="shared" si="23"/>
        <v>20028112</v>
      </c>
      <c r="W59" s="39">
        <f t="shared" si="23"/>
        <v>29037335</v>
      </c>
      <c r="X59" s="39">
        <f t="shared" si="23"/>
        <v>36812363</v>
      </c>
      <c r="Y59" s="39">
        <f t="shared" si="23"/>
        <v>44121385</v>
      </c>
      <c r="Z59" s="39">
        <f t="shared" si="23"/>
        <v>47987851</v>
      </c>
      <c r="AA59" s="39">
        <f t="shared" si="23"/>
        <v>51701846</v>
      </c>
      <c r="AB59" s="39">
        <f t="shared" si="23"/>
        <v>56266202</v>
      </c>
      <c r="AC59" s="39">
        <f t="shared" si="23"/>
        <v>62069660</v>
      </c>
      <c r="AD59" s="39">
        <f t="shared" si="23"/>
        <v>66060319</v>
      </c>
      <c r="AE59" s="39">
        <f t="shared" si="23"/>
        <v>68287682</v>
      </c>
      <c r="AF59" s="39">
        <f t="shared" si="23"/>
        <v>69789063</v>
      </c>
      <c r="AG59" s="39">
        <f t="shared" si="23"/>
        <v>71202688</v>
      </c>
      <c r="AH59" s="39">
        <f t="shared" si="23"/>
        <v>80510328</v>
      </c>
      <c r="AI59" s="39">
        <f t="shared" si="23"/>
        <v>89640627</v>
      </c>
      <c r="AJ59" s="39">
        <f t="shared" si="23"/>
        <v>98649736</v>
      </c>
      <c r="AK59" s="39">
        <f t="shared" si="23"/>
        <v>107447316</v>
      </c>
      <c r="AL59" s="39">
        <f t="shared" si="23"/>
        <v>116646366</v>
      </c>
      <c r="AM59" s="39">
        <f t="shared" si="23"/>
        <v>126090750</v>
      </c>
      <c r="AN59" s="39">
        <f t="shared" si="23"/>
        <v>135285086</v>
      </c>
      <c r="AO59" s="39">
        <f t="shared" si="23"/>
        <v>144220618</v>
      </c>
      <c r="AP59" s="39">
        <f t="shared" si="23"/>
        <v>141595843</v>
      </c>
      <c r="AQ59" s="39">
        <f t="shared" si="23"/>
        <v>138919501</v>
      </c>
      <c r="AR59" s="39">
        <f t="shared" si="23"/>
        <v>136188371</v>
      </c>
      <c r="AS59" s="39">
        <f t="shared" si="23"/>
        <v>133423362</v>
      </c>
      <c r="AT59" s="39">
        <f t="shared" si="23"/>
        <v>130761497</v>
      </c>
      <c r="AU59" s="39">
        <f t="shared" si="23"/>
        <v>128079432</v>
      </c>
      <c r="AV59" s="39">
        <f t="shared" si="23"/>
        <v>125301983</v>
      </c>
      <c r="AW59" s="39">
        <f t="shared" si="23"/>
        <v>122427149</v>
      </c>
      <c r="AX59" s="39">
        <f t="shared" si="23"/>
        <v>119452881</v>
      </c>
      <c r="AY59" s="39">
        <f t="shared" si="23"/>
        <v>116377094</v>
      </c>
      <c r="AZ59" s="39">
        <f t="shared" si="23"/>
        <v>113197656</v>
      </c>
      <c r="BA59" s="39">
        <f t="shared" si="23"/>
        <v>109912391</v>
      </c>
      <c r="BB59" s="39">
        <f t="shared" si="23"/>
        <v>106519075</v>
      </c>
      <c r="BC59" s="39">
        <f t="shared" si="23"/>
        <v>103015438</v>
      </c>
      <c r="BD59" s="39">
        <f t="shared" si="23"/>
        <v>99399166</v>
      </c>
      <c r="BE59" s="39">
        <f t="shared" si="23"/>
        <v>95667893</v>
      </c>
      <c r="BF59" s="39">
        <f t="shared" si="23"/>
        <v>91819203</v>
      </c>
      <c r="BG59" s="39">
        <f t="shared" si="23"/>
        <v>87850631</v>
      </c>
      <c r="BH59" s="39">
        <f t="shared" si="23"/>
        <v>83759660</v>
      </c>
      <c r="BI59" s="39">
        <f t="shared" si="23"/>
        <v>79543718</v>
      </c>
      <c r="BJ59" s="39">
        <f t="shared" si="23"/>
        <v>75387979</v>
      </c>
      <c r="BK59" s="39">
        <f t="shared" si="23"/>
        <v>71264806</v>
      </c>
      <c r="BL59" s="39">
        <f t="shared" si="23"/>
        <v>66316488</v>
      </c>
      <c r="BM59" s="39">
        <f t="shared" si="23"/>
        <v>61578297</v>
      </c>
      <c r="BN59" s="39">
        <f t="shared" si="23"/>
        <v>57042927</v>
      </c>
      <c r="BO59" s="39">
        <f t="shared" si="23"/>
        <v>52597455</v>
      </c>
      <c r="BP59" s="39">
        <f t="shared" si="23"/>
        <v>48243774</v>
      </c>
      <c r="BQ59" s="39">
        <f t="shared" si="23"/>
        <v>44022870</v>
      </c>
    </row>
    <row r="60" spans="2:69">
      <c r="B60" s="4"/>
      <c r="C60" s="4"/>
      <c r="D60" s="4"/>
      <c r="E60" s="1" t="s">
        <v>729</v>
      </c>
      <c r="F60" s="1"/>
      <c r="G60" s="249"/>
      <c r="H60" s="249" t="s">
        <v>166</v>
      </c>
      <c r="I60" s="249"/>
      <c r="J60" s="249"/>
      <c r="K60" s="1" t="s">
        <v>173</v>
      </c>
      <c r="L60" s="1"/>
      <c r="M60" s="1"/>
      <c r="N60" s="85">
        <v>3267062</v>
      </c>
      <c r="O60" s="85">
        <v>3316293</v>
      </c>
      <c r="P60" s="85">
        <v>3571553</v>
      </c>
      <c r="Q60" s="85">
        <v>4301221</v>
      </c>
      <c r="R60" s="85">
        <v>4944124</v>
      </c>
      <c r="S60" s="85">
        <f>【PL】決算数値入力!AB60</f>
        <v>3390666.4</v>
      </c>
      <c r="T60" s="85">
        <v>7314499</v>
      </c>
      <c r="U60" s="85">
        <v>10426807</v>
      </c>
      <c r="V60" s="85">
        <v>10790095</v>
      </c>
      <c r="W60" s="85">
        <v>10529945</v>
      </c>
      <c r="X60" s="85">
        <v>10171513</v>
      </c>
      <c r="Y60" s="85">
        <v>9805314</v>
      </c>
      <c r="Z60" s="85">
        <v>9287703</v>
      </c>
      <c r="AA60" s="85">
        <v>8710700</v>
      </c>
      <c r="AB60" s="85">
        <v>8029090</v>
      </c>
      <c r="AC60" s="85">
        <v>7440621</v>
      </c>
      <c r="AD60" s="85">
        <v>6856197</v>
      </c>
      <c r="AE60" s="85">
        <v>6300979</v>
      </c>
      <c r="AF60" s="85">
        <v>5737430</v>
      </c>
      <c r="AG60" s="85">
        <v>5165410</v>
      </c>
      <c r="AH60" s="85">
        <v>4588354</v>
      </c>
      <c r="AI60" s="85">
        <v>4045880</v>
      </c>
      <c r="AJ60" s="85">
        <v>3598596</v>
      </c>
      <c r="AK60" s="85">
        <v>3160696</v>
      </c>
      <c r="AL60" s="85">
        <v>2719825</v>
      </c>
      <c r="AM60" s="85">
        <v>2281790</v>
      </c>
      <c r="AN60" s="85">
        <v>1847085</v>
      </c>
      <c r="AO60" s="85">
        <v>1412272</v>
      </c>
      <c r="AP60" s="85">
        <v>1021280</v>
      </c>
      <c r="AQ60" s="85">
        <v>664686</v>
      </c>
      <c r="AR60" s="85">
        <v>341080</v>
      </c>
      <c r="AS60" s="85">
        <v>73217</v>
      </c>
      <c r="AT60" s="85">
        <v>0</v>
      </c>
      <c r="AU60" s="85">
        <v>0</v>
      </c>
      <c r="AV60" s="85">
        <v>0</v>
      </c>
      <c r="AW60" s="85">
        <v>0</v>
      </c>
      <c r="AX60" s="85">
        <v>0</v>
      </c>
      <c r="AY60" s="85">
        <v>0</v>
      </c>
      <c r="AZ60" s="85">
        <v>0</v>
      </c>
      <c r="BA60" s="85">
        <v>0</v>
      </c>
      <c r="BB60" s="85">
        <v>0</v>
      </c>
      <c r="BC60" s="85">
        <v>0</v>
      </c>
      <c r="BD60" s="85">
        <v>0</v>
      </c>
      <c r="BE60" s="85">
        <v>0</v>
      </c>
      <c r="BF60" s="85">
        <v>0</v>
      </c>
      <c r="BG60" s="85">
        <v>0</v>
      </c>
      <c r="BH60" s="85">
        <v>0</v>
      </c>
      <c r="BI60" s="85">
        <v>0</v>
      </c>
      <c r="BJ60" s="85">
        <v>0</v>
      </c>
      <c r="BK60" s="85">
        <v>0</v>
      </c>
      <c r="BL60" s="85">
        <v>0</v>
      </c>
      <c r="BM60" s="85">
        <v>0</v>
      </c>
      <c r="BN60" s="85">
        <v>0</v>
      </c>
      <c r="BO60" s="85">
        <v>0</v>
      </c>
      <c r="BP60" s="85">
        <v>0</v>
      </c>
      <c r="BQ60" s="85">
        <v>0</v>
      </c>
    </row>
    <row r="61" spans="2:69">
      <c r="B61" s="4"/>
      <c r="C61" s="4"/>
      <c r="D61" s="3"/>
      <c r="E61" s="1" t="s">
        <v>727</v>
      </c>
      <c r="F61" s="1"/>
      <c r="G61" s="249"/>
      <c r="H61" s="249" t="s">
        <v>166</v>
      </c>
      <c r="I61" s="249"/>
      <c r="J61" s="249"/>
      <c r="K61" s="1" t="s">
        <v>732</v>
      </c>
      <c r="L61" s="1"/>
      <c r="M61" s="1"/>
      <c r="N61" s="85">
        <f>【PL】決算数値入力!W61</f>
        <v>0</v>
      </c>
      <c r="O61" s="85">
        <f>【PL】決算数値入力!X61</f>
        <v>0</v>
      </c>
      <c r="P61" s="85">
        <f>【PL】決算数値入力!Y61</f>
        <v>0</v>
      </c>
      <c r="Q61" s="85">
        <f>【PL】決算数値入力!Z61</f>
        <v>0</v>
      </c>
      <c r="R61" s="85">
        <f>【PL】決算数値入力!AA61</f>
        <v>0</v>
      </c>
      <c r="S61" s="85">
        <f>【PL】決算数値入力!AB61</f>
        <v>0</v>
      </c>
      <c r="T61" s="85">
        <f>新規債返済スケジュール!E3</f>
        <v>0</v>
      </c>
      <c r="U61" s="85">
        <f>新規債返済スケジュール!F3</f>
        <v>5048400</v>
      </c>
      <c r="V61" s="85">
        <f>新規債返済スケジュール!G3</f>
        <v>9238017</v>
      </c>
      <c r="W61" s="85">
        <f>新規債返済スケジュール!H3</f>
        <v>18507390</v>
      </c>
      <c r="X61" s="85">
        <f>新規債返済スケジュール!I3</f>
        <v>26640850</v>
      </c>
      <c r="Y61" s="85">
        <f>新規債返済スケジュール!J3</f>
        <v>34316071</v>
      </c>
      <c r="Z61" s="85">
        <f>新規債返済スケジュール!K3</f>
        <v>38700148</v>
      </c>
      <c r="AA61" s="85">
        <f>新規債返済スケジュール!L3</f>
        <v>42991146</v>
      </c>
      <c r="AB61" s="85">
        <f>新規債返済スケジュール!M3</f>
        <v>48237112</v>
      </c>
      <c r="AC61" s="85">
        <f>新規債返済スケジュール!N3</f>
        <v>54629039</v>
      </c>
      <c r="AD61" s="85">
        <f>新規債返済スケジュール!O3</f>
        <v>59204122</v>
      </c>
      <c r="AE61" s="85">
        <f>新規債返済スケジュール!P3</f>
        <v>61986703</v>
      </c>
      <c r="AF61" s="85">
        <f>新規債返済スケジュール!Q3</f>
        <v>64051633</v>
      </c>
      <c r="AG61" s="85">
        <f>新規債返済スケジュール!R3</f>
        <v>66037278</v>
      </c>
      <c r="AH61" s="85">
        <f>新規債返済スケジュール!S3</f>
        <v>75921974</v>
      </c>
      <c r="AI61" s="85">
        <f>新規債返済スケジュール!T3</f>
        <v>85594747</v>
      </c>
      <c r="AJ61" s="85">
        <f>新規債返済スケジュール!U3</f>
        <v>95051140</v>
      </c>
      <c r="AK61" s="85">
        <f>新規債返済スケジュール!V3</f>
        <v>104286620</v>
      </c>
      <c r="AL61" s="85">
        <f>新規債返済スケジュール!W3</f>
        <v>113926541</v>
      </c>
      <c r="AM61" s="85">
        <f>新規債返済スケジュール!X3</f>
        <v>123808960</v>
      </c>
      <c r="AN61" s="85">
        <f>新規債返済スケジュール!Y3</f>
        <v>133438001</v>
      </c>
      <c r="AO61" s="85">
        <f>新規債返済スケジュール!Z3</f>
        <v>142808346</v>
      </c>
      <c r="AP61" s="85">
        <f>新規債返済スケジュール!AA3</f>
        <v>140574563</v>
      </c>
      <c r="AQ61" s="85">
        <f>新規債返済スケジュール!AB3</f>
        <v>138254815</v>
      </c>
      <c r="AR61" s="85">
        <f>新規債返済スケジュール!AC3</f>
        <v>135847291</v>
      </c>
      <c r="AS61" s="85">
        <f>新規債返済スケジュール!AD3</f>
        <v>133350145</v>
      </c>
      <c r="AT61" s="85">
        <f>新規債返済スケジュール!AE3</f>
        <v>130761497</v>
      </c>
      <c r="AU61" s="85">
        <f>新規債返済スケジュール!AF3</f>
        <v>128079432</v>
      </c>
      <c r="AV61" s="85">
        <f>新規債返済スケジュール!AG3</f>
        <v>125301983</v>
      </c>
      <c r="AW61" s="85">
        <f>新規債返済スケジュール!AH3</f>
        <v>122427149</v>
      </c>
      <c r="AX61" s="85">
        <f>新規債返済スケジュール!AI3</f>
        <v>119452881</v>
      </c>
      <c r="AY61" s="85">
        <f>新規債返済スケジュール!AJ3</f>
        <v>116377094</v>
      </c>
      <c r="AZ61" s="85">
        <f>新規債返済スケジュール!AK3</f>
        <v>113197656</v>
      </c>
      <c r="BA61" s="85">
        <f>新規債返済スケジュール!AL3</f>
        <v>109912391</v>
      </c>
      <c r="BB61" s="85">
        <f>新規債返済スケジュール!AM3</f>
        <v>106519075</v>
      </c>
      <c r="BC61" s="85">
        <f>新規債返済スケジュール!AN3</f>
        <v>103015438</v>
      </c>
      <c r="BD61" s="85">
        <f>新規債返済スケジュール!AO3</f>
        <v>99399166</v>
      </c>
      <c r="BE61" s="85">
        <f>新規債返済スケジュール!AP3</f>
        <v>95667893</v>
      </c>
      <c r="BF61" s="85">
        <f>新規債返済スケジュール!AQ3</f>
        <v>91819203</v>
      </c>
      <c r="BG61" s="85">
        <f>新規債返済スケジュール!AR3</f>
        <v>87850631</v>
      </c>
      <c r="BH61" s="85">
        <f>新規債返済スケジュール!AS3</f>
        <v>83759660</v>
      </c>
      <c r="BI61" s="85">
        <f>新規債返済スケジュール!AT3</f>
        <v>79543718</v>
      </c>
      <c r="BJ61" s="85">
        <f>新規債返済スケジュール!AU3</f>
        <v>75387979</v>
      </c>
      <c r="BK61" s="85">
        <f>新規債返済スケジュール!AV3</f>
        <v>71264806</v>
      </c>
      <c r="BL61" s="85">
        <f>新規債返済スケジュール!AW3</f>
        <v>66316488</v>
      </c>
      <c r="BM61" s="85">
        <f>新規債返済スケジュール!AX3</f>
        <v>61578297</v>
      </c>
      <c r="BN61" s="85">
        <f>新規債返済スケジュール!AY3</f>
        <v>57042927</v>
      </c>
      <c r="BO61" s="85">
        <f>新規債返済スケジュール!AZ3</f>
        <v>52597455</v>
      </c>
      <c r="BP61" s="85">
        <f>新規債返済スケジュール!BA3</f>
        <v>48243774</v>
      </c>
      <c r="BQ61" s="85">
        <f>新規債返済スケジュール!BB3</f>
        <v>44022870</v>
      </c>
    </row>
    <row r="62" spans="2:69">
      <c r="B62" s="4"/>
      <c r="C62" s="3"/>
      <c r="D62" s="9" t="s">
        <v>106</v>
      </c>
      <c r="E62" s="8"/>
      <c r="F62" s="1"/>
      <c r="G62" s="249"/>
      <c r="H62" s="249" t="s">
        <v>166</v>
      </c>
      <c r="I62" s="249"/>
      <c r="J62" s="249"/>
      <c r="K62" s="180" t="s">
        <v>719</v>
      </c>
      <c r="L62" s="1"/>
      <c r="M62" s="1"/>
      <c r="N62" s="39">
        <f>【PL】決算数値入力!W62</f>
        <v>36222190</v>
      </c>
      <c r="O62" s="39">
        <f>【PL】決算数値入力!X62</f>
        <v>10540977</v>
      </c>
      <c r="P62" s="39">
        <f>【PL】決算数値入力!Y62</f>
        <v>2787191</v>
      </c>
      <c r="Q62" s="39">
        <f>【PL】決算数値入力!Z62</f>
        <v>2403817</v>
      </c>
      <c r="R62" s="39">
        <f>【PL】決算数値入力!AA62</f>
        <v>11123657</v>
      </c>
      <c r="S62" s="39">
        <f>【PL】決算数値入力!AB62</f>
        <v>7339279.4000000004</v>
      </c>
      <c r="T62" s="39">
        <f>S62</f>
        <v>7339279.4000000004</v>
      </c>
      <c r="U62" s="39">
        <f t="shared" ref="U62:BQ62" si="24">T62</f>
        <v>7339279.4000000004</v>
      </c>
      <c r="V62" s="39">
        <f t="shared" si="24"/>
        <v>7339279.4000000004</v>
      </c>
      <c r="W62" s="39">
        <f t="shared" si="24"/>
        <v>7339279.4000000004</v>
      </c>
      <c r="X62" s="39">
        <f t="shared" si="24"/>
        <v>7339279.4000000004</v>
      </c>
      <c r="Y62" s="39">
        <f t="shared" si="24"/>
        <v>7339279.4000000004</v>
      </c>
      <c r="Z62" s="39">
        <f t="shared" si="24"/>
        <v>7339279.4000000004</v>
      </c>
      <c r="AA62" s="39">
        <f t="shared" si="24"/>
        <v>7339279.4000000004</v>
      </c>
      <c r="AB62" s="39">
        <f t="shared" si="24"/>
        <v>7339279.4000000004</v>
      </c>
      <c r="AC62" s="39">
        <f t="shared" si="24"/>
        <v>7339279.4000000004</v>
      </c>
      <c r="AD62" s="39">
        <f t="shared" si="24"/>
        <v>7339279.4000000004</v>
      </c>
      <c r="AE62" s="39">
        <f t="shared" si="24"/>
        <v>7339279.4000000004</v>
      </c>
      <c r="AF62" s="39">
        <f t="shared" si="24"/>
        <v>7339279.4000000004</v>
      </c>
      <c r="AG62" s="39">
        <f t="shared" si="24"/>
        <v>7339279.4000000004</v>
      </c>
      <c r="AH62" s="39">
        <f t="shared" si="24"/>
        <v>7339279.4000000004</v>
      </c>
      <c r="AI62" s="39">
        <f t="shared" si="24"/>
        <v>7339279.4000000004</v>
      </c>
      <c r="AJ62" s="39">
        <f t="shared" si="24"/>
        <v>7339279.4000000004</v>
      </c>
      <c r="AK62" s="39">
        <f t="shared" si="24"/>
        <v>7339279.4000000004</v>
      </c>
      <c r="AL62" s="39">
        <f t="shared" si="24"/>
        <v>7339279.4000000004</v>
      </c>
      <c r="AM62" s="39">
        <f t="shared" si="24"/>
        <v>7339279.4000000004</v>
      </c>
      <c r="AN62" s="39">
        <f t="shared" si="24"/>
        <v>7339279.4000000004</v>
      </c>
      <c r="AO62" s="39">
        <f t="shared" si="24"/>
        <v>7339279.4000000004</v>
      </c>
      <c r="AP62" s="39">
        <f t="shared" si="24"/>
        <v>7339279.4000000004</v>
      </c>
      <c r="AQ62" s="39">
        <f t="shared" si="24"/>
        <v>7339279.4000000004</v>
      </c>
      <c r="AR62" s="39">
        <f t="shared" si="24"/>
        <v>7339279.4000000004</v>
      </c>
      <c r="AS62" s="39">
        <f t="shared" si="24"/>
        <v>7339279.4000000004</v>
      </c>
      <c r="AT62" s="39">
        <f t="shared" si="24"/>
        <v>7339279.4000000004</v>
      </c>
      <c r="AU62" s="39">
        <f t="shared" si="24"/>
        <v>7339279.4000000004</v>
      </c>
      <c r="AV62" s="39">
        <f t="shared" si="24"/>
        <v>7339279.4000000004</v>
      </c>
      <c r="AW62" s="39">
        <f t="shared" si="24"/>
        <v>7339279.4000000004</v>
      </c>
      <c r="AX62" s="39">
        <f t="shared" si="24"/>
        <v>7339279.4000000004</v>
      </c>
      <c r="AY62" s="39">
        <f t="shared" si="24"/>
        <v>7339279.4000000004</v>
      </c>
      <c r="AZ62" s="39">
        <f t="shared" si="24"/>
        <v>7339279.4000000004</v>
      </c>
      <c r="BA62" s="39">
        <f t="shared" si="24"/>
        <v>7339279.4000000004</v>
      </c>
      <c r="BB62" s="39">
        <f t="shared" si="24"/>
        <v>7339279.4000000004</v>
      </c>
      <c r="BC62" s="39">
        <f t="shared" si="24"/>
        <v>7339279.4000000004</v>
      </c>
      <c r="BD62" s="39">
        <f t="shared" si="24"/>
        <v>7339279.4000000004</v>
      </c>
      <c r="BE62" s="39">
        <f t="shared" si="24"/>
        <v>7339279.4000000004</v>
      </c>
      <c r="BF62" s="39">
        <f t="shared" si="24"/>
        <v>7339279.4000000004</v>
      </c>
      <c r="BG62" s="39">
        <f t="shared" si="24"/>
        <v>7339279.4000000004</v>
      </c>
      <c r="BH62" s="39">
        <f t="shared" si="24"/>
        <v>7339279.4000000004</v>
      </c>
      <c r="BI62" s="39">
        <f t="shared" si="24"/>
        <v>7339279.4000000004</v>
      </c>
      <c r="BJ62" s="39">
        <f t="shared" si="24"/>
        <v>7339279.4000000004</v>
      </c>
      <c r="BK62" s="39">
        <f t="shared" si="24"/>
        <v>7339279.4000000004</v>
      </c>
      <c r="BL62" s="39">
        <f t="shared" si="24"/>
        <v>7339279.4000000004</v>
      </c>
      <c r="BM62" s="39">
        <f t="shared" si="24"/>
        <v>7339279.4000000004</v>
      </c>
      <c r="BN62" s="39">
        <f t="shared" si="24"/>
        <v>7339279.4000000004</v>
      </c>
      <c r="BO62" s="39">
        <f t="shared" si="24"/>
        <v>7339279.4000000004</v>
      </c>
      <c r="BP62" s="39">
        <f t="shared" si="24"/>
        <v>7339279.4000000004</v>
      </c>
      <c r="BQ62" s="39">
        <f t="shared" si="24"/>
        <v>7339279.4000000004</v>
      </c>
    </row>
    <row r="63" spans="2:69">
      <c r="B63" s="4"/>
      <c r="C63" s="5" t="s">
        <v>107</v>
      </c>
      <c r="D63" s="7"/>
      <c r="E63" s="8"/>
      <c r="F63" s="1"/>
      <c r="G63" s="249"/>
      <c r="H63" s="249"/>
      <c r="I63" s="249"/>
      <c r="J63" s="249"/>
      <c r="K63" s="1"/>
      <c r="L63" s="1"/>
      <c r="M63" s="1"/>
      <c r="N63" s="39">
        <f>【PL】決算数値入力!W63</f>
        <v>75141547</v>
      </c>
      <c r="O63" s="39">
        <f>【PL】決算数値入力!X63</f>
        <v>0</v>
      </c>
      <c r="P63" s="39">
        <f>【PL】決算数値入力!Y63</f>
        <v>0</v>
      </c>
      <c r="Q63" s="39">
        <f>【PL】決算数値入力!Z63</f>
        <v>0</v>
      </c>
      <c r="R63" s="39">
        <f>【PL】決算数値入力!AA63</f>
        <v>0</v>
      </c>
      <c r="S63" s="39">
        <f>【PL】決算数値入力!AB63</f>
        <v>31797738.800000001</v>
      </c>
      <c r="T63" s="39">
        <f t="shared" ref="T63:BQ63" si="25">SUM(T64:T67)</f>
        <v>0</v>
      </c>
      <c r="U63" s="39">
        <f t="shared" si="25"/>
        <v>0</v>
      </c>
      <c r="V63" s="39">
        <f t="shared" si="25"/>
        <v>0</v>
      </c>
      <c r="W63" s="39">
        <f t="shared" si="25"/>
        <v>0</v>
      </c>
      <c r="X63" s="39">
        <f t="shared" si="25"/>
        <v>0</v>
      </c>
      <c r="Y63" s="39">
        <f t="shared" si="25"/>
        <v>0</v>
      </c>
      <c r="Z63" s="39">
        <f t="shared" si="25"/>
        <v>0</v>
      </c>
      <c r="AA63" s="39">
        <f t="shared" si="25"/>
        <v>0</v>
      </c>
      <c r="AB63" s="39">
        <f t="shared" si="25"/>
        <v>0</v>
      </c>
      <c r="AC63" s="39">
        <f t="shared" si="25"/>
        <v>0</v>
      </c>
      <c r="AD63" s="39">
        <f t="shared" si="25"/>
        <v>0</v>
      </c>
      <c r="AE63" s="39">
        <f t="shared" si="25"/>
        <v>0</v>
      </c>
      <c r="AF63" s="39">
        <f t="shared" si="25"/>
        <v>0</v>
      </c>
      <c r="AG63" s="39">
        <f t="shared" si="25"/>
        <v>0</v>
      </c>
      <c r="AH63" s="39">
        <f t="shared" si="25"/>
        <v>0</v>
      </c>
      <c r="AI63" s="39">
        <f t="shared" si="25"/>
        <v>0</v>
      </c>
      <c r="AJ63" s="39">
        <f t="shared" si="25"/>
        <v>0</v>
      </c>
      <c r="AK63" s="39">
        <f t="shared" si="25"/>
        <v>0</v>
      </c>
      <c r="AL63" s="39">
        <f t="shared" si="25"/>
        <v>0</v>
      </c>
      <c r="AM63" s="39">
        <f t="shared" si="25"/>
        <v>0</v>
      </c>
      <c r="AN63" s="39">
        <f t="shared" si="25"/>
        <v>0</v>
      </c>
      <c r="AO63" s="39">
        <f t="shared" si="25"/>
        <v>0</v>
      </c>
      <c r="AP63" s="39">
        <f t="shared" si="25"/>
        <v>0</v>
      </c>
      <c r="AQ63" s="39">
        <f t="shared" si="25"/>
        <v>0</v>
      </c>
      <c r="AR63" s="39">
        <f t="shared" si="25"/>
        <v>0</v>
      </c>
      <c r="AS63" s="39">
        <f t="shared" si="25"/>
        <v>0</v>
      </c>
      <c r="AT63" s="39">
        <f t="shared" si="25"/>
        <v>0</v>
      </c>
      <c r="AU63" s="39">
        <f t="shared" si="25"/>
        <v>0</v>
      </c>
      <c r="AV63" s="39">
        <f t="shared" si="25"/>
        <v>0</v>
      </c>
      <c r="AW63" s="39">
        <f t="shared" si="25"/>
        <v>0</v>
      </c>
      <c r="AX63" s="39">
        <f t="shared" si="25"/>
        <v>0</v>
      </c>
      <c r="AY63" s="39">
        <f t="shared" si="25"/>
        <v>0</v>
      </c>
      <c r="AZ63" s="39">
        <f t="shared" si="25"/>
        <v>0</v>
      </c>
      <c r="BA63" s="39">
        <f t="shared" si="25"/>
        <v>0</v>
      </c>
      <c r="BB63" s="39">
        <f t="shared" si="25"/>
        <v>0</v>
      </c>
      <c r="BC63" s="39">
        <f t="shared" si="25"/>
        <v>0</v>
      </c>
      <c r="BD63" s="39">
        <f t="shared" si="25"/>
        <v>0</v>
      </c>
      <c r="BE63" s="39">
        <f t="shared" si="25"/>
        <v>0</v>
      </c>
      <c r="BF63" s="39">
        <f t="shared" si="25"/>
        <v>0</v>
      </c>
      <c r="BG63" s="39">
        <f t="shared" si="25"/>
        <v>0</v>
      </c>
      <c r="BH63" s="39">
        <f t="shared" si="25"/>
        <v>0</v>
      </c>
      <c r="BI63" s="39">
        <f t="shared" si="25"/>
        <v>0</v>
      </c>
      <c r="BJ63" s="39">
        <f t="shared" si="25"/>
        <v>0</v>
      </c>
      <c r="BK63" s="39">
        <f t="shared" si="25"/>
        <v>0</v>
      </c>
      <c r="BL63" s="39">
        <f t="shared" si="25"/>
        <v>0</v>
      </c>
      <c r="BM63" s="39">
        <f t="shared" si="25"/>
        <v>0</v>
      </c>
      <c r="BN63" s="39">
        <f t="shared" si="25"/>
        <v>0</v>
      </c>
      <c r="BO63" s="39">
        <f t="shared" si="25"/>
        <v>0</v>
      </c>
      <c r="BP63" s="39">
        <f t="shared" si="25"/>
        <v>0</v>
      </c>
      <c r="BQ63" s="39">
        <f t="shared" si="25"/>
        <v>0</v>
      </c>
    </row>
    <row r="64" spans="2:69">
      <c r="B64" s="4"/>
      <c r="C64" s="4"/>
      <c r="D64" s="1" t="s">
        <v>108</v>
      </c>
      <c r="E64" s="1"/>
      <c r="F64" s="1"/>
      <c r="G64" s="249"/>
      <c r="H64" s="249" t="s">
        <v>166</v>
      </c>
      <c r="I64" s="249"/>
      <c r="J64" s="249"/>
      <c r="K64" s="1" t="s">
        <v>163</v>
      </c>
      <c r="L64" s="1"/>
      <c r="M64" s="1"/>
      <c r="N64" s="85">
        <f>【PL】決算数値入力!W64</f>
        <v>75141547</v>
      </c>
      <c r="O64" s="85">
        <f>【PL】決算数値入力!X64</f>
        <v>0</v>
      </c>
      <c r="P64" s="85">
        <f>【PL】決算数値入力!Y64</f>
        <v>0</v>
      </c>
      <c r="Q64" s="85">
        <f>【PL】決算数値入力!Z64</f>
        <v>0</v>
      </c>
      <c r="R64" s="85">
        <f>【PL】決算数値入力!AA64</f>
        <v>0</v>
      </c>
      <c r="S64" s="85">
        <f>【PL】決算数値入力!AB64</f>
        <v>50712200.399999999</v>
      </c>
      <c r="T64" s="85">
        <v>0</v>
      </c>
      <c r="U64" s="85">
        <v>0</v>
      </c>
      <c r="V64" s="85">
        <v>0</v>
      </c>
      <c r="W64" s="85">
        <v>0</v>
      </c>
      <c r="X64" s="85">
        <v>0</v>
      </c>
      <c r="Y64" s="85">
        <v>0</v>
      </c>
      <c r="Z64" s="85">
        <v>0</v>
      </c>
      <c r="AA64" s="85">
        <v>0</v>
      </c>
      <c r="AB64" s="85">
        <v>0</v>
      </c>
      <c r="AC64" s="85">
        <v>0</v>
      </c>
      <c r="AD64" s="85">
        <v>0</v>
      </c>
      <c r="AE64" s="85">
        <v>0</v>
      </c>
      <c r="AF64" s="85">
        <v>0</v>
      </c>
      <c r="AG64" s="85">
        <v>0</v>
      </c>
      <c r="AH64" s="85">
        <v>0</v>
      </c>
      <c r="AI64" s="85">
        <v>0</v>
      </c>
      <c r="AJ64" s="85">
        <v>0</v>
      </c>
      <c r="AK64" s="85">
        <v>0</v>
      </c>
      <c r="AL64" s="85">
        <v>0</v>
      </c>
      <c r="AM64" s="85">
        <v>0</v>
      </c>
      <c r="AN64" s="85">
        <v>0</v>
      </c>
      <c r="AO64" s="85">
        <v>0</v>
      </c>
      <c r="AP64" s="85">
        <v>0</v>
      </c>
      <c r="AQ64" s="85">
        <v>0</v>
      </c>
      <c r="AR64" s="85">
        <v>0</v>
      </c>
      <c r="AS64" s="85">
        <v>0</v>
      </c>
      <c r="AT64" s="85">
        <v>0</v>
      </c>
      <c r="AU64" s="85">
        <v>0</v>
      </c>
      <c r="AV64" s="85">
        <v>0</v>
      </c>
      <c r="AW64" s="85">
        <v>0</v>
      </c>
      <c r="AX64" s="85">
        <v>0</v>
      </c>
      <c r="AY64" s="85">
        <v>0</v>
      </c>
      <c r="AZ64" s="85">
        <v>0</v>
      </c>
      <c r="BA64" s="85">
        <v>0</v>
      </c>
      <c r="BB64" s="85">
        <v>0</v>
      </c>
      <c r="BC64" s="85">
        <v>0</v>
      </c>
      <c r="BD64" s="85">
        <v>0</v>
      </c>
      <c r="BE64" s="85">
        <v>0</v>
      </c>
      <c r="BF64" s="85">
        <v>0</v>
      </c>
      <c r="BG64" s="85">
        <v>0</v>
      </c>
      <c r="BH64" s="85">
        <v>0</v>
      </c>
      <c r="BI64" s="85">
        <v>0</v>
      </c>
      <c r="BJ64" s="85">
        <v>0</v>
      </c>
      <c r="BK64" s="85">
        <v>0</v>
      </c>
      <c r="BL64" s="85">
        <v>0</v>
      </c>
      <c r="BM64" s="85">
        <v>0</v>
      </c>
      <c r="BN64" s="85">
        <v>0</v>
      </c>
      <c r="BO64" s="85">
        <v>0</v>
      </c>
      <c r="BP64" s="85">
        <v>0</v>
      </c>
      <c r="BQ64" s="85">
        <v>0</v>
      </c>
    </row>
    <row r="65" spans="1:69">
      <c r="B65" s="4"/>
      <c r="C65" s="4"/>
      <c r="D65" s="1" t="s">
        <v>109</v>
      </c>
      <c r="E65" s="1"/>
      <c r="F65" s="1"/>
      <c r="G65" s="249"/>
      <c r="H65" s="249" t="s">
        <v>166</v>
      </c>
      <c r="I65" s="249"/>
      <c r="J65" s="249"/>
      <c r="K65" s="1" t="s">
        <v>163</v>
      </c>
      <c r="L65" s="1"/>
      <c r="M65" s="1"/>
      <c r="N65" s="85">
        <f>【PL】決算数値入力!W65</f>
        <v>0</v>
      </c>
      <c r="O65" s="85">
        <f>【PL】決算数値入力!X65</f>
        <v>0</v>
      </c>
      <c r="P65" s="85">
        <f>【PL】決算数値入力!Y65</f>
        <v>0</v>
      </c>
      <c r="Q65" s="85">
        <f>【PL】決算数値入力!Z65</f>
        <v>0</v>
      </c>
      <c r="R65" s="85">
        <f>【PL】決算数値入力!AA65</f>
        <v>0</v>
      </c>
      <c r="S65" s="85">
        <f>【PL】決算数値入力!AB65</f>
        <v>1666</v>
      </c>
      <c r="T65" s="85"/>
      <c r="U65" s="189"/>
      <c r="V65" s="85">
        <v>0</v>
      </c>
      <c r="W65" s="85">
        <v>0</v>
      </c>
      <c r="X65" s="85">
        <v>0</v>
      </c>
      <c r="Y65" s="85">
        <v>0</v>
      </c>
      <c r="Z65" s="85">
        <v>0</v>
      </c>
      <c r="AA65" s="85">
        <v>0</v>
      </c>
      <c r="AB65" s="85">
        <v>0</v>
      </c>
      <c r="AC65" s="85">
        <v>0</v>
      </c>
      <c r="AD65" s="85">
        <v>0</v>
      </c>
      <c r="AE65" s="85">
        <v>0</v>
      </c>
      <c r="AF65" s="85">
        <v>0</v>
      </c>
      <c r="AG65" s="85">
        <v>0</v>
      </c>
      <c r="AH65" s="85">
        <v>0</v>
      </c>
      <c r="AI65" s="85">
        <v>0</v>
      </c>
      <c r="AJ65" s="85">
        <v>0</v>
      </c>
      <c r="AK65" s="85">
        <v>0</v>
      </c>
      <c r="AL65" s="85">
        <v>0</v>
      </c>
      <c r="AM65" s="85">
        <v>0</v>
      </c>
      <c r="AN65" s="85">
        <v>0</v>
      </c>
      <c r="AO65" s="85">
        <v>0</v>
      </c>
      <c r="AP65" s="85">
        <v>0</v>
      </c>
      <c r="AQ65" s="85">
        <v>0</v>
      </c>
      <c r="AR65" s="85">
        <v>0</v>
      </c>
      <c r="AS65" s="85">
        <v>0</v>
      </c>
      <c r="AT65" s="85">
        <v>0</v>
      </c>
      <c r="AU65" s="85">
        <v>0</v>
      </c>
      <c r="AV65" s="85">
        <v>0</v>
      </c>
      <c r="AW65" s="85">
        <v>0</v>
      </c>
      <c r="AX65" s="85">
        <v>0</v>
      </c>
      <c r="AY65" s="85">
        <v>0</v>
      </c>
      <c r="AZ65" s="85">
        <v>0</v>
      </c>
      <c r="BA65" s="85">
        <v>0</v>
      </c>
      <c r="BB65" s="85">
        <v>0</v>
      </c>
      <c r="BC65" s="85">
        <v>0</v>
      </c>
      <c r="BD65" s="85">
        <v>0</v>
      </c>
      <c r="BE65" s="85">
        <v>0</v>
      </c>
      <c r="BF65" s="85">
        <v>0</v>
      </c>
      <c r="BG65" s="85">
        <v>0</v>
      </c>
      <c r="BH65" s="85">
        <v>0</v>
      </c>
      <c r="BI65" s="85">
        <v>0</v>
      </c>
      <c r="BJ65" s="85">
        <v>0</v>
      </c>
      <c r="BK65" s="85">
        <v>0</v>
      </c>
      <c r="BL65" s="85">
        <v>0</v>
      </c>
      <c r="BM65" s="85">
        <v>0</v>
      </c>
      <c r="BN65" s="85">
        <v>0</v>
      </c>
      <c r="BO65" s="85">
        <v>0</v>
      </c>
      <c r="BP65" s="85">
        <v>0</v>
      </c>
      <c r="BQ65" s="85">
        <v>0</v>
      </c>
    </row>
    <row r="66" spans="1:69">
      <c r="B66" s="4"/>
      <c r="C66" s="4"/>
      <c r="D66" s="1" t="s">
        <v>110</v>
      </c>
      <c r="E66" s="1"/>
      <c r="F66" s="1"/>
      <c r="G66" s="249"/>
      <c r="H66" s="249" t="s">
        <v>166</v>
      </c>
      <c r="I66" s="249"/>
      <c r="J66" s="249"/>
      <c r="K66" s="1" t="s">
        <v>163</v>
      </c>
      <c r="L66" s="1"/>
      <c r="M66" s="1"/>
      <c r="N66" s="85">
        <f>【PL】決算数値入力!W66</f>
        <v>0</v>
      </c>
      <c r="O66" s="85">
        <f>【PL】決算数値入力!X66</f>
        <v>0</v>
      </c>
      <c r="P66" s="85">
        <f>【PL】決算数値入力!Y66</f>
        <v>0</v>
      </c>
      <c r="Q66" s="85">
        <f>【PL】決算数値入力!Z66</f>
        <v>0</v>
      </c>
      <c r="R66" s="85">
        <f>【PL】決算数値入力!AA66</f>
        <v>0</v>
      </c>
      <c r="S66" s="85">
        <f>【PL】決算数値入力!AB66</f>
        <v>0</v>
      </c>
      <c r="T66" s="85">
        <v>0</v>
      </c>
      <c r="U66" s="85">
        <v>0</v>
      </c>
      <c r="V66" s="85">
        <v>0</v>
      </c>
      <c r="W66" s="85">
        <v>0</v>
      </c>
      <c r="X66" s="85">
        <v>0</v>
      </c>
      <c r="Y66" s="85">
        <v>0</v>
      </c>
      <c r="Z66" s="85">
        <v>0</v>
      </c>
      <c r="AA66" s="85">
        <v>0</v>
      </c>
      <c r="AB66" s="85">
        <v>0</v>
      </c>
      <c r="AC66" s="85">
        <v>0</v>
      </c>
      <c r="AD66" s="85">
        <v>0</v>
      </c>
      <c r="AE66" s="85">
        <v>0</v>
      </c>
      <c r="AF66" s="85">
        <v>0</v>
      </c>
      <c r="AG66" s="85">
        <v>0</v>
      </c>
      <c r="AH66" s="85">
        <v>0</v>
      </c>
      <c r="AI66" s="85">
        <v>0</v>
      </c>
      <c r="AJ66" s="85">
        <v>0</v>
      </c>
      <c r="AK66" s="85">
        <v>0</v>
      </c>
      <c r="AL66" s="85">
        <v>0</v>
      </c>
      <c r="AM66" s="85">
        <v>0</v>
      </c>
      <c r="AN66" s="85">
        <v>0</v>
      </c>
      <c r="AO66" s="85">
        <v>0</v>
      </c>
      <c r="AP66" s="85">
        <v>0</v>
      </c>
      <c r="AQ66" s="85">
        <v>0</v>
      </c>
      <c r="AR66" s="85">
        <v>0</v>
      </c>
      <c r="AS66" s="85">
        <v>0</v>
      </c>
      <c r="AT66" s="85">
        <v>0</v>
      </c>
      <c r="AU66" s="85">
        <v>0</v>
      </c>
      <c r="AV66" s="85">
        <v>0</v>
      </c>
      <c r="AW66" s="85">
        <v>0</v>
      </c>
      <c r="AX66" s="85">
        <v>0</v>
      </c>
      <c r="AY66" s="85">
        <v>0</v>
      </c>
      <c r="AZ66" s="85">
        <v>0</v>
      </c>
      <c r="BA66" s="85">
        <v>0</v>
      </c>
      <c r="BB66" s="85">
        <v>0</v>
      </c>
      <c r="BC66" s="85">
        <v>0</v>
      </c>
      <c r="BD66" s="85">
        <v>0</v>
      </c>
      <c r="BE66" s="85">
        <v>0</v>
      </c>
      <c r="BF66" s="85">
        <v>0</v>
      </c>
      <c r="BG66" s="85">
        <v>0</v>
      </c>
      <c r="BH66" s="85">
        <v>0</v>
      </c>
      <c r="BI66" s="85">
        <v>0</v>
      </c>
      <c r="BJ66" s="85">
        <v>0</v>
      </c>
      <c r="BK66" s="85">
        <v>0</v>
      </c>
      <c r="BL66" s="85">
        <v>0</v>
      </c>
      <c r="BM66" s="85">
        <v>0</v>
      </c>
      <c r="BN66" s="85">
        <v>0</v>
      </c>
      <c r="BO66" s="85">
        <v>0</v>
      </c>
      <c r="BP66" s="85">
        <v>0</v>
      </c>
      <c r="BQ66" s="85">
        <v>0</v>
      </c>
    </row>
    <row r="67" spans="1:69">
      <c r="B67" s="3"/>
      <c r="C67" s="3"/>
      <c r="D67" s="1" t="s">
        <v>111</v>
      </c>
      <c r="E67" s="1"/>
      <c r="F67" s="1"/>
      <c r="G67" s="249"/>
      <c r="H67" s="249" t="s">
        <v>166</v>
      </c>
      <c r="I67" s="249"/>
      <c r="J67" s="249"/>
      <c r="K67" s="1" t="s">
        <v>163</v>
      </c>
      <c r="L67" s="1"/>
      <c r="M67" s="1"/>
      <c r="N67" s="85">
        <f>【PL】決算数値入力!W67</f>
        <v>0</v>
      </c>
      <c r="O67" s="85">
        <f>【PL】決算数値入力!X67</f>
        <v>0</v>
      </c>
      <c r="P67" s="85">
        <f>【PL】決算数値入力!Y67</f>
        <v>0</v>
      </c>
      <c r="Q67" s="85">
        <f>【PL】決算数値入力!Z67</f>
        <v>0</v>
      </c>
      <c r="R67" s="85">
        <f>【PL】決算数値入力!AA67</f>
        <v>0</v>
      </c>
      <c r="S67" s="85">
        <f>【PL】決算数値入力!AB67</f>
        <v>0</v>
      </c>
      <c r="T67" s="85">
        <v>0</v>
      </c>
      <c r="U67" s="85">
        <v>0</v>
      </c>
      <c r="V67" s="200">
        <v>0</v>
      </c>
      <c r="W67" s="200">
        <v>0</v>
      </c>
      <c r="X67" s="200">
        <v>0</v>
      </c>
      <c r="Y67" s="200">
        <v>0</v>
      </c>
      <c r="Z67" s="200">
        <v>0</v>
      </c>
      <c r="AA67" s="200">
        <v>0</v>
      </c>
      <c r="AB67" s="200">
        <v>0</v>
      </c>
      <c r="AC67" s="200">
        <v>0</v>
      </c>
      <c r="AD67" s="200">
        <v>0</v>
      </c>
      <c r="AE67" s="200">
        <v>0</v>
      </c>
      <c r="AF67" s="200">
        <v>0</v>
      </c>
      <c r="AG67" s="200">
        <v>0</v>
      </c>
      <c r="AH67" s="200">
        <v>0</v>
      </c>
      <c r="AI67" s="85">
        <v>0</v>
      </c>
      <c r="AJ67" s="85">
        <v>0</v>
      </c>
      <c r="AK67" s="85">
        <v>0</v>
      </c>
      <c r="AL67" s="85">
        <v>0</v>
      </c>
      <c r="AM67" s="85">
        <v>0</v>
      </c>
      <c r="AN67" s="85">
        <v>0</v>
      </c>
      <c r="AO67" s="85">
        <v>0</v>
      </c>
      <c r="AP67" s="85">
        <v>0</v>
      </c>
      <c r="AQ67" s="85">
        <v>0</v>
      </c>
      <c r="AR67" s="85">
        <v>0</v>
      </c>
      <c r="AS67" s="85">
        <v>0</v>
      </c>
      <c r="AT67" s="85">
        <v>0</v>
      </c>
      <c r="AU67" s="85">
        <v>0</v>
      </c>
      <c r="AV67" s="85">
        <v>0</v>
      </c>
      <c r="AW67" s="85">
        <v>0</v>
      </c>
      <c r="AX67" s="85">
        <v>0</v>
      </c>
      <c r="AY67" s="85">
        <v>0</v>
      </c>
      <c r="AZ67" s="85">
        <v>0</v>
      </c>
      <c r="BA67" s="85">
        <v>0</v>
      </c>
      <c r="BB67" s="85">
        <v>0</v>
      </c>
      <c r="BC67" s="85">
        <v>0</v>
      </c>
      <c r="BD67" s="85">
        <v>0</v>
      </c>
      <c r="BE67" s="85">
        <v>0</v>
      </c>
      <c r="BF67" s="85">
        <v>0</v>
      </c>
      <c r="BG67" s="85">
        <v>0</v>
      </c>
      <c r="BH67" s="85">
        <v>0</v>
      </c>
      <c r="BI67" s="85">
        <v>0</v>
      </c>
      <c r="BJ67" s="85">
        <v>0</v>
      </c>
      <c r="BK67" s="85">
        <v>0</v>
      </c>
      <c r="BL67" s="85">
        <v>0</v>
      </c>
      <c r="BM67" s="85">
        <v>0</v>
      </c>
      <c r="BN67" s="85">
        <v>0</v>
      </c>
      <c r="BO67" s="85">
        <v>0</v>
      </c>
      <c r="BP67" s="85">
        <v>0</v>
      </c>
      <c r="BQ67" s="85">
        <v>0</v>
      </c>
    </row>
    <row r="68" spans="1:69" ht="15" thickBot="1">
      <c r="B68" s="9" t="s">
        <v>112</v>
      </c>
      <c r="C68" s="7"/>
      <c r="D68" s="7"/>
      <c r="E68" s="8"/>
      <c r="F68" s="1"/>
      <c r="G68" s="249"/>
      <c r="H68" s="249"/>
      <c r="I68" s="249"/>
      <c r="J68" s="249"/>
      <c r="K68" s="1"/>
      <c r="L68" s="1"/>
      <c r="M68" s="1"/>
      <c r="N68" s="39">
        <f>【PL】決算数値入力!W68</f>
        <v>-154789750</v>
      </c>
      <c r="O68" s="39">
        <f>【PL】決算数値入力!X68</f>
        <v>-36029202</v>
      </c>
      <c r="P68" s="39">
        <f>【PL】決算数値入力!Y68</f>
        <v>-37745561</v>
      </c>
      <c r="Q68" s="39">
        <f>【PL】決算数値入力!Z68</f>
        <v>-101071072</v>
      </c>
      <c r="R68" s="39">
        <f>【PL】決算数値入力!AA68</f>
        <v>-59562535</v>
      </c>
      <c r="S68" s="39">
        <f>【PL】決算数値入力!AB68</f>
        <v>-74753090.400000006</v>
      </c>
      <c r="T68" s="39">
        <f t="shared" ref="T68:BQ68" si="26">T5-T24</f>
        <v>-27469070.100000024</v>
      </c>
      <c r="U68" s="202">
        <f t="shared" si="26"/>
        <v>-5763254.1000000238</v>
      </c>
      <c r="V68" s="201">
        <f t="shared" si="26"/>
        <v>-4619923.1000000238</v>
      </c>
      <c r="W68" s="201">
        <f t="shared" si="26"/>
        <v>-32590086.152631521</v>
      </c>
      <c r="X68" s="201">
        <f t="shared" si="26"/>
        <v>-46832251.67894733</v>
      </c>
      <c r="Y68" s="201">
        <f t="shared" si="26"/>
        <v>-56044417.205263138</v>
      </c>
      <c r="Z68" s="39">
        <f t="shared" si="26"/>
        <v>-65885041.731578946</v>
      </c>
      <c r="AA68" s="39">
        <f t="shared" si="26"/>
        <v>-73115391.257894754</v>
      </c>
      <c r="AB68" s="201">
        <f t="shared" si="26"/>
        <v>-85677765.257894754</v>
      </c>
      <c r="AC68" s="201">
        <f t="shared" si="26"/>
        <v>-95479673.257894754</v>
      </c>
      <c r="AD68" s="201">
        <f t="shared" si="26"/>
        <v>-105773205.25789475</v>
      </c>
      <c r="AE68" s="201">
        <f t="shared" si="26"/>
        <v>-112528510.25789475</v>
      </c>
      <c r="AF68" s="39">
        <f t="shared" si="26"/>
        <v>-119340488.25789475</v>
      </c>
      <c r="AG68" s="39">
        <f t="shared" si="26"/>
        <v>-135310024.25789475</v>
      </c>
      <c r="AH68" s="39">
        <f t="shared" si="26"/>
        <v>-151407999.25789475</v>
      </c>
      <c r="AI68" s="39">
        <f t="shared" si="26"/>
        <v>-167243497.25789475</v>
      </c>
      <c r="AJ68" s="39">
        <f t="shared" si="26"/>
        <v>-184635800.25789475</v>
      </c>
      <c r="AK68" s="39">
        <f t="shared" si="26"/>
        <v>-201013820.25789475</v>
      </c>
      <c r="AL68" s="39">
        <f t="shared" si="26"/>
        <v>-218582919.25789475</v>
      </c>
      <c r="AM68" s="39">
        <f t="shared" si="26"/>
        <v>-236707268.25789475</v>
      </c>
      <c r="AN68" s="39">
        <f t="shared" si="26"/>
        <v>-255101525.25789475</v>
      </c>
      <c r="AO68" s="39">
        <f t="shared" si="26"/>
        <v>-262390329.25789475</v>
      </c>
      <c r="AP68" s="39">
        <f t="shared" si="26"/>
        <v>-266343046.25789475</v>
      </c>
      <c r="AQ68" s="39">
        <f t="shared" si="26"/>
        <v>-269644307.25789475</v>
      </c>
      <c r="AR68" s="39">
        <f t="shared" si="26"/>
        <v>-273065739.25789475</v>
      </c>
      <c r="AS68" s="39">
        <f t="shared" si="26"/>
        <v>-276364905.25789475</v>
      </c>
      <c r="AT68" s="39">
        <f t="shared" si="26"/>
        <v>-283355018.25789475</v>
      </c>
      <c r="AU68" s="39">
        <f t="shared" si="26"/>
        <v>-287005486.25789475</v>
      </c>
      <c r="AV68" s="39">
        <f t="shared" si="26"/>
        <v>-290909787.25789475</v>
      </c>
      <c r="AW68" s="39">
        <f t="shared" si="26"/>
        <v>-294660904.25789475</v>
      </c>
      <c r="AX68" s="39">
        <f t="shared" si="26"/>
        <v>-298270946.25789475</v>
      </c>
      <c r="AY68" s="39">
        <f t="shared" si="26"/>
        <v>-301186929.25789475</v>
      </c>
      <c r="AZ68" s="39">
        <f t="shared" si="26"/>
        <v>-304442947.25789475</v>
      </c>
      <c r="BA68" s="39">
        <f t="shared" si="26"/>
        <v>-307937118.25789475</v>
      </c>
      <c r="BB68" s="39">
        <f t="shared" si="26"/>
        <v>-311545662.25789475</v>
      </c>
      <c r="BC68" s="39">
        <f t="shared" si="26"/>
        <v>-314869315.25789475</v>
      </c>
      <c r="BD68" s="39">
        <f t="shared" si="26"/>
        <v>-318519223.25789475</v>
      </c>
      <c r="BE68" s="39">
        <f t="shared" si="26"/>
        <v>-321180530.25789475</v>
      </c>
      <c r="BF68" s="39">
        <f t="shared" si="26"/>
        <v>-324279647.25789475</v>
      </c>
      <c r="BG68" s="39">
        <f t="shared" si="26"/>
        <v>-327945006.25789475</v>
      </c>
      <c r="BH68" s="39">
        <f t="shared" si="26"/>
        <v>-323707987.25789475</v>
      </c>
      <c r="BI68" s="39">
        <f t="shared" si="26"/>
        <v>-299354430.25789475</v>
      </c>
      <c r="BJ68" s="39">
        <f t="shared" si="26"/>
        <v>-289959186.25789475</v>
      </c>
      <c r="BK68" s="39">
        <f t="shared" si="26"/>
        <v>-277565915.25789475</v>
      </c>
      <c r="BL68" s="39">
        <f t="shared" si="26"/>
        <v>-266897220.25789475</v>
      </c>
      <c r="BM68" s="39">
        <f t="shared" si="26"/>
        <v>-67605009.100000024</v>
      </c>
      <c r="BN68" s="39">
        <f t="shared" si="26"/>
        <v>-69702832.100000024</v>
      </c>
      <c r="BO68" s="39">
        <f t="shared" si="26"/>
        <v>-70817781.100000024</v>
      </c>
      <c r="BP68" s="39">
        <f t="shared" si="26"/>
        <v>-72828497.100000024</v>
      </c>
      <c r="BQ68" s="39">
        <f t="shared" si="26"/>
        <v>-74912812.100000024</v>
      </c>
    </row>
    <row r="70" spans="1:69">
      <c r="B70" t="s">
        <v>113</v>
      </c>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row>
    <row r="71" spans="1:69">
      <c r="B71" s="11" t="s">
        <v>1</v>
      </c>
      <c r="C71" s="11" t="s">
        <v>2</v>
      </c>
      <c r="D71" s="12" t="s">
        <v>3</v>
      </c>
      <c r="E71" s="13"/>
      <c r="F71" s="20" t="s">
        <v>4</v>
      </c>
      <c r="G71" s="14"/>
      <c r="H71" s="14"/>
      <c r="I71" s="15"/>
      <c r="J71" s="311" t="s">
        <v>162</v>
      </c>
      <c r="K71" s="313" t="s">
        <v>8</v>
      </c>
      <c r="L71" s="11" t="s">
        <v>9</v>
      </c>
      <c r="M71" s="11" t="s">
        <v>10</v>
      </c>
      <c r="N71" s="30" t="s">
        <v>11</v>
      </c>
      <c r="O71" s="31"/>
      <c r="P71" s="31"/>
      <c r="Q71" s="31"/>
      <c r="R71" s="32"/>
      <c r="S71" s="35" t="s">
        <v>177</v>
      </c>
      <c r="T71" s="33" t="s">
        <v>17</v>
      </c>
      <c r="U71" s="31"/>
      <c r="V71" s="31"/>
      <c r="W71" s="32"/>
      <c r="X71" s="34" t="s">
        <v>68</v>
      </c>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row>
    <row r="72" spans="1:69">
      <c r="B72" s="17"/>
      <c r="C72" s="17"/>
      <c r="D72" s="18"/>
      <c r="E72" s="19"/>
      <c r="F72" s="17"/>
      <c r="G72" s="250" t="s">
        <v>5</v>
      </c>
      <c r="H72" s="250" t="s">
        <v>6</v>
      </c>
      <c r="I72" s="250" t="s">
        <v>7</v>
      </c>
      <c r="J72" s="312"/>
      <c r="K72" s="314"/>
      <c r="L72" s="17"/>
      <c r="M72" s="17"/>
      <c r="N72" s="35" t="s">
        <v>589</v>
      </c>
      <c r="O72" s="35" t="s">
        <v>19</v>
      </c>
      <c r="P72" s="35" t="s">
        <v>20</v>
      </c>
      <c r="Q72" s="35" t="s">
        <v>588</v>
      </c>
      <c r="R72" s="35" t="s">
        <v>594</v>
      </c>
      <c r="S72" s="35"/>
      <c r="T72" s="35" t="s">
        <v>710</v>
      </c>
      <c r="U72" s="35" t="s">
        <v>711</v>
      </c>
      <c r="V72" s="35" t="s">
        <v>712</v>
      </c>
      <c r="W72" s="35" t="s">
        <v>713</v>
      </c>
      <c r="X72" s="35" t="s">
        <v>27</v>
      </c>
      <c r="Y72" s="35" t="s">
        <v>28</v>
      </c>
      <c r="Z72" s="35" t="s">
        <v>29</v>
      </c>
      <c r="AA72" s="35" t="s">
        <v>30</v>
      </c>
      <c r="AB72" s="35" t="s">
        <v>31</v>
      </c>
      <c r="AC72" s="35" t="s">
        <v>32</v>
      </c>
      <c r="AD72" s="35" t="s">
        <v>33</v>
      </c>
      <c r="AE72" s="35" t="s">
        <v>34</v>
      </c>
      <c r="AF72" s="35" t="s">
        <v>35</v>
      </c>
      <c r="AG72" s="35" t="s">
        <v>36</v>
      </c>
      <c r="AH72" s="35" t="s">
        <v>37</v>
      </c>
      <c r="AI72" s="35" t="s">
        <v>38</v>
      </c>
      <c r="AJ72" s="35" t="s">
        <v>39</v>
      </c>
      <c r="AK72" s="35" t="s">
        <v>40</v>
      </c>
      <c r="AL72" s="35" t="s">
        <v>41</v>
      </c>
      <c r="AM72" s="35" t="s">
        <v>42</v>
      </c>
      <c r="AN72" s="35" t="s">
        <v>43</v>
      </c>
      <c r="AO72" s="35" t="s">
        <v>44</v>
      </c>
      <c r="AP72" s="35" t="s">
        <v>45</v>
      </c>
      <c r="AQ72" s="35" t="s">
        <v>46</v>
      </c>
      <c r="AR72" s="35" t="s">
        <v>47</v>
      </c>
      <c r="AS72" s="35" t="s">
        <v>48</v>
      </c>
      <c r="AT72" s="35" t="s">
        <v>49</v>
      </c>
      <c r="AU72" s="35" t="s">
        <v>50</v>
      </c>
      <c r="AV72" s="35" t="s">
        <v>51</v>
      </c>
      <c r="AW72" s="35" t="s">
        <v>52</v>
      </c>
      <c r="AX72" s="35" t="s">
        <v>53</v>
      </c>
      <c r="AY72" s="35" t="s">
        <v>54</v>
      </c>
      <c r="AZ72" s="35" t="s">
        <v>55</v>
      </c>
      <c r="BA72" s="35" t="s">
        <v>56</v>
      </c>
      <c r="BB72" s="35" t="s">
        <v>57</v>
      </c>
      <c r="BC72" s="35" t="s">
        <v>58</v>
      </c>
      <c r="BD72" s="35" t="s">
        <v>59</v>
      </c>
      <c r="BE72" s="35" t="s">
        <v>60</v>
      </c>
      <c r="BF72" s="35" t="s">
        <v>61</v>
      </c>
      <c r="BG72" s="35" t="s">
        <v>62</v>
      </c>
      <c r="BH72" s="35" t="s">
        <v>63</v>
      </c>
      <c r="BI72" s="35" t="s">
        <v>64</v>
      </c>
      <c r="BJ72" s="35" t="s">
        <v>65</v>
      </c>
      <c r="BK72" s="35" t="s">
        <v>66</v>
      </c>
      <c r="BL72" s="35" t="s">
        <v>67</v>
      </c>
      <c r="BM72" s="35" t="s">
        <v>670</v>
      </c>
      <c r="BN72" s="35" t="s">
        <v>671</v>
      </c>
      <c r="BO72" s="35" t="s">
        <v>672</v>
      </c>
      <c r="BP72" s="35" t="s">
        <v>673</v>
      </c>
      <c r="BQ72" s="35" t="s">
        <v>674</v>
      </c>
    </row>
    <row r="73" spans="1:69" s="196" customFormat="1">
      <c r="A73"/>
      <c r="B73" s="190" t="s">
        <v>114</v>
      </c>
      <c r="C73" s="191"/>
      <c r="D73" s="191"/>
      <c r="E73" s="192"/>
      <c r="F73" s="193"/>
      <c r="G73" s="193"/>
      <c r="H73" s="193"/>
      <c r="I73" s="193"/>
      <c r="J73" s="193"/>
      <c r="K73" s="193"/>
      <c r="L73" s="193"/>
      <c r="M73" s="193"/>
      <c r="N73" s="194">
        <f>SUM(N74:N79)</f>
        <v>2676012036</v>
      </c>
      <c r="O73" s="194">
        <f t="shared" ref="O73:R73" si="27">SUM(O74:O79)</f>
        <v>138363434</v>
      </c>
      <c r="P73" s="194">
        <f t="shared" si="27"/>
        <v>323524171</v>
      </c>
      <c r="Q73" s="194">
        <f t="shared" si="27"/>
        <v>110419887</v>
      </c>
      <c r="R73" s="194">
        <f t="shared" si="27"/>
        <v>212967818</v>
      </c>
      <c r="S73" s="194">
        <f t="shared" ref="S73:S100" si="28">IFERROR(AVERAGE(N73:R73),0)</f>
        <v>692257469.20000005</v>
      </c>
      <c r="T73" s="195">
        <f>SUM(T74:T79)</f>
        <v>254424733</v>
      </c>
      <c r="U73" s="195">
        <f>SUM(U74:U79)</f>
        <v>245418000</v>
      </c>
      <c r="V73" s="195">
        <f>SUM(V74:V79)</f>
        <v>1060881790</v>
      </c>
      <c r="W73" s="195">
        <f t="shared" ref="W73:BQ73" si="29">SUM(W74:W79)</f>
        <v>994652356</v>
      </c>
      <c r="X73" s="195">
        <f t="shared" si="29"/>
        <v>538508860</v>
      </c>
      <c r="Y73" s="195">
        <f t="shared" si="29"/>
        <v>377923445</v>
      </c>
      <c r="Z73" s="195">
        <f t="shared" si="29"/>
        <v>363577472</v>
      </c>
      <c r="AA73" s="195">
        <f t="shared" si="29"/>
        <v>381501351</v>
      </c>
      <c r="AB73" s="195">
        <f t="shared" si="29"/>
        <v>423765464</v>
      </c>
      <c r="AC73" s="195">
        <f t="shared" si="29"/>
        <v>344353929</v>
      </c>
      <c r="AD73" s="195">
        <f t="shared" si="29"/>
        <v>259366881</v>
      </c>
      <c r="AE73" s="195">
        <f t="shared" si="29"/>
        <v>229922099</v>
      </c>
      <c r="AF73" s="195">
        <f t="shared" si="29"/>
        <v>230485648</v>
      </c>
      <c r="AG73" s="195">
        <f t="shared" si="29"/>
        <v>601057668</v>
      </c>
      <c r="AH73" s="195">
        <f t="shared" si="29"/>
        <v>600485030</v>
      </c>
      <c r="AI73" s="195">
        <f t="shared" si="29"/>
        <v>594833168</v>
      </c>
      <c r="AJ73" s="195">
        <f t="shared" si="29"/>
        <v>593278918</v>
      </c>
      <c r="AK73" s="195">
        <f t="shared" si="29"/>
        <v>623216900</v>
      </c>
      <c r="AL73" s="195">
        <f t="shared" si="29"/>
        <v>642121733</v>
      </c>
      <c r="AM73" s="195">
        <f t="shared" si="29"/>
        <v>640040032</v>
      </c>
      <c r="AN73" s="195">
        <f t="shared" si="29"/>
        <v>638793244</v>
      </c>
      <c r="AO73" s="195">
        <f t="shared" si="29"/>
        <v>94916953</v>
      </c>
      <c r="AP73" s="195">
        <f t="shared" si="29"/>
        <v>88357604</v>
      </c>
      <c r="AQ73" s="195">
        <f t="shared" si="29"/>
        <v>82391150</v>
      </c>
      <c r="AR73" s="195">
        <f t="shared" si="29"/>
        <v>78939519</v>
      </c>
      <c r="AS73" s="195">
        <f t="shared" si="29"/>
        <v>67173448</v>
      </c>
      <c r="AT73" s="195">
        <f t="shared" si="29"/>
        <v>60000000</v>
      </c>
      <c r="AU73" s="195">
        <f t="shared" si="29"/>
        <v>60000000</v>
      </c>
      <c r="AV73" s="195">
        <f t="shared" si="29"/>
        <v>60000000</v>
      </c>
      <c r="AW73" s="195">
        <f t="shared" si="29"/>
        <v>60000000</v>
      </c>
      <c r="AX73" s="195">
        <f t="shared" si="29"/>
        <v>60000000</v>
      </c>
      <c r="AY73" s="195">
        <f t="shared" si="29"/>
        <v>60000000</v>
      </c>
      <c r="AZ73" s="195">
        <f t="shared" si="29"/>
        <v>60000000</v>
      </c>
      <c r="BA73" s="195">
        <f t="shared" si="29"/>
        <v>60000000</v>
      </c>
      <c r="BB73" s="195">
        <f t="shared" si="29"/>
        <v>60000000</v>
      </c>
      <c r="BC73" s="195">
        <f t="shared" si="29"/>
        <v>60000000</v>
      </c>
      <c r="BD73" s="195">
        <f t="shared" si="29"/>
        <v>60000000</v>
      </c>
      <c r="BE73" s="195">
        <f t="shared" si="29"/>
        <v>60000000</v>
      </c>
      <c r="BF73" s="195">
        <f t="shared" si="29"/>
        <v>60000000</v>
      </c>
      <c r="BG73" s="195">
        <f t="shared" si="29"/>
        <v>60000000</v>
      </c>
      <c r="BH73" s="195">
        <f t="shared" si="29"/>
        <v>60000000</v>
      </c>
      <c r="BI73" s="195">
        <f t="shared" si="29"/>
        <v>60000000</v>
      </c>
      <c r="BJ73" s="195">
        <f t="shared" si="29"/>
        <v>60000000</v>
      </c>
      <c r="BK73" s="195">
        <f t="shared" si="29"/>
        <v>0</v>
      </c>
      <c r="BL73" s="195">
        <f t="shared" si="29"/>
        <v>0</v>
      </c>
      <c r="BM73" s="195">
        <f t="shared" si="29"/>
        <v>0</v>
      </c>
      <c r="BN73" s="195">
        <f t="shared" si="29"/>
        <v>0</v>
      </c>
      <c r="BO73" s="195">
        <f t="shared" si="29"/>
        <v>0</v>
      </c>
      <c r="BP73" s="195">
        <f t="shared" si="29"/>
        <v>0</v>
      </c>
      <c r="BQ73" s="195">
        <f t="shared" si="29"/>
        <v>0</v>
      </c>
    </row>
    <row r="74" spans="1:69">
      <c r="B74" s="4"/>
      <c r="C74" s="9" t="s">
        <v>115</v>
      </c>
      <c r="D74" s="7"/>
      <c r="E74" s="8"/>
      <c r="F74" s="67"/>
      <c r="G74" s="67"/>
      <c r="H74" s="67"/>
      <c r="I74" s="67"/>
      <c r="J74" s="67"/>
      <c r="K74" s="1"/>
      <c r="L74" s="1"/>
      <c r="M74" s="1"/>
      <c r="N74" s="85">
        <f>【PL】決算数値入力!K129</f>
        <v>26700000</v>
      </c>
      <c r="O74" s="85">
        <f>【PL】決算数値入力!L129</f>
        <v>109400000</v>
      </c>
      <c r="P74" s="85">
        <f>【PL】決算数値入力!M129</f>
        <v>143100000</v>
      </c>
      <c r="Q74" s="85">
        <f>【PL】決算数値入力!N129</f>
        <v>57100000</v>
      </c>
      <c r="R74" s="85">
        <f>【PL】決算数値入力!O129</f>
        <v>136400000</v>
      </c>
      <c r="S74" s="85">
        <f>【PL】決算数値入力!P129</f>
        <v>64520000</v>
      </c>
      <c r="T74" s="184">
        <v>240400000</v>
      </c>
      <c r="U74" s="184">
        <v>203400000</v>
      </c>
      <c r="V74" s="184">
        <f>IF((V82+V85+V86+V90-V75-V76-V77-V78)&lt;0,0,(V82+V85+V86+V90-V75-V76-V77-V78))</f>
        <v>448670000</v>
      </c>
      <c r="W74" s="184">
        <f>IF((W82+W85+W86+W90-W75-W76-W77-W78)&lt;0,0,(W82+W85+W86+W90-W75-W76-W77-W78))</f>
        <v>402000000</v>
      </c>
      <c r="X74" s="184">
        <f>IF((X82+X85+X86+X90-X75-X76-X77-X78)&lt;0,0,(X82+X85+X86+X90-X75-X76-X77-X78))</f>
        <v>387000000</v>
      </c>
      <c r="Y74" s="184">
        <f>IF((Y82+Y85+Y86+Y92-Y75-Y76-Y77-Y78)&lt;0,0,(Y82+Y85+Y86+Y92-Y75-Y76-Y77-Y78))</f>
        <v>237000000</v>
      </c>
      <c r="Z74" s="184">
        <f t="shared" ref="Z74:BQ74" si="30">IF((Z82+Z85+Z86+Z92-Z75-Z76-Z77-Z78)&lt;0,0,(Z82+Z85+Z86+Z92-Z75-Z76-Z77-Z78))</f>
        <v>237000000</v>
      </c>
      <c r="AA74" s="184">
        <f t="shared" si="30"/>
        <v>287000000</v>
      </c>
      <c r="AB74" s="184">
        <f t="shared" si="30"/>
        <v>347000000</v>
      </c>
      <c r="AC74" s="184">
        <f t="shared" si="30"/>
        <v>267000000</v>
      </c>
      <c r="AD74" s="184">
        <f t="shared" si="30"/>
        <v>187000000</v>
      </c>
      <c r="AE74" s="184">
        <f t="shared" si="30"/>
        <v>157000000</v>
      </c>
      <c r="AF74" s="184">
        <f t="shared" si="30"/>
        <v>157000000</v>
      </c>
      <c r="AG74" s="184">
        <f t="shared" si="30"/>
        <v>537000000</v>
      </c>
      <c r="AH74" s="184">
        <f t="shared" si="30"/>
        <v>537000000</v>
      </c>
      <c r="AI74" s="184">
        <f t="shared" si="30"/>
        <v>537000000</v>
      </c>
      <c r="AJ74" s="184">
        <f t="shared" si="30"/>
        <v>537000000</v>
      </c>
      <c r="AK74" s="184">
        <f t="shared" si="30"/>
        <v>567000000</v>
      </c>
      <c r="AL74" s="184">
        <f t="shared" si="30"/>
        <v>590000000</v>
      </c>
      <c r="AM74" s="184">
        <f t="shared" si="30"/>
        <v>590000000</v>
      </c>
      <c r="AN74" s="184">
        <f t="shared" si="30"/>
        <v>590000000</v>
      </c>
      <c r="AO74" s="184">
        <f t="shared" si="30"/>
        <v>50000000</v>
      </c>
      <c r="AP74" s="184">
        <f t="shared" si="30"/>
        <v>50000000</v>
      </c>
      <c r="AQ74" s="184">
        <f t="shared" si="30"/>
        <v>50000000</v>
      </c>
      <c r="AR74" s="184">
        <f t="shared" si="30"/>
        <v>50000000</v>
      </c>
      <c r="AS74" s="184">
        <f t="shared" si="30"/>
        <v>50000000</v>
      </c>
      <c r="AT74" s="184">
        <f t="shared" si="30"/>
        <v>50000000</v>
      </c>
      <c r="AU74" s="184">
        <f t="shared" si="30"/>
        <v>50000000</v>
      </c>
      <c r="AV74" s="184">
        <f t="shared" si="30"/>
        <v>50000000</v>
      </c>
      <c r="AW74" s="184">
        <f t="shared" si="30"/>
        <v>50000000</v>
      </c>
      <c r="AX74" s="184">
        <f t="shared" si="30"/>
        <v>50000000</v>
      </c>
      <c r="AY74" s="184">
        <f t="shared" si="30"/>
        <v>50000000</v>
      </c>
      <c r="AZ74" s="184">
        <f t="shared" si="30"/>
        <v>50000000</v>
      </c>
      <c r="BA74" s="184">
        <f t="shared" si="30"/>
        <v>50000000</v>
      </c>
      <c r="BB74" s="184">
        <f t="shared" si="30"/>
        <v>50000000</v>
      </c>
      <c r="BC74" s="184">
        <f t="shared" si="30"/>
        <v>50000000</v>
      </c>
      <c r="BD74" s="184">
        <f t="shared" si="30"/>
        <v>50000000</v>
      </c>
      <c r="BE74" s="184">
        <f t="shared" si="30"/>
        <v>50000000</v>
      </c>
      <c r="BF74" s="184">
        <f t="shared" si="30"/>
        <v>50000000</v>
      </c>
      <c r="BG74" s="184">
        <f t="shared" si="30"/>
        <v>50000000</v>
      </c>
      <c r="BH74" s="184">
        <f t="shared" si="30"/>
        <v>50000000</v>
      </c>
      <c r="BI74" s="184">
        <f t="shared" si="30"/>
        <v>50000000</v>
      </c>
      <c r="BJ74" s="184">
        <f t="shared" si="30"/>
        <v>50000000</v>
      </c>
      <c r="BK74" s="184">
        <f t="shared" si="30"/>
        <v>0</v>
      </c>
      <c r="BL74" s="184">
        <f t="shared" si="30"/>
        <v>0</v>
      </c>
      <c r="BM74" s="184">
        <f t="shared" si="30"/>
        <v>0</v>
      </c>
      <c r="BN74" s="184">
        <f t="shared" si="30"/>
        <v>0</v>
      </c>
      <c r="BO74" s="184">
        <f t="shared" si="30"/>
        <v>0</v>
      </c>
      <c r="BP74" s="184">
        <f t="shared" si="30"/>
        <v>0</v>
      </c>
      <c r="BQ74" s="184">
        <f t="shared" si="30"/>
        <v>0</v>
      </c>
    </row>
    <row r="75" spans="1:69">
      <c r="B75" s="4"/>
      <c r="C75" s="9" t="s">
        <v>116</v>
      </c>
      <c r="D75" s="7"/>
      <c r="E75" s="8"/>
      <c r="F75" s="1"/>
      <c r="G75" s="1"/>
      <c r="H75" s="1"/>
      <c r="I75" s="1"/>
      <c r="J75" s="1"/>
      <c r="K75" s="1" t="s">
        <v>169</v>
      </c>
      <c r="L75" s="1"/>
      <c r="M75" s="1"/>
      <c r="N75" s="85">
        <f>【PL】決算数値入力!K141</f>
        <v>0</v>
      </c>
      <c r="O75" s="85">
        <f>【PL】決算数値入力!L141</f>
        <v>0</v>
      </c>
      <c r="P75" s="85">
        <f>【PL】決算数値入力!M141</f>
        <v>1992527</v>
      </c>
      <c r="Q75" s="85">
        <f>【PL】決算数値入力!N141</f>
        <v>0</v>
      </c>
      <c r="R75" s="85">
        <f>【PL】決算数値入力!O141</f>
        <v>0</v>
      </c>
      <c r="S75" s="85">
        <f>【PL】決算数値入力!P141</f>
        <v>199252.7</v>
      </c>
      <c r="T75" s="197">
        <v>0</v>
      </c>
      <c r="U75" s="184">
        <f>16366000</f>
        <v>16366000</v>
      </c>
      <c r="V75" s="184">
        <f>65000000+450000000</f>
        <v>515000000</v>
      </c>
      <c r="W75" s="184">
        <f>45000000+450000000</f>
        <v>495000000</v>
      </c>
      <c r="X75" s="184">
        <f>20000000+40000000</f>
        <v>60000000</v>
      </c>
      <c r="Y75" s="184">
        <v>40000000</v>
      </c>
      <c r="Z75" s="184">
        <v>20000000</v>
      </c>
      <c r="AA75" s="184">
        <v>20000000</v>
      </c>
      <c r="AB75" s="184">
        <v>20000000</v>
      </c>
      <c r="AC75" s="184">
        <v>20000000</v>
      </c>
      <c r="AD75" s="184">
        <v>20000000</v>
      </c>
      <c r="AE75" s="184">
        <v>20000000</v>
      </c>
      <c r="AF75" s="184">
        <v>20000000</v>
      </c>
      <c r="AG75" s="85">
        <v>10000000</v>
      </c>
      <c r="AH75" s="85">
        <v>10000000</v>
      </c>
      <c r="AI75" s="85">
        <v>10000000</v>
      </c>
      <c r="AJ75" s="85">
        <v>10000000</v>
      </c>
      <c r="AK75" s="85">
        <v>10000000</v>
      </c>
      <c r="AL75" s="85">
        <v>10000000</v>
      </c>
      <c r="AM75" s="85">
        <v>10000000</v>
      </c>
      <c r="AN75" s="85">
        <v>10000000</v>
      </c>
      <c r="AO75" s="85">
        <v>10000000</v>
      </c>
      <c r="AP75" s="85">
        <v>10000000</v>
      </c>
      <c r="AQ75" s="85">
        <v>10000000</v>
      </c>
      <c r="AR75" s="85">
        <v>10000000</v>
      </c>
      <c r="AS75" s="85">
        <v>10000000</v>
      </c>
      <c r="AT75" s="85">
        <v>10000000</v>
      </c>
      <c r="AU75" s="85">
        <v>10000000</v>
      </c>
      <c r="AV75" s="85">
        <v>10000000</v>
      </c>
      <c r="AW75" s="85">
        <v>10000000</v>
      </c>
      <c r="AX75" s="85">
        <v>10000000</v>
      </c>
      <c r="AY75" s="85">
        <v>10000000</v>
      </c>
      <c r="AZ75" s="85">
        <v>10000000</v>
      </c>
      <c r="BA75" s="85">
        <v>10000000</v>
      </c>
      <c r="BB75" s="85">
        <v>10000000</v>
      </c>
      <c r="BC75" s="85">
        <v>10000000</v>
      </c>
      <c r="BD75" s="85">
        <v>10000000</v>
      </c>
      <c r="BE75" s="85">
        <v>10000000</v>
      </c>
      <c r="BF75" s="85">
        <v>10000000</v>
      </c>
      <c r="BG75" s="85">
        <v>10000000</v>
      </c>
      <c r="BH75" s="85">
        <v>10000000</v>
      </c>
      <c r="BI75" s="85">
        <v>10000000</v>
      </c>
      <c r="BJ75" s="85">
        <v>10000000</v>
      </c>
      <c r="BK75" s="184"/>
      <c r="BL75" s="184"/>
      <c r="BM75" s="184"/>
      <c r="BN75" s="184"/>
      <c r="BO75" s="184"/>
      <c r="BP75" s="184"/>
      <c r="BQ75" s="184"/>
    </row>
    <row r="76" spans="1:69">
      <c r="B76" s="4"/>
      <c r="C76" s="9" t="s">
        <v>76</v>
      </c>
      <c r="D76" s="7"/>
      <c r="E76" s="8"/>
      <c r="F76" s="1"/>
      <c r="G76" s="1"/>
      <c r="H76" s="1"/>
      <c r="I76" s="1"/>
      <c r="J76" s="1"/>
      <c r="K76" s="1" t="s">
        <v>718</v>
      </c>
      <c r="L76" s="1"/>
      <c r="M76" s="1"/>
      <c r="N76" s="85">
        <f>【PL】決算数値入力!K132</f>
        <v>733170036</v>
      </c>
      <c r="O76" s="85">
        <f>【PL】決算数値入力!L132</f>
        <v>3283434</v>
      </c>
      <c r="P76" s="85">
        <f>【PL】決算数値入力!M132</f>
        <v>35086328</v>
      </c>
      <c r="Q76" s="85">
        <f>【PL】決算数値入力!N132</f>
        <v>8630000</v>
      </c>
      <c r="R76" s="85">
        <f>【PL】決算数値入力!O132</f>
        <v>11667818</v>
      </c>
      <c r="S76" s="85">
        <f>【PL】決算数値入力!P132</f>
        <v>236483961.69999999</v>
      </c>
      <c r="T76" s="184">
        <v>0</v>
      </c>
      <c r="U76" s="184">
        <v>2686000</v>
      </c>
      <c r="V76" s="184">
        <v>3000000</v>
      </c>
      <c r="W76" s="184">
        <v>3000000</v>
      </c>
      <c r="X76" s="184">
        <v>3000000</v>
      </c>
      <c r="Y76" s="184">
        <v>3000000</v>
      </c>
      <c r="Z76" s="184">
        <v>3000000</v>
      </c>
      <c r="AA76" s="184">
        <v>3000000</v>
      </c>
      <c r="AB76" s="184">
        <v>3000000</v>
      </c>
      <c r="AC76" s="184">
        <v>3000000</v>
      </c>
      <c r="AD76" s="184">
        <v>3000000</v>
      </c>
      <c r="AE76" s="184">
        <v>3000000</v>
      </c>
      <c r="AF76" s="184">
        <v>3000000</v>
      </c>
      <c r="AG76" s="184">
        <v>3000000</v>
      </c>
      <c r="AH76" s="184">
        <v>3000000</v>
      </c>
      <c r="AI76" s="184">
        <v>3000000</v>
      </c>
      <c r="AJ76" s="184">
        <v>3000000</v>
      </c>
      <c r="AK76" s="184">
        <v>3000000</v>
      </c>
      <c r="AL76" s="184"/>
      <c r="AM76" s="184"/>
      <c r="AN76" s="184"/>
      <c r="AO76" s="184"/>
      <c r="AP76" s="184"/>
      <c r="AQ76" s="184"/>
      <c r="AR76" s="184"/>
      <c r="AS76" s="184"/>
      <c r="AT76" s="184"/>
      <c r="AU76" s="184"/>
      <c r="AV76" s="184"/>
      <c r="AW76" s="184"/>
      <c r="AX76" s="184"/>
      <c r="AY76" s="184"/>
      <c r="AZ76" s="184"/>
      <c r="BA76" s="184"/>
      <c r="BB76" s="184"/>
      <c r="BC76" s="184"/>
      <c r="BD76" s="184"/>
      <c r="BE76" s="184"/>
      <c r="BF76" s="184"/>
      <c r="BG76" s="184"/>
      <c r="BH76" s="184"/>
      <c r="BI76" s="184"/>
      <c r="BJ76" s="184"/>
      <c r="BK76" s="184"/>
      <c r="BL76" s="184"/>
      <c r="BM76" s="184"/>
      <c r="BN76" s="184"/>
      <c r="BO76" s="184"/>
      <c r="BP76" s="184"/>
      <c r="BQ76" s="184"/>
    </row>
    <row r="77" spans="1:69">
      <c r="B77" s="4"/>
      <c r="C77" s="9" t="s">
        <v>117</v>
      </c>
      <c r="D77" s="7"/>
      <c r="E77" s="8"/>
      <c r="F77" s="1"/>
      <c r="G77" s="1"/>
      <c r="H77" s="1"/>
      <c r="I77" s="1"/>
      <c r="J77" s="1"/>
      <c r="K77" s="1" t="s">
        <v>169</v>
      </c>
      <c r="L77" s="1"/>
      <c r="M77" s="1"/>
      <c r="N77" s="85">
        <f>【PL】決算数値入力!K135</f>
        <v>1916142000</v>
      </c>
      <c r="O77" s="85">
        <f>【PL】決算数値入力!L135</f>
        <v>25680000</v>
      </c>
      <c r="P77" s="85">
        <f>【PL】決算数値入力!M135</f>
        <v>133047000</v>
      </c>
      <c r="Q77" s="85">
        <f>【PL】決算数値入力!N135</f>
        <v>2629187</v>
      </c>
      <c r="R77" s="85">
        <f>【PL】決算数値入力!O135</f>
        <v>64900000</v>
      </c>
      <c r="S77" s="85">
        <f>【PL】決算数値入力!P135</f>
        <v>790929818.70000005</v>
      </c>
      <c r="T77" s="184">
        <v>4412733</v>
      </c>
      <c r="U77" s="184">
        <v>16366000</v>
      </c>
      <c r="V77" s="184">
        <v>63330000</v>
      </c>
      <c r="W77" s="184">
        <v>50000000</v>
      </c>
      <c r="X77" s="184">
        <v>50000000</v>
      </c>
      <c r="Y77" s="184">
        <v>50000000</v>
      </c>
      <c r="Z77" s="184">
        <v>50000000</v>
      </c>
      <c r="AA77" s="184"/>
      <c r="AB77" s="184"/>
      <c r="AC77" s="184"/>
      <c r="AD77" s="184"/>
      <c r="AE77" s="184"/>
      <c r="AF77" s="184"/>
      <c r="AG77" s="184"/>
      <c r="AH77" s="184"/>
      <c r="AI77" s="184"/>
      <c r="AJ77" s="184"/>
      <c r="AK77" s="184"/>
      <c r="AL77" s="184"/>
      <c r="AM77" s="184"/>
      <c r="AN77" s="184"/>
      <c r="AO77" s="184"/>
      <c r="AP77" s="184"/>
      <c r="AQ77" s="184"/>
      <c r="AR77" s="184"/>
      <c r="AS77" s="184"/>
      <c r="AT77" s="184"/>
      <c r="AU77" s="184"/>
      <c r="AV77" s="184"/>
      <c r="AW77" s="184"/>
      <c r="AX77" s="184"/>
      <c r="AY77" s="184"/>
      <c r="AZ77" s="184"/>
      <c r="BA77" s="184"/>
      <c r="BB77" s="184"/>
      <c r="BC77" s="184"/>
      <c r="BD77" s="184"/>
      <c r="BE77" s="184"/>
      <c r="BF77" s="184"/>
      <c r="BG77" s="184"/>
      <c r="BH77" s="184"/>
      <c r="BI77" s="184"/>
      <c r="BJ77" s="184"/>
      <c r="BK77" s="184"/>
      <c r="BL77" s="184"/>
      <c r="BM77" s="184"/>
      <c r="BN77" s="184"/>
      <c r="BO77" s="184"/>
      <c r="BP77" s="184"/>
      <c r="BQ77" s="184"/>
    </row>
    <row r="78" spans="1:69">
      <c r="B78" s="4"/>
      <c r="C78" s="9" t="s">
        <v>735</v>
      </c>
      <c r="D78" s="7"/>
      <c r="E78" s="8"/>
      <c r="F78" s="1"/>
      <c r="G78" s="1"/>
      <c r="H78" s="1"/>
      <c r="I78" s="1"/>
      <c r="J78" s="1"/>
      <c r="K78" s="1" t="s">
        <v>169</v>
      </c>
      <c r="L78" s="1"/>
      <c r="M78" s="1"/>
      <c r="N78" s="85">
        <f>【PL】決算数値入力!K138</f>
        <v>0</v>
      </c>
      <c r="O78" s="85">
        <f>【PL】決算数値入力!L138</f>
        <v>0</v>
      </c>
      <c r="P78" s="85">
        <f>【PL】決算数値入力!M138</f>
        <v>10298316</v>
      </c>
      <c r="Q78" s="85">
        <f>【PL】決算数値入力!N138</f>
        <v>42060700</v>
      </c>
      <c r="R78" s="85">
        <f>【PL】決算数値入力!O138</f>
        <v>0</v>
      </c>
      <c r="S78" s="85">
        <f>【PL】決算数値入力!P138</f>
        <v>16075184.6</v>
      </c>
      <c r="T78" s="184">
        <v>9612000</v>
      </c>
      <c r="U78" s="184">
        <v>6600000</v>
      </c>
      <c r="V78" s="184"/>
      <c r="W78" s="184"/>
      <c r="X78" s="184"/>
      <c r="Y78" s="184"/>
      <c r="Z78" s="184"/>
      <c r="AA78" s="184"/>
      <c r="AB78" s="184"/>
      <c r="AC78" s="184"/>
      <c r="AD78" s="184"/>
      <c r="AE78" s="184"/>
      <c r="AF78" s="184"/>
      <c r="AG78" s="184"/>
      <c r="AH78" s="184"/>
      <c r="AI78" s="184"/>
      <c r="AJ78" s="184"/>
      <c r="AK78" s="184"/>
      <c r="AL78" s="184"/>
      <c r="AM78" s="184"/>
      <c r="AN78" s="184"/>
      <c r="AO78" s="184"/>
      <c r="AP78" s="184"/>
      <c r="AQ78" s="184"/>
      <c r="AR78" s="184"/>
      <c r="AS78" s="184"/>
      <c r="AT78" s="184"/>
      <c r="AU78" s="184"/>
      <c r="AV78" s="184"/>
      <c r="AW78" s="184"/>
      <c r="AX78" s="184"/>
      <c r="AY78" s="184"/>
      <c r="AZ78" s="184"/>
      <c r="BA78" s="184"/>
      <c r="BB78" s="184"/>
      <c r="BC78" s="184"/>
      <c r="BD78" s="184"/>
      <c r="BE78" s="184"/>
      <c r="BF78" s="184"/>
      <c r="BG78" s="184"/>
      <c r="BH78" s="184"/>
      <c r="BI78" s="184"/>
      <c r="BJ78" s="184"/>
      <c r="BK78" s="184"/>
      <c r="BL78" s="184"/>
      <c r="BM78" s="184"/>
      <c r="BN78" s="184"/>
      <c r="BO78" s="184"/>
      <c r="BP78" s="184"/>
      <c r="BQ78" s="184"/>
    </row>
    <row r="79" spans="1:69">
      <c r="B79" s="3"/>
      <c r="C79" s="252" t="s">
        <v>785</v>
      </c>
      <c r="D79" s="253"/>
      <c r="E79" s="254"/>
      <c r="F79" s="255"/>
      <c r="G79" s="255"/>
      <c r="H79" s="255"/>
      <c r="I79" s="255"/>
      <c r="J79" s="255"/>
      <c r="K79" s="255" t="s">
        <v>163</v>
      </c>
      <c r="L79" s="255"/>
      <c r="M79" s="255"/>
      <c r="N79" s="157"/>
      <c r="O79" s="157"/>
      <c r="P79" s="157"/>
      <c r="Q79" s="157"/>
      <c r="R79" s="157"/>
      <c r="S79" s="157">
        <f t="shared" si="28"/>
        <v>0</v>
      </c>
      <c r="T79" s="256"/>
      <c r="U79" s="256"/>
      <c r="V79" s="256">
        <f>V97</f>
        <v>30881790</v>
      </c>
      <c r="W79" s="256">
        <f t="shared" ref="W79:BJ79" si="31">W97</f>
        <v>44652356</v>
      </c>
      <c r="X79" s="256">
        <f t="shared" si="31"/>
        <v>38508860</v>
      </c>
      <c r="Y79" s="256">
        <f t="shared" si="31"/>
        <v>47923445</v>
      </c>
      <c r="Z79" s="256">
        <f t="shared" si="31"/>
        <v>53577472</v>
      </c>
      <c r="AA79" s="256">
        <f t="shared" si="31"/>
        <v>71501351</v>
      </c>
      <c r="AB79" s="256">
        <f t="shared" si="31"/>
        <v>53765464</v>
      </c>
      <c r="AC79" s="256">
        <f t="shared" si="31"/>
        <v>54353929</v>
      </c>
      <c r="AD79" s="256">
        <f t="shared" si="31"/>
        <v>49366881</v>
      </c>
      <c r="AE79" s="256">
        <f t="shared" si="31"/>
        <v>49922099</v>
      </c>
      <c r="AF79" s="256">
        <f t="shared" si="31"/>
        <v>50485648</v>
      </c>
      <c r="AG79" s="256">
        <f t="shared" si="31"/>
        <v>51057668</v>
      </c>
      <c r="AH79" s="256">
        <f t="shared" si="31"/>
        <v>50485030</v>
      </c>
      <c r="AI79" s="256">
        <f t="shared" si="31"/>
        <v>44833168</v>
      </c>
      <c r="AJ79" s="256">
        <f t="shared" si="31"/>
        <v>43278918</v>
      </c>
      <c r="AK79" s="256">
        <f t="shared" si="31"/>
        <v>43216900</v>
      </c>
      <c r="AL79" s="256">
        <f t="shared" si="31"/>
        <v>42121733</v>
      </c>
      <c r="AM79" s="256">
        <f t="shared" si="31"/>
        <v>40040032</v>
      </c>
      <c r="AN79" s="256">
        <f t="shared" si="31"/>
        <v>38793244</v>
      </c>
      <c r="AO79" s="256">
        <f t="shared" si="31"/>
        <v>34916953</v>
      </c>
      <c r="AP79" s="256">
        <f t="shared" si="31"/>
        <v>28357604</v>
      </c>
      <c r="AQ79" s="256">
        <f t="shared" si="31"/>
        <v>22391150</v>
      </c>
      <c r="AR79" s="256">
        <f t="shared" si="31"/>
        <v>18939519</v>
      </c>
      <c r="AS79" s="256">
        <f t="shared" si="31"/>
        <v>7173448</v>
      </c>
      <c r="AT79" s="256">
        <f t="shared" si="31"/>
        <v>0</v>
      </c>
      <c r="AU79" s="256">
        <f t="shared" si="31"/>
        <v>0</v>
      </c>
      <c r="AV79" s="256">
        <f t="shared" si="31"/>
        <v>0</v>
      </c>
      <c r="AW79" s="256">
        <f t="shared" si="31"/>
        <v>0</v>
      </c>
      <c r="AX79" s="256">
        <f t="shared" si="31"/>
        <v>0</v>
      </c>
      <c r="AY79" s="256">
        <f t="shared" si="31"/>
        <v>0</v>
      </c>
      <c r="AZ79" s="256">
        <f t="shared" si="31"/>
        <v>0</v>
      </c>
      <c r="BA79" s="256">
        <f t="shared" si="31"/>
        <v>0</v>
      </c>
      <c r="BB79" s="256">
        <f t="shared" si="31"/>
        <v>0</v>
      </c>
      <c r="BC79" s="256">
        <f t="shared" si="31"/>
        <v>0</v>
      </c>
      <c r="BD79" s="256">
        <f t="shared" si="31"/>
        <v>0</v>
      </c>
      <c r="BE79" s="256">
        <f t="shared" si="31"/>
        <v>0</v>
      </c>
      <c r="BF79" s="256">
        <f t="shared" si="31"/>
        <v>0</v>
      </c>
      <c r="BG79" s="256">
        <f t="shared" si="31"/>
        <v>0</v>
      </c>
      <c r="BH79" s="256">
        <f t="shared" si="31"/>
        <v>0</v>
      </c>
      <c r="BI79" s="256">
        <f t="shared" si="31"/>
        <v>0</v>
      </c>
      <c r="BJ79" s="256">
        <f t="shared" si="31"/>
        <v>0</v>
      </c>
      <c r="BK79" s="184"/>
      <c r="BL79" s="184"/>
      <c r="BM79" s="184"/>
      <c r="BN79" s="184"/>
      <c r="BO79" s="184"/>
      <c r="BP79" s="184"/>
      <c r="BQ79" s="184"/>
    </row>
    <row r="80" spans="1:69" s="196" customFormat="1">
      <c r="A80"/>
      <c r="B80" s="190" t="s">
        <v>120</v>
      </c>
      <c r="C80" s="191"/>
      <c r="D80" s="191"/>
      <c r="E80" s="192"/>
      <c r="F80" s="193"/>
      <c r="G80" s="193"/>
      <c r="H80" s="193"/>
      <c r="I80" s="193"/>
      <c r="J80" s="193"/>
      <c r="K80" s="193"/>
      <c r="L80" s="193"/>
      <c r="M80" s="193"/>
      <c r="N80" s="194">
        <f>SUM(N81,N85:N86,N90,N96,N99)</f>
        <v>2746858038</v>
      </c>
      <c r="O80" s="194">
        <f t="shared" ref="O80:S80" si="32">SUM(O81,O85:O86,O90,O96,O99)</f>
        <v>150071375</v>
      </c>
      <c r="P80" s="194">
        <f t="shared" si="32"/>
        <v>345765337</v>
      </c>
      <c r="Q80" s="194">
        <f t="shared" si="32"/>
        <v>120983927</v>
      </c>
      <c r="R80" s="194">
        <f t="shared" si="32"/>
        <v>280177715</v>
      </c>
      <c r="S80" s="194">
        <f t="shared" si="32"/>
        <v>1129789407.3999999</v>
      </c>
      <c r="T80" s="195">
        <f>SUM(T81,T85:T86,T90,T96,T99)</f>
        <v>267061936</v>
      </c>
      <c r="U80" s="195">
        <f>SUM(U81,U85:U86,U90,U96,U99)</f>
        <v>264833249</v>
      </c>
      <c r="V80" s="195">
        <f>SUM(V81,V85:V86,V90,V96,V99)</f>
        <v>1068153082</v>
      </c>
      <c r="W80" s="195">
        <f t="shared" ref="W80:BQ80" si="33">SUM(W81,W85:W86,W90,W96,W99)</f>
        <v>1009344748</v>
      </c>
      <c r="X80" s="195">
        <f>SUM(X81,X85:X86,X90,X96,X99)</f>
        <v>560022144</v>
      </c>
      <c r="Y80" s="195">
        <f t="shared" si="33"/>
        <v>406157864</v>
      </c>
      <c r="Z80" s="195">
        <f t="shared" si="33"/>
        <v>396244186</v>
      </c>
      <c r="AA80" s="195">
        <f t="shared" si="33"/>
        <v>419693438</v>
      </c>
      <c r="AB80" s="195">
        <f t="shared" si="33"/>
        <v>467387951</v>
      </c>
      <c r="AC80" s="195">
        <f t="shared" si="33"/>
        <v>397492848</v>
      </c>
      <c r="AD80" s="195">
        <f t="shared" si="33"/>
        <v>333863087</v>
      </c>
      <c r="AE80" s="195">
        <f t="shared" si="33"/>
        <v>308592105</v>
      </c>
      <c r="AF80" s="195">
        <f t="shared" si="33"/>
        <v>312931104</v>
      </c>
      <c r="AG80" s="195">
        <f t="shared" si="33"/>
        <v>667357861</v>
      </c>
      <c r="AH80" s="195">
        <f t="shared" si="33"/>
        <v>676876864</v>
      </c>
      <c r="AI80" s="195">
        <f t="shared" si="33"/>
        <v>682528569</v>
      </c>
      <c r="AJ80" s="195">
        <f t="shared" si="33"/>
        <v>691494261</v>
      </c>
      <c r="AK80" s="195">
        <f t="shared" si="33"/>
        <v>735173101</v>
      </c>
      <c r="AL80" s="195">
        <f t="shared" si="33"/>
        <v>781530349</v>
      </c>
      <c r="AM80" s="195">
        <f t="shared" si="33"/>
        <v>791514159</v>
      </c>
      <c r="AN80" s="195">
        <f t="shared" si="33"/>
        <v>802586259</v>
      </c>
      <c r="AO80" s="195">
        <f t="shared" si="33"/>
        <v>251287553</v>
      </c>
      <c r="AP80" s="195">
        <f t="shared" si="33"/>
        <v>248821982</v>
      </c>
      <c r="AQ80" s="195">
        <f t="shared" si="33"/>
        <v>248035274</v>
      </c>
      <c r="AR80" s="195">
        <f t="shared" si="33"/>
        <v>248851162</v>
      </c>
      <c r="AS80" s="195">
        <f t="shared" si="33"/>
        <v>244442230</v>
      </c>
      <c r="AT80" s="195">
        <f t="shared" si="33"/>
        <v>257717420</v>
      </c>
      <c r="AU80" s="195">
        <f>SUM(AU81,AU85:AU86,AU90,AU96,AU99)</f>
        <v>262259480</v>
      </c>
      <c r="AV80" s="195">
        <f t="shared" si="33"/>
        <v>266896924</v>
      </c>
      <c r="AW80" s="195">
        <f t="shared" si="33"/>
        <v>251631756</v>
      </c>
      <c r="AX80" s="195">
        <f t="shared" si="33"/>
        <v>256466016</v>
      </c>
      <c r="AY80" s="195">
        <f t="shared" si="33"/>
        <v>262401796</v>
      </c>
      <c r="AZ80" s="195">
        <f t="shared" si="33"/>
        <v>267441228</v>
      </c>
      <c r="BA80" s="195">
        <f t="shared" si="33"/>
        <v>275586490</v>
      </c>
      <c r="BB80" s="195">
        <f t="shared" si="33"/>
        <v>296839797</v>
      </c>
      <c r="BC80" s="195">
        <f t="shared" si="33"/>
        <v>302203425</v>
      </c>
      <c r="BD80" s="195">
        <f t="shared" si="33"/>
        <v>307679692</v>
      </c>
      <c r="BE80" s="195">
        <f t="shared" si="33"/>
        <v>293270959</v>
      </c>
      <c r="BF80" s="195">
        <f t="shared" si="33"/>
        <v>298979645</v>
      </c>
      <c r="BG80" s="195">
        <f t="shared" si="33"/>
        <v>305808211</v>
      </c>
      <c r="BH80" s="195">
        <f t="shared" si="33"/>
        <v>311759180</v>
      </c>
      <c r="BI80" s="195">
        <f t="shared" si="33"/>
        <v>311892265</v>
      </c>
      <c r="BJ80" s="195">
        <f t="shared" si="33"/>
        <v>326341539</v>
      </c>
      <c r="BK80" s="195">
        <f t="shared" si="33"/>
        <v>255634235</v>
      </c>
      <c r="BL80" s="195">
        <f t="shared" si="33"/>
        <v>245628201</v>
      </c>
      <c r="BM80" s="195">
        <f t="shared" si="33"/>
        <v>215970039</v>
      </c>
      <c r="BN80" s="195">
        <f t="shared" si="33"/>
        <v>211689036</v>
      </c>
      <c r="BO80" s="195">
        <f t="shared" si="33"/>
        <v>208318131</v>
      </c>
      <c r="BP80" s="195">
        <f t="shared" si="33"/>
        <v>201995447</v>
      </c>
      <c r="BQ80" s="195">
        <f t="shared" si="33"/>
        <v>196307993</v>
      </c>
    </row>
    <row r="81" spans="2:69">
      <c r="B81" s="4"/>
      <c r="C81" s="5" t="s">
        <v>121</v>
      </c>
      <c r="D81" s="7"/>
      <c r="E81" s="8"/>
      <c r="F81" s="67"/>
      <c r="G81" s="67"/>
      <c r="H81" s="67"/>
      <c r="I81" s="67"/>
      <c r="J81" s="67"/>
      <c r="K81" s="1"/>
      <c r="L81" s="1"/>
      <c r="M81" s="1"/>
      <c r="N81" s="85">
        <f>SUM(N82)</f>
        <v>0</v>
      </c>
      <c r="O81" s="85">
        <f t="shared" ref="O81:BQ81" si="34">SUM(O82)</f>
        <v>0</v>
      </c>
      <c r="P81" s="85">
        <f t="shared" si="34"/>
        <v>0</v>
      </c>
      <c r="Q81" s="85">
        <f t="shared" si="34"/>
        <v>0</v>
      </c>
      <c r="R81" s="85">
        <f t="shared" si="34"/>
        <v>0</v>
      </c>
      <c r="S81" s="85">
        <f t="shared" si="28"/>
        <v>0</v>
      </c>
      <c r="T81" s="184">
        <f t="shared" si="34"/>
        <v>0</v>
      </c>
      <c r="U81" s="184">
        <f>SUM(U82)</f>
        <v>0</v>
      </c>
      <c r="V81" s="184">
        <f>SUM(V82)</f>
        <v>0</v>
      </c>
      <c r="W81" s="184">
        <f t="shared" si="34"/>
        <v>0</v>
      </c>
      <c r="X81" s="184">
        <f t="shared" si="34"/>
        <v>0</v>
      </c>
      <c r="Y81" s="184">
        <f t="shared" si="34"/>
        <v>0</v>
      </c>
      <c r="Z81" s="184">
        <f t="shared" si="34"/>
        <v>0</v>
      </c>
      <c r="AA81" s="184">
        <f t="shared" si="34"/>
        <v>0</v>
      </c>
      <c r="AB81" s="184">
        <f t="shared" si="34"/>
        <v>0</v>
      </c>
      <c r="AC81" s="184">
        <f t="shared" si="34"/>
        <v>0</v>
      </c>
      <c r="AD81" s="184">
        <f t="shared" si="34"/>
        <v>0</v>
      </c>
      <c r="AE81" s="184">
        <f t="shared" si="34"/>
        <v>0</v>
      </c>
      <c r="AF81" s="184">
        <f t="shared" si="34"/>
        <v>0</v>
      </c>
      <c r="AG81" s="184">
        <f t="shared" si="34"/>
        <v>0</v>
      </c>
      <c r="AH81" s="184">
        <f t="shared" si="34"/>
        <v>0</v>
      </c>
      <c r="AI81" s="184">
        <f t="shared" si="34"/>
        <v>0</v>
      </c>
      <c r="AJ81" s="184">
        <f t="shared" si="34"/>
        <v>0</v>
      </c>
      <c r="AK81" s="184">
        <f t="shared" si="34"/>
        <v>0</v>
      </c>
      <c r="AL81" s="184">
        <f t="shared" si="34"/>
        <v>0</v>
      </c>
      <c r="AM81" s="184">
        <f t="shared" si="34"/>
        <v>0</v>
      </c>
      <c r="AN81" s="184">
        <f t="shared" si="34"/>
        <v>0</v>
      </c>
      <c r="AO81" s="184">
        <f t="shared" si="34"/>
        <v>0</v>
      </c>
      <c r="AP81" s="184">
        <f t="shared" si="34"/>
        <v>0</v>
      </c>
      <c r="AQ81" s="184">
        <f t="shared" si="34"/>
        <v>0</v>
      </c>
      <c r="AR81" s="184">
        <f t="shared" si="34"/>
        <v>0</v>
      </c>
      <c r="AS81" s="184">
        <f t="shared" si="34"/>
        <v>0</v>
      </c>
      <c r="AT81" s="184">
        <f t="shared" si="34"/>
        <v>0</v>
      </c>
      <c r="AU81" s="184">
        <f t="shared" si="34"/>
        <v>0</v>
      </c>
      <c r="AV81" s="184">
        <f t="shared" si="34"/>
        <v>0</v>
      </c>
      <c r="AW81" s="184">
        <f t="shared" si="34"/>
        <v>0</v>
      </c>
      <c r="AX81" s="184">
        <f t="shared" si="34"/>
        <v>0</v>
      </c>
      <c r="AY81" s="184">
        <f t="shared" si="34"/>
        <v>0</v>
      </c>
      <c r="AZ81" s="184">
        <f t="shared" si="34"/>
        <v>0</v>
      </c>
      <c r="BA81" s="184">
        <f t="shared" si="34"/>
        <v>0</v>
      </c>
      <c r="BB81" s="184">
        <f t="shared" si="34"/>
        <v>0</v>
      </c>
      <c r="BC81" s="184">
        <f t="shared" si="34"/>
        <v>0</v>
      </c>
      <c r="BD81" s="184">
        <f t="shared" si="34"/>
        <v>0</v>
      </c>
      <c r="BE81" s="184">
        <f t="shared" si="34"/>
        <v>0</v>
      </c>
      <c r="BF81" s="184">
        <f t="shared" si="34"/>
        <v>0</v>
      </c>
      <c r="BG81" s="184">
        <f t="shared" si="34"/>
        <v>0</v>
      </c>
      <c r="BH81" s="184">
        <f t="shared" si="34"/>
        <v>0</v>
      </c>
      <c r="BI81" s="184">
        <f t="shared" si="34"/>
        <v>0</v>
      </c>
      <c r="BJ81" s="184">
        <f t="shared" si="34"/>
        <v>0</v>
      </c>
      <c r="BK81" s="184">
        <f t="shared" si="34"/>
        <v>0</v>
      </c>
      <c r="BL81" s="184">
        <f t="shared" si="34"/>
        <v>0</v>
      </c>
      <c r="BM81" s="184">
        <f t="shared" si="34"/>
        <v>0</v>
      </c>
      <c r="BN81" s="184">
        <f t="shared" si="34"/>
        <v>0</v>
      </c>
      <c r="BO81" s="184">
        <f t="shared" si="34"/>
        <v>0</v>
      </c>
      <c r="BP81" s="184">
        <f t="shared" si="34"/>
        <v>0</v>
      </c>
      <c r="BQ81" s="184">
        <f t="shared" si="34"/>
        <v>0</v>
      </c>
    </row>
    <row r="82" spans="2:69">
      <c r="B82" s="4"/>
      <c r="C82" s="4"/>
      <c r="D82" s="5" t="s">
        <v>122</v>
      </c>
      <c r="E82" s="8"/>
      <c r="F82" s="67"/>
      <c r="G82" s="67"/>
      <c r="H82" s="67"/>
      <c r="I82" s="67"/>
      <c r="J82" s="67"/>
      <c r="K82" s="1"/>
      <c r="L82" s="1"/>
      <c r="M82" s="1"/>
      <c r="N82" s="85">
        <f>SUM(N83:N84)</f>
        <v>0</v>
      </c>
      <c r="O82" s="85">
        <f t="shared" ref="O82:BQ82" si="35">SUM(O83:O84)</f>
        <v>0</v>
      </c>
      <c r="P82" s="85">
        <f t="shared" si="35"/>
        <v>0</v>
      </c>
      <c r="Q82" s="85">
        <f t="shared" si="35"/>
        <v>0</v>
      </c>
      <c r="R82" s="85">
        <f t="shared" si="35"/>
        <v>0</v>
      </c>
      <c r="S82" s="85">
        <f t="shared" si="28"/>
        <v>0</v>
      </c>
      <c r="T82" s="184">
        <f>SUM(T83:T84)</f>
        <v>0</v>
      </c>
      <c r="U82" s="184">
        <f>SUM(U83:U84)</f>
        <v>0</v>
      </c>
      <c r="V82" s="184">
        <f>SUM(V83:V84)</f>
        <v>0</v>
      </c>
      <c r="W82" s="184">
        <f t="shared" si="35"/>
        <v>0</v>
      </c>
      <c r="X82" s="184">
        <f t="shared" si="35"/>
        <v>0</v>
      </c>
      <c r="Y82" s="184">
        <f t="shared" si="35"/>
        <v>0</v>
      </c>
      <c r="Z82" s="184">
        <f t="shared" si="35"/>
        <v>0</v>
      </c>
      <c r="AA82" s="184">
        <f t="shared" si="35"/>
        <v>0</v>
      </c>
      <c r="AB82" s="184">
        <f t="shared" si="35"/>
        <v>0</v>
      </c>
      <c r="AC82" s="184">
        <f t="shared" si="35"/>
        <v>0</v>
      </c>
      <c r="AD82" s="184">
        <f t="shared" si="35"/>
        <v>0</v>
      </c>
      <c r="AE82" s="184">
        <f t="shared" si="35"/>
        <v>0</v>
      </c>
      <c r="AF82" s="184">
        <f t="shared" si="35"/>
        <v>0</v>
      </c>
      <c r="AG82" s="184">
        <f t="shared" si="35"/>
        <v>0</v>
      </c>
      <c r="AH82" s="184">
        <f t="shared" si="35"/>
        <v>0</v>
      </c>
      <c r="AI82" s="184">
        <f t="shared" si="35"/>
        <v>0</v>
      </c>
      <c r="AJ82" s="184">
        <f t="shared" si="35"/>
        <v>0</v>
      </c>
      <c r="AK82" s="184">
        <f t="shared" si="35"/>
        <v>0</v>
      </c>
      <c r="AL82" s="184">
        <f t="shared" si="35"/>
        <v>0</v>
      </c>
      <c r="AM82" s="184">
        <f t="shared" si="35"/>
        <v>0</v>
      </c>
      <c r="AN82" s="184">
        <f t="shared" si="35"/>
        <v>0</v>
      </c>
      <c r="AO82" s="184">
        <f t="shared" si="35"/>
        <v>0</v>
      </c>
      <c r="AP82" s="184">
        <f t="shared" si="35"/>
        <v>0</v>
      </c>
      <c r="AQ82" s="184">
        <f t="shared" si="35"/>
        <v>0</v>
      </c>
      <c r="AR82" s="184">
        <f t="shared" si="35"/>
        <v>0</v>
      </c>
      <c r="AS82" s="184">
        <f t="shared" si="35"/>
        <v>0</v>
      </c>
      <c r="AT82" s="184">
        <f t="shared" si="35"/>
        <v>0</v>
      </c>
      <c r="AU82" s="184">
        <f t="shared" si="35"/>
        <v>0</v>
      </c>
      <c r="AV82" s="184">
        <f t="shared" si="35"/>
        <v>0</v>
      </c>
      <c r="AW82" s="184">
        <f t="shared" si="35"/>
        <v>0</v>
      </c>
      <c r="AX82" s="184">
        <f t="shared" si="35"/>
        <v>0</v>
      </c>
      <c r="AY82" s="184">
        <f t="shared" si="35"/>
        <v>0</v>
      </c>
      <c r="AZ82" s="184">
        <f t="shared" si="35"/>
        <v>0</v>
      </c>
      <c r="BA82" s="184">
        <f t="shared" si="35"/>
        <v>0</v>
      </c>
      <c r="BB82" s="184">
        <f t="shared" si="35"/>
        <v>0</v>
      </c>
      <c r="BC82" s="184">
        <f t="shared" si="35"/>
        <v>0</v>
      </c>
      <c r="BD82" s="184">
        <f t="shared" si="35"/>
        <v>0</v>
      </c>
      <c r="BE82" s="184">
        <f t="shared" si="35"/>
        <v>0</v>
      </c>
      <c r="BF82" s="184">
        <f t="shared" si="35"/>
        <v>0</v>
      </c>
      <c r="BG82" s="184">
        <f t="shared" si="35"/>
        <v>0</v>
      </c>
      <c r="BH82" s="184">
        <f t="shared" si="35"/>
        <v>0</v>
      </c>
      <c r="BI82" s="184">
        <f t="shared" si="35"/>
        <v>0</v>
      </c>
      <c r="BJ82" s="184">
        <f t="shared" si="35"/>
        <v>0</v>
      </c>
      <c r="BK82" s="184">
        <f t="shared" si="35"/>
        <v>0</v>
      </c>
      <c r="BL82" s="184">
        <f t="shared" si="35"/>
        <v>0</v>
      </c>
      <c r="BM82" s="184">
        <f t="shared" si="35"/>
        <v>0</v>
      </c>
      <c r="BN82" s="184">
        <f t="shared" si="35"/>
        <v>0</v>
      </c>
      <c r="BO82" s="184">
        <f t="shared" si="35"/>
        <v>0</v>
      </c>
      <c r="BP82" s="184">
        <f t="shared" si="35"/>
        <v>0</v>
      </c>
      <c r="BQ82" s="184">
        <f t="shared" si="35"/>
        <v>0</v>
      </c>
    </row>
    <row r="83" spans="2:69">
      <c r="B83" s="4"/>
      <c r="C83" s="4"/>
      <c r="D83" s="4"/>
      <c r="E83" s="1" t="s">
        <v>89</v>
      </c>
      <c r="F83" s="67"/>
      <c r="G83" s="67"/>
      <c r="H83" s="67"/>
      <c r="I83" s="67"/>
      <c r="J83" s="67"/>
      <c r="K83" s="1" t="s">
        <v>163</v>
      </c>
      <c r="L83" s="1"/>
      <c r="M83" s="1"/>
      <c r="N83" s="85"/>
      <c r="O83" s="85"/>
      <c r="P83" s="85"/>
      <c r="Q83" s="85"/>
      <c r="R83" s="85"/>
      <c r="S83" s="85">
        <f t="shared" si="28"/>
        <v>0</v>
      </c>
      <c r="T83" s="184"/>
      <c r="U83" s="184"/>
      <c r="V83" s="184"/>
      <c r="W83" s="184"/>
      <c r="X83" s="184"/>
      <c r="Y83" s="184"/>
      <c r="Z83" s="184"/>
      <c r="AA83" s="184"/>
      <c r="AB83" s="184"/>
      <c r="AC83" s="184"/>
      <c r="AD83" s="184"/>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4"/>
      <c r="BN83" s="184"/>
      <c r="BO83" s="184"/>
      <c r="BP83" s="184"/>
      <c r="BQ83" s="184"/>
    </row>
    <row r="84" spans="2:69">
      <c r="B84" s="4"/>
      <c r="C84" s="3"/>
      <c r="D84" s="3"/>
      <c r="E84" s="1" t="s">
        <v>94</v>
      </c>
      <c r="F84" s="67"/>
      <c r="G84" s="67"/>
      <c r="H84" s="67"/>
      <c r="I84" s="67"/>
      <c r="J84" s="67"/>
      <c r="K84" s="1" t="s">
        <v>163</v>
      </c>
      <c r="L84" s="1"/>
      <c r="M84" s="1"/>
      <c r="N84" s="85"/>
      <c r="O84" s="85"/>
      <c r="P84" s="85"/>
      <c r="Q84" s="85"/>
      <c r="R84" s="85"/>
      <c r="S84" s="85">
        <f t="shared" si="28"/>
        <v>0</v>
      </c>
      <c r="T84" s="184">
        <v>0</v>
      </c>
      <c r="U84" s="184"/>
      <c r="V84" s="184"/>
      <c r="W84" s="184"/>
      <c r="X84" s="184"/>
      <c r="Y84" s="184"/>
      <c r="Z84" s="184"/>
      <c r="AA84" s="184"/>
      <c r="AB84" s="184"/>
      <c r="AC84" s="184"/>
      <c r="AD84" s="184"/>
      <c r="AE84" s="184"/>
      <c r="AF84" s="184"/>
      <c r="AG84" s="184"/>
      <c r="AH84" s="184"/>
      <c r="AI84" s="184"/>
      <c r="AJ84" s="184"/>
      <c r="AK84" s="184"/>
      <c r="AL84" s="184"/>
      <c r="AM84" s="184"/>
      <c r="AN84" s="184"/>
      <c r="AO84" s="184"/>
      <c r="AP84" s="184"/>
      <c r="AQ84" s="184"/>
      <c r="AR84" s="184"/>
      <c r="AS84" s="184"/>
      <c r="AT84" s="184"/>
      <c r="AU84" s="184"/>
      <c r="AV84" s="184"/>
      <c r="AW84" s="184"/>
      <c r="AX84" s="184"/>
      <c r="AY84" s="184"/>
      <c r="AZ84" s="184"/>
      <c r="BA84" s="184"/>
      <c r="BB84" s="184"/>
      <c r="BC84" s="184"/>
      <c r="BD84" s="184"/>
      <c r="BE84" s="184"/>
      <c r="BF84" s="184"/>
      <c r="BG84" s="184"/>
      <c r="BH84" s="184"/>
      <c r="BI84" s="184"/>
      <c r="BJ84" s="184"/>
      <c r="BK84" s="184"/>
      <c r="BL84" s="184"/>
      <c r="BM84" s="184"/>
      <c r="BN84" s="184"/>
      <c r="BO84" s="184"/>
      <c r="BP84" s="184"/>
      <c r="BQ84" s="184"/>
    </row>
    <row r="85" spans="2:69">
      <c r="B85" s="4"/>
      <c r="C85" s="9" t="s">
        <v>123</v>
      </c>
      <c r="D85" s="7"/>
      <c r="E85" s="8"/>
      <c r="F85" s="67"/>
      <c r="G85" s="67"/>
      <c r="H85" s="67"/>
      <c r="I85" s="67"/>
      <c r="J85" s="67"/>
      <c r="K85" s="1"/>
      <c r="L85" s="1"/>
      <c r="M85" s="1"/>
      <c r="N85" s="85">
        <f>【PL】決算数値入力!K151</f>
        <v>2697464624</v>
      </c>
      <c r="O85" s="85">
        <f>【PL】決算数値入力!L151</f>
        <v>141607400</v>
      </c>
      <c r="P85" s="85">
        <f>【PL】決算数値入力!M151</f>
        <v>338424525</v>
      </c>
      <c r="Q85" s="85">
        <f>【PL】決算数値入力!N151</f>
        <v>111700392</v>
      </c>
      <c r="R85" s="85">
        <f>【PL】決算数値入力!O151</f>
        <v>267791962</v>
      </c>
      <c r="S85" s="85">
        <f>【PL】決算数値入力!P151</f>
        <v>1117025209.5999999</v>
      </c>
      <c r="T85" s="184">
        <v>252917719</v>
      </c>
      <c r="U85" s="184"/>
      <c r="V85" s="184"/>
      <c r="W85" s="184"/>
      <c r="X85" s="184"/>
      <c r="Y85" s="184"/>
      <c r="Z85" s="184"/>
      <c r="AA85" s="184"/>
      <c r="AB85" s="184"/>
      <c r="AC85" s="184"/>
      <c r="AD85" s="184"/>
      <c r="AE85" s="184"/>
      <c r="AF85" s="184"/>
      <c r="AG85" s="184"/>
      <c r="AH85" s="184"/>
      <c r="AI85" s="184"/>
      <c r="AJ85" s="184"/>
      <c r="AK85" s="184"/>
      <c r="AL85" s="184"/>
      <c r="AM85" s="184"/>
      <c r="AN85" s="184"/>
      <c r="AO85" s="184"/>
      <c r="AP85" s="184"/>
      <c r="AQ85" s="184"/>
      <c r="AR85" s="184"/>
      <c r="AS85" s="184"/>
      <c r="AT85" s="184"/>
      <c r="AU85" s="184"/>
      <c r="AV85" s="184"/>
      <c r="AW85" s="184"/>
      <c r="AX85" s="184"/>
      <c r="AY85" s="184"/>
      <c r="AZ85" s="184"/>
      <c r="BA85" s="184"/>
      <c r="BB85" s="184"/>
      <c r="BC85" s="184"/>
      <c r="BD85" s="184"/>
      <c r="BE85" s="184"/>
      <c r="BF85" s="184"/>
      <c r="BG85" s="184"/>
      <c r="BH85" s="184"/>
      <c r="BI85" s="184"/>
      <c r="BJ85" s="184"/>
      <c r="BK85" s="184"/>
      <c r="BL85" s="184"/>
      <c r="BM85" s="184"/>
      <c r="BN85" s="184"/>
      <c r="BO85" s="184"/>
      <c r="BP85" s="184"/>
      <c r="BQ85" s="184"/>
    </row>
    <row r="86" spans="2:69">
      <c r="B86" s="4"/>
      <c r="C86" s="5" t="s">
        <v>124</v>
      </c>
      <c r="D86" s="7"/>
      <c r="E86" s="8"/>
      <c r="F86" s="67"/>
      <c r="G86" s="67"/>
      <c r="H86" s="67"/>
      <c r="I86" s="67"/>
      <c r="J86" s="67"/>
      <c r="K86" s="1"/>
      <c r="L86" s="1"/>
      <c r="M86" s="1"/>
      <c r="N86" s="85">
        <f>SUM(N87:N89)</f>
        <v>0</v>
      </c>
      <c r="O86" s="85">
        <f t="shared" ref="O86:BQ86" si="36">SUM(O87:O89)</f>
        <v>0</v>
      </c>
      <c r="P86" s="85">
        <f t="shared" si="36"/>
        <v>0</v>
      </c>
      <c r="Q86" s="85">
        <f t="shared" si="36"/>
        <v>0</v>
      </c>
      <c r="R86" s="85">
        <f t="shared" si="36"/>
        <v>0</v>
      </c>
      <c r="S86" s="85">
        <f t="shared" si="28"/>
        <v>0</v>
      </c>
      <c r="T86" s="184">
        <f t="shared" si="36"/>
        <v>0</v>
      </c>
      <c r="U86" s="184">
        <f>SUM(U87:U89)</f>
        <v>32732000</v>
      </c>
      <c r="V86" s="184">
        <f t="shared" si="36"/>
        <v>750000000</v>
      </c>
      <c r="W86" s="184">
        <f t="shared" si="36"/>
        <v>670000000</v>
      </c>
      <c r="X86" s="184">
        <f t="shared" si="36"/>
        <v>220000000</v>
      </c>
      <c r="Y86" s="184">
        <f t="shared" si="36"/>
        <v>70000000</v>
      </c>
      <c r="Z86" s="184">
        <f t="shared" si="36"/>
        <v>150000000</v>
      </c>
      <c r="AA86" s="184">
        <f t="shared" si="36"/>
        <v>150000000</v>
      </c>
      <c r="AB86" s="184">
        <f t="shared" si="36"/>
        <v>210000000</v>
      </c>
      <c r="AC86" s="184">
        <f t="shared" si="36"/>
        <v>130000000</v>
      </c>
      <c r="AD86" s="184">
        <f t="shared" si="36"/>
        <v>160000000</v>
      </c>
      <c r="AE86" s="184">
        <f t="shared" si="36"/>
        <v>130000000</v>
      </c>
      <c r="AF86" s="184">
        <f t="shared" si="36"/>
        <v>130000000</v>
      </c>
      <c r="AG86" s="184">
        <f t="shared" si="36"/>
        <v>500000000</v>
      </c>
      <c r="AH86" s="184">
        <f t="shared" si="36"/>
        <v>500000000</v>
      </c>
      <c r="AI86" s="184">
        <f t="shared" si="36"/>
        <v>500000000</v>
      </c>
      <c r="AJ86" s="184">
        <f t="shared" si="36"/>
        <v>500000000</v>
      </c>
      <c r="AK86" s="184">
        <f t="shared" si="36"/>
        <v>530000000</v>
      </c>
      <c r="AL86" s="184">
        <f t="shared" si="36"/>
        <v>550000000</v>
      </c>
      <c r="AM86" s="184">
        <f t="shared" si="36"/>
        <v>550000000</v>
      </c>
      <c r="AN86" s="184">
        <f t="shared" si="36"/>
        <v>550000000</v>
      </c>
      <c r="AO86" s="184">
        <f t="shared" si="36"/>
        <v>10000000</v>
      </c>
      <c r="AP86" s="184">
        <f t="shared" si="36"/>
        <v>10000000</v>
      </c>
      <c r="AQ86" s="184">
        <f t="shared" si="36"/>
        <v>10000000</v>
      </c>
      <c r="AR86" s="184">
        <f t="shared" si="36"/>
        <v>10000000</v>
      </c>
      <c r="AS86" s="184">
        <f t="shared" si="36"/>
        <v>10000000</v>
      </c>
      <c r="AT86" s="184">
        <f t="shared" si="36"/>
        <v>10000000</v>
      </c>
      <c r="AU86" s="184">
        <f t="shared" si="36"/>
        <v>10000000</v>
      </c>
      <c r="AV86" s="184">
        <f t="shared" si="36"/>
        <v>10000000</v>
      </c>
      <c r="AW86" s="184">
        <f t="shared" si="36"/>
        <v>10000000</v>
      </c>
      <c r="AX86" s="184">
        <f t="shared" si="36"/>
        <v>10000000</v>
      </c>
      <c r="AY86" s="184">
        <f t="shared" si="36"/>
        <v>10000000</v>
      </c>
      <c r="AZ86" s="184">
        <f t="shared" si="36"/>
        <v>10000000</v>
      </c>
      <c r="BA86" s="184">
        <f t="shared" si="36"/>
        <v>10000000</v>
      </c>
      <c r="BB86" s="184">
        <f t="shared" si="36"/>
        <v>10000000</v>
      </c>
      <c r="BC86" s="184">
        <f t="shared" si="36"/>
        <v>10000000</v>
      </c>
      <c r="BD86" s="184">
        <f t="shared" si="36"/>
        <v>10000000</v>
      </c>
      <c r="BE86" s="184">
        <f t="shared" si="36"/>
        <v>10000000</v>
      </c>
      <c r="BF86" s="184">
        <f t="shared" si="36"/>
        <v>10000000</v>
      </c>
      <c r="BG86" s="184">
        <f t="shared" si="36"/>
        <v>10000000</v>
      </c>
      <c r="BH86" s="184">
        <f t="shared" si="36"/>
        <v>10000000</v>
      </c>
      <c r="BI86" s="184">
        <f t="shared" si="36"/>
        <v>10000000</v>
      </c>
      <c r="BJ86" s="184">
        <f t="shared" si="36"/>
        <v>10000000</v>
      </c>
      <c r="BK86" s="184">
        <f t="shared" si="36"/>
        <v>0</v>
      </c>
      <c r="BL86" s="184">
        <f t="shared" si="36"/>
        <v>0</v>
      </c>
      <c r="BM86" s="184">
        <f t="shared" si="36"/>
        <v>0</v>
      </c>
      <c r="BN86" s="184">
        <f t="shared" si="36"/>
        <v>0</v>
      </c>
      <c r="BO86" s="184">
        <f t="shared" si="36"/>
        <v>0</v>
      </c>
      <c r="BP86" s="184">
        <f t="shared" si="36"/>
        <v>0</v>
      </c>
      <c r="BQ86" s="184">
        <f t="shared" si="36"/>
        <v>0</v>
      </c>
    </row>
    <row r="87" spans="2:69">
      <c r="B87" s="4"/>
      <c r="C87" s="4"/>
      <c r="D87" s="9" t="s">
        <v>92</v>
      </c>
      <c r="E87" s="8"/>
      <c r="F87" s="67"/>
      <c r="G87" s="67"/>
      <c r="H87" s="67"/>
      <c r="I87" s="67"/>
      <c r="J87" s="67"/>
      <c r="K87" s="1"/>
      <c r="L87" s="1"/>
      <c r="M87" s="1"/>
      <c r="N87" s="85"/>
      <c r="O87" s="85"/>
      <c r="P87" s="85"/>
      <c r="Q87" s="85"/>
      <c r="R87" s="85"/>
      <c r="S87" s="85">
        <f t="shared" si="28"/>
        <v>0</v>
      </c>
      <c r="T87" s="184"/>
      <c r="U87" s="184">
        <v>32732000</v>
      </c>
      <c r="V87" s="184"/>
      <c r="W87" s="184"/>
      <c r="X87" s="184"/>
      <c r="Y87" s="184"/>
      <c r="Z87" s="184"/>
      <c r="AA87" s="184"/>
      <c r="AB87" s="184"/>
      <c r="AC87" s="184"/>
      <c r="AD87" s="184"/>
      <c r="AE87" s="184"/>
      <c r="AF87" s="184"/>
      <c r="AG87" s="184"/>
      <c r="AH87" s="184"/>
      <c r="AI87" s="184"/>
      <c r="AJ87" s="184"/>
      <c r="AK87" s="184"/>
      <c r="AL87" s="184"/>
      <c r="AM87" s="184"/>
      <c r="AN87" s="184"/>
      <c r="AO87" s="184"/>
      <c r="AP87" s="184"/>
      <c r="AQ87" s="184"/>
      <c r="AR87" s="184"/>
      <c r="AS87" s="184"/>
      <c r="AT87" s="184"/>
      <c r="AU87" s="184"/>
      <c r="AV87" s="184"/>
      <c r="AW87" s="184"/>
      <c r="AX87" s="184"/>
      <c r="AY87" s="184"/>
      <c r="AZ87" s="184"/>
      <c r="BA87" s="184"/>
      <c r="BB87" s="184"/>
      <c r="BC87" s="184"/>
      <c r="BD87" s="184"/>
      <c r="BE87" s="184"/>
      <c r="BF87" s="184"/>
      <c r="BG87" s="184"/>
      <c r="BH87" s="184"/>
      <c r="BI87" s="184"/>
      <c r="BJ87" s="184"/>
      <c r="BK87" s="184"/>
      <c r="BL87" s="184"/>
      <c r="BM87" s="184"/>
      <c r="BN87" s="184"/>
      <c r="BO87" s="184"/>
      <c r="BP87" s="184"/>
      <c r="BQ87" s="184"/>
    </row>
    <row r="88" spans="2:69">
      <c r="B88" s="4"/>
      <c r="C88" s="4"/>
      <c r="D88" s="9" t="s">
        <v>125</v>
      </c>
      <c r="E88" s="8"/>
      <c r="F88" s="67"/>
      <c r="G88" s="67"/>
      <c r="H88" s="67"/>
      <c r="I88" s="67"/>
      <c r="J88" s="67"/>
      <c r="K88" s="1" t="s">
        <v>726</v>
      </c>
      <c r="L88" s="1"/>
      <c r="M88" s="1"/>
      <c r="N88" s="85"/>
      <c r="O88" s="85">
        <v>0</v>
      </c>
      <c r="P88" s="85">
        <v>0</v>
      </c>
      <c r="Q88" s="85">
        <v>0</v>
      </c>
      <c r="R88" s="85">
        <v>0</v>
      </c>
      <c r="S88" s="85">
        <f t="shared" si="28"/>
        <v>0</v>
      </c>
      <c r="T88" s="184"/>
      <c r="U88" s="184"/>
      <c r="V88" s="184">
        <f>V124</f>
        <v>750000000</v>
      </c>
      <c r="W88" s="184">
        <f t="shared" ref="W88:BQ88" si="37">W124</f>
        <v>670000000</v>
      </c>
      <c r="X88" s="184">
        <f t="shared" si="37"/>
        <v>220000000</v>
      </c>
      <c r="Y88" s="184">
        <f t="shared" si="37"/>
        <v>70000000</v>
      </c>
      <c r="Z88" s="184">
        <f t="shared" si="37"/>
        <v>150000000</v>
      </c>
      <c r="AA88" s="184">
        <f t="shared" si="37"/>
        <v>150000000</v>
      </c>
      <c r="AB88" s="184">
        <f t="shared" si="37"/>
        <v>210000000</v>
      </c>
      <c r="AC88" s="184">
        <f t="shared" si="37"/>
        <v>130000000</v>
      </c>
      <c r="AD88" s="184">
        <f t="shared" si="37"/>
        <v>160000000</v>
      </c>
      <c r="AE88" s="184">
        <f t="shared" si="37"/>
        <v>130000000</v>
      </c>
      <c r="AF88" s="184">
        <f t="shared" si="37"/>
        <v>130000000</v>
      </c>
      <c r="AG88" s="184">
        <f t="shared" si="37"/>
        <v>500000000</v>
      </c>
      <c r="AH88" s="184">
        <f t="shared" si="37"/>
        <v>500000000</v>
      </c>
      <c r="AI88" s="184">
        <f t="shared" si="37"/>
        <v>500000000</v>
      </c>
      <c r="AJ88" s="184">
        <f t="shared" si="37"/>
        <v>500000000</v>
      </c>
      <c r="AK88" s="184">
        <f t="shared" si="37"/>
        <v>530000000</v>
      </c>
      <c r="AL88" s="184">
        <f t="shared" si="37"/>
        <v>550000000</v>
      </c>
      <c r="AM88" s="184">
        <f t="shared" si="37"/>
        <v>550000000</v>
      </c>
      <c r="AN88" s="184">
        <f t="shared" si="37"/>
        <v>550000000</v>
      </c>
      <c r="AO88" s="184">
        <f t="shared" si="37"/>
        <v>10000000</v>
      </c>
      <c r="AP88" s="184">
        <f t="shared" si="37"/>
        <v>10000000</v>
      </c>
      <c r="AQ88" s="184">
        <f t="shared" si="37"/>
        <v>10000000</v>
      </c>
      <c r="AR88" s="184">
        <f t="shared" si="37"/>
        <v>10000000</v>
      </c>
      <c r="AS88" s="184">
        <f t="shared" si="37"/>
        <v>10000000</v>
      </c>
      <c r="AT88" s="184">
        <f t="shared" si="37"/>
        <v>10000000</v>
      </c>
      <c r="AU88" s="184">
        <f t="shared" si="37"/>
        <v>10000000</v>
      </c>
      <c r="AV88" s="184">
        <f t="shared" si="37"/>
        <v>10000000</v>
      </c>
      <c r="AW88" s="184">
        <f t="shared" si="37"/>
        <v>10000000</v>
      </c>
      <c r="AX88" s="184">
        <f t="shared" si="37"/>
        <v>10000000</v>
      </c>
      <c r="AY88" s="184">
        <f t="shared" si="37"/>
        <v>10000000</v>
      </c>
      <c r="AZ88" s="184">
        <f t="shared" si="37"/>
        <v>10000000</v>
      </c>
      <c r="BA88" s="184">
        <f t="shared" si="37"/>
        <v>10000000</v>
      </c>
      <c r="BB88" s="184">
        <f t="shared" si="37"/>
        <v>10000000</v>
      </c>
      <c r="BC88" s="184">
        <f t="shared" si="37"/>
        <v>10000000</v>
      </c>
      <c r="BD88" s="184">
        <f t="shared" si="37"/>
        <v>10000000</v>
      </c>
      <c r="BE88" s="184">
        <f t="shared" si="37"/>
        <v>10000000</v>
      </c>
      <c r="BF88" s="184">
        <f t="shared" si="37"/>
        <v>10000000</v>
      </c>
      <c r="BG88" s="184">
        <f t="shared" si="37"/>
        <v>10000000</v>
      </c>
      <c r="BH88" s="184">
        <f t="shared" si="37"/>
        <v>10000000</v>
      </c>
      <c r="BI88" s="184">
        <f t="shared" si="37"/>
        <v>10000000</v>
      </c>
      <c r="BJ88" s="184">
        <f t="shared" si="37"/>
        <v>10000000</v>
      </c>
      <c r="BK88" s="184">
        <f t="shared" si="37"/>
        <v>0</v>
      </c>
      <c r="BL88" s="184">
        <f t="shared" si="37"/>
        <v>0</v>
      </c>
      <c r="BM88" s="184">
        <f t="shared" si="37"/>
        <v>0</v>
      </c>
      <c r="BN88" s="184">
        <f t="shared" si="37"/>
        <v>0</v>
      </c>
      <c r="BO88" s="184">
        <f t="shared" si="37"/>
        <v>0</v>
      </c>
      <c r="BP88" s="184">
        <f t="shared" si="37"/>
        <v>0</v>
      </c>
      <c r="BQ88" s="184">
        <f t="shared" si="37"/>
        <v>0</v>
      </c>
    </row>
    <row r="89" spans="2:69">
      <c r="B89" s="4"/>
      <c r="C89" s="3"/>
      <c r="D89" s="9" t="s">
        <v>126</v>
      </c>
      <c r="E89" s="8"/>
      <c r="F89" s="67"/>
      <c r="G89" s="67"/>
      <c r="H89" s="67"/>
      <c r="I89" s="67"/>
      <c r="J89" s="67"/>
      <c r="K89" s="1"/>
      <c r="L89" s="1"/>
      <c r="M89" s="1"/>
      <c r="N89" s="85"/>
      <c r="O89" s="85"/>
      <c r="P89" s="85"/>
      <c r="Q89" s="85"/>
      <c r="R89" s="85"/>
      <c r="S89" s="85">
        <f t="shared" si="28"/>
        <v>0</v>
      </c>
      <c r="T89" s="184"/>
      <c r="U89" s="184"/>
      <c r="V89" s="184"/>
      <c r="W89" s="184"/>
      <c r="X89" s="184"/>
      <c r="Y89" s="184"/>
      <c r="Z89" s="184"/>
      <c r="AA89" s="184"/>
      <c r="AB89" s="184"/>
      <c r="AC89" s="184"/>
      <c r="AD89" s="184"/>
      <c r="AE89" s="184"/>
      <c r="AF89" s="184"/>
      <c r="AG89" s="184"/>
      <c r="AH89" s="184"/>
      <c r="AI89" s="184"/>
      <c r="AJ89" s="184"/>
      <c r="AK89" s="184"/>
      <c r="AL89" s="184"/>
      <c r="AM89" s="184"/>
      <c r="AN89" s="184"/>
      <c r="AO89" s="184"/>
      <c r="AP89" s="184"/>
      <c r="AQ89" s="184"/>
      <c r="AR89" s="184"/>
      <c r="AS89" s="184"/>
      <c r="AT89" s="184"/>
      <c r="AU89" s="184"/>
      <c r="AV89" s="184"/>
      <c r="AW89" s="184"/>
      <c r="AX89" s="184"/>
      <c r="AY89" s="184"/>
      <c r="AZ89" s="184"/>
      <c r="BA89" s="184"/>
      <c r="BB89" s="184"/>
      <c r="BC89" s="184"/>
      <c r="BD89" s="184"/>
      <c r="BE89" s="184"/>
      <c r="BF89" s="184"/>
      <c r="BG89" s="184"/>
      <c r="BH89" s="184"/>
      <c r="BI89" s="184"/>
      <c r="BJ89" s="184"/>
      <c r="BK89" s="184"/>
      <c r="BL89" s="184"/>
      <c r="BM89" s="184"/>
      <c r="BN89" s="184"/>
      <c r="BO89" s="184"/>
      <c r="BP89" s="184"/>
      <c r="BQ89" s="184"/>
    </row>
    <row r="90" spans="2:69">
      <c r="B90" s="4"/>
      <c r="C90" s="5" t="s">
        <v>629</v>
      </c>
      <c r="D90" s="7"/>
      <c r="E90" s="8"/>
      <c r="F90" s="67"/>
      <c r="G90" s="67"/>
      <c r="H90" s="67"/>
      <c r="I90" s="67"/>
      <c r="J90" s="67"/>
      <c r="K90" s="1"/>
      <c r="L90" s="1"/>
      <c r="M90" s="1"/>
      <c r="N90" s="85">
        <f>SUM(N91:N95)</f>
        <v>0</v>
      </c>
      <c r="O90" s="85">
        <f t="shared" ref="O90:BQ90" si="38">SUM(O91:O95)</f>
        <v>0</v>
      </c>
      <c r="P90" s="85">
        <f t="shared" si="38"/>
        <v>0</v>
      </c>
      <c r="Q90" s="85">
        <f t="shared" si="38"/>
        <v>0</v>
      </c>
      <c r="R90" s="85">
        <f t="shared" si="38"/>
        <v>0</v>
      </c>
      <c r="S90" s="85">
        <f t="shared" si="28"/>
        <v>0</v>
      </c>
      <c r="T90" s="184">
        <f>SUM(T91:T95)</f>
        <v>0</v>
      </c>
      <c r="U90" s="184">
        <f t="shared" si="38"/>
        <v>213930000</v>
      </c>
      <c r="V90" s="184">
        <f>SUM(V91:V95)</f>
        <v>280000000</v>
      </c>
      <c r="W90" s="184">
        <f t="shared" si="38"/>
        <v>280000000</v>
      </c>
      <c r="X90" s="184">
        <f t="shared" si="38"/>
        <v>280000000</v>
      </c>
      <c r="Y90" s="184">
        <f t="shared" si="38"/>
        <v>260000000</v>
      </c>
      <c r="Z90" s="184">
        <f t="shared" si="38"/>
        <v>160000000</v>
      </c>
      <c r="AA90" s="184">
        <f t="shared" si="38"/>
        <v>161000000</v>
      </c>
      <c r="AB90" s="184">
        <f t="shared" si="38"/>
        <v>161000000</v>
      </c>
      <c r="AC90" s="184">
        <f t="shared" si="38"/>
        <v>164000000</v>
      </c>
      <c r="AD90" s="184">
        <f t="shared" si="38"/>
        <v>70000000</v>
      </c>
      <c r="AE90" s="184">
        <f t="shared" si="38"/>
        <v>70000000</v>
      </c>
      <c r="AF90" s="184">
        <f t="shared" si="38"/>
        <v>70000000</v>
      </c>
      <c r="AG90" s="184">
        <f t="shared" si="38"/>
        <v>50000000</v>
      </c>
      <c r="AH90" s="184">
        <f t="shared" si="38"/>
        <v>50000000</v>
      </c>
      <c r="AI90" s="184">
        <f t="shared" si="38"/>
        <v>51000000</v>
      </c>
      <c r="AJ90" s="184">
        <f t="shared" si="38"/>
        <v>51000000</v>
      </c>
      <c r="AK90" s="184">
        <f t="shared" si="38"/>
        <v>54000000</v>
      </c>
      <c r="AL90" s="184">
        <f t="shared" si="38"/>
        <v>70000000</v>
      </c>
      <c r="AM90" s="184">
        <f t="shared" si="38"/>
        <v>70000000</v>
      </c>
      <c r="AN90" s="184">
        <f t="shared" si="38"/>
        <v>70000000</v>
      </c>
      <c r="AO90" s="184">
        <f t="shared" si="38"/>
        <v>50000000</v>
      </c>
      <c r="AP90" s="184">
        <f>SUM(AP91:AP95)</f>
        <v>50000000</v>
      </c>
      <c r="AQ90" s="184">
        <f t="shared" si="38"/>
        <v>51000000</v>
      </c>
      <c r="AR90" s="184">
        <f t="shared" si="38"/>
        <v>51000000</v>
      </c>
      <c r="AS90" s="184">
        <f t="shared" si="38"/>
        <v>54000000</v>
      </c>
      <c r="AT90" s="184">
        <f t="shared" si="38"/>
        <v>70000000</v>
      </c>
      <c r="AU90" s="184">
        <f t="shared" si="38"/>
        <v>70000000</v>
      </c>
      <c r="AV90" s="184">
        <f t="shared" si="38"/>
        <v>70000000</v>
      </c>
      <c r="AW90" s="184">
        <f t="shared" si="38"/>
        <v>50000000</v>
      </c>
      <c r="AX90" s="184">
        <f t="shared" si="38"/>
        <v>50000000</v>
      </c>
      <c r="AY90" s="184">
        <f t="shared" si="38"/>
        <v>51000000</v>
      </c>
      <c r="AZ90" s="184">
        <f t="shared" si="38"/>
        <v>51000000</v>
      </c>
      <c r="BA90" s="184">
        <f t="shared" si="38"/>
        <v>54000000</v>
      </c>
      <c r="BB90" s="184">
        <f t="shared" si="38"/>
        <v>70000000</v>
      </c>
      <c r="BC90" s="184">
        <f t="shared" si="38"/>
        <v>70000000</v>
      </c>
      <c r="BD90" s="184">
        <f t="shared" si="38"/>
        <v>70000000</v>
      </c>
      <c r="BE90" s="184">
        <f t="shared" si="38"/>
        <v>50000000</v>
      </c>
      <c r="BF90" s="184">
        <f t="shared" si="38"/>
        <v>50000000</v>
      </c>
      <c r="BG90" s="184">
        <f t="shared" si="38"/>
        <v>51000000</v>
      </c>
      <c r="BH90" s="184">
        <f t="shared" si="38"/>
        <v>51000000</v>
      </c>
      <c r="BI90" s="184">
        <f t="shared" si="38"/>
        <v>54000000</v>
      </c>
      <c r="BJ90" s="184">
        <f t="shared" si="38"/>
        <v>70000000</v>
      </c>
      <c r="BK90" s="184">
        <f t="shared" si="38"/>
        <v>20000000</v>
      </c>
      <c r="BL90" s="184">
        <f t="shared" si="38"/>
        <v>20000000</v>
      </c>
      <c r="BM90" s="184">
        <f t="shared" si="38"/>
        <v>0</v>
      </c>
      <c r="BN90" s="184">
        <f t="shared" si="38"/>
        <v>0</v>
      </c>
      <c r="BO90" s="184">
        <f t="shared" si="38"/>
        <v>1000000</v>
      </c>
      <c r="BP90" s="184">
        <f t="shared" si="38"/>
        <v>1000000</v>
      </c>
      <c r="BQ90" s="184">
        <f t="shared" si="38"/>
        <v>4000000</v>
      </c>
    </row>
    <row r="91" spans="2:69">
      <c r="B91" s="4"/>
      <c r="C91" s="4"/>
      <c r="D91" s="9" t="s">
        <v>92</v>
      </c>
      <c r="E91" s="8"/>
      <c r="F91" s="67"/>
      <c r="G91" s="67"/>
      <c r="H91" s="67"/>
      <c r="I91" s="67"/>
      <c r="J91" s="67"/>
      <c r="K91" s="1"/>
      <c r="L91" s="1"/>
      <c r="M91" s="1"/>
      <c r="N91" s="85"/>
      <c r="O91" s="85"/>
      <c r="P91" s="85"/>
      <c r="Q91" s="85"/>
      <c r="R91" s="85"/>
      <c r="S91" s="85">
        <f t="shared" si="28"/>
        <v>0</v>
      </c>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84"/>
      <c r="AU91" s="184"/>
      <c r="AV91" s="184"/>
      <c r="AW91" s="184"/>
      <c r="AX91" s="184"/>
      <c r="AY91" s="184"/>
      <c r="AZ91" s="184"/>
      <c r="BA91" s="184"/>
      <c r="BB91" s="184"/>
      <c r="BC91" s="184"/>
      <c r="BD91" s="184"/>
      <c r="BE91" s="184"/>
      <c r="BF91" s="184"/>
      <c r="BG91" s="184"/>
      <c r="BH91" s="184"/>
      <c r="BI91" s="184"/>
      <c r="BJ91" s="184"/>
      <c r="BK91" s="184"/>
      <c r="BL91" s="184"/>
      <c r="BM91" s="184"/>
      <c r="BN91" s="184"/>
      <c r="BO91" s="184"/>
      <c r="BP91" s="184"/>
      <c r="BQ91" s="184"/>
    </row>
    <row r="92" spans="2:69">
      <c r="B92" s="4"/>
      <c r="C92" s="4"/>
      <c r="D92" s="9" t="s">
        <v>125</v>
      </c>
      <c r="E92" s="8"/>
      <c r="F92" s="67"/>
      <c r="G92" s="67"/>
      <c r="H92" s="67"/>
      <c r="I92" s="67"/>
      <c r="J92" s="67"/>
      <c r="K92" s="1" t="s">
        <v>726</v>
      </c>
      <c r="L92" s="1"/>
      <c r="M92" s="1"/>
      <c r="N92" s="85"/>
      <c r="O92" s="85"/>
      <c r="P92" s="85"/>
      <c r="Q92" s="85"/>
      <c r="R92" s="85"/>
      <c r="S92" s="85">
        <f t="shared" si="28"/>
        <v>0</v>
      </c>
      <c r="T92" s="184"/>
      <c r="U92" s="184">
        <v>210000000</v>
      </c>
      <c r="V92" s="184">
        <f>SUM(V120:V121)</f>
        <v>260000000</v>
      </c>
      <c r="W92" s="184">
        <f t="shared" ref="W92:BQ92" si="39">SUM(W120:W121)</f>
        <v>260000000</v>
      </c>
      <c r="X92" s="184">
        <f t="shared" si="39"/>
        <v>260000000</v>
      </c>
      <c r="Y92" s="184">
        <f t="shared" si="39"/>
        <v>260000000</v>
      </c>
      <c r="Z92" s="184">
        <f t="shared" si="39"/>
        <v>160000000</v>
      </c>
      <c r="AA92" s="184">
        <f t="shared" si="39"/>
        <v>160000000</v>
      </c>
      <c r="AB92" s="184">
        <f t="shared" si="39"/>
        <v>160000000</v>
      </c>
      <c r="AC92" s="184">
        <f t="shared" si="39"/>
        <v>160000000</v>
      </c>
      <c r="AD92" s="184">
        <f t="shared" si="39"/>
        <v>50000000</v>
      </c>
      <c r="AE92" s="184">
        <f t="shared" si="39"/>
        <v>50000000</v>
      </c>
      <c r="AF92" s="184">
        <f t="shared" si="39"/>
        <v>50000000</v>
      </c>
      <c r="AG92" s="184">
        <f t="shared" si="39"/>
        <v>50000000</v>
      </c>
      <c r="AH92" s="184">
        <f t="shared" si="39"/>
        <v>50000000</v>
      </c>
      <c r="AI92" s="184">
        <f t="shared" si="39"/>
        <v>50000000</v>
      </c>
      <c r="AJ92" s="184">
        <f t="shared" si="39"/>
        <v>50000000</v>
      </c>
      <c r="AK92" s="184">
        <f t="shared" si="39"/>
        <v>50000000</v>
      </c>
      <c r="AL92" s="184">
        <f t="shared" si="39"/>
        <v>50000000</v>
      </c>
      <c r="AM92" s="184">
        <f t="shared" si="39"/>
        <v>50000000</v>
      </c>
      <c r="AN92" s="184">
        <f t="shared" si="39"/>
        <v>50000000</v>
      </c>
      <c r="AO92" s="184">
        <f t="shared" si="39"/>
        <v>50000000</v>
      </c>
      <c r="AP92" s="184">
        <f t="shared" si="39"/>
        <v>50000000</v>
      </c>
      <c r="AQ92" s="184">
        <f t="shared" si="39"/>
        <v>50000000</v>
      </c>
      <c r="AR92" s="184">
        <f t="shared" si="39"/>
        <v>50000000</v>
      </c>
      <c r="AS92" s="184">
        <f t="shared" si="39"/>
        <v>50000000</v>
      </c>
      <c r="AT92" s="184">
        <f t="shared" si="39"/>
        <v>50000000</v>
      </c>
      <c r="AU92" s="184">
        <f t="shared" si="39"/>
        <v>50000000</v>
      </c>
      <c r="AV92" s="184">
        <f t="shared" si="39"/>
        <v>50000000</v>
      </c>
      <c r="AW92" s="184">
        <f t="shared" si="39"/>
        <v>50000000</v>
      </c>
      <c r="AX92" s="184">
        <f t="shared" si="39"/>
        <v>50000000</v>
      </c>
      <c r="AY92" s="184">
        <f t="shared" si="39"/>
        <v>50000000</v>
      </c>
      <c r="AZ92" s="184">
        <f t="shared" si="39"/>
        <v>50000000</v>
      </c>
      <c r="BA92" s="184">
        <f t="shared" si="39"/>
        <v>50000000</v>
      </c>
      <c r="BB92" s="184">
        <f t="shared" si="39"/>
        <v>50000000</v>
      </c>
      <c r="BC92" s="184">
        <f t="shared" si="39"/>
        <v>50000000</v>
      </c>
      <c r="BD92" s="184">
        <f t="shared" si="39"/>
        <v>50000000</v>
      </c>
      <c r="BE92" s="184">
        <f t="shared" si="39"/>
        <v>50000000</v>
      </c>
      <c r="BF92" s="184">
        <f t="shared" si="39"/>
        <v>50000000</v>
      </c>
      <c r="BG92" s="184">
        <f t="shared" si="39"/>
        <v>50000000</v>
      </c>
      <c r="BH92" s="184">
        <f t="shared" si="39"/>
        <v>50000000</v>
      </c>
      <c r="BI92" s="184">
        <f t="shared" si="39"/>
        <v>50000000</v>
      </c>
      <c r="BJ92" s="184">
        <f t="shared" si="39"/>
        <v>50000000</v>
      </c>
      <c r="BK92" s="184">
        <f t="shared" si="39"/>
        <v>0</v>
      </c>
      <c r="BL92" s="184">
        <f t="shared" si="39"/>
        <v>0</v>
      </c>
      <c r="BM92" s="184">
        <f t="shared" si="39"/>
        <v>0</v>
      </c>
      <c r="BN92" s="184">
        <f t="shared" si="39"/>
        <v>0</v>
      </c>
      <c r="BO92" s="184">
        <f t="shared" si="39"/>
        <v>0</v>
      </c>
      <c r="BP92" s="184">
        <f t="shared" si="39"/>
        <v>0</v>
      </c>
      <c r="BQ92" s="184">
        <f t="shared" si="39"/>
        <v>0</v>
      </c>
    </row>
    <row r="93" spans="2:69">
      <c r="B93" s="4"/>
      <c r="C93" s="4"/>
      <c r="D93" s="9" t="s">
        <v>128</v>
      </c>
      <c r="E93" s="8"/>
      <c r="F93" s="67"/>
      <c r="G93" s="67"/>
      <c r="H93" s="67"/>
      <c r="I93" s="67"/>
      <c r="J93" s="67"/>
      <c r="K93" s="1"/>
      <c r="L93" s="1"/>
      <c r="M93" s="1"/>
      <c r="N93" s="85"/>
      <c r="O93" s="85"/>
      <c r="P93" s="85"/>
      <c r="Q93" s="85"/>
      <c r="R93" s="85"/>
      <c r="S93" s="85">
        <f t="shared" si="28"/>
        <v>0</v>
      </c>
      <c r="T93" s="184"/>
      <c r="U93" s="184">
        <v>3930000</v>
      </c>
      <c r="V93" s="184">
        <v>20000000</v>
      </c>
      <c r="W93" s="184">
        <v>20000000</v>
      </c>
      <c r="X93" s="184">
        <v>20000000</v>
      </c>
      <c r="Y93" s="184"/>
      <c r="Z93" s="184"/>
      <c r="AA93" s="184">
        <v>1000000</v>
      </c>
      <c r="AB93" s="184">
        <v>1000000</v>
      </c>
      <c r="AC93" s="184">
        <v>4000000</v>
      </c>
      <c r="AD93" s="184">
        <v>20000000</v>
      </c>
      <c r="AE93" s="184">
        <v>20000000</v>
      </c>
      <c r="AF93" s="184">
        <v>20000000</v>
      </c>
      <c r="AG93" s="184"/>
      <c r="AH93" s="184"/>
      <c r="AI93" s="184">
        <v>1000000</v>
      </c>
      <c r="AJ93" s="184">
        <v>1000000</v>
      </c>
      <c r="AK93" s="184">
        <v>4000000</v>
      </c>
      <c r="AL93" s="184">
        <v>20000000</v>
      </c>
      <c r="AM93" s="184">
        <v>20000000</v>
      </c>
      <c r="AN93" s="184">
        <v>20000000</v>
      </c>
      <c r="AO93" s="184"/>
      <c r="AP93" s="184"/>
      <c r="AQ93" s="184">
        <v>1000000</v>
      </c>
      <c r="AR93" s="184">
        <v>1000000</v>
      </c>
      <c r="AS93" s="184">
        <v>4000000</v>
      </c>
      <c r="AT93" s="184">
        <v>20000000</v>
      </c>
      <c r="AU93" s="184">
        <v>20000000</v>
      </c>
      <c r="AV93" s="184">
        <v>20000000</v>
      </c>
      <c r="AW93" s="184"/>
      <c r="AX93" s="184"/>
      <c r="AY93" s="184">
        <v>1000000</v>
      </c>
      <c r="AZ93" s="184">
        <v>1000000</v>
      </c>
      <c r="BA93" s="184">
        <v>4000000</v>
      </c>
      <c r="BB93" s="184">
        <v>20000000</v>
      </c>
      <c r="BC93" s="184">
        <v>20000000</v>
      </c>
      <c r="BD93" s="184">
        <v>20000000</v>
      </c>
      <c r="BE93" s="184"/>
      <c r="BF93" s="184"/>
      <c r="BG93" s="184">
        <v>1000000</v>
      </c>
      <c r="BH93" s="184">
        <v>1000000</v>
      </c>
      <c r="BI93" s="184">
        <v>4000000</v>
      </c>
      <c r="BJ93" s="184">
        <v>20000000</v>
      </c>
      <c r="BK93" s="184">
        <v>20000000</v>
      </c>
      <c r="BL93" s="184">
        <v>20000000</v>
      </c>
      <c r="BM93" s="184"/>
      <c r="BN93" s="184"/>
      <c r="BO93" s="184">
        <v>1000000</v>
      </c>
      <c r="BP93" s="184">
        <v>1000000</v>
      </c>
      <c r="BQ93" s="184">
        <v>4000000</v>
      </c>
    </row>
    <row r="94" spans="2:69">
      <c r="B94" s="4"/>
      <c r="C94" s="4"/>
      <c r="D94" s="9" t="s">
        <v>126</v>
      </c>
      <c r="E94" s="8"/>
      <c r="F94" s="67"/>
      <c r="G94" s="67"/>
      <c r="H94" s="67"/>
      <c r="I94" s="67"/>
      <c r="J94" s="67"/>
      <c r="K94" s="1"/>
      <c r="L94" s="1"/>
      <c r="M94" s="1"/>
      <c r="N94" s="85"/>
      <c r="O94" s="85"/>
      <c r="P94" s="85"/>
      <c r="Q94" s="85"/>
      <c r="R94" s="85"/>
      <c r="S94" s="85">
        <f t="shared" si="28"/>
        <v>0</v>
      </c>
      <c r="T94" s="184"/>
      <c r="U94" s="184"/>
      <c r="V94" s="184"/>
      <c r="W94" s="184"/>
      <c r="X94" s="184"/>
      <c r="Y94" s="184"/>
      <c r="Z94" s="184"/>
      <c r="AA94" s="184"/>
      <c r="AB94" s="184"/>
      <c r="AC94" s="184"/>
      <c r="AD94" s="184"/>
      <c r="AE94" s="184"/>
      <c r="AF94" s="184"/>
      <c r="AG94" s="184"/>
      <c r="AH94" s="184"/>
      <c r="AI94" s="184"/>
      <c r="AJ94" s="184"/>
      <c r="AK94" s="184"/>
      <c r="AL94" s="184"/>
      <c r="AM94" s="184"/>
      <c r="AN94" s="184"/>
      <c r="AO94" s="184"/>
      <c r="AP94" s="184"/>
      <c r="AQ94" s="184"/>
      <c r="AR94" s="184"/>
      <c r="AS94" s="184"/>
      <c r="AT94" s="184"/>
      <c r="AU94" s="184"/>
      <c r="AV94" s="184"/>
      <c r="AW94" s="184"/>
      <c r="AX94" s="184"/>
      <c r="AY94" s="184"/>
      <c r="AZ94" s="184"/>
      <c r="BA94" s="184"/>
      <c r="BB94" s="184"/>
      <c r="BC94" s="184"/>
      <c r="BD94" s="184"/>
      <c r="BE94" s="184"/>
      <c r="BF94" s="184"/>
      <c r="BG94" s="184"/>
      <c r="BH94" s="184"/>
      <c r="BI94" s="184"/>
      <c r="BJ94" s="184"/>
      <c r="BK94" s="184"/>
      <c r="BL94" s="184"/>
      <c r="BM94" s="184"/>
      <c r="BN94" s="184"/>
      <c r="BO94" s="184"/>
      <c r="BP94" s="184"/>
      <c r="BQ94" s="184"/>
    </row>
    <row r="95" spans="2:69">
      <c r="B95" s="4"/>
      <c r="C95" s="3"/>
      <c r="D95" s="9" t="s">
        <v>129</v>
      </c>
      <c r="E95" s="8"/>
      <c r="F95" s="67"/>
      <c r="G95" s="67"/>
      <c r="H95" s="67"/>
      <c r="I95" s="67"/>
      <c r="J95" s="67"/>
      <c r="K95" s="1"/>
      <c r="L95" s="1"/>
      <c r="M95" s="1"/>
      <c r="N95" s="85"/>
      <c r="O95" s="85"/>
      <c r="P95" s="85"/>
      <c r="Q95" s="85"/>
      <c r="R95" s="85"/>
      <c r="S95" s="85">
        <f t="shared" si="28"/>
        <v>0</v>
      </c>
      <c r="T95" s="184"/>
      <c r="U95" s="184"/>
      <c r="V95" s="184"/>
      <c r="W95" s="184"/>
      <c r="X95" s="184"/>
      <c r="Y95" s="184"/>
      <c r="Z95" s="184"/>
      <c r="AA95" s="184"/>
      <c r="AB95" s="184"/>
      <c r="AC95" s="184"/>
      <c r="AD95" s="184"/>
      <c r="AE95" s="184"/>
      <c r="AF95" s="184"/>
      <c r="AG95" s="184"/>
      <c r="AH95" s="184"/>
      <c r="AI95" s="184"/>
      <c r="AJ95" s="184"/>
      <c r="AK95" s="184"/>
      <c r="AL95" s="184"/>
      <c r="AM95" s="184"/>
      <c r="AN95" s="184"/>
      <c r="AO95" s="184"/>
      <c r="AP95" s="184"/>
      <c r="AQ95" s="184"/>
      <c r="AR95" s="184"/>
      <c r="AS95" s="184"/>
      <c r="AT95" s="184"/>
      <c r="AU95" s="184"/>
      <c r="AV95" s="184"/>
      <c r="AW95" s="184"/>
      <c r="AX95" s="184"/>
      <c r="AY95" s="184"/>
      <c r="AZ95" s="184"/>
      <c r="BA95" s="184"/>
      <c r="BB95" s="184"/>
      <c r="BC95" s="184"/>
      <c r="BD95" s="184"/>
      <c r="BE95" s="184"/>
      <c r="BF95" s="184"/>
      <c r="BG95" s="184"/>
      <c r="BH95" s="184"/>
      <c r="BI95" s="184"/>
      <c r="BJ95" s="184"/>
      <c r="BK95" s="184"/>
      <c r="BL95" s="184"/>
      <c r="BM95" s="184"/>
      <c r="BN95" s="184"/>
      <c r="BO95" s="184"/>
      <c r="BP95" s="184"/>
      <c r="BQ95" s="184"/>
    </row>
    <row r="96" spans="2:69">
      <c r="B96" s="4"/>
      <c r="C96" s="2" t="s">
        <v>130</v>
      </c>
      <c r="D96" s="1"/>
      <c r="E96" s="1"/>
      <c r="F96" s="1"/>
      <c r="G96" s="1"/>
      <c r="H96" s="1"/>
      <c r="I96" s="1"/>
      <c r="J96" s="1"/>
      <c r="K96" s="1"/>
      <c r="L96" s="1"/>
      <c r="M96" s="1"/>
      <c r="N96" s="85">
        <f>SUM(N97:N98)</f>
        <v>5011414</v>
      </c>
      <c r="O96" s="85">
        <f t="shared" ref="O96:BQ96" si="40">SUM(O97:O98)</f>
        <v>6752975</v>
      </c>
      <c r="P96" s="85">
        <f t="shared" si="40"/>
        <v>7340812</v>
      </c>
      <c r="Q96" s="85">
        <f t="shared" si="40"/>
        <v>9283535</v>
      </c>
      <c r="R96" s="85">
        <f t="shared" si="40"/>
        <v>12385753</v>
      </c>
      <c r="S96" s="85">
        <f t="shared" si="28"/>
        <v>8154897.7999999998</v>
      </c>
      <c r="T96" s="184">
        <f t="shared" si="40"/>
        <v>14144217</v>
      </c>
      <c r="U96" s="184">
        <f t="shared" si="40"/>
        <v>18171249</v>
      </c>
      <c r="V96" s="184">
        <f t="shared" si="40"/>
        <v>38153082</v>
      </c>
      <c r="W96" s="184">
        <f t="shared" si="40"/>
        <v>59344748</v>
      </c>
      <c r="X96" s="184">
        <f t="shared" si="40"/>
        <v>60022144</v>
      </c>
      <c r="Y96" s="184">
        <f t="shared" si="40"/>
        <v>76157864</v>
      </c>
      <c r="Z96" s="184">
        <f t="shared" si="40"/>
        <v>86244186</v>
      </c>
      <c r="AA96" s="184">
        <f t="shared" si="40"/>
        <v>108693438</v>
      </c>
      <c r="AB96" s="184">
        <f t="shared" si="40"/>
        <v>96387951</v>
      </c>
      <c r="AC96" s="184">
        <f t="shared" si="40"/>
        <v>103492848</v>
      </c>
      <c r="AD96" s="184">
        <f t="shared" si="40"/>
        <v>103863087</v>
      </c>
      <c r="AE96" s="184">
        <f t="shared" si="40"/>
        <v>108592105</v>
      </c>
      <c r="AF96" s="184">
        <f t="shared" si="40"/>
        <v>112931104</v>
      </c>
      <c r="AG96" s="184">
        <f t="shared" si="40"/>
        <v>117357861</v>
      </c>
      <c r="AH96" s="184">
        <f t="shared" si="40"/>
        <v>126876864</v>
      </c>
      <c r="AI96" s="184">
        <f t="shared" si="40"/>
        <v>131528569</v>
      </c>
      <c r="AJ96" s="184">
        <f t="shared" si="40"/>
        <v>140494261</v>
      </c>
      <c r="AK96" s="184">
        <f t="shared" si="40"/>
        <v>151173101</v>
      </c>
      <c r="AL96" s="184">
        <f t="shared" si="40"/>
        <v>161530349</v>
      </c>
      <c r="AM96" s="184">
        <f t="shared" si="40"/>
        <v>171514159</v>
      </c>
      <c r="AN96" s="184">
        <f t="shared" si="40"/>
        <v>182586259</v>
      </c>
      <c r="AO96" s="184">
        <f t="shared" si="40"/>
        <v>191287553</v>
      </c>
      <c r="AP96" s="184">
        <f t="shared" si="40"/>
        <v>188821982</v>
      </c>
      <c r="AQ96" s="184">
        <f t="shared" si="40"/>
        <v>187035274</v>
      </c>
      <c r="AR96" s="184">
        <f t="shared" si="40"/>
        <v>187851162</v>
      </c>
      <c r="AS96" s="184">
        <f t="shared" si="40"/>
        <v>180442230</v>
      </c>
      <c r="AT96" s="184">
        <f t="shared" si="40"/>
        <v>177717420</v>
      </c>
      <c r="AU96" s="184">
        <f t="shared" si="40"/>
        <v>182259480</v>
      </c>
      <c r="AV96" s="184">
        <f t="shared" si="40"/>
        <v>186896924</v>
      </c>
      <c r="AW96" s="184">
        <f t="shared" si="40"/>
        <v>191631756</v>
      </c>
      <c r="AX96" s="184">
        <f t="shared" si="40"/>
        <v>196466016</v>
      </c>
      <c r="AY96" s="184">
        <f t="shared" si="40"/>
        <v>201401796</v>
      </c>
      <c r="AZ96" s="184">
        <f t="shared" si="40"/>
        <v>206441228</v>
      </c>
      <c r="BA96" s="184">
        <f t="shared" si="40"/>
        <v>211586490</v>
      </c>
      <c r="BB96" s="184">
        <f t="shared" si="40"/>
        <v>216839797</v>
      </c>
      <c r="BC96" s="184">
        <f t="shared" si="40"/>
        <v>222203425</v>
      </c>
      <c r="BD96" s="184">
        <f t="shared" si="40"/>
        <v>227679692</v>
      </c>
      <c r="BE96" s="184">
        <f t="shared" si="40"/>
        <v>233270959</v>
      </c>
      <c r="BF96" s="184">
        <f t="shared" si="40"/>
        <v>238979645</v>
      </c>
      <c r="BG96" s="184">
        <f t="shared" si="40"/>
        <v>244808211</v>
      </c>
      <c r="BH96" s="184">
        <f t="shared" si="40"/>
        <v>250759180</v>
      </c>
      <c r="BI96" s="184">
        <f t="shared" si="40"/>
        <v>247892265</v>
      </c>
      <c r="BJ96" s="184">
        <f t="shared" si="40"/>
        <v>246341539</v>
      </c>
      <c r="BK96" s="184">
        <f t="shared" si="40"/>
        <v>235634235</v>
      </c>
      <c r="BL96" s="184">
        <f t="shared" si="40"/>
        <v>225628201</v>
      </c>
      <c r="BM96" s="184">
        <f t="shared" si="40"/>
        <v>215970039</v>
      </c>
      <c r="BN96" s="184">
        <f t="shared" si="40"/>
        <v>211689036</v>
      </c>
      <c r="BO96" s="184">
        <f t="shared" si="40"/>
        <v>207318131</v>
      </c>
      <c r="BP96" s="184">
        <f t="shared" si="40"/>
        <v>200995447</v>
      </c>
      <c r="BQ96" s="184">
        <f t="shared" si="40"/>
        <v>192307993</v>
      </c>
    </row>
    <row r="97" spans="2:69">
      <c r="B97" s="4"/>
      <c r="C97" s="4"/>
      <c r="D97" s="9" t="s">
        <v>729</v>
      </c>
      <c r="E97" s="8"/>
      <c r="F97" s="1"/>
      <c r="G97" s="1"/>
      <c r="H97" s="1"/>
      <c r="I97" s="1"/>
      <c r="J97" s="1"/>
      <c r="K97" s="1" t="s">
        <v>250</v>
      </c>
      <c r="L97" s="1"/>
      <c r="M97" s="1"/>
      <c r="N97" s="85">
        <f>【PL】決算数値入力!K156</f>
        <v>5011414</v>
      </c>
      <c r="O97" s="85">
        <f>【PL】決算数値入力!L156</f>
        <v>6752975</v>
      </c>
      <c r="P97" s="85">
        <f>【PL】決算数値入力!M156</f>
        <v>7340812</v>
      </c>
      <c r="Q97" s="85">
        <f>【PL】決算数値入力!N156</f>
        <v>9283535</v>
      </c>
      <c r="R97" s="85">
        <f>【PL】決算数値入力!O156</f>
        <v>12385753</v>
      </c>
      <c r="S97" s="85">
        <f t="shared" si="28"/>
        <v>8154897.7999999998</v>
      </c>
      <c r="T97" s="184">
        <v>14144217</v>
      </c>
      <c r="U97" s="184">
        <v>18171249</v>
      </c>
      <c r="V97" s="184">
        <v>30881790</v>
      </c>
      <c r="W97" s="184">
        <v>44652356</v>
      </c>
      <c r="X97" s="184">
        <v>38508860</v>
      </c>
      <c r="Y97" s="184">
        <v>47923445</v>
      </c>
      <c r="Z97" s="184">
        <v>53577472</v>
      </c>
      <c r="AA97" s="184">
        <v>71501351</v>
      </c>
      <c r="AB97" s="184">
        <v>53765464</v>
      </c>
      <c r="AC97" s="184">
        <v>54353929</v>
      </c>
      <c r="AD97" s="184">
        <v>49366881</v>
      </c>
      <c r="AE97" s="184">
        <v>49922099</v>
      </c>
      <c r="AF97" s="184">
        <v>50485648</v>
      </c>
      <c r="AG97" s="184">
        <v>51057668</v>
      </c>
      <c r="AH97" s="184">
        <v>50485030</v>
      </c>
      <c r="AI97" s="184">
        <v>44833168</v>
      </c>
      <c r="AJ97" s="184">
        <v>43278918</v>
      </c>
      <c r="AK97" s="184">
        <v>43216900</v>
      </c>
      <c r="AL97" s="184">
        <v>42121733</v>
      </c>
      <c r="AM97" s="184">
        <v>40040032</v>
      </c>
      <c r="AN97" s="184">
        <v>38793244</v>
      </c>
      <c r="AO97" s="184">
        <v>34916953</v>
      </c>
      <c r="AP97" s="184">
        <v>28357604</v>
      </c>
      <c r="AQ97" s="184">
        <v>22391150</v>
      </c>
      <c r="AR97" s="184">
        <v>18939519</v>
      </c>
      <c r="AS97" s="184">
        <v>7173448</v>
      </c>
      <c r="AT97" s="184">
        <v>0</v>
      </c>
      <c r="AU97" s="184">
        <v>0</v>
      </c>
      <c r="AV97" s="184">
        <v>0</v>
      </c>
      <c r="AW97" s="184">
        <v>0</v>
      </c>
      <c r="AX97" s="184">
        <v>0</v>
      </c>
      <c r="AY97" s="184">
        <v>0</v>
      </c>
      <c r="AZ97" s="184">
        <v>0</v>
      </c>
      <c r="BA97" s="184">
        <v>0</v>
      </c>
      <c r="BB97" s="184">
        <v>0</v>
      </c>
      <c r="BC97" s="184">
        <v>0</v>
      </c>
      <c r="BD97" s="184">
        <v>0</v>
      </c>
      <c r="BE97" s="184">
        <v>0</v>
      </c>
      <c r="BF97" s="184">
        <v>0</v>
      </c>
      <c r="BG97" s="184">
        <v>0</v>
      </c>
      <c r="BH97" s="184">
        <v>0</v>
      </c>
      <c r="BI97" s="184">
        <v>0</v>
      </c>
      <c r="BJ97" s="184">
        <v>0</v>
      </c>
      <c r="BK97" s="184">
        <v>0</v>
      </c>
      <c r="BL97" s="184">
        <v>0</v>
      </c>
      <c r="BM97" s="184">
        <v>0</v>
      </c>
      <c r="BN97" s="184">
        <v>0</v>
      </c>
      <c r="BO97" s="184">
        <v>0</v>
      </c>
      <c r="BP97" s="184">
        <v>0</v>
      </c>
      <c r="BQ97" s="184">
        <v>0</v>
      </c>
    </row>
    <row r="98" spans="2:69">
      <c r="B98" s="4"/>
      <c r="C98" s="3"/>
      <c r="D98" s="9" t="s">
        <v>727</v>
      </c>
      <c r="E98" s="8"/>
      <c r="F98" s="1"/>
      <c r="G98" s="1"/>
      <c r="H98" s="1"/>
      <c r="I98" s="1"/>
      <c r="J98" s="1"/>
      <c r="K98" s="1" t="s">
        <v>251</v>
      </c>
      <c r="L98" s="1"/>
      <c r="M98" s="1"/>
      <c r="N98" s="85"/>
      <c r="O98" s="85"/>
      <c r="P98" s="85"/>
      <c r="Q98" s="85"/>
      <c r="R98" s="85"/>
      <c r="S98" s="85">
        <f t="shared" si="28"/>
        <v>0</v>
      </c>
      <c r="T98" s="184">
        <f>新規債返済スケジュール!E2</f>
        <v>0</v>
      </c>
      <c r="U98" s="184">
        <v>0</v>
      </c>
      <c r="V98" s="184">
        <f>新規債返済スケジュール!G2</f>
        <v>7271292</v>
      </c>
      <c r="W98" s="184">
        <f>新規債返済スケジュール!H2</f>
        <v>14692392</v>
      </c>
      <c r="X98" s="184">
        <f>新規債返済スケジュール!I2</f>
        <v>21513284</v>
      </c>
      <c r="Y98" s="184">
        <f>新規債返済スケジュール!J2</f>
        <v>28234419</v>
      </c>
      <c r="Z98" s="184">
        <f>新規債返済スケジュール!K2</f>
        <v>32666714</v>
      </c>
      <c r="AA98" s="184">
        <f>新規債返済スケジュール!L2</f>
        <v>37192087</v>
      </c>
      <c r="AB98" s="184">
        <f>新規債返済スケジュール!M2</f>
        <v>42622487</v>
      </c>
      <c r="AC98" s="184">
        <f>新規債返済スケジュール!N2</f>
        <v>49138919</v>
      </c>
      <c r="AD98" s="184">
        <f>新規債返済スケジュール!O2</f>
        <v>54496206</v>
      </c>
      <c r="AE98" s="184">
        <f>新規債返済スケジュール!P2</f>
        <v>58670006</v>
      </c>
      <c r="AF98" s="184">
        <f>新規債返済スケジュール!Q2</f>
        <v>62445456</v>
      </c>
      <c r="AG98" s="184">
        <f>新規債返済スケジュール!R2</f>
        <v>66300193</v>
      </c>
      <c r="AH98" s="184">
        <f>新規債返済スケジュール!S2</f>
        <v>76391834</v>
      </c>
      <c r="AI98" s="184">
        <f>新規債返済スケジュール!T2</f>
        <v>86695401</v>
      </c>
      <c r="AJ98" s="184">
        <f>新規債返済スケジュール!U2</f>
        <v>97215343</v>
      </c>
      <c r="AK98" s="184">
        <f>新規債返済スケジュール!V2</f>
        <v>107956201</v>
      </c>
      <c r="AL98" s="184">
        <f>新規債返済スケジュール!W2</f>
        <v>119408616</v>
      </c>
      <c r="AM98" s="184">
        <f>新規債返済スケジュール!X2</f>
        <v>131474127</v>
      </c>
      <c r="AN98" s="184">
        <f>新規債返済スケジュール!Y2</f>
        <v>143793015</v>
      </c>
      <c r="AO98" s="184">
        <f>新規債返済スケジュール!Z2</f>
        <v>156370600</v>
      </c>
      <c r="AP98" s="184">
        <f>新規債返済スケジュール!AA2</f>
        <v>160464378</v>
      </c>
      <c r="AQ98" s="184">
        <f>新規債返済スケジュール!AB2</f>
        <v>164644124</v>
      </c>
      <c r="AR98" s="184">
        <f>新規債返済スケジュール!AC2</f>
        <v>168911643</v>
      </c>
      <c r="AS98" s="184">
        <f>新規債返済スケジュール!AD2</f>
        <v>173268782</v>
      </c>
      <c r="AT98" s="184">
        <f>新規債返済スケジュール!AE2</f>
        <v>177717420</v>
      </c>
      <c r="AU98" s="184">
        <f>新規債返済スケジュール!AF2</f>
        <v>182259480</v>
      </c>
      <c r="AV98" s="184">
        <f>新規債返済スケジュール!AG2</f>
        <v>186896924</v>
      </c>
      <c r="AW98" s="184">
        <f>新規債返済スケジュール!AH2</f>
        <v>191631756</v>
      </c>
      <c r="AX98" s="184">
        <f>新規債返済スケジュール!AI2</f>
        <v>196466016</v>
      </c>
      <c r="AY98" s="184">
        <f>新規債返済スケジュール!AJ2</f>
        <v>201401796</v>
      </c>
      <c r="AZ98" s="184">
        <f>新規債返済スケジュール!AK2</f>
        <v>206441228</v>
      </c>
      <c r="BA98" s="184">
        <f>新規債返済スケジュール!AL2</f>
        <v>211586490</v>
      </c>
      <c r="BB98" s="184">
        <f>新規債返済スケジュール!AM2</f>
        <v>216839797</v>
      </c>
      <c r="BC98" s="184">
        <f>新規債返済スケジュール!AN2</f>
        <v>222203425</v>
      </c>
      <c r="BD98" s="184">
        <f>新規債返済スケジュール!AO2</f>
        <v>227679692</v>
      </c>
      <c r="BE98" s="184">
        <f>新規債返済スケジュール!AP2</f>
        <v>233270959</v>
      </c>
      <c r="BF98" s="184">
        <f>新規債返済スケジュール!AQ2</f>
        <v>238979645</v>
      </c>
      <c r="BG98" s="184">
        <f>新規債返済スケジュール!AR2</f>
        <v>244808211</v>
      </c>
      <c r="BH98" s="184">
        <f>新規債返済スケジュール!AS2</f>
        <v>250759180</v>
      </c>
      <c r="BI98" s="184">
        <f>新規債返済スケジュール!AT2</f>
        <v>247892265</v>
      </c>
      <c r="BJ98" s="184">
        <f>新規債返済スケジュール!AU2</f>
        <v>246341539</v>
      </c>
      <c r="BK98" s="184">
        <f>新規債返済スケジュール!AV2</f>
        <v>235634235</v>
      </c>
      <c r="BL98" s="184">
        <f>新規債返済スケジュール!AW2</f>
        <v>225628201</v>
      </c>
      <c r="BM98" s="184">
        <f>新規債返済スケジュール!AX2</f>
        <v>215970039</v>
      </c>
      <c r="BN98" s="184">
        <f>新規債返済スケジュール!AY2</f>
        <v>211689036</v>
      </c>
      <c r="BO98" s="184">
        <f>新規債返済スケジュール!AZ2</f>
        <v>207318131</v>
      </c>
      <c r="BP98" s="184">
        <f>新規債返済スケジュール!BA2</f>
        <v>200995447</v>
      </c>
      <c r="BQ98" s="184">
        <f>新規債返済スケジュール!BB2</f>
        <v>192307993</v>
      </c>
    </row>
    <row r="99" spans="2:69">
      <c r="B99" s="3"/>
      <c r="C99" s="1" t="s">
        <v>132</v>
      </c>
      <c r="D99" s="1"/>
      <c r="E99" s="1"/>
      <c r="F99" s="1"/>
      <c r="G99" s="1"/>
      <c r="H99" s="1"/>
      <c r="I99" s="1"/>
      <c r="J99" s="1"/>
      <c r="K99" s="1"/>
      <c r="L99" s="1"/>
      <c r="M99" s="1"/>
      <c r="N99" s="85">
        <f>【PL】決算数値入力!K155</f>
        <v>44382000</v>
      </c>
      <c r="O99" s="85">
        <f>【PL】決算数値入力!L155</f>
        <v>1711000</v>
      </c>
      <c r="P99" s="85">
        <f>【PL】決算数値入力!M155</f>
        <v>0</v>
      </c>
      <c r="Q99" s="85">
        <f>【PL】決算数値入力!N155</f>
        <v>0</v>
      </c>
      <c r="R99" s="85">
        <f>【PL】決算数値入力!O155</f>
        <v>0</v>
      </c>
      <c r="S99" s="85">
        <f>【PL】決算数値入力!P155</f>
        <v>4609300</v>
      </c>
      <c r="T99" s="184"/>
      <c r="U99" s="184"/>
      <c r="V99" s="184"/>
      <c r="W99" s="184"/>
      <c r="X99" s="184"/>
      <c r="Y99" s="184"/>
      <c r="Z99" s="184"/>
      <c r="AA99" s="184"/>
      <c r="AB99" s="184"/>
      <c r="AC99" s="184"/>
      <c r="AD99" s="184"/>
      <c r="AE99" s="184"/>
      <c r="AF99" s="184"/>
      <c r="AG99" s="184"/>
      <c r="AH99" s="184"/>
      <c r="AI99" s="184"/>
      <c r="AJ99" s="184"/>
      <c r="AK99" s="184"/>
      <c r="AL99" s="184"/>
      <c r="AM99" s="184"/>
      <c r="AN99" s="184"/>
      <c r="AO99" s="184"/>
      <c r="AP99" s="184"/>
      <c r="AQ99" s="184"/>
      <c r="AR99" s="184"/>
      <c r="AS99" s="184"/>
      <c r="AT99" s="184"/>
      <c r="AU99" s="184"/>
      <c r="AV99" s="184"/>
      <c r="AW99" s="184"/>
      <c r="AX99" s="184"/>
      <c r="AY99" s="184"/>
      <c r="AZ99" s="184"/>
      <c r="BA99" s="184"/>
      <c r="BB99" s="184"/>
      <c r="BC99" s="184"/>
      <c r="BD99" s="184"/>
      <c r="BE99" s="184"/>
      <c r="BF99" s="184"/>
      <c r="BG99" s="184"/>
      <c r="BH99" s="184"/>
      <c r="BI99" s="184"/>
      <c r="BJ99" s="184"/>
      <c r="BK99" s="184"/>
      <c r="BL99" s="184"/>
      <c r="BM99" s="184"/>
      <c r="BN99" s="184"/>
      <c r="BO99" s="184"/>
      <c r="BP99" s="184"/>
      <c r="BQ99" s="184"/>
    </row>
    <row r="100" spans="2:69">
      <c r="B100" s="9" t="s">
        <v>133</v>
      </c>
      <c r="C100" s="7"/>
      <c r="D100" s="7"/>
      <c r="E100" s="8"/>
      <c r="F100" s="1"/>
      <c r="G100" s="1"/>
      <c r="H100" s="1"/>
      <c r="I100" s="1"/>
      <c r="J100" s="1"/>
      <c r="K100" s="1"/>
      <c r="L100" s="1"/>
      <c r="M100" s="1"/>
      <c r="N100" s="85">
        <f>N73-N80</f>
        <v>-70846002</v>
      </c>
      <c r="O100" s="85">
        <f t="shared" ref="O100:BQ100" si="41">O73-O80</f>
        <v>-11707941</v>
      </c>
      <c r="P100" s="85">
        <f t="shared" si="41"/>
        <v>-22241166</v>
      </c>
      <c r="Q100" s="85">
        <f t="shared" si="41"/>
        <v>-10564040</v>
      </c>
      <c r="R100" s="85">
        <f t="shared" si="41"/>
        <v>-67209897</v>
      </c>
      <c r="S100" s="85">
        <f t="shared" si="28"/>
        <v>-36513809.200000003</v>
      </c>
      <c r="T100" s="184">
        <f>T73-T80</f>
        <v>-12637203</v>
      </c>
      <c r="U100" s="184">
        <f>U73-U80</f>
        <v>-19415249</v>
      </c>
      <c r="V100" s="184">
        <f>V73-V80</f>
        <v>-7271292</v>
      </c>
      <c r="W100" s="184">
        <f t="shared" si="41"/>
        <v>-14692392</v>
      </c>
      <c r="X100" s="184">
        <f t="shared" si="41"/>
        <v>-21513284</v>
      </c>
      <c r="Y100" s="184">
        <f t="shared" si="41"/>
        <v>-28234419</v>
      </c>
      <c r="Z100" s="184">
        <f t="shared" si="41"/>
        <v>-32666714</v>
      </c>
      <c r="AA100" s="184">
        <f t="shared" si="41"/>
        <v>-38192087</v>
      </c>
      <c r="AB100" s="184">
        <f t="shared" si="41"/>
        <v>-43622487</v>
      </c>
      <c r="AC100" s="184">
        <f t="shared" si="41"/>
        <v>-53138919</v>
      </c>
      <c r="AD100" s="184">
        <f t="shared" si="41"/>
        <v>-74496206</v>
      </c>
      <c r="AE100" s="184">
        <f t="shared" si="41"/>
        <v>-78670006</v>
      </c>
      <c r="AF100" s="184">
        <f t="shared" si="41"/>
        <v>-82445456</v>
      </c>
      <c r="AG100" s="184">
        <f t="shared" si="41"/>
        <v>-66300193</v>
      </c>
      <c r="AH100" s="184">
        <f t="shared" si="41"/>
        <v>-76391834</v>
      </c>
      <c r="AI100" s="184">
        <f t="shared" si="41"/>
        <v>-87695401</v>
      </c>
      <c r="AJ100" s="184">
        <f t="shared" si="41"/>
        <v>-98215343</v>
      </c>
      <c r="AK100" s="184">
        <f t="shared" si="41"/>
        <v>-111956201</v>
      </c>
      <c r="AL100" s="184">
        <f t="shared" si="41"/>
        <v>-139408616</v>
      </c>
      <c r="AM100" s="184">
        <f t="shared" si="41"/>
        <v>-151474127</v>
      </c>
      <c r="AN100" s="184">
        <f t="shared" si="41"/>
        <v>-163793015</v>
      </c>
      <c r="AO100" s="184">
        <f t="shared" si="41"/>
        <v>-156370600</v>
      </c>
      <c r="AP100" s="184">
        <f t="shared" si="41"/>
        <v>-160464378</v>
      </c>
      <c r="AQ100" s="184">
        <f t="shared" si="41"/>
        <v>-165644124</v>
      </c>
      <c r="AR100" s="184">
        <f t="shared" si="41"/>
        <v>-169911643</v>
      </c>
      <c r="AS100" s="184">
        <f t="shared" si="41"/>
        <v>-177268782</v>
      </c>
      <c r="AT100" s="184">
        <f t="shared" si="41"/>
        <v>-197717420</v>
      </c>
      <c r="AU100" s="184">
        <f t="shared" si="41"/>
        <v>-202259480</v>
      </c>
      <c r="AV100" s="184">
        <f t="shared" si="41"/>
        <v>-206896924</v>
      </c>
      <c r="AW100" s="184">
        <f t="shared" si="41"/>
        <v>-191631756</v>
      </c>
      <c r="AX100" s="184">
        <f t="shared" si="41"/>
        <v>-196466016</v>
      </c>
      <c r="AY100" s="184">
        <f t="shared" si="41"/>
        <v>-202401796</v>
      </c>
      <c r="AZ100" s="184">
        <f t="shared" si="41"/>
        <v>-207441228</v>
      </c>
      <c r="BA100" s="184">
        <f t="shared" si="41"/>
        <v>-215586490</v>
      </c>
      <c r="BB100" s="184">
        <f t="shared" si="41"/>
        <v>-236839797</v>
      </c>
      <c r="BC100" s="184">
        <f t="shared" si="41"/>
        <v>-242203425</v>
      </c>
      <c r="BD100" s="184">
        <f t="shared" si="41"/>
        <v>-247679692</v>
      </c>
      <c r="BE100" s="184">
        <f t="shared" si="41"/>
        <v>-233270959</v>
      </c>
      <c r="BF100" s="184">
        <f t="shared" si="41"/>
        <v>-238979645</v>
      </c>
      <c r="BG100" s="184">
        <f t="shared" si="41"/>
        <v>-245808211</v>
      </c>
      <c r="BH100" s="184">
        <f t="shared" si="41"/>
        <v>-251759180</v>
      </c>
      <c r="BI100" s="184">
        <f t="shared" si="41"/>
        <v>-251892265</v>
      </c>
      <c r="BJ100" s="184">
        <f t="shared" si="41"/>
        <v>-266341539</v>
      </c>
      <c r="BK100" s="184">
        <f t="shared" si="41"/>
        <v>-255634235</v>
      </c>
      <c r="BL100" s="184">
        <f t="shared" si="41"/>
        <v>-245628201</v>
      </c>
      <c r="BM100" s="184">
        <f t="shared" si="41"/>
        <v>-215970039</v>
      </c>
      <c r="BN100" s="184">
        <f t="shared" si="41"/>
        <v>-211689036</v>
      </c>
      <c r="BO100" s="184">
        <f t="shared" si="41"/>
        <v>-208318131</v>
      </c>
      <c r="BP100" s="184">
        <f t="shared" si="41"/>
        <v>-201995447</v>
      </c>
      <c r="BQ100" s="184">
        <f t="shared" si="41"/>
        <v>-196307993</v>
      </c>
    </row>
    <row r="101" spans="2:69">
      <c r="T101" s="24" t="s">
        <v>736</v>
      </c>
      <c r="U101" s="24" t="s">
        <v>737</v>
      </c>
    </row>
    <row r="102" spans="2:69">
      <c r="B102" t="s">
        <v>134</v>
      </c>
    </row>
    <row r="103" spans="2:69">
      <c r="B103" s="11" t="s">
        <v>1</v>
      </c>
      <c r="C103" s="11" t="s">
        <v>2</v>
      </c>
      <c r="D103" s="12" t="s">
        <v>3</v>
      </c>
      <c r="E103" s="13"/>
      <c r="F103" s="20" t="s">
        <v>4</v>
      </c>
      <c r="G103" s="14"/>
      <c r="H103" s="14"/>
      <c r="I103" s="15"/>
      <c r="J103" s="311" t="s">
        <v>162</v>
      </c>
      <c r="K103" s="11" t="s">
        <v>8</v>
      </c>
      <c r="L103" s="11" t="s">
        <v>9</v>
      </c>
      <c r="M103" s="11" t="s">
        <v>10</v>
      </c>
      <c r="N103" s="30" t="s">
        <v>11</v>
      </c>
      <c r="O103" s="31"/>
      <c r="P103" s="31"/>
      <c r="Q103" s="31"/>
      <c r="R103" s="32"/>
      <c r="S103" s="35" t="s">
        <v>177</v>
      </c>
      <c r="T103" s="33" t="s">
        <v>17</v>
      </c>
      <c r="U103" s="31"/>
      <c r="V103" s="31"/>
      <c r="W103" s="32"/>
      <c r="X103" s="34" t="s">
        <v>68</v>
      </c>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row>
    <row r="104" spans="2:69">
      <c r="B104" s="17"/>
      <c r="C104" s="17"/>
      <c r="D104" s="18"/>
      <c r="E104" s="19"/>
      <c r="F104" s="17"/>
      <c r="G104" s="250" t="s">
        <v>5</v>
      </c>
      <c r="H104" s="250" t="s">
        <v>6</v>
      </c>
      <c r="I104" s="250" t="s">
        <v>7</v>
      </c>
      <c r="J104" s="312"/>
      <c r="K104" s="17"/>
      <c r="L104" s="17"/>
      <c r="M104" s="17"/>
      <c r="N104" s="35" t="s">
        <v>589</v>
      </c>
      <c r="O104" s="35" t="s">
        <v>19</v>
      </c>
      <c r="P104" s="35" t="s">
        <v>20</v>
      </c>
      <c r="Q104" s="35" t="s">
        <v>588</v>
      </c>
      <c r="R104" s="35" t="s">
        <v>594</v>
      </c>
      <c r="S104" s="35"/>
      <c r="T104" s="35" t="s">
        <v>710</v>
      </c>
      <c r="U104" s="35" t="s">
        <v>711</v>
      </c>
      <c r="V104" s="35" t="s">
        <v>712</v>
      </c>
      <c r="W104" s="35" t="s">
        <v>713</v>
      </c>
      <c r="X104" s="35" t="s">
        <v>27</v>
      </c>
      <c r="Y104" s="35" t="s">
        <v>28</v>
      </c>
      <c r="Z104" s="35" t="s">
        <v>29</v>
      </c>
      <c r="AA104" s="35" t="s">
        <v>30</v>
      </c>
      <c r="AB104" s="35" t="s">
        <v>31</v>
      </c>
      <c r="AC104" s="35" t="s">
        <v>32</v>
      </c>
      <c r="AD104" s="35" t="s">
        <v>33</v>
      </c>
      <c r="AE104" s="35" t="s">
        <v>34</v>
      </c>
      <c r="AF104" s="35" t="s">
        <v>35</v>
      </c>
      <c r="AG104" s="35" t="s">
        <v>36</v>
      </c>
      <c r="AH104" s="35" t="s">
        <v>37</v>
      </c>
      <c r="AI104" s="35" t="s">
        <v>38</v>
      </c>
      <c r="AJ104" s="35" t="s">
        <v>39</v>
      </c>
      <c r="AK104" s="35" t="s">
        <v>40</v>
      </c>
      <c r="AL104" s="35" t="s">
        <v>41</v>
      </c>
      <c r="AM104" s="35" t="s">
        <v>42</v>
      </c>
      <c r="AN104" s="35" t="s">
        <v>43</v>
      </c>
      <c r="AO104" s="35" t="s">
        <v>44</v>
      </c>
      <c r="AP104" s="35" t="s">
        <v>45</v>
      </c>
      <c r="AQ104" s="35" t="s">
        <v>46</v>
      </c>
      <c r="AR104" s="35" t="s">
        <v>47</v>
      </c>
      <c r="AS104" s="35" t="s">
        <v>48</v>
      </c>
      <c r="AT104" s="35" t="s">
        <v>49</v>
      </c>
      <c r="AU104" s="35" t="s">
        <v>50</v>
      </c>
      <c r="AV104" s="35" t="s">
        <v>51</v>
      </c>
      <c r="AW104" s="35" t="s">
        <v>52</v>
      </c>
      <c r="AX104" s="35" t="s">
        <v>53</v>
      </c>
      <c r="AY104" s="35" t="s">
        <v>54</v>
      </c>
      <c r="AZ104" s="35" t="s">
        <v>55</v>
      </c>
      <c r="BA104" s="35" t="s">
        <v>56</v>
      </c>
      <c r="BB104" s="35" t="s">
        <v>57</v>
      </c>
      <c r="BC104" s="35" t="s">
        <v>58</v>
      </c>
      <c r="BD104" s="35" t="s">
        <v>59</v>
      </c>
      <c r="BE104" s="35" t="s">
        <v>60</v>
      </c>
      <c r="BF104" s="35" t="s">
        <v>61</v>
      </c>
      <c r="BG104" s="35" t="s">
        <v>62</v>
      </c>
      <c r="BH104" s="35" t="s">
        <v>63</v>
      </c>
      <c r="BI104" s="35" t="s">
        <v>64</v>
      </c>
      <c r="BJ104" s="35" t="s">
        <v>65</v>
      </c>
      <c r="BK104" s="35" t="s">
        <v>66</v>
      </c>
      <c r="BL104" s="35" t="s">
        <v>67</v>
      </c>
      <c r="BM104" s="35" t="s">
        <v>670</v>
      </c>
      <c r="BN104" s="35" t="s">
        <v>671</v>
      </c>
      <c r="BO104" s="35" t="s">
        <v>672</v>
      </c>
      <c r="BP104" s="35" t="s">
        <v>673</v>
      </c>
      <c r="BQ104" s="35" t="s">
        <v>674</v>
      </c>
    </row>
    <row r="105" spans="2:69">
      <c r="B105" s="9" t="s">
        <v>133</v>
      </c>
      <c r="C105" s="7"/>
      <c r="D105" s="7"/>
      <c r="E105" s="8"/>
      <c r="F105" s="67"/>
      <c r="G105" s="67"/>
      <c r="H105" s="67"/>
      <c r="I105" s="67"/>
      <c r="J105" s="67"/>
      <c r="K105" s="1"/>
      <c r="L105" s="1"/>
      <c r="M105" s="1"/>
      <c r="N105" s="182">
        <f>N100</f>
        <v>-70846002</v>
      </c>
      <c r="O105" s="182">
        <f t="shared" ref="O105:R105" si="42">O100</f>
        <v>-11707941</v>
      </c>
      <c r="P105" s="182">
        <f t="shared" si="42"/>
        <v>-22241166</v>
      </c>
      <c r="Q105" s="182">
        <f t="shared" si="42"/>
        <v>-10564040</v>
      </c>
      <c r="R105" s="182">
        <f t="shared" si="42"/>
        <v>-67209897</v>
      </c>
      <c r="S105" s="182">
        <f t="shared" ref="S105:S113" si="43">IFERROR(AVERAGE(N105:R105),0)</f>
        <v>-36513809.200000003</v>
      </c>
      <c r="T105" s="182">
        <f t="shared" ref="T105:BQ105" si="44">T100</f>
        <v>-12637203</v>
      </c>
      <c r="U105" s="182">
        <f t="shared" si="44"/>
        <v>-19415249</v>
      </c>
      <c r="V105" s="182">
        <f t="shared" si="44"/>
        <v>-7271292</v>
      </c>
      <c r="W105" s="182">
        <f t="shared" si="44"/>
        <v>-14692392</v>
      </c>
      <c r="X105" s="182">
        <f t="shared" si="44"/>
        <v>-21513284</v>
      </c>
      <c r="Y105" s="182">
        <f t="shared" si="44"/>
        <v>-28234419</v>
      </c>
      <c r="Z105" s="182">
        <f t="shared" si="44"/>
        <v>-32666714</v>
      </c>
      <c r="AA105" s="182">
        <f t="shared" si="44"/>
        <v>-38192087</v>
      </c>
      <c r="AB105" s="182">
        <f t="shared" si="44"/>
        <v>-43622487</v>
      </c>
      <c r="AC105" s="182">
        <f t="shared" si="44"/>
        <v>-53138919</v>
      </c>
      <c r="AD105" s="182">
        <f t="shared" si="44"/>
        <v>-74496206</v>
      </c>
      <c r="AE105" s="182">
        <f t="shared" si="44"/>
        <v>-78670006</v>
      </c>
      <c r="AF105" s="182">
        <f t="shared" si="44"/>
        <v>-82445456</v>
      </c>
      <c r="AG105" s="182">
        <f t="shared" si="44"/>
        <v>-66300193</v>
      </c>
      <c r="AH105" s="182">
        <f t="shared" si="44"/>
        <v>-76391834</v>
      </c>
      <c r="AI105" s="182">
        <f t="shared" si="44"/>
        <v>-87695401</v>
      </c>
      <c r="AJ105" s="182">
        <f t="shared" si="44"/>
        <v>-98215343</v>
      </c>
      <c r="AK105" s="182">
        <f t="shared" si="44"/>
        <v>-111956201</v>
      </c>
      <c r="AL105" s="182">
        <f t="shared" si="44"/>
        <v>-139408616</v>
      </c>
      <c r="AM105" s="182">
        <f t="shared" si="44"/>
        <v>-151474127</v>
      </c>
      <c r="AN105" s="182">
        <f t="shared" si="44"/>
        <v>-163793015</v>
      </c>
      <c r="AO105" s="182">
        <f t="shared" si="44"/>
        <v>-156370600</v>
      </c>
      <c r="AP105" s="182">
        <f t="shared" si="44"/>
        <v>-160464378</v>
      </c>
      <c r="AQ105" s="182">
        <f t="shared" si="44"/>
        <v>-165644124</v>
      </c>
      <c r="AR105" s="182">
        <f t="shared" si="44"/>
        <v>-169911643</v>
      </c>
      <c r="AS105" s="182">
        <f t="shared" si="44"/>
        <v>-177268782</v>
      </c>
      <c r="AT105" s="182">
        <f t="shared" si="44"/>
        <v>-197717420</v>
      </c>
      <c r="AU105" s="182">
        <f t="shared" si="44"/>
        <v>-202259480</v>
      </c>
      <c r="AV105" s="182">
        <f t="shared" si="44"/>
        <v>-206896924</v>
      </c>
      <c r="AW105" s="182">
        <f t="shared" si="44"/>
        <v>-191631756</v>
      </c>
      <c r="AX105" s="182">
        <f t="shared" si="44"/>
        <v>-196466016</v>
      </c>
      <c r="AY105" s="182">
        <f t="shared" si="44"/>
        <v>-202401796</v>
      </c>
      <c r="AZ105" s="182">
        <f t="shared" si="44"/>
        <v>-207441228</v>
      </c>
      <c r="BA105" s="182">
        <f t="shared" si="44"/>
        <v>-215586490</v>
      </c>
      <c r="BB105" s="182">
        <f t="shared" si="44"/>
        <v>-236839797</v>
      </c>
      <c r="BC105" s="182">
        <f t="shared" si="44"/>
        <v>-242203425</v>
      </c>
      <c r="BD105" s="182">
        <f t="shared" si="44"/>
        <v>-247679692</v>
      </c>
      <c r="BE105" s="182">
        <f t="shared" si="44"/>
        <v>-233270959</v>
      </c>
      <c r="BF105" s="182">
        <f t="shared" si="44"/>
        <v>-238979645</v>
      </c>
      <c r="BG105" s="182">
        <f t="shared" si="44"/>
        <v>-245808211</v>
      </c>
      <c r="BH105" s="182">
        <f t="shared" si="44"/>
        <v>-251759180</v>
      </c>
      <c r="BI105" s="182">
        <f t="shared" si="44"/>
        <v>-251892265</v>
      </c>
      <c r="BJ105" s="182">
        <f t="shared" si="44"/>
        <v>-266341539</v>
      </c>
      <c r="BK105" s="182">
        <f t="shared" si="44"/>
        <v>-255634235</v>
      </c>
      <c r="BL105" s="182">
        <f t="shared" si="44"/>
        <v>-245628201</v>
      </c>
      <c r="BM105" s="182">
        <f t="shared" si="44"/>
        <v>-215970039</v>
      </c>
      <c r="BN105" s="182">
        <f t="shared" si="44"/>
        <v>-211689036</v>
      </c>
      <c r="BO105" s="182">
        <f t="shared" si="44"/>
        <v>-208318131</v>
      </c>
      <c r="BP105" s="182">
        <f t="shared" si="44"/>
        <v>-201995447</v>
      </c>
      <c r="BQ105" s="182">
        <f t="shared" si="44"/>
        <v>-196307993</v>
      </c>
    </row>
    <row r="106" spans="2:69">
      <c r="B106" s="309"/>
      <c r="C106" s="308" t="s">
        <v>137</v>
      </c>
      <c r="D106" s="9" t="s">
        <v>139</v>
      </c>
      <c r="E106" s="8"/>
      <c r="F106" s="67"/>
      <c r="G106" s="67"/>
      <c r="H106" s="67"/>
      <c r="I106" s="67"/>
      <c r="J106" s="67"/>
      <c r="K106" s="1"/>
      <c r="L106" s="1"/>
      <c r="M106" s="1"/>
      <c r="N106" s="182">
        <f>N68</f>
        <v>-154789750</v>
      </c>
      <c r="O106" s="182">
        <f>O68</f>
        <v>-36029202</v>
      </c>
      <c r="P106" s="182">
        <f>P68</f>
        <v>-37745561</v>
      </c>
      <c r="Q106" s="182">
        <f>Q68</f>
        <v>-101071072</v>
      </c>
      <c r="R106" s="182">
        <f>R68</f>
        <v>-59562535</v>
      </c>
      <c r="S106" s="182">
        <f t="shared" si="43"/>
        <v>-77839624</v>
      </c>
      <c r="T106" s="182">
        <f t="shared" ref="T106:BQ106" si="45">T68</f>
        <v>-27469070.100000024</v>
      </c>
      <c r="U106" s="182">
        <f t="shared" si="45"/>
        <v>-5763254.1000000238</v>
      </c>
      <c r="V106" s="182">
        <f t="shared" si="45"/>
        <v>-4619923.1000000238</v>
      </c>
      <c r="W106" s="182">
        <f t="shared" si="45"/>
        <v>-32590086.152631521</v>
      </c>
      <c r="X106" s="182">
        <f t="shared" si="45"/>
        <v>-46832251.67894733</v>
      </c>
      <c r="Y106" s="182">
        <f t="shared" si="45"/>
        <v>-56044417.205263138</v>
      </c>
      <c r="Z106" s="182">
        <f t="shared" si="45"/>
        <v>-65885041.731578946</v>
      </c>
      <c r="AA106" s="182">
        <f t="shared" si="45"/>
        <v>-73115391.257894754</v>
      </c>
      <c r="AB106" s="182">
        <f t="shared" si="45"/>
        <v>-85677765.257894754</v>
      </c>
      <c r="AC106" s="182">
        <f t="shared" si="45"/>
        <v>-95479673.257894754</v>
      </c>
      <c r="AD106" s="182">
        <f t="shared" si="45"/>
        <v>-105773205.25789475</v>
      </c>
      <c r="AE106" s="182">
        <f t="shared" si="45"/>
        <v>-112528510.25789475</v>
      </c>
      <c r="AF106" s="182">
        <f t="shared" si="45"/>
        <v>-119340488.25789475</v>
      </c>
      <c r="AG106" s="182">
        <f t="shared" si="45"/>
        <v>-135310024.25789475</v>
      </c>
      <c r="AH106" s="182">
        <f t="shared" si="45"/>
        <v>-151407999.25789475</v>
      </c>
      <c r="AI106" s="182">
        <f t="shared" si="45"/>
        <v>-167243497.25789475</v>
      </c>
      <c r="AJ106" s="182">
        <f t="shared" si="45"/>
        <v>-184635800.25789475</v>
      </c>
      <c r="AK106" s="182">
        <f t="shared" si="45"/>
        <v>-201013820.25789475</v>
      </c>
      <c r="AL106" s="182">
        <f t="shared" si="45"/>
        <v>-218582919.25789475</v>
      </c>
      <c r="AM106" s="182">
        <f t="shared" si="45"/>
        <v>-236707268.25789475</v>
      </c>
      <c r="AN106" s="182">
        <f t="shared" si="45"/>
        <v>-255101525.25789475</v>
      </c>
      <c r="AO106" s="182">
        <f t="shared" si="45"/>
        <v>-262390329.25789475</v>
      </c>
      <c r="AP106" s="182">
        <f t="shared" si="45"/>
        <v>-266343046.25789475</v>
      </c>
      <c r="AQ106" s="182">
        <f t="shared" si="45"/>
        <v>-269644307.25789475</v>
      </c>
      <c r="AR106" s="182">
        <f t="shared" si="45"/>
        <v>-273065739.25789475</v>
      </c>
      <c r="AS106" s="182">
        <f t="shared" si="45"/>
        <v>-276364905.25789475</v>
      </c>
      <c r="AT106" s="182">
        <f t="shared" si="45"/>
        <v>-283355018.25789475</v>
      </c>
      <c r="AU106" s="182">
        <f t="shared" si="45"/>
        <v>-287005486.25789475</v>
      </c>
      <c r="AV106" s="182">
        <f t="shared" si="45"/>
        <v>-290909787.25789475</v>
      </c>
      <c r="AW106" s="182">
        <f t="shared" si="45"/>
        <v>-294660904.25789475</v>
      </c>
      <c r="AX106" s="182">
        <f t="shared" si="45"/>
        <v>-298270946.25789475</v>
      </c>
      <c r="AY106" s="182">
        <f t="shared" si="45"/>
        <v>-301186929.25789475</v>
      </c>
      <c r="AZ106" s="182">
        <f t="shared" si="45"/>
        <v>-304442947.25789475</v>
      </c>
      <c r="BA106" s="182">
        <f t="shared" si="45"/>
        <v>-307937118.25789475</v>
      </c>
      <c r="BB106" s="182">
        <f t="shared" si="45"/>
        <v>-311545662.25789475</v>
      </c>
      <c r="BC106" s="182">
        <f t="shared" si="45"/>
        <v>-314869315.25789475</v>
      </c>
      <c r="BD106" s="182">
        <f t="shared" si="45"/>
        <v>-318519223.25789475</v>
      </c>
      <c r="BE106" s="182">
        <f t="shared" si="45"/>
        <v>-321180530.25789475</v>
      </c>
      <c r="BF106" s="182">
        <f t="shared" si="45"/>
        <v>-324279647.25789475</v>
      </c>
      <c r="BG106" s="182">
        <f t="shared" si="45"/>
        <v>-327945006.25789475</v>
      </c>
      <c r="BH106" s="182">
        <f t="shared" si="45"/>
        <v>-323707987.25789475</v>
      </c>
      <c r="BI106" s="182">
        <f t="shared" si="45"/>
        <v>-299354430.25789475</v>
      </c>
      <c r="BJ106" s="182">
        <f t="shared" si="45"/>
        <v>-289959186.25789475</v>
      </c>
      <c r="BK106" s="182">
        <f t="shared" si="45"/>
        <v>-277565915.25789475</v>
      </c>
      <c r="BL106" s="182">
        <f t="shared" si="45"/>
        <v>-266897220.25789475</v>
      </c>
      <c r="BM106" s="182">
        <f t="shared" si="45"/>
        <v>-67605009.100000024</v>
      </c>
      <c r="BN106" s="182">
        <f t="shared" si="45"/>
        <v>-69702832.100000024</v>
      </c>
      <c r="BO106" s="182">
        <f t="shared" si="45"/>
        <v>-70817781.100000024</v>
      </c>
      <c r="BP106" s="182">
        <f t="shared" si="45"/>
        <v>-72828497.100000024</v>
      </c>
      <c r="BQ106" s="182">
        <f t="shared" si="45"/>
        <v>-74912812.100000024</v>
      </c>
    </row>
    <row r="107" spans="2:69">
      <c r="B107" s="309"/>
      <c r="C107" s="310"/>
      <c r="D107" s="9" t="s">
        <v>187</v>
      </c>
      <c r="E107" s="8"/>
      <c r="F107" s="67"/>
      <c r="G107" s="67"/>
      <c r="H107" s="67"/>
      <c r="I107" s="67"/>
      <c r="J107" s="67"/>
      <c r="K107" s="1"/>
      <c r="L107" s="1"/>
      <c r="M107" s="1"/>
      <c r="N107" s="182">
        <f>SUM(N106:N106)</f>
        <v>-154789750</v>
      </c>
      <c r="O107" s="182">
        <f>SUM(O106:O106)</f>
        <v>-36029202</v>
      </c>
      <c r="P107" s="182">
        <f>SUM(P106:P106)</f>
        <v>-37745561</v>
      </c>
      <c r="Q107" s="182">
        <f>SUM(Q106:Q106)</f>
        <v>-101071072</v>
      </c>
      <c r="R107" s="182">
        <f>SUM(R106:R106)</f>
        <v>-59562535</v>
      </c>
      <c r="S107" s="182">
        <f t="shared" si="43"/>
        <v>-77839624</v>
      </c>
      <c r="T107" s="182">
        <f t="shared" ref="T107:BQ107" si="46">SUM(T106:T106)</f>
        <v>-27469070.100000024</v>
      </c>
      <c r="U107" s="182">
        <f t="shared" si="46"/>
        <v>-5763254.1000000238</v>
      </c>
      <c r="V107" s="182">
        <f t="shared" si="46"/>
        <v>-4619923.1000000238</v>
      </c>
      <c r="W107" s="182">
        <f t="shared" si="46"/>
        <v>-32590086.152631521</v>
      </c>
      <c r="X107" s="182">
        <f t="shared" si="46"/>
        <v>-46832251.67894733</v>
      </c>
      <c r="Y107" s="182">
        <f t="shared" si="46"/>
        <v>-56044417.205263138</v>
      </c>
      <c r="Z107" s="182">
        <f t="shared" si="46"/>
        <v>-65885041.731578946</v>
      </c>
      <c r="AA107" s="182">
        <f t="shared" si="46"/>
        <v>-73115391.257894754</v>
      </c>
      <c r="AB107" s="182">
        <f t="shared" si="46"/>
        <v>-85677765.257894754</v>
      </c>
      <c r="AC107" s="182">
        <f t="shared" si="46"/>
        <v>-95479673.257894754</v>
      </c>
      <c r="AD107" s="182">
        <f t="shared" si="46"/>
        <v>-105773205.25789475</v>
      </c>
      <c r="AE107" s="182">
        <f t="shared" si="46"/>
        <v>-112528510.25789475</v>
      </c>
      <c r="AF107" s="182">
        <f t="shared" si="46"/>
        <v>-119340488.25789475</v>
      </c>
      <c r="AG107" s="182">
        <f t="shared" si="46"/>
        <v>-135310024.25789475</v>
      </c>
      <c r="AH107" s="182">
        <f t="shared" si="46"/>
        <v>-151407999.25789475</v>
      </c>
      <c r="AI107" s="182">
        <f t="shared" si="46"/>
        <v>-167243497.25789475</v>
      </c>
      <c r="AJ107" s="182">
        <f t="shared" si="46"/>
        <v>-184635800.25789475</v>
      </c>
      <c r="AK107" s="182">
        <f t="shared" si="46"/>
        <v>-201013820.25789475</v>
      </c>
      <c r="AL107" s="182">
        <f t="shared" si="46"/>
        <v>-218582919.25789475</v>
      </c>
      <c r="AM107" s="182">
        <f t="shared" si="46"/>
        <v>-236707268.25789475</v>
      </c>
      <c r="AN107" s="182">
        <f t="shared" si="46"/>
        <v>-255101525.25789475</v>
      </c>
      <c r="AO107" s="182">
        <f t="shared" si="46"/>
        <v>-262390329.25789475</v>
      </c>
      <c r="AP107" s="182">
        <f t="shared" si="46"/>
        <v>-266343046.25789475</v>
      </c>
      <c r="AQ107" s="182">
        <f t="shared" si="46"/>
        <v>-269644307.25789475</v>
      </c>
      <c r="AR107" s="182">
        <f t="shared" si="46"/>
        <v>-273065739.25789475</v>
      </c>
      <c r="AS107" s="182">
        <f t="shared" si="46"/>
        <v>-276364905.25789475</v>
      </c>
      <c r="AT107" s="182">
        <f t="shared" si="46"/>
        <v>-283355018.25789475</v>
      </c>
      <c r="AU107" s="182">
        <f t="shared" si="46"/>
        <v>-287005486.25789475</v>
      </c>
      <c r="AV107" s="182">
        <f t="shared" si="46"/>
        <v>-290909787.25789475</v>
      </c>
      <c r="AW107" s="182">
        <f t="shared" si="46"/>
        <v>-294660904.25789475</v>
      </c>
      <c r="AX107" s="182">
        <f t="shared" si="46"/>
        <v>-298270946.25789475</v>
      </c>
      <c r="AY107" s="182">
        <f t="shared" si="46"/>
        <v>-301186929.25789475</v>
      </c>
      <c r="AZ107" s="182">
        <f t="shared" si="46"/>
        <v>-304442947.25789475</v>
      </c>
      <c r="BA107" s="182">
        <f t="shared" si="46"/>
        <v>-307937118.25789475</v>
      </c>
      <c r="BB107" s="182">
        <f t="shared" si="46"/>
        <v>-311545662.25789475</v>
      </c>
      <c r="BC107" s="182">
        <f t="shared" si="46"/>
        <v>-314869315.25789475</v>
      </c>
      <c r="BD107" s="182">
        <f t="shared" si="46"/>
        <v>-318519223.25789475</v>
      </c>
      <c r="BE107" s="182">
        <f t="shared" si="46"/>
        <v>-321180530.25789475</v>
      </c>
      <c r="BF107" s="182">
        <f t="shared" si="46"/>
        <v>-324279647.25789475</v>
      </c>
      <c r="BG107" s="182">
        <f t="shared" si="46"/>
        <v>-327945006.25789475</v>
      </c>
      <c r="BH107" s="182">
        <f t="shared" si="46"/>
        <v>-323707987.25789475</v>
      </c>
      <c r="BI107" s="182">
        <f t="shared" si="46"/>
        <v>-299354430.25789475</v>
      </c>
      <c r="BJ107" s="182">
        <f t="shared" si="46"/>
        <v>-289959186.25789475</v>
      </c>
      <c r="BK107" s="182">
        <f t="shared" si="46"/>
        <v>-277565915.25789475</v>
      </c>
      <c r="BL107" s="182">
        <f t="shared" si="46"/>
        <v>-266897220.25789475</v>
      </c>
      <c r="BM107" s="182">
        <f t="shared" si="46"/>
        <v>-67605009.100000024</v>
      </c>
      <c r="BN107" s="182">
        <f t="shared" si="46"/>
        <v>-69702832.100000024</v>
      </c>
      <c r="BO107" s="182">
        <f t="shared" si="46"/>
        <v>-70817781.100000024</v>
      </c>
      <c r="BP107" s="182">
        <f t="shared" si="46"/>
        <v>-72828497.100000024</v>
      </c>
      <c r="BQ107" s="182">
        <f t="shared" si="46"/>
        <v>-74912812.100000024</v>
      </c>
    </row>
    <row r="108" spans="2:69">
      <c r="B108" s="309"/>
      <c r="C108" s="308" t="s">
        <v>141</v>
      </c>
      <c r="D108" s="308" t="s">
        <v>143</v>
      </c>
      <c r="E108" s="1" t="s">
        <v>101</v>
      </c>
      <c r="F108" s="67"/>
      <c r="G108" s="67"/>
      <c r="H108" s="67"/>
      <c r="I108" s="67"/>
      <c r="J108" s="67"/>
      <c r="K108" s="1"/>
      <c r="L108" s="1"/>
      <c r="M108" s="1"/>
      <c r="N108" s="182">
        <f>N52</f>
        <v>140426639</v>
      </c>
      <c r="O108" s="182">
        <f>O52</f>
        <v>331709645</v>
      </c>
      <c r="P108" s="182">
        <f>P52</f>
        <v>389441172</v>
      </c>
      <c r="Q108" s="182">
        <f>Q52</f>
        <v>513505522</v>
      </c>
      <c r="R108" s="182">
        <f>R52</f>
        <v>390906409</v>
      </c>
      <c r="S108" s="182">
        <f t="shared" si="43"/>
        <v>353197877.39999998</v>
      </c>
      <c r="T108" s="182">
        <f t="shared" ref="T108:BQ108" si="47">T52</f>
        <v>388013019</v>
      </c>
      <c r="U108" s="182">
        <f>U52</f>
        <v>393178325</v>
      </c>
      <c r="V108" s="182">
        <f>V52</f>
        <v>395267309</v>
      </c>
      <c r="W108" s="182">
        <f t="shared" si="47"/>
        <v>414923088</v>
      </c>
      <c r="X108" s="182">
        <f t="shared" si="47"/>
        <v>412863570</v>
      </c>
      <c r="Y108" s="182">
        <f t="shared" si="47"/>
        <v>407153866</v>
      </c>
      <c r="Z108" s="182">
        <f t="shared" si="47"/>
        <v>402234363</v>
      </c>
      <c r="AA108" s="182">
        <f t="shared" si="47"/>
        <v>399791730</v>
      </c>
      <c r="AB108" s="182">
        <f t="shared" si="47"/>
        <v>405939986</v>
      </c>
      <c r="AC108" s="182">
        <f t="shared" si="47"/>
        <v>406674729</v>
      </c>
      <c r="AD108" s="182">
        <f t="shared" si="47"/>
        <v>406812943</v>
      </c>
      <c r="AE108" s="182">
        <f t="shared" si="47"/>
        <v>352516335</v>
      </c>
      <c r="AF108" s="182">
        <f t="shared" si="47"/>
        <v>342227313</v>
      </c>
      <c r="AG108" s="182">
        <f t="shared" si="47"/>
        <v>348732897</v>
      </c>
      <c r="AH108" s="182">
        <f t="shared" si="47"/>
        <v>355936112</v>
      </c>
      <c r="AI108" s="182">
        <f t="shared" si="47"/>
        <v>366934291</v>
      </c>
      <c r="AJ108" s="182">
        <f t="shared" si="47"/>
        <v>361851185</v>
      </c>
      <c r="AK108" s="182">
        <f t="shared" si="47"/>
        <v>373626364</v>
      </c>
      <c r="AL108" s="182">
        <f t="shared" si="47"/>
        <v>386301795</v>
      </c>
      <c r="AM108" s="182">
        <f t="shared" si="47"/>
        <v>400251221</v>
      </c>
      <c r="AN108" s="182">
        <f t="shared" si="47"/>
        <v>414278373</v>
      </c>
      <c r="AO108" s="182">
        <f t="shared" si="47"/>
        <v>414313892</v>
      </c>
      <c r="AP108" s="182">
        <f t="shared" si="47"/>
        <v>412930531</v>
      </c>
      <c r="AQ108" s="182">
        <f t="shared" si="47"/>
        <v>412146414</v>
      </c>
      <c r="AR108" s="182">
        <f t="shared" si="47"/>
        <v>412579205</v>
      </c>
      <c r="AS108" s="182">
        <f t="shared" si="47"/>
        <v>412465395</v>
      </c>
      <c r="AT108" s="182">
        <f t="shared" si="47"/>
        <v>412902074</v>
      </c>
      <c r="AU108" s="182">
        <f t="shared" si="47"/>
        <v>412773617</v>
      </c>
      <c r="AV108" s="182">
        <f t="shared" si="47"/>
        <v>413428596</v>
      </c>
      <c r="AW108" s="182">
        <f t="shared" si="47"/>
        <v>413822887</v>
      </c>
      <c r="AX108" s="182">
        <f t="shared" si="47"/>
        <v>413878278</v>
      </c>
      <c r="AY108" s="182">
        <f t="shared" si="47"/>
        <v>400218310</v>
      </c>
      <c r="AZ108" s="182">
        <f t="shared" si="47"/>
        <v>397221907</v>
      </c>
      <c r="BA108" s="182">
        <f t="shared" si="47"/>
        <v>397065040</v>
      </c>
      <c r="BB108" s="182">
        <f t="shared" si="47"/>
        <v>393157673</v>
      </c>
      <c r="BC108" s="182">
        <f t="shared" si="47"/>
        <v>380553248</v>
      </c>
      <c r="BD108" s="182">
        <f t="shared" si="47"/>
        <v>372201869</v>
      </c>
      <c r="BE108" s="182">
        <f t="shared" si="47"/>
        <v>338867857</v>
      </c>
      <c r="BF108" s="182">
        <f t="shared" si="47"/>
        <v>321643057</v>
      </c>
      <c r="BG108" s="182">
        <f t="shared" si="47"/>
        <v>320530884</v>
      </c>
      <c r="BH108" s="182">
        <f t="shared" si="47"/>
        <v>313326849</v>
      </c>
      <c r="BI108" s="182">
        <f t="shared" si="47"/>
        <v>285747104</v>
      </c>
      <c r="BJ108" s="182">
        <f t="shared" si="47"/>
        <v>273341863</v>
      </c>
      <c r="BK108" s="182">
        <f t="shared" si="47"/>
        <v>258378292</v>
      </c>
      <c r="BL108" s="182">
        <f t="shared" si="47"/>
        <v>245157764</v>
      </c>
      <c r="BM108" s="182">
        <f t="shared" si="47"/>
        <v>35793597</v>
      </c>
      <c r="BN108" s="182">
        <f t="shared" si="47"/>
        <v>32191122</v>
      </c>
      <c r="BO108" s="182">
        <f t="shared" si="47"/>
        <v>27782436</v>
      </c>
      <c r="BP108" s="182">
        <f t="shared" si="47"/>
        <v>22634774</v>
      </c>
      <c r="BQ108" s="182">
        <f t="shared" si="47"/>
        <v>19193545</v>
      </c>
    </row>
    <row r="109" spans="2:69">
      <c r="B109" s="309"/>
      <c r="C109" s="309"/>
      <c r="D109" s="309"/>
      <c r="E109" s="1" t="s">
        <v>102</v>
      </c>
      <c r="F109" s="67"/>
      <c r="G109" s="67"/>
      <c r="H109" s="67"/>
      <c r="I109" s="67"/>
      <c r="J109" s="67"/>
      <c r="K109" s="1"/>
      <c r="L109" s="1"/>
      <c r="M109" s="1"/>
      <c r="N109" s="182">
        <f>N55</f>
        <v>0</v>
      </c>
      <c r="O109" s="182">
        <f>O55</f>
        <v>0</v>
      </c>
      <c r="P109" s="182">
        <f>P55</f>
        <v>0</v>
      </c>
      <c r="Q109" s="182">
        <f>Q55</f>
        <v>0</v>
      </c>
      <c r="R109" s="182">
        <f>R55</f>
        <v>0</v>
      </c>
      <c r="S109" s="182">
        <f t="shared" si="43"/>
        <v>0</v>
      </c>
      <c r="T109" s="182">
        <f t="shared" ref="T109:BQ109" si="48">T55</f>
        <v>0</v>
      </c>
      <c r="U109" s="182">
        <f t="shared" si="48"/>
        <v>0</v>
      </c>
      <c r="V109" s="182">
        <f t="shared" si="48"/>
        <v>0</v>
      </c>
      <c r="W109" s="182">
        <f t="shared" si="48"/>
        <v>0</v>
      </c>
      <c r="X109" s="182">
        <f t="shared" si="48"/>
        <v>0</v>
      </c>
      <c r="Y109" s="182">
        <f t="shared" si="48"/>
        <v>0</v>
      </c>
      <c r="Z109" s="182">
        <f t="shared" si="48"/>
        <v>0</v>
      </c>
      <c r="AA109" s="182">
        <f t="shared" si="48"/>
        <v>0</v>
      </c>
      <c r="AB109" s="182">
        <f t="shared" si="48"/>
        <v>0</v>
      </c>
      <c r="AC109" s="182">
        <f t="shared" si="48"/>
        <v>0</v>
      </c>
      <c r="AD109" s="182">
        <f t="shared" si="48"/>
        <v>0</v>
      </c>
      <c r="AE109" s="182">
        <f t="shared" si="48"/>
        <v>0</v>
      </c>
      <c r="AF109" s="182">
        <f t="shared" si="48"/>
        <v>0</v>
      </c>
      <c r="AG109" s="182">
        <f t="shared" si="48"/>
        <v>0</v>
      </c>
      <c r="AH109" s="182">
        <f t="shared" si="48"/>
        <v>0</v>
      </c>
      <c r="AI109" s="182">
        <f t="shared" si="48"/>
        <v>0</v>
      </c>
      <c r="AJ109" s="182">
        <f t="shared" si="48"/>
        <v>0</v>
      </c>
      <c r="AK109" s="182">
        <f t="shared" si="48"/>
        <v>0</v>
      </c>
      <c r="AL109" s="182">
        <f t="shared" si="48"/>
        <v>0</v>
      </c>
      <c r="AM109" s="182">
        <f t="shared" si="48"/>
        <v>0</v>
      </c>
      <c r="AN109" s="182">
        <f t="shared" si="48"/>
        <v>0</v>
      </c>
      <c r="AO109" s="182">
        <f t="shared" si="48"/>
        <v>0</v>
      </c>
      <c r="AP109" s="182">
        <f t="shared" si="48"/>
        <v>0</v>
      </c>
      <c r="AQ109" s="182">
        <f t="shared" si="48"/>
        <v>0</v>
      </c>
      <c r="AR109" s="182">
        <f t="shared" si="48"/>
        <v>0</v>
      </c>
      <c r="AS109" s="182">
        <f t="shared" si="48"/>
        <v>0</v>
      </c>
      <c r="AT109" s="182">
        <f t="shared" si="48"/>
        <v>0</v>
      </c>
      <c r="AU109" s="182">
        <f t="shared" si="48"/>
        <v>0</v>
      </c>
      <c r="AV109" s="182">
        <f t="shared" si="48"/>
        <v>0</v>
      </c>
      <c r="AW109" s="182">
        <f t="shared" si="48"/>
        <v>0</v>
      </c>
      <c r="AX109" s="182">
        <f t="shared" si="48"/>
        <v>0</v>
      </c>
      <c r="AY109" s="182">
        <f t="shared" si="48"/>
        <v>0</v>
      </c>
      <c r="AZ109" s="182">
        <f t="shared" si="48"/>
        <v>0</v>
      </c>
      <c r="BA109" s="182">
        <f t="shared" si="48"/>
        <v>0</v>
      </c>
      <c r="BB109" s="182">
        <f t="shared" si="48"/>
        <v>0</v>
      </c>
      <c r="BC109" s="182">
        <f t="shared" si="48"/>
        <v>0</v>
      </c>
      <c r="BD109" s="182">
        <f t="shared" si="48"/>
        <v>0</v>
      </c>
      <c r="BE109" s="182">
        <f t="shared" si="48"/>
        <v>0</v>
      </c>
      <c r="BF109" s="182">
        <f t="shared" si="48"/>
        <v>0</v>
      </c>
      <c r="BG109" s="182">
        <f t="shared" si="48"/>
        <v>0</v>
      </c>
      <c r="BH109" s="182">
        <f t="shared" si="48"/>
        <v>0</v>
      </c>
      <c r="BI109" s="182">
        <f t="shared" si="48"/>
        <v>0</v>
      </c>
      <c r="BJ109" s="182">
        <f t="shared" si="48"/>
        <v>0</v>
      </c>
      <c r="BK109" s="182">
        <f t="shared" si="48"/>
        <v>0</v>
      </c>
      <c r="BL109" s="182">
        <f t="shared" si="48"/>
        <v>0</v>
      </c>
      <c r="BM109" s="182">
        <f t="shared" si="48"/>
        <v>0</v>
      </c>
      <c r="BN109" s="182">
        <f t="shared" si="48"/>
        <v>0</v>
      </c>
      <c r="BO109" s="182">
        <f t="shared" si="48"/>
        <v>0</v>
      </c>
      <c r="BP109" s="182">
        <f t="shared" si="48"/>
        <v>0</v>
      </c>
      <c r="BQ109" s="182">
        <f t="shared" si="48"/>
        <v>0</v>
      </c>
    </row>
    <row r="110" spans="2:69">
      <c r="B110" s="309"/>
      <c r="C110" s="309"/>
      <c r="D110" s="310"/>
      <c r="E110" s="1" t="s">
        <v>144</v>
      </c>
      <c r="F110" s="67"/>
      <c r="G110" s="67"/>
      <c r="H110" s="67"/>
      <c r="I110" s="67"/>
      <c r="J110" s="67"/>
      <c r="K110" s="1"/>
      <c r="L110" s="1"/>
      <c r="M110" s="1"/>
      <c r="N110" s="182">
        <f>-N16</f>
        <v>-95135147</v>
      </c>
      <c r="O110" s="182">
        <f>-O16</f>
        <v>-288889699</v>
      </c>
      <c r="P110" s="182">
        <f>-P16</f>
        <v>-336382478</v>
      </c>
      <c r="Q110" s="182">
        <f>-Q16</f>
        <v>-419319678</v>
      </c>
      <c r="R110" s="182">
        <f>-R16</f>
        <v>-336409057</v>
      </c>
      <c r="S110" s="182">
        <f t="shared" si="43"/>
        <v>-295227211.80000001</v>
      </c>
      <c r="T110" s="182">
        <f t="shared" ref="T110:BQ110" si="49">-T16</f>
        <v>-334202174</v>
      </c>
      <c r="U110" s="182">
        <f t="shared" si="49"/>
        <v>-334252462</v>
      </c>
      <c r="V110" s="182">
        <f t="shared" si="49"/>
        <v>-329946028</v>
      </c>
      <c r="W110" s="182">
        <f>-W16</f>
        <v>-324870100.94736844</v>
      </c>
      <c r="X110" s="182">
        <f t="shared" si="49"/>
        <v>-311864740.42105263</v>
      </c>
      <c r="Y110" s="182">
        <f t="shared" si="49"/>
        <v>-299985532.89473683</v>
      </c>
      <c r="Z110" s="182">
        <f t="shared" si="49"/>
        <v>-290153736.36842108</v>
      </c>
      <c r="AA110" s="182">
        <f t="shared" si="49"/>
        <v>-283813836.84210527</v>
      </c>
      <c r="AB110" s="182">
        <f t="shared" si="49"/>
        <v>-280813910.84210527</v>
      </c>
      <c r="AC110" s="182">
        <f t="shared" si="49"/>
        <v>-274833254.84210527</v>
      </c>
      <c r="AD110" s="182">
        <f t="shared" si="49"/>
        <v>-268191824.84210527</v>
      </c>
      <c r="AE110" s="182">
        <f t="shared" si="49"/>
        <v>-212480044.84210527</v>
      </c>
      <c r="AF110" s="182">
        <f t="shared" si="49"/>
        <v>-198472609.84210527</v>
      </c>
      <c r="AG110" s="182">
        <f t="shared" si="49"/>
        <v>-191904255.84210527</v>
      </c>
      <c r="AH110" s="182">
        <f t="shared" si="49"/>
        <v>-186305034.84210527</v>
      </c>
      <c r="AI110" s="182">
        <f t="shared" si="49"/>
        <v>-184511012.84210527</v>
      </c>
      <c r="AJ110" s="182">
        <f t="shared" si="49"/>
        <v>-167682208.84210527</v>
      </c>
      <c r="AK110" s="182">
        <f t="shared" si="49"/>
        <v>-165698992.84210527</v>
      </c>
      <c r="AL110" s="182">
        <f t="shared" si="49"/>
        <v>-163778129.84210527</v>
      </c>
      <c r="AM110" s="182">
        <f t="shared" si="49"/>
        <v>-162399171.84210527</v>
      </c>
      <c r="AN110" s="182">
        <f t="shared" si="49"/>
        <v>-160821071.84210527</v>
      </c>
      <c r="AO110" s="182">
        <f t="shared" si="49"/>
        <v>-159217530.84210527</v>
      </c>
      <c r="AP110" s="182">
        <f t="shared" si="49"/>
        <v>-156662222.84210527</v>
      </c>
      <c r="AQ110" s="182">
        <f t="shared" si="49"/>
        <v>-155159647.84210527</v>
      </c>
      <c r="AR110" s="182">
        <f t="shared" si="49"/>
        <v>-154738190.84210527</v>
      </c>
      <c r="AS110" s="182">
        <f t="shared" si="49"/>
        <v>-153684675.84210527</v>
      </c>
      <c r="AT110" s="182">
        <f t="shared" si="49"/>
        <v>-152829902.84210527</v>
      </c>
      <c r="AU110" s="182">
        <f t="shared" si="49"/>
        <v>-151157146.84210527</v>
      </c>
      <c r="AV110" s="182">
        <f t="shared" si="49"/>
        <v>-150012839.84210527</v>
      </c>
      <c r="AW110" s="182">
        <f t="shared" si="49"/>
        <v>-148639704.84210527</v>
      </c>
      <c r="AX110" s="182">
        <f t="shared" si="49"/>
        <v>-147340186.84210527</v>
      </c>
      <c r="AY110" s="182">
        <f t="shared" si="49"/>
        <v>-132902500.84210527</v>
      </c>
      <c r="AZ110" s="182">
        <f t="shared" si="49"/>
        <v>-128801778.84210527</v>
      </c>
      <c r="BA110" s="182">
        <f t="shared" si="49"/>
        <v>-127173860.84210527</v>
      </c>
      <c r="BB110" s="182">
        <f t="shared" si="49"/>
        <v>-121953494.84210527</v>
      </c>
      <c r="BC110" s="182">
        <f t="shared" si="49"/>
        <v>-108190521.84210527</v>
      </c>
      <c r="BD110" s="182">
        <f t="shared" si="49"/>
        <v>-98373629.842105269</v>
      </c>
      <c r="BE110" s="182">
        <f t="shared" si="49"/>
        <v>-64457884.842105262</v>
      </c>
      <c r="BF110" s="182">
        <f t="shared" si="49"/>
        <v>-46457740.842105262</v>
      </c>
      <c r="BG110" s="182">
        <f t="shared" si="49"/>
        <v>-43899534.842105262</v>
      </c>
      <c r="BH110" s="182">
        <f t="shared" si="49"/>
        <v>-43154157.842105262</v>
      </c>
      <c r="BI110" s="182">
        <f t="shared" si="49"/>
        <v>-42049746.842105262</v>
      </c>
      <c r="BJ110" s="182">
        <f t="shared" si="49"/>
        <v>-41414489.842105262</v>
      </c>
      <c r="BK110" s="182">
        <f t="shared" si="49"/>
        <v>-41101610.842105262</v>
      </c>
      <c r="BL110" s="182">
        <f t="shared" si="49"/>
        <v>-40825513.842105262</v>
      </c>
      <c r="BM110" s="182">
        <f t="shared" si="49"/>
        <v>-32945758</v>
      </c>
      <c r="BN110" s="182">
        <f t="shared" si="49"/>
        <v>-29650024</v>
      </c>
      <c r="BO110" s="182">
        <f t="shared" si="49"/>
        <v>-26441622</v>
      </c>
      <c r="BP110" s="182">
        <f t="shared" si="49"/>
        <v>-21615106</v>
      </c>
      <c r="BQ110" s="182">
        <f t="shared" si="49"/>
        <v>-18321351</v>
      </c>
    </row>
    <row r="111" spans="2:69">
      <c r="B111" s="309"/>
      <c r="C111" s="310"/>
      <c r="D111" s="9" t="s">
        <v>140</v>
      </c>
      <c r="E111" s="8"/>
      <c r="F111" s="67"/>
      <c r="G111" s="67"/>
      <c r="H111" s="67"/>
      <c r="I111" s="67"/>
      <c r="J111" s="67"/>
      <c r="K111" s="1"/>
      <c r="L111" s="1"/>
      <c r="M111" s="1"/>
      <c r="N111" s="182">
        <f>SUM(N108:N110)</f>
        <v>45291492</v>
      </c>
      <c r="O111" s="182">
        <f>SUM(O108:O110)</f>
        <v>42819946</v>
      </c>
      <c r="P111" s="182">
        <f>SUM(P108:P110)</f>
        <v>53058694</v>
      </c>
      <c r="Q111" s="182">
        <f>SUM(Q108:Q110)</f>
        <v>94185844</v>
      </c>
      <c r="R111" s="182">
        <f>SUM(R108:R110)</f>
        <v>54497352</v>
      </c>
      <c r="S111" s="182">
        <f t="shared" si="43"/>
        <v>57970665.600000001</v>
      </c>
      <c r="T111" s="182">
        <f t="shared" ref="T111:BQ111" si="50">SUM(T108:T110)</f>
        <v>53810845</v>
      </c>
      <c r="U111" s="182">
        <f t="shared" si="50"/>
        <v>58925863</v>
      </c>
      <c r="V111" s="182">
        <f>SUM(V108:V110)</f>
        <v>65321281</v>
      </c>
      <c r="W111" s="182">
        <f t="shared" si="50"/>
        <v>90052987.052631557</v>
      </c>
      <c r="X111" s="182">
        <f t="shared" si="50"/>
        <v>100998829.57894737</v>
      </c>
      <c r="Y111" s="182">
        <f t="shared" si="50"/>
        <v>107168333.10526317</v>
      </c>
      <c r="Z111" s="182">
        <f t="shared" si="50"/>
        <v>112080626.63157892</v>
      </c>
      <c r="AA111" s="182">
        <f t="shared" si="50"/>
        <v>115977893.15789473</v>
      </c>
      <c r="AB111" s="182">
        <f t="shared" si="50"/>
        <v>125126075.15789473</v>
      </c>
      <c r="AC111" s="182">
        <f t="shared" si="50"/>
        <v>131841474.15789473</v>
      </c>
      <c r="AD111" s="182">
        <f t="shared" si="50"/>
        <v>138621118.15789473</v>
      </c>
      <c r="AE111" s="182">
        <f t="shared" si="50"/>
        <v>140036290.15789473</v>
      </c>
      <c r="AF111" s="182">
        <f t="shared" si="50"/>
        <v>143754703.15789473</v>
      </c>
      <c r="AG111" s="182">
        <f t="shared" si="50"/>
        <v>156828641.15789473</v>
      </c>
      <c r="AH111" s="182">
        <f t="shared" si="50"/>
        <v>169631077.15789473</v>
      </c>
      <c r="AI111" s="182">
        <f t="shared" si="50"/>
        <v>182423278.15789473</v>
      </c>
      <c r="AJ111" s="182">
        <f t="shared" si="50"/>
        <v>194168976.15789473</v>
      </c>
      <c r="AK111" s="182">
        <f t="shared" si="50"/>
        <v>207927371.15789473</v>
      </c>
      <c r="AL111" s="182">
        <f t="shared" si="50"/>
        <v>222523665.15789473</v>
      </c>
      <c r="AM111" s="182">
        <f t="shared" si="50"/>
        <v>237852049.15789473</v>
      </c>
      <c r="AN111" s="182">
        <f t="shared" si="50"/>
        <v>253457301.15789473</v>
      </c>
      <c r="AO111" s="182">
        <f t="shared" si="50"/>
        <v>255096361.15789473</v>
      </c>
      <c r="AP111" s="182">
        <f t="shared" si="50"/>
        <v>256268308.15789473</v>
      </c>
      <c r="AQ111" s="182">
        <f t="shared" si="50"/>
        <v>256986766.15789473</v>
      </c>
      <c r="AR111" s="182">
        <f t="shared" si="50"/>
        <v>257841014.15789473</v>
      </c>
      <c r="AS111" s="182">
        <f t="shared" si="50"/>
        <v>258780719.15789473</v>
      </c>
      <c r="AT111" s="182">
        <f t="shared" si="50"/>
        <v>260072171.15789473</v>
      </c>
      <c r="AU111" s="182">
        <f t="shared" si="50"/>
        <v>261616470.15789473</v>
      </c>
      <c r="AV111" s="182">
        <f t="shared" si="50"/>
        <v>263415756.15789473</v>
      </c>
      <c r="AW111" s="182">
        <f t="shared" si="50"/>
        <v>265183182.15789473</v>
      </c>
      <c r="AX111" s="182">
        <f t="shared" si="50"/>
        <v>266538091.15789473</v>
      </c>
      <c r="AY111" s="182">
        <f t="shared" si="50"/>
        <v>267315809.15789473</v>
      </c>
      <c r="AZ111" s="182">
        <f t="shared" si="50"/>
        <v>268420128.15789473</v>
      </c>
      <c r="BA111" s="182">
        <f t="shared" si="50"/>
        <v>269891179.15789473</v>
      </c>
      <c r="BB111" s="182">
        <f t="shared" si="50"/>
        <v>271204178.15789473</v>
      </c>
      <c r="BC111" s="182">
        <f t="shared" si="50"/>
        <v>272362726.15789473</v>
      </c>
      <c r="BD111" s="182">
        <f t="shared" si="50"/>
        <v>273828239.15789473</v>
      </c>
      <c r="BE111" s="182">
        <f t="shared" si="50"/>
        <v>274409972.15789473</v>
      </c>
      <c r="BF111" s="182">
        <f t="shared" si="50"/>
        <v>275185316.15789473</v>
      </c>
      <c r="BG111" s="182">
        <f t="shared" si="50"/>
        <v>276631349.15789473</v>
      </c>
      <c r="BH111" s="182">
        <f t="shared" si="50"/>
        <v>270172691.15789473</v>
      </c>
      <c r="BI111" s="182">
        <f t="shared" si="50"/>
        <v>243697357.15789473</v>
      </c>
      <c r="BJ111" s="182">
        <f t="shared" si="50"/>
        <v>231927373.15789473</v>
      </c>
      <c r="BK111" s="182">
        <f t="shared" si="50"/>
        <v>217276681.15789473</v>
      </c>
      <c r="BL111" s="182">
        <f t="shared" si="50"/>
        <v>204332250.15789473</v>
      </c>
      <c r="BM111" s="182">
        <f t="shared" si="50"/>
        <v>2847839</v>
      </c>
      <c r="BN111" s="182">
        <f t="shared" si="50"/>
        <v>2541098</v>
      </c>
      <c r="BO111" s="182">
        <f t="shared" si="50"/>
        <v>1340814</v>
      </c>
      <c r="BP111" s="182">
        <f t="shared" si="50"/>
        <v>1019668</v>
      </c>
      <c r="BQ111" s="182">
        <f t="shared" si="50"/>
        <v>872194</v>
      </c>
    </row>
    <row r="112" spans="2:69">
      <c r="B112" s="310"/>
      <c r="C112" s="9" t="s">
        <v>145</v>
      </c>
      <c r="D112" s="7"/>
      <c r="E112" s="8"/>
      <c r="F112" s="67"/>
      <c r="G112" s="67"/>
      <c r="H112" s="67"/>
      <c r="I112" s="67"/>
      <c r="J112" s="67"/>
      <c r="K112" s="1"/>
      <c r="L112" s="1"/>
      <c r="M112" s="1"/>
      <c r="N112" s="182">
        <f>N107+N111</f>
        <v>-109498258</v>
      </c>
      <c r="O112" s="182">
        <f>O107+O111</f>
        <v>6790744</v>
      </c>
      <c r="P112" s="182">
        <f>P107+P111</f>
        <v>15313133</v>
      </c>
      <c r="Q112" s="182">
        <f>Q107+Q111</f>
        <v>-6885228</v>
      </c>
      <c r="R112" s="182">
        <f>R107+R111</f>
        <v>-5065183</v>
      </c>
      <c r="S112" s="182">
        <f t="shared" si="43"/>
        <v>-19868958.399999999</v>
      </c>
      <c r="T112" s="182">
        <f t="shared" ref="T112:BQ112" si="51">T107+T111</f>
        <v>26341774.899999976</v>
      </c>
      <c r="U112" s="182">
        <f t="shared" si="51"/>
        <v>53162608.899999976</v>
      </c>
      <c r="V112" s="182">
        <f t="shared" si="51"/>
        <v>60701357.899999976</v>
      </c>
      <c r="W112" s="182">
        <f t="shared" si="51"/>
        <v>57462900.900000036</v>
      </c>
      <c r="X112" s="182">
        <f t="shared" si="51"/>
        <v>54166577.900000036</v>
      </c>
      <c r="Y112" s="182">
        <f t="shared" si="51"/>
        <v>51123915.900000036</v>
      </c>
      <c r="Z112" s="182">
        <f t="shared" si="51"/>
        <v>46195584.899999976</v>
      </c>
      <c r="AA112" s="182">
        <f t="shared" si="51"/>
        <v>42862501.899999976</v>
      </c>
      <c r="AB112" s="182">
        <f t="shared" si="51"/>
        <v>39448309.899999976</v>
      </c>
      <c r="AC112" s="182">
        <f t="shared" si="51"/>
        <v>36361800.899999976</v>
      </c>
      <c r="AD112" s="182">
        <f t="shared" si="51"/>
        <v>32847912.899999976</v>
      </c>
      <c r="AE112" s="182">
        <f t="shared" si="51"/>
        <v>27507779.899999976</v>
      </c>
      <c r="AF112" s="182">
        <f t="shared" si="51"/>
        <v>24414214.899999976</v>
      </c>
      <c r="AG112" s="182">
        <f t="shared" si="51"/>
        <v>21518616.899999976</v>
      </c>
      <c r="AH112" s="182">
        <f t="shared" si="51"/>
        <v>18223077.899999976</v>
      </c>
      <c r="AI112" s="182">
        <f t="shared" si="51"/>
        <v>15179780.899999976</v>
      </c>
      <c r="AJ112" s="182">
        <f t="shared" si="51"/>
        <v>9533175.8999999762</v>
      </c>
      <c r="AK112" s="182">
        <f t="shared" si="51"/>
        <v>6913550.8999999762</v>
      </c>
      <c r="AL112" s="182">
        <f t="shared" si="51"/>
        <v>3940745.8999999762</v>
      </c>
      <c r="AM112" s="182">
        <f t="shared" si="51"/>
        <v>1144780.8999999762</v>
      </c>
      <c r="AN112" s="182">
        <f t="shared" si="51"/>
        <v>-1644224.1000000238</v>
      </c>
      <c r="AO112" s="182">
        <f t="shared" si="51"/>
        <v>-7293968.1000000238</v>
      </c>
      <c r="AP112" s="182">
        <f t="shared" si="51"/>
        <v>-10074738.100000024</v>
      </c>
      <c r="AQ112" s="182">
        <f t="shared" si="51"/>
        <v>-12657541.100000024</v>
      </c>
      <c r="AR112" s="182">
        <f t="shared" si="51"/>
        <v>-15224725.100000024</v>
      </c>
      <c r="AS112" s="182">
        <f t="shared" si="51"/>
        <v>-17584186.100000024</v>
      </c>
      <c r="AT112" s="182">
        <f t="shared" si="51"/>
        <v>-23282847.100000024</v>
      </c>
      <c r="AU112" s="182">
        <f t="shared" si="51"/>
        <v>-25389016.100000024</v>
      </c>
      <c r="AV112" s="182">
        <f t="shared" si="51"/>
        <v>-27494031.100000024</v>
      </c>
      <c r="AW112" s="182">
        <f t="shared" si="51"/>
        <v>-29477722.100000024</v>
      </c>
      <c r="AX112" s="182">
        <f t="shared" si="51"/>
        <v>-31732855.100000024</v>
      </c>
      <c r="AY112" s="182">
        <f t="shared" si="51"/>
        <v>-33871120.100000024</v>
      </c>
      <c r="AZ112" s="182">
        <f t="shared" si="51"/>
        <v>-36022819.100000024</v>
      </c>
      <c r="BA112" s="182">
        <f t="shared" si="51"/>
        <v>-38045939.100000024</v>
      </c>
      <c r="BB112" s="182">
        <f t="shared" si="51"/>
        <v>-40341484.100000024</v>
      </c>
      <c r="BC112" s="182">
        <f t="shared" si="51"/>
        <v>-42506589.100000024</v>
      </c>
      <c r="BD112" s="182">
        <f t="shared" si="51"/>
        <v>-44690984.100000024</v>
      </c>
      <c r="BE112" s="182">
        <f t="shared" si="51"/>
        <v>-46770558.100000024</v>
      </c>
      <c r="BF112" s="182">
        <f t="shared" si="51"/>
        <v>-49094331.100000024</v>
      </c>
      <c r="BG112" s="182">
        <f t="shared" si="51"/>
        <v>-51313657.100000024</v>
      </c>
      <c r="BH112" s="182">
        <f t="shared" si="51"/>
        <v>-53535296.100000024</v>
      </c>
      <c r="BI112" s="182">
        <f t="shared" si="51"/>
        <v>-55657073.100000024</v>
      </c>
      <c r="BJ112" s="182">
        <f t="shared" si="51"/>
        <v>-58031813.100000024</v>
      </c>
      <c r="BK112" s="182">
        <f t="shared" si="51"/>
        <v>-60289234.100000024</v>
      </c>
      <c r="BL112" s="182">
        <f t="shared" si="51"/>
        <v>-62564970.100000024</v>
      </c>
      <c r="BM112" s="182">
        <f t="shared" si="51"/>
        <v>-64757170.100000024</v>
      </c>
      <c r="BN112" s="182">
        <f t="shared" si="51"/>
        <v>-67161734.100000024</v>
      </c>
      <c r="BO112" s="182">
        <f t="shared" si="51"/>
        <v>-69476967.100000024</v>
      </c>
      <c r="BP112" s="182">
        <f t="shared" si="51"/>
        <v>-71808829.100000024</v>
      </c>
      <c r="BQ112" s="182">
        <f t="shared" si="51"/>
        <v>-74040618.100000024</v>
      </c>
    </row>
    <row r="113" spans="2:69" ht="15" thickBot="1">
      <c r="B113" s="305" t="s">
        <v>146</v>
      </c>
      <c r="C113" s="306"/>
      <c r="D113" s="306"/>
      <c r="E113" s="307"/>
      <c r="F113" s="67"/>
      <c r="G113" s="67"/>
      <c r="H113" s="67"/>
      <c r="I113" s="67"/>
      <c r="J113" s="67"/>
      <c r="K113" s="1"/>
      <c r="L113" s="1"/>
      <c r="M113" s="1"/>
      <c r="N113" s="182">
        <f>N105</f>
        <v>-70846002</v>
      </c>
      <c r="O113" s="182">
        <f>O105</f>
        <v>-11707941</v>
      </c>
      <c r="P113" s="182">
        <f>P105</f>
        <v>-22241166</v>
      </c>
      <c r="Q113" s="182">
        <f>Q105</f>
        <v>-10564040</v>
      </c>
      <c r="R113" s="182">
        <f>R105</f>
        <v>-67209897</v>
      </c>
      <c r="S113" s="182">
        <f t="shared" si="43"/>
        <v>-36513809.200000003</v>
      </c>
      <c r="T113" s="182">
        <f t="shared" ref="T113:BQ113" si="52">T105</f>
        <v>-12637203</v>
      </c>
      <c r="U113" s="182">
        <f t="shared" si="52"/>
        <v>-19415249</v>
      </c>
      <c r="V113" s="182">
        <f t="shared" si="52"/>
        <v>-7271292</v>
      </c>
      <c r="W113" s="182">
        <f t="shared" si="52"/>
        <v>-14692392</v>
      </c>
      <c r="X113" s="182">
        <f t="shared" si="52"/>
        <v>-21513284</v>
      </c>
      <c r="Y113" s="182">
        <f t="shared" si="52"/>
        <v>-28234419</v>
      </c>
      <c r="Z113" s="182">
        <f t="shared" si="52"/>
        <v>-32666714</v>
      </c>
      <c r="AA113" s="182">
        <f t="shared" si="52"/>
        <v>-38192087</v>
      </c>
      <c r="AB113" s="182">
        <f t="shared" si="52"/>
        <v>-43622487</v>
      </c>
      <c r="AC113" s="182">
        <f t="shared" si="52"/>
        <v>-53138919</v>
      </c>
      <c r="AD113" s="182">
        <f t="shared" si="52"/>
        <v>-74496206</v>
      </c>
      <c r="AE113" s="198">
        <f t="shared" si="52"/>
        <v>-78670006</v>
      </c>
      <c r="AF113" s="182">
        <f t="shared" si="52"/>
        <v>-82445456</v>
      </c>
      <c r="AG113" s="182">
        <f t="shared" si="52"/>
        <v>-66300193</v>
      </c>
      <c r="AH113" s="182">
        <f t="shared" si="52"/>
        <v>-76391834</v>
      </c>
      <c r="AI113" s="182">
        <f t="shared" si="52"/>
        <v>-87695401</v>
      </c>
      <c r="AJ113" s="182">
        <f t="shared" si="52"/>
        <v>-98215343</v>
      </c>
      <c r="AK113" s="182">
        <f t="shared" si="52"/>
        <v>-111956201</v>
      </c>
      <c r="AL113" s="182">
        <f t="shared" si="52"/>
        <v>-139408616</v>
      </c>
      <c r="AM113" s="182">
        <f t="shared" si="52"/>
        <v>-151474127</v>
      </c>
      <c r="AN113" s="182">
        <f t="shared" si="52"/>
        <v>-163793015</v>
      </c>
      <c r="AO113" s="182">
        <f t="shared" si="52"/>
        <v>-156370600</v>
      </c>
      <c r="AP113" s="182">
        <f t="shared" si="52"/>
        <v>-160464378</v>
      </c>
      <c r="AQ113" s="182">
        <f t="shared" si="52"/>
        <v>-165644124</v>
      </c>
      <c r="AR113" s="182">
        <f t="shared" si="52"/>
        <v>-169911643</v>
      </c>
      <c r="AS113" s="182">
        <f t="shared" si="52"/>
        <v>-177268782</v>
      </c>
      <c r="AT113" s="182">
        <f t="shared" si="52"/>
        <v>-197717420</v>
      </c>
      <c r="AU113" s="182">
        <f t="shared" si="52"/>
        <v>-202259480</v>
      </c>
      <c r="AV113" s="182">
        <f t="shared" si="52"/>
        <v>-206896924</v>
      </c>
      <c r="AW113" s="182">
        <f t="shared" si="52"/>
        <v>-191631756</v>
      </c>
      <c r="AX113" s="182">
        <f t="shared" si="52"/>
        <v>-196466016</v>
      </c>
      <c r="AY113" s="182">
        <f t="shared" si="52"/>
        <v>-202401796</v>
      </c>
      <c r="AZ113" s="182">
        <f t="shared" si="52"/>
        <v>-207441228</v>
      </c>
      <c r="BA113" s="182">
        <f t="shared" si="52"/>
        <v>-215586490</v>
      </c>
      <c r="BB113" s="182">
        <f t="shared" si="52"/>
        <v>-236839797</v>
      </c>
      <c r="BC113" s="182">
        <f t="shared" si="52"/>
        <v>-242203425</v>
      </c>
      <c r="BD113" s="182">
        <f t="shared" si="52"/>
        <v>-247679692</v>
      </c>
      <c r="BE113" s="182">
        <f t="shared" si="52"/>
        <v>-233270959</v>
      </c>
      <c r="BF113" s="182">
        <f t="shared" si="52"/>
        <v>-238979645</v>
      </c>
      <c r="BG113" s="182">
        <f t="shared" si="52"/>
        <v>-245808211</v>
      </c>
      <c r="BH113" s="182">
        <f t="shared" si="52"/>
        <v>-251759180</v>
      </c>
      <c r="BI113" s="182">
        <f t="shared" si="52"/>
        <v>-251892265</v>
      </c>
      <c r="BJ113" s="182">
        <f t="shared" si="52"/>
        <v>-266341539</v>
      </c>
      <c r="BK113" s="182">
        <f t="shared" si="52"/>
        <v>-255634235</v>
      </c>
      <c r="BL113" s="182">
        <f t="shared" si="52"/>
        <v>-245628201</v>
      </c>
      <c r="BM113" s="182">
        <f t="shared" si="52"/>
        <v>-215970039</v>
      </c>
      <c r="BN113" s="182">
        <f t="shared" si="52"/>
        <v>-211689036</v>
      </c>
      <c r="BO113" s="182">
        <f t="shared" si="52"/>
        <v>-208318131</v>
      </c>
      <c r="BP113" s="182">
        <f t="shared" si="52"/>
        <v>-201995447</v>
      </c>
      <c r="BQ113" s="182">
        <f t="shared" si="52"/>
        <v>-196307993</v>
      </c>
    </row>
    <row r="114" spans="2:69" s="135" customFormat="1" ht="15" thickBot="1">
      <c r="B114" s="322" t="s">
        <v>147</v>
      </c>
      <c r="C114" s="323"/>
      <c r="D114" s="323"/>
      <c r="E114" s="324"/>
      <c r="F114" s="156"/>
      <c r="G114" s="156"/>
      <c r="H114" s="156"/>
      <c r="I114" s="156"/>
      <c r="J114" s="156"/>
      <c r="K114" s="156"/>
      <c r="L114" s="156"/>
      <c r="M114" s="156"/>
      <c r="N114" s="257">
        <f>【BS】決算数値入力!K27</f>
        <v>362817447</v>
      </c>
      <c r="O114" s="257">
        <f>【BS】決算数値入力!L27</f>
        <v>565026725</v>
      </c>
      <c r="P114" s="257">
        <f>【BS】決算数値入力!M27</f>
        <v>334744715</v>
      </c>
      <c r="Q114" s="257">
        <f>【BS】決算数値入力!N27</f>
        <v>143864193</v>
      </c>
      <c r="R114" s="257">
        <f>【BS】決算数値入力!O27</f>
        <v>132458270</v>
      </c>
      <c r="S114" s="257">
        <f>【BS】決算数値入力!Q28</f>
        <v>7.5670000000000002</v>
      </c>
      <c r="T114" s="257">
        <f>R114+T113+T112</f>
        <v>146162841.89999998</v>
      </c>
      <c r="U114" s="257">
        <f>T114+U113+U112</f>
        <v>179910201.79999995</v>
      </c>
      <c r="V114" s="257">
        <f>U114+V113+V112</f>
        <v>233340267.69999993</v>
      </c>
      <c r="W114" s="257">
        <f t="shared" ref="W114:BQ114" si="53">V114+W113+W112</f>
        <v>276110776.59999996</v>
      </c>
      <c r="X114" s="257">
        <f>W114+X113+X112</f>
        <v>308764070.5</v>
      </c>
      <c r="Y114" s="257">
        <f t="shared" si="53"/>
        <v>331653567.40000004</v>
      </c>
      <c r="Z114" s="257">
        <f t="shared" si="53"/>
        <v>345182438.30000001</v>
      </c>
      <c r="AA114" s="257">
        <f t="shared" si="53"/>
        <v>349852853.19999999</v>
      </c>
      <c r="AB114" s="257">
        <f t="shared" si="53"/>
        <v>345678676.09999996</v>
      </c>
      <c r="AC114" s="257">
        <f t="shared" si="53"/>
        <v>328901557.99999994</v>
      </c>
      <c r="AD114" s="258">
        <f t="shared" si="53"/>
        <v>287253264.89999992</v>
      </c>
      <c r="AE114" s="259">
        <f t="shared" si="53"/>
        <v>236091038.79999989</v>
      </c>
      <c r="AF114" s="260">
        <f t="shared" si="53"/>
        <v>178059797.69999987</v>
      </c>
      <c r="AG114" s="257">
        <f t="shared" si="53"/>
        <v>133278221.59999985</v>
      </c>
      <c r="AH114" s="257">
        <f t="shared" si="53"/>
        <v>75109465.499999821</v>
      </c>
      <c r="AI114" s="257">
        <f t="shared" si="53"/>
        <v>2593845.3999997973</v>
      </c>
      <c r="AJ114" s="257">
        <f t="shared" si="53"/>
        <v>-86088321.700000226</v>
      </c>
      <c r="AK114" s="257">
        <f t="shared" si="53"/>
        <v>-191130971.80000025</v>
      </c>
      <c r="AL114" s="257">
        <f t="shared" si="53"/>
        <v>-326598841.90000027</v>
      </c>
      <c r="AM114" s="257">
        <f t="shared" si="53"/>
        <v>-476928188.0000003</v>
      </c>
      <c r="AN114" s="257">
        <f t="shared" si="53"/>
        <v>-642365427.10000026</v>
      </c>
      <c r="AO114" s="257">
        <f t="shared" si="53"/>
        <v>-806029995.20000029</v>
      </c>
      <c r="AP114" s="257">
        <f t="shared" si="53"/>
        <v>-976569111.30000031</v>
      </c>
      <c r="AQ114" s="257">
        <f t="shared" si="53"/>
        <v>-1154870776.4000001</v>
      </c>
      <c r="AR114" s="257">
        <f t="shared" si="53"/>
        <v>-1340007144.5</v>
      </c>
      <c r="AS114" s="257">
        <f t="shared" si="53"/>
        <v>-1534860112.5999999</v>
      </c>
      <c r="AT114" s="257">
        <f t="shared" si="53"/>
        <v>-1755860379.6999998</v>
      </c>
      <c r="AU114" s="257">
        <f t="shared" si="53"/>
        <v>-1983508875.7999997</v>
      </c>
      <c r="AV114" s="257">
        <f t="shared" si="53"/>
        <v>-2217899830.8999996</v>
      </c>
      <c r="AW114" s="257">
        <f t="shared" si="53"/>
        <v>-2439009308.9999995</v>
      </c>
      <c r="AX114" s="257">
        <f t="shared" si="53"/>
        <v>-2667208180.0999994</v>
      </c>
      <c r="AY114" s="257">
        <f t="shared" si="53"/>
        <v>-2903481096.1999993</v>
      </c>
      <c r="AZ114" s="257">
        <f t="shared" si="53"/>
        <v>-3146945143.2999992</v>
      </c>
      <c r="BA114" s="257">
        <f t="shared" si="53"/>
        <v>-3400577572.3999991</v>
      </c>
      <c r="BB114" s="257">
        <f t="shared" si="53"/>
        <v>-3677758853.499999</v>
      </c>
      <c r="BC114" s="257">
        <f t="shared" si="53"/>
        <v>-3962468867.599999</v>
      </c>
      <c r="BD114" s="257">
        <f t="shared" si="53"/>
        <v>-4254839543.6999989</v>
      </c>
      <c r="BE114" s="257">
        <f t="shared" si="53"/>
        <v>-4534881060.7999992</v>
      </c>
      <c r="BF114" s="257">
        <f t="shared" si="53"/>
        <v>-4822955036.8999996</v>
      </c>
      <c r="BG114" s="257">
        <f t="shared" si="53"/>
        <v>-5120076905</v>
      </c>
      <c r="BH114" s="257">
        <f t="shared" si="53"/>
        <v>-5425371381.1000004</v>
      </c>
      <c r="BI114" s="257">
        <f t="shared" si="53"/>
        <v>-5732920719.2000008</v>
      </c>
      <c r="BJ114" s="257">
        <f t="shared" si="53"/>
        <v>-6057294071.3000011</v>
      </c>
      <c r="BK114" s="257">
        <f t="shared" si="53"/>
        <v>-6373217540.4000015</v>
      </c>
      <c r="BL114" s="257">
        <f t="shared" si="53"/>
        <v>-6681410711.5000019</v>
      </c>
      <c r="BM114" s="257">
        <f t="shared" si="53"/>
        <v>-6962137920.6000023</v>
      </c>
      <c r="BN114" s="257">
        <f t="shared" si="53"/>
        <v>-7240988690.7000027</v>
      </c>
      <c r="BO114" s="257">
        <f t="shared" si="53"/>
        <v>-7518783788.8000031</v>
      </c>
      <c r="BP114" s="257">
        <f t="shared" si="53"/>
        <v>-7792588064.9000034</v>
      </c>
      <c r="BQ114" s="257">
        <f t="shared" si="53"/>
        <v>-8062936676.0000038</v>
      </c>
    </row>
    <row r="115" spans="2:69">
      <c r="B115" s="9" t="s">
        <v>148</v>
      </c>
      <c r="C115" s="7"/>
      <c r="D115" s="7"/>
      <c r="E115" s="8"/>
      <c r="F115" s="67"/>
      <c r="G115" s="67"/>
      <c r="H115" s="67"/>
      <c r="I115" s="67"/>
      <c r="J115" s="67"/>
      <c r="K115" s="1"/>
      <c r="L115" s="1"/>
      <c r="M115" s="1"/>
      <c r="N115" s="182">
        <f>【BS】決算数値入力!K38+【BS】決算数値入力!K44</f>
        <v>353124203</v>
      </c>
      <c r="O115" s="182">
        <f>【BS】決算数値入力!L38+【BS】決算数値入力!L44</f>
        <v>455771228</v>
      </c>
      <c r="P115" s="182">
        <f>【BS】決算数値入力!M38+【BS】決算数値入力!M44</f>
        <v>591530416</v>
      </c>
      <c r="Q115" s="182">
        <f>【BS】決算数値入力!N38+【BS】決算数値入力!N44</f>
        <v>639346881</v>
      </c>
      <c r="R115" s="182">
        <f>【BS】決算数値入力!O38+【BS】決算数値入力!O44</f>
        <v>763361128</v>
      </c>
      <c r="S115" s="182">
        <f>【BS】決算数値入力!P29</f>
        <v>0</v>
      </c>
      <c r="T115" s="182">
        <f>【BS】決算数値入力!P38+新規債返済スケジュール!E5</f>
        <v>450554111</v>
      </c>
      <c r="U115" s="182">
        <f>【BS】決算数値入力!Q38+新規債返済スケジュール!F5</f>
        <v>585276765</v>
      </c>
      <c r="V115" s="182">
        <f>【BS】決算数値入力!R38+新規債返済スケジュール!G5</f>
        <v>974703048</v>
      </c>
      <c r="W115" s="182">
        <f>【BS】決算数値入力!S38+新規債返済スケジュール!H5</f>
        <v>1319758822</v>
      </c>
      <c r="X115" s="182">
        <f>【BS】決算数値入力!T38+新規債返済スケジュール!I5</f>
        <v>1662688280</v>
      </c>
      <c r="Y115" s="182">
        <f>【BS】決算数値入力!U38+新規債返済スケジュール!J5</f>
        <v>1863691189</v>
      </c>
      <c r="Z115" s="182">
        <f>【BS】決算数値入力!V38+新規債返済スケジュール!K5</f>
        <v>2062772872</v>
      </c>
      <c r="AA115" s="182">
        <f>【BS】決算数値入力!W38+新規債返済スケジュール!L5</f>
        <v>2308254675</v>
      </c>
      <c r="AB115" s="182">
        <f>【BS】決算数値入力!X38+新規債返済スケジュール!M5</f>
        <v>2608855364</v>
      </c>
      <c r="AC115" s="182">
        <f>【BS】決算数値入力!Y38+新規債返済スケジュール!N5</f>
        <v>2822863405</v>
      </c>
      <c r="AD115" s="182">
        <f>【BS】決算数値入力!Z38+新規債返済スケジュール!O5</f>
        <v>2951747748</v>
      </c>
      <c r="AE115" s="199">
        <f>【BS】決算数値入力!AA38+新規債返済スケジュール!P5</f>
        <v>3050077742</v>
      </c>
      <c r="AF115" s="182">
        <f>【BS】決算数値入力!AB38+新規債返済スケジュール!Q5</f>
        <v>3144632286</v>
      </c>
      <c r="AG115" s="182">
        <f>【BS】決算数値入力!AC38+新規債返済スケジュール!R5</f>
        <v>3615332093</v>
      </c>
      <c r="AH115" s="182">
        <f>【BS】決算数値入力!AD38+新規債返済スケジュール!S5</f>
        <v>4075940259</v>
      </c>
      <c r="AI115" s="182">
        <f>【BS】決算数値入力!AE38+新規債返済スケジュール!T5</f>
        <v>4526244858</v>
      </c>
      <c r="AJ115" s="182">
        <f>【BS】決算数値入力!AF38+新規債返済スケジュール!U5</f>
        <v>4966029515</v>
      </c>
      <c r="AK115" s="182">
        <f>【BS】決算数値入力!AG38+新規債返済スケジュール!V5</f>
        <v>5425073314</v>
      </c>
      <c r="AL115" s="182">
        <f>【BS】決算数値入力!AH38+新規債返済スケジュール!W5</f>
        <v>5895664698</v>
      </c>
      <c r="AM115" s="182">
        <f>【BS】決算数値入力!AI38+新規債返済スケジュール!X5</f>
        <v>6354190571</v>
      </c>
      <c r="AN115" s="182">
        <f>【BS】決算数値入力!AJ38+新規債返済スケジュール!Y5</f>
        <v>6800397556</v>
      </c>
      <c r="AO115" s="182">
        <f>【BS】決算数値入力!AK38+新規債返済スケジュール!Z5</f>
        <v>6694026956</v>
      </c>
      <c r="AP115" s="182">
        <f>【BS】決算数値入力!AL38+新規債返済スケジュール!AA5</f>
        <v>6583562578</v>
      </c>
      <c r="AQ115" s="182">
        <f>【BS】決算数値入力!AM38+新規債返済スケジュール!AB5</f>
        <v>6468918454</v>
      </c>
      <c r="AR115" s="182">
        <f>【BS】決算数値入力!AN38+新規債返済スケジュール!AC5</f>
        <v>6350006811</v>
      </c>
      <c r="AS115" s="182">
        <f>【BS】決算数値入力!AO38+新規債返済スケジュール!AD5</f>
        <v>6226738029</v>
      </c>
      <c r="AT115" s="182">
        <f>【BS】決算数値入力!AP38+新規債返済スケジュール!AE5</f>
        <v>6099020609</v>
      </c>
      <c r="AU115" s="182">
        <f>【BS】決算数値入力!AQ38+新規債返済スケジュール!AF5</f>
        <v>5966761129</v>
      </c>
      <c r="AV115" s="182">
        <f>【BS】決算数値入力!AR38+新規債返済スケジュール!AG5</f>
        <v>5829864205</v>
      </c>
      <c r="AW115" s="182">
        <f>【BS】決算数値入力!AS38+新規債返済スケジュール!AH5</f>
        <v>5688232449</v>
      </c>
      <c r="AX115" s="182">
        <f>【BS】決算数値入力!AT38+新規債返済スケジュール!AI5</f>
        <v>5541766433</v>
      </c>
      <c r="AY115" s="182">
        <f>【BS】決算数値入力!AU38+新規債返済スケジュール!AJ5</f>
        <v>5390364637</v>
      </c>
      <c r="AZ115" s="182">
        <f>【BS】決算数値入力!AV38+新規債返済スケジュール!AK5</f>
        <v>5233923409</v>
      </c>
      <c r="BA115" s="182">
        <f>【BS】決算数値入力!AW38+新規債返済スケジュール!AL5</f>
        <v>5072336919</v>
      </c>
      <c r="BB115" s="182">
        <f>【BS】決算数値入力!AX38+新規債返済スケジュール!AM5</f>
        <v>4905497122</v>
      </c>
      <c r="BC115" s="182">
        <f>【BS】決算数値入力!AY38+新規債返済スケジュール!AN5</f>
        <v>4733293697</v>
      </c>
      <c r="BD115" s="182">
        <f>【BS】決算数値入力!AZ38+新規債返済スケジュール!AO5</f>
        <v>4555614005</v>
      </c>
      <c r="BE115" s="182">
        <f>【BS】決算数値入力!BA38+新規債返済スケジュール!AP5</f>
        <v>4372343046</v>
      </c>
      <c r="BF115" s="182">
        <f>【BS】決算数値入力!BB38+新規債返済スケジュール!AQ5</f>
        <v>4183363401</v>
      </c>
      <c r="BG115" s="182">
        <f>【BS】決算数値入力!BC38+新規債返済スケジュール!AR5</f>
        <v>3988555190</v>
      </c>
      <c r="BH115" s="182">
        <f>【BS】決算数値入力!BD38+新規債返済スケジュール!AS5</f>
        <v>3787796010</v>
      </c>
      <c r="BI115" s="182">
        <f>【BS】決算数値入力!BE38+新規債返済スケジュール!AT5</f>
        <v>3589903746</v>
      </c>
      <c r="BJ115" s="182">
        <f>【BS】決算数値入力!BF38+新規債返済スケジュール!AU5</f>
        <v>3393562206</v>
      </c>
      <c r="BK115" s="182">
        <f>【BS】決算数値入力!BG38+新規債返済スケジュール!AV5</f>
        <v>3157927971</v>
      </c>
      <c r="BL115" s="182">
        <f>【BS】決算数値入力!BH38+新規債返済スケジュール!AW5</f>
        <v>2932299769</v>
      </c>
      <c r="BM115" s="182">
        <f>【BS】決算数値入力!BI38+新規債返済スケジュール!AX5</f>
        <v>2716329729</v>
      </c>
      <c r="BN115" s="182">
        <f>【BS】決算数値入力!BJ38+新規債返済スケジュール!AY5</f>
        <v>2504640695</v>
      </c>
      <c r="BO115" s="182">
        <f>【BS】決算数値入力!BK38+新規債返済スケジュール!AZ5</f>
        <v>2297322566</v>
      </c>
      <c r="BP115" s="182">
        <f>【BS】決算数値入力!BL38+新規債返済スケジュール!BA5</f>
        <v>2096327117</v>
      </c>
      <c r="BQ115" s="182">
        <f>【BS】決算数値入力!BM38+新規債返済スケジュール!BB5</f>
        <v>1904019121</v>
      </c>
    </row>
    <row r="118" spans="2:69">
      <c r="S118" s="24" t="s">
        <v>256</v>
      </c>
    </row>
    <row r="119" spans="2:69">
      <c r="S119" s="74" t="s">
        <v>252</v>
      </c>
      <c r="T119" s="185">
        <v>0</v>
      </c>
      <c r="U119" s="185">
        <v>0</v>
      </c>
      <c r="V119" s="185">
        <v>0</v>
      </c>
      <c r="W119" s="185">
        <v>0</v>
      </c>
      <c r="X119" s="185">
        <v>0</v>
      </c>
      <c r="Y119" s="185">
        <v>0</v>
      </c>
      <c r="Z119" s="185">
        <v>0</v>
      </c>
      <c r="AA119" s="185">
        <v>0</v>
      </c>
      <c r="AB119" s="185">
        <v>0</v>
      </c>
      <c r="AC119" s="185">
        <v>0</v>
      </c>
      <c r="AD119" s="185">
        <v>0</v>
      </c>
      <c r="AE119" s="185">
        <v>0</v>
      </c>
      <c r="AF119" s="185">
        <v>0</v>
      </c>
      <c r="AG119" s="185">
        <v>0</v>
      </c>
      <c r="AH119" s="185">
        <v>0</v>
      </c>
      <c r="AI119" s="185">
        <v>0</v>
      </c>
      <c r="AJ119" s="185">
        <v>0</v>
      </c>
      <c r="AK119" s="185">
        <v>0</v>
      </c>
      <c r="AL119" s="185">
        <v>0</v>
      </c>
      <c r="AM119" s="185">
        <v>0</v>
      </c>
      <c r="AN119" s="185">
        <v>0</v>
      </c>
      <c r="AO119" s="185">
        <v>0</v>
      </c>
      <c r="AP119" s="185">
        <v>0</v>
      </c>
      <c r="AQ119" s="185">
        <v>0</v>
      </c>
      <c r="AR119" s="185">
        <v>0</v>
      </c>
      <c r="AS119" s="185">
        <v>0</v>
      </c>
      <c r="AT119" s="185">
        <v>0</v>
      </c>
      <c r="AU119" s="185">
        <v>0</v>
      </c>
      <c r="AV119" s="185">
        <v>0</v>
      </c>
      <c r="AW119" s="185">
        <v>0</v>
      </c>
      <c r="AX119" s="185">
        <v>0</v>
      </c>
      <c r="AY119" s="185">
        <v>0</v>
      </c>
      <c r="AZ119" s="185">
        <v>0</v>
      </c>
      <c r="BA119" s="185">
        <v>0</v>
      </c>
      <c r="BB119" s="185">
        <v>0</v>
      </c>
      <c r="BC119" s="185">
        <v>0</v>
      </c>
      <c r="BD119" s="185">
        <v>0</v>
      </c>
      <c r="BE119" s="185">
        <v>0</v>
      </c>
      <c r="BF119" s="185">
        <v>0</v>
      </c>
      <c r="BG119" s="185">
        <v>0</v>
      </c>
      <c r="BH119" s="185">
        <v>0</v>
      </c>
      <c r="BI119" s="185">
        <v>0</v>
      </c>
      <c r="BJ119" s="185">
        <v>0</v>
      </c>
    </row>
    <row r="120" spans="2:69">
      <c r="S120" s="181" t="s">
        <v>253</v>
      </c>
      <c r="T120" s="186">
        <v>10000000</v>
      </c>
      <c r="U120" s="186">
        <v>100000000</v>
      </c>
      <c r="V120" s="186">
        <v>100000000</v>
      </c>
      <c r="W120" s="186">
        <v>100000000</v>
      </c>
      <c r="X120" s="186">
        <v>100000000</v>
      </c>
      <c r="Y120" s="186">
        <v>100000000</v>
      </c>
      <c r="Z120" s="186">
        <v>0</v>
      </c>
      <c r="AA120" s="186">
        <v>0</v>
      </c>
      <c r="AB120" s="186">
        <v>0</v>
      </c>
      <c r="AC120" s="186">
        <v>0</v>
      </c>
      <c r="AD120" s="186">
        <v>0</v>
      </c>
      <c r="AE120" s="186">
        <v>0</v>
      </c>
      <c r="AF120" s="186">
        <v>0</v>
      </c>
      <c r="AG120" s="186">
        <v>0</v>
      </c>
      <c r="AH120" s="186">
        <v>0</v>
      </c>
      <c r="AI120" s="186">
        <v>0</v>
      </c>
      <c r="AJ120" s="186">
        <v>0</v>
      </c>
      <c r="AK120" s="186">
        <v>0</v>
      </c>
      <c r="AL120" s="186">
        <v>0</v>
      </c>
      <c r="AM120" s="186">
        <v>0</v>
      </c>
      <c r="AN120" s="186">
        <v>0</v>
      </c>
      <c r="AO120" s="186">
        <v>0</v>
      </c>
      <c r="AP120" s="186">
        <v>0</v>
      </c>
      <c r="AQ120" s="186">
        <v>0</v>
      </c>
      <c r="AR120" s="186">
        <v>0</v>
      </c>
      <c r="AS120" s="186">
        <v>0</v>
      </c>
      <c r="AT120" s="186">
        <v>0</v>
      </c>
      <c r="AU120" s="186">
        <v>0</v>
      </c>
      <c r="AV120" s="186">
        <v>0</v>
      </c>
      <c r="AW120" s="186">
        <v>0</v>
      </c>
      <c r="AX120" s="186">
        <v>0</v>
      </c>
      <c r="AY120" s="186">
        <v>0</v>
      </c>
      <c r="AZ120" s="186">
        <v>0</v>
      </c>
      <c r="BA120" s="186">
        <v>0</v>
      </c>
      <c r="BB120" s="186">
        <v>0</v>
      </c>
      <c r="BC120" s="186">
        <v>0</v>
      </c>
      <c r="BD120" s="186">
        <v>0</v>
      </c>
      <c r="BE120" s="186">
        <v>0</v>
      </c>
      <c r="BF120" s="186">
        <v>0</v>
      </c>
      <c r="BG120" s="186">
        <v>0</v>
      </c>
      <c r="BH120" s="186">
        <v>0</v>
      </c>
      <c r="BI120" s="186">
        <v>0</v>
      </c>
      <c r="BJ120" s="186">
        <v>0</v>
      </c>
    </row>
    <row r="121" spans="2:69">
      <c r="R121" s="123" t="s">
        <v>722</v>
      </c>
      <c r="S121" s="181" t="s">
        <v>254</v>
      </c>
      <c r="T121" s="186">
        <v>150000000</v>
      </c>
      <c r="U121" s="186">
        <v>150000000</v>
      </c>
      <c r="V121" s="186">
        <v>160000000</v>
      </c>
      <c r="W121" s="186">
        <v>160000000</v>
      </c>
      <c r="X121" s="186">
        <v>160000000</v>
      </c>
      <c r="Y121" s="186">
        <v>160000000</v>
      </c>
      <c r="Z121" s="186">
        <v>160000000</v>
      </c>
      <c r="AA121" s="186">
        <v>160000000</v>
      </c>
      <c r="AB121" s="186">
        <v>160000000</v>
      </c>
      <c r="AC121" s="186">
        <v>160000000</v>
      </c>
      <c r="AD121" s="186">
        <v>50000000</v>
      </c>
      <c r="AE121" s="186">
        <v>50000000</v>
      </c>
      <c r="AF121" s="186">
        <v>50000000</v>
      </c>
      <c r="AG121" s="186">
        <v>50000000</v>
      </c>
      <c r="AH121" s="186">
        <v>50000000</v>
      </c>
      <c r="AI121" s="186">
        <v>50000000</v>
      </c>
      <c r="AJ121" s="186">
        <v>50000000</v>
      </c>
      <c r="AK121" s="186">
        <v>50000000</v>
      </c>
      <c r="AL121" s="186">
        <v>50000000</v>
      </c>
      <c r="AM121" s="186">
        <v>50000000</v>
      </c>
      <c r="AN121" s="186">
        <v>50000000</v>
      </c>
      <c r="AO121" s="186">
        <v>50000000</v>
      </c>
      <c r="AP121" s="186">
        <v>50000000</v>
      </c>
      <c r="AQ121" s="186">
        <v>50000000</v>
      </c>
      <c r="AR121" s="186">
        <v>50000000</v>
      </c>
      <c r="AS121" s="186">
        <v>50000000</v>
      </c>
      <c r="AT121" s="186">
        <v>50000000</v>
      </c>
      <c r="AU121" s="186">
        <v>50000000</v>
      </c>
      <c r="AV121" s="186">
        <v>50000000</v>
      </c>
      <c r="AW121" s="186">
        <v>50000000</v>
      </c>
      <c r="AX121" s="186">
        <v>50000000</v>
      </c>
      <c r="AY121" s="186">
        <v>50000000</v>
      </c>
      <c r="AZ121" s="186">
        <v>50000000</v>
      </c>
      <c r="BA121" s="186">
        <v>50000000</v>
      </c>
      <c r="BB121" s="186">
        <v>50000000</v>
      </c>
      <c r="BC121" s="186">
        <v>50000000</v>
      </c>
      <c r="BD121" s="186">
        <v>50000000</v>
      </c>
      <c r="BE121" s="186">
        <v>50000000</v>
      </c>
      <c r="BF121" s="186">
        <v>50000000</v>
      </c>
      <c r="BG121" s="186">
        <v>50000000</v>
      </c>
      <c r="BH121" s="186">
        <v>50000000</v>
      </c>
      <c r="BI121" s="186">
        <v>50000000</v>
      </c>
      <c r="BJ121" s="186">
        <v>50000000</v>
      </c>
    </row>
    <row r="122" spans="2:69">
      <c r="S122" s="68" t="s">
        <v>255</v>
      </c>
      <c r="T122" s="185">
        <v>0</v>
      </c>
      <c r="U122" s="185">
        <v>0</v>
      </c>
      <c r="V122" s="185">
        <v>0</v>
      </c>
      <c r="W122" s="185">
        <v>0</v>
      </c>
      <c r="X122" s="185">
        <v>0</v>
      </c>
      <c r="Y122" s="185">
        <v>0</v>
      </c>
      <c r="Z122" s="185">
        <v>0</v>
      </c>
      <c r="AA122" s="185">
        <v>0</v>
      </c>
      <c r="AB122" s="185">
        <v>0</v>
      </c>
      <c r="AC122" s="185">
        <v>0</v>
      </c>
      <c r="AD122" s="185">
        <v>0</v>
      </c>
      <c r="AE122" s="185">
        <v>0</v>
      </c>
      <c r="AF122" s="185">
        <v>0</v>
      </c>
      <c r="AG122" s="185">
        <v>0</v>
      </c>
      <c r="AH122" s="185">
        <v>0</v>
      </c>
      <c r="AI122" s="185">
        <v>0</v>
      </c>
      <c r="AJ122" s="185">
        <v>0</v>
      </c>
      <c r="AK122" s="185">
        <v>0</v>
      </c>
      <c r="AL122" s="185">
        <v>0</v>
      </c>
      <c r="AM122" s="185">
        <v>0</v>
      </c>
      <c r="AN122" s="185">
        <v>0</v>
      </c>
      <c r="AO122" s="185">
        <v>0</v>
      </c>
      <c r="AP122" s="185">
        <v>0</v>
      </c>
      <c r="AQ122" s="185">
        <v>0</v>
      </c>
      <c r="AR122" s="185">
        <v>0</v>
      </c>
      <c r="AS122" s="185">
        <v>0</v>
      </c>
      <c r="AT122" s="185">
        <v>0</v>
      </c>
      <c r="AU122" s="185">
        <v>0</v>
      </c>
      <c r="AV122" s="185">
        <v>0</v>
      </c>
      <c r="AW122" s="185">
        <v>0</v>
      </c>
      <c r="AX122" s="185">
        <v>0</v>
      </c>
      <c r="AY122" s="185">
        <v>0</v>
      </c>
      <c r="AZ122" s="185">
        <v>0</v>
      </c>
      <c r="BA122" s="185">
        <v>0</v>
      </c>
      <c r="BB122" s="185">
        <v>0</v>
      </c>
      <c r="BC122" s="185">
        <v>0</v>
      </c>
      <c r="BD122" s="185">
        <v>0</v>
      </c>
      <c r="BE122" s="185">
        <v>0</v>
      </c>
      <c r="BF122" s="185">
        <v>0</v>
      </c>
      <c r="BG122" s="185">
        <v>0</v>
      </c>
      <c r="BH122" s="185">
        <v>0</v>
      </c>
      <c r="BI122" s="185">
        <v>0</v>
      </c>
      <c r="BJ122" s="185">
        <v>0</v>
      </c>
    </row>
    <row r="123" spans="2:69">
      <c r="T123" s="187"/>
      <c r="U123" s="187"/>
      <c r="V123" s="187"/>
      <c r="W123" s="187"/>
      <c r="X123" s="187"/>
      <c r="Y123" s="187"/>
      <c r="Z123" s="187"/>
      <c r="AA123" s="187"/>
      <c r="AB123" s="187"/>
      <c r="AC123" s="187"/>
      <c r="AD123" s="187"/>
      <c r="AE123" s="187"/>
      <c r="AF123" s="187"/>
      <c r="AG123" s="187"/>
      <c r="AH123" s="187"/>
      <c r="AI123" s="187"/>
      <c r="AJ123" s="187"/>
      <c r="AK123" s="187"/>
      <c r="AL123" s="187"/>
      <c r="AM123" s="187"/>
      <c r="AN123" s="187"/>
      <c r="AO123" s="187"/>
      <c r="AP123" s="187"/>
      <c r="AQ123" s="187"/>
      <c r="AR123" s="187"/>
      <c r="AS123" s="187"/>
      <c r="AT123" s="187"/>
      <c r="AU123" s="187"/>
      <c r="AV123" s="187"/>
      <c r="AW123" s="187"/>
      <c r="AX123" s="187"/>
      <c r="AY123" s="187"/>
      <c r="AZ123" s="187"/>
      <c r="BA123" s="187"/>
      <c r="BB123" s="187"/>
      <c r="BC123" s="187"/>
      <c r="BD123" s="187"/>
      <c r="BE123" s="187"/>
      <c r="BF123" s="187"/>
      <c r="BG123" s="187"/>
      <c r="BH123" s="187"/>
      <c r="BI123" s="187"/>
      <c r="BJ123" s="187"/>
    </row>
    <row r="124" spans="2:69">
      <c r="S124" s="181" t="s">
        <v>257</v>
      </c>
      <c r="T124" s="186">
        <v>0</v>
      </c>
      <c r="U124" s="186">
        <v>35000000</v>
      </c>
      <c r="V124" s="186">
        <f>220000000+450000000+80000000</f>
        <v>750000000</v>
      </c>
      <c r="W124" s="186">
        <f>220000000+450000000</f>
        <v>670000000</v>
      </c>
      <c r="X124" s="186">
        <v>220000000</v>
      </c>
      <c r="Y124" s="186">
        <v>70000000</v>
      </c>
      <c r="Z124" s="186">
        <v>150000000</v>
      </c>
      <c r="AA124" s="186">
        <v>150000000</v>
      </c>
      <c r="AB124" s="186">
        <v>210000000</v>
      </c>
      <c r="AC124" s="186">
        <v>130000000</v>
      </c>
      <c r="AD124" s="186">
        <v>160000000</v>
      </c>
      <c r="AE124" s="186">
        <v>130000000</v>
      </c>
      <c r="AF124" s="186">
        <v>130000000</v>
      </c>
      <c r="AG124" s="186">
        <v>500000000</v>
      </c>
      <c r="AH124" s="186">
        <v>500000000</v>
      </c>
      <c r="AI124" s="186">
        <v>500000000</v>
      </c>
      <c r="AJ124" s="186">
        <v>500000000</v>
      </c>
      <c r="AK124" s="186">
        <v>530000000</v>
      </c>
      <c r="AL124" s="186">
        <v>550000000</v>
      </c>
      <c r="AM124" s="186">
        <v>550000000</v>
      </c>
      <c r="AN124" s="186">
        <v>550000000</v>
      </c>
      <c r="AO124" s="186">
        <v>10000000</v>
      </c>
      <c r="AP124" s="186">
        <v>10000000</v>
      </c>
      <c r="AQ124" s="186">
        <v>10000000</v>
      </c>
      <c r="AR124" s="186">
        <v>10000000</v>
      </c>
      <c r="AS124" s="186">
        <v>10000000</v>
      </c>
      <c r="AT124" s="186">
        <v>10000000</v>
      </c>
      <c r="AU124" s="186">
        <v>10000000</v>
      </c>
      <c r="AV124" s="186">
        <v>10000000</v>
      </c>
      <c r="AW124" s="186">
        <v>10000000</v>
      </c>
      <c r="AX124" s="186">
        <v>10000000</v>
      </c>
      <c r="AY124" s="186">
        <v>10000000</v>
      </c>
      <c r="AZ124" s="186">
        <v>10000000</v>
      </c>
      <c r="BA124" s="186">
        <v>10000000</v>
      </c>
      <c r="BB124" s="186">
        <v>10000000</v>
      </c>
      <c r="BC124" s="186">
        <v>10000000</v>
      </c>
      <c r="BD124" s="186">
        <v>10000000</v>
      </c>
      <c r="BE124" s="186">
        <v>10000000</v>
      </c>
      <c r="BF124" s="186">
        <v>10000000</v>
      </c>
      <c r="BG124" s="186">
        <v>10000000</v>
      </c>
      <c r="BH124" s="186">
        <v>10000000</v>
      </c>
      <c r="BI124" s="186">
        <v>10000000</v>
      </c>
      <c r="BJ124" s="186">
        <v>10000000</v>
      </c>
    </row>
    <row r="125" spans="2:69" ht="43.2">
      <c r="AD125" s="183" t="s">
        <v>725</v>
      </c>
      <c r="AN125" s="183" t="s">
        <v>723</v>
      </c>
      <c r="AO125" s="183" t="s">
        <v>724</v>
      </c>
    </row>
  </sheetData>
  <autoFilter ref="B3:BQ68" xr:uid="{580772E3-389A-45F6-9719-21766B3B5060}"/>
  <mergeCells count="14">
    <mergeCell ref="B114:E114"/>
    <mergeCell ref="J103:J104"/>
    <mergeCell ref="B106:B112"/>
    <mergeCell ref="C106:C107"/>
    <mergeCell ref="C108:C111"/>
    <mergeCell ref="D108:D110"/>
    <mergeCell ref="B113:E113"/>
    <mergeCell ref="J71:J72"/>
    <mergeCell ref="K71:K72"/>
    <mergeCell ref="J3:J4"/>
    <mergeCell ref="K3:K4"/>
    <mergeCell ref="F26:F33"/>
    <mergeCell ref="F34:F41"/>
    <mergeCell ref="F43:F51"/>
  </mergeCells>
  <phoneticPr fontId="4"/>
  <pageMargins left="0.70866141732283472" right="0.70866141732283472" top="0.74803149606299213" bottom="0.74803149606299213" header="0.31496062992125984" footer="0.31496062992125984"/>
  <pageSetup paperSize="8" scale="70" fitToWidth="0" fitToHeight="0" orientation="landscape" r:id="rId1"/>
  <headerFooter>
    <oddHeader>&amp;A</oddHeader>
    <oddFooter>&amp;P / &amp;N ページ</oddFooter>
  </headerFooter>
  <rowBreaks count="1" manualBreakCount="1">
    <brk id="68" max="16383"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AC6B-BF60-4C8D-91E2-BE032D12F06D}">
  <sheetPr>
    <tabColor theme="5" tint="-0.249977111117893"/>
  </sheetPr>
  <dimension ref="B2:BQ124"/>
  <sheetViews>
    <sheetView showGridLines="0" view="pageBreakPreview" zoomScale="70" zoomScaleNormal="85" zoomScaleSheetLayoutView="70" workbookViewId="0">
      <pane xSplit="5" ySplit="4" topLeftCell="O44" activePane="bottomRight" state="frozen"/>
      <selection activeCell="I5" sqref="I5"/>
      <selection pane="topRight" activeCell="I5" sqref="I5"/>
      <selection pane="bottomLeft" activeCell="I5" sqref="I5"/>
      <selection pane="bottomRight" activeCell="P6" sqref="P6"/>
    </sheetView>
  </sheetViews>
  <sheetFormatPr defaultRowHeight="14.4" outlineLevelCol="1"/>
  <cols>
    <col min="1" max="1" width="2.90625" customWidth="1"/>
    <col min="2" max="4" width="3.90625" customWidth="1"/>
    <col min="5" max="5" width="23.453125" bestFit="1" customWidth="1"/>
    <col min="6" max="6" width="7.36328125" customWidth="1" outlineLevel="1"/>
    <col min="7" max="9" width="8.08984375" customWidth="1" outlineLevel="1"/>
    <col min="10" max="10" width="4.36328125" customWidth="1" outlineLevel="1"/>
    <col min="11" max="11" width="40" bestFit="1" customWidth="1"/>
    <col min="12" max="12" width="4.36328125" hidden="1" customWidth="1" outlineLevel="1"/>
    <col min="13" max="13" width="8.7265625" hidden="1" customWidth="1" outlineLevel="1"/>
    <col min="14" max="14" width="10" style="24" bestFit="1" customWidth="1" collapsed="1"/>
    <col min="15" max="18" width="10" style="24" customWidth="1" outlineLevel="1"/>
    <col min="19" max="19" width="10" style="24" customWidth="1"/>
    <col min="20" max="20" width="8.90625" style="24" customWidth="1"/>
    <col min="21" max="28" width="8.90625" style="24" customWidth="1" outlineLevel="1"/>
    <col min="29" max="29" width="8.90625" style="24" bestFit="1" customWidth="1"/>
    <col min="30" max="38" width="8.90625" style="24" customWidth="1" outlineLevel="1"/>
    <col min="39" max="39" width="8.90625" style="24" bestFit="1" customWidth="1"/>
    <col min="40" max="48" width="8.90625" style="24" customWidth="1" outlineLevel="1"/>
    <col min="49" max="49" width="8.90625" style="24" customWidth="1"/>
    <col min="50" max="58" width="8.90625" style="24" customWidth="1" outlineLevel="1"/>
    <col min="59" max="59" width="8.90625" style="24" bestFit="1" customWidth="1"/>
    <col min="60" max="68" width="8.90625" style="24" customWidth="1" outlineLevel="1"/>
    <col min="69" max="69" width="8.90625" style="24" bestFit="1" customWidth="1"/>
  </cols>
  <sheetData>
    <row r="2" spans="2:69">
      <c r="B2" t="s">
        <v>0</v>
      </c>
      <c r="N2" s="24" t="s">
        <v>182</v>
      </c>
      <c r="T2" s="29">
        <v>1</v>
      </c>
      <c r="U2" s="29">
        <v>2</v>
      </c>
      <c r="V2" s="29">
        <v>3</v>
      </c>
      <c r="W2" s="29">
        <v>4</v>
      </c>
      <c r="X2" s="29">
        <v>5</v>
      </c>
      <c r="Y2" s="29">
        <v>6</v>
      </c>
      <c r="Z2" s="29">
        <v>7</v>
      </c>
      <c r="AA2" s="29">
        <v>8</v>
      </c>
      <c r="AB2" s="29">
        <v>9</v>
      </c>
      <c r="AC2" s="29">
        <v>10</v>
      </c>
      <c r="AD2" s="29">
        <v>11</v>
      </c>
      <c r="AE2" s="29">
        <v>12</v>
      </c>
      <c r="AF2" s="29">
        <v>13</v>
      </c>
      <c r="AG2" s="29">
        <v>14</v>
      </c>
      <c r="AH2" s="29">
        <v>15</v>
      </c>
      <c r="AI2" s="29">
        <v>16</v>
      </c>
      <c r="AJ2" s="29">
        <v>17</v>
      </c>
      <c r="AK2" s="29">
        <v>18</v>
      </c>
      <c r="AL2" s="29">
        <v>19</v>
      </c>
      <c r="AM2" s="29">
        <v>20</v>
      </c>
      <c r="AN2" s="29">
        <v>21</v>
      </c>
      <c r="AO2" s="29">
        <v>22</v>
      </c>
      <c r="AP2" s="29">
        <v>23</v>
      </c>
      <c r="AQ2" s="29">
        <v>24</v>
      </c>
      <c r="AR2" s="29">
        <v>25</v>
      </c>
      <c r="AS2" s="29">
        <v>26</v>
      </c>
      <c r="AT2" s="29">
        <v>27</v>
      </c>
      <c r="AU2" s="29">
        <v>28</v>
      </c>
      <c r="AV2" s="29">
        <v>29</v>
      </c>
      <c r="AW2" s="29">
        <v>30</v>
      </c>
      <c r="AX2" s="29">
        <v>31</v>
      </c>
      <c r="AY2" s="29">
        <v>32</v>
      </c>
      <c r="AZ2" s="29">
        <v>33</v>
      </c>
      <c r="BA2" s="29">
        <v>34</v>
      </c>
      <c r="BB2" s="29">
        <v>35</v>
      </c>
      <c r="BC2" s="29">
        <v>36</v>
      </c>
      <c r="BD2" s="29">
        <v>37</v>
      </c>
      <c r="BE2" s="29">
        <v>38</v>
      </c>
      <c r="BF2" s="29">
        <v>39</v>
      </c>
      <c r="BG2" s="29">
        <v>40</v>
      </c>
      <c r="BH2" s="29">
        <v>41</v>
      </c>
      <c r="BI2" s="29">
        <v>42</v>
      </c>
      <c r="BJ2" s="29">
        <v>43</v>
      </c>
      <c r="BK2" s="29">
        <v>44</v>
      </c>
      <c r="BL2" s="29">
        <v>45</v>
      </c>
      <c r="BM2" s="29">
        <v>46</v>
      </c>
      <c r="BN2" s="29">
        <v>47</v>
      </c>
      <c r="BO2" s="29">
        <v>48</v>
      </c>
      <c r="BP2" s="29">
        <v>49</v>
      </c>
      <c r="BQ2" s="29">
        <v>50</v>
      </c>
    </row>
    <row r="3" spans="2:69">
      <c r="B3" s="11" t="s">
        <v>1</v>
      </c>
      <c r="C3" s="11" t="s">
        <v>2</v>
      </c>
      <c r="D3" s="12" t="s">
        <v>3</v>
      </c>
      <c r="E3" s="13"/>
      <c r="F3" s="20" t="s">
        <v>4</v>
      </c>
      <c r="G3" s="14"/>
      <c r="H3" s="14"/>
      <c r="I3" s="15"/>
      <c r="J3" s="311" t="s">
        <v>162</v>
      </c>
      <c r="K3" s="313" t="s">
        <v>8</v>
      </c>
      <c r="L3" s="11" t="s">
        <v>9</v>
      </c>
      <c r="M3" s="11" t="s">
        <v>10</v>
      </c>
      <c r="N3" s="30" t="s">
        <v>11</v>
      </c>
      <c r="O3" s="31"/>
      <c r="P3" s="31"/>
      <c r="Q3" s="31"/>
      <c r="R3" s="32"/>
      <c r="S3" s="35" t="s">
        <v>177</v>
      </c>
      <c r="T3" s="33" t="s">
        <v>17</v>
      </c>
      <c r="U3" s="31"/>
      <c r="V3" s="31"/>
      <c r="W3" s="32"/>
      <c r="X3" s="34" t="s">
        <v>68</v>
      </c>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row>
    <row r="4" spans="2:69">
      <c r="B4" s="17"/>
      <c r="C4" s="17"/>
      <c r="D4" s="18"/>
      <c r="E4" s="19"/>
      <c r="F4" s="17"/>
      <c r="G4" s="16" t="s">
        <v>5</v>
      </c>
      <c r="H4" s="16" t="s">
        <v>6</v>
      </c>
      <c r="I4" s="16" t="s">
        <v>7</v>
      </c>
      <c r="J4" s="312"/>
      <c r="K4" s="314"/>
      <c r="L4" s="17"/>
      <c r="M4" s="17"/>
      <c r="N4" s="35" t="s">
        <v>589</v>
      </c>
      <c r="O4" s="35" t="s">
        <v>19</v>
      </c>
      <c r="P4" s="35" t="s">
        <v>20</v>
      </c>
      <c r="Q4" s="35" t="s">
        <v>588</v>
      </c>
      <c r="R4" s="35" t="s">
        <v>594</v>
      </c>
      <c r="S4" s="35"/>
      <c r="T4" s="35" t="s">
        <v>710</v>
      </c>
      <c r="U4" s="35" t="s">
        <v>711</v>
      </c>
      <c r="V4" s="35" t="s">
        <v>712</v>
      </c>
      <c r="W4" s="35" t="s">
        <v>713</v>
      </c>
      <c r="X4" s="35" t="s">
        <v>27</v>
      </c>
      <c r="Y4" s="35" t="s">
        <v>28</v>
      </c>
      <c r="Z4" s="35" t="s">
        <v>29</v>
      </c>
      <c r="AA4" s="35" t="s">
        <v>30</v>
      </c>
      <c r="AB4" s="35" t="s">
        <v>31</v>
      </c>
      <c r="AC4" s="35" t="s">
        <v>32</v>
      </c>
      <c r="AD4" s="35" t="s">
        <v>33</v>
      </c>
      <c r="AE4" s="35" t="s">
        <v>34</v>
      </c>
      <c r="AF4" s="35" t="s">
        <v>35</v>
      </c>
      <c r="AG4" s="35" t="s">
        <v>36</v>
      </c>
      <c r="AH4" s="35" t="s">
        <v>37</v>
      </c>
      <c r="AI4" s="35" t="s">
        <v>38</v>
      </c>
      <c r="AJ4" s="35" t="s">
        <v>39</v>
      </c>
      <c r="AK4" s="35" t="s">
        <v>40</v>
      </c>
      <c r="AL4" s="35" t="s">
        <v>41</v>
      </c>
      <c r="AM4" s="35" t="s">
        <v>42</v>
      </c>
      <c r="AN4" s="35" t="s">
        <v>43</v>
      </c>
      <c r="AO4" s="35" t="s">
        <v>44</v>
      </c>
      <c r="AP4" s="35" t="s">
        <v>45</v>
      </c>
      <c r="AQ4" s="35" t="s">
        <v>46</v>
      </c>
      <c r="AR4" s="35" t="s">
        <v>47</v>
      </c>
      <c r="AS4" s="35" t="s">
        <v>48</v>
      </c>
      <c r="AT4" s="35" t="s">
        <v>49</v>
      </c>
      <c r="AU4" s="35" t="s">
        <v>50</v>
      </c>
      <c r="AV4" s="35" t="s">
        <v>51</v>
      </c>
      <c r="AW4" s="35" t="s">
        <v>52</v>
      </c>
      <c r="AX4" s="35" t="s">
        <v>53</v>
      </c>
      <c r="AY4" s="35" t="s">
        <v>54</v>
      </c>
      <c r="AZ4" s="35" t="s">
        <v>55</v>
      </c>
      <c r="BA4" s="35" t="s">
        <v>56</v>
      </c>
      <c r="BB4" s="35" t="s">
        <v>57</v>
      </c>
      <c r="BC4" s="35" t="s">
        <v>58</v>
      </c>
      <c r="BD4" s="35" t="s">
        <v>59</v>
      </c>
      <c r="BE4" s="35" t="s">
        <v>60</v>
      </c>
      <c r="BF4" s="35" t="s">
        <v>61</v>
      </c>
      <c r="BG4" s="35" t="s">
        <v>62</v>
      </c>
      <c r="BH4" s="35" t="s">
        <v>63</v>
      </c>
      <c r="BI4" s="35" t="s">
        <v>64</v>
      </c>
      <c r="BJ4" s="35" t="s">
        <v>65</v>
      </c>
      <c r="BK4" s="35" t="s">
        <v>66</v>
      </c>
      <c r="BL4" s="35" t="s">
        <v>67</v>
      </c>
      <c r="BM4" s="35" t="s">
        <v>670</v>
      </c>
      <c r="BN4" s="35" t="s">
        <v>671</v>
      </c>
      <c r="BO4" s="35" t="s">
        <v>672</v>
      </c>
      <c r="BP4" s="35" t="s">
        <v>673</v>
      </c>
      <c r="BQ4" s="35" t="s">
        <v>674</v>
      </c>
    </row>
    <row r="5" spans="2:69">
      <c r="B5" s="5" t="s">
        <v>69</v>
      </c>
      <c r="C5" s="7"/>
      <c r="D5" s="7"/>
      <c r="E5" s="8"/>
      <c r="F5" s="1"/>
      <c r="G5" s="10"/>
      <c r="H5" s="10"/>
      <c r="I5" s="10"/>
      <c r="J5" s="10"/>
      <c r="K5" s="1"/>
      <c r="L5" s="1"/>
      <c r="M5" s="1"/>
      <c r="N5" s="39">
        <f>【PL】決算数値入力!W5</f>
        <v>236084433</v>
      </c>
      <c r="O5" s="39">
        <f>【PL】決算数値入力!X5</f>
        <v>471816622</v>
      </c>
      <c r="P5" s="39">
        <f>【PL】決算数値入力!Y5</f>
        <v>506142175</v>
      </c>
      <c r="Q5" s="39">
        <f>【PL】決算数値入力!Z5</f>
        <v>593505600</v>
      </c>
      <c r="R5" s="39">
        <f>【PL】決算数値入力!AA5</f>
        <v>504865980</v>
      </c>
      <c r="S5" s="39">
        <f>【PL】決算数値入力!AB5</f>
        <v>343746513.80000001</v>
      </c>
      <c r="T5" s="39">
        <f>SUM(T6,T11,T19,T20)</f>
        <v>213852964.90000001</v>
      </c>
      <c r="U5" s="39">
        <f t="shared" ref="U5:BQ5" si="0">SUM(U6,U11,U19,U20)</f>
        <v>242681335.90000001</v>
      </c>
      <c r="V5" s="39">
        <f t="shared" si="0"/>
        <v>241280955.19999999</v>
      </c>
      <c r="W5" s="39">
        <f t="shared" si="0"/>
        <v>245594109.89999998</v>
      </c>
      <c r="X5" s="39">
        <f t="shared" si="0"/>
        <v>250453985.89999998</v>
      </c>
      <c r="Y5" s="39">
        <f t="shared" si="0"/>
        <v>254312903.89999998</v>
      </c>
      <c r="Z5" s="39">
        <f t="shared" si="0"/>
        <v>254379305.89999998</v>
      </c>
      <c r="AA5" s="39">
        <f t="shared" si="0"/>
        <v>263439426.89999998</v>
      </c>
      <c r="AB5" s="39">
        <f t="shared" si="0"/>
        <v>295666061.84736842</v>
      </c>
      <c r="AC5" s="39">
        <f t="shared" si="0"/>
        <v>315307614.32105267</v>
      </c>
      <c r="AD5" s="39">
        <f t="shared" si="0"/>
        <v>327945693.79473686</v>
      </c>
      <c r="AE5" s="39">
        <f t="shared" si="0"/>
        <v>339006619.26842105</v>
      </c>
      <c r="AF5" s="39">
        <f t="shared" si="0"/>
        <v>349368630.74210525</v>
      </c>
      <c r="AG5" s="39">
        <f t="shared" si="0"/>
        <v>354158534.74210525</v>
      </c>
      <c r="AH5" s="39">
        <f t="shared" si="0"/>
        <v>370408016.74210525</v>
      </c>
      <c r="AI5" s="39">
        <f t="shared" si="0"/>
        <v>383326564.74210525</v>
      </c>
      <c r="AJ5" s="39">
        <f t="shared" si="0"/>
        <v>394274846.74210525</v>
      </c>
      <c r="AK5" s="39">
        <f t="shared" si="0"/>
        <v>407599947.74210525</v>
      </c>
      <c r="AL5" s="39">
        <f t="shared" si="0"/>
        <v>430414528.74210531</v>
      </c>
      <c r="AM5" s="39">
        <f t="shared" si="0"/>
        <v>453925043.74210531</v>
      </c>
      <c r="AN5" s="39">
        <f t="shared" si="0"/>
        <v>476507048.74210531</v>
      </c>
      <c r="AO5" s="39">
        <f t="shared" si="0"/>
        <v>496286378.74210531</v>
      </c>
      <c r="AP5" s="39">
        <f t="shared" si="0"/>
        <v>508515575.74210531</v>
      </c>
      <c r="AQ5" s="39">
        <f t="shared" si="0"/>
        <v>521447096.74210531</v>
      </c>
      <c r="AR5" s="39">
        <f t="shared" si="0"/>
        <v>534712041.74210531</v>
      </c>
      <c r="AS5" s="39">
        <f t="shared" si="0"/>
        <v>548059078.74210525</v>
      </c>
      <c r="AT5" s="39">
        <f t="shared" si="0"/>
        <v>543545390.74210525</v>
      </c>
      <c r="AU5" s="39">
        <f t="shared" si="0"/>
        <v>541636144.74210525</v>
      </c>
      <c r="AV5" s="39">
        <f t="shared" si="0"/>
        <v>540007318.74210525</v>
      </c>
      <c r="AW5" s="39">
        <f t="shared" si="0"/>
        <v>538448881.74210525</v>
      </c>
      <c r="AX5" s="39">
        <f t="shared" si="0"/>
        <v>536535213.74210531</v>
      </c>
      <c r="AY5" s="39">
        <f t="shared" si="0"/>
        <v>533592526.74210531</v>
      </c>
      <c r="AZ5" s="39">
        <f t="shared" si="0"/>
        <v>531734619.74210531</v>
      </c>
      <c r="BA5" s="39">
        <f t="shared" si="0"/>
        <v>528939718.74210531</v>
      </c>
      <c r="BB5" s="39">
        <f t="shared" si="0"/>
        <v>527143766.74210531</v>
      </c>
      <c r="BC5" s="39">
        <f t="shared" si="0"/>
        <v>518570572.74210531</v>
      </c>
      <c r="BD5" s="39">
        <f t="shared" si="0"/>
        <v>515791076.74210531</v>
      </c>
      <c r="BE5" s="39">
        <f t="shared" si="0"/>
        <v>511744175.74210531</v>
      </c>
      <c r="BF5" s="39">
        <f t="shared" si="0"/>
        <v>506335344.74210531</v>
      </c>
      <c r="BG5" s="39">
        <f t="shared" si="0"/>
        <v>503188992.74210531</v>
      </c>
      <c r="BH5" s="39">
        <f t="shared" si="0"/>
        <v>500550175.74210531</v>
      </c>
      <c r="BI5" s="39">
        <f t="shared" si="0"/>
        <v>493745743.74210531</v>
      </c>
      <c r="BJ5" s="39">
        <f t="shared" si="0"/>
        <v>491273197.74210531</v>
      </c>
      <c r="BK5" s="39">
        <f t="shared" si="0"/>
        <v>488447396.74210531</v>
      </c>
      <c r="BL5" s="39">
        <f t="shared" si="0"/>
        <v>484799934.74210531</v>
      </c>
      <c r="BM5" s="39">
        <f t="shared" si="0"/>
        <v>475004742.74210531</v>
      </c>
      <c r="BN5" s="39">
        <f t="shared" si="0"/>
        <v>444605620.74210531</v>
      </c>
      <c r="BO5" s="39">
        <f t="shared" si="0"/>
        <v>428435935.74210531</v>
      </c>
      <c r="BP5" s="39">
        <f t="shared" si="0"/>
        <v>416469447.74210531</v>
      </c>
      <c r="BQ5" s="39">
        <f t="shared" si="0"/>
        <v>401865570.74210531</v>
      </c>
    </row>
    <row r="6" spans="2:69">
      <c r="B6" s="4"/>
      <c r="C6" s="5" t="s">
        <v>70</v>
      </c>
      <c r="D6" s="7"/>
      <c r="E6" s="8"/>
      <c r="F6" s="1"/>
      <c r="G6" s="10"/>
      <c r="H6" s="10"/>
      <c r="I6" s="10"/>
      <c r="J6" s="10"/>
      <c r="K6" s="1"/>
      <c r="L6" s="1"/>
      <c r="M6" s="1"/>
      <c r="N6" s="39">
        <f>【PL】決算数値入力!W6</f>
        <v>115230130</v>
      </c>
      <c r="O6" s="39">
        <f>【PL】決算数値入力!X6</f>
        <v>119471832</v>
      </c>
      <c r="P6" s="39">
        <f>【PL】決算数値入力!Y6</f>
        <v>122357520</v>
      </c>
      <c r="Q6" s="39">
        <f>【PL】決算数値入力!Z6</f>
        <v>119852700</v>
      </c>
      <c r="R6" s="39">
        <f>【PL】決算数値入力!AA6</f>
        <v>120750259</v>
      </c>
      <c r="S6" s="39">
        <f>【PL】決算数値入力!AB6</f>
        <v>112378170</v>
      </c>
      <c r="T6" s="39">
        <f>SUM(T7:T10)</f>
        <v>140027361</v>
      </c>
      <c r="U6" s="39">
        <f t="shared" ref="U6:BQ6" si="1">SUM(U7:U10)</f>
        <v>167897466</v>
      </c>
      <c r="V6" s="39">
        <f t="shared" si="1"/>
        <v>165682471</v>
      </c>
      <c r="W6" s="39">
        <f t="shared" si="1"/>
        <v>163755788</v>
      </c>
      <c r="X6" s="39">
        <f t="shared" si="1"/>
        <v>161881949</v>
      </c>
      <c r="Y6" s="39">
        <f t="shared" si="1"/>
        <v>160284815</v>
      </c>
      <c r="Z6" s="39">
        <f t="shared" si="1"/>
        <v>156945160</v>
      </c>
      <c r="AA6" s="39">
        <f t="shared" si="1"/>
        <v>155292619</v>
      </c>
      <c r="AB6" s="39">
        <f t="shared" si="1"/>
        <v>153676334</v>
      </c>
      <c r="AC6" s="39">
        <f t="shared" si="1"/>
        <v>152310145</v>
      </c>
      <c r="AD6" s="39">
        <f t="shared" si="1"/>
        <v>150520038</v>
      </c>
      <c r="AE6" s="39">
        <f t="shared" si="1"/>
        <v>146865112</v>
      </c>
      <c r="AF6" s="39">
        <f t="shared" si="1"/>
        <v>145505611</v>
      </c>
      <c r="AG6" s="39">
        <f t="shared" si="1"/>
        <v>144368200</v>
      </c>
      <c r="AH6" s="39">
        <f t="shared" si="1"/>
        <v>142844469</v>
      </c>
      <c r="AI6" s="39">
        <f t="shared" si="1"/>
        <v>141554543</v>
      </c>
      <c r="AJ6" s="39">
        <f t="shared" si="1"/>
        <v>137547551</v>
      </c>
      <c r="AK6" s="39">
        <f t="shared" si="1"/>
        <v>136608624</v>
      </c>
      <c r="AL6" s="39">
        <f t="shared" si="1"/>
        <v>135329148</v>
      </c>
      <c r="AM6" s="39">
        <f t="shared" si="1"/>
        <v>134239972</v>
      </c>
      <c r="AN6" s="39">
        <f t="shared" si="1"/>
        <v>133168715</v>
      </c>
      <c r="AO6" s="39">
        <f t="shared" si="1"/>
        <v>129216514</v>
      </c>
      <c r="AP6" s="39">
        <f t="shared" si="1"/>
        <v>128138305</v>
      </c>
      <c r="AQ6" s="39">
        <f t="shared" si="1"/>
        <v>127240353</v>
      </c>
      <c r="AR6" s="39">
        <f t="shared" si="1"/>
        <v>126339750</v>
      </c>
      <c r="AS6" s="39">
        <f t="shared" si="1"/>
        <v>125608030</v>
      </c>
      <c r="AT6" s="39">
        <f t="shared" si="1"/>
        <v>121314752</v>
      </c>
      <c r="AU6" s="39">
        <f t="shared" si="1"/>
        <v>120598905</v>
      </c>
      <c r="AV6" s="39">
        <f t="shared" si="1"/>
        <v>119899789</v>
      </c>
      <c r="AW6" s="39">
        <f t="shared" si="1"/>
        <v>119339174</v>
      </c>
      <c r="AX6" s="39">
        <f t="shared" si="1"/>
        <v>118519773</v>
      </c>
      <c r="AY6" s="39">
        <f t="shared" si="1"/>
        <v>117834759</v>
      </c>
      <c r="AZ6" s="39">
        <f t="shared" si="1"/>
        <v>117152374</v>
      </c>
      <c r="BA6" s="39">
        <f t="shared" si="1"/>
        <v>116616564</v>
      </c>
      <c r="BB6" s="39">
        <f t="shared" si="1"/>
        <v>115821638</v>
      </c>
      <c r="BC6" s="39">
        <f t="shared" si="1"/>
        <v>115175509</v>
      </c>
      <c r="BD6" s="39">
        <f t="shared" si="1"/>
        <v>114526872</v>
      </c>
      <c r="BE6" s="39">
        <f t="shared" si="1"/>
        <v>114001501</v>
      </c>
      <c r="BF6" s="39">
        <f t="shared" si="1"/>
        <v>113246329</v>
      </c>
      <c r="BG6" s="39">
        <f t="shared" si="1"/>
        <v>112614423</v>
      </c>
      <c r="BH6" s="39">
        <f t="shared" si="1"/>
        <v>111997939</v>
      </c>
      <c r="BI6" s="39">
        <f t="shared" si="1"/>
        <v>111500453</v>
      </c>
      <c r="BJ6" s="39">
        <f t="shared" si="1"/>
        <v>110765103</v>
      </c>
      <c r="BK6" s="39">
        <f t="shared" si="1"/>
        <v>110166802</v>
      </c>
      <c r="BL6" s="39">
        <f t="shared" si="1"/>
        <v>109568501</v>
      </c>
      <c r="BM6" s="39">
        <f t="shared" si="1"/>
        <v>109073600</v>
      </c>
      <c r="BN6" s="39">
        <f t="shared" si="1"/>
        <v>108382569</v>
      </c>
      <c r="BO6" s="39">
        <f t="shared" si="1"/>
        <v>107801142</v>
      </c>
      <c r="BP6" s="39">
        <f t="shared" si="1"/>
        <v>107222223</v>
      </c>
      <c r="BQ6" s="39">
        <f t="shared" si="1"/>
        <v>106764205</v>
      </c>
    </row>
    <row r="7" spans="2:69">
      <c r="B7" s="4"/>
      <c r="C7" s="4"/>
      <c r="D7" s="9" t="s">
        <v>71</v>
      </c>
      <c r="E7" s="8"/>
      <c r="F7" s="1"/>
      <c r="G7" s="10"/>
      <c r="H7" s="10"/>
      <c r="I7" s="10"/>
      <c r="J7" s="10"/>
      <c r="K7" s="1" t="s">
        <v>167</v>
      </c>
      <c r="L7" s="1"/>
      <c r="M7" s="1"/>
      <c r="N7" s="39">
        <f>【PL】決算数値入力!W7</f>
        <v>114968230</v>
      </c>
      <c r="O7" s="39">
        <f>【PL】決算数値入力!X7</f>
        <v>119265632</v>
      </c>
      <c r="P7" s="39">
        <f>【PL】決算数値入力!Y7</f>
        <v>122177720</v>
      </c>
      <c r="Q7" s="39">
        <f>【PL】決算数値入力!Z7</f>
        <v>119610300</v>
      </c>
      <c r="R7" s="39">
        <f>【PL】決算数値入力!AA7</f>
        <v>120553459</v>
      </c>
      <c r="S7" s="39">
        <f>【PL】決算数値入力!AB7</f>
        <v>111985280</v>
      </c>
      <c r="T7" s="39">
        <f>'【収益－現行】給水収益 (料金改定後)'!S32</f>
        <v>139634471</v>
      </c>
      <c r="U7" s="39">
        <f>'【収益－現行】給水収益 (料金改定後)'!T32</f>
        <v>167504576</v>
      </c>
      <c r="V7" s="39">
        <f>'【収益－現行】給水収益 (料金改定後)'!U32</f>
        <v>165289581</v>
      </c>
      <c r="W7" s="39">
        <f>'【収益－現行】給水収益 (料金改定後)'!V32</f>
        <v>163362898</v>
      </c>
      <c r="X7" s="39">
        <f>'【収益－現行】給水収益 (料金改定後)'!W32</f>
        <v>161489059</v>
      </c>
      <c r="Y7" s="39">
        <f>'【収益－現行】給水収益 (料金改定後)'!X32</f>
        <v>159891925</v>
      </c>
      <c r="Z7" s="39">
        <f>'【収益－現行】給水収益 (料金改定後)'!Y32</f>
        <v>156552270</v>
      </c>
      <c r="AA7" s="39">
        <f>'【収益－現行】給水収益 (料金改定後)'!Z32</f>
        <v>154899729</v>
      </c>
      <c r="AB7" s="39">
        <f>'【収益－現行】給水収益 (料金改定後)'!AA32</f>
        <v>153283444</v>
      </c>
      <c r="AC7" s="39">
        <f>'【収益－現行】給水収益 (料金改定後)'!AB32</f>
        <v>151917255</v>
      </c>
      <c r="AD7" s="39">
        <f>'【収益－現行】給水収益 (料金改定後)'!AC32</f>
        <v>150127148</v>
      </c>
      <c r="AE7" s="39">
        <f>'【収益－現行】給水収益 (料金改定後)'!AD32</f>
        <v>146472222</v>
      </c>
      <c r="AF7" s="39">
        <f>'【収益－現行】給水収益 (料金改定後)'!AE32</f>
        <v>145112721</v>
      </c>
      <c r="AG7" s="39">
        <f>'【収益－現行】給水収益 (料金改定後)'!AF32</f>
        <v>143975310</v>
      </c>
      <c r="AH7" s="39">
        <f>'【収益－現行】給水収益 (料金改定後)'!AG32</f>
        <v>142451579</v>
      </c>
      <c r="AI7" s="39">
        <f>'【収益－現行】給水収益 (料金改定後)'!AH32</f>
        <v>141161653</v>
      </c>
      <c r="AJ7" s="39">
        <f>'【収益－現行】給水収益 (料金改定後)'!AI32</f>
        <v>137154661</v>
      </c>
      <c r="AK7" s="39">
        <f>'【収益－現行】給水収益 (料金改定後)'!AJ32</f>
        <v>136215734</v>
      </c>
      <c r="AL7" s="39">
        <f>'【収益－現行】給水収益 (料金改定後)'!AK32</f>
        <v>134936258</v>
      </c>
      <c r="AM7" s="39">
        <f>'【収益－現行】給水収益 (料金改定後)'!AL32</f>
        <v>133847082</v>
      </c>
      <c r="AN7" s="39">
        <f>'【収益－現行】給水収益 (料金改定後)'!AM32</f>
        <v>132775825</v>
      </c>
      <c r="AO7" s="39">
        <f>'【収益－現行】給水収益 (料金改定後)'!AN32</f>
        <v>128823624</v>
      </c>
      <c r="AP7" s="39">
        <f>'【収益－現行】給水収益 (料金改定後)'!AO32</f>
        <v>127745415</v>
      </c>
      <c r="AQ7" s="39">
        <f>'【収益－現行】給水収益 (料金改定後)'!AP32</f>
        <v>126847463</v>
      </c>
      <c r="AR7" s="39">
        <f>'【収益－現行】給水収益 (料金改定後)'!AQ32</f>
        <v>125946860</v>
      </c>
      <c r="AS7" s="39">
        <f>'【収益－現行】給水収益 (料金改定後)'!AR32</f>
        <v>125215140</v>
      </c>
      <c r="AT7" s="39">
        <f>'【収益－現行】給水収益 (料金改定後)'!AS32</f>
        <v>120921862</v>
      </c>
      <c r="AU7" s="39">
        <f>'【収益－現行】給水収益 (料金改定後)'!AT32</f>
        <v>120206015</v>
      </c>
      <c r="AV7" s="39">
        <f>'【収益－現行】給水収益 (料金改定後)'!AU32</f>
        <v>119506899</v>
      </c>
      <c r="AW7" s="39">
        <f>'【収益－現行】給水収益 (料金改定後)'!AV32</f>
        <v>118946284</v>
      </c>
      <c r="AX7" s="39">
        <f>'【収益－現行】給水収益 (料金改定後)'!AW32</f>
        <v>118126883</v>
      </c>
      <c r="AY7" s="39">
        <f>'【収益－現行】給水収益 (料金改定後)'!AX32</f>
        <v>117441869</v>
      </c>
      <c r="AZ7" s="39">
        <f>'【収益－現行】給水収益 (料金改定後)'!AY32</f>
        <v>116759484</v>
      </c>
      <c r="BA7" s="39">
        <f>'【収益－現行】給水収益 (料金改定後)'!AZ32</f>
        <v>116223674</v>
      </c>
      <c r="BB7" s="39">
        <f>'【収益－現行】給水収益 (料金改定後)'!BA32</f>
        <v>115428748</v>
      </c>
      <c r="BC7" s="39">
        <f>'【収益－現行】給水収益 (料金改定後)'!BB32</f>
        <v>114782619</v>
      </c>
      <c r="BD7" s="39">
        <f>'【収益－現行】給水収益 (料金改定後)'!BC32</f>
        <v>114133982</v>
      </c>
      <c r="BE7" s="39">
        <f>'【収益－現行】給水収益 (料金改定後)'!BD32</f>
        <v>113608611</v>
      </c>
      <c r="BF7" s="39">
        <f>'【収益－現行】給水収益 (料金改定後)'!BE32</f>
        <v>112853439</v>
      </c>
      <c r="BG7" s="39">
        <f>'【収益－現行】給水収益 (料金改定後)'!BF32</f>
        <v>112221533</v>
      </c>
      <c r="BH7" s="39">
        <f>'【収益－現行】給水収益 (料金改定後)'!BG32</f>
        <v>111605049</v>
      </c>
      <c r="BI7" s="39">
        <f>'【収益－現行】給水収益 (料金改定後)'!BH32</f>
        <v>111107563</v>
      </c>
      <c r="BJ7" s="39">
        <f>'【収益－現行】給水収益 (料金改定後)'!BI32</f>
        <v>110372213</v>
      </c>
      <c r="BK7" s="39">
        <f>'【収益－現行】給水収益 (料金改定後)'!BJ32</f>
        <v>109773912</v>
      </c>
      <c r="BL7" s="39">
        <f>'【収益－現行】給水収益 (料金改定後)'!BK32</f>
        <v>109175611</v>
      </c>
      <c r="BM7" s="39">
        <f>'【収益－現行】給水収益 (料金改定後)'!BL32</f>
        <v>108680710</v>
      </c>
      <c r="BN7" s="39">
        <f>'【収益－現行】給水収益 (料金改定後)'!BM32</f>
        <v>107989679</v>
      </c>
      <c r="BO7" s="39">
        <f>'【収益－現行】給水収益 (料金改定後)'!BN32</f>
        <v>107408252</v>
      </c>
      <c r="BP7" s="39">
        <f>'【収益－現行】給水収益 (料金改定後)'!BO32</f>
        <v>106829333</v>
      </c>
      <c r="BQ7" s="39">
        <f>'【収益－現行】給水収益 (料金改定後)'!BP32</f>
        <v>106371315</v>
      </c>
    </row>
    <row r="8" spans="2:69">
      <c r="B8" s="4"/>
      <c r="C8" s="4"/>
      <c r="D8" s="9" t="s">
        <v>72</v>
      </c>
      <c r="E8" s="8"/>
      <c r="F8" s="1"/>
      <c r="G8" s="10"/>
      <c r="H8" s="10"/>
      <c r="I8" s="10"/>
      <c r="J8" s="10"/>
      <c r="K8" s="1"/>
      <c r="L8" s="1"/>
      <c r="M8" s="1"/>
      <c r="N8" s="39">
        <f>【PL】決算数値入力!W8</f>
        <v>0</v>
      </c>
      <c r="O8" s="39">
        <f>【PL】決算数値入力!X8</f>
        <v>0</v>
      </c>
      <c r="P8" s="39">
        <f>【PL】決算数値入力!Y8</f>
        <v>0</v>
      </c>
      <c r="Q8" s="39">
        <f>【PL】決算数値入力!Z8</f>
        <v>0</v>
      </c>
      <c r="R8" s="39">
        <f>【PL】決算数値入力!AA8</f>
        <v>0</v>
      </c>
      <c r="S8" s="39">
        <f>【PL】決算数値入力!AB8</f>
        <v>0</v>
      </c>
      <c r="T8" s="39">
        <f>S8</f>
        <v>0</v>
      </c>
      <c r="U8" s="39">
        <f t="shared" ref="U8:BQ8" si="2">T8</f>
        <v>0</v>
      </c>
      <c r="V8" s="39">
        <f t="shared" si="2"/>
        <v>0</v>
      </c>
      <c r="W8" s="39">
        <f t="shared" si="2"/>
        <v>0</v>
      </c>
      <c r="X8" s="39">
        <f t="shared" si="2"/>
        <v>0</v>
      </c>
      <c r="Y8" s="39">
        <f t="shared" si="2"/>
        <v>0</v>
      </c>
      <c r="Z8" s="39">
        <f t="shared" si="2"/>
        <v>0</v>
      </c>
      <c r="AA8" s="39">
        <f t="shared" si="2"/>
        <v>0</v>
      </c>
      <c r="AB8" s="39">
        <f t="shared" si="2"/>
        <v>0</v>
      </c>
      <c r="AC8" s="39">
        <f t="shared" si="2"/>
        <v>0</v>
      </c>
      <c r="AD8" s="39">
        <f t="shared" si="2"/>
        <v>0</v>
      </c>
      <c r="AE8" s="39">
        <f t="shared" si="2"/>
        <v>0</v>
      </c>
      <c r="AF8" s="39">
        <f t="shared" si="2"/>
        <v>0</v>
      </c>
      <c r="AG8" s="39">
        <f t="shared" si="2"/>
        <v>0</v>
      </c>
      <c r="AH8" s="39">
        <f t="shared" si="2"/>
        <v>0</v>
      </c>
      <c r="AI8" s="39">
        <f t="shared" si="2"/>
        <v>0</v>
      </c>
      <c r="AJ8" s="39">
        <f t="shared" si="2"/>
        <v>0</v>
      </c>
      <c r="AK8" s="39">
        <f t="shared" si="2"/>
        <v>0</v>
      </c>
      <c r="AL8" s="39">
        <f t="shared" si="2"/>
        <v>0</v>
      </c>
      <c r="AM8" s="39">
        <f t="shared" si="2"/>
        <v>0</v>
      </c>
      <c r="AN8" s="39">
        <f t="shared" si="2"/>
        <v>0</v>
      </c>
      <c r="AO8" s="39">
        <f t="shared" si="2"/>
        <v>0</v>
      </c>
      <c r="AP8" s="39">
        <f t="shared" si="2"/>
        <v>0</v>
      </c>
      <c r="AQ8" s="39">
        <f t="shared" si="2"/>
        <v>0</v>
      </c>
      <c r="AR8" s="39">
        <f t="shared" si="2"/>
        <v>0</v>
      </c>
      <c r="AS8" s="39">
        <f t="shared" si="2"/>
        <v>0</v>
      </c>
      <c r="AT8" s="39">
        <f t="shared" si="2"/>
        <v>0</v>
      </c>
      <c r="AU8" s="39">
        <f t="shared" si="2"/>
        <v>0</v>
      </c>
      <c r="AV8" s="39">
        <f t="shared" si="2"/>
        <v>0</v>
      </c>
      <c r="AW8" s="39">
        <f t="shared" si="2"/>
        <v>0</v>
      </c>
      <c r="AX8" s="39">
        <f t="shared" si="2"/>
        <v>0</v>
      </c>
      <c r="AY8" s="39">
        <f t="shared" si="2"/>
        <v>0</v>
      </c>
      <c r="AZ8" s="39">
        <f t="shared" si="2"/>
        <v>0</v>
      </c>
      <c r="BA8" s="39">
        <f t="shared" si="2"/>
        <v>0</v>
      </c>
      <c r="BB8" s="39">
        <f t="shared" si="2"/>
        <v>0</v>
      </c>
      <c r="BC8" s="39">
        <f t="shared" si="2"/>
        <v>0</v>
      </c>
      <c r="BD8" s="39">
        <f t="shared" si="2"/>
        <v>0</v>
      </c>
      <c r="BE8" s="39">
        <f t="shared" si="2"/>
        <v>0</v>
      </c>
      <c r="BF8" s="39">
        <f t="shared" si="2"/>
        <v>0</v>
      </c>
      <c r="BG8" s="39">
        <f t="shared" si="2"/>
        <v>0</v>
      </c>
      <c r="BH8" s="39">
        <f t="shared" si="2"/>
        <v>0</v>
      </c>
      <c r="BI8" s="39">
        <f t="shared" si="2"/>
        <v>0</v>
      </c>
      <c r="BJ8" s="39">
        <f t="shared" si="2"/>
        <v>0</v>
      </c>
      <c r="BK8" s="39">
        <f t="shared" si="2"/>
        <v>0</v>
      </c>
      <c r="BL8" s="39">
        <f t="shared" si="2"/>
        <v>0</v>
      </c>
      <c r="BM8" s="39">
        <f t="shared" si="2"/>
        <v>0</v>
      </c>
      <c r="BN8" s="39">
        <f t="shared" si="2"/>
        <v>0</v>
      </c>
      <c r="BO8" s="39">
        <f t="shared" si="2"/>
        <v>0</v>
      </c>
      <c r="BP8" s="39">
        <f t="shared" si="2"/>
        <v>0</v>
      </c>
      <c r="BQ8" s="39">
        <f t="shared" si="2"/>
        <v>0</v>
      </c>
    </row>
    <row r="9" spans="2:69">
      <c r="B9" s="4"/>
      <c r="C9" s="4"/>
      <c r="D9" s="9" t="s">
        <v>430</v>
      </c>
      <c r="E9" s="8"/>
      <c r="F9" s="1"/>
      <c r="G9" s="10"/>
      <c r="H9" s="10"/>
      <c r="I9" s="10"/>
      <c r="J9" s="10"/>
      <c r="K9" s="1" t="s">
        <v>163</v>
      </c>
      <c r="L9" s="1"/>
      <c r="M9" s="1"/>
      <c r="N9" s="39">
        <f>【PL】決算数値入力!W9</f>
        <v>0</v>
      </c>
      <c r="O9" s="39">
        <f>【PL】決算数値入力!X9</f>
        <v>0</v>
      </c>
      <c r="P9" s="39">
        <f>【PL】決算数値入力!Y9</f>
        <v>0</v>
      </c>
      <c r="Q9" s="39">
        <f>【PL】決算数値入力!Z9</f>
        <v>0</v>
      </c>
      <c r="R9" s="39">
        <f>【PL】決算数値入力!AA9</f>
        <v>0</v>
      </c>
      <c r="S9" s="39">
        <f>【PL】決算数値入力!AB9</f>
        <v>0</v>
      </c>
      <c r="T9" s="39">
        <v>0</v>
      </c>
      <c r="U9" s="39">
        <v>0</v>
      </c>
      <c r="V9" s="39">
        <v>0</v>
      </c>
      <c r="W9" s="39">
        <v>0</v>
      </c>
      <c r="X9" s="39">
        <v>0</v>
      </c>
      <c r="Y9" s="39">
        <v>0</v>
      </c>
      <c r="Z9" s="39">
        <v>0</v>
      </c>
      <c r="AA9" s="39">
        <v>0</v>
      </c>
      <c r="AB9" s="39">
        <v>0</v>
      </c>
      <c r="AC9" s="39">
        <v>0</v>
      </c>
      <c r="AD9" s="39">
        <v>0</v>
      </c>
      <c r="AE9" s="39">
        <v>0</v>
      </c>
      <c r="AF9" s="39">
        <v>0</v>
      </c>
      <c r="AG9" s="39">
        <v>0</v>
      </c>
      <c r="AH9" s="39">
        <v>0</v>
      </c>
      <c r="AI9" s="39">
        <v>0</v>
      </c>
      <c r="AJ9" s="39">
        <v>0</v>
      </c>
      <c r="AK9" s="39">
        <v>0</v>
      </c>
      <c r="AL9" s="39">
        <v>0</v>
      </c>
      <c r="AM9" s="39">
        <v>0</v>
      </c>
      <c r="AN9" s="39">
        <v>0</v>
      </c>
      <c r="AO9" s="39">
        <v>0</v>
      </c>
      <c r="AP9" s="39">
        <v>0</v>
      </c>
      <c r="AQ9" s="39">
        <v>0</v>
      </c>
      <c r="AR9" s="39">
        <v>0</v>
      </c>
      <c r="AS9" s="39">
        <v>0</v>
      </c>
      <c r="AT9" s="39">
        <v>0</v>
      </c>
      <c r="AU9" s="39">
        <v>0</v>
      </c>
      <c r="AV9" s="39">
        <v>0</v>
      </c>
      <c r="AW9" s="39">
        <v>0</v>
      </c>
      <c r="AX9" s="39">
        <v>0</v>
      </c>
      <c r="AY9" s="39">
        <v>0</v>
      </c>
      <c r="AZ9" s="39">
        <v>0</v>
      </c>
      <c r="BA9" s="39">
        <v>0</v>
      </c>
      <c r="BB9" s="39">
        <v>0</v>
      </c>
      <c r="BC9" s="39">
        <v>0</v>
      </c>
      <c r="BD9" s="39">
        <v>0</v>
      </c>
      <c r="BE9" s="39">
        <v>0</v>
      </c>
      <c r="BF9" s="39">
        <v>0</v>
      </c>
      <c r="BG9" s="39">
        <v>0</v>
      </c>
      <c r="BH9" s="39">
        <v>0</v>
      </c>
      <c r="BI9" s="39">
        <v>0</v>
      </c>
      <c r="BJ9" s="39">
        <v>0</v>
      </c>
      <c r="BK9" s="39">
        <v>0</v>
      </c>
      <c r="BL9" s="39">
        <v>0</v>
      </c>
      <c r="BM9" s="39">
        <v>0</v>
      </c>
      <c r="BN9" s="39">
        <v>0</v>
      </c>
      <c r="BO9" s="39">
        <v>0</v>
      </c>
      <c r="BP9" s="39">
        <v>0</v>
      </c>
      <c r="BQ9" s="39">
        <v>0</v>
      </c>
    </row>
    <row r="10" spans="2:69">
      <c r="B10" s="4"/>
      <c r="C10" s="3"/>
      <c r="D10" s="9" t="s">
        <v>73</v>
      </c>
      <c r="E10" s="8"/>
      <c r="F10" s="1"/>
      <c r="G10" s="10"/>
      <c r="H10" s="10"/>
      <c r="I10" s="10"/>
      <c r="J10" s="10" t="s">
        <v>166</v>
      </c>
      <c r="K10" s="1" t="s">
        <v>560</v>
      </c>
      <c r="L10" s="1"/>
      <c r="M10" s="1"/>
      <c r="N10" s="39">
        <f>【PL】決算数値入力!W10</f>
        <v>261900</v>
      </c>
      <c r="O10" s="39">
        <f>【PL】決算数値入力!X10</f>
        <v>206200</v>
      </c>
      <c r="P10" s="39">
        <f>【PL】決算数値入力!Y10</f>
        <v>179800</v>
      </c>
      <c r="Q10" s="39">
        <f>【PL】決算数値入力!Z10</f>
        <v>242400</v>
      </c>
      <c r="R10" s="39">
        <f>【PL】決算数値入力!AA10</f>
        <v>196800</v>
      </c>
      <c r="S10" s="39">
        <f>【PL】決算数値入力!AB10</f>
        <v>392890</v>
      </c>
      <c r="T10" s="39">
        <f>S10</f>
        <v>392890</v>
      </c>
      <c r="U10" s="39">
        <f t="shared" ref="U10:BQ10" si="3">T10</f>
        <v>392890</v>
      </c>
      <c r="V10" s="39">
        <f t="shared" si="3"/>
        <v>392890</v>
      </c>
      <c r="W10" s="39">
        <f t="shared" si="3"/>
        <v>392890</v>
      </c>
      <c r="X10" s="39">
        <f t="shared" si="3"/>
        <v>392890</v>
      </c>
      <c r="Y10" s="39">
        <f t="shared" si="3"/>
        <v>392890</v>
      </c>
      <c r="Z10" s="39">
        <f t="shared" si="3"/>
        <v>392890</v>
      </c>
      <c r="AA10" s="39">
        <f t="shared" si="3"/>
        <v>392890</v>
      </c>
      <c r="AB10" s="39">
        <f t="shared" si="3"/>
        <v>392890</v>
      </c>
      <c r="AC10" s="39">
        <f t="shared" si="3"/>
        <v>392890</v>
      </c>
      <c r="AD10" s="39">
        <f t="shared" si="3"/>
        <v>392890</v>
      </c>
      <c r="AE10" s="39">
        <f t="shared" si="3"/>
        <v>392890</v>
      </c>
      <c r="AF10" s="39">
        <f t="shared" si="3"/>
        <v>392890</v>
      </c>
      <c r="AG10" s="39">
        <f t="shared" si="3"/>
        <v>392890</v>
      </c>
      <c r="AH10" s="39">
        <f t="shared" si="3"/>
        <v>392890</v>
      </c>
      <c r="AI10" s="39">
        <f t="shared" si="3"/>
        <v>392890</v>
      </c>
      <c r="AJ10" s="39">
        <f t="shared" si="3"/>
        <v>392890</v>
      </c>
      <c r="AK10" s="39">
        <f t="shared" si="3"/>
        <v>392890</v>
      </c>
      <c r="AL10" s="39">
        <f t="shared" si="3"/>
        <v>392890</v>
      </c>
      <c r="AM10" s="39">
        <f t="shared" si="3"/>
        <v>392890</v>
      </c>
      <c r="AN10" s="39">
        <f t="shared" si="3"/>
        <v>392890</v>
      </c>
      <c r="AO10" s="39">
        <f t="shared" si="3"/>
        <v>392890</v>
      </c>
      <c r="AP10" s="39">
        <f t="shared" si="3"/>
        <v>392890</v>
      </c>
      <c r="AQ10" s="39">
        <f t="shared" si="3"/>
        <v>392890</v>
      </c>
      <c r="AR10" s="39">
        <f t="shared" si="3"/>
        <v>392890</v>
      </c>
      <c r="AS10" s="39">
        <f t="shared" si="3"/>
        <v>392890</v>
      </c>
      <c r="AT10" s="39">
        <f t="shared" si="3"/>
        <v>392890</v>
      </c>
      <c r="AU10" s="39">
        <f t="shared" si="3"/>
        <v>392890</v>
      </c>
      <c r="AV10" s="39">
        <f t="shared" si="3"/>
        <v>392890</v>
      </c>
      <c r="AW10" s="39">
        <f t="shared" si="3"/>
        <v>392890</v>
      </c>
      <c r="AX10" s="39">
        <f t="shared" si="3"/>
        <v>392890</v>
      </c>
      <c r="AY10" s="39">
        <f t="shared" si="3"/>
        <v>392890</v>
      </c>
      <c r="AZ10" s="39">
        <f t="shared" si="3"/>
        <v>392890</v>
      </c>
      <c r="BA10" s="39">
        <f t="shared" si="3"/>
        <v>392890</v>
      </c>
      <c r="BB10" s="39">
        <f t="shared" si="3"/>
        <v>392890</v>
      </c>
      <c r="BC10" s="39">
        <f t="shared" si="3"/>
        <v>392890</v>
      </c>
      <c r="BD10" s="39">
        <f t="shared" si="3"/>
        <v>392890</v>
      </c>
      <c r="BE10" s="39">
        <f t="shared" si="3"/>
        <v>392890</v>
      </c>
      <c r="BF10" s="39">
        <f t="shared" si="3"/>
        <v>392890</v>
      </c>
      <c r="BG10" s="39">
        <f t="shared" si="3"/>
        <v>392890</v>
      </c>
      <c r="BH10" s="39">
        <f t="shared" si="3"/>
        <v>392890</v>
      </c>
      <c r="BI10" s="39">
        <f t="shared" si="3"/>
        <v>392890</v>
      </c>
      <c r="BJ10" s="39">
        <f t="shared" si="3"/>
        <v>392890</v>
      </c>
      <c r="BK10" s="39">
        <f t="shared" si="3"/>
        <v>392890</v>
      </c>
      <c r="BL10" s="39">
        <f t="shared" si="3"/>
        <v>392890</v>
      </c>
      <c r="BM10" s="39">
        <f t="shared" si="3"/>
        <v>392890</v>
      </c>
      <c r="BN10" s="39">
        <f t="shared" si="3"/>
        <v>392890</v>
      </c>
      <c r="BO10" s="39">
        <f t="shared" si="3"/>
        <v>392890</v>
      </c>
      <c r="BP10" s="39">
        <f t="shared" si="3"/>
        <v>392890</v>
      </c>
      <c r="BQ10" s="39">
        <f t="shared" si="3"/>
        <v>392890</v>
      </c>
    </row>
    <row r="11" spans="2:69">
      <c r="B11" s="4"/>
      <c r="C11" s="5" t="s">
        <v>74</v>
      </c>
      <c r="D11" s="7"/>
      <c r="E11" s="8"/>
      <c r="F11" s="1"/>
      <c r="G11" s="10"/>
      <c r="H11" s="10"/>
      <c r="I11" s="10"/>
      <c r="J11" s="10"/>
      <c r="K11" s="1"/>
      <c r="L11" s="1"/>
      <c r="M11" s="1"/>
      <c r="N11" s="39">
        <f>【PL】決算数値入力!W11</f>
        <v>120854303</v>
      </c>
      <c r="O11" s="39">
        <f>【PL】決算数値入力!X11</f>
        <v>352344790</v>
      </c>
      <c r="P11" s="39">
        <f>【PL】決算数値入力!Y11</f>
        <v>383784655</v>
      </c>
      <c r="Q11" s="39">
        <f>【PL】決算数値入力!Z11</f>
        <v>473652900</v>
      </c>
      <c r="R11" s="39">
        <f>【PL】決算数値入力!AA11</f>
        <v>384115721</v>
      </c>
      <c r="S11" s="39">
        <f>【PL】決算数値入力!AB12</f>
        <v>15431.1</v>
      </c>
      <c r="T11" s="39">
        <f>SUM(T12:T16)</f>
        <v>73825603.900000006</v>
      </c>
      <c r="U11" s="39">
        <f t="shared" ref="U11:BQ11" si="4">SUM(U12:U16)</f>
        <v>74783869.900000006</v>
      </c>
      <c r="V11" s="39">
        <f t="shared" si="4"/>
        <v>75598484.200000003</v>
      </c>
      <c r="W11" s="39">
        <f t="shared" si="4"/>
        <v>81838321.899999991</v>
      </c>
      <c r="X11" s="39">
        <f t="shared" si="4"/>
        <v>88572036.899999991</v>
      </c>
      <c r="Y11" s="39">
        <f t="shared" si="4"/>
        <v>94028088.899999991</v>
      </c>
      <c r="Z11" s="39">
        <f t="shared" si="4"/>
        <v>97434145.899999991</v>
      </c>
      <c r="AA11" s="39">
        <f t="shared" si="4"/>
        <v>108146807.89999999</v>
      </c>
      <c r="AB11" s="39">
        <f t="shared" si="4"/>
        <v>141989727.84736842</v>
      </c>
      <c r="AC11" s="39">
        <f t="shared" si="4"/>
        <v>162997469.32105264</v>
      </c>
      <c r="AD11" s="39">
        <f t="shared" si="4"/>
        <v>177425655.79473686</v>
      </c>
      <c r="AE11" s="39">
        <f t="shared" si="4"/>
        <v>192141507.26842105</v>
      </c>
      <c r="AF11" s="39">
        <f t="shared" si="4"/>
        <v>203863019.74210528</v>
      </c>
      <c r="AG11" s="39">
        <f t="shared" si="4"/>
        <v>209790334.74210528</v>
      </c>
      <c r="AH11" s="39">
        <f t="shared" si="4"/>
        <v>227563547.74210528</v>
      </c>
      <c r="AI11" s="39">
        <f t="shared" si="4"/>
        <v>241772021.74210528</v>
      </c>
      <c r="AJ11" s="39">
        <f t="shared" si="4"/>
        <v>256727295.74210528</v>
      </c>
      <c r="AK11" s="39">
        <f t="shared" si="4"/>
        <v>270991323.74210525</v>
      </c>
      <c r="AL11" s="39">
        <f t="shared" si="4"/>
        <v>295085380.74210531</v>
      </c>
      <c r="AM11" s="39">
        <f t="shared" si="4"/>
        <v>319685071.74210531</v>
      </c>
      <c r="AN11" s="39">
        <f t="shared" si="4"/>
        <v>343338333.74210531</v>
      </c>
      <c r="AO11" s="39">
        <f t="shared" si="4"/>
        <v>367069864.74210531</v>
      </c>
      <c r="AP11" s="39">
        <f t="shared" si="4"/>
        <v>380377270.74210531</v>
      </c>
      <c r="AQ11" s="39">
        <f t="shared" si="4"/>
        <v>394206743.74210531</v>
      </c>
      <c r="AR11" s="39">
        <f t="shared" si="4"/>
        <v>408372291.74210531</v>
      </c>
      <c r="AS11" s="39">
        <f t="shared" si="4"/>
        <v>422451048.74210531</v>
      </c>
      <c r="AT11" s="39">
        <f t="shared" si="4"/>
        <v>422230638.74210531</v>
      </c>
      <c r="AU11" s="39">
        <f t="shared" si="4"/>
        <v>421037239.74210531</v>
      </c>
      <c r="AV11" s="39">
        <f t="shared" si="4"/>
        <v>420107529.74210531</v>
      </c>
      <c r="AW11" s="39">
        <f t="shared" si="4"/>
        <v>419109707.74210531</v>
      </c>
      <c r="AX11" s="39">
        <f t="shared" si="4"/>
        <v>418015440.74210531</v>
      </c>
      <c r="AY11" s="39">
        <f t="shared" si="4"/>
        <v>415757767.74210531</v>
      </c>
      <c r="AZ11" s="39">
        <f t="shared" si="4"/>
        <v>414582245.74210531</v>
      </c>
      <c r="BA11" s="39">
        <f t="shared" si="4"/>
        <v>412323154.74210531</v>
      </c>
      <c r="BB11" s="39">
        <f t="shared" si="4"/>
        <v>411322128.74210531</v>
      </c>
      <c r="BC11" s="39">
        <f t="shared" si="4"/>
        <v>403395063.74210531</v>
      </c>
      <c r="BD11" s="39">
        <f t="shared" si="4"/>
        <v>401264204.74210531</v>
      </c>
      <c r="BE11" s="39">
        <f t="shared" si="4"/>
        <v>397742674.74210531</v>
      </c>
      <c r="BF11" s="39">
        <f t="shared" si="4"/>
        <v>393089015.74210531</v>
      </c>
      <c r="BG11" s="39">
        <f t="shared" si="4"/>
        <v>390574569.74210531</v>
      </c>
      <c r="BH11" s="39">
        <f t="shared" si="4"/>
        <v>388552236.74210531</v>
      </c>
      <c r="BI11" s="39">
        <f t="shared" si="4"/>
        <v>382245290.74210531</v>
      </c>
      <c r="BJ11" s="39">
        <f t="shared" si="4"/>
        <v>380508094.74210531</v>
      </c>
      <c r="BK11" s="39">
        <f t="shared" si="4"/>
        <v>378280594.74210531</v>
      </c>
      <c r="BL11" s="39">
        <f t="shared" si="4"/>
        <v>375231433.74210531</v>
      </c>
      <c r="BM11" s="39">
        <f t="shared" si="4"/>
        <v>365931142.74210531</v>
      </c>
      <c r="BN11" s="39">
        <f t="shared" si="4"/>
        <v>336223051.74210531</v>
      </c>
      <c r="BO11" s="39">
        <f t="shared" si="4"/>
        <v>320634793.74210531</v>
      </c>
      <c r="BP11" s="39">
        <f t="shared" si="4"/>
        <v>309247224.74210531</v>
      </c>
      <c r="BQ11" s="39">
        <f t="shared" si="4"/>
        <v>295101365.74210531</v>
      </c>
    </row>
    <row r="12" spans="2:69">
      <c r="B12" s="4"/>
      <c r="C12" s="4"/>
      <c r="D12" s="9" t="s">
        <v>75</v>
      </c>
      <c r="E12" s="8"/>
      <c r="F12" s="1"/>
      <c r="G12" s="10"/>
      <c r="H12" s="10"/>
      <c r="I12" s="10"/>
      <c r="J12" s="10" t="s">
        <v>166</v>
      </c>
      <c r="K12" s="1" t="s">
        <v>560</v>
      </c>
      <c r="L12" s="1"/>
      <c r="M12" s="1"/>
      <c r="N12" s="39">
        <f>【PL】決算数値入力!W12</f>
        <v>0</v>
      </c>
      <c r="O12" s="39">
        <f>【PL】決算数値入力!X12</f>
        <v>0</v>
      </c>
      <c r="P12" s="39">
        <f>【PL】決算数値入力!Y12</f>
        <v>0</v>
      </c>
      <c r="Q12" s="39">
        <f>【PL】決算数値入力!Z12</f>
        <v>0</v>
      </c>
      <c r="R12" s="39">
        <f>【PL】決算数値入力!AA12</f>
        <v>0</v>
      </c>
      <c r="S12" s="39">
        <f>【PL】決算数値入力!AB12</f>
        <v>15431.1</v>
      </c>
      <c r="T12" s="39">
        <f>S12</f>
        <v>15431.1</v>
      </c>
      <c r="U12" s="39">
        <f t="shared" ref="U12:BQ12" si="5">T12</f>
        <v>15431.1</v>
      </c>
      <c r="V12" s="39">
        <f t="shared" si="5"/>
        <v>15431.1</v>
      </c>
      <c r="W12" s="39">
        <f t="shared" si="5"/>
        <v>15431.1</v>
      </c>
      <c r="X12" s="39">
        <f t="shared" si="5"/>
        <v>15431.1</v>
      </c>
      <c r="Y12" s="39">
        <f t="shared" si="5"/>
        <v>15431.1</v>
      </c>
      <c r="Z12" s="39">
        <f t="shared" si="5"/>
        <v>15431.1</v>
      </c>
      <c r="AA12" s="39">
        <f t="shared" si="5"/>
        <v>15431.1</v>
      </c>
      <c r="AB12" s="39">
        <f t="shared" si="5"/>
        <v>15431.1</v>
      </c>
      <c r="AC12" s="39">
        <f t="shared" si="5"/>
        <v>15431.1</v>
      </c>
      <c r="AD12" s="39">
        <f t="shared" si="5"/>
        <v>15431.1</v>
      </c>
      <c r="AE12" s="39">
        <f t="shared" si="5"/>
        <v>15431.1</v>
      </c>
      <c r="AF12" s="39">
        <f t="shared" si="5"/>
        <v>15431.1</v>
      </c>
      <c r="AG12" s="39">
        <f t="shared" si="5"/>
        <v>15431.1</v>
      </c>
      <c r="AH12" s="39">
        <f t="shared" si="5"/>
        <v>15431.1</v>
      </c>
      <c r="AI12" s="39">
        <f t="shared" si="5"/>
        <v>15431.1</v>
      </c>
      <c r="AJ12" s="39">
        <f t="shared" si="5"/>
        <v>15431.1</v>
      </c>
      <c r="AK12" s="39">
        <f t="shared" si="5"/>
        <v>15431.1</v>
      </c>
      <c r="AL12" s="39">
        <f t="shared" si="5"/>
        <v>15431.1</v>
      </c>
      <c r="AM12" s="39">
        <f t="shared" si="5"/>
        <v>15431.1</v>
      </c>
      <c r="AN12" s="39">
        <f t="shared" si="5"/>
        <v>15431.1</v>
      </c>
      <c r="AO12" s="39">
        <f t="shared" si="5"/>
        <v>15431.1</v>
      </c>
      <c r="AP12" s="39">
        <f t="shared" si="5"/>
        <v>15431.1</v>
      </c>
      <c r="AQ12" s="39">
        <f t="shared" si="5"/>
        <v>15431.1</v>
      </c>
      <c r="AR12" s="39">
        <f t="shared" si="5"/>
        <v>15431.1</v>
      </c>
      <c r="AS12" s="39">
        <f t="shared" si="5"/>
        <v>15431.1</v>
      </c>
      <c r="AT12" s="39">
        <f t="shared" si="5"/>
        <v>15431.1</v>
      </c>
      <c r="AU12" s="39">
        <f t="shared" si="5"/>
        <v>15431.1</v>
      </c>
      <c r="AV12" s="39">
        <f t="shared" si="5"/>
        <v>15431.1</v>
      </c>
      <c r="AW12" s="39">
        <f t="shared" si="5"/>
        <v>15431.1</v>
      </c>
      <c r="AX12" s="39">
        <f t="shared" si="5"/>
        <v>15431.1</v>
      </c>
      <c r="AY12" s="39">
        <f t="shared" si="5"/>
        <v>15431.1</v>
      </c>
      <c r="AZ12" s="39">
        <f t="shared" si="5"/>
        <v>15431.1</v>
      </c>
      <c r="BA12" s="39">
        <f t="shared" si="5"/>
        <v>15431.1</v>
      </c>
      <c r="BB12" s="39">
        <f t="shared" si="5"/>
        <v>15431.1</v>
      </c>
      <c r="BC12" s="39">
        <f t="shared" si="5"/>
        <v>15431.1</v>
      </c>
      <c r="BD12" s="39">
        <f t="shared" si="5"/>
        <v>15431.1</v>
      </c>
      <c r="BE12" s="39">
        <f t="shared" si="5"/>
        <v>15431.1</v>
      </c>
      <c r="BF12" s="39">
        <f t="shared" si="5"/>
        <v>15431.1</v>
      </c>
      <c r="BG12" s="39">
        <f t="shared" si="5"/>
        <v>15431.1</v>
      </c>
      <c r="BH12" s="39">
        <f t="shared" si="5"/>
        <v>15431.1</v>
      </c>
      <c r="BI12" s="39">
        <f t="shared" si="5"/>
        <v>15431.1</v>
      </c>
      <c r="BJ12" s="39">
        <f t="shared" si="5"/>
        <v>15431.1</v>
      </c>
      <c r="BK12" s="39">
        <f t="shared" si="5"/>
        <v>15431.1</v>
      </c>
      <c r="BL12" s="39">
        <f t="shared" si="5"/>
        <v>15431.1</v>
      </c>
      <c r="BM12" s="39">
        <f t="shared" si="5"/>
        <v>15431.1</v>
      </c>
      <c r="BN12" s="39">
        <f t="shared" si="5"/>
        <v>15431.1</v>
      </c>
      <c r="BO12" s="39">
        <f t="shared" si="5"/>
        <v>15431.1</v>
      </c>
      <c r="BP12" s="39">
        <f t="shared" si="5"/>
        <v>15431.1</v>
      </c>
      <c r="BQ12" s="39">
        <f t="shared" si="5"/>
        <v>15431.1</v>
      </c>
    </row>
    <row r="13" spans="2:69">
      <c r="B13" s="4"/>
      <c r="C13" s="4"/>
      <c r="D13" s="9" t="s">
        <v>76</v>
      </c>
      <c r="E13" s="8"/>
      <c r="F13" s="1"/>
      <c r="G13" s="10"/>
      <c r="H13" s="10"/>
      <c r="I13" s="10"/>
      <c r="J13" s="10" t="s">
        <v>166</v>
      </c>
      <c r="K13" s="1" t="s">
        <v>580</v>
      </c>
      <c r="L13" s="1"/>
      <c r="M13" s="1"/>
      <c r="N13" s="39">
        <f>【PL】決算数値入力!W13</f>
        <v>23034829</v>
      </c>
      <c r="O13" s="39">
        <f>【PL】決算数値入力!X13</f>
        <v>61004862</v>
      </c>
      <c r="P13" s="39">
        <f>【PL】決算数値入力!Y13</f>
        <v>0</v>
      </c>
      <c r="Q13" s="39">
        <f>【PL】決算数値入力!Z13</f>
        <v>25962175</v>
      </c>
      <c r="R13" s="39">
        <f>【PL】決算数値入力!AA13</f>
        <v>25117004</v>
      </c>
      <c r="S13" s="39">
        <f>【PL】決算数値入力!AB13</f>
        <v>13834221</v>
      </c>
      <c r="T13" s="39">
        <f>T44+T52+T59</f>
        <v>61065446</v>
      </c>
      <c r="U13" s="39">
        <f t="shared" ref="U13:BQ13" si="6">U44+U52+U59</f>
        <v>62508685</v>
      </c>
      <c r="V13" s="39">
        <f t="shared" si="6"/>
        <v>63546624.299999997</v>
      </c>
      <c r="W13" s="39">
        <f t="shared" si="6"/>
        <v>69956853</v>
      </c>
      <c r="X13" s="39">
        <f t="shared" si="6"/>
        <v>76694363</v>
      </c>
      <c r="Y13" s="39">
        <f t="shared" si="6"/>
        <v>82330720</v>
      </c>
      <c r="Z13" s="39">
        <f t="shared" si="6"/>
        <v>86047749</v>
      </c>
      <c r="AA13" s="39">
        <f t="shared" si="6"/>
        <v>96760411</v>
      </c>
      <c r="AB13" s="39">
        <f t="shared" si="6"/>
        <v>128936752</v>
      </c>
      <c r="AC13" s="39">
        <f t="shared" si="6"/>
        <v>148628704</v>
      </c>
      <c r="AD13" s="39">
        <f t="shared" si="6"/>
        <v>161755159</v>
      </c>
      <c r="AE13" s="39">
        <f t="shared" si="6"/>
        <v>175314166</v>
      </c>
      <c r="AF13" s="39">
        <f t="shared" si="6"/>
        <v>185719889</v>
      </c>
      <c r="AG13" s="39">
        <f t="shared" si="6"/>
        <v>192620140</v>
      </c>
      <c r="AH13" s="39">
        <f t="shared" si="6"/>
        <v>210393353</v>
      </c>
      <c r="AI13" s="39">
        <f t="shared" si="6"/>
        <v>225168578</v>
      </c>
      <c r="AJ13" s="39">
        <f t="shared" si="6"/>
        <v>240123852</v>
      </c>
      <c r="AK13" s="39">
        <f t="shared" si="6"/>
        <v>254466961</v>
      </c>
      <c r="AL13" s="39">
        <f t="shared" si="6"/>
        <v>278675541</v>
      </c>
      <c r="AM13" s="39">
        <f t="shared" si="6"/>
        <v>303275232</v>
      </c>
      <c r="AN13" s="39">
        <f t="shared" si="6"/>
        <v>326928494</v>
      </c>
      <c r="AO13" s="39">
        <f t="shared" si="6"/>
        <v>350841026</v>
      </c>
      <c r="AP13" s="39">
        <f t="shared" si="6"/>
        <v>364148432</v>
      </c>
      <c r="AQ13" s="39">
        <f t="shared" si="6"/>
        <v>377977905</v>
      </c>
      <c r="AR13" s="39">
        <f t="shared" si="6"/>
        <v>392143453</v>
      </c>
      <c r="AS13" s="39">
        <f t="shared" si="6"/>
        <v>406222210</v>
      </c>
      <c r="AT13" s="39">
        <f t="shared" si="6"/>
        <v>406001800</v>
      </c>
      <c r="AU13" s="39">
        <f t="shared" si="6"/>
        <v>404856749</v>
      </c>
      <c r="AV13" s="39">
        <f t="shared" si="6"/>
        <v>403927039</v>
      </c>
      <c r="AW13" s="39">
        <f t="shared" si="6"/>
        <v>402929217</v>
      </c>
      <c r="AX13" s="39">
        <f t="shared" si="6"/>
        <v>401834950</v>
      </c>
      <c r="AY13" s="39">
        <f t="shared" si="6"/>
        <v>400111307</v>
      </c>
      <c r="AZ13" s="39">
        <f t="shared" si="6"/>
        <v>398935785</v>
      </c>
      <c r="BA13" s="39">
        <f t="shared" si="6"/>
        <v>396783049</v>
      </c>
      <c r="BB13" s="39">
        <f t="shared" si="6"/>
        <v>395782023</v>
      </c>
      <c r="BC13" s="39">
        <f t="shared" si="6"/>
        <v>388748847</v>
      </c>
      <c r="BD13" s="39">
        <f t="shared" si="6"/>
        <v>386712737</v>
      </c>
      <c r="BE13" s="39">
        <f t="shared" si="6"/>
        <v>383586269</v>
      </c>
      <c r="BF13" s="39">
        <f t="shared" si="6"/>
        <v>379617417</v>
      </c>
      <c r="BG13" s="39">
        <f t="shared" si="6"/>
        <v>377102971</v>
      </c>
      <c r="BH13" s="39">
        <f t="shared" si="6"/>
        <v>375080638</v>
      </c>
      <c r="BI13" s="39">
        <f t="shared" si="6"/>
        <v>370409550</v>
      </c>
      <c r="BJ13" s="39">
        <f t="shared" si="6"/>
        <v>368672354</v>
      </c>
      <c r="BK13" s="39">
        <f t="shared" si="6"/>
        <v>366444854</v>
      </c>
      <c r="BL13" s="39">
        <f t="shared" si="6"/>
        <v>363395693</v>
      </c>
      <c r="BM13" s="39">
        <f t="shared" si="6"/>
        <v>354095402</v>
      </c>
      <c r="BN13" s="39">
        <f t="shared" si="6"/>
        <v>324387311</v>
      </c>
      <c r="BO13" s="39">
        <f t="shared" si="6"/>
        <v>308799053</v>
      </c>
      <c r="BP13" s="39">
        <f t="shared" si="6"/>
        <v>297411484</v>
      </c>
      <c r="BQ13" s="39">
        <f t="shared" si="6"/>
        <v>283265625</v>
      </c>
    </row>
    <row r="14" spans="2:69">
      <c r="B14" s="4"/>
      <c r="C14" s="4"/>
      <c r="D14" s="9" t="s">
        <v>471</v>
      </c>
      <c r="E14" s="8"/>
      <c r="F14" s="1"/>
      <c r="G14" s="10"/>
      <c r="H14" s="10"/>
      <c r="I14" s="10"/>
      <c r="J14" s="10"/>
      <c r="K14" s="1"/>
      <c r="L14" s="1"/>
      <c r="M14" s="1"/>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row>
    <row r="15" spans="2:69">
      <c r="B15" s="4"/>
      <c r="C15" s="4"/>
      <c r="D15" s="9" t="s">
        <v>77</v>
      </c>
      <c r="E15" s="8"/>
      <c r="F15" s="1"/>
      <c r="G15" s="10"/>
      <c r="H15" s="10"/>
      <c r="I15" s="10"/>
      <c r="J15" s="10" t="s">
        <v>166</v>
      </c>
      <c r="K15" s="1" t="s">
        <v>560</v>
      </c>
      <c r="L15" s="1"/>
      <c r="M15" s="1"/>
      <c r="N15" s="39">
        <f>【PL】決算数値入力!W15</f>
        <v>2684327</v>
      </c>
      <c r="O15" s="39">
        <f>【PL】決算数値入力!X15</f>
        <v>2450229</v>
      </c>
      <c r="P15" s="39">
        <f>【PL】決算数値入力!Y15</f>
        <v>22402177</v>
      </c>
      <c r="Q15" s="39">
        <f>【PL】決算数値入力!Z15</f>
        <v>8371047</v>
      </c>
      <c r="R15" s="39">
        <f>【PL】決算数値入力!AA15</f>
        <v>2589660</v>
      </c>
      <c r="S15" s="39">
        <f>【PL】決算数値入力!AB15</f>
        <v>4890572.7999999998</v>
      </c>
      <c r="T15" s="39">
        <f>S15</f>
        <v>4890572.7999999998</v>
      </c>
      <c r="U15" s="39">
        <f t="shared" ref="U15:BQ15" si="7">T15</f>
        <v>4890572.7999999998</v>
      </c>
      <c r="V15" s="39">
        <f t="shared" si="7"/>
        <v>4890572.7999999998</v>
      </c>
      <c r="W15" s="39">
        <f t="shared" si="7"/>
        <v>4890572.7999999998</v>
      </c>
      <c r="X15" s="39">
        <f t="shared" si="7"/>
        <v>4890572.7999999998</v>
      </c>
      <c r="Y15" s="39">
        <f t="shared" si="7"/>
        <v>4890572.7999999998</v>
      </c>
      <c r="Z15" s="39">
        <f t="shared" si="7"/>
        <v>4890572.7999999998</v>
      </c>
      <c r="AA15" s="39">
        <f t="shared" si="7"/>
        <v>4890572.7999999998</v>
      </c>
      <c r="AB15" s="39">
        <f t="shared" si="7"/>
        <v>4890572.7999999998</v>
      </c>
      <c r="AC15" s="39">
        <f t="shared" si="7"/>
        <v>4890572.7999999998</v>
      </c>
      <c r="AD15" s="39">
        <f t="shared" si="7"/>
        <v>4890572.7999999998</v>
      </c>
      <c r="AE15" s="39">
        <f t="shared" si="7"/>
        <v>4890572.7999999998</v>
      </c>
      <c r="AF15" s="39">
        <f t="shared" si="7"/>
        <v>4890572.7999999998</v>
      </c>
      <c r="AG15" s="39">
        <f t="shared" si="7"/>
        <v>4890572.7999999998</v>
      </c>
      <c r="AH15" s="39">
        <f t="shared" si="7"/>
        <v>4890572.7999999998</v>
      </c>
      <c r="AI15" s="39">
        <f t="shared" si="7"/>
        <v>4890572.7999999998</v>
      </c>
      <c r="AJ15" s="39">
        <f t="shared" si="7"/>
        <v>4890572.7999999998</v>
      </c>
      <c r="AK15" s="39">
        <f t="shared" si="7"/>
        <v>4890572.7999999998</v>
      </c>
      <c r="AL15" s="39">
        <f t="shared" si="7"/>
        <v>4890572.7999999998</v>
      </c>
      <c r="AM15" s="39">
        <f t="shared" si="7"/>
        <v>4890572.7999999998</v>
      </c>
      <c r="AN15" s="39">
        <f t="shared" si="7"/>
        <v>4890572.7999999998</v>
      </c>
      <c r="AO15" s="39">
        <f t="shared" si="7"/>
        <v>4890572.7999999998</v>
      </c>
      <c r="AP15" s="39">
        <f t="shared" si="7"/>
        <v>4890572.7999999998</v>
      </c>
      <c r="AQ15" s="39">
        <f t="shared" si="7"/>
        <v>4890572.7999999998</v>
      </c>
      <c r="AR15" s="39">
        <f t="shared" si="7"/>
        <v>4890572.7999999998</v>
      </c>
      <c r="AS15" s="39">
        <f t="shared" si="7"/>
        <v>4890572.7999999998</v>
      </c>
      <c r="AT15" s="39">
        <f t="shared" si="7"/>
        <v>4890572.7999999998</v>
      </c>
      <c r="AU15" s="39">
        <f t="shared" si="7"/>
        <v>4890572.7999999998</v>
      </c>
      <c r="AV15" s="39">
        <f t="shared" si="7"/>
        <v>4890572.7999999998</v>
      </c>
      <c r="AW15" s="39">
        <f t="shared" si="7"/>
        <v>4890572.7999999998</v>
      </c>
      <c r="AX15" s="39">
        <f t="shared" si="7"/>
        <v>4890572.7999999998</v>
      </c>
      <c r="AY15" s="39">
        <f t="shared" si="7"/>
        <v>4890572.7999999998</v>
      </c>
      <c r="AZ15" s="39">
        <f t="shared" si="7"/>
        <v>4890572.7999999998</v>
      </c>
      <c r="BA15" s="39">
        <f t="shared" si="7"/>
        <v>4890572.7999999998</v>
      </c>
      <c r="BB15" s="39">
        <f t="shared" si="7"/>
        <v>4890572.7999999998</v>
      </c>
      <c r="BC15" s="39">
        <f t="shared" si="7"/>
        <v>4890572.7999999998</v>
      </c>
      <c r="BD15" s="39">
        <f t="shared" si="7"/>
        <v>4890572.7999999998</v>
      </c>
      <c r="BE15" s="39">
        <f t="shared" si="7"/>
        <v>4890572.7999999998</v>
      </c>
      <c r="BF15" s="39">
        <f t="shared" si="7"/>
        <v>4890572.7999999998</v>
      </c>
      <c r="BG15" s="39">
        <f t="shared" si="7"/>
        <v>4890572.7999999998</v>
      </c>
      <c r="BH15" s="39">
        <f t="shared" si="7"/>
        <v>4890572.7999999998</v>
      </c>
      <c r="BI15" s="39">
        <f t="shared" si="7"/>
        <v>4890572.7999999998</v>
      </c>
      <c r="BJ15" s="39">
        <f t="shared" si="7"/>
        <v>4890572.7999999998</v>
      </c>
      <c r="BK15" s="39">
        <f t="shared" si="7"/>
        <v>4890572.7999999998</v>
      </c>
      <c r="BL15" s="39">
        <f t="shared" si="7"/>
        <v>4890572.7999999998</v>
      </c>
      <c r="BM15" s="39">
        <f t="shared" si="7"/>
        <v>4890572.7999999998</v>
      </c>
      <c r="BN15" s="39">
        <f t="shared" si="7"/>
        <v>4890572.7999999998</v>
      </c>
      <c r="BO15" s="39">
        <f t="shared" si="7"/>
        <v>4890572.7999999998</v>
      </c>
      <c r="BP15" s="39">
        <f t="shared" si="7"/>
        <v>4890572.7999999998</v>
      </c>
      <c r="BQ15" s="39">
        <f t="shared" si="7"/>
        <v>4890572.7999999998</v>
      </c>
    </row>
    <row r="16" spans="2:69">
      <c r="B16" s="4"/>
      <c r="C16" s="4"/>
      <c r="D16" s="5" t="s">
        <v>78</v>
      </c>
      <c r="E16" s="8"/>
      <c r="F16" s="1"/>
      <c r="G16" s="10"/>
      <c r="H16" s="10"/>
      <c r="I16" s="10"/>
      <c r="J16" s="10"/>
      <c r="K16" s="1"/>
      <c r="L16" s="1"/>
      <c r="M16" s="1"/>
      <c r="N16" s="39">
        <f>【PL】決算数値入力!W16</f>
        <v>95135147</v>
      </c>
      <c r="O16" s="39">
        <f>【PL】決算数値入力!X16</f>
        <v>288889699</v>
      </c>
      <c r="P16" s="39">
        <f>【PL】決算数値入力!Y16</f>
        <v>336382478</v>
      </c>
      <c r="Q16" s="39">
        <f>【PL】決算数値入力!Z16</f>
        <v>419319678</v>
      </c>
      <c r="R16" s="39">
        <f>【PL】決算数値入力!AA16</f>
        <v>336409057</v>
      </c>
      <c r="S16" s="39">
        <f>【PL】決算数値入力!AB16</f>
        <v>196728118.90000001</v>
      </c>
      <c r="T16" s="39">
        <f t="shared" ref="T16" si="8">SUM(T17:T18)</f>
        <v>7854154</v>
      </c>
      <c r="U16" s="39">
        <f t="shared" ref="U16:BQ16" si="9">SUM(U17:U18)</f>
        <v>7369181</v>
      </c>
      <c r="V16" s="39">
        <f t="shared" si="9"/>
        <v>7145856</v>
      </c>
      <c r="W16" s="39">
        <f t="shared" si="9"/>
        <v>6975465</v>
      </c>
      <c r="X16" s="39">
        <f t="shared" si="9"/>
        <v>6971670</v>
      </c>
      <c r="Y16" s="39">
        <f t="shared" si="9"/>
        <v>6791365</v>
      </c>
      <c r="Z16" s="39">
        <f t="shared" si="9"/>
        <v>6480393</v>
      </c>
      <c r="AA16" s="39">
        <f t="shared" si="9"/>
        <v>6480393</v>
      </c>
      <c r="AB16" s="39">
        <f t="shared" si="9"/>
        <v>8146971.9473684207</v>
      </c>
      <c r="AC16" s="39">
        <f t="shared" si="9"/>
        <v>9462761.421052631</v>
      </c>
      <c r="AD16" s="39">
        <f t="shared" si="9"/>
        <v>10764492.894736841</v>
      </c>
      <c r="AE16" s="39">
        <f t="shared" si="9"/>
        <v>11921337.368421052</v>
      </c>
      <c r="AF16" s="39">
        <f t="shared" si="9"/>
        <v>13237126.842105262</v>
      </c>
      <c r="AG16" s="39">
        <f t="shared" si="9"/>
        <v>12264190.842105262</v>
      </c>
      <c r="AH16" s="39">
        <f t="shared" si="9"/>
        <v>12264190.842105262</v>
      </c>
      <c r="AI16" s="39">
        <f t="shared" si="9"/>
        <v>11697439.842105262</v>
      </c>
      <c r="AJ16" s="39">
        <f t="shared" si="9"/>
        <v>11697439.842105262</v>
      </c>
      <c r="AK16" s="39">
        <f t="shared" si="9"/>
        <v>11618358.842105262</v>
      </c>
      <c r="AL16" s="39">
        <f t="shared" si="9"/>
        <v>11503835.842105262</v>
      </c>
      <c r="AM16" s="39">
        <f t="shared" si="9"/>
        <v>11503835.842105262</v>
      </c>
      <c r="AN16" s="39">
        <f t="shared" si="9"/>
        <v>11503835.842105262</v>
      </c>
      <c r="AO16" s="39">
        <f t="shared" si="9"/>
        <v>11322834.842105262</v>
      </c>
      <c r="AP16" s="39">
        <f t="shared" si="9"/>
        <v>11322834.842105262</v>
      </c>
      <c r="AQ16" s="39">
        <f t="shared" si="9"/>
        <v>11322834.842105262</v>
      </c>
      <c r="AR16" s="39">
        <f t="shared" si="9"/>
        <v>11322834.842105262</v>
      </c>
      <c r="AS16" s="39">
        <f t="shared" si="9"/>
        <v>11322834.842105262</v>
      </c>
      <c r="AT16" s="39">
        <f t="shared" si="9"/>
        <v>11322834.842105262</v>
      </c>
      <c r="AU16" s="39">
        <f t="shared" si="9"/>
        <v>11274486.842105262</v>
      </c>
      <c r="AV16" s="39">
        <f t="shared" si="9"/>
        <v>11274486.842105262</v>
      </c>
      <c r="AW16" s="39">
        <f t="shared" si="9"/>
        <v>11274486.842105262</v>
      </c>
      <c r="AX16" s="39">
        <f t="shared" si="9"/>
        <v>11274486.842105262</v>
      </c>
      <c r="AY16" s="39">
        <f t="shared" si="9"/>
        <v>10740456.842105262</v>
      </c>
      <c r="AZ16" s="39">
        <f t="shared" si="9"/>
        <v>10740456.842105262</v>
      </c>
      <c r="BA16" s="39">
        <f t="shared" si="9"/>
        <v>10634101.842105262</v>
      </c>
      <c r="BB16" s="39">
        <f t="shared" si="9"/>
        <v>10634101.842105262</v>
      </c>
      <c r="BC16" s="39">
        <f t="shared" si="9"/>
        <v>9740212.842105262</v>
      </c>
      <c r="BD16" s="39">
        <f t="shared" si="9"/>
        <v>9645463.842105262</v>
      </c>
      <c r="BE16" s="39">
        <f t="shared" si="9"/>
        <v>9250401.842105262</v>
      </c>
      <c r="BF16" s="39">
        <f t="shared" si="9"/>
        <v>8565594.842105262</v>
      </c>
      <c r="BG16" s="39">
        <f t="shared" si="9"/>
        <v>8565594.842105262</v>
      </c>
      <c r="BH16" s="39">
        <f t="shared" si="9"/>
        <v>8565594.842105262</v>
      </c>
      <c r="BI16" s="39">
        <f t="shared" si="9"/>
        <v>6929736.8421052629</v>
      </c>
      <c r="BJ16" s="39">
        <f t="shared" si="9"/>
        <v>6929736.8421052629</v>
      </c>
      <c r="BK16" s="39">
        <f t="shared" si="9"/>
        <v>6929736.8421052629</v>
      </c>
      <c r="BL16" s="39">
        <f t="shared" si="9"/>
        <v>6929736.8421052629</v>
      </c>
      <c r="BM16" s="39">
        <f t="shared" si="9"/>
        <v>6929736.8421052629</v>
      </c>
      <c r="BN16" s="39">
        <f t="shared" si="9"/>
        <v>6929736.8421052629</v>
      </c>
      <c r="BO16" s="39">
        <f t="shared" si="9"/>
        <v>6929736.8421052629</v>
      </c>
      <c r="BP16" s="39">
        <f t="shared" si="9"/>
        <v>6929736.8421052629</v>
      </c>
      <c r="BQ16" s="39">
        <f t="shared" si="9"/>
        <v>6929736.8421052629</v>
      </c>
    </row>
    <row r="17" spans="2:69">
      <c r="B17" s="4"/>
      <c r="C17" s="4"/>
      <c r="D17" s="4"/>
      <c r="E17" s="1" t="s">
        <v>79</v>
      </c>
      <c r="F17" s="1"/>
      <c r="G17" s="10"/>
      <c r="H17" s="10"/>
      <c r="I17" s="10"/>
      <c r="J17" s="10"/>
      <c r="K17" s="1" t="s">
        <v>170</v>
      </c>
      <c r="L17" s="1"/>
      <c r="M17" s="1"/>
      <c r="N17" s="39">
        <f>【PL】決算数値入力!W17</f>
        <v>95135147</v>
      </c>
      <c r="O17" s="39">
        <f>【PL】決算数値入力!X17</f>
        <v>288889699</v>
      </c>
      <c r="P17" s="39">
        <f>【PL】決算数値入力!Y17</f>
        <v>336382478</v>
      </c>
      <c r="Q17" s="39">
        <f>【PL】決算数値入力!Z17</f>
        <v>419319678</v>
      </c>
      <c r="R17" s="39">
        <f>【PL】決算数値入力!AA17</f>
        <v>336409057</v>
      </c>
      <c r="S17" s="39">
        <f>【PL】決算数値入力!AB17</f>
        <v>196728118.90000001</v>
      </c>
      <c r="T17" s="39">
        <v>7854154</v>
      </c>
      <c r="U17" s="39">
        <v>7369181</v>
      </c>
      <c r="V17" s="39">
        <v>7145856</v>
      </c>
      <c r="W17" s="39">
        <v>6975465</v>
      </c>
      <c r="X17" s="39">
        <v>6971670</v>
      </c>
      <c r="Y17" s="39">
        <v>6791365</v>
      </c>
      <c r="Z17" s="39">
        <v>6480393</v>
      </c>
      <c r="AA17" s="39">
        <v>6480393</v>
      </c>
      <c r="AB17" s="39">
        <v>6480393</v>
      </c>
      <c r="AC17" s="39">
        <v>6480393</v>
      </c>
      <c r="AD17" s="39">
        <v>6466335</v>
      </c>
      <c r="AE17" s="39">
        <v>6307390</v>
      </c>
      <c r="AF17" s="39">
        <v>6307390</v>
      </c>
      <c r="AG17" s="39">
        <v>5334454</v>
      </c>
      <c r="AH17" s="39">
        <v>5334454</v>
      </c>
      <c r="AI17" s="39">
        <v>4767703</v>
      </c>
      <c r="AJ17" s="39">
        <v>4767703</v>
      </c>
      <c r="AK17" s="39">
        <v>4688622</v>
      </c>
      <c r="AL17" s="39">
        <v>4574099</v>
      </c>
      <c r="AM17" s="39">
        <v>4574099</v>
      </c>
      <c r="AN17" s="39">
        <v>4574099</v>
      </c>
      <c r="AO17" s="39">
        <v>4393098</v>
      </c>
      <c r="AP17" s="39">
        <v>4393098</v>
      </c>
      <c r="AQ17" s="39">
        <v>4393098</v>
      </c>
      <c r="AR17" s="39">
        <v>4393098</v>
      </c>
      <c r="AS17" s="39">
        <v>4393098</v>
      </c>
      <c r="AT17" s="39">
        <v>4393098</v>
      </c>
      <c r="AU17" s="39">
        <v>4344750</v>
      </c>
      <c r="AV17" s="39">
        <v>4344750</v>
      </c>
      <c r="AW17" s="39">
        <v>4344750</v>
      </c>
      <c r="AX17" s="39">
        <v>4344750</v>
      </c>
      <c r="AY17" s="39">
        <v>3810720</v>
      </c>
      <c r="AZ17" s="39">
        <v>3810720</v>
      </c>
      <c r="BA17" s="39">
        <v>3704365</v>
      </c>
      <c r="BB17" s="39">
        <v>3704365</v>
      </c>
      <c r="BC17" s="39">
        <v>2810476</v>
      </c>
      <c r="BD17" s="39">
        <v>2715727</v>
      </c>
      <c r="BE17" s="39">
        <v>2320665</v>
      </c>
      <c r="BF17" s="39">
        <v>1635858</v>
      </c>
      <c r="BG17" s="39">
        <v>1635858</v>
      </c>
      <c r="BH17" s="39">
        <v>1635858</v>
      </c>
      <c r="BI17" s="39">
        <v>0</v>
      </c>
      <c r="BJ17" s="39">
        <v>0</v>
      </c>
      <c r="BK17" s="39">
        <v>0</v>
      </c>
      <c r="BL17" s="39">
        <v>0</v>
      </c>
      <c r="BM17" s="39">
        <v>0</v>
      </c>
      <c r="BN17" s="39">
        <v>0</v>
      </c>
      <c r="BO17" s="39">
        <v>0</v>
      </c>
      <c r="BP17" s="39">
        <v>0</v>
      </c>
      <c r="BQ17" s="39">
        <v>0</v>
      </c>
    </row>
    <row r="18" spans="2:69">
      <c r="B18" s="4"/>
      <c r="C18" s="3"/>
      <c r="D18" s="3"/>
      <c r="E18" s="1" t="s">
        <v>80</v>
      </c>
      <c r="F18" s="1"/>
      <c r="G18" s="10"/>
      <c r="H18" s="10"/>
      <c r="I18" s="10"/>
      <c r="J18" s="10"/>
      <c r="K18" s="1" t="s">
        <v>171</v>
      </c>
      <c r="L18" s="1"/>
      <c r="M18" s="1"/>
      <c r="N18" s="39">
        <f>【PL】決算数値入力!W18</f>
        <v>0</v>
      </c>
      <c r="O18" s="39">
        <f>【PL】決算数値入力!X18</f>
        <v>0</v>
      </c>
      <c r="P18" s="39">
        <f>【PL】決算数値入力!Y18</f>
        <v>0</v>
      </c>
      <c r="Q18" s="39">
        <f>【PL】決算数値入力!Z18</f>
        <v>0</v>
      </c>
      <c r="R18" s="39">
        <f>【PL】決算数値入力!AA18</f>
        <v>0</v>
      </c>
      <c r="S18" s="39">
        <f>【PL】決算数値入力!AB18</f>
        <v>0</v>
      </c>
      <c r="T18" s="39">
        <f>新規取得!I5</f>
        <v>0</v>
      </c>
      <c r="U18" s="39">
        <f>新規取得!J5</f>
        <v>0</v>
      </c>
      <c r="V18" s="39">
        <f>新規取得!K5</f>
        <v>0</v>
      </c>
      <c r="W18" s="39">
        <f>新規取得!L5</f>
        <v>0</v>
      </c>
      <c r="X18" s="39">
        <f>新規取得!M5</f>
        <v>0</v>
      </c>
      <c r="Y18" s="39">
        <f>新規取得!N5</f>
        <v>0</v>
      </c>
      <c r="Z18" s="39">
        <f>新規取得!O5</f>
        <v>0</v>
      </c>
      <c r="AA18" s="39">
        <f>新規取得!P5</f>
        <v>0</v>
      </c>
      <c r="AB18" s="39">
        <f>新規取得!Q5</f>
        <v>1666578.9473684211</v>
      </c>
      <c r="AC18" s="39">
        <f>新規取得!R5</f>
        <v>2982368.4210526319</v>
      </c>
      <c r="AD18" s="39">
        <f>新規取得!S5</f>
        <v>4298157.8947368423</v>
      </c>
      <c r="AE18" s="39">
        <f>新規取得!T5</f>
        <v>5613947.3684210526</v>
      </c>
      <c r="AF18" s="39">
        <f>新規取得!U5</f>
        <v>6929736.8421052629</v>
      </c>
      <c r="AG18" s="39">
        <f>新規取得!V5</f>
        <v>6929736.8421052629</v>
      </c>
      <c r="AH18" s="39">
        <f>新規取得!W5</f>
        <v>6929736.8421052629</v>
      </c>
      <c r="AI18" s="39">
        <f>新規取得!X5</f>
        <v>6929736.8421052629</v>
      </c>
      <c r="AJ18" s="39">
        <f>新規取得!Y5</f>
        <v>6929736.8421052629</v>
      </c>
      <c r="AK18" s="39">
        <f>新規取得!Z5</f>
        <v>6929736.8421052629</v>
      </c>
      <c r="AL18" s="39">
        <f>新規取得!AA5</f>
        <v>6929736.8421052629</v>
      </c>
      <c r="AM18" s="39">
        <f>新規取得!AB5</f>
        <v>6929736.8421052629</v>
      </c>
      <c r="AN18" s="39">
        <f>新規取得!AC5</f>
        <v>6929736.8421052629</v>
      </c>
      <c r="AO18" s="39">
        <f>新規取得!AD5</f>
        <v>6929736.8421052629</v>
      </c>
      <c r="AP18" s="39">
        <f>新規取得!AE5</f>
        <v>6929736.8421052629</v>
      </c>
      <c r="AQ18" s="39">
        <f>新規取得!AF5</f>
        <v>6929736.8421052629</v>
      </c>
      <c r="AR18" s="39">
        <f>新規取得!AG5</f>
        <v>6929736.8421052629</v>
      </c>
      <c r="AS18" s="39">
        <f>新規取得!AH5</f>
        <v>6929736.8421052629</v>
      </c>
      <c r="AT18" s="39">
        <f>新規取得!AI5</f>
        <v>6929736.8421052629</v>
      </c>
      <c r="AU18" s="39">
        <f>新規取得!AJ5</f>
        <v>6929736.8421052629</v>
      </c>
      <c r="AV18" s="39">
        <f>新規取得!AK5</f>
        <v>6929736.8421052629</v>
      </c>
      <c r="AW18" s="39">
        <f>新規取得!AL5</f>
        <v>6929736.8421052629</v>
      </c>
      <c r="AX18" s="39">
        <f>新規取得!AM5</f>
        <v>6929736.8421052629</v>
      </c>
      <c r="AY18" s="39">
        <f>新規取得!AN5</f>
        <v>6929736.8421052629</v>
      </c>
      <c r="AZ18" s="39">
        <f>新規取得!AO5</f>
        <v>6929736.8421052629</v>
      </c>
      <c r="BA18" s="39">
        <f>新規取得!AP5</f>
        <v>6929736.8421052629</v>
      </c>
      <c r="BB18" s="39">
        <f>新規取得!AQ5</f>
        <v>6929736.8421052629</v>
      </c>
      <c r="BC18" s="39">
        <f>新規取得!AR5</f>
        <v>6929736.8421052629</v>
      </c>
      <c r="BD18" s="39">
        <f>新規取得!AS5</f>
        <v>6929736.8421052629</v>
      </c>
      <c r="BE18" s="39">
        <f>新規取得!AT5</f>
        <v>6929736.8421052629</v>
      </c>
      <c r="BF18" s="39">
        <f>新規取得!AU5</f>
        <v>6929736.8421052629</v>
      </c>
      <c r="BG18" s="39">
        <f>新規取得!AV5</f>
        <v>6929736.8421052629</v>
      </c>
      <c r="BH18" s="39">
        <f>新規取得!AW5</f>
        <v>6929736.8421052629</v>
      </c>
      <c r="BI18" s="39">
        <f>新規取得!AX5</f>
        <v>6929736.8421052629</v>
      </c>
      <c r="BJ18" s="39">
        <f>新規取得!AY5</f>
        <v>6929736.8421052629</v>
      </c>
      <c r="BK18" s="39">
        <f>新規取得!AZ5</f>
        <v>6929736.8421052629</v>
      </c>
      <c r="BL18" s="39">
        <f>新規取得!BA5</f>
        <v>6929736.8421052629</v>
      </c>
      <c r="BM18" s="39">
        <f>新規取得!BB5</f>
        <v>6929736.8421052629</v>
      </c>
      <c r="BN18" s="39">
        <f>新規取得!BC5</f>
        <v>6929736.8421052629</v>
      </c>
      <c r="BO18" s="39">
        <f>新規取得!BD5</f>
        <v>6929736.8421052629</v>
      </c>
      <c r="BP18" s="39">
        <f>新規取得!BE5</f>
        <v>6929736.8421052629</v>
      </c>
      <c r="BQ18" s="39">
        <f>新規取得!BF5</f>
        <v>6929736.8421052629</v>
      </c>
    </row>
    <row r="19" spans="2:69">
      <c r="B19" s="4"/>
      <c r="C19" s="9" t="s">
        <v>81</v>
      </c>
      <c r="D19" s="7"/>
      <c r="E19" s="8"/>
      <c r="F19" s="1"/>
      <c r="G19" s="10"/>
      <c r="H19" s="10"/>
      <c r="I19" s="10"/>
      <c r="J19" s="10" t="s">
        <v>166</v>
      </c>
      <c r="K19" s="1" t="s">
        <v>163</v>
      </c>
      <c r="L19" s="1"/>
      <c r="M19" s="1"/>
      <c r="N19" s="39">
        <f>【PL】決算数値入力!W19</f>
        <v>0</v>
      </c>
      <c r="O19" s="39">
        <f>【PL】決算数値入力!X19</f>
        <v>0</v>
      </c>
      <c r="P19" s="39">
        <f>【PL】決算数値入力!Y19</f>
        <v>0</v>
      </c>
      <c r="Q19" s="39">
        <f>【PL】決算数値入力!Z19</f>
        <v>0</v>
      </c>
      <c r="R19" s="39">
        <f>【PL】決算数値入力!AA19</f>
        <v>0</v>
      </c>
      <c r="S19" s="39">
        <f>【PL】決算数値入力!AB19</f>
        <v>0</v>
      </c>
      <c r="T19" s="40">
        <v>0</v>
      </c>
      <c r="U19" s="40">
        <v>0</v>
      </c>
      <c r="V19" s="40">
        <v>0</v>
      </c>
      <c r="W19" s="40">
        <v>0</v>
      </c>
      <c r="X19" s="40">
        <v>0</v>
      </c>
      <c r="Y19" s="40">
        <v>0</v>
      </c>
      <c r="Z19" s="40">
        <v>0</v>
      </c>
      <c r="AA19" s="40">
        <v>0</v>
      </c>
      <c r="AB19" s="40">
        <v>0</v>
      </c>
      <c r="AC19" s="40">
        <v>0</v>
      </c>
      <c r="AD19" s="40">
        <v>0</v>
      </c>
      <c r="AE19" s="40">
        <v>0</v>
      </c>
      <c r="AF19" s="40">
        <v>0</v>
      </c>
      <c r="AG19" s="40">
        <v>0</v>
      </c>
      <c r="AH19" s="40">
        <v>0</v>
      </c>
      <c r="AI19" s="40">
        <v>0</v>
      </c>
      <c r="AJ19" s="40">
        <v>0</v>
      </c>
      <c r="AK19" s="40">
        <v>0</v>
      </c>
      <c r="AL19" s="40">
        <v>0</v>
      </c>
      <c r="AM19" s="40">
        <v>0</v>
      </c>
      <c r="AN19" s="40">
        <v>0</v>
      </c>
      <c r="AO19" s="40">
        <v>0</v>
      </c>
      <c r="AP19" s="40">
        <v>0</v>
      </c>
      <c r="AQ19" s="40">
        <v>0</v>
      </c>
      <c r="AR19" s="40">
        <v>0</v>
      </c>
      <c r="AS19" s="40">
        <v>0</v>
      </c>
      <c r="AT19" s="40">
        <v>0</v>
      </c>
      <c r="AU19" s="40">
        <v>0</v>
      </c>
      <c r="AV19" s="40">
        <v>0</v>
      </c>
      <c r="AW19" s="40">
        <v>0</v>
      </c>
      <c r="AX19" s="40">
        <v>0</v>
      </c>
      <c r="AY19" s="40">
        <v>0</v>
      </c>
      <c r="AZ19" s="40">
        <v>0</v>
      </c>
      <c r="BA19" s="40">
        <v>0</v>
      </c>
      <c r="BB19" s="40">
        <v>0</v>
      </c>
      <c r="BC19" s="40">
        <v>0</v>
      </c>
      <c r="BD19" s="40">
        <v>0</v>
      </c>
      <c r="BE19" s="40">
        <v>0</v>
      </c>
      <c r="BF19" s="40">
        <v>0</v>
      </c>
      <c r="BG19" s="40">
        <v>0</v>
      </c>
      <c r="BH19" s="40">
        <v>0</v>
      </c>
      <c r="BI19" s="40">
        <v>0</v>
      </c>
      <c r="BJ19" s="40">
        <v>0</v>
      </c>
      <c r="BK19" s="40">
        <v>0</v>
      </c>
      <c r="BL19" s="40">
        <v>0</v>
      </c>
      <c r="BM19" s="40">
        <v>0</v>
      </c>
      <c r="BN19" s="40">
        <v>0</v>
      </c>
      <c r="BO19" s="40">
        <v>0</v>
      </c>
      <c r="BP19" s="40">
        <v>0</v>
      </c>
      <c r="BQ19" s="40">
        <v>0</v>
      </c>
    </row>
    <row r="20" spans="2:69">
      <c r="B20" s="4"/>
      <c r="C20" s="5" t="s">
        <v>82</v>
      </c>
      <c r="D20" s="7"/>
      <c r="E20" s="8"/>
      <c r="F20" s="1"/>
      <c r="G20" s="10"/>
      <c r="H20" s="10"/>
      <c r="I20" s="10"/>
      <c r="J20" s="10"/>
      <c r="K20" s="1"/>
      <c r="L20" s="1"/>
      <c r="M20" s="1"/>
      <c r="N20" s="39">
        <f>【PL】決算数値入力!W20</f>
        <v>0</v>
      </c>
      <c r="O20" s="39">
        <f>【PL】決算数値入力!X20</f>
        <v>0</v>
      </c>
      <c r="P20" s="39">
        <f>【PL】決算数値入力!Y20</f>
        <v>0</v>
      </c>
      <c r="Q20" s="39">
        <f>【PL】決算数値入力!Z20</f>
        <v>0</v>
      </c>
      <c r="R20" s="39">
        <f>【PL】決算数値入力!AA20</f>
        <v>0</v>
      </c>
      <c r="S20" s="39">
        <f>【PL】決算数値入力!AB20</f>
        <v>0</v>
      </c>
      <c r="T20" s="39">
        <f t="shared" ref="T20:BQ20" si="10">SUM(T21:T23)</f>
        <v>0</v>
      </c>
      <c r="U20" s="39">
        <f t="shared" si="10"/>
        <v>0</v>
      </c>
      <c r="V20" s="39">
        <f t="shared" si="10"/>
        <v>0</v>
      </c>
      <c r="W20" s="39">
        <f t="shared" si="10"/>
        <v>0</v>
      </c>
      <c r="X20" s="39">
        <f t="shared" si="10"/>
        <v>0</v>
      </c>
      <c r="Y20" s="39">
        <f t="shared" si="10"/>
        <v>0</v>
      </c>
      <c r="Z20" s="39">
        <f t="shared" si="10"/>
        <v>0</v>
      </c>
      <c r="AA20" s="39">
        <f t="shared" si="10"/>
        <v>0</v>
      </c>
      <c r="AB20" s="39">
        <f t="shared" si="10"/>
        <v>0</v>
      </c>
      <c r="AC20" s="39">
        <f t="shared" si="10"/>
        <v>0</v>
      </c>
      <c r="AD20" s="39">
        <f t="shared" si="10"/>
        <v>0</v>
      </c>
      <c r="AE20" s="39">
        <f t="shared" si="10"/>
        <v>0</v>
      </c>
      <c r="AF20" s="39">
        <f t="shared" si="10"/>
        <v>0</v>
      </c>
      <c r="AG20" s="39">
        <f t="shared" si="10"/>
        <v>0</v>
      </c>
      <c r="AH20" s="39">
        <f t="shared" si="10"/>
        <v>0</v>
      </c>
      <c r="AI20" s="39">
        <f t="shared" si="10"/>
        <v>0</v>
      </c>
      <c r="AJ20" s="39">
        <f t="shared" si="10"/>
        <v>0</v>
      </c>
      <c r="AK20" s="39">
        <f t="shared" si="10"/>
        <v>0</v>
      </c>
      <c r="AL20" s="39">
        <f t="shared" si="10"/>
        <v>0</v>
      </c>
      <c r="AM20" s="39">
        <f t="shared" si="10"/>
        <v>0</v>
      </c>
      <c r="AN20" s="39">
        <f t="shared" si="10"/>
        <v>0</v>
      </c>
      <c r="AO20" s="39">
        <f t="shared" si="10"/>
        <v>0</v>
      </c>
      <c r="AP20" s="39">
        <f t="shared" si="10"/>
        <v>0</v>
      </c>
      <c r="AQ20" s="39">
        <f t="shared" si="10"/>
        <v>0</v>
      </c>
      <c r="AR20" s="39">
        <f t="shared" si="10"/>
        <v>0</v>
      </c>
      <c r="AS20" s="39">
        <f t="shared" si="10"/>
        <v>0</v>
      </c>
      <c r="AT20" s="39">
        <f t="shared" si="10"/>
        <v>0</v>
      </c>
      <c r="AU20" s="39">
        <f t="shared" si="10"/>
        <v>0</v>
      </c>
      <c r="AV20" s="39">
        <f t="shared" si="10"/>
        <v>0</v>
      </c>
      <c r="AW20" s="39">
        <f t="shared" si="10"/>
        <v>0</v>
      </c>
      <c r="AX20" s="39">
        <f t="shared" si="10"/>
        <v>0</v>
      </c>
      <c r="AY20" s="39">
        <f t="shared" si="10"/>
        <v>0</v>
      </c>
      <c r="AZ20" s="39">
        <f t="shared" si="10"/>
        <v>0</v>
      </c>
      <c r="BA20" s="39">
        <f t="shared" si="10"/>
        <v>0</v>
      </c>
      <c r="BB20" s="39">
        <f t="shared" si="10"/>
        <v>0</v>
      </c>
      <c r="BC20" s="39">
        <f t="shared" si="10"/>
        <v>0</v>
      </c>
      <c r="BD20" s="39">
        <f t="shared" si="10"/>
        <v>0</v>
      </c>
      <c r="BE20" s="39">
        <f t="shared" si="10"/>
        <v>0</v>
      </c>
      <c r="BF20" s="39">
        <f t="shared" si="10"/>
        <v>0</v>
      </c>
      <c r="BG20" s="39">
        <f t="shared" si="10"/>
        <v>0</v>
      </c>
      <c r="BH20" s="39">
        <f t="shared" si="10"/>
        <v>0</v>
      </c>
      <c r="BI20" s="39">
        <f t="shared" si="10"/>
        <v>0</v>
      </c>
      <c r="BJ20" s="39">
        <f t="shared" si="10"/>
        <v>0</v>
      </c>
      <c r="BK20" s="39">
        <f t="shared" si="10"/>
        <v>0</v>
      </c>
      <c r="BL20" s="39">
        <f t="shared" si="10"/>
        <v>0</v>
      </c>
      <c r="BM20" s="39">
        <f t="shared" si="10"/>
        <v>0</v>
      </c>
      <c r="BN20" s="39">
        <f t="shared" si="10"/>
        <v>0</v>
      </c>
      <c r="BO20" s="39">
        <f t="shared" si="10"/>
        <v>0</v>
      </c>
      <c r="BP20" s="39">
        <f t="shared" si="10"/>
        <v>0</v>
      </c>
      <c r="BQ20" s="39">
        <f t="shared" si="10"/>
        <v>0</v>
      </c>
    </row>
    <row r="21" spans="2:69">
      <c r="B21" s="4"/>
      <c r="C21" s="4"/>
      <c r="D21" s="9" t="s">
        <v>83</v>
      </c>
      <c r="E21" s="8"/>
      <c r="F21" s="1"/>
      <c r="G21" s="10"/>
      <c r="H21" s="10"/>
      <c r="I21" s="10"/>
      <c r="J21" s="10" t="s">
        <v>166</v>
      </c>
      <c r="K21" s="1" t="s">
        <v>163</v>
      </c>
      <c r="L21" s="1"/>
      <c r="M21" s="1"/>
      <c r="N21" s="39">
        <f>【PL】決算数値入力!W21</f>
        <v>0</v>
      </c>
      <c r="O21" s="39">
        <f>【PL】決算数値入力!X21</f>
        <v>0</v>
      </c>
      <c r="P21" s="39">
        <f>【PL】決算数値入力!Y21</f>
        <v>0</v>
      </c>
      <c r="Q21" s="39">
        <f>【PL】決算数値入力!Z21</f>
        <v>0</v>
      </c>
      <c r="R21" s="39">
        <f>【PL】決算数値入力!AA21</f>
        <v>0</v>
      </c>
      <c r="S21" s="39">
        <f>【PL】決算数値入力!AB21</f>
        <v>0</v>
      </c>
      <c r="T21" s="40">
        <v>0</v>
      </c>
      <c r="U21" s="40">
        <v>0</v>
      </c>
      <c r="V21" s="40">
        <v>0</v>
      </c>
      <c r="W21" s="40">
        <v>0</v>
      </c>
      <c r="X21" s="40">
        <v>0</v>
      </c>
      <c r="Y21" s="40">
        <v>0</v>
      </c>
      <c r="Z21" s="40">
        <v>0</v>
      </c>
      <c r="AA21" s="40">
        <v>0</v>
      </c>
      <c r="AB21" s="40">
        <v>0</v>
      </c>
      <c r="AC21" s="40">
        <v>0</v>
      </c>
      <c r="AD21" s="40">
        <v>0</v>
      </c>
      <c r="AE21" s="40">
        <v>0</v>
      </c>
      <c r="AF21" s="40">
        <v>0</v>
      </c>
      <c r="AG21" s="40">
        <v>0</v>
      </c>
      <c r="AH21" s="40">
        <v>0</v>
      </c>
      <c r="AI21" s="40">
        <v>0</v>
      </c>
      <c r="AJ21" s="40">
        <v>0</v>
      </c>
      <c r="AK21" s="40">
        <v>0</v>
      </c>
      <c r="AL21" s="40">
        <v>0</v>
      </c>
      <c r="AM21" s="40">
        <v>0</v>
      </c>
      <c r="AN21" s="40">
        <v>0</v>
      </c>
      <c r="AO21" s="40">
        <v>0</v>
      </c>
      <c r="AP21" s="40">
        <v>0</v>
      </c>
      <c r="AQ21" s="40">
        <v>0</v>
      </c>
      <c r="AR21" s="40">
        <v>0</v>
      </c>
      <c r="AS21" s="40">
        <v>0</v>
      </c>
      <c r="AT21" s="40">
        <v>0</v>
      </c>
      <c r="AU21" s="40">
        <v>0</v>
      </c>
      <c r="AV21" s="40">
        <v>0</v>
      </c>
      <c r="AW21" s="40">
        <v>0</v>
      </c>
      <c r="AX21" s="40">
        <v>0</v>
      </c>
      <c r="AY21" s="40">
        <v>0</v>
      </c>
      <c r="AZ21" s="40">
        <v>0</v>
      </c>
      <c r="BA21" s="40">
        <v>0</v>
      </c>
      <c r="BB21" s="40">
        <v>0</v>
      </c>
      <c r="BC21" s="40">
        <v>0</v>
      </c>
      <c r="BD21" s="40">
        <v>0</v>
      </c>
      <c r="BE21" s="40">
        <v>0</v>
      </c>
      <c r="BF21" s="40">
        <v>0</v>
      </c>
      <c r="BG21" s="40">
        <v>0</v>
      </c>
      <c r="BH21" s="40">
        <v>0</v>
      </c>
      <c r="BI21" s="40">
        <v>0</v>
      </c>
      <c r="BJ21" s="40">
        <v>0</v>
      </c>
      <c r="BK21" s="40">
        <v>0</v>
      </c>
      <c r="BL21" s="40">
        <v>0</v>
      </c>
      <c r="BM21" s="40">
        <v>0</v>
      </c>
      <c r="BN21" s="40">
        <v>0</v>
      </c>
      <c r="BO21" s="40">
        <v>0</v>
      </c>
      <c r="BP21" s="40">
        <v>0</v>
      </c>
      <c r="BQ21" s="40">
        <v>0</v>
      </c>
    </row>
    <row r="22" spans="2:69">
      <c r="B22" s="4"/>
      <c r="C22" s="4"/>
      <c r="D22" s="9" t="s">
        <v>84</v>
      </c>
      <c r="E22" s="8"/>
      <c r="F22" s="1"/>
      <c r="G22" s="10"/>
      <c r="H22" s="10"/>
      <c r="I22" s="10"/>
      <c r="J22" s="10" t="s">
        <v>166</v>
      </c>
      <c r="K22" s="1" t="s">
        <v>163</v>
      </c>
      <c r="L22" s="1"/>
      <c r="M22" s="1"/>
      <c r="N22" s="39">
        <f>【PL】決算数値入力!W22</f>
        <v>0</v>
      </c>
      <c r="O22" s="39">
        <f>【PL】決算数値入力!X22</f>
        <v>0</v>
      </c>
      <c r="P22" s="39">
        <f>【PL】決算数値入力!Y22</f>
        <v>0</v>
      </c>
      <c r="Q22" s="39">
        <f>【PL】決算数値入力!Z22</f>
        <v>0</v>
      </c>
      <c r="R22" s="39">
        <f>【PL】決算数値入力!AA22</f>
        <v>0</v>
      </c>
      <c r="S22" s="39">
        <f>【PL】決算数値入力!AB22</f>
        <v>0</v>
      </c>
      <c r="T22" s="40">
        <v>0</v>
      </c>
      <c r="U22" s="40">
        <v>0</v>
      </c>
      <c r="V22" s="40">
        <v>0</v>
      </c>
      <c r="W22" s="40">
        <v>0</v>
      </c>
      <c r="X22" s="40">
        <v>0</v>
      </c>
      <c r="Y22" s="40">
        <v>0</v>
      </c>
      <c r="Z22" s="40">
        <v>0</v>
      </c>
      <c r="AA22" s="40">
        <v>0</v>
      </c>
      <c r="AB22" s="40">
        <v>0</v>
      </c>
      <c r="AC22" s="40">
        <v>0</v>
      </c>
      <c r="AD22" s="40">
        <v>0</v>
      </c>
      <c r="AE22" s="40">
        <v>0</v>
      </c>
      <c r="AF22" s="40">
        <v>0</v>
      </c>
      <c r="AG22" s="40">
        <v>0</v>
      </c>
      <c r="AH22" s="40">
        <v>0</v>
      </c>
      <c r="AI22" s="40">
        <v>0</v>
      </c>
      <c r="AJ22" s="40">
        <v>0</v>
      </c>
      <c r="AK22" s="40">
        <v>0</v>
      </c>
      <c r="AL22" s="40">
        <v>0</v>
      </c>
      <c r="AM22" s="40">
        <v>0</v>
      </c>
      <c r="AN22" s="40">
        <v>0</v>
      </c>
      <c r="AO22" s="40">
        <v>0</v>
      </c>
      <c r="AP22" s="40">
        <v>0</v>
      </c>
      <c r="AQ22" s="40">
        <v>0</v>
      </c>
      <c r="AR22" s="40">
        <v>0</v>
      </c>
      <c r="AS22" s="40">
        <v>0</v>
      </c>
      <c r="AT22" s="40">
        <v>0</v>
      </c>
      <c r="AU22" s="40">
        <v>0</v>
      </c>
      <c r="AV22" s="40">
        <v>0</v>
      </c>
      <c r="AW22" s="40">
        <v>0</v>
      </c>
      <c r="AX22" s="40">
        <v>0</v>
      </c>
      <c r="AY22" s="40">
        <v>0</v>
      </c>
      <c r="AZ22" s="40">
        <v>0</v>
      </c>
      <c r="BA22" s="40">
        <v>0</v>
      </c>
      <c r="BB22" s="40">
        <v>0</v>
      </c>
      <c r="BC22" s="40">
        <v>0</v>
      </c>
      <c r="BD22" s="40">
        <v>0</v>
      </c>
      <c r="BE22" s="40">
        <v>0</v>
      </c>
      <c r="BF22" s="40">
        <v>0</v>
      </c>
      <c r="BG22" s="40">
        <v>0</v>
      </c>
      <c r="BH22" s="40">
        <v>0</v>
      </c>
      <c r="BI22" s="40">
        <v>0</v>
      </c>
      <c r="BJ22" s="40">
        <v>0</v>
      </c>
      <c r="BK22" s="40">
        <v>0</v>
      </c>
      <c r="BL22" s="40">
        <v>0</v>
      </c>
      <c r="BM22" s="40">
        <v>0</v>
      </c>
      <c r="BN22" s="40">
        <v>0</v>
      </c>
      <c r="BO22" s="40">
        <v>0</v>
      </c>
      <c r="BP22" s="40">
        <v>0</v>
      </c>
      <c r="BQ22" s="40">
        <v>0</v>
      </c>
    </row>
    <row r="23" spans="2:69">
      <c r="B23" s="3"/>
      <c r="C23" s="3"/>
      <c r="D23" s="9" t="s">
        <v>85</v>
      </c>
      <c r="E23" s="8"/>
      <c r="F23" s="1"/>
      <c r="G23" s="10"/>
      <c r="H23" s="10"/>
      <c r="I23" s="10"/>
      <c r="J23" s="10" t="s">
        <v>166</v>
      </c>
      <c r="K23" s="1" t="s">
        <v>163</v>
      </c>
      <c r="L23" s="1"/>
      <c r="M23" s="1"/>
      <c r="N23" s="39">
        <f>【PL】決算数値入力!W23</f>
        <v>0</v>
      </c>
      <c r="O23" s="39">
        <f>【PL】決算数値入力!X23</f>
        <v>0</v>
      </c>
      <c r="P23" s="39">
        <f>【PL】決算数値入力!Y23</f>
        <v>0</v>
      </c>
      <c r="Q23" s="39">
        <f>【PL】決算数値入力!Z23</f>
        <v>0</v>
      </c>
      <c r="R23" s="39">
        <f>【PL】決算数値入力!AA23</f>
        <v>0</v>
      </c>
      <c r="S23" s="39">
        <f>【PL】決算数値入力!AB23</f>
        <v>0</v>
      </c>
      <c r="T23" s="40">
        <v>0</v>
      </c>
      <c r="U23" s="40">
        <v>0</v>
      </c>
      <c r="V23" s="40">
        <v>0</v>
      </c>
      <c r="W23" s="40">
        <v>0</v>
      </c>
      <c r="X23" s="40">
        <v>0</v>
      </c>
      <c r="Y23" s="40">
        <v>0</v>
      </c>
      <c r="Z23" s="40">
        <v>0</v>
      </c>
      <c r="AA23" s="40">
        <v>0</v>
      </c>
      <c r="AB23" s="40">
        <v>0</v>
      </c>
      <c r="AC23" s="40">
        <v>0</v>
      </c>
      <c r="AD23" s="40">
        <v>0</v>
      </c>
      <c r="AE23" s="40">
        <v>0</v>
      </c>
      <c r="AF23" s="40">
        <v>0</v>
      </c>
      <c r="AG23" s="40">
        <v>0</v>
      </c>
      <c r="AH23" s="40">
        <v>0</v>
      </c>
      <c r="AI23" s="40">
        <v>0</v>
      </c>
      <c r="AJ23" s="40">
        <v>0</v>
      </c>
      <c r="AK23" s="40">
        <v>0</v>
      </c>
      <c r="AL23" s="40">
        <v>0</v>
      </c>
      <c r="AM23" s="40">
        <v>0</v>
      </c>
      <c r="AN23" s="40">
        <v>0</v>
      </c>
      <c r="AO23" s="40">
        <v>0</v>
      </c>
      <c r="AP23" s="40">
        <v>0</v>
      </c>
      <c r="AQ23" s="40">
        <v>0</v>
      </c>
      <c r="AR23" s="40">
        <v>0</v>
      </c>
      <c r="AS23" s="40">
        <v>0</v>
      </c>
      <c r="AT23" s="40">
        <v>0</v>
      </c>
      <c r="AU23" s="40">
        <v>0</v>
      </c>
      <c r="AV23" s="40">
        <v>0</v>
      </c>
      <c r="AW23" s="40">
        <v>0</v>
      </c>
      <c r="AX23" s="40">
        <v>0</v>
      </c>
      <c r="AY23" s="40">
        <v>0</v>
      </c>
      <c r="AZ23" s="40">
        <v>0</v>
      </c>
      <c r="BA23" s="40">
        <v>0</v>
      </c>
      <c r="BB23" s="40">
        <v>0</v>
      </c>
      <c r="BC23" s="40">
        <v>0</v>
      </c>
      <c r="BD23" s="40">
        <v>0</v>
      </c>
      <c r="BE23" s="40">
        <v>0</v>
      </c>
      <c r="BF23" s="40">
        <v>0</v>
      </c>
      <c r="BG23" s="40">
        <v>0</v>
      </c>
      <c r="BH23" s="40">
        <v>0</v>
      </c>
      <c r="BI23" s="40">
        <v>0</v>
      </c>
      <c r="BJ23" s="40">
        <v>0</v>
      </c>
      <c r="BK23" s="40">
        <v>0</v>
      </c>
      <c r="BL23" s="40">
        <v>0</v>
      </c>
      <c r="BM23" s="40">
        <v>0</v>
      </c>
      <c r="BN23" s="40">
        <v>0</v>
      </c>
      <c r="BO23" s="40">
        <v>0</v>
      </c>
      <c r="BP23" s="40">
        <v>0</v>
      </c>
      <c r="BQ23" s="40">
        <v>0</v>
      </c>
    </row>
    <row r="24" spans="2:69">
      <c r="B24" s="5" t="s">
        <v>86</v>
      </c>
      <c r="C24" s="7"/>
      <c r="D24" s="7"/>
      <c r="E24" s="8"/>
      <c r="F24" s="1"/>
      <c r="G24" s="10"/>
      <c r="H24" s="10"/>
      <c r="I24" s="10"/>
      <c r="J24" s="10"/>
      <c r="K24" s="1"/>
      <c r="L24" s="1"/>
      <c r="M24" s="1"/>
      <c r="N24" s="39">
        <f>【PL】決算数値入力!W24</f>
        <v>390874183</v>
      </c>
      <c r="O24" s="39">
        <f>【PL】決算数値入力!X24</f>
        <v>507845824</v>
      </c>
      <c r="P24" s="39">
        <f>【PL】決算数値入力!Y24</f>
        <v>543887736</v>
      </c>
      <c r="Q24" s="39">
        <f>【PL】決算数値入力!Z24</f>
        <v>694576672</v>
      </c>
      <c r="R24" s="39">
        <f>【PL】決算数値入力!AA24</f>
        <v>564428515</v>
      </c>
      <c r="S24" s="39">
        <f>【PL】決算数値入力!AB24</f>
        <v>420868994.39999998</v>
      </c>
      <c r="T24" s="39">
        <f>SUM(T25,T58,T63)</f>
        <v>179657036</v>
      </c>
      <c r="U24" s="39">
        <f>SUM(U25,U58,U63)</f>
        <v>182149546</v>
      </c>
      <c r="V24" s="39">
        <f t="shared" ref="V24:BQ24" si="11">SUM(V25,V58,V63)</f>
        <v>184223836.30000001</v>
      </c>
      <c r="W24" s="39">
        <f t="shared" si="11"/>
        <v>191685689</v>
      </c>
      <c r="X24" s="39">
        <f t="shared" si="11"/>
        <v>199487251</v>
      </c>
      <c r="Y24" s="39">
        <f t="shared" si="11"/>
        <v>206202937</v>
      </c>
      <c r="Z24" s="39">
        <f t="shared" si="11"/>
        <v>210991031</v>
      </c>
      <c r="AA24" s="39">
        <f t="shared" si="11"/>
        <v>222807232</v>
      </c>
      <c r="AB24" s="39">
        <f t="shared" si="11"/>
        <v>256099870</v>
      </c>
      <c r="AC24" s="39">
        <f t="shared" si="11"/>
        <v>276923673</v>
      </c>
      <c r="AD24" s="39">
        <f t="shared" si="11"/>
        <v>291189485</v>
      </c>
      <c r="AE24" s="39">
        <f t="shared" si="11"/>
        <v>305878481</v>
      </c>
      <c r="AF24" s="39">
        <f t="shared" si="11"/>
        <v>317454719</v>
      </c>
      <c r="AG24" s="39">
        <f t="shared" si="11"/>
        <v>325541137</v>
      </c>
      <c r="AH24" s="39">
        <f t="shared" si="11"/>
        <v>344509102</v>
      </c>
      <c r="AI24" s="39">
        <f t="shared" si="11"/>
        <v>360495224</v>
      </c>
      <c r="AJ24" s="39">
        <f t="shared" si="11"/>
        <v>376642827</v>
      </c>
      <c r="AK24" s="39">
        <f t="shared" si="11"/>
        <v>392228734</v>
      </c>
      <c r="AL24" s="39">
        <f t="shared" si="11"/>
        <v>417689772</v>
      </c>
      <c r="AM24" s="39">
        <f t="shared" si="11"/>
        <v>443558217</v>
      </c>
      <c r="AN24" s="39">
        <f t="shared" si="11"/>
        <v>468494522</v>
      </c>
      <c r="AO24" s="39">
        <f t="shared" si="11"/>
        <v>493669784</v>
      </c>
      <c r="AP24" s="39">
        <f t="shared" si="11"/>
        <v>508288759</v>
      </c>
      <c r="AQ24" s="39">
        <f t="shared" si="11"/>
        <v>523446489</v>
      </c>
      <c r="AR24" s="39">
        <f t="shared" si="11"/>
        <v>538955012</v>
      </c>
      <c r="AS24" s="39">
        <f t="shared" si="11"/>
        <v>554393647</v>
      </c>
      <c r="AT24" s="39">
        <f t="shared" si="11"/>
        <v>555505403</v>
      </c>
      <c r="AU24" s="39">
        <f t="shared" si="11"/>
        <v>555750674</v>
      </c>
      <c r="AV24" s="39">
        <f t="shared" si="11"/>
        <v>556226863</v>
      </c>
      <c r="AW24" s="39">
        <f t="shared" si="11"/>
        <v>556652117</v>
      </c>
      <c r="AX24" s="39">
        <f t="shared" si="11"/>
        <v>556993582</v>
      </c>
      <c r="AY24" s="39">
        <f t="shared" si="11"/>
        <v>556723190</v>
      </c>
      <c r="AZ24" s="39">
        <f t="shared" si="11"/>
        <v>557016982</v>
      </c>
      <c r="BA24" s="39">
        <f t="shared" si="11"/>
        <v>556351556</v>
      </c>
      <c r="BB24" s="39">
        <f t="shared" si="11"/>
        <v>556851149</v>
      </c>
      <c r="BC24" s="39">
        <f t="shared" si="11"/>
        <v>551336949</v>
      </c>
      <c r="BD24" s="39">
        <f t="shared" si="11"/>
        <v>550836597</v>
      </c>
      <c r="BE24" s="39">
        <f t="shared" si="11"/>
        <v>549264332</v>
      </c>
      <c r="BF24" s="39">
        <f t="shared" si="11"/>
        <v>546864081</v>
      </c>
      <c r="BG24" s="39">
        <f t="shared" si="11"/>
        <v>545937055</v>
      </c>
      <c r="BH24" s="39">
        <f t="shared" si="11"/>
        <v>545519877</v>
      </c>
      <c r="BI24" s="39">
        <f t="shared" si="11"/>
        <v>542473080</v>
      </c>
      <c r="BJ24" s="39">
        <f t="shared" si="11"/>
        <v>542375274</v>
      </c>
      <c r="BK24" s="39">
        <f t="shared" si="11"/>
        <v>541806894</v>
      </c>
      <c r="BL24" s="39">
        <f t="shared" si="11"/>
        <v>540435168</v>
      </c>
      <c r="BM24" s="39">
        <f t="shared" si="11"/>
        <v>532832176</v>
      </c>
      <c r="BN24" s="39">
        <f t="shared" si="11"/>
        <v>504837618</v>
      </c>
      <c r="BO24" s="39">
        <f t="shared" si="11"/>
        <v>490983166</v>
      </c>
      <c r="BP24" s="39">
        <f t="shared" si="11"/>
        <v>481348540</v>
      </c>
      <c r="BQ24" s="39">
        <f t="shared" si="11"/>
        <v>468976452</v>
      </c>
    </row>
    <row r="25" spans="2:69">
      <c r="B25" s="4"/>
      <c r="C25" s="5" t="s">
        <v>87</v>
      </c>
      <c r="D25" s="7"/>
      <c r="E25" s="8"/>
      <c r="F25" s="1"/>
      <c r="G25" s="10"/>
      <c r="H25" s="10"/>
      <c r="I25" s="10"/>
      <c r="J25" s="10"/>
      <c r="K25" s="1"/>
      <c r="L25" s="1"/>
      <c r="M25" s="1"/>
      <c r="N25" s="39">
        <f>【PL】決算数値入力!W25</f>
        <v>276187944</v>
      </c>
      <c r="O25" s="39">
        <f>【PL】決算数値入力!X25</f>
        <v>493988554</v>
      </c>
      <c r="P25" s="39">
        <f>【PL】決算数値入力!Y25</f>
        <v>537473069</v>
      </c>
      <c r="Q25" s="39">
        <f>【PL】決算数値入力!Z25</f>
        <v>687804951</v>
      </c>
      <c r="R25" s="39">
        <f>【PL】決算数値入力!AA25</f>
        <v>548360734</v>
      </c>
      <c r="S25" s="39">
        <f>【PL】決算数値入力!AB25</f>
        <v>359425182.19999999</v>
      </c>
      <c r="T25" s="39">
        <f>SUM(T26,T34,T43,T52,T55)</f>
        <v>164091561.59999999</v>
      </c>
      <c r="U25" s="39">
        <f t="shared" ref="U25:BQ25" si="12">SUM(U26,U34,U43,U52,U55)</f>
        <v>163527636.59999999</v>
      </c>
      <c r="V25" s="39">
        <f t="shared" si="12"/>
        <v>163234064.90000001</v>
      </c>
      <c r="W25" s="39">
        <f t="shared" si="12"/>
        <v>163132199.59999999</v>
      </c>
      <c r="X25" s="39">
        <f t="shared" si="12"/>
        <v>164238659.59999999</v>
      </c>
      <c r="Y25" s="39">
        <f t="shared" si="12"/>
        <v>163926834.59999999</v>
      </c>
      <c r="Z25" s="39">
        <f t="shared" si="12"/>
        <v>164542634.59999999</v>
      </c>
      <c r="AA25" s="39">
        <f t="shared" si="12"/>
        <v>172182238.59999999</v>
      </c>
      <c r="AB25" s="39">
        <f t="shared" si="12"/>
        <v>200316752.59999999</v>
      </c>
      <c r="AC25" s="39">
        <f t="shared" si="12"/>
        <v>214824844.59999999</v>
      </c>
      <c r="AD25" s="39">
        <f t="shared" si="12"/>
        <v>224591700.59999999</v>
      </c>
      <c r="AE25" s="39">
        <f t="shared" si="12"/>
        <v>236552498.59999999</v>
      </c>
      <c r="AF25" s="39">
        <f t="shared" si="12"/>
        <v>246063806.59999999</v>
      </c>
      <c r="AG25" s="39">
        <f t="shared" si="12"/>
        <v>252164579.59999999</v>
      </c>
      <c r="AH25" s="39">
        <f t="shared" si="12"/>
        <v>261247848.59999999</v>
      </c>
      <c r="AI25" s="39">
        <f t="shared" si="12"/>
        <v>267561197.59999999</v>
      </c>
      <c r="AJ25" s="39">
        <f t="shared" si="12"/>
        <v>274252407.60000002</v>
      </c>
      <c r="AK25" s="39">
        <f t="shared" si="12"/>
        <v>280602834.60000002</v>
      </c>
      <c r="AL25" s="39">
        <f t="shared" si="12"/>
        <v>296423951.60000002</v>
      </c>
      <c r="AM25" s="39">
        <f t="shared" si="12"/>
        <v>312409977.60000002</v>
      </c>
      <c r="AN25" s="39">
        <f t="shared" si="12"/>
        <v>327717241.60000002</v>
      </c>
      <c r="AO25" s="39">
        <f t="shared" si="12"/>
        <v>343522158.60000002</v>
      </c>
      <c r="AP25" s="39">
        <f t="shared" si="12"/>
        <v>360374916.60000002</v>
      </c>
      <c r="AQ25" s="39">
        <f t="shared" si="12"/>
        <v>377852394.60000002</v>
      </c>
      <c r="AR25" s="39">
        <f t="shared" si="12"/>
        <v>395768441.60000002</v>
      </c>
      <c r="AS25" s="39">
        <f t="shared" si="12"/>
        <v>413704222.60000002</v>
      </c>
      <c r="AT25" s="39">
        <f t="shared" si="12"/>
        <v>417404626.60000002</v>
      </c>
      <c r="AU25" s="39">
        <f t="shared" si="12"/>
        <v>420331962.60000002</v>
      </c>
      <c r="AV25" s="39">
        <f t="shared" si="12"/>
        <v>423585600.60000002</v>
      </c>
      <c r="AW25" s="39">
        <f t="shared" si="12"/>
        <v>426885688.60000002</v>
      </c>
      <c r="AX25" s="39">
        <f t="shared" si="12"/>
        <v>430201421.60000002</v>
      </c>
      <c r="AY25" s="39">
        <f t="shared" si="12"/>
        <v>433006816.60000002</v>
      </c>
      <c r="AZ25" s="39">
        <f t="shared" si="12"/>
        <v>436480046.60000002</v>
      </c>
      <c r="BA25" s="39">
        <f t="shared" si="12"/>
        <v>439099885.60000002</v>
      </c>
      <c r="BB25" s="39">
        <f t="shared" si="12"/>
        <v>442992794.60000002</v>
      </c>
      <c r="BC25" s="39">
        <f t="shared" si="12"/>
        <v>440982231.60000002</v>
      </c>
      <c r="BD25" s="39">
        <f t="shared" si="12"/>
        <v>444098151.60000002</v>
      </c>
      <c r="BE25" s="39">
        <f t="shared" si="12"/>
        <v>446257159.60000002</v>
      </c>
      <c r="BF25" s="39">
        <f t="shared" si="12"/>
        <v>447705598.60000002</v>
      </c>
      <c r="BG25" s="39">
        <f t="shared" si="12"/>
        <v>450747144.60000002</v>
      </c>
      <c r="BH25" s="39">
        <f t="shared" si="12"/>
        <v>454420937.60000002</v>
      </c>
      <c r="BI25" s="39">
        <f t="shared" si="12"/>
        <v>455590082.60000002</v>
      </c>
      <c r="BJ25" s="39">
        <f t="shared" si="12"/>
        <v>459648015.60000002</v>
      </c>
      <c r="BK25" s="39">
        <f t="shared" si="12"/>
        <v>463202808.60000002</v>
      </c>
      <c r="BL25" s="39">
        <f t="shared" si="12"/>
        <v>466779400.60000002</v>
      </c>
      <c r="BM25" s="39">
        <f t="shared" si="12"/>
        <v>463914599.60000002</v>
      </c>
      <c r="BN25" s="39">
        <f t="shared" si="12"/>
        <v>440455411.60000002</v>
      </c>
      <c r="BO25" s="39">
        <f t="shared" si="12"/>
        <v>431046431.60000002</v>
      </c>
      <c r="BP25" s="39">
        <f t="shared" si="12"/>
        <v>425765486.60000002</v>
      </c>
      <c r="BQ25" s="39">
        <f t="shared" si="12"/>
        <v>417614302.60000002</v>
      </c>
    </row>
    <row r="26" spans="2:69">
      <c r="B26" s="4"/>
      <c r="C26" s="4"/>
      <c r="D26" s="5" t="s">
        <v>88</v>
      </c>
      <c r="E26" s="8"/>
      <c r="F26" s="302" t="s">
        <v>174</v>
      </c>
      <c r="G26" s="10"/>
      <c r="H26" s="10"/>
      <c r="I26" s="10"/>
      <c r="J26" s="10"/>
      <c r="K26" s="1"/>
      <c r="L26" s="1"/>
      <c r="M26" s="1"/>
      <c r="N26" s="39">
        <f>【PL】決算数値入力!W26</f>
        <v>68125490</v>
      </c>
      <c r="O26" s="39">
        <f>【PL】決算数値入力!X26</f>
        <v>86729085</v>
      </c>
      <c r="P26" s="39">
        <f>【PL】決算数値入力!Y26</f>
        <v>77675517</v>
      </c>
      <c r="Q26" s="39">
        <f>【PL】決算数値入力!Z26</f>
        <v>81124641</v>
      </c>
      <c r="R26" s="39">
        <f>【PL】決算数値入力!AA26</f>
        <v>85901288</v>
      </c>
      <c r="S26" s="39">
        <f>【PL】決算数値入力!AB26</f>
        <v>69189920.900000006</v>
      </c>
      <c r="T26" s="39">
        <f>SUM(T27:T33)</f>
        <v>64166869.600000001</v>
      </c>
      <c r="U26" s="39">
        <f t="shared" ref="U26:BQ26" si="13">SUM(U27:U33)</f>
        <v>64698199.600000001</v>
      </c>
      <c r="V26" s="39">
        <f t="shared" si="13"/>
        <v>65210912.600000001</v>
      </c>
      <c r="W26" s="39">
        <f t="shared" si="13"/>
        <v>65733138.600000001</v>
      </c>
      <c r="X26" s="39">
        <f t="shared" si="13"/>
        <v>66261969.600000001</v>
      </c>
      <c r="Y26" s="39">
        <f t="shared" si="13"/>
        <v>66800190.600000001</v>
      </c>
      <c r="Z26" s="39">
        <f t="shared" si="13"/>
        <v>67324194.599999994</v>
      </c>
      <c r="AA26" s="39">
        <f t="shared" si="13"/>
        <v>67874655.599999994</v>
      </c>
      <c r="AB26" s="39">
        <f t="shared" si="13"/>
        <v>68431790.599999994</v>
      </c>
      <c r="AC26" s="39">
        <f t="shared" si="13"/>
        <v>68998328.599999994</v>
      </c>
      <c r="AD26" s="39">
        <f t="shared" si="13"/>
        <v>69566154.599999994</v>
      </c>
      <c r="AE26" s="39">
        <f t="shared" si="13"/>
        <v>70118325.599999994</v>
      </c>
      <c r="AF26" s="39">
        <f t="shared" si="13"/>
        <v>70704666.599999994</v>
      </c>
      <c r="AG26" s="39">
        <f t="shared" si="13"/>
        <v>71300234.599999994</v>
      </c>
      <c r="AH26" s="39">
        <f t="shared" si="13"/>
        <v>71897891.599999994</v>
      </c>
      <c r="AI26" s="39">
        <f t="shared" si="13"/>
        <v>72505125.599999994</v>
      </c>
      <c r="AJ26" s="39">
        <f t="shared" si="13"/>
        <v>73087148.599999994</v>
      </c>
      <c r="AK26" s="39">
        <f t="shared" si="13"/>
        <v>73712927.599999994</v>
      </c>
      <c r="AL26" s="39">
        <f t="shared" si="13"/>
        <v>74341581.599999994</v>
      </c>
      <c r="AM26" s="39">
        <f t="shared" si="13"/>
        <v>74979669.599999994</v>
      </c>
      <c r="AN26" s="39">
        <f t="shared" si="13"/>
        <v>75625107.599999994</v>
      </c>
      <c r="AO26" s="39">
        <f t="shared" si="13"/>
        <v>76243218.599999994</v>
      </c>
      <c r="AP26" s="39">
        <f t="shared" si="13"/>
        <v>76903077.599999994</v>
      </c>
      <c r="AQ26" s="39">
        <f t="shared" si="13"/>
        <v>77572457.599999994</v>
      </c>
      <c r="AR26" s="39">
        <f t="shared" si="13"/>
        <v>78249307.599999994</v>
      </c>
      <c r="AS26" s="39">
        <f t="shared" si="13"/>
        <v>78935733.599999994</v>
      </c>
      <c r="AT26" s="39">
        <f t="shared" si="13"/>
        <v>79587038.599999994</v>
      </c>
      <c r="AU26" s="39">
        <f t="shared" si="13"/>
        <v>80289009.599999994</v>
      </c>
      <c r="AV26" s="39">
        <f t="shared" si="13"/>
        <v>80998986.599999994</v>
      </c>
      <c r="AW26" s="39">
        <f t="shared" si="13"/>
        <v>81718485.599999994</v>
      </c>
      <c r="AX26" s="39">
        <f t="shared" si="13"/>
        <v>82442900.599999994</v>
      </c>
      <c r="AY26" s="39">
        <f t="shared" si="13"/>
        <v>83177010.599999994</v>
      </c>
      <c r="AZ26" s="39">
        <f t="shared" si="13"/>
        <v>83919272.599999994</v>
      </c>
      <c r="BA26" s="39">
        <f t="shared" si="13"/>
        <v>84671534.599999994</v>
      </c>
      <c r="BB26" s="39">
        <f t="shared" si="13"/>
        <v>85429018.599999994</v>
      </c>
      <c r="BC26" s="39">
        <f t="shared" si="13"/>
        <v>86196686.599999994</v>
      </c>
      <c r="BD26" s="39">
        <f t="shared" si="13"/>
        <v>86972870.599999994</v>
      </c>
      <c r="BE26" s="39">
        <f t="shared" si="13"/>
        <v>87759145.599999994</v>
      </c>
      <c r="BF26" s="39">
        <f t="shared" si="13"/>
        <v>88551368.599999994</v>
      </c>
      <c r="BG26" s="39">
        <f t="shared" si="13"/>
        <v>89353871.599999994</v>
      </c>
      <c r="BH26" s="39">
        <f t="shared" si="13"/>
        <v>90165475.599999994</v>
      </c>
      <c r="BI26" s="39">
        <f t="shared" si="13"/>
        <v>90987486.599999994</v>
      </c>
      <c r="BJ26" s="39">
        <f t="shared" si="13"/>
        <v>91815771.599999994</v>
      </c>
      <c r="BK26" s="39">
        <f t="shared" si="13"/>
        <v>92654864.599999994</v>
      </c>
      <c r="BL26" s="39">
        <f t="shared" si="13"/>
        <v>93503253.599999994</v>
      </c>
      <c r="BM26" s="39">
        <f t="shared" si="13"/>
        <v>94362385.599999994</v>
      </c>
      <c r="BN26" s="39">
        <f t="shared" si="13"/>
        <v>95228532.599999994</v>
      </c>
      <c r="BO26" s="39">
        <f t="shared" si="13"/>
        <v>96105630.599999994</v>
      </c>
      <c r="BP26" s="39">
        <f t="shared" si="13"/>
        <v>96992442.599999994</v>
      </c>
      <c r="BQ26" s="39">
        <f t="shared" si="13"/>
        <v>97890555.599999994</v>
      </c>
    </row>
    <row r="27" spans="2:69">
      <c r="B27" s="4"/>
      <c r="C27" s="4"/>
      <c r="D27" s="4"/>
      <c r="E27" s="1" t="s">
        <v>89</v>
      </c>
      <c r="F27" s="303"/>
      <c r="G27" s="10"/>
      <c r="H27" s="10" t="s">
        <v>166</v>
      </c>
      <c r="I27" s="10"/>
      <c r="J27" s="10"/>
      <c r="K27" s="1" t="s">
        <v>562</v>
      </c>
      <c r="L27" s="10" t="s">
        <v>166</v>
      </c>
      <c r="M27" s="1"/>
      <c r="N27" s="39">
        <f>【PL】決算数値入力!W27</f>
        <v>6871890</v>
      </c>
      <c r="O27" s="39">
        <f>【PL】決算数値入力!X27</f>
        <v>6834594</v>
      </c>
      <c r="P27" s="39">
        <f>【PL】決算数値入力!Y27</f>
        <v>6604994</v>
      </c>
      <c r="Q27" s="39">
        <f>【PL】決算数値入力!Z27</f>
        <v>6808256</v>
      </c>
      <c r="R27" s="39">
        <f>【PL】決算数値入力!AA27</f>
        <v>6912531</v>
      </c>
      <c r="S27" s="39">
        <f>【PL】決算数値入力!AB27</f>
        <v>7539318.4000000004</v>
      </c>
      <c r="T27" s="39">
        <f>ROUND(S27*(1+物価上昇率!$H$9),0)</f>
        <v>7622251</v>
      </c>
      <c r="U27" s="39">
        <f>ROUND(T27*(1+物価上昇率!$H$9),0)</f>
        <v>7706096</v>
      </c>
      <c r="V27" s="39">
        <f>ROUND(U27*(1+物価上昇率!$H$9),0)</f>
        <v>7790863</v>
      </c>
      <c r="W27" s="39">
        <f>ROUND(V27*(1+物価上昇率!$H$9),0)</f>
        <v>7876562</v>
      </c>
      <c r="X27" s="39">
        <f>ROUND(W27*(1+物価上昇率!$H$9),0)</f>
        <v>7963204</v>
      </c>
      <c r="Y27" s="39">
        <f>ROUND(X27*(1+物価上昇率!$H$9),0)</f>
        <v>8050799</v>
      </c>
      <c r="Z27" s="39">
        <f>ROUND(Y27*(1+物価上昇率!$H$9),0)</f>
        <v>8139358</v>
      </c>
      <c r="AA27" s="39">
        <f>ROUND(Z27*(1+物価上昇率!$H$9),0)</f>
        <v>8228891</v>
      </c>
      <c r="AB27" s="39">
        <f>ROUND(AA27*(1+物価上昇率!$H$9),0)</f>
        <v>8319409</v>
      </c>
      <c r="AC27" s="39">
        <f>ROUND(AB27*(1+物価上昇率!$H$9),0)</f>
        <v>8410922</v>
      </c>
      <c r="AD27" s="39">
        <f>ROUND(AC27*(1+物価上昇率!$H$9),0)</f>
        <v>8503442</v>
      </c>
      <c r="AE27" s="39">
        <f>ROUND(AD27*(1+物価上昇率!$H$9),0)</f>
        <v>8596980</v>
      </c>
      <c r="AF27" s="39">
        <f>ROUND(AE27*(1+物価上昇率!$H$9),0)</f>
        <v>8691547</v>
      </c>
      <c r="AG27" s="39">
        <f>ROUND(AF27*(1+物価上昇率!$H$9),0)</f>
        <v>8787154</v>
      </c>
      <c r="AH27" s="39">
        <f>ROUND(AG27*(1+物価上昇率!$H$9),0)</f>
        <v>8883813</v>
      </c>
      <c r="AI27" s="39">
        <f>ROUND(AH27*(1+物価上昇率!$H$9),0)</f>
        <v>8981535</v>
      </c>
      <c r="AJ27" s="39">
        <f>ROUND(AI27*(1+物価上昇率!$H$9),0)</f>
        <v>9080332</v>
      </c>
      <c r="AK27" s="39">
        <f>ROUND(AJ27*(1+物価上昇率!$H$9),0)</f>
        <v>9180216</v>
      </c>
      <c r="AL27" s="39">
        <f>ROUND(AK27*(1+物価上昇率!$H$9),0)</f>
        <v>9281198</v>
      </c>
      <c r="AM27" s="39">
        <f>ROUND(AL27*(1+物価上昇率!$H$9),0)</f>
        <v>9383291</v>
      </c>
      <c r="AN27" s="39">
        <f>ROUND(AM27*(1+物価上昇率!$H$9),0)</f>
        <v>9486507</v>
      </c>
      <c r="AO27" s="39">
        <f>ROUND(AN27*(1+物価上昇率!$H$9),0)</f>
        <v>9590859</v>
      </c>
      <c r="AP27" s="39">
        <f>ROUND(AO27*(1+物価上昇率!$H$9),0)</f>
        <v>9696358</v>
      </c>
      <c r="AQ27" s="39">
        <f>ROUND(AP27*(1+物価上昇率!$H$9),0)</f>
        <v>9803018</v>
      </c>
      <c r="AR27" s="39">
        <f>ROUND(AQ27*(1+物価上昇率!$H$9),0)</f>
        <v>9910851</v>
      </c>
      <c r="AS27" s="39">
        <f>ROUND(AR27*(1+物価上昇率!$H$9),0)</f>
        <v>10019870</v>
      </c>
      <c r="AT27" s="39">
        <f>ROUND(AS27*(1+物価上昇率!$H$9),0)</f>
        <v>10130089</v>
      </c>
      <c r="AU27" s="39">
        <f>ROUND(AT27*(1+物価上昇率!$H$9),0)</f>
        <v>10241520</v>
      </c>
      <c r="AV27" s="39">
        <f>ROUND(AU27*(1+物価上昇率!$H$9),0)</f>
        <v>10354177</v>
      </c>
      <c r="AW27" s="39">
        <f>ROUND(AV27*(1+物価上昇率!$H$9),0)</f>
        <v>10468073</v>
      </c>
      <c r="AX27" s="39">
        <f>ROUND(AW27*(1+物価上昇率!$H$9),0)</f>
        <v>10583222</v>
      </c>
      <c r="AY27" s="39">
        <f>ROUND(AX27*(1+物価上昇率!$H$9),0)</f>
        <v>10699637</v>
      </c>
      <c r="AZ27" s="39">
        <f>ROUND(AY27*(1+物価上昇率!$H$9),0)</f>
        <v>10817333</v>
      </c>
      <c r="BA27" s="39">
        <f>ROUND(AZ27*(1+物価上昇率!$H$9),0)</f>
        <v>10936324</v>
      </c>
      <c r="BB27" s="39">
        <f>ROUND(BA27*(1+物価上昇率!$H$9),0)</f>
        <v>11056624</v>
      </c>
      <c r="BC27" s="39">
        <f>ROUND(BB27*(1+物価上昇率!$H$9),0)</f>
        <v>11178247</v>
      </c>
      <c r="BD27" s="39">
        <f>ROUND(BC27*(1+物価上昇率!$H$9),0)</f>
        <v>11301208</v>
      </c>
      <c r="BE27" s="39">
        <f>ROUND(BD27*(1+物価上昇率!$H$9),0)</f>
        <v>11425521</v>
      </c>
      <c r="BF27" s="39">
        <f>ROUND(BE27*(1+物価上昇率!$H$9),0)</f>
        <v>11551202</v>
      </c>
      <c r="BG27" s="39">
        <f>ROUND(BF27*(1+物価上昇率!$H$9),0)</f>
        <v>11678265</v>
      </c>
      <c r="BH27" s="39">
        <f>ROUND(BG27*(1+物価上昇率!$H$9),0)</f>
        <v>11806726</v>
      </c>
      <c r="BI27" s="39">
        <f>ROUND(BH27*(1+物価上昇率!$H$9),0)</f>
        <v>11936600</v>
      </c>
      <c r="BJ27" s="39">
        <f>ROUND(BI27*(1+物価上昇率!$H$9),0)</f>
        <v>12067903</v>
      </c>
      <c r="BK27" s="39">
        <f>ROUND(BJ27*(1+物価上昇率!$H$9),0)</f>
        <v>12200650</v>
      </c>
      <c r="BL27" s="39">
        <f>ROUND(BK27*(1+物価上昇率!$H$9),0)</f>
        <v>12334857</v>
      </c>
      <c r="BM27" s="39">
        <f>ROUND(BL27*(1+物価上昇率!$H$9),0)</f>
        <v>12470540</v>
      </c>
      <c r="BN27" s="39">
        <f>ROUND(BM27*(1+物価上昇率!$H$9),0)</f>
        <v>12607716</v>
      </c>
      <c r="BO27" s="39">
        <f>ROUND(BN27*(1+物価上昇率!$H$9),0)</f>
        <v>12746401</v>
      </c>
      <c r="BP27" s="39">
        <f>ROUND(BO27*(1+物価上昇率!$H$9),0)</f>
        <v>12886611</v>
      </c>
      <c r="BQ27" s="39">
        <f>ROUND(BP27*(1+物価上昇率!$H$9),0)</f>
        <v>13028364</v>
      </c>
    </row>
    <row r="28" spans="2:69">
      <c r="B28" s="4"/>
      <c r="C28" s="4"/>
      <c r="D28" s="4"/>
      <c r="E28" s="1" t="s">
        <v>96</v>
      </c>
      <c r="F28" s="303"/>
      <c r="G28" s="10"/>
      <c r="H28" s="10"/>
      <c r="I28" s="10" t="s">
        <v>166</v>
      </c>
      <c r="J28" s="10"/>
      <c r="K28" s="1" t="s">
        <v>561</v>
      </c>
      <c r="L28" s="10" t="s">
        <v>166</v>
      </c>
      <c r="M28" s="1"/>
      <c r="N28" s="39">
        <f>【PL】決算数値入力!W28</f>
        <v>2543653</v>
      </c>
      <c r="O28" s="39">
        <f>【PL】決算数値入力!X28</f>
        <v>6880183</v>
      </c>
      <c r="P28" s="39">
        <f>【PL】決算数値入力!Y28</f>
        <v>7599848</v>
      </c>
      <c r="Q28" s="39">
        <f>【PL】決算数値入力!Z28</f>
        <v>9405448</v>
      </c>
      <c r="R28" s="39">
        <f>【PL】決算数値入力!AA28</f>
        <v>8392602</v>
      </c>
      <c r="S28" s="39">
        <f>【PL】決算数値入力!AB28</f>
        <v>4481765.5999999996</v>
      </c>
      <c r="T28" s="39">
        <f>ROUND(SUM(【PL】決算数値入力!$AB$28)/SUM(【収益】水需要予測!$N$19:$W$19),0)*【収益】水需要予測!Y21</f>
        <v>924716</v>
      </c>
      <c r="U28" s="39">
        <f>ROUND(SUM(【PL】決算数値入力!$AB$28)/SUM(【収益】水需要予測!$N$19:$W$19),0)*【収益】水需要予測!Z21</f>
        <v>922751</v>
      </c>
      <c r="V28" s="39">
        <f>ROUND(SUM(【PL】決算数値入力!$AB$28)/SUM(【収益】水需要予測!$N$19:$W$19),0)*【収益】水需要予測!AA21</f>
        <v>901322</v>
      </c>
      <c r="W28" s="39">
        <f>ROUND(SUM(【PL】決算数値入力!$AB$28)/SUM(【収益】水需要予測!$N$19:$W$19),0)*【収益】水需要予測!AB21</f>
        <v>882735</v>
      </c>
      <c r="X28" s="39">
        <f>ROUND(SUM(【PL】決算数値入力!$AB$28)/SUM(【収益】水需要予測!$N$19:$W$19),0)*【収益】水需要予測!AC21</f>
        <v>864628</v>
      </c>
      <c r="Y28" s="39">
        <f>ROUND(SUM(【PL】決算数値入力!$AB$28)/SUM(【収益】水需要予測!$N$19:$W$19),0)*【収益】水需要予測!AD21</f>
        <v>849162</v>
      </c>
      <c r="Z28" s="39">
        <f>ROUND(SUM(【PL】決算数値入力!$AB$28)/SUM(【収益】水需要予測!$N$19:$W$19),0)*【収益】水需要予測!AE21</f>
        <v>817519</v>
      </c>
      <c r="AA28" s="39">
        <f>ROUND(SUM(【PL】決算数値入力!$AB$28)/SUM(【収益】水需要予測!$N$19:$W$19),0)*【収益】水需要予測!AF21</f>
        <v>801976</v>
      </c>
      <c r="AB28" s="39">
        <f>ROUND(SUM(【PL】決算数値入力!$AB$28)/SUM(【収益】水需要予測!$N$19:$W$19),0)*【収益】水需要予測!AG21</f>
        <v>786754</v>
      </c>
      <c r="AC28" s="39">
        <f>ROUND(SUM(【PL】決算数値入力!$AB$28)/SUM(【収益】水需要予測!$N$19:$W$19),0)*【収益】水需要予測!AH21</f>
        <v>773967</v>
      </c>
      <c r="AD28" s="39">
        <f>ROUND(SUM(【PL】決算数値入力!$AB$28)/SUM(【収益】水需要予測!$N$19:$W$19),0)*【収益】水需要予測!AI21</f>
        <v>757110</v>
      </c>
      <c r="AE28" s="39">
        <f>ROUND(SUM(【PL】決算数値入力!$AB$28)/SUM(【収益】水需要予測!$N$19:$W$19),0)*【収益】水需要予測!AJ21</f>
        <v>722660</v>
      </c>
      <c r="AF28" s="39">
        <f>ROUND(SUM(【PL】決算数値入力!$AB$28)/SUM(【収益】水需要予測!$N$19:$W$19),0)*【収益】水需要予測!AK21</f>
        <v>710162</v>
      </c>
      <c r="AG28" s="39">
        <f>ROUND(SUM(【PL】決算数値入力!$AB$28)/SUM(【収益】水需要予測!$N$19:$W$19),0)*【収益】水需要予測!AL21</f>
        <v>699735</v>
      </c>
      <c r="AH28" s="39">
        <f>ROUND(SUM(【PL】決算数値入力!$AB$28)/SUM(【収益】水需要予測!$N$19:$W$19),0)*【収益】水需要予測!AM21</f>
        <v>685646</v>
      </c>
      <c r="AI28" s="39">
        <f>ROUND(SUM(【PL】決算数値入力!$AB$28)/SUM(【収益】水需要予測!$N$19:$W$19),0)*【収益】水需要予測!AN21</f>
        <v>673788</v>
      </c>
      <c r="AJ28" s="39">
        <f>ROUND(SUM(【PL】決算数値入力!$AB$28)/SUM(【収益】水需要予測!$N$19:$W$19),0)*【収益】水需要予測!AO21</f>
        <v>636453</v>
      </c>
      <c r="AK28" s="39">
        <f>ROUND(SUM(【PL】決算数値入力!$AB$28)/SUM(【収益】水需要予測!$N$19:$W$19),0)*【収益】水需要予測!AP21</f>
        <v>628396</v>
      </c>
      <c r="AL28" s="39">
        <f>ROUND(SUM(【PL】決算数値入力!$AB$28)/SUM(【収益】水需要予測!$N$19:$W$19),0)*【収益】水需要予測!AQ21</f>
        <v>617065</v>
      </c>
      <c r="AM28" s="39">
        <f>ROUND(SUM(【PL】決算数値入力!$AB$28)/SUM(【収益】水需要予測!$N$19:$W$19),0)*【収益】水需要予測!AR21</f>
        <v>607611</v>
      </c>
      <c r="AN28" s="39">
        <f>ROUND(SUM(【PL】決算数値入力!$AB$28)/SUM(【収益】水需要予測!$N$19:$W$19),0)*【収益】水需要予測!AS21</f>
        <v>598317</v>
      </c>
      <c r="AO28" s="39">
        <f>ROUND(SUM(【PL】決算数値入力!$AB$28)/SUM(【収益】水需要予測!$N$19:$W$19),0)*【収益】水需要予測!AT21</f>
        <v>561556</v>
      </c>
      <c r="AP28" s="39">
        <f>ROUND(SUM(【PL】決算数値入力!$AB$28)/SUM(【収益】水需要予測!$N$19:$W$19),0)*【収益】水需要予測!AU21</f>
        <v>552170</v>
      </c>
      <c r="AQ28" s="39">
        <f>ROUND(SUM(【PL】決算数値入力!$AB$28)/SUM(【収益】水需要予測!$N$19:$W$19),0)*【収益】水需要予測!AV21</f>
        <v>544479</v>
      </c>
      <c r="AR28" s="39">
        <f>ROUND(SUM(【PL】決算数値入力!$AB$28)/SUM(【収益】水需要予測!$N$19:$W$19),0)*【収益】水需要予測!AW21</f>
        <v>536787</v>
      </c>
      <c r="AS28" s="39">
        <f>ROUND(SUM(【PL】決算数値入力!$AB$28)/SUM(【収益】水需要予測!$N$19:$W$19),0)*【収益】水需要予測!AX21</f>
        <v>530706</v>
      </c>
      <c r="AT28" s="39">
        <f>ROUND(SUM(【PL】決算数値入力!$AB$28)/SUM(【収益】水需要予測!$N$19:$W$19),0)*【収益】水需要予測!AY21</f>
        <v>490640</v>
      </c>
      <c r="AU28" s="39">
        <f>ROUND(SUM(【PL】決算数値入力!$AB$28)/SUM(【収益】水需要予測!$N$19:$W$19),0)*【収益】水需要予測!AZ21</f>
        <v>484711</v>
      </c>
      <c r="AV28" s="39">
        <f>ROUND(SUM(【PL】決算数値入力!$AB$28)/SUM(【収益】水需要予測!$N$19:$W$19),0)*【収益】水需要予測!BA21</f>
        <v>478942</v>
      </c>
      <c r="AW28" s="39">
        <f>ROUND(SUM(【PL】決算数値入力!$AB$28)/SUM(【収益】水需要予測!$N$19:$W$19),0)*【収益】水需要予測!BB21</f>
        <v>474470</v>
      </c>
      <c r="AX28" s="39">
        <f>ROUND(SUM(【PL】決算数値入力!$AB$28)/SUM(【収益】水需要予測!$N$19:$W$19),0)*【収益】水需要予測!BC21</f>
        <v>467566</v>
      </c>
      <c r="AY28" s="39">
        <f>ROUND(SUM(【PL】決算数値入力!$AB$28)/SUM(【収益】水需要予測!$N$19:$W$19),0)*【収益】水需要予測!BD21</f>
        <v>461958</v>
      </c>
      <c r="AZ28" s="39">
        <f>ROUND(SUM(【PL】決算数値入力!$AB$28)/SUM(【収益】水需要予測!$N$19:$W$19),0)*【収益】水需要予測!BE21</f>
        <v>456349</v>
      </c>
      <c r="BA28" s="39">
        <f>ROUND(SUM(【PL】決算数値入力!$AB$28)/SUM(【収益】水需要予測!$N$19:$W$19),0)*【収益】水需要予測!BF21</f>
        <v>452137</v>
      </c>
      <c r="BB28" s="39">
        <f>ROUND(SUM(【PL】決算数値入力!$AB$28)/SUM(【収益】水需要予測!$N$19:$W$19),0)*【収益】水需要予測!BG21</f>
        <v>445453</v>
      </c>
      <c r="BC28" s="39">
        <f>ROUND(SUM(【PL】決算数値入力!$AB$28)/SUM(【収益】水需要予測!$N$19:$W$19),0)*【収益】水需要予測!BH21</f>
        <v>440166</v>
      </c>
      <c r="BD28" s="39">
        <f>ROUND(SUM(【PL】決算数値入力!$AB$28)/SUM(【収益】水需要予測!$N$19:$W$19),0)*【収益】水需要予測!BI21</f>
        <v>434878</v>
      </c>
      <c r="BE28" s="39">
        <f>ROUND(SUM(【PL】決算数値入力!$AB$28)/SUM(【収益】水需要予測!$N$19:$W$19),0)*【収益】水需要予測!BJ21</f>
        <v>430767</v>
      </c>
      <c r="BF28" s="39">
        <f>ROUND(SUM(【PL】決算数値入力!$AB$28)/SUM(【収益】水需要予測!$N$19:$W$19),0)*【収益】水需要予測!BK21</f>
        <v>424463</v>
      </c>
      <c r="BG28" s="39">
        <f>ROUND(SUM(【PL】決算数値入力!$AB$28)/SUM(【収益】水需要予測!$N$19:$W$19),0)*【収益】水需要予測!BL21</f>
        <v>419335</v>
      </c>
      <c r="BH28" s="39">
        <f>ROUND(SUM(【PL】決算数値入力!$AB$28)/SUM(【収益】水需要予測!$N$19:$W$19),0)*【収益】水需要予測!BM21</f>
        <v>414368</v>
      </c>
      <c r="BI28" s="39">
        <f>ROUND(SUM(【PL】決算数値入力!$AB$28)/SUM(【収益】水需要予測!$N$19:$W$19),0)*【収益】水需要予測!BN21</f>
        <v>410522</v>
      </c>
      <c r="BJ28" s="39">
        <f>ROUND(SUM(【PL】決算数値入力!$AB$28)/SUM(【収益】水需要予測!$N$19:$W$19),0)*【収益】水需要予測!BO21</f>
        <v>404433</v>
      </c>
      <c r="BK28" s="39">
        <f>ROUND(SUM(【PL】決算数値入力!$AB$28)/SUM(【収益】水需要予測!$N$19:$W$19),0)*【収益】水需要予測!BP21</f>
        <v>399626</v>
      </c>
      <c r="BL28" s="39">
        <f>ROUND(SUM(【PL】決算数値入力!$AB$28)/SUM(【収益】水需要予測!$N$19:$W$19),0)*【収益】水需要予測!BQ21</f>
        <v>394819</v>
      </c>
      <c r="BM28" s="39">
        <f>ROUND(SUM(【PL】決算数値入力!$AB$28)/SUM(【収益】水需要予測!$N$19:$W$19),0)*【収益】水需要予測!BR21</f>
        <v>391081</v>
      </c>
      <c r="BN28" s="39">
        <f>ROUND(SUM(【PL】決算数値入力!$AB$28)/SUM(【収益】水需要予測!$N$19:$W$19),0)*【収益】水需要予測!BS21</f>
        <v>385365</v>
      </c>
      <c r="BO28" s="39">
        <f>ROUND(SUM(【PL】決算数値入力!$AB$28)/SUM(【収益】水需要予測!$N$19:$W$19),0)*【収益】水需要予測!BT21</f>
        <v>380718</v>
      </c>
      <c r="BP28" s="39">
        <f>ROUND(SUM(【PL】決算数値入力!$AB$28)/SUM(【収益】水需要予測!$N$19:$W$19),0)*【収益】水需要予測!BU21</f>
        <v>376072</v>
      </c>
      <c r="BQ28" s="39">
        <f>ROUND(SUM(【PL】決算数値入力!$AB$28)/SUM(【収益】水需要予測!$N$19:$W$19),0)*【収益】水需要予測!BV21</f>
        <v>372603</v>
      </c>
    </row>
    <row r="29" spans="2:69">
      <c r="B29" s="4"/>
      <c r="C29" s="4"/>
      <c r="D29" s="4"/>
      <c r="E29" s="1" t="s">
        <v>90</v>
      </c>
      <c r="F29" s="303"/>
      <c r="G29" s="10"/>
      <c r="H29" s="10"/>
      <c r="I29" s="10" t="s">
        <v>166</v>
      </c>
      <c r="J29" s="10"/>
      <c r="K29" s="1" t="s">
        <v>561</v>
      </c>
      <c r="L29" s="10" t="s">
        <v>166</v>
      </c>
      <c r="M29" s="1"/>
      <c r="N29" s="39">
        <f>【PL】決算数値入力!W29</f>
        <v>2231130</v>
      </c>
      <c r="O29" s="39">
        <f>【PL】決算数値入力!X29</f>
        <v>2383550</v>
      </c>
      <c r="P29" s="39">
        <f>【PL】決算数値入力!Y29</f>
        <v>2505150</v>
      </c>
      <c r="Q29" s="39">
        <f>【PL】決算数値入力!Z29</f>
        <v>2578200</v>
      </c>
      <c r="R29" s="39">
        <f>【PL】決算数値入力!AA29</f>
        <v>3328640</v>
      </c>
      <c r="S29" s="39">
        <f>【PL】決算数値入力!AB29</f>
        <v>2232707.9</v>
      </c>
      <c r="T29" s="39">
        <f>ROUND(SUM(【PL】決算数値入力!$AB$29)/SUM(【収益】水需要予測!$N$19:$W$19)*【収益】水需要予測!Y21,0)</f>
        <v>238712</v>
      </c>
      <c r="U29" s="39">
        <f>ROUND(SUM(【PL】決算数値入力!$AB$29)/SUM(【収益】水需要予測!$N$19:$W$19)*【収益】水需要予測!Z21,0)</f>
        <v>238205</v>
      </c>
      <c r="V29" s="39">
        <f>ROUND(SUM(【PL】決算数値入力!$AB$29)/SUM(【収益】水需要予測!$N$19:$W$19)*【収益】水需要予測!AA21,0)</f>
        <v>232673</v>
      </c>
      <c r="W29" s="39">
        <f>ROUND(SUM(【PL】決算数値入力!$AB$29)/SUM(【収益】水需要予測!$N$19:$W$19)*【収益】水需要予測!AB21,0)</f>
        <v>227875</v>
      </c>
      <c r="X29" s="39">
        <f>ROUND(SUM(【PL】決算数値入力!$AB$29)/SUM(【収益】水需要予測!$N$19:$W$19)*【収益】水需要予測!AC21,0)</f>
        <v>223201</v>
      </c>
      <c r="Y29" s="39">
        <f>ROUND(SUM(【PL】決算数値入力!$AB$29)/SUM(【収益】水需要予測!$N$19:$W$19)*【収益】水需要予測!AD21,0)</f>
        <v>219208</v>
      </c>
      <c r="Z29" s="39">
        <f>ROUND(SUM(【PL】決算数値入力!$AB$29)/SUM(【収益】水需要予測!$N$19:$W$19)*【収益】水需要予測!AE21,0)</f>
        <v>211040</v>
      </c>
      <c r="AA29" s="39">
        <f>ROUND(SUM(【PL】決算数値入力!$AB$29)/SUM(【収益】水需要予測!$N$19:$W$19)*【収益】水需要予測!AF21,0)</f>
        <v>207027</v>
      </c>
      <c r="AB29" s="39">
        <f>ROUND(SUM(【PL】決算数値入力!$AB$29)/SUM(【収益】水需要予測!$N$19:$W$19)*【収益】水需要予測!AG21,0)</f>
        <v>203098</v>
      </c>
      <c r="AC29" s="39">
        <f>ROUND(SUM(【PL】決算数値入力!$AB$29)/SUM(【収益】水需要予測!$N$19:$W$19)*【収益】水需要予測!AH21,0)</f>
        <v>199797</v>
      </c>
      <c r="AD29" s="39">
        <f>ROUND(SUM(【PL】決算数値入力!$AB$29)/SUM(【収益】水需要予測!$N$19:$W$19)*【収益】水需要予測!AI21,0)</f>
        <v>195445</v>
      </c>
      <c r="AE29" s="39">
        <f>ROUND(SUM(【PL】決算数値入力!$AB$29)/SUM(【収益】水需要予測!$N$19:$W$19)*【収益】水需要予測!AJ21,0)</f>
        <v>186552</v>
      </c>
      <c r="AF29" s="39">
        <f>ROUND(SUM(【PL】決算数値入力!$AB$29)/SUM(【収益】水需要予測!$N$19:$W$19)*【収益】水需要予測!AK21,0)</f>
        <v>183326</v>
      </c>
      <c r="AG29" s="39">
        <f>ROUND(SUM(【PL】決算数値入力!$AB$29)/SUM(【収益】水需要予測!$N$19:$W$19)*【収益】水需要予測!AL21,0)</f>
        <v>180634</v>
      </c>
      <c r="AH29" s="39">
        <f>ROUND(SUM(【PL】決算数値入力!$AB$29)/SUM(【収益】水需要予測!$N$19:$W$19)*【収益】水需要予測!AM21,0)</f>
        <v>176997</v>
      </c>
      <c r="AI29" s="39">
        <f>ROUND(SUM(【PL】決算数値入力!$AB$29)/SUM(【収益】水需要予測!$N$19:$W$19)*【収益】水需要予測!AN21,0)</f>
        <v>173936</v>
      </c>
      <c r="AJ29" s="39">
        <f>ROUND(SUM(【PL】決算数値入力!$AB$29)/SUM(【収益】水需要予測!$N$19:$W$19)*【収益】水需要予測!AO21,0)</f>
        <v>164298</v>
      </c>
      <c r="AK29" s="39">
        <f>ROUND(SUM(【PL】決算数値入力!$AB$29)/SUM(【収益】水需要予測!$N$19:$W$19)*【収益】水需要予測!AP21,0)</f>
        <v>162218</v>
      </c>
      <c r="AL29" s="39">
        <f>ROUND(SUM(【PL】決算数値入力!$AB$29)/SUM(【収益】水需要予測!$N$19:$W$19)*【収益】水需要予測!AQ21,0)</f>
        <v>159293</v>
      </c>
      <c r="AM29" s="39">
        <f>ROUND(SUM(【PL】決算数値入力!$AB$29)/SUM(【収益】水需要予測!$N$19:$W$19)*【収益】水需要予測!AR21,0)</f>
        <v>156853</v>
      </c>
      <c r="AN29" s="39">
        <f>ROUND(SUM(【PL】決算数値入力!$AB$29)/SUM(【収益】水需要予測!$N$19:$W$19)*【収益】水需要予測!AS21,0)</f>
        <v>154453</v>
      </c>
      <c r="AO29" s="39">
        <f>ROUND(SUM(【PL】決算数値入力!$AB$29)/SUM(【収益】水需要予測!$N$19:$W$19)*【収益】水需要予測!AT21,0)</f>
        <v>144964</v>
      </c>
      <c r="AP29" s="39">
        <f>ROUND(SUM(【PL】決算数値入力!$AB$29)/SUM(【収益】水需要予測!$N$19:$W$19)*【収益】水需要予測!AU21,0)</f>
        <v>142541</v>
      </c>
      <c r="AQ29" s="39">
        <f>ROUND(SUM(【PL】決算数値入力!$AB$29)/SUM(【収益】水需要予測!$N$19:$W$19)*【収益】水需要予測!AV21,0)</f>
        <v>140555</v>
      </c>
      <c r="AR29" s="39">
        <f>ROUND(SUM(【PL】決算数値入力!$AB$29)/SUM(【収益】水需要予測!$N$19:$W$19)*【収益】水需要予測!AW21,0)</f>
        <v>138570</v>
      </c>
      <c r="AS29" s="39">
        <f>ROUND(SUM(【PL】決算数値入力!$AB$29)/SUM(【収益】水需要予測!$N$19:$W$19)*【収益】水需要予測!AX21,0)</f>
        <v>137000</v>
      </c>
      <c r="AT29" s="39">
        <f>ROUND(SUM(【PL】決算数値入力!$AB$29)/SUM(【収益】水需要予測!$N$19:$W$19)*【収益】水需要予測!AY21,0)</f>
        <v>126657</v>
      </c>
      <c r="AU29" s="39">
        <f>ROUND(SUM(【PL】決算数値入力!$AB$29)/SUM(【収益】水需要予測!$N$19:$W$19)*【収益】水需要予測!AZ21,0)</f>
        <v>125126</v>
      </c>
      <c r="AV29" s="39">
        <f>ROUND(SUM(【PL】決算数値入力!$AB$29)/SUM(【収益】水需要予測!$N$19:$W$19)*【収益】水需要予測!BA21,0)</f>
        <v>123637</v>
      </c>
      <c r="AW29" s="39">
        <f>ROUND(SUM(【PL】決算数値入力!$AB$29)/SUM(【収益】水需要予測!$N$19:$W$19)*【収益】水需要予測!BB21,0)</f>
        <v>122483</v>
      </c>
      <c r="AX29" s="39">
        <f>ROUND(SUM(【PL】決算数値入力!$AB$29)/SUM(【収益】水需要予測!$N$19:$W$19)*【収益】水需要予測!BC21,0)</f>
        <v>120700</v>
      </c>
      <c r="AY29" s="39">
        <f>ROUND(SUM(【PL】決算数値入力!$AB$29)/SUM(【収益】水需要予測!$N$19:$W$19)*【収益】水需要予測!BD21,0)</f>
        <v>119253</v>
      </c>
      <c r="AZ29" s="39">
        <f>ROUND(SUM(【PL】決算数値入力!$AB$29)/SUM(【収益】水需要予測!$N$19:$W$19)*【収益】水需要予測!BE21,0)</f>
        <v>117805</v>
      </c>
      <c r="BA29" s="39">
        <f>ROUND(SUM(【PL】決算数値入力!$AB$29)/SUM(【収益】水需要予測!$N$19:$W$19)*【収益】水需要予測!BF21,0)</f>
        <v>116718</v>
      </c>
      <c r="BB29" s="39">
        <f>ROUND(SUM(【PL】決算数値入力!$AB$29)/SUM(【収益】水需要予測!$N$19:$W$19)*【収益】水需要予測!BG21,0)</f>
        <v>114992</v>
      </c>
      <c r="BC29" s="39">
        <f>ROUND(SUM(【PL】決算数値入力!$AB$29)/SUM(【収益】水需要予測!$N$19:$W$19)*【収益】水需要予測!BH21,0)</f>
        <v>113627</v>
      </c>
      <c r="BD29" s="39">
        <f>ROUND(SUM(【PL】決算数値入力!$AB$29)/SUM(【収益】水需要予測!$N$19:$W$19)*【収益】水需要予測!BI21,0)</f>
        <v>112262</v>
      </c>
      <c r="BE29" s="39">
        <f>ROUND(SUM(【PL】決算数値入力!$AB$29)/SUM(【収益】水需要予測!$N$19:$W$19)*【収益】水需要予測!BJ21,0)</f>
        <v>111201</v>
      </c>
      <c r="BF29" s="39">
        <f>ROUND(SUM(【PL】決算数値入力!$AB$29)/SUM(【収益】水需要予測!$N$19:$W$19)*【収益】水需要予測!BK21,0)</f>
        <v>109574</v>
      </c>
      <c r="BG29" s="39">
        <f>ROUND(SUM(【PL】決算数値入力!$AB$29)/SUM(【収益】水需要予測!$N$19:$W$19)*【収益】水需要予測!BL21,0)</f>
        <v>108250</v>
      </c>
      <c r="BH29" s="39">
        <f>ROUND(SUM(【PL】決算数値入力!$AB$29)/SUM(【収益】水需要予測!$N$19:$W$19)*【収益】水需要予測!BM21,0)</f>
        <v>106968</v>
      </c>
      <c r="BI29" s="39">
        <f>ROUND(SUM(【PL】決算数値入力!$AB$29)/SUM(【収益】水需要予測!$N$19:$W$19)*【収益】水需要予測!BN21,0)</f>
        <v>105975</v>
      </c>
      <c r="BJ29" s="39">
        <f>ROUND(SUM(【PL】決算数値入力!$AB$29)/SUM(【収益】水需要予測!$N$19:$W$19)*【収益】水需要予測!BO21,0)</f>
        <v>104403</v>
      </c>
      <c r="BK29" s="39">
        <f>ROUND(SUM(【PL】決算数値入力!$AB$29)/SUM(【収益】水需要予測!$N$19:$W$19)*【収益】水需要予測!BP21,0)</f>
        <v>103162</v>
      </c>
      <c r="BL29" s="39">
        <f>ROUND(SUM(【PL】決算数値入力!$AB$29)/SUM(【収益】水需要予測!$N$19:$W$19)*【収益】水需要予測!BQ21,0)</f>
        <v>101921</v>
      </c>
      <c r="BM29" s="39">
        <f>ROUND(SUM(【PL】決算数値入力!$AB$29)/SUM(【収益】水需要予測!$N$19:$W$19)*【収益】水需要予測!BR21,0)</f>
        <v>100956</v>
      </c>
      <c r="BN29" s="39">
        <f>ROUND(SUM(【PL】決算数値入力!$AB$29)/SUM(【収益】水需要予測!$N$19:$W$19)*【収益】水需要予測!BS21,0)</f>
        <v>99481</v>
      </c>
      <c r="BO29" s="39">
        <f>ROUND(SUM(【PL】決算数値入力!$AB$29)/SUM(【収益】水需要予測!$N$19:$W$19)*【収益】水需要予測!BT21,0)</f>
        <v>98281</v>
      </c>
      <c r="BP29" s="39">
        <f>ROUND(SUM(【PL】決算数値入力!$AB$29)/SUM(【収益】水需要予測!$N$19:$W$19)*【収益】水需要予測!BU21,0)</f>
        <v>97082</v>
      </c>
      <c r="BQ29" s="39">
        <f>ROUND(SUM(【PL】決算数値入力!$AB$29)/SUM(【収益】水需要予測!$N$19:$W$19)*【収益】水需要予測!BV21,0)</f>
        <v>96186</v>
      </c>
    </row>
    <row r="30" spans="2:69">
      <c r="B30" s="4"/>
      <c r="C30" s="4"/>
      <c r="D30" s="4"/>
      <c r="E30" s="1" t="s">
        <v>91</v>
      </c>
      <c r="F30" s="303"/>
      <c r="G30" s="10"/>
      <c r="H30" s="10" t="s">
        <v>166</v>
      </c>
      <c r="I30" s="10"/>
      <c r="J30" s="10"/>
      <c r="K30" s="1" t="s">
        <v>562</v>
      </c>
      <c r="L30" s="10" t="s">
        <v>166</v>
      </c>
      <c r="M30" s="1"/>
      <c r="N30" s="39">
        <f>【PL】決算数値入力!W30</f>
        <v>4684722</v>
      </c>
      <c r="O30" s="39">
        <f>【PL】決算数値入力!X30</f>
        <v>8618000</v>
      </c>
      <c r="P30" s="39">
        <f>【PL】決算数値入力!Y30</f>
        <v>1967420</v>
      </c>
      <c r="Q30" s="39">
        <f>【PL】決算数値入力!Z30</f>
        <v>0</v>
      </c>
      <c r="R30" s="39">
        <f>【PL】決算数値入力!AA30</f>
        <v>3913900</v>
      </c>
      <c r="S30" s="39">
        <f>【PL】決算数値入力!AB30</f>
        <v>2660995.2000000002</v>
      </c>
      <c r="T30" s="39">
        <f>ROUND(S30*(1+物価上昇率!$H$9),0)</f>
        <v>2690266</v>
      </c>
      <c r="U30" s="39">
        <f>ROUND(T30*(1+物価上昇率!$H$9),0)</f>
        <v>2719859</v>
      </c>
      <c r="V30" s="39">
        <f>ROUND(U30*(1+物価上昇率!$H$9),0)</f>
        <v>2749777</v>
      </c>
      <c r="W30" s="39">
        <f>ROUND(V30*(1+物価上昇率!$H$9),0)</f>
        <v>2780025</v>
      </c>
      <c r="X30" s="39">
        <f>ROUND(W30*(1+物価上昇率!$H$9),0)</f>
        <v>2810605</v>
      </c>
      <c r="Y30" s="39">
        <f>ROUND(X30*(1+物価上昇率!$H$9),0)</f>
        <v>2841522</v>
      </c>
      <c r="Z30" s="39">
        <f>ROUND(Y30*(1+物価上昇率!$H$9),0)</f>
        <v>2872779</v>
      </c>
      <c r="AA30" s="39">
        <f>ROUND(Z30*(1+物価上昇率!$H$9),0)</f>
        <v>2904380</v>
      </c>
      <c r="AB30" s="39">
        <f>ROUND(AA30*(1+物価上昇率!$H$9),0)</f>
        <v>2936328</v>
      </c>
      <c r="AC30" s="39">
        <f>ROUND(AB30*(1+物価上昇率!$H$9),0)</f>
        <v>2968628</v>
      </c>
      <c r="AD30" s="39">
        <f>ROUND(AC30*(1+物価上昇率!$H$9),0)</f>
        <v>3001283</v>
      </c>
      <c r="AE30" s="39">
        <f>ROUND(AD30*(1+物価上昇率!$H$9),0)</f>
        <v>3034297</v>
      </c>
      <c r="AF30" s="39">
        <f>ROUND(AE30*(1+物価上昇率!$H$9),0)</f>
        <v>3067674</v>
      </c>
      <c r="AG30" s="39">
        <f>ROUND(AF30*(1+物価上昇率!$H$9),0)</f>
        <v>3101418</v>
      </c>
      <c r="AH30" s="39">
        <f>ROUND(AG30*(1+物価上昇率!$H$9),0)</f>
        <v>3135534</v>
      </c>
      <c r="AI30" s="39">
        <f>ROUND(AH30*(1+物価上昇率!$H$9),0)</f>
        <v>3170025</v>
      </c>
      <c r="AJ30" s="39">
        <f>ROUND(AI30*(1+物価上昇率!$H$9),0)</f>
        <v>3204895</v>
      </c>
      <c r="AK30" s="39">
        <f>ROUND(AJ30*(1+物価上昇率!$H$9),0)</f>
        <v>3240149</v>
      </c>
      <c r="AL30" s="39">
        <f>ROUND(AK30*(1+物価上昇率!$H$9),0)</f>
        <v>3275791</v>
      </c>
      <c r="AM30" s="39">
        <f>ROUND(AL30*(1+物価上昇率!$H$9),0)</f>
        <v>3311825</v>
      </c>
      <c r="AN30" s="39">
        <f>ROUND(AM30*(1+物価上昇率!$H$9),0)</f>
        <v>3348255</v>
      </c>
      <c r="AO30" s="39">
        <f>ROUND(AN30*(1+物価上昇率!$H$9),0)</f>
        <v>3385086</v>
      </c>
      <c r="AP30" s="39">
        <f>ROUND(AO30*(1+物価上昇率!$H$9),0)</f>
        <v>3422322</v>
      </c>
      <c r="AQ30" s="39">
        <f>ROUND(AP30*(1+物価上昇率!$H$9),0)</f>
        <v>3459968</v>
      </c>
      <c r="AR30" s="39">
        <f>ROUND(AQ30*(1+物価上昇率!$H$9),0)</f>
        <v>3498028</v>
      </c>
      <c r="AS30" s="39">
        <f>ROUND(AR30*(1+物価上昇率!$H$9),0)</f>
        <v>3536506</v>
      </c>
      <c r="AT30" s="39">
        <f>ROUND(AS30*(1+物価上昇率!$H$9),0)</f>
        <v>3575408</v>
      </c>
      <c r="AU30" s="39">
        <f>ROUND(AT30*(1+物価上昇率!$H$9),0)</f>
        <v>3614737</v>
      </c>
      <c r="AV30" s="39">
        <f>ROUND(AU30*(1+物価上昇率!$H$9),0)</f>
        <v>3654499</v>
      </c>
      <c r="AW30" s="39">
        <f>ROUND(AV30*(1+物価上昇率!$H$9),0)</f>
        <v>3694698</v>
      </c>
      <c r="AX30" s="39">
        <f>ROUND(AW30*(1+物価上昇率!$H$9),0)</f>
        <v>3735340</v>
      </c>
      <c r="AY30" s="39">
        <f>ROUND(AX30*(1+物価上昇率!$H$9),0)</f>
        <v>3776429</v>
      </c>
      <c r="AZ30" s="39">
        <f>ROUND(AY30*(1+物価上昇率!$H$9),0)</f>
        <v>3817970</v>
      </c>
      <c r="BA30" s="39">
        <f>ROUND(AZ30*(1+物価上昇率!$H$9),0)</f>
        <v>3859968</v>
      </c>
      <c r="BB30" s="39">
        <f>ROUND(BA30*(1+物価上昇率!$H$9),0)</f>
        <v>3902428</v>
      </c>
      <c r="BC30" s="39">
        <f>ROUND(BB30*(1+物価上昇率!$H$9),0)</f>
        <v>3945355</v>
      </c>
      <c r="BD30" s="39">
        <f>ROUND(BC30*(1+物価上昇率!$H$9),0)</f>
        <v>3988754</v>
      </c>
      <c r="BE30" s="39">
        <f>ROUND(BD30*(1+物価上昇率!$H$9),0)</f>
        <v>4032630</v>
      </c>
      <c r="BF30" s="39">
        <f>ROUND(BE30*(1+物価上昇率!$H$9),0)</f>
        <v>4076989</v>
      </c>
      <c r="BG30" s="39">
        <f>ROUND(BF30*(1+物価上昇率!$H$9),0)</f>
        <v>4121836</v>
      </c>
      <c r="BH30" s="39">
        <f>ROUND(BG30*(1+物価上昇率!$H$9),0)</f>
        <v>4167176</v>
      </c>
      <c r="BI30" s="39">
        <f>ROUND(BH30*(1+物価上昇率!$H$9),0)</f>
        <v>4213015</v>
      </c>
      <c r="BJ30" s="39">
        <f>ROUND(BI30*(1+物価上昇率!$H$9),0)</f>
        <v>4259358</v>
      </c>
      <c r="BK30" s="39">
        <f>ROUND(BJ30*(1+物価上昇率!$H$9),0)</f>
        <v>4306211</v>
      </c>
      <c r="BL30" s="39">
        <f>ROUND(BK30*(1+物価上昇率!$H$9),0)</f>
        <v>4353579</v>
      </c>
      <c r="BM30" s="39">
        <f>ROUND(BL30*(1+物価上昇率!$H$9),0)</f>
        <v>4401468</v>
      </c>
      <c r="BN30" s="39">
        <f>ROUND(BM30*(1+物価上昇率!$H$9),0)</f>
        <v>4449884</v>
      </c>
      <c r="BO30" s="39">
        <f>ROUND(BN30*(1+物価上昇率!$H$9),0)</f>
        <v>4498833</v>
      </c>
      <c r="BP30" s="39">
        <f>ROUND(BO30*(1+物価上昇率!$H$9),0)</f>
        <v>4548320</v>
      </c>
      <c r="BQ30" s="39">
        <f>ROUND(BP30*(1+物価上昇率!$H$9),0)</f>
        <v>4598352</v>
      </c>
    </row>
    <row r="31" spans="2:69">
      <c r="B31" s="4"/>
      <c r="C31" s="4"/>
      <c r="D31" s="4"/>
      <c r="E31" s="1" t="s">
        <v>92</v>
      </c>
      <c r="F31" s="303"/>
      <c r="G31" s="10"/>
      <c r="H31" s="10" t="s">
        <v>166</v>
      </c>
      <c r="I31" s="10"/>
      <c r="J31" s="10"/>
      <c r="K31" s="1" t="s">
        <v>562</v>
      </c>
      <c r="L31" s="10" t="s">
        <v>166</v>
      </c>
      <c r="M31" s="1"/>
      <c r="N31" s="39">
        <f>【PL】決算数値入力!W31</f>
        <v>33900347</v>
      </c>
      <c r="O31" s="39">
        <f>【PL】決算数値入力!X31</f>
        <v>31437870</v>
      </c>
      <c r="P31" s="39">
        <f>【PL】決算数値入力!Y31</f>
        <v>37142870</v>
      </c>
      <c r="Q31" s="39">
        <f>【PL】決算数値入力!Z31</f>
        <v>33639873</v>
      </c>
      <c r="R31" s="39">
        <f>【PL】決算数値入力!AA31</f>
        <v>36092000</v>
      </c>
      <c r="S31" s="39">
        <f>【PL】決算数値入力!AB31</f>
        <v>30459801</v>
      </c>
      <c r="T31" s="39">
        <f>ROUND(S31*(1+物価上昇率!$H$9),0)</f>
        <v>30794859</v>
      </c>
      <c r="U31" s="39">
        <f>ROUND(T31*(1+物価上昇率!$H$9),0)</f>
        <v>31133602</v>
      </c>
      <c r="V31" s="39">
        <f>ROUND(U31*(1+物価上昇率!$H$9),0)</f>
        <v>31476072</v>
      </c>
      <c r="W31" s="39">
        <f>ROUND(V31*(1+物価上昇率!$H$9),0)</f>
        <v>31822309</v>
      </c>
      <c r="X31" s="39">
        <f>ROUND(W31*(1+物価上昇率!$H$9),0)</f>
        <v>32172354</v>
      </c>
      <c r="Y31" s="39">
        <f>ROUND(X31*(1+物価上昇率!$H$9),0)</f>
        <v>32526250</v>
      </c>
      <c r="Z31" s="39">
        <f>ROUND(Y31*(1+物価上昇率!$H$9),0)</f>
        <v>32884039</v>
      </c>
      <c r="AA31" s="39">
        <f>ROUND(Z31*(1+物価上昇率!$H$9),0)</f>
        <v>33245763</v>
      </c>
      <c r="AB31" s="39">
        <f>ROUND(AA31*(1+物価上昇率!$H$9),0)</f>
        <v>33611466</v>
      </c>
      <c r="AC31" s="39">
        <f>ROUND(AB31*(1+物価上昇率!$H$9),0)</f>
        <v>33981192</v>
      </c>
      <c r="AD31" s="39">
        <f>ROUND(AC31*(1+物価上昇率!$H$9),0)</f>
        <v>34354985</v>
      </c>
      <c r="AE31" s="39">
        <f>ROUND(AD31*(1+物価上昇率!$H$9),0)</f>
        <v>34732890</v>
      </c>
      <c r="AF31" s="39">
        <f>ROUND(AE31*(1+物価上昇率!$H$9),0)</f>
        <v>35114952</v>
      </c>
      <c r="AG31" s="39">
        <f>ROUND(AF31*(1+物価上昇率!$H$9),0)</f>
        <v>35501216</v>
      </c>
      <c r="AH31" s="39">
        <f>ROUND(AG31*(1+物価上昇率!$H$9),0)</f>
        <v>35891729</v>
      </c>
      <c r="AI31" s="39">
        <f>ROUND(AH31*(1+物価上昇率!$H$9),0)</f>
        <v>36286538</v>
      </c>
      <c r="AJ31" s="39">
        <f>ROUND(AI31*(1+物価上昇率!$H$9),0)</f>
        <v>36685690</v>
      </c>
      <c r="AK31" s="39">
        <f>ROUND(AJ31*(1+物価上昇率!$H$9),0)</f>
        <v>37089233</v>
      </c>
      <c r="AL31" s="39">
        <f>ROUND(AK31*(1+物価上昇率!$H$9),0)</f>
        <v>37497215</v>
      </c>
      <c r="AM31" s="39">
        <f>ROUND(AL31*(1+物価上昇率!$H$9),0)</f>
        <v>37909684</v>
      </c>
      <c r="AN31" s="39">
        <f>ROUND(AM31*(1+物価上昇率!$H$9),0)</f>
        <v>38326691</v>
      </c>
      <c r="AO31" s="39">
        <f>ROUND(AN31*(1+物価上昇率!$H$9),0)</f>
        <v>38748285</v>
      </c>
      <c r="AP31" s="39">
        <f>ROUND(AO31*(1+物価上昇率!$H$9),0)</f>
        <v>39174516</v>
      </c>
      <c r="AQ31" s="39">
        <f>ROUND(AP31*(1+物価上昇率!$H$9),0)</f>
        <v>39605436</v>
      </c>
      <c r="AR31" s="39">
        <f>ROUND(AQ31*(1+物価上昇率!$H$9),0)</f>
        <v>40041096</v>
      </c>
      <c r="AS31" s="39">
        <f>ROUND(AR31*(1+物価上昇率!$H$9),0)</f>
        <v>40481548</v>
      </c>
      <c r="AT31" s="39">
        <f>ROUND(AS31*(1+物価上昇率!$H$9),0)</f>
        <v>40926845</v>
      </c>
      <c r="AU31" s="39">
        <f>ROUND(AT31*(1+物価上昇率!$H$9),0)</f>
        <v>41377040</v>
      </c>
      <c r="AV31" s="39">
        <f>ROUND(AU31*(1+物価上昇率!$H$9),0)</f>
        <v>41832187</v>
      </c>
      <c r="AW31" s="39">
        <f>ROUND(AV31*(1+物価上昇率!$H$9),0)</f>
        <v>42292341</v>
      </c>
      <c r="AX31" s="39">
        <f>ROUND(AW31*(1+物価上昇率!$H$9),0)</f>
        <v>42757557</v>
      </c>
      <c r="AY31" s="39">
        <f>ROUND(AX31*(1+物価上昇率!$H$9),0)</f>
        <v>43227890</v>
      </c>
      <c r="AZ31" s="39">
        <f>ROUND(AY31*(1+物価上昇率!$H$9),0)</f>
        <v>43703397</v>
      </c>
      <c r="BA31" s="39">
        <f>ROUND(AZ31*(1+物価上昇率!$H$9),0)</f>
        <v>44184134</v>
      </c>
      <c r="BB31" s="39">
        <f>ROUND(BA31*(1+物価上昇率!$H$9),0)</f>
        <v>44670159</v>
      </c>
      <c r="BC31" s="39">
        <f>ROUND(BB31*(1+物価上昇率!$H$9),0)</f>
        <v>45161531</v>
      </c>
      <c r="BD31" s="39">
        <f>ROUND(BC31*(1+物価上昇率!$H$9),0)</f>
        <v>45658308</v>
      </c>
      <c r="BE31" s="39">
        <f>ROUND(BD31*(1+物価上昇率!$H$9),0)</f>
        <v>46160549</v>
      </c>
      <c r="BF31" s="39">
        <f>ROUND(BE31*(1+物価上昇率!$H$9),0)</f>
        <v>46668315</v>
      </c>
      <c r="BG31" s="39">
        <f>ROUND(BF31*(1+物価上昇率!$H$9),0)</f>
        <v>47181666</v>
      </c>
      <c r="BH31" s="39">
        <f>ROUND(BG31*(1+物価上昇率!$H$9),0)</f>
        <v>47700664</v>
      </c>
      <c r="BI31" s="39">
        <f>ROUND(BH31*(1+物価上昇率!$H$9),0)</f>
        <v>48225371</v>
      </c>
      <c r="BJ31" s="39">
        <f>ROUND(BI31*(1+物価上昇率!$H$9),0)</f>
        <v>48755850</v>
      </c>
      <c r="BK31" s="39">
        <f>ROUND(BJ31*(1+物価上昇率!$H$9),0)</f>
        <v>49292164</v>
      </c>
      <c r="BL31" s="39">
        <f>ROUND(BK31*(1+物価上昇率!$H$9),0)</f>
        <v>49834378</v>
      </c>
      <c r="BM31" s="39">
        <f>ROUND(BL31*(1+物価上昇率!$H$9),0)</f>
        <v>50382556</v>
      </c>
      <c r="BN31" s="39">
        <f>ROUND(BM31*(1+物価上昇率!$H$9),0)</f>
        <v>50936764</v>
      </c>
      <c r="BO31" s="39">
        <f>ROUND(BN31*(1+物価上昇率!$H$9),0)</f>
        <v>51497068</v>
      </c>
      <c r="BP31" s="39">
        <f>ROUND(BO31*(1+物価上昇率!$H$9),0)</f>
        <v>52063536</v>
      </c>
      <c r="BQ31" s="39">
        <f>ROUND(BP31*(1+物価上昇率!$H$9),0)</f>
        <v>52636235</v>
      </c>
    </row>
    <row r="32" spans="2:69">
      <c r="B32" s="4"/>
      <c r="C32" s="4"/>
      <c r="D32" s="4"/>
      <c r="E32" s="1" t="s">
        <v>93</v>
      </c>
      <c r="F32" s="303"/>
      <c r="G32" s="10"/>
      <c r="H32" s="10" t="s">
        <v>166</v>
      </c>
      <c r="I32" s="10"/>
      <c r="J32" s="10"/>
      <c r="K32" s="1" t="s">
        <v>562</v>
      </c>
      <c r="L32" s="10" t="s">
        <v>166</v>
      </c>
      <c r="M32" s="1"/>
      <c r="N32" s="39">
        <f>【PL】決算数値入力!W32</f>
        <v>7655578</v>
      </c>
      <c r="O32" s="39">
        <f>【PL】決算数値入力!X32</f>
        <v>9645808</v>
      </c>
      <c r="P32" s="39">
        <f>【PL】決算数値入力!Y32</f>
        <v>9829369</v>
      </c>
      <c r="Q32" s="39">
        <f>【PL】決算数値入力!Z32</f>
        <v>10153949</v>
      </c>
      <c r="R32" s="39">
        <f>【PL】決算数値入力!AA32</f>
        <v>9171593</v>
      </c>
      <c r="S32" s="39">
        <f>【PL】決算数値入力!AB32</f>
        <v>7339389.2000000002</v>
      </c>
      <c r="T32" s="39">
        <f>ROUND(S32*(1+物価上昇率!$H$9),0)</f>
        <v>7420122</v>
      </c>
      <c r="U32" s="39">
        <f>ROUND(T32*(1+物価上昇率!$H$9),0)</f>
        <v>7501743</v>
      </c>
      <c r="V32" s="39">
        <f>ROUND(U32*(1+物価上昇率!$H$9),0)</f>
        <v>7584262</v>
      </c>
      <c r="W32" s="39">
        <f>ROUND(V32*(1+物価上昇率!$H$9),0)</f>
        <v>7667689</v>
      </c>
      <c r="X32" s="39">
        <f>ROUND(W32*(1+物価上昇率!$H$9),0)</f>
        <v>7752034</v>
      </c>
      <c r="Y32" s="39">
        <f>ROUND(X32*(1+物価上昇率!$H$9),0)</f>
        <v>7837306</v>
      </c>
      <c r="Z32" s="39">
        <f>ROUND(Y32*(1+物価上昇率!$H$9),0)</f>
        <v>7923516</v>
      </c>
      <c r="AA32" s="39">
        <f>ROUND(Z32*(1+物価上昇率!$H$9),0)</f>
        <v>8010675</v>
      </c>
      <c r="AB32" s="39">
        <f>ROUND(AA32*(1+物価上昇率!$H$9),0)</f>
        <v>8098792</v>
      </c>
      <c r="AC32" s="39">
        <f>ROUND(AB32*(1+物価上昇率!$H$9),0)</f>
        <v>8187879</v>
      </c>
      <c r="AD32" s="39">
        <f>ROUND(AC32*(1+物価上昇率!$H$9),0)</f>
        <v>8277946</v>
      </c>
      <c r="AE32" s="39">
        <f>ROUND(AD32*(1+物価上昇率!$H$9),0)</f>
        <v>8369003</v>
      </c>
      <c r="AF32" s="39">
        <f>ROUND(AE32*(1+物価上昇率!$H$9),0)</f>
        <v>8461062</v>
      </c>
      <c r="AG32" s="39">
        <f>ROUND(AF32*(1+物価上昇率!$H$9),0)</f>
        <v>8554134</v>
      </c>
      <c r="AH32" s="39">
        <f>ROUND(AG32*(1+物価上昇率!$H$9),0)</f>
        <v>8648229</v>
      </c>
      <c r="AI32" s="39">
        <f>ROUND(AH32*(1+物価上昇率!$H$9),0)</f>
        <v>8743360</v>
      </c>
      <c r="AJ32" s="39">
        <f>ROUND(AI32*(1+物価上昇率!$H$9),0)</f>
        <v>8839537</v>
      </c>
      <c r="AK32" s="39">
        <f>ROUND(AJ32*(1+物価上昇率!$H$9),0)</f>
        <v>8936772</v>
      </c>
      <c r="AL32" s="39">
        <f>ROUND(AK32*(1+物価上昇率!$H$9),0)</f>
        <v>9035076</v>
      </c>
      <c r="AM32" s="39">
        <f>ROUND(AL32*(1+物価上昇率!$H$9),0)</f>
        <v>9134462</v>
      </c>
      <c r="AN32" s="39">
        <f>ROUND(AM32*(1+物価上昇率!$H$9),0)</f>
        <v>9234941</v>
      </c>
      <c r="AO32" s="39">
        <f>ROUND(AN32*(1+物価上昇率!$H$9),0)</f>
        <v>9336525</v>
      </c>
      <c r="AP32" s="39">
        <f>ROUND(AO32*(1+物価上昇率!$H$9),0)</f>
        <v>9439227</v>
      </c>
      <c r="AQ32" s="39">
        <f>ROUND(AP32*(1+物価上昇率!$H$9),0)</f>
        <v>9543058</v>
      </c>
      <c r="AR32" s="39">
        <f>ROUND(AQ32*(1+物価上昇率!$H$9),0)</f>
        <v>9648032</v>
      </c>
      <c r="AS32" s="39">
        <f>ROUND(AR32*(1+物価上昇率!$H$9),0)</f>
        <v>9754160</v>
      </c>
      <c r="AT32" s="39">
        <f>ROUND(AS32*(1+物価上昇率!$H$9),0)</f>
        <v>9861456</v>
      </c>
      <c r="AU32" s="39">
        <f>ROUND(AT32*(1+物価上昇率!$H$9),0)</f>
        <v>9969932</v>
      </c>
      <c r="AV32" s="39">
        <f>ROUND(AU32*(1+物価上昇率!$H$9),0)</f>
        <v>10079601</v>
      </c>
      <c r="AW32" s="39">
        <f>ROUND(AV32*(1+物価上昇率!$H$9),0)</f>
        <v>10190477</v>
      </c>
      <c r="AX32" s="39">
        <f>ROUND(AW32*(1+物価上昇率!$H$9),0)</f>
        <v>10302572</v>
      </c>
      <c r="AY32" s="39">
        <f>ROUND(AX32*(1+物価上昇率!$H$9),0)</f>
        <v>10415900</v>
      </c>
      <c r="AZ32" s="39">
        <f>ROUND(AY32*(1+物価上昇率!$H$9),0)</f>
        <v>10530475</v>
      </c>
      <c r="BA32" s="39">
        <f>ROUND(AZ32*(1+物価上昇率!$H$9),0)</f>
        <v>10646310</v>
      </c>
      <c r="BB32" s="39">
        <f>ROUND(BA32*(1+物価上昇率!$H$9),0)</f>
        <v>10763419</v>
      </c>
      <c r="BC32" s="39">
        <f>ROUND(BB32*(1+物価上昇率!$H$9),0)</f>
        <v>10881817</v>
      </c>
      <c r="BD32" s="39">
        <f>ROUND(BC32*(1+物価上昇率!$H$9),0)</f>
        <v>11001517</v>
      </c>
      <c r="BE32" s="39">
        <f>ROUND(BD32*(1+物価上昇率!$H$9),0)</f>
        <v>11122534</v>
      </c>
      <c r="BF32" s="39">
        <f>ROUND(BE32*(1+物価上昇率!$H$9),0)</f>
        <v>11244882</v>
      </c>
      <c r="BG32" s="39">
        <f>ROUND(BF32*(1+物価上昇率!$H$9),0)</f>
        <v>11368576</v>
      </c>
      <c r="BH32" s="39">
        <f>ROUND(BG32*(1+物価上昇率!$H$9),0)</f>
        <v>11493630</v>
      </c>
      <c r="BI32" s="39">
        <f>ROUND(BH32*(1+物価上昇率!$H$9),0)</f>
        <v>11620060</v>
      </c>
      <c r="BJ32" s="39">
        <f>ROUND(BI32*(1+物価上昇率!$H$9),0)</f>
        <v>11747881</v>
      </c>
      <c r="BK32" s="39">
        <f>ROUND(BJ32*(1+物価上昇率!$H$9),0)</f>
        <v>11877108</v>
      </c>
      <c r="BL32" s="39">
        <f>ROUND(BK32*(1+物価上昇率!$H$9),0)</f>
        <v>12007756</v>
      </c>
      <c r="BM32" s="39">
        <f>ROUND(BL32*(1+物価上昇率!$H$9),0)</f>
        <v>12139841</v>
      </c>
      <c r="BN32" s="39">
        <f>ROUND(BM32*(1+物価上昇率!$H$9),0)</f>
        <v>12273379</v>
      </c>
      <c r="BO32" s="39">
        <f>ROUND(BN32*(1+物価上昇率!$H$9),0)</f>
        <v>12408386</v>
      </c>
      <c r="BP32" s="39">
        <f>ROUND(BO32*(1+物価上昇率!$H$9),0)</f>
        <v>12544878</v>
      </c>
      <c r="BQ32" s="39">
        <f>ROUND(BP32*(1+物価上昇率!$H$9),0)</f>
        <v>12682872</v>
      </c>
    </row>
    <row r="33" spans="2:69">
      <c r="B33" s="4"/>
      <c r="C33" s="4"/>
      <c r="D33" s="3"/>
      <c r="E33" s="1" t="s">
        <v>94</v>
      </c>
      <c r="F33" s="304"/>
      <c r="G33" s="10"/>
      <c r="H33" s="10" t="s">
        <v>166</v>
      </c>
      <c r="I33" s="10"/>
      <c r="J33" s="10"/>
      <c r="K33" s="1" t="s">
        <v>560</v>
      </c>
      <c r="L33" s="1"/>
      <c r="M33" s="1"/>
      <c r="N33" s="39">
        <f>【PL】決算数値入力!W33</f>
        <v>10238170</v>
      </c>
      <c r="O33" s="39">
        <f>【PL】決算数値入力!X33</f>
        <v>20929080</v>
      </c>
      <c r="P33" s="39">
        <f>【PL】決算数値入力!Y33</f>
        <v>12025866</v>
      </c>
      <c r="Q33" s="39">
        <f>【PL】決算数値入力!Z33</f>
        <v>18538915</v>
      </c>
      <c r="R33" s="39">
        <f>【PL】決算数値入力!AA33</f>
        <v>18090022</v>
      </c>
      <c r="S33" s="39">
        <f>【PL】決算数値入力!AB33</f>
        <v>14475943.6</v>
      </c>
      <c r="T33" s="39">
        <f>S33</f>
        <v>14475943.6</v>
      </c>
      <c r="U33" s="39">
        <f t="shared" ref="U33:BQ33" si="14">T33</f>
        <v>14475943.6</v>
      </c>
      <c r="V33" s="39">
        <f t="shared" si="14"/>
        <v>14475943.6</v>
      </c>
      <c r="W33" s="39">
        <f t="shared" si="14"/>
        <v>14475943.6</v>
      </c>
      <c r="X33" s="39">
        <f t="shared" si="14"/>
        <v>14475943.6</v>
      </c>
      <c r="Y33" s="39">
        <f t="shared" si="14"/>
        <v>14475943.6</v>
      </c>
      <c r="Z33" s="39">
        <f t="shared" si="14"/>
        <v>14475943.6</v>
      </c>
      <c r="AA33" s="39">
        <f t="shared" si="14"/>
        <v>14475943.6</v>
      </c>
      <c r="AB33" s="39">
        <f t="shared" si="14"/>
        <v>14475943.6</v>
      </c>
      <c r="AC33" s="39">
        <f t="shared" si="14"/>
        <v>14475943.6</v>
      </c>
      <c r="AD33" s="39">
        <f t="shared" si="14"/>
        <v>14475943.6</v>
      </c>
      <c r="AE33" s="39">
        <f t="shared" si="14"/>
        <v>14475943.6</v>
      </c>
      <c r="AF33" s="39">
        <f t="shared" si="14"/>
        <v>14475943.6</v>
      </c>
      <c r="AG33" s="39">
        <f t="shared" si="14"/>
        <v>14475943.6</v>
      </c>
      <c r="AH33" s="39">
        <f t="shared" si="14"/>
        <v>14475943.6</v>
      </c>
      <c r="AI33" s="39">
        <f t="shared" si="14"/>
        <v>14475943.6</v>
      </c>
      <c r="AJ33" s="39">
        <f t="shared" si="14"/>
        <v>14475943.6</v>
      </c>
      <c r="AK33" s="39">
        <f t="shared" si="14"/>
        <v>14475943.6</v>
      </c>
      <c r="AL33" s="39">
        <f t="shared" si="14"/>
        <v>14475943.6</v>
      </c>
      <c r="AM33" s="39">
        <f t="shared" si="14"/>
        <v>14475943.6</v>
      </c>
      <c r="AN33" s="39">
        <f t="shared" si="14"/>
        <v>14475943.6</v>
      </c>
      <c r="AO33" s="39">
        <f t="shared" si="14"/>
        <v>14475943.6</v>
      </c>
      <c r="AP33" s="39">
        <f t="shared" si="14"/>
        <v>14475943.6</v>
      </c>
      <c r="AQ33" s="39">
        <f t="shared" si="14"/>
        <v>14475943.6</v>
      </c>
      <c r="AR33" s="39">
        <f t="shared" si="14"/>
        <v>14475943.6</v>
      </c>
      <c r="AS33" s="39">
        <f t="shared" si="14"/>
        <v>14475943.6</v>
      </c>
      <c r="AT33" s="39">
        <f t="shared" si="14"/>
        <v>14475943.6</v>
      </c>
      <c r="AU33" s="39">
        <f t="shared" si="14"/>
        <v>14475943.6</v>
      </c>
      <c r="AV33" s="39">
        <f t="shared" si="14"/>
        <v>14475943.6</v>
      </c>
      <c r="AW33" s="39">
        <f t="shared" si="14"/>
        <v>14475943.6</v>
      </c>
      <c r="AX33" s="39">
        <f t="shared" si="14"/>
        <v>14475943.6</v>
      </c>
      <c r="AY33" s="39">
        <f t="shared" si="14"/>
        <v>14475943.6</v>
      </c>
      <c r="AZ33" s="39">
        <f t="shared" si="14"/>
        <v>14475943.6</v>
      </c>
      <c r="BA33" s="39">
        <f t="shared" si="14"/>
        <v>14475943.6</v>
      </c>
      <c r="BB33" s="39">
        <f t="shared" si="14"/>
        <v>14475943.6</v>
      </c>
      <c r="BC33" s="39">
        <f t="shared" si="14"/>
        <v>14475943.6</v>
      </c>
      <c r="BD33" s="39">
        <f t="shared" si="14"/>
        <v>14475943.6</v>
      </c>
      <c r="BE33" s="39">
        <f t="shared" si="14"/>
        <v>14475943.6</v>
      </c>
      <c r="BF33" s="39">
        <f t="shared" si="14"/>
        <v>14475943.6</v>
      </c>
      <c r="BG33" s="39">
        <f t="shared" si="14"/>
        <v>14475943.6</v>
      </c>
      <c r="BH33" s="39">
        <f t="shared" si="14"/>
        <v>14475943.6</v>
      </c>
      <c r="BI33" s="39">
        <f t="shared" si="14"/>
        <v>14475943.6</v>
      </c>
      <c r="BJ33" s="39">
        <f t="shared" si="14"/>
        <v>14475943.6</v>
      </c>
      <c r="BK33" s="39">
        <f t="shared" si="14"/>
        <v>14475943.6</v>
      </c>
      <c r="BL33" s="39">
        <f t="shared" si="14"/>
        <v>14475943.6</v>
      </c>
      <c r="BM33" s="39">
        <f t="shared" si="14"/>
        <v>14475943.6</v>
      </c>
      <c r="BN33" s="39">
        <f t="shared" si="14"/>
        <v>14475943.6</v>
      </c>
      <c r="BO33" s="39">
        <f t="shared" si="14"/>
        <v>14475943.6</v>
      </c>
      <c r="BP33" s="39">
        <f t="shared" si="14"/>
        <v>14475943.6</v>
      </c>
      <c r="BQ33" s="39">
        <f t="shared" si="14"/>
        <v>14475943.6</v>
      </c>
    </row>
    <row r="34" spans="2:69">
      <c r="B34" s="4"/>
      <c r="C34" s="4"/>
      <c r="D34" s="5" t="s">
        <v>95</v>
      </c>
      <c r="E34" s="8"/>
      <c r="F34" s="302" t="s">
        <v>175</v>
      </c>
      <c r="G34" s="10"/>
      <c r="H34" s="10"/>
      <c r="I34" s="10"/>
      <c r="J34" s="10"/>
      <c r="K34" s="1"/>
      <c r="L34" s="1"/>
      <c r="M34" s="1"/>
      <c r="N34" s="39">
        <f>【PL】決算数値入力!W34</f>
        <v>39566820</v>
      </c>
      <c r="O34" s="39">
        <f>【PL】決算数値入力!X34</f>
        <v>36646933</v>
      </c>
      <c r="P34" s="39">
        <f>【PL】決算数値入力!Y34</f>
        <v>35722581</v>
      </c>
      <c r="Q34" s="39">
        <f>【PL】決算数値入力!Z34</f>
        <v>36936296</v>
      </c>
      <c r="R34" s="39">
        <f>【PL】決算数値入力!AA34</f>
        <v>32180340</v>
      </c>
      <c r="S34" s="39">
        <f>【PL】決算数値入力!AB34</f>
        <v>34923211.200000003</v>
      </c>
      <c r="T34" s="39">
        <f>SUM(T35:T41)</f>
        <v>33124149</v>
      </c>
      <c r="U34" s="39">
        <f t="shared" ref="U34:BQ34" si="15">SUM(U35:U41)</f>
        <v>33488515</v>
      </c>
      <c r="V34" s="39">
        <f t="shared" si="15"/>
        <v>33856889</v>
      </c>
      <c r="W34" s="39">
        <f t="shared" si="15"/>
        <v>34229316</v>
      </c>
      <c r="X34" s="39">
        <f t="shared" si="15"/>
        <v>34605838</v>
      </c>
      <c r="Y34" s="39">
        <f t="shared" si="15"/>
        <v>34986502</v>
      </c>
      <c r="Z34" s="39">
        <f t="shared" si="15"/>
        <v>35371354</v>
      </c>
      <c r="AA34" s="39">
        <f t="shared" si="15"/>
        <v>35760439</v>
      </c>
      <c r="AB34" s="39">
        <f t="shared" si="15"/>
        <v>36153804</v>
      </c>
      <c r="AC34" s="39">
        <f t="shared" si="15"/>
        <v>36551496</v>
      </c>
      <c r="AD34" s="39">
        <f t="shared" si="15"/>
        <v>36953562</v>
      </c>
      <c r="AE34" s="39">
        <f t="shared" si="15"/>
        <v>37360052</v>
      </c>
      <c r="AF34" s="39">
        <f t="shared" si="15"/>
        <v>37771012</v>
      </c>
      <c r="AG34" s="39">
        <f t="shared" si="15"/>
        <v>38186493</v>
      </c>
      <c r="AH34" s="39">
        <f t="shared" si="15"/>
        <v>38606544</v>
      </c>
      <c r="AI34" s="39">
        <f t="shared" si="15"/>
        <v>39031215</v>
      </c>
      <c r="AJ34" s="39">
        <f t="shared" si="15"/>
        <v>39460560</v>
      </c>
      <c r="AK34" s="39">
        <f t="shared" si="15"/>
        <v>39894627</v>
      </c>
      <c r="AL34" s="39">
        <f t="shared" si="15"/>
        <v>40333467</v>
      </c>
      <c r="AM34" s="39">
        <f t="shared" si="15"/>
        <v>40777134</v>
      </c>
      <c r="AN34" s="39">
        <f t="shared" si="15"/>
        <v>41225682</v>
      </c>
      <c r="AO34" s="39">
        <f t="shared" si="15"/>
        <v>41679165</v>
      </c>
      <c r="AP34" s="39">
        <f t="shared" si="15"/>
        <v>42137637</v>
      </c>
      <c r="AQ34" s="39">
        <f t="shared" si="15"/>
        <v>42601151</v>
      </c>
      <c r="AR34" s="39">
        <f t="shared" si="15"/>
        <v>43069763</v>
      </c>
      <c r="AS34" s="39">
        <f t="shared" si="15"/>
        <v>43543530</v>
      </c>
      <c r="AT34" s="39">
        <f t="shared" si="15"/>
        <v>44022509</v>
      </c>
      <c r="AU34" s="39">
        <f t="shared" si="15"/>
        <v>44506757</v>
      </c>
      <c r="AV34" s="39">
        <f t="shared" si="15"/>
        <v>44996331</v>
      </c>
      <c r="AW34" s="39">
        <f t="shared" si="15"/>
        <v>45491291</v>
      </c>
      <c r="AX34" s="39">
        <f t="shared" si="15"/>
        <v>45991695</v>
      </c>
      <c r="AY34" s="39">
        <f t="shared" si="15"/>
        <v>46497604</v>
      </c>
      <c r="AZ34" s="39">
        <f t="shared" si="15"/>
        <v>47009078</v>
      </c>
      <c r="BA34" s="39">
        <f t="shared" si="15"/>
        <v>47526177</v>
      </c>
      <c r="BB34" s="39">
        <f t="shared" si="15"/>
        <v>48048965</v>
      </c>
      <c r="BC34" s="39">
        <f t="shared" si="15"/>
        <v>48577503</v>
      </c>
      <c r="BD34" s="39">
        <f t="shared" si="15"/>
        <v>49111856</v>
      </c>
      <c r="BE34" s="39">
        <f t="shared" si="15"/>
        <v>49652086</v>
      </c>
      <c r="BF34" s="39">
        <f t="shared" si="15"/>
        <v>50198260</v>
      </c>
      <c r="BG34" s="39">
        <f t="shared" si="15"/>
        <v>50750441</v>
      </c>
      <c r="BH34" s="39">
        <f t="shared" si="15"/>
        <v>51308697</v>
      </c>
      <c r="BI34" s="39">
        <f t="shared" si="15"/>
        <v>51873093</v>
      </c>
      <c r="BJ34" s="39">
        <f t="shared" si="15"/>
        <v>52443697</v>
      </c>
      <c r="BK34" s="39">
        <f t="shared" si="15"/>
        <v>53020578</v>
      </c>
      <c r="BL34" s="39">
        <f t="shared" si="15"/>
        <v>53603804</v>
      </c>
      <c r="BM34" s="39">
        <f t="shared" si="15"/>
        <v>54193446</v>
      </c>
      <c r="BN34" s="39">
        <f t="shared" si="15"/>
        <v>54789574</v>
      </c>
      <c r="BO34" s="39">
        <f t="shared" si="15"/>
        <v>55392260</v>
      </c>
      <c r="BP34" s="39">
        <f t="shared" si="15"/>
        <v>56001575</v>
      </c>
      <c r="BQ34" s="39">
        <f t="shared" si="15"/>
        <v>56617592</v>
      </c>
    </row>
    <row r="35" spans="2:69">
      <c r="B35" s="4"/>
      <c r="C35" s="4"/>
      <c r="D35" s="4"/>
      <c r="E35" s="1" t="s">
        <v>89</v>
      </c>
      <c r="F35" s="303"/>
      <c r="G35" s="10"/>
      <c r="H35" s="10" t="s">
        <v>166</v>
      </c>
      <c r="I35" s="10"/>
      <c r="J35" s="10"/>
      <c r="K35" s="1" t="s">
        <v>562</v>
      </c>
      <c r="L35" s="10" t="s">
        <v>166</v>
      </c>
      <c r="M35" s="1"/>
      <c r="N35" s="39">
        <f>【PL】決算数値入力!W35</f>
        <v>13528381</v>
      </c>
      <c r="O35" s="39">
        <f>【PL】決算数値入力!X35</f>
        <v>10517166</v>
      </c>
      <c r="P35" s="39">
        <f>【PL】決算数値入力!Y35</f>
        <v>10463981</v>
      </c>
      <c r="Q35" s="39">
        <f>【PL】決算数値入力!Z35</f>
        <v>10732216</v>
      </c>
      <c r="R35" s="39">
        <f>【PL】決算数値入力!AA35</f>
        <v>6777049</v>
      </c>
      <c r="S35" s="39">
        <f>【PL】決算数値入力!AB35</f>
        <v>12599584.9</v>
      </c>
      <c r="T35" s="39">
        <f>ROUND(S35*(1+物価上昇率!$H$9),0)</f>
        <v>12738180</v>
      </c>
      <c r="U35" s="39">
        <f>ROUND(T35*(1+物価上昇率!$H$9),0)</f>
        <v>12878300</v>
      </c>
      <c r="V35" s="39">
        <f>ROUND(U35*(1+物価上昇率!$H$9),0)</f>
        <v>13019961</v>
      </c>
      <c r="W35" s="39">
        <f>ROUND(V35*(1+物価上昇率!$H$9),0)</f>
        <v>13163181</v>
      </c>
      <c r="X35" s="39">
        <f>ROUND(W35*(1+物価上昇率!$H$9),0)</f>
        <v>13307976</v>
      </c>
      <c r="Y35" s="39">
        <f>ROUND(X35*(1+物価上昇率!$H$9),0)</f>
        <v>13454364</v>
      </c>
      <c r="Z35" s="39">
        <f>ROUND(Y35*(1+物価上昇率!$H$9),0)</f>
        <v>13602362</v>
      </c>
      <c r="AA35" s="39">
        <f>ROUND(Z35*(1+物価上昇率!$H$9),0)</f>
        <v>13751988</v>
      </c>
      <c r="AB35" s="39">
        <f>ROUND(AA35*(1+物価上昇率!$H$9),0)</f>
        <v>13903260</v>
      </c>
      <c r="AC35" s="39">
        <f>ROUND(AB35*(1+物価上昇率!$H$9),0)</f>
        <v>14056196</v>
      </c>
      <c r="AD35" s="39">
        <f>ROUND(AC35*(1+物価上昇率!$H$9),0)</f>
        <v>14210814</v>
      </c>
      <c r="AE35" s="39">
        <f>ROUND(AD35*(1+物価上昇率!$H$9),0)</f>
        <v>14367133</v>
      </c>
      <c r="AF35" s="39">
        <f>ROUND(AE35*(1+物価上昇率!$H$9),0)</f>
        <v>14525171</v>
      </c>
      <c r="AG35" s="39">
        <f>ROUND(AF35*(1+物価上昇率!$H$9),0)</f>
        <v>14684948</v>
      </c>
      <c r="AH35" s="39">
        <f>ROUND(AG35*(1+物価上昇率!$H$9),0)</f>
        <v>14846482</v>
      </c>
      <c r="AI35" s="39">
        <f>ROUND(AH35*(1+物価上昇率!$H$9),0)</f>
        <v>15009793</v>
      </c>
      <c r="AJ35" s="39">
        <f>ROUND(AI35*(1+物価上昇率!$H$9),0)</f>
        <v>15174901</v>
      </c>
      <c r="AK35" s="39">
        <f>ROUND(AJ35*(1+物価上昇率!$H$9),0)</f>
        <v>15341825</v>
      </c>
      <c r="AL35" s="39">
        <f>ROUND(AK35*(1+物価上昇率!$H$9),0)</f>
        <v>15510585</v>
      </c>
      <c r="AM35" s="39">
        <f>ROUND(AL35*(1+物価上昇率!$H$9),0)</f>
        <v>15681201</v>
      </c>
      <c r="AN35" s="39">
        <f>ROUND(AM35*(1+物価上昇率!$H$9),0)</f>
        <v>15853694</v>
      </c>
      <c r="AO35" s="39">
        <f>ROUND(AN35*(1+物価上昇率!$H$9),0)</f>
        <v>16028085</v>
      </c>
      <c r="AP35" s="39">
        <f>ROUND(AO35*(1+物価上昇率!$H$9),0)</f>
        <v>16204394</v>
      </c>
      <c r="AQ35" s="39">
        <f>ROUND(AP35*(1+物価上昇率!$H$9),0)</f>
        <v>16382642</v>
      </c>
      <c r="AR35" s="39">
        <f>ROUND(AQ35*(1+物価上昇率!$H$9),0)</f>
        <v>16562851</v>
      </c>
      <c r="AS35" s="39">
        <f>ROUND(AR35*(1+物価上昇率!$H$9),0)</f>
        <v>16745042</v>
      </c>
      <c r="AT35" s="39">
        <f>ROUND(AS35*(1+物価上昇率!$H$9),0)</f>
        <v>16929237</v>
      </c>
      <c r="AU35" s="39">
        <f>ROUND(AT35*(1+物価上昇率!$H$9),0)</f>
        <v>17115459</v>
      </c>
      <c r="AV35" s="39">
        <f>ROUND(AU35*(1+物価上昇率!$H$9),0)</f>
        <v>17303729</v>
      </c>
      <c r="AW35" s="39">
        <f>ROUND(AV35*(1+物価上昇率!$H$9),0)</f>
        <v>17494070</v>
      </c>
      <c r="AX35" s="39">
        <f>ROUND(AW35*(1+物価上昇率!$H$9),0)</f>
        <v>17686505</v>
      </c>
      <c r="AY35" s="39">
        <f>ROUND(AX35*(1+物価上昇率!$H$9),0)</f>
        <v>17881057</v>
      </c>
      <c r="AZ35" s="39">
        <f>ROUND(AY35*(1+物価上昇率!$H$9),0)</f>
        <v>18077749</v>
      </c>
      <c r="BA35" s="39">
        <f>ROUND(AZ35*(1+物価上昇率!$H$9),0)</f>
        <v>18276604</v>
      </c>
      <c r="BB35" s="39">
        <f>ROUND(BA35*(1+物価上昇率!$H$9),0)</f>
        <v>18477647</v>
      </c>
      <c r="BC35" s="39">
        <f>ROUND(BB35*(1+物価上昇率!$H$9),0)</f>
        <v>18680901</v>
      </c>
      <c r="BD35" s="39">
        <f>ROUND(BC35*(1+物価上昇率!$H$9),0)</f>
        <v>18886391</v>
      </c>
      <c r="BE35" s="39">
        <f>ROUND(BD35*(1+物価上昇率!$H$9),0)</f>
        <v>19094141</v>
      </c>
      <c r="BF35" s="39">
        <f>ROUND(BE35*(1+物価上昇率!$H$9),0)</f>
        <v>19304177</v>
      </c>
      <c r="BG35" s="39">
        <f>ROUND(BF35*(1+物価上昇率!$H$9),0)</f>
        <v>19516523</v>
      </c>
      <c r="BH35" s="39">
        <f>ROUND(BG35*(1+物価上昇率!$H$9),0)</f>
        <v>19731205</v>
      </c>
      <c r="BI35" s="39">
        <f>ROUND(BH35*(1+物価上昇率!$H$9),0)</f>
        <v>19948248</v>
      </c>
      <c r="BJ35" s="39">
        <f>ROUND(BI35*(1+物価上昇率!$H$9),0)</f>
        <v>20167679</v>
      </c>
      <c r="BK35" s="39">
        <f>ROUND(BJ35*(1+物価上昇率!$H$9),0)</f>
        <v>20389523</v>
      </c>
      <c r="BL35" s="39">
        <f>ROUND(BK35*(1+物価上昇率!$H$9),0)</f>
        <v>20613808</v>
      </c>
      <c r="BM35" s="39">
        <f>ROUND(BL35*(1+物価上昇率!$H$9),0)</f>
        <v>20840560</v>
      </c>
      <c r="BN35" s="39">
        <f>ROUND(BM35*(1+物価上昇率!$H$9),0)</f>
        <v>21069806</v>
      </c>
      <c r="BO35" s="39">
        <f>ROUND(BN35*(1+物価上昇率!$H$9),0)</f>
        <v>21301574</v>
      </c>
      <c r="BP35" s="39">
        <f>ROUND(BO35*(1+物価上昇率!$H$9),0)</f>
        <v>21535891</v>
      </c>
      <c r="BQ35" s="39">
        <f>ROUND(BP35*(1+物価上昇率!$H$9),0)</f>
        <v>21772786</v>
      </c>
    </row>
    <row r="36" spans="2:69">
      <c r="B36" s="4"/>
      <c r="C36" s="4"/>
      <c r="D36" s="4"/>
      <c r="E36" s="1" t="s">
        <v>96</v>
      </c>
      <c r="F36" s="303"/>
      <c r="G36" s="10"/>
      <c r="H36" s="10"/>
      <c r="I36" s="10" t="s">
        <v>166</v>
      </c>
      <c r="J36" s="10"/>
      <c r="K36" s="1" t="s">
        <v>561</v>
      </c>
      <c r="L36" s="10" t="s">
        <v>166</v>
      </c>
      <c r="M36" s="1"/>
      <c r="N36" s="39">
        <f>【PL】決算数値入力!W36</f>
        <v>3189420</v>
      </c>
      <c r="O36" s="39">
        <f>【PL】決算数値入力!X36</f>
        <v>2083304</v>
      </c>
      <c r="P36" s="39">
        <f>【PL】決算数値入力!Y36</f>
        <v>2339387</v>
      </c>
      <c r="Q36" s="39">
        <f>【PL】決算数値入力!Z36</f>
        <v>3088131</v>
      </c>
      <c r="R36" s="39">
        <f>【PL】決算数値入力!AA36</f>
        <v>2470534</v>
      </c>
      <c r="S36" s="39">
        <f>【PL】決算数値入力!AB36</f>
        <v>2159463.6</v>
      </c>
      <c r="T36" s="39">
        <f>ROUND(SUM(【PL】決算数値入力!$AB$36)/SUM(【収益】水需要予測!$N$19:$W$19),0)*【収益】水需要予測!Y21</f>
        <v>0</v>
      </c>
      <c r="U36" s="39">
        <f>ROUND(SUM(【PL】決算数値入力!$AB$36)/SUM(【収益】水需要予測!$N$19:$W$19),0)*【収益】水需要予測!Z21</f>
        <v>0</v>
      </c>
      <c r="V36" s="39">
        <f>ROUND(SUM(【PL】決算数値入力!$AB$36)/SUM(【収益】水需要予測!$N$19:$W$19),0)*【収益】水需要予測!AA21</f>
        <v>0</v>
      </c>
      <c r="W36" s="39">
        <f>ROUND(SUM(【PL】決算数値入力!$AB$36)/SUM(【収益】水需要予測!$N$19:$W$19),0)*【収益】水需要予測!AB21</f>
        <v>0</v>
      </c>
      <c r="X36" s="39">
        <f>ROUND(SUM(【PL】決算数値入力!$AB$36)/SUM(【収益】水需要予測!$N$19:$W$19),0)*【収益】水需要予測!AC21</f>
        <v>0</v>
      </c>
      <c r="Y36" s="39">
        <f>ROUND(SUM(【PL】決算数値入力!$AB$36)/SUM(【収益】水需要予測!$N$19:$W$19),0)*【収益】水需要予測!AD21</f>
        <v>0</v>
      </c>
      <c r="Z36" s="39">
        <f>ROUND(SUM(【PL】決算数値入力!$AB$36)/SUM(【収益】水需要予測!$N$19:$W$19),0)*【収益】水需要予測!AE21</f>
        <v>0</v>
      </c>
      <c r="AA36" s="39">
        <f>ROUND(SUM(【PL】決算数値入力!$AB$36)/SUM(【収益】水需要予測!$N$19:$W$19),0)*【収益】水需要予測!AF21</f>
        <v>0</v>
      </c>
      <c r="AB36" s="39">
        <f>ROUND(SUM(【PL】決算数値入力!$AB$36)/SUM(【収益】水需要予測!$N$19:$W$19),0)*【収益】水需要予測!AG21</f>
        <v>0</v>
      </c>
      <c r="AC36" s="39">
        <f>ROUND(SUM(【PL】決算数値入力!$AB$36)/SUM(【収益】水需要予測!$N$19:$W$19),0)*【収益】水需要予測!AH21</f>
        <v>0</v>
      </c>
      <c r="AD36" s="39">
        <f>ROUND(SUM(【PL】決算数値入力!$AB$36)/SUM(【収益】水需要予測!$N$19:$W$19),0)*【収益】水需要予測!AI21</f>
        <v>0</v>
      </c>
      <c r="AE36" s="39">
        <f>ROUND(SUM(【PL】決算数値入力!$AB$36)/SUM(【収益】水需要予測!$N$19:$W$19),0)*【収益】水需要予測!AJ21</f>
        <v>0</v>
      </c>
      <c r="AF36" s="39">
        <f>ROUND(SUM(【PL】決算数値入力!$AB$36)/SUM(【収益】水需要予測!$N$19:$W$19),0)*【収益】水需要予測!AK21</f>
        <v>0</v>
      </c>
      <c r="AG36" s="39">
        <f>ROUND(SUM(【PL】決算数値入力!$AB$36)/SUM(【収益】水需要予測!$N$19:$W$19),0)*【収益】水需要予測!AL21</f>
        <v>0</v>
      </c>
      <c r="AH36" s="39">
        <f>ROUND(SUM(【PL】決算数値入力!$AB$36)/SUM(【収益】水需要予測!$N$19:$W$19),0)*【収益】水需要予測!AM21</f>
        <v>0</v>
      </c>
      <c r="AI36" s="39">
        <f>ROUND(SUM(【PL】決算数値入力!$AB$36)/SUM(【収益】水需要予測!$N$19:$W$19),0)*【収益】水需要予測!AN21</f>
        <v>0</v>
      </c>
      <c r="AJ36" s="39">
        <f>ROUND(SUM(【PL】決算数値入力!$AB$36)/SUM(【収益】水需要予測!$N$19:$W$19),0)*【収益】水需要予測!AO21</f>
        <v>0</v>
      </c>
      <c r="AK36" s="39">
        <f>ROUND(SUM(【PL】決算数値入力!$AB$36)/SUM(【収益】水需要予測!$N$19:$W$19),0)*【収益】水需要予測!AP21</f>
        <v>0</v>
      </c>
      <c r="AL36" s="39">
        <f>ROUND(SUM(【PL】決算数値入力!$AB$36)/SUM(【収益】水需要予測!$N$19:$W$19),0)*【収益】水需要予測!AQ21</f>
        <v>0</v>
      </c>
      <c r="AM36" s="39">
        <f>ROUND(SUM(【PL】決算数値入力!$AB$36)/SUM(【収益】水需要予測!$N$19:$W$19),0)*【収益】水需要予測!AR21</f>
        <v>0</v>
      </c>
      <c r="AN36" s="39">
        <f>ROUND(SUM(【PL】決算数値入力!$AB$36)/SUM(【収益】水需要予測!$N$19:$W$19),0)*【収益】水需要予測!AS21</f>
        <v>0</v>
      </c>
      <c r="AO36" s="39">
        <f>ROUND(SUM(【PL】決算数値入力!$AB$36)/SUM(【収益】水需要予測!$N$19:$W$19),0)*【収益】水需要予測!AT21</f>
        <v>0</v>
      </c>
      <c r="AP36" s="39">
        <f>ROUND(SUM(【PL】決算数値入力!$AB$36)/SUM(【収益】水需要予測!$N$19:$W$19),0)*【収益】水需要予測!AU21</f>
        <v>0</v>
      </c>
      <c r="AQ36" s="39">
        <f>ROUND(SUM(【PL】決算数値入力!$AB$36)/SUM(【収益】水需要予測!$N$19:$W$19),0)*【収益】水需要予測!AV21</f>
        <v>0</v>
      </c>
      <c r="AR36" s="39">
        <f>ROUND(SUM(【PL】決算数値入力!$AB$36)/SUM(【収益】水需要予測!$N$19:$W$19),0)*【収益】水需要予測!AW21</f>
        <v>0</v>
      </c>
      <c r="AS36" s="39">
        <f>ROUND(SUM(【PL】決算数値入力!$AB$36)/SUM(【収益】水需要予測!$N$19:$W$19),0)*【収益】水需要予測!AX21</f>
        <v>0</v>
      </c>
      <c r="AT36" s="39">
        <f>ROUND(SUM(【PL】決算数値入力!$AB$36)/SUM(【収益】水需要予測!$N$19:$W$19),0)*【収益】水需要予測!AY21</f>
        <v>0</v>
      </c>
      <c r="AU36" s="39">
        <f>ROUND(SUM(【PL】決算数値入力!$AB$36)/SUM(【収益】水需要予測!$N$19:$W$19),0)*【収益】水需要予測!AZ21</f>
        <v>0</v>
      </c>
      <c r="AV36" s="39">
        <f>ROUND(SUM(【PL】決算数値入力!$AB$36)/SUM(【収益】水需要予測!$N$19:$W$19),0)*【収益】水需要予測!BA21</f>
        <v>0</v>
      </c>
      <c r="AW36" s="39">
        <f>ROUND(SUM(【PL】決算数値入力!$AB$36)/SUM(【収益】水需要予測!$N$19:$W$19),0)*【収益】水需要予測!BB21</f>
        <v>0</v>
      </c>
      <c r="AX36" s="39">
        <f>ROUND(SUM(【PL】決算数値入力!$AB$36)/SUM(【収益】水需要予測!$N$19:$W$19),0)*【収益】水需要予測!BC21</f>
        <v>0</v>
      </c>
      <c r="AY36" s="39">
        <f>ROUND(SUM(【PL】決算数値入力!$AB$36)/SUM(【収益】水需要予測!$N$19:$W$19),0)*【収益】水需要予測!BD21</f>
        <v>0</v>
      </c>
      <c r="AZ36" s="39">
        <f>ROUND(SUM(【PL】決算数値入力!$AB$36)/SUM(【収益】水需要予測!$N$19:$W$19),0)*【収益】水需要予測!BE21</f>
        <v>0</v>
      </c>
      <c r="BA36" s="39">
        <f>ROUND(SUM(【PL】決算数値入力!$AB$36)/SUM(【収益】水需要予測!$N$19:$W$19),0)*【収益】水需要予測!BF21</f>
        <v>0</v>
      </c>
      <c r="BB36" s="39">
        <f>ROUND(SUM(【PL】決算数値入力!$AB$36)/SUM(【収益】水需要予測!$N$19:$W$19),0)*【収益】水需要予測!BG21</f>
        <v>0</v>
      </c>
      <c r="BC36" s="39">
        <f>ROUND(SUM(【PL】決算数値入力!$AB$36)/SUM(【収益】水需要予測!$N$19:$W$19),0)*【収益】水需要予測!BH21</f>
        <v>0</v>
      </c>
      <c r="BD36" s="39">
        <f>ROUND(SUM(【PL】決算数値入力!$AB$36)/SUM(【収益】水需要予測!$N$19:$W$19),0)*【収益】水需要予測!BI21</f>
        <v>0</v>
      </c>
      <c r="BE36" s="39">
        <f>ROUND(SUM(【PL】決算数値入力!$AB$36)/SUM(【収益】水需要予測!$N$19:$W$19),0)*【収益】水需要予測!BJ21</f>
        <v>0</v>
      </c>
      <c r="BF36" s="39">
        <f>ROUND(SUM(【PL】決算数値入力!$AB$36)/SUM(【収益】水需要予測!$N$19:$W$19),0)*【収益】水需要予測!BK21</f>
        <v>0</v>
      </c>
      <c r="BG36" s="39">
        <f>ROUND(SUM(【PL】決算数値入力!$AB$36)/SUM(【収益】水需要予測!$N$19:$W$19),0)*【収益】水需要予測!BL21</f>
        <v>0</v>
      </c>
      <c r="BH36" s="39">
        <f>ROUND(SUM(【PL】決算数値入力!$AB$36)/SUM(【収益】水需要予測!$N$19:$W$19),0)*【収益】水需要予測!BM21</f>
        <v>0</v>
      </c>
      <c r="BI36" s="39">
        <f>ROUND(SUM(【PL】決算数値入力!$AB$36)/SUM(【収益】水需要予測!$N$19:$W$19),0)*【収益】水需要予測!BN21</f>
        <v>0</v>
      </c>
      <c r="BJ36" s="39">
        <f>ROUND(SUM(【PL】決算数値入力!$AB$36)/SUM(【収益】水需要予測!$N$19:$W$19),0)*【収益】水需要予測!BO21</f>
        <v>0</v>
      </c>
      <c r="BK36" s="39">
        <f>ROUND(SUM(【PL】決算数値入力!$AB$36)/SUM(【収益】水需要予測!$N$19:$W$19),0)*【収益】水需要予測!BP21</f>
        <v>0</v>
      </c>
      <c r="BL36" s="39">
        <f>ROUND(SUM(【PL】決算数値入力!$AB$36)/SUM(【収益】水需要予測!$N$19:$W$19),0)*【収益】水需要予測!BQ21</f>
        <v>0</v>
      </c>
      <c r="BM36" s="39">
        <f>ROUND(SUM(【PL】決算数値入力!$AB$36)/SUM(【収益】水需要予測!$N$19:$W$19),0)*【収益】水需要予測!BR21</f>
        <v>0</v>
      </c>
      <c r="BN36" s="39">
        <f>ROUND(SUM(【PL】決算数値入力!$AB$36)/SUM(【収益】水需要予測!$N$19:$W$19),0)*【収益】水需要予測!BS21</f>
        <v>0</v>
      </c>
      <c r="BO36" s="39">
        <f>ROUND(SUM(【PL】決算数値入力!$AB$36)/SUM(【収益】水需要予測!$N$19:$W$19),0)*【収益】水需要予測!BT21</f>
        <v>0</v>
      </c>
      <c r="BP36" s="39">
        <f>ROUND(SUM(【PL】決算数値入力!$AB$36)/SUM(【収益】水需要予測!$N$19:$W$19),0)*【収益】水需要予測!BU21</f>
        <v>0</v>
      </c>
      <c r="BQ36" s="39">
        <f>ROUND(SUM(【PL】決算数値入力!$AB$36)/SUM(【収益】水需要予測!$N$19:$W$19),0)*【収益】水需要予測!BV21</f>
        <v>0</v>
      </c>
    </row>
    <row r="37" spans="2:69">
      <c r="B37" s="4"/>
      <c r="C37" s="4"/>
      <c r="D37" s="4"/>
      <c r="E37" s="1" t="s">
        <v>90</v>
      </c>
      <c r="F37" s="303"/>
      <c r="G37" s="10"/>
      <c r="H37" s="10"/>
      <c r="I37" s="10" t="s">
        <v>166</v>
      </c>
      <c r="J37" s="10"/>
      <c r="K37" s="1" t="s">
        <v>561</v>
      </c>
      <c r="L37" s="10" t="s">
        <v>166</v>
      </c>
      <c r="M37" s="1"/>
      <c r="N37" s="39">
        <f>【PL】決算数値入力!W37</f>
        <v>0</v>
      </c>
      <c r="O37" s="39">
        <f>【PL】決算数値入力!X37</f>
        <v>0</v>
      </c>
      <c r="P37" s="39">
        <f>【PL】決算数値入力!Y37</f>
        <v>0</v>
      </c>
      <c r="Q37" s="39">
        <f>【PL】決算数値入力!Z37</f>
        <v>0</v>
      </c>
      <c r="R37" s="39">
        <f>【PL】決算数値入力!AA37</f>
        <v>0</v>
      </c>
      <c r="S37" s="39">
        <f>【PL】決算数値入力!AB37</f>
        <v>0</v>
      </c>
      <c r="T37" s="39">
        <f>ROUND(SUM(【PL】決算数値入力!AB37)/SUM(【収益】水需要予測!$N$19:$W$19)*【収益】水需要予測!Y21,0)</f>
        <v>0</v>
      </c>
      <c r="U37" s="39">
        <f>ROUND(SUM(【PL】決算数値入力!$AB$37)/SUM(【収益】水需要予測!$N$19:$W$19)*【収益】水需要予測!Z21,0)</f>
        <v>0</v>
      </c>
      <c r="V37" s="39">
        <f>ROUND(SUM(【PL】決算数値入力!$AB$37)/SUM(【収益】水需要予測!$N$19:$W$19)*【収益】水需要予測!AA21,0)</f>
        <v>0</v>
      </c>
      <c r="W37" s="39">
        <f>ROUND(SUM(【PL】決算数値入力!$AB$37)/SUM(【収益】水需要予測!$N$19:$W$19)*【収益】水需要予測!AB21,0)</f>
        <v>0</v>
      </c>
      <c r="X37" s="39">
        <f>ROUND(SUM(【PL】決算数値入力!$AB$37)/SUM(【収益】水需要予測!$N$19:$W$19)*【収益】水需要予測!AC21,0)</f>
        <v>0</v>
      </c>
      <c r="Y37" s="39">
        <f>ROUND(SUM(【PL】決算数値入力!$AB$37)/SUM(【収益】水需要予測!$N$19:$W$19)*【収益】水需要予測!AD21,0)</f>
        <v>0</v>
      </c>
      <c r="Z37" s="39">
        <f>ROUND(SUM(【PL】決算数値入力!$AB$37)/SUM(【収益】水需要予測!$N$19:$W$19)*【収益】水需要予測!AE21,0)</f>
        <v>0</v>
      </c>
      <c r="AA37" s="39">
        <f>ROUND(SUM(【PL】決算数値入力!$AB$37)/SUM(【収益】水需要予測!$N$19:$W$19)*【収益】水需要予測!AF21,0)</f>
        <v>0</v>
      </c>
      <c r="AB37" s="39">
        <f>ROUND(SUM(【PL】決算数値入力!$AB$37)/SUM(【収益】水需要予測!$N$19:$W$19)*【収益】水需要予測!AG21,0)</f>
        <v>0</v>
      </c>
      <c r="AC37" s="39">
        <f>ROUND(SUM(【PL】決算数値入力!$AB$37)/SUM(【収益】水需要予測!$N$19:$W$19)*【収益】水需要予測!AH21,0)</f>
        <v>0</v>
      </c>
      <c r="AD37" s="39">
        <f>ROUND(SUM(【PL】決算数値入力!$AB$37)/SUM(【収益】水需要予測!$N$19:$W$19)*【収益】水需要予測!AI21,0)</f>
        <v>0</v>
      </c>
      <c r="AE37" s="39">
        <f>ROUND(SUM(【PL】決算数値入力!$AB$37)/SUM(【収益】水需要予測!$N$19:$W$19)*【収益】水需要予測!AJ21,0)</f>
        <v>0</v>
      </c>
      <c r="AF37" s="39">
        <f>ROUND(SUM(【PL】決算数値入力!$AB$37)/SUM(【収益】水需要予測!$N$19:$W$19)*【収益】水需要予測!AK21,0)</f>
        <v>0</v>
      </c>
      <c r="AG37" s="39">
        <f>ROUND(SUM(【PL】決算数値入力!$AB$37)/SUM(【収益】水需要予測!$N$19:$W$19)*【収益】水需要予測!AL21,0)</f>
        <v>0</v>
      </c>
      <c r="AH37" s="39">
        <f>ROUND(SUM(【PL】決算数値入力!$AB$37)/SUM(【収益】水需要予測!$N$19:$W$19)*【収益】水需要予測!AM21,0)</f>
        <v>0</v>
      </c>
      <c r="AI37" s="39">
        <f>ROUND(SUM(【PL】決算数値入力!$AB$37)/SUM(【収益】水需要予測!$N$19:$W$19)*【収益】水需要予測!AN21,0)</f>
        <v>0</v>
      </c>
      <c r="AJ37" s="39">
        <f>ROUND(SUM(【PL】決算数値入力!$AB$37)/SUM(【収益】水需要予測!$N$19:$W$19)*【収益】水需要予測!AO21,0)</f>
        <v>0</v>
      </c>
      <c r="AK37" s="39">
        <f>ROUND(SUM(【PL】決算数値入力!$AB$37)/SUM(【収益】水需要予測!$N$19:$W$19)*【収益】水需要予測!AP21,0)</f>
        <v>0</v>
      </c>
      <c r="AL37" s="39">
        <f>ROUND(SUM(【PL】決算数値入力!$AB$37)/SUM(【収益】水需要予測!$N$19:$W$19)*【収益】水需要予測!AQ21,0)</f>
        <v>0</v>
      </c>
      <c r="AM37" s="39">
        <f>ROUND(SUM(【PL】決算数値入力!$AB$37)/SUM(【収益】水需要予測!$N$19:$W$19)*【収益】水需要予測!AR21,0)</f>
        <v>0</v>
      </c>
      <c r="AN37" s="39">
        <f>ROUND(SUM(【PL】決算数値入力!$AB$37)/SUM(【収益】水需要予測!$N$19:$W$19)*【収益】水需要予測!AS21,0)</f>
        <v>0</v>
      </c>
      <c r="AO37" s="39">
        <f>ROUND(SUM(【PL】決算数値入力!$AB$37)/SUM(【収益】水需要予測!$N$19:$W$19)*【収益】水需要予測!AT21,0)</f>
        <v>0</v>
      </c>
      <c r="AP37" s="39">
        <f>ROUND(SUM(【PL】決算数値入力!$AB$37)/SUM(【収益】水需要予測!$N$19:$W$19)*【収益】水需要予測!AU21,0)</f>
        <v>0</v>
      </c>
      <c r="AQ37" s="39">
        <f>ROUND(SUM(【PL】決算数値入力!$AB$37)/SUM(【収益】水需要予測!$N$19:$W$19)*【収益】水需要予測!AV21,0)</f>
        <v>0</v>
      </c>
      <c r="AR37" s="39">
        <f>ROUND(SUM(【PL】決算数値入力!$AB$37)/SUM(【収益】水需要予測!$N$19:$W$19)*【収益】水需要予測!AW21,0)</f>
        <v>0</v>
      </c>
      <c r="AS37" s="39">
        <f>ROUND(SUM(【PL】決算数値入力!$AB$37)/SUM(【収益】水需要予測!$N$19:$W$19)*【収益】水需要予測!AX21,0)</f>
        <v>0</v>
      </c>
      <c r="AT37" s="39">
        <f>ROUND(SUM(【PL】決算数値入力!$AB$37)/SUM(【収益】水需要予測!$N$19:$W$19)*【収益】水需要予測!AY21,0)</f>
        <v>0</v>
      </c>
      <c r="AU37" s="39">
        <f>ROUND(SUM(【PL】決算数値入力!$AB$37)/SUM(【収益】水需要予測!$N$19:$W$19)*【収益】水需要予測!AZ21,0)</f>
        <v>0</v>
      </c>
      <c r="AV37" s="39">
        <f>ROUND(SUM(【PL】決算数値入力!$AB$37)/SUM(【収益】水需要予測!$N$19:$W$19)*【収益】水需要予測!BA21,0)</f>
        <v>0</v>
      </c>
      <c r="AW37" s="39">
        <f>ROUND(SUM(【PL】決算数値入力!$AB$37)/SUM(【収益】水需要予測!$N$19:$W$19)*【収益】水需要予測!BB21,0)</f>
        <v>0</v>
      </c>
      <c r="AX37" s="39">
        <f>ROUND(SUM(【PL】決算数値入力!$AB$37)/SUM(【収益】水需要予測!$N$19:$W$19)*【収益】水需要予測!BC21,0)</f>
        <v>0</v>
      </c>
      <c r="AY37" s="39">
        <f>ROUND(SUM(【PL】決算数値入力!$AB$37)/SUM(【収益】水需要予測!$N$19:$W$19)*【収益】水需要予測!BD21,0)</f>
        <v>0</v>
      </c>
      <c r="AZ37" s="39">
        <f>ROUND(SUM(【PL】決算数値入力!$AB$37)/SUM(【収益】水需要予測!$N$19:$W$19)*【収益】水需要予測!BE21,0)</f>
        <v>0</v>
      </c>
      <c r="BA37" s="39">
        <f>ROUND(SUM(【PL】決算数値入力!$AB$37)/SUM(【収益】水需要予測!$N$19:$W$19)*【収益】水需要予測!BF21,0)</f>
        <v>0</v>
      </c>
      <c r="BB37" s="39">
        <f>ROUND(SUM(【PL】決算数値入力!$AB$37)/SUM(【収益】水需要予測!$N$19:$W$19)*【収益】水需要予測!BG21,0)</f>
        <v>0</v>
      </c>
      <c r="BC37" s="39">
        <f>ROUND(SUM(【PL】決算数値入力!$AB$37)/SUM(【収益】水需要予測!$N$19:$W$19)*【収益】水需要予測!BH21,0)</f>
        <v>0</v>
      </c>
      <c r="BD37" s="39">
        <f>ROUND(SUM(【PL】決算数値入力!$AB$37)/SUM(【収益】水需要予測!$N$19:$W$19)*【収益】水需要予測!BI21,0)</f>
        <v>0</v>
      </c>
      <c r="BE37" s="39">
        <f>ROUND(SUM(【PL】決算数値入力!$AB$37)/SUM(【収益】水需要予測!$N$19:$W$19)*【収益】水需要予測!BJ21,0)</f>
        <v>0</v>
      </c>
      <c r="BF37" s="39">
        <f>ROUND(SUM(【PL】決算数値入力!$AB$37)/SUM(【収益】水需要予測!$N$19:$W$19)*【収益】水需要予測!BK21,0)</f>
        <v>0</v>
      </c>
      <c r="BG37" s="39">
        <f>ROUND(SUM(【PL】決算数値入力!$AB$37)/SUM(【収益】水需要予測!$N$19:$W$19)*【収益】水需要予測!BL21,0)</f>
        <v>0</v>
      </c>
      <c r="BH37" s="39">
        <f>ROUND(SUM(【PL】決算数値入力!$AB$37)/SUM(【収益】水需要予測!$N$19:$W$19)*【収益】水需要予測!BM21,0)</f>
        <v>0</v>
      </c>
      <c r="BI37" s="39">
        <f>ROUND(SUM(【PL】決算数値入力!$AB$37)/SUM(【収益】水需要予測!$N$19:$W$19)*【収益】水需要予測!BN21,0)</f>
        <v>0</v>
      </c>
      <c r="BJ37" s="39">
        <f>ROUND(SUM(【PL】決算数値入力!$AB$37)/SUM(【収益】水需要予測!$N$19:$W$19)*【収益】水需要予測!BO21,0)</f>
        <v>0</v>
      </c>
      <c r="BK37" s="39">
        <f>ROUND(SUM(【PL】決算数値入力!$AB$37)/SUM(【収益】水需要予測!$N$19:$W$19)*【収益】水需要予測!BP21,0)</f>
        <v>0</v>
      </c>
      <c r="BL37" s="39">
        <f>ROUND(SUM(【PL】決算数値入力!$AB$37)/SUM(【収益】水需要予測!$N$19:$W$19)*【収益】水需要予測!BQ21,0)</f>
        <v>0</v>
      </c>
      <c r="BM37" s="39">
        <f>ROUND(SUM(【PL】決算数値入力!$AB$37)/SUM(【収益】水需要予測!$N$19:$W$19)*【収益】水需要予測!BR21,0)</f>
        <v>0</v>
      </c>
      <c r="BN37" s="39">
        <f>ROUND(SUM(【PL】決算数値入力!$AB$37)/SUM(【収益】水需要予測!$N$19:$W$19)*【収益】水需要予測!BS21,0)</f>
        <v>0</v>
      </c>
      <c r="BO37" s="39">
        <f>ROUND(SUM(【PL】決算数値入力!$AB$37)/SUM(【収益】水需要予測!$N$19:$W$19)*【収益】水需要予測!BT21,0)</f>
        <v>0</v>
      </c>
      <c r="BP37" s="39">
        <f>ROUND(SUM(【PL】決算数値入力!$AB$37)/SUM(【収益】水需要予測!$N$19:$W$19)*【収益】水需要予測!BU21,0)</f>
        <v>0</v>
      </c>
      <c r="BQ37" s="39">
        <f>ROUND(SUM(【PL】決算数値入力!$AB$37)/SUM(【収益】水需要予測!$N$19:$W$19)*【収益】水需要予測!BV21,0)</f>
        <v>0</v>
      </c>
    </row>
    <row r="38" spans="2:69">
      <c r="B38" s="4"/>
      <c r="C38" s="4"/>
      <c r="D38" s="4"/>
      <c r="E38" s="1" t="s">
        <v>91</v>
      </c>
      <c r="F38" s="303"/>
      <c r="G38" s="10"/>
      <c r="H38" s="10" t="s">
        <v>166</v>
      </c>
      <c r="I38" s="10"/>
      <c r="J38" s="10"/>
      <c r="K38" s="1" t="s">
        <v>562</v>
      </c>
      <c r="L38" s="10" t="s">
        <v>166</v>
      </c>
      <c r="M38" s="1"/>
      <c r="N38" s="39">
        <f>【PL】決算数値入力!W38</f>
        <v>1577280</v>
      </c>
      <c r="O38" s="39">
        <f>【PL】決算数値入力!X38</f>
        <v>327448</v>
      </c>
      <c r="P38" s="39">
        <f>【PL】決算数値入力!Y38</f>
        <v>569069</v>
      </c>
      <c r="Q38" s="39">
        <f>【PL】決算数値入力!Z38</f>
        <v>3745890</v>
      </c>
      <c r="R38" s="39">
        <f>【PL】決算数値入力!AA38</f>
        <v>3642734</v>
      </c>
      <c r="S38" s="39">
        <f>【PL】決算数値入力!AB38</f>
        <v>1417521.1</v>
      </c>
      <c r="T38" s="39">
        <f>ROUND(S38*(1+物価上昇率!$H$9),0)</f>
        <v>1433114</v>
      </c>
      <c r="U38" s="39">
        <f>ROUND(T38*(1+物価上昇率!$H$9),0)</f>
        <v>1448878</v>
      </c>
      <c r="V38" s="39">
        <f>ROUND(U38*(1+物価上昇率!$H$9),0)</f>
        <v>1464816</v>
      </c>
      <c r="W38" s="39">
        <f>ROUND(V38*(1+物価上昇率!$H$9),0)</f>
        <v>1480929</v>
      </c>
      <c r="X38" s="39">
        <f>ROUND(W38*(1+物価上昇率!$H$9),0)</f>
        <v>1497219</v>
      </c>
      <c r="Y38" s="39">
        <f>ROUND(X38*(1+物価上昇率!$H$9),0)</f>
        <v>1513688</v>
      </c>
      <c r="Z38" s="39">
        <f>ROUND(Y38*(1+物価上昇率!$H$9),0)</f>
        <v>1530339</v>
      </c>
      <c r="AA38" s="39">
        <f>ROUND(Z38*(1+物価上昇率!$H$9),0)</f>
        <v>1547173</v>
      </c>
      <c r="AB38" s="39">
        <f>ROUND(AA38*(1+物価上昇率!$H$9),0)</f>
        <v>1564192</v>
      </c>
      <c r="AC38" s="39">
        <f>ROUND(AB38*(1+物価上昇率!$H$9),0)</f>
        <v>1581398</v>
      </c>
      <c r="AD38" s="39">
        <f>ROUND(AC38*(1+物価上昇率!$H$9),0)</f>
        <v>1598793</v>
      </c>
      <c r="AE38" s="39">
        <f>ROUND(AD38*(1+物価上昇率!$H$9),0)</f>
        <v>1616380</v>
      </c>
      <c r="AF38" s="39">
        <f>ROUND(AE38*(1+物価上昇率!$H$9),0)</f>
        <v>1634160</v>
      </c>
      <c r="AG38" s="39">
        <f>ROUND(AF38*(1+物価上昇率!$H$9),0)</f>
        <v>1652136</v>
      </c>
      <c r="AH38" s="39">
        <f>ROUND(AG38*(1+物価上昇率!$H$9),0)</f>
        <v>1670309</v>
      </c>
      <c r="AI38" s="39">
        <f>ROUND(AH38*(1+物価上昇率!$H$9),0)</f>
        <v>1688682</v>
      </c>
      <c r="AJ38" s="39">
        <f>ROUND(AI38*(1+物価上昇率!$H$9),0)</f>
        <v>1707258</v>
      </c>
      <c r="AK38" s="39">
        <f>ROUND(AJ38*(1+物価上昇率!$H$9),0)</f>
        <v>1726038</v>
      </c>
      <c r="AL38" s="39">
        <f>ROUND(AK38*(1+物価上昇率!$H$9),0)</f>
        <v>1745024</v>
      </c>
      <c r="AM38" s="39">
        <f>ROUND(AL38*(1+物価上昇率!$H$9),0)</f>
        <v>1764219</v>
      </c>
      <c r="AN38" s="39">
        <f>ROUND(AM38*(1+物価上昇率!$H$9),0)</f>
        <v>1783625</v>
      </c>
      <c r="AO38" s="39">
        <f>ROUND(AN38*(1+物価上昇率!$H$9),0)</f>
        <v>1803245</v>
      </c>
      <c r="AP38" s="39">
        <f>ROUND(AO38*(1+物価上昇率!$H$9),0)</f>
        <v>1823081</v>
      </c>
      <c r="AQ38" s="39">
        <f>ROUND(AP38*(1+物価上昇率!$H$9),0)</f>
        <v>1843135</v>
      </c>
      <c r="AR38" s="39">
        <f>ROUND(AQ38*(1+物価上昇率!$H$9),0)</f>
        <v>1863409</v>
      </c>
      <c r="AS38" s="39">
        <f>ROUND(AR38*(1+物価上昇率!$H$9),0)</f>
        <v>1883906</v>
      </c>
      <c r="AT38" s="39">
        <f>ROUND(AS38*(1+物価上昇率!$H$9),0)</f>
        <v>1904629</v>
      </c>
      <c r="AU38" s="39">
        <f>ROUND(AT38*(1+物価上昇率!$H$9),0)</f>
        <v>1925580</v>
      </c>
      <c r="AV38" s="39">
        <f>ROUND(AU38*(1+物価上昇率!$H$9),0)</f>
        <v>1946761</v>
      </c>
      <c r="AW38" s="39">
        <f>ROUND(AV38*(1+物価上昇率!$H$9),0)</f>
        <v>1968175</v>
      </c>
      <c r="AX38" s="39">
        <f>ROUND(AW38*(1+物価上昇率!$H$9),0)</f>
        <v>1989825</v>
      </c>
      <c r="AY38" s="39">
        <f>ROUND(AX38*(1+物価上昇率!$H$9),0)</f>
        <v>2011713</v>
      </c>
      <c r="AZ38" s="39">
        <f>ROUND(AY38*(1+物価上昇率!$H$9),0)</f>
        <v>2033842</v>
      </c>
      <c r="BA38" s="39">
        <f>ROUND(AZ38*(1+物価上昇率!$H$9),0)</f>
        <v>2056214</v>
      </c>
      <c r="BB38" s="39">
        <f>ROUND(BA38*(1+物価上昇率!$H$9),0)</f>
        <v>2078832</v>
      </c>
      <c r="BC38" s="39">
        <f>ROUND(BB38*(1+物価上昇率!$H$9),0)</f>
        <v>2101699</v>
      </c>
      <c r="BD38" s="39">
        <f>ROUND(BC38*(1+物価上昇率!$H$9),0)</f>
        <v>2124818</v>
      </c>
      <c r="BE38" s="39">
        <f>ROUND(BD38*(1+物価上昇率!$H$9),0)</f>
        <v>2148191</v>
      </c>
      <c r="BF38" s="39">
        <f>ROUND(BE38*(1+物価上昇率!$H$9),0)</f>
        <v>2171821</v>
      </c>
      <c r="BG38" s="39">
        <f>ROUND(BF38*(1+物価上昇率!$H$9),0)</f>
        <v>2195711</v>
      </c>
      <c r="BH38" s="39">
        <f>ROUND(BG38*(1+物価上昇率!$H$9),0)</f>
        <v>2219864</v>
      </c>
      <c r="BI38" s="39">
        <f>ROUND(BH38*(1+物価上昇率!$H$9),0)</f>
        <v>2244283</v>
      </c>
      <c r="BJ38" s="39">
        <f>ROUND(BI38*(1+物価上昇率!$H$9),0)</f>
        <v>2268970</v>
      </c>
      <c r="BK38" s="39">
        <f>ROUND(BJ38*(1+物価上昇率!$H$9),0)</f>
        <v>2293929</v>
      </c>
      <c r="BL38" s="39">
        <f>ROUND(BK38*(1+物価上昇率!$H$9),0)</f>
        <v>2319162</v>
      </c>
      <c r="BM38" s="39">
        <f>ROUND(BL38*(1+物価上昇率!$H$9),0)</f>
        <v>2344673</v>
      </c>
      <c r="BN38" s="39">
        <f>ROUND(BM38*(1+物価上昇率!$H$9),0)</f>
        <v>2370464</v>
      </c>
      <c r="BO38" s="39">
        <f>ROUND(BN38*(1+物価上昇率!$H$9),0)</f>
        <v>2396539</v>
      </c>
      <c r="BP38" s="39">
        <f>ROUND(BO38*(1+物価上昇率!$H$9),0)</f>
        <v>2422901</v>
      </c>
      <c r="BQ38" s="39">
        <f>ROUND(BP38*(1+物価上昇率!$H$9),0)</f>
        <v>2449553</v>
      </c>
    </row>
    <row r="39" spans="2:69">
      <c r="B39" s="4"/>
      <c r="C39" s="4"/>
      <c r="D39" s="4"/>
      <c r="E39" s="1" t="s">
        <v>92</v>
      </c>
      <c r="F39" s="303"/>
      <c r="G39" s="10"/>
      <c r="H39" s="10" t="s">
        <v>166</v>
      </c>
      <c r="I39" s="10"/>
      <c r="J39" s="10"/>
      <c r="K39" s="1" t="s">
        <v>562</v>
      </c>
      <c r="L39" s="10" t="s">
        <v>166</v>
      </c>
      <c r="M39" s="1"/>
      <c r="N39" s="39">
        <f>【PL】決算数値入力!W39</f>
        <v>17175629</v>
      </c>
      <c r="O39" s="39">
        <f>【PL】決算数値入力!X39</f>
        <v>18885642</v>
      </c>
      <c r="P39" s="39">
        <f>【PL】決算数値入力!Y39</f>
        <v>16161047</v>
      </c>
      <c r="Q39" s="39">
        <f>【PL】決算数値入力!Z39</f>
        <v>13583646</v>
      </c>
      <c r="R39" s="39">
        <f>【PL】決算数値入力!AA39</f>
        <v>13164934</v>
      </c>
      <c r="S39" s="39">
        <f>【PL】決算数値入力!AB39</f>
        <v>14950335.1</v>
      </c>
      <c r="T39" s="39">
        <f>ROUND(S39*(1+物価上昇率!$H$9),0)</f>
        <v>15114789</v>
      </c>
      <c r="U39" s="39">
        <f>ROUND(T39*(1+物価上昇率!$H$9),0)</f>
        <v>15281052</v>
      </c>
      <c r="V39" s="39">
        <f>ROUND(U39*(1+物価上昇率!$H$9),0)</f>
        <v>15449144</v>
      </c>
      <c r="W39" s="39">
        <f>ROUND(V39*(1+物価上昇率!$H$9),0)</f>
        <v>15619085</v>
      </c>
      <c r="X39" s="39">
        <f>ROUND(W39*(1+物価上昇率!$H$9),0)</f>
        <v>15790895</v>
      </c>
      <c r="Y39" s="39">
        <f>ROUND(X39*(1+物価上昇率!$H$9),0)</f>
        <v>15964595</v>
      </c>
      <c r="Z39" s="39">
        <f>ROUND(Y39*(1+物価上昇率!$H$9),0)</f>
        <v>16140206</v>
      </c>
      <c r="AA39" s="39">
        <f>ROUND(Z39*(1+物価上昇率!$H$9),0)</f>
        <v>16317748</v>
      </c>
      <c r="AB39" s="39">
        <f>ROUND(AA39*(1+物価上昇率!$H$9),0)</f>
        <v>16497243</v>
      </c>
      <c r="AC39" s="39">
        <f>ROUND(AB39*(1+物価上昇率!$H$9),0)</f>
        <v>16678713</v>
      </c>
      <c r="AD39" s="39">
        <f>ROUND(AC39*(1+物価上昇率!$H$9),0)</f>
        <v>16862179</v>
      </c>
      <c r="AE39" s="39">
        <f>ROUND(AD39*(1+物価上昇率!$H$9),0)</f>
        <v>17047663</v>
      </c>
      <c r="AF39" s="39">
        <f>ROUND(AE39*(1+物価上昇率!$H$9),0)</f>
        <v>17235187</v>
      </c>
      <c r="AG39" s="39">
        <f>ROUND(AF39*(1+物価上昇率!$H$9),0)</f>
        <v>17424774</v>
      </c>
      <c r="AH39" s="39">
        <f>ROUND(AG39*(1+物価上昇率!$H$9),0)</f>
        <v>17616447</v>
      </c>
      <c r="AI39" s="39">
        <f>ROUND(AH39*(1+物価上昇率!$H$9),0)</f>
        <v>17810228</v>
      </c>
      <c r="AJ39" s="39">
        <f>ROUND(AI39*(1+物価上昇率!$H$9),0)</f>
        <v>18006141</v>
      </c>
      <c r="AK39" s="39">
        <f>ROUND(AJ39*(1+物価上昇率!$H$9),0)</f>
        <v>18204209</v>
      </c>
      <c r="AL39" s="39">
        <f>ROUND(AK39*(1+物価上昇率!$H$9),0)</f>
        <v>18404455</v>
      </c>
      <c r="AM39" s="39">
        <f>ROUND(AL39*(1+物価上昇率!$H$9),0)</f>
        <v>18606904</v>
      </c>
      <c r="AN39" s="39">
        <f>ROUND(AM39*(1+物価上昇率!$H$9),0)</f>
        <v>18811580</v>
      </c>
      <c r="AO39" s="39">
        <f>ROUND(AN39*(1+物価上昇率!$H$9),0)</f>
        <v>19018507</v>
      </c>
      <c r="AP39" s="39">
        <f>ROUND(AO39*(1+物価上昇率!$H$9),0)</f>
        <v>19227711</v>
      </c>
      <c r="AQ39" s="39">
        <f>ROUND(AP39*(1+物価上昇率!$H$9),0)</f>
        <v>19439216</v>
      </c>
      <c r="AR39" s="39">
        <f>ROUND(AQ39*(1+物価上昇率!$H$9),0)</f>
        <v>19653047</v>
      </c>
      <c r="AS39" s="39">
        <f>ROUND(AR39*(1+物価上昇率!$H$9),0)</f>
        <v>19869231</v>
      </c>
      <c r="AT39" s="39">
        <f>ROUND(AS39*(1+物価上昇率!$H$9),0)</f>
        <v>20087793</v>
      </c>
      <c r="AU39" s="39">
        <f>ROUND(AT39*(1+物価上昇率!$H$9),0)</f>
        <v>20308759</v>
      </c>
      <c r="AV39" s="39">
        <f>ROUND(AU39*(1+物価上昇率!$H$9),0)</f>
        <v>20532155</v>
      </c>
      <c r="AW39" s="39">
        <f>ROUND(AV39*(1+物価上昇率!$H$9),0)</f>
        <v>20758009</v>
      </c>
      <c r="AX39" s="39">
        <f>ROUND(AW39*(1+物価上昇率!$H$9),0)</f>
        <v>20986347</v>
      </c>
      <c r="AY39" s="39">
        <f>ROUND(AX39*(1+物価上昇率!$H$9),0)</f>
        <v>21217197</v>
      </c>
      <c r="AZ39" s="39">
        <f>ROUND(AY39*(1+物価上昇率!$H$9),0)</f>
        <v>21450586</v>
      </c>
      <c r="BA39" s="39">
        <f>ROUND(AZ39*(1+物価上昇率!$H$9),0)</f>
        <v>21686542</v>
      </c>
      <c r="BB39" s="39">
        <f>ROUND(BA39*(1+物価上昇率!$H$9),0)</f>
        <v>21925094</v>
      </c>
      <c r="BC39" s="39">
        <f>ROUND(BB39*(1+物価上昇率!$H$9),0)</f>
        <v>22166270</v>
      </c>
      <c r="BD39" s="39">
        <f>ROUND(BC39*(1+物価上昇率!$H$9),0)</f>
        <v>22410099</v>
      </c>
      <c r="BE39" s="39">
        <f>ROUND(BD39*(1+物価上昇率!$H$9),0)</f>
        <v>22656610</v>
      </c>
      <c r="BF39" s="39">
        <f>ROUND(BE39*(1+物価上昇率!$H$9),0)</f>
        <v>22905833</v>
      </c>
      <c r="BG39" s="39">
        <f>ROUND(BF39*(1+物価上昇率!$H$9),0)</f>
        <v>23157797</v>
      </c>
      <c r="BH39" s="39">
        <f>ROUND(BG39*(1+物価上昇率!$H$9),0)</f>
        <v>23412533</v>
      </c>
      <c r="BI39" s="39">
        <f>ROUND(BH39*(1+物価上昇率!$H$9),0)</f>
        <v>23670071</v>
      </c>
      <c r="BJ39" s="39">
        <f>ROUND(BI39*(1+物価上昇率!$H$9),0)</f>
        <v>23930442</v>
      </c>
      <c r="BK39" s="39">
        <f>ROUND(BJ39*(1+物価上昇率!$H$9),0)</f>
        <v>24193677</v>
      </c>
      <c r="BL39" s="39">
        <f>ROUND(BK39*(1+物価上昇率!$H$9),0)</f>
        <v>24459807</v>
      </c>
      <c r="BM39" s="39">
        <f>ROUND(BL39*(1+物価上昇率!$H$9),0)</f>
        <v>24728865</v>
      </c>
      <c r="BN39" s="39">
        <f>ROUND(BM39*(1+物価上昇率!$H$9),0)</f>
        <v>25000883</v>
      </c>
      <c r="BO39" s="39">
        <f>ROUND(BN39*(1+物価上昇率!$H$9),0)</f>
        <v>25275893</v>
      </c>
      <c r="BP39" s="39">
        <f>ROUND(BO39*(1+物価上昇率!$H$9),0)</f>
        <v>25553928</v>
      </c>
      <c r="BQ39" s="39">
        <f>ROUND(BP39*(1+物価上昇率!$H$9),0)</f>
        <v>25835021</v>
      </c>
    </row>
    <row r="40" spans="2:69">
      <c r="B40" s="4"/>
      <c r="C40" s="4"/>
      <c r="D40" s="4"/>
      <c r="E40" s="1" t="s">
        <v>93</v>
      </c>
      <c r="F40" s="303"/>
      <c r="G40" s="10"/>
      <c r="H40" s="10" t="s">
        <v>166</v>
      </c>
      <c r="I40" s="10"/>
      <c r="J40" s="10"/>
      <c r="K40" s="1" t="s">
        <v>562</v>
      </c>
      <c r="L40" s="10" t="s">
        <v>166</v>
      </c>
      <c r="M40" s="1"/>
      <c r="N40" s="39">
        <f>【PL】決算数値入力!W40</f>
        <v>4096110</v>
      </c>
      <c r="O40" s="39">
        <f>【PL】決算数値入力!X40</f>
        <v>4833373</v>
      </c>
      <c r="P40" s="39">
        <f>【PL】決算数値入力!Y40</f>
        <v>6189097</v>
      </c>
      <c r="Q40" s="39">
        <f>【PL】決算数値入力!Z40</f>
        <v>5786413</v>
      </c>
      <c r="R40" s="39">
        <f>【PL】決算数値入力!AA40</f>
        <v>6125089</v>
      </c>
      <c r="S40" s="39">
        <f>【PL】決算数値入力!AB40</f>
        <v>3796306.5</v>
      </c>
      <c r="T40" s="39">
        <f>ROUND(S40*(1+物価上昇率!$H$9),0)</f>
        <v>3838066</v>
      </c>
      <c r="U40" s="39">
        <f>ROUND(T40*(1+物価上昇率!$H$9),0)</f>
        <v>3880285</v>
      </c>
      <c r="V40" s="39">
        <f>ROUND(U40*(1+物価上昇率!$H$9),0)</f>
        <v>3922968</v>
      </c>
      <c r="W40" s="39">
        <f>ROUND(V40*(1+物価上昇率!$H$9),0)</f>
        <v>3966121</v>
      </c>
      <c r="X40" s="39">
        <f>ROUND(W40*(1+物価上昇率!$H$9),0)</f>
        <v>4009748</v>
      </c>
      <c r="Y40" s="39">
        <f>ROUND(X40*(1+物価上昇率!$H$9),0)</f>
        <v>4053855</v>
      </c>
      <c r="Z40" s="39">
        <f>ROUND(Y40*(1+物価上昇率!$H$9),0)</f>
        <v>4098447</v>
      </c>
      <c r="AA40" s="39">
        <f>ROUND(Z40*(1+物価上昇率!$H$9),0)</f>
        <v>4143530</v>
      </c>
      <c r="AB40" s="39">
        <f>ROUND(AA40*(1+物価上昇率!$H$9),0)</f>
        <v>4189109</v>
      </c>
      <c r="AC40" s="39">
        <f>ROUND(AB40*(1+物価上昇率!$H$9),0)</f>
        <v>4235189</v>
      </c>
      <c r="AD40" s="39">
        <f>ROUND(AC40*(1+物価上昇率!$H$9),0)</f>
        <v>4281776</v>
      </c>
      <c r="AE40" s="39">
        <f>ROUND(AD40*(1+物価上昇率!$H$9),0)</f>
        <v>4328876</v>
      </c>
      <c r="AF40" s="39">
        <f>ROUND(AE40*(1+物価上昇率!$H$9),0)</f>
        <v>4376494</v>
      </c>
      <c r="AG40" s="39">
        <f>ROUND(AF40*(1+物価上昇率!$H$9),0)</f>
        <v>4424635</v>
      </c>
      <c r="AH40" s="39">
        <f>ROUND(AG40*(1+物価上昇率!$H$9),0)</f>
        <v>4473306</v>
      </c>
      <c r="AI40" s="39">
        <f>ROUND(AH40*(1+物価上昇率!$H$9),0)</f>
        <v>4522512</v>
      </c>
      <c r="AJ40" s="39">
        <f>ROUND(AI40*(1+物価上昇率!$H$9),0)</f>
        <v>4572260</v>
      </c>
      <c r="AK40" s="39">
        <f>ROUND(AJ40*(1+物価上昇率!$H$9),0)</f>
        <v>4622555</v>
      </c>
      <c r="AL40" s="39">
        <f>ROUND(AK40*(1+物価上昇率!$H$9),0)</f>
        <v>4673403</v>
      </c>
      <c r="AM40" s="39">
        <f>ROUND(AL40*(1+物価上昇率!$H$9),0)</f>
        <v>4724810</v>
      </c>
      <c r="AN40" s="39">
        <f>ROUND(AM40*(1+物価上昇率!$H$9),0)</f>
        <v>4776783</v>
      </c>
      <c r="AO40" s="39">
        <f>ROUND(AN40*(1+物価上昇率!$H$9),0)</f>
        <v>4829328</v>
      </c>
      <c r="AP40" s="39">
        <f>ROUND(AO40*(1+物価上昇率!$H$9),0)</f>
        <v>4882451</v>
      </c>
      <c r="AQ40" s="39">
        <f>ROUND(AP40*(1+物価上昇率!$H$9),0)</f>
        <v>4936158</v>
      </c>
      <c r="AR40" s="39">
        <f>ROUND(AQ40*(1+物価上昇率!$H$9),0)</f>
        <v>4990456</v>
      </c>
      <c r="AS40" s="39">
        <f>ROUND(AR40*(1+物価上昇率!$H$9),0)</f>
        <v>5045351</v>
      </c>
      <c r="AT40" s="39">
        <f>ROUND(AS40*(1+物価上昇率!$H$9),0)</f>
        <v>5100850</v>
      </c>
      <c r="AU40" s="39">
        <f>ROUND(AT40*(1+物価上昇率!$H$9),0)</f>
        <v>5156959</v>
      </c>
      <c r="AV40" s="39">
        <f>ROUND(AU40*(1+物価上昇率!$H$9),0)</f>
        <v>5213686</v>
      </c>
      <c r="AW40" s="39">
        <f>ROUND(AV40*(1+物価上昇率!$H$9),0)</f>
        <v>5271037</v>
      </c>
      <c r="AX40" s="39">
        <f>ROUND(AW40*(1+物価上昇率!$H$9),0)</f>
        <v>5329018</v>
      </c>
      <c r="AY40" s="39">
        <f>ROUND(AX40*(1+物価上昇率!$H$9),0)</f>
        <v>5387637</v>
      </c>
      <c r="AZ40" s="39">
        <f>ROUND(AY40*(1+物価上昇率!$H$9),0)</f>
        <v>5446901</v>
      </c>
      <c r="BA40" s="39">
        <f>ROUND(AZ40*(1+物価上昇率!$H$9),0)</f>
        <v>5506817</v>
      </c>
      <c r="BB40" s="39">
        <f>ROUND(BA40*(1+物価上昇率!$H$9),0)</f>
        <v>5567392</v>
      </c>
      <c r="BC40" s="39">
        <f>ROUND(BB40*(1+物価上昇率!$H$9),0)</f>
        <v>5628633</v>
      </c>
      <c r="BD40" s="39">
        <f>ROUND(BC40*(1+物価上昇率!$H$9),0)</f>
        <v>5690548</v>
      </c>
      <c r="BE40" s="39">
        <f>ROUND(BD40*(1+物価上昇率!$H$9),0)</f>
        <v>5753144</v>
      </c>
      <c r="BF40" s="39">
        <f>ROUND(BE40*(1+物価上昇率!$H$9),0)</f>
        <v>5816429</v>
      </c>
      <c r="BG40" s="39">
        <f>ROUND(BF40*(1+物価上昇率!$H$9),0)</f>
        <v>5880410</v>
      </c>
      <c r="BH40" s="39">
        <f>ROUND(BG40*(1+物価上昇率!$H$9),0)</f>
        <v>5945095</v>
      </c>
      <c r="BI40" s="39">
        <f>ROUND(BH40*(1+物価上昇率!$H$9),0)</f>
        <v>6010491</v>
      </c>
      <c r="BJ40" s="39">
        <f>ROUND(BI40*(1+物価上昇率!$H$9),0)</f>
        <v>6076606</v>
      </c>
      <c r="BK40" s="39">
        <f>ROUND(BJ40*(1+物価上昇率!$H$9),0)</f>
        <v>6143449</v>
      </c>
      <c r="BL40" s="39">
        <f>ROUND(BK40*(1+物価上昇率!$H$9),0)</f>
        <v>6211027</v>
      </c>
      <c r="BM40" s="39">
        <f>ROUND(BL40*(1+物価上昇率!$H$9),0)</f>
        <v>6279348</v>
      </c>
      <c r="BN40" s="39">
        <f>ROUND(BM40*(1+物価上昇率!$H$9),0)</f>
        <v>6348421</v>
      </c>
      <c r="BO40" s="39">
        <f>ROUND(BN40*(1+物価上昇率!$H$9),0)</f>
        <v>6418254</v>
      </c>
      <c r="BP40" s="39">
        <f>ROUND(BO40*(1+物価上昇率!$H$9),0)</f>
        <v>6488855</v>
      </c>
      <c r="BQ40" s="39">
        <f>ROUND(BP40*(1+物価上昇率!$H$9),0)</f>
        <v>6560232</v>
      </c>
    </row>
    <row r="41" spans="2:69">
      <c r="B41" s="4"/>
      <c r="C41" s="4"/>
      <c r="D41" s="3"/>
      <c r="E41" s="1" t="s">
        <v>94</v>
      </c>
      <c r="F41" s="304"/>
      <c r="G41" s="10"/>
      <c r="H41" s="10" t="s">
        <v>166</v>
      </c>
      <c r="I41" s="10"/>
      <c r="J41" s="10"/>
      <c r="K41" s="1" t="s">
        <v>560</v>
      </c>
      <c r="L41" s="1"/>
      <c r="M41" s="1"/>
      <c r="N41" s="39">
        <f>【PL】決算数値入力!W41</f>
        <v>0</v>
      </c>
      <c r="O41" s="39">
        <f>【PL】決算数値入力!X41</f>
        <v>0</v>
      </c>
      <c r="P41" s="39">
        <f>【PL】決算数値入力!Y41</f>
        <v>0</v>
      </c>
      <c r="Q41" s="39">
        <f>【PL】決算数値入力!Z41</f>
        <v>0</v>
      </c>
      <c r="R41" s="39">
        <f>【PL】決算数値入力!AA41</f>
        <v>0</v>
      </c>
      <c r="S41" s="39">
        <f>【PL】決算数値入力!AB41</f>
        <v>0</v>
      </c>
      <c r="T41" s="39">
        <f>S41</f>
        <v>0</v>
      </c>
      <c r="U41" s="39">
        <f t="shared" ref="U41:BQ41" si="16">T41</f>
        <v>0</v>
      </c>
      <c r="V41" s="39">
        <f t="shared" si="16"/>
        <v>0</v>
      </c>
      <c r="W41" s="39">
        <f t="shared" si="16"/>
        <v>0</v>
      </c>
      <c r="X41" s="39">
        <f t="shared" si="16"/>
        <v>0</v>
      </c>
      <c r="Y41" s="39">
        <f t="shared" si="16"/>
        <v>0</v>
      </c>
      <c r="Z41" s="39">
        <f t="shared" si="16"/>
        <v>0</v>
      </c>
      <c r="AA41" s="39">
        <f t="shared" si="16"/>
        <v>0</v>
      </c>
      <c r="AB41" s="39">
        <f t="shared" si="16"/>
        <v>0</v>
      </c>
      <c r="AC41" s="39">
        <f t="shared" si="16"/>
        <v>0</v>
      </c>
      <c r="AD41" s="39">
        <f t="shared" si="16"/>
        <v>0</v>
      </c>
      <c r="AE41" s="39">
        <f t="shared" si="16"/>
        <v>0</v>
      </c>
      <c r="AF41" s="39">
        <f t="shared" si="16"/>
        <v>0</v>
      </c>
      <c r="AG41" s="39">
        <f t="shared" si="16"/>
        <v>0</v>
      </c>
      <c r="AH41" s="39">
        <f t="shared" si="16"/>
        <v>0</v>
      </c>
      <c r="AI41" s="39">
        <f t="shared" si="16"/>
        <v>0</v>
      </c>
      <c r="AJ41" s="39">
        <f t="shared" si="16"/>
        <v>0</v>
      </c>
      <c r="AK41" s="39">
        <f t="shared" si="16"/>
        <v>0</v>
      </c>
      <c r="AL41" s="39">
        <f t="shared" si="16"/>
        <v>0</v>
      </c>
      <c r="AM41" s="39">
        <f t="shared" si="16"/>
        <v>0</v>
      </c>
      <c r="AN41" s="39">
        <f t="shared" si="16"/>
        <v>0</v>
      </c>
      <c r="AO41" s="39">
        <f t="shared" si="16"/>
        <v>0</v>
      </c>
      <c r="AP41" s="39">
        <f t="shared" si="16"/>
        <v>0</v>
      </c>
      <c r="AQ41" s="39">
        <f t="shared" si="16"/>
        <v>0</v>
      </c>
      <c r="AR41" s="39">
        <f t="shared" si="16"/>
        <v>0</v>
      </c>
      <c r="AS41" s="39">
        <f t="shared" si="16"/>
        <v>0</v>
      </c>
      <c r="AT41" s="39">
        <f t="shared" si="16"/>
        <v>0</v>
      </c>
      <c r="AU41" s="39">
        <f t="shared" si="16"/>
        <v>0</v>
      </c>
      <c r="AV41" s="39">
        <f t="shared" si="16"/>
        <v>0</v>
      </c>
      <c r="AW41" s="39">
        <f t="shared" si="16"/>
        <v>0</v>
      </c>
      <c r="AX41" s="39">
        <f t="shared" si="16"/>
        <v>0</v>
      </c>
      <c r="AY41" s="39">
        <f t="shared" si="16"/>
        <v>0</v>
      </c>
      <c r="AZ41" s="39">
        <f t="shared" si="16"/>
        <v>0</v>
      </c>
      <c r="BA41" s="39">
        <f t="shared" si="16"/>
        <v>0</v>
      </c>
      <c r="BB41" s="39">
        <f t="shared" si="16"/>
        <v>0</v>
      </c>
      <c r="BC41" s="39">
        <f t="shared" si="16"/>
        <v>0</v>
      </c>
      <c r="BD41" s="39">
        <f t="shared" si="16"/>
        <v>0</v>
      </c>
      <c r="BE41" s="39">
        <f t="shared" si="16"/>
        <v>0</v>
      </c>
      <c r="BF41" s="39">
        <f t="shared" si="16"/>
        <v>0</v>
      </c>
      <c r="BG41" s="39">
        <f t="shared" si="16"/>
        <v>0</v>
      </c>
      <c r="BH41" s="39">
        <f t="shared" si="16"/>
        <v>0</v>
      </c>
      <c r="BI41" s="39">
        <f t="shared" si="16"/>
        <v>0</v>
      </c>
      <c r="BJ41" s="39">
        <f t="shared" si="16"/>
        <v>0</v>
      </c>
      <c r="BK41" s="39">
        <f t="shared" si="16"/>
        <v>0</v>
      </c>
      <c r="BL41" s="39">
        <f t="shared" si="16"/>
        <v>0</v>
      </c>
      <c r="BM41" s="39">
        <f t="shared" si="16"/>
        <v>0</v>
      </c>
      <c r="BN41" s="39">
        <f t="shared" si="16"/>
        <v>0</v>
      </c>
      <c r="BO41" s="39">
        <f t="shared" si="16"/>
        <v>0</v>
      </c>
      <c r="BP41" s="39">
        <f t="shared" si="16"/>
        <v>0</v>
      </c>
      <c r="BQ41" s="39">
        <f t="shared" si="16"/>
        <v>0</v>
      </c>
    </row>
    <row r="42" spans="2:69">
      <c r="B42" s="4"/>
      <c r="C42" s="4"/>
      <c r="D42" s="5" t="s">
        <v>450</v>
      </c>
      <c r="E42" s="8"/>
      <c r="F42" s="101"/>
      <c r="G42" s="10"/>
      <c r="H42" s="10"/>
      <c r="I42" s="10"/>
      <c r="J42" s="10"/>
      <c r="K42" s="1" t="s">
        <v>163</v>
      </c>
      <c r="L42" s="1"/>
      <c r="M42" s="1"/>
      <c r="N42" s="39">
        <f>【PL】決算数値入力!W42</f>
        <v>0</v>
      </c>
      <c r="O42" s="39">
        <f>【PL】決算数値入力!X42</f>
        <v>0</v>
      </c>
      <c r="P42" s="39">
        <f>【PL】決算数値入力!Y42</f>
        <v>0</v>
      </c>
      <c r="Q42" s="39">
        <f>【PL】決算数値入力!Z42</f>
        <v>0</v>
      </c>
      <c r="R42" s="39">
        <f>【PL】決算数値入力!AA42</f>
        <v>0</v>
      </c>
      <c r="S42" s="39">
        <f>【PL】決算数値入力!AB42</f>
        <v>0</v>
      </c>
      <c r="T42" s="40">
        <v>0</v>
      </c>
      <c r="U42" s="40">
        <v>0</v>
      </c>
      <c r="V42" s="40">
        <v>0</v>
      </c>
      <c r="W42" s="40">
        <v>0</v>
      </c>
      <c r="X42" s="40">
        <v>0</v>
      </c>
      <c r="Y42" s="40">
        <v>0</v>
      </c>
      <c r="Z42" s="40">
        <v>0</v>
      </c>
      <c r="AA42" s="40">
        <v>0</v>
      </c>
      <c r="AB42" s="40">
        <v>0</v>
      </c>
      <c r="AC42" s="40">
        <v>0</v>
      </c>
      <c r="AD42" s="40">
        <v>0</v>
      </c>
      <c r="AE42" s="40">
        <v>0</v>
      </c>
      <c r="AF42" s="40">
        <v>0</v>
      </c>
      <c r="AG42" s="40">
        <v>0</v>
      </c>
      <c r="AH42" s="40">
        <v>0</v>
      </c>
      <c r="AI42" s="40">
        <v>0</v>
      </c>
      <c r="AJ42" s="40">
        <v>0</v>
      </c>
      <c r="AK42" s="40">
        <v>0</v>
      </c>
      <c r="AL42" s="40">
        <v>0</v>
      </c>
      <c r="AM42" s="40">
        <v>0</v>
      </c>
      <c r="AN42" s="40">
        <v>0</v>
      </c>
      <c r="AO42" s="40">
        <v>0</v>
      </c>
      <c r="AP42" s="40">
        <v>0</v>
      </c>
      <c r="AQ42" s="40">
        <v>0</v>
      </c>
      <c r="AR42" s="40">
        <v>0</v>
      </c>
      <c r="AS42" s="40">
        <v>0</v>
      </c>
      <c r="AT42" s="40">
        <v>0</v>
      </c>
      <c r="AU42" s="40">
        <v>0</v>
      </c>
      <c r="AV42" s="40">
        <v>0</v>
      </c>
      <c r="AW42" s="40">
        <v>0</v>
      </c>
      <c r="AX42" s="40">
        <v>0</v>
      </c>
      <c r="AY42" s="40">
        <v>0</v>
      </c>
      <c r="AZ42" s="40">
        <v>0</v>
      </c>
      <c r="BA42" s="40">
        <v>0</v>
      </c>
      <c r="BB42" s="40">
        <v>0</v>
      </c>
      <c r="BC42" s="40">
        <v>0</v>
      </c>
      <c r="BD42" s="40">
        <v>0</v>
      </c>
      <c r="BE42" s="40">
        <v>0</v>
      </c>
      <c r="BF42" s="40">
        <v>0</v>
      </c>
      <c r="BG42" s="40">
        <v>0</v>
      </c>
      <c r="BH42" s="40">
        <v>0</v>
      </c>
      <c r="BI42" s="40">
        <v>0</v>
      </c>
      <c r="BJ42" s="40">
        <v>0</v>
      </c>
      <c r="BK42" s="40">
        <v>0</v>
      </c>
      <c r="BL42" s="40">
        <v>0</v>
      </c>
      <c r="BM42" s="40">
        <v>0</v>
      </c>
      <c r="BN42" s="40">
        <v>0</v>
      </c>
      <c r="BO42" s="40">
        <v>0</v>
      </c>
      <c r="BP42" s="40">
        <v>0</v>
      </c>
      <c r="BQ42" s="40">
        <v>0</v>
      </c>
    </row>
    <row r="43" spans="2:69">
      <c r="B43" s="4"/>
      <c r="C43" s="4"/>
      <c r="D43" s="5" t="s">
        <v>97</v>
      </c>
      <c r="E43" s="8"/>
      <c r="F43" s="302" t="s">
        <v>176</v>
      </c>
      <c r="G43" s="10"/>
      <c r="H43" s="10"/>
      <c r="I43" s="10"/>
      <c r="J43" s="10"/>
      <c r="K43" s="1"/>
      <c r="L43" s="1"/>
      <c r="M43" s="1"/>
      <c r="N43" s="39">
        <f>【PL】決算数値入力!W43</f>
        <v>28068995</v>
      </c>
      <c r="O43" s="39">
        <f>【PL】決算数値入力!X43</f>
        <v>38902891</v>
      </c>
      <c r="P43" s="39">
        <f>【PL】決算数値入力!Y43</f>
        <v>34633799</v>
      </c>
      <c r="Q43" s="39">
        <f>【PL】決算数値入力!Z43</f>
        <v>56238492</v>
      </c>
      <c r="R43" s="39">
        <f>【PL】決算数値入力!AA43</f>
        <v>39372697</v>
      </c>
      <c r="S43" s="39">
        <f>【PL】決算数値入力!AB43</f>
        <v>31797738.799999997</v>
      </c>
      <c r="T43" s="39">
        <f t="shared" ref="T43:BQ43" si="17">SUM(T44:T51)</f>
        <v>32147514</v>
      </c>
      <c r="U43" s="39">
        <f t="shared" si="17"/>
        <v>32501137</v>
      </c>
      <c r="V43" s="39">
        <f t="shared" si="17"/>
        <v>32858650</v>
      </c>
      <c r="W43" s="39">
        <f t="shared" si="17"/>
        <v>33220095</v>
      </c>
      <c r="X43" s="39">
        <f t="shared" si="17"/>
        <v>33585517</v>
      </c>
      <c r="Y43" s="39">
        <f t="shared" si="17"/>
        <v>33954958</v>
      </c>
      <c r="Z43" s="39">
        <f t="shared" si="17"/>
        <v>34328463</v>
      </c>
      <c r="AA43" s="39">
        <f t="shared" si="17"/>
        <v>34706076</v>
      </c>
      <c r="AB43" s="39">
        <f t="shared" si="17"/>
        <v>35087843</v>
      </c>
      <c r="AC43" s="39">
        <f t="shared" si="17"/>
        <v>35473810</v>
      </c>
      <c r="AD43" s="39">
        <f t="shared" si="17"/>
        <v>35864022</v>
      </c>
      <c r="AE43" s="39">
        <f t="shared" si="17"/>
        <v>36258526</v>
      </c>
      <c r="AF43" s="39">
        <f t="shared" si="17"/>
        <v>36657371</v>
      </c>
      <c r="AG43" s="39">
        <f t="shared" si="17"/>
        <v>37060601</v>
      </c>
      <c r="AH43" s="39">
        <f t="shared" si="17"/>
        <v>37468267</v>
      </c>
      <c r="AI43" s="39">
        <f t="shared" si="17"/>
        <v>37880418</v>
      </c>
      <c r="AJ43" s="39">
        <f t="shared" si="17"/>
        <v>38297102</v>
      </c>
      <c r="AK43" s="39">
        <f t="shared" si="17"/>
        <v>38718370</v>
      </c>
      <c r="AL43" s="39">
        <f t="shared" si="17"/>
        <v>39144272</v>
      </c>
      <c r="AM43" s="39">
        <f t="shared" si="17"/>
        <v>39574859</v>
      </c>
      <c r="AN43" s="39">
        <f t="shared" si="17"/>
        <v>40010184</v>
      </c>
      <c r="AO43" s="39">
        <f t="shared" si="17"/>
        <v>40450296</v>
      </c>
      <c r="AP43" s="39">
        <f t="shared" si="17"/>
        <v>40895249</v>
      </c>
      <c r="AQ43" s="39">
        <f t="shared" si="17"/>
        <v>41345096</v>
      </c>
      <c r="AR43" s="39">
        <f t="shared" si="17"/>
        <v>41799892</v>
      </c>
      <c r="AS43" s="39">
        <f t="shared" si="17"/>
        <v>42259691</v>
      </c>
      <c r="AT43" s="39">
        <f t="shared" si="17"/>
        <v>42724548</v>
      </c>
      <c r="AU43" s="39">
        <f t="shared" si="17"/>
        <v>43194518</v>
      </c>
      <c r="AV43" s="39">
        <f t="shared" si="17"/>
        <v>43669658</v>
      </c>
      <c r="AW43" s="39">
        <f t="shared" si="17"/>
        <v>44150024</v>
      </c>
      <c r="AX43" s="39">
        <f t="shared" si="17"/>
        <v>44635675</v>
      </c>
      <c r="AY43" s="39">
        <f t="shared" si="17"/>
        <v>45126667</v>
      </c>
      <c r="AZ43" s="39">
        <f t="shared" si="17"/>
        <v>45623060</v>
      </c>
      <c r="BA43" s="39">
        <f t="shared" si="17"/>
        <v>46124913</v>
      </c>
      <c r="BB43" s="39">
        <f t="shared" si="17"/>
        <v>46632287</v>
      </c>
      <c r="BC43" s="39">
        <f t="shared" si="17"/>
        <v>47145242</v>
      </c>
      <c r="BD43" s="39">
        <f t="shared" si="17"/>
        <v>47663840</v>
      </c>
      <c r="BE43" s="39">
        <f t="shared" si="17"/>
        <v>48188142</v>
      </c>
      <c r="BF43" s="39">
        <f t="shared" si="17"/>
        <v>48718212</v>
      </c>
      <c r="BG43" s="39">
        <f t="shared" si="17"/>
        <v>49254113</v>
      </c>
      <c r="BH43" s="39">
        <f t="shared" si="17"/>
        <v>49795908</v>
      </c>
      <c r="BI43" s="39">
        <f t="shared" si="17"/>
        <v>50343663</v>
      </c>
      <c r="BJ43" s="39">
        <f t="shared" si="17"/>
        <v>50897444</v>
      </c>
      <c r="BK43" s="39">
        <f t="shared" si="17"/>
        <v>51457316</v>
      </c>
      <c r="BL43" s="39">
        <f t="shared" si="17"/>
        <v>52023346</v>
      </c>
      <c r="BM43" s="39">
        <f t="shared" si="17"/>
        <v>52595603</v>
      </c>
      <c r="BN43" s="39">
        <f t="shared" si="17"/>
        <v>53174154</v>
      </c>
      <c r="BO43" s="39">
        <f t="shared" si="17"/>
        <v>53759070</v>
      </c>
      <c r="BP43" s="39">
        <f t="shared" si="17"/>
        <v>54350419</v>
      </c>
      <c r="BQ43" s="39">
        <f t="shared" si="17"/>
        <v>54948273</v>
      </c>
    </row>
    <row r="44" spans="2:69">
      <c r="B44" s="4"/>
      <c r="C44" s="4"/>
      <c r="D44" s="4"/>
      <c r="E44" s="1" t="s">
        <v>89</v>
      </c>
      <c r="F44" s="303"/>
      <c r="G44" s="10"/>
      <c r="H44" s="10" t="s">
        <v>166</v>
      </c>
      <c r="I44" s="10"/>
      <c r="J44" s="10"/>
      <c r="K44" s="1" t="s">
        <v>562</v>
      </c>
      <c r="L44" s="10" t="s">
        <v>166</v>
      </c>
      <c r="M44" s="1"/>
      <c r="N44" s="39">
        <f>【PL】決算数値入力!W44</f>
        <v>15362936</v>
      </c>
      <c r="O44" s="39">
        <f>【PL】決算数値入力!X44</f>
        <v>14555234</v>
      </c>
      <c r="P44" s="39">
        <f>【PL】決算数値入力!Y44</f>
        <v>16036318</v>
      </c>
      <c r="Q44" s="39">
        <f>【PL】決算数値入力!Z44</f>
        <v>33509229</v>
      </c>
      <c r="R44" s="39">
        <f>【PL】決算数値入力!AA44</f>
        <v>21652038</v>
      </c>
      <c r="S44" s="39">
        <f>【PL】決算数値入力!AB44</f>
        <v>17988350.099999998</v>
      </c>
      <c r="T44" s="39">
        <f>ROUND(S44*(1+物価上昇率!$H$9),0)</f>
        <v>18186222</v>
      </c>
      <c r="U44" s="39">
        <f>ROUND(T44*(1+物価上昇率!$H$9),0)</f>
        <v>18386270</v>
      </c>
      <c r="V44" s="39">
        <f>ROUND(U44*(1+物価上昇率!$H$9),0)</f>
        <v>18588519</v>
      </c>
      <c r="W44" s="39">
        <f>ROUND(V44*(1+物価上昇率!$H$9),0)</f>
        <v>18792993</v>
      </c>
      <c r="X44" s="39">
        <f>ROUND(W44*(1+物価上昇率!$H$9),0)</f>
        <v>18999716</v>
      </c>
      <c r="Y44" s="39">
        <f>ROUND(X44*(1+物価上昇率!$H$9),0)</f>
        <v>19208713</v>
      </c>
      <c r="Z44" s="39">
        <f>ROUND(Y44*(1+物価上昇率!$H$9),0)</f>
        <v>19420009</v>
      </c>
      <c r="AA44" s="39">
        <f>ROUND(Z44*(1+物価上昇率!$H$9),0)</f>
        <v>19633629</v>
      </c>
      <c r="AB44" s="39">
        <f>ROUND(AA44*(1+物価上昇率!$H$9),0)</f>
        <v>19849599</v>
      </c>
      <c r="AC44" s="39">
        <f>ROUND(AB44*(1+物価上昇率!$H$9),0)</f>
        <v>20067945</v>
      </c>
      <c r="AD44" s="39">
        <f>ROUND(AC44*(1+物価上昇率!$H$9),0)</f>
        <v>20288692</v>
      </c>
      <c r="AE44" s="39">
        <f>ROUND(AD44*(1+物価上昇率!$H$9),0)</f>
        <v>20511868</v>
      </c>
      <c r="AF44" s="39">
        <f>ROUND(AE44*(1+物価上昇率!$H$9),0)</f>
        <v>20737499</v>
      </c>
      <c r="AG44" s="39">
        <f>ROUND(AF44*(1+物価上昇率!$H$9),0)</f>
        <v>20965611</v>
      </c>
      <c r="AH44" s="39">
        <f>ROUND(AG44*(1+物価上昇率!$H$9),0)</f>
        <v>21196233</v>
      </c>
      <c r="AI44" s="39">
        <f>ROUND(AH44*(1+物価上昇率!$H$9),0)</f>
        <v>21429392</v>
      </c>
      <c r="AJ44" s="39">
        <f>ROUND(AI44*(1+物価上昇率!$H$9),0)</f>
        <v>21665115</v>
      </c>
      <c r="AK44" s="39">
        <f>ROUND(AJ44*(1+物価上昇率!$H$9),0)</f>
        <v>21903431</v>
      </c>
      <c r="AL44" s="39">
        <f>ROUND(AK44*(1+物価上昇率!$H$9),0)</f>
        <v>22144369</v>
      </c>
      <c r="AM44" s="39">
        <f>ROUND(AL44*(1+物価上昇率!$H$9),0)</f>
        <v>22387957</v>
      </c>
      <c r="AN44" s="39">
        <f>ROUND(AM44*(1+物価上昇率!$H$9),0)</f>
        <v>22634225</v>
      </c>
      <c r="AO44" s="39">
        <f>ROUND(AN44*(1+物価上昇率!$H$9),0)</f>
        <v>22883201</v>
      </c>
      <c r="AP44" s="39">
        <f>ROUND(AO44*(1+物価上昇率!$H$9),0)</f>
        <v>23134916</v>
      </c>
      <c r="AQ44" s="39">
        <f>ROUND(AP44*(1+物価上昇率!$H$9),0)</f>
        <v>23389400</v>
      </c>
      <c r="AR44" s="39">
        <f>ROUND(AQ44*(1+物価上昇率!$H$9),0)</f>
        <v>23646683</v>
      </c>
      <c r="AS44" s="39">
        <f>ROUND(AR44*(1+物価上昇率!$H$9),0)</f>
        <v>23906797</v>
      </c>
      <c r="AT44" s="39">
        <f>ROUND(AS44*(1+物価上昇率!$H$9),0)</f>
        <v>24169772</v>
      </c>
      <c r="AU44" s="39">
        <f>ROUND(AT44*(1+物価上昇率!$H$9),0)</f>
        <v>24435639</v>
      </c>
      <c r="AV44" s="39">
        <f>ROUND(AU44*(1+物価上昇率!$H$9),0)</f>
        <v>24704431</v>
      </c>
      <c r="AW44" s="39">
        <f>ROUND(AV44*(1+物価上昇率!$H$9),0)</f>
        <v>24976180</v>
      </c>
      <c r="AX44" s="39">
        <f>ROUND(AW44*(1+物価上昇率!$H$9),0)</f>
        <v>25250918</v>
      </c>
      <c r="AY44" s="39">
        <f>ROUND(AX44*(1+物価上昇率!$H$9),0)</f>
        <v>25528678</v>
      </c>
      <c r="AZ44" s="39">
        <f>ROUND(AY44*(1+物価上昇率!$H$9),0)</f>
        <v>25809493</v>
      </c>
      <c r="BA44" s="39">
        <f>ROUND(AZ44*(1+物価上昇率!$H$9),0)</f>
        <v>26093397</v>
      </c>
      <c r="BB44" s="39">
        <f>ROUND(BA44*(1+物価上昇率!$H$9),0)</f>
        <v>26380424</v>
      </c>
      <c r="BC44" s="39">
        <f>ROUND(BB44*(1+物価上昇率!$H$9),0)</f>
        <v>26670609</v>
      </c>
      <c r="BD44" s="39">
        <f>ROUND(BC44*(1+物価上昇率!$H$9),0)</f>
        <v>26963986</v>
      </c>
      <c r="BE44" s="39">
        <f>ROUND(BD44*(1+物価上昇率!$H$9),0)</f>
        <v>27260590</v>
      </c>
      <c r="BF44" s="39">
        <f>ROUND(BE44*(1+物価上昇率!$H$9),0)</f>
        <v>27560456</v>
      </c>
      <c r="BG44" s="39">
        <f>ROUND(BF44*(1+物価上昇率!$H$9),0)</f>
        <v>27863621</v>
      </c>
      <c r="BH44" s="39">
        <f>ROUND(BG44*(1+物価上昇率!$H$9),0)</f>
        <v>28170121</v>
      </c>
      <c r="BI44" s="39">
        <f>ROUND(BH44*(1+物価上昇率!$H$9),0)</f>
        <v>28479992</v>
      </c>
      <c r="BJ44" s="39">
        <f>ROUND(BI44*(1+物価上昇率!$H$9),0)</f>
        <v>28793272</v>
      </c>
      <c r="BK44" s="39">
        <f>ROUND(BJ44*(1+物価上昇率!$H$9),0)</f>
        <v>29109998</v>
      </c>
      <c r="BL44" s="39">
        <f>ROUND(BK44*(1+物価上昇率!$H$9),0)</f>
        <v>29430208</v>
      </c>
      <c r="BM44" s="39">
        <f>ROUND(BL44*(1+物価上昇率!$H$9),0)</f>
        <v>29753940</v>
      </c>
      <c r="BN44" s="39">
        <f>ROUND(BM44*(1+物価上昇率!$H$9),0)</f>
        <v>30081233</v>
      </c>
      <c r="BO44" s="39">
        <f>ROUND(BN44*(1+物価上昇率!$H$9),0)</f>
        <v>30412127</v>
      </c>
      <c r="BP44" s="39">
        <f>ROUND(BO44*(1+物価上昇率!$H$9),0)</f>
        <v>30746660</v>
      </c>
      <c r="BQ44" s="39">
        <f>ROUND(BP44*(1+物価上昇率!$H$9),0)</f>
        <v>31084873</v>
      </c>
    </row>
    <row r="45" spans="2:69">
      <c r="B45" s="4"/>
      <c r="C45" s="4"/>
      <c r="D45" s="4"/>
      <c r="E45" s="1" t="s">
        <v>98</v>
      </c>
      <c r="F45" s="303"/>
      <c r="G45" s="10"/>
      <c r="H45" s="10" t="s">
        <v>166</v>
      </c>
      <c r="I45" s="10"/>
      <c r="J45" s="10"/>
      <c r="K45" s="1" t="s">
        <v>562</v>
      </c>
      <c r="L45" s="10" t="s">
        <v>166</v>
      </c>
      <c r="M45" s="1"/>
      <c r="N45" s="39">
        <f>【PL】決算数値入力!W45</f>
        <v>0</v>
      </c>
      <c r="O45" s="39">
        <f>【PL】決算数値入力!X45</f>
        <v>0</v>
      </c>
      <c r="P45" s="39">
        <f>【PL】決算数値入力!Y45</f>
        <v>0</v>
      </c>
      <c r="Q45" s="39">
        <f>【PL】決算数値入力!Z45</f>
        <v>0</v>
      </c>
      <c r="R45" s="39">
        <f>【PL】決算数値入力!AA45</f>
        <v>0</v>
      </c>
      <c r="S45" s="39">
        <f>【PL】決算数値入力!AB45</f>
        <v>0</v>
      </c>
      <c r="T45" s="39">
        <f>ROUND(S45*(1+物価上昇率!$H$9),0)</f>
        <v>0</v>
      </c>
      <c r="U45" s="39">
        <f>ROUND(T45*(1+物価上昇率!$H$9),0)</f>
        <v>0</v>
      </c>
      <c r="V45" s="39">
        <f>ROUND(U45*(1+物価上昇率!$H$9),0)</f>
        <v>0</v>
      </c>
      <c r="W45" s="39">
        <f>ROUND(V45*(1+物価上昇率!$H$9),0)</f>
        <v>0</v>
      </c>
      <c r="X45" s="39">
        <f>ROUND(W45*(1+物価上昇率!$H$9),0)</f>
        <v>0</v>
      </c>
      <c r="Y45" s="39">
        <f>ROUND(X45*(1+物価上昇率!$H$9),0)</f>
        <v>0</v>
      </c>
      <c r="Z45" s="39">
        <f>ROUND(Y45*(1+物価上昇率!$H$9),0)</f>
        <v>0</v>
      </c>
      <c r="AA45" s="39">
        <f>ROUND(Z45*(1+物価上昇率!$H$9),0)</f>
        <v>0</v>
      </c>
      <c r="AB45" s="39">
        <f>ROUND(AA45*(1+物価上昇率!$H$9),0)</f>
        <v>0</v>
      </c>
      <c r="AC45" s="39">
        <f>ROUND(AB45*(1+物価上昇率!$H$9),0)</f>
        <v>0</v>
      </c>
      <c r="AD45" s="39">
        <f>ROUND(AC45*(1+物価上昇率!$H$9),0)</f>
        <v>0</v>
      </c>
      <c r="AE45" s="39">
        <f>ROUND(AD45*(1+物価上昇率!$H$9),0)</f>
        <v>0</v>
      </c>
      <c r="AF45" s="39">
        <f>ROUND(AE45*(1+物価上昇率!$H$9),0)</f>
        <v>0</v>
      </c>
      <c r="AG45" s="39">
        <f>ROUND(AF45*(1+物価上昇率!$H$9),0)</f>
        <v>0</v>
      </c>
      <c r="AH45" s="39">
        <f>ROUND(AG45*(1+物価上昇率!$H$9),0)</f>
        <v>0</v>
      </c>
      <c r="AI45" s="39">
        <f>ROUND(AH45*(1+物価上昇率!$H$9),0)</f>
        <v>0</v>
      </c>
      <c r="AJ45" s="39">
        <f>ROUND(AI45*(1+物価上昇率!$H$9),0)</f>
        <v>0</v>
      </c>
      <c r="AK45" s="39">
        <f>ROUND(AJ45*(1+物価上昇率!$H$9),0)</f>
        <v>0</v>
      </c>
      <c r="AL45" s="39">
        <f>ROUND(AK45*(1+物価上昇率!$H$9),0)</f>
        <v>0</v>
      </c>
      <c r="AM45" s="39">
        <f>ROUND(AL45*(1+物価上昇率!$H$9),0)</f>
        <v>0</v>
      </c>
      <c r="AN45" s="39">
        <f>ROUND(AM45*(1+物価上昇率!$H$9),0)</f>
        <v>0</v>
      </c>
      <c r="AO45" s="39">
        <f>ROUND(AN45*(1+物価上昇率!$H$9),0)</f>
        <v>0</v>
      </c>
      <c r="AP45" s="39">
        <f>ROUND(AO45*(1+物価上昇率!$H$9),0)</f>
        <v>0</v>
      </c>
      <c r="AQ45" s="39">
        <f>ROUND(AP45*(1+物価上昇率!$H$9),0)</f>
        <v>0</v>
      </c>
      <c r="AR45" s="39">
        <f>ROUND(AQ45*(1+物価上昇率!$H$9),0)</f>
        <v>0</v>
      </c>
      <c r="AS45" s="39">
        <f>ROUND(AR45*(1+物価上昇率!$H$9),0)</f>
        <v>0</v>
      </c>
      <c r="AT45" s="39">
        <f>ROUND(AS45*(1+物価上昇率!$H$9),0)</f>
        <v>0</v>
      </c>
      <c r="AU45" s="39">
        <f>ROUND(AT45*(1+物価上昇率!$H$9),0)</f>
        <v>0</v>
      </c>
      <c r="AV45" s="39">
        <f>ROUND(AU45*(1+物価上昇率!$H$9),0)</f>
        <v>0</v>
      </c>
      <c r="AW45" s="39">
        <f>ROUND(AV45*(1+物価上昇率!$H$9),0)</f>
        <v>0</v>
      </c>
      <c r="AX45" s="39">
        <f>ROUND(AW45*(1+物価上昇率!$H$9),0)</f>
        <v>0</v>
      </c>
      <c r="AY45" s="39">
        <f>ROUND(AX45*(1+物価上昇率!$H$9),0)</f>
        <v>0</v>
      </c>
      <c r="AZ45" s="39">
        <f>ROUND(AY45*(1+物価上昇率!$H$9),0)</f>
        <v>0</v>
      </c>
      <c r="BA45" s="39">
        <f>ROUND(AZ45*(1+物価上昇率!$H$9),0)</f>
        <v>0</v>
      </c>
      <c r="BB45" s="39">
        <f>ROUND(BA45*(1+物価上昇率!$H$9),0)</f>
        <v>0</v>
      </c>
      <c r="BC45" s="39">
        <f>ROUND(BB45*(1+物価上昇率!$H$9),0)</f>
        <v>0</v>
      </c>
      <c r="BD45" s="39">
        <f>ROUND(BC45*(1+物価上昇率!$H$9),0)</f>
        <v>0</v>
      </c>
      <c r="BE45" s="39">
        <f>ROUND(BD45*(1+物価上昇率!$H$9),0)</f>
        <v>0</v>
      </c>
      <c r="BF45" s="39">
        <f>ROUND(BE45*(1+物価上昇率!$H$9),0)</f>
        <v>0</v>
      </c>
      <c r="BG45" s="39">
        <f>ROUND(BF45*(1+物価上昇率!$H$9),0)</f>
        <v>0</v>
      </c>
      <c r="BH45" s="39">
        <f>ROUND(BG45*(1+物価上昇率!$H$9),0)</f>
        <v>0</v>
      </c>
      <c r="BI45" s="39">
        <f>ROUND(BH45*(1+物価上昇率!$H$9),0)</f>
        <v>0</v>
      </c>
      <c r="BJ45" s="39">
        <f>ROUND(BI45*(1+物価上昇率!$H$9),0)</f>
        <v>0</v>
      </c>
      <c r="BK45" s="39">
        <f>ROUND(BJ45*(1+物価上昇率!$H$9),0)</f>
        <v>0</v>
      </c>
      <c r="BL45" s="39">
        <f>ROUND(BK45*(1+物価上昇率!$H$9),0)</f>
        <v>0</v>
      </c>
      <c r="BM45" s="39">
        <f>ROUND(BL45*(1+物価上昇率!$H$9),0)</f>
        <v>0</v>
      </c>
      <c r="BN45" s="39">
        <f>ROUND(BM45*(1+物価上昇率!$H$9),0)</f>
        <v>0</v>
      </c>
      <c r="BO45" s="39">
        <f>ROUND(BN45*(1+物価上昇率!$H$9),0)</f>
        <v>0</v>
      </c>
      <c r="BP45" s="39">
        <f>ROUND(BO45*(1+物価上昇率!$H$9),0)</f>
        <v>0</v>
      </c>
      <c r="BQ45" s="39">
        <f>ROUND(BP45*(1+物価上昇率!$H$9),0)</f>
        <v>0</v>
      </c>
    </row>
    <row r="46" spans="2:69">
      <c r="B46" s="4"/>
      <c r="C46" s="4"/>
      <c r="D46" s="4"/>
      <c r="E46" s="1" t="s">
        <v>99</v>
      </c>
      <c r="F46" s="303"/>
      <c r="G46" s="10"/>
      <c r="H46" s="10" t="s">
        <v>166</v>
      </c>
      <c r="I46" s="10"/>
      <c r="J46" s="10"/>
      <c r="K46" s="1" t="s">
        <v>163</v>
      </c>
      <c r="L46" s="1"/>
      <c r="M46" s="1"/>
      <c r="N46" s="39">
        <f>【PL】決算数値入力!W46</f>
        <v>0</v>
      </c>
      <c r="O46" s="39">
        <f>【PL】決算数値入力!X46</f>
        <v>0</v>
      </c>
      <c r="P46" s="39">
        <f>【PL】決算数値入力!Y46</f>
        <v>0</v>
      </c>
      <c r="Q46" s="39">
        <f>【PL】決算数値入力!Z46</f>
        <v>0</v>
      </c>
      <c r="R46" s="39">
        <f>【PL】決算数値入力!AA46</f>
        <v>0</v>
      </c>
      <c r="S46" s="39">
        <f>【PL】決算数値入力!AB46</f>
        <v>0</v>
      </c>
      <c r="T46" s="40">
        <v>0</v>
      </c>
      <c r="U46" s="40">
        <v>0</v>
      </c>
      <c r="V46" s="40">
        <v>0</v>
      </c>
      <c r="W46" s="40">
        <v>0</v>
      </c>
      <c r="X46" s="40">
        <v>0</v>
      </c>
      <c r="Y46" s="40">
        <v>0</v>
      </c>
      <c r="Z46" s="40">
        <v>0</v>
      </c>
      <c r="AA46" s="40">
        <v>0</v>
      </c>
      <c r="AB46" s="40">
        <v>0</v>
      </c>
      <c r="AC46" s="40">
        <v>0</v>
      </c>
      <c r="AD46" s="40">
        <v>0</v>
      </c>
      <c r="AE46" s="40">
        <v>0</v>
      </c>
      <c r="AF46" s="40">
        <v>0</v>
      </c>
      <c r="AG46" s="40">
        <v>0</v>
      </c>
      <c r="AH46" s="40">
        <v>0</v>
      </c>
      <c r="AI46" s="40">
        <v>0</v>
      </c>
      <c r="AJ46" s="40">
        <v>0</v>
      </c>
      <c r="AK46" s="40">
        <v>0</v>
      </c>
      <c r="AL46" s="40">
        <v>0</v>
      </c>
      <c r="AM46" s="40">
        <v>0</v>
      </c>
      <c r="AN46" s="40">
        <v>0</v>
      </c>
      <c r="AO46" s="40">
        <v>0</v>
      </c>
      <c r="AP46" s="40">
        <v>0</v>
      </c>
      <c r="AQ46" s="40">
        <v>0</v>
      </c>
      <c r="AR46" s="40">
        <v>0</v>
      </c>
      <c r="AS46" s="40">
        <v>0</v>
      </c>
      <c r="AT46" s="40">
        <v>0</v>
      </c>
      <c r="AU46" s="40">
        <v>0</v>
      </c>
      <c r="AV46" s="40">
        <v>0</v>
      </c>
      <c r="AW46" s="40">
        <v>0</v>
      </c>
      <c r="AX46" s="40">
        <v>0</v>
      </c>
      <c r="AY46" s="40">
        <v>0</v>
      </c>
      <c r="AZ46" s="40">
        <v>0</v>
      </c>
      <c r="BA46" s="40">
        <v>0</v>
      </c>
      <c r="BB46" s="40">
        <v>0</v>
      </c>
      <c r="BC46" s="40">
        <v>0</v>
      </c>
      <c r="BD46" s="40">
        <v>0</v>
      </c>
      <c r="BE46" s="40">
        <v>0</v>
      </c>
      <c r="BF46" s="40">
        <v>0</v>
      </c>
      <c r="BG46" s="40">
        <v>0</v>
      </c>
      <c r="BH46" s="40">
        <v>0</v>
      </c>
      <c r="BI46" s="40">
        <v>0</v>
      </c>
      <c r="BJ46" s="40">
        <v>0</v>
      </c>
      <c r="BK46" s="40">
        <v>0</v>
      </c>
      <c r="BL46" s="40">
        <v>0</v>
      </c>
      <c r="BM46" s="40">
        <v>0</v>
      </c>
      <c r="BN46" s="40">
        <v>0</v>
      </c>
      <c r="BO46" s="40">
        <v>0</v>
      </c>
      <c r="BP46" s="40">
        <v>0</v>
      </c>
      <c r="BQ46" s="40">
        <v>0</v>
      </c>
    </row>
    <row r="47" spans="2:69">
      <c r="B47" s="4"/>
      <c r="C47" s="4"/>
      <c r="D47" s="4"/>
      <c r="E47" s="1" t="s">
        <v>100</v>
      </c>
      <c r="F47" s="303"/>
      <c r="G47" s="10"/>
      <c r="H47" s="10" t="s">
        <v>166</v>
      </c>
      <c r="I47" s="10"/>
      <c r="J47" s="10"/>
      <c r="K47" s="1" t="s">
        <v>163</v>
      </c>
      <c r="L47" s="10" t="s">
        <v>166</v>
      </c>
      <c r="M47" s="1"/>
      <c r="N47" s="39">
        <f>【PL】決算数値入力!W47</f>
        <v>0</v>
      </c>
      <c r="O47" s="39">
        <f>【PL】決算数値入力!X47</f>
        <v>0</v>
      </c>
      <c r="P47" s="39">
        <f>【PL】決算数値入力!Y47</f>
        <v>0</v>
      </c>
      <c r="Q47" s="39">
        <f>【PL】決算数値入力!Z47</f>
        <v>0</v>
      </c>
      <c r="R47" s="39">
        <f>【PL】決算数値入力!AA47</f>
        <v>0</v>
      </c>
      <c r="S47" s="39">
        <f>【PL】決算数値入力!AB47</f>
        <v>0</v>
      </c>
      <c r="T47" s="40">
        <v>0</v>
      </c>
      <c r="U47" s="40">
        <v>0</v>
      </c>
      <c r="V47" s="40">
        <v>0</v>
      </c>
      <c r="W47" s="40">
        <v>0</v>
      </c>
      <c r="X47" s="40">
        <v>0</v>
      </c>
      <c r="Y47" s="40">
        <v>0</v>
      </c>
      <c r="Z47" s="40">
        <v>0</v>
      </c>
      <c r="AA47" s="40">
        <v>0</v>
      </c>
      <c r="AB47" s="40">
        <v>0</v>
      </c>
      <c r="AC47" s="40">
        <v>0</v>
      </c>
      <c r="AD47" s="40">
        <v>0</v>
      </c>
      <c r="AE47" s="40">
        <v>0</v>
      </c>
      <c r="AF47" s="40">
        <v>0</v>
      </c>
      <c r="AG47" s="40">
        <v>0</v>
      </c>
      <c r="AH47" s="40">
        <v>0</v>
      </c>
      <c r="AI47" s="40">
        <v>0</v>
      </c>
      <c r="AJ47" s="40">
        <v>0</v>
      </c>
      <c r="AK47" s="40">
        <v>0</v>
      </c>
      <c r="AL47" s="40">
        <v>0</v>
      </c>
      <c r="AM47" s="40">
        <v>0</v>
      </c>
      <c r="AN47" s="40">
        <v>0</v>
      </c>
      <c r="AO47" s="40">
        <v>0</v>
      </c>
      <c r="AP47" s="40">
        <v>0</v>
      </c>
      <c r="AQ47" s="40">
        <v>0</v>
      </c>
      <c r="AR47" s="40">
        <v>0</v>
      </c>
      <c r="AS47" s="40">
        <v>0</v>
      </c>
      <c r="AT47" s="40">
        <v>0</v>
      </c>
      <c r="AU47" s="40">
        <v>0</v>
      </c>
      <c r="AV47" s="40">
        <v>0</v>
      </c>
      <c r="AW47" s="40">
        <v>0</v>
      </c>
      <c r="AX47" s="40">
        <v>0</v>
      </c>
      <c r="AY47" s="40">
        <v>0</v>
      </c>
      <c r="AZ47" s="40">
        <v>0</v>
      </c>
      <c r="BA47" s="40">
        <v>0</v>
      </c>
      <c r="BB47" s="40">
        <v>0</v>
      </c>
      <c r="BC47" s="40">
        <v>0</v>
      </c>
      <c r="BD47" s="40">
        <v>0</v>
      </c>
      <c r="BE47" s="40">
        <v>0</v>
      </c>
      <c r="BF47" s="40">
        <v>0</v>
      </c>
      <c r="BG47" s="40">
        <v>0</v>
      </c>
      <c r="BH47" s="40">
        <v>0</v>
      </c>
      <c r="BI47" s="40">
        <v>0</v>
      </c>
      <c r="BJ47" s="40">
        <v>0</v>
      </c>
      <c r="BK47" s="40">
        <v>0</v>
      </c>
      <c r="BL47" s="40">
        <v>0</v>
      </c>
      <c r="BM47" s="40">
        <v>0</v>
      </c>
      <c r="BN47" s="40">
        <v>0</v>
      </c>
      <c r="BO47" s="40">
        <v>0</v>
      </c>
      <c r="BP47" s="40">
        <v>0</v>
      </c>
      <c r="BQ47" s="40">
        <v>0</v>
      </c>
    </row>
    <row r="48" spans="2:69">
      <c r="B48" s="4"/>
      <c r="C48" s="4"/>
      <c r="D48" s="4"/>
      <c r="E48" s="1" t="s">
        <v>91</v>
      </c>
      <c r="F48" s="303"/>
      <c r="G48" s="10"/>
      <c r="H48" s="10" t="s">
        <v>166</v>
      </c>
      <c r="I48" s="10"/>
      <c r="J48" s="10"/>
      <c r="K48" s="1" t="s">
        <v>562</v>
      </c>
      <c r="L48" s="10" t="s">
        <v>166</v>
      </c>
      <c r="M48" s="1"/>
      <c r="N48" s="39">
        <f>【PL】決算数値入力!W48</f>
        <v>44050</v>
      </c>
      <c r="O48" s="39">
        <f>【PL】決算数値入力!X48</f>
        <v>0</v>
      </c>
      <c r="P48" s="39">
        <f>【PL】決算数値入力!Y48</f>
        <v>41350</v>
      </c>
      <c r="Q48" s="39">
        <f>【PL】決算数値入力!Z48</f>
        <v>0</v>
      </c>
      <c r="R48" s="39">
        <f>【PL】決算数値入力!AA48</f>
        <v>49820</v>
      </c>
      <c r="S48" s="39">
        <f>【PL】決算数値入力!AB48</f>
        <v>44962</v>
      </c>
      <c r="T48" s="39">
        <f>ROUND(S48*(1+物価上昇率!$H$9),0)</f>
        <v>45457</v>
      </c>
      <c r="U48" s="39">
        <f>ROUND(T48*(1+物価上昇率!$H$9),0)</f>
        <v>45957</v>
      </c>
      <c r="V48" s="39">
        <f>ROUND(U48*(1+物価上昇率!$H$9),0)</f>
        <v>46463</v>
      </c>
      <c r="W48" s="39">
        <f>ROUND(V48*(1+物価上昇率!$H$9),0)</f>
        <v>46974</v>
      </c>
      <c r="X48" s="39">
        <f>ROUND(W48*(1+物価上昇率!$H$9),0)</f>
        <v>47491</v>
      </c>
      <c r="Y48" s="39">
        <f>ROUND(X48*(1+物価上昇率!$H$9),0)</f>
        <v>48013</v>
      </c>
      <c r="Z48" s="39">
        <f>ROUND(Y48*(1+物価上昇率!$H$9),0)</f>
        <v>48541</v>
      </c>
      <c r="AA48" s="39">
        <f>ROUND(Z48*(1+物価上昇率!$H$9),0)</f>
        <v>49075</v>
      </c>
      <c r="AB48" s="39">
        <f>ROUND(AA48*(1+物価上昇率!$H$9),0)</f>
        <v>49615</v>
      </c>
      <c r="AC48" s="39">
        <f>ROUND(AB48*(1+物価上昇率!$H$9),0)</f>
        <v>50161</v>
      </c>
      <c r="AD48" s="39">
        <f>ROUND(AC48*(1+物価上昇率!$H$9),0)</f>
        <v>50713</v>
      </c>
      <c r="AE48" s="39">
        <f>ROUND(AD48*(1+物価上昇率!$H$9),0)</f>
        <v>51271</v>
      </c>
      <c r="AF48" s="39">
        <f>ROUND(AE48*(1+物価上昇率!$H$9),0)</f>
        <v>51835</v>
      </c>
      <c r="AG48" s="39">
        <f>ROUND(AF48*(1+物価上昇率!$H$9),0)</f>
        <v>52405</v>
      </c>
      <c r="AH48" s="39">
        <f>ROUND(AG48*(1+物価上昇率!$H$9),0)</f>
        <v>52981</v>
      </c>
      <c r="AI48" s="39">
        <f>ROUND(AH48*(1+物価上昇率!$H$9),0)</f>
        <v>53564</v>
      </c>
      <c r="AJ48" s="39">
        <f>ROUND(AI48*(1+物価上昇率!$H$9),0)</f>
        <v>54153</v>
      </c>
      <c r="AK48" s="39">
        <f>ROUND(AJ48*(1+物価上昇率!$H$9),0)</f>
        <v>54749</v>
      </c>
      <c r="AL48" s="39">
        <f>ROUND(AK48*(1+物価上昇率!$H$9),0)</f>
        <v>55351</v>
      </c>
      <c r="AM48" s="39">
        <f>ROUND(AL48*(1+物価上昇率!$H$9),0)</f>
        <v>55960</v>
      </c>
      <c r="AN48" s="39">
        <f>ROUND(AM48*(1+物価上昇率!$H$9),0)</f>
        <v>56576</v>
      </c>
      <c r="AO48" s="39">
        <f>ROUND(AN48*(1+物価上昇率!$H$9),0)</f>
        <v>57198</v>
      </c>
      <c r="AP48" s="39">
        <f>ROUND(AO48*(1+物価上昇率!$H$9),0)</f>
        <v>57827</v>
      </c>
      <c r="AQ48" s="39">
        <f>ROUND(AP48*(1+物価上昇率!$H$9),0)</f>
        <v>58463</v>
      </c>
      <c r="AR48" s="39">
        <f>ROUND(AQ48*(1+物価上昇率!$H$9),0)</f>
        <v>59106</v>
      </c>
      <c r="AS48" s="39">
        <f>ROUND(AR48*(1+物価上昇率!$H$9),0)</f>
        <v>59756</v>
      </c>
      <c r="AT48" s="39">
        <f>ROUND(AS48*(1+物価上昇率!$H$9),0)</f>
        <v>60413</v>
      </c>
      <c r="AU48" s="39">
        <f>ROUND(AT48*(1+物価上昇率!$H$9),0)</f>
        <v>61078</v>
      </c>
      <c r="AV48" s="39">
        <f>ROUND(AU48*(1+物価上昇率!$H$9),0)</f>
        <v>61750</v>
      </c>
      <c r="AW48" s="39">
        <f>ROUND(AV48*(1+物価上昇率!$H$9),0)</f>
        <v>62429</v>
      </c>
      <c r="AX48" s="39">
        <f>ROUND(AW48*(1+物価上昇率!$H$9),0)</f>
        <v>63116</v>
      </c>
      <c r="AY48" s="39">
        <f>ROUND(AX48*(1+物価上昇率!$H$9),0)</f>
        <v>63810</v>
      </c>
      <c r="AZ48" s="39">
        <f>ROUND(AY48*(1+物価上昇率!$H$9),0)</f>
        <v>64512</v>
      </c>
      <c r="BA48" s="39">
        <f>ROUND(AZ48*(1+物価上昇率!$H$9),0)</f>
        <v>65222</v>
      </c>
      <c r="BB48" s="39">
        <f>ROUND(BA48*(1+物価上昇率!$H$9),0)</f>
        <v>65939</v>
      </c>
      <c r="BC48" s="39">
        <f>ROUND(BB48*(1+物価上昇率!$H$9),0)</f>
        <v>66664</v>
      </c>
      <c r="BD48" s="39">
        <f>ROUND(BC48*(1+物価上昇率!$H$9),0)</f>
        <v>67397</v>
      </c>
      <c r="BE48" s="39">
        <f>ROUND(BD48*(1+物価上昇率!$H$9),0)</f>
        <v>68138</v>
      </c>
      <c r="BF48" s="39">
        <f>ROUND(BE48*(1+物価上昇率!$H$9),0)</f>
        <v>68888</v>
      </c>
      <c r="BG48" s="39">
        <f>ROUND(BF48*(1+物価上昇率!$H$9),0)</f>
        <v>69646</v>
      </c>
      <c r="BH48" s="39">
        <f>ROUND(BG48*(1+物価上昇率!$H$9),0)</f>
        <v>70412</v>
      </c>
      <c r="BI48" s="39">
        <f>ROUND(BH48*(1+物価上昇率!$H$9),0)</f>
        <v>71187</v>
      </c>
      <c r="BJ48" s="39">
        <f>ROUND(BI48*(1+物価上昇率!$H$9),0)</f>
        <v>71970</v>
      </c>
      <c r="BK48" s="39">
        <f>ROUND(BJ48*(1+物価上昇率!$H$9),0)</f>
        <v>72762</v>
      </c>
      <c r="BL48" s="39">
        <f>ROUND(BK48*(1+物価上昇率!$H$9),0)</f>
        <v>73562</v>
      </c>
      <c r="BM48" s="39">
        <f>ROUND(BL48*(1+物価上昇率!$H$9),0)</f>
        <v>74371</v>
      </c>
      <c r="BN48" s="39">
        <f>ROUND(BM48*(1+物価上昇率!$H$9),0)</f>
        <v>75189</v>
      </c>
      <c r="BO48" s="39">
        <f>ROUND(BN48*(1+物価上昇率!$H$9),0)</f>
        <v>76016</v>
      </c>
      <c r="BP48" s="39">
        <f>ROUND(BO48*(1+物価上昇率!$H$9),0)</f>
        <v>76852</v>
      </c>
      <c r="BQ48" s="39">
        <f>ROUND(BP48*(1+物価上昇率!$H$9),0)</f>
        <v>77697</v>
      </c>
    </row>
    <row r="49" spans="2:69">
      <c r="B49" s="4"/>
      <c r="C49" s="4"/>
      <c r="D49" s="4"/>
      <c r="E49" s="1" t="s">
        <v>92</v>
      </c>
      <c r="F49" s="303"/>
      <c r="G49" s="10"/>
      <c r="H49" s="10" t="s">
        <v>166</v>
      </c>
      <c r="I49" s="10"/>
      <c r="J49" s="10"/>
      <c r="K49" s="1" t="s">
        <v>562</v>
      </c>
      <c r="L49" s="10" t="s">
        <v>166</v>
      </c>
      <c r="M49" s="1"/>
      <c r="N49" s="39">
        <f>【PL】決算数値入力!W49</f>
        <v>3738298</v>
      </c>
      <c r="O49" s="39">
        <f>【PL】決算数値入力!X49</f>
        <v>17166788</v>
      </c>
      <c r="P49" s="39">
        <f>【PL】決算数値入力!Y49</f>
        <v>9892260</v>
      </c>
      <c r="Q49" s="39">
        <f>【PL】決算数値入力!Z49</f>
        <v>14519671</v>
      </c>
      <c r="R49" s="39">
        <f>【PL】決算数値入力!AA49</f>
        <v>9915945</v>
      </c>
      <c r="S49" s="39">
        <f>【PL】決算数値入力!AB49</f>
        <v>7403703.5</v>
      </c>
      <c r="T49" s="39">
        <f>ROUND(S49*(1+物価上昇率!$H$9),0)</f>
        <v>7485144</v>
      </c>
      <c r="U49" s="39">
        <f>ROUND(T49*(1+物価上昇率!$H$9),0)</f>
        <v>7567481</v>
      </c>
      <c r="V49" s="39">
        <f>ROUND(U49*(1+物価上昇率!$H$9),0)</f>
        <v>7650723</v>
      </c>
      <c r="W49" s="39">
        <f>ROUND(V49*(1+物価上昇率!$H$9),0)</f>
        <v>7734881</v>
      </c>
      <c r="X49" s="39">
        <f>ROUND(W49*(1+物価上昇率!$H$9),0)</f>
        <v>7819965</v>
      </c>
      <c r="Y49" s="39">
        <f>ROUND(X49*(1+物価上昇率!$H$9),0)</f>
        <v>7905985</v>
      </c>
      <c r="Z49" s="39">
        <f>ROUND(Y49*(1+物価上昇率!$H$9),0)</f>
        <v>7992951</v>
      </c>
      <c r="AA49" s="39">
        <f>ROUND(Z49*(1+物価上昇率!$H$9),0)</f>
        <v>8080873</v>
      </c>
      <c r="AB49" s="39">
        <f>ROUND(AA49*(1+物価上昇率!$H$9),0)</f>
        <v>8169763</v>
      </c>
      <c r="AC49" s="39">
        <f>ROUND(AB49*(1+物価上昇率!$H$9),0)</f>
        <v>8259630</v>
      </c>
      <c r="AD49" s="39">
        <f>ROUND(AC49*(1+物価上昇率!$H$9),0)</f>
        <v>8350486</v>
      </c>
      <c r="AE49" s="39">
        <f>ROUND(AD49*(1+物価上昇率!$H$9),0)</f>
        <v>8442341</v>
      </c>
      <c r="AF49" s="39">
        <f>ROUND(AE49*(1+物価上昇率!$H$9),0)</f>
        <v>8535207</v>
      </c>
      <c r="AG49" s="39">
        <f>ROUND(AF49*(1+物価上昇率!$H$9),0)</f>
        <v>8629094</v>
      </c>
      <c r="AH49" s="39">
        <f>ROUND(AG49*(1+物価上昇率!$H$9),0)</f>
        <v>8724014</v>
      </c>
      <c r="AI49" s="39">
        <f>ROUND(AH49*(1+物価上昇率!$H$9),0)</f>
        <v>8819978</v>
      </c>
      <c r="AJ49" s="39">
        <f>ROUND(AI49*(1+物価上昇率!$H$9),0)</f>
        <v>8916998</v>
      </c>
      <c r="AK49" s="39">
        <f>ROUND(AJ49*(1+物価上昇率!$H$9),0)</f>
        <v>9015085</v>
      </c>
      <c r="AL49" s="39">
        <f>ROUND(AK49*(1+物価上昇率!$H$9),0)</f>
        <v>9114251</v>
      </c>
      <c r="AM49" s="39">
        <f>ROUND(AL49*(1+物価上昇率!$H$9),0)</f>
        <v>9214508</v>
      </c>
      <c r="AN49" s="39">
        <f>ROUND(AM49*(1+物価上昇率!$H$9),0)</f>
        <v>9315868</v>
      </c>
      <c r="AO49" s="39">
        <f>ROUND(AN49*(1+物価上昇率!$H$9),0)</f>
        <v>9418343</v>
      </c>
      <c r="AP49" s="39">
        <f>ROUND(AO49*(1+物価上昇率!$H$9),0)</f>
        <v>9521945</v>
      </c>
      <c r="AQ49" s="39">
        <f>ROUND(AP49*(1+物価上昇率!$H$9),0)</f>
        <v>9626686</v>
      </c>
      <c r="AR49" s="39">
        <f>ROUND(AQ49*(1+物価上昇率!$H$9),0)</f>
        <v>9732580</v>
      </c>
      <c r="AS49" s="39">
        <f>ROUND(AR49*(1+物価上昇率!$H$9),0)</f>
        <v>9839638</v>
      </c>
      <c r="AT49" s="39">
        <f>ROUND(AS49*(1+物価上昇率!$H$9),0)</f>
        <v>9947874</v>
      </c>
      <c r="AU49" s="39">
        <f>ROUND(AT49*(1+物価上昇率!$H$9),0)</f>
        <v>10057301</v>
      </c>
      <c r="AV49" s="39">
        <f>ROUND(AU49*(1+物価上昇率!$H$9),0)</f>
        <v>10167931</v>
      </c>
      <c r="AW49" s="39">
        <f>ROUND(AV49*(1+物価上昇率!$H$9),0)</f>
        <v>10279778</v>
      </c>
      <c r="AX49" s="39">
        <f>ROUND(AW49*(1+物価上昇率!$H$9),0)</f>
        <v>10392856</v>
      </c>
      <c r="AY49" s="39">
        <f>ROUND(AX49*(1+物価上昇率!$H$9),0)</f>
        <v>10507177</v>
      </c>
      <c r="AZ49" s="39">
        <f>ROUND(AY49*(1+物価上昇率!$H$9),0)</f>
        <v>10622756</v>
      </c>
      <c r="BA49" s="39">
        <f>ROUND(AZ49*(1+物価上昇率!$H$9),0)</f>
        <v>10739606</v>
      </c>
      <c r="BB49" s="39">
        <f>ROUND(BA49*(1+物価上昇率!$H$9),0)</f>
        <v>10857742</v>
      </c>
      <c r="BC49" s="39">
        <f>ROUND(BB49*(1+物価上昇率!$H$9),0)</f>
        <v>10977177</v>
      </c>
      <c r="BD49" s="39">
        <f>ROUND(BC49*(1+物価上昇率!$H$9),0)</f>
        <v>11097926</v>
      </c>
      <c r="BE49" s="39">
        <f>ROUND(BD49*(1+物価上昇率!$H$9),0)</f>
        <v>11220003</v>
      </c>
      <c r="BF49" s="39">
        <f>ROUND(BE49*(1+物価上昇率!$H$9),0)</f>
        <v>11343423</v>
      </c>
      <c r="BG49" s="39">
        <f>ROUND(BF49*(1+物価上昇率!$H$9),0)</f>
        <v>11468201</v>
      </c>
      <c r="BH49" s="39">
        <f>ROUND(BG49*(1+物価上昇率!$H$9),0)</f>
        <v>11594351</v>
      </c>
      <c r="BI49" s="39">
        <f>ROUND(BH49*(1+物価上昇率!$H$9),0)</f>
        <v>11721889</v>
      </c>
      <c r="BJ49" s="39">
        <f>ROUND(BI49*(1+物価上昇率!$H$9),0)</f>
        <v>11850830</v>
      </c>
      <c r="BK49" s="39">
        <f>ROUND(BJ49*(1+物価上昇率!$H$9),0)</f>
        <v>11981189</v>
      </c>
      <c r="BL49" s="39">
        <f>ROUND(BK49*(1+物価上昇率!$H$9),0)</f>
        <v>12112982</v>
      </c>
      <c r="BM49" s="39">
        <f>ROUND(BL49*(1+物価上昇率!$H$9),0)</f>
        <v>12246225</v>
      </c>
      <c r="BN49" s="39">
        <f>ROUND(BM49*(1+物価上昇率!$H$9),0)</f>
        <v>12380933</v>
      </c>
      <c r="BO49" s="39">
        <f>ROUND(BN49*(1+物価上昇率!$H$9),0)</f>
        <v>12517123</v>
      </c>
      <c r="BP49" s="39">
        <f>ROUND(BO49*(1+物価上昇率!$H$9),0)</f>
        <v>12654811</v>
      </c>
      <c r="BQ49" s="39">
        <f>ROUND(BP49*(1+物価上昇率!$H$9),0)</f>
        <v>12794014</v>
      </c>
    </row>
    <row r="50" spans="2:69">
      <c r="B50" s="4"/>
      <c r="C50" s="4"/>
      <c r="D50" s="4"/>
      <c r="E50" s="1" t="s">
        <v>93</v>
      </c>
      <c r="F50" s="303"/>
      <c r="G50" s="10"/>
      <c r="H50" s="10" t="s">
        <v>166</v>
      </c>
      <c r="I50" s="10"/>
      <c r="J50" s="10"/>
      <c r="K50" s="1" t="s">
        <v>562</v>
      </c>
      <c r="L50" s="10" t="s">
        <v>166</v>
      </c>
      <c r="M50" s="1"/>
      <c r="N50" s="39">
        <f>【PL】決算数値入力!W50</f>
        <v>8923711</v>
      </c>
      <c r="O50" s="39">
        <f>【PL】決算数値入力!X50</f>
        <v>7180869</v>
      </c>
      <c r="P50" s="39">
        <f>【PL】決算数値入力!Y50</f>
        <v>8663871</v>
      </c>
      <c r="Q50" s="39">
        <f>【PL】決算数値入力!Z50</f>
        <v>8209592</v>
      </c>
      <c r="R50" s="39">
        <f>【PL】決算数値入力!AA50</f>
        <v>7754894</v>
      </c>
      <c r="S50" s="39">
        <f>【PL】決算数値入力!AB50</f>
        <v>6360723.2000000002</v>
      </c>
      <c r="T50" s="39">
        <f>ROUND(S50*(1+物価上昇率!$H$9),0)</f>
        <v>6430691</v>
      </c>
      <c r="U50" s="39">
        <f>ROUND(T50*(1+物価上昇率!$H$9),0)</f>
        <v>6501429</v>
      </c>
      <c r="V50" s="39">
        <f>ROUND(U50*(1+物価上昇率!$H$9),0)</f>
        <v>6572945</v>
      </c>
      <c r="W50" s="39">
        <f>ROUND(V50*(1+物価上昇率!$H$9),0)</f>
        <v>6645247</v>
      </c>
      <c r="X50" s="39">
        <f>ROUND(W50*(1+物価上昇率!$H$9),0)</f>
        <v>6718345</v>
      </c>
      <c r="Y50" s="39">
        <f>ROUND(X50*(1+物価上昇率!$H$9),0)</f>
        <v>6792247</v>
      </c>
      <c r="Z50" s="39">
        <f>ROUND(Y50*(1+物価上昇率!$H$9),0)</f>
        <v>6866962</v>
      </c>
      <c r="AA50" s="39">
        <f>ROUND(Z50*(1+物価上昇率!$H$9),0)</f>
        <v>6942499</v>
      </c>
      <c r="AB50" s="39">
        <f>ROUND(AA50*(1+物価上昇率!$H$9),0)</f>
        <v>7018866</v>
      </c>
      <c r="AC50" s="39">
        <f>ROUND(AB50*(1+物価上昇率!$H$9),0)</f>
        <v>7096074</v>
      </c>
      <c r="AD50" s="39">
        <f>ROUND(AC50*(1+物価上昇率!$H$9),0)</f>
        <v>7174131</v>
      </c>
      <c r="AE50" s="39">
        <f>ROUND(AD50*(1+物価上昇率!$H$9),0)</f>
        <v>7253046</v>
      </c>
      <c r="AF50" s="39">
        <f>ROUND(AE50*(1+物価上昇率!$H$9),0)</f>
        <v>7332830</v>
      </c>
      <c r="AG50" s="39">
        <f>ROUND(AF50*(1+物価上昇率!$H$9),0)</f>
        <v>7413491</v>
      </c>
      <c r="AH50" s="39">
        <f>ROUND(AG50*(1+物価上昇率!$H$9),0)</f>
        <v>7495039</v>
      </c>
      <c r="AI50" s="39">
        <f>ROUND(AH50*(1+物価上昇率!$H$9),0)</f>
        <v>7577484</v>
      </c>
      <c r="AJ50" s="39">
        <f>ROUND(AI50*(1+物価上昇率!$H$9),0)</f>
        <v>7660836</v>
      </c>
      <c r="AK50" s="39">
        <f>ROUND(AJ50*(1+物価上昇率!$H$9),0)</f>
        <v>7745105</v>
      </c>
      <c r="AL50" s="39">
        <f>ROUND(AK50*(1+物価上昇率!$H$9),0)</f>
        <v>7830301</v>
      </c>
      <c r="AM50" s="39">
        <f>ROUND(AL50*(1+物価上昇率!$H$9),0)</f>
        <v>7916434</v>
      </c>
      <c r="AN50" s="39">
        <f>ROUND(AM50*(1+物価上昇率!$H$9),0)</f>
        <v>8003515</v>
      </c>
      <c r="AO50" s="39">
        <f>ROUND(AN50*(1+物価上昇率!$H$9),0)</f>
        <v>8091554</v>
      </c>
      <c r="AP50" s="39">
        <f>ROUND(AO50*(1+物価上昇率!$H$9),0)</f>
        <v>8180561</v>
      </c>
      <c r="AQ50" s="39">
        <f>ROUND(AP50*(1+物価上昇率!$H$9),0)</f>
        <v>8270547</v>
      </c>
      <c r="AR50" s="39">
        <f>ROUND(AQ50*(1+物価上昇率!$H$9),0)</f>
        <v>8361523</v>
      </c>
      <c r="AS50" s="39">
        <f>ROUND(AR50*(1+物価上昇率!$H$9),0)</f>
        <v>8453500</v>
      </c>
      <c r="AT50" s="39">
        <f>ROUND(AS50*(1+物価上昇率!$H$9),0)</f>
        <v>8546489</v>
      </c>
      <c r="AU50" s="39">
        <f>ROUND(AT50*(1+物価上昇率!$H$9),0)</f>
        <v>8640500</v>
      </c>
      <c r="AV50" s="39">
        <f>ROUND(AU50*(1+物価上昇率!$H$9),0)</f>
        <v>8735546</v>
      </c>
      <c r="AW50" s="39">
        <f>ROUND(AV50*(1+物価上昇率!$H$9),0)</f>
        <v>8831637</v>
      </c>
      <c r="AX50" s="39">
        <f>ROUND(AW50*(1+物価上昇率!$H$9),0)</f>
        <v>8928785</v>
      </c>
      <c r="AY50" s="39">
        <f>ROUND(AX50*(1+物価上昇率!$H$9),0)</f>
        <v>9027002</v>
      </c>
      <c r="AZ50" s="39">
        <f>ROUND(AY50*(1+物価上昇率!$H$9),0)</f>
        <v>9126299</v>
      </c>
      <c r="BA50" s="39">
        <f>ROUND(AZ50*(1+物価上昇率!$H$9),0)</f>
        <v>9226688</v>
      </c>
      <c r="BB50" s="39">
        <f>ROUND(BA50*(1+物価上昇率!$H$9),0)</f>
        <v>9328182</v>
      </c>
      <c r="BC50" s="39">
        <f>ROUND(BB50*(1+物価上昇率!$H$9),0)</f>
        <v>9430792</v>
      </c>
      <c r="BD50" s="39">
        <f>ROUND(BC50*(1+物価上昇率!$H$9),0)</f>
        <v>9534531</v>
      </c>
      <c r="BE50" s="39">
        <f>ROUND(BD50*(1+物価上昇率!$H$9),0)</f>
        <v>9639411</v>
      </c>
      <c r="BF50" s="39">
        <f>ROUND(BE50*(1+物価上昇率!$H$9),0)</f>
        <v>9745445</v>
      </c>
      <c r="BG50" s="39">
        <f>ROUND(BF50*(1+物価上昇率!$H$9),0)</f>
        <v>9852645</v>
      </c>
      <c r="BH50" s="39">
        <f>ROUND(BG50*(1+物価上昇率!$H$9),0)</f>
        <v>9961024</v>
      </c>
      <c r="BI50" s="39">
        <f>ROUND(BH50*(1+物価上昇率!$H$9),0)</f>
        <v>10070595</v>
      </c>
      <c r="BJ50" s="39">
        <f>ROUND(BI50*(1+物価上昇率!$H$9),0)</f>
        <v>10181372</v>
      </c>
      <c r="BK50" s="39">
        <f>ROUND(BJ50*(1+物価上昇率!$H$9),0)</f>
        <v>10293367</v>
      </c>
      <c r="BL50" s="39">
        <f>ROUND(BK50*(1+物価上昇率!$H$9),0)</f>
        <v>10406594</v>
      </c>
      <c r="BM50" s="39">
        <f>ROUND(BL50*(1+物価上昇率!$H$9),0)</f>
        <v>10521067</v>
      </c>
      <c r="BN50" s="39">
        <f>ROUND(BM50*(1+物価上昇率!$H$9),0)</f>
        <v>10636799</v>
      </c>
      <c r="BO50" s="39">
        <f>ROUND(BN50*(1+物価上昇率!$H$9),0)</f>
        <v>10753804</v>
      </c>
      <c r="BP50" s="39">
        <f>ROUND(BO50*(1+物価上昇率!$H$9),0)</f>
        <v>10872096</v>
      </c>
      <c r="BQ50" s="39">
        <f>ROUND(BP50*(1+物価上昇率!$H$9),0)</f>
        <v>10991689</v>
      </c>
    </row>
    <row r="51" spans="2:69">
      <c r="B51" s="4"/>
      <c r="C51" s="4"/>
      <c r="D51" s="3"/>
      <c r="E51" s="1" t="s">
        <v>94</v>
      </c>
      <c r="F51" s="304"/>
      <c r="G51" s="10"/>
      <c r="H51" s="10" t="s">
        <v>166</v>
      </c>
      <c r="I51" s="10"/>
      <c r="J51" s="10"/>
      <c r="K51" s="1" t="s">
        <v>560</v>
      </c>
      <c r="L51" s="1"/>
      <c r="M51" s="1"/>
      <c r="N51" s="39">
        <f>【PL】決算数値入力!W51</f>
        <v>0</v>
      </c>
      <c r="O51" s="39">
        <f>【PL】決算数値入力!X51</f>
        <v>0</v>
      </c>
      <c r="P51" s="39">
        <f>【PL】決算数値入力!Y51</f>
        <v>0</v>
      </c>
      <c r="Q51" s="39">
        <f>【PL】決算数値入力!Z51</f>
        <v>0</v>
      </c>
      <c r="R51" s="39">
        <f>【PL】決算数値入力!AA51</f>
        <v>0</v>
      </c>
      <c r="S51" s="39">
        <f>【PL】決算数値入力!AB51</f>
        <v>0</v>
      </c>
      <c r="T51" s="39">
        <f>S51</f>
        <v>0</v>
      </c>
      <c r="U51" s="39">
        <f t="shared" ref="U51:BQ51" si="18">T51</f>
        <v>0</v>
      </c>
      <c r="V51" s="39">
        <f t="shared" si="18"/>
        <v>0</v>
      </c>
      <c r="W51" s="39">
        <f t="shared" si="18"/>
        <v>0</v>
      </c>
      <c r="X51" s="39">
        <f t="shared" si="18"/>
        <v>0</v>
      </c>
      <c r="Y51" s="39">
        <f t="shared" si="18"/>
        <v>0</v>
      </c>
      <c r="Z51" s="39">
        <f t="shared" si="18"/>
        <v>0</v>
      </c>
      <c r="AA51" s="39">
        <f t="shared" si="18"/>
        <v>0</v>
      </c>
      <c r="AB51" s="39">
        <f t="shared" si="18"/>
        <v>0</v>
      </c>
      <c r="AC51" s="39">
        <f t="shared" si="18"/>
        <v>0</v>
      </c>
      <c r="AD51" s="39">
        <f t="shared" si="18"/>
        <v>0</v>
      </c>
      <c r="AE51" s="39">
        <f t="shared" si="18"/>
        <v>0</v>
      </c>
      <c r="AF51" s="39">
        <f t="shared" si="18"/>
        <v>0</v>
      </c>
      <c r="AG51" s="39">
        <f t="shared" si="18"/>
        <v>0</v>
      </c>
      <c r="AH51" s="39">
        <f t="shared" si="18"/>
        <v>0</v>
      </c>
      <c r="AI51" s="39">
        <f t="shared" si="18"/>
        <v>0</v>
      </c>
      <c r="AJ51" s="39">
        <f t="shared" si="18"/>
        <v>0</v>
      </c>
      <c r="AK51" s="39">
        <f t="shared" si="18"/>
        <v>0</v>
      </c>
      <c r="AL51" s="39">
        <f t="shared" si="18"/>
        <v>0</v>
      </c>
      <c r="AM51" s="39">
        <f t="shared" si="18"/>
        <v>0</v>
      </c>
      <c r="AN51" s="39">
        <f t="shared" si="18"/>
        <v>0</v>
      </c>
      <c r="AO51" s="39">
        <f t="shared" si="18"/>
        <v>0</v>
      </c>
      <c r="AP51" s="39">
        <f t="shared" si="18"/>
        <v>0</v>
      </c>
      <c r="AQ51" s="39">
        <f t="shared" si="18"/>
        <v>0</v>
      </c>
      <c r="AR51" s="39">
        <f t="shared" si="18"/>
        <v>0</v>
      </c>
      <c r="AS51" s="39">
        <f t="shared" si="18"/>
        <v>0</v>
      </c>
      <c r="AT51" s="39">
        <f t="shared" si="18"/>
        <v>0</v>
      </c>
      <c r="AU51" s="39">
        <f t="shared" si="18"/>
        <v>0</v>
      </c>
      <c r="AV51" s="39">
        <f t="shared" si="18"/>
        <v>0</v>
      </c>
      <c r="AW51" s="39">
        <f t="shared" si="18"/>
        <v>0</v>
      </c>
      <c r="AX51" s="39">
        <f t="shared" si="18"/>
        <v>0</v>
      </c>
      <c r="AY51" s="39">
        <f t="shared" si="18"/>
        <v>0</v>
      </c>
      <c r="AZ51" s="39">
        <f t="shared" si="18"/>
        <v>0</v>
      </c>
      <c r="BA51" s="39">
        <f t="shared" si="18"/>
        <v>0</v>
      </c>
      <c r="BB51" s="39">
        <f t="shared" si="18"/>
        <v>0</v>
      </c>
      <c r="BC51" s="39">
        <f t="shared" si="18"/>
        <v>0</v>
      </c>
      <c r="BD51" s="39">
        <f t="shared" si="18"/>
        <v>0</v>
      </c>
      <c r="BE51" s="39">
        <f t="shared" si="18"/>
        <v>0</v>
      </c>
      <c r="BF51" s="39">
        <f t="shared" si="18"/>
        <v>0</v>
      </c>
      <c r="BG51" s="39">
        <f t="shared" si="18"/>
        <v>0</v>
      </c>
      <c r="BH51" s="39">
        <f t="shared" si="18"/>
        <v>0</v>
      </c>
      <c r="BI51" s="39">
        <f t="shared" si="18"/>
        <v>0</v>
      </c>
      <c r="BJ51" s="39">
        <f t="shared" si="18"/>
        <v>0</v>
      </c>
      <c r="BK51" s="39">
        <f t="shared" si="18"/>
        <v>0</v>
      </c>
      <c r="BL51" s="39">
        <f t="shared" si="18"/>
        <v>0</v>
      </c>
      <c r="BM51" s="39">
        <f t="shared" si="18"/>
        <v>0</v>
      </c>
      <c r="BN51" s="39">
        <f t="shared" si="18"/>
        <v>0</v>
      </c>
      <c r="BO51" s="39">
        <f t="shared" si="18"/>
        <v>0</v>
      </c>
      <c r="BP51" s="39">
        <f t="shared" si="18"/>
        <v>0</v>
      </c>
      <c r="BQ51" s="39">
        <f t="shared" si="18"/>
        <v>0</v>
      </c>
    </row>
    <row r="52" spans="2:69">
      <c r="B52" s="4"/>
      <c r="C52" s="4"/>
      <c r="D52" s="5" t="s">
        <v>101</v>
      </c>
      <c r="E52" s="8"/>
      <c r="F52" s="1"/>
      <c r="G52" s="10"/>
      <c r="H52" s="10"/>
      <c r="I52" s="10"/>
      <c r="J52" s="10"/>
      <c r="K52" s="1"/>
      <c r="L52" s="1"/>
      <c r="M52" s="1"/>
      <c r="N52" s="39">
        <f>【PL】決算数値入力!W52</f>
        <v>140426639</v>
      </c>
      <c r="O52" s="39">
        <f>【PL】決算数値入力!X52</f>
        <v>331709645</v>
      </c>
      <c r="P52" s="39">
        <f>【PL】決算数値入力!Y52</f>
        <v>389441172</v>
      </c>
      <c r="Q52" s="39">
        <f>【PL】決算数値入力!Z52</f>
        <v>513505522</v>
      </c>
      <c r="R52" s="39">
        <f>【PL】決算数値入力!AA52</f>
        <v>390906409</v>
      </c>
      <c r="S52" s="39">
        <f>【PL】決算数値入力!AB52</f>
        <v>223418265.59999999</v>
      </c>
      <c r="T52" s="39">
        <f t="shared" ref="T52:BQ52" si="19">SUM(T53:T54)</f>
        <v>34653029</v>
      </c>
      <c r="U52" s="39">
        <f t="shared" si="19"/>
        <v>32839785</v>
      </c>
      <c r="V52" s="39">
        <f t="shared" si="19"/>
        <v>31307613.300000001</v>
      </c>
      <c r="W52" s="39">
        <f t="shared" si="19"/>
        <v>29949650</v>
      </c>
      <c r="X52" s="39">
        <f t="shared" si="19"/>
        <v>29785335</v>
      </c>
      <c r="Y52" s="39">
        <f t="shared" si="19"/>
        <v>28185184</v>
      </c>
      <c r="Z52" s="39">
        <f t="shared" si="19"/>
        <v>27518623</v>
      </c>
      <c r="AA52" s="39">
        <f t="shared" si="19"/>
        <v>33841068</v>
      </c>
      <c r="AB52" s="39">
        <f t="shared" si="19"/>
        <v>60643315</v>
      </c>
      <c r="AC52" s="39">
        <f t="shared" si="19"/>
        <v>73801210</v>
      </c>
      <c r="AD52" s="39">
        <f t="shared" si="19"/>
        <v>82207962</v>
      </c>
      <c r="AE52" s="39">
        <f t="shared" si="19"/>
        <v>92815595</v>
      </c>
      <c r="AF52" s="39">
        <f t="shared" si="19"/>
        <v>100930757</v>
      </c>
      <c r="AG52" s="39">
        <f t="shared" si="19"/>
        <v>105617251</v>
      </c>
      <c r="AH52" s="39">
        <f t="shared" si="19"/>
        <v>113275146</v>
      </c>
      <c r="AI52" s="39">
        <f t="shared" si="19"/>
        <v>118144439</v>
      </c>
      <c r="AJ52" s="39">
        <f t="shared" si="19"/>
        <v>123407597</v>
      </c>
      <c r="AK52" s="39">
        <f t="shared" si="19"/>
        <v>128276910</v>
      </c>
      <c r="AL52" s="39">
        <f t="shared" si="19"/>
        <v>142604631</v>
      </c>
      <c r="AM52" s="39">
        <f t="shared" si="19"/>
        <v>157078315</v>
      </c>
      <c r="AN52" s="39">
        <f t="shared" si="19"/>
        <v>170856268</v>
      </c>
      <c r="AO52" s="39">
        <f t="shared" si="19"/>
        <v>185149479</v>
      </c>
      <c r="AP52" s="39">
        <f t="shared" si="19"/>
        <v>200438953</v>
      </c>
      <c r="AQ52" s="39">
        <f t="shared" si="19"/>
        <v>216333690</v>
      </c>
      <c r="AR52" s="39">
        <f t="shared" si="19"/>
        <v>232649479</v>
      </c>
      <c r="AS52" s="39">
        <f t="shared" si="19"/>
        <v>248965268</v>
      </c>
      <c r="AT52" s="39">
        <f t="shared" si="19"/>
        <v>251070531</v>
      </c>
      <c r="AU52" s="39">
        <f t="shared" si="19"/>
        <v>252341678</v>
      </c>
      <c r="AV52" s="39">
        <f t="shared" si="19"/>
        <v>253920625</v>
      </c>
      <c r="AW52" s="39">
        <f t="shared" si="19"/>
        <v>255525888</v>
      </c>
      <c r="AX52" s="39">
        <f t="shared" si="19"/>
        <v>257131151</v>
      </c>
      <c r="AY52" s="39">
        <f t="shared" si="19"/>
        <v>258205535</v>
      </c>
      <c r="AZ52" s="39">
        <f t="shared" si="19"/>
        <v>259928636</v>
      </c>
      <c r="BA52" s="39">
        <f t="shared" si="19"/>
        <v>260777261</v>
      </c>
      <c r="BB52" s="39">
        <f t="shared" si="19"/>
        <v>262882524</v>
      </c>
      <c r="BC52" s="39">
        <f t="shared" si="19"/>
        <v>259062800</v>
      </c>
      <c r="BD52" s="39">
        <f t="shared" si="19"/>
        <v>260349585</v>
      </c>
      <c r="BE52" s="39">
        <f t="shared" si="19"/>
        <v>260657786</v>
      </c>
      <c r="BF52" s="39">
        <f t="shared" si="19"/>
        <v>260237758</v>
      </c>
      <c r="BG52" s="39">
        <f t="shared" si="19"/>
        <v>261388719</v>
      </c>
      <c r="BH52" s="39">
        <f t="shared" si="19"/>
        <v>263150857</v>
      </c>
      <c r="BI52" s="39">
        <f t="shared" si="19"/>
        <v>262385840</v>
      </c>
      <c r="BJ52" s="39">
        <f t="shared" si="19"/>
        <v>264491103</v>
      </c>
      <c r="BK52" s="39">
        <f t="shared" si="19"/>
        <v>266070050</v>
      </c>
      <c r="BL52" s="39">
        <f t="shared" si="19"/>
        <v>267648997</v>
      </c>
      <c r="BM52" s="39">
        <f t="shared" si="19"/>
        <v>262763165</v>
      </c>
      <c r="BN52" s="39">
        <f t="shared" si="19"/>
        <v>237263151</v>
      </c>
      <c r="BO52" s="39">
        <f t="shared" si="19"/>
        <v>225789471</v>
      </c>
      <c r="BP52" s="39">
        <f t="shared" si="19"/>
        <v>218421050</v>
      </c>
      <c r="BQ52" s="39">
        <f t="shared" si="19"/>
        <v>208157882</v>
      </c>
    </row>
    <row r="53" spans="2:69" s="135" customFormat="1">
      <c r="B53" s="172"/>
      <c r="C53" s="172"/>
      <c r="D53" s="172"/>
      <c r="E53" s="156" t="s">
        <v>79</v>
      </c>
      <c r="F53" s="156"/>
      <c r="G53" s="176"/>
      <c r="H53" s="176" t="s">
        <v>166</v>
      </c>
      <c r="I53" s="176"/>
      <c r="J53" s="176"/>
      <c r="K53" s="156" t="s">
        <v>170</v>
      </c>
      <c r="L53" s="156"/>
      <c r="M53" s="156"/>
      <c r="N53" s="130">
        <f>【PL】決算数値入力!W53</f>
        <v>140426639</v>
      </c>
      <c r="O53" s="130">
        <f>【PL】決算数値入力!X53</f>
        <v>331709645</v>
      </c>
      <c r="P53" s="130">
        <f>【PL】決算数値入力!Y53</f>
        <v>389441172</v>
      </c>
      <c r="Q53" s="130">
        <f>【PL】決算数値入力!Z53</f>
        <v>513505522</v>
      </c>
      <c r="R53" s="130">
        <f>【PL】決算数値入力!AA53</f>
        <v>390906409</v>
      </c>
      <c r="S53" s="130">
        <f>【PL】決算数値入力!AB53</f>
        <v>353197877.39999998</v>
      </c>
      <c r="T53" s="130">
        <v>34653029</v>
      </c>
      <c r="U53" s="130">
        <v>32839785</v>
      </c>
      <c r="V53" s="130">
        <v>31307613.300000001</v>
      </c>
      <c r="W53" s="130">
        <v>29949650</v>
      </c>
      <c r="X53" s="130">
        <v>29785335</v>
      </c>
      <c r="Y53" s="130">
        <v>28185184</v>
      </c>
      <c r="Z53" s="130">
        <v>27518623</v>
      </c>
      <c r="AA53" s="130">
        <v>27349963</v>
      </c>
      <c r="AB53" s="130">
        <v>27046947</v>
      </c>
      <c r="AC53" s="130">
        <v>27046947</v>
      </c>
      <c r="AD53" s="130">
        <v>26243173</v>
      </c>
      <c r="AE53" s="130">
        <v>26061332</v>
      </c>
      <c r="AF53" s="130">
        <v>26018599</v>
      </c>
      <c r="AG53" s="130">
        <v>20941935</v>
      </c>
      <c r="AH53" s="130">
        <v>20941935</v>
      </c>
      <c r="AI53" s="130">
        <v>17284912</v>
      </c>
      <c r="AJ53" s="130">
        <v>17284912</v>
      </c>
      <c r="AK53" s="130">
        <v>16891067</v>
      </c>
      <c r="AL53" s="130">
        <v>16218788</v>
      </c>
      <c r="AM53" s="130">
        <v>16218788</v>
      </c>
      <c r="AN53" s="130">
        <v>15523057</v>
      </c>
      <c r="AO53" s="130">
        <v>15316268</v>
      </c>
      <c r="AP53" s="130">
        <v>15316268</v>
      </c>
      <c r="AQ53" s="130">
        <v>15316268</v>
      </c>
      <c r="AR53" s="130">
        <v>15316268</v>
      </c>
      <c r="AS53" s="130">
        <v>15316268</v>
      </c>
      <c r="AT53" s="130">
        <v>15316268</v>
      </c>
      <c r="AU53" s="130">
        <v>15008468</v>
      </c>
      <c r="AV53" s="130">
        <v>15008468</v>
      </c>
      <c r="AW53" s="130">
        <v>15008468</v>
      </c>
      <c r="AX53" s="130">
        <v>15008468</v>
      </c>
      <c r="AY53" s="130">
        <v>14398641</v>
      </c>
      <c r="AZ53" s="130">
        <v>14016479</v>
      </c>
      <c r="BA53" s="130">
        <v>12759841</v>
      </c>
      <c r="BB53" s="130">
        <v>12759841</v>
      </c>
      <c r="BC53" s="130">
        <v>7361170</v>
      </c>
      <c r="BD53" s="130">
        <v>7069008</v>
      </c>
      <c r="BE53" s="130">
        <v>5771946</v>
      </c>
      <c r="BF53" s="130">
        <v>3746655</v>
      </c>
      <c r="BG53" s="130">
        <v>3213405</v>
      </c>
      <c r="BH53" s="130">
        <v>2870280</v>
      </c>
      <c r="BI53" s="130">
        <v>0</v>
      </c>
      <c r="BJ53" s="130">
        <v>0</v>
      </c>
      <c r="BK53" s="130">
        <v>0</v>
      </c>
      <c r="BL53" s="130">
        <v>0</v>
      </c>
      <c r="BM53" s="130">
        <v>0</v>
      </c>
      <c r="BN53" s="130">
        <v>0</v>
      </c>
      <c r="BO53" s="130">
        <v>0</v>
      </c>
      <c r="BP53" s="130">
        <v>0</v>
      </c>
      <c r="BQ53" s="130">
        <v>0</v>
      </c>
    </row>
    <row r="54" spans="2:69" s="135" customFormat="1">
      <c r="B54" s="172"/>
      <c r="C54" s="172"/>
      <c r="D54" s="173"/>
      <c r="E54" s="156" t="s">
        <v>80</v>
      </c>
      <c r="F54" s="156"/>
      <c r="G54" s="176"/>
      <c r="H54" s="176" t="s">
        <v>166</v>
      </c>
      <c r="I54" s="176"/>
      <c r="J54" s="176"/>
      <c r="K54" s="156" t="s">
        <v>171</v>
      </c>
      <c r="L54" s="156"/>
      <c r="M54" s="156"/>
      <c r="N54" s="130">
        <f>【PL】決算数値入力!W54</f>
        <v>0</v>
      </c>
      <c r="O54" s="130">
        <f>【PL】決算数値入力!X54</f>
        <v>0</v>
      </c>
      <c r="P54" s="130">
        <f>【PL】決算数値入力!Y54</f>
        <v>0</v>
      </c>
      <c r="Q54" s="130">
        <f>【PL】決算数値入力!Z54</f>
        <v>0</v>
      </c>
      <c r="R54" s="130">
        <f>【PL】決算数値入力!AA54</f>
        <v>0</v>
      </c>
      <c r="S54" s="130">
        <f>【PL】決算数値入力!AB54</f>
        <v>0</v>
      </c>
      <c r="T54" s="130">
        <f>新規取得!I2</f>
        <v>0</v>
      </c>
      <c r="U54" s="130">
        <f>新規取得!J2</f>
        <v>0</v>
      </c>
      <c r="V54" s="130">
        <f>新規取得!K2</f>
        <v>0</v>
      </c>
      <c r="W54" s="130">
        <f>新規取得!L2</f>
        <v>0</v>
      </c>
      <c r="X54" s="130">
        <f>新規取得!M2</f>
        <v>0</v>
      </c>
      <c r="Y54" s="130">
        <f>新規取得!N2</f>
        <v>0</v>
      </c>
      <c r="Z54" s="130">
        <f>新規取得!O2</f>
        <v>0</v>
      </c>
      <c r="AA54" s="130">
        <f>新規取得!P2</f>
        <v>6491105</v>
      </c>
      <c r="AB54" s="130">
        <f>新規取得!Q2</f>
        <v>33596368</v>
      </c>
      <c r="AC54" s="130">
        <f>新規取得!R2</f>
        <v>46754263</v>
      </c>
      <c r="AD54" s="130">
        <f>新規取得!S2</f>
        <v>55964789</v>
      </c>
      <c r="AE54" s="130">
        <f>新規取得!T2</f>
        <v>66754263</v>
      </c>
      <c r="AF54" s="130">
        <f>新規取得!U2</f>
        <v>74912158</v>
      </c>
      <c r="AG54" s="130">
        <f>新規取得!V2</f>
        <v>84675316</v>
      </c>
      <c r="AH54" s="130">
        <f>新規取得!W2</f>
        <v>92333211</v>
      </c>
      <c r="AI54" s="130">
        <f>新規取得!X2</f>
        <v>100859527</v>
      </c>
      <c r="AJ54" s="130">
        <f>新規取得!Y2</f>
        <v>106122685</v>
      </c>
      <c r="AK54" s="130">
        <f>新規取得!Z2</f>
        <v>111385843</v>
      </c>
      <c r="AL54" s="130">
        <f>新規取得!AA2</f>
        <v>126385843</v>
      </c>
      <c r="AM54" s="130">
        <f>新規取得!AB2</f>
        <v>140859527</v>
      </c>
      <c r="AN54" s="130">
        <f>新規取得!AC2</f>
        <v>155333211</v>
      </c>
      <c r="AO54" s="130">
        <f>新規取得!AD2</f>
        <v>169833211</v>
      </c>
      <c r="AP54" s="130">
        <f>新規取得!AE2</f>
        <v>185122685</v>
      </c>
      <c r="AQ54" s="130">
        <f>新規取得!AF2</f>
        <v>201017422</v>
      </c>
      <c r="AR54" s="130">
        <f>新規取得!AG2</f>
        <v>217333211</v>
      </c>
      <c r="AS54" s="130">
        <f>新規取得!AH2</f>
        <v>233649000</v>
      </c>
      <c r="AT54" s="130">
        <f>新規取得!AI2</f>
        <v>235754263</v>
      </c>
      <c r="AU54" s="130">
        <f>新規取得!AJ2</f>
        <v>237333210</v>
      </c>
      <c r="AV54" s="130">
        <f>新規取得!AK2</f>
        <v>238912157</v>
      </c>
      <c r="AW54" s="130">
        <f>新規取得!AL2</f>
        <v>240517420</v>
      </c>
      <c r="AX54" s="130">
        <f>新規取得!AM2</f>
        <v>242122683</v>
      </c>
      <c r="AY54" s="130">
        <f>新規取得!AN2</f>
        <v>243806894</v>
      </c>
      <c r="AZ54" s="130">
        <f>新規取得!AO2</f>
        <v>245912157</v>
      </c>
      <c r="BA54" s="130">
        <f>新規取得!AP2</f>
        <v>248017420</v>
      </c>
      <c r="BB54" s="130">
        <f>新規取得!AQ2</f>
        <v>250122683</v>
      </c>
      <c r="BC54" s="130">
        <f>新規取得!AR2</f>
        <v>251701630</v>
      </c>
      <c r="BD54" s="130">
        <f>新規取得!AS2</f>
        <v>253280577</v>
      </c>
      <c r="BE54" s="130">
        <f>新規取得!AT2</f>
        <v>254885840</v>
      </c>
      <c r="BF54" s="130">
        <f>新規取得!AU2</f>
        <v>256491103</v>
      </c>
      <c r="BG54" s="130">
        <f>新規取得!AV2</f>
        <v>258175314</v>
      </c>
      <c r="BH54" s="130">
        <f>新規取得!AW2</f>
        <v>260280577</v>
      </c>
      <c r="BI54" s="130">
        <f>新規取得!AX2</f>
        <v>262385840</v>
      </c>
      <c r="BJ54" s="130">
        <f>新規取得!AY2</f>
        <v>264491103</v>
      </c>
      <c r="BK54" s="130">
        <f>新規取得!AZ2</f>
        <v>266070050</v>
      </c>
      <c r="BL54" s="130">
        <f>新規取得!BA2</f>
        <v>267648997</v>
      </c>
      <c r="BM54" s="130">
        <f>新規取得!BB2</f>
        <v>262763165</v>
      </c>
      <c r="BN54" s="130">
        <f>新規取得!BC2</f>
        <v>237263151</v>
      </c>
      <c r="BO54" s="130">
        <f>新規取得!BD2</f>
        <v>225789471</v>
      </c>
      <c r="BP54" s="130">
        <f>新規取得!BE2</f>
        <v>218421050</v>
      </c>
      <c r="BQ54" s="130">
        <f>新規取得!BF2</f>
        <v>208157882</v>
      </c>
    </row>
    <row r="55" spans="2:69">
      <c r="B55" s="4"/>
      <c r="C55" s="4"/>
      <c r="D55" s="5" t="s">
        <v>102</v>
      </c>
      <c r="E55" s="8"/>
      <c r="F55" s="1"/>
      <c r="G55" s="10"/>
      <c r="H55" s="10"/>
      <c r="I55" s="10"/>
      <c r="J55" s="10"/>
      <c r="K55" s="1"/>
      <c r="L55" s="1"/>
      <c r="M55" s="1"/>
      <c r="N55" s="39">
        <f>【PL】決算数値入力!W55</f>
        <v>0</v>
      </c>
      <c r="O55" s="39">
        <f>【PL】決算数値入力!X55</f>
        <v>0</v>
      </c>
      <c r="P55" s="39">
        <f>【PL】決算数値入力!Y55</f>
        <v>0</v>
      </c>
      <c r="Q55" s="39">
        <f>【PL】決算数値入力!Z55</f>
        <v>0</v>
      </c>
      <c r="R55" s="39">
        <f>【PL】決算数値入力!AA55</f>
        <v>0</v>
      </c>
      <c r="S55" s="39">
        <f>【PL】決算数値入力!AB55</f>
        <v>0</v>
      </c>
      <c r="T55" s="39">
        <f t="shared" ref="T55:BQ55" si="20">SUM(T56:T57)</f>
        <v>0</v>
      </c>
      <c r="U55" s="39">
        <f t="shared" si="20"/>
        <v>0</v>
      </c>
      <c r="V55" s="39">
        <f t="shared" si="20"/>
        <v>0</v>
      </c>
      <c r="W55" s="39">
        <f t="shared" si="20"/>
        <v>0</v>
      </c>
      <c r="X55" s="39">
        <f t="shared" si="20"/>
        <v>0</v>
      </c>
      <c r="Y55" s="39">
        <f t="shared" si="20"/>
        <v>0</v>
      </c>
      <c r="Z55" s="39">
        <f t="shared" si="20"/>
        <v>0</v>
      </c>
      <c r="AA55" s="39">
        <f t="shared" si="20"/>
        <v>0</v>
      </c>
      <c r="AB55" s="39">
        <f t="shared" si="20"/>
        <v>0</v>
      </c>
      <c r="AC55" s="39">
        <f t="shared" si="20"/>
        <v>0</v>
      </c>
      <c r="AD55" s="39">
        <f t="shared" si="20"/>
        <v>0</v>
      </c>
      <c r="AE55" s="39">
        <f t="shared" si="20"/>
        <v>0</v>
      </c>
      <c r="AF55" s="39">
        <f t="shared" si="20"/>
        <v>0</v>
      </c>
      <c r="AG55" s="39">
        <f t="shared" si="20"/>
        <v>0</v>
      </c>
      <c r="AH55" s="39">
        <f t="shared" si="20"/>
        <v>0</v>
      </c>
      <c r="AI55" s="39">
        <f t="shared" si="20"/>
        <v>0</v>
      </c>
      <c r="AJ55" s="39">
        <f t="shared" si="20"/>
        <v>0</v>
      </c>
      <c r="AK55" s="39">
        <f t="shared" si="20"/>
        <v>0</v>
      </c>
      <c r="AL55" s="39">
        <f t="shared" si="20"/>
        <v>0</v>
      </c>
      <c r="AM55" s="39">
        <f t="shared" si="20"/>
        <v>0</v>
      </c>
      <c r="AN55" s="39">
        <f t="shared" si="20"/>
        <v>0</v>
      </c>
      <c r="AO55" s="39">
        <f t="shared" si="20"/>
        <v>0</v>
      </c>
      <c r="AP55" s="39">
        <f t="shared" si="20"/>
        <v>0</v>
      </c>
      <c r="AQ55" s="39">
        <f t="shared" si="20"/>
        <v>0</v>
      </c>
      <c r="AR55" s="39">
        <f t="shared" si="20"/>
        <v>0</v>
      </c>
      <c r="AS55" s="39">
        <f t="shared" si="20"/>
        <v>0</v>
      </c>
      <c r="AT55" s="39">
        <f t="shared" si="20"/>
        <v>0</v>
      </c>
      <c r="AU55" s="39">
        <f t="shared" si="20"/>
        <v>0</v>
      </c>
      <c r="AV55" s="39">
        <f t="shared" si="20"/>
        <v>0</v>
      </c>
      <c r="AW55" s="39">
        <f t="shared" si="20"/>
        <v>0</v>
      </c>
      <c r="AX55" s="39">
        <f t="shared" si="20"/>
        <v>0</v>
      </c>
      <c r="AY55" s="39">
        <f t="shared" si="20"/>
        <v>0</v>
      </c>
      <c r="AZ55" s="39">
        <f t="shared" si="20"/>
        <v>0</v>
      </c>
      <c r="BA55" s="39">
        <f t="shared" si="20"/>
        <v>0</v>
      </c>
      <c r="BB55" s="39">
        <f t="shared" si="20"/>
        <v>0</v>
      </c>
      <c r="BC55" s="39">
        <f t="shared" si="20"/>
        <v>0</v>
      </c>
      <c r="BD55" s="39">
        <f t="shared" si="20"/>
        <v>0</v>
      </c>
      <c r="BE55" s="39">
        <f t="shared" si="20"/>
        <v>0</v>
      </c>
      <c r="BF55" s="39">
        <f t="shared" si="20"/>
        <v>0</v>
      </c>
      <c r="BG55" s="39">
        <f t="shared" si="20"/>
        <v>0</v>
      </c>
      <c r="BH55" s="39">
        <f t="shared" si="20"/>
        <v>0</v>
      </c>
      <c r="BI55" s="39">
        <f t="shared" si="20"/>
        <v>0</v>
      </c>
      <c r="BJ55" s="39">
        <f t="shared" si="20"/>
        <v>0</v>
      </c>
      <c r="BK55" s="39">
        <f t="shared" si="20"/>
        <v>0</v>
      </c>
      <c r="BL55" s="39">
        <f t="shared" si="20"/>
        <v>0</v>
      </c>
      <c r="BM55" s="39">
        <f t="shared" si="20"/>
        <v>0</v>
      </c>
      <c r="BN55" s="39">
        <f t="shared" si="20"/>
        <v>0</v>
      </c>
      <c r="BO55" s="39">
        <f t="shared" si="20"/>
        <v>0</v>
      </c>
      <c r="BP55" s="39">
        <f t="shared" si="20"/>
        <v>0</v>
      </c>
      <c r="BQ55" s="39">
        <f t="shared" si="20"/>
        <v>0</v>
      </c>
    </row>
    <row r="56" spans="2:69">
      <c r="B56" s="4"/>
      <c r="C56" s="4"/>
      <c r="D56" s="4"/>
      <c r="E56" s="1" t="s">
        <v>164</v>
      </c>
      <c r="F56" s="1"/>
      <c r="G56" s="10"/>
      <c r="H56" s="10" t="s">
        <v>166</v>
      </c>
      <c r="I56" s="10"/>
      <c r="J56" s="10"/>
      <c r="K56" s="1" t="s">
        <v>172</v>
      </c>
      <c r="L56" s="1"/>
      <c r="M56" s="1"/>
      <c r="N56" s="39">
        <f>【PL】決算数値入力!W56</f>
        <v>0</v>
      </c>
      <c r="O56" s="39">
        <f>【PL】決算数値入力!X56</f>
        <v>0</v>
      </c>
      <c r="P56" s="39">
        <f>【PL】決算数値入力!Y56</f>
        <v>0</v>
      </c>
      <c r="Q56" s="39">
        <f>【PL】決算数値入力!Z56</f>
        <v>0</v>
      </c>
      <c r="R56" s="39">
        <f>【PL】決算数値入力!AA56</f>
        <v>0</v>
      </c>
      <c r="S56" s="39">
        <f>【PL】決算数値入力!AB56</f>
        <v>0</v>
      </c>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row>
    <row r="57" spans="2:69">
      <c r="B57" s="4"/>
      <c r="C57" s="3"/>
      <c r="D57" s="3"/>
      <c r="E57" s="1" t="s">
        <v>165</v>
      </c>
      <c r="F57" s="1"/>
      <c r="G57" s="10"/>
      <c r="H57" s="10" t="s">
        <v>166</v>
      </c>
      <c r="I57" s="10"/>
      <c r="J57" s="10"/>
      <c r="K57" s="1" t="s">
        <v>163</v>
      </c>
      <c r="L57" s="1"/>
      <c r="M57" s="1"/>
      <c r="N57" s="39">
        <f>【PL】決算数値入力!W57</f>
        <v>0</v>
      </c>
      <c r="O57" s="39">
        <f>【PL】決算数値入力!X57</f>
        <v>0</v>
      </c>
      <c r="P57" s="39">
        <f>【PL】決算数値入力!Y57</f>
        <v>0</v>
      </c>
      <c r="Q57" s="39">
        <f>【PL】決算数値入力!Z57</f>
        <v>0</v>
      </c>
      <c r="R57" s="39">
        <f>【PL】決算数値入力!AA57</f>
        <v>0</v>
      </c>
      <c r="S57" s="39">
        <f>【PL】決算数値入力!AB57</f>
        <v>0</v>
      </c>
      <c r="T57" s="40">
        <v>0</v>
      </c>
      <c r="U57" s="40">
        <v>0</v>
      </c>
      <c r="V57" s="40">
        <v>0</v>
      </c>
      <c r="W57" s="40">
        <v>0</v>
      </c>
      <c r="X57" s="40">
        <v>0</v>
      </c>
      <c r="Y57" s="40">
        <v>0</v>
      </c>
      <c r="Z57" s="40">
        <v>0</v>
      </c>
      <c r="AA57" s="40">
        <v>0</v>
      </c>
      <c r="AB57" s="40">
        <v>0</v>
      </c>
      <c r="AC57" s="40">
        <v>0</v>
      </c>
      <c r="AD57" s="40">
        <v>0</v>
      </c>
      <c r="AE57" s="40">
        <v>0</v>
      </c>
      <c r="AF57" s="40">
        <v>0</v>
      </c>
      <c r="AG57" s="40">
        <v>0</v>
      </c>
      <c r="AH57" s="40">
        <v>0</v>
      </c>
      <c r="AI57" s="40">
        <v>0</v>
      </c>
      <c r="AJ57" s="40">
        <v>0</v>
      </c>
      <c r="AK57" s="40">
        <v>0</v>
      </c>
      <c r="AL57" s="40">
        <v>0</v>
      </c>
      <c r="AM57" s="40">
        <v>0</v>
      </c>
      <c r="AN57" s="40">
        <v>0</v>
      </c>
      <c r="AO57" s="40">
        <v>0</v>
      </c>
      <c r="AP57" s="40">
        <v>0</v>
      </c>
      <c r="AQ57" s="40">
        <v>0</v>
      </c>
      <c r="AR57" s="40">
        <v>0</v>
      </c>
      <c r="AS57" s="40">
        <v>0</v>
      </c>
      <c r="AT57" s="40">
        <v>0</v>
      </c>
      <c r="AU57" s="40">
        <v>0</v>
      </c>
      <c r="AV57" s="40">
        <v>0</v>
      </c>
      <c r="AW57" s="40">
        <v>0</v>
      </c>
      <c r="AX57" s="40">
        <v>0</v>
      </c>
      <c r="AY57" s="40">
        <v>0</v>
      </c>
      <c r="AZ57" s="40">
        <v>0</v>
      </c>
      <c r="BA57" s="40">
        <v>0</v>
      </c>
      <c r="BB57" s="40">
        <v>0</v>
      </c>
      <c r="BC57" s="40">
        <v>0</v>
      </c>
      <c r="BD57" s="40">
        <v>0</v>
      </c>
      <c r="BE57" s="40">
        <v>0</v>
      </c>
      <c r="BF57" s="40">
        <v>0</v>
      </c>
      <c r="BG57" s="40">
        <v>0</v>
      </c>
      <c r="BH57" s="40">
        <v>0</v>
      </c>
      <c r="BI57" s="40">
        <v>0</v>
      </c>
      <c r="BJ57" s="40">
        <v>0</v>
      </c>
      <c r="BK57" s="40">
        <v>0</v>
      </c>
      <c r="BL57" s="40">
        <v>0</v>
      </c>
      <c r="BM57" s="40">
        <v>0</v>
      </c>
      <c r="BN57" s="40">
        <v>0</v>
      </c>
      <c r="BO57" s="40">
        <v>0</v>
      </c>
      <c r="BP57" s="40">
        <v>0</v>
      </c>
      <c r="BQ57" s="40">
        <v>0</v>
      </c>
    </row>
    <row r="58" spans="2:69">
      <c r="B58" s="4"/>
      <c r="C58" s="5" t="s">
        <v>103</v>
      </c>
      <c r="D58" s="7"/>
      <c r="E58" s="8"/>
      <c r="F58" s="1"/>
      <c r="G58" s="10"/>
      <c r="H58" s="10"/>
      <c r="I58" s="10"/>
      <c r="J58" s="10"/>
      <c r="K58" s="1"/>
      <c r="L58" s="1"/>
      <c r="M58" s="1"/>
      <c r="N58" s="39">
        <f>【PL】決算数値入力!W58</f>
        <v>39544692</v>
      </c>
      <c r="O58" s="39">
        <f>【PL】決算数値入力!X58</f>
        <v>13857270</v>
      </c>
      <c r="P58" s="39">
        <f>【PL】決算数値入力!Y58</f>
        <v>6414667</v>
      </c>
      <c r="Q58" s="39">
        <f>【PL】決算数値入力!Z58</f>
        <v>6771721</v>
      </c>
      <c r="R58" s="39">
        <f>【PL】決算数値入力!AA58</f>
        <v>16067781</v>
      </c>
      <c r="S58" s="39">
        <f>【PL】決算数値入力!AB58</f>
        <v>18069225.200000003</v>
      </c>
      <c r="T58" s="39">
        <f t="shared" ref="T58:BQ58" si="21">SUM(T59,T62)</f>
        <v>15565474.4</v>
      </c>
      <c r="U58" s="39">
        <f t="shared" si="21"/>
        <v>18621909.399999999</v>
      </c>
      <c r="V58" s="39">
        <f t="shared" si="21"/>
        <v>20989771.399999999</v>
      </c>
      <c r="W58" s="39">
        <f t="shared" si="21"/>
        <v>28553489.399999999</v>
      </c>
      <c r="X58" s="39">
        <f t="shared" si="21"/>
        <v>35248591.399999999</v>
      </c>
      <c r="Y58" s="39">
        <f t="shared" si="21"/>
        <v>42276102.399999999</v>
      </c>
      <c r="Z58" s="39">
        <f t="shared" si="21"/>
        <v>46448396.399999999</v>
      </c>
      <c r="AA58" s="39">
        <f t="shared" si="21"/>
        <v>50624993.399999999</v>
      </c>
      <c r="AB58" s="39">
        <f t="shared" si="21"/>
        <v>55783117.399999999</v>
      </c>
      <c r="AC58" s="39">
        <f t="shared" si="21"/>
        <v>62098828.399999999</v>
      </c>
      <c r="AD58" s="39">
        <f t="shared" si="21"/>
        <v>66597784.399999999</v>
      </c>
      <c r="AE58" s="39">
        <f t="shared" si="21"/>
        <v>69325982.400000006</v>
      </c>
      <c r="AF58" s="39">
        <f t="shared" si="21"/>
        <v>71390912.400000006</v>
      </c>
      <c r="AG58" s="39">
        <f t="shared" si="21"/>
        <v>73376557.400000006</v>
      </c>
      <c r="AH58" s="39">
        <f t="shared" si="21"/>
        <v>83261253.400000006</v>
      </c>
      <c r="AI58" s="39">
        <f t="shared" si="21"/>
        <v>92934026.400000006</v>
      </c>
      <c r="AJ58" s="39">
        <f t="shared" si="21"/>
        <v>102390419.40000001</v>
      </c>
      <c r="AK58" s="39">
        <f t="shared" si="21"/>
        <v>111625899.40000001</v>
      </c>
      <c r="AL58" s="39">
        <f t="shared" si="21"/>
        <v>121265820.40000001</v>
      </c>
      <c r="AM58" s="39">
        <f t="shared" si="21"/>
        <v>131148239.40000001</v>
      </c>
      <c r="AN58" s="39">
        <f t="shared" si="21"/>
        <v>140777280.40000001</v>
      </c>
      <c r="AO58" s="39">
        <f t="shared" si="21"/>
        <v>150147625.40000001</v>
      </c>
      <c r="AP58" s="39">
        <f t="shared" si="21"/>
        <v>147913842.40000001</v>
      </c>
      <c r="AQ58" s="39">
        <f t="shared" si="21"/>
        <v>145594094.40000001</v>
      </c>
      <c r="AR58" s="39">
        <f t="shared" si="21"/>
        <v>143186570.40000001</v>
      </c>
      <c r="AS58" s="39">
        <f t="shared" si="21"/>
        <v>140689424.40000001</v>
      </c>
      <c r="AT58" s="39">
        <f t="shared" si="21"/>
        <v>138100776.40000001</v>
      </c>
      <c r="AU58" s="39">
        <f t="shared" si="21"/>
        <v>135418711.40000001</v>
      </c>
      <c r="AV58" s="39">
        <f t="shared" si="21"/>
        <v>132641262.40000001</v>
      </c>
      <c r="AW58" s="39">
        <f t="shared" si="21"/>
        <v>129766428.40000001</v>
      </c>
      <c r="AX58" s="39">
        <f t="shared" si="21"/>
        <v>126792160.40000001</v>
      </c>
      <c r="AY58" s="39">
        <f t="shared" si="21"/>
        <v>123716373.40000001</v>
      </c>
      <c r="AZ58" s="39">
        <f t="shared" si="21"/>
        <v>120536935.40000001</v>
      </c>
      <c r="BA58" s="39">
        <f t="shared" si="21"/>
        <v>117251670.40000001</v>
      </c>
      <c r="BB58" s="39">
        <f t="shared" si="21"/>
        <v>113858354.40000001</v>
      </c>
      <c r="BC58" s="39">
        <f t="shared" si="21"/>
        <v>110354717.40000001</v>
      </c>
      <c r="BD58" s="39">
        <f t="shared" si="21"/>
        <v>106738445.40000001</v>
      </c>
      <c r="BE58" s="39">
        <f t="shared" si="21"/>
        <v>103007172.40000001</v>
      </c>
      <c r="BF58" s="39">
        <f t="shared" si="21"/>
        <v>99158482.400000006</v>
      </c>
      <c r="BG58" s="39">
        <f t="shared" si="21"/>
        <v>95189910.400000006</v>
      </c>
      <c r="BH58" s="39">
        <f t="shared" si="21"/>
        <v>91098939.400000006</v>
      </c>
      <c r="BI58" s="39">
        <f t="shared" si="21"/>
        <v>86882997.400000006</v>
      </c>
      <c r="BJ58" s="39">
        <f t="shared" si="21"/>
        <v>82727258.400000006</v>
      </c>
      <c r="BK58" s="39">
        <f t="shared" si="21"/>
        <v>78604085.400000006</v>
      </c>
      <c r="BL58" s="39">
        <f t="shared" si="21"/>
        <v>73655767.400000006</v>
      </c>
      <c r="BM58" s="39">
        <f t="shared" si="21"/>
        <v>68917576.400000006</v>
      </c>
      <c r="BN58" s="39">
        <f t="shared" si="21"/>
        <v>64382206.399999999</v>
      </c>
      <c r="BO58" s="39">
        <f t="shared" si="21"/>
        <v>59936734.399999999</v>
      </c>
      <c r="BP58" s="39">
        <f t="shared" si="21"/>
        <v>55583053.399999999</v>
      </c>
      <c r="BQ58" s="39">
        <f t="shared" si="21"/>
        <v>51362149.399999999</v>
      </c>
    </row>
    <row r="59" spans="2:69">
      <c r="B59" s="4"/>
      <c r="C59" s="4"/>
      <c r="D59" s="5" t="s">
        <v>104</v>
      </c>
      <c r="E59" s="8"/>
      <c r="F59" s="1"/>
      <c r="G59" s="10"/>
      <c r="H59" s="10"/>
      <c r="I59" s="10"/>
      <c r="J59" s="10"/>
      <c r="K59" s="1"/>
      <c r="L59" s="1"/>
      <c r="M59" s="1"/>
      <c r="N59" s="39">
        <f>【PL】決算数値入力!W59</f>
        <v>3322502</v>
      </c>
      <c r="O59" s="39">
        <f>【PL】決算数値入力!X59</f>
        <v>3316293</v>
      </c>
      <c r="P59" s="39">
        <f>【PL】決算数値入力!Y59</f>
        <v>3627476</v>
      </c>
      <c r="Q59" s="39">
        <f>【PL】決算数値入力!Z59</f>
        <v>4367904</v>
      </c>
      <c r="R59" s="39">
        <f>【PL】決算数値入力!AA59</f>
        <v>4944124</v>
      </c>
      <c r="S59" s="39">
        <f>【PL】決算数値入力!AB59</f>
        <v>10729945.800000001</v>
      </c>
      <c r="T59" s="39">
        <f t="shared" ref="T59:BQ59" si="22">SUM(T60:T61)</f>
        <v>8226195</v>
      </c>
      <c r="U59" s="39">
        <f t="shared" si="22"/>
        <v>11282630</v>
      </c>
      <c r="V59" s="39">
        <f t="shared" si="22"/>
        <v>13650492</v>
      </c>
      <c r="W59" s="39">
        <f t="shared" si="22"/>
        <v>21214210</v>
      </c>
      <c r="X59" s="39">
        <f t="shared" si="22"/>
        <v>27909312</v>
      </c>
      <c r="Y59" s="39">
        <f t="shared" si="22"/>
        <v>34936823</v>
      </c>
      <c r="Z59" s="39">
        <f t="shared" si="22"/>
        <v>39109117</v>
      </c>
      <c r="AA59" s="39">
        <f t="shared" si="22"/>
        <v>43285714</v>
      </c>
      <c r="AB59" s="39">
        <f t="shared" si="22"/>
        <v>48443838</v>
      </c>
      <c r="AC59" s="39">
        <f t="shared" si="22"/>
        <v>54759549</v>
      </c>
      <c r="AD59" s="39">
        <f t="shared" si="22"/>
        <v>59258505</v>
      </c>
      <c r="AE59" s="39">
        <f t="shared" si="22"/>
        <v>61986703</v>
      </c>
      <c r="AF59" s="39">
        <f t="shared" si="22"/>
        <v>64051633</v>
      </c>
      <c r="AG59" s="39">
        <f t="shared" si="22"/>
        <v>66037278</v>
      </c>
      <c r="AH59" s="39">
        <f t="shared" si="22"/>
        <v>75921974</v>
      </c>
      <c r="AI59" s="39">
        <f t="shared" si="22"/>
        <v>85594747</v>
      </c>
      <c r="AJ59" s="39">
        <f t="shared" si="22"/>
        <v>95051140</v>
      </c>
      <c r="AK59" s="39">
        <f t="shared" si="22"/>
        <v>104286620</v>
      </c>
      <c r="AL59" s="39">
        <f t="shared" si="22"/>
        <v>113926541</v>
      </c>
      <c r="AM59" s="39">
        <f t="shared" si="22"/>
        <v>123808960</v>
      </c>
      <c r="AN59" s="39">
        <f t="shared" si="22"/>
        <v>133438001</v>
      </c>
      <c r="AO59" s="39">
        <f t="shared" si="22"/>
        <v>142808346</v>
      </c>
      <c r="AP59" s="39">
        <f t="shared" si="22"/>
        <v>140574563</v>
      </c>
      <c r="AQ59" s="39">
        <f t="shared" si="22"/>
        <v>138254815</v>
      </c>
      <c r="AR59" s="39">
        <f t="shared" si="22"/>
        <v>135847291</v>
      </c>
      <c r="AS59" s="39">
        <f t="shared" si="22"/>
        <v>133350145</v>
      </c>
      <c r="AT59" s="39">
        <f t="shared" si="22"/>
        <v>130761497</v>
      </c>
      <c r="AU59" s="39">
        <f t="shared" si="22"/>
        <v>128079432</v>
      </c>
      <c r="AV59" s="39">
        <f t="shared" si="22"/>
        <v>125301983</v>
      </c>
      <c r="AW59" s="39">
        <f t="shared" si="22"/>
        <v>122427149</v>
      </c>
      <c r="AX59" s="39">
        <f t="shared" si="22"/>
        <v>119452881</v>
      </c>
      <c r="AY59" s="39">
        <f t="shared" si="22"/>
        <v>116377094</v>
      </c>
      <c r="AZ59" s="39">
        <f t="shared" si="22"/>
        <v>113197656</v>
      </c>
      <c r="BA59" s="39">
        <f t="shared" si="22"/>
        <v>109912391</v>
      </c>
      <c r="BB59" s="39">
        <f t="shared" si="22"/>
        <v>106519075</v>
      </c>
      <c r="BC59" s="39">
        <f t="shared" si="22"/>
        <v>103015438</v>
      </c>
      <c r="BD59" s="39">
        <f t="shared" si="22"/>
        <v>99399166</v>
      </c>
      <c r="BE59" s="39">
        <f t="shared" si="22"/>
        <v>95667893</v>
      </c>
      <c r="BF59" s="39">
        <f t="shared" si="22"/>
        <v>91819203</v>
      </c>
      <c r="BG59" s="39">
        <f t="shared" si="22"/>
        <v>87850631</v>
      </c>
      <c r="BH59" s="39">
        <f t="shared" si="22"/>
        <v>83759660</v>
      </c>
      <c r="BI59" s="39">
        <f t="shared" si="22"/>
        <v>79543718</v>
      </c>
      <c r="BJ59" s="39">
        <f t="shared" si="22"/>
        <v>75387979</v>
      </c>
      <c r="BK59" s="39">
        <f t="shared" si="22"/>
        <v>71264806</v>
      </c>
      <c r="BL59" s="39">
        <f t="shared" si="22"/>
        <v>66316488</v>
      </c>
      <c r="BM59" s="39">
        <f t="shared" si="22"/>
        <v>61578297</v>
      </c>
      <c r="BN59" s="39">
        <f t="shared" si="22"/>
        <v>57042927</v>
      </c>
      <c r="BO59" s="39">
        <f t="shared" si="22"/>
        <v>52597455</v>
      </c>
      <c r="BP59" s="39">
        <f t="shared" si="22"/>
        <v>48243774</v>
      </c>
      <c r="BQ59" s="39">
        <f t="shared" si="22"/>
        <v>44022870</v>
      </c>
    </row>
    <row r="60" spans="2:69" s="135" customFormat="1">
      <c r="B60" s="172"/>
      <c r="C60" s="172"/>
      <c r="D60" s="172"/>
      <c r="E60" s="156" t="s">
        <v>105</v>
      </c>
      <c r="F60" s="156"/>
      <c r="G60" s="176"/>
      <c r="H60" s="176" t="s">
        <v>166</v>
      </c>
      <c r="I60" s="176"/>
      <c r="J60" s="176"/>
      <c r="K60" s="156" t="s">
        <v>173</v>
      </c>
      <c r="L60" s="156"/>
      <c r="M60" s="156"/>
      <c r="N60" s="130">
        <f>【PL】決算数値入力!W60</f>
        <v>3322502</v>
      </c>
      <c r="O60" s="130">
        <f>【PL】決算数値入力!X60</f>
        <v>3316293</v>
      </c>
      <c r="P60" s="130">
        <f>【PL】決算数値入力!Y60</f>
        <v>3627476</v>
      </c>
      <c r="Q60" s="130">
        <f>【PL】決算数値入力!Z60</f>
        <v>4367904</v>
      </c>
      <c r="R60" s="130">
        <f>【PL】決算数値入力!AA60</f>
        <v>4944124</v>
      </c>
      <c r="S60" s="130">
        <f>【PL】決算数値入力!AB60</f>
        <v>3390666.4</v>
      </c>
      <c r="T60" s="130">
        <v>8226195</v>
      </c>
      <c r="U60" s="130">
        <v>6234230</v>
      </c>
      <c r="V60" s="130">
        <v>4412475</v>
      </c>
      <c r="W60" s="130">
        <v>2706820</v>
      </c>
      <c r="X60" s="130">
        <v>1268462</v>
      </c>
      <c r="Y60" s="130">
        <v>620752</v>
      </c>
      <c r="Z60" s="130">
        <v>408969</v>
      </c>
      <c r="AA60" s="130">
        <v>294568</v>
      </c>
      <c r="AB60" s="130">
        <v>206726</v>
      </c>
      <c r="AC60" s="130">
        <v>130510</v>
      </c>
      <c r="AD60" s="130">
        <v>54383</v>
      </c>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row>
    <row r="61" spans="2:69" s="135" customFormat="1">
      <c r="B61" s="172"/>
      <c r="C61" s="172"/>
      <c r="D61" s="173"/>
      <c r="E61" s="156" t="s">
        <v>131</v>
      </c>
      <c r="F61" s="156"/>
      <c r="G61" s="176"/>
      <c r="H61" s="176" t="s">
        <v>166</v>
      </c>
      <c r="I61" s="176"/>
      <c r="J61" s="176"/>
      <c r="K61" s="156" t="s">
        <v>581</v>
      </c>
      <c r="L61" s="156"/>
      <c r="M61" s="156"/>
      <c r="N61" s="130">
        <f>【PL】決算数値入力!W61</f>
        <v>0</v>
      </c>
      <c r="O61" s="130">
        <f>【PL】決算数値入力!X61</f>
        <v>0</v>
      </c>
      <c r="P61" s="130">
        <f>【PL】決算数値入力!Y61</f>
        <v>0</v>
      </c>
      <c r="Q61" s="130">
        <f>【PL】決算数値入力!Z61</f>
        <v>0</v>
      </c>
      <c r="R61" s="130">
        <f>【PL】決算数値入力!AA61</f>
        <v>0</v>
      </c>
      <c r="S61" s="130">
        <f>【PL】決算数値入力!AB61</f>
        <v>0</v>
      </c>
      <c r="T61" s="130">
        <f>新規債返済スケジュール!E3</f>
        <v>0</v>
      </c>
      <c r="U61" s="130">
        <f>新規債返済スケジュール!F3</f>
        <v>5048400</v>
      </c>
      <c r="V61" s="130">
        <f>新規債返済スケジュール!G3</f>
        <v>9238017</v>
      </c>
      <c r="W61" s="130">
        <f>新規債返済スケジュール!H3</f>
        <v>18507390</v>
      </c>
      <c r="X61" s="130">
        <f>新規債返済スケジュール!I3</f>
        <v>26640850</v>
      </c>
      <c r="Y61" s="130">
        <f>新規債返済スケジュール!J3</f>
        <v>34316071</v>
      </c>
      <c r="Z61" s="130">
        <f>新規債返済スケジュール!K3</f>
        <v>38700148</v>
      </c>
      <c r="AA61" s="130">
        <f>新規債返済スケジュール!L3</f>
        <v>42991146</v>
      </c>
      <c r="AB61" s="130">
        <f>新規債返済スケジュール!M3</f>
        <v>48237112</v>
      </c>
      <c r="AC61" s="130">
        <f>新規債返済スケジュール!N3</f>
        <v>54629039</v>
      </c>
      <c r="AD61" s="130">
        <f>新規債返済スケジュール!O3</f>
        <v>59204122</v>
      </c>
      <c r="AE61" s="130">
        <f>新規債返済スケジュール!P3</f>
        <v>61986703</v>
      </c>
      <c r="AF61" s="130">
        <f>新規債返済スケジュール!Q3</f>
        <v>64051633</v>
      </c>
      <c r="AG61" s="130">
        <f>新規債返済スケジュール!R3</f>
        <v>66037278</v>
      </c>
      <c r="AH61" s="130">
        <f>新規債返済スケジュール!S3</f>
        <v>75921974</v>
      </c>
      <c r="AI61" s="130">
        <f>新規債返済スケジュール!T3</f>
        <v>85594747</v>
      </c>
      <c r="AJ61" s="130">
        <f>新規債返済スケジュール!U3</f>
        <v>95051140</v>
      </c>
      <c r="AK61" s="130">
        <f>新規債返済スケジュール!V3</f>
        <v>104286620</v>
      </c>
      <c r="AL61" s="130">
        <f>新規債返済スケジュール!W3</f>
        <v>113926541</v>
      </c>
      <c r="AM61" s="130">
        <f>新規債返済スケジュール!X3</f>
        <v>123808960</v>
      </c>
      <c r="AN61" s="130">
        <f>新規債返済スケジュール!Y3</f>
        <v>133438001</v>
      </c>
      <c r="AO61" s="130">
        <f>新規債返済スケジュール!Z3</f>
        <v>142808346</v>
      </c>
      <c r="AP61" s="130">
        <f>新規債返済スケジュール!AA3</f>
        <v>140574563</v>
      </c>
      <c r="AQ61" s="130">
        <f>新規債返済スケジュール!AB3</f>
        <v>138254815</v>
      </c>
      <c r="AR61" s="130">
        <f>新規債返済スケジュール!AC3</f>
        <v>135847291</v>
      </c>
      <c r="AS61" s="130">
        <f>新規債返済スケジュール!AD3</f>
        <v>133350145</v>
      </c>
      <c r="AT61" s="130">
        <f>新規債返済スケジュール!AE3</f>
        <v>130761497</v>
      </c>
      <c r="AU61" s="130">
        <f>新規債返済スケジュール!AF3</f>
        <v>128079432</v>
      </c>
      <c r="AV61" s="130">
        <f>新規債返済スケジュール!AG3</f>
        <v>125301983</v>
      </c>
      <c r="AW61" s="130">
        <f>新規債返済スケジュール!AH3</f>
        <v>122427149</v>
      </c>
      <c r="AX61" s="130">
        <f>新規債返済スケジュール!AI3</f>
        <v>119452881</v>
      </c>
      <c r="AY61" s="130">
        <f>新規債返済スケジュール!AJ3</f>
        <v>116377094</v>
      </c>
      <c r="AZ61" s="130">
        <f>新規債返済スケジュール!AK3</f>
        <v>113197656</v>
      </c>
      <c r="BA61" s="130">
        <f>新規債返済スケジュール!AL3</f>
        <v>109912391</v>
      </c>
      <c r="BB61" s="130">
        <f>新規債返済スケジュール!AM3</f>
        <v>106519075</v>
      </c>
      <c r="BC61" s="130">
        <f>新規債返済スケジュール!AN3</f>
        <v>103015438</v>
      </c>
      <c r="BD61" s="130">
        <f>新規債返済スケジュール!AO3</f>
        <v>99399166</v>
      </c>
      <c r="BE61" s="130">
        <f>新規債返済スケジュール!AP3</f>
        <v>95667893</v>
      </c>
      <c r="BF61" s="130">
        <f>新規債返済スケジュール!AQ3</f>
        <v>91819203</v>
      </c>
      <c r="BG61" s="130">
        <f>新規債返済スケジュール!AR3</f>
        <v>87850631</v>
      </c>
      <c r="BH61" s="130">
        <f>新規債返済スケジュール!AS3</f>
        <v>83759660</v>
      </c>
      <c r="BI61" s="130">
        <f>新規債返済スケジュール!AT3</f>
        <v>79543718</v>
      </c>
      <c r="BJ61" s="130">
        <f>新規債返済スケジュール!AU3</f>
        <v>75387979</v>
      </c>
      <c r="BK61" s="130">
        <f>新規債返済スケジュール!AV3</f>
        <v>71264806</v>
      </c>
      <c r="BL61" s="130">
        <f>新規債返済スケジュール!AW3</f>
        <v>66316488</v>
      </c>
      <c r="BM61" s="130">
        <f>新規債返済スケジュール!AX3</f>
        <v>61578297</v>
      </c>
      <c r="BN61" s="130">
        <f>新規債返済スケジュール!AY3</f>
        <v>57042927</v>
      </c>
      <c r="BO61" s="130">
        <f>新規債返済スケジュール!AZ3</f>
        <v>52597455</v>
      </c>
      <c r="BP61" s="130">
        <f>新規債返済スケジュール!BA3</f>
        <v>48243774</v>
      </c>
      <c r="BQ61" s="130">
        <f>新規債返済スケジュール!BB3</f>
        <v>44022870</v>
      </c>
    </row>
    <row r="62" spans="2:69">
      <c r="B62" s="4"/>
      <c r="C62" s="3"/>
      <c r="D62" s="9" t="s">
        <v>106</v>
      </c>
      <c r="E62" s="8"/>
      <c r="F62" s="1"/>
      <c r="G62" s="10"/>
      <c r="H62" s="10" t="s">
        <v>166</v>
      </c>
      <c r="I62" s="10"/>
      <c r="J62" s="10"/>
      <c r="K62" s="1" t="s">
        <v>560</v>
      </c>
      <c r="L62" s="1"/>
      <c r="M62" s="1"/>
      <c r="N62" s="39">
        <f>【PL】決算数値入力!W62</f>
        <v>36222190</v>
      </c>
      <c r="O62" s="39">
        <f>【PL】決算数値入力!X62</f>
        <v>10540977</v>
      </c>
      <c r="P62" s="39">
        <f>【PL】決算数値入力!Y62</f>
        <v>2787191</v>
      </c>
      <c r="Q62" s="39">
        <f>【PL】決算数値入力!Z62</f>
        <v>2403817</v>
      </c>
      <c r="R62" s="39">
        <f>【PL】決算数値入力!AA62</f>
        <v>11123657</v>
      </c>
      <c r="S62" s="39">
        <f>【PL】決算数値入力!AB62</f>
        <v>7339279.4000000004</v>
      </c>
      <c r="T62" s="39">
        <f>S62</f>
        <v>7339279.4000000004</v>
      </c>
      <c r="U62" s="39">
        <f t="shared" ref="U62:BQ62" si="23">T62</f>
        <v>7339279.4000000004</v>
      </c>
      <c r="V62" s="39">
        <f t="shared" si="23"/>
        <v>7339279.4000000004</v>
      </c>
      <c r="W62" s="39">
        <f t="shared" si="23"/>
        <v>7339279.4000000004</v>
      </c>
      <c r="X62" s="39">
        <f t="shared" si="23"/>
        <v>7339279.4000000004</v>
      </c>
      <c r="Y62" s="39">
        <f t="shared" si="23"/>
        <v>7339279.4000000004</v>
      </c>
      <c r="Z62" s="39">
        <f t="shared" si="23"/>
        <v>7339279.4000000004</v>
      </c>
      <c r="AA62" s="39">
        <f t="shared" si="23"/>
        <v>7339279.4000000004</v>
      </c>
      <c r="AB62" s="39">
        <f t="shared" si="23"/>
        <v>7339279.4000000004</v>
      </c>
      <c r="AC62" s="39">
        <f t="shared" si="23"/>
        <v>7339279.4000000004</v>
      </c>
      <c r="AD62" s="39">
        <f t="shared" si="23"/>
        <v>7339279.4000000004</v>
      </c>
      <c r="AE62" s="39">
        <f t="shared" si="23"/>
        <v>7339279.4000000004</v>
      </c>
      <c r="AF62" s="39">
        <f t="shared" si="23"/>
        <v>7339279.4000000004</v>
      </c>
      <c r="AG62" s="39">
        <f t="shared" si="23"/>
        <v>7339279.4000000004</v>
      </c>
      <c r="AH62" s="39">
        <f t="shared" si="23"/>
        <v>7339279.4000000004</v>
      </c>
      <c r="AI62" s="39">
        <f t="shared" si="23"/>
        <v>7339279.4000000004</v>
      </c>
      <c r="AJ62" s="39">
        <f t="shared" si="23"/>
        <v>7339279.4000000004</v>
      </c>
      <c r="AK62" s="39">
        <f t="shared" si="23"/>
        <v>7339279.4000000004</v>
      </c>
      <c r="AL62" s="39">
        <f t="shared" si="23"/>
        <v>7339279.4000000004</v>
      </c>
      <c r="AM62" s="39">
        <f t="shared" si="23"/>
        <v>7339279.4000000004</v>
      </c>
      <c r="AN62" s="39">
        <f t="shared" si="23"/>
        <v>7339279.4000000004</v>
      </c>
      <c r="AO62" s="39">
        <f t="shared" si="23"/>
        <v>7339279.4000000004</v>
      </c>
      <c r="AP62" s="39">
        <f t="shared" si="23"/>
        <v>7339279.4000000004</v>
      </c>
      <c r="AQ62" s="39">
        <f t="shared" si="23"/>
        <v>7339279.4000000004</v>
      </c>
      <c r="AR62" s="39">
        <f t="shared" si="23"/>
        <v>7339279.4000000004</v>
      </c>
      <c r="AS62" s="39">
        <f t="shared" si="23"/>
        <v>7339279.4000000004</v>
      </c>
      <c r="AT62" s="39">
        <f t="shared" si="23"/>
        <v>7339279.4000000004</v>
      </c>
      <c r="AU62" s="39">
        <f t="shared" si="23"/>
        <v>7339279.4000000004</v>
      </c>
      <c r="AV62" s="39">
        <f t="shared" si="23"/>
        <v>7339279.4000000004</v>
      </c>
      <c r="AW62" s="39">
        <f t="shared" si="23"/>
        <v>7339279.4000000004</v>
      </c>
      <c r="AX62" s="39">
        <f t="shared" si="23"/>
        <v>7339279.4000000004</v>
      </c>
      <c r="AY62" s="39">
        <f t="shared" si="23"/>
        <v>7339279.4000000004</v>
      </c>
      <c r="AZ62" s="39">
        <f t="shared" si="23"/>
        <v>7339279.4000000004</v>
      </c>
      <c r="BA62" s="39">
        <f t="shared" si="23"/>
        <v>7339279.4000000004</v>
      </c>
      <c r="BB62" s="39">
        <f t="shared" si="23"/>
        <v>7339279.4000000004</v>
      </c>
      <c r="BC62" s="39">
        <f t="shared" si="23"/>
        <v>7339279.4000000004</v>
      </c>
      <c r="BD62" s="39">
        <f t="shared" si="23"/>
        <v>7339279.4000000004</v>
      </c>
      <c r="BE62" s="39">
        <f t="shared" si="23"/>
        <v>7339279.4000000004</v>
      </c>
      <c r="BF62" s="39">
        <f t="shared" si="23"/>
        <v>7339279.4000000004</v>
      </c>
      <c r="BG62" s="39">
        <f t="shared" si="23"/>
        <v>7339279.4000000004</v>
      </c>
      <c r="BH62" s="39">
        <f t="shared" si="23"/>
        <v>7339279.4000000004</v>
      </c>
      <c r="BI62" s="39">
        <f t="shared" si="23"/>
        <v>7339279.4000000004</v>
      </c>
      <c r="BJ62" s="39">
        <f t="shared" si="23"/>
        <v>7339279.4000000004</v>
      </c>
      <c r="BK62" s="39">
        <f t="shared" si="23"/>
        <v>7339279.4000000004</v>
      </c>
      <c r="BL62" s="39">
        <f t="shared" si="23"/>
        <v>7339279.4000000004</v>
      </c>
      <c r="BM62" s="39">
        <f t="shared" si="23"/>
        <v>7339279.4000000004</v>
      </c>
      <c r="BN62" s="39">
        <f t="shared" si="23"/>
        <v>7339279.4000000004</v>
      </c>
      <c r="BO62" s="39">
        <f t="shared" si="23"/>
        <v>7339279.4000000004</v>
      </c>
      <c r="BP62" s="39">
        <f t="shared" si="23"/>
        <v>7339279.4000000004</v>
      </c>
      <c r="BQ62" s="39">
        <f t="shared" si="23"/>
        <v>7339279.4000000004</v>
      </c>
    </row>
    <row r="63" spans="2:69">
      <c r="B63" s="4"/>
      <c r="C63" s="5" t="s">
        <v>107</v>
      </c>
      <c r="D63" s="7"/>
      <c r="E63" s="8"/>
      <c r="F63" s="1"/>
      <c r="G63" s="10"/>
      <c r="H63" s="10"/>
      <c r="I63" s="10"/>
      <c r="J63" s="10"/>
      <c r="K63" s="1"/>
      <c r="L63" s="1"/>
      <c r="M63" s="1"/>
      <c r="N63" s="39">
        <f>【PL】決算数値入力!W63</f>
        <v>75141547</v>
      </c>
      <c r="O63" s="39">
        <f>【PL】決算数値入力!X63</f>
        <v>0</v>
      </c>
      <c r="P63" s="39">
        <f>【PL】決算数値入力!Y63</f>
        <v>0</v>
      </c>
      <c r="Q63" s="39">
        <f>【PL】決算数値入力!Z63</f>
        <v>0</v>
      </c>
      <c r="R63" s="39">
        <f>【PL】決算数値入力!AA63</f>
        <v>0</v>
      </c>
      <c r="S63" s="39">
        <f>【PL】決算数値入力!AB63</f>
        <v>31797738.800000001</v>
      </c>
      <c r="T63" s="39">
        <f t="shared" ref="T63:BQ63" si="24">SUM(T64:T67)</f>
        <v>0</v>
      </c>
      <c r="U63" s="39">
        <f t="shared" si="24"/>
        <v>0</v>
      </c>
      <c r="V63" s="39">
        <f t="shared" si="24"/>
        <v>0</v>
      </c>
      <c r="W63" s="39">
        <f t="shared" si="24"/>
        <v>0</v>
      </c>
      <c r="X63" s="39">
        <f t="shared" si="24"/>
        <v>0</v>
      </c>
      <c r="Y63" s="39">
        <f t="shared" si="24"/>
        <v>0</v>
      </c>
      <c r="Z63" s="39">
        <f t="shared" si="24"/>
        <v>0</v>
      </c>
      <c r="AA63" s="39">
        <f t="shared" si="24"/>
        <v>0</v>
      </c>
      <c r="AB63" s="39">
        <f t="shared" si="24"/>
        <v>0</v>
      </c>
      <c r="AC63" s="39">
        <f t="shared" si="24"/>
        <v>0</v>
      </c>
      <c r="AD63" s="39">
        <f t="shared" si="24"/>
        <v>0</v>
      </c>
      <c r="AE63" s="39">
        <f t="shared" si="24"/>
        <v>0</v>
      </c>
      <c r="AF63" s="39">
        <f t="shared" si="24"/>
        <v>0</v>
      </c>
      <c r="AG63" s="39">
        <f t="shared" si="24"/>
        <v>0</v>
      </c>
      <c r="AH63" s="39">
        <f t="shared" si="24"/>
        <v>0</v>
      </c>
      <c r="AI63" s="39">
        <f t="shared" si="24"/>
        <v>0</v>
      </c>
      <c r="AJ63" s="39">
        <f t="shared" si="24"/>
        <v>0</v>
      </c>
      <c r="AK63" s="39">
        <f t="shared" si="24"/>
        <v>0</v>
      </c>
      <c r="AL63" s="39">
        <f t="shared" si="24"/>
        <v>0</v>
      </c>
      <c r="AM63" s="39">
        <f t="shared" si="24"/>
        <v>0</v>
      </c>
      <c r="AN63" s="39">
        <f t="shared" si="24"/>
        <v>0</v>
      </c>
      <c r="AO63" s="39">
        <f t="shared" si="24"/>
        <v>0</v>
      </c>
      <c r="AP63" s="39">
        <f t="shared" si="24"/>
        <v>0</v>
      </c>
      <c r="AQ63" s="39">
        <f t="shared" si="24"/>
        <v>0</v>
      </c>
      <c r="AR63" s="39">
        <f t="shared" si="24"/>
        <v>0</v>
      </c>
      <c r="AS63" s="39">
        <f t="shared" si="24"/>
        <v>0</v>
      </c>
      <c r="AT63" s="39">
        <f t="shared" si="24"/>
        <v>0</v>
      </c>
      <c r="AU63" s="39">
        <f t="shared" si="24"/>
        <v>0</v>
      </c>
      <c r="AV63" s="39">
        <f t="shared" si="24"/>
        <v>0</v>
      </c>
      <c r="AW63" s="39">
        <f t="shared" si="24"/>
        <v>0</v>
      </c>
      <c r="AX63" s="39">
        <f t="shared" si="24"/>
        <v>0</v>
      </c>
      <c r="AY63" s="39">
        <f t="shared" si="24"/>
        <v>0</v>
      </c>
      <c r="AZ63" s="39">
        <f t="shared" si="24"/>
        <v>0</v>
      </c>
      <c r="BA63" s="39">
        <f t="shared" si="24"/>
        <v>0</v>
      </c>
      <c r="BB63" s="39">
        <f t="shared" si="24"/>
        <v>0</v>
      </c>
      <c r="BC63" s="39">
        <f t="shared" si="24"/>
        <v>0</v>
      </c>
      <c r="BD63" s="39">
        <f t="shared" si="24"/>
        <v>0</v>
      </c>
      <c r="BE63" s="39">
        <f t="shared" si="24"/>
        <v>0</v>
      </c>
      <c r="BF63" s="39">
        <f t="shared" si="24"/>
        <v>0</v>
      </c>
      <c r="BG63" s="39">
        <f t="shared" si="24"/>
        <v>0</v>
      </c>
      <c r="BH63" s="39">
        <f t="shared" si="24"/>
        <v>0</v>
      </c>
      <c r="BI63" s="39">
        <f t="shared" si="24"/>
        <v>0</v>
      </c>
      <c r="BJ63" s="39">
        <f t="shared" si="24"/>
        <v>0</v>
      </c>
      <c r="BK63" s="39">
        <f t="shared" si="24"/>
        <v>0</v>
      </c>
      <c r="BL63" s="39">
        <f t="shared" si="24"/>
        <v>0</v>
      </c>
      <c r="BM63" s="39">
        <f t="shared" si="24"/>
        <v>0</v>
      </c>
      <c r="BN63" s="39">
        <f t="shared" si="24"/>
        <v>0</v>
      </c>
      <c r="BO63" s="39">
        <f t="shared" si="24"/>
        <v>0</v>
      </c>
      <c r="BP63" s="39">
        <f t="shared" si="24"/>
        <v>0</v>
      </c>
      <c r="BQ63" s="39">
        <f t="shared" si="24"/>
        <v>0</v>
      </c>
    </row>
    <row r="64" spans="2:69">
      <c r="B64" s="4"/>
      <c r="C64" s="4"/>
      <c r="D64" s="1" t="s">
        <v>108</v>
      </c>
      <c r="E64" s="1"/>
      <c r="F64" s="1"/>
      <c r="G64" s="10"/>
      <c r="H64" s="10" t="s">
        <v>166</v>
      </c>
      <c r="I64" s="10"/>
      <c r="J64" s="10"/>
      <c r="K64" s="1" t="s">
        <v>163</v>
      </c>
      <c r="L64" s="1"/>
      <c r="M64" s="1"/>
      <c r="N64" s="39">
        <f>【PL】決算数値入力!W64</f>
        <v>75141547</v>
      </c>
      <c r="O64" s="39">
        <f>【PL】決算数値入力!X64</f>
        <v>0</v>
      </c>
      <c r="P64" s="39">
        <f>【PL】決算数値入力!Y64</f>
        <v>0</v>
      </c>
      <c r="Q64" s="39">
        <f>【PL】決算数値入力!Z64</f>
        <v>0</v>
      </c>
      <c r="R64" s="39">
        <f>【PL】決算数値入力!AA64</f>
        <v>0</v>
      </c>
      <c r="S64" s="39">
        <f>【PL】決算数値入力!AB64</f>
        <v>50712200.399999999</v>
      </c>
      <c r="T64" s="40">
        <v>0</v>
      </c>
      <c r="U64" s="40">
        <v>0</v>
      </c>
      <c r="V64" s="40">
        <v>0</v>
      </c>
      <c r="W64" s="40">
        <v>0</v>
      </c>
      <c r="X64" s="40">
        <v>0</v>
      </c>
      <c r="Y64" s="40">
        <v>0</v>
      </c>
      <c r="Z64" s="40">
        <v>0</v>
      </c>
      <c r="AA64" s="40">
        <v>0</v>
      </c>
      <c r="AB64" s="40">
        <v>0</v>
      </c>
      <c r="AC64" s="40">
        <v>0</v>
      </c>
      <c r="AD64" s="40">
        <v>0</v>
      </c>
      <c r="AE64" s="40">
        <v>0</v>
      </c>
      <c r="AF64" s="40">
        <v>0</v>
      </c>
      <c r="AG64" s="40">
        <v>0</v>
      </c>
      <c r="AH64" s="40">
        <v>0</v>
      </c>
      <c r="AI64" s="40">
        <v>0</v>
      </c>
      <c r="AJ64" s="40">
        <v>0</v>
      </c>
      <c r="AK64" s="40">
        <v>0</v>
      </c>
      <c r="AL64" s="40">
        <v>0</v>
      </c>
      <c r="AM64" s="40">
        <v>0</v>
      </c>
      <c r="AN64" s="40">
        <v>0</v>
      </c>
      <c r="AO64" s="40">
        <v>0</v>
      </c>
      <c r="AP64" s="40">
        <v>0</v>
      </c>
      <c r="AQ64" s="40">
        <v>0</v>
      </c>
      <c r="AR64" s="40">
        <v>0</v>
      </c>
      <c r="AS64" s="40">
        <v>0</v>
      </c>
      <c r="AT64" s="40">
        <v>0</v>
      </c>
      <c r="AU64" s="40">
        <v>0</v>
      </c>
      <c r="AV64" s="40">
        <v>0</v>
      </c>
      <c r="AW64" s="40">
        <v>0</v>
      </c>
      <c r="AX64" s="40">
        <v>0</v>
      </c>
      <c r="AY64" s="40">
        <v>0</v>
      </c>
      <c r="AZ64" s="40">
        <v>0</v>
      </c>
      <c r="BA64" s="40">
        <v>0</v>
      </c>
      <c r="BB64" s="40">
        <v>0</v>
      </c>
      <c r="BC64" s="40">
        <v>0</v>
      </c>
      <c r="BD64" s="40">
        <v>0</v>
      </c>
      <c r="BE64" s="40">
        <v>0</v>
      </c>
      <c r="BF64" s="40">
        <v>0</v>
      </c>
      <c r="BG64" s="40">
        <v>0</v>
      </c>
      <c r="BH64" s="40">
        <v>0</v>
      </c>
      <c r="BI64" s="40">
        <v>0</v>
      </c>
      <c r="BJ64" s="40">
        <v>0</v>
      </c>
      <c r="BK64" s="40">
        <v>0</v>
      </c>
      <c r="BL64" s="40">
        <v>0</v>
      </c>
      <c r="BM64" s="40">
        <v>0</v>
      </c>
      <c r="BN64" s="40">
        <v>0</v>
      </c>
      <c r="BO64" s="40">
        <v>0</v>
      </c>
      <c r="BP64" s="40">
        <v>0</v>
      </c>
      <c r="BQ64" s="40">
        <v>0</v>
      </c>
    </row>
    <row r="65" spans="2:69">
      <c r="B65" s="4"/>
      <c r="C65" s="4"/>
      <c r="D65" s="1" t="s">
        <v>109</v>
      </c>
      <c r="E65" s="1"/>
      <c r="F65" s="1"/>
      <c r="G65" s="10"/>
      <c r="H65" s="10" t="s">
        <v>166</v>
      </c>
      <c r="I65" s="10"/>
      <c r="J65" s="10"/>
      <c r="K65" s="1" t="s">
        <v>163</v>
      </c>
      <c r="L65" s="1"/>
      <c r="M65" s="1"/>
      <c r="N65" s="39">
        <f>【PL】決算数値入力!W65</f>
        <v>0</v>
      </c>
      <c r="O65" s="39">
        <f>【PL】決算数値入力!X65</f>
        <v>0</v>
      </c>
      <c r="P65" s="39">
        <f>【PL】決算数値入力!Y65</f>
        <v>0</v>
      </c>
      <c r="Q65" s="39">
        <f>【PL】決算数値入力!Z65</f>
        <v>0</v>
      </c>
      <c r="R65" s="39">
        <f>【PL】決算数値入力!AA65</f>
        <v>0</v>
      </c>
      <c r="S65" s="39">
        <f>【PL】決算数値入力!AB65</f>
        <v>1666</v>
      </c>
      <c r="T65" s="40">
        <v>0</v>
      </c>
      <c r="U65" s="40">
        <v>0</v>
      </c>
      <c r="V65" s="40">
        <v>0</v>
      </c>
      <c r="W65" s="40">
        <v>0</v>
      </c>
      <c r="X65" s="40">
        <v>0</v>
      </c>
      <c r="Y65" s="40">
        <v>0</v>
      </c>
      <c r="Z65" s="40">
        <v>0</v>
      </c>
      <c r="AA65" s="40">
        <v>0</v>
      </c>
      <c r="AB65" s="40">
        <v>0</v>
      </c>
      <c r="AC65" s="40">
        <v>0</v>
      </c>
      <c r="AD65" s="40">
        <v>0</v>
      </c>
      <c r="AE65" s="40">
        <v>0</v>
      </c>
      <c r="AF65" s="40">
        <v>0</v>
      </c>
      <c r="AG65" s="40">
        <v>0</v>
      </c>
      <c r="AH65" s="40">
        <v>0</v>
      </c>
      <c r="AI65" s="40">
        <v>0</v>
      </c>
      <c r="AJ65" s="40">
        <v>0</v>
      </c>
      <c r="AK65" s="40">
        <v>0</v>
      </c>
      <c r="AL65" s="40">
        <v>0</v>
      </c>
      <c r="AM65" s="40">
        <v>0</v>
      </c>
      <c r="AN65" s="40">
        <v>0</v>
      </c>
      <c r="AO65" s="40">
        <v>0</v>
      </c>
      <c r="AP65" s="40">
        <v>0</v>
      </c>
      <c r="AQ65" s="40">
        <v>0</v>
      </c>
      <c r="AR65" s="40">
        <v>0</v>
      </c>
      <c r="AS65" s="40">
        <v>0</v>
      </c>
      <c r="AT65" s="40">
        <v>0</v>
      </c>
      <c r="AU65" s="40">
        <v>0</v>
      </c>
      <c r="AV65" s="40">
        <v>0</v>
      </c>
      <c r="AW65" s="40">
        <v>0</v>
      </c>
      <c r="AX65" s="40">
        <v>0</v>
      </c>
      <c r="AY65" s="40">
        <v>0</v>
      </c>
      <c r="AZ65" s="40">
        <v>0</v>
      </c>
      <c r="BA65" s="40">
        <v>0</v>
      </c>
      <c r="BB65" s="40">
        <v>0</v>
      </c>
      <c r="BC65" s="40">
        <v>0</v>
      </c>
      <c r="BD65" s="40">
        <v>0</v>
      </c>
      <c r="BE65" s="40">
        <v>0</v>
      </c>
      <c r="BF65" s="40">
        <v>0</v>
      </c>
      <c r="BG65" s="40">
        <v>0</v>
      </c>
      <c r="BH65" s="40">
        <v>0</v>
      </c>
      <c r="BI65" s="40">
        <v>0</v>
      </c>
      <c r="BJ65" s="40">
        <v>0</v>
      </c>
      <c r="BK65" s="40">
        <v>0</v>
      </c>
      <c r="BL65" s="40">
        <v>0</v>
      </c>
      <c r="BM65" s="40">
        <v>0</v>
      </c>
      <c r="BN65" s="40">
        <v>0</v>
      </c>
      <c r="BO65" s="40">
        <v>0</v>
      </c>
      <c r="BP65" s="40">
        <v>0</v>
      </c>
      <c r="BQ65" s="40">
        <v>0</v>
      </c>
    </row>
    <row r="66" spans="2:69">
      <c r="B66" s="4"/>
      <c r="C66" s="4"/>
      <c r="D66" s="1" t="s">
        <v>110</v>
      </c>
      <c r="E66" s="1"/>
      <c r="F66" s="1"/>
      <c r="G66" s="10"/>
      <c r="H66" s="10" t="s">
        <v>166</v>
      </c>
      <c r="I66" s="10"/>
      <c r="J66" s="10"/>
      <c r="K66" s="1" t="s">
        <v>163</v>
      </c>
      <c r="L66" s="1"/>
      <c r="M66" s="1"/>
      <c r="N66" s="39">
        <f>【PL】決算数値入力!W66</f>
        <v>0</v>
      </c>
      <c r="O66" s="39">
        <f>【PL】決算数値入力!X66</f>
        <v>0</v>
      </c>
      <c r="P66" s="39">
        <f>【PL】決算数値入力!Y66</f>
        <v>0</v>
      </c>
      <c r="Q66" s="39">
        <f>【PL】決算数値入力!Z66</f>
        <v>0</v>
      </c>
      <c r="R66" s="39">
        <f>【PL】決算数値入力!AA66</f>
        <v>0</v>
      </c>
      <c r="S66" s="39">
        <f>【PL】決算数値入力!AB66</f>
        <v>0</v>
      </c>
      <c r="T66" s="40">
        <v>0</v>
      </c>
      <c r="U66" s="40">
        <v>0</v>
      </c>
      <c r="V66" s="40">
        <v>0</v>
      </c>
      <c r="W66" s="40">
        <v>0</v>
      </c>
      <c r="X66" s="40">
        <v>0</v>
      </c>
      <c r="Y66" s="40">
        <v>0</v>
      </c>
      <c r="Z66" s="40">
        <v>0</v>
      </c>
      <c r="AA66" s="40">
        <v>0</v>
      </c>
      <c r="AB66" s="40">
        <v>0</v>
      </c>
      <c r="AC66" s="40">
        <v>0</v>
      </c>
      <c r="AD66" s="40">
        <v>0</v>
      </c>
      <c r="AE66" s="40">
        <v>0</v>
      </c>
      <c r="AF66" s="40">
        <v>0</v>
      </c>
      <c r="AG66" s="40">
        <v>0</v>
      </c>
      <c r="AH66" s="40">
        <v>0</v>
      </c>
      <c r="AI66" s="40">
        <v>0</v>
      </c>
      <c r="AJ66" s="40">
        <v>0</v>
      </c>
      <c r="AK66" s="40">
        <v>0</v>
      </c>
      <c r="AL66" s="40">
        <v>0</v>
      </c>
      <c r="AM66" s="40">
        <v>0</v>
      </c>
      <c r="AN66" s="40">
        <v>0</v>
      </c>
      <c r="AO66" s="40">
        <v>0</v>
      </c>
      <c r="AP66" s="40">
        <v>0</v>
      </c>
      <c r="AQ66" s="40">
        <v>0</v>
      </c>
      <c r="AR66" s="40">
        <v>0</v>
      </c>
      <c r="AS66" s="40">
        <v>0</v>
      </c>
      <c r="AT66" s="40">
        <v>0</v>
      </c>
      <c r="AU66" s="40">
        <v>0</v>
      </c>
      <c r="AV66" s="40">
        <v>0</v>
      </c>
      <c r="AW66" s="40">
        <v>0</v>
      </c>
      <c r="AX66" s="40">
        <v>0</v>
      </c>
      <c r="AY66" s="40">
        <v>0</v>
      </c>
      <c r="AZ66" s="40">
        <v>0</v>
      </c>
      <c r="BA66" s="40">
        <v>0</v>
      </c>
      <c r="BB66" s="40">
        <v>0</v>
      </c>
      <c r="BC66" s="40">
        <v>0</v>
      </c>
      <c r="BD66" s="40">
        <v>0</v>
      </c>
      <c r="BE66" s="40">
        <v>0</v>
      </c>
      <c r="BF66" s="40">
        <v>0</v>
      </c>
      <c r="BG66" s="40">
        <v>0</v>
      </c>
      <c r="BH66" s="40">
        <v>0</v>
      </c>
      <c r="BI66" s="40">
        <v>0</v>
      </c>
      <c r="BJ66" s="40">
        <v>0</v>
      </c>
      <c r="BK66" s="40">
        <v>0</v>
      </c>
      <c r="BL66" s="40">
        <v>0</v>
      </c>
      <c r="BM66" s="40">
        <v>0</v>
      </c>
      <c r="BN66" s="40">
        <v>0</v>
      </c>
      <c r="BO66" s="40">
        <v>0</v>
      </c>
      <c r="BP66" s="40">
        <v>0</v>
      </c>
      <c r="BQ66" s="40">
        <v>0</v>
      </c>
    </row>
    <row r="67" spans="2:69">
      <c r="B67" s="3"/>
      <c r="C67" s="3"/>
      <c r="D67" s="1" t="s">
        <v>111</v>
      </c>
      <c r="E67" s="1"/>
      <c r="F67" s="1"/>
      <c r="G67" s="10"/>
      <c r="H67" s="10" t="s">
        <v>166</v>
      </c>
      <c r="I67" s="10"/>
      <c r="J67" s="10"/>
      <c r="K67" s="1" t="s">
        <v>163</v>
      </c>
      <c r="L67" s="1"/>
      <c r="M67" s="1"/>
      <c r="N67" s="39">
        <f>【PL】決算数値入力!W67</f>
        <v>0</v>
      </c>
      <c r="O67" s="39">
        <f>【PL】決算数値入力!X67</f>
        <v>0</v>
      </c>
      <c r="P67" s="39">
        <f>【PL】決算数値入力!Y67</f>
        <v>0</v>
      </c>
      <c r="Q67" s="39">
        <f>【PL】決算数値入力!Z67</f>
        <v>0</v>
      </c>
      <c r="R67" s="39">
        <f>【PL】決算数値入力!AA67</f>
        <v>0</v>
      </c>
      <c r="S67" s="39">
        <f>【PL】決算数値入力!AB67</f>
        <v>0</v>
      </c>
      <c r="T67" s="40">
        <v>0</v>
      </c>
      <c r="U67" s="40">
        <v>0</v>
      </c>
      <c r="V67" s="40">
        <v>0</v>
      </c>
      <c r="W67" s="40">
        <v>0</v>
      </c>
      <c r="X67" s="40">
        <v>0</v>
      </c>
      <c r="Y67" s="40">
        <v>0</v>
      </c>
      <c r="Z67" s="40">
        <v>0</v>
      </c>
      <c r="AA67" s="40">
        <v>0</v>
      </c>
      <c r="AB67" s="40">
        <v>0</v>
      </c>
      <c r="AC67" s="40">
        <v>0</v>
      </c>
      <c r="AD67" s="40">
        <v>0</v>
      </c>
      <c r="AE67" s="40">
        <v>0</v>
      </c>
      <c r="AF67" s="40">
        <v>0</v>
      </c>
      <c r="AG67" s="40">
        <v>0</v>
      </c>
      <c r="AH67" s="40">
        <v>0</v>
      </c>
      <c r="AI67" s="40">
        <v>0</v>
      </c>
      <c r="AJ67" s="40">
        <v>0</v>
      </c>
      <c r="AK67" s="40">
        <v>0</v>
      </c>
      <c r="AL67" s="40">
        <v>0</v>
      </c>
      <c r="AM67" s="40">
        <v>0</v>
      </c>
      <c r="AN67" s="40">
        <v>0</v>
      </c>
      <c r="AO67" s="40">
        <v>0</v>
      </c>
      <c r="AP67" s="40">
        <v>0</v>
      </c>
      <c r="AQ67" s="40">
        <v>0</v>
      </c>
      <c r="AR67" s="40">
        <v>0</v>
      </c>
      <c r="AS67" s="40">
        <v>0</v>
      </c>
      <c r="AT67" s="40">
        <v>0</v>
      </c>
      <c r="AU67" s="40">
        <v>0</v>
      </c>
      <c r="AV67" s="40">
        <v>0</v>
      </c>
      <c r="AW67" s="40">
        <v>0</v>
      </c>
      <c r="AX67" s="40">
        <v>0</v>
      </c>
      <c r="AY67" s="40">
        <v>0</v>
      </c>
      <c r="AZ67" s="40">
        <v>0</v>
      </c>
      <c r="BA67" s="40">
        <v>0</v>
      </c>
      <c r="BB67" s="40">
        <v>0</v>
      </c>
      <c r="BC67" s="40">
        <v>0</v>
      </c>
      <c r="BD67" s="40">
        <v>0</v>
      </c>
      <c r="BE67" s="40">
        <v>0</v>
      </c>
      <c r="BF67" s="40">
        <v>0</v>
      </c>
      <c r="BG67" s="40">
        <v>0</v>
      </c>
      <c r="BH67" s="40">
        <v>0</v>
      </c>
      <c r="BI67" s="40">
        <v>0</v>
      </c>
      <c r="BJ67" s="40">
        <v>0</v>
      </c>
      <c r="BK67" s="40">
        <v>0</v>
      </c>
      <c r="BL67" s="40">
        <v>0</v>
      </c>
      <c r="BM67" s="40">
        <v>0</v>
      </c>
      <c r="BN67" s="40">
        <v>0</v>
      </c>
      <c r="BO67" s="40">
        <v>0</v>
      </c>
      <c r="BP67" s="40">
        <v>0</v>
      </c>
      <c r="BQ67" s="40">
        <v>0</v>
      </c>
    </row>
    <row r="68" spans="2:69">
      <c r="B68" s="9" t="s">
        <v>112</v>
      </c>
      <c r="C68" s="7"/>
      <c r="D68" s="7"/>
      <c r="E68" s="8"/>
      <c r="F68" s="1"/>
      <c r="G68" s="10"/>
      <c r="H68" s="10"/>
      <c r="I68" s="10"/>
      <c r="J68" s="10"/>
      <c r="K68" s="1"/>
      <c r="L68" s="1"/>
      <c r="M68" s="1"/>
      <c r="N68" s="39">
        <f>【PL】決算数値入力!W68</f>
        <v>-154789750</v>
      </c>
      <c r="O68" s="39">
        <f>【PL】決算数値入力!X68</f>
        <v>-36029202</v>
      </c>
      <c r="P68" s="39">
        <f>【PL】決算数値入力!Y68</f>
        <v>-37745561</v>
      </c>
      <c r="Q68" s="39">
        <f>【PL】決算数値入力!Z68</f>
        <v>-101071072</v>
      </c>
      <c r="R68" s="39">
        <f>【PL】決算数値入力!AA68</f>
        <v>-59562535</v>
      </c>
      <c r="S68" s="39">
        <f>【PL】決算数値入力!AB68</f>
        <v>-74753090.400000006</v>
      </c>
      <c r="T68" s="39">
        <f t="shared" ref="T68:BQ68" si="25">T5-T24</f>
        <v>34195928.900000006</v>
      </c>
      <c r="U68" s="39">
        <f t="shared" si="25"/>
        <v>60531789.900000006</v>
      </c>
      <c r="V68" s="39">
        <f t="shared" si="25"/>
        <v>57057118.899999976</v>
      </c>
      <c r="W68" s="39">
        <f t="shared" si="25"/>
        <v>53908420.899999976</v>
      </c>
      <c r="X68" s="39">
        <f t="shared" si="25"/>
        <v>50966734.899999976</v>
      </c>
      <c r="Y68" s="39">
        <f t="shared" si="25"/>
        <v>48109966.899999976</v>
      </c>
      <c r="Z68" s="39">
        <f t="shared" si="25"/>
        <v>43388274.899999976</v>
      </c>
      <c r="AA68" s="39">
        <f t="shared" si="25"/>
        <v>40632194.899999976</v>
      </c>
      <c r="AB68" s="39">
        <f t="shared" si="25"/>
        <v>39566191.847368419</v>
      </c>
      <c r="AC68" s="39">
        <f t="shared" si="25"/>
        <v>38383941.32105267</v>
      </c>
      <c r="AD68" s="39">
        <f t="shared" si="25"/>
        <v>36756208.794736862</v>
      </c>
      <c r="AE68" s="39">
        <f t="shared" si="25"/>
        <v>33128138.268421054</v>
      </c>
      <c r="AF68" s="39">
        <f t="shared" si="25"/>
        <v>31913911.742105246</v>
      </c>
      <c r="AG68" s="39">
        <f t="shared" si="25"/>
        <v>28617397.742105246</v>
      </c>
      <c r="AH68" s="39">
        <f t="shared" si="25"/>
        <v>25898914.742105246</v>
      </c>
      <c r="AI68" s="39">
        <f t="shared" si="25"/>
        <v>22831340.742105246</v>
      </c>
      <c r="AJ68" s="39">
        <f t="shared" si="25"/>
        <v>17632019.742105246</v>
      </c>
      <c r="AK68" s="39">
        <f t="shared" si="25"/>
        <v>15371213.742105246</v>
      </c>
      <c r="AL68" s="39">
        <f t="shared" si="25"/>
        <v>12724756.742105305</v>
      </c>
      <c r="AM68" s="39">
        <f t="shared" si="25"/>
        <v>10366826.742105305</v>
      </c>
      <c r="AN68" s="39">
        <f t="shared" si="25"/>
        <v>8012526.7421053052</v>
      </c>
      <c r="AO68" s="39">
        <f t="shared" si="25"/>
        <v>2616594.7421053052</v>
      </c>
      <c r="AP68" s="39">
        <f t="shared" si="25"/>
        <v>226816.74210530519</v>
      </c>
      <c r="AQ68" s="39">
        <f t="shared" si="25"/>
        <v>-1999392.2578946948</v>
      </c>
      <c r="AR68" s="39">
        <f t="shared" si="25"/>
        <v>-4242970.2578946948</v>
      </c>
      <c r="AS68" s="39">
        <f t="shared" si="25"/>
        <v>-6334568.2578947544</v>
      </c>
      <c r="AT68" s="39">
        <f t="shared" si="25"/>
        <v>-11960012.257894754</v>
      </c>
      <c r="AU68" s="39">
        <f t="shared" si="25"/>
        <v>-14114529.257894754</v>
      </c>
      <c r="AV68" s="39">
        <f t="shared" si="25"/>
        <v>-16219544.257894754</v>
      </c>
      <c r="AW68" s="39">
        <f t="shared" si="25"/>
        <v>-18203235.257894754</v>
      </c>
      <c r="AX68" s="39">
        <f t="shared" si="25"/>
        <v>-20458368.257894695</v>
      </c>
      <c r="AY68" s="39">
        <f t="shared" si="25"/>
        <v>-23130663.257894695</v>
      </c>
      <c r="AZ68" s="39">
        <f t="shared" si="25"/>
        <v>-25282362.257894695</v>
      </c>
      <c r="BA68" s="39">
        <f t="shared" si="25"/>
        <v>-27411837.257894695</v>
      </c>
      <c r="BB68" s="39">
        <f t="shared" si="25"/>
        <v>-29707382.257894695</v>
      </c>
      <c r="BC68" s="39">
        <f t="shared" si="25"/>
        <v>-32766376.257894695</v>
      </c>
      <c r="BD68" s="39">
        <f t="shared" si="25"/>
        <v>-35045520.257894695</v>
      </c>
      <c r="BE68" s="39">
        <f t="shared" si="25"/>
        <v>-37520156.257894695</v>
      </c>
      <c r="BF68" s="39">
        <f t="shared" si="25"/>
        <v>-40528736.257894695</v>
      </c>
      <c r="BG68" s="39">
        <f t="shared" si="25"/>
        <v>-42748062.257894695</v>
      </c>
      <c r="BH68" s="39">
        <f t="shared" si="25"/>
        <v>-44969701.257894695</v>
      </c>
      <c r="BI68" s="39">
        <f t="shared" si="25"/>
        <v>-48727336.257894695</v>
      </c>
      <c r="BJ68" s="39">
        <f t="shared" si="25"/>
        <v>-51102076.257894695</v>
      </c>
      <c r="BK68" s="39">
        <f t="shared" si="25"/>
        <v>-53359497.257894695</v>
      </c>
      <c r="BL68" s="39">
        <f t="shared" si="25"/>
        <v>-55635233.257894695</v>
      </c>
      <c r="BM68" s="39">
        <f t="shared" si="25"/>
        <v>-57827433.257894695</v>
      </c>
      <c r="BN68" s="39">
        <f t="shared" si="25"/>
        <v>-60231997.257894695</v>
      </c>
      <c r="BO68" s="39">
        <f t="shared" si="25"/>
        <v>-62547230.257894695</v>
      </c>
      <c r="BP68" s="39">
        <f t="shared" si="25"/>
        <v>-64879092.257894695</v>
      </c>
      <c r="BQ68" s="39">
        <f t="shared" si="25"/>
        <v>-67110881.257894695</v>
      </c>
    </row>
    <row r="70" spans="2:69">
      <c r="B70" t="s">
        <v>113</v>
      </c>
      <c r="K70" s="135" t="s">
        <v>714</v>
      </c>
    </row>
    <row r="71" spans="2:69">
      <c r="B71" s="11" t="s">
        <v>1</v>
      </c>
      <c r="C71" s="11" t="s">
        <v>2</v>
      </c>
      <c r="D71" s="12" t="s">
        <v>3</v>
      </c>
      <c r="E71" s="13"/>
      <c r="F71" s="20" t="s">
        <v>4</v>
      </c>
      <c r="G71" s="14"/>
      <c r="H71" s="14"/>
      <c r="I71" s="15"/>
      <c r="J71" s="311" t="s">
        <v>162</v>
      </c>
      <c r="K71" s="313" t="s">
        <v>8</v>
      </c>
      <c r="L71" s="11" t="s">
        <v>9</v>
      </c>
      <c r="M71" s="11" t="s">
        <v>10</v>
      </c>
      <c r="N71" s="30" t="s">
        <v>11</v>
      </c>
      <c r="O71" s="31"/>
      <c r="P71" s="31"/>
      <c r="Q71" s="31"/>
      <c r="R71" s="32"/>
      <c r="S71" s="35" t="s">
        <v>177</v>
      </c>
      <c r="T71" s="33" t="s">
        <v>17</v>
      </c>
      <c r="U71" s="31"/>
      <c r="V71" s="31"/>
      <c r="W71" s="32"/>
      <c r="X71" s="34" t="s">
        <v>68</v>
      </c>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row>
    <row r="72" spans="2:69">
      <c r="B72" s="17"/>
      <c r="C72" s="17"/>
      <c r="D72" s="18"/>
      <c r="E72" s="19"/>
      <c r="F72" s="17"/>
      <c r="G72" s="16" t="s">
        <v>5</v>
      </c>
      <c r="H72" s="16" t="s">
        <v>6</v>
      </c>
      <c r="I72" s="16" t="s">
        <v>7</v>
      </c>
      <c r="J72" s="312"/>
      <c r="K72" s="314"/>
      <c r="L72" s="17"/>
      <c r="M72" s="17"/>
      <c r="N72" s="35" t="s">
        <v>589</v>
      </c>
      <c r="O72" s="35" t="s">
        <v>19</v>
      </c>
      <c r="P72" s="35" t="s">
        <v>20</v>
      </c>
      <c r="Q72" s="35" t="s">
        <v>588</v>
      </c>
      <c r="R72" s="35" t="s">
        <v>594</v>
      </c>
      <c r="S72" s="35"/>
      <c r="T72" s="35" t="s">
        <v>710</v>
      </c>
      <c r="U72" s="35" t="s">
        <v>711</v>
      </c>
      <c r="V72" s="35" t="s">
        <v>712</v>
      </c>
      <c r="W72" s="35" t="s">
        <v>713</v>
      </c>
      <c r="X72" s="35" t="s">
        <v>27</v>
      </c>
      <c r="Y72" s="35" t="s">
        <v>28</v>
      </c>
      <c r="Z72" s="35" t="s">
        <v>29</v>
      </c>
      <c r="AA72" s="35" t="s">
        <v>30</v>
      </c>
      <c r="AB72" s="35" t="s">
        <v>31</v>
      </c>
      <c r="AC72" s="35" t="s">
        <v>32</v>
      </c>
      <c r="AD72" s="35" t="s">
        <v>33</v>
      </c>
      <c r="AE72" s="35" t="s">
        <v>34</v>
      </c>
      <c r="AF72" s="35" t="s">
        <v>35</v>
      </c>
      <c r="AG72" s="35" t="s">
        <v>36</v>
      </c>
      <c r="AH72" s="35" t="s">
        <v>37</v>
      </c>
      <c r="AI72" s="35" t="s">
        <v>38</v>
      </c>
      <c r="AJ72" s="35" t="s">
        <v>39</v>
      </c>
      <c r="AK72" s="35" t="s">
        <v>40</v>
      </c>
      <c r="AL72" s="35" t="s">
        <v>41</v>
      </c>
      <c r="AM72" s="35" t="s">
        <v>42</v>
      </c>
      <c r="AN72" s="35" t="s">
        <v>43</v>
      </c>
      <c r="AO72" s="35" t="s">
        <v>44</v>
      </c>
      <c r="AP72" s="35" t="s">
        <v>45</v>
      </c>
      <c r="AQ72" s="35" t="s">
        <v>46</v>
      </c>
      <c r="AR72" s="35" t="s">
        <v>47</v>
      </c>
      <c r="AS72" s="35" t="s">
        <v>48</v>
      </c>
      <c r="AT72" s="35" t="s">
        <v>49</v>
      </c>
      <c r="AU72" s="35" t="s">
        <v>50</v>
      </c>
      <c r="AV72" s="35" t="s">
        <v>51</v>
      </c>
      <c r="AW72" s="35" t="s">
        <v>52</v>
      </c>
      <c r="AX72" s="35" t="s">
        <v>53</v>
      </c>
      <c r="AY72" s="35" t="s">
        <v>54</v>
      </c>
      <c r="AZ72" s="35" t="s">
        <v>55</v>
      </c>
      <c r="BA72" s="35" t="s">
        <v>56</v>
      </c>
      <c r="BB72" s="35" t="s">
        <v>57</v>
      </c>
      <c r="BC72" s="35" t="s">
        <v>58</v>
      </c>
      <c r="BD72" s="35" t="s">
        <v>59</v>
      </c>
      <c r="BE72" s="35" t="s">
        <v>60</v>
      </c>
      <c r="BF72" s="35" t="s">
        <v>61</v>
      </c>
      <c r="BG72" s="35" t="s">
        <v>62</v>
      </c>
      <c r="BH72" s="35" t="s">
        <v>63</v>
      </c>
      <c r="BI72" s="35" t="s">
        <v>64</v>
      </c>
      <c r="BJ72" s="35" t="s">
        <v>65</v>
      </c>
      <c r="BK72" s="35" t="s">
        <v>66</v>
      </c>
      <c r="BL72" s="35" t="s">
        <v>67</v>
      </c>
      <c r="BM72" s="35" t="s">
        <v>670</v>
      </c>
      <c r="BN72" s="35" t="s">
        <v>671</v>
      </c>
      <c r="BO72" s="35" t="s">
        <v>672</v>
      </c>
      <c r="BP72" s="35" t="s">
        <v>673</v>
      </c>
      <c r="BQ72" s="35" t="s">
        <v>674</v>
      </c>
    </row>
    <row r="73" spans="2:69">
      <c r="B73" s="5" t="s">
        <v>114</v>
      </c>
      <c r="C73" s="7"/>
      <c r="D73" s="7"/>
      <c r="E73" s="8"/>
      <c r="F73" s="67"/>
      <c r="G73" s="67"/>
      <c r="H73" s="67"/>
      <c r="I73" s="67"/>
      <c r="J73" s="67"/>
      <c r="K73" s="1"/>
      <c r="L73" s="1"/>
      <c r="M73" s="1"/>
      <c r="N73" s="39">
        <f>SUM(N74:N79)</f>
        <v>4548000</v>
      </c>
      <c r="O73" s="39">
        <f t="shared" ref="O73:BQ73" si="26">SUM(O74:O79)</f>
        <v>7788000</v>
      </c>
      <c r="P73" s="39">
        <f t="shared" si="26"/>
        <v>24637500</v>
      </c>
      <c r="Q73" s="39">
        <f t="shared" si="26"/>
        <v>0</v>
      </c>
      <c r="R73" s="39">
        <f t="shared" si="26"/>
        <v>9335000</v>
      </c>
      <c r="S73" s="39">
        <f t="shared" ref="S73:S100" si="27">IFERROR(AVERAGE(N73:R73),0)</f>
        <v>9261700</v>
      </c>
      <c r="T73" s="39">
        <f>SUM(T74:T79)</f>
        <v>328645926</v>
      </c>
      <c r="U73" s="39">
        <f t="shared" si="26"/>
        <v>32362.999999999902</v>
      </c>
      <c r="V73" s="39">
        <f t="shared" si="26"/>
        <v>128211510</v>
      </c>
      <c r="W73" s="39">
        <f t="shared" si="26"/>
        <v>983685</v>
      </c>
      <c r="X73" s="39">
        <f t="shared" si="26"/>
        <v>780328036</v>
      </c>
      <c r="Y73" s="39">
        <f t="shared" si="26"/>
        <v>34100000</v>
      </c>
      <c r="Z73" s="39">
        <f t="shared" si="26"/>
        <v>82732000</v>
      </c>
      <c r="AA73" s="39">
        <f>SUM(AA74:AA79)</f>
        <v>960000000</v>
      </c>
      <c r="AB73" s="39">
        <f t="shared" si="26"/>
        <v>960000000</v>
      </c>
      <c r="AC73" s="39">
        <f t="shared" si="26"/>
        <v>960000000</v>
      </c>
      <c r="AD73" s="39">
        <f t="shared" si="26"/>
        <v>760000000</v>
      </c>
      <c r="AE73" s="39">
        <f t="shared" si="26"/>
        <v>760000000</v>
      </c>
      <c r="AF73" s="39">
        <f t="shared" si="26"/>
        <v>760000000</v>
      </c>
      <c r="AG73" s="39">
        <f t="shared" si="26"/>
        <v>760000000</v>
      </c>
      <c r="AH73" s="39">
        <f t="shared" si="26"/>
        <v>760000000</v>
      </c>
      <c r="AI73" s="39">
        <f t="shared" si="26"/>
        <v>760000000</v>
      </c>
      <c r="AJ73" s="39">
        <f t="shared" si="26"/>
        <v>70621489</v>
      </c>
      <c r="AK73" s="39">
        <f t="shared" si="26"/>
        <v>70865392</v>
      </c>
      <c r="AL73" s="39">
        <f t="shared" si="26"/>
        <v>77215260</v>
      </c>
      <c r="AM73" s="39">
        <f t="shared" si="26"/>
        <v>80191712</v>
      </c>
      <c r="AN73" s="39">
        <f t="shared" si="26"/>
        <v>100747953</v>
      </c>
      <c r="AO73" s="39">
        <f t="shared" si="26"/>
        <v>70000000</v>
      </c>
      <c r="AP73" s="39">
        <f t="shared" si="26"/>
        <v>392498709</v>
      </c>
      <c r="AQ73" s="39">
        <f t="shared" si="26"/>
        <v>78009232</v>
      </c>
      <c r="AR73" s="39">
        <f t="shared" si="26"/>
        <v>177733213</v>
      </c>
      <c r="AS73" s="39">
        <f t="shared" si="26"/>
        <v>71225840</v>
      </c>
      <c r="AT73" s="39">
        <f t="shared" si="26"/>
        <v>70621489</v>
      </c>
      <c r="AU73" s="39">
        <f t="shared" si="26"/>
        <v>70865392</v>
      </c>
      <c r="AV73" s="39">
        <f t="shared" si="26"/>
        <v>91153316</v>
      </c>
      <c r="AW73" s="39">
        <f t="shared" si="26"/>
        <v>71444899</v>
      </c>
      <c r="AX73" s="39">
        <f t="shared" si="26"/>
        <v>83000000</v>
      </c>
      <c r="AY73" s="39">
        <f t="shared" si="26"/>
        <v>70000000</v>
      </c>
      <c r="AZ73" s="39">
        <f t="shared" si="26"/>
        <v>198211510</v>
      </c>
      <c r="BA73" s="39">
        <f t="shared" si="26"/>
        <v>70983685</v>
      </c>
      <c r="BB73" s="39">
        <f t="shared" si="26"/>
        <v>850210685</v>
      </c>
      <c r="BC73" s="39">
        <f t="shared" si="26"/>
        <v>78251387</v>
      </c>
      <c r="BD73" s="39">
        <f t="shared" si="26"/>
        <v>142772649</v>
      </c>
      <c r="BE73" s="39">
        <f t="shared" si="26"/>
        <v>87865392</v>
      </c>
      <c r="BF73" s="39">
        <f t="shared" si="26"/>
        <v>284154550</v>
      </c>
      <c r="BG73" s="39">
        <f t="shared" si="26"/>
        <v>114444899</v>
      </c>
      <c r="BH73" s="39">
        <f t="shared" si="26"/>
        <v>163747953</v>
      </c>
      <c r="BI73" s="39">
        <f t="shared" si="26"/>
        <v>70000000</v>
      </c>
      <c r="BJ73" s="39">
        <f t="shared" si="26"/>
        <v>146211510</v>
      </c>
      <c r="BK73" s="39">
        <f t="shared" si="26"/>
        <v>70000000</v>
      </c>
      <c r="BL73" s="39">
        <f t="shared" si="26"/>
        <v>70000000</v>
      </c>
      <c r="BM73" s="39">
        <f t="shared" si="26"/>
        <v>70000000</v>
      </c>
      <c r="BN73" s="39">
        <f t="shared" si="26"/>
        <v>70000000</v>
      </c>
      <c r="BO73" s="39">
        <f t="shared" si="26"/>
        <v>70000000</v>
      </c>
      <c r="BP73" s="39">
        <f t="shared" si="26"/>
        <v>70000000</v>
      </c>
      <c r="BQ73" s="39">
        <f t="shared" si="26"/>
        <v>70000000</v>
      </c>
    </row>
    <row r="74" spans="2:69">
      <c r="B74" s="4"/>
      <c r="C74" s="9" t="s">
        <v>115</v>
      </c>
      <c r="D74" s="7"/>
      <c r="E74" s="8"/>
      <c r="F74" s="67"/>
      <c r="G74" s="67"/>
      <c r="H74" s="67"/>
      <c r="I74" s="67"/>
      <c r="J74" s="67"/>
      <c r="K74" s="1"/>
      <c r="L74" s="1"/>
      <c r="M74" s="1"/>
      <c r="N74" s="39"/>
      <c r="O74" s="39"/>
      <c r="P74" s="39"/>
      <c r="Q74" s="39"/>
      <c r="R74" s="39"/>
      <c r="S74" s="39">
        <f t="shared" si="27"/>
        <v>0</v>
      </c>
      <c r="T74" s="39">
        <f>IF((T82+T85+T92-T76-T77-T78)&lt;0,0,(T82+T85+T92-T76-T77-T78))</f>
        <v>321951521</v>
      </c>
      <c r="U74" s="39">
        <f t="shared" ref="U74:BQ74" si="28">IF((U82+U85+U92-U76-U77-U78)&lt;0,0,(U82+U85+U92-U76-U77-U78))</f>
        <v>32362.999999999902</v>
      </c>
      <c r="V74" s="39">
        <f t="shared" si="28"/>
        <v>128211510</v>
      </c>
      <c r="W74" s="39">
        <f t="shared" si="28"/>
        <v>983685</v>
      </c>
      <c r="X74" s="39">
        <f t="shared" si="28"/>
        <v>780328036</v>
      </c>
      <c r="Y74" s="39">
        <f>IF((Y82+Y85+Y92-Y76-Y77-Y78)&lt;0,0,(Y82+Y85+Y92-Y76-Y77-Y78))</f>
        <v>0</v>
      </c>
      <c r="Z74" s="39">
        <f>IF((Z82+Z85+Z92-Z76-Z77-Z78)&lt;0,0,(Z82+Z85+Z92-Z76-Z77-Z78))</f>
        <v>0</v>
      </c>
      <c r="AA74" s="39">
        <f>AA92+AA91-AA77-AA75</f>
        <v>160000000</v>
      </c>
      <c r="AB74" s="39">
        <f t="shared" ref="AB74:AI74" si="29">AB92+AB91-AB77-AB75</f>
        <v>160000000</v>
      </c>
      <c r="AC74" s="39">
        <f t="shared" si="29"/>
        <v>160000000</v>
      </c>
      <c r="AD74" s="39">
        <f t="shared" si="29"/>
        <v>160000000</v>
      </c>
      <c r="AE74" s="39">
        <f t="shared" si="29"/>
        <v>160000000</v>
      </c>
      <c r="AF74" s="39">
        <f t="shared" si="29"/>
        <v>160000000</v>
      </c>
      <c r="AG74" s="39">
        <f t="shared" si="29"/>
        <v>160000000</v>
      </c>
      <c r="AH74" s="39">
        <f t="shared" si="29"/>
        <v>160000000</v>
      </c>
      <c r="AI74" s="39">
        <f t="shared" si="29"/>
        <v>160000000</v>
      </c>
      <c r="AJ74" s="39">
        <f>IF((AJ82+AJ85+AJ92-AJ76-AJ77-AJ78)&lt;0,0,(AJ82+AJ85+AJ92-AJ76-AJ77-AJ78))</f>
        <v>70621489</v>
      </c>
      <c r="AK74" s="39">
        <f t="shared" si="28"/>
        <v>70865392</v>
      </c>
      <c r="AL74" s="39">
        <f t="shared" si="28"/>
        <v>77215260</v>
      </c>
      <c r="AM74" s="39">
        <f t="shared" si="28"/>
        <v>80191712</v>
      </c>
      <c r="AN74" s="39">
        <f t="shared" si="28"/>
        <v>100747953</v>
      </c>
      <c r="AO74" s="39">
        <f t="shared" si="28"/>
        <v>70000000</v>
      </c>
      <c r="AP74" s="39">
        <f t="shared" si="28"/>
        <v>392498709</v>
      </c>
      <c r="AQ74" s="39">
        <f t="shared" si="28"/>
        <v>78009232</v>
      </c>
      <c r="AR74" s="39">
        <f t="shared" si="28"/>
        <v>177733213</v>
      </c>
      <c r="AS74" s="39">
        <f t="shared" si="28"/>
        <v>71225840</v>
      </c>
      <c r="AT74" s="39">
        <f t="shared" si="28"/>
        <v>70621489</v>
      </c>
      <c r="AU74" s="39">
        <f t="shared" si="28"/>
        <v>70865392</v>
      </c>
      <c r="AV74" s="39">
        <f t="shared" si="28"/>
        <v>91153316</v>
      </c>
      <c r="AW74" s="39">
        <f t="shared" si="28"/>
        <v>71444899</v>
      </c>
      <c r="AX74" s="39">
        <f t="shared" si="28"/>
        <v>83000000</v>
      </c>
      <c r="AY74" s="39">
        <f t="shared" si="28"/>
        <v>70000000</v>
      </c>
      <c r="AZ74" s="39">
        <f t="shared" si="28"/>
        <v>198211510</v>
      </c>
      <c r="BA74" s="39">
        <f t="shared" si="28"/>
        <v>70983685</v>
      </c>
      <c r="BB74" s="39">
        <f t="shared" si="28"/>
        <v>850210685</v>
      </c>
      <c r="BC74" s="39">
        <f t="shared" si="28"/>
        <v>78251387</v>
      </c>
      <c r="BD74" s="39">
        <f t="shared" si="28"/>
        <v>142772649</v>
      </c>
      <c r="BE74" s="39">
        <f t="shared" si="28"/>
        <v>87865392</v>
      </c>
      <c r="BF74" s="39">
        <f t="shared" si="28"/>
        <v>284154550</v>
      </c>
      <c r="BG74" s="39">
        <f t="shared" si="28"/>
        <v>114444899</v>
      </c>
      <c r="BH74" s="39">
        <f t="shared" si="28"/>
        <v>163747953</v>
      </c>
      <c r="BI74" s="39">
        <f t="shared" si="28"/>
        <v>70000000</v>
      </c>
      <c r="BJ74" s="39">
        <f t="shared" si="28"/>
        <v>146211510</v>
      </c>
      <c r="BK74" s="39">
        <f t="shared" si="28"/>
        <v>70000000</v>
      </c>
      <c r="BL74" s="39">
        <f t="shared" si="28"/>
        <v>70000000</v>
      </c>
      <c r="BM74" s="39">
        <f t="shared" si="28"/>
        <v>70000000</v>
      </c>
      <c r="BN74" s="39">
        <f t="shared" si="28"/>
        <v>70000000</v>
      </c>
      <c r="BO74" s="39">
        <f t="shared" si="28"/>
        <v>70000000</v>
      </c>
      <c r="BP74" s="39">
        <f t="shared" si="28"/>
        <v>70000000</v>
      </c>
      <c r="BQ74" s="39">
        <f t="shared" si="28"/>
        <v>70000000</v>
      </c>
    </row>
    <row r="75" spans="2:69">
      <c r="B75" s="4"/>
      <c r="C75" s="9" t="s">
        <v>116</v>
      </c>
      <c r="D75" s="7"/>
      <c r="E75" s="8"/>
      <c r="F75" s="67"/>
      <c r="G75" s="67"/>
      <c r="H75" s="67"/>
      <c r="I75" s="67"/>
      <c r="J75" s="67"/>
      <c r="K75" s="1" t="s">
        <v>169</v>
      </c>
      <c r="L75" s="1"/>
      <c r="M75" s="1"/>
      <c r="N75" s="39"/>
      <c r="O75" s="39"/>
      <c r="P75" s="39"/>
      <c r="Q75" s="39"/>
      <c r="R75" s="39"/>
      <c r="S75" s="39">
        <f t="shared" si="27"/>
        <v>0</v>
      </c>
      <c r="T75" s="39"/>
      <c r="U75" s="39"/>
      <c r="V75" s="39"/>
      <c r="W75" s="39"/>
      <c r="X75" s="39"/>
      <c r="Y75" s="130">
        <v>17050000</v>
      </c>
      <c r="Z75" s="130">
        <f>16366000+50000000/2</f>
        <v>41366000</v>
      </c>
      <c r="AA75" s="130">
        <f>(600000000+200000000)/2</f>
        <v>400000000</v>
      </c>
      <c r="AB75" s="130">
        <f t="shared" ref="AB75:AC75" si="30">(600000000+200000000)/2</f>
        <v>400000000</v>
      </c>
      <c r="AC75" s="130">
        <f t="shared" si="30"/>
        <v>400000000</v>
      </c>
      <c r="AD75" s="130">
        <f>(600000000)/2</f>
        <v>300000000</v>
      </c>
      <c r="AE75" s="130">
        <f t="shared" ref="AE75:AI75" si="31">(600000000)/2</f>
        <v>300000000</v>
      </c>
      <c r="AF75" s="130">
        <f t="shared" si="31"/>
        <v>300000000</v>
      </c>
      <c r="AG75" s="130">
        <f t="shared" si="31"/>
        <v>300000000</v>
      </c>
      <c r="AH75" s="130">
        <f t="shared" si="31"/>
        <v>300000000</v>
      </c>
      <c r="AI75" s="130">
        <f t="shared" si="31"/>
        <v>300000000</v>
      </c>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row>
    <row r="76" spans="2:69">
      <c r="B76" s="4"/>
      <c r="C76" s="9" t="s">
        <v>76</v>
      </c>
      <c r="D76" s="7"/>
      <c r="E76" s="8"/>
      <c r="F76" s="67"/>
      <c r="G76" s="67"/>
      <c r="H76" s="67"/>
      <c r="I76" s="67"/>
      <c r="J76" s="67"/>
      <c r="K76" s="1" t="s">
        <v>718</v>
      </c>
      <c r="L76" s="1"/>
      <c r="M76" s="1"/>
      <c r="N76" s="39">
        <f>【PL】決算数値入力!K184</f>
        <v>4548000</v>
      </c>
      <c r="O76" s="39">
        <f>【PL】決算数値入力!L184</f>
        <v>7788000</v>
      </c>
      <c r="P76" s="39">
        <f>【PL】決算数値入力!M184</f>
        <v>24637500</v>
      </c>
      <c r="Q76" s="39">
        <f>【PL】決算数値入力!N184</f>
        <v>0</v>
      </c>
      <c r="R76" s="39">
        <f>【PL】決算数値入力!O184</f>
        <v>9335000</v>
      </c>
      <c r="S76" s="39">
        <f>【PL】決算数値入力!P184</f>
        <v>6694405</v>
      </c>
      <c r="T76" s="130">
        <f>$S$76</f>
        <v>6694405</v>
      </c>
      <c r="U76" s="130"/>
      <c r="V76" s="130"/>
      <c r="W76" s="130"/>
      <c r="X76" s="130"/>
      <c r="Y76" s="157"/>
      <c r="Z76" s="157"/>
      <c r="AA76" s="157"/>
      <c r="AB76" s="157"/>
      <c r="AC76" s="157"/>
      <c r="AD76" s="157"/>
      <c r="AE76" s="157"/>
      <c r="AF76" s="157"/>
      <c r="AG76" s="157"/>
      <c r="AH76" s="157"/>
      <c r="AI76" s="157"/>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row>
    <row r="77" spans="2:69">
      <c r="B77" s="4"/>
      <c r="C77" s="9" t="s">
        <v>117</v>
      </c>
      <c r="D77" s="7"/>
      <c r="E77" s="8"/>
      <c r="F77" s="67"/>
      <c r="G77" s="67"/>
      <c r="H77" s="67"/>
      <c r="I77" s="67"/>
      <c r="J77" s="67"/>
      <c r="K77" s="1" t="s">
        <v>169</v>
      </c>
      <c r="L77" s="1"/>
      <c r="M77" s="1"/>
      <c r="N77" s="39"/>
      <c r="O77" s="39"/>
      <c r="P77" s="39"/>
      <c r="Q77" s="39"/>
      <c r="R77" s="39"/>
      <c r="S77" s="39">
        <f t="shared" si="27"/>
        <v>0</v>
      </c>
      <c r="T77" s="39"/>
      <c r="U77" s="39"/>
      <c r="V77" s="39"/>
      <c r="W77" s="39"/>
      <c r="X77" s="39"/>
      <c r="Y77" s="39">
        <v>17050000</v>
      </c>
      <c r="Z77" s="39">
        <f>Z75</f>
        <v>41366000</v>
      </c>
      <c r="AA77" s="39">
        <f t="shared" ref="AA77:AI77" si="32">AA75</f>
        <v>400000000</v>
      </c>
      <c r="AB77" s="39">
        <f t="shared" si="32"/>
        <v>400000000</v>
      </c>
      <c r="AC77" s="39">
        <f t="shared" si="32"/>
        <v>400000000</v>
      </c>
      <c r="AD77" s="39">
        <f t="shared" si="32"/>
        <v>300000000</v>
      </c>
      <c r="AE77" s="39">
        <f t="shared" si="32"/>
        <v>300000000</v>
      </c>
      <c r="AF77" s="39">
        <f t="shared" si="32"/>
        <v>300000000</v>
      </c>
      <c r="AG77" s="39">
        <f t="shared" si="32"/>
        <v>300000000</v>
      </c>
      <c r="AH77" s="39">
        <f t="shared" si="32"/>
        <v>300000000</v>
      </c>
      <c r="AI77" s="39">
        <f t="shared" si="32"/>
        <v>300000000</v>
      </c>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row>
    <row r="78" spans="2:69">
      <c r="B78" s="4"/>
      <c r="C78" s="9" t="s">
        <v>118</v>
      </c>
      <c r="D78" s="7"/>
      <c r="E78" s="8"/>
      <c r="F78" s="67"/>
      <c r="G78" s="67"/>
      <c r="H78" s="67"/>
      <c r="I78" s="67"/>
      <c r="J78" s="67"/>
      <c r="K78" s="1" t="s">
        <v>169</v>
      </c>
      <c r="L78" s="1"/>
      <c r="M78" s="1"/>
      <c r="N78" s="39"/>
      <c r="O78" s="39"/>
      <c r="P78" s="39"/>
      <c r="Q78" s="39"/>
      <c r="R78" s="39"/>
      <c r="S78" s="39">
        <f t="shared" si="27"/>
        <v>0</v>
      </c>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row>
    <row r="79" spans="2:69">
      <c r="B79" s="3"/>
      <c r="C79" s="9" t="s">
        <v>119</v>
      </c>
      <c r="D79" s="7"/>
      <c r="E79" s="8"/>
      <c r="F79" s="67"/>
      <c r="G79" s="67"/>
      <c r="H79" s="67"/>
      <c r="I79" s="67"/>
      <c r="J79" s="67"/>
      <c r="K79" s="1" t="s">
        <v>163</v>
      </c>
      <c r="L79" s="1"/>
      <c r="M79" s="1"/>
      <c r="N79" s="39"/>
      <c r="O79" s="39"/>
      <c r="P79" s="39"/>
      <c r="Q79" s="39"/>
      <c r="R79" s="39"/>
      <c r="S79" s="39">
        <f t="shared" si="27"/>
        <v>0</v>
      </c>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row>
    <row r="80" spans="2:69">
      <c r="B80" s="5" t="s">
        <v>120</v>
      </c>
      <c r="C80" s="7"/>
      <c r="D80" s="7"/>
      <c r="E80" s="8"/>
      <c r="F80" s="67"/>
      <c r="G80" s="67"/>
      <c r="H80" s="67"/>
      <c r="I80" s="67"/>
      <c r="J80" s="67"/>
      <c r="K80" s="1"/>
      <c r="L80" s="1"/>
      <c r="M80" s="1"/>
      <c r="N80" s="39">
        <f>SUM(N81,N85:N86,N90,N96,N99)</f>
        <v>2746858038</v>
      </c>
      <c r="O80" s="39">
        <f t="shared" ref="O80:BQ80" si="33">SUM(O81,O85:O86,O90,O96,O99)</f>
        <v>150145895</v>
      </c>
      <c r="P80" s="39">
        <f t="shared" si="33"/>
        <v>345765337</v>
      </c>
      <c r="Q80" s="39">
        <f t="shared" si="33"/>
        <v>120983927</v>
      </c>
      <c r="R80" s="39">
        <f t="shared" si="33"/>
        <v>280177715</v>
      </c>
      <c r="S80" s="39">
        <f t="shared" si="27"/>
        <v>728786182.39999998</v>
      </c>
      <c r="T80" s="39">
        <f>SUM(T81,T85:T86,T90,T96,T99)</f>
        <v>408109079</v>
      </c>
      <c r="U80" s="39">
        <f t="shared" si="33"/>
        <v>68709709</v>
      </c>
      <c r="V80" s="39">
        <f t="shared" si="33"/>
        <v>187455227</v>
      </c>
      <c r="W80" s="39">
        <f t="shared" si="33"/>
        <v>57927911</v>
      </c>
      <c r="X80" s="39">
        <f t="shared" si="33"/>
        <v>824398578</v>
      </c>
      <c r="Y80" s="39">
        <f t="shared" si="33"/>
        <v>81327304.900000006</v>
      </c>
      <c r="Z80" s="39">
        <f t="shared" si="33"/>
        <v>135271806</v>
      </c>
      <c r="AA80" s="39">
        <f t="shared" si="33"/>
        <v>1023383589</v>
      </c>
      <c r="AB80" s="39">
        <f t="shared" si="33"/>
        <v>1011807048</v>
      </c>
      <c r="AC80" s="39">
        <f t="shared" si="33"/>
        <v>1018436858</v>
      </c>
      <c r="AD80" s="39">
        <f t="shared" si="33"/>
        <v>885115657</v>
      </c>
      <c r="AE80" s="39">
        <f t="shared" si="33"/>
        <v>829695553</v>
      </c>
      <c r="AF80" s="39">
        <f t="shared" si="33"/>
        <v>1137000603</v>
      </c>
      <c r="AG80" s="39">
        <f t="shared" si="33"/>
        <v>831283878</v>
      </c>
      <c r="AH80" s="39">
        <f t="shared" si="33"/>
        <v>872781410</v>
      </c>
      <c r="AI80" s="39">
        <f t="shared" si="33"/>
        <v>851921241</v>
      </c>
      <c r="AJ80" s="39">
        <f t="shared" si="33"/>
        <v>181836832</v>
      </c>
      <c r="AK80" s="39">
        <f t="shared" si="33"/>
        <v>192821593</v>
      </c>
      <c r="AL80" s="39">
        <f t="shared" si="33"/>
        <v>210623876</v>
      </c>
      <c r="AM80" s="39">
        <f t="shared" si="33"/>
        <v>225665839</v>
      </c>
      <c r="AN80" s="39">
        <f t="shared" si="33"/>
        <v>258540968</v>
      </c>
      <c r="AO80" s="39">
        <f t="shared" si="33"/>
        <v>240370600</v>
      </c>
      <c r="AP80" s="39">
        <f t="shared" si="33"/>
        <v>566963087</v>
      </c>
      <c r="AQ80" s="39">
        <f t="shared" si="33"/>
        <v>256653356</v>
      </c>
      <c r="AR80" s="39">
        <f t="shared" si="33"/>
        <v>360644856</v>
      </c>
      <c r="AS80" s="39">
        <f t="shared" si="33"/>
        <v>258494622</v>
      </c>
      <c r="AT80" s="39">
        <f t="shared" si="33"/>
        <v>262338909</v>
      </c>
      <c r="AU80" s="39">
        <f>SUM(AU81,AU85:AU86,AU90,AU96,AU99)</f>
        <v>267124872</v>
      </c>
      <c r="AV80" s="39">
        <f t="shared" si="33"/>
        <v>292050240</v>
      </c>
      <c r="AW80" s="39">
        <f t="shared" si="33"/>
        <v>277076655</v>
      </c>
      <c r="AX80" s="39">
        <f t="shared" si="33"/>
        <v>293466016</v>
      </c>
      <c r="AY80" s="39">
        <f t="shared" si="33"/>
        <v>285401796</v>
      </c>
      <c r="AZ80" s="39">
        <f t="shared" si="33"/>
        <v>418652738</v>
      </c>
      <c r="BA80" s="39">
        <f t="shared" si="33"/>
        <v>296570175</v>
      </c>
      <c r="BB80" s="39">
        <f t="shared" si="33"/>
        <v>1081050482</v>
      </c>
      <c r="BC80" s="39">
        <f t="shared" si="33"/>
        <v>314454812</v>
      </c>
      <c r="BD80" s="39">
        <f t="shared" si="33"/>
        <v>384452341</v>
      </c>
      <c r="BE80" s="39">
        <f t="shared" si="33"/>
        <v>335136351</v>
      </c>
      <c r="BF80" s="39">
        <f t="shared" si="33"/>
        <v>537134195</v>
      </c>
      <c r="BG80" s="39">
        <f t="shared" si="33"/>
        <v>373253110</v>
      </c>
      <c r="BH80" s="39">
        <f t="shared" si="33"/>
        <v>428507133</v>
      </c>
      <c r="BI80" s="39">
        <f t="shared" si="33"/>
        <v>331892265</v>
      </c>
      <c r="BJ80" s="39">
        <f t="shared" si="33"/>
        <v>406553049</v>
      </c>
      <c r="BK80" s="39">
        <f t="shared" si="33"/>
        <v>319634235</v>
      </c>
      <c r="BL80" s="39">
        <f t="shared" si="33"/>
        <v>309628201</v>
      </c>
      <c r="BM80" s="39">
        <f t="shared" si="33"/>
        <v>299970039</v>
      </c>
      <c r="BN80" s="39">
        <f t="shared" si="33"/>
        <v>295689036</v>
      </c>
      <c r="BO80" s="39">
        <f t="shared" si="33"/>
        <v>291318131</v>
      </c>
      <c r="BP80" s="39">
        <f t="shared" si="33"/>
        <v>284995447</v>
      </c>
      <c r="BQ80" s="39">
        <f t="shared" si="33"/>
        <v>276307993</v>
      </c>
    </row>
    <row r="81" spans="2:69">
      <c r="B81" s="4"/>
      <c r="C81" s="5" t="s">
        <v>121</v>
      </c>
      <c r="D81" s="7"/>
      <c r="E81" s="8"/>
      <c r="F81" s="67"/>
      <c r="G81" s="67"/>
      <c r="H81" s="67"/>
      <c r="I81" s="67"/>
      <c r="J81" s="67"/>
      <c r="K81" s="1"/>
      <c r="L81" s="1"/>
      <c r="M81" s="1"/>
      <c r="N81" s="39">
        <f>SUM(N82)</f>
        <v>2741846624</v>
      </c>
      <c r="O81" s="39">
        <f t="shared" ref="O81:BQ81" si="34">SUM(O82)</f>
        <v>143318400</v>
      </c>
      <c r="P81" s="39">
        <f t="shared" si="34"/>
        <v>338424525</v>
      </c>
      <c r="Q81" s="39">
        <f t="shared" si="34"/>
        <v>111700392</v>
      </c>
      <c r="R81" s="39">
        <f t="shared" si="34"/>
        <v>267791962</v>
      </c>
      <c r="S81" s="39">
        <f t="shared" si="27"/>
        <v>720616380.60000002</v>
      </c>
      <c r="T81" s="39">
        <f t="shared" si="34"/>
        <v>217000000</v>
      </c>
      <c r="U81" s="39">
        <f t="shared" si="34"/>
        <v>0</v>
      </c>
      <c r="V81" s="39">
        <f t="shared" si="34"/>
        <v>127000000</v>
      </c>
      <c r="W81" s="39">
        <f t="shared" si="34"/>
        <v>0</v>
      </c>
      <c r="X81" s="39">
        <f t="shared" si="34"/>
        <v>765000000</v>
      </c>
      <c r="Y81" s="39">
        <f t="shared" si="34"/>
        <v>0</v>
      </c>
      <c r="Z81" s="39">
        <f t="shared" si="34"/>
        <v>0</v>
      </c>
      <c r="AA81" s="39">
        <f t="shared" si="34"/>
        <v>17000000</v>
      </c>
      <c r="AB81" s="39">
        <f t="shared" si="34"/>
        <v>0</v>
      </c>
      <c r="AC81" s="39">
        <f t="shared" si="34"/>
        <v>0</v>
      </c>
      <c r="AD81" s="39">
        <f t="shared" si="34"/>
        <v>63000000</v>
      </c>
      <c r="AE81" s="39">
        <f t="shared" si="34"/>
        <v>0</v>
      </c>
      <c r="AF81" s="39">
        <f t="shared" si="34"/>
        <v>243000000</v>
      </c>
      <c r="AG81" s="39">
        <f t="shared" si="34"/>
        <v>0</v>
      </c>
      <c r="AH81" s="39">
        <f t="shared" si="34"/>
        <v>30000000</v>
      </c>
      <c r="AI81" s="39">
        <f t="shared" si="34"/>
        <v>0</v>
      </c>
      <c r="AJ81" s="39">
        <f t="shared" si="34"/>
        <v>0</v>
      </c>
      <c r="AK81" s="39">
        <f t="shared" si="34"/>
        <v>0</v>
      </c>
      <c r="AL81" s="39">
        <f t="shared" si="34"/>
        <v>0</v>
      </c>
      <c r="AM81" s="39">
        <f t="shared" si="34"/>
        <v>0</v>
      </c>
      <c r="AN81" s="39">
        <f t="shared" si="34"/>
        <v>0</v>
      </c>
      <c r="AO81" s="39">
        <f t="shared" si="34"/>
        <v>0</v>
      </c>
      <c r="AP81" s="39">
        <f t="shared" si="34"/>
        <v>308000000</v>
      </c>
      <c r="AQ81" s="39">
        <f t="shared" si="34"/>
        <v>0</v>
      </c>
      <c r="AR81" s="39">
        <f t="shared" si="34"/>
        <v>39000000</v>
      </c>
      <c r="AS81" s="39">
        <f t="shared" si="34"/>
        <v>0</v>
      </c>
      <c r="AT81" s="39">
        <f t="shared" si="34"/>
        <v>0</v>
      </c>
      <c r="AU81" s="39">
        <f t="shared" si="34"/>
        <v>0</v>
      </c>
      <c r="AV81" s="39">
        <f t="shared" si="34"/>
        <v>0</v>
      </c>
      <c r="AW81" s="39">
        <f t="shared" si="34"/>
        <v>0</v>
      </c>
      <c r="AX81" s="39">
        <f t="shared" si="34"/>
        <v>13000000</v>
      </c>
      <c r="AY81" s="39">
        <f t="shared" si="34"/>
        <v>0</v>
      </c>
      <c r="AZ81" s="39">
        <f t="shared" si="34"/>
        <v>127000000</v>
      </c>
      <c r="BA81" s="39">
        <f t="shared" si="34"/>
        <v>0</v>
      </c>
      <c r="BB81" s="39">
        <f t="shared" si="34"/>
        <v>765000000</v>
      </c>
      <c r="BC81" s="39">
        <f t="shared" si="34"/>
        <v>0</v>
      </c>
      <c r="BD81" s="39">
        <f t="shared" si="34"/>
        <v>0</v>
      </c>
      <c r="BE81" s="39">
        <f t="shared" si="34"/>
        <v>17000000</v>
      </c>
      <c r="BF81" s="39">
        <f t="shared" si="34"/>
        <v>204000000</v>
      </c>
      <c r="BG81" s="39">
        <f t="shared" si="34"/>
        <v>43000000</v>
      </c>
      <c r="BH81" s="39">
        <f t="shared" si="34"/>
        <v>63000000</v>
      </c>
      <c r="BI81" s="39">
        <f t="shared" si="34"/>
        <v>0</v>
      </c>
      <c r="BJ81" s="39">
        <f t="shared" si="34"/>
        <v>75000000</v>
      </c>
      <c r="BK81" s="39">
        <f t="shared" si="34"/>
        <v>0</v>
      </c>
      <c r="BL81" s="39">
        <f t="shared" si="34"/>
        <v>0</v>
      </c>
      <c r="BM81" s="39">
        <f t="shared" si="34"/>
        <v>0</v>
      </c>
      <c r="BN81" s="39">
        <f t="shared" si="34"/>
        <v>0</v>
      </c>
      <c r="BO81" s="39">
        <f t="shared" si="34"/>
        <v>0</v>
      </c>
      <c r="BP81" s="39">
        <f t="shared" si="34"/>
        <v>0</v>
      </c>
      <c r="BQ81" s="39">
        <f t="shared" si="34"/>
        <v>0</v>
      </c>
    </row>
    <row r="82" spans="2:69">
      <c r="B82" s="4"/>
      <c r="C82" s="4"/>
      <c r="D82" s="5" t="s">
        <v>122</v>
      </c>
      <c r="E82" s="8"/>
      <c r="F82" s="67"/>
      <c r="G82" s="67"/>
      <c r="H82" s="67"/>
      <c r="I82" s="67"/>
      <c r="J82" s="67"/>
      <c r="K82" s="1"/>
      <c r="L82" s="1"/>
      <c r="M82" s="1"/>
      <c r="N82" s="39">
        <f>SUM(N83:N84)</f>
        <v>2741846624</v>
      </c>
      <c r="O82" s="39">
        <f t="shared" ref="O82:BQ82" si="35">SUM(O83:O84)</f>
        <v>143318400</v>
      </c>
      <c r="P82" s="39">
        <f t="shared" si="35"/>
        <v>338424525</v>
      </c>
      <c r="Q82" s="39">
        <f t="shared" si="35"/>
        <v>111700392</v>
      </c>
      <c r="R82" s="39">
        <f t="shared" si="35"/>
        <v>267791962</v>
      </c>
      <c r="S82" s="39">
        <f t="shared" si="27"/>
        <v>720616380.60000002</v>
      </c>
      <c r="T82" s="39">
        <f t="shared" si="35"/>
        <v>217000000</v>
      </c>
      <c r="U82" s="39">
        <f t="shared" si="35"/>
        <v>0</v>
      </c>
      <c r="V82" s="39">
        <f t="shared" si="35"/>
        <v>127000000</v>
      </c>
      <c r="W82" s="39">
        <f t="shared" si="35"/>
        <v>0</v>
      </c>
      <c r="X82" s="39">
        <f t="shared" si="35"/>
        <v>765000000</v>
      </c>
      <c r="Y82" s="39">
        <f t="shared" si="35"/>
        <v>0</v>
      </c>
      <c r="Z82" s="39">
        <f t="shared" si="35"/>
        <v>0</v>
      </c>
      <c r="AA82" s="39">
        <f t="shared" si="35"/>
        <v>17000000</v>
      </c>
      <c r="AB82" s="39">
        <f t="shared" si="35"/>
        <v>0</v>
      </c>
      <c r="AC82" s="39">
        <f t="shared" si="35"/>
        <v>0</v>
      </c>
      <c r="AD82" s="39">
        <f t="shared" si="35"/>
        <v>63000000</v>
      </c>
      <c r="AE82" s="39">
        <f t="shared" si="35"/>
        <v>0</v>
      </c>
      <c r="AF82" s="39">
        <f t="shared" si="35"/>
        <v>243000000</v>
      </c>
      <c r="AG82" s="39">
        <f t="shared" si="35"/>
        <v>0</v>
      </c>
      <c r="AH82" s="39">
        <f t="shared" si="35"/>
        <v>30000000</v>
      </c>
      <c r="AI82" s="39">
        <f t="shared" si="35"/>
        <v>0</v>
      </c>
      <c r="AJ82" s="39">
        <f t="shared" si="35"/>
        <v>0</v>
      </c>
      <c r="AK82" s="39">
        <f t="shared" si="35"/>
        <v>0</v>
      </c>
      <c r="AL82" s="39">
        <f t="shared" si="35"/>
        <v>0</v>
      </c>
      <c r="AM82" s="39">
        <f t="shared" si="35"/>
        <v>0</v>
      </c>
      <c r="AN82" s="39">
        <f t="shared" si="35"/>
        <v>0</v>
      </c>
      <c r="AO82" s="39">
        <f t="shared" si="35"/>
        <v>0</v>
      </c>
      <c r="AP82" s="39">
        <f t="shared" si="35"/>
        <v>308000000</v>
      </c>
      <c r="AQ82" s="39">
        <f t="shared" si="35"/>
        <v>0</v>
      </c>
      <c r="AR82" s="39">
        <f t="shared" si="35"/>
        <v>39000000</v>
      </c>
      <c r="AS82" s="39">
        <f t="shared" si="35"/>
        <v>0</v>
      </c>
      <c r="AT82" s="39">
        <f t="shared" si="35"/>
        <v>0</v>
      </c>
      <c r="AU82" s="39">
        <f t="shared" si="35"/>
        <v>0</v>
      </c>
      <c r="AV82" s="39">
        <f t="shared" si="35"/>
        <v>0</v>
      </c>
      <c r="AW82" s="39">
        <f t="shared" si="35"/>
        <v>0</v>
      </c>
      <c r="AX82" s="39">
        <f t="shared" si="35"/>
        <v>13000000</v>
      </c>
      <c r="AY82" s="39">
        <f t="shared" si="35"/>
        <v>0</v>
      </c>
      <c r="AZ82" s="39">
        <f t="shared" si="35"/>
        <v>127000000</v>
      </c>
      <c r="BA82" s="39">
        <f t="shared" si="35"/>
        <v>0</v>
      </c>
      <c r="BB82" s="39">
        <f t="shared" si="35"/>
        <v>765000000</v>
      </c>
      <c r="BC82" s="39">
        <f t="shared" si="35"/>
        <v>0</v>
      </c>
      <c r="BD82" s="39">
        <f t="shared" si="35"/>
        <v>0</v>
      </c>
      <c r="BE82" s="39">
        <f t="shared" si="35"/>
        <v>17000000</v>
      </c>
      <c r="BF82" s="39">
        <f t="shared" si="35"/>
        <v>204000000</v>
      </c>
      <c r="BG82" s="39">
        <f t="shared" si="35"/>
        <v>43000000</v>
      </c>
      <c r="BH82" s="39">
        <f t="shared" si="35"/>
        <v>63000000</v>
      </c>
      <c r="BI82" s="39">
        <f t="shared" si="35"/>
        <v>0</v>
      </c>
      <c r="BJ82" s="39">
        <f t="shared" si="35"/>
        <v>75000000</v>
      </c>
      <c r="BK82" s="39">
        <f t="shared" si="35"/>
        <v>0</v>
      </c>
      <c r="BL82" s="39">
        <f t="shared" si="35"/>
        <v>0</v>
      </c>
      <c r="BM82" s="39">
        <f t="shared" si="35"/>
        <v>0</v>
      </c>
      <c r="BN82" s="39">
        <f t="shared" si="35"/>
        <v>0</v>
      </c>
      <c r="BO82" s="39">
        <f t="shared" si="35"/>
        <v>0</v>
      </c>
      <c r="BP82" s="39">
        <f t="shared" si="35"/>
        <v>0</v>
      </c>
      <c r="BQ82" s="39">
        <f t="shared" si="35"/>
        <v>0</v>
      </c>
    </row>
    <row r="83" spans="2:69">
      <c r="B83" s="4"/>
      <c r="C83" s="4"/>
      <c r="D83" s="4"/>
      <c r="E83" s="1" t="s">
        <v>89</v>
      </c>
      <c r="F83" s="67"/>
      <c r="G83" s="67"/>
      <c r="H83" s="67"/>
      <c r="I83" s="67"/>
      <c r="J83" s="67"/>
      <c r="K83" s="1" t="s">
        <v>163</v>
      </c>
      <c r="L83" s="1"/>
      <c r="M83" s="1"/>
      <c r="N83" s="39"/>
      <c r="O83" s="39"/>
      <c r="P83" s="39"/>
      <c r="Q83" s="39"/>
      <c r="R83" s="39"/>
      <c r="S83" s="39">
        <f t="shared" si="27"/>
        <v>0</v>
      </c>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row>
    <row r="84" spans="2:69">
      <c r="B84" s="4"/>
      <c r="C84" s="3"/>
      <c r="D84" s="3"/>
      <c r="E84" s="1" t="s">
        <v>94</v>
      </c>
      <c r="F84" s="67"/>
      <c r="G84" s="67"/>
      <c r="H84" s="67"/>
      <c r="I84" s="67"/>
      <c r="J84" s="67"/>
      <c r="K84" s="1" t="s">
        <v>163</v>
      </c>
      <c r="L84" s="1"/>
      <c r="M84" s="1"/>
      <c r="N84" s="39">
        <f>【PL】決算数値入力!K147</f>
        <v>2741846624</v>
      </c>
      <c r="O84" s="39">
        <f>【PL】決算数値入力!L147</f>
        <v>143318400</v>
      </c>
      <c r="P84" s="39">
        <f>【PL】決算数値入力!M147</f>
        <v>338424525</v>
      </c>
      <c r="Q84" s="39">
        <f>【PL】決算数値入力!N147</f>
        <v>111700392</v>
      </c>
      <c r="R84" s="39">
        <f>【PL】決算数値入力!O147</f>
        <v>267791962</v>
      </c>
      <c r="S84" s="39">
        <f t="shared" si="27"/>
        <v>720616380.60000002</v>
      </c>
      <c r="T84" s="39">
        <f>(T121+T122)*1000000</f>
        <v>217000000</v>
      </c>
      <c r="U84" s="39">
        <f t="shared" ref="U84:BQ84" si="36">(U121+U122)*1000000</f>
        <v>0</v>
      </c>
      <c r="V84" s="39">
        <f t="shared" si="36"/>
        <v>127000000</v>
      </c>
      <c r="W84" s="39">
        <f t="shared" si="36"/>
        <v>0</v>
      </c>
      <c r="X84" s="39">
        <f t="shared" si="36"/>
        <v>765000000</v>
      </c>
      <c r="Y84" s="39">
        <f t="shared" si="36"/>
        <v>0</v>
      </c>
      <c r="Z84" s="39">
        <f t="shared" si="36"/>
        <v>0</v>
      </c>
      <c r="AA84" s="39">
        <f t="shared" si="36"/>
        <v>17000000</v>
      </c>
      <c r="AB84" s="39">
        <f t="shared" si="36"/>
        <v>0</v>
      </c>
      <c r="AC84" s="39">
        <f t="shared" si="36"/>
        <v>0</v>
      </c>
      <c r="AD84" s="39">
        <f t="shared" si="36"/>
        <v>63000000</v>
      </c>
      <c r="AE84" s="39">
        <f t="shared" si="36"/>
        <v>0</v>
      </c>
      <c r="AF84" s="39">
        <f>(AF121+AF122)*1000000</f>
        <v>243000000</v>
      </c>
      <c r="AG84" s="39">
        <f t="shared" si="36"/>
        <v>0</v>
      </c>
      <c r="AH84" s="39">
        <f t="shared" si="36"/>
        <v>30000000</v>
      </c>
      <c r="AI84" s="39">
        <f t="shared" si="36"/>
        <v>0</v>
      </c>
      <c r="AJ84" s="39">
        <f t="shared" si="36"/>
        <v>0</v>
      </c>
      <c r="AK84" s="39">
        <f t="shared" si="36"/>
        <v>0</v>
      </c>
      <c r="AL84" s="39">
        <f t="shared" si="36"/>
        <v>0</v>
      </c>
      <c r="AM84" s="39">
        <f t="shared" si="36"/>
        <v>0</v>
      </c>
      <c r="AN84" s="39">
        <f t="shared" si="36"/>
        <v>0</v>
      </c>
      <c r="AO84" s="39">
        <f t="shared" si="36"/>
        <v>0</v>
      </c>
      <c r="AP84" s="39">
        <f t="shared" si="36"/>
        <v>308000000</v>
      </c>
      <c r="AQ84" s="39">
        <f t="shared" si="36"/>
        <v>0</v>
      </c>
      <c r="AR84" s="39">
        <f t="shared" si="36"/>
        <v>39000000</v>
      </c>
      <c r="AS84" s="39">
        <f t="shared" si="36"/>
        <v>0</v>
      </c>
      <c r="AT84" s="39">
        <f t="shared" si="36"/>
        <v>0</v>
      </c>
      <c r="AU84" s="39">
        <f t="shared" si="36"/>
        <v>0</v>
      </c>
      <c r="AV84" s="39">
        <f t="shared" si="36"/>
        <v>0</v>
      </c>
      <c r="AW84" s="39">
        <f t="shared" si="36"/>
        <v>0</v>
      </c>
      <c r="AX84" s="39">
        <f t="shared" si="36"/>
        <v>13000000</v>
      </c>
      <c r="AY84" s="39">
        <f t="shared" si="36"/>
        <v>0</v>
      </c>
      <c r="AZ84" s="39">
        <f t="shared" si="36"/>
        <v>127000000</v>
      </c>
      <c r="BA84" s="39">
        <f t="shared" si="36"/>
        <v>0</v>
      </c>
      <c r="BB84" s="39">
        <f t="shared" si="36"/>
        <v>765000000</v>
      </c>
      <c r="BC84" s="39">
        <f t="shared" si="36"/>
        <v>0</v>
      </c>
      <c r="BD84" s="39">
        <f t="shared" si="36"/>
        <v>0</v>
      </c>
      <c r="BE84" s="39">
        <f t="shared" si="36"/>
        <v>17000000</v>
      </c>
      <c r="BF84" s="39">
        <f t="shared" si="36"/>
        <v>204000000</v>
      </c>
      <c r="BG84" s="39">
        <f t="shared" si="36"/>
        <v>43000000</v>
      </c>
      <c r="BH84" s="39">
        <f t="shared" si="36"/>
        <v>63000000</v>
      </c>
      <c r="BI84" s="39">
        <f t="shared" si="36"/>
        <v>0</v>
      </c>
      <c r="BJ84" s="39">
        <f t="shared" si="36"/>
        <v>75000000</v>
      </c>
      <c r="BK84" s="39">
        <f t="shared" si="36"/>
        <v>0</v>
      </c>
      <c r="BL84" s="39">
        <f t="shared" si="36"/>
        <v>0</v>
      </c>
      <c r="BM84" s="39">
        <f t="shared" si="36"/>
        <v>0</v>
      </c>
      <c r="BN84" s="39">
        <f t="shared" si="36"/>
        <v>0</v>
      </c>
      <c r="BO84" s="39">
        <f t="shared" si="36"/>
        <v>0</v>
      </c>
      <c r="BP84" s="39">
        <f t="shared" si="36"/>
        <v>0</v>
      </c>
      <c r="BQ84" s="39">
        <f t="shared" si="36"/>
        <v>0</v>
      </c>
    </row>
    <row r="85" spans="2:69">
      <c r="B85" s="4"/>
      <c r="C85" s="9" t="s">
        <v>123</v>
      </c>
      <c r="D85" s="7"/>
      <c r="E85" s="8"/>
      <c r="F85" s="67"/>
      <c r="G85" s="67"/>
      <c r="H85" s="67"/>
      <c r="I85" s="67"/>
      <c r="J85" s="67"/>
      <c r="K85" s="1"/>
      <c r="L85" s="1"/>
      <c r="M85" s="1"/>
      <c r="N85" s="39"/>
      <c r="O85" s="39"/>
      <c r="P85" s="39"/>
      <c r="Q85" s="39"/>
      <c r="R85" s="39"/>
      <c r="S85" s="39">
        <f t="shared" si="27"/>
        <v>0</v>
      </c>
      <c r="T85" s="39">
        <f>T124</f>
        <v>111645926</v>
      </c>
      <c r="U85" s="39">
        <f t="shared" ref="U85:BQ85" si="37">U124</f>
        <v>32362.999999999902</v>
      </c>
      <c r="V85" s="39">
        <f t="shared" si="37"/>
        <v>1211510</v>
      </c>
      <c r="W85" s="39">
        <f t="shared" si="37"/>
        <v>983685</v>
      </c>
      <c r="X85" s="39">
        <f t="shared" si="37"/>
        <v>15328036</v>
      </c>
      <c r="Y85" s="39">
        <f t="shared" si="37"/>
        <v>1230213.8999999999</v>
      </c>
      <c r="Z85" s="39">
        <f>Z124</f>
        <v>621489</v>
      </c>
      <c r="AA85" s="39">
        <f t="shared" si="37"/>
        <v>865392</v>
      </c>
      <c r="AB85" s="39">
        <f t="shared" si="37"/>
        <v>1407737</v>
      </c>
      <c r="AC85" s="39">
        <f t="shared" si="37"/>
        <v>1444899</v>
      </c>
      <c r="AD85" s="39">
        <f t="shared" si="37"/>
        <v>0</v>
      </c>
      <c r="AE85" s="39">
        <f t="shared" si="37"/>
        <v>7025547</v>
      </c>
      <c r="AF85" s="39">
        <f t="shared" si="37"/>
        <v>67555147</v>
      </c>
      <c r="AG85" s="39">
        <f t="shared" si="37"/>
        <v>983685</v>
      </c>
      <c r="AH85" s="39">
        <f t="shared" si="37"/>
        <v>2389576</v>
      </c>
      <c r="AI85" s="39">
        <f t="shared" si="37"/>
        <v>1225840</v>
      </c>
      <c r="AJ85" s="39">
        <f t="shared" si="37"/>
        <v>621489</v>
      </c>
      <c r="AK85" s="39">
        <f t="shared" si="37"/>
        <v>865392</v>
      </c>
      <c r="AL85" s="39">
        <f t="shared" si="37"/>
        <v>7215260</v>
      </c>
      <c r="AM85" s="39">
        <f t="shared" si="37"/>
        <v>10191712</v>
      </c>
      <c r="AN85" s="39">
        <f t="shared" si="37"/>
        <v>30747953</v>
      </c>
      <c r="AO85" s="39">
        <f t="shared" si="37"/>
        <v>0</v>
      </c>
      <c r="AP85" s="39">
        <f t="shared" si="37"/>
        <v>14498709</v>
      </c>
      <c r="AQ85" s="39">
        <f t="shared" si="37"/>
        <v>8009232</v>
      </c>
      <c r="AR85" s="39">
        <f t="shared" si="37"/>
        <v>68733213</v>
      </c>
      <c r="AS85" s="39">
        <f t="shared" si="37"/>
        <v>1225840</v>
      </c>
      <c r="AT85" s="39">
        <f t="shared" si="37"/>
        <v>621489</v>
      </c>
      <c r="AU85" s="39">
        <f t="shared" si="37"/>
        <v>865392</v>
      </c>
      <c r="AV85" s="39">
        <f t="shared" si="37"/>
        <v>21153316</v>
      </c>
      <c r="AW85" s="39">
        <f t="shared" si="37"/>
        <v>1444899</v>
      </c>
      <c r="AX85" s="39">
        <f t="shared" si="37"/>
        <v>0</v>
      </c>
      <c r="AY85" s="39">
        <f t="shared" si="37"/>
        <v>0</v>
      </c>
      <c r="AZ85" s="39">
        <f t="shared" si="37"/>
        <v>1211510</v>
      </c>
      <c r="BA85" s="39">
        <f t="shared" si="37"/>
        <v>983685</v>
      </c>
      <c r="BB85" s="39">
        <f t="shared" si="37"/>
        <v>15210685</v>
      </c>
      <c r="BC85" s="39">
        <f t="shared" si="37"/>
        <v>8251387</v>
      </c>
      <c r="BD85" s="39">
        <f t="shared" si="37"/>
        <v>72772649</v>
      </c>
      <c r="BE85" s="39">
        <f t="shared" si="37"/>
        <v>865392</v>
      </c>
      <c r="BF85" s="39">
        <f t="shared" si="37"/>
        <v>10154550</v>
      </c>
      <c r="BG85" s="39">
        <f t="shared" si="37"/>
        <v>1444899</v>
      </c>
      <c r="BH85" s="39">
        <f t="shared" si="37"/>
        <v>30747953</v>
      </c>
      <c r="BI85" s="39">
        <f t="shared" si="37"/>
        <v>0</v>
      </c>
      <c r="BJ85" s="39">
        <f t="shared" si="37"/>
        <v>1211510</v>
      </c>
      <c r="BK85" s="39">
        <f t="shared" si="37"/>
        <v>0</v>
      </c>
      <c r="BL85" s="39">
        <f t="shared" si="37"/>
        <v>0</v>
      </c>
      <c r="BM85" s="39">
        <f t="shared" si="37"/>
        <v>0</v>
      </c>
      <c r="BN85" s="39">
        <f t="shared" si="37"/>
        <v>0</v>
      </c>
      <c r="BO85" s="39">
        <f t="shared" si="37"/>
        <v>0</v>
      </c>
      <c r="BP85" s="39">
        <f t="shared" si="37"/>
        <v>0</v>
      </c>
      <c r="BQ85" s="39">
        <f t="shared" si="37"/>
        <v>0</v>
      </c>
    </row>
    <row r="86" spans="2:69">
      <c r="B86" s="4"/>
      <c r="C86" s="5" t="s">
        <v>124</v>
      </c>
      <c r="D86" s="7"/>
      <c r="E86" s="8"/>
      <c r="F86" s="67"/>
      <c r="G86" s="67"/>
      <c r="H86" s="67"/>
      <c r="I86" s="67"/>
      <c r="J86" s="67"/>
      <c r="K86" s="1"/>
      <c r="L86" s="1"/>
      <c r="M86" s="1"/>
      <c r="N86" s="39">
        <f>SUM(N87:N89)</f>
        <v>0</v>
      </c>
      <c r="O86" s="39">
        <f t="shared" ref="O86:BQ86" si="38">SUM(O87:O89)</f>
        <v>0</v>
      </c>
      <c r="P86" s="39">
        <f t="shared" si="38"/>
        <v>0</v>
      </c>
      <c r="Q86" s="39">
        <f t="shared" si="38"/>
        <v>0</v>
      </c>
      <c r="R86" s="39">
        <f t="shared" si="38"/>
        <v>0</v>
      </c>
      <c r="S86" s="39">
        <f t="shared" si="27"/>
        <v>0</v>
      </c>
      <c r="T86" s="39">
        <f t="shared" si="38"/>
        <v>0</v>
      </c>
      <c r="U86" s="39">
        <f t="shared" si="38"/>
        <v>0</v>
      </c>
      <c r="V86" s="39">
        <f t="shared" si="38"/>
        <v>0</v>
      </c>
      <c r="W86" s="39">
        <f t="shared" si="38"/>
        <v>0</v>
      </c>
      <c r="X86" s="39">
        <f t="shared" si="38"/>
        <v>0</v>
      </c>
      <c r="Y86" s="39">
        <f t="shared" si="38"/>
        <v>0</v>
      </c>
      <c r="Z86" s="39">
        <f t="shared" si="38"/>
        <v>0</v>
      </c>
      <c r="AA86" s="39">
        <f t="shared" si="38"/>
        <v>0</v>
      </c>
      <c r="AB86" s="39">
        <f t="shared" si="38"/>
        <v>0</v>
      </c>
      <c r="AC86" s="39">
        <f t="shared" si="38"/>
        <v>0</v>
      </c>
      <c r="AD86" s="39">
        <f t="shared" si="38"/>
        <v>0</v>
      </c>
      <c r="AE86" s="39">
        <f t="shared" si="38"/>
        <v>0</v>
      </c>
      <c r="AF86" s="39">
        <f t="shared" si="38"/>
        <v>0</v>
      </c>
      <c r="AG86" s="39">
        <f t="shared" si="38"/>
        <v>0</v>
      </c>
      <c r="AH86" s="39">
        <f t="shared" si="38"/>
        <v>0</v>
      </c>
      <c r="AI86" s="39">
        <f t="shared" si="38"/>
        <v>0</v>
      </c>
      <c r="AJ86" s="39">
        <f t="shared" si="38"/>
        <v>0</v>
      </c>
      <c r="AK86" s="39">
        <f t="shared" si="38"/>
        <v>0</v>
      </c>
      <c r="AL86" s="39">
        <f t="shared" si="38"/>
        <v>0</v>
      </c>
      <c r="AM86" s="39">
        <f t="shared" si="38"/>
        <v>0</v>
      </c>
      <c r="AN86" s="39">
        <f t="shared" si="38"/>
        <v>0</v>
      </c>
      <c r="AO86" s="39">
        <f t="shared" si="38"/>
        <v>0</v>
      </c>
      <c r="AP86" s="39">
        <f t="shared" si="38"/>
        <v>0</v>
      </c>
      <c r="AQ86" s="39">
        <f t="shared" si="38"/>
        <v>0</v>
      </c>
      <c r="AR86" s="39">
        <f t="shared" si="38"/>
        <v>0</v>
      </c>
      <c r="AS86" s="39">
        <f t="shared" si="38"/>
        <v>0</v>
      </c>
      <c r="AT86" s="39">
        <f t="shared" si="38"/>
        <v>0</v>
      </c>
      <c r="AU86" s="39">
        <f t="shared" si="38"/>
        <v>0</v>
      </c>
      <c r="AV86" s="39">
        <f t="shared" si="38"/>
        <v>0</v>
      </c>
      <c r="AW86" s="39">
        <f t="shared" si="38"/>
        <v>0</v>
      </c>
      <c r="AX86" s="39">
        <f t="shared" si="38"/>
        <v>0</v>
      </c>
      <c r="AY86" s="39">
        <f t="shared" si="38"/>
        <v>0</v>
      </c>
      <c r="AZ86" s="39">
        <f t="shared" si="38"/>
        <v>0</v>
      </c>
      <c r="BA86" s="39">
        <f t="shared" si="38"/>
        <v>0</v>
      </c>
      <c r="BB86" s="39">
        <f t="shared" si="38"/>
        <v>0</v>
      </c>
      <c r="BC86" s="39">
        <f t="shared" si="38"/>
        <v>0</v>
      </c>
      <c r="BD86" s="39">
        <f t="shared" si="38"/>
        <v>0</v>
      </c>
      <c r="BE86" s="39">
        <f t="shared" si="38"/>
        <v>0</v>
      </c>
      <c r="BF86" s="39">
        <f t="shared" si="38"/>
        <v>0</v>
      </c>
      <c r="BG86" s="39">
        <f t="shared" si="38"/>
        <v>0</v>
      </c>
      <c r="BH86" s="39">
        <f t="shared" si="38"/>
        <v>0</v>
      </c>
      <c r="BI86" s="39">
        <f t="shared" si="38"/>
        <v>0</v>
      </c>
      <c r="BJ86" s="39">
        <f t="shared" si="38"/>
        <v>0</v>
      </c>
      <c r="BK86" s="39">
        <f t="shared" si="38"/>
        <v>0</v>
      </c>
      <c r="BL86" s="39">
        <f t="shared" si="38"/>
        <v>0</v>
      </c>
      <c r="BM86" s="39">
        <f t="shared" si="38"/>
        <v>0</v>
      </c>
      <c r="BN86" s="39">
        <f t="shared" si="38"/>
        <v>0</v>
      </c>
      <c r="BO86" s="39">
        <f t="shared" si="38"/>
        <v>0</v>
      </c>
      <c r="BP86" s="39">
        <f t="shared" si="38"/>
        <v>0</v>
      </c>
      <c r="BQ86" s="39">
        <f t="shared" si="38"/>
        <v>0</v>
      </c>
    </row>
    <row r="87" spans="2:69">
      <c r="B87" s="4"/>
      <c r="C87" s="4"/>
      <c r="D87" s="9" t="s">
        <v>92</v>
      </c>
      <c r="E87" s="8"/>
      <c r="F87" s="67"/>
      <c r="G87" s="67"/>
      <c r="H87" s="67"/>
      <c r="I87" s="67"/>
      <c r="J87" s="67"/>
      <c r="K87" s="1"/>
      <c r="L87" s="1"/>
      <c r="M87" s="1"/>
      <c r="N87" s="39"/>
      <c r="O87" s="39"/>
      <c r="P87" s="39"/>
      <c r="Q87" s="39"/>
      <c r="R87" s="39"/>
      <c r="S87" s="39">
        <f t="shared" si="27"/>
        <v>0</v>
      </c>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row>
    <row r="88" spans="2:69">
      <c r="B88" s="4"/>
      <c r="C88" s="4"/>
      <c r="D88" s="9" t="s">
        <v>125</v>
      </c>
      <c r="E88" s="8"/>
      <c r="F88" s="67"/>
      <c r="G88" s="67"/>
      <c r="H88" s="67"/>
      <c r="I88" s="67"/>
      <c r="J88" s="67"/>
      <c r="K88" s="1" t="s">
        <v>249</v>
      </c>
      <c r="L88" s="1"/>
      <c r="M88" s="1"/>
      <c r="N88" s="39"/>
      <c r="O88" s="39">
        <v>0</v>
      </c>
      <c r="P88" s="39">
        <v>0</v>
      </c>
      <c r="Q88" s="39">
        <v>0</v>
      </c>
      <c r="R88" s="39">
        <v>0</v>
      </c>
      <c r="S88" s="39">
        <f t="shared" si="27"/>
        <v>0</v>
      </c>
      <c r="T88" s="39">
        <f>(T119+T120)*1000000</f>
        <v>0</v>
      </c>
      <c r="U88" s="39">
        <f t="shared" ref="U88:BQ88" si="39">(U119+U120)*1000000</f>
        <v>0</v>
      </c>
      <c r="V88" s="39">
        <f t="shared" si="39"/>
        <v>0</v>
      </c>
      <c r="W88" s="39">
        <f t="shared" si="39"/>
        <v>0</v>
      </c>
      <c r="X88" s="39">
        <f t="shared" si="39"/>
        <v>0</v>
      </c>
      <c r="Y88" s="39">
        <f t="shared" si="39"/>
        <v>0</v>
      </c>
      <c r="Z88" s="39">
        <f t="shared" si="39"/>
        <v>0</v>
      </c>
      <c r="AA88" s="39">
        <f t="shared" si="39"/>
        <v>0</v>
      </c>
      <c r="AB88" s="39">
        <f t="shared" si="39"/>
        <v>0</v>
      </c>
      <c r="AC88" s="39">
        <f t="shared" si="39"/>
        <v>0</v>
      </c>
      <c r="AD88" s="39">
        <f t="shared" si="39"/>
        <v>0</v>
      </c>
      <c r="AE88" s="39">
        <f t="shared" si="39"/>
        <v>0</v>
      </c>
      <c r="AF88" s="39">
        <f t="shared" si="39"/>
        <v>0</v>
      </c>
      <c r="AG88" s="39">
        <f t="shared" si="39"/>
        <v>0</v>
      </c>
      <c r="AH88" s="39">
        <f t="shared" si="39"/>
        <v>0</v>
      </c>
      <c r="AI88" s="39">
        <f t="shared" si="39"/>
        <v>0</v>
      </c>
      <c r="AJ88" s="39">
        <f t="shared" si="39"/>
        <v>0</v>
      </c>
      <c r="AK88" s="39">
        <f t="shared" si="39"/>
        <v>0</v>
      </c>
      <c r="AL88" s="39">
        <f t="shared" si="39"/>
        <v>0</v>
      </c>
      <c r="AM88" s="39">
        <f t="shared" si="39"/>
        <v>0</v>
      </c>
      <c r="AN88" s="39">
        <f t="shared" si="39"/>
        <v>0</v>
      </c>
      <c r="AO88" s="39">
        <f t="shared" si="39"/>
        <v>0</v>
      </c>
      <c r="AP88" s="39">
        <f>(AP119+AP120)*1000000</f>
        <v>0</v>
      </c>
      <c r="AQ88" s="39">
        <f t="shared" si="39"/>
        <v>0</v>
      </c>
      <c r="AR88" s="39">
        <f t="shared" si="39"/>
        <v>0</v>
      </c>
      <c r="AS88" s="39">
        <f t="shared" si="39"/>
        <v>0</v>
      </c>
      <c r="AT88" s="39">
        <f t="shared" si="39"/>
        <v>0</v>
      </c>
      <c r="AU88" s="39">
        <f t="shared" si="39"/>
        <v>0</v>
      </c>
      <c r="AV88" s="39">
        <f t="shared" si="39"/>
        <v>0</v>
      </c>
      <c r="AW88" s="39">
        <f t="shared" si="39"/>
        <v>0</v>
      </c>
      <c r="AX88" s="39">
        <f t="shared" si="39"/>
        <v>0</v>
      </c>
      <c r="AY88" s="39">
        <f t="shared" si="39"/>
        <v>0</v>
      </c>
      <c r="AZ88" s="39">
        <f t="shared" si="39"/>
        <v>0</v>
      </c>
      <c r="BA88" s="39">
        <f t="shared" si="39"/>
        <v>0</v>
      </c>
      <c r="BB88" s="39">
        <f t="shared" si="39"/>
        <v>0</v>
      </c>
      <c r="BC88" s="39">
        <f t="shared" si="39"/>
        <v>0</v>
      </c>
      <c r="BD88" s="39">
        <f t="shared" si="39"/>
        <v>0</v>
      </c>
      <c r="BE88" s="39">
        <f t="shared" si="39"/>
        <v>0</v>
      </c>
      <c r="BF88" s="39">
        <f t="shared" si="39"/>
        <v>0</v>
      </c>
      <c r="BG88" s="39">
        <f t="shared" si="39"/>
        <v>0</v>
      </c>
      <c r="BH88" s="39">
        <f t="shared" si="39"/>
        <v>0</v>
      </c>
      <c r="BI88" s="39">
        <f t="shared" si="39"/>
        <v>0</v>
      </c>
      <c r="BJ88" s="39">
        <f t="shared" si="39"/>
        <v>0</v>
      </c>
      <c r="BK88" s="39">
        <f t="shared" si="39"/>
        <v>0</v>
      </c>
      <c r="BL88" s="39">
        <f t="shared" si="39"/>
        <v>0</v>
      </c>
      <c r="BM88" s="39">
        <f t="shared" si="39"/>
        <v>0</v>
      </c>
      <c r="BN88" s="39">
        <f t="shared" si="39"/>
        <v>0</v>
      </c>
      <c r="BO88" s="39">
        <f t="shared" si="39"/>
        <v>0</v>
      </c>
      <c r="BP88" s="39">
        <f t="shared" si="39"/>
        <v>0</v>
      </c>
      <c r="BQ88" s="39">
        <f t="shared" si="39"/>
        <v>0</v>
      </c>
    </row>
    <row r="89" spans="2:69">
      <c r="B89" s="4"/>
      <c r="C89" s="3"/>
      <c r="D89" s="9" t="s">
        <v>126</v>
      </c>
      <c r="E89" s="8"/>
      <c r="F89" s="67"/>
      <c r="G89" s="67"/>
      <c r="H89" s="67"/>
      <c r="I89" s="67"/>
      <c r="J89" s="67"/>
      <c r="K89" s="1"/>
      <c r="L89" s="1"/>
      <c r="M89" s="1"/>
      <c r="N89" s="39"/>
      <c r="O89" s="39"/>
      <c r="P89" s="39"/>
      <c r="Q89" s="39"/>
      <c r="R89" s="39"/>
      <c r="S89" s="39">
        <f t="shared" si="27"/>
        <v>0</v>
      </c>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row>
    <row r="90" spans="2:69">
      <c r="B90" s="4"/>
      <c r="C90" s="5" t="s">
        <v>629</v>
      </c>
      <c r="D90" s="7"/>
      <c r="E90" s="8"/>
      <c r="F90" s="67"/>
      <c r="G90" s="67"/>
      <c r="H90" s="67"/>
      <c r="I90" s="67"/>
      <c r="J90" s="67"/>
      <c r="K90" s="1"/>
      <c r="L90" s="1"/>
      <c r="M90" s="1"/>
      <c r="N90" s="39">
        <f>SUM(N91:N95)</f>
        <v>0</v>
      </c>
      <c r="O90" s="39">
        <f t="shared" ref="O90:BQ90" si="40">SUM(O91:O95)</f>
        <v>74520</v>
      </c>
      <c r="P90" s="39">
        <f t="shared" si="40"/>
        <v>0</v>
      </c>
      <c r="Q90" s="39">
        <f t="shared" si="40"/>
        <v>0</v>
      </c>
      <c r="R90" s="39">
        <f t="shared" si="40"/>
        <v>0</v>
      </c>
      <c r="S90" s="39">
        <f t="shared" si="27"/>
        <v>14904</v>
      </c>
      <c r="T90" s="39">
        <f>SUM(T91:T95)</f>
        <v>0</v>
      </c>
      <c r="U90" s="39">
        <f t="shared" si="40"/>
        <v>0</v>
      </c>
      <c r="V90" s="39">
        <f t="shared" si="40"/>
        <v>0</v>
      </c>
      <c r="W90" s="39">
        <f t="shared" si="40"/>
        <v>0</v>
      </c>
      <c r="X90" s="39">
        <f t="shared" si="40"/>
        <v>0</v>
      </c>
      <c r="Y90" s="39">
        <f t="shared" si="40"/>
        <v>44100000</v>
      </c>
      <c r="Z90" s="39">
        <f t="shared" si="40"/>
        <v>96732000</v>
      </c>
      <c r="AA90" s="39">
        <f t="shared" si="40"/>
        <v>964000000</v>
      </c>
      <c r="AB90" s="39">
        <f t="shared" si="40"/>
        <v>964000000</v>
      </c>
      <c r="AC90" s="39">
        <f t="shared" si="40"/>
        <v>964000000</v>
      </c>
      <c r="AD90" s="39">
        <f t="shared" si="40"/>
        <v>764000000</v>
      </c>
      <c r="AE90" s="39">
        <f t="shared" si="40"/>
        <v>764000000</v>
      </c>
      <c r="AF90" s="39">
        <f t="shared" si="40"/>
        <v>764000000</v>
      </c>
      <c r="AG90" s="39">
        <f t="shared" si="40"/>
        <v>764000000</v>
      </c>
      <c r="AH90" s="39">
        <f t="shared" si="40"/>
        <v>764000000</v>
      </c>
      <c r="AI90" s="39">
        <f t="shared" si="40"/>
        <v>764000000</v>
      </c>
      <c r="AJ90" s="39">
        <f t="shared" si="40"/>
        <v>84000000</v>
      </c>
      <c r="AK90" s="39">
        <f t="shared" si="40"/>
        <v>84000000</v>
      </c>
      <c r="AL90" s="39">
        <f t="shared" si="40"/>
        <v>84000000</v>
      </c>
      <c r="AM90" s="39">
        <f t="shared" si="40"/>
        <v>84000000</v>
      </c>
      <c r="AN90" s="39">
        <f t="shared" si="40"/>
        <v>84000000</v>
      </c>
      <c r="AO90" s="39">
        <f t="shared" si="40"/>
        <v>84000000</v>
      </c>
      <c r="AP90" s="39">
        <f>SUM(AP91:AP95)</f>
        <v>84000000</v>
      </c>
      <c r="AQ90" s="39">
        <f t="shared" si="40"/>
        <v>84000000</v>
      </c>
      <c r="AR90" s="39">
        <f t="shared" si="40"/>
        <v>84000000</v>
      </c>
      <c r="AS90" s="39">
        <f t="shared" si="40"/>
        <v>84000000</v>
      </c>
      <c r="AT90" s="39">
        <f t="shared" si="40"/>
        <v>84000000</v>
      </c>
      <c r="AU90" s="39">
        <f t="shared" si="40"/>
        <v>84000000</v>
      </c>
      <c r="AV90" s="39">
        <f t="shared" si="40"/>
        <v>84000000</v>
      </c>
      <c r="AW90" s="39">
        <f t="shared" si="40"/>
        <v>84000000</v>
      </c>
      <c r="AX90" s="39">
        <f t="shared" si="40"/>
        <v>84000000</v>
      </c>
      <c r="AY90" s="39">
        <f t="shared" si="40"/>
        <v>84000000</v>
      </c>
      <c r="AZ90" s="39">
        <f t="shared" si="40"/>
        <v>84000000</v>
      </c>
      <c r="BA90" s="39">
        <f t="shared" si="40"/>
        <v>84000000</v>
      </c>
      <c r="BB90" s="39">
        <f t="shared" si="40"/>
        <v>84000000</v>
      </c>
      <c r="BC90" s="39">
        <f t="shared" si="40"/>
        <v>84000000</v>
      </c>
      <c r="BD90" s="39">
        <f t="shared" si="40"/>
        <v>84000000</v>
      </c>
      <c r="BE90" s="39">
        <f t="shared" si="40"/>
        <v>84000000</v>
      </c>
      <c r="BF90" s="39">
        <f t="shared" si="40"/>
        <v>84000000</v>
      </c>
      <c r="BG90" s="39">
        <f t="shared" si="40"/>
        <v>84000000</v>
      </c>
      <c r="BH90" s="39">
        <f t="shared" si="40"/>
        <v>84000000</v>
      </c>
      <c r="BI90" s="39">
        <f t="shared" si="40"/>
        <v>84000000</v>
      </c>
      <c r="BJ90" s="39">
        <f t="shared" si="40"/>
        <v>84000000</v>
      </c>
      <c r="BK90" s="39">
        <f t="shared" si="40"/>
        <v>84000000</v>
      </c>
      <c r="BL90" s="39">
        <f t="shared" si="40"/>
        <v>84000000</v>
      </c>
      <c r="BM90" s="39">
        <f t="shared" si="40"/>
        <v>84000000</v>
      </c>
      <c r="BN90" s="39">
        <f t="shared" si="40"/>
        <v>84000000</v>
      </c>
      <c r="BO90" s="39">
        <f t="shared" si="40"/>
        <v>84000000</v>
      </c>
      <c r="BP90" s="39">
        <f t="shared" si="40"/>
        <v>84000000</v>
      </c>
      <c r="BQ90" s="39">
        <f t="shared" si="40"/>
        <v>84000000</v>
      </c>
    </row>
    <row r="91" spans="2:69">
      <c r="B91" s="4"/>
      <c r="C91" s="4"/>
      <c r="D91" s="9" t="s">
        <v>92</v>
      </c>
      <c r="E91" s="8"/>
      <c r="F91" s="67"/>
      <c r="G91" s="67"/>
      <c r="H91" s="67"/>
      <c r="I91" s="67"/>
      <c r="J91" s="67"/>
      <c r="K91" s="1"/>
      <c r="L91" s="1"/>
      <c r="M91" s="1"/>
      <c r="N91" s="39"/>
      <c r="O91" s="39"/>
      <c r="P91" s="39"/>
      <c r="Q91" s="39"/>
      <c r="R91" s="39"/>
      <c r="S91" s="39">
        <f t="shared" si="27"/>
        <v>0</v>
      </c>
      <c r="T91" s="39"/>
      <c r="U91" s="39"/>
      <c r="V91" s="39"/>
      <c r="W91" s="39"/>
      <c r="X91" s="39"/>
      <c r="Y91" s="39">
        <f>Y75+Y77+10000000</f>
        <v>44100000</v>
      </c>
      <c r="Z91" s="39">
        <f>Z75+Z77+10000000</f>
        <v>92732000</v>
      </c>
      <c r="AA91" s="39">
        <v>10000000</v>
      </c>
      <c r="AB91" s="39">
        <v>10000000</v>
      </c>
      <c r="AC91" s="39">
        <v>10000000</v>
      </c>
      <c r="AD91" s="39">
        <v>10000000</v>
      </c>
      <c r="AE91" s="39">
        <v>10000000</v>
      </c>
      <c r="AF91" s="39">
        <v>10000000</v>
      </c>
      <c r="AG91" s="39">
        <v>10000000</v>
      </c>
      <c r="AH91" s="130">
        <v>10000000</v>
      </c>
      <c r="AI91" s="130">
        <v>10000000</v>
      </c>
      <c r="AJ91" s="130">
        <v>10000000</v>
      </c>
      <c r="AK91" s="130">
        <v>10000000</v>
      </c>
      <c r="AL91" s="130">
        <v>10000000</v>
      </c>
      <c r="AM91" s="130">
        <v>10000000</v>
      </c>
      <c r="AN91" s="130">
        <v>10000000</v>
      </c>
      <c r="AO91" s="130">
        <v>10000000</v>
      </c>
      <c r="AP91" s="130">
        <v>10000000</v>
      </c>
      <c r="AQ91" s="130">
        <v>10000000</v>
      </c>
      <c r="AR91" s="130">
        <v>10000000</v>
      </c>
      <c r="AS91" s="130">
        <v>10000000</v>
      </c>
      <c r="AT91" s="130">
        <v>10000000</v>
      </c>
      <c r="AU91" s="130">
        <v>10000000</v>
      </c>
      <c r="AV91" s="130">
        <v>10000000</v>
      </c>
      <c r="AW91" s="130">
        <v>10000000</v>
      </c>
      <c r="AX91" s="130">
        <v>10000000</v>
      </c>
      <c r="AY91" s="130">
        <v>10000000</v>
      </c>
      <c r="AZ91" s="130">
        <v>10000000</v>
      </c>
      <c r="BA91" s="130">
        <v>10000000</v>
      </c>
      <c r="BB91" s="130">
        <v>10000000</v>
      </c>
      <c r="BC91" s="130">
        <v>10000000</v>
      </c>
      <c r="BD91" s="130">
        <v>10000000</v>
      </c>
      <c r="BE91" s="130">
        <v>10000000</v>
      </c>
      <c r="BF91" s="130">
        <v>10000000</v>
      </c>
      <c r="BG91" s="130">
        <v>10000000</v>
      </c>
      <c r="BH91" s="130">
        <v>10000000</v>
      </c>
      <c r="BI91" s="130">
        <v>10000000</v>
      </c>
      <c r="BJ91" s="130">
        <v>10000000</v>
      </c>
      <c r="BK91" s="130">
        <v>10000000</v>
      </c>
      <c r="BL91" s="130">
        <v>10000000</v>
      </c>
      <c r="BM91" s="130">
        <v>10000000</v>
      </c>
      <c r="BN91" s="130">
        <v>10000000</v>
      </c>
      <c r="BO91" s="130">
        <v>10000000</v>
      </c>
      <c r="BP91" s="130">
        <v>10000000</v>
      </c>
      <c r="BQ91" s="130">
        <v>10000000</v>
      </c>
    </row>
    <row r="92" spans="2:69">
      <c r="B92" s="4"/>
      <c r="C92" s="4"/>
      <c r="D92" s="9" t="s">
        <v>125</v>
      </c>
      <c r="E92" s="8"/>
      <c r="F92" s="67"/>
      <c r="G92" s="67"/>
      <c r="H92" s="67"/>
      <c r="I92" s="67"/>
      <c r="J92" s="67"/>
      <c r="K92" s="1" t="s">
        <v>249</v>
      </c>
      <c r="L92" s="1"/>
      <c r="M92" s="1"/>
      <c r="N92" s="39">
        <v>0</v>
      </c>
      <c r="O92" s="39">
        <v>74520</v>
      </c>
      <c r="P92" s="39">
        <v>0</v>
      </c>
      <c r="Q92" s="39">
        <v>0</v>
      </c>
      <c r="R92" s="39">
        <v>0</v>
      </c>
      <c r="S92" s="39">
        <f t="shared" si="27"/>
        <v>14904</v>
      </c>
      <c r="T92" s="39"/>
      <c r="U92" s="39"/>
      <c r="V92" s="39"/>
      <c r="W92" s="39"/>
      <c r="X92" s="39"/>
      <c r="Y92" s="39"/>
      <c r="Z92" s="39"/>
      <c r="AA92" s="39">
        <f>AA75+AA77+150000000</f>
        <v>950000000</v>
      </c>
      <c r="AB92" s="39">
        <f t="shared" ref="AB92:AI92" si="41">AB75+AB77+150000000</f>
        <v>950000000</v>
      </c>
      <c r="AC92" s="39">
        <f t="shared" si="41"/>
        <v>950000000</v>
      </c>
      <c r="AD92" s="39">
        <f t="shared" si="41"/>
        <v>750000000</v>
      </c>
      <c r="AE92" s="39">
        <f t="shared" si="41"/>
        <v>750000000</v>
      </c>
      <c r="AF92" s="39">
        <f t="shared" si="41"/>
        <v>750000000</v>
      </c>
      <c r="AG92" s="39">
        <f t="shared" si="41"/>
        <v>750000000</v>
      </c>
      <c r="AH92" s="39">
        <f t="shared" si="41"/>
        <v>750000000</v>
      </c>
      <c r="AI92" s="39">
        <f t="shared" si="41"/>
        <v>750000000</v>
      </c>
      <c r="AJ92" s="130">
        <v>70000000</v>
      </c>
      <c r="AK92" s="130">
        <v>70000000</v>
      </c>
      <c r="AL92" s="130">
        <v>70000000</v>
      </c>
      <c r="AM92" s="130">
        <v>70000000</v>
      </c>
      <c r="AN92" s="130">
        <v>70000000</v>
      </c>
      <c r="AO92" s="130">
        <v>70000000</v>
      </c>
      <c r="AP92" s="130">
        <v>70000000</v>
      </c>
      <c r="AQ92" s="130">
        <v>70000000</v>
      </c>
      <c r="AR92" s="130">
        <v>70000000</v>
      </c>
      <c r="AS92" s="130">
        <v>70000000</v>
      </c>
      <c r="AT92" s="130">
        <v>70000000</v>
      </c>
      <c r="AU92" s="130">
        <v>70000000</v>
      </c>
      <c r="AV92" s="130">
        <v>70000000</v>
      </c>
      <c r="AW92" s="130">
        <v>70000000</v>
      </c>
      <c r="AX92" s="130">
        <v>70000000</v>
      </c>
      <c r="AY92" s="130">
        <v>70000000</v>
      </c>
      <c r="AZ92" s="130">
        <v>70000000</v>
      </c>
      <c r="BA92" s="130">
        <v>70000000</v>
      </c>
      <c r="BB92" s="130">
        <v>70000000</v>
      </c>
      <c r="BC92" s="130">
        <v>70000000</v>
      </c>
      <c r="BD92" s="130">
        <v>70000000</v>
      </c>
      <c r="BE92" s="130">
        <v>70000000</v>
      </c>
      <c r="BF92" s="130">
        <v>70000000</v>
      </c>
      <c r="BG92" s="130">
        <v>70000000</v>
      </c>
      <c r="BH92" s="130">
        <v>70000000</v>
      </c>
      <c r="BI92" s="130">
        <v>70000000</v>
      </c>
      <c r="BJ92" s="130">
        <v>70000000</v>
      </c>
      <c r="BK92" s="130">
        <v>70000000</v>
      </c>
      <c r="BL92" s="130">
        <v>70000000</v>
      </c>
      <c r="BM92" s="130">
        <v>70000000</v>
      </c>
      <c r="BN92" s="130">
        <v>70000000</v>
      </c>
      <c r="BO92" s="130">
        <v>70000000</v>
      </c>
      <c r="BP92" s="130">
        <v>70000000</v>
      </c>
      <c r="BQ92" s="130">
        <v>70000000</v>
      </c>
    </row>
    <row r="93" spans="2:69">
      <c r="B93" s="4"/>
      <c r="C93" s="4"/>
      <c r="D93" s="9" t="s">
        <v>128</v>
      </c>
      <c r="E93" s="8"/>
      <c r="F93" s="67"/>
      <c r="G93" s="67"/>
      <c r="H93" s="67"/>
      <c r="I93" s="67"/>
      <c r="J93" s="67"/>
      <c r="K93" s="1"/>
      <c r="L93" s="1"/>
      <c r="M93" s="1"/>
      <c r="N93" s="39"/>
      <c r="O93" s="39"/>
      <c r="P93" s="39"/>
      <c r="Q93" s="39"/>
      <c r="R93" s="39"/>
      <c r="S93" s="39">
        <f t="shared" si="27"/>
        <v>0</v>
      </c>
      <c r="T93" s="39"/>
      <c r="U93" s="39"/>
      <c r="V93" s="39"/>
      <c r="W93" s="39"/>
      <c r="X93" s="39"/>
      <c r="Y93" s="39"/>
      <c r="Z93" s="39">
        <v>4000000</v>
      </c>
      <c r="AA93" s="39">
        <v>4000000</v>
      </c>
      <c r="AB93" s="39">
        <v>4000000</v>
      </c>
      <c r="AC93" s="39">
        <v>4000000</v>
      </c>
      <c r="AD93" s="39">
        <v>4000000</v>
      </c>
      <c r="AE93" s="39">
        <v>4000000</v>
      </c>
      <c r="AF93" s="39">
        <v>4000000</v>
      </c>
      <c r="AG93" s="39">
        <v>4000000</v>
      </c>
      <c r="AH93" s="39">
        <v>4000000</v>
      </c>
      <c r="AI93" s="39">
        <v>4000000</v>
      </c>
      <c r="AJ93" s="39">
        <v>4000000</v>
      </c>
      <c r="AK93" s="39">
        <v>4000000</v>
      </c>
      <c r="AL93" s="39">
        <v>4000000</v>
      </c>
      <c r="AM93" s="39">
        <v>4000000</v>
      </c>
      <c r="AN93" s="39">
        <v>4000000</v>
      </c>
      <c r="AO93" s="39">
        <v>4000000</v>
      </c>
      <c r="AP93" s="39">
        <v>4000000</v>
      </c>
      <c r="AQ93" s="39">
        <v>4000000</v>
      </c>
      <c r="AR93" s="39">
        <v>4000000</v>
      </c>
      <c r="AS93" s="39">
        <v>4000000</v>
      </c>
      <c r="AT93" s="39">
        <v>4000000</v>
      </c>
      <c r="AU93" s="39">
        <v>4000000</v>
      </c>
      <c r="AV93" s="39">
        <v>4000000</v>
      </c>
      <c r="AW93" s="39">
        <v>4000000</v>
      </c>
      <c r="AX93" s="39">
        <v>4000000</v>
      </c>
      <c r="AY93" s="39">
        <v>4000000</v>
      </c>
      <c r="AZ93" s="39">
        <v>4000000</v>
      </c>
      <c r="BA93" s="39">
        <v>4000000</v>
      </c>
      <c r="BB93" s="39">
        <v>4000000</v>
      </c>
      <c r="BC93" s="39">
        <v>4000000</v>
      </c>
      <c r="BD93" s="39">
        <v>4000000</v>
      </c>
      <c r="BE93" s="39">
        <v>4000000</v>
      </c>
      <c r="BF93" s="39">
        <v>4000000</v>
      </c>
      <c r="BG93" s="39">
        <v>4000000</v>
      </c>
      <c r="BH93" s="39">
        <v>4000000</v>
      </c>
      <c r="BI93" s="39">
        <v>4000000</v>
      </c>
      <c r="BJ93" s="39">
        <v>4000000</v>
      </c>
      <c r="BK93" s="39">
        <v>4000000</v>
      </c>
      <c r="BL93" s="39">
        <v>4000000</v>
      </c>
      <c r="BM93" s="39">
        <v>4000000</v>
      </c>
      <c r="BN93" s="39">
        <v>4000000</v>
      </c>
      <c r="BO93" s="39">
        <v>4000000</v>
      </c>
      <c r="BP93" s="39">
        <v>4000000</v>
      </c>
      <c r="BQ93" s="39">
        <v>4000000</v>
      </c>
    </row>
    <row r="94" spans="2:69">
      <c r="B94" s="4"/>
      <c r="C94" s="4"/>
      <c r="D94" s="9" t="s">
        <v>126</v>
      </c>
      <c r="E94" s="8"/>
      <c r="F94" s="67"/>
      <c r="G94" s="67"/>
      <c r="H94" s="67"/>
      <c r="I94" s="67"/>
      <c r="J94" s="67"/>
      <c r="K94" s="1"/>
      <c r="L94" s="1"/>
      <c r="M94" s="1"/>
      <c r="N94" s="39"/>
      <c r="O94" s="39"/>
      <c r="P94" s="39"/>
      <c r="Q94" s="39"/>
      <c r="R94" s="39"/>
      <c r="S94" s="39">
        <f t="shared" si="27"/>
        <v>0</v>
      </c>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row>
    <row r="95" spans="2:69">
      <c r="B95" s="4"/>
      <c r="C95" s="3"/>
      <c r="D95" s="9" t="s">
        <v>129</v>
      </c>
      <c r="E95" s="8"/>
      <c r="F95" s="67"/>
      <c r="G95" s="67"/>
      <c r="H95" s="67"/>
      <c r="I95" s="67"/>
      <c r="J95" s="67"/>
      <c r="K95" s="1"/>
      <c r="L95" s="1"/>
      <c r="M95" s="1"/>
      <c r="N95" s="39"/>
      <c r="O95" s="39"/>
      <c r="P95" s="39"/>
      <c r="Q95" s="39"/>
      <c r="R95" s="39"/>
      <c r="S95" s="39">
        <f t="shared" si="27"/>
        <v>0</v>
      </c>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row>
    <row r="96" spans="2:69">
      <c r="B96" s="4"/>
      <c r="C96" s="2" t="s">
        <v>130</v>
      </c>
      <c r="D96" s="1"/>
      <c r="E96" s="1"/>
      <c r="F96" s="67"/>
      <c r="G96" s="67"/>
      <c r="H96" s="67"/>
      <c r="I96" s="67"/>
      <c r="J96" s="67"/>
      <c r="K96" s="1"/>
      <c r="L96" s="1"/>
      <c r="M96" s="1"/>
      <c r="N96" s="39">
        <f>SUM(N97:N98)</f>
        <v>5011414</v>
      </c>
      <c r="O96" s="39">
        <f t="shared" ref="O96:BQ96" si="42">SUM(O97:O98)</f>
        <v>6752975</v>
      </c>
      <c r="P96" s="39">
        <f t="shared" si="42"/>
        <v>7340812</v>
      </c>
      <c r="Q96" s="39">
        <f t="shared" si="42"/>
        <v>9283535</v>
      </c>
      <c r="R96" s="39">
        <f t="shared" si="42"/>
        <v>12385753</v>
      </c>
      <c r="S96" s="39">
        <f t="shared" si="27"/>
        <v>8154897.7999999998</v>
      </c>
      <c r="T96" s="39">
        <f t="shared" si="42"/>
        <v>79463153</v>
      </c>
      <c r="U96" s="39">
        <f t="shared" si="42"/>
        <v>68677346</v>
      </c>
      <c r="V96" s="39">
        <f t="shared" si="42"/>
        <v>59243717</v>
      </c>
      <c r="W96" s="39">
        <f t="shared" si="42"/>
        <v>56944226</v>
      </c>
      <c r="X96" s="39">
        <f t="shared" si="42"/>
        <v>44070542</v>
      </c>
      <c r="Y96" s="39">
        <f t="shared" si="42"/>
        <v>35997091</v>
      </c>
      <c r="Z96" s="39">
        <f t="shared" si="42"/>
        <v>37918317</v>
      </c>
      <c r="AA96" s="39">
        <f t="shared" si="42"/>
        <v>41518197</v>
      </c>
      <c r="AB96" s="39">
        <f t="shared" si="42"/>
        <v>46399311</v>
      </c>
      <c r="AC96" s="39">
        <f t="shared" si="42"/>
        <v>52991959</v>
      </c>
      <c r="AD96" s="39">
        <f t="shared" si="42"/>
        <v>58115657</v>
      </c>
      <c r="AE96" s="39">
        <f t="shared" si="42"/>
        <v>58670006</v>
      </c>
      <c r="AF96" s="39">
        <f t="shared" si="42"/>
        <v>62445456</v>
      </c>
      <c r="AG96" s="39">
        <f t="shared" si="42"/>
        <v>66300193</v>
      </c>
      <c r="AH96" s="39">
        <f t="shared" si="42"/>
        <v>76391834</v>
      </c>
      <c r="AI96" s="39">
        <f t="shared" si="42"/>
        <v>86695401</v>
      </c>
      <c r="AJ96" s="39">
        <f t="shared" si="42"/>
        <v>97215343</v>
      </c>
      <c r="AK96" s="39">
        <f t="shared" si="42"/>
        <v>107956201</v>
      </c>
      <c r="AL96" s="39">
        <f t="shared" si="42"/>
        <v>119408616</v>
      </c>
      <c r="AM96" s="39">
        <f t="shared" si="42"/>
        <v>131474127</v>
      </c>
      <c r="AN96" s="39">
        <f t="shared" si="42"/>
        <v>143793015</v>
      </c>
      <c r="AO96" s="39">
        <f t="shared" si="42"/>
        <v>156370600</v>
      </c>
      <c r="AP96" s="39">
        <f t="shared" si="42"/>
        <v>160464378</v>
      </c>
      <c r="AQ96" s="39">
        <f t="shared" si="42"/>
        <v>164644124</v>
      </c>
      <c r="AR96" s="39">
        <f t="shared" si="42"/>
        <v>168911643</v>
      </c>
      <c r="AS96" s="39">
        <f t="shared" si="42"/>
        <v>173268782</v>
      </c>
      <c r="AT96" s="39">
        <f t="shared" si="42"/>
        <v>177717420</v>
      </c>
      <c r="AU96" s="39">
        <f t="shared" si="42"/>
        <v>182259480</v>
      </c>
      <c r="AV96" s="39">
        <f t="shared" si="42"/>
        <v>186896924</v>
      </c>
      <c r="AW96" s="39">
        <f t="shared" si="42"/>
        <v>191631756</v>
      </c>
      <c r="AX96" s="39">
        <f t="shared" si="42"/>
        <v>196466016</v>
      </c>
      <c r="AY96" s="39">
        <f t="shared" si="42"/>
        <v>201401796</v>
      </c>
      <c r="AZ96" s="39">
        <f t="shared" si="42"/>
        <v>206441228</v>
      </c>
      <c r="BA96" s="39">
        <f t="shared" si="42"/>
        <v>211586490</v>
      </c>
      <c r="BB96" s="39">
        <f t="shared" si="42"/>
        <v>216839797</v>
      </c>
      <c r="BC96" s="39">
        <f t="shared" si="42"/>
        <v>222203425</v>
      </c>
      <c r="BD96" s="39">
        <f t="shared" si="42"/>
        <v>227679692</v>
      </c>
      <c r="BE96" s="39">
        <f t="shared" si="42"/>
        <v>233270959</v>
      </c>
      <c r="BF96" s="39">
        <f t="shared" si="42"/>
        <v>238979645</v>
      </c>
      <c r="BG96" s="39">
        <f t="shared" si="42"/>
        <v>244808211</v>
      </c>
      <c r="BH96" s="39">
        <f t="shared" si="42"/>
        <v>250759180</v>
      </c>
      <c r="BI96" s="39">
        <f t="shared" si="42"/>
        <v>247892265</v>
      </c>
      <c r="BJ96" s="39">
        <f t="shared" si="42"/>
        <v>246341539</v>
      </c>
      <c r="BK96" s="39">
        <f t="shared" si="42"/>
        <v>235634235</v>
      </c>
      <c r="BL96" s="39">
        <f t="shared" si="42"/>
        <v>225628201</v>
      </c>
      <c r="BM96" s="39">
        <f t="shared" si="42"/>
        <v>215970039</v>
      </c>
      <c r="BN96" s="39">
        <f t="shared" si="42"/>
        <v>211689036</v>
      </c>
      <c r="BO96" s="39">
        <f t="shared" si="42"/>
        <v>207318131</v>
      </c>
      <c r="BP96" s="39">
        <f t="shared" si="42"/>
        <v>200995447</v>
      </c>
      <c r="BQ96" s="39">
        <f t="shared" si="42"/>
        <v>192307993</v>
      </c>
    </row>
    <row r="97" spans="2:69">
      <c r="B97" s="4"/>
      <c r="C97" s="4"/>
      <c r="D97" s="9" t="s">
        <v>105</v>
      </c>
      <c r="E97" s="8"/>
      <c r="F97" s="67"/>
      <c r="G97" s="67"/>
      <c r="H97" s="67"/>
      <c r="I97" s="67"/>
      <c r="J97" s="67"/>
      <c r="K97" s="1" t="s">
        <v>250</v>
      </c>
      <c r="L97" s="1"/>
      <c r="M97" s="1"/>
      <c r="N97" s="39">
        <f>【PL】決算数値入力!K156</f>
        <v>5011414</v>
      </c>
      <c r="O97" s="39">
        <f>【PL】決算数値入力!L156</f>
        <v>6752975</v>
      </c>
      <c r="P97" s="39">
        <f>【PL】決算数値入力!M156</f>
        <v>7340812</v>
      </c>
      <c r="Q97" s="39">
        <f>【PL】決算数値入力!N156</f>
        <v>9283535</v>
      </c>
      <c r="R97" s="39">
        <f>【PL】決算数値入力!O156</f>
        <v>12385753</v>
      </c>
      <c r="S97" s="39">
        <f t="shared" si="27"/>
        <v>8154897.7999999998</v>
      </c>
      <c r="T97" s="39">
        <v>79463153</v>
      </c>
      <c r="U97" s="39">
        <v>64782894</v>
      </c>
      <c r="V97" s="39">
        <v>51972425</v>
      </c>
      <c r="W97" s="39">
        <v>42251834</v>
      </c>
      <c r="X97" s="39">
        <v>22557258</v>
      </c>
      <c r="Y97" s="39">
        <v>7762672</v>
      </c>
      <c r="Z97" s="39">
        <v>5251603</v>
      </c>
      <c r="AA97" s="39">
        <v>4326110</v>
      </c>
      <c r="AB97" s="39">
        <v>3776824</v>
      </c>
      <c r="AC97" s="39">
        <v>3853040</v>
      </c>
      <c r="AD97" s="39">
        <v>3619451</v>
      </c>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row>
    <row r="98" spans="2:69">
      <c r="B98" s="4"/>
      <c r="C98" s="3"/>
      <c r="D98" s="9" t="s">
        <v>131</v>
      </c>
      <c r="E98" s="8"/>
      <c r="F98" s="67"/>
      <c r="G98" s="67"/>
      <c r="H98" s="67"/>
      <c r="I98" s="67"/>
      <c r="J98" s="67"/>
      <c r="K98" s="1" t="s">
        <v>251</v>
      </c>
      <c r="L98" s="1"/>
      <c r="M98" s="1"/>
      <c r="N98" s="39"/>
      <c r="O98" s="39"/>
      <c r="P98" s="39"/>
      <c r="Q98" s="39"/>
      <c r="R98" s="39"/>
      <c r="S98" s="39">
        <f t="shared" si="27"/>
        <v>0</v>
      </c>
      <c r="T98" s="39">
        <f>新規債返済スケジュール!E2</f>
        <v>0</v>
      </c>
      <c r="U98" s="39">
        <f>新規債返済スケジュール!F2</f>
        <v>3894452</v>
      </c>
      <c r="V98" s="39">
        <f>新規債返済スケジュール!G2</f>
        <v>7271292</v>
      </c>
      <c r="W98" s="39">
        <f>新規債返済スケジュール!H2</f>
        <v>14692392</v>
      </c>
      <c r="X98" s="39">
        <f>新規債返済スケジュール!I2</f>
        <v>21513284</v>
      </c>
      <c r="Y98" s="39">
        <f>新規債返済スケジュール!J2</f>
        <v>28234419</v>
      </c>
      <c r="Z98" s="39">
        <f>新規債返済スケジュール!K2</f>
        <v>32666714</v>
      </c>
      <c r="AA98" s="39">
        <f>新規債返済スケジュール!L2</f>
        <v>37192087</v>
      </c>
      <c r="AB98" s="39">
        <f>新規債返済スケジュール!M2</f>
        <v>42622487</v>
      </c>
      <c r="AC98" s="39">
        <f>新規債返済スケジュール!N2</f>
        <v>49138919</v>
      </c>
      <c r="AD98" s="39">
        <f>新規債返済スケジュール!O2</f>
        <v>54496206</v>
      </c>
      <c r="AE98" s="39">
        <f>新規債返済スケジュール!P2</f>
        <v>58670006</v>
      </c>
      <c r="AF98" s="39">
        <f>新規債返済スケジュール!Q2</f>
        <v>62445456</v>
      </c>
      <c r="AG98" s="39">
        <f>新規債返済スケジュール!R2</f>
        <v>66300193</v>
      </c>
      <c r="AH98" s="39">
        <f>新規債返済スケジュール!S2</f>
        <v>76391834</v>
      </c>
      <c r="AI98" s="39">
        <f>新規債返済スケジュール!T2</f>
        <v>86695401</v>
      </c>
      <c r="AJ98" s="39">
        <f>新規債返済スケジュール!U2</f>
        <v>97215343</v>
      </c>
      <c r="AK98" s="39">
        <f>新規債返済スケジュール!V2</f>
        <v>107956201</v>
      </c>
      <c r="AL98" s="39">
        <f>新規債返済スケジュール!W2</f>
        <v>119408616</v>
      </c>
      <c r="AM98" s="39">
        <f>新規債返済スケジュール!X2</f>
        <v>131474127</v>
      </c>
      <c r="AN98" s="39">
        <f>新規債返済スケジュール!Y2</f>
        <v>143793015</v>
      </c>
      <c r="AO98" s="39">
        <f>新規債返済スケジュール!Z2</f>
        <v>156370600</v>
      </c>
      <c r="AP98" s="39">
        <f>新規債返済スケジュール!AA2</f>
        <v>160464378</v>
      </c>
      <c r="AQ98" s="39">
        <f>新規債返済スケジュール!AB2</f>
        <v>164644124</v>
      </c>
      <c r="AR98" s="39">
        <f>新規債返済スケジュール!AC2</f>
        <v>168911643</v>
      </c>
      <c r="AS98" s="39">
        <f>新規債返済スケジュール!AD2</f>
        <v>173268782</v>
      </c>
      <c r="AT98" s="39">
        <f>新規債返済スケジュール!AE2</f>
        <v>177717420</v>
      </c>
      <c r="AU98" s="39">
        <f>新規債返済スケジュール!AF2</f>
        <v>182259480</v>
      </c>
      <c r="AV98" s="39">
        <f>新規債返済スケジュール!AG2</f>
        <v>186896924</v>
      </c>
      <c r="AW98" s="39">
        <f>新規債返済スケジュール!AH2</f>
        <v>191631756</v>
      </c>
      <c r="AX98" s="39">
        <f>新規債返済スケジュール!AI2</f>
        <v>196466016</v>
      </c>
      <c r="AY98" s="39">
        <f>新規債返済スケジュール!AJ2</f>
        <v>201401796</v>
      </c>
      <c r="AZ98" s="39">
        <f>新規債返済スケジュール!AK2</f>
        <v>206441228</v>
      </c>
      <c r="BA98" s="39">
        <f>新規債返済スケジュール!AL2</f>
        <v>211586490</v>
      </c>
      <c r="BB98" s="39">
        <f>新規債返済スケジュール!AM2</f>
        <v>216839797</v>
      </c>
      <c r="BC98" s="39">
        <f>新規債返済スケジュール!AN2</f>
        <v>222203425</v>
      </c>
      <c r="BD98" s="39">
        <f>新規債返済スケジュール!AO2</f>
        <v>227679692</v>
      </c>
      <c r="BE98" s="39">
        <f>新規債返済スケジュール!AP2</f>
        <v>233270959</v>
      </c>
      <c r="BF98" s="39">
        <f>新規債返済スケジュール!AQ2</f>
        <v>238979645</v>
      </c>
      <c r="BG98" s="39">
        <f>新規債返済スケジュール!AR2</f>
        <v>244808211</v>
      </c>
      <c r="BH98" s="39">
        <f>新規債返済スケジュール!AS2</f>
        <v>250759180</v>
      </c>
      <c r="BI98" s="39">
        <f>新規債返済スケジュール!AT2</f>
        <v>247892265</v>
      </c>
      <c r="BJ98" s="39">
        <f>新規債返済スケジュール!AU2</f>
        <v>246341539</v>
      </c>
      <c r="BK98" s="39">
        <f>新規債返済スケジュール!AV2</f>
        <v>235634235</v>
      </c>
      <c r="BL98" s="39">
        <f>新規債返済スケジュール!AW2</f>
        <v>225628201</v>
      </c>
      <c r="BM98" s="39">
        <f>新規債返済スケジュール!AX2</f>
        <v>215970039</v>
      </c>
      <c r="BN98" s="39">
        <f>新規債返済スケジュール!AY2</f>
        <v>211689036</v>
      </c>
      <c r="BO98" s="39">
        <f>新規債返済スケジュール!AZ2</f>
        <v>207318131</v>
      </c>
      <c r="BP98" s="39">
        <f>新規債返済スケジュール!BA2</f>
        <v>200995447</v>
      </c>
      <c r="BQ98" s="39">
        <f>新規債返済スケジュール!BB2</f>
        <v>192307993</v>
      </c>
    </row>
    <row r="99" spans="2:69">
      <c r="B99" s="3"/>
      <c r="C99" s="1" t="s">
        <v>132</v>
      </c>
      <c r="D99" s="1"/>
      <c r="E99" s="1"/>
      <c r="F99" s="67"/>
      <c r="G99" s="67"/>
      <c r="H99" s="67"/>
      <c r="I99" s="67"/>
      <c r="J99" s="67"/>
      <c r="K99" s="1"/>
      <c r="L99" s="1"/>
      <c r="M99" s="1"/>
      <c r="N99" s="39"/>
      <c r="O99" s="39"/>
      <c r="P99" s="39"/>
      <c r="Q99" s="39"/>
      <c r="R99" s="39"/>
      <c r="S99" s="39">
        <f t="shared" si="27"/>
        <v>0</v>
      </c>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row>
    <row r="100" spans="2:69">
      <c r="B100" s="9" t="s">
        <v>133</v>
      </c>
      <c r="C100" s="7"/>
      <c r="D100" s="7"/>
      <c r="E100" s="8"/>
      <c r="F100" s="67"/>
      <c r="G100" s="67"/>
      <c r="H100" s="67"/>
      <c r="I100" s="67"/>
      <c r="J100" s="67"/>
      <c r="K100" s="1"/>
      <c r="L100" s="1"/>
      <c r="M100" s="1"/>
      <c r="N100" s="39">
        <f>N73-N80</f>
        <v>-2742310038</v>
      </c>
      <c r="O100" s="39">
        <f t="shared" ref="O100:BQ100" si="43">O73-O80</f>
        <v>-142357895</v>
      </c>
      <c r="P100" s="39">
        <f t="shared" si="43"/>
        <v>-321127837</v>
      </c>
      <c r="Q100" s="39">
        <f t="shared" si="43"/>
        <v>-120983927</v>
      </c>
      <c r="R100" s="39">
        <f t="shared" si="43"/>
        <v>-270842715</v>
      </c>
      <c r="S100" s="39">
        <f t="shared" si="27"/>
        <v>-719524482.39999998</v>
      </c>
      <c r="T100" s="39">
        <f>T73-T80</f>
        <v>-79463153</v>
      </c>
      <c r="U100" s="39">
        <f t="shared" si="43"/>
        <v>-68677346</v>
      </c>
      <c r="V100" s="39">
        <f t="shared" si="43"/>
        <v>-59243717</v>
      </c>
      <c r="W100" s="39">
        <f t="shared" si="43"/>
        <v>-56944226</v>
      </c>
      <c r="X100" s="39">
        <f t="shared" si="43"/>
        <v>-44070542</v>
      </c>
      <c r="Y100" s="39">
        <f t="shared" si="43"/>
        <v>-47227304.900000006</v>
      </c>
      <c r="Z100" s="39">
        <f t="shared" si="43"/>
        <v>-52539806</v>
      </c>
      <c r="AA100" s="39">
        <f t="shared" si="43"/>
        <v>-63383589</v>
      </c>
      <c r="AB100" s="39">
        <f t="shared" si="43"/>
        <v>-51807048</v>
      </c>
      <c r="AC100" s="39">
        <f t="shared" si="43"/>
        <v>-58436858</v>
      </c>
      <c r="AD100" s="39">
        <f t="shared" si="43"/>
        <v>-125115657</v>
      </c>
      <c r="AE100" s="39">
        <f t="shared" si="43"/>
        <v>-69695553</v>
      </c>
      <c r="AF100" s="39">
        <f t="shared" si="43"/>
        <v>-377000603</v>
      </c>
      <c r="AG100" s="39">
        <f t="shared" si="43"/>
        <v>-71283878</v>
      </c>
      <c r="AH100" s="39">
        <f t="shared" si="43"/>
        <v>-112781410</v>
      </c>
      <c r="AI100" s="39">
        <f t="shared" si="43"/>
        <v>-91921241</v>
      </c>
      <c r="AJ100" s="39">
        <f t="shared" si="43"/>
        <v>-111215343</v>
      </c>
      <c r="AK100" s="39">
        <f t="shared" si="43"/>
        <v>-121956201</v>
      </c>
      <c r="AL100" s="39">
        <f t="shared" si="43"/>
        <v>-133408616</v>
      </c>
      <c r="AM100" s="39">
        <f t="shared" si="43"/>
        <v>-145474127</v>
      </c>
      <c r="AN100" s="39">
        <f t="shared" si="43"/>
        <v>-157793015</v>
      </c>
      <c r="AO100" s="39">
        <f t="shared" si="43"/>
        <v>-170370600</v>
      </c>
      <c r="AP100" s="39">
        <f t="shared" si="43"/>
        <v>-174464378</v>
      </c>
      <c r="AQ100" s="39">
        <f t="shared" si="43"/>
        <v>-178644124</v>
      </c>
      <c r="AR100" s="39">
        <f t="shared" si="43"/>
        <v>-182911643</v>
      </c>
      <c r="AS100" s="39">
        <f t="shared" si="43"/>
        <v>-187268782</v>
      </c>
      <c r="AT100" s="39">
        <f t="shared" si="43"/>
        <v>-191717420</v>
      </c>
      <c r="AU100" s="39">
        <f t="shared" si="43"/>
        <v>-196259480</v>
      </c>
      <c r="AV100" s="39">
        <f t="shared" si="43"/>
        <v>-200896924</v>
      </c>
      <c r="AW100" s="39">
        <f t="shared" si="43"/>
        <v>-205631756</v>
      </c>
      <c r="AX100" s="39">
        <f t="shared" si="43"/>
        <v>-210466016</v>
      </c>
      <c r="AY100" s="39">
        <f t="shared" si="43"/>
        <v>-215401796</v>
      </c>
      <c r="AZ100" s="39">
        <f t="shared" si="43"/>
        <v>-220441228</v>
      </c>
      <c r="BA100" s="39">
        <f t="shared" si="43"/>
        <v>-225586490</v>
      </c>
      <c r="BB100" s="39">
        <f t="shared" si="43"/>
        <v>-230839797</v>
      </c>
      <c r="BC100" s="39">
        <f t="shared" si="43"/>
        <v>-236203425</v>
      </c>
      <c r="BD100" s="39">
        <f t="shared" si="43"/>
        <v>-241679692</v>
      </c>
      <c r="BE100" s="39">
        <f t="shared" si="43"/>
        <v>-247270959</v>
      </c>
      <c r="BF100" s="39">
        <f t="shared" si="43"/>
        <v>-252979645</v>
      </c>
      <c r="BG100" s="39">
        <f t="shared" si="43"/>
        <v>-258808211</v>
      </c>
      <c r="BH100" s="39">
        <f t="shared" si="43"/>
        <v>-264759180</v>
      </c>
      <c r="BI100" s="39">
        <f t="shared" si="43"/>
        <v>-261892265</v>
      </c>
      <c r="BJ100" s="39">
        <f t="shared" si="43"/>
        <v>-260341539</v>
      </c>
      <c r="BK100" s="39">
        <f t="shared" si="43"/>
        <v>-249634235</v>
      </c>
      <c r="BL100" s="39">
        <f t="shared" si="43"/>
        <v>-239628201</v>
      </c>
      <c r="BM100" s="39">
        <f t="shared" si="43"/>
        <v>-229970039</v>
      </c>
      <c r="BN100" s="39">
        <f t="shared" si="43"/>
        <v>-225689036</v>
      </c>
      <c r="BO100" s="39">
        <f t="shared" si="43"/>
        <v>-221318131</v>
      </c>
      <c r="BP100" s="39">
        <f t="shared" si="43"/>
        <v>-214995447</v>
      </c>
      <c r="BQ100" s="39">
        <f t="shared" si="43"/>
        <v>-206307993</v>
      </c>
    </row>
    <row r="102" spans="2:69">
      <c r="B102" t="s">
        <v>134</v>
      </c>
    </row>
    <row r="103" spans="2:69">
      <c r="B103" s="11" t="s">
        <v>1</v>
      </c>
      <c r="C103" s="11" t="s">
        <v>2</v>
      </c>
      <c r="D103" s="12" t="s">
        <v>3</v>
      </c>
      <c r="E103" s="13"/>
      <c r="F103" s="20" t="s">
        <v>4</v>
      </c>
      <c r="G103" s="14"/>
      <c r="H103" s="14"/>
      <c r="I103" s="15"/>
      <c r="J103" s="311" t="s">
        <v>162</v>
      </c>
      <c r="K103" s="11" t="s">
        <v>8</v>
      </c>
      <c r="L103" s="11" t="s">
        <v>9</v>
      </c>
      <c r="M103" s="11" t="s">
        <v>10</v>
      </c>
      <c r="N103" s="30" t="s">
        <v>11</v>
      </c>
      <c r="O103" s="31"/>
      <c r="P103" s="31"/>
      <c r="Q103" s="31"/>
      <c r="R103" s="32"/>
      <c r="S103" s="35" t="s">
        <v>177</v>
      </c>
      <c r="T103" s="33" t="s">
        <v>17</v>
      </c>
      <c r="U103" s="31"/>
      <c r="V103" s="31"/>
      <c r="W103" s="32"/>
      <c r="X103" s="34" t="s">
        <v>68</v>
      </c>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row>
    <row r="104" spans="2:69">
      <c r="B104" s="17"/>
      <c r="C104" s="17"/>
      <c r="D104" s="18"/>
      <c r="E104" s="19"/>
      <c r="F104" s="17"/>
      <c r="G104" s="16" t="s">
        <v>5</v>
      </c>
      <c r="H104" s="16" t="s">
        <v>6</v>
      </c>
      <c r="I104" s="16" t="s">
        <v>7</v>
      </c>
      <c r="J104" s="312"/>
      <c r="K104" s="17"/>
      <c r="L104" s="17"/>
      <c r="M104" s="17"/>
      <c r="N104" s="35" t="s">
        <v>589</v>
      </c>
      <c r="O104" s="35" t="s">
        <v>19</v>
      </c>
      <c r="P104" s="35" t="s">
        <v>259</v>
      </c>
      <c r="Q104" s="35" t="s">
        <v>21</v>
      </c>
      <c r="R104" s="35" t="s">
        <v>22</v>
      </c>
      <c r="S104" s="35"/>
      <c r="T104" s="35" t="s">
        <v>710</v>
      </c>
      <c r="U104" s="35" t="s">
        <v>711</v>
      </c>
      <c r="V104" s="35" t="s">
        <v>25</v>
      </c>
      <c r="W104" s="35" t="s">
        <v>26</v>
      </c>
      <c r="X104" s="35" t="s">
        <v>27</v>
      </c>
      <c r="Y104" s="35" t="s">
        <v>28</v>
      </c>
      <c r="Z104" s="35" t="s">
        <v>29</v>
      </c>
      <c r="AA104" s="35" t="s">
        <v>30</v>
      </c>
      <c r="AB104" s="35" t="s">
        <v>31</v>
      </c>
      <c r="AC104" s="35" t="s">
        <v>32</v>
      </c>
      <c r="AD104" s="35" t="s">
        <v>33</v>
      </c>
      <c r="AE104" s="35" t="s">
        <v>34</v>
      </c>
      <c r="AF104" s="35" t="s">
        <v>35</v>
      </c>
      <c r="AG104" s="35" t="s">
        <v>36</v>
      </c>
      <c r="AH104" s="35" t="s">
        <v>37</v>
      </c>
      <c r="AI104" s="35" t="s">
        <v>38</v>
      </c>
      <c r="AJ104" s="35" t="s">
        <v>39</v>
      </c>
      <c r="AK104" s="35" t="s">
        <v>40</v>
      </c>
      <c r="AL104" s="35" t="s">
        <v>41</v>
      </c>
      <c r="AM104" s="35" t="s">
        <v>42</v>
      </c>
      <c r="AN104" s="35" t="s">
        <v>43</v>
      </c>
      <c r="AO104" s="35" t="s">
        <v>44</v>
      </c>
      <c r="AP104" s="35" t="s">
        <v>45</v>
      </c>
      <c r="AQ104" s="35" t="s">
        <v>46</v>
      </c>
      <c r="AR104" s="35" t="s">
        <v>47</v>
      </c>
      <c r="AS104" s="35" t="s">
        <v>48</v>
      </c>
      <c r="AT104" s="35" t="s">
        <v>49</v>
      </c>
      <c r="AU104" s="35" t="s">
        <v>50</v>
      </c>
      <c r="AV104" s="35" t="s">
        <v>51</v>
      </c>
      <c r="AW104" s="35" t="s">
        <v>52</v>
      </c>
      <c r="AX104" s="35" t="s">
        <v>53</v>
      </c>
      <c r="AY104" s="35" t="s">
        <v>54</v>
      </c>
      <c r="AZ104" s="35" t="s">
        <v>55</v>
      </c>
      <c r="BA104" s="35" t="s">
        <v>56</v>
      </c>
      <c r="BB104" s="35" t="s">
        <v>57</v>
      </c>
      <c r="BC104" s="35" t="s">
        <v>58</v>
      </c>
      <c r="BD104" s="35" t="s">
        <v>59</v>
      </c>
      <c r="BE104" s="35" t="s">
        <v>60</v>
      </c>
      <c r="BF104" s="35" t="s">
        <v>61</v>
      </c>
      <c r="BG104" s="35" t="s">
        <v>62</v>
      </c>
      <c r="BH104" s="35" t="s">
        <v>63</v>
      </c>
      <c r="BI104" s="35" t="s">
        <v>64</v>
      </c>
      <c r="BJ104" s="35" t="s">
        <v>65</v>
      </c>
      <c r="BK104" s="35" t="s">
        <v>66</v>
      </c>
      <c r="BL104" s="35" t="s">
        <v>67</v>
      </c>
      <c r="BM104" s="35" t="s">
        <v>670</v>
      </c>
      <c r="BN104" s="35" t="s">
        <v>671</v>
      </c>
      <c r="BO104" s="35" t="s">
        <v>672</v>
      </c>
      <c r="BP104" s="35" t="s">
        <v>673</v>
      </c>
      <c r="BQ104" s="35" t="s">
        <v>674</v>
      </c>
    </row>
    <row r="105" spans="2:69">
      <c r="B105" s="9" t="s">
        <v>133</v>
      </c>
      <c r="C105" s="7"/>
      <c r="D105" s="7"/>
      <c r="E105" s="8"/>
      <c r="F105" s="67"/>
      <c r="G105" s="67"/>
      <c r="H105" s="67"/>
      <c r="I105" s="67"/>
      <c r="J105" s="67"/>
      <c r="K105" s="1"/>
      <c r="L105" s="1"/>
      <c r="M105" s="1"/>
      <c r="N105" s="39">
        <f>N100</f>
        <v>-2742310038</v>
      </c>
      <c r="O105" s="39">
        <f t="shared" ref="O105:R105" si="44">O100</f>
        <v>-142357895</v>
      </c>
      <c r="P105" s="39">
        <f t="shared" si="44"/>
        <v>-321127837</v>
      </c>
      <c r="Q105" s="39">
        <f t="shared" si="44"/>
        <v>-120983927</v>
      </c>
      <c r="R105" s="39">
        <f t="shared" si="44"/>
        <v>-270842715</v>
      </c>
      <c r="S105" s="39">
        <f t="shared" ref="S105:S113" si="45">IFERROR(AVERAGE(N105:R105),0)</f>
        <v>-719524482.39999998</v>
      </c>
      <c r="T105" s="39">
        <f t="shared" ref="T105:BQ105" si="46">T100</f>
        <v>-79463153</v>
      </c>
      <c r="U105" s="39">
        <f t="shared" si="46"/>
        <v>-68677346</v>
      </c>
      <c r="V105" s="39">
        <f t="shared" si="46"/>
        <v>-59243717</v>
      </c>
      <c r="W105" s="39">
        <f t="shared" si="46"/>
        <v>-56944226</v>
      </c>
      <c r="X105" s="39">
        <f t="shared" si="46"/>
        <v>-44070542</v>
      </c>
      <c r="Y105" s="39">
        <f t="shared" si="46"/>
        <v>-47227304.900000006</v>
      </c>
      <c r="Z105" s="39">
        <f t="shared" si="46"/>
        <v>-52539806</v>
      </c>
      <c r="AA105" s="39">
        <f t="shared" si="46"/>
        <v>-63383589</v>
      </c>
      <c r="AB105" s="39">
        <f t="shared" si="46"/>
        <v>-51807048</v>
      </c>
      <c r="AC105" s="39">
        <f t="shared" si="46"/>
        <v>-58436858</v>
      </c>
      <c r="AD105" s="39">
        <f t="shared" si="46"/>
        <v>-125115657</v>
      </c>
      <c r="AE105" s="39">
        <f t="shared" si="46"/>
        <v>-69695553</v>
      </c>
      <c r="AF105" s="39">
        <f t="shared" si="46"/>
        <v>-377000603</v>
      </c>
      <c r="AG105" s="39">
        <f t="shared" si="46"/>
        <v>-71283878</v>
      </c>
      <c r="AH105" s="39">
        <f t="shared" si="46"/>
        <v>-112781410</v>
      </c>
      <c r="AI105" s="39">
        <f t="shared" si="46"/>
        <v>-91921241</v>
      </c>
      <c r="AJ105" s="39">
        <f t="shared" si="46"/>
        <v>-111215343</v>
      </c>
      <c r="AK105" s="39">
        <f t="shared" si="46"/>
        <v>-121956201</v>
      </c>
      <c r="AL105" s="39">
        <f t="shared" si="46"/>
        <v>-133408616</v>
      </c>
      <c r="AM105" s="39">
        <f t="shared" si="46"/>
        <v>-145474127</v>
      </c>
      <c r="AN105" s="39">
        <f t="shared" si="46"/>
        <v>-157793015</v>
      </c>
      <c r="AO105" s="39">
        <f t="shared" si="46"/>
        <v>-170370600</v>
      </c>
      <c r="AP105" s="39">
        <f t="shared" si="46"/>
        <v>-174464378</v>
      </c>
      <c r="AQ105" s="39">
        <f t="shared" si="46"/>
        <v>-178644124</v>
      </c>
      <c r="AR105" s="39">
        <f t="shared" si="46"/>
        <v>-182911643</v>
      </c>
      <c r="AS105" s="39">
        <f t="shared" si="46"/>
        <v>-187268782</v>
      </c>
      <c r="AT105" s="39">
        <f t="shared" si="46"/>
        <v>-191717420</v>
      </c>
      <c r="AU105" s="39">
        <f t="shared" si="46"/>
        <v>-196259480</v>
      </c>
      <c r="AV105" s="39">
        <f t="shared" si="46"/>
        <v>-200896924</v>
      </c>
      <c r="AW105" s="39">
        <f t="shared" si="46"/>
        <v>-205631756</v>
      </c>
      <c r="AX105" s="39">
        <f t="shared" si="46"/>
        <v>-210466016</v>
      </c>
      <c r="AY105" s="39">
        <f t="shared" si="46"/>
        <v>-215401796</v>
      </c>
      <c r="AZ105" s="39">
        <f t="shared" si="46"/>
        <v>-220441228</v>
      </c>
      <c r="BA105" s="39">
        <f t="shared" si="46"/>
        <v>-225586490</v>
      </c>
      <c r="BB105" s="39">
        <f t="shared" si="46"/>
        <v>-230839797</v>
      </c>
      <c r="BC105" s="39">
        <f t="shared" si="46"/>
        <v>-236203425</v>
      </c>
      <c r="BD105" s="39">
        <f t="shared" si="46"/>
        <v>-241679692</v>
      </c>
      <c r="BE105" s="39">
        <f t="shared" si="46"/>
        <v>-247270959</v>
      </c>
      <c r="BF105" s="39">
        <f t="shared" si="46"/>
        <v>-252979645</v>
      </c>
      <c r="BG105" s="39">
        <f t="shared" si="46"/>
        <v>-258808211</v>
      </c>
      <c r="BH105" s="39">
        <f t="shared" si="46"/>
        <v>-264759180</v>
      </c>
      <c r="BI105" s="39">
        <f t="shared" si="46"/>
        <v>-261892265</v>
      </c>
      <c r="BJ105" s="39">
        <f t="shared" si="46"/>
        <v>-260341539</v>
      </c>
      <c r="BK105" s="39">
        <f t="shared" si="46"/>
        <v>-249634235</v>
      </c>
      <c r="BL105" s="39">
        <f t="shared" si="46"/>
        <v>-239628201</v>
      </c>
      <c r="BM105" s="39">
        <f t="shared" si="46"/>
        <v>-229970039</v>
      </c>
      <c r="BN105" s="39">
        <f t="shared" si="46"/>
        <v>-225689036</v>
      </c>
      <c r="BO105" s="39">
        <f t="shared" si="46"/>
        <v>-221318131</v>
      </c>
      <c r="BP105" s="39">
        <f t="shared" si="46"/>
        <v>-214995447</v>
      </c>
      <c r="BQ105" s="39">
        <f t="shared" si="46"/>
        <v>-206307993</v>
      </c>
    </row>
    <row r="106" spans="2:69">
      <c r="B106" s="309"/>
      <c r="C106" s="308" t="s">
        <v>137</v>
      </c>
      <c r="D106" s="9" t="s">
        <v>139</v>
      </c>
      <c r="E106" s="8"/>
      <c r="F106" s="67"/>
      <c r="G106" s="67"/>
      <c r="H106" s="67"/>
      <c r="I106" s="67"/>
      <c r="J106" s="67"/>
      <c r="K106" s="1"/>
      <c r="L106" s="1"/>
      <c r="M106" s="1"/>
      <c r="N106" s="39">
        <f>N68</f>
        <v>-154789750</v>
      </c>
      <c r="O106" s="39">
        <f>O68</f>
        <v>-36029202</v>
      </c>
      <c r="P106" s="39">
        <f>P68</f>
        <v>-37745561</v>
      </c>
      <c r="Q106" s="39">
        <f>Q68</f>
        <v>-101071072</v>
      </c>
      <c r="R106" s="39">
        <f>R68</f>
        <v>-59562535</v>
      </c>
      <c r="S106" s="39">
        <f t="shared" si="45"/>
        <v>-77839624</v>
      </c>
      <c r="T106" s="39">
        <f t="shared" ref="T106:BQ106" si="47">T68</f>
        <v>34195928.900000006</v>
      </c>
      <c r="U106" s="39">
        <f t="shared" si="47"/>
        <v>60531789.900000006</v>
      </c>
      <c r="V106" s="39">
        <f t="shared" si="47"/>
        <v>57057118.899999976</v>
      </c>
      <c r="W106" s="39">
        <f t="shared" si="47"/>
        <v>53908420.899999976</v>
      </c>
      <c r="X106" s="39">
        <f t="shared" si="47"/>
        <v>50966734.899999976</v>
      </c>
      <c r="Y106" s="39">
        <f t="shared" si="47"/>
        <v>48109966.899999976</v>
      </c>
      <c r="Z106" s="39">
        <f t="shared" si="47"/>
        <v>43388274.899999976</v>
      </c>
      <c r="AA106" s="39">
        <f t="shared" si="47"/>
        <v>40632194.899999976</v>
      </c>
      <c r="AB106" s="39">
        <f t="shared" si="47"/>
        <v>39566191.847368419</v>
      </c>
      <c r="AC106" s="39">
        <f t="shared" si="47"/>
        <v>38383941.32105267</v>
      </c>
      <c r="AD106" s="39">
        <f t="shared" si="47"/>
        <v>36756208.794736862</v>
      </c>
      <c r="AE106" s="39">
        <f t="shared" si="47"/>
        <v>33128138.268421054</v>
      </c>
      <c r="AF106" s="39">
        <f t="shared" si="47"/>
        <v>31913911.742105246</v>
      </c>
      <c r="AG106" s="39">
        <f t="shared" si="47"/>
        <v>28617397.742105246</v>
      </c>
      <c r="AH106" s="39">
        <f t="shared" si="47"/>
        <v>25898914.742105246</v>
      </c>
      <c r="AI106" s="39">
        <f t="shared" si="47"/>
        <v>22831340.742105246</v>
      </c>
      <c r="AJ106" s="39">
        <f t="shared" si="47"/>
        <v>17632019.742105246</v>
      </c>
      <c r="AK106" s="39">
        <f t="shared" si="47"/>
        <v>15371213.742105246</v>
      </c>
      <c r="AL106" s="39">
        <f t="shared" si="47"/>
        <v>12724756.742105305</v>
      </c>
      <c r="AM106" s="39">
        <f t="shared" si="47"/>
        <v>10366826.742105305</v>
      </c>
      <c r="AN106" s="39">
        <f t="shared" si="47"/>
        <v>8012526.7421053052</v>
      </c>
      <c r="AO106" s="39">
        <f t="shared" si="47"/>
        <v>2616594.7421053052</v>
      </c>
      <c r="AP106" s="39">
        <f t="shared" si="47"/>
        <v>226816.74210530519</v>
      </c>
      <c r="AQ106" s="39">
        <f t="shared" si="47"/>
        <v>-1999392.2578946948</v>
      </c>
      <c r="AR106" s="39">
        <f t="shared" si="47"/>
        <v>-4242970.2578946948</v>
      </c>
      <c r="AS106" s="39">
        <f t="shared" si="47"/>
        <v>-6334568.2578947544</v>
      </c>
      <c r="AT106" s="39">
        <f t="shared" si="47"/>
        <v>-11960012.257894754</v>
      </c>
      <c r="AU106" s="39">
        <f t="shared" si="47"/>
        <v>-14114529.257894754</v>
      </c>
      <c r="AV106" s="39">
        <f t="shared" si="47"/>
        <v>-16219544.257894754</v>
      </c>
      <c r="AW106" s="39">
        <f t="shared" si="47"/>
        <v>-18203235.257894754</v>
      </c>
      <c r="AX106" s="39">
        <f t="shared" si="47"/>
        <v>-20458368.257894695</v>
      </c>
      <c r="AY106" s="39">
        <f t="shared" si="47"/>
        <v>-23130663.257894695</v>
      </c>
      <c r="AZ106" s="39">
        <f t="shared" si="47"/>
        <v>-25282362.257894695</v>
      </c>
      <c r="BA106" s="39">
        <f t="shared" si="47"/>
        <v>-27411837.257894695</v>
      </c>
      <c r="BB106" s="39">
        <f t="shared" si="47"/>
        <v>-29707382.257894695</v>
      </c>
      <c r="BC106" s="39">
        <f t="shared" si="47"/>
        <v>-32766376.257894695</v>
      </c>
      <c r="BD106" s="39">
        <f t="shared" si="47"/>
        <v>-35045520.257894695</v>
      </c>
      <c r="BE106" s="39">
        <f t="shared" si="47"/>
        <v>-37520156.257894695</v>
      </c>
      <c r="BF106" s="39">
        <f t="shared" si="47"/>
        <v>-40528736.257894695</v>
      </c>
      <c r="BG106" s="39">
        <f t="shared" si="47"/>
        <v>-42748062.257894695</v>
      </c>
      <c r="BH106" s="39">
        <f t="shared" si="47"/>
        <v>-44969701.257894695</v>
      </c>
      <c r="BI106" s="39">
        <f t="shared" si="47"/>
        <v>-48727336.257894695</v>
      </c>
      <c r="BJ106" s="39">
        <f t="shared" si="47"/>
        <v>-51102076.257894695</v>
      </c>
      <c r="BK106" s="39">
        <f t="shared" si="47"/>
        <v>-53359497.257894695</v>
      </c>
      <c r="BL106" s="39">
        <f t="shared" si="47"/>
        <v>-55635233.257894695</v>
      </c>
      <c r="BM106" s="39">
        <f t="shared" si="47"/>
        <v>-57827433.257894695</v>
      </c>
      <c r="BN106" s="39">
        <f t="shared" si="47"/>
        <v>-60231997.257894695</v>
      </c>
      <c r="BO106" s="39">
        <f t="shared" si="47"/>
        <v>-62547230.257894695</v>
      </c>
      <c r="BP106" s="39">
        <f t="shared" si="47"/>
        <v>-64879092.257894695</v>
      </c>
      <c r="BQ106" s="39">
        <f t="shared" si="47"/>
        <v>-67110881.257894695</v>
      </c>
    </row>
    <row r="107" spans="2:69">
      <c r="B107" s="309"/>
      <c r="C107" s="310"/>
      <c r="D107" s="9" t="s">
        <v>187</v>
      </c>
      <c r="E107" s="8"/>
      <c r="F107" s="67"/>
      <c r="G107" s="67"/>
      <c r="H107" s="67"/>
      <c r="I107" s="67"/>
      <c r="J107" s="67"/>
      <c r="K107" s="1"/>
      <c r="L107" s="1"/>
      <c r="M107" s="1"/>
      <c r="N107" s="39">
        <f>SUM(N106:N106)</f>
        <v>-154789750</v>
      </c>
      <c r="O107" s="39">
        <f>SUM(O106:O106)</f>
        <v>-36029202</v>
      </c>
      <c r="P107" s="39">
        <f>SUM(P106:P106)</f>
        <v>-37745561</v>
      </c>
      <c r="Q107" s="39">
        <f>SUM(Q106:Q106)</f>
        <v>-101071072</v>
      </c>
      <c r="R107" s="39">
        <f>SUM(R106:R106)</f>
        <v>-59562535</v>
      </c>
      <c r="S107" s="39">
        <f t="shared" si="45"/>
        <v>-77839624</v>
      </c>
      <c r="T107" s="39">
        <f t="shared" ref="T107:BQ107" si="48">SUM(T106:T106)</f>
        <v>34195928.900000006</v>
      </c>
      <c r="U107" s="39">
        <f t="shared" si="48"/>
        <v>60531789.900000006</v>
      </c>
      <c r="V107" s="39">
        <f t="shared" si="48"/>
        <v>57057118.899999976</v>
      </c>
      <c r="W107" s="39">
        <f t="shared" si="48"/>
        <v>53908420.899999976</v>
      </c>
      <c r="X107" s="39">
        <f t="shared" si="48"/>
        <v>50966734.899999976</v>
      </c>
      <c r="Y107" s="39">
        <f t="shared" si="48"/>
        <v>48109966.899999976</v>
      </c>
      <c r="Z107" s="39">
        <f t="shared" si="48"/>
        <v>43388274.899999976</v>
      </c>
      <c r="AA107" s="39">
        <f t="shared" si="48"/>
        <v>40632194.899999976</v>
      </c>
      <c r="AB107" s="39">
        <f t="shared" si="48"/>
        <v>39566191.847368419</v>
      </c>
      <c r="AC107" s="39">
        <f t="shared" si="48"/>
        <v>38383941.32105267</v>
      </c>
      <c r="AD107" s="39">
        <f t="shared" si="48"/>
        <v>36756208.794736862</v>
      </c>
      <c r="AE107" s="39">
        <f t="shared" si="48"/>
        <v>33128138.268421054</v>
      </c>
      <c r="AF107" s="39">
        <f t="shared" si="48"/>
        <v>31913911.742105246</v>
      </c>
      <c r="AG107" s="39">
        <f t="shared" si="48"/>
        <v>28617397.742105246</v>
      </c>
      <c r="AH107" s="39">
        <f t="shared" si="48"/>
        <v>25898914.742105246</v>
      </c>
      <c r="AI107" s="39">
        <f t="shared" si="48"/>
        <v>22831340.742105246</v>
      </c>
      <c r="AJ107" s="39">
        <f t="shared" si="48"/>
        <v>17632019.742105246</v>
      </c>
      <c r="AK107" s="39">
        <f t="shared" si="48"/>
        <v>15371213.742105246</v>
      </c>
      <c r="AL107" s="39">
        <f t="shared" si="48"/>
        <v>12724756.742105305</v>
      </c>
      <c r="AM107" s="39">
        <f t="shared" si="48"/>
        <v>10366826.742105305</v>
      </c>
      <c r="AN107" s="39">
        <f t="shared" si="48"/>
        <v>8012526.7421053052</v>
      </c>
      <c r="AO107" s="39">
        <f t="shared" si="48"/>
        <v>2616594.7421053052</v>
      </c>
      <c r="AP107" s="39">
        <f t="shared" si="48"/>
        <v>226816.74210530519</v>
      </c>
      <c r="AQ107" s="39">
        <f t="shared" si="48"/>
        <v>-1999392.2578946948</v>
      </c>
      <c r="AR107" s="39">
        <f t="shared" si="48"/>
        <v>-4242970.2578946948</v>
      </c>
      <c r="AS107" s="39">
        <f t="shared" si="48"/>
        <v>-6334568.2578947544</v>
      </c>
      <c r="AT107" s="39">
        <f t="shared" si="48"/>
        <v>-11960012.257894754</v>
      </c>
      <c r="AU107" s="39">
        <f t="shared" si="48"/>
        <v>-14114529.257894754</v>
      </c>
      <c r="AV107" s="39">
        <f t="shared" si="48"/>
        <v>-16219544.257894754</v>
      </c>
      <c r="AW107" s="39">
        <f t="shared" si="48"/>
        <v>-18203235.257894754</v>
      </c>
      <c r="AX107" s="39">
        <f t="shared" si="48"/>
        <v>-20458368.257894695</v>
      </c>
      <c r="AY107" s="39">
        <f t="shared" si="48"/>
        <v>-23130663.257894695</v>
      </c>
      <c r="AZ107" s="39">
        <f t="shared" si="48"/>
        <v>-25282362.257894695</v>
      </c>
      <c r="BA107" s="39">
        <f t="shared" si="48"/>
        <v>-27411837.257894695</v>
      </c>
      <c r="BB107" s="39">
        <f t="shared" si="48"/>
        <v>-29707382.257894695</v>
      </c>
      <c r="BC107" s="39">
        <f t="shared" si="48"/>
        <v>-32766376.257894695</v>
      </c>
      <c r="BD107" s="39">
        <f t="shared" si="48"/>
        <v>-35045520.257894695</v>
      </c>
      <c r="BE107" s="39">
        <f t="shared" si="48"/>
        <v>-37520156.257894695</v>
      </c>
      <c r="BF107" s="39">
        <f t="shared" si="48"/>
        <v>-40528736.257894695</v>
      </c>
      <c r="BG107" s="39">
        <f t="shared" si="48"/>
        <v>-42748062.257894695</v>
      </c>
      <c r="BH107" s="39">
        <f t="shared" si="48"/>
        <v>-44969701.257894695</v>
      </c>
      <c r="BI107" s="39">
        <f t="shared" si="48"/>
        <v>-48727336.257894695</v>
      </c>
      <c r="BJ107" s="39">
        <f t="shared" si="48"/>
        <v>-51102076.257894695</v>
      </c>
      <c r="BK107" s="39">
        <f t="shared" si="48"/>
        <v>-53359497.257894695</v>
      </c>
      <c r="BL107" s="39">
        <f t="shared" si="48"/>
        <v>-55635233.257894695</v>
      </c>
      <c r="BM107" s="39">
        <f t="shared" si="48"/>
        <v>-57827433.257894695</v>
      </c>
      <c r="BN107" s="39">
        <f t="shared" si="48"/>
        <v>-60231997.257894695</v>
      </c>
      <c r="BO107" s="39">
        <f t="shared" si="48"/>
        <v>-62547230.257894695</v>
      </c>
      <c r="BP107" s="39">
        <f t="shared" si="48"/>
        <v>-64879092.257894695</v>
      </c>
      <c r="BQ107" s="39">
        <f t="shared" si="48"/>
        <v>-67110881.257894695</v>
      </c>
    </row>
    <row r="108" spans="2:69">
      <c r="B108" s="309"/>
      <c r="C108" s="308" t="s">
        <v>141</v>
      </c>
      <c r="D108" s="308" t="s">
        <v>143</v>
      </c>
      <c r="E108" s="1" t="s">
        <v>101</v>
      </c>
      <c r="F108" s="67"/>
      <c r="G108" s="67"/>
      <c r="H108" s="67"/>
      <c r="I108" s="67"/>
      <c r="J108" s="67"/>
      <c r="K108" s="1"/>
      <c r="L108" s="1"/>
      <c r="M108" s="1"/>
      <c r="N108" s="39">
        <f>N52</f>
        <v>140426639</v>
      </c>
      <c r="O108" s="39">
        <f>O52</f>
        <v>331709645</v>
      </c>
      <c r="P108" s="39">
        <f>P52</f>
        <v>389441172</v>
      </c>
      <c r="Q108" s="39">
        <f>Q52</f>
        <v>513505522</v>
      </c>
      <c r="R108" s="39">
        <f>R52</f>
        <v>390906409</v>
      </c>
      <c r="S108" s="39">
        <f t="shared" si="45"/>
        <v>353197877.39999998</v>
      </c>
      <c r="T108" s="39">
        <f t="shared" ref="T108:BQ108" si="49">T52</f>
        <v>34653029</v>
      </c>
      <c r="U108" s="39">
        <f t="shared" si="49"/>
        <v>32839785</v>
      </c>
      <c r="V108" s="39">
        <f t="shared" si="49"/>
        <v>31307613.300000001</v>
      </c>
      <c r="W108" s="39">
        <f t="shared" si="49"/>
        <v>29949650</v>
      </c>
      <c r="X108" s="39">
        <f t="shared" si="49"/>
        <v>29785335</v>
      </c>
      <c r="Y108" s="39">
        <f t="shared" si="49"/>
        <v>28185184</v>
      </c>
      <c r="Z108" s="39">
        <f t="shared" si="49"/>
        <v>27518623</v>
      </c>
      <c r="AA108" s="39">
        <f t="shared" si="49"/>
        <v>33841068</v>
      </c>
      <c r="AB108" s="39">
        <f t="shared" si="49"/>
        <v>60643315</v>
      </c>
      <c r="AC108" s="39">
        <f t="shared" si="49"/>
        <v>73801210</v>
      </c>
      <c r="AD108" s="39">
        <f t="shared" si="49"/>
        <v>82207962</v>
      </c>
      <c r="AE108" s="39">
        <f t="shared" si="49"/>
        <v>92815595</v>
      </c>
      <c r="AF108" s="39">
        <f t="shared" si="49"/>
        <v>100930757</v>
      </c>
      <c r="AG108" s="39">
        <f t="shared" si="49"/>
        <v>105617251</v>
      </c>
      <c r="AH108" s="39">
        <f t="shared" si="49"/>
        <v>113275146</v>
      </c>
      <c r="AI108" s="39">
        <f t="shared" si="49"/>
        <v>118144439</v>
      </c>
      <c r="AJ108" s="39">
        <f t="shared" si="49"/>
        <v>123407597</v>
      </c>
      <c r="AK108" s="39">
        <f t="shared" si="49"/>
        <v>128276910</v>
      </c>
      <c r="AL108" s="39">
        <f t="shared" si="49"/>
        <v>142604631</v>
      </c>
      <c r="AM108" s="39">
        <f t="shared" si="49"/>
        <v>157078315</v>
      </c>
      <c r="AN108" s="39">
        <f t="shared" si="49"/>
        <v>170856268</v>
      </c>
      <c r="AO108" s="39">
        <f t="shared" si="49"/>
        <v>185149479</v>
      </c>
      <c r="AP108" s="39">
        <f t="shared" si="49"/>
        <v>200438953</v>
      </c>
      <c r="AQ108" s="39">
        <f t="shared" si="49"/>
        <v>216333690</v>
      </c>
      <c r="AR108" s="39">
        <f t="shared" si="49"/>
        <v>232649479</v>
      </c>
      <c r="AS108" s="39">
        <f t="shared" si="49"/>
        <v>248965268</v>
      </c>
      <c r="AT108" s="39">
        <f t="shared" si="49"/>
        <v>251070531</v>
      </c>
      <c r="AU108" s="39">
        <f t="shared" si="49"/>
        <v>252341678</v>
      </c>
      <c r="AV108" s="39">
        <f t="shared" si="49"/>
        <v>253920625</v>
      </c>
      <c r="AW108" s="39">
        <f t="shared" si="49"/>
        <v>255525888</v>
      </c>
      <c r="AX108" s="39">
        <f t="shared" si="49"/>
        <v>257131151</v>
      </c>
      <c r="AY108" s="39">
        <f t="shared" si="49"/>
        <v>258205535</v>
      </c>
      <c r="AZ108" s="39">
        <f t="shared" si="49"/>
        <v>259928636</v>
      </c>
      <c r="BA108" s="39">
        <f t="shared" si="49"/>
        <v>260777261</v>
      </c>
      <c r="BB108" s="39">
        <f t="shared" si="49"/>
        <v>262882524</v>
      </c>
      <c r="BC108" s="39">
        <f t="shared" si="49"/>
        <v>259062800</v>
      </c>
      <c r="BD108" s="39">
        <f t="shared" si="49"/>
        <v>260349585</v>
      </c>
      <c r="BE108" s="39">
        <f t="shared" si="49"/>
        <v>260657786</v>
      </c>
      <c r="BF108" s="39">
        <f t="shared" si="49"/>
        <v>260237758</v>
      </c>
      <c r="BG108" s="39">
        <f t="shared" si="49"/>
        <v>261388719</v>
      </c>
      <c r="BH108" s="39">
        <f t="shared" si="49"/>
        <v>263150857</v>
      </c>
      <c r="BI108" s="39">
        <f t="shared" si="49"/>
        <v>262385840</v>
      </c>
      <c r="BJ108" s="39">
        <f t="shared" si="49"/>
        <v>264491103</v>
      </c>
      <c r="BK108" s="39">
        <f t="shared" si="49"/>
        <v>266070050</v>
      </c>
      <c r="BL108" s="39">
        <f t="shared" si="49"/>
        <v>267648997</v>
      </c>
      <c r="BM108" s="39">
        <f t="shared" si="49"/>
        <v>262763165</v>
      </c>
      <c r="BN108" s="39">
        <f t="shared" si="49"/>
        <v>237263151</v>
      </c>
      <c r="BO108" s="39">
        <f t="shared" si="49"/>
        <v>225789471</v>
      </c>
      <c r="BP108" s="39">
        <f t="shared" si="49"/>
        <v>218421050</v>
      </c>
      <c r="BQ108" s="39">
        <f t="shared" si="49"/>
        <v>208157882</v>
      </c>
    </row>
    <row r="109" spans="2:69">
      <c r="B109" s="309"/>
      <c r="C109" s="309"/>
      <c r="D109" s="309"/>
      <c r="E109" s="1" t="s">
        <v>102</v>
      </c>
      <c r="F109" s="67"/>
      <c r="G109" s="67"/>
      <c r="H109" s="67"/>
      <c r="I109" s="67"/>
      <c r="J109" s="67"/>
      <c r="K109" s="1"/>
      <c r="L109" s="1"/>
      <c r="M109" s="1"/>
      <c r="N109" s="39">
        <f>N55</f>
        <v>0</v>
      </c>
      <c r="O109" s="39">
        <f>O55</f>
        <v>0</v>
      </c>
      <c r="P109" s="39">
        <f>P55</f>
        <v>0</v>
      </c>
      <c r="Q109" s="39">
        <f>Q55</f>
        <v>0</v>
      </c>
      <c r="R109" s="39">
        <f>R55</f>
        <v>0</v>
      </c>
      <c r="S109" s="39">
        <f t="shared" si="45"/>
        <v>0</v>
      </c>
      <c r="T109" s="39">
        <f t="shared" ref="T109:BQ109" si="50">T55</f>
        <v>0</v>
      </c>
      <c r="U109" s="39">
        <f t="shared" si="50"/>
        <v>0</v>
      </c>
      <c r="V109" s="39">
        <f t="shared" si="50"/>
        <v>0</v>
      </c>
      <c r="W109" s="39">
        <f t="shared" si="50"/>
        <v>0</v>
      </c>
      <c r="X109" s="39">
        <f t="shared" si="50"/>
        <v>0</v>
      </c>
      <c r="Y109" s="39">
        <f t="shared" si="50"/>
        <v>0</v>
      </c>
      <c r="Z109" s="39">
        <f t="shared" si="50"/>
        <v>0</v>
      </c>
      <c r="AA109" s="39">
        <f t="shared" si="50"/>
        <v>0</v>
      </c>
      <c r="AB109" s="39">
        <f t="shared" si="50"/>
        <v>0</v>
      </c>
      <c r="AC109" s="39">
        <f t="shared" si="50"/>
        <v>0</v>
      </c>
      <c r="AD109" s="39">
        <f t="shared" si="50"/>
        <v>0</v>
      </c>
      <c r="AE109" s="39">
        <f t="shared" si="50"/>
        <v>0</v>
      </c>
      <c r="AF109" s="39">
        <f t="shared" si="50"/>
        <v>0</v>
      </c>
      <c r="AG109" s="39">
        <f t="shared" si="50"/>
        <v>0</v>
      </c>
      <c r="AH109" s="39">
        <f t="shared" si="50"/>
        <v>0</v>
      </c>
      <c r="AI109" s="39">
        <f t="shared" si="50"/>
        <v>0</v>
      </c>
      <c r="AJ109" s="39">
        <f t="shared" si="50"/>
        <v>0</v>
      </c>
      <c r="AK109" s="39">
        <f t="shared" si="50"/>
        <v>0</v>
      </c>
      <c r="AL109" s="39">
        <f t="shared" si="50"/>
        <v>0</v>
      </c>
      <c r="AM109" s="39">
        <f t="shared" si="50"/>
        <v>0</v>
      </c>
      <c r="AN109" s="39">
        <f t="shared" si="50"/>
        <v>0</v>
      </c>
      <c r="AO109" s="39">
        <f t="shared" si="50"/>
        <v>0</v>
      </c>
      <c r="AP109" s="39">
        <f t="shared" si="50"/>
        <v>0</v>
      </c>
      <c r="AQ109" s="39">
        <f t="shared" si="50"/>
        <v>0</v>
      </c>
      <c r="AR109" s="39">
        <f t="shared" si="50"/>
        <v>0</v>
      </c>
      <c r="AS109" s="39">
        <f t="shared" si="50"/>
        <v>0</v>
      </c>
      <c r="AT109" s="39">
        <f t="shared" si="50"/>
        <v>0</v>
      </c>
      <c r="AU109" s="39">
        <f t="shared" si="50"/>
        <v>0</v>
      </c>
      <c r="AV109" s="39">
        <f t="shared" si="50"/>
        <v>0</v>
      </c>
      <c r="AW109" s="39">
        <f t="shared" si="50"/>
        <v>0</v>
      </c>
      <c r="AX109" s="39">
        <f t="shared" si="50"/>
        <v>0</v>
      </c>
      <c r="AY109" s="39">
        <f t="shared" si="50"/>
        <v>0</v>
      </c>
      <c r="AZ109" s="39">
        <f t="shared" si="50"/>
        <v>0</v>
      </c>
      <c r="BA109" s="39">
        <f t="shared" si="50"/>
        <v>0</v>
      </c>
      <c r="BB109" s="39">
        <f t="shared" si="50"/>
        <v>0</v>
      </c>
      <c r="BC109" s="39">
        <f t="shared" si="50"/>
        <v>0</v>
      </c>
      <c r="BD109" s="39">
        <f t="shared" si="50"/>
        <v>0</v>
      </c>
      <c r="BE109" s="39">
        <f t="shared" si="50"/>
        <v>0</v>
      </c>
      <c r="BF109" s="39">
        <f t="shared" si="50"/>
        <v>0</v>
      </c>
      <c r="BG109" s="39">
        <f t="shared" si="50"/>
        <v>0</v>
      </c>
      <c r="BH109" s="39">
        <f t="shared" si="50"/>
        <v>0</v>
      </c>
      <c r="BI109" s="39">
        <f t="shared" si="50"/>
        <v>0</v>
      </c>
      <c r="BJ109" s="39">
        <f t="shared" si="50"/>
        <v>0</v>
      </c>
      <c r="BK109" s="39">
        <f t="shared" si="50"/>
        <v>0</v>
      </c>
      <c r="BL109" s="39">
        <f t="shared" si="50"/>
        <v>0</v>
      </c>
      <c r="BM109" s="39">
        <f t="shared" si="50"/>
        <v>0</v>
      </c>
      <c r="BN109" s="39">
        <f t="shared" si="50"/>
        <v>0</v>
      </c>
      <c r="BO109" s="39">
        <f t="shared" si="50"/>
        <v>0</v>
      </c>
      <c r="BP109" s="39">
        <f t="shared" si="50"/>
        <v>0</v>
      </c>
      <c r="BQ109" s="39">
        <f t="shared" si="50"/>
        <v>0</v>
      </c>
    </row>
    <row r="110" spans="2:69">
      <c r="B110" s="309"/>
      <c r="C110" s="309"/>
      <c r="D110" s="310"/>
      <c r="E110" s="1" t="s">
        <v>144</v>
      </c>
      <c r="F110" s="67"/>
      <c r="G110" s="67"/>
      <c r="H110" s="67"/>
      <c r="I110" s="67"/>
      <c r="J110" s="67"/>
      <c r="K110" s="1"/>
      <c r="L110" s="1"/>
      <c r="M110" s="1"/>
      <c r="N110" s="39">
        <f>-N16</f>
        <v>-95135147</v>
      </c>
      <c r="O110" s="39">
        <f>-O16</f>
        <v>-288889699</v>
      </c>
      <c r="P110" s="39">
        <f>-P16</f>
        <v>-336382478</v>
      </c>
      <c r="Q110" s="39">
        <f>-Q16</f>
        <v>-419319678</v>
      </c>
      <c r="R110" s="39">
        <f>-R16</f>
        <v>-336409057</v>
      </c>
      <c r="S110" s="39">
        <f t="shared" si="45"/>
        <v>-295227211.80000001</v>
      </c>
      <c r="T110" s="39">
        <f t="shared" ref="T110:BQ110" si="51">-T16</f>
        <v>-7854154</v>
      </c>
      <c r="U110" s="39">
        <f t="shared" si="51"/>
        <v>-7369181</v>
      </c>
      <c r="V110" s="39">
        <f t="shared" si="51"/>
        <v>-7145856</v>
      </c>
      <c r="W110" s="39">
        <f t="shared" si="51"/>
        <v>-6975465</v>
      </c>
      <c r="X110" s="39">
        <f t="shared" si="51"/>
        <v>-6971670</v>
      </c>
      <c r="Y110" s="39">
        <f t="shared" si="51"/>
        <v>-6791365</v>
      </c>
      <c r="Z110" s="39">
        <f t="shared" si="51"/>
        <v>-6480393</v>
      </c>
      <c r="AA110" s="39">
        <f t="shared" si="51"/>
        <v>-6480393</v>
      </c>
      <c r="AB110" s="39">
        <f t="shared" si="51"/>
        <v>-8146971.9473684207</v>
      </c>
      <c r="AC110" s="39">
        <f t="shared" si="51"/>
        <v>-9462761.421052631</v>
      </c>
      <c r="AD110" s="39">
        <f t="shared" si="51"/>
        <v>-10764492.894736841</v>
      </c>
      <c r="AE110" s="39">
        <f t="shared" si="51"/>
        <v>-11921337.368421052</v>
      </c>
      <c r="AF110" s="39">
        <f t="shared" si="51"/>
        <v>-13237126.842105262</v>
      </c>
      <c r="AG110" s="39">
        <f t="shared" si="51"/>
        <v>-12264190.842105262</v>
      </c>
      <c r="AH110" s="39">
        <f t="shared" si="51"/>
        <v>-12264190.842105262</v>
      </c>
      <c r="AI110" s="39">
        <f t="shared" si="51"/>
        <v>-11697439.842105262</v>
      </c>
      <c r="AJ110" s="39">
        <f t="shared" si="51"/>
        <v>-11697439.842105262</v>
      </c>
      <c r="AK110" s="39">
        <f t="shared" si="51"/>
        <v>-11618358.842105262</v>
      </c>
      <c r="AL110" s="39">
        <f t="shared" si="51"/>
        <v>-11503835.842105262</v>
      </c>
      <c r="AM110" s="39">
        <f t="shared" si="51"/>
        <v>-11503835.842105262</v>
      </c>
      <c r="AN110" s="39">
        <f t="shared" si="51"/>
        <v>-11503835.842105262</v>
      </c>
      <c r="AO110" s="39">
        <f t="shared" si="51"/>
        <v>-11322834.842105262</v>
      </c>
      <c r="AP110" s="39">
        <f t="shared" si="51"/>
        <v>-11322834.842105262</v>
      </c>
      <c r="AQ110" s="39">
        <f t="shared" si="51"/>
        <v>-11322834.842105262</v>
      </c>
      <c r="AR110" s="39">
        <f t="shared" si="51"/>
        <v>-11322834.842105262</v>
      </c>
      <c r="AS110" s="39">
        <f t="shared" si="51"/>
        <v>-11322834.842105262</v>
      </c>
      <c r="AT110" s="39">
        <f t="shared" si="51"/>
        <v>-11322834.842105262</v>
      </c>
      <c r="AU110" s="39">
        <f t="shared" si="51"/>
        <v>-11274486.842105262</v>
      </c>
      <c r="AV110" s="39">
        <f t="shared" si="51"/>
        <v>-11274486.842105262</v>
      </c>
      <c r="AW110" s="39">
        <f t="shared" si="51"/>
        <v>-11274486.842105262</v>
      </c>
      <c r="AX110" s="39">
        <f t="shared" si="51"/>
        <v>-11274486.842105262</v>
      </c>
      <c r="AY110" s="39">
        <f t="shared" si="51"/>
        <v>-10740456.842105262</v>
      </c>
      <c r="AZ110" s="39">
        <f t="shared" si="51"/>
        <v>-10740456.842105262</v>
      </c>
      <c r="BA110" s="39">
        <f t="shared" si="51"/>
        <v>-10634101.842105262</v>
      </c>
      <c r="BB110" s="39">
        <f t="shared" si="51"/>
        <v>-10634101.842105262</v>
      </c>
      <c r="BC110" s="39">
        <f t="shared" si="51"/>
        <v>-9740212.842105262</v>
      </c>
      <c r="BD110" s="39">
        <f t="shared" si="51"/>
        <v>-9645463.842105262</v>
      </c>
      <c r="BE110" s="39">
        <f t="shared" si="51"/>
        <v>-9250401.842105262</v>
      </c>
      <c r="BF110" s="39">
        <f t="shared" si="51"/>
        <v>-8565594.842105262</v>
      </c>
      <c r="BG110" s="39">
        <f t="shared" si="51"/>
        <v>-8565594.842105262</v>
      </c>
      <c r="BH110" s="39">
        <f t="shared" si="51"/>
        <v>-8565594.842105262</v>
      </c>
      <c r="BI110" s="39">
        <f t="shared" si="51"/>
        <v>-6929736.8421052629</v>
      </c>
      <c r="BJ110" s="39">
        <f t="shared" si="51"/>
        <v>-6929736.8421052629</v>
      </c>
      <c r="BK110" s="39">
        <f t="shared" si="51"/>
        <v>-6929736.8421052629</v>
      </c>
      <c r="BL110" s="39">
        <f t="shared" si="51"/>
        <v>-6929736.8421052629</v>
      </c>
      <c r="BM110" s="39">
        <f t="shared" si="51"/>
        <v>-6929736.8421052629</v>
      </c>
      <c r="BN110" s="39">
        <f t="shared" si="51"/>
        <v>-6929736.8421052629</v>
      </c>
      <c r="BO110" s="39">
        <f t="shared" si="51"/>
        <v>-6929736.8421052629</v>
      </c>
      <c r="BP110" s="39">
        <f t="shared" si="51"/>
        <v>-6929736.8421052629</v>
      </c>
      <c r="BQ110" s="39">
        <f t="shared" si="51"/>
        <v>-6929736.8421052629</v>
      </c>
    </row>
    <row r="111" spans="2:69">
      <c r="B111" s="309"/>
      <c r="C111" s="310"/>
      <c r="D111" s="9" t="s">
        <v>140</v>
      </c>
      <c r="E111" s="8"/>
      <c r="F111" s="67"/>
      <c r="G111" s="67"/>
      <c r="H111" s="67"/>
      <c r="I111" s="67"/>
      <c r="J111" s="67"/>
      <c r="K111" s="1"/>
      <c r="L111" s="1"/>
      <c r="M111" s="1"/>
      <c r="N111" s="39">
        <f>SUM(N108:N110)</f>
        <v>45291492</v>
      </c>
      <c r="O111" s="39">
        <f>SUM(O108:O110)</f>
        <v>42819946</v>
      </c>
      <c r="P111" s="39">
        <f>SUM(P108:P110)</f>
        <v>53058694</v>
      </c>
      <c r="Q111" s="39">
        <f>SUM(Q108:Q110)</f>
        <v>94185844</v>
      </c>
      <c r="R111" s="39">
        <f>SUM(R108:R110)</f>
        <v>54497352</v>
      </c>
      <c r="S111" s="39">
        <f t="shared" si="45"/>
        <v>57970665.600000001</v>
      </c>
      <c r="T111" s="39">
        <f t="shared" ref="T111:BQ111" si="52">SUM(T108:T110)</f>
        <v>26798875</v>
      </c>
      <c r="U111" s="39">
        <f t="shared" si="52"/>
        <v>25470604</v>
      </c>
      <c r="V111" s="39">
        <f t="shared" si="52"/>
        <v>24161757.300000001</v>
      </c>
      <c r="W111" s="39">
        <f t="shared" si="52"/>
        <v>22974185</v>
      </c>
      <c r="X111" s="39">
        <f t="shared" si="52"/>
        <v>22813665</v>
      </c>
      <c r="Y111" s="39">
        <f t="shared" si="52"/>
        <v>21393819</v>
      </c>
      <c r="Z111" s="39">
        <f t="shared" si="52"/>
        <v>21038230</v>
      </c>
      <c r="AA111" s="39">
        <f t="shared" si="52"/>
        <v>27360675</v>
      </c>
      <c r="AB111" s="39">
        <f t="shared" si="52"/>
        <v>52496343.052631579</v>
      </c>
      <c r="AC111" s="39">
        <f t="shared" si="52"/>
        <v>64338448.578947365</v>
      </c>
      <c r="AD111" s="39">
        <f t="shared" si="52"/>
        <v>71443469.105263159</v>
      </c>
      <c r="AE111" s="39">
        <f t="shared" si="52"/>
        <v>80894257.631578952</v>
      </c>
      <c r="AF111" s="39">
        <f t="shared" si="52"/>
        <v>87693630.157894731</v>
      </c>
      <c r="AG111" s="39">
        <f t="shared" si="52"/>
        <v>93353060.157894731</v>
      </c>
      <c r="AH111" s="39">
        <f t="shared" si="52"/>
        <v>101010955.15789473</v>
      </c>
      <c r="AI111" s="39">
        <f t="shared" si="52"/>
        <v>106446999.15789473</v>
      </c>
      <c r="AJ111" s="39">
        <f t="shared" si="52"/>
        <v>111710157.15789473</v>
      </c>
      <c r="AK111" s="39">
        <f t="shared" si="52"/>
        <v>116658551.15789473</v>
      </c>
      <c r="AL111" s="39">
        <f t="shared" si="52"/>
        <v>131100795.15789473</v>
      </c>
      <c r="AM111" s="39">
        <f t="shared" si="52"/>
        <v>145574479.15789473</v>
      </c>
      <c r="AN111" s="39">
        <f t="shared" si="52"/>
        <v>159352432.15789473</v>
      </c>
      <c r="AO111" s="39">
        <f t="shared" si="52"/>
        <v>173826644.15789473</v>
      </c>
      <c r="AP111" s="39">
        <f t="shared" si="52"/>
        <v>189116118.15789473</v>
      </c>
      <c r="AQ111" s="39">
        <f t="shared" si="52"/>
        <v>205010855.15789473</v>
      </c>
      <c r="AR111" s="39">
        <f t="shared" si="52"/>
        <v>221326644.15789473</v>
      </c>
      <c r="AS111" s="39">
        <f t="shared" si="52"/>
        <v>237642433.15789473</v>
      </c>
      <c r="AT111" s="39">
        <f t="shared" si="52"/>
        <v>239747696.15789473</v>
      </c>
      <c r="AU111" s="39">
        <f t="shared" si="52"/>
        <v>241067191.15789473</v>
      </c>
      <c r="AV111" s="39">
        <f t="shared" si="52"/>
        <v>242646138.15789473</v>
      </c>
      <c r="AW111" s="39">
        <f t="shared" si="52"/>
        <v>244251401.15789473</v>
      </c>
      <c r="AX111" s="39">
        <f t="shared" si="52"/>
        <v>245856664.15789473</v>
      </c>
      <c r="AY111" s="39">
        <f t="shared" si="52"/>
        <v>247465078.15789473</v>
      </c>
      <c r="AZ111" s="39">
        <f t="shared" si="52"/>
        <v>249188179.15789473</v>
      </c>
      <c r="BA111" s="39">
        <f t="shared" si="52"/>
        <v>250143159.15789473</v>
      </c>
      <c r="BB111" s="39">
        <f t="shared" si="52"/>
        <v>252248422.15789473</v>
      </c>
      <c r="BC111" s="39">
        <f t="shared" si="52"/>
        <v>249322587.15789473</v>
      </c>
      <c r="BD111" s="39">
        <f t="shared" si="52"/>
        <v>250704121.15789473</v>
      </c>
      <c r="BE111" s="39">
        <f t="shared" si="52"/>
        <v>251407384.15789473</v>
      </c>
      <c r="BF111" s="39">
        <f t="shared" si="52"/>
        <v>251672163.15789473</v>
      </c>
      <c r="BG111" s="39">
        <f t="shared" si="52"/>
        <v>252823124.15789473</v>
      </c>
      <c r="BH111" s="39">
        <f t="shared" si="52"/>
        <v>254585262.15789473</v>
      </c>
      <c r="BI111" s="39">
        <f t="shared" si="52"/>
        <v>255456103.15789473</v>
      </c>
      <c r="BJ111" s="39">
        <f t="shared" si="52"/>
        <v>257561366.15789473</v>
      </c>
      <c r="BK111" s="39">
        <f t="shared" si="52"/>
        <v>259140313.15789473</v>
      </c>
      <c r="BL111" s="39">
        <f t="shared" si="52"/>
        <v>260719260.15789473</v>
      </c>
      <c r="BM111" s="39">
        <f t="shared" si="52"/>
        <v>255833428.15789473</v>
      </c>
      <c r="BN111" s="39">
        <f t="shared" si="52"/>
        <v>230333414.15789473</v>
      </c>
      <c r="BO111" s="39">
        <f t="shared" si="52"/>
        <v>218859734.15789473</v>
      </c>
      <c r="BP111" s="39">
        <f t="shared" si="52"/>
        <v>211491313.15789473</v>
      </c>
      <c r="BQ111" s="39">
        <f t="shared" si="52"/>
        <v>201228145.15789473</v>
      </c>
    </row>
    <row r="112" spans="2:69">
      <c r="B112" s="310"/>
      <c r="C112" s="9" t="s">
        <v>145</v>
      </c>
      <c r="D112" s="7"/>
      <c r="E112" s="8"/>
      <c r="F112" s="67"/>
      <c r="G112" s="67"/>
      <c r="H112" s="67"/>
      <c r="I112" s="67"/>
      <c r="J112" s="67"/>
      <c r="K112" s="1"/>
      <c r="L112" s="1"/>
      <c r="M112" s="1"/>
      <c r="N112" s="39">
        <f>N107+N111</f>
        <v>-109498258</v>
      </c>
      <c r="O112" s="39">
        <f>O107+O111</f>
        <v>6790744</v>
      </c>
      <c r="P112" s="39">
        <f>P107+P111</f>
        <v>15313133</v>
      </c>
      <c r="Q112" s="39">
        <f>Q107+Q111</f>
        <v>-6885228</v>
      </c>
      <c r="R112" s="39">
        <f>R107+R111</f>
        <v>-5065183</v>
      </c>
      <c r="S112" s="39">
        <f t="shared" si="45"/>
        <v>-19868958.399999999</v>
      </c>
      <c r="T112" s="39">
        <f t="shared" ref="T112:BQ112" si="53">T107+T111</f>
        <v>60994803.900000006</v>
      </c>
      <c r="U112" s="39">
        <f t="shared" si="53"/>
        <v>86002393.900000006</v>
      </c>
      <c r="V112" s="39">
        <f t="shared" si="53"/>
        <v>81218876.199999973</v>
      </c>
      <c r="W112" s="39">
        <f t="shared" si="53"/>
        <v>76882605.899999976</v>
      </c>
      <c r="X112" s="39">
        <f t="shared" si="53"/>
        <v>73780399.899999976</v>
      </c>
      <c r="Y112" s="39">
        <f t="shared" si="53"/>
        <v>69503785.899999976</v>
      </c>
      <c r="Z112" s="39">
        <f t="shared" si="53"/>
        <v>64426504.899999976</v>
      </c>
      <c r="AA112" s="39">
        <f t="shared" si="53"/>
        <v>67992869.899999976</v>
      </c>
      <c r="AB112" s="39">
        <f t="shared" si="53"/>
        <v>92062534.900000006</v>
      </c>
      <c r="AC112" s="39">
        <f t="shared" si="53"/>
        <v>102722389.90000004</v>
      </c>
      <c r="AD112" s="39">
        <f t="shared" si="53"/>
        <v>108199677.90000002</v>
      </c>
      <c r="AE112" s="39">
        <f t="shared" si="53"/>
        <v>114022395.90000001</v>
      </c>
      <c r="AF112" s="39">
        <f t="shared" si="53"/>
        <v>119607541.89999998</v>
      </c>
      <c r="AG112" s="39">
        <f t="shared" si="53"/>
        <v>121970457.89999998</v>
      </c>
      <c r="AH112" s="39">
        <f t="shared" si="53"/>
        <v>126909869.89999998</v>
      </c>
      <c r="AI112" s="39">
        <f t="shared" si="53"/>
        <v>129278339.89999998</v>
      </c>
      <c r="AJ112" s="39">
        <f t="shared" si="53"/>
        <v>129342176.89999998</v>
      </c>
      <c r="AK112" s="39">
        <f t="shared" si="53"/>
        <v>132029764.89999998</v>
      </c>
      <c r="AL112" s="39">
        <f t="shared" si="53"/>
        <v>143825551.90000004</v>
      </c>
      <c r="AM112" s="39">
        <f t="shared" si="53"/>
        <v>155941305.90000004</v>
      </c>
      <c r="AN112" s="39">
        <f t="shared" si="53"/>
        <v>167364958.90000004</v>
      </c>
      <c r="AO112" s="39">
        <f t="shared" si="53"/>
        <v>176443238.90000004</v>
      </c>
      <c r="AP112" s="39">
        <f t="shared" si="53"/>
        <v>189342934.90000004</v>
      </c>
      <c r="AQ112" s="39">
        <f t="shared" si="53"/>
        <v>203011462.90000004</v>
      </c>
      <c r="AR112" s="39">
        <f t="shared" si="53"/>
        <v>217083673.90000004</v>
      </c>
      <c r="AS112" s="39">
        <f t="shared" si="53"/>
        <v>231307864.89999998</v>
      </c>
      <c r="AT112" s="39">
        <f t="shared" si="53"/>
        <v>227787683.89999998</v>
      </c>
      <c r="AU112" s="39">
        <f t="shared" si="53"/>
        <v>226952661.89999998</v>
      </c>
      <c r="AV112" s="39">
        <f t="shared" si="53"/>
        <v>226426593.89999998</v>
      </c>
      <c r="AW112" s="39">
        <f t="shared" si="53"/>
        <v>226048165.89999998</v>
      </c>
      <c r="AX112" s="39">
        <f t="shared" si="53"/>
        <v>225398295.90000004</v>
      </c>
      <c r="AY112" s="39">
        <f t="shared" si="53"/>
        <v>224334414.90000004</v>
      </c>
      <c r="AZ112" s="39">
        <f t="shared" si="53"/>
        <v>223905816.90000004</v>
      </c>
      <c r="BA112" s="39">
        <f t="shared" si="53"/>
        <v>222731321.90000004</v>
      </c>
      <c r="BB112" s="39">
        <f t="shared" si="53"/>
        <v>222541039.90000004</v>
      </c>
      <c r="BC112" s="39">
        <f t="shared" si="53"/>
        <v>216556210.90000004</v>
      </c>
      <c r="BD112" s="39">
        <f t="shared" si="53"/>
        <v>215658600.90000004</v>
      </c>
      <c r="BE112" s="39">
        <f t="shared" si="53"/>
        <v>213887227.90000004</v>
      </c>
      <c r="BF112" s="39">
        <f t="shared" si="53"/>
        <v>211143426.90000004</v>
      </c>
      <c r="BG112" s="39">
        <f t="shared" si="53"/>
        <v>210075061.90000004</v>
      </c>
      <c r="BH112" s="39">
        <f t="shared" si="53"/>
        <v>209615560.90000004</v>
      </c>
      <c r="BI112" s="39">
        <f t="shared" si="53"/>
        <v>206728766.90000004</v>
      </c>
      <c r="BJ112" s="39">
        <f t="shared" si="53"/>
        <v>206459289.90000004</v>
      </c>
      <c r="BK112" s="39">
        <f t="shared" si="53"/>
        <v>205780815.90000004</v>
      </c>
      <c r="BL112" s="39">
        <f t="shared" si="53"/>
        <v>205084026.90000004</v>
      </c>
      <c r="BM112" s="39">
        <f t="shared" si="53"/>
        <v>198005994.90000004</v>
      </c>
      <c r="BN112" s="39">
        <f t="shared" si="53"/>
        <v>170101416.90000004</v>
      </c>
      <c r="BO112" s="39">
        <f t="shared" si="53"/>
        <v>156312503.90000004</v>
      </c>
      <c r="BP112" s="39">
        <f t="shared" si="53"/>
        <v>146612220.90000004</v>
      </c>
      <c r="BQ112" s="39">
        <f t="shared" si="53"/>
        <v>134117263.90000004</v>
      </c>
    </row>
    <row r="113" spans="2:69">
      <c r="B113" s="305" t="s">
        <v>146</v>
      </c>
      <c r="C113" s="306"/>
      <c r="D113" s="306"/>
      <c r="E113" s="307"/>
      <c r="F113" s="67"/>
      <c r="G113" s="67"/>
      <c r="H113" s="67"/>
      <c r="I113" s="67"/>
      <c r="J113" s="67"/>
      <c r="K113" s="1"/>
      <c r="L113" s="1"/>
      <c r="M113" s="1"/>
      <c r="N113" s="39">
        <f>N105</f>
        <v>-2742310038</v>
      </c>
      <c r="O113" s="39">
        <f>O105</f>
        <v>-142357895</v>
      </c>
      <c r="P113" s="39">
        <f>P105</f>
        <v>-321127837</v>
      </c>
      <c r="Q113" s="39">
        <f>Q105</f>
        <v>-120983927</v>
      </c>
      <c r="R113" s="39">
        <f>R105</f>
        <v>-270842715</v>
      </c>
      <c r="S113" s="39">
        <f t="shared" si="45"/>
        <v>-719524482.39999998</v>
      </c>
      <c r="T113" s="39">
        <f t="shared" ref="T113:BQ113" si="54">T105</f>
        <v>-79463153</v>
      </c>
      <c r="U113" s="39">
        <f t="shared" si="54"/>
        <v>-68677346</v>
      </c>
      <c r="V113" s="39">
        <f t="shared" si="54"/>
        <v>-59243717</v>
      </c>
      <c r="W113" s="39">
        <f t="shared" si="54"/>
        <v>-56944226</v>
      </c>
      <c r="X113" s="39">
        <f t="shared" si="54"/>
        <v>-44070542</v>
      </c>
      <c r="Y113" s="39">
        <f t="shared" si="54"/>
        <v>-47227304.900000006</v>
      </c>
      <c r="Z113" s="39">
        <f t="shared" si="54"/>
        <v>-52539806</v>
      </c>
      <c r="AA113" s="39">
        <f t="shared" si="54"/>
        <v>-63383589</v>
      </c>
      <c r="AB113" s="39">
        <f t="shared" si="54"/>
        <v>-51807048</v>
      </c>
      <c r="AC113" s="39">
        <f t="shared" si="54"/>
        <v>-58436858</v>
      </c>
      <c r="AD113" s="39">
        <f t="shared" si="54"/>
        <v>-125115657</v>
      </c>
      <c r="AE113" s="39">
        <f t="shared" si="54"/>
        <v>-69695553</v>
      </c>
      <c r="AF113" s="39">
        <f t="shared" si="54"/>
        <v>-377000603</v>
      </c>
      <c r="AG113" s="39">
        <f t="shared" si="54"/>
        <v>-71283878</v>
      </c>
      <c r="AH113" s="39">
        <f t="shared" si="54"/>
        <v>-112781410</v>
      </c>
      <c r="AI113" s="39">
        <f t="shared" si="54"/>
        <v>-91921241</v>
      </c>
      <c r="AJ113" s="39">
        <f t="shared" si="54"/>
        <v>-111215343</v>
      </c>
      <c r="AK113" s="39">
        <f t="shared" si="54"/>
        <v>-121956201</v>
      </c>
      <c r="AL113" s="39">
        <f t="shared" si="54"/>
        <v>-133408616</v>
      </c>
      <c r="AM113" s="39">
        <f t="shared" si="54"/>
        <v>-145474127</v>
      </c>
      <c r="AN113" s="39">
        <f t="shared" si="54"/>
        <v>-157793015</v>
      </c>
      <c r="AO113" s="39">
        <f t="shared" si="54"/>
        <v>-170370600</v>
      </c>
      <c r="AP113" s="39">
        <f t="shared" si="54"/>
        <v>-174464378</v>
      </c>
      <c r="AQ113" s="39">
        <f t="shared" si="54"/>
        <v>-178644124</v>
      </c>
      <c r="AR113" s="39">
        <f t="shared" si="54"/>
        <v>-182911643</v>
      </c>
      <c r="AS113" s="39">
        <f t="shared" si="54"/>
        <v>-187268782</v>
      </c>
      <c r="AT113" s="39">
        <f t="shared" si="54"/>
        <v>-191717420</v>
      </c>
      <c r="AU113" s="39">
        <f t="shared" si="54"/>
        <v>-196259480</v>
      </c>
      <c r="AV113" s="39">
        <f t="shared" si="54"/>
        <v>-200896924</v>
      </c>
      <c r="AW113" s="39">
        <f t="shared" si="54"/>
        <v>-205631756</v>
      </c>
      <c r="AX113" s="39">
        <f t="shared" si="54"/>
        <v>-210466016</v>
      </c>
      <c r="AY113" s="39">
        <f t="shared" si="54"/>
        <v>-215401796</v>
      </c>
      <c r="AZ113" s="39">
        <f t="shared" si="54"/>
        <v>-220441228</v>
      </c>
      <c r="BA113" s="39">
        <f t="shared" si="54"/>
        <v>-225586490</v>
      </c>
      <c r="BB113" s="39">
        <f t="shared" si="54"/>
        <v>-230839797</v>
      </c>
      <c r="BC113" s="39">
        <f t="shared" si="54"/>
        <v>-236203425</v>
      </c>
      <c r="BD113" s="39">
        <f t="shared" si="54"/>
        <v>-241679692</v>
      </c>
      <c r="BE113" s="39">
        <f t="shared" si="54"/>
        <v>-247270959</v>
      </c>
      <c r="BF113" s="39">
        <f t="shared" si="54"/>
        <v>-252979645</v>
      </c>
      <c r="BG113" s="39">
        <f t="shared" si="54"/>
        <v>-258808211</v>
      </c>
      <c r="BH113" s="39">
        <f t="shared" si="54"/>
        <v>-264759180</v>
      </c>
      <c r="BI113" s="39">
        <f t="shared" si="54"/>
        <v>-261892265</v>
      </c>
      <c r="BJ113" s="39">
        <f t="shared" si="54"/>
        <v>-260341539</v>
      </c>
      <c r="BK113" s="39">
        <f t="shared" si="54"/>
        <v>-249634235</v>
      </c>
      <c r="BL113" s="39">
        <f t="shared" si="54"/>
        <v>-239628201</v>
      </c>
      <c r="BM113" s="39">
        <f t="shared" si="54"/>
        <v>-229970039</v>
      </c>
      <c r="BN113" s="39">
        <f t="shared" si="54"/>
        <v>-225689036</v>
      </c>
      <c r="BO113" s="39">
        <f t="shared" si="54"/>
        <v>-221318131</v>
      </c>
      <c r="BP113" s="39">
        <f t="shared" si="54"/>
        <v>-214995447</v>
      </c>
      <c r="BQ113" s="39">
        <f t="shared" si="54"/>
        <v>-206307993</v>
      </c>
    </row>
    <row r="114" spans="2:69">
      <c r="B114" s="305" t="s">
        <v>147</v>
      </c>
      <c r="C114" s="306"/>
      <c r="D114" s="306"/>
      <c r="E114" s="307"/>
      <c r="F114" s="67"/>
      <c r="G114" s="67"/>
      <c r="H114" s="67"/>
      <c r="I114" s="67"/>
      <c r="J114" s="67"/>
      <c r="K114" s="1"/>
      <c r="L114" s="1"/>
      <c r="M114" s="1"/>
      <c r="N114" s="39">
        <f>【BS】決算数値入力!K27</f>
        <v>362817447</v>
      </c>
      <c r="O114" s="39">
        <f>【BS】決算数値入力!L27</f>
        <v>565026725</v>
      </c>
      <c r="P114" s="39">
        <f>【BS】決算数値入力!M27</f>
        <v>334744715</v>
      </c>
      <c r="Q114" s="39">
        <f>【BS】決算数値入力!N27</f>
        <v>143864193</v>
      </c>
      <c r="R114" s="39">
        <f>【BS】決算数値入力!O27</f>
        <v>132458270</v>
      </c>
      <c r="S114" s="39">
        <f>【BS】決算数値入力!Q28</f>
        <v>7.5670000000000002</v>
      </c>
      <c r="T114" s="39">
        <f>R114+T113+T112</f>
        <v>113989920.90000001</v>
      </c>
      <c r="U114" s="39">
        <f>T114+U113+U112</f>
        <v>131314968.80000001</v>
      </c>
      <c r="V114" s="39">
        <f t="shared" ref="V114:BQ114" si="55">U114+V113+V112</f>
        <v>153290128</v>
      </c>
      <c r="W114" s="39">
        <f t="shared" si="55"/>
        <v>173228507.89999998</v>
      </c>
      <c r="X114" s="39">
        <f>W114+X113+X112</f>
        <v>202938365.79999995</v>
      </c>
      <c r="Y114" s="39">
        <f t="shared" si="55"/>
        <v>225214846.79999992</v>
      </c>
      <c r="Z114" s="39">
        <f t="shared" si="55"/>
        <v>237101545.6999999</v>
      </c>
      <c r="AA114" s="39">
        <f t="shared" si="55"/>
        <v>241710826.59999987</v>
      </c>
      <c r="AB114" s="39">
        <f t="shared" si="55"/>
        <v>281966313.49999988</v>
      </c>
      <c r="AC114" s="39">
        <f t="shared" si="55"/>
        <v>326251845.39999992</v>
      </c>
      <c r="AD114" s="39">
        <f t="shared" si="55"/>
        <v>309335866.29999995</v>
      </c>
      <c r="AE114" s="39">
        <f t="shared" si="55"/>
        <v>353662709.19999993</v>
      </c>
      <c r="AF114" s="39">
        <f t="shared" si="55"/>
        <v>96269648.099999905</v>
      </c>
      <c r="AG114" s="39">
        <f t="shared" si="55"/>
        <v>146956227.99999988</v>
      </c>
      <c r="AH114" s="39">
        <f t="shared" si="55"/>
        <v>161084687.89999986</v>
      </c>
      <c r="AI114" s="39">
        <f t="shared" si="55"/>
        <v>198441786.79999983</v>
      </c>
      <c r="AJ114" s="39">
        <f t="shared" si="55"/>
        <v>216568620.69999981</v>
      </c>
      <c r="AK114" s="39">
        <f t="shared" si="55"/>
        <v>226642184.59999979</v>
      </c>
      <c r="AL114" s="39">
        <f t="shared" si="55"/>
        <v>237059120.49999982</v>
      </c>
      <c r="AM114" s="39">
        <f t="shared" si="55"/>
        <v>247526299.39999986</v>
      </c>
      <c r="AN114" s="39">
        <f t="shared" si="55"/>
        <v>257098243.29999989</v>
      </c>
      <c r="AO114" s="39">
        <f t="shared" si="55"/>
        <v>263170882.19999993</v>
      </c>
      <c r="AP114" s="39">
        <f t="shared" si="55"/>
        <v>278049439.09999996</v>
      </c>
      <c r="AQ114" s="39">
        <f t="shared" si="55"/>
        <v>302416778</v>
      </c>
      <c r="AR114" s="39">
        <f t="shared" si="55"/>
        <v>336588808.90000004</v>
      </c>
      <c r="AS114" s="39">
        <f t="shared" si="55"/>
        <v>380627891.80000001</v>
      </c>
      <c r="AT114" s="39">
        <f t="shared" si="55"/>
        <v>416698155.69999999</v>
      </c>
      <c r="AU114" s="39">
        <f t="shared" si="55"/>
        <v>447391337.59999996</v>
      </c>
      <c r="AV114" s="39">
        <f t="shared" si="55"/>
        <v>472921007.49999994</v>
      </c>
      <c r="AW114" s="39">
        <f t="shared" si="55"/>
        <v>493337417.39999992</v>
      </c>
      <c r="AX114" s="39">
        <f t="shared" si="55"/>
        <v>508269697.29999995</v>
      </c>
      <c r="AY114" s="39">
        <f t="shared" si="55"/>
        <v>517202316.19999999</v>
      </c>
      <c r="AZ114" s="39">
        <f t="shared" si="55"/>
        <v>520666905.10000002</v>
      </c>
      <c r="BA114" s="39">
        <f t="shared" si="55"/>
        <v>517811737.00000006</v>
      </c>
      <c r="BB114" s="39">
        <f t="shared" si="55"/>
        <v>509512979.9000001</v>
      </c>
      <c r="BC114" s="39">
        <f t="shared" si="55"/>
        <v>489865765.80000013</v>
      </c>
      <c r="BD114" s="39">
        <f t="shared" si="55"/>
        <v>463844674.70000017</v>
      </c>
      <c r="BE114" s="39">
        <f t="shared" si="55"/>
        <v>430460943.6000002</v>
      </c>
      <c r="BF114" s="39">
        <f t="shared" si="55"/>
        <v>388624725.50000024</v>
      </c>
      <c r="BG114" s="39">
        <f t="shared" si="55"/>
        <v>339891576.40000027</v>
      </c>
      <c r="BH114" s="39">
        <f t="shared" si="55"/>
        <v>284747957.30000031</v>
      </c>
      <c r="BI114" s="39">
        <f t="shared" si="55"/>
        <v>229584459.20000035</v>
      </c>
      <c r="BJ114" s="39">
        <f t="shared" si="55"/>
        <v>175702210.10000038</v>
      </c>
      <c r="BK114" s="39">
        <f t="shared" si="55"/>
        <v>131848791.00000042</v>
      </c>
      <c r="BL114" s="39">
        <f t="shared" si="55"/>
        <v>97304616.900000453</v>
      </c>
      <c r="BM114" s="39">
        <f t="shared" si="55"/>
        <v>65340572.800000489</v>
      </c>
      <c r="BN114" s="39">
        <f t="shared" si="55"/>
        <v>9752953.7000005245</v>
      </c>
      <c r="BO114" s="39">
        <f t="shared" si="55"/>
        <v>-55252673.39999944</v>
      </c>
      <c r="BP114" s="39">
        <f t="shared" si="55"/>
        <v>-123635899.4999994</v>
      </c>
      <c r="BQ114" s="39">
        <f t="shared" si="55"/>
        <v>-195826628.59999937</v>
      </c>
    </row>
    <row r="115" spans="2:69">
      <c r="B115" s="9" t="s">
        <v>148</v>
      </c>
      <c r="C115" s="7"/>
      <c r="D115" s="7"/>
      <c r="E115" s="8"/>
      <c r="F115" s="67"/>
      <c r="G115" s="67"/>
      <c r="H115" s="67"/>
      <c r="I115" s="67"/>
      <c r="J115" s="67"/>
      <c r="K115" s="1"/>
      <c r="L115" s="1"/>
      <c r="M115" s="1"/>
      <c r="N115" s="39">
        <f>【BS】決算数値入力!K38+【BS】決算数値入力!K44</f>
        <v>353124203</v>
      </c>
      <c r="O115" s="39">
        <f>【BS】決算数値入力!L38+【BS】決算数値入力!L44</f>
        <v>455771228</v>
      </c>
      <c r="P115" s="39">
        <f>【BS】決算数値入力!M38+【BS】決算数値入力!M44</f>
        <v>591530416</v>
      </c>
      <c r="Q115" s="39">
        <f>【BS】決算数値入力!N38+【BS】決算数値入力!N44</f>
        <v>639346881</v>
      </c>
      <c r="R115" s="39">
        <f>【BS】決算数値入力!O38+【BS】決算数値入力!O44</f>
        <v>763361128</v>
      </c>
      <c r="S115" s="39">
        <f>【BS】決算数値入力!P29</f>
        <v>0</v>
      </c>
      <c r="T115" s="39">
        <f>【BS】決算数値入力!P38+新規債返済スケジュール!E5</f>
        <v>450554111</v>
      </c>
      <c r="U115" s="39">
        <f>【BS】決算数値入力!Q38+新規債返済スケジュール!F5</f>
        <v>585276765</v>
      </c>
      <c r="V115" s="39">
        <f>【BS】決算数値入力!R38+新規債返済スケジュール!G5</f>
        <v>974703048</v>
      </c>
      <c r="W115" s="39">
        <f>【BS】決算数値入力!S38+新規債返済スケジュール!H5</f>
        <v>1319758822</v>
      </c>
      <c r="X115" s="39">
        <f>【BS】決算数値入力!T38+新規債返済スケジュール!I5</f>
        <v>1662688280</v>
      </c>
      <c r="Y115" s="39">
        <f>【BS】決算数値入力!U38+新規債返済スケジュール!J5</f>
        <v>1863691189</v>
      </c>
      <c r="Z115" s="39">
        <f>【BS】決算数値入力!V38+新規債返済スケジュール!K5</f>
        <v>2062772872</v>
      </c>
      <c r="AA115" s="39">
        <f>【BS】決算数値入力!W38+新規債返済スケジュール!L5</f>
        <v>2308254675</v>
      </c>
      <c r="AB115" s="39">
        <f>【BS】決算数値入力!X38+新規債返済スケジュール!M5</f>
        <v>2608855364</v>
      </c>
      <c r="AC115" s="39">
        <f>【BS】決算数値入力!Y38+新規債返済スケジュール!N5</f>
        <v>2822863405</v>
      </c>
      <c r="AD115" s="39">
        <f>【BS】決算数値入力!Z38+新規債返済スケジュール!O5</f>
        <v>2951747748</v>
      </c>
      <c r="AE115" s="39">
        <f>【BS】決算数値入力!AA38+新規債返済スケジュール!P5</f>
        <v>3050077742</v>
      </c>
      <c r="AF115" s="39">
        <f>【BS】決算数値入力!AB38+新規債返済スケジュール!Q5</f>
        <v>3144632286</v>
      </c>
      <c r="AG115" s="39">
        <f>【BS】決算数値入力!AC38+新規債返済スケジュール!R5</f>
        <v>3615332093</v>
      </c>
      <c r="AH115" s="39">
        <f>【BS】決算数値入力!AD38+新規債返済スケジュール!S5</f>
        <v>4075940259</v>
      </c>
      <c r="AI115" s="39">
        <f>【BS】決算数値入力!AE38+新規債返済スケジュール!T5</f>
        <v>4526244858</v>
      </c>
      <c r="AJ115" s="39">
        <f>【BS】決算数値入力!AF38+新規債返済スケジュール!U5</f>
        <v>4966029515</v>
      </c>
      <c r="AK115" s="39">
        <f>【BS】決算数値入力!AG38+新規債返済スケジュール!V5</f>
        <v>5425073314</v>
      </c>
      <c r="AL115" s="39">
        <f>【BS】決算数値入力!AH38+新規債返済スケジュール!W5</f>
        <v>5895664698</v>
      </c>
      <c r="AM115" s="39">
        <f>【BS】決算数値入力!AI38+新規債返済スケジュール!X5</f>
        <v>6354190571</v>
      </c>
      <c r="AN115" s="39">
        <f>【BS】決算数値入力!AJ38+新規債返済スケジュール!Y5</f>
        <v>6800397556</v>
      </c>
      <c r="AO115" s="39">
        <f>【BS】決算数値入力!AK38+新規債返済スケジュール!Z5</f>
        <v>6694026956</v>
      </c>
      <c r="AP115" s="39">
        <f>【BS】決算数値入力!AL38+新規債返済スケジュール!AA5</f>
        <v>6583562578</v>
      </c>
      <c r="AQ115" s="39">
        <f>【BS】決算数値入力!AM38+新規債返済スケジュール!AB5</f>
        <v>6468918454</v>
      </c>
      <c r="AR115" s="39">
        <f>【BS】決算数値入力!AN38+新規債返済スケジュール!AC5</f>
        <v>6350006811</v>
      </c>
      <c r="AS115" s="39">
        <f>【BS】決算数値入力!AO38+新規債返済スケジュール!AD5</f>
        <v>6226738029</v>
      </c>
      <c r="AT115" s="39">
        <f>【BS】決算数値入力!AP38+新規債返済スケジュール!AE5</f>
        <v>6099020609</v>
      </c>
      <c r="AU115" s="39">
        <f>【BS】決算数値入力!AQ38+新規債返済スケジュール!AF5</f>
        <v>5966761129</v>
      </c>
      <c r="AV115" s="39">
        <f>【BS】決算数値入力!AR38+新規債返済スケジュール!AG5</f>
        <v>5829864205</v>
      </c>
      <c r="AW115" s="39">
        <f>【BS】決算数値入力!AS38+新規債返済スケジュール!AH5</f>
        <v>5688232449</v>
      </c>
      <c r="AX115" s="39">
        <f>【BS】決算数値入力!AT38+新規債返済スケジュール!AI5</f>
        <v>5541766433</v>
      </c>
      <c r="AY115" s="39">
        <f>【BS】決算数値入力!AU38+新規債返済スケジュール!AJ5</f>
        <v>5390364637</v>
      </c>
      <c r="AZ115" s="39">
        <f>【BS】決算数値入力!AV38+新規債返済スケジュール!AK5</f>
        <v>5233923409</v>
      </c>
      <c r="BA115" s="39">
        <f>【BS】決算数値入力!AW38+新規債返済スケジュール!AL5</f>
        <v>5072336919</v>
      </c>
      <c r="BB115" s="39">
        <f>【BS】決算数値入力!AX38+新規債返済スケジュール!AM5</f>
        <v>4905497122</v>
      </c>
      <c r="BC115" s="39">
        <f>【BS】決算数値入力!AY38+新規債返済スケジュール!AN5</f>
        <v>4733293697</v>
      </c>
      <c r="BD115" s="39">
        <f>【BS】決算数値入力!AZ38+新規債返済スケジュール!AO5</f>
        <v>4555614005</v>
      </c>
      <c r="BE115" s="39">
        <f>【BS】決算数値入力!BA38+新規債返済スケジュール!AP5</f>
        <v>4372343046</v>
      </c>
      <c r="BF115" s="39">
        <f>【BS】決算数値入力!BB38+新規債返済スケジュール!AQ5</f>
        <v>4183363401</v>
      </c>
      <c r="BG115" s="39">
        <f>【BS】決算数値入力!BC38+新規債返済スケジュール!AR5</f>
        <v>3988555190</v>
      </c>
      <c r="BH115" s="39">
        <f>【BS】決算数値入力!BD38+新規債返済スケジュール!AS5</f>
        <v>3787796010</v>
      </c>
      <c r="BI115" s="39">
        <f>【BS】決算数値入力!BE38+新規債返済スケジュール!AT5</f>
        <v>3589903746</v>
      </c>
      <c r="BJ115" s="39">
        <f>【BS】決算数値入力!BF38+新規債返済スケジュール!AU5</f>
        <v>3393562206</v>
      </c>
      <c r="BK115" s="39">
        <f>【BS】決算数値入力!BG38+新規債返済スケジュール!AV5</f>
        <v>3157927971</v>
      </c>
      <c r="BL115" s="39">
        <f>【BS】決算数値入力!BH38+新規債返済スケジュール!AW5</f>
        <v>2932299769</v>
      </c>
      <c r="BM115" s="39">
        <f>【BS】決算数値入力!BI38+新規債返済スケジュール!AX5</f>
        <v>2716329729</v>
      </c>
      <c r="BN115" s="39">
        <f>【BS】決算数値入力!BJ38+新規債返済スケジュール!AY5</f>
        <v>2504640695</v>
      </c>
      <c r="BO115" s="39">
        <f>【BS】決算数値入力!BK38+新規債返済スケジュール!AZ5</f>
        <v>2297322566</v>
      </c>
      <c r="BP115" s="39">
        <f>【BS】決算数値入力!BL38+新規債返済スケジュール!BA5</f>
        <v>2096327117</v>
      </c>
      <c r="BQ115" s="39">
        <f>【BS】決算数値入力!BM38+新規債返済スケジュール!BB5</f>
        <v>1904019121</v>
      </c>
    </row>
    <row r="118" spans="2:69">
      <c r="S118" s="24" t="s">
        <v>256</v>
      </c>
    </row>
    <row r="119" spans="2:69">
      <c r="S119" s="74" t="s">
        <v>252</v>
      </c>
      <c r="T119" s="44">
        <v>0</v>
      </c>
      <c r="U119" s="44">
        <v>0</v>
      </c>
      <c r="V119" s="44">
        <v>0</v>
      </c>
      <c r="W119" s="44">
        <v>0</v>
      </c>
      <c r="X119" s="44">
        <v>0</v>
      </c>
      <c r="Y119" s="44">
        <v>0</v>
      </c>
      <c r="Z119" s="44">
        <v>0</v>
      </c>
      <c r="AA119" s="44">
        <v>0</v>
      </c>
      <c r="AB119" s="44">
        <v>0</v>
      </c>
      <c r="AC119" s="44">
        <v>0</v>
      </c>
      <c r="AD119" s="44">
        <v>0</v>
      </c>
      <c r="AE119" s="44">
        <v>0</v>
      </c>
      <c r="AF119" s="44">
        <v>0</v>
      </c>
      <c r="AG119" s="44">
        <v>0</v>
      </c>
      <c r="AH119" s="44">
        <v>0</v>
      </c>
      <c r="AI119" s="44">
        <v>0</v>
      </c>
      <c r="AJ119" s="44">
        <v>0</v>
      </c>
      <c r="AK119" s="44">
        <v>0</v>
      </c>
      <c r="AL119" s="44">
        <v>0</v>
      </c>
      <c r="AM119" s="44">
        <v>0</v>
      </c>
      <c r="AN119" s="44">
        <v>0</v>
      </c>
      <c r="AO119" s="44">
        <v>0</v>
      </c>
      <c r="AP119" s="44">
        <v>0</v>
      </c>
      <c r="AQ119" s="44">
        <v>0</v>
      </c>
      <c r="AR119" s="44">
        <v>0</v>
      </c>
      <c r="AS119" s="44">
        <v>0</v>
      </c>
      <c r="AT119" s="44">
        <v>0</v>
      </c>
      <c r="AU119" s="44">
        <v>0</v>
      </c>
      <c r="AV119" s="44">
        <v>0</v>
      </c>
      <c r="AW119" s="44">
        <v>0</v>
      </c>
      <c r="AX119" s="44">
        <v>0</v>
      </c>
      <c r="AY119" s="44">
        <v>0</v>
      </c>
      <c r="AZ119" s="44">
        <v>0</v>
      </c>
      <c r="BA119" s="44">
        <v>0</v>
      </c>
      <c r="BB119" s="44">
        <v>0</v>
      </c>
      <c r="BC119" s="44">
        <v>0</v>
      </c>
      <c r="BD119" s="44">
        <v>0</v>
      </c>
      <c r="BE119" s="44">
        <v>0</v>
      </c>
      <c r="BF119" s="44">
        <v>0</v>
      </c>
      <c r="BG119" s="44">
        <v>0</v>
      </c>
      <c r="BH119" s="44">
        <v>0</v>
      </c>
      <c r="BI119" s="44">
        <v>0</v>
      </c>
      <c r="BJ119" s="44">
        <v>0</v>
      </c>
    </row>
    <row r="120" spans="2:69">
      <c r="S120" s="68" t="s">
        <v>253</v>
      </c>
      <c r="T120" s="44">
        <v>0</v>
      </c>
      <c r="U120" s="44">
        <v>0</v>
      </c>
      <c r="V120" s="44">
        <v>0</v>
      </c>
      <c r="W120" s="44">
        <v>0</v>
      </c>
      <c r="X120" s="44">
        <v>0</v>
      </c>
      <c r="Y120" s="44">
        <v>0</v>
      </c>
      <c r="Z120" s="44">
        <v>0</v>
      </c>
      <c r="AA120" s="44">
        <v>0</v>
      </c>
      <c r="AB120" s="44">
        <v>0</v>
      </c>
      <c r="AC120" s="44">
        <v>0</v>
      </c>
      <c r="AD120" s="44">
        <v>0</v>
      </c>
      <c r="AE120" s="44">
        <v>0</v>
      </c>
      <c r="AF120" s="44">
        <v>0</v>
      </c>
      <c r="AG120" s="44">
        <v>0</v>
      </c>
      <c r="AH120" s="44">
        <v>0</v>
      </c>
      <c r="AI120" s="44">
        <v>0</v>
      </c>
      <c r="AJ120" s="44">
        <v>0</v>
      </c>
      <c r="AK120" s="44">
        <v>0</v>
      </c>
      <c r="AL120" s="44">
        <v>0</v>
      </c>
      <c r="AM120" s="44">
        <v>0</v>
      </c>
      <c r="AN120" s="44">
        <v>0</v>
      </c>
      <c r="AO120" s="44">
        <v>0</v>
      </c>
      <c r="AP120" s="44">
        <v>0</v>
      </c>
      <c r="AQ120" s="44">
        <v>0</v>
      </c>
      <c r="AR120" s="44">
        <v>0</v>
      </c>
      <c r="AS120" s="44">
        <v>0</v>
      </c>
      <c r="AT120" s="44">
        <v>0</v>
      </c>
      <c r="AU120" s="44">
        <v>0</v>
      </c>
      <c r="AV120" s="44">
        <v>0</v>
      </c>
      <c r="AW120" s="44">
        <v>0</v>
      </c>
      <c r="AX120" s="44">
        <v>0</v>
      </c>
      <c r="AY120" s="44">
        <v>0</v>
      </c>
      <c r="AZ120" s="44">
        <v>0</v>
      </c>
      <c r="BA120" s="44">
        <v>0</v>
      </c>
      <c r="BB120" s="44">
        <v>0</v>
      </c>
      <c r="BC120" s="44">
        <v>0</v>
      </c>
      <c r="BD120" s="44">
        <v>0</v>
      </c>
      <c r="BE120" s="44">
        <v>0</v>
      </c>
      <c r="BF120" s="44">
        <v>0</v>
      </c>
      <c r="BG120" s="44">
        <v>0</v>
      </c>
      <c r="BH120" s="44">
        <v>0</v>
      </c>
      <c r="BI120" s="44">
        <v>0</v>
      </c>
      <c r="BJ120" s="44">
        <v>0</v>
      </c>
    </row>
    <row r="121" spans="2:69">
      <c r="S121" s="68" t="s">
        <v>254</v>
      </c>
      <c r="T121" s="44">
        <v>217</v>
      </c>
      <c r="U121" s="44">
        <v>0</v>
      </c>
      <c r="V121" s="44">
        <v>127</v>
      </c>
      <c r="W121" s="44">
        <v>0</v>
      </c>
      <c r="X121" s="44">
        <v>765</v>
      </c>
      <c r="Y121" s="44">
        <v>0</v>
      </c>
      <c r="Z121" s="44">
        <v>0</v>
      </c>
      <c r="AA121" s="44">
        <v>17</v>
      </c>
      <c r="AB121" s="44">
        <v>0</v>
      </c>
      <c r="AC121" s="44">
        <v>0</v>
      </c>
      <c r="AD121" s="44">
        <v>63</v>
      </c>
      <c r="AE121" s="44">
        <v>0</v>
      </c>
      <c r="AF121" s="44">
        <v>243</v>
      </c>
      <c r="AG121" s="44">
        <v>0</v>
      </c>
      <c r="AH121" s="44">
        <v>30</v>
      </c>
      <c r="AI121" s="44">
        <v>0</v>
      </c>
      <c r="AJ121" s="44">
        <v>0</v>
      </c>
      <c r="AK121" s="44">
        <v>0</v>
      </c>
      <c r="AL121" s="44">
        <v>0</v>
      </c>
      <c r="AM121" s="44">
        <v>0</v>
      </c>
      <c r="AN121" s="44">
        <v>0</v>
      </c>
      <c r="AO121" s="44">
        <v>0</v>
      </c>
      <c r="AP121" s="44">
        <v>308</v>
      </c>
      <c r="AQ121" s="44">
        <v>0</v>
      </c>
      <c r="AR121" s="44">
        <v>39</v>
      </c>
      <c r="AS121" s="44">
        <v>0</v>
      </c>
      <c r="AT121" s="44">
        <v>0</v>
      </c>
      <c r="AU121" s="44">
        <v>0</v>
      </c>
      <c r="AV121" s="44">
        <v>0</v>
      </c>
      <c r="AW121" s="44">
        <v>0</v>
      </c>
      <c r="AX121" s="44">
        <v>13</v>
      </c>
      <c r="AY121" s="44">
        <v>0</v>
      </c>
      <c r="AZ121" s="44">
        <v>127</v>
      </c>
      <c r="BA121" s="44">
        <v>0</v>
      </c>
      <c r="BB121" s="44">
        <v>765</v>
      </c>
      <c r="BC121" s="44">
        <v>0</v>
      </c>
      <c r="BD121" s="44">
        <v>0</v>
      </c>
      <c r="BE121" s="44">
        <v>17</v>
      </c>
      <c r="BF121" s="44">
        <v>204</v>
      </c>
      <c r="BG121" s="44">
        <v>43</v>
      </c>
      <c r="BH121" s="44">
        <v>63</v>
      </c>
      <c r="BI121" s="44">
        <v>0</v>
      </c>
      <c r="BJ121" s="44">
        <v>75</v>
      </c>
    </row>
    <row r="122" spans="2:69">
      <c r="S122" s="68" t="s">
        <v>255</v>
      </c>
      <c r="T122" s="44">
        <v>0</v>
      </c>
      <c r="U122" s="44">
        <v>0</v>
      </c>
      <c r="V122" s="44">
        <v>0</v>
      </c>
      <c r="W122" s="44">
        <v>0</v>
      </c>
      <c r="X122" s="44">
        <v>0</v>
      </c>
      <c r="Y122" s="44">
        <v>0</v>
      </c>
      <c r="Z122" s="44">
        <v>0</v>
      </c>
      <c r="AA122" s="44">
        <v>0</v>
      </c>
      <c r="AB122" s="44">
        <v>0</v>
      </c>
      <c r="AC122" s="44">
        <v>0</v>
      </c>
      <c r="AD122" s="44">
        <v>0</v>
      </c>
      <c r="AE122" s="44">
        <v>0</v>
      </c>
      <c r="AF122" s="44">
        <v>0</v>
      </c>
      <c r="AG122" s="44">
        <v>0</v>
      </c>
      <c r="AH122" s="44">
        <v>0</v>
      </c>
      <c r="AI122" s="44">
        <v>0</v>
      </c>
      <c r="AJ122" s="44">
        <v>0</v>
      </c>
      <c r="AK122" s="44">
        <v>0</v>
      </c>
      <c r="AL122" s="44">
        <v>0</v>
      </c>
      <c r="AM122" s="44">
        <v>0</v>
      </c>
      <c r="AN122" s="44">
        <v>0</v>
      </c>
      <c r="AO122" s="44">
        <v>0</v>
      </c>
      <c r="AP122" s="44">
        <v>0</v>
      </c>
      <c r="AQ122" s="44">
        <v>0</v>
      </c>
      <c r="AR122" s="44">
        <v>0</v>
      </c>
      <c r="AS122" s="44">
        <v>0</v>
      </c>
      <c r="AT122" s="44">
        <v>0</v>
      </c>
      <c r="AU122" s="44">
        <v>0</v>
      </c>
      <c r="AV122" s="44">
        <v>0</v>
      </c>
      <c r="AW122" s="44">
        <v>0</v>
      </c>
      <c r="AX122" s="44">
        <v>0</v>
      </c>
      <c r="AY122" s="44">
        <v>0</v>
      </c>
      <c r="AZ122" s="44">
        <v>0</v>
      </c>
      <c r="BA122" s="44">
        <v>0</v>
      </c>
      <c r="BB122" s="44">
        <v>0</v>
      </c>
      <c r="BC122" s="44">
        <v>0</v>
      </c>
      <c r="BD122" s="44">
        <v>0</v>
      </c>
      <c r="BE122" s="44">
        <v>0</v>
      </c>
      <c r="BF122" s="44">
        <v>0</v>
      </c>
      <c r="BG122" s="44">
        <v>0</v>
      </c>
      <c r="BH122" s="44">
        <v>0</v>
      </c>
      <c r="BI122" s="44">
        <v>0</v>
      </c>
      <c r="BJ122" s="44">
        <v>0</v>
      </c>
    </row>
    <row r="124" spans="2:69">
      <c r="S124" s="68" t="s">
        <v>257</v>
      </c>
      <c r="T124" s="44">
        <v>111645926</v>
      </c>
      <c r="U124" s="44">
        <v>32362.999999999902</v>
      </c>
      <c r="V124" s="44">
        <v>1211510</v>
      </c>
      <c r="W124" s="44">
        <v>983685</v>
      </c>
      <c r="X124" s="44">
        <v>15328036</v>
      </c>
      <c r="Y124" s="44">
        <v>1230213.8999999999</v>
      </c>
      <c r="Z124" s="44">
        <v>621489</v>
      </c>
      <c r="AA124" s="44">
        <v>865392</v>
      </c>
      <c r="AB124" s="44">
        <v>1407737</v>
      </c>
      <c r="AC124" s="44">
        <v>1444899</v>
      </c>
      <c r="AD124" s="44">
        <v>0</v>
      </c>
      <c r="AE124" s="44">
        <v>7025547</v>
      </c>
      <c r="AF124" s="44">
        <v>67555147</v>
      </c>
      <c r="AG124" s="44">
        <v>983685</v>
      </c>
      <c r="AH124" s="44">
        <v>2389576</v>
      </c>
      <c r="AI124" s="44">
        <v>1225840</v>
      </c>
      <c r="AJ124" s="44">
        <v>621489</v>
      </c>
      <c r="AK124" s="44">
        <v>865392</v>
      </c>
      <c r="AL124" s="44">
        <v>7215260</v>
      </c>
      <c r="AM124" s="44">
        <v>10191712</v>
      </c>
      <c r="AN124" s="44">
        <v>30747953</v>
      </c>
      <c r="AO124" s="44">
        <v>0</v>
      </c>
      <c r="AP124" s="44">
        <v>14498709</v>
      </c>
      <c r="AQ124" s="44">
        <v>8009232</v>
      </c>
      <c r="AR124" s="44">
        <v>68733213</v>
      </c>
      <c r="AS124" s="44">
        <v>1225840</v>
      </c>
      <c r="AT124" s="44">
        <v>621489</v>
      </c>
      <c r="AU124" s="44">
        <v>865392</v>
      </c>
      <c r="AV124" s="44">
        <v>21153316</v>
      </c>
      <c r="AW124" s="44">
        <v>1444899</v>
      </c>
      <c r="AX124" s="44">
        <v>0</v>
      </c>
      <c r="AY124" s="44">
        <v>0</v>
      </c>
      <c r="AZ124" s="44">
        <v>1211510</v>
      </c>
      <c r="BA124" s="44">
        <v>983685</v>
      </c>
      <c r="BB124" s="44">
        <v>15210685</v>
      </c>
      <c r="BC124" s="44">
        <v>8251387</v>
      </c>
      <c r="BD124" s="44">
        <v>72772649</v>
      </c>
      <c r="BE124" s="44">
        <v>865392</v>
      </c>
      <c r="BF124" s="44">
        <v>10154550</v>
      </c>
      <c r="BG124" s="44">
        <v>1444899</v>
      </c>
      <c r="BH124" s="44">
        <v>30747953</v>
      </c>
      <c r="BI124" s="44">
        <v>0</v>
      </c>
      <c r="BJ124" s="44">
        <v>1211510</v>
      </c>
    </row>
  </sheetData>
  <autoFilter ref="B3:BQ68" xr:uid="{580772E3-389A-45F6-9719-21766B3B5060}"/>
  <mergeCells count="14">
    <mergeCell ref="B114:E114"/>
    <mergeCell ref="J103:J104"/>
    <mergeCell ref="B106:B112"/>
    <mergeCell ref="C106:C107"/>
    <mergeCell ref="C108:C111"/>
    <mergeCell ref="D108:D110"/>
    <mergeCell ref="B113:E113"/>
    <mergeCell ref="J71:J72"/>
    <mergeCell ref="K71:K72"/>
    <mergeCell ref="J3:J4"/>
    <mergeCell ref="K3:K4"/>
    <mergeCell ref="F26:F33"/>
    <mergeCell ref="F34:F41"/>
    <mergeCell ref="F43:F51"/>
  </mergeCells>
  <phoneticPr fontId="4"/>
  <pageMargins left="0.70866141732283472" right="0.70866141732283472" top="0.74803149606299213" bottom="0.74803149606299213" header="0.31496062992125984" footer="0.31496062992125984"/>
  <pageSetup paperSize="8" scale="70" fitToWidth="0" fitToHeight="0" orientation="landscape" r:id="rId1"/>
  <headerFooter>
    <oddHeader>&amp;A</oddHeader>
    <oddFooter>&amp;P / &amp;N ページ</oddFooter>
  </headerFooter>
  <rowBreaks count="1" manualBreakCount="1">
    <brk id="68" max="16383"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6BBD-2264-4A36-B1FD-80E377B9F312}">
  <sheetPr>
    <tabColor rgb="FFFFFFCC"/>
    <pageSetUpPr fitToPage="1"/>
  </sheetPr>
  <dimension ref="A2:BP32"/>
  <sheetViews>
    <sheetView showGridLines="0" topLeftCell="M1" zoomScale="98" zoomScaleNormal="98" workbookViewId="0">
      <selection activeCell="U5" sqref="U5:AD5"/>
    </sheetView>
  </sheetViews>
  <sheetFormatPr defaultRowHeight="14.4" outlineLevelCol="1"/>
  <cols>
    <col min="1" max="1" width="2.90625" customWidth="1"/>
    <col min="2" max="12" width="0" hidden="1" customWidth="1" outlineLevel="1"/>
    <col min="13" max="13" width="14" customWidth="1" collapsed="1"/>
    <col min="14" max="18" width="8.7265625" customWidth="1"/>
    <col min="19" max="19" width="10.36328125" bestFit="1" customWidth="1"/>
  </cols>
  <sheetData>
    <row r="2" spans="1:68">
      <c r="A2" t="s">
        <v>160</v>
      </c>
    </row>
    <row r="3" spans="1:68">
      <c r="M3" t="s">
        <v>684</v>
      </c>
      <c r="S3" t="s">
        <v>194</v>
      </c>
    </row>
    <row r="4" spans="1:68">
      <c r="N4" s="21" t="s">
        <v>11</v>
      </c>
      <c r="O4" s="14"/>
      <c r="P4" s="14"/>
      <c r="Q4" s="14"/>
      <c r="R4" s="15"/>
      <c r="S4" s="23" t="s">
        <v>17</v>
      </c>
      <c r="T4" s="14"/>
      <c r="U4" s="14"/>
      <c r="V4" s="15"/>
      <c r="W4" s="22" t="s">
        <v>334</v>
      </c>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row>
    <row r="5" spans="1:68">
      <c r="N5" s="11" t="s">
        <v>12</v>
      </c>
      <c r="O5" s="11" t="s">
        <v>13</v>
      </c>
      <c r="P5" s="11" t="s">
        <v>14</v>
      </c>
      <c r="Q5" s="11" t="s">
        <v>15</v>
      </c>
      <c r="R5" s="11" t="s">
        <v>16</v>
      </c>
      <c r="S5" s="11" t="s">
        <v>23</v>
      </c>
      <c r="T5" s="11" t="s">
        <v>24</v>
      </c>
      <c r="U5" s="11" t="s">
        <v>25</v>
      </c>
      <c r="V5" s="11" t="s">
        <v>26</v>
      </c>
      <c r="W5" s="11" t="s">
        <v>27</v>
      </c>
      <c r="X5" s="11" t="s">
        <v>28</v>
      </c>
      <c r="Y5" s="11" t="s">
        <v>29</v>
      </c>
      <c r="Z5" s="11" t="s">
        <v>30</v>
      </c>
      <c r="AA5" s="11" t="s">
        <v>31</v>
      </c>
      <c r="AB5" s="11" t="s">
        <v>32</v>
      </c>
      <c r="AC5" s="11" t="s">
        <v>33</v>
      </c>
      <c r="AD5" s="11" t="s">
        <v>34</v>
      </c>
      <c r="AE5" s="11" t="s">
        <v>35</v>
      </c>
      <c r="AF5" s="11" t="s">
        <v>36</v>
      </c>
      <c r="AG5" s="11" t="s">
        <v>37</v>
      </c>
      <c r="AH5" s="11" t="s">
        <v>38</v>
      </c>
      <c r="AI5" s="11" t="s">
        <v>39</v>
      </c>
      <c r="AJ5" s="11" t="s">
        <v>40</v>
      </c>
      <c r="AK5" s="11" t="s">
        <v>41</v>
      </c>
      <c r="AL5" s="11" t="s">
        <v>42</v>
      </c>
      <c r="AM5" s="11" t="s">
        <v>43</v>
      </c>
      <c r="AN5" s="11" t="s">
        <v>44</v>
      </c>
      <c r="AO5" s="11" t="s">
        <v>45</v>
      </c>
      <c r="AP5" s="11" t="s">
        <v>46</v>
      </c>
      <c r="AQ5" s="11" t="s">
        <v>47</v>
      </c>
      <c r="AR5" s="11" t="s">
        <v>48</v>
      </c>
      <c r="AS5" s="11" t="s">
        <v>49</v>
      </c>
      <c r="AT5" s="11" t="s">
        <v>50</v>
      </c>
      <c r="AU5" s="11" t="s">
        <v>51</v>
      </c>
      <c r="AV5" s="11" t="s">
        <v>52</v>
      </c>
      <c r="AW5" s="11" t="s">
        <v>53</v>
      </c>
      <c r="AX5" s="11" t="s">
        <v>54</v>
      </c>
      <c r="AY5" s="11" t="s">
        <v>55</v>
      </c>
      <c r="AZ5" s="11" t="s">
        <v>56</v>
      </c>
      <c r="BA5" s="11" t="s">
        <v>57</v>
      </c>
      <c r="BB5" s="11" t="s">
        <v>58</v>
      </c>
      <c r="BC5" s="11" t="s">
        <v>59</v>
      </c>
      <c r="BD5" s="11" t="s">
        <v>60</v>
      </c>
      <c r="BE5" s="11" t="s">
        <v>61</v>
      </c>
      <c r="BF5" s="11" t="s">
        <v>62</v>
      </c>
      <c r="BG5" s="11" t="s">
        <v>63</v>
      </c>
      <c r="BH5" s="11" t="s">
        <v>64</v>
      </c>
      <c r="BI5" s="11" t="s">
        <v>65</v>
      </c>
      <c r="BJ5" s="11" t="s">
        <v>66</v>
      </c>
      <c r="BK5" s="11" t="s">
        <v>67</v>
      </c>
      <c r="BL5" s="11" t="s">
        <v>670</v>
      </c>
      <c r="BM5" s="11" t="s">
        <v>671</v>
      </c>
      <c r="BN5" s="11" t="s">
        <v>672</v>
      </c>
      <c r="BO5" s="11" t="s">
        <v>673</v>
      </c>
      <c r="BP5" s="11" t="s">
        <v>674</v>
      </c>
    </row>
    <row r="6" spans="1:68" s="24" customFormat="1">
      <c r="M6" s="25" t="s">
        <v>687</v>
      </c>
      <c r="N6" s="43"/>
      <c r="O6" s="43"/>
      <c r="P6" s="43"/>
      <c r="Q6" s="43"/>
      <c r="R6" s="43"/>
      <c r="S6" s="39">
        <f>S7+S10</f>
        <v>121057544</v>
      </c>
      <c r="T6" s="39">
        <f t="shared" ref="T6:BP6" si="0">T7+T10</f>
        <v>119828671</v>
      </c>
      <c r="U6" s="39">
        <f t="shared" si="0"/>
        <v>117944073</v>
      </c>
      <c r="V6" s="39">
        <f t="shared" si="0"/>
        <v>116308760</v>
      </c>
      <c r="W6" s="39">
        <f t="shared" si="0"/>
        <v>114716038</v>
      </c>
      <c r="X6" s="39">
        <f t="shared" si="0"/>
        <v>113357452</v>
      </c>
      <c r="Y6" s="39">
        <f t="shared" si="0"/>
        <v>110538755</v>
      </c>
      <c r="Z6" s="39">
        <f t="shared" si="0"/>
        <v>109147617</v>
      </c>
      <c r="AA6" s="39">
        <f t="shared" si="0"/>
        <v>107785034</v>
      </c>
      <c r="AB6" s="39">
        <f t="shared" si="0"/>
        <v>106638316</v>
      </c>
      <c r="AC6" s="39">
        <f t="shared" si="0"/>
        <v>105130774</v>
      </c>
      <c r="AD6" s="39">
        <f t="shared" si="0"/>
        <v>102050353</v>
      </c>
      <c r="AE6" s="39">
        <f t="shared" si="0"/>
        <v>100916459</v>
      </c>
      <c r="AF6" s="39">
        <f t="shared" si="0"/>
        <v>99966242</v>
      </c>
      <c r="AG6" s="39">
        <f t="shared" si="0"/>
        <v>98691262</v>
      </c>
      <c r="AH6" s="39">
        <f t="shared" si="0"/>
        <v>97614116</v>
      </c>
      <c r="AI6" s="39">
        <f t="shared" si="0"/>
        <v>94252245</v>
      </c>
      <c r="AJ6" s="39">
        <f t="shared" si="0"/>
        <v>93486430</v>
      </c>
      <c r="AK6" s="39">
        <f t="shared" si="0"/>
        <v>92430335</v>
      </c>
      <c r="AL6" s="39">
        <f t="shared" si="0"/>
        <v>91540736</v>
      </c>
      <c r="AM6" s="39">
        <f t="shared" si="0"/>
        <v>90665294</v>
      </c>
      <c r="AN6" s="39">
        <f t="shared" si="0"/>
        <v>87354364</v>
      </c>
      <c r="AO6" s="39">
        <f t="shared" si="0"/>
        <v>86470693</v>
      </c>
      <c r="AP6" s="39">
        <f t="shared" si="0"/>
        <v>85737427</v>
      </c>
      <c r="AQ6" s="39">
        <f t="shared" si="0"/>
        <v>85004039</v>
      </c>
      <c r="AR6" s="39">
        <f t="shared" si="0"/>
        <v>84413552</v>
      </c>
      <c r="AS6" s="39">
        <f t="shared" si="0"/>
        <v>80809439</v>
      </c>
      <c r="AT6" s="39">
        <f t="shared" si="0"/>
        <v>80232383</v>
      </c>
      <c r="AU6" s="39">
        <f t="shared" si="0"/>
        <v>79669484</v>
      </c>
      <c r="AV6" s="39">
        <f t="shared" si="0"/>
        <v>79221657</v>
      </c>
      <c r="AW6" s="39">
        <f t="shared" si="0"/>
        <v>78558207</v>
      </c>
      <c r="AX6" s="39">
        <f t="shared" si="0"/>
        <v>78009586</v>
      </c>
      <c r="AY6" s="39">
        <f t="shared" si="0"/>
        <v>77460844</v>
      </c>
      <c r="AZ6" s="39">
        <f t="shared" si="0"/>
        <v>77036127</v>
      </c>
      <c r="BA6" s="39">
        <f t="shared" si="0"/>
        <v>76392157</v>
      </c>
      <c r="BB6" s="39">
        <f t="shared" si="0"/>
        <v>75871972</v>
      </c>
      <c r="BC6" s="39">
        <f t="shared" si="0"/>
        <v>75351786</v>
      </c>
      <c r="BD6" s="39">
        <f t="shared" si="0"/>
        <v>74935902</v>
      </c>
      <c r="BE6" s="39">
        <f t="shared" si="0"/>
        <v>74325571</v>
      </c>
      <c r="BF6" s="39">
        <f t="shared" si="0"/>
        <v>73819542</v>
      </c>
      <c r="BG6" s="39">
        <f t="shared" si="0"/>
        <v>73327791</v>
      </c>
      <c r="BH6" s="39">
        <f t="shared" si="0"/>
        <v>72935502</v>
      </c>
      <c r="BI6" s="39">
        <f t="shared" si="0"/>
        <v>72344290</v>
      </c>
      <c r="BJ6" s="39">
        <f t="shared" si="0"/>
        <v>71866696</v>
      </c>
      <c r="BK6" s="39">
        <f t="shared" si="0"/>
        <v>71389102</v>
      </c>
      <c r="BL6" s="39">
        <f t="shared" si="0"/>
        <v>71006372</v>
      </c>
      <c r="BM6" s="39">
        <f t="shared" si="0"/>
        <v>70448191</v>
      </c>
      <c r="BN6" s="39">
        <f t="shared" si="0"/>
        <v>69984875</v>
      </c>
      <c r="BO6" s="39">
        <f t="shared" si="0"/>
        <v>69521560</v>
      </c>
      <c r="BP6" s="39">
        <f t="shared" si="0"/>
        <v>69162667</v>
      </c>
    </row>
    <row r="7" spans="1:68" s="24" customFormat="1">
      <c r="M7" s="25" t="s">
        <v>157</v>
      </c>
      <c r="N7" s="43"/>
      <c r="O7" s="43"/>
      <c r="P7" s="43"/>
      <c r="Q7" s="43"/>
      <c r="R7" s="43"/>
      <c r="S7" s="39">
        <f>SUM(S8:S9)</f>
        <v>39060442</v>
      </c>
      <c r="T7" s="39">
        <f>SUM(T8:T9)</f>
        <v>38005809</v>
      </c>
      <c r="U7" s="39">
        <f t="shared" ref="U7:BP7" si="1">SUM(U8:U9)</f>
        <v>38021395</v>
      </c>
      <c r="V7" s="39">
        <f t="shared" si="1"/>
        <v>38034223</v>
      </c>
      <c r="W7" s="39">
        <f t="shared" si="1"/>
        <v>38047050</v>
      </c>
      <c r="X7" s="39">
        <f t="shared" si="1"/>
        <v>38059878</v>
      </c>
      <c r="Y7" s="39">
        <f t="shared" si="1"/>
        <v>38047050</v>
      </c>
      <c r="Z7" s="39">
        <f t="shared" si="1"/>
        <v>38034223</v>
      </c>
      <c r="AA7" s="39">
        <f t="shared" si="1"/>
        <v>38021395</v>
      </c>
      <c r="AB7" s="39">
        <f t="shared" si="1"/>
        <v>38008568</v>
      </c>
      <c r="AC7" s="39">
        <f t="shared" si="1"/>
        <v>37995739</v>
      </c>
      <c r="AD7" s="39">
        <f t="shared" si="1"/>
        <v>37970084</v>
      </c>
      <c r="AE7" s="39">
        <f t="shared" si="1"/>
        <v>37944429</v>
      </c>
      <c r="AF7" s="39">
        <f t="shared" si="1"/>
        <v>37918773</v>
      </c>
      <c r="AG7" s="39">
        <f t="shared" si="1"/>
        <v>37893118</v>
      </c>
      <c r="AH7" s="39">
        <f t="shared" si="1"/>
        <v>37867462</v>
      </c>
      <c r="AI7" s="39">
        <f t="shared" si="1"/>
        <v>37816151</v>
      </c>
      <c r="AJ7" s="39">
        <f t="shared" si="1"/>
        <v>37764841</v>
      </c>
      <c r="AK7" s="39">
        <f t="shared" si="1"/>
        <v>37713530</v>
      </c>
      <c r="AL7" s="39">
        <f t="shared" si="1"/>
        <v>37662219</v>
      </c>
      <c r="AM7" s="39">
        <f t="shared" si="1"/>
        <v>37610908</v>
      </c>
      <c r="AN7" s="39">
        <f t="shared" si="1"/>
        <v>37559597</v>
      </c>
      <c r="AO7" s="39">
        <f t="shared" si="1"/>
        <v>37508285</v>
      </c>
      <c r="AP7" s="39">
        <f t="shared" si="1"/>
        <v>37456975</v>
      </c>
      <c r="AQ7" s="39">
        <f t="shared" si="1"/>
        <v>37405664</v>
      </c>
      <c r="AR7" s="39">
        <f t="shared" si="1"/>
        <v>37354353</v>
      </c>
      <c r="AS7" s="39">
        <f t="shared" si="1"/>
        <v>37303042</v>
      </c>
      <c r="AT7" s="39">
        <f t="shared" si="1"/>
        <v>37251731</v>
      </c>
      <c r="AU7" s="39">
        <f t="shared" si="1"/>
        <v>37200420</v>
      </c>
      <c r="AV7" s="39">
        <f t="shared" si="1"/>
        <v>37149110</v>
      </c>
      <c r="AW7" s="39">
        <f t="shared" si="1"/>
        <v>37097799</v>
      </c>
      <c r="AX7" s="39">
        <f t="shared" si="1"/>
        <v>37046488</v>
      </c>
      <c r="AY7" s="39">
        <f t="shared" si="1"/>
        <v>36995177</v>
      </c>
      <c r="AZ7" s="39">
        <f t="shared" si="1"/>
        <v>36943866</v>
      </c>
      <c r="BA7" s="39">
        <f t="shared" si="1"/>
        <v>36892554</v>
      </c>
      <c r="BB7" s="39">
        <f t="shared" si="1"/>
        <v>36841244</v>
      </c>
      <c r="BC7" s="39">
        <f t="shared" si="1"/>
        <v>36789933</v>
      </c>
      <c r="BD7" s="39">
        <f t="shared" si="1"/>
        <v>36738622</v>
      </c>
      <c r="BE7" s="39">
        <f t="shared" si="1"/>
        <v>36687311</v>
      </c>
      <c r="BF7" s="39">
        <f t="shared" si="1"/>
        <v>36636000</v>
      </c>
      <c r="BG7" s="39">
        <f t="shared" si="1"/>
        <v>36584689</v>
      </c>
      <c r="BH7" s="39">
        <f t="shared" si="1"/>
        <v>36533378</v>
      </c>
      <c r="BI7" s="39">
        <f t="shared" si="1"/>
        <v>36482068</v>
      </c>
      <c r="BJ7" s="39">
        <f t="shared" si="1"/>
        <v>36430757</v>
      </c>
      <c r="BK7" s="39">
        <f t="shared" si="1"/>
        <v>36379446</v>
      </c>
      <c r="BL7" s="39">
        <f t="shared" si="1"/>
        <v>36328135</v>
      </c>
      <c r="BM7" s="39">
        <f t="shared" si="1"/>
        <v>36276823</v>
      </c>
      <c r="BN7" s="39">
        <f t="shared" si="1"/>
        <v>36225512</v>
      </c>
      <c r="BO7" s="39">
        <f t="shared" si="1"/>
        <v>36174202</v>
      </c>
      <c r="BP7" s="39">
        <f t="shared" si="1"/>
        <v>36122891</v>
      </c>
    </row>
    <row r="8" spans="1:68" s="24" customFormat="1">
      <c r="M8" s="25" t="s">
        <v>685</v>
      </c>
      <c r="N8" s="43"/>
      <c r="O8" s="43"/>
      <c r="P8" s="43"/>
      <c r="Q8" s="43"/>
      <c r="R8" s="43"/>
      <c r="S8" s="39">
        <f>ROUND(【収益】料金単価!$D$6*【収益】水需要予測!Y24*【収益】料金単価!$S$35*12,0)</f>
        <v>23188314</v>
      </c>
      <c r="T8" s="39">
        <f>ROUND(【収益】料金単価!$D$6*【収益】水需要予測!Z24*【収益】料金単価!$S$35*12,0)</f>
        <v>22562229</v>
      </c>
      <c r="U8" s="39">
        <f>ROUND(【収益】料金単価!$D$6*【収益】水需要予測!AA24*【収益】料金単価!$S$35*12,0)</f>
        <v>22571482</v>
      </c>
      <c r="V8" s="39">
        <f>ROUND(【収益】料金単価!$D$6*【収益】水需要予測!AB24*【収益】料金単価!$S$35*12,0)</f>
        <v>22579097</v>
      </c>
      <c r="W8" s="39">
        <f>ROUND(【収益】料金単価!$D$6*【収益】水需要予測!AC24*【収益】料金単価!$S$35*12,0)</f>
        <v>22586712</v>
      </c>
      <c r="X8" s="39">
        <f>ROUND(【収益】料金単価!$D$6*【収益】水需要予測!AD24*【収益】料金単価!$S$35*12,0)</f>
        <v>22594327</v>
      </c>
      <c r="Y8" s="39">
        <f>ROUND(【収益】料金単価!$D$6*【収益】水需要予測!AE24*【収益】料金単価!$S$35*12,0)</f>
        <v>22586712</v>
      </c>
      <c r="Z8" s="39">
        <f>ROUND(【収益】料金単価!$D$6*【収益】水需要予測!AF24*【収益】料金単価!$S$35*12,0)</f>
        <v>22579097</v>
      </c>
      <c r="AA8" s="39">
        <f>ROUND(【収益】料金単価!$D$6*【収益】水需要予測!AG24*【収益】料金単価!$S$35*12,0)</f>
        <v>22571482</v>
      </c>
      <c r="AB8" s="39">
        <f>ROUND(【収益】料金単価!$D$6*【収益】水需要予測!AH24*【収益】料金単価!$S$35*12,0)</f>
        <v>22563867</v>
      </c>
      <c r="AC8" s="39">
        <f>ROUND(【収益】料金単価!$D$6*【収益】水需要予測!AI24*【収益】料金単価!$S$35*12,0)</f>
        <v>22556251</v>
      </c>
      <c r="AD8" s="39">
        <f>ROUND(【収益】料金単価!$D$6*【収益】水需要予測!AJ24*【収益】料金単価!$S$35*12,0)</f>
        <v>22541021</v>
      </c>
      <c r="AE8" s="39">
        <f>ROUND(【収益】料金単価!$D$6*【収益】水需要予測!AK24*【収益】料金単価!$S$35*12,0)</f>
        <v>22525791</v>
      </c>
      <c r="AF8" s="39">
        <f>ROUND(【収益】料金単価!$D$6*【収益】水需要予測!AL24*【収益】料金単価!$S$35*12,0)</f>
        <v>22510560</v>
      </c>
      <c r="AG8" s="39">
        <f>ROUND(【収益】料金単価!$D$6*【収益】水需要予測!AM24*【収益】料金単価!$S$35*12,0)</f>
        <v>22495330</v>
      </c>
      <c r="AH8" s="39">
        <f>ROUND(【収益】料金単価!$D$6*【収益】水需要予測!AN24*【収益】料金単価!$S$35*12,0)</f>
        <v>22480099</v>
      </c>
      <c r="AI8" s="39">
        <f>ROUND(【収益】料金単価!$D$6*【収益】水需要予測!AO24*【収益】料金単価!$S$35*12,0)</f>
        <v>22449638</v>
      </c>
      <c r="AJ8" s="39">
        <f>ROUND(【収益】料金単価!$D$6*【収益】水需要予測!AP24*【収益】料金単価!$S$35*12,0)</f>
        <v>22419178</v>
      </c>
      <c r="AK8" s="39">
        <f>ROUND(【収益】料金単価!$D$6*【収益】水需要予測!AQ24*【収益】料金単価!$S$35*12,0)</f>
        <v>22388717</v>
      </c>
      <c r="AL8" s="39">
        <f>ROUND(【収益】料金単価!$D$6*【収益】水需要予測!AR24*【収益】料金単価!$S$35*12,0)</f>
        <v>22358256</v>
      </c>
      <c r="AM8" s="39">
        <f>ROUND(【収益】料金単価!$D$6*【収益】水需要予測!AS24*【収益】料金単価!$S$35*12,0)</f>
        <v>22327795</v>
      </c>
      <c r="AN8" s="39">
        <f>ROUND(【収益】料金単価!$D$6*【収益】水需要予測!AT24*【収益】料金単価!$S$35*12,0)</f>
        <v>22297334</v>
      </c>
      <c r="AO8" s="39">
        <f>ROUND(【収益】料金単価!$D$6*【収益】水需要予測!AU24*【収益】料金単価!$S$35*12,0)</f>
        <v>22266873</v>
      </c>
      <c r="AP8" s="39">
        <f>ROUND(【収益】料金単価!$D$6*【収益】水需要予測!AV24*【収益】料金単価!$S$35*12,0)</f>
        <v>22236413</v>
      </c>
      <c r="AQ8" s="39">
        <f>ROUND(【収益】料金単価!$D$6*【収益】水需要予測!AW24*【収益】料金単価!$S$35*12,0)</f>
        <v>22205952</v>
      </c>
      <c r="AR8" s="39">
        <f>ROUND(【収益】料金単価!$D$6*【収益】水需要予測!AX24*【収益】料金単価!$S$35*12,0)</f>
        <v>22175491</v>
      </c>
      <c r="AS8" s="39">
        <f>ROUND(【収益】料金単価!$D$6*【収益】水需要予測!AY24*【収益】料金単価!$S$35*12,0)</f>
        <v>22145030</v>
      </c>
      <c r="AT8" s="39">
        <f>ROUND(【収益】料金単価!$D$6*【収益】水需要予測!AZ24*【収益】料金単価!$S$35*12,0)</f>
        <v>22114569</v>
      </c>
      <c r="AU8" s="39">
        <f>ROUND(【収益】料金単価!$D$6*【収益】水需要予測!BA24*【収益】料金単価!$S$35*12,0)</f>
        <v>22084108</v>
      </c>
      <c r="AV8" s="39">
        <f>ROUND(【収益】料金単価!$D$6*【収益】水需要予測!BB24*【収益】料金単価!$S$35*12,0)</f>
        <v>22053648</v>
      </c>
      <c r="AW8" s="39">
        <f>ROUND(【収益】料金単価!$D$6*【収益】水需要予測!BC24*【収益】料金単価!$S$35*12,0)</f>
        <v>22023187</v>
      </c>
      <c r="AX8" s="39">
        <f>ROUND(【収益】料金単価!$D$6*【収益】水需要予測!BD24*【収益】料金単価!$S$35*12,0)</f>
        <v>21992726</v>
      </c>
      <c r="AY8" s="39">
        <f>ROUND(【収益】料金単価!$D$6*【収益】水需要予測!BE24*【収益】料金単価!$S$35*12,0)</f>
        <v>21962265</v>
      </c>
      <c r="AZ8" s="39">
        <f>ROUND(【収益】料金単価!$D$6*【収益】水需要予測!BF24*【収益】料金単価!$S$35*12,0)</f>
        <v>21931804</v>
      </c>
      <c r="BA8" s="39">
        <f>ROUND(【収益】料金単価!$D$6*【収益】水需要予測!BG24*【収益】料金単価!$S$35*12,0)</f>
        <v>21901343</v>
      </c>
      <c r="BB8" s="39">
        <f>ROUND(【収益】料金単価!$D$6*【収益】水需要予測!BH24*【収益】料金単価!$S$35*12,0)</f>
        <v>21870883</v>
      </c>
      <c r="BC8" s="39">
        <f>ROUND(【収益】料金単価!$D$6*【収益】水需要予測!BI24*【収益】料金単価!$S$35*12,0)</f>
        <v>21840422</v>
      </c>
      <c r="BD8" s="39">
        <f>ROUND(【収益】料金単価!$D$6*【収益】水需要予測!BJ24*【収益】料金単価!$S$35*12,0)</f>
        <v>21809961</v>
      </c>
      <c r="BE8" s="39">
        <f>ROUND(【収益】料金単価!$D$6*【収益】水需要予測!BK24*【収益】料金単価!$S$35*12,0)</f>
        <v>21779500</v>
      </c>
      <c r="BF8" s="39">
        <f>ROUND(【収益】料金単価!$D$6*【収益】水需要予測!BL24*【収益】料金単価!$S$35*12,0)</f>
        <v>21749039</v>
      </c>
      <c r="BG8" s="39">
        <f>ROUND(【収益】料金単価!$D$6*【収益】水需要予測!BM24*【収益】料金単価!$S$35*12,0)</f>
        <v>21718578</v>
      </c>
      <c r="BH8" s="39">
        <f>ROUND(【収益】料金単価!$D$6*【収益】水需要予測!BN24*【収益】料金単価!$S$35*12,0)</f>
        <v>21688117</v>
      </c>
      <c r="BI8" s="39">
        <f>ROUND(【収益】料金単価!$D$6*【収益】水需要予測!BO24*【収益】料金単価!$S$35*12,0)</f>
        <v>21657657</v>
      </c>
      <c r="BJ8" s="39">
        <f>ROUND(【収益】料金単価!$D$6*【収益】水需要予測!BP24*【収益】料金単価!$S$35*12,0)</f>
        <v>21627196</v>
      </c>
      <c r="BK8" s="39">
        <f>ROUND(【収益】料金単価!$D$6*【収益】水需要予測!BQ24*【収益】料金単価!$S$35*12,0)</f>
        <v>21596735</v>
      </c>
      <c r="BL8" s="39">
        <f>ROUND(【収益】料金単価!$D$6*【収益】水需要予測!BR24*【収益】料金単価!$S$35*12,0)</f>
        <v>21566274</v>
      </c>
      <c r="BM8" s="39">
        <f>ROUND(【収益】料金単価!$D$6*【収益】水需要予測!BS24*【収益】料金単価!$S$35*12,0)</f>
        <v>21535813</v>
      </c>
      <c r="BN8" s="39">
        <f>ROUND(【収益】料金単価!$D$6*【収益】水需要予測!BT24*【収益】料金単価!$S$35*12,0)</f>
        <v>21505352</v>
      </c>
      <c r="BO8" s="39">
        <f>ROUND(【収益】料金単価!$D$6*【収益】水需要予測!BU24*【収益】料金単価!$S$35*12,0)</f>
        <v>21474892</v>
      </c>
      <c r="BP8" s="39">
        <f>ROUND(【収益】料金単価!$D$6*【収益】水需要予測!BV24*【収益】料金単価!$S$35*12,0)</f>
        <v>21444431</v>
      </c>
    </row>
    <row r="9" spans="1:68" s="24" customFormat="1">
      <c r="M9" s="25" t="s">
        <v>686</v>
      </c>
      <c r="N9" s="43"/>
      <c r="O9" s="43"/>
      <c r="P9" s="43"/>
      <c r="Q9" s="43"/>
      <c r="R9" s="43"/>
      <c r="S9" s="39">
        <f>ROUND(【収益】料金単価!$D$7*【収益】水需要予測!Y24*(1-【収益】料金単価!$S$35)*12,0)</f>
        <v>15872128</v>
      </c>
      <c r="T9" s="39">
        <f>ROUND(【収益】料金単価!$D$7*【収益】水需要予測!Z24*(1-【収益】料金単価!$S$35)*12,0)</f>
        <v>15443580</v>
      </c>
      <c r="U9" s="39">
        <f>ROUND(【収益】料金単価!$D$7*【収益】水需要予測!AA24*(1-【収益】料金単価!$S$35)*12,0)</f>
        <v>15449913</v>
      </c>
      <c r="V9" s="39">
        <f>ROUND(【収益】料金単価!$D$7*【収益】水需要予測!AB24*(1-【収益】料金単価!$S$35)*12,0)</f>
        <v>15455126</v>
      </c>
      <c r="W9" s="39">
        <f>ROUND(【収益】料金単価!$D$7*【収益】水需要予測!AC24*(1-【収益】料金単価!$S$35)*12,0)</f>
        <v>15460338</v>
      </c>
      <c r="X9" s="39">
        <f>ROUND(【収益】料金単価!$D$7*【収益】水需要予測!AD24*(1-【収益】料金単価!$S$35)*12,0)</f>
        <v>15465551</v>
      </c>
      <c r="Y9" s="39">
        <f>ROUND(【収益】料金単価!$D$7*【収益】水需要予測!AE24*(1-【収益】料金単価!$S$35)*12,0)</f>
        <v>15460338</v>
      </c>
      <c r="Z9" s="39">
        <f>ROUND(【収益】料金単価!$D$7*【収益】水需要予測!AF24*(1-【収益】料金単価!$S$35)*12,0)</f>
        <v>15455126</v>
      </c>
      <c r="AA9" s="39">
        <f>ROUND(【収益】料金単価!$D$7*【収益】水需要予測!AG24*(1-【収益】料金単価!$S$35)*12,0)</f>
        <v>15449913</v>
      </c>
      <c r="AB9" s="39">
        <f>ROUND(【収益】料金単価!$D$7*【収益】水需要予測!AH24*(1-【収益】料金単価!$S$35)*12,0)</f>
        <v>15444701</v>
      </c>
      <c r="AC9" s="39">
        <f>ROUND(【収益】料金単価!$D$7*【収益】水需要予測!AI24*(1-【収益】料金単価!$S$35)*12,0)</f>
        <v>15439488</v>
      </c>
      <c r="AD9" s="39">
        <f>ROUND(【収益】料金単価!$D$7*【収益】水需要予測!AJ24*(1-【収益】料金単価!$S$35)*12,0)</f>
        <v>15429063</v>
      </c>
      <c r="AE9" s="39">
        <f>ROUND(【収益】料金単価!$D$7*【収益】水需要予測!AK24*(1-【収益】料金単価!$S$35)*12,0)</f>
        <v>15418638</v>
      </c>
      <c r="AF9" s="39">
        <f>ROUND(【収益】料金単価!$D$7*【収益】水需要予測!AL24*(1-【収益】料金単価!$S$35)*12,0)</f>
        <v>15408213</v>
      </c>
      <c r="AG9" s="39">
        <f>ROUND(【収益】料金単価!$D$7*【収益】水需要予測!AM24*(1-【収益】料金単価!$S$35)*12,0)</f>
        <v>15397788</v>
      </c>
      <c r="AH9" s="39">
        <f>ROUND(【収益】料金単価!$D$7*【収益】水需要予測!AN24*(1-【収益】料金単価!$S$35)*12,0)</f>
        <v>15387363</v>
      </c>
      <c r="AI9" s="39">
        <f>ROUND(【収益】料金単価!$D$7*【収益】水需要予測!AO24*(1-【収益】料金単価!$S$35)*12,0)</f>
        <v>15366513</v>
      </c>
      <c r="AJ9" s="39">
        <f>ROUND(【収益】料金単価!$D$7*【収益】水需要予測!AP24*(1-【収益】料金単価!$S$35)*12,0)</f>
        <v>15345663</v>
      </c>
      <c r="AK9" s="39">
        <f>ROUND(【収益】料金単価!$D$7*【収益】水需要予測!AQ24*(1-【収益】料金単価!$S$35)*12,0)</f>
        <v>15324813</v>
      </c>
      <c r="AL9" s="39">
        <f>ROUND(【収益】料金単価!$D$7*【収益】水需要予測!AR24*(1-【収益】料金単価!$S$35)*12,0)</f>
        <v>15303963</v>
      </c>
      <c r="AM9" s="39">
        <f>ROUND(【収益】料金単価!$D$7*【収益】水需要予測!AS24*(1-【収益】料金単価!$S$35)*12,0)</f>
        <v>15283113</v>
      </c>
      <c r="AN9" s="39">
        <f>ROUND(【収益】料金単価!$D$7*【収益】水需要予測!AT24*(1-【収益】料金単価!$S$35)*12,0)</f>
        <v>15262263</v>
      </c>
      <c r="AO9" s="39">
        <f>ROUND(【収益】料金単価!$D$7*【収益】水需要予測!AU24*(1-【収益】料金単価!$S$35)*12,0)</f>
        <v>15241412</v>
      </c>
      <c r="AP9" s="39">
        <f>ROUND(【収益】料金単価!$D$7*【収益】水需要予測!AV24*(1-【収益】料金単価!$S$35)*12,0)</f>
        <v>15220562</v>
      </c>
      <c r="AQ9" s="39">
        <f>ROUND(【収益】料金単価!$D$7*【収益】水需要予測!AW24*(1-【収益】料金単価!$S$35)*12,0)</f>
        <v>15199712</v>
      </c>
      <c r="AR9" s="39">
        <f>ROUND(【収益】料金単価!$D$7*【収益】水需要予測!AX24*(1-【収益】料金単価!$S$35)*12,0)</f>
        <v>15178862</v>
      </c>
      <c r="AS9" s="39">
        <f>ROUND(【収益】料金単価!$D$7*【収益】水需要予測!AY24*(1-【収益】料金単価!$S$35)*12,0)</f>
        <v>15158012</v>
      </c>
      <c r="AT9" s="39">
        <f>ROUND(【収益】料金単価!$D$7*【収益】水需要予測!AZ24*(1-【収益】料金単価!$S$35)*12,0)</f>
        <v>15137162</v>
      </c>
      <c r="AU9" s="39">
        <f>ROUND(【収益】料金単価!$D$7*【収益】水需要予測!BA24*(1-【収益】料金単価!$S$35)*12,0)</f>
        <v>15116312</v>
      </c>
      <c r="AV9" s="39">
        <f>ROUND(【収益】料金単価!$D$7*【収益】水需要予測!BB24*(1-【収益】料金単価!$S$35)*12,0)</f>
        <v>15095462</v>
      </c>
      <c r="AW9" s="39">
        <f>ROUND(【収益】料金単価!$D$7*【収益】水需要予測!BC24*(1-【収益】料金単価!$S$35)*12,0)</f>
        <v>15074612</v>
      </c>
      <c r="AX9" s="39">
        <f>ROUND(【収益】料金単価!$D$7*【収益】水需要予測!BD24*(1-【収益】料金単価!$S$35)*12,0)</f>
        <v>15053762</v>
      </c>
      <c r="AY9" s="39">
        <f>ROUND(【収益】料金単価!$D$7*【収益】水需要予測!BE24*(1-【収益】料金単価!$S$35)*12,0)</f>
        <v>15032912</v>
      </c>
      <c r="AZ9" s="39">
        <f>ROUND(【収益】料金単価!$D$7*【収益】水需要予測!BF24*(1-【収益】料金単価!$S$35)*12,0)</f>
        <v>15012062</v>
      </c>
      <c r="BA9" s="39">
        <f>ROUND(【収益】料金単価!$D$7*【収益】水需要予測!BG24*(1-【収益】料金単価!$S$35)*12,0)</f>
        <v>14991211</v>
      </c>
      <c r="BB9" s="39">
        <f>ROUND(【収益】料金単価!$D$7*【収益】水需要予測!BH24*(1-【収益】料金単価!$S$35)*12,0)</f>
        <v>14970361</v>
      </c>
      <c r="BC9" s="39">
        <f>ROUND(【収益】料金単価!$D$7*【収益】水需要予測!BI24*(1-【収益】料金単価!$S$35)*12,0)</f>
        <v>14949511</v>
      </c>
      <c r="BD9" s="39">
        <f>ROUND(【収益】料金単価!$D$7*【収益】水需要予測!BJ24*(1-【収益】料金単価!$S$35)*12,0)</f>
        <v>14928661</v>
      </c>
      <c r="BE9" s="39">
        <f>ROUND(【収益】料金単価!$D$7*【収益】水需要予測!BK24*(1-【収益】料金単価!$S$35)*12,0)</f>
        <v>14907811</v>
      </c>
      <c r="BF9" s="39">
        <f>ROUND(【収益】料金単価!$D$7*【収益】水需要予測!BL24*(1-【収益】料金単価!$S$35)*12,0)</f>
        <v>14886961</v>
      </c>
      <c r="BG9" s="39">
        <f>ROUND(【収益】料金単価!$D$7*【収益】水需要予測!BM24*(1-【収益】料金単価!$S$35)*12,0)</f>
        <v>14866111</v>
      </c>
      <c r="BH9" s="39">
        <f>ROUND(【収益】料金単価!$D$7*【収益】水需要予測!BN24*(1-【収益】料金単価!$S$35)*12,0)</f>
        <v>14845261</v>
      </c>
      <c r="BI9" s="39">
        <f>ROUND(【収益】料金単価!$D$7*【収益】水需要予測!BO24*(1-【収益】料金単価!$S$35)*12,0)</f>
        <v>14824411</v>
      </c>
      <c r="BJ9" s="39">
        <f>ROUND(【収益】料金単価!$D$7*【収益】水需要予測!BP24*(1-【収益】料金単価!$S$35)*12,0)</f>
        <v>14803561</v>
      </c>
      <c r="BK9" s="39">
        <f>ROUND(【収益】料金単価!$D$7*【収益】水需要予測!BQ24*(1-【収益】料金単価!$S$35)*12,0)</f>
        <v>14782711</v>
      </c>
      <c r="BL9" s="39">
        <f>ROUND(【収益】料金単価!$D$7*【収益】水需要予測!BR24*(1-【収益】料金単価!$S$35)*12,0)</f>
        <v>14761861</v>
      </c>
      <c r="BM9" s="39">
        <f>ROUND(【収益】料金単価!$D$7*【収益】水需要予測!BS24*(1-【収益】料金単価!$S$35)*12,0)</f>
        <v>14741010</v>
      </c>
      <c r="BN9" s="39">
        <f>ROUND(【収益】料金単価!$D$7*【収益】水需要予測!BT24*(1-【収益】料金単価!$S$35)*12,0)</f>
        <v>14720160</v>
      </c>
      <c r="BO9" s="39">
        <f>ROUND(【収益】料金単価!$D$7*【収益】水需要予測!BU24*(1-【収益】料金単価!$S$35)*12,0)</f>
        <v>14699310</v>
      </c>
      <c r="BP9" s="39">
        <f>ROUND(【収益】料金単価!$D$7*【収益】水需要予測!BV24*(1-【収益】料金単価!$S$35)*12,0)</f>
        <v>14678460</v>
      </c>
    </row>
    <row r="10" spans="1:68" s="24" customFormat="1">
      <c r="M10" s="25" t="s">
        <v>664</v>
      </c>
      <c r="N10" s="43"/>
      <c r="O10" s="43"/>
      <c r="P10" s="43"/>
      <c r="Q10" s="43"/>
      <c r="R10" s="43"/>
      <c r="S10" s="39">
        <f>SUM(S11:S12)</f>
        <v>81997102</v>
      </c>
      <c r="T10" s="39">
        <f t="shared" ref="T10:BP10" si="2">SUM(T11:T12)</f>
        <v>81822862</v>
      </c>
      <c r="U10" s="39">
        <f t="shared" si="2"/>
        <v>79922678</v>
      </c>
      <c r="V10" s="39">
        <f t="shared" si="2"/>
        <v>78274537</v>
      </c>
      <c r="W10" s="39">
        <f t="shared" si="2"/>
        <v>76668988</v>
      </c>
      <c r="X10" s="39">
        <f t="shared" si="2"/>
        <v>75297574</v>
      </c>
      <c r="Y10" s="39">
        <f t="shared" si="2"/>
        <v>72491705</v>
      </c>
      <c r="Z10" s="39">
        <f t="shared" si="2"/>
        <v>71113394</v>
      </c>
      <c r="AA10" s="39">
        <f t="shared" si="2"/>
        <v>69763639</v>
      </c>
      <c r="AB10" s="39">
        <f t="shared" si="2"/>
        <v>68629748</v>
      </c>
      <c r="AC10" s="39">
        <f t="shared" si="2"/>
        <v>67135035</v>
      </c>
      <c r="AD10" s="39">
        <f t="shared" si="2"/>
        <v>64080269</v>
      </c>
      <c r="AE10" s="39">
        <f t="shared" si="2"/>
        <v>62972030</v>
      </c>
      <c r="AF10" s="39">
        <f t="shared" si="2"/>
        <v>62047469</v>
      </c>
      <c r="AG10" s="39">
        <f t="shared" si="2"/>
        <v>60798144</v>
      </c>
      <c r="AH10" s="39">
        <f t="shared" si="2"/>
        <v>59746654</v>
      </c>
      <c r="AI10" s="39">
        <f t="shared" si="2"/>
        <v>56436094</v>
      </c>
      <c r="AJ10" s="39">
        <f t="shared" si="2"/>
        <v>55721589</v>
      </c>
      <c r="AK10" s="39">
        <f t="shared" si="2"/>
        <v>54716805</v>
      </c>
      <c r="AL10" s="39">
        <f t="shared" si="2"/>
        <v>53878517</v>
      </c>
      <c r="AM10" s="39">
        <f t="shared" si="2"/>
        <v>53054386</v>
      </c>
      <c r="AN10" s="39">
        <f t="shared" si="2"/>
        <v>49794767</v>
      </c>
      <c r="AO10" s="39">
        <f t="shared" si="2"/>
        <v>48962408</v>
      </c>
      <c r="AP10" s="39">
        <f t="shared" si="2"/>
        <v>48280452</v>
      </c>
      <c r="AQ10" s="39">
        <f t="shared" si="2"/>
        <v>47598375</v>
      </c>
      <c r="AR10" s="39">
        <f t="shared" si="2"/>
        <v>47059199</v>
      </c>
      <c r="AS10" s="39">
        <f t="shared" si="2"/>
        <v>43506397</v>
      </c>
      <c r="AT10" s="39">
        <f t="shared" si="2"/>
        <v>42980652</v>
      </c>
      <c r="AU10" s="39">
        <f t="shared" si="2"/>
        <v>42469064</v>
      </c>
      <c r="AV10" s="39">
        <f t="shared" si="2"/>
        <v>42072547</v>
      </c>
      <c r="AW10" s="39">
        <f t="shared" si="2"/>
        <v>41460408</v>
      </c>
      <c r="AX10" s="39">
        <f t="shared" si="2"/>
        <v>40963098</v>
      </c>
      <c r="AY10" s="39">
        <f t="shared" si="2"/>
        <v>40465667</v>
      </c>
      <c r="AZ10" s="39">
        <f t="shared" si="2"/>
        <v>40092261</v>
      </c>
      <c r="BA10" s="39">
        <f t="shared" si="2"/>
        <v>39499603</v>
      </c>
      <c r="BB10" s="39">
        <f t="shared" si="2"/>
        <v>39030728</v>
      </c>
      <c r="BC10" s="39">
        <f t="shared" si="2"/>
        <v>38561853</v>
      </c>
      <c r="BD10" s="39">
        <f t="shared" si="2"/>
        <v>38197280</v>
      </c>
      <c r="BE10" s="39">
        <f t="shared" si="2"/>
        <v>37638260</v>
      </c>
      <c r="BF10" s="39">
        <f t="shared" si="2"/>
        <v>37183542</v>
      </c>
      <c r="BG10" s="39">
        <f t="shared" si="2"/>
        <v>36743102</v>
      </c>
      <c r="BH10" s="39">
        <f t="shared" si="2"/>
        <v>36402124</v>
      </c>
      <c r="BI10" s="39">
        <f t="shared" si="2"/>
        <v>35862222</v>
      </c>
      <c r="BJ10" s="39">
        <f t="shared" si="2"/>
        <v>35435939</v>
      </c>
      <c r="BK10" s="39">
        <f t="shared" si="2"/>
        <v>35009656</v>
      </c>
      <c r="BL10" s="39">
        <f t="shared" si="2"/>
        <v>34678237</v>
      </c>
      <c r="BM10" s="39">
        <f t="shared" si="2"/>
        <v>34171368</v>
      </c>
      <c r="BN10" s="39">
        <f t="shared" si="2"/>
        <v>33759363</v>
      </c>
      <c r="BO10" s="39">
        <f t="shared" si="2"/>
        <v>33347358</v>
      </c>
      <c r="BP10" s="39">
        <f t="shared" si="2"/>
        <v>33039776</v>
      </c>
    </row>
    <row r="11" spans="1:68" s="24" customFormat="1">
      <c r="M11" s="25" t="s">
        <v>685</v>
      </c>
      <c r="N11" s="43"/>
      <c r="O11" s="43"/>
      <c r="P11" s="43"/>
      <c r="Q11" s="43"/>
      <c r="R11" s="43"/>
      <c r="S11" s="39">
        <v>0</v>
      </c>
      <c r="T11" s="39">
        <v>0</v>
      </c>
      <c r="U11" s="39">
        <v>0</v>
      </c>
      <c r="V11" s="39">
        <v>0</v>
      </c>
      <c r="W11" s="39">
        <v>0</v>
      </c>
      <c r="X11" s="39">
        <v>0</v>
      </c>
      <c r="Y11" s="39">
        <v>0</v>
      </c>
      <c r="Z11" s="39">
        <v>0</v>
      </c>
      <c r="AA11" s="39">
        <v>0</v>
      </c>
      <c r="AB11" s="39">
        <v>0</v>
      </c>
      <c r="AC11" s="39">
        <v>0</v>
      </c>
      <c r="AD11" s="39">
        <v>0</v>
      </c>
      <c r="AE11" s="39">
        <v>0</v>
      </c>
      <c r="AF11" s="39">
        <v>0</v>
      </c>
      <c r="AG11" s="39">
        <v>0</v>
      </c>
      <c r="AH11" s="39">
        <v>0</v>
      </c>
      <c r="AI11" s="39">
        <v>0</v>
      </c>
      <c r="AJ11" s="39">
        <v>0</v>
      </c>
      <c r="AK11" s="39">
        <v>0</v>
      </c>
      <c r="AL11" s="39">
        <v>0</v>
      </c>
      <c r="AM11" s="39">
        <v>0</v>
      </c>
      <c r="AN11" s="39">
        <v>0</v>
      </c>
      <c r="AO11" s="39">
        <v>0</v>
      </c>
      <c r="AP11" s="39">
        <v>0</v>
      </c>
      <c r="AQ11" s="39">
        <v>0</v>
      </c>
      <c r="AR11" s="39">
        <v>0</v>
      </c>
      <c r="AS11" s="39">
        <v>0</v>
      </c>
      <c r="AT11" s="39">
        <v>0</v>
      </c>
      <c r="AU11" s="39">
        <v>0</v>
      </c>
      <c r="AV11" s="39">
        <v>0</v>
      </c>
      <c r="AW11" s="39">
        <v>0</v>
      </c>
      <c r="AX11" s="39">
        <v>0</v>
      </c>
      <c r="AY11" s="39">
        <v>0</v>
      </c>
      <c r="AZ11" s="39">
        <v>0</v>
      </c>
      <c r="BA11" s="39">
        <v>0</v>
      </c>
      <c r="BB11" s="39">
        <v>0</v>
      </c>
      <c r="BC11" s="39">
        <v>0</v>
      </c>
      <c r="BD11" s="39">
        <v>0</v>
      </c>
      <c r="BE11" s="39">
        <v>0</v>
      </c>
      <c r="BF11" s="39">
        <v>0</v>
      </c>
      <c r="BG11" s="39">
        <v>0</v>
      </c>
      <c r="BH11" s="39">
        <v>0</v>
      </c>
      <c r="BI11" s="39">
        <v>0</v>
      </c>
      <c r="BJ11" s="39">
        <v>0</v>
      </c>
      <c r="BK11" s="39">
        <v>0</v>
      </c>
      <c r="BL11" s="39">
        <v>0</v>
      </c>
      <c r="BM11" s="39">
        <v>0</v>
      </c>
      <c r="BN11" s="39">
        <v>0</v>
      </c>
      <c r="BO11" s="39">
        <v>0</v>
      </c>
      <c r="BP11" s="39">
        <v>0</v>
      </c>
    </row>
    <row r="12" spans="1:68" s="24" customFormat="1">
      <c r="M12" s="25" t="s">
        <v>686</v>
      </c>
      <c r="N12" s="43"/>
      <c r="O12" s="43"/>
      <c r="P12" s="43"/>
      <c r="Q12" s="43"/>
      <c r="R12" s="43"/>
      <c r="S12" s="39">
        <f>ROUND(【収益】料金単価!$E$7*【収益】水需要予測!Y23,0)</f>
        <v>81997102</v>
      </c>
      <c r="T12" s="39">
        <f>ROUND(【収益】料金単価!$E$7*【収益】水需要予測!Z23,0)</f>
        <v>81822862</v>
      </c>
      <c r="U12" s="39">
        <f>ROUND(【収益】料金単価!$E$7*【収益】水需要予測!AA23,0)</f>
        <v>79922678</v>
      </c>
      <c r="V12" s="39">
        <f>ROUND(【収益】料金単価!$E$7*【収益】水需要予測!AB23,0)</f>
        <v>78274537</v>
      </c>
      <c r="W12" s="39">
        <f>ROUND(【収益】料金単価!$E$7*【収益】水需要予測!AC23,0)</f>
        <v>76668988</v>
      </c>
      <c r="X12" s="39">
        <f>ROUND(【収益】料金単価!$E$7*【収益】水需要予測!AD23,0)</f>
        <v>75297574</v>
      </c>
      <c r="Y12" s="39">
        <f>ROUND(【収益】料金単価!$E$7*【収益】水需要予測!AE23,0)</f>
        <v>72491705</v>
      </c>
      <c r="Z12" s="39">
        <f>ROUND(【収益】料金単価!$E$7*【収益】水需要予測!AF23,0)</f>
        <v>71113394</v>
      </c>
      <c r="AA12" s="39">
        <f>ROUND(【収益】料金単価!$E$7*【収益】水需要予測!AG23,0)</f>
        <v>69763639</v>
      </c>
      <c r="AB12" s="39">
        <f>ROUND(【収益】料金単価!$E$7*【収益】水需要予測!AH23,0)</f>
        <v>68629748</v>
      </c>
      <c r="AC12" s="39">
        <f>ROUND(【収益】料金単価!$E$7*【収益】水需要予測!AI23,0)</f>
        <v>67135035</v>
      </c>
      <c r="AD12" s="39">
        <f>ROUND(【収益】料金単価!$E$7*【収益】水需要予測!AJ23,0)</f>
        <v>64080269</v>
      </c>
      <c r="AE12" s="39">
        <f>ROUND(【収益】料金単価!$E$7*【収益】水需要予測!AK23,0)</f>
        <v>62972030</v>
      </c>
      <c r="AF12" s="39">
        <f>ROUND(【収益】料金単価!$E$7*【収益】水需要予測!AL23,0)</f>
        <v>62047469</v>
      </c>
      <c r="AG12" s="39">
        <f>ROUND(【収益】料金単価!$E$7*【収益】水需要予測!AM23,0)</f>
        <v>60798144</v>
      </c>
      <c r="AH12" s="39">
        <f>ROUND(【収益】料金単価!$E$7*【収益】水需要予測!AN23,0)</f>
        <v>59746654</v>
      </c>
      <c r="AI12" s="39">
        <f>ROUND(【収益】料金単価!$E$7*【収益】水需要予測!AO23,0)</f>
        <v>56436094</v>
      </c>
      <c r="AJ12" s="39">
        <f>ROUND(【収益】料金単価!$E$7*【収益】水需要予測!AP23,0)</f>
        <v>55721589</v>
      </c>
      <c r="AK12" s="39">
        <f>ROUND(【収益】料金単価!$E$7*【収益】水需要予測!AQ23,0)</f>
        <v>54716805</v>
      </c>
      <c r="AL12" s="39">
        <f>ROUND(【収益】料金単価!$E$7*【収益】水需要予測!AR23,0)</f>
        <v>53878517</v>
      </c>
      <c r="AM12" s="39">
        <f>ROUND(【収益】料金単価!$E$7*【収益】水需要予測!AS23,0)</f>
        <v>53054386</v>
      </c>
      <c r="AN12" s="39">
        <f>ROUND(【収益】料金単価!$E$7*【収益】水需要予測!AT23,0)</f>
        <v>49794767</v>
      </c>
      <c r="AO12" s="39">
        <f>ROUND(【収益】料金単価!$E$7*【収益】水需要予測!AU23,0)</f>
        <v>48962408</v>
      </c>
      <c r="AP12" s="39">
        <f>ROUND(【収益】料金単価!$E$7*【収益】水需要予測!AV23,0)</f>
        <v>48280452</v>
      </c>
      <c r="AQ12" s="39">
        <f>ROUND(【収益】料金単価!$E$7*【収益】水需要予測!AW23,0)</f>
        <v>47598375</v>
      </c>
      <c r="AR12" s="39">
        <f>ROUND(【収益】料金単価!$E$7*【収益】水需要予測!AX23,0)</f>
        <v>47059199</v>
      </c>
      <c r="AS12" s="39">
        <f>ROUND(【収益】料金単価!$E$7*【収益】水需要予測!AY23,0)</f>
        <v>43506397</v>
      </c>
      <c r="AT12" s="39">
        <f>ROUND(【収益】料金単価!$E$7*【収益】水需要予測!AZ23,0)</f>
        <v>42980652</v>
      </c>
      <c r="AU12" s="39">
        <f>ROUND(【収益】料金単価!$E$7*【収益】水需要予測!BA23,0)</f>
        <v>42469064</v>
      </c>
      <c r="AV12" s="39">
        <f>ROUND(【収益】料金単価!$E$7*【収益】水需要予測!BB23,0)</f>
        <v>42072547</v>
      </c>
      <c r="AW12" s="39">
        <f>ROUND(【収益】料金単価!$E$7*【収益】水需要予測!BC23,0)</f>
        <v>41460408</v>
      </c>
      <c r="AX12" s="39">
        <f>ROUND(【収益】料金単価!$E$7*【収益】水需要予測!BD23,0)</f>
        <v>40963098</v>
      </c>
      <c r="AY12" s="39">
        <f>ROUND(【収益】料金単価!$E$7*【収益】水需要予測!BE23,0)</f>
        <v>40465667</v>
      </c>
      <c r="AZ12" s="39">
        <f>ROUND(【収益】料金単価!$E$7*【収益】水需要予測!BF23,0)</f>
        <v>40092261</v>
      </c>
      <c r="BA12" s="39">
        <f>ROUND(【収益】料金単価!$E$7*【収益】水需要予測!BG23,0)</f>
        <v>39499603</v>
      </c>
      <c r="BB12" s="39">
        <f>ROUND(【収益】料金単価!$E$7*【収益】水需要予測!BH23,0)</f>
        <v>39030728</v>
      </c>
      <c r="BC12" s="39">
        <f>ROUND(【収益】料金単価!$E$7*【収益】水需要予測!BI23,0)</f>
        <v>38561853</v>
      </c>
      <c r="BD12" s="39">
        <f>ROUND(【収益】料金単価!$E$7*【収益】水需要予測!BJ23,0)</f>
        <v>38197280</v>
      </c>
      <c r="BE12" s="39">
        <f>ROUND(【収益】料金単価!$E$7*【収益】水需要予測!BK23,0)</f>
        <v>37638260</v>
      </c>
      <c r="BF12" s="39">
        <f>ROUND(【収益】料金単価!$E$7*【収益】水需要予測!BL23,0)</f>
        <v>37183542</v>
      </c>
      <c r="BG12" s="39">
        <f>ROUND(【収益】料金単価!$E$7*【収益】水需要予測!BM23,0)</f>
        <v>36743102</v>
      </c>
      <c r="BH12" s="39">
        <f>ROUND(【収益】料金単価!$E$7*【収益】水需要予測!BN23,0)</f>
        <v>36402124</v>
      </c>
      <c r="BI12" s="39">
        <f>ROUND(【収益】料金単価!$E$7*【収益】水需要予測!BO23,0)</f>
        <v>35862222</v>
      </c>
      <c r="BJ12" s="39">
        <f>ROUND(【収益】料金単価!$E$7*【収益】水需要予測!BP23,0)</f>
        <v>35435939</v>
      </c>
      <c r="BK12" s="39">
        <f>ROUND(【収益】料金単価!$E$7*【収益】水需要予測!BQ23,0)</f>
        <v>35009656</v>
      </c>
      <c r="BL12" s="39">
        <f>ROUND(【収益】料金単価!$E$7*【収益】水需要予測!BR23,0)</f>
        <v>34678237</v>
      </c>
      <c r="BM12" s="39">
        <f>ROUND(【収益】料金単価!$E$7*【収益】水需要予測!BS23,0)</f>
        <v>34171368</v>
      </c>
      <c r="BN12" s="39">
        <f>ROUND(【収益】料金単価!$E$7*【収益】水需要予測!BT23,0)</f>
        <v>33759363</v>
      </c>
      <c r="BO12" s="39">
        <f>ROUND(【収益】料金単価!$E$7*【収益】水需要予測!BU23,0)</f>
        <v>33347358</v>
      </c>
      <c r="BP12" s="39">
        <f>ROUND(【収益】料金単価!$E$7*【収益】水需要予測!BV23,0)</f>
        <v>33039776</v>
      </c>
    </row>
    <row r="13" spans="1:68" ht="4.2" customHeight="1"/>
    <row r="14" spans="1:68" s="24" customFormat="1">
      <c r="M14" s="25" t="s">
        <v>688</v>
      </c>
      <c r="N14" s="43"/>
      <c r="O14" s="43"/>
      <c r="P14" s="43"/>
      <c r="Q14" s="43"/>
      <c r="R14" s="43"/>
      <c r="S14" s="39">
        <f>SUM(S15:S21)</f>
        <v>3134340</v>
      </c>
      <c r="T14" s="39">
        <f t="shared" ref="T14:BP14" si="3">SUM(T15:T21)</f>
        <v>3059628</v>
      </c>
      <c r="U14" s="39">
        <f t="shared" si="3"/>
        <v>3061212</v>
      </c>
      <c r="V14" s="39">
        <f t="shared" si="3"/>
        <v>3061212</v>
      </c>
      <c r="W14" s="39">
        <f t="shared" si="3"/>
        <v>3062136</v>
      </c>
      <c r="X14" s="39">
        <f t="shared" si="3"/>
        <v>3063060</v>
      </c>
      <c r="Y14" s="39">
        <f t="shared" si="3"/>
        <v>3062136</v>
      </c>
      <c r="Z14" s="39">
        <f t="shared" si="3"/>
        <v>3061212</v>
      </c>
      <c r="AA14" s="39">
        <f t="shared" si="3"/>
        <v>3061212</v>
      </c>
      <c r="AB14" s="39">
        <f t="shared" si="3"/>
        <v>3059628</v>
      </c>
      <c r="AC14" s="39">
        <f t="shared" si="3"/>
        <v>3058704</v>
      </c>
      <c r="AD14" s="39">
        <f t="shared" si="3"/>
        <v>3057780</v>
      </c>
      <c r="AE14" s="39">
        <f t="shared" si="3"/>
        <v>3055272</v>
      </c>
      <c r="AF14" s="39">
        <f t="shared" si="3"/>
        <v>3054348</v>
      </c>
      <c r="AG14" s="39">
        <f t="shared" si="3"/>
        <v>3052764</v>
      </c>
      <c r="AH14" s="39">
        <f t="shared" si="3"/>
        <v>3050916</v>
      </c>
      <c r="AI14" s="39">
        <f t="shared" si="3"/>
        <v>3047484</v>
      </c>
      <c r="AJ14" s="39">
        <f t="shared" si="3"/>
        <v>3044052</v>
      </c>
      <c r="AK14" s="39">
        <f t="shared" si="3"/>
        <v>3041544</v>
      </c>
      <c r="AL14" s="39">
        <f t="shared" si="3"/>
        <v>3035472</v>
      </c>
      <c r="AM14" s="39">
        <f t="shared" si="3"/>
        <v>3030720</v>
      </c>
      <c r="AN14" s="39">
        <f t="shared" si="3"/>
        <v>3016728</v>
      </c>
      <c r="AO14" s="39">
        <f t="shared" si="3"/>
        <v>3013296</v>
      </c>
      <c r="AP14" s="39">
        <f t="shared" si="3"/>
        <v>3010788</v>
      </c>
      <c r="AQ14" s="39">
        <f t="shared" si="3"/>
        <v>3007356</v>
      </c>
      <c r="AR14" s="39">
        <f t="shared" si="3"/>
        <v>3003924</v>
      </c>
      <c r="AS14" s="39">
        <f t="shared" si="3"/>
        <v>3000492</v>
      </c>
      <c r="AT14" s="39">
        <f t="shared" si="3"/>
        <v>2997060</v>
      </c>
      <c r="AU14" s="39">
        <f t="shared" si="3"/>
        <v>2993628</v>
      </c>
      <c r="AV14" s="39">
        <f t="shared" si="3"/>
        <v>2991120</v>
      </c>
      <c r="AW14" s="39">
        <f t="shared" si="3"/>
        <v>2985708</v>
      </c>
      <c r="AX14" s="39">
        <f t="shared" si="3"/>
        <v>2980956</v>
      </c>
      <c r="AY14" s="39">
        <f t="shared" si="3"/>
        <v>2977524</v>
      </c>
      <c r="AZ14" s="39">
        <f t="shared" si="3"/>
        <v>2974092</v>
      </c>
      <c r="BA14" s="39">
        <f t="shared" si="3"/>
        <v>2970660</v>
      </c>
      <c r="BB14" s="39">
        <f t="shared" si="3"/>
        <v>2968152</v>
      </c>
      <c r="BC14" s="39">
        <f t="shared" si="3"/>
        <v>2964720</v>
      </c>
      <c r="BD14" s="39">
        <f t="shared" si="3"/>
        <v>2961288</v>
      </c>
      <c r="BE14" s="39">
        <f t="shared" si="3"/>
        <v>2957856</v>
      </c>
      <c r="BF14" s="39">
        <f t="shared" si="3"/>
        <v>2954424</v>
      </c>
      <c r="BG14" s="39">
        <f t="shared" si="3"/>
        <v>2949276</v>
      </c>
      <c r="BH14" s="39">
        <f t="shared" si="3"/>
        <v>2945844</v>
      </c>
      <c r="BI14" s="39">
        <f t="shared" si="3"/>
        <v>2941092</v>
      </c>
      <c r="BJ14" s="39">
        <f t="shared" si="3"/>
        <v>2937660</v>
      </c>
      <c r="BK14" s="39">
        <f t="shared" si="3"/>
        <v>2934228</v>
      </c>
      <c r="BL14" s="39">
        <f t="shared" si="3"/>
        <v>2917596</v>
      </c>
      <c r="BM14" s="39">
        <f t="shared" si="3"/>
        <v>2915088</v>
      </c>
      <c r="BN14" s="39">
        <f t="shared" si="3"/>
        <v>2911656</v>
      </c>
      <c r="BO14" s="39">
        <f t="shared" si="3"/>
        <v>2908884</v>
      </c>
      <c r="BP14" s="39">
        <f t="shared" si="3"/>
        <v>2905452</v>
      </c>
    </row>
    <row r="15" spans="1:68" s="24" customFormat="1">
      <c r="M15" s="25" t="s">
        <v>689</v>
      </c>
      <c r="N15" s="43"/>
      <c r="O15" s="43"/>
      <c r="P15" s="43"/>
      <c r="Q15" s="43"/>
      <c r="R15" s="43"/>
      <c r="S15" s="39">
        <f>ROUND(【収益】料金単価!$C16*【収益】水需要予測!Y25*12,0)</f>
        <v>474540</v>
      </c>
      <c r="T15" s="39">
        <f>ROUND(【収益】料金単価!$C16*【収益】水需要予測!Z25*12,0)</f>
        <v>461340</v>
      </c>
      <c r="U15" s="39">
        <f>ROUND(【収益】料金単価!$C16*【収益】水需要予測!AA25*12,0)</f>
        <v>462000</v>
      </c>
      <c r="V15" s="39">
        <f>ROUND(【収益】料金単価!$C16*【収益】水需要予測!AB25*12,0)</f>
        <v>462000</v>
      </c>
      <c r="W15" s="39">
        <f>ROUND(【収益】料金単価!$C16*【収益】水需要予測!AC25*12,0)</f>
        <v>462000</v>
      </c>
      <c r="X15" s="39">
        <f>ROUND(【収益】料金単価!$C16*【収益】水需要予測!AD25*12,0)</f>
        <v>462000</v>
      </c>
      <c r="Y15" s="39">
        <f>ROUND(【収益】料金単価!$C16*【収益】水需要予測!AE25*12,0)</f>
        <v>462000</v>
      </c>
      <c r="Z15" s="39">
        <f>ROUND(【収益】料金単価!$C16*【収益】水需要予測!AF25*12,0)</f>
        <v>462000</v>
      </c>
      <c r="AA15" s="39">
        <f>ROUND(【収益】料金単価!$C16*【収益】水需要予測!AG25*12,0)</f>
        <v>462000</v>
      </c>
      <c r="AB15" s="39">
        <f>ROUND(【収益】料金単価!$C16*【収益】水需要予測!AH25*12,0)</f>
        <v>461340</v>
      </c>
      <c r="AC15" s="39">
        <f>ROUND(【収益】料金単価!$C16*【収益】水需要予測!AI25*12,0)</f>
        <v>461340</v>
      </c>
      <c r="AD15" s="39">
        <f>ROUND(【収益】料金単価!$C16*【収益】水需要予測!AJ25*12,0)</f>
        <v>461340</v>
      </c>
      <c r="AE15" s="39">
        <f>ROUND(【収益】料金単価!$C16*【収益】水需要予測!AK25*12,0)</f>
        <v>460680</v>
      </c>
      <c r="AF15" s="39">
        <f>ROUND(【収益】料金単価!$C16*【収益】水需要予測!AL25*12,0)</f>
        <v>460680</v>
      </c>
      <c r="AG15" s="39">
        <f>ROUND(【収益】料金単価!$C16*【収益】水需要予測!AM25*12,0)</f>
        <v>460020</v>
      </c>
      <c r="AH15" s="39">
        <f>ROUND(【収益】料金単価!$C16*【収益】水需要予測!AN25*12,0)</f>
        <v>460020</v>
      </c>
      <c r="AI15" s="39">
        <f>ROUND(【収益】料金単価!$C16*【収益】水需要予測!AO25*12,0)</f>
        <v>459360</v>
      </c>
      <c r="AJ15" s="39">
        <f>ROUND(【収益】料金単価!$C16*【収益】水需要予測!AP25*12,0)</f>
        <v>458700</v>
      </c>
      <c r="AK15" s="39">
        <f>ROUND(【収益】料金単価!$C16*【収益】水需要予測!AQ25*12,0)</f>
        <v>458040</v>
      </c>
      <c r="AL15" s="39">
        <f>ROUND(【収益】料金単価!$C16*【収益】水需要予測!AR25*12,0)</f>
        <v>457380</v>
      </c>
      <c r="AM15" s="39">
        <f>ROUND(【収益】料金単価!$C16*【収益】水需要予測!AS25*12,0)</f>
        <v>456720</v>
      </c>
      <c r="AN15" s="39">
        <f>ROUND(【収益】料金単価!$C16*【収益】水需要予測!AT25*12,0)</f>
        <v>456060</v>
      </c>
      <c r="AO15" s="39">
        <f>ROUND(【収益】料金単価!$C16*【収益】水需要予測!AU25*12,0)</f>
        <v>455400</v>
      </c>
      <c r="AP15" s="39">
        <f>ROUND(【収益】料金単価!$C16*【収益】水需要予測!AV25*12,0)</f>
        <v>454740</v>
      </c>
      <c r="AQ15" s="39">
        <f>ROUND(【収益】料金単価!$C16*【収益】水需要予測!AW25*12,0)</f>
        <v>454080</v>
      </c>
      <c r="AR15" s="39">
        <f>ROUND(【収益】料金単価!$C16*【収益】水需要予測!AX25*12,0)</f>
        <v>453420</v>
      </c>
      <c r="AS15" s="39">
        <f>ROUND(【収益】料金単価!$C16*【収益】水需要予測!AY25*12,0)</f>
        <v>452760</v>
      </c>
      <c r="AT15" s="39">
        <f>ROUND(【収益】料金単価!$C16*【収益】水需要予測!AZ25*12,0)</f>
        <v>452100</v>
      </c>
      <c r="AU15" s="39">
        <f>ROUND(【収益】料金単価!$C16*【収益】水需要予測!BA25*12,0)</f>
        <v>451440</v>
      </c>
      <c r="AV15" s="39">
        <f>ROUND(【収益】料金単価!$C16*【収益】水需要予測!BB25*12,0)</f>
        <v>450780</v>
      </c>
      <c r="AW15" s="39">
        <f>ROUND(【収益】料金単価!$C16*【収益】水需要予測!BC25*12,0)</f>
        <v>450780</v>
      </c>
      <c r="AX15" s="39">
        <f>ROUND(【収益】料金単価!$C16*【収益】水需要予測!BD25*12,0)</f>
        <v>450120</v>
      </c>
      <c r="AY15" s="39">
        <f>ROUND(【収益】料金単価!$C16*【収益】水需要予測!BE25*12,0)</f>
        <v>449460</v>
      </c>
      <c r="AZ15" s="39">
        <f>ROUND(【収益】料金単価!$C16*【収益】水需要予測!BF25*12,0)</f>
        <v>448800</v>
      </c>
      <c r="BA15" s="39">
        <f>ROUND(【収益】料金単価!$C16*【収益】水需要予測!BG25*12,0)</f>
        <v>448140</v>
      </c>
      <c r="BB15" s="39">
        <f>ROUND(【収益】料金単価!$C16*【収益】水需要予測!BH25*12,0)</f>
        <v>447480</v>
      </c>
      <c r="BC15" s="39">
        <f>ROUND(【収益】料金単価!$C16*【収益】水需要予測!BI25*12,0)</f>
        <v>446820</v>
      </c>
      <c r="BD15" s="39">
        <f>ROUND(【収益】料金単価!$C16*【収益】水需要予測!BJ25*12,0)</f>
        <v>446160</v>
      </c>
      <c r="BE15" s="39">
        <f>ROUND(【収益】料金単価!$C16*【収益】水需要予測!BK25*12,0)</f>
        <v>445500</v>
      </c>
      <c r="BF15" s="39">
        <f>ROUND(【収益】料金単価!$C16*【収益】水需要予測!BL25*12,0)</f>
        <v>444840</v>
      </c>
      <c r="BG15" s="39">
        <f>ROUND(【収益】料金単価!$C16*【収益】水需要予測!BM25*12,0)</f>
        <v>444180</v>
      </c>
      <c r="BH15" s="39">
        <f>ROUND(【収益】料金単価!$C16*【収益】水需要予測!BN25*12,0)</f>
        <v>443520</v>
      </c>
      <c r="BI15" s="39">
        <f>ROUND(【収益】料金単価!$C16*【収益】水需要予測!BO25*12,0)</f>
        <v>442860</v>
      </c>
      <c r="BJ15" s="39">
        <f>ROUND(【収益】料金単価!$C16*【収益】水需要予測!BP25*12,0)</f>
        <v>442200</v>
      </c>
      <c r="BK15" s="39">
        <f>ROUND(【収益】料金単価!$C16*【収益】水需要予測!BQ25*12,0)</f>
        <v>441540</v>
      </c>
      <c r="BL15" s="39">
        <f>ROUND(【収益】料金単価!$C16*【収益】水需要予測!BR25*12,0)</f>
        <v>440880</v>
      </c>
      <c r="BM15" s="39">
        <f>ROUND(【収益】料金単価!$C16*【収益】水需要予測!BS25*12,0)</f>
        <v>440220</v>
      </c>
      <c r="BN15" s="39">
        <f>ROUND(【収益】料金単価!$C16*【収益】水需要予測!BT25*12,0)</f>
        <v>439560</v>
      </c>
      <c r="BO15" s="39">
        <f>ROUND(【収益】料金単価!$C16*【収益】水需要予測!BU25*12,0)</f>
        <v>439560</v>
      </c>
      <c r="BP15" s="39">
        <f>ROUND(【収益】料金単価!$C16*【収益】水需要予測!BV25*12,0)</f>
        <v>438900</v>
      </c>
    </row>
    <row r="16" spans="1:68" s="24" customFormat="1">
      <c r="M16" s="25" t="s">
        <v>690</v>
      </c>
      <c r="N16" s="43"/>
      <c r="O16" s="43"/>
      <c r="P16" s="43"/>
      <c r="Q16" s="43"/>
      <c r="R16" s="43"/>
      <c r="S16" s="39">
        <f>ROUND(【収益】料金単価!$C17*【収益】水需要予測!Y26*12,0)</f>
        <v>1986600</v>
      </c>
      <c r="T16" s="39">
        <f>ROUND(【収益】料金単価!$C17*【収益】水需要予測!Z26*12,0)</f>
        <v>1933008</v>
      </c>
      <c r="U16" s="39">
        <f>ROUND(【収益】料金単価!$C17*【収益】水需要予測!AA26*12,0)</f>
        <v>1933932</v>
      </c>
      <c r="V16" s="39">
        <f>ROUND(【収益】料金単価!$C17*【収益】水需要予測!AB26*12,0)</f>
        <v>1933932</v>
      </c>
      <c r="W16" s="39">
        <f>ROUND(【収益】料金単価!$C17*【収益】水需要予測!AC26*12,0)</f>
        <v>1934856</v>
      </c>
      <c r="X16" s="39">
        <f>ROUND(【収益】料金単価!$C17*【収益】水需要予測!AD26*12,0)</f>
        <v>1935780</v>
      </c>
      <c r="Y16" s="39">
        <f>ROUND(【収益】料金単価!$C17*【収益】水需要予測!AE26*12,0)</f>
        <v>1934856</v>
      </c>
      <c r="Z16" s="39">
        <f>ROUND(【収益】料金単価!$C17*【収益】水需要予測!AF26*12,0)</f>
        <v>1933932</v>
      </c>
      <c r="AA16" s="39">
        <f>ROUND(【収益】料金単価!$C17*【収益】水需要予測!AG26*12,0)</f>
        <v>1933932</v>
      </c>
      <c r="AB16" s="39">
        <f>ROUND(【収益】料金単価!$C17*【収益】水需要予測!AH26*12,0)</f>
        <v>1933008</v>
      </c>
      <c r="AC16" s="39">
        <f>ROUND(【収益】料金単価!$C17*【収益】水需要予測!AI26*12,0)</f>
        <v>1932084</v>
      </c>
      <c r="AD16" s="39">
        <f>ROUND(【収益】料金単価!$C17*【収益】水需要予測!AJ26*12,0)</f>
        <v>1931160</v>
      </c>
      <c r="AE16" s="39">
        <f>ROUND(【収益】料金単価!$C17*【収益】水需要予測!AK26*12,0)</f>
        <v>1929312</v>
      </c>
      <c r="AF16" s="39">
        <f>ROUND(【収益】料金単価!$C17*【収益】水需要予測!AL26*12,0)</f>
        <v>1928388</v>
      </c>
      <c r="AG16" s="39">
        <f>ROUND(【収益】料金単価!$C17*【収益】水需要予測!AM26*12,0)</f>
        <v>1927464</v>
      </c>
      <c r="AH16" s="39">
        <f>ROUND(【収益】料金単価!$C17*【収益】水需要予測!AN26*12,0)</f>
        <v>1925616</v>
      </c>
      <c r="AI16" s="39">
        <f>ROUND(【収益】料金単価!$C17*【収益】水需要予測!AO26*12,0)</f>
        <v>1922844</v>
      </c>
      <c r="AJ16" s="39">
        <f>ROUND(【収益】料金単価!$C17*【収益】水需要予測!AP26*12,0)</f>
        <v>1920072</v>
      </c>
      <c r="AK16" s="39">
        <f>ROUND(【収益】料金単価!$C17*【収益】水需要予測!AQ26*12,0)</f>
        <v>1918224</v>
      </c>
      <c r="AL16" s="39">
        <f>ROUND(【収益】料金単価!$C17*【収益】水需要予測!AR26*12,0)</f>
        <v>1915452</v>
      </c>
      <c r="AM16" s="39">
        <f>ROUND(【収益】料金単価!$C17*【収益】水需要予測!AS26*12,0)</f>
        <v>1912680</v>
      </c>
      <c r="AN16" s="39">
        <f>ROUND(【収益】料金単価!$C17*【収益】水需要予測!AT26*12,0)</f>
        <v>1909908</v>
      </c>
      <c r="AO16" s="39">
        <f>ROUND(【収益】料金単価!$C17*【収益】水需要予測!AU26*12,0)</f>
        <v>1907136</v>
      </c>
      <c r="AP16" s="39">
        <f>ROUND(【収益】料金単価!$C17*【収益】水需要予測!AV26*12,0)</f>
        <v>1905288</v>
      </c>
      <c r="AQ16" s="39">
        <f>ROUND(【収益】料金単価!$C17*【収益】水需要予測!AW26*12,0)</f>
        <v>1902516</v>
      </c>
      <c r="AR16" s="39">
        <f>ROUND(【収益】料金単価!$C17*【収益】水需要予測!AX26*12,0)</f>
        <v>1899744</v>
      </c>
      <c r="AS16" s="39">
        <f>ROUND(【収益】料金単価!$C17*【収益】水需要予測!AY26*12,0)</f>
        <v>1896972</v>
      </c>
      <c r="AT16" s="39">
        <f>ROUND(【収益】料金単価!$C17*【収益】水需要予測!AZ26*12,0)</f>
        <v>1894200</v>
      </c>
      <c r="AU16" s="39">
        <f>ROUND(【収益】料金単価!$C17*【収益】水需要予測!BA26*12,0)</f>
        <v>1891428</v>
      </c>
      <c r="AV16" s="39">
        <f>ROUND(【収益】料金単価!$C17*【収益】水需要予測!BB26*12,0)</f>
        <v>1889580</v>
      </c>
      <c r="AW16" s="39">
        <f>ROUND(【収益】料金単価!$C17*【収益】水需要予測!BC26*12,0)</f>
        <v>1886808</v>
      </c>
      <c r="AX16" s="39">
        <f>ROUND(【収益】料金単価!$C17*【収益】水需要予測!BD26*12,0)</f>
        <v>1884036</v>
      </c>
      <c r="AY16" s="39">
        <f>ROUND(【収益】料金単価!$C17*【収益】水需要予測!BE26*12,0)</f>
        <v>1881264</v>
      </c>
      <c r="AZ16" s="39">
        <f>ROUND(【収益】料金単価!$C17*【収益】水需要予測!BF26*12,0)</f>
        <v>1878492</v>
      </c>
      <c r="BA16" s="39">
        <f>ROUND(【収益】料金単価!$C17*【収益】水需要予測!BG26*12,0)</f>
        <v>1875720</v>
      </c>
      <c r="BB16" s="39">
        <f>ROUND(【収益】料金単価!$C17*【収益】水需要予測!BH26*12,0)</f>
        <v>1873872</v>
      </c>
      <c r="BC16" s="39">
        <f>ROUND(【収益】料金単価!$C17*【収益】水需要予測!BI26*12,0)</f>
        <v>1871100</v>
      </c>
      <c r="BD16" s="39">
        <f>ROUND(【収益】料金単価!$C17*【収益】水需要予測!BJ26*12,0)</f>
        <v>1868328</v>
      </c>
      <c r="BE16" s="39">
        <f>ROUND(【収益】料金単価!$C17*【収益】水需要予測!BK26*12,0)</f>
        <v>1865556</v>
      </c>
      <c r="BF16" s="39">
        <f>ROUND(【収益】料金単価!$C17*【収益】水需要予測!BL26*12,0)</f>
        <v>1862784</v>
      </c>
      <c r="BG16" s="39">
        <f>ROUND(【収益】料金単価!$C17*【収益】水需要予測!BM26*12,0)</f>
        <v>1860936</v>
      </c>
      <c r="BH16" s="39">
        <f>ROUND(【収益】料金単価!$C17*【収益】水需要予測!BN26*12,0)</f>
        <v>1858164</v>
      </c>
      <c r="BI16" s="39">
        <f>ROUND(【収益】料金単価!$C17*【収益】水需要予測!BO26*12,0)</f>
        <v>1855392</v>
      </c>
      <c r="BJ16" s="39">
        <f>ROUND(【収益】料金単価!$C17*【収益】水需要予測!BP26*12,0)</f>
        <v>1852620</v>
      </c>
      <c r="BK16" s="39">
        <f>ROUND(【収益】料金単価!$C17*【収益】水需要予測!BQ26*12,0)</f>
        <v>1849848</v>
      </c>
      <c r="BL16" s="39">
        <f>ROUND(【収益】料金単価!$C17*【収益】水需要予測!BR26*12,0)</f>
        <v>1847076</v>
      </c>
      <c r="BM16" s="39">
        <f>ROUND(【収益】料金単価!$C17*【収益】水需要予測!BS26*12,0)</f>
        <v>1845228</v>
      </c>
      <c r="BN16" s="39">
        <f>ROUND(【収益】料金単価!$C17*【収益】水需要予測!BT26*12,0)</f>
        <v>1842456</v>
      </c>
      <c r="BO16" s="39">
        <f>ROUND(【収益】料金単価!$C17*【収益】水需要予測!BU26*12,0)</f>
        <v>1839684</v>
      </c>
      <c r="BP16" s="39">
        <f>ROUND(【収益】料金単価!$C17*【収益】水需要予測!BV26*12,0)</f>
        <v>1836912</v>
      </c>
    </row>
    <row r="17" spans="13:68" s="24" customFormat="1">
      <c r="M17" s="25" t="s">
        <v>691</v>
      </c>
      <c r="N17" s="43"/>
      <c r="O17" s="43"/>
      <c r="P17" s="43"/>
      <c r="Q17" s="43"/>
      <c r="R17" s="43"/>
      <c r="S17" s="39">
        <f>ROUND(【収益】料金単価!$C18*【収益】水需要予測!Y27*12,0)</f>
        <v>92400</v>
      </c>
      <c r="T17" s="39">
        <f>ROUND(【収益】料金単価!$C18*【収益】水需要予測!Z27*12,0)</f>
        <v>89760</v>
      </c>
      <c r="U17" s="39">
        <f>ROUND(【収益】料金単価!$C18*【収益】水需要予測!AA27*12,0)</f>
        <v>89760</v>
      </c>
      <c r="V17" s="39">
        <f>ROUND(【収益】料金単価!$C18*【収益】水需要予測!AB27*12,0)</f>
        <v>89760</v>
      </c>
      <c r="W17" s="39">
        <f>ROUND(【収益】料金単価!$C18*【収益】水需要予測!AC27*12,0)</f>
        <v>89760</v>
      </c>
      <c r="X17" s="39">
        <f>ROUND(【収益】料金単価!$C18*【収益】水需要予測!AD27*12,0)</f>
        <v>89760</v>
      </c>
      <c r="Y17" s="39">
        <f>ROUND(【収益】料金単価!$C18*【収益】水需要予測!AE27*12,0)</f>
        <v>89760</v>
      </c>
      <c r="Z17" s="39">
        <f>ROUND(【収益】料金単価!$C18*【収益】水需要予測!AF27*12,0)</f>
        <v>89760</v>
      </c>
      <c r="AA17" s="39">
        <f>ROUND(【収益】料金単価!$C18*【収益】水需要予測!AG27*12,0)</f>
        <v>89760</v>
      </c>
      <c r="AB17" s="39">
        <f>ROUND(【収益】料金単価!$C18*【収益】水需要予測!AH27*12,0)</f>
        <v>89760</v>
      </c>
      <c r="AC17" s="39">
        <f>ROUND(【収益】料金単価!$C18*【収益】水需要予測!AI27*12,0)</f>
        <v>89760</v>
      </c>
      <c r="AD17" s="39">
        <f>ROUND(【収益】料金単価!$C18*【収益】水需要予測!AJ27*12,0)</f>
        <v>89760</v>
      </c>
      <c r="AE17" s="39">
        <f>ROUND(【収益】料金単価!$C18*【収益】水需要予測!AK27*12,0)</f>
        <v>89760</v>
      </c>
      <c r="AF17" s="39">
        <f>ROUND(【収益】料金単価!$C18*【収益】水需要予測!AL27*12,0)</f>
        <v>89760</v>
      </c>
      <c r="AG17" s="39">
        <f>ROUND(【収益】料金単価!$C18*【収益】水需要予測!AM27*12,0)</f>
        <v>89760</v>
      </c>
      <c r="AH17" s="39">
        <f>ROUND(【収益】料金単価!$C18*【収益】水需要予測!AN27*12,0)</f>
        <v>89760</v>
      </c>
      <c r="AI17" s="39">
        <f>ROUND(【収益】料金単価!$C18*【収益】水需要予測!AO27*12,0)</f>
        <v>89760</v>
      </c>
      <c r="AJ17" s="39">
        <f>ROUND(【収益】料金単価!$C18*【収益】水需要予測!AP27*12,0)</f>
        <v>89760</v>
      </c>
      <c r="AK17" s="39">
        <f>ROUND(【収益】料金単価!$C18*【収益】水需要予測!AQ27*12,0)</f>
        <v>89760</v>
      </c>
      <c r="AL17" s="39">
        <f>ROUND(【収益】料金単価!$C18*【収益】水需要予測!AR27*12,0)</f>
        <v>89760</v>
      </c>
      <c r="AM17" s="39">
        <f>ROUND(【収益】料金単価!$C18*【収益】水需要予測!AS27*12,0)</f>
        <v>88440</v>
      </c>
      <c r="AN17" s="39">
        <f>ROUND(【収益】料金単価!$C18*【収益】水需要予測!AT27*12,0)</f>
        <v>88440</v>
      </c>
      <c r="AO17" s="39">
        <f>ROUND(【収益】料金単価!$C18*【収益】水需要予測!AU27*12,0)</f>
        <v>88440</v>
      </c>
      <c r="AP17" s="39">
        <f>ROUND(【収益】料金単価!$C18*【収益】水需要予測!AV27*12,0)</f>
        <v>88440</v>
      </c>
      <c r="AQ17" s="39">
        <f>ROUND(【収益】料金単価!$C18*【収益】水需要予測!AW27*12,0)</f>
        <v>88440</v>
      </c>
      <c r="AR17" s="39">
        <f>ROUND(【収益】料金単価!$C18*【収益】水需要予測!AX27*12,0)</f>
        <v>88440</v>
      </c>
      <c r="AS17" s="39">
        <f>ROUND(【収益】料金単価!$C18*【収益】水需要予測!AY27*12,0)</f>
        <v>88440</v>
      </c>
      <c r="AT17" s="39">
        <f>ROUND(【収益】料金単価!$C18*【収益】水需要予測!AZ27*12,0)</f>
        <v>88440</v>
      </c>
      <c r="AU17" s="39">
        <f>ROUND(【収益】料金単価!$C18*【収益】水需要予測!BA27*12,0)</f>
        <v>88440</v>
      </c>
      <c r="AV17" s="39">
        <f>ROUND(【収益】料金単価!$C18*【収益】水需要予測!BB27*12,0)</f>
        <v>88440</v>
      </c>
      <c r="AW17" s="39">
        <f>ROUND(【収益】料金単価!$C18*【収益】水需要予測!BC27*12,0)</f>
        <v>88440</v>
      </c>
      <c r="AX17" s="39">
        <f>ROUND(【収益】料金単価!$C18*【収益】水需要予測!BD27*12,0)</f>
        <v>87120</v>
      </c>
      <c r="AY17" s="39">
        <f>ROUND(【収益】料金単価!$C18*【収益】水需要予測!BE27*12,0)</f>
        <v>87120</v>
      </c>
      <c r="AZ17" s="39">
        <f>ROUND(【収益】料金単価!$C18*【収益】水需要予測!BF27*12,0)</f>
        <v>87120</v>
      </c>
      <c r="BA17" s="39">
        <f>ROUND(【収益】料金単価!$C18*【収益】水需要予測!BG27*12,0)</f>
        <v>87120</v>
      </c>
      <c r="BB17" s="39">
        <f>ROUND(【収益】料金単価!$C18*【収益】水需要予測!BH27*12,0)</f>
        <v>87120</v>
      </c>
      <c r="BC17" s="39">
        <f>ROUND(【収益】料金単価!$C18*【収益】水需要予測!BI27*12,0)</f>
        <v>87120</v>
      </c>
      <c r="BD17" s="39">
        <f>ROUND(【収益】料金単価!$C18*【収益】水需要予測!BJ27*12,0)</f>
        <v>87120</v>
      </c>
      <c r="BE17" s="39">
        <f>ROUND(【収益】料金単価!$C18*【収益】水需要予測!BK27*12,0)</f>
        <v>87120</v>
      </c>
      <c r="BF17" s="39">
        <f>ROUND(【収益】料金単価!$C18*【収益】水需要予測!BL27*12,0)</f>
        <v>87120</v>
      </c>
      <c r="BG17" s="39">
        <f>ROUND(【収益】料金単価!$C18*【収益】水需要予測!BM27*12,0)</f>
        <v>87120</v>
      </c>
      <c r="BH17" s="39">
        <f>ROUND(【収益】料金単価!$C18*【収益】水需要予測!BN27*12,0)</f>
        <v>87120</v>
      </c>
      <c r="BI17" s="39">
        <f>ROUND(【収益】料金単価!$C18*【収益】水需要予測!BO27*12,0)</f>
        <v>85800</v>
      </c>
      <c r="BJ17" s="39">
        <f>ROUND(【収益】料金単価!$C18*【収益】水需要予測!BP27*12,0)</f>
        <v>85800</v>
      </c>
      <c r="BK17" s="39">
        <f>ROUND(【収益】料金単価!$C18*【収益】水需要予測!BQ27*12,0)</f>
        <v>85800</v>
      </c>
      <c r="BL17" s="39">
        <f>ROUND(【収益】料金単価!$C18*【収益】水需要予測!BR27*12,0)</f>
        <v>85800</v>
      </c>
      <c r="BM17" s="39">
        <f>ROUND(【収益】料金単価!$C18*【収益】水需要予測!BS27*12,0)</f>
        <v>85800</v>
      </c>
      <c r="BN17" s="39">
        <f>ROUND(【収益】料金単価!$C18*【収益】水需要予測!BT27*12,0)</f>
        <v>85800</v>
      </c>
      <c r="BO17" s="39">
        <f>ROUND(【収益】料金単価!$C18*【収益】水需要予測!BU27*12,0)</f>
        <v>85800</v>
      </c>
      <c r="BP17" s="39">
        <f>ROUND(【収益】料金単価!$C18*【収益】水需要予測!BV27*12,0)</f>
        <v>85800</v>
      </c>
    </row>
    <row r="18" spans="13:68" s="24" customFormat="1">
      <c r="M18" s="25" t="s">
        <v>692</v>
      </c>
      <c r="N18" s="43"/>
      <c r="O18" s="43"/>
      <c r="P18" s="43"/>
      <c r="Q18" s="43"/>
      <c r="R18" s="43"/>
      <c r="S18" s="39">
        <f>ROUND(【収益】料金単価!$C19*【収益】水需要予測!Y28*12,0)</f>
        <v>192720</v>
      </c>
      <c r="T18" s="39">
        <f>ROUND(【収益】料金単価!$C19*【収益】水需要予測!Z28*12,0)</f>
        <v>187440</v>
      </c>
      <c r="U18" s="39">
        <f>ROUND(【収益】料金単価!$C19*【収益】水需要予測!AA28*12,0)</f>
        <v>187440</v>
      </c>
      <c r="V18" s="39">
        <f>ROUND(【収益】料金単価!$C19*【収益】水需要予測!AB28*12,0)</f>
        <v>187440</v>
      </c>
      <c r="W18" s="39">
        <f>ROUND(【収益】料金単価!$C19*【収益】水需要予測!AC28*12,0)</f>
        <v>187440</v>
      </c>
      <c r="X18" s="39">
        <f>ROUND(【収益】料金単価!$C19*【収益】水需要予測!AD28*12,0)</f>
        <v>187440</v>
      </c>
      <c r="Y18" s="39">
        <f>ROUND(【収益】料金単価!$C19*【収益】水需要予測!AE28*12,0)</f>
        <v>187440</v>
      </c>
      <c r="Z18" s="39">
        <f>ROUND(【収益】料金単価!$C19*【収益】水需要予測!AF28*12,0)</f>
        <v>187440</v>
      </c>
      <c r="AA18" s="39">
        <f>ROUND(【収益】料金単価!$C19*【収益】水需要予測!AG28*12,0)</f>
        <v>187440</v>
      </c>
      <c r="AB18" s="39">
        <f>ROUND(【収益】料金単価!$C19*【収益】水需要予測!AH28*12,0)</f>
        <v>187440</v>
      </c>
      <c r="AC18" s="39">
        <f>ROUND(【収益】料金単価!$C19*【収益】水需要予測!AI28*12,0)</f>
        <v>187440</v>
      </c>
      <c r="AD18" s="39">
        <f>ROUND(【収益】料金単価!$C19*【収益】水需要予測!AJ28*12,0)</f>
        <v>187440</v>
      </c>
      <c r="AE18" s="39">
        <f>ROUND(【収益】料金単価!$C19*【収益】水需要予測!AK28*12,0)</f>
        <v>187440</v>
      </c>
      <c r="AF18" s="39">
        <f>ROUND(【収益】料金単価!$C19*【収益】水需要予測!AL28*12,0)</f>
        <v>187440</v>
      </c>
      <c r="AG18" s="39">
        <f>ROUND(【収益】料金単価!$C19*【収益】水需要予測!AM28*12,0)</f>
        <v>187440</v>
      </c>
      <c r="AH18" s="39">
        <f>ROUND(【収益】料金単価!$C19*【収益】水需要予測!AN28*12,0)</f>
        <v>187440</v>
      </c>
      <c r="AI18" s="39">
        <f>ROUND(【収益】料金単価!$C19*【収益】水需要予測!AO28*12,0)</f>
        <v>187440</v>
      </c>
      <c r="AJ18" s="39">
        <f>ROUND(【収益】料金単価!$C19*【収益】水需要予測!AP28*12,0)</f>
        <v>187440</v>
      </c>
      <c r="AK18" s="39">
        <f>ROUND(【収益】料金単価!$C19*【収益】水需要予測!AQ28*12,0)</f>
        <v>187440</v>
      </c>
      <c r="AL18" s="39">
        <f>ROUND(【収益】料金単価!$C19*【収益】水需要予測!AR28*12,0)</f>
        <v>184800</v>
      </c>
      <c r="AM18" s="39">
        <f>ROUND(【収益】料金単価!$C19*【収益】水需要予測!AS28*12,0)</f>
        <v>184800</v>
      </c>
      <c r="AN18" s="39">
        <f>ROUND(【収益】料金単価!$C19*【収益】水需要予測!AT28*12,0)</f>
        <v>184800</v>
      </c>
      <c r="AO18" s="39">
        <f>ROUND(【収益】料金単価!$C19*【収益】水需要予測!AU28*12,0)</f>
        <v>184800</v>
      </c>
      <c r="AP18" s="39">
        <f>ROUND(【収益】料金単価!$C19*【収益】水需要予測!AV28*12,0)</f>
        <v>184800</v>
      </c>
      <c r="AQ18" s="39">
        <f>ROUND(【収益】料金単価!$C19*【収益】水需要予測!AW28*12,0)</f>
        <v>184800</v>
      </c>
      <c r="AR18" s="39">
        <f>ROUND(【収益】料金単価!$C19*【収益】水需要予測!AX28*12,0)</f>
        <v>184800</v>
      </c>
      <c r="AS18" s="39">
        <f>ROUND(【収益】料金単価!$C19*【収益】水需要予測!AY28*12,0)</f>
        <v>184800</v>
      </c>
      <c r="AT18" s="39">
        <f>ROUND(【収益】料金単価!$C19*【収益】水需要予測!AZ28*12,0)</f>
        <v>184800</v>
      </c>
      <c r="AU18" s="39">
        <f>ROUND(【収益】料金単価!$C19*【収益】水需要予測!BA28*12,0)</f>
        <v>184800</v>
      </c>
      <c r="AV18" s="39">
        <f>ROUND(【収益】料金単価!$C19*【収益】水需要予測!BB28*12,0)</f>
        <v>184800</v>
      </c>
      <c r="AW18" s="39">
        <f>ROUND(【収益】料金単価!$C19*【収益】水需要予測!BC28*12,0)</f>
        <v>182160</v>
      </c>
      <c r="AX18" s="39">
        <f>ROUND(【収益】料金単価!$C19*【収益】水需要予測!BD28*12,0)</f>
        <v>182160</v>
      </c>
      <c r="AY18" s="39">
        <f>ROUND(【収益】料金単価!$C19*【収益】水需要予測!BE28*12,0)</f>
        <v>182160</v>
      </c>
      <c r="AZ18" s="39">
        <f>ROUND(【収益】料金単価!$C19*【収益】水需要予測!BF28*12,0)</f>
        <v>182160</v>
      </c>
      <c r="BA18" s="39">
        <f>ROUND(【収益】料金単価!$C19*【収益】水需要予測!BG28*12,0)</f>
        <v>182160</v>
      </c>
      <c r="BB18" s="39">
        <f>ROUND(【収益】料金単価!$C19*【収益】水需要予測!BH28*12,0)</f>
        <v>182160</v>
      </c>
      <c r="BC18" s="39">
        <f>ROUND(【収益】料金単価!$C19*【収益】水需要予測!BI28*12,0)</f>
        <v>182160</v>
      </c>
      <c r="BD18" s="39">
        <f>ROUND(【収益】料金単価!$C19*【収益】水需要予測!BJ28*12,0)</f>
        <v>182160</v>
      </c>
      <c r="BE18" s="39">
        <f>ROUND(【収益】料金単価!$C19*【収益】水需要予測!BK28*12,0)</f>
        <v>182160</v>
      </c>
      <c r="BF18" s="39">
        <f>ROUND(【収益】料金単価!$C19*【収益】水需要予測!BL28*12,0)</f>
        <v>182160</v>
      </c>
      <c r="BG18" s="39">
        <f>ROUND(【収益】料金単価!$C19*【収益】水需要予測!BM28*12,0)</f>
        <v>179520</v>
      </c>
      <c r="BH18" s="39">
        <f>ROUND(【収益】料金単価!$C19*【収益】水需要予測!BN28*12,0)</f>
        <v>179520</v>
      </c>
      <c r="BI18" s="39">
        <f>ROUND(【収益】料金単価!$C19*【収益】水需要予測!BO28*12,0)</f>
        <v>179520</v>
      </c>
      <c r="BJ18" s="39">
        <f>ROUND(【収益】料金単価!$C19*【収益】水需要予測!BP28*12,0)</f>
        <v>179520</v>
      </c>
      <c r="BK18" s="39">
        <f>ROUND(【収益】料金単価!$C19*【収益】水需要予測!BQ28*12,0)</f>
        <v>179520</v>
      </c>
      <c r="BL18" s="39">
        <f>ROUND(【収益】料金単価!$C19*【収益】水需要予測!BR28*12,0)</f>
        <v>179520</v>
      </c>
      <c r="BM18" s="39">
        <f>ROUND(【収益】料金単価!$C19*【収益】水需要予測!BS28*12,0)</f>
        <v>179520</v>
      </c>
      <c r="BN18" s="39">
        <f>ROUND(【収益】料金単価!$C19*【収益】水需要予測!BT28*12,0)</f>
        <v>179520</v>
      </c>
      <c r="BO18" s="39">
        <f>ROUND(【収益】料金単価!$C19*【収益】水需要予測!BU28*12,0)</f>
        <v>179520</v>
      </c>
      <c r="BP18" s="39">
        <f>ROUND(【収益】料金単価!$C19*【収益】水需要予測!BV28*12,0)</f>
        <v>179520</v>
      </c>
    </row>
    <row r="19" spans="13:68" s="24" customFormat="1">
      <c r="M19" s="25" t="s">
        <v>693</v>
      </c>
      <c r="N19" s="43"/>
      <c r="O19" s="43"/>
      <c r="P19" s="43"/>
      <c r="Q19" s="43"/>
      <c r="R19" s="43"/>
      <c r="S19" s="39">
        <f>ROUND(【収益】料金単価!$C20*【収益】水需要予測!Y29*12,0)</f>
        <v>221760</v>
      </c>
      <c r="T19" s="39">
        <f>ROUND(【収益】料金単価!$C20*【収益】水需要予測!Z29*12,0)</f>
        <v>221760</v>
      </c>
      <c r="U19" s="39">
        <f>ROUND(【収益】料金単価!$C20*【収益】水需要予測!AA29*12,0)</f>
        <v>221760</v>
      </c>
      <c r="V19" s="39">
        <f>ROUND(【収益】料金単価!$C20*【収益】水需要予測!AB29*12,0)</f>
        <v>221760</v>
      </c>
      <c r="W19" s="39">
        <f>ROUND(【収益】料金単価!$C20*【収益】水需要予測!AC29*12,0)</f>
        <v>221760</v>
      </c>
      <c r="X19" s="39">
        <f>ROUND(【収益】料金単価!$C20*【収益】水需要予測!AD29*12,0)</f>
        <v>221760</v>
      </c>
      <c r="Y19" s="39">
        <f>ROUND(【収益】料金単価!$C20*【収益】水需要予測!AE29*12,0)</f>
        <v>221760</v>
      </c>
      <c r="Z19" s="39">
        <f>ROUND(【収益】料金単価!$C20*【収益】水需要予測!AF29*12,0)</f>
        <v>221760</v>
      </c>
      <c r="AA19" s="39">
        <f>ROUND(【収益】料金単価!$C20*【収益】水需要予測!AG29*12,0)</f>
        <v>221760</v>
      </c>
      <c r="AB19" s="39">
        <f>ROUND(【収益】料金単価!$C20*【収益】水需要予測!AH29*12,0)</f>
        <v>221760</v>
      </c>
      <c r="AC19" s="39">
        <f>ROUND(【収益】料金単価!$C20*【収益】水需要予測!AI29*12,0)</f>
        <v>221760</v>
      </c>
      <c r="AD19" s="39">
        <f>ROUND(【収益】料金単価!$C20*【収益】水需要予測!AJ29*12,0)</f>
        <v>221760</v>
      </c>
      <c r="AE19" s="39">
        <f>ROUND(【収益】料金単価!$C20*【収益】水需要予測!AK29*12,0)</f>
        <v>221760</v>
      </c>
      <c r="AF19" s="39">
        <f>ROUND(【収益】料金単価!$C20*【収益】水需要予測!AL29*12,0)</f>
        <v>221760</v>
      </c>
      <c r="AG19" s="39">
        <f>ROUND(【収益】料金単価!$C20*【収益】水需要予測!AM29*12,0)</f>
        <v>221760</v>
      </c>
      <c r="AH19" s="39">
        <f>ROUND(【収益】料金単価!$C20*【収益】水需要予測!AN29*12,0)</f>
        <v>221760</v>
      </c>
      <c r="AI19" s="39">
        <f>ROUND(【収益】料金単価!$C20*【収益】水需要予測!AO29*12,0)</f>
        <v>221760</v>
      </c>
      <c r="AJ19" s="39">
        <f>ROUND(【収益】料金単価!$C20*【収益】水需要予測!AP29*12,0)</f>
        <v>221760</v>
      </c>
      <c r="AK19" s="39">
        <f>ROUND(【収益】料金単価!$C20*【収益】水需要予測!AQ29*12,0)</f>
        <v>221760</v>
      </c>
      <c r="AL19" s="39">
        <f>ROUND(【収益】料金単価!$C20*【収益】水需要予測!AR29*12,0)</f>
        <v>221760</v>
      </c>
      <c r="AM19" s="39">
        <f>ROUND(【収益】料金単価!$C20*【収益】水需要予測!AS29*12,0)</f>
        <v>221760</v>
      </c>
      <c r="AN19" s="39">
        <f>ROUND(【収益】料金単価!$C20*【収益】水需要予測!AT29*12,0)</f>
        <v>211200</v>
      </c>
      <c r="AO19" s="39">
        <f>ROUND(【収益】料金単価!$C20*【収益】水需要予測!AU29*12,0)</f>
        <v>211200</v>
      </c>
      <c r="AP19" s="39">
        <f>ROUND(【収益】料金単価!$C20*【収益】水需要予測!AV29*12,0)</f>
        <v>211200</v>
      </c>
      <c r="AQ19" s="39">
        <f>ROUND(【収益】料金単価!$C20*【収益】水需要予測!AW29*12,0)</f>
        <v>211200</v>
      </c>
      <c r="AR19" s="39">
        <f>ROUND(【収益】料金単価!$C20*【収益】水需要予測!AX29*12,0)</f>
        <v>211200</v>
      </c>
      <c r="AS19" s="39">
        <f>ROUND(【収益】料金単価!$C20*【収益】水需要予測!AY29*12,0)</f>
        <v>211200</v>
      </c>
      <c r="AT19" s="39">
        <f>ROUND(【収益】料金単価!$C20*【収益】水需要予測!AZ29*12,0)</f>
        <v>211200</v>
      </c>
      <c r="AU19" s="39">
        <f>ROUND(【収益】料金単価!$C20*【収益】水需要予測!BA29*12,0)</f>
        <v>211200</v>
      </c>
      <c r="AV19" s="39">
        <f>ROUND(【収益】料金単価!$C20*【収益】水需要予測!BB29*12,0)</f>
        <v>211200</v>
      </c>
      <c r="AW19" s="39">
        <f>ROUND(【収益】料金単価!$C20*【収益】水需要予測!BC29*12,0)</f>
        <v>211200</v>
      </c>
      <c r="AX19" s="39">
        <f>ROUND(【収益】料金単価!$C20*【収益】水需要予測!BD29*12,0)</f>
        <v>211200</v>
      </c>
      <c r="AY19" s="39">
        <f>ROUND(【収益】料金単価!$C20*【収益】水需要予測!BE29*12,0)</f>
        <v>211200</v>
      </c>
      <c r="AZ19" s="39">
        <f>ROUND(【収益】料金単価!$C20*【収益】水需要予測!BF29*12,0)</f>
        <v>211200</v>
      </c>
      <c r="BA19" s="39">
        <f>ROUND(【収益】料金単価!$C20*【収益】水需要予測!BG29*12,0)</f>
        <v>211200</v>
      </c>
      <c r="BB19" s="39">
        <f>ROUND(【収益】料金単価!$C20*【収益】水需要予測!BH29*12,0)</f>
        <v>211200</v>
      </c>
      <c r="BC19" s="39">
        <f>ROUND(【収益】料金単価!$C20*【収益】水需要予測!BI29*12,0)</f>
        <v>211200</v>
      </c>
      <c r="BD19" s="39">
        <f>ROUND(【収益】料金単価!$C20*【収益】水需要予測!BJ29*12,0)</f>
        <v>211200</v>
      </c>
      <c r="BE19" s="39">
        <f>ROUND(【収益】料金単価!$C20*【収益】水需要予測!BK29*12,0)</f>
        <v>211200</v>
      </c>
      <c r="BF19" s="39">
        <f>ROUND(【収益】料金単価!$C20*【収益】水需要予測!BL29*12,0)</f>
        <v>211200</v>
      </c>
      <c r="BG19" s="39">
        <f>ROUND(【収益】料金単価!$C20*【収益】水需要予測!BM29*12,0)</f>
        <v>211200</v>
      </c>
      <c r="BH19" s="39">
        <f>ROUND(【収益】料金単価!$C20*【収益】水需要予測!BN29*12,0)</f>
        <v>211200</v>
      </c>
      <c r="BI19" s="39">
        <f>ROUND(【収益】料金単価!$C20*【収益】水需要予測!BO29*12,0)</f>
        <v>211200</v>
      </c>
      <c r="BJ19" s="39">
        <f>ROUND(【収益】料金単価!$C20*【収益】水需要予測!BP29*12,0)</f>
        <v>211200</v>
      </c>
      <c r="BK19" s="39">
        <f>ROUND(【収益】料金単価!$C20*【収益】水需要予測!BQ29*12,0)</f>
        <v>211200</v>
      </c>
      <c r="BL19" s="39">
        <f>ROUND(【収益】料金単価!$C20*【収益】水需要予測!BR29*12,0)</f>
        <v>211200</v>
      </c>
      <c r="BM19" s="39">
        <f>ROUND(【収益】料金単価!$C20*【収益】水需要予測!BS29*12,0)</f>
        <v>211200</v>
      </c>
      <c r="BN19" s="39">
        <f>ROUND(【収益】料金単価!$C20*【収益】水需要予測!BT29*12,0)</f>
        <v>211200</v>
      </c>
      <c r="BO19" s="39">
        <f>ROUND(【収益】料金単価!$C20*【収益】水需要予測!BU29*12,0)</f>
        <v>211200</v>
      </c>
      <c r="BP19" s="39">
        <f>ROUND(【収益】料金単価!$C20*【収益】水需要予測!BV29*12,0)</f>
        <v>211200</v>
      </c>
    </row>
    <row r="20" spans="13:68" s="24" customFormat="1">
      <c r="M20" s="25" t="s">
        <v>694</v>
      </c>
      <c r="N20" s="43"/>
      <c r="O20" s="43"/>
      <c r="P20" s="43"/>
      <c r="Q20" s="43"/>
      <c r="R20" s="43"/>
      <c r="S20" s="39">
        <f>ROUND(【収益】料金単価!$C21*【収益】水需要予測!Y30*12,0)</f>
        <v>118800</v>
      </c>
      <c r="T20" s="39">
        <f>ROUND(【収益】料金単価!$C21*【収益】水需要予測!Z30*12,0)</f>
        <v>118800</v>
      </c>
      <c r="U20" s="39">
        <f>ROUND(【収益】料金単価!$C21*【収益】水需要予測!AA30*12,0)</f>
        <v>118800</v>
      </c>
      <c r="V20" s="39">
        <f>ROUND(【収益】料金単価!$C21*【収益】水需要予測!AB30*12,0)</f>
        <v>118800</v>
      </c>
      <c r="W20" s="39">
        <f>ROUND(【収益】料金単価!$C21*【収益】水需要予測!AC30*12,0)</f>
        <v>118800</v>
      </c>
      <c r="X20" s="39">
        <f>ROUND(【収益】料金単価!$C21*【収益】水需要予測!AD30*12,0)</f>
        <v>118800</v>
      </c>
      <c r="Y20" s="39">
        <f>ROUND(【収益】料金単価!$C21*【収益】水需要予測!AE30*12,0)</f>
        <v>118800</v>
      </c>
      <c r="Z20" s="39">
        <f>ROUND(【収益】料金単価!$C21*【収益】水需要予測!AF30*12,0)</f>
        <v>118800</v>
      </c>
      <c r="AA20" s="39">
        <f>ROUND(【収益】料金単価!$C21*【収益】水需要予測!AG30*12,0)</f>
        <v>118800</v>
      </c>
      <c r="AB20" s="39">
        <f>ROUND(【収益】料金単価!$C21*【収益】水需要予測!AH30*12,0)</f>
        <v>118800</v>
      </c>
      <c r="AC20" s="39">
        <f>ROUND(【収益】料金単価!$C21*【収益】水需要予測!AI30*12,0)</f>
        <v>118800</v>
      </c>
      <c r="AD20" s="39">
        <f>ROUND(【収益】料金単価!$C21*【収益】水需要予測!AJ30*12,0)</f>
        <v>118800</v>
      </c>
      <c r="AE20" s="39">
        <f>ROUND(【収益】料金単価!$C21*【収益】水需要予測!AK30*12,0)</f>
        <v>118800</v>
      </c>
      <c r="AF20" s="39">
        <f>ROUND(【収益】料金単価!$C21*【収益】水需要予測!AL30*12,0)</f>
        <v>118800</v>
      </c>
      <c r="AG20" s="39">
        <f>ROUND(【収益】料金単価!$C21*【収益】水需要予測!AM30*12,0)</f>
        <v>118800</v>
      </c>
      <c r="AH20" s="39">
        <f>ROUND(【収益】料金単価!$C21*【収益】水需要予測!AN30*12,0)</f>
        <v>118800</v>
      </c>
      <c r="AI20" s="39">
        <f>ROUND(【収益】料金単価!$C21*【収益】水需要予測!AO30*12,0)</f>
        <v>118800</v>
      </c>
      <c r="AJ20" s="39">
        <f>ROUND(【収益】料金単価!$C21*【収益】水需要予測!AP30*12,0)</f>
        <v>118800</v>
      </c>
      <c r="AK20" s="39">
        <f>ROUND(【収益】料金単価!$C21*【収益】水需要予測!AQ30*12,0)</f>
        <v>118800</v>
      </c>
      <c r="AL20" s="39">
        <f>ROUND(【収益】料金単価!$C21*【収益】水需要予測!AR30*12,0)</f>
        <v>118800</v>
      </c>
      <c r="AM20" s="39">
        <f>ROUND(【収益】料金単価!$C21*【収益】水需要予測!AS30*12,0)</f>
        <v>118800</v>
      </c>
      <c r="AN20" s="39">
        <f>ROUND(【収益】料金単価!$C21*【収益】水需要予測!AT30*12,0)</f>
        <v>118800</v>
      </c>
      <c r="AO20" s="39">
        <f>ROUND(【収益】料金単価!$C21*【収益】水需要予測!AU30*12,0)</f>
        <v>118800</v>
      </c>
      <c r="AP20" s="39">
        <f>ROUND(【収益】料金単価!$C21*【収益】水需要予測!AV30*12,0)</f>
        <v>118800</v>
      </c>
      <c r="AQ20" s="39">
        <f>ROUND(【収益】料金単価!$C21*【収益】水需要予測!AW30*12,0)</f>
        <v>118800</v>
      </c>
      <c r="AR20" s="39">
        <f>ROUND(【収益】料金単価!$C21*【収益】水需要予測!AX30*12,0)</f>
        <v>118800</v>
      </c>
      <c r="AS20" s="39">
        <f>ROUND(【収益】料金単価!$C21*【収益】水需要予測!AY30*12,0)</f>
        <v>118800</v>
      </c>
      <c r="AT20" s="39">
        <f>ROUND(【収益】料金単価!$C21*【収益】水需要予測!AZ30*12,0)</f>
        <v>118800</v>
      </c>
      <c r="AU20" s="39">
        <f>ROUND(【収益】料金単価!$C21*【収益】水需要予測!BA30*12,0)</f>
        <v>118800</v>
      </c>
      <c r="AV20" s="39">
        <f>ROUND(【収益】料金単価!$C21*【収益】水需要予測!BB30*12,0)</f>
        <v>118800</v>
      </c>
      <c r="AW20" s="39">
        <f>ROUND(【収益】料金単価!$C21*【収益】水需要予測!BC30*12,0)</f>
        <v>118800</v>
      </c>
      <c r="AX20" s="39">
        <f>ROUND(【収益】料金単価!$C21*【収益】水需要予測!BD30*12,0)</f>
        <v>118800</v>
      </c>
      <c r="AY20" s="39">
        <f>ROUND(【収益】料金単価!$C21*【収益】水需要予測!BE30*12,0)</f>
        <v>118800</v>
      </c>
      <c r="AZ20" s="39">
        <f>ROUND(【収益】料金単価!$C21*【収益】水需要予測!BF30*12,0)</f>
        <v>118800</v>
      </c>
      <c r="BA20" s="39">
        <f>ROUND(【収益】料金単価!$C21*【収益】水需要予測!BG30*12,0)</f>
        <v>118800</v>
      </c>
      <c r="BB20" s="39">
        <f>ROUND(【収益】料金単価!$C21*【収益】水需要予測!BH30*12,0)</f>
        <v>118800</v>
      </c>
      <c r="BC20" s="39">
        <f>ROUND(【収益】料金単価!$C21*【収益】水需要予測!BI30*12,0)</f>
        <v>118800</v>
      </c>
      <c r="BD20" s="39">
        <f>ROUND(【収益】料金単価!$C21*【収益】水需要予測!BJ30*12,0)</f>
        <v>118800</v>
      </c>
      <c r="BE20" s="39">
        <f>ROUND(【収益】料金単価!$C21*【収益】水需要予測!BK30*12,0)</f>
        <v>118800</v>
      </c>
      <c r="BF20" s="39">
        <f>ROUND(【収益】料金単価!$C21*【収益】水需要予測!BL30*12,0)</f>
        <v>118800</v>
      </c>
      <c r="BG20" s="39">
        <f>ROUND(【収益】料金単価!$C21*【収益】水需要予測!BM30*12,0)</f>
        <v>118800</v>
      </c>
      <c r="BH20" s="39">
        <f>ROUND(【収益】料金単価!$C21*【収益】水需要予測!BN30*12,0)</f>
        <v>118800</v>
      </c>
      <c r="BI20" s="39">
        <f>ROUND(【収益】料金単価!$C21*【収益】水需要予測!BO30*12,0)</f>
        <v>118800</v>
      </c>
      <c r="BJ20" s="39">
        <f>ROUND(【収益】料金単価!$C21*【収益】水需要予測!BP30*12,0)</f>
        <v>118800</v>
      </c>
      <c r="BK20" s="39">
        <f>ROUND(【収益】料金単価!$C21*【収益】水需要予測!BQ30*12,0)</f>
        <v>118800</v>
      </c>
      <c r="BL20" s="39">
        <f>ROUND(【収益】料金単価!$C21*【収益】水需要予測!BR30*12,0)</f>
        <v>105600</v>
      </c>
      <c r="BM20" s="39">
        <f>ROUND(【収益】料金単価!$C21*【収益】水需要予測!BS30*12,0)</f>
        <v>105600</v>
      </c>
      <c r="BN20" s="39">
        <f>ROUND(【収益】料金単価!$C21*【収益】水需要予測!BT30*12,0)</f>
        <v>105600</v>
      </c>
      <c r="BO20" s="39">
        <f>ROUND(【収益】料金単価!$C21*【収益】水需要予測!BU30*12,0)</f>
        <v>105600</v>
      </c>
      <c r="BP20" s="39">
        <f>ROUND(【収益】料金単価!$C21*【収益】水需要予測!BV30*12,0)</f>
        <v>105600</v>
      </c>
    </row>
    <row r="21" spans="13:68" s="24" customFormat="1">
      <c r="M21" s="25" t="s">
        <v>695</v>
      </c>
      <c r="N21" s="43"/>
      <c r="O21" s="43"/>
      <c r="P21" s="43"/>
      <c r="Q21" s="43"/>
      <c r="R21" s="43"/>
      <c r="S21" s="39">
        <f>ROUND(【収益】料金単価!$C22*【収益】水需要予測!Y31*12,0)</f>
        <v>47520</v>
      </c>
      <c r="T21" s="39">
        <f>ROUND(【収益】料金単価!$C22*【収益】水需要予測!Z31*12,0)</f>
        <v>47520</v>
      </c>
      <c r="U21" s="39">
        <f>ROUND(【収益】料金単価!$C22*【収益】水需要予測!AA31*12,0)</f>
        <v>47520</v>
      </c>
      <c r="V21" s="39">
        <f>ROUND(【収益】料金単価!$C22*【収益】水需要予測!AB31*12,0)</f>
        <v>47520</v>
      </c>
      <c r="W21" s="39">
        <f>ROUND(【収益】料金単価!$C22*【収益】水需要予測!AC31*12,0)</f>
        <v>47520</v>
      </c>
      <c r="X21" s="39">
        <f>ROUND(【収益】料金単価!$C22*【収益】水需要予測!AD31*12,0)</f>
        <v>47520</v>
      </c>
      <c r="Y21" s="39">
        <f>ROUND(【収益】料金単価!$C22*【収益】水需要予測!AE31*12,0)</f>
        <v>47520</v>
      </c>
      <c r="Z21" s="39">
        <f>ROUND(【収益】料金単価!$C22*【収益】水需要予測!AF31*12,0)</f>
        <v>47520</v>
      </c>
      <c r="AA21" s="39">
        <f>ROUND(【収益】料金単価!$C22*【収益】水需要予測!AG31*12,0)</f>
        <v>47520</v>
      </c>
      <c r="AB21" s="39">
        <f>ROUND(【収益】料金単価!$C22*【収益】水需要予測!AH31*12,0)</f>
        <v>47520</v>
      </c>
      <c r="AC21" s="39">
        <f>ROUND(【収益】料金単価!$C22*【収益】水需要予測!AI31*12,0)</f>
        <v>47520</v>
      </c>
      <c r="AD21" s="39">
        <f>ROUND(【収益】料金単価!$C22*【収益】水需要予測!AJ31*12,0)</f>
        <v>47520</v>
      </c>
      <c r="AE21" s="39">
        <f>ROUND(【収益】料金単価!$C22*【収益】水需要予測!AK31*12,0)</f>
        <v>47520</v>
      </c>
      <c r="AF21" s="39">
        <f>ROUND(【収益】料金単価!$C22*【収益】水需要予測!AL31*12,0)</f>
        <v>47520</v>
      </c>
      <c r="AG21" s="39">
        <f>ROUND(【収益】料金単価!$C22*【収益】水需要予測!AM31*12,0)</f>
        <v>47520</v>
      </c>
      <c r="AH21" s="39">
        <f>ROUND(【収益】料金単価!$C22*【収益】水需要予測!AN31*12,0)</f>
        <v>47520</v>
      </c>
      <c r="AI21" s="39">
        <f>ROUND(【収益】料金単価!$C22*【収益】水需要予測!AO31*12,0)</f>
        <v>47520</v>
      </c>
      <c r="AJ21" s="39">
        <f>ROUND(【収益】料金単価!$C22*【収益】水需要予測!AP31*12,0)</f>
        <v>47520</v>
      </c>
      <c r="AK21" s="39">
        <f>ROUND(【収益】料金単価!$C22*【収益】水需要予測!AQ31*12,0)</f>
        <v>47520</v>
      </c>
      <c r="AL21" s="39">
        <f>ROUND(【収益】料金単価!$C22*【収益】水需要予測!AR31*12,0)</f>
        <v>47520</v>
      </c>
      <c r="AM21" s="39">
        <f>ROUND(【収益】料金単価!$C22*【収益】水需要予測!AS31*12,0)</f>
        <v>47520</v>
      </c>
      <c r="AN21" s="39">
        <f>ROUND(【収益】料金単価!$C22*【収益】水需要予測!AT31*12,0)</f>
        <v>47520</v>
      </c>
      <c r="AO21" s="39">
        <f>ROUND(【収益】料金単価!$C22*【収益】水需要予測!AU31*12,0)</f>
        <v>47520</v>
      </c>
      <c r="AP21" s="39">
        <f>ROUND(【収益】料金単価!$C22*【収益】水需要予測!AV31*12,0)</f>
        <v>47520</v>
      </c>
      <c r="AQ21" s="39">
        <f>ROUND(【収益】料金単価!$C22*【収益】水需要予測!AW31*12,0)</f>
        <v>47520</v>
      </c>
      <c r="AR21" s="39">
        <f>ROUND(【収益】料金単価!$C22*【収益】水需要予測!AX31*12,0)</f>
        <v>47520</v>
      </c>
      <c r="AS21" s="39">
        <f>ROUND(【収益】料金単価!$C22*【収益】水需要予測!AY31*12,0)</f>
        <v>47520</v>
      </c>
      <c r="AT21" s="39">
        <f>ROUND(【収益】料金単価!$C22*【収益】水需要予測!AZ31*12,0)</f>
        <v>47520</v>
      </c>
      <c r="AU21" s="39">
        <f>ROUND(【収益】料金単価!$C22*【収益】水需要予測!BA31*12,0)</f>
        <v>47520</v>
      </c>
      <c r="AV21" s="39">
        <f>ROUND(【収益】料金単価!$C22*【収益】水需要予測!BB31*12,0)</f>
        <v>47520</v>
      </c>
      <c r="AW21" s="39">
        <f>ROUND(【収益】料金単価!$C22*【収益】水需要予測!BC31*12,0)</f>
        <v>47520</v>
      </c>
      <c r="AX21" s="39">
        <f>ROUND(【収益】料金単価!$C22*【収益】水需要予測!BD31*12,0)</f>
        <v>47520</v>
      </c>
      <c r="AY21" s="39">
        <f>ROUND(【収益】料金単価!$C22*【収益】水需要予測!BE31*12,0)</f>
        <v>47520</v>
      </c>
      <c r="AZ21" s="39">
        <f>ROUND(【収益】料金単価!$C22*【収益】水需要予測!BF31*12,0)</f>
        <v>47520</v>
      </c>
      <c r="BA21" s="39">
        <f>ROUND(【収益】料金単価!$C22*【収益】水需要予測!BG31*12,0)</f>
        <v>47520</v>
      </c>
      <c r="BB21" s="39">
        <f>ROUND(【収益】料金単価!$C22*【収益】水需要予測!BH31*12,0)</f>
        <v>47520</v>
      </c>
      <c r="BC21" s="39">
        <f>ROUND(【収益】料金単価!$C22*【収益】水需要予測!BI31*12,0)</f>
        <v>47520</v>
      </c>
      <c r="BD21" s="39">
        <f>ROUND(【収益】料金単価!$C22*【収益】水需要予測!BJ31*12,0)</f>
        <v>47520</v>
      </c>
      <c r="BE21" s="39">
        <f>ROUND(【収益】料金単価!$C22*【収益】水需要予測!BK31*12,0)</f>
        <v>47520</v>
      </c>
      <c r="BF21" s="39">
        <f>ROUND(【収益】料金単価!$C22*【収益】水需要予測!BL31*12,0)</f>
        <v>47520</v>
      </c>
      <c r="BG21" s="39">
        <f>ROUND(【収益】料金単価!$C22*【収益】水需要予測!BM31*12,0)</f>
        <v>47520</v>
      </c>
      <c r="BH21" s="39">
        <f>ROUND(【収益】料金単価!$C22*【収益】水需要予測!BN31*12,0)</f>
        <v>47520</v>
      </c>
      <c r="BI21" s="39">
        <f>ROUND(【収益】料金単価!$C22*【収益】水需要予測!BO31*12,0)</f>
        <v>47520</v>
      </c>
      <c r="BJ21" s="39">
        <f>ROUND(【収益】料金単価!$C22*【収益】水需要予測!BP31*12,0)</f>
        <v>47520</v>
      </c>
      <c r="BK21" s="39">
        <f>ROUND(【収益】料金単価!$C22*【収益】水需要予測!BQ31*12,0)</f>
        <v>47520</v>
      </c>
      <c r="BL21" s="39">
        <f>ROUND(【収益】料金単価!$C22*【収益】水需要予測!BR31*12,0)</f>
        <v>47520</v>
      </c>
      <c r="BM21" s="39">
        <f>ROUND(【収益】料金単価!$C22*【収益】水需要予測!BS31*12,0)</f>
        <v>47520</v>
      </c>
      <c r="BN21" s="39">
        <f>ROUND(【収益】料金単価!$C22*【収益】水需要予測!BT31*12,0)</f>
        <v>47520</v>
      </c>
      <c r="BO21" s="39">
        <f>ROUND(【収益】料金単価!$C22*【収益】水需要予測!BU31*12,0)</f>
        <v>47520</v>
      </c>
      <c r="BP21" s="39">
        <f>ROUND(【収益】料金単価!$C22*【収益】水需要予測!BV31*12,0)</f>
        <v>47520</v>
      </c>
    </row>
    <row r="22" spans="13:68" ht="4.2" customHeight="1"/>
    <row r="23" spans="13:68" s="24" customFormat="1">
      <c r="M23" s="25" t="s">
        <v>151</v>
      </c>
      <c r="N23" s="43"/>
      <c r="O23" s="43"/>
      <c r="P23" s="43"/>
      <c r="Q23" s="43"/>
      <c r="R23" s="43"/>
      <c r="S23" s="39">
        <f>S6+S14</f>
        <v>124191884</v>
      </c>
      <c r="T23" s="39">
        <f t="shared" ref="T23:BP23" si="4">T6+T14</f>
        <v>122888299</v>
      </c>
      <c r="U23" s="39">
        <f t="shared" si="4"/>
        <v>121005285</v>
      </c>
      <c r="V23" s="39">
        <f t="shared" si="4"/>
        <v>119369972</v>
      </c>
      <c r="W23" s="39">
        <f t="shared" si="4"/>
        <v>117778174</v>
      </c>
      <c r="X23" s="39">
        <f t="shared" si="4"/>
        <v>116420512</v>
      </c>
      <c r="Y23" s="39">
        <f t="shared" si="4"/>
        <v>113600891</v>
      </c>
      <c r="Z23" s="39">
        <f t="shared" si="4"/>
        <v>112208829</v>
      </c>
      <c r="AA23" s="39">
        <f t="shared" si="4"/>
        <v>110846246</v>
      </c>
      <c r="AB23" s="39">
        <f t="shared" si="4"/>
        <v>109697944</v>
      </c>
      <c r="AC23" s="39">
        <f t="shared" si="4"/>
        <v>108189478</v>
      </c>
      <c r="AD23" s="39">
        <f t="shared" si="4"/>
        <v>105108133</v>
      </c>
      <c r="AE23" s="39">
        <f t="shared" si="4"/>
        <v>103971731</v>
      </c>
      <c r="AF23" s="39">
        <f t="shared" si="4"/>
        <v>103020590</v>
      </c>
      <c r="AG23" s="39">
        <f t="shared" si="4"/>
        <v>101744026</v>
      </c>
      <c r="AH23" s="39">
        <f t="shared" si="4"/>
        <v>100665032</v>
      </c>
      <c r="AI23" s="39">
        <f t="shared" si="4"/>
        <v>97299729</v>
      </c>
      <c r="AJ23" s="39">
        <f t="shared" si="4"/>
        <v>96530482</v>
      </c>
      <c r="AK23" s="39">
        <f t="shared" si="4"/>
        <v>95471879</v>
      </c>
      <c r="AL23" s="39">
        <f t="shared" si="4"/>
        <v>94576208</v>
      </c>
      <c r="AM23" s="39">
        <f t="shared" si="4"/>
        <v>93696014</v>
      </c>
      <c r="AN23" s="39">
        <f t="shared" si="4"/>
        <v>90371092</v>
      </c>
      <c r="AO23" s="39">
        <f t="shared" si="4"/>
        <v>89483989</v>
      </c>
      <c r="AP23" s="39">
        <f t="shared" si="4"/>
        <v>88748215</v>
      </c>
      <c r="AQ23" s="39">
        <f t="shared" si="4"/>
        <v>88011395</v>
      </c>
      <c r="AR23" s="39">
        <f t="shared" si="4"/>
        <v>87417476</v>
      </c>
      <c r="AS23" s="39">
        <f t="shared" si="4"/>
        <v>83809931</v>
      </c>
      <c r="AT23" s="39">
        <f t="shared" si="4"/>
        <v>83229443</v>
      </c>
      <c r="AU23" s="39">
        <f t="shared" si="4"/>
        <v>82663112</v>
      </c>
      <c r="AV23" s="39">
        <f t="shared" si="4"/>
        <v>82212777</v>
      </c>
      <c r="AW23" s="39">
        <f t="shared" si="4"/>
        <v>81543915</v>
      </c>
      <c r="AX23" s="39">
        <f t="shared" si="4"/>
        <v>80990542</v>
      </c>
      <c r="AY23" s="39">
        <f t="shared" si="4"/>
        <v>80438368</v>
      </c>
      <c r="AZ23" s="39">
        <f t="shared" si="4"/>
        <v>80010219</v>
      </c>
      <c r="BA23" s="39">
        <f t="shared" si="4"/>
        <v>79362817</v>
      </c>
      <c r="BB23" s="39">
        <f t="shared" si="4"/>
        <v>78840124</v>
      </c>
      <c r="BC23" s="39">
        <f t="shared" si="4"/>
        <v>78316506</v>
      </c>
      <c r="BD23" s="39">
        <f t="shared" si="4"/>
        <v>77897190</v>
      </c>
      <c r="BE23" s="39">
        <f t="shared" si="4"/>
        <v>77283427</v>
      </c>
      <c r="BF23" s="39">
        <f t="shared" si="4"/>
        <v>76773966</v>
      </c>
      <c r="BG23" s="39">
        <f t="shared" si="4"/>
        <v>76277067</v>
      </c>
      <c r="BH23" s="39">
        <f t="shared" si="4"/>
        <v>75881346</v>
      </c>
      <c r="BI23" s="39">
        <f t="shared" si="4"/>
        <v>75285382</v>
      </c>
      <c r="BJ23" s="39">
        <f t="shared" si="4"/>
        <v>74804356</v>
      </c>
      <c r="BK23" s="39">
        <f t="shared" si="4"/>
        <v>74323330</v>
      </c>
      <c r="BL23" s="39">
        <f t="shared" si="4"/>
        <v>73923968</v>
      </c>
      <c r="BM23" s="39">
        <f t="shared" si="4"/>
        <v>73363279</v>
      </c>
      <c r="BN23" s="39">
        <f t="shared" si="4"/>
        <v>72896531</v>
      </c>
      <c r="BO23" s="39">
        <f t="shared" si="4"/>
        <v>72430444</v>
      </c>
      <c r="BP23" s="39">
        <f t="shared" si="4"/>
        <v>72068119</v>
      </c>
    </row>
    <row r="26" spans="13:68">
      <c r="M26" t="s">
        <v>696</v>
      </c>
    </row>
    <row r="27" spans="13:68">
      <c r="M27" s="1" t="s">
        <v>697</v>
      </c>
      <c r="N27" s="1"/>
      <c r="O27" s="1"/>
      <c r="P27" s="1"/>
      <c r="Q27" s="1"/>
      <c r="R27" s="1"/>
      <c r="S27" s="39">
        <f>ROUND(【収益】料金単価!$S$11,0)</f>
        <v>519199</v>
      </c>
      <c r="T27" s="39">
        <f>ROUND(【収益】料金単価!$S$11,0)</f>
        <v>519199</v>
      </c>
      <c r="U27" s="39">
        <f>ROUND(【収益】料金単価!$S$11,0)</f>
        <v>519199</v>
      </c>
      <c r="V27" s="39">
        <f>ROUND(【収益】料金単価!$S$11,0)</f>
        <v>519199</v>
      </c>
      <c r="W27" s="39">
        <f>ROUND(【収益】料金単価!$S$11,0)</f>
        <v>519199</v>
      </c>
      <c r="X27" s="39">
        <f>ROUND(【収益】料金単価!$S$11,0)</f>
        <v>519199</v>
      </c>
      <c r="Y27" s="39">
        <f>ROUND(【収益】料金単価!$S$11,0)</f>
        <v>519199</v>
      </c>
      <c r="Z27" s="39">
        <f>ROUND(【収益】料金単価!$S$11,0)</f>
        <v>519199</v>
      </c>
      <c r="AA27" s="39">
        <f>ROUND(【収益】料金単価!$S$11,0)</f>
        <v>519199</v>
      </c>
      <c r="AB27" s="39">
        <f>ROUND(【収益】料金単価!$S$11,0)</f>
        <v>519199</v>
      </c>
      <c r="AC27" s="39">
        <f>ROUND(【収益】料金単価!$S$11,0)</f>
        <v>519199</v>
      </c>
      <c r="AD27" s="39">
        <f>ROUND(【収益】料金単価!$S$11,0)</f>
        <v>519199</v>
      </c>
      <c r="AE27" s="39">
        <f>ROUND(【収益】料金単価!$S$11,0)</f>
        <v>519199</v>
      </c>
      <c r="AF27" s="39">
        <f>ROUND(【収益】料金単価!$S$11,0)</f>
        <v>519199</v>
      </c>
      <c r="AG27" s="39">
        <f>ROUND(【収益】料金単価!$S$11,0)</f>
        <v>519199</v>
      </c>
      <c r="AH27" s="39">
        <f>ROUND(【収益】料金単価!$S$11,0)</f>
        <v>519199</v>
      </c>
      <c r="AI27" s="39">
        <f>ROUND(【収益】料金単価!$S$11,0)</f>
        <v>519199</v>
      </c>
      <c r="AJ27" s="39">
        <f>ROUND(【収益】料金単価!$S$11,0)</f>
        <v>519199</v>
      </c>
      <c r="AK27" s="39">
        <f>ROUND(【収益】料金単価!$S$11,0)</f>
        <v>519199</v>
      </c>
      <c r="AL27" s="39">
        <f>ROUND(【収益】料金単価!$S$11,0)</f>
        <v>519199</v>
      </c>
      <c r="AM27" s="39">
        <f>ROUND(【収益】料金単価!$S$11,0)</f>
        <v>519199</v>
      </c>
      <c r="AN27" s="39">
        <f>ROUND(【収益】料金単価!$S$11,0)</f>
        <v>519199</v>
      </c>
      <c r="AO27" s="39">
        <f>ROUND(【収益】料金単価!$S$11,0)</f>
        <v>519199</v>
      </c>
      <c r="AP27" s="39">
        <f>ROUND(【収益】料金単価!$S$11,0)</f>
        <v>519199</v>
      </c>
      <c r="AQ27" s="39">
        <f>ROUND(【収益】料金単価!$S$11,0)</f>
        <v>519199</v>
      </c>
      <c r="AR27" s="39">
        <f>ROUND(【収益】料金単価!$S$11,0)</f>
        <v>519199</v>
      </c>
      <c r="AS27" s="39">
        <f>ROUND(【収益】料金単価!$S$11,0)</f>
        <v>519199</v>
      </c>
      <c r="AT27" s="39">
        <f>ROUND(【収益】料金単価!$S$11,0)</f>
        <v>519199</v>
      </c>
      <c r="AU27" s="39">
        <f>ROUND(【収益】料金単価!$S$11,0)</f>
        <v>519199</v>
      </c>
      <c r="AV27" s="39">
        <f>ROUND(【収益】料金単価!$S$11,0)</f>
        <v>519199</v>
      </c>
      <c r="AW27" s="39">
        <f>ROUND(【収益】料金単価!$S$11,0)</f>
        <v>519199</v>
      </c>
      <c r="AX27" s="39">
        <f>ROUND(【収益】料金単価!$S$11,0)</f>
        <v>519199</v>
      </c>
      <c r="AY27" s="39">
        <f>ROUND(【収益】料金単価!$S$11,0)</f>
        <v>519199</v>
      </c>
      <c r="AZ27" s="39">
        <f>ROUND(【収益】料金単価!$S$11,0)</f>
        <v>519199</v>
      </c>
      <c r="BA27" s="39">
        <f>ROUND(【収益】料金単価!$S$11,0)</f>
        <v>519199</v>
      </c>
      <c r="BB27" s="39">
        <f>ROUND(【収益】料金単価!$S$11,0)</f>
        <v>519199</v>
      </c>
      <c r="BC27" s="39">
        <f>ROUND(【収益】料金単価!$S$11,0)</f>
        <v>519199</v>
      </c>
      <c r="BD27" s="39">
        <f>ROUND(【収益】料金単価!$S$11,0)</f>
        <v>519199</v>
      </c>
      <c r="BE27" s="39">
        <f>ROUND(【収益】料金単価!$S$11,0)</f>
        <v>519199</v>
      </c>
      <c r="BF27" s="39">
        <f>ROUND(【収益】料金単価!$S$11,0)</f>
        <v>519199</v>
      </c>
      <c r="BG27" s="39">
        <f>ROUND(【収益】料金単価!$S$11,0)</f>
        <v>519199</v>
      </c>
      <c r="BH27" s="39">
        <f>ROUND(【収益】料金単価!$S$11,0)</f>
        <v>519199</v>
      </c>
      <c r="BI27" s="39">
        <f>ROUND(【収益】料金単価!$S$11,0)</f>
        <v>519199</v>
      </c>
      <c r="BJ27" s="39">
        <f>ROUND(【収益】料金単価!$S$11,0)</f>
        <v>519199</v>
      </c>
      <c r="BK27" s="39">
        <f>ROUND(【収益】料金単価!$S$11,0)</f>
        <v>519199</v>
      </c>
      <c r="BL27" s="39">
        <f>ROUND(【収益】料金単価!$S$11,0)</f>
        <v>519199</v>
      </c>
      <c r="BM27" s="39">
        <f>ROUND(【収益】料金単価!$S$11,0)</f>
        <v>519199</v>
      </c>
      <c r="BN27" s="39">
        <f>ROUND(【収益】料金単価!$S$11,0)</f>
        <v>519199</v>
      </c>
      <c r="BO27" s="39">
        <f>ROUND(【収益】料金単価!$S$11,0)</f>
        <v>519199</v>
      </c>
      <c r="BP27" s="39">
        <f>ROUND(【収益】料金単価!$S$11,0)</f>
        <v>519199</v>
      </c>
    </row>
    <row r="28" spans="13:68">
      <c r="M28" s="1" t="s">
        <v>698</v>
      </c>
      <c r="N28" s="1"/>
      <c r="O28" s="1"/>
      <c r="P28" s="1"/>
      <c r="Q28" s="1"/>
      <c r="R28" s="1"/>
      <c r="S28" s="39">
        <f>ROUND(【収益】料金単価!$S$17,0)</f>
        <v>14824</v>
      </c>
      <c r="T28" s="39">
        <f>ROUND(【収益】料金単価!$S$17,0)</f>
        <v>14824</v>
      </c>
      <c r="U28" s="39">
        <f>ROUND(【収益】料金単価!$S$17,0)</f>
        <v>14824</v>
      </c>
      <c r="V28" s="39">
        <f>ROUND(【収益】料金単価!$S$17,0)</f>
        <v>14824</v>
      </c>
      <c r="W28" s="39">
        <f>ROUND(【収益】料金単価!$S$17,0)</f>
        <v>14824</v>
      </c>
      <c r="X28" s="39">
        <f>ROUND(【収益】料金単価!$S$17,0)</f>
        <v>14824</v>
      </c>
      <c r="Y28" s="39">
        <f>ROUND(【収益】料金単価!$S$17,0)</f>
        <v>14824</v>
      </c>
      <c r="Z28" s="39">
        <f>ROUND(【収益】料金単価!$S$17,0)</f>
        <v>14824</v>
      </c>
      <c r="AA28" s="39">
        <f>ROUND(【収益】料金単価!$S$17,0)</f>
        <v>14824</v>
      </c>
      <c r="AB28" s="39">
        <f>ROUND(【収益】料金単価!$S$17,0)</f>
        <v>14824</v>
      </c>
      <c r="AC28" s="39">
        <f>ROUND(【収益】料金単価!$S$17,0)</f>
        <v>14824</v>
      </c>
      <c r="AD28" s="39">
        <f>ROUND(【収益】料金単価!$S$17,0)</f>
        <v>14824</v>
      </c>
      <c r="AE28" s="39">
        <f>ROUND(【収益】料金単価!$S$17,0)</f>
        <v>14824</v>
      </c>
      <c r="AF28" s="39">
        <f>ROUND(【収益】料金単価!$S$17,0)</f>
        <v>14824</v>
      </c>
      <c r="AG28" s="39">
        <f>ROUND(【収益】料金単価!$S$17,0)</f>
        <v>14824</v>
      </c>
      <c r="AH28" s="39">
        <f>ROUND(【収益】料金単価!$S$17,0)</f>
        <v>14824</v>
      </c>
      <c r="AI28" s="39">
        <f>ROUND(【収益】料金単価!$S$17,0)</f>
        <v>14824</v>
      </c>
      <c r="AJ28" s="39">
        <f>ROUND(【収益】料金単価!$S$17,0)</f>
        <v>14824</v>
      </c>
      <c r="AK28" s="39">
        <f>ROUND(【収益】料金単価!$S$17,0)</f>
        <v>14824</v>
      </c>
      <c r="AL28" s="39">
        <f>ROUND(【収益】料金単価!$S$17,0)</f>
        <v>14824</v>
      </c>
      <c r="AM28" s="39">
        <f>ROUND(【収益】料金単価!$S$17,0)</f>
        <v>14824</v>
      </c>
      <c r="AN28" s="39">
        <f>ROUND(【収益】料金単価!$S$17,0)</f>
        <v>14824</v>
      </c>
      <c r="AO28" s="39">
        <f>ROUND(【収益】料金単価!$S$17,0)</f>
        <v>14824</v>
      </c>
      <c r="AP28" s="39">
        <f>ROUND(【収益】料金単価!$S$17,0)</f>
        <v>14824</v>
      </c>
      <c r="AQ28" s="39">
        <f>ROUND(【収益】料金単価!$S$17,0)</f>
        <v>14824</v>
      </c>
      <c r="AR28" s="39">
        <f>ROUND(【収益】料金単価!$S$17,0)</f>
        <v>14824</v>
      </c>
      <c r="AS28" s="39">
        <f>ROUND(【収益】料金単価!$S$17,0)</f>
        <v>14824</v>
      </c>
      <c r="AT28" s="39">
        <f>ROUND(【収益】料金単価!$S$17,0)</f>
        <v>14824</v>
      </c>
      <c r="AU28" s="39">
        <f>ROUND(【収益】料金単価!$S$17,0)</f>
        <v>14824</v>
      </c>
      <c r="AV28" s="39">
        <f>ROUND(【収益】料金単価!$S$17,0)</f>
        <v>14824</v>
      </c>
      <c r="AW28" s="39">
        <f>ROUND(【収益】料金単価!$S$17,0)</f>
        <v>14824</v>
      </c>
      <c r="AX28" s="39">
        <f>ROUND(【収益】料金単価!$S$17,0)</f>
        <v>14824</v>
      </c>
      <c r="AY28" s="39">
        <f>ROUND(【収益】料金単価!$S$17,0)</f>
        <v>14824</v>
      </c>
      <c r="AZ28" s="39">
        <f>ROUND(【収益】料金単価!$S$17,0)</f>
        <v>14824</v>
      </c>
      <c r="BA28" s="39">
        <f>ROUND(【収益】料金単価!$S$17,0)</f>
        <v>14824</v>
      </c>
      <c r="BB28" s="39">
        <f>ROUND(【収益】料金単価!$S$17,0)</f>
        <v>14824</v>
      </c>
      <c r="BC28" s="39">
        <f>ROUND(【収益】料金単価!$S$17,0)</f>
        <v>14824</v>
      </c>
      <c r="BD28" s="39">
        <f>ROUND(【収益】料金単価!$S$17,0)</f>
        <v>14824</v>
      </c>
      <c r="BE28" s="39">
        <f>ROUND(【収益】料金単価!$S$17,0)</f>
        <v>14824</v>
      </c>
      <c r="BF28" s="39">
        <f>ROUND(【収益】料金単価!$S$17,0)</f>
        <v>14824</v>
      </c>
      <c r="BG28" s="39">
        <f>ROUND(【収益】料金単価!$S$17,0)</f>
        <v>14824</v>
      </c>
      <c r="BH28" s="39">
        <f>ROUND(【収益】料金単価!$S$17,0)</f>
        <v>14824</v>
      </c>
      <c r="BI28" s="39">
        <f>ROUND(【収益】料金単価!$S$17,0)</f>
        <v>14824</v>
      </c>
      <c r="BJ28" s="39">
        <f>ROUND(【収益】料金単価!$S$17,0)</f>
        <v>14824</v>
      </c>
      <c r="BK28" s="39">
        <f>ROUND(【収益】料金単価!$S$17,0)</f>
        <v>14824</v>
      </c>
      <c r="BL28" s="39">
        <f>ROUND(【収益】料金単価!$S$17,0)</f>
        <v>14824</v>
      </c>
      <c r="BM28" s="39">
        <f>ROUND(【収益】料金単価!$S$17,0)</f>
        <v>14824</v>
      </c>
      <c r="BN28" s="39">
        <f>ROUND(【収益】料金単価!$S$17,0)</f>
        <v>14824</v>
      </c>
      <c r="BO28" s="39">
        <f>ROUND(【収益】料金単価!$S$17,0)</f>
        <v>14824</v>
      </c>
      <c r="BP28" s="39">
        <f>ROUND(【収益】料金単価!$S$17,0)</f>
        <v>14824</v>
      </c>
    </row>
    <row r="29" spans="13:68" ht="4.2" customHeight="1"/>
    <row r="30" spans="13:68" s="24" customFormat="1">
      <c r="M30" s="25" t="s">
        <v>151</v>
      </c>
      <c r="N30" s="43"/>
      <c r="O30" s="43"/>
      <c r="P30" s="43"/>
      <c r="Q30" s="43"/>
      <c r="R30" s="43"/>
      <c r="S30" s="39">
        <f>S27+S28</f>
        <v>534023</v>
      </c>
      <c r="T30" s="39">
        <f t="shared" ref="T30:BP30" si="5">T27+T28</f>
        <v>534023</v>
      </c>
      <c r="U30" s="39">
        <f t="shared" si="5"/>
        <v>534023</v>
      </c>
      <c r="V30" s="39">
        <f t="shared" si="5"/>
        <v>534023</v>
      </c>
      <c r="W30" s="39">
        <f t="shared" si="5"/>
        <v>534023</v>
      </c>
      <c r="X30" s="39">
        <f t="shared" si="5"/>
        <v>534023</v>
      </c>
      <c r="Y30" s="39">
        <f t="shared" si="5"/>
        <v>534023</v>
      </c>
      <c r="Z30" s="39">
        <f t="shared" si="5"/>
        <v>534023</v>
      </c>
      <c r="AA30" s="39">
        <f t="shared" si="5"/>
        <v>534023</v>
      </c>
      <c r="AB30" s="39">
        <f t="shared" si="5"/>
        <v>534023</v>
      </c>
      <c r="AC30" s="39">
        <f t="shared" si="5"/>
        <v>534023</v>
      </c>
      <c r="AD30" s="39">
        <f t="shared" si="5"/>
        <v>534023</v>
      </c>
      <c r="AE30" s="39">
        <f t="shared" si="5"/>
        <v>534023</v>
      </c>
      <c r="AF30" s="39">
        <f t="shared" si="5"/>
        <v>534023</v>
      </c>
      <c r="AG30" s="39">
        <f t="shared" si="5"/>
        <v>534023</v>
      </c>
      <c r="AH30" s="39">
        <f t="shared" si="5"/>
        <v>534023</v>
      </c>
      <c r="AI30" s="39">
        <f t="shared" si="5"/>
        <v>534023</v>
      </c>
      <c r="AJ30" s="39">
        <f t="shared" si="5"/>
        <v>534023</v>
      </c>
      <c r="AK30" s="39">
        <f t="shared" si="5"/>
        <v>534023</v>
      </c>
      <c r="AL30" s="39">
        <f t="shared" si="5"/>
        <v>534023</v>
      </c>
      <c r="AM30" s="39">
        <f t="shared" si="5"/>
        <v>534023</v>
      </c>
      <c r="AN30" s="39">
        <f t="shared" si="5"/>
        <v>534023</v>
      </c>
      <c r="AO30" s="39">
        <f t="shared" si="5"/>
        <v>534023</v>
      </c>
      <c r="AP30" s="39">
        <f t="shared" si="5"/>
        <v>534023</v>
      </c>
      <c r="AQ30" s="39">
        <f t="shared" si="5"/>
        <v>534023</v>
      </c>
      <c r="AR30" s="39">
        <f t="shared" si="5"/>
        <v>534023</v>
      </c>
      <c r="AS30" s="39">
        <f t="shared" si="5"/>
        <v>534023</v>
      </c>
      <c r="AT30" s="39">
        <f t="shared" si="5"/>
        <v>534023</v>
      </c>
      <c r="AU30" s="39">
        <f t="shared" si="5"/>
        <v>534023</v>
      </c>
      <c r="AV30" s="39">
        <f t="shared" si="5"/>
        <v>534023</v>
      </c>
      <c r="AW30" s="39">
        <f t="shared" si="5"/>
        <v>534023</v>
      </c>
      <c r="AX30" s="39">
        <f t="shared" si="5"/>
        <v>534023</v>
      </c>
      <c r="AY30" s="39">
        <f t="shared" si="5"/>
        <v>534023</v>
      </c>
      <c r="AZ30" s="39">
        <f t="shared" si="5"/>
        <v>534023</v>
      </c>
      <c r="BA30" s="39">
        <f t="shared" si="5"/>
        <v>534023</v>
      </c>
      <c r="BB30" s="39">
        <f t="shared" si="5"/>
        <v>534023</v>
      </c>
      <c r="BC30" s="39">
        <f t="shared" si="5"/>
        <v>534023</v>
      </c>
      <c r="BD30" s="39">
        <f t="shared" si="5"/>
        <v>534023</v>
      </c>
      <c r="BE30" s="39">
        <f t="shared" si="5"/>
        <v>534023</v>
      </c>
      <c r="BF30" s="39">
        <f t="shared" si="5"/>
        <v>534023</v>
      </c>
      <c r="BG30" s="39">
        <f t="shared" si="5"/>
        <v>534023</v>
      </c>
      <c r="BH30" s="39">
        <f t="shared" si="5"/>
        <v>534023</v>
      </c>
      <c r="BI30" s="39">
        <f t="shared" si="5"/>
        <v>534023</v>
      </c>
      <c r="BJ30" s="39">
        <f t="shared" si="5"/>
        <v>534023</v>
      </c>
      <c r="BK30" s="39">
        <f t="shared" si="5"/>
        <v>534023</v>
      </c>
      <c r="BL30" s="39">
        <f t="shared" si="5"/>
        <v>534023</v>
      </c>
      <c r="BM30" s="39">
        <f t="shared" si="5"/>
        <v>534023</v>
      </c>
      <c r="BN30" s="39">
        <f t="shared" si="5"/>
        <v>534023</v>
      </c>
      <c r="BO30" s="39">
        <f t="shared" si="5"/>
        <v>534023</v>
      </c>
      <c r="BP30" s="39">
        <f t="shared" si="5"/>
        <v>534023</v>
      </c>
    </row>
    <row r="32" spans="13:68" s="24" customFormat="1">
      <c r="M32" s="25" t="s">
        <v>700</v>
      </c>
      <c r="N32" s="43"/>
      <c r="O32" s="43"/>
      <c r="P32" s="43"/>
      <c r="Q32" s="43"/>
      <c r="R32" s="43"/>
      <c r="S32" s="39">
        <f>S23+S30</f>
        <v>124725907</v>
      </c>
      <c r="T32" s="39">
        <f t="shared" ref="T32:BP32" si="6">T23+T30</f>
        <v>123422322</v>
      </c>
      <c r="U32" s="39">
        <f t="shared" si="6"/>
        <v>121539308</v>
      </c>
      <c r="V32" s="39">
        <f t="shared" si="6"/>
        <v>119903995</v>
      </c>
      <c r="W32" s="39">
        <f t="shared" si="6"/>
        <v>118312197</v>
      </c>
      <c r="X32" s="39">
        <f t="shared" si="6"/>
        <v>116954535</v>
      </c>
      <c r="Y32" s="39">
        <f t="shared" si="6"/>
        <v>114134914</v>
      </c>
      <c r="Z32" s="39">
        <f t="shared" si="6"/>
        <v>112742852</v>
      </c>
      <c r="AA32" s="39">
        <f t="shared" si="6"/>
        <v>111380269</v>
      </c>
      <c r="AB32" s="39">
        <f t="shared" si="6"/>
        <v>110231967</v>
      </c>
      <c r="AC32" s="39">
        <f t="shared" si="6"/>
        <v>108723501</v>
      </c>
      <c r="AD32" s="39">
        <f t="shared" si="6"/>
        <v>105642156</v>
      </c>
      <c r="AE32" s="39">
        <f t="shared" si="6"/>
        <v>104505754</v>
      </c>
      <c r="AF32" s="39">
        <f t="shared" si="6"/>
        <v>103554613</v>
      </c>
      <c r="AG32" s="39">
        <f t="shared" si="6"/>
        <v>102278049</v>
      </c>
      <c r="AH32" s="39">
        <f t="shared" si="6"/>
        <v>101199055</v>
      </c>
      <c r="AI32" s="39">
        <f t="shared" si="6"/>
        <v>97833752</v>
      </c>
      <c r="AJ32" s="39">
        <f t="shared" si="6"/>
        <v>97064505</v>
      </c>
      <c r="AK32" s="39">
        <f t="shared" si="6"/>
        <v>96005902</v>
      </c>
      <c r="AL32" s="39">
        <f t="shared" si="6"/>
        <v>95110231</v>
      </c>
      <c r="AM32" s="39">
        <f t="shared" si="6"/>
        <v>94230037</v>
      </c>
      <c r="AN32" s="39">
        <f t="shared" si="6"/>
        <v>90905115</v>
      </c>
      <c r="AO32" s="39">
        <f t="shared" si="6"/>
        <v>90018012</v>
      </c>
      <c r="AP32" s="39">
        <f t="shared" si="6"/>
        <v>89282238</v>
      </c>
      <c r="AQ32" s="39">
        <f t="shared" si="6"/>
        <v>88545418</v>
      </c>
      <c r="AR32" s="39">
        <f t="shared" si="6"/>
        <v>87951499</v>
      </c>
      <c r="AS32" s="39">
        <f t="shared" si="6"/>
        <v>84343954</v>
      </c>
      <c r="AT32" s="39">
        <f t="shared" si="6"/>
        <v>83763466</v>
      </c>
      <c r="AU32" s="39">
        <f t="shared" si="6"/>
        <v>83197135</v>
      </c>
      <c r="AV32" s="39">
        <f t="shared" si="6"/>
        <v>82746800</v>
      </c>
      <c r="AW32" s="39">
        <f t="shared" si="6"/>
        <v>82077938</v>
      </c>
      <c r="AX32" s="39">
        <f t="shared" si="6"/>
        <v>81524565</v>
      </c>
      <c r="AY32" s="39">
        <f t="shared" si="6"/>
        <v>80972391</v>
      </c>
      <c r="AZ32" s="39">
        <f t="shared" si="6"/>
        <v>80544242</v>
      </c>
      <c r="BA32" s="39">
        <f t="shared" si="6"/>
        <v>79896840</v>
      </c>
      <c r="BB32" s="39">
        <f t="shared" si="6"/>
        <v>79374147</v>
      </c>
      <c r="BC32" s="39">
        <f t="shared" si="6"/>
        <v>78850529</v>
      </c>
      <c r="BD32" s="39">
        <f t="shared" si="6"/>
        <v>78431213</v>
      </c>
      <c r="BE32" s="39">
        <f t="shared" si="6"/>
        <v>77817450</v>
      </c>
      <c r="BF32" s="39">
        <f t="shared" si="6"/>
        <v>77307989</v>
      </c>
      <c r="BG32" s="39">
        <f t="shared" si="6"/>
        <v>76811090</v>
      </c>
      <c r="BH32" s="39">
        <f t="shared" si="6"/>
        <v>76415369</v>
      </c>
      <c r="BI32" s="39">
        <f t="shared" si="6"/>
        <v>75819405</v>
      </c>
      <c r="BJ32" s="39">
        <f t="shared" si="6"/>
        <v>75338379</v>
      </c>
      <c r="BK32" s="39">
        <f t="shared" si="6"/>
        <v>74857353</v>
      </c>
      <c r="BL32" s="39">
        <f t="shared" si="6"/>
        <v>74457991</v>
      </c>
      <c r="BM32" s="39">
        <f t="shared" si="6"/>
        <v>73897302</v>
      </c>
      <c r="BN32" s="39">
        <f t="shared" si="6"/>
        <v>73430554</v>
      </c>
      <c r="BO32" s="39">
        <f t="shared" si="6"/>
        <v>72964467</v>
      </c>
      <c r="BP32" s="39">
        <f t="shared" si="6"/>
        <v>72602142</v>
      </c>
    </row>
  </sheetData>
  <customSheetViews>
    <customSheetView guid="{B05628F6-030D-4851-8E75-96DF5849F39A}" showGridLines="0" fitToPage="1" hiddenColumns="1">
      <selection activeCell="S7" sqref="S7"/>
      <pageMargins left="0.70866141732283472" right="0.70866141732283472" top="0.74803149606299213" bottom="0.74803149606299213" header="0.31496062992125984" footer="0.31496062992125984"/>
      <pageSetup paperSize="9" fitToWidth="0" orientation="landscape" horizontalDpi="0" verticalDpi="0" r:id="rId1"/>
      <headerFooter>
        <oddHeader>&amp;A</oddHeader>
        <oddFooter>&amp;P / &amp;N ページ</oddFooter>
      </headerFooter>
    </customSheetView>
    <customSheetView guid="{1F923BC6-4AD1-4F20-A481-D76BE7901A2A}" showPageBreaks="1" showGridLines="0" fitToPage="1" hiddenColumns="1">
      <selection activeCell="X7" sqref="X7"/>
      <pageMargins left="0.70866141732283472" right="0.70866141732283472" top="0.74803149606299213" bottom="0.74803149606299213" header="0.31496062992125984" footer="0.31496062992125984"/>
      <pageSetup paperSize="9" fitToWidth="0" orientation="landscape" verticalDpi="0" r:id="rId2"/>
      <headerFooter>
        <oddHeader>&amp;A</oddHeader>
        <oddFooter>&amp;P / &amp;N ページ</oddFooter>
      </headerFooter>
    </customSheetView>
  </customSheetViews>
  <phoneticPr fontId="4"/>
  <pageMargins left="0.70866141732283472" right="0.70866141732283472" top="0.74803149606299213" bottom="0.74803149606299213" header="0.31496062992125984" footer="0.31496062992125984"/>
  <pageSetup paperSize="9" fitToWidth="0" orientation="landscape" verticalDpi="0" r:id="rId3"/>
  <headerFooter>
    <oddHeader>&amp;A</oddHeader>
    <oddFooter>&amp;P / &amp;N ページ</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3BD88-A8CD-4804-A020-B32A0CDEA78F}">
  <sheetPr>
    <tabColor theme="4" tint="0.79998168889431442"/>
  </sheetPr>
  <dimension ref="A2:BP36"/>
  <sheetViews>
    <sheetView showGridLines="0" workbookViewId="0">
      <selection activeCell="T121" sqref="T121:T125"/>
    </sheetView>
  </sheetViews>
  <sheetFormatPr defaultRowHeight="14.4" outlineLevelCol="1"/>
  <cols>
    <col min="1" max="1" width="2.90625" customWidth="1"/>
    <col min="2" max="12" width="0" hidden="1" customWidth="1" outlineLevel="1"/>
    <col min="13" max="13" width="14" customWidth="1" collapsed="1"/>
    <col min="19" max="19" width="9.36328125" bestFit="1" customWidth="1"/>
  </cols>
  <sheetData>
    <row r="2" spans="1:68">
      <c r="A2" t="s">
        <v>160</v>
      </c>
    </row>
    <row r="3" spans="1:68">
      <c r="M3" t="s">
        <v>156</v>
      </c>
    </row>
    <row r="4" spans="1:68">
      <c r="N4" s="21" t="s">
        <v>11</v>
      </c>
      <c r="O4" s="14"/>
      <c r="P4" s="14"/>
      <c r="Q4" s="14"/>
      <c r="R4" s="15"/>
      <c r="S4" s="23" t="s">
        <v>17</v>
      </c>
      <c r="T4" s="14"/>
      <c r="U4" s="14"/>
      <c r="V4" s="15"/>
      <c r="W4" s="22" t="s">
        <v>68</v>
      </c>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row>
    <row r="5" spans="1:68">
      <c r="N5" s="11" t="s">
        <v>12</v>
      </c>
      <c r="O5" s="11" t="s">
        <v>13</v>
      </c>
      <c r="P5" s="11" t="s">
        <v>14</v>
      </c>
      <c r="Q5" s="11" t="s">
        <v>15</v>
      </c>
      <c r="R5" s="11" t="s">
        <v>16</v>
      </c>
      <c r="S5" s="11" t="s">
        <v>18</v>
      </c>
      <c r="T5" s="11" t="s">
        <v>19</v>
      </c>
      <c r="U5" s="11" t="s">
        <v>20</v>
      </c>
      <c r="V5" s="11" t="s">
        <v>21</v>
      </c>
      <c r="W5" s="11" t="s">
        <v>22</v>
      </c>
      <c r="X5" s="11" t="s">
        <v>23</v>
      </c>
      <c r="Y5" s="11" t="s">
        <v>24</v>
      </c>
      <c r="Z5" s="11" t="s">
        <v>25</v>
      </c>
      <c r="AA5" s="11" t="s">
        <v>26</v>
      </c>
      <c r="AB5" s="11" t="s">
        <v>27</v>
      </c>
      <c r="AC5" s="11" t="s">
        <v>28</v>
      </c>
      <c r="AD5" s="11" t="s">
        <v>29</v>
      </c>
      <c r="AE5" s="11" t="s">
        <v>30</v>
      </c>
      <c r="AF5" s="11" t="s">
        <v>31</v>
      </c>
      <c r="AG5" s="11" t="s">
        <v>32</v>
      </c>
      <c r="AH5" s="11" t="s">
        <v>33</v>
      </c>
      <c r="AI5" s="11" t="s">
        <v>34</v>
      </c>
      <c r="AJ5" s="11" t="s">
        <v>35</v>
      </c>
      <c r="AK5" s="11" t="s">
        <v>36</v>
      </c>
      <c r="AL5" s="11" t="s">
        <v>37</v>
      </c>
      <c r="AM5" s="11" t="s">
        <v>38</v>
      </c>
      <c r="AN5" s="11" t="s">
        <v>39</v>
      </c>
      <c r="AO5" s="11" t="s">
        <v>40</v>
      </c>
      <c r="AP5" s="11" t="s">
        <v>41</v>
      </c>
      <c r="AQ5" s="11" t="s">
        <v>42</v>
      </c>
      <c r="AR5" s="11" t="s">
        <v>43</v>
      </c>
      <c r="AS5" s="11" t="s">
        <v>44</v>
      </c>
      <c r="AT5" s="11" t="s">
        <v>45</v>
      </c>
      <c r="AU5" s="11" t="s">
        <v>46</v>
      </c>
      <c r="AV5" s="11" t="s">
        <v>47</v>
      </c>
      <c r="AW5" s="11" t="s">
        <v>48</v>
      </c>
      <c r="AX5" s="11" t="s">
        <v>49</v>
      </c>
      <c r="AY5" s="11" t="s">
        <v>50</v>
      </c>
      <c r="AZ5" s="11" t="s">
        <v>51</v>
      </c>
      <c r="BA5" s="11" t="s">
        <v>52</v>
      </c>
      <c r="BB5" s="11" t="s">
        <v>53</v>
      </c>
      <c r="BC5" s="11" t="s">
        <v>54</v>
      </c>
      <c r="BD5" s="11" t="s">
        <v>55</v>
      </c>
      <c r="BE5" s="11" t="s">
        <v>56</v>
      </c>
      <c r="BF5" s="11" t="s">
        <v>57</v>
      </c>
      <c r="BG5" s="11" t="s">
        <v>58</v>
      </c>
      <c r="BH5" s="11" t="s">
        <v>59</v>
      </c>
      <c r="BI5" s="11" t="s">
        <v>60</v>
      </c>
      <c r="BJ5" s="11" t="s">
        <v>61</v>
      </c>
      <c r="BK5" s="11" t="s">
        <v>62</v>
      </c>
      <c r="BL5" s="11" t="s">
        <v>63</v>
      </c>
      <c r="BM5" s="11" t="s">
        <v>64</v>
      </c>
      <c r="BN5" s="11" t="s">
        <v>65</v>
      </c>
      <c r="BO5" s="11" t="s">
        <v>66</v>
      </c>
      <c r="BP5" s="11" t="s">
        <v>67</v>
      </c>
    </row>
    <row r="6" spans="1:68" s="24" customFormat="1">
      <c r="M6" s="25" t="s">
        <v>198</v>
      </c>
      <c r="N6" s="43"/>
      <c r="O6" s="43"/>
      <c r="P6" s="43"/>
      <c r="Q6" s="43"/>
      <c r="R6" s="43"/>
      <c r="S6" s="25">
        <f>【収益】水需要予測!Y21</f>
        <v>924716</v>
      </c>
      <c r="T6" s="25">
        <f>【収益】水需要予測!Z21</f>
        <v>922751</v>
      </c>
      <c r="U6" s="25">
        <f>【収益】水需要予測!AA21</f>
        <v>901322</v>
      </c>
      <c r="V6" s="25">
        <f>【収益】水需要予測!AB21</f>
        <v>882735</v>
      </c>
      <c r="W6" s="25">
        <f>【収益】水需要予測!AC21</f>
        <v>864628</v>
      </c>
      <c r="X6" s="25">
        <f>【収益】水需要予測!AD21</f>
        <v>849162</v>
      </c>
      <c r="Y6" s="25">
        <f>【収益】水需要予測!AE21</f>
        <v>817519</v>
      </c>
      <c r="Z6" s="25">
        <f>【収益】水需要予測!AF21</f>
        <v>801976</v>
      </c>
      <c r="AA6" s="25">
        <f>【収益】水需要予測!AG21</f>
        <v>786754</v>
      </c>
      <c r="AB6" s="25">
        <f>【収益】水需要予測!AH21</f>
        <v>773967</v>
      </c>
      <c r="AC6" s="25">
        <f>【収益】水需要予測!AI21</f>
        <v>757110</v>
      </c>
      <c r="AD6" s="25">
        <f>【収益】水需要予測!AJ21</f>
        <v>722660</v>
      </c>
      <c r="AE6" s="25">
        <f>【収益】水需要予測!AK21</f>
        <v>710162</v>
      </c>
      <c r="AF6" s="25">
        <f>【収益】水需要予測!AL21</f>
        <v>699735</v>
      </c>
      <c r="AG6" s="25">
        <f>【収益】水需要予測!AM21</f>
        <v>685646</v>
      </c>
      <c r="AH6" s="25">
        <f>【収益】水需要予測!AN21</f>
        <v>673788</v>
      </c>
      <c r="AI6" s="25">
        <f>【収益】水需要予測!AO21</f>
        <v>636453</v>
      </c>
      <c r="AJ6" s="25">
        <f>【収益】水需要予測!AP21</f>
        <v>628396</v>
      </c>
      <c r="AK6" s="25">
        <f>【収益】水需要予測!AQ21</f>
        <v>617065</v>
      </c>
      <c r="AL6" s="25">
        <f>【収益】水需要予測!AR21</f>
        <v>607611</v>
      </c>
      <c r="AM6" s="25">
        <f>【収益】水需要予測!AS21</f>
        <v>598317</v>
      </c>
      <c r="AN6" s="25">
        <f>【収益】水需要予測!AT21</f>
        <v>561556</v>
      </c>
      <c r="AO6" s="25">
        <f>【収益】水需要予測!AU21</f>
        <v>552170</v>
      </c>
      <c r="AP6" s="25">
        <f>【収益】水需要予測!AV21</f>
        <v>544479</v>
      </c>
      <c r="AQ6" s="25">
        <f>【収益】水需要予測!AW21</f>
        <v>536787</v>
      </c>
      <c r="AR6" s="25">
        <f>【収益】水需要予測!AX21</f>
        <v>530706</v>
      </c>
      <c r="AS6" s="25">
        <f>【収益】水需要予測!AY21</f>
        <v>490640</v>
      </c>
      <c r="AT6" s="25">
        <f>【収益】水需要予測!AZ21</f>
        <v>484711</v>
      </c>
      <c r="AU6" s="25">
        <f>【収益】水需要予測!BA21</f>
        <v>478942</v>
      </c>
      <c r="AV6" s="25">
        <f>【収益】水需要予測!BB21</f>
        <v>474470</v>
      </c>
      <c r="AW6" s="25">
        <f>【収益】水需要予測!BC21</f>
        <v>467566</v>
      </c>
      <c r="AX6" s="25">
        <f>【収益】水需要予測!BD21</f>
        <v>461958</v>
      </c>
      <c r="AY6" s="25">
        <f>【収益】水需要予測!BE21</f>
        <v>456349</v>
      </c>
      <c r="AZ6" s="25">
        <f>【収益】水需要予測!BF21</f>
        <v>452137</v>
      </c>
      <c r="BA6" s="25">
        <f>【収益】水需要予測!BG21</f>
        <v>445453</v>
      </c>
      <c r="BB6" s="25">
        <f>【収益】水需要予測!BH21</f>
        <v>440166</v>
      </c>
      <c r="BC6" s="25">
        <f>【収益】水需要予測!BI21</f>
        <v>434878</v>
      </c>
      <c r="BD6" s="25">
        <f>【収益】水需要予測!BJ21</f>
        <v>430767</v>
      </c>
      <c r="BE6" s="25">
        <f>【収益】水需要予測!BK21</f>
        <v>424463</v>
      </c>
      <c r="BF6" s="25">
        <f>【収益】水需要予測!BL21</f>
        <v>419335</v>
      </c>
      <c r="BG6" s="25">
        <f>【収益】水需要予測!BM21</f>
        <v>414368</v>
      </c>
      <c r="BH6" s="25">
        <f>【収益】水需要予測!BN21</f>
        <v>410522</v>
      </c>
      <c r="BI6" s="25">
        <f>【収益】水需要予測!BO21</f>
        <v>404433</v>
      </c>
      <c r="BJ6" s="25">
        <f>【収益】水需要予測!BP21</f>
        <v>399626</v>
      </c>
      <c r="BK6" s="25">
        <f>【収益】水需要予測!BQ21</f>
        <v>394819</v>
      </c>
      <c r="BL6" s="25">
        <f>【収益】水需要予測!BR21</f>
        <v>391081</v>
      </c>
      <c r="BM6" s="25">
        <f>【収益】水需要予測!BS21</f>
        <v>385365</v>
      </c>
      <c r="BN6" s="25">
        <f>【収益】水需要予測!BT21</f>
        <v>380718</v>
      </c>
      <c r="BO6" s="25">
        <f>【収益】水需要予測!BU21</f>
        <v>376072</v>
      </c>
      <c r="BP6" s="25">
        <f>【収益】水需要予測!BV21</f>
        <v>372603</v>
      </c>
    </row>
    <row r="7" spans="1:68" s="24" customFormat="1">
      <c r="M7" s="25" t="s">
        <v>546</v>
      </c>
      <c r="N7" s="43"/>
      <c r="O7" s="43"/>
      <c r="P7" s="43"/>
      <c r="Q7" s="43"/>
      <c r="R7" s="43"/>
      <c r="S7" s="25">
        <f>【収益】水需要予測!Y22</f>
        <v>247054</v>
      </c>
      <c r="T7" s="25">
        <f>【収益】水需要予測!Z22</f>
        <v>246529</v>
      </c>
      <c r="U7" s="25">
        <f>【収益】水需要予測!AA22</f>
        <v>240804</v>
      </c>
      <c r="V7" s="25">
        <f>【収益】水需要予測!AB22</f>
        <v>235838</v>
      </c>
      <c r="W7" s="25">
        <f>【収益】水需要予測!AC22</f>
        <v>231000</v>
      </c>
      <c r="X7" s="25">
        <f>【収益】水需要予測!AD22</f>
        <v>226868</v>
      </c>
      <c r="Y7" s="25">
        <f>【収益】水需要予測!AE22</f>
        <v>218414</v>
      </c>
      <c r="Z7" s="25">
        <f>【収益】水需要予測!AF22</f>
        <v>214262</v>
      </c>
      <c r="AA7" s="25">
        <f>【収益】水需要予測!AG22</f>
        <v>210195</v>
      </c>
      <c r="AB7" s="25">
        <f>【収益】水需要予測!AH22</f>
        <v>206779</v>
      </c>
      <c r="AC7" s="25">
        <f>【収益】水需要予測!AI22</f>
        <v>202275</v>
      </c>
      <c r="AD7" s="25">
        <f>【収益】水需要予測!AJ22</f>
        <v>193071</v>
      </c>
      <c r="AE7" s="25">
        <f>【収益】水需要予測!AK22</f>
        <v>189732</v>
      </c>
      <c r="AF7" s="25">
        <f>【収益】水需要予測!AL22</f>
        <v>186946</v>
      </c>
      <c r="AG7" s="25">
        <f>【収益】水需要予測!AM22</f>
        <v>183182</v>
      </c>
      <c r="AH7" s="25">
        <f>【収益】水需要予測!AN22</f>
        <v>180014</v>
      </c>
      <c r="AI7" s="25">
        <f>【収益】水需要予測!AO22</f>
        <v>170039</v>
      </c>
      <c r="AJ7" s="25">
        <f>【収益】水需要予測!AP22</f>
        <v>167887</v>
      </c>
      <c r="AK7" s="25">
        <f>【収益】水需要予測!AQ22</f>
        <v>164860</v>
      </c>
      <c r="AL7" s="25">
        <f>【収益】水需要予測!AR22</f>
        <v>162334</v>
      </c>
      <c r="AM7" s="25">
        <f>【収益】水需要予測!AS22</f>
        <v>159851</v>
      </c>
      <c r="AN7" s="25">
        <f>【収益】水需要予測!AT22</f>
        <v>150029</v>
      </c>
      <c r="AO7" s="25">
        <f>【収益】水需要予測!AU22</f>
        <v>147522</v>
      </c>
      <c r="AP7" s="25">
        <f>【収益】水需要予測!AV22</f>
        <v>145467</v>
      </c>
      <c r="AQ7" s="25">
        <f>【収益】水需要予測!AW22</f>
        <v>143412</v>
      </c>
      <c r="AR7" s="25">
        <f>【収益】水需要予測!AX22</f>
        <v>141787</v>
      </c>
      <c r="AS7" s="25">
        <f>【収益】水需要予測!AY22</f>
        <v>131083</v>
      </c>
      <c r="AT7" s="25">
        <f>【収益】水需要予測!AZ22</f>
        <v>129499</v>
      </c>
      <c r="AU7" s="25">
        <f>【収益】水需要予測!BA22</f>
        <v>127958</v>
      </c>
      <c r="AV7" s="25">
        <f>【収益】水需要予測!BB22</f>
        <v>126763</v>
      </c>
      <c r="AW7" s="25">
        <f>【収益】水需要予測!BC22</f>
        <v>124918</v>
      </c>
      <c r="AX7" s="25">
        <f>【収益】水需要予測!BD22</f>
        <v>123420</v>
      </c>
      <c r="AY7" s="25">
        <f>【収益】水需要予測!BE22</f>
        <v>121922</v>
      </c>
      <c r="AZ7" s="25">
        <f>【収益】水需要予測!BF22</f>
        <v>120796</v>
      </c>
      <c r="BA7" s="25">
        <f>【収益】水需要予測!BG22</f>
        <v>119010</v>
      </c>
      <c r="BB7" s="25">
        <f>【収益】水需要予測!BH22</f>
        <v>117598</v>
      </c>
      <c r="BC7" s="25">
        <f>【収益】水需要予測!BI22</f>
        <v>116185</v>
      </c>
      <c r="BD7" s="25">
        <f>【収益】水需要予測!BJ22</f>
        <v>115087</v>
      </c>
      <c r="BE7" s="25">
        <f>【収益】水需要予測!BK22</f>
        <v>113403</v>
      </c>
      <c r="BF7" s="25">
        <f>【収益】水需要予測!BL22</f>
        <v>112033</v>
      </c>
      <c r="BG7" s="25">
        <f>【収益】水需要予測!BM22</f>
        <v>110706</v>
      </c>
      <c r="BH7" s="25">
        <f>【収益】水需要予測!BN22</f>
        <v>109678</v>
      </c>
      <c r="BI7" s="25">
        <f>【収益】水需要予測!BO22</f>
        <v>108051</v>
      </c>
      <c r="BJ7" s="25">
        <f>【収益】水需要予測!BP22</f>
        <v>106767</v>
      </c>
      <c r="BK7" s="25">
        <f>【収益】水需要予測!BQ22</f>
        <v>105483</v>
      </c>
      <c r="BL7" s="25">
        <f>【収益】水需要予測!BR22</f>
        <v>104484</v>
      </c>
      <c r="BM7" s="25">
        <f>【収益】水需要予測!BS22</f>
        <v>102957</v>
      </c>
      <c r="BN7" s="25">
        <f>【収益】水需要予測!BT22</f>
        <v>101715</v>
      </c>
      <c r="BO7" s="25">
        <f>【収益】水需要予測!BU22</f>
        <v>100474</v>
      </c>
      <c r="BP7" s="25">
        <f>【収益】水需要予測!BV22</f>
        <v>99547</v>
      </c>
    </row>
    <row r="8" spans="1:68" s="24" customFormat="1">
      <c r="M8" s="25" t="s">
        <v>547</v>
      </c>
      <c r="N8" s="43"/>
      <c r="O8" s="43"/>
      <c r="P8" s="43"/>
      <c r="Q8" s="43"/>
      <c r="R8" s="43"/>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row>
    <row r="9" spans="1:68" s="24" customFormat="1">
      <c r="M9" s="25" t="s">
        <v>548</v>
      </c>
      <c r="N9" s="43"/>
      <c r="O9" s="43"/>
      <c r="P9" s="43"/>
      <c r="Q9" s="43"/>
      <c r="R9" s="43"/>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row>
    <row r="10" spans="1:68" s="24" customFormat="1">
      <c r="M10" s="25" t="s">
        <v>550</v>
      </c>
      <c r="N10" s="43"/>
      <c r="O10" s="43"/>
      <c r="P10" s="43"/>
      <c r="Q10" s="43"/>
      <c r="R10" s="43"/>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row>
    <row r="11" spans="1:68" s="24" customFormat="1">
      <c r="M11" s="25" t="s">
        <v>549</v>
      </c>
      <c r="N11" s="43"/>
      <c r="O11" s="43"/>
      <c r="P11" s="43"/>
      <c r="Q11" s="43"/>
      <c r="R11" s="43"/>
      <c r="S11" s="25" t="e">
        <f>【収益】水需要予測!#REF!</f>
        <v>#REF!</v>
      </c>
      <c r="T11" s="25" t="e">
        <f>【収益】水需要予測!#REF!</f>
        <v>#REF!</v>
      </c>
      <c r="U11" s="25" t="e">
        <f>【収益】水需要予測!#REF!</f>
        <v>#REF!</v>
      </c>
      <c r="V11" s="25" t="e">
        <f>【収益】水需要予測!#REF!</f>
        <v>#REF!</v>
      </c>
      <c r="W11" s="25" t="e">
        <f>【収益】水需要予測!#REF!</f>
        <v>#REF!</v>
      </c>
      <c r="X11" s="25" t="e">
        <f>【収益】水需要予測!#REF!</f>
        <v>#REF!</v>
      </c>
      <c r="Y11" s="25" t="e">
        <f>【収益】水需要予測!#REF!</f>
        <v>#REF!</v>
      </c>
      <c r="Z11" s="25" t="e">
        <f>【収益】水需要予測!#REF!</f>
        <v>#REF!</v>
      </c>
      <c r="AA11" s="25" t="e">
        <f>【収益】水需要予測!#REF!</f>
        <v>#REF!</v>
      </c>
      <c r="AB11" s="25" t="e">
        <f>【収益】水需要予測!#REF!</f>
        <v>#REF!</v>
      </c>
      <c r="AC11" s="25" t="e">
        <f>【収益】水需要予測!#REF!</f>
        <v>#REF!</v>
      </c>
      <c r="AD11" s="25" t="e">
        <f>【収益】水需要予測!#REF!</f>
        <v>#REF!</v>
      </c>
      <c r="AE11" s="25" t="e">
        <f>【収益】水需要予測!#REF!</f>
        <v>#REF!</v>
      </c>
      <c r="AF11" s="25" t="e">
        <f>【収益】水需要予測!#REF!</f>
        <v>#REF!</v>
      </c>
      <c r="AG11" s="25" t="e">
        <f>【収益】水需要予測!#REF!</f>
        <v>#REF!</v>
      </c>
      <c r="AH11" s="25" t="e">
        <f>【収益】水需要予測!#REF!</f>
        <v>#REF!</v>
      </c>
      <c r="AI11" s="25" t="e">
        <f>【収益】水需要予測!#REF!</f>
        <v>#REF!</v>
      </c>
      <c r="AJ11" s="25" t="e">
        <f>【収益】水需要予測!#REF!</f>
        <v>#REF!</v>
      </c>
      <c r="AK11" s="25" t="e">
        <f>【収益】水需要予測!#REF!</f>
        <v>#REF!</v>
      </c>
      <c r="AL11" s="25" t="e">
        <f>【収益】水需要予測!#REF!</f>
        <v>#REF!</v>
      </c>
      <c r="AM11" s="25" t="e">
        <f>【収益】水需要予測!#REF!</f>
        <v>#REF!</v>
      </c>
      <c r="AN11" s="25" t="e">
        <f>【収益】水需要予測!#REF!</f>
        <v>#REF!</v>
      </c>
      <c r="AO11" s="25" t="e">
        <f>【収益】水需要予測!#REF!</f>
        <v>#REF!</v>
      </c>
      <c r="AP11" s="25" t="e">
        <f>【収益】水需要予測!#REF!</f>
        <v>#REF!</v>
      </c>
      <c r="AQ11" s="25" t="e">
        <f>【収益】水需要予測!#REF!</f>
        <v>#REF!</v>
      </c>
      <c r="AR11" s="25" t="e">
        <f>【収益】水需要予測!#REF!</f>
        <v>#REF!</v>
      </c>
      <c r="AS11" s="25" t="e">
        <f>【収益】水需要予測!#REF!</f>
        <v>#REF!</v>
      </c>
      <c r="AT11" s="25" t="e">
        <f>【収益】水需要予測!#REF!</f>
        <v>#REF!</v>
      </c>
      <c r="AU11" s="25" t="e">
        <f>【収益】水需要予測!#REF!</f>
        <v>#REF!</v>
      </c>
      <c r="AV11" s="25" t="e">
        <f>【収益】水需要予測!#REF!</f>
        <v>#REF!</v>
      </c>
      <c r="AW11" s="25" t="e">
        <f>【収益】水需要予測!#REF!</f>
        <v>#REF!</v>
      </c>
      <c r="AX11" s="25" t="e">
        <f>【収益】水需要予測!#REF!</f>
        <v>#REF!</v>
      </c>
      <c r="AY11" s="25" t="e">
        <f>【収益】水需要予測!#REF!</f>
        <v>#REF!</v>
      </c>
      <c r="AZ11" s="25" t="e">
        <f>【収益】水需要予測!#REF!</f>
        <v>#REF!</v>
      </c>
      <c r="BA11" s="25" t="e">
        <f>【収益】水需要予測!#REF!</f>
        <v>#REF!</v>
      </c>
      <c r="BB11" s="25" t="e">
        <f>【収益】水需要予測!#REF!</f>
        <v>#REF!</v>
      </c>
      <c r="BC11" s="25" t="e">
        <f>【収益】水需要予測!#REF!</f>
        <v>#REF!</v>
      </c>
      <c r="BD11" s="25" t="e">
        <f>【収益】水需要予測!#REF!</f>
        <v>#REF!</v>
      </c>
      <c r="BE11" s="25" t="e">
        <f>【収益】水需要予測!#REF!</f>
        <v>#REF!</v>
      </c>
      <c r="BF11" s="25" t="e">
        <f>【収益】水需要予測!#REF!</f>
        <v>#REF!</v>
      </c>
      <c r="BG11" s="25" t="e">
        <f>【収益】水需要予測!#REF!</f>
        <v>#REF!</v>
      </c>
      <c r="BH11" s="25" t="e">
        <f>【収益】水需要予測!#REF!</f>
        <v>#REF!</v>
      </c>
      <c r="BI11" s="25" t="e">
        <f>【収益】水需要予測!#REF!</f>
        <v>#REF!</v>
      </c>
      <c r="BJ11" s="25" t="e">
        <f>【収益】水需要予測!#REF!</f>
        <v>#REF!</v>
      </c>
      <c r="BK11" s="25" t="e">
        <f>【収益】水需要予測!#REF!</f>
        <v>#REF!</v>
      </c>
      <c r="BL11" s="25" t="e">
        <f>【収益】水需要予測!#REF!</f>
        <v>#REF!</v>
      </c>
      <c r="BM11" s="25" t="e">
        <f>【収益】水需要予測!#REF!</f>
        <v>#REF!</v>
      </c>
      <c r="BN11" s="25" t="e">
        <f>【収益】水需要予測!#REF!</f>
        <v>#REF!</v>
      </c>
      <c r="BO11" s="25" t="e">
        <f>【収益】水需要予測!#REF!</f>
        <v>#REF!</v>
      </c>
      <c r="BP11" s="25" t="e">
        <f>【収益】水需要予測!#REF!</f>
        <v>#REF!</v>
      </c>
    </row>
    <row r="12" spans="1:68" s="24" customFormat="1">
      <c r="M12" s="25" t="s">
        <v>161</v>
      </c>
      <c r="N12" s="43"/>
      <c r="O12" s="43"/>
      <c r="P12" s="43"/>
      <c r="Q12" s="43"/>
      <c r="R12" s="43"/>
      <c r="S12" s="25">
        <f>【収益】水需要予測!Y24</f>
        <v>3045</v>
      </c>
      <c r="T12" s="25">
        <f>【収益】水需要予測!Z24</f>
        <v>2962.7849999999999</v>
      </c>
      <c r="U12" s="25">
        <f>【収益】水需要予測!AA24</f>
        <v>2964</v>
      </c>
      <c r="V12" s="25">
        <f>【収益】水需要予測!AB24</f>
        <v>2965</v>
      </c>
      <c r="W12" s="25">
        <f>【収益】水需要予測!AC24</f>
        <v>2966</v>
      </c>
      <c r="X12" s="25">
        <f>【収益】水需要予測!AD24</f>
        <v>2967</v>
      </c>
      <c r="Y12" s="25">
        <f>【収益】水需要予測!AE24</f>
        <v>2966</v>
      </c>
      <c r="Z12" s="25">
        <f>【収益】水需要予測!AF24</f>
        <v>2965</v>
      </c>
      <c r="AA12" s="25">
        <f>【収益】水需要予測!AG24</f>
        <v>2964</v>
      </c>
      <c r="AB12" s="25">
        <f>【収益】水需要予測!AH24</f>
        <v>2963</v>
      </c>
      <c r="AC12" s="25">
        <f>【収益】水需要予測!AI24</f>
        <v>2962</v>
      </c>
      <c r="AD12" s="25">
        <f>【収益】水需要予測!AJ24</f>
        <v>2960</v>
      </c>
      <c r="AE12" s="25">
        <f>【収益】水需要予測!AK24</f>
        <v>2958</v>
      </c>
      <c r="AF12" s="25">
        <f>【収益】水需要予測!AL24</f>
        <v>2956</v>
      </c>
      <c r="AG12" s="25">
        <f>【収益】水需要予測!AM24</f>
        <v>2954</v>
      </c>
      <c r="AH12" s="25">
        <f>【収益】水需要予測!AN24</f>
        <v>2952</v>
      </c>
      <c r="AI12" s="25">
        <f>【収益】水需要予測!AO24</f>
        <v>2948</v>
      </c>
      <c r="AJ12" s="25">
        <f>【収益】水需要予測!AP24</f>
        <v>2944</v>
      </c>
      <c r="AK12" s="25">
        <f>【収益】水需要予測!AQ24</f>
        <v>2940</v>
      </c>
      <c r="AL12" s="25">
        <f>【収益】水需要予測!AR24</f>
        <v>2936</v>
      </c>
      <c r="AM12" s="25">
        <f>【収益】水需要予測!AS24</f>
        <v>2932</v>
      </c>
      <c r="AN12" s="25">
        <f>【収益】水需要予測!AT24</f>
        <v>2928</v>
      </c>
      <c r="AO12" s="25">
        <f>【収益】水需要予測!AU24</f>
        <v>2924</v>
      </c>
      <c r="AP12" s="25">
        <f>【収益】水需要予測!AV24</f>
        <v>2920</v>
      </c>
      <c r="AQ12" s="25">
        <f>【収益】水需要予測!AW24</f>
        <v>2916</v>
      </c>
      <c r="AR12" s="25">
        <f>【収益】水需要予測!AX24</f>
        <v>2912</v>
      </c>
      <c r="AS12" s="25">
        <f>【収益】水需要予測!AY24</f>
        <v>2908</v>
      </c>
      <c r="AT12" s="25">
        <f>【収益】水需要予測!AZ24</f>
        <v>2904</v>
      </c>
      <c r="AU12" s="25">
        <f>【収益】水需要予測!BA24</f>
        <v>2900</v>
      </c>
      <c r="AV12" s="25">
        <f>【収益】水需要予測!BB24</f>
        <v>2896</v>
      </c>
      <c r="AW12" s="25">
        <f>【収益】水需要予測!BC24</f>
        <v>2892</v>
      </c>
      <c r="AX12" s="25">
        <f>【収益】水需要予測!BD24</f>
        <v>2888</v>
      </c>
      <c r="AY12" s="25">
        <f>【収益】水需要予測!BE24</f>
        <v>2884</v>
      </c>
      <c r="AZ12" s="25">
        <f>【収益】水需要予測!BF24</f>
        <v>2880</v>
      </c>
      <c r="BA12" s="25">
        <f>【収益】水需要予測!BG24</f>
        <v>2876</v>
      </c>
      <c r="BB12" s="25">
        <f>【収益】水需要予測!BH24</f>
        <v>2872</v>
      </c>
      <c r="BC12" s="25">
        <f>【収益】水需要予測!BI24</f>
        <v>2868</v>
      </c>
      <c r="BD12" s="25">
        <f>【収益】水需要予測!BJ24</f>
        <v>2864</v>
      </c>
      <c r="BE12" s="25">
        <f>【収益】水需要予測!BK24</f>
        <v>2860</v>
      </c>
      <c r="BF12" s="25">
        <f>【収益】水需要予測!BL24</f>
        <v>2856</v>
      </c>
      <c r="BG12" s="25">
        <f>【収益】水需要予測!BM24</f>
        <v>2852</v>
      </c>
      <c r="BH12" s="25">
        <f>【収益】水需要予測!BN24</f>
        <v>2848</v>
      </c>
      <c r="BI12" s="25">
        <f>【収益】水需要予測!BO24</f>
        <v>2844</v>
      </c>
      <c r="BJ12" s="25">
        <f>【収益】水需要予測!BP24</f>
        <v>2840</v>
      </c>
      <c r="BK12" s="25">
        <f>【収益】水需要予測!BQ24</f>
        <v>2836</v>
      </c>
      <c r="BL12" s="25">
        <f>【収益】水需要予測!BR24</f>
        <v>2832</v>
      </c>
      <c r="BM12" s="25">
        <f>【収益】水需要予測!BS24</f>
        <v>2828</v>
      </c>
      <c r="BN12" s="25">
        <f>【収益】水需要予測!BT24</f>
        <v>2824</v>
      </c>
      <c r="BO12" s="25">
        <f>【収益】水需要予測!BU24</f>
        <v>2820</v>
      </c>
      <c r="BP12" s="25">
        <f>【収益】水需要予測!BV24</f>
        <v>2816</v>
      </c>
    </row>
    <row r="13" spans="1:68" s="24" customFormat="1">
      <c r="M13" s="25" t="s">
        <v>157</v>
      </c>
      <c r="N13" s="43"/>
      <c r="O13" s="43"/>
      <c r="P13" s="43"/>
      <c r="Q13" s="43"/>
      <c r="R13" s="43"/>
      <c r="S13" s="39" t="e">
        <f>S12*'【料金算定－要領】総括原価'!$M$37*12</f>
        <v>#REF!</v>
      </c>
      <c r="T13" s="39" t="e">
        <f>T12*'【料金算定－要領】総括原価'!$M$37*12</f>
        <v>#REF!</v>
      </c>
      <c r="U13" s="39" t="e">
        <f>U12*'【料金算定－要領】総括原価'!$M$37*12</f>
        <v>#REF!</v>
      </c>
      <c r="V13" s="39" t="e">
        <f>V12*'【料金算定－要領】総括原価'!$M$37*12</f>
        <v>#REF!</v>
      </c>
      <c r="W13" s="39" t="e">
        <f>W12*'【料金算定－要領】総括原価'!$M$37*12</f>
        <v>#REF!</v>
      </c>
      <c r="X13" s="39" t="e">
        <f>X12*'【料金算定－要領】総括原価'!$M$37*12</f>
        <v>#REF!</v>
      </c>
      <c r="Y13" s="39" t="e">
        <f>Y12*'【料金算定－要領】総括原価'!$M$37*12</f>
        <v>#REF!</v>
      </c>
      <c r="Z13" s="39" t="e">
        <f>Z12*'【料金算定－要領】総括原価'!$M$37*12</f>
        <v>#REF!</v>
      </c>
      <c r="AA13" s="39" t="e">
        <f>AA12*'【料金算定－要領】総括原価'!$M$37*12</f>
        <v>#REF!</v>
      </c>
      <c r="AB13" s="39" t="e">
        <f>AB12*'【料金算定－要領】総括原価'!$M$37*12</f>
        <v>#REF!</v>
      </c>
      <c r="AC13" s="39" t="e">
        <f>AC12*'【料金算定－要領】総括原価'!$M$37*12</f>
        <v>#REF!</v>
      </c>
      <c r="AD13" s="39" t="e">
        <f>AD12*'【料金算定－要領】総括原価'!$M$37*12</f>
        <v>#REF!</v>
      </c>
      <c r="AE13" s="39" t="e">
        <f>AE12*'【料金算定－要領】総括原価'!$M$37*12</f>
        <v>#REF!</v>
      </c>
      <c r="AF13" s="39" t="e">
        <f>AF12*'【料金算定－要領】総括原価'!$M$37*12</f>
        <v>#REF!</v>
      </c>
      <c r="AG13" s="39" t="e">
        <f>AG12*'【料金算定－要領】総括原価'!$M$37*12</f>
        <v>#REF!</v>
      </c>
      <c r="AH13" s="39" t="e">
        <f>AH12*'【料金算定－要領】総括原価'!$M$37*12</f>
        <v>#REF!</v>
      </c>
      <c r="AI13" s="39" t="e">
        <f>AI12*'【料金算定－要領】総括原価'!$M$37*12</f>
        <v>#REF!</v>
      </c>
      <c r="AJ13" s="39" t="e">
        <f>AJ12*'【料金算定－要領】総括原価'!$M$37*12</f>
        <v>#REF!</v>
      </c>
      <c r="AK13" s="39" t="e">
        <f>AK12*'【料金算定－要領】総括原価'!$M$37*12</f>
        <v>#REF!</v>
      </c>
      <c r="AL13" s="39" t="e">
        <f>AL12*'【料金算定－要領】総括原価'!$M$37*12</f>
        <v>#REF!</v>
      </c>
      <c r="AM13" s="39" t="e">
        <f>AM12*'【料金算定－要領】総括原価'!$M$37*12</f>
        <v>#REF!</v>
      </c>
      <c r="AN13" s="39" t="e">
        <f>AN12*'【料金算定－要領】総括原価'!$M$37*12</f>
        <v>#REF!</v>
      </c>
      <c r="AO13" s="39" t="e">
        <f>AO12*'【料金算定－要領】総括原価'!$M$37*12</f>
        <v>#REF!</v>
      </c>
      <c r="AP13" s="39" t="e">
        <f>AP12*'【料金算定－要領】総括原価'!$M$37*12</f>
        <v>#REF!</v>
      </c>
      <c r="AQ13" s="39" t="e">
        <f>AQ12*'【料金算定－要領】総括原価'!$M$37*12</f>
        <v>#REF!</v>
      </c>
      <c r="AR13" s="39" t="e">
        <f>AR12*'【料金算定－要領】総括原価'!$M$37*12</f>
        <v>#REF!</v>
      </c>
      <c r="AS13" s="39" t="e">
        <f>AS12*'【料金算定－要領】総括原価'!$M$37*12</f>
        <v>#REF!</v>
      </c>
      <c r="AT13" s="39" t="e">
        <f>AT12*'【料金算定－要領】総括原価'!$M$37*12</f>
        <v>#REF!</v>
      </c>
      <c r="AU13" s="39" t="e">
        <f>AU12*'【料金算定－要領】総括原価'!$M$37*12</f>
        <v>#REF!</v>
      </c>
      <c r="AV13" s="39" t="e">
        <f>AV12*'【料金算定－要領】総括原価'!$M$37*12</f>
        <v>#REF!</v>
      </c>
      <c r="AW13" s="39" t="e">
        <f>AW12*'【料金算定－要領】総括原価'!$M$37*12</f>
        <v>#REF!</v>
      </c>
      <c r="AX13" s="39" t="e">
        <f>AX12*'【料金算定－要領】総括原価'!$M$37*12</f>
        <v>#REF!</v>
      </c>
      <c r="AY13" s="39" t="e">
        <f>AY12*'【料金算定－要領】総括原価'!$M$37*12</f>
        <v>#REF!</v>
      </c>
      <c r="AZ13" s="39" t="e">
        <f>AZ12*'【料金算定－要領】総括原価'!$M$37*12</f>
        <v>#REF!</v>
      </c>
      <c r="BA13" s="39" t="e">
        <f>BA12*'【料金算定－要領】総括原価'!$M$37*12</f>
        <v>#REF!</v>
      </c>
      <c r="BB13" s="39" t="e">
        <f>BB12*'【料金算定－要領】総括原価'!$M$37*12</f>
        <v>#REF!</v>
      </c>
      <c r="BC13" s="39" t="e">
        <f>BC12*'【料金算定－要領】総括原価'!$M$37*12</f>
        <v>#REF!</v>
      </c>
      <c r="BD13" s="39" t="e">
        <f>BD12*'【料金算定－要領】総括原価'!$M$37*12</f>
        <v>#REF!</v>
      </c>
      <c r="BE13" s="39" t="e">
        <f>BE12*'【料金算定－要領】総括原価'!$M$37*12</f>
        <v>#REF!</v>
      </c>
      <c r="BF13" s="39" t="e">
        <f>BF12*'【料金算定－要領】総括原価'!$M$37*12</f>
        <v>#REF!</v>
      </c>
      <c r="BG13" s="39" t="e">
        <f>BG12*'【料金算定－要領】総括原価'!$M$37*12</f>
        <v>#REF!</v>
      </c>
      <c r="BH13" s="39" t="e">
        <f>BH12*'【料金算定－要領】総括原価'!$M$37*12</f>
        <v>#REF!</v>
      </c>
      <c r="BI13" s="39" t="e">
        <f>BI12*'【料金算定－要領】総括原価'!$M$37*12</f>
        <v>#REF!</v>
      </c>
      <c r="BJ13" s="39" t="e">
        <f>BJ12*'【料金算定－要領】総括原価'!$M$37*12</f>
        <v>#REF!</v>
      </c>
      <c r="BK13" s="39" t="e">
        <f>BK12*'【料金算定－要領】総括原価'!$M$37*12</f>
        <v>#REF!</v>
      </c>
      <c r="BL13" s="39" t="e">
        <f>BL12*'【料金算定－要領】総括原価'!$M$37*12</f>
        <v>#REF!</v>
      </c>
      <c r="BM13" s="39" t="e">
        <f>BM12*'【料金算定－要領】総括原価'!$M$37*12</f>
        <v>#REF!</v>
      </c>
      <c r="BN13" s="39" t="e">
        <f>BN12*'【料金算定－要領】総括原価'!$M$37*12</f>
        <v>#REF!</v>
      </c>
      <c r="BO13" s="39" t="e">
        <f>BO12*'【料金算定－要領】総括原価'!$M$37*12</f>
        <v>#REF!</v>
      </c>
      <c r="BP13" s="39" t="e">
        <f>BP12*'【料金算定－要領】総括原価'!$M$37*12</f>
        <v>#REF!</v>
      </c>
    </row>
    <row r="14" spans="1:68" s="24" customFormat="1">
      <c r="M14" s="25" t="s">
        <v>158</v>
      </c>
      <c r="N14" s="43"/>
      <c r="O14" s="43"/>
      <c r="P14" s="43"/>
      <c r="Q14" s="43"/>
      <c r="R14" s="43"/>
      <c r="S14" s="39" t="e">
        <f>S7*'【料金算定－要領】総括原価'!$G$45+S11*'【料金算定－要領】総括原価'!$G$46</f>
        <v>#REF!</v>
      </c>
      <c r="T14" s="39" t="e">
        <f>T7*'【料金算定－要領】総括原価'!$G$45+T11*'【料金算定－要領】総括原価'!$G$46</f>
        <v>#REF!</v>
      </c>
      <c r="U14" s="39" t="e">
        <f>U7*'【料金算定－要領】総括原価'!$G$45+U11*'【料金算定－要領】総括原価'!$G$46</f>
        <v>#REF!</v>
      </c>
      <c r="V14" s="39" t="e">
        <f>V7*'【料金算定－要領】総括原価'!$G$45+V11*'【料金算定－要領】総括原価'!$G$46</f>
        <v>#REF!</v>
      </c>
      <c r="W14" s="39" t="e">
        <f>W7*'【料金算定－要領】総括原価'!$G$45+W11*'【料金算定－要領】総括原価'!$G$46</f>
        <v>#REF!</v>
      </c>
      <c r="X14" s="39" t="e">
        <f>X7*'【料金算定－要領】総括原価'!$G$45+X11*'【料金算定－要領】総括原価'!$G$46</f>
        <v>#REF!</v>
      </c>
      <c r="Y14" s="39" t="e">
        <f>Y7*'【料金算定－要領】総括原価'!$G$45+Y11*'【料金算定－要領】総括原価'!$G$46</f>
        <v>#REF!</v>
      </c>
      <c r="Z14" s="39" t="e">
        <f>Z7*'【料金算定－要領】総括原価'!$G$45+Z11*'【料金算定－要領】総括原価'!$G$46</f>
        <v>#REF!</v>
      </c>
      <c r="AA14" s="39" t="e">
        <f>AA7*'【料金算定－要領】総括原価'!$G$45+AA11*'【料金算定－要領】総括原価'!$G$46</f>
        <v>#REF!</v>
      </c>
      <c r="AB14" s="39" t="e">
        <f>AB7*'【料金算定－要領】総括原価'!$G$45+AB11*'【料金算定－要領】総括原価'!$G$46</f>
        <v>#REF!</v>
      </c>
      <c r="AC14" s="39" t="e">
        <f>AC7*'【料金算定－要領】総括原価'!$G$45+AC11*'【料金算定－要領】総括原価'!$G$46</f>
        <v>#REF!</v>
      </c>
      <c r="AD14" s="39" t="e">
        <f>AD7*'【料金算定－要領】総括原価'!$G$45+AD11*'【料金算定－要領】総括原価'!$G$46</f>
        <v>#REF!</v>
      </c>
      <c r="AE14" s="39" t="e">
        <f>AE7*'【料金算定－要領】総括原価'!$G$45+AE11*'【料金算定－要領】総括原価'!$G$46</f>
        <v>#REF!</v>
      </c>
      <c r="AF14" s="39" t="e">
        <f>AF7*'【料金算定－要領】総括原価'!$G$45+AF11*'【料金算定－要領】総括原価'!$G$46</f>
        <v>#REF!</v>
      </c>
      <c r="AG14" s="39" t="e">
        <f>AG7*'【料金算定－要領】総括原価'!$G$45+AG11*'【料金算定－要領】総括原価'!$G$46</f>
        <v>#REF!</v>
      </c>
      <c r="AH14" s="39" t="e">
        <f>AH7*'【料金算定－要領】総括原価'!$G$45+AH11*'【料金算定－要領】総括原価'!$G$46</f>
        <v>#REF!</v>
      </c>
      <c r="AI14" s="39" t="e">
        <f>AI7*'【料金算定－要領】総括原価'!$G$45+AI11*'【料金算定－要領】総括原価'!$G$46</f>
        <v>#REF!</v>
      </c>
      <c r="AJ14" s="39" t="e">
        <f>AJ7*'【料金算定－要領】総括原価'!$G$45+AJ11*'【料金算定－要領】総括原価'!$G$46</f>
        <v>#REF!</v>
      </c>
      <c r="AK14" s="39" t="e">
        <f>AK7*'【料金算定－要領】総括原価'!$G$45+AK11*'【料金算定－要領】総括原価'!$G$46</f>
        <v>#REF!</v>
      </c>
      <c r="AL14" s="39" t="e">
        <f>AL7*'【料金算定－要領】総括原価'!$G$45+AL11*'【料金算定－要領】総括原価'!$G$46</f>
        <v>#REF!</v>
      </c>
      <c r="AM14" s="39" t="e">
        <f>AM7*'【料金算定－要領】総括原価'!$G$45+AM11*'【料金算定－要領】総括原価'!$G$46</f>
        <v>#REF!</v>
      </c>
      <c r="AN14" s="39" t="e">
        <f>AN7*'【料金算定－要領】総括原価'!$G$45+AN11*'【料金算定－要領】総括原価'!$G$46</f>
        <v>#REF!</v>
      </c>
      <c r="AO14" s="39" t="e">
        <f>AO7*'【料金算定－要領】総括原価'!$G$45+AO11*'【料金算定－要領】総括原価'!$G$46</f>
        <v>#REF!</v>
      </c>
      <c r="AP14" s="39" t="e">
        <f>AP7*'【料金算定－要領】総括原価'!$G$45+AP11*'【料金算定－要領】総括原価'!$G$46</f>
        <v>#REF!</v>
      </c>
      <c r="AQ14" s="39" t="e">
        <f>AQ7*'【料金算定－要領】総括原価'!$G$45+AQ11*'【料金算定－要領】総括原価'!$G$46</f>
        <v>#REF!</v>
      </c>
      <c r="AR14" s="39" t="e">
        <f>AR7*'【料金算定－要領】総括原価'!$G$45+AR11*'【料金算定－要領】総括原価'!$G$46</f>
        <v>#REF!</v>
      </c>
      <c r="AS14" s="39" t="e">
        <f>AS7*'【料金算定－要領】総括原価'!$G$45+AS11*'【料金算定－要領】総括原価'!$G$46</f>
        <v>#REF!</v>
      </c>
      <c r="AT14" s="39" t="e">
        <f>AT7*'【料金算定－要領】総括原価'!$G$45+AT11*'【料金算定－要領】総括原価'!$G$46</f>
        <v>#REF!</v>
      </c>
      <c r="AU14" s="39" t="e">
        <f>AU7*'【料金算定－要領】総括原価'!$G$45+AU11*'【料金算定－要領】総括原価'!$G$46</f>
        <v>#REF!</v>
      </c>
      <c r="AV14" s="39" t="e">
        <f>AV7*'【料金算定－要領】総括原価'!$G$45+AV11*'【料金算定－要領】総括原価'!$G$46</f>
        <v>#REF!</v>
      </c>
      <c r="AW14" s="39" t="e">
        <f>AW7*'【料金算定－要領】総括原価'!$G$45+AW11*'【料金算定－要領】総括原価'!$G$46</f>
        <v>#REF!</v>
      </c>
      <c r="AX14" s="39" t="e">
        <f>AX7*'【料金算定－要領】総括原価'!$G$45+AX11*'【料金算定－要領】総括原価'!$G$46</f>
        <v>#REF!</v>
      </c>
      <c r="AY14" s="39" t="e">
        <f>AY7*'【料金算定－要領】総括原価'!$G$45+AY11*'【料金算定－要領】総括原価'!$G$46</f>
        <v>#REF!</v>
      </c>
      <c r="AZ14" s="39" t="e">
        <f>AZ7*'【料金算定－要領】総括原価'!$G$45+AZ11*'【料金算定－要領】総括原価'!$G$46</f>
        <v>#REF!</v>
      </c>
      <c r="BA14" s="39" t="e">
        <f>BA7*'【料金算定－要領】総括原価'!$G$45+BA11*'【料金算定－要領】総括原価'!$G$46</f>
        <v>#REF!</v>
      </c>
      <c r="BB14" s="39" t="e">
        <f>BB7*'【料金算定－要領】総括原価'!$G$45+BB11*'【料金算定－要領】総括原価'!$G$46</f>
        <v>#REF!</v>
      </c>
      <c r="BC14" s="39" t="e">
        <f>BC7*'【料金算定－要領】総括原価'!$G$45+BC11*'【料金算定－要領】総括原価'!$G$46</f>
        <v>#REF!</v>
      </c>
      <c r="BD14" s="39" t="e">
        <f>BD7*'【料金算定－要領】総括原価'!$G$45+BD11*'【料金算定－要領】総括原価'!$G$46</f>
        <v>#REF!</v>
      </c>
      <c r="BE14" s="39" t="e">
        <f>BE7*'【料金算定－要領】総括原価'!$G$45+BE11*'【料金算定－要領】総括原価'!$G$46</f>
        <v>#REF!</v>
      </c>
      <c r="BF14" s="39" t="e">
        <f>BF7*'【料金算定－要領】総括原価'!$G$45+BF11*'【料金算定－要領】総括原価'!$G$46</f>
        <v>#REF!</v>
      </c>
      <c r="BG14" s="39" t="e">
        <f>BG7*'【料金算定－要領】総括原価'!$G$45+BG11*'【料金算定－要領】総括原価'!$G$46</f>
        <v>#REF!</v>
      </c>
      <c r="BH14" s="39" t="e">
        <f>BH7*'【料金算定－要領】総括原価'!$G$45+BH11*'【料金算定－要領】総括原価'!$G$46</f>
        <v>#REF!</v>
      </c>
      <c r="BI14" s="39" t="e">
        <f>BI7*'【料金算定－要領】総括原価'!$G$45+BI11*'【料金算定－要領】総括原価'!$G$46</f>
        <v>#REF!</v>
      </c>
      <c r="BJ14" s="39" t="e">
        <f>BJ7*'【料金算定－要領】総括原価'!$G$45+BJ11*'【料金算定－要領】総括原価'!$G$46</f>
        <v>#REF!</v>
      </c>
      <c r="BK14" s="39" t="e">
        <f>BK7*'【料金算定－要領】総括原価'!$G$45+BK11*'【料金算定－要領】総括原価'!$G$46</f>
        <v>#REF!</v>
      </c>
      <c r="BL14" s="39" t="e">
        <f>BL7*'【料金算定－要領】総括原価'!$G$45+BL11*'【料金算定－要領】総括原価'!$G$46</f>
        <v>#REF!</v>
      </c>
      <c r="BM14" s="39" t="e">
        <f>BM7*'【料金算定－要領】総括原価'!$G$45+BM11*'【料金算定－要領】総括原価'!$G$46</f>
        <v>#REF!</v>
      </c>
      <c r="BN14" s="39" t="e">
        <f>BN7*'【料金算定－要領】総括原価'!$G$45+BN11*'【料金算定－要領】総括原価'!$G$46</f>
        <v>#REF!</v>
      </c>
      <c r="BO14" s="39" t="e">
        <f>BO7*'【料金算定－要領】総括原価'!$G$45+BO11*'【料金算定－要領】総括原価'!$G$46</f>
        <v>#REF!</v>
      </c>
      <c r="BP14" s="39" t="e">
        <f>BP7*'【料金算定－要領】総括原価'!$G$45+BP11*'【料金算定－要領】総括原価'!$G$46</f>
        <v>#REF!</v>
      </c>
    </row>
    <row r="15" spans="1:68" s="24" customFormat="1">
      <c r="M15" s="25" t="s">
        <v>151</v>
      </c>
      <c r="N15" s="25">
        <f>SUM(N13:N14)</f>
        <v>0</v>
      </c>
      <c r="O15" s="25">
        <f t="shared" ref="O15:BP15" si="0">SUM(O13:O14)</f>
        <v>0</v>
      </c>
      <c r="P15" s="25">
        <f t="shared" si="0"/>
        <v>0</v>
      </c>
      <c r="Q15" s="25">
        <f t="shared" si="0"/>
        <v>0</v>
      </c>
      <c r="R15" s="25">
        <f t="shared" si="0"/>
        <v>0</v>
      </c>
      <c r="S15" s="39" t="e">
        <f>SUM(S13:S14)</f>
        <v>#REF!</v>
      </c>
      <c r="T15" s="39" t="e">
        <f t="shared" si="0"/>
        <v>#REF!</v>
      </c>
      <c r="U15" s="39" t="e">
        <f t="shared" si="0"/>
        <v>#REF!</v>
      </c>
      <c r="V15" s="39" t="e">
        <f t="shared" si="0"/>
        <v>#REF!</v>
      </c>
      <c r="W15" s="39" t="e">
        <f t="shared" si="0"/>
        <v>#REF!</v>
      </c>
      <c r="X15" s="39" t="e">
        <f t="shared" si="0"/>
        <v>#REF!</v>
      </c>
      <c r="Y15" s="39" t="e">
        <f t="shared" si="0"/>
        <v>#REF!</v>
      </c>
      <c r="Z15" s="39" t="e">
        <f t="shared" si="0"/>
        <v>#REF!</v>
      </c>
      <c r="AA15" s="39" t="e">
        <f t="shared" si="0"/>
        <v>#REF!</v>
      </c>
      <c r="AB15" s="39" t="e">
        <f t="shared" si="0"/>
        <v>#REF!</v>
      </c>
      <c r="AC15" s="39" t="e">
        <f t="shared" si="0"/>
        <v>#REF!</v>
      </c>
      <c r="AD15" s="39" t="e">
        <f t="shared" si="0"/>
        <v>#REF!</v>
      </c>
      <c r="AE15" s="39" t="e">
        <f t="shared" si="0"/>
        <v>#REF!</v>
      </c>
      <c r="AF15" s="39" t="e">
        <f t="shared" si="0"/>
        <v>#REF!</v>
      </c>
      <c r="AG15" s="39" t="e">
        <f t="shared" si="0"/>
        <v>#REF!</v>
      </c>
      <c r="AH15" s="39" t="e">
        <f t="shared" si="0"/>
        <v>#REF!</v>
      </c>
      <c r="AI15" s="39" t="e">
        <f t="shared" si="0"/>
        <v>#REF!</v>
      </c>
      <c r="AJ15" s="39" t="e">
        <f t="shared" si="0"/>
        <v>#REF!</v>
      </c>
      <c r="AK15" s="39" t="e">
        <f t="shared" si="0"/>
        <v>#REF!</v>
      </c>
      <c r="AL15" s="39" t="e">
        <f t="shared" si="0"/>
        <v>#REF!</v>
      </c>
      <c r="AM15" s="39" t="e">
        <f t="shared" si="0"/>
        <v>#REF!</v>
      </c>
      <c r="AN15" s="39" t="e">
        <f t="shared" si="0"/>
        <v>#REF!</v>
      </c>
      <c r="AO15" s="39" t="e">
        <f t="shared" si="0"/>
        <v>#REF!</v>
      </c>
      <c r="AP15" s="39" t="e">
        <f t="shared" si="0"/>
        <v>#REF!</v>
      </c>
      <c r="AQ15" s="39" t="e">
        <f t="shared" si="0"/>
        <v>#REF!</v>
      </c>
      <c r="AR15" s="39" t="e">
        <f t="shared" si="0"/>
        <v>#REF!</v>
      </c>
      <c r="AS15" s="39" t="e">
        <f t="shared" si="0"/>
        <v>#REF!</v>
      </c>
      <c r="AT15" s="39" t="e">
        <f t="shared" si="0"/>
        <v>#REF!</v>
      </c>
      <c r="AU15" s="39" t="e">
        <f t="shared" si="0"/>
        <v>#REF!</v>
      </c>
      <c r="AV15" s="39" t="e">
        <f t="shared" si="0"/>
        <v>#REF!</v>
      </c>
      <c r="AW15" s="39" t="e">
        <f t="shared" si="0"/>
        <v>#REF!</v>
      </c>
      <c r="AX15" s="39" t="e">
        <f t="shared" si="0"/>
        <v>#REF!</v>
      </c>
      <c r="AY15" s="39" t="e">
        <f t="shared" si="0"/>
        <v>#REF!</v>
      </c>
      <c r="AZ15" s="39" t="e">
        <f t="shared" si="0"/>
        <v>#REF!</v>
      </c>
      <c r="BA15" s="39" t="e">
        <f t="shared" si="0"/>
        <v>#REF!</v>
      </c>
      <c r="BB15" s="39" t="e">
        <f t="shared" si="0"/>
        <v>#REF!</v>
      </c>
      <c r="BC15" s="39" t="e">
        <f t="shared" si="0"/>
        <v>#REF!</v>
      </c>
      <c r="BD15" s="39" t="e">
        <f t="shared" si="0"/>
        <v>#REF!</v>
      </c>
      <c r="BE15" s="39" t="e">
        <f t="shared" si="0"/>
        <v>#REF!</v>
      </c>
      <c r="BF15" s="39" t="e">
        <f t="shared" si="0"/>
        <v>#REF!</v>
      </c>
      <c r="BG15" s="39" t="e">
        <f t="shared" si="0"/>
        <v>#REF!</v>
      </c>
      <c r="BH15" s="39" t="e">
        <f t="shared" si="0"/>
        <v>#REF!</v>
      </c>
      <c r="BI15" s="39" t="e">
        <f t="shared" si="0"/>
        <v>#REF!</v>
      </c>
      <c r="BJ15" s="39" t="e">
        <f t="shared" si="0"/>
        <v>#REF!</v>
      </c>
      <c r="BK15" s="39" t="e">
        <f t="shared" si="0"/>
        <v>#REF!</v>
      </c>
      <c r="BL15" s="39" t="e">
        <f t="shared" si="0"/>
        <v>#REF!</v>
      </c>
      <c r="BM15" s="39" t="e">
        <f t="shared" si="0"/>
        <v>#REF!</v>
      </c>
      <c r="BN15" s="39" t="e">
        <f t="shared" si="0"/>
        <v>#REF!</v>
      </c>
      <c r="BO15" s="39" t="e">
        <f t="shared" si="0"/>
        <v>#REF!</v>
      </c>
      <c r="BP15" s="39" t="e">
        <f t="shared" si="0"/>
        <v>#REF!</v>
      </c>
    </row>
    <row r="17" spans="13:68" hidden="1">
      <c r="M17" t="s">
        <v>155</v>
      </c>
    </row>
    <row r="18" spans="13:68" hidden="1">
      <c r="N18" s="21" t="s">
        <v>11</v>
      </c>
      <c r="O18" s="14"/>
      <c r="P18" s="14"/>
      <c r="Q18" s="14"/>
      <c r="R18" s="15"/>
      <c r="S18" s="23" t="s">
        <v>17</v>
      </c>
      <c r="T18" s="14"/>
      <c r="U18" s="14"/>
      <c r="V18" s="15"/>
      <c r="W18" s="22" t="s">
        <v>68</v>
      </c>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row>
    <row r="19" spans="13:68" hidden="1">
      <c r="N19" s="16" t="s">
        <v>12</v>
      </c>
      <c r="O19" s="16" t="s">
        <v>13</v>
      </c>
      <c r="P19" s="16" t="s">
        <v>14</v>
      </c>
      <c r="Q19" s="16" t="s">
        <v>15</v>
      </c>
      <c r="R19" s="16" t="s">
        <v>16</v>
      </c>
      <c r="S19" s="16" t="s">
        <v>18</v>
      </c>
      <c r="T19" s="16" t="s">
        <v>19</v>
      </c>
      <c r="U19" s="16" t="s">
        <v>20</v>
      </c>
      <c r="V19" s="16" t="s">
        <v>21</v>
      </c>
      <c r="W19" s="16" t="s">
        <v>22</v>
      </c>
      <c r="X19" s="16" t="s">
        <v>23</v>
      </c>
      <c r="Y19" s="16" t="s">
        <v>24</v>
      </c>
      <c r="Z19" s="16" t="s">
        <v>25</v>
      </c>
      <c r="AA19" s="16" t="s">
        <v>26</v>
      </c>
      <c r="AB19" s="16" t="s">
        <v>27</v>
      </c>
      <c r="AC19" s="16" t="s">
        <v>28</v>
      </c>
      <c r="AD19" s="16" t="s">
        <v>29</v>
      </c>
      <c r="AE19" s="16" t="s">
        <v>30</v>
      </c>
      <c r="AF19" s="16" t="s">
        <v>31</v>
      </c>
      <c r="AG19" s="16" t="s">
        <v>32</v>
      </c>
      <c r="AH19" s="16" t="s">
        <v>33</v>
      </c>
      <c r="AI19" s="16" t="s">
        <v>34</v>
      </c>
      <c r="AJ19" s="16" t="s">
        <v>35</v>
      </c>
      <c r="AK19" s="16" t="s">
        <v>36</v>
      </c>
      <c r="AL19" s="16" t="s">
        <v>37</v>
      </c>
      <c r="AM19" s="16" t="s">
        <v>38</v>
      </c>
      <c r="AN19" s="16" t="s">
        <v>39</v>
      </c>
      <c r="AO19" s="16" t="s">
        <v>40</v>
      </c>
      <c r="AP19" s="16" t="s">
        <v>41</v>
      </c>
      <c r="AQ19" s="16" t="s">
        <v>42</v>
      </c>
      <c r="AR19" s="16" t="s">
        <v>43</v>
      </c>
      <c r="AS19" s="16" t="s">
        <v>44</v>
      </c>
      <c r="AT19" s="16" t="s">
        <v>45</v>
      </c>
      <c r="AU19" s="16" t="s">
        <v>46</v>
      </c>
      <c r="AV19" s="16" t="s">
        <v>47</v>
      </c>
      <c r="AW19" s="16" t="s">
        <v>48</v>
      </c>
      <c r="AX19" s="16" t="s">
        <v>49</v>
      </c>
      <c r="AY19" s="16" t="s">
        <v>50</v>
      </c>
      <c r="AZ19" s="16" t="s">
        <v>51</v>
      </c>
      <c r="BA19" s="16" t="s">
        <v>52</v>
      </c>
      <c r="BB19" s="16" t="s">
        <v>53</v>
      </c>
      <c r="BC19" s="16" t="s">
        <v>54</v>
      </c>
      <c r="BD19" s="16" t="s">
        <v>55</v>
      </c>
      <c r="BE19" s="16" t="s">
        <v>56</v>
      </c>
      <c r="BF19" s="16" t="s">
        <v>57</v>
      </c>
      <c r="BG19" s="16" t="s">
        <v>58</v>
      </c>
      <c r="BH19" s="16" t="s">
        <v>59</v>
      </c>
      <c r="BI19" s="16" t="s">
        <v>60</v>
      </c>
      <c r="BJ19" s="16" t="s">
        <v>61</v>
      </c>
      <c r="BK19" s="16" t="s">
        <v>62</v>
      </c>
      <c r="BL19" s="16" t="s">
        <v>63</v>
      </c>
      <c r="BM19" s="16" t="s">
        <v>64</v>
      </c>
      <c r="BN19" s="16" t="s">
        <v>65</v>
      </c>
      <c r="BO19" s="16" t="s">
        <v>66</v>
      </c>
      <c r="BP19" s="16" t="s">
        <v>67</v>
      </c>
    </row>
    <row r="20" spans="13:68" s="24" customFormat="1" hidden="1">
      <c r="M20" s="25" t="s">
        <v>198</v>
      </c>
      <c r="N20" s="43"/>
      <c r="O20" s="43"/>
      <c r="P20" s="43"/>
      <c r="Q20" s="43"/>
      <c r="R20" s="43"/>
      <c r="S20" s="25" t="e">
        <f>【収益】水需要予測!#REF!</f>
        <v>#REF!</v>
      </c>
      <c r="T20" s="25" t="e">
        <f>【収益】水需要予測!#REF!</f>
        <v>#REF!</v>
      </c>
      <c r="U20" s="25" t="e">
        <f>【収益】水需要予測!#REF!</f>
        <v>#REF!</v>
      </c>
      <c r="V20" s="25" t="e">
        <f>【収益】水需要予測!#REF!</f>
        <v>#REF!</v>
      </c>
      <c r="W20" s="25" t="e">
        <f>【収益】水需要予測!#REF!</f>
        <v>#REF!</v>
      </c>
      <c r="X20" s="25" t="e">
        <f>【収益】水需要予測!#REF!</f>
        <v>#REF!</v>
      </c>
      <c r="Y20" s="25" t="e">
        <f>【収益】水需要予測!#REF!</f>
        <v>#REF!</v>
      </c>
      <c r="Z20" s="25" t="e">
        <f>【収益】水需要予測!#REF!</f>
        <v>#REF!</v>
      </c>
      <c r="AA20" s="25" t="e">
        <f>【収益】水需要予測!#REF!</f>
        <v>#REF!</v>
      </c>
      <c r="AB20" s="25" t="e">
        <f>【収益】水需要予測!#REF!</f>
        <v>#REF!</v>
      </c>
      <c r="AC20" s="25" t="e">
        <f>【収益】水需要予測!#REF!</f>
        <v>#REF!</v>
      </c>
      <c r="AD20" s="25" t="e">
        <f>【収益】水需要予測!#REF!</f>
        <v>#REF!</v>
      </c>
      <c r="AE20" s="25" t="e">
        <f>【収益】水需要予測!#REF!</f>
        <v>#REF!</v>
      </c>
      <c r="AF20" s="25" t="e">
        <f>【収益】水需要予測!#REF!</f>
        <v>#REF!</v>
      </c>
      <c r="AG20" s="25" t="e">
        <f>【収益】水需要予測!#REF!</f>
        <v>#REF!</v>
      </c>
      <c r="AH20" s="25" t="e">
        <f>【収益】水需要予測!#REF!</f>
        <v>#REF!</v>
      </c>
      <c r="AI20" s="25" t="e">
        <f>【収益】水需要予測!#REF!</f>
        <v>#REF!</v>
      </c>
      <c r="AJ20" s="25" t="e">
        <f>【収益】水需要予測!#REF!</f>
        <v>#REF!</v>
      </c>
      <c r="AK20" s="25" t="e">
        <f>【収益】水需要予測!#REF!</f>
        <v>#REF!</v>
      </c>
      <c r="AL20" s="25" t="e">
        <f>【収益】水需要予測!#REF!</f>
        <v>#REF!</v>
      </c>
      <c r="AM20" s="25" t="e">
        <f>【収益】水需要予測!#REF!</f>
        <v>#REF!</v>
      </c>
      <c r="AN20" s="25" t="e">
        <f>【収益】水需要予測!#REF!</f>
        <v>#REF!</v>
      </c>
      <c r="AO20" s="25" t="e">
        <f>【収益】水需要予測!#REF!</f>
        <v>#REF!</v>
      </c>
      <c r="AP20" s="25" t="e">
        <f>【収益】水需要予測!#REF!</f>
        <v>#REF!</v>
      </c>
      <c r="AQ20" s="25" t="e">
        <f>【収益】水需要予測!#REF!</f>
        <v>#REF!</v>
      </c>
      <c r="AR20" s="25" t="e">
        <f>【収益】水需要予測!#REF!</f>
        <v>#REF!</v>
      </c>
      <c r="AS20" s="25" t="e">
        <f>【収益】水需要予測!#REF!</f>
        <v>#REF!</v>
      </c>
      <c r="AT20" s="25" t="e">
        <f>【収益】水需要予測!#REF!</f>
        <v>#REF!</v>
      </c>
      <c r="AU20" s="25" t="e">
        <f>【収益】水需要予測!#REF!</f>
        <v>#REF!</v>
      </c>
      <c r="AV20" s="25" t="e">
        <f>【収益】水需要予測!#REF!</f>
        <v>#REF!</v>
      </c>
      <c r="AW20" s="25" t="e">
        <f>【収益】水需要予測!#REF!</f>
        <v>#REF!</v>
      </c>
      <c r="AX20" s="25" t="e">
        <f>【収益】水需要予測!#REF!</f>
        <v>#REF!</v>
      </c>
      <c r="AY20" s="25" t="e">
        <f>【収益】水需要予測!#REF!</f>
        <v>#REF!</v>
      </c>
      <c r="AZ20" s="25" t="e">
        <f>【収益】水需要予測!#REF!</f>
        <v>#REF!</v>
      </c>
      <c r="BA20" s="25" t="e">
        <f>【収益】水需要予測!#REF!</f>
        <v>#REF!</v>
      </c>
      <c r="BB20" s="25" t="e">
        <f>【収益】水需要予測!#REF!</f>
        <v>#REF!</v>
      </c>
      <c r="BC20" s="25" t="e">
        <f>【収益】水需要予測!#REF!</f>
        <v>#REF!</v>
      </c>
      <c r="BD20" s="25" t="e">
        <f>【収益】水需要予測!#REF!</f>
        <v>#REF!</v>
      </c>
      <c r="BE20" s="25" t="e">
        <f>【収益】水需要予測!#REF!</f>
        <v>#REF!</v>
      </c>
      <c r="BF20" s="25" t="e">
        <f>【収益】水需要予測!#REF!</f>
        <v>#REF!</v>
      </c>
      <c r="BG20" s="25" t="e">
        <f>【収益】水需要予測!#REF!</f>
        <v>#REF!</v>
      </c>
      <c r="BH20" s="25" t="e">
        <f>【収益】水需要予測!#REF!</f>
        <v>#REF!</v>
      </c>
      <c r="BI20" s="25" t="e">
        <f>【収益】水需要予測!#REF!</f>
        <v>#REF!</v>
      </c>
      <c r="BJ20" s="25" t="e">
        <f>【収益】水需要予測!#REF!</f>
        <v>#REF!</v>
      </c>
      <c r="BK20" s="25" t="e">
        <f>【収益】水需要予測!#REF!</f>
        <v>#REF!</v>
      </c>
      <c r="BL20" s="25" t="e">
        <f>【収益】水需要予測!#REF!</f>
        <v>#REF!</v>
      </c>
      <c r="BM20" s="25" t="e">
        <f>【収益】水需要予測!#REF!</f>
        <v>#REF!</v>
      </c>
      <c r="BN20" s="25" t="e">
        <f>【収益】水需要予測!#REF!</f>
        <v>#REF!</v>
      </c>
      <c r="BO20" s="25" t="e">
        <f>【収益】水需要予測!#REF!</f>
        <v>#REF!</v>
      </c>
      <c r="BP20" s="25" t="e">
        <f>【収益】水需要予測!#REF!</f>
        <v>#REF!</v>
      </c>
    </row>
    <row r="21" spans="13:68" s="24" customFormat="1" hidden="1">
      <c r="M21" s="25" t="s">
        <v>199</v>
      </c>
      <c r="N21" s="43"/>
      <c r="O21" s="43"/>
      <c r="P21" s="43"/>
      <c r="Q21" s="43"/>
      <c r="R21" s="43"/>
      <c r="S21" s="25" t="e">
        <f>【収益】水需要予測!#REF!</f>
        <v>#REF!</v>
      </c>
      <c r="T21" s="25" t="e">
        <f>【収益】水需要予測!#REF!</f>
        <v>#REF!</v>
      </c>
      <c r="U21" s="25" t="e">
        <f>【収益】水需要予測!#REF!</f>
        <v>#REF!</v>
      </c>
      <c r="V21" s="25" t="e">
        <f>【収益】水需要予測!#REF!</f>
        <v>#REF!</v>
      </c>
      <c r="W21" s="25" t="e">
        <f>【収益】水需要予測!#REF!</f>
        <v>#REF!</v>
      </c>
      <c r="X21" s="25" t="e">
        <f>【収益】水需要予測!#REF!</f>
        <v>#REF!</v>
      </c>
      <c r="Y21" s="25" t="e">
        <f>【収益】水需要予測!#REF!</f>
        <v>#REF!</v>
      </c>
      <c r="Z21" s="25" t="e">
        <f>【収益】水需要予測!#REF!</f>
        <v>#REF!</v>
      </c>
      <c r="AA21" s="25" t="e">
        <f>【収益】水需要予測!#REF!</f>
        <v>#REF!</v>
      </c>
      <c r="AB21" s="25" t="e">
        <f>【収益】水需要予測!#REF!</f>
        <v>#REF!</v>
      </c>
      <c r="AC21" s="25" t="e">
        <f>【収益】水需要予測!#REF!</f>
        <v>#REF!</v>
      </c>
      <c r="AD21" s="25" t="e">
        <f>【収益】水需要予測!#REF!</f>
        <v>#REF!</v>
      </c>
      <c r="AE21" s="25" t="e">
        <f>【収益】水需要予測!#REF!</f>
        <v>#REF!</v>
      </c>
      <c r="AF21" s="25" t="e">
        <f>【収益】水需要予測!#REF!</f>
        <v>#REF!</v>
      </c>
      <c r="AG21" s="25" t="e">
        <f>【収益】水需要予測!#REF!</f>
        <v>#REF!</v>
      </c>
      <c r="AH21" s="25" t="e">
        <f>【収益】水需要予測!#REF!</f>
        <v>#REF!</v>
      </c>
      <c r="AI21" s="25" t="e">
        <f>【収益】水需要予測!#REF!</f>
        <v>#REF!</v>
      </c>
      <c r="AJ21" s="25" t="e">
        <f>【収益】水需要予測!#REF!</f>
        <v>#REF!</v>
      </c>
      <c r="AK21" s="25" t="e">
        <f>【収益】水需要予測!#REF!</f>
        <v>#REF!</v>
      </c>
      <c r="AL21" s="25" t="e">
        <f>【収益】水需要予測!#REF!</f>
        <v>#REF!</v>
      </c>
      <c r="AM21" s="25" t="e">
        <f>【収益】水需要予測!#REF!</f>
        <v>#REF!</v>
      </c>
      <c r="AN21" s="25" t="e">
        <f>【収益】水需要予測!#REF!</f>
        <v>#REF!</v>
      </c>
      <c r="AO21" s="25" t="e">
        <f>【収益】水需要予測!#REF!</f>
        <v>#REF!</v>
      </c>
      <c r="AP21" s="25" t="e">
        <f>【収益】水需要予測!#REF!</f>
        <v>#REF!</v>
      </c>
      <c r="AQ21" s="25" t="e">
        <f>【収益】水需要予測!#REF!</f>
        <v>#REF!</v>
      </c>
      <c r="AR21" s="25" t="e">
        <f>【収益】水需要予測!#REF!</f>
        <v>#REF!</v>
      </c>
      <c r="AS21" s="25" t="e">
        <f>【収益】水需要予測!#REF!</f>
        <v>#REF!</v>
      </c>
      <c r="AT21" s="25" t="e">
        <f>【収益】水需要予測!#REF!</f>
        <v>#REF!</v>
      </c>
      <c r="AU21" s="25" t="e">
        <f>【収益】水需要予測!#REF!</f>
        <v>#REF!</v>
      </c>
      <c r="AV21" s="25" t="e">
        <f>【収益】水需要予測!#REF!</f>
        <v>#REF!</v>
      </c>
      <c r="AW21" s="25" t="e">
        <f>【収益】水需要予測!#REF!</f>
        <v>#REF!</v>
      </c>
      <c r="AX21" s="25" t="e">
        <f>【収益】水需要予測!#REF!</f>
        <v>#REF!</v>
      </c>
      <c r="AY21" s="25" t="e">
        <f>【収益】水需要予測!#REF!</f>
        <v>#REF!</v>
      </c>
      <c r="AZ21" s="25" t="e">
        <f>【収益】水需要予測!#REF!</f>
        <v>#REF!</v>
      </c>
      <c r="BA21" s="25" t="e">
        <f>【収益】水需要予測!#REF!</f>
        <v>#REF!</v>
      </c>
      <c r="BB21" s="25" t="e">
        <f>【収益】水需要予測!#REF!</f>
        <v>#REF!</v>
      </c>
      <c r="BC21" s="25" t="e">
        <f>【収益】水需要予測!#REF!</f>
        <v>#REF!</v>
      </c>
      <c r="BD21" s="25" t="e">
        <f>【収益】水需要予測!#REF!</f>
        <v>#REF!</v>
      </c>
      <c r="BE21" s="25" t="e">
        <f>【収益】水需要予測!#REF!</f>
        <v>#REF!</v>
      </c>
      <c r="BF21" s="25" t="e">
        <f>【収益】水需要予測!#REF!</f>
        <v>#REF!</v>
      </c>
      <c r="BG21" s="25" t="e">
        <f>【収益】水需要予測!#REF!</f>
        <v>#REF!</v>
      </c>
      <c r="BH21" s="25" t="e">
        <f>【収益】水需要予測!#REF!</f>
        <v>#REF!</v>
      </c>
      <c r="BI21" s="25" t="e">
        <f>【収益】水需要予測!#REF!</f>
        <v>#REF!</v>
      </c>
      <c r="BJ21" s="25" t="e">
        <f>【収益】水需要予測!#REF!</f>
        <v>#REF!</v>
      </c>
      <c r="BK21" s="25" t="e">
        <f>【収益】水需要予測!#REF!</f>
        <v>#REF!</v>
      </c>
      <c r="BL21" s="25" t="e">
        <f>【収益】水需要予測!#REF!</f>
        <v>#REF!</v>
      </c>
      <c r="BM21" s="25" t="e">
        <f>【収益】水需要予測!#REF!</f>
        <v>#REF!</v>
      </c>
      <c r="BN21" s="25" t="e">
        <f>【収益】水需要予測!#REF!</f>
        <v>#REF!</v>
      </c>
      <c r="BO21" s="25" t="e">
        <f>【収益】水需要予測!#REF!</f>
        <v>#REF!</v>
      </c>
      <c r="BP21" s="25" t="e">
        <f>【収益】水需要予測!#REF!</f>
        <v>#REF!</v>
      </c>
    </row>
    <row r="22" spans="13:68" s="24" customFormat="1" hidden="1">
      <c r="M22" s="25" t="s">
        <v>200</v>
      </c>
      <c r="N22" s="43"/>
      <c r="O22" s="43"/>
      <c r="P22" s="43"/>
      <c r="Q22" s="43"/>
      <c r="R22" s="43"/>
      <c r="S22" s="25" t="e">
        <f>【収益】水需要予測!#REF!</f>
        <v>#REF!</v>
      </c>
      <c r="T22" s="25" t="e">
        <f>【収益】水需要予測!#REF!</f>
        <v>#REF!</v>
      </c>
      <c r="U22" s="25" t="e">
        <f>【収益】水需要予測!#REF!</f>
        <v>#REF!</v>
      </c>
      <c r="V22" s="25" t="e">
        <f>【収益】水需要予測!#REF!</f>
        <v>#REF!</v>
      </c>
      <c r="W22" s="25" t="e">
        <f>【収益】水需要予測!#REF!</f>
        <v>#REF!</v>
      </c>
      <c r="X22" s="25" t="e">
        <f>【収益】水需要予測!#REF!</f>
        <v>#REF!</v>
      </c>
      <c r="Y22" s="25" t="e">
        <f>【収益】水需要予測!#REF!</f>
        <v>#REF!</v>
      </c>
      <c r="Z22" s="25" t="e">
        <f>【収益】水需要予測!#REF!</f>
        <v>#REF!</v>
      </c>
      <c r="AA22" s="25" t="e">
        <f>【収益】水需要予測!#REF!</f>
        <v>#REF!</v>
      </c>
      <c r="AB22" s="25" t="e">
        <f>【収益】水需要予測!#REF!</f>
        <v>#REF!</v>
      </c>
      <c r="AC22" s="25" t="e">
        <f>【収益】水需要予測!#REF!</f>
        <v>#REF!</v>
      </c>
      <c r="AD22" s="25" t="e">
        <f>【収益】水需要予測!#REF!</f>
        <v>#REF!</v>
      </c>
      <c r="AE22" s="25" t="e">
        <f>【収益】水需要予測!#REF!</f>
        <v>#REF!</v>
      </c>
      <c r="AF22" s="25" t="e">
        <f>【収益】水需要予測!#REF!</f>
        <v>#REF!</v>
      </c>
      <c r="AG22" s="25" t="e">
        <f>【収益】水需要予測!#REF!</f>
        <v>#REF!</v>
      </c>
      <c r="AH22" s="25" t="e">
        <f>【収益】水需要予測!#REF!</f>
        <v>#REF!</v>
      </c>
      <c r="AI22" s="25" t="e">
        <f>【収益】水需要予測!#REF!</f>
        <v>#REF!</v>
      </c>
      <c r="AJ22" s="25" t="e">
        <f>【収益】水需要予測!#REF!</f>
        <v>#REF!</v>
      </c>
      <c r="AK22" s="25" t="e">
        <f>【収益】水需要予測!#REF!</f>
        <v>#REF!</v>
      </c>
      <c r="AL22" s="25" t="e">
        <f>【収益】水需要予測!#REF!</f>
        <v>#REF!</v>
      </c>
      <c r="AM22" s="25" t="e">
        <f>【収益】水需要予測!#REF!</f>
        <v>#REF!</v>
      </c>
      <c r="AN22" s="25" t="e">
        <f>【収益】水需要予測!#REF!</f>
        <v>#REF!</v>
      </c>
      <c r="AO22" s="25" t="e">
        <f>【収益】水需要予測!#REF!</f>
        <v>#REF!</v>
      </c>
      <c r="AP22" s="25" t="e">
        <f>【収益】水需要予測!#REF!</f>
        <v>#REF!</v>
      </c>
      <c r="AQ22" s="25" t="e">
        <f>【収益】水需要予測!#REF!</f>
        <v>#REF!</v>
      </c>
      <c r="AR22" s="25" t="e">
        <f>【収益】水需要予測!#REF!</f>
        <v>#REF!</v>
      </c>
      <c r="AS22" s="25" t="e">
        <f>【収益】水需要予測!#REF!</f>
        <v>#REF!</v>
      </c>
      <c r="AT22" s="25" t="e">
        <f>【収益】水需要予測!#REF!</f>
        <v>#REF!</v>
      </c>
      <c r="AU22" s="25" t="e">
        <f>【収益】水需要予測!#REF!</f>
        <v>#REF!</v>
      </c>
      <c r="AV22" s="25" t="e">
        <f>【収益】水需要予測!#REF!</f>
        <v>#REF!</v>
      </c>
      <c r="AW22" s="25" t="e">
        <f>【収益】水需要予測!#REF!</f>
        <v>#REF!</v>
      </c>
      <c r="AX22" s="25" t="e">
        <f>【収益】水需要予測!#REF!</f>
        <v>#REF!</v>
      </c>
      <c r="AY22" s="25" t="e">
        <f>【収益】水需要予測!#REF!</f>
        <v>#REF!</v>
      </c>
      <c r="AZ22" s="25" t="e">
        <f>【収益】水需要予測!#REF!</f>
        <v>#REF!</v>
      </c>
      <c r="BA22" s="25" t="e">
        <f>【収益】水需要予測!#REF!</f>
        <v>#REF!</v>
      </c>
      <c r="BB22" s="25" t="e">
        <f>【収益】水需要予測!#REF!</f>
        <v>#REF!</v>
      </c>
      <c r="BC22" s="25" t="e">
        <f>【収益】水需要予測!#REF!</f>
        <v>#REF!</v>
      </c>
      <c r="BD22" s="25" t="e">
        <f>【収益】水需要予測!#REF!</f>
        <v>#REF!</v>
      </c>
      <c r="BE22" s="25" t="e">
        <f>【収益】水需要予測!#REF!</f>
        <v>#REF!</v>
      </c>
      <c r="BF22" s="25" t="e">
        <f>【収益】水需要予測!#REF!</f>
        <v>#REF!</v>
      </c>
      <c r="BG22" s="25" t="e">
        <f>【収益】水需要予測!#REF!</f>
        <v>#REF!</v>
      </c>
      <c r="BH22" s="25" t="e">
        <f>【収益】水需要予測!#REF!</f>
        <v>#REF!</v>
      </c>
      <c r="BI22" s="25" t="e">
        <f>【収益】水需要予測!#REF!</f>
        <v>#REF!</v>
      </c>
      <c r="BJ22" s="25" t="e">
        <f>【収益】水需要予測!#REF!</f>
        <v>#REF!</v>
      </c>
      <c r="BK22" s="25" t="e">
        <f>【収益】水需要予測!#REF!</f>
        <v>#REF!</v>
      </c>
      <c r="BL22" s="25" t="e">
        <f>【収益】水需要予測!#REF!</f>
        <v>#REF!</v>
      </c>
      <c r="BM22" s="25" t="e">
        <f>【収益】水需要予測!#REF!</f>
        <v>#REF!</v>
      </c>
      <c r="BN22" s="25" t="e">
        <f>【収益】水需要予測!#REF!</f>
        <v>#REF!</v>
      </c>
      <c r="BO22" s="25" t="e">
        <f>【収益】水需要予測!#REF!</f>
        <v>#REF!</v>
      </c>
      <c r="BP22" s="25" t="e">
        <f>【収益】水需要予測!#REF!</f>
        <v>#REF!</v>
      </c>
    </row>
    <row r="23" spans="13:68" s="24" customFormat="1" hidden="1">
      <c r="M23" s="25" t="s">
        <v>161</v>
      </c>
      <c r="N23" s="43"/>
      <c r="O23" s="43"/>
      <c r="P23" s="43"/>
      <c r="Q23" s="43"/>
      <c r="R23" s="43"/>
      <c r="S23" s="25" t="e">
        <f>【収益】水需要予測!#REF!</f>
        <v>#REF!</v>
      </c>
      <c r="T23" s="25" t="e">
        <f>【収益】水需要予測!#REF!</f>
        <v>#REF!</v>
      </c>
      <c r="U23" s="25" t="e">
        <f>【収益】水需要予測!#REF!</f>
        <v>#REF!</v>
      </c>
      <c r="V23" s="25" t="e">
        <f>【収益】水需要予測!#REF!</f>
        <v>#REF!</v>
      </c>
      <c r="W23" s="25" t="e">
        <f>【収益】水需要予測!#REF!</f>
        <v>#REF!</v>
      </c>
      <c r="X23" s="25" t="e">
        <f>【収益】水需要予測!#REF!</f>
        <v>#REF!</v>
      </c>
      <c r="Y23" s="25" t="e">
        <f>【収益】水需要予測!#REF!</f>
        <v>#REF!</v>
      </c>
      <c r="Z23" s="25" t="e">
        <f>【収益】水需要予測!#REF!</f>
        <v>#REF!</v>
      </c>
      <c r="AA23" s="25" t="e">
        <f>【収益】水需要予測!#REF!</f>
        <v>#REF!</v>
      </c>
      <c r="AB23" s="25" t="e">
        <f>【収益】水需要予測!#REF!</f>
        <v>#REF!</v>
      </c>
      <c r="AC23" s="25" t="e">
        <f>【収益】水需要予測!#REF!</f>
        <v>#REF!</v>
      </c>
      <c r="AD23" s="25" t="e">
        <f>【収益】水需要予測!#REF!</f>
        <v>#REF!</v>
      </c>
      <c r="AE23" s="25" t="e">
        <f>【収益】水需要予測!#REF!</f>
        <v>#REF!</v>
      </c>
      <c r="AF23" s="25" t="e">
        <f>【収益】水需要予測!#REF!</f>
        <v>#REF!</v>
      </c>
      <c r="AG23" s="25" t="e">
        <f>【収益】水需要予測!#REF!</f>
        <v>#REF!</v>
      </c>
      <c r="AH23" s="25" t="e">
        <f>【収益】水需要予測!#REF!</f>
        <v>#REF!</v>
      </c>
      <c r="AI23" s="25" t="e">
        <f>【収益】水需要予測!#REF!</f>
        <v>#REF!</v>
      </c>
      <c r="AJ23" s="25" t="e">
        <f>【収益】水需要予測!#REF!</f>
        <v>#REF!</v>
      </c>
      <c r="AK23" s="25" t="e">
        <f>【収益】水需要予測!#REF!</f>
        <v>#REF!</v>
      </c>
      <c r="AL23" s="25" t="e">
        <f>【収益】水需要予測!#REF!</f>
        <v>#REF!</v>
      </c>
      <c r="AM23" s="25" t="e">
        <f>【収益】水需要予測!#REF!</f>
        <v>#REF!</v>
      </c>
      <c r="AN23" s="25" t="e">
        <f>【収益】水需要予測!#REF!</f>
        <v>#REF!</v>
      </c>
      <c r="AO23" s="25" t="e">
        <f>【収益】水需要予測!#REF!</f>
        <v>#REF!</v>
      </c>
      <c r="AP23" s="25" t="e">
        <f>【収益】水需要予測!#REF!</f>
        <v>#REF!</v>
      </c>
      <c r="AQ23" s="25" t="e">
        <f>【収益】水需要予測!#REF!</f>
        <v>#REF!</v>
      </c>
      <c r="AR23" s="25" t="e">
        <f>【収益】水需要予測!#REF!</f>
        <v>#REF!</v>
      </c>
      <c r="AS23" s="25" t="e">
        <f>【収益】水需要予測!#REF!</f>
        <v>#REF!</v>
      </c>
      <c r="AT23" s="25" t="e">
        <f>【収益】水需要予測!#REF!</f>
        <v>#REF!</v>
      </c>
      <c r="AU23" s="25" t="e">
        <f>【収益】水需要予測!#REF!</f>
        <v>#REF!</v>
      </c>
      <c r="AV23" s="25" t="e">
        <f>【収益】水需要予測!#REF!</f>
        <v>#REF!</v>
      </c>
      <c r="AW23" s="25" t="e">
        <f>【収益】水需要予測!#REF!</f>
        <v>#REF!</v>
      </c>
      <c r="AX23" s="25" t="e">
        <f>【収益】水需要予測!#REF!</f>
        <v>#REF!</v>
      </c>
      <c r="AY23" s="25" t="e">
        <f>【収益】水需要予測!#REF!</f>
        <v>#REF!</v>
      </c>
      <c r="AZ23" s="25" t="e">
        <f>【収益】水需要予測!#REF!</f>
        <v>#REF!</v>
      </c>
      <c r="BA23" s="25" t="e">
        <f>【収益】水需要予測!#REF!</f>
        <v>#REF!</v>
      </c>
      <c r="BB23" s="25" t="e">
        <f>【収益】水需要予測!#REF!</f>
        <v>#REF!</v>
      </c>
      <c r="BC23" s="25" t="e">
        <f>【収益】水需要予測!#REF!</f>
        <v>#REF!</v>
      </c>
      <c r="BD23" s="25" t="e">
        <f>【収益】水需要予測!#REF!</f>
        <v>#REF!</v>
      </c>
      <c r="BE23" s="25" t="e">
        <f>【収益】水需要予測!#REF!</f>
        <v>#REF!</v>
      </c>
      <c r="BF23" s="25" t="e">
        <f>【収益】水需要予測!#REF!</f>
        <v>#REF!</v>
      </c>
      <c r="BG23" s="25" t="e">
        <f>【収益】水需要予測!#REF!</f>
        <v>#REF!</v>
      </c>
      <c r="BH23" s="25" t="e">
        <f>【収益】水需要予測!#REF!</f>
        <v>#REF!</v>
      </c>
      <c r="BI23" s="25" t="e">
        <f>【収益】水需要予測!#REF!</f>
        <v>#REF!</v>
      </c>
      <c r="BJ23" s="25" t="e">
        <f>【収益】水需要予測!#REF!</f>
        <v>#REF!</v>
      </c>
      <c r="BK23" s="25" t="e">
        <f>【収益】水需要予測!#REF!</f>
        <v>#REF!</v>
      </c>
      <c r="BL23" s="25" t="e">
        <f>【収益】水需要予測!#REF!</f>
        <v>#REF!</v>
      </c>
      <c r="BM23" s="25" t="e">
        <f>【収益】水需要予測!#REF!</f>
        <v>#REF!</v>
      </c>
      <c r="BN23" s="25" t="e">
        <f>【収益】水需要予測!#REF!</f>
        <v>#REF!</v>
      </c>
      <c r="BO23" s="25" t="e">
        <f>【収益】水需要予測!#REF!</f>
        <v>#REF!</v>
      </c>
      <c r="BP23" s="25" t="e">
        <f>【収益】水需要予測!#REF!</f>
        <v>#REF!</v>
      </c>
    </row>
    <row r="24" spans="13:68" s="24" customFormat="1" hidden="1">
      <c r="M24" s="25" t="s">
        <v>157</v>
      </c>
      <c r="N24" s="43"/>
      <c r="O24" s="43"/>
      <c r="P24" s="43"/>
      <c r="Q24" s="43"/>
      <c r="R24" s="43"/>
      <c r="S24" s="39" t="e">
        <f>S23*'【料金算定－要領】総括原価'!$N$37*12</f>
        <v>#REF!</v>
      </c>
      <c r="T24" s="39" t="e">
        <f>T23*'【料金算定－要領】総括原価'!$N$37*12</f>
        <v>#REF!</v>
      </c>
      <c r="U24" s="39" t="e">
        <f>U23*'【料金算定－要領】総括原価'!$N$37*12</f>
        <v>#REF!</v>
      </c>
      <c r="V24" s="39" t="e">
        <f>V23*'【料金算定－要領】総括原価'!$N$37*12</f>
        <v>#REF!</v>
      </c>
      <c r="W24" s="39" t="e">
        <f>W23*'【料金算定－要領】総括原価'!$N$37*12</f>
        <v>#REF!</v>
      </c>
      <c r="X24" s="39" t="e">
        <f>X23*'【料金算定－要領】総括原価'!$N$37*12</f>
        <v>#REF!</v>
      </c>
      <c r="Y24" s="39" t="e">
        <f>Y23*'【料金算定－要領】総括原価'!$N$37*12</f>
        <v>#REF!</v>
      </c>
      <c r="Z24" s="39" t="e">
        <f>Z23*'【料金算定－要領】総括原価'!$N$37*12</f>
        <v>#REF!</v>
      </c>
      <c r="AA24" s="39" t="e">
        <f>AA23*'【料金算定－要領】総括原価'!$N$37*12</f>
        <v>#REF!</v>
      </c>
      <c r="AB24" s="39" t="e">
        <f>AB23*'【料金算定－要領】総括原価'!$N$37*12</f>
        <v>#REF!</v>
      </c>
      <c r="AC24" s="39" t="e">
        <f>AC23*'【料金算定－要領】総括原価'!$N$37*12</f>
        <v>#REF!</v>
      </c>
      <c r="AD24" s="39" t="e">
        <f>AD23*'【料金算定－要領】総括原価'!$N$37*12</f>
        <v>#REF!</v>
      </c>
      <c r="AE24" s="39" t="e">
        <f>AE23*'【料金算定－要領】総括原価'!$N$37*12</f>
        <v>#REF!</v>
      </c>
      <c r="AF24" s="39" t="e">
        <f>AF23*'【料金算定－要領】総括原価'!$N$37*12</f>
        <v>#REF!</v>
      </c>
      <c r="AG24" s="39" t="e">
        <f>AG23*'【料金算定－要領】総括原価'!$N$37*12</f>
        <v>#REF!</v>
      </c>
      <c r="AH24" s="39" t="e">
        <f>AH23*'【料金算定－要領】総括原価'!$N$37*12</f>
        <v>#REF!</v>
      </c>
      <c r="AI24" s="39" t="e">
        <f>AI23*'【料金算定－要領】総括原価'!$N$37*12</f>
        <v>#REF!</v>
      </c>
      <c r="AJ24" s="39" t="e">
        <f>AJ23*'【料金算定－要領】総括原価'!$N$37*12</f>
        <v>#REF!</v>
      </c>
      <c r="AK24" s="39" t="e">
        <f>AK23*'【料金算定－要領】総括原価'!$N$37*12</f>
        <v>#REF!</v>
      </c>
      <c r="AL24" s="39" t="e">
        <f>AL23*'【料金算定－要領】総括原価'!$N$37*12</f>
        <v>#REF!</v>
      </c>
      <c r="AM24" s="39" t="e">
        <f>AM23*'【料金算定－要領】総括原価'!$N$37*12</f>
        <v>#REF!</v>
      </c>
      <c r="AN24" s="39" t="e">
        <f>AN23*'【料金算定－要領】総括原価'!$N$37*12</f>
        <v>#REF!</v>
      </c>
      <c r="AO24" s="39" t="e">
        <f>AO23*'【料金算定－要領】総括原価'!$N$37*12</f>
        <v>#REF!</v>
      </c>
      <c r="AP24" s="39" t="e">
        <f>AP23*'【料金算定－要領】総括原価'!$N$37*12</f>
        <v>#REF!</v>
      </c>
      <c r="AQ24" s="39" t="e">
        <f>AQ23*'【料金算定－要領】総括原価'!$N$37*12</f>
        <v>#REF!</v>
      </c>
      <c r="AR24" s="39" t="e">
        <f>AR23*'【料金算定－要領】総括原価'!$N$37*12</f>
        <v>#REF!</v>
      </c>
      <c r="AS24" s="39" t="e">
        <f>AS23*'【料金算定－要領】総括原価'!$N$37*12</f>
        <v>#REF!</v>
      </c>
      <c r="AT24" s="39" t="e">
        <f>AT23*'【料金算定－要領】総括原価'!$N$37*12</f>
        <v>#REF!</v>
      </c>
      <c r="AU24" s="39" t="e">
        <f>AU23*'【料金算定－要領】総括原価'!$N$37*12</f>
        <v>#REF!</v>
      </c>
      <c r="AV24" s="39" t="e">
        <f>AV23*'【料金算定－要領】総括原価'!$N$37*12</f>
        <v>#REF!</v>
      </c>
      <c r="AW24" s="39" t="e">
        <f>AW23*'【料金算定－要領】総括原価'!$N$37*12</f>
        <v>#REF!</v>
      </c>
      <c r="AX24" s="39" t="e">
        <f>AX23*'【料金算定－要領】総括原価'!$N$37*12</f>
        <v>#REF!</v>
      </c>
      <c r="AY24" s="39" t="e">
        <f>AY23*'【料金算定－要領】総括原価'!$N$37*12</f>
        <v>#REF!</v>
      </c>
      <c r="AZ24" s="39" t="e">
        <f>AZ23*'【料金算定－要領】総括原価'!$N$37*12</f>
        <v>#REF!</v>
      </c>
      <c r="BA24" s="39" t="e">
        <f>BA23*'【料金算定－要領】総括原価'!$N$37*12</f>
        <v>#REF!</v>
      </c>
      <c r="BB24" s="39" t="e">
        <f>BB23*'【料金算定－要領】総括原価'!$N$37*12</f>
        <v>#REF!</v>
      </c>
      <c r="BC24" s="39" t="e">
        <f>BC23*'【料金算定－要領】総括原価'!$N$37*12</f>
        <v>#REF!</v>
      </c>
      <c r="BD24" s="39" t="e">
        <f>BD23*'【料金算定－要領】総括原価'!$N$37*12</f>
        <v>#REF!</v>
      </c>
      <c r="BE24" s="39" t="e">
        <f>BE23*'【料金算定－要領】総括原価'!$N$37*12</f>
        <v>#REF!</v>
      </c>
      <c r="BF24" s="39" t="e">
        <f>BF23*'【料金算定－要領】総括原価'!$N$37*12</f>
        <v>#REF!</v>
      </c>
      <c r="BG24" s="39" t="e">
        <f>BG23*'【料金算定－要領】総括原価'!$N$37*12</f>
        <v>#REF!</v>
      </c>
      <c r="BH24" s="39" t="e">
        <f>BH23*'【料金算定－要領】総括原価'!$N$37*12</f>
        <v>#REF!</v>
      </c>
      <c r="BI24" s="39" t="e">
        <f>BI23*'【料金算定－要領】総括原価'!$N$37*12</f>
        <v>#REF!</v>
      </c>
      <c r="BJ24" s="39" t="e">
        <f>BJ23*'【料金算定－要領】総括原価'!$N$37*12</f>
        <v>#REF!</v>
      </c>
      <c r="BK24" s="39" t="e">
        <f>BK23*'【料金算定－要領】総括原価'!$N$37*12</f>
        <v>#REF!</v>
      </c>
      <c r="BL24" s="39" t="e">
        <f>BL23*'【料金算定－要領】総括原価'!$N$37*12</f>
        <v>#REF!</v>
      </c>
      <c r="BM24" s="39" t="e">
        <f>BM23*'【料金算定－要領】総括原価'!$N$37*12</f>
        <v>#REF!</v>
      </c>
      <c r="BN24" s="39" t="e">
        <f>BN23*'【料金算定－要領】総括原価'!$N$37*12</f>
        <v>#REF!</v>
      </c>
      <c r="BO24" s="39" t="e">
        <f>BO23*'【料金算定－要領】総括原価'!$N$37*12</f>
        <v>#REF!</v>
      </c>
      <c r="BP24" s="39" t="e">
        <f>BP23*'【料金算定－要領】総括原価'!$N$37*12</f>
        <v>#REF!</v>
      </c>
    </row>
    <row r="25" spans="13:68" s="24" customFormat="1" hidden="1">
      <c r="M25" s="25" t="s">
        <v>158</v>
      </c>
      <c r="N25" s="43"/>
      <c r="O25" s="43"/>
      <c r="P25" s="43"/>
      <c r="Q25" s="43"/>
      <c r="R25" s="43"/>
      <c r="S25" s="39" t="e">
        <f>S21*'【料金算定－要領】総括原価'!$J$45+'【収益－要領】給水収益'!S22*'【料金算定－要領】総括原価'!$J$46</f>
        <v>#REF!</v>
      </c>
      <c r="T25" s="39" t="e">
        <f>T21*'【料金算定－要領】総括原価'!$J$45+'【収益－要領】給水収益'!T22*'【料金算定－要領】総括原価'!$J$46</f>
        <v>#REF!</v>
      </c>
      <c r="U25" s="39" t="e">
        <f>U21*'【料金算定－要領】総括原価'!$J$45+'【収益－要領】給水収益'!U22*'【料金算定－要領】総括原価'!$J$46</f>
        <v>#REF!</v>
      </c>
      <c r="V25" s="39" t="e">
        <f>V21*'【料金算定－要領】総括原価'!$J$45+'【収益－要領】給水収益'!V22*'【料金算定－要領】総括原価'!$J$46</f>
        <v>#REF!</v>
      </c>
      <c r="W25" s="39" t="e">
        <f>W21*'【料金算定－要領】総括原価'!$J$45+'【収益－要領】給水収益'!W22*'【料金算定－要領】総括原価'!$J$46</f>
        <v>#REF!</v>
      </c>
      <c r="X25" s="39" t="e">
        <f>X21*'【料金算定－要領】総括原価'!$J$45+'【収益－要領】給水収益'!X22*'【料金算定－要領】総括原価'!$J$46</f>
        <v>#REF!</v>
      </c>
      <c r="Y25" s="39" t="e">
        <f>Y21*'【料金算定－要領】総括原価'!$J$45+'【収益－要領】給水収益'!Y22*'【料金算定－要領】総括原価'!$J$46</f>
        <v>#REF!</v>
      </c>
      <c r="Z25" s="39" t="e">
        <f>Z21*'【料金算定－要領】総括原価'!$J$45+'【収益－要領】給水収益'!Z22*'【料金算定－要領】総括原価'!$J$46</f>
        <v>#REF!</v>
      </c>
      <c r="AA25" s="39" t="e">
        <f>AA21*'【料金算定－要領】総括原価'!$J$45+'【収益－要領】給水収益'!AA22*'【料金算定－要領】総括原価'!$J$46</f>
        <v>#REF!</v>
      </c>
      <c r="AB25" s="39" t="e">
        <f>AB21*'【料金算定－要領】総括原価'!$J$45+'【収益－要領】給水収益'!AB22*'【料金算定－要領】総括原価'!$J$46</f>
        <v>#REF!</v>
      </c>
      <c r="AC25" s="39" t="e">
        <f>AC21*'【料金算定－要領】総括原価'!$J$45+'【収益－要領】給水収益'!AC22*'【料金算定－要領】総括原価'!$J$46</f>
        <v>#REF!</v>
      </c>
      <c r="AD25" s="39" t="e">
        <f>AD21*'【料金算定－要領】総括原価'!$J$45+'【収益－要領】給水収益'!AD22*'【料金算定－要領】総括原価'!$J$46</f>
        <v>#REF!</v>
      </c>
      <c r="AE25" s="39" t="e">
        <f>AE21*'【料金算定－要領】総括原価'!$J$45+'【収益－要領】給水収益'!AE22*'【料金算定－要領】総括原価'!$J$46</f>
        <v>#REF!</v>
      </c>
      <c r="AF25" s="39" t="e">
        <f>AF21*'【料金算定－要領】総括原価'!$J$45+'【収益－要領】給水収益'!AF22*'【料金算定－要領】総括原価'!$J$46</f>
        <v>#REF!</v>
      </c>
      <c r="AG25" s="39" t="e">
        <f>AG21*'【料金算定－要領】総括原価'!$J$45+'【収益－要領】給水収益'!AG22*'【料金算定－要領】総括原価'!$J$46</f>
        <v>#REF!</v>
      </c>
      <c r="AH25" s="39" t="e">
        <f>AH21*'【料金算定－要領】総括原価'!$J$45+'【収益－要領】給水収益'!AH22*'【料金算定－要領】総括原価'!$J$46</f>
        <v>#REF!</v>
      </c>
      <c r="AI25" s="39" t="e">
        <f>AI21*'【料金算定－要領】総括原価'!$J$45+'【収益－要領】給水収益'!AI22*'【料金算定－要領】総括原価'!$J$46</f>
        <v>#REF!</v>
      </c>
      <c r="AJ25" s="39" t="e">
        <f>AJ21*'【料金算定－要領】総括原価'!$J$45+'【収益－要領】給水収益'!AJ22*'【料金算定－要領】総括原価'!$J$46</f>
        <v>#REF!</v>
      </c>
      <c r="AK25" s="39" t="e">
        <f>AK21*'【料金算定－要領】総括原価'!$J$45+'【収益－要領】給水収益'!AK22*'【料金算定－要領】総括原価'!$J$46</f>
        <v>#REF!</v>
      </c>
      <c r="AL25" s="39" t="e">
        <f>AL21*'【料金算定－要領】総括原価'!$J$45+'【収益－要領】給水収益'!AL22*'【料金算定－要領】総括原価'!$J$46</f>
        <v>#REF!</v>
      </c>
      <c r="AM25" s="39" t="e">
        <f>AM21*'【料金算定－要領】総括原価'!$J$45+'【収益－要領】給水収益'!AM22*'【料金算定－要領】総括原価'!$J$46</f>
        <v>#REF!</v>
      </c>
      <c r="AN25" s="39" t="e">
        <f>AN21*'【料金算定－要領】総括原価'!$J$45+'【収益－要領】給水収益'!AN22*'【料金算定－要領】総括原価'!$J$46</f>
        <v>#REF!</v>
      </c>
      <c r="AO25" s="39" t="e">
        <f>AO21*'【料金算定－要領】総括原価'!$J$45+'【収益－要領】給水収益'!AO22*'【料金算定－要領】総括原価'!$J$46</f>
        <v>#REF!</v>
      </c>
      <c r="AP25" s="39" t="e">
        <f>AP21*'【料金算定－要領】総括原価'!$J$45+'【収益－要領】給水収益'!AP22*'【料金算定－要領】総括原価'!$J$46</f>
        <v>#REF!</v>
      </c>
      <c r="AQ25" s="39" t="e">
        <f>AQ21*'【料金算定－要領】総括原価'!$J$45+'【収益－要領】給水収益'!AQ22*'【料金算定－要領】総括原価'!$J$46</f>
        <v>#REF!</v>
      </c>
      <c r="AR25" s="39" t="e">
        <f>AR21*'【料金算定－要領】総括原価'!$J$45+'【収益－要領】給水収益'!AR22*'【料金算定－要領】総括原価'!$J$46</f>
        <v>#REF!</v>
      </c>
      <c r="AS25" s="39" t="e">
        <f>AS21*'【料金算定－要領】総括原価'!$J$45+'【収益－要領】給水収益'!AS22*'【料金算定－要領】総括原価'!$J$46</f>
        <v>#REF!</v>
      </c>
      <c r="AT25" s="39" t="e">
        <f>AT21*'【料金算定－要領】総括原価'!$J$45+'【収益－要領】給水収益'!AT22*'【料金算定－要領】総括原価'!$J$46</f>
        <v>#REF!</v>
      </c>
      <c r="AU25" s="39" t="e">
        <f>AU21*'【料金算定－要領】総括原価'!$J$45+'【収益－要領】給水収益'!AU22*'【料金算定－要領】総括原価'!$J$46</f>
        <v>#REF!</v>
      </c>
      <c r="AV25" s="39" t="e">
        <f>AV21*'【料金算定－要領】総括原価'!$J$45+'【収益－要領】給水収益'!AV22*'【料金算定－要領】総括原価'!$J$46</f>
        <v>#REF!</v>
      </c>
      <c r="AW25" s="39" t="e">
        <f>AW21*'【料金算定－要領】総括原価'!$J$45+'【収益－要領】給水収益'!AW22*'【料金算定－要領】総括原価'!$J$46</f>
        <v>#REF!</v>
      </c>
      <c r="AX25" s="39" t="e">
        <f>AX21*'【料金算定－要領】総括原価'!$J$45+'【収益－要領】給水収益'!AX22*'【料金算定－要領】総括原価'!$J$46</f>
        <v>#REF!</v>
      </c>
      <c r="AY25" s="39" t="e">
        <f>AY21*'【料金算定－要領】総括原価'!$J$45+'【収益－要領】給水収益'!AY22*'【料金算定－要領】総括原価'!$J$46</f>
        <v>#REF!</v>
      </c>
      <c r="AZ25" s="39" t="e">
        <f>AZ21*'【料金算定－要領】総括原価'!$J$45+'【収益－要領】給水収益'!AZ22*'【料金算定－要領】総括原価'!$J$46</f>
        <v>#REF!</v>
      </c>
      <c r="BA25" s="39" t="e">
        <f>BA21*'【料金算定－要領】総括原価'!$J$45+'【収益－要領】給水収益'!BA22*'【料金算定－要領】総括原価'!$J$46</f>
        <v>#REF!</v>
      </c>
      <c r="BB25" s="39" t="e">
        <f>BB21*'【料金算定－要領】総括原価'!$J$45+'【収益－要領】給水収益'!BB22*'【料金算定－要領】総括原価'!$J$46</f>
        <v>#REF!</v>
      </c>
      <c r="BC25" s="39" t="e">
        <f>BC21*'【料金算定－要領】総括原価'!$J$45+'【収益－要領】給水収益'!BC22*'【料金算定－要領】総括原価'!$J$46</f>
        <v>#REF!</v>
      </c>
      <c r="BD25" s="39" t="e">
        <f>BD21*'【料金算定－要領】総括原価'!$J$45+'【収益－要領】給水収益'!BD22*'【料金算定－要領】総括原価'!$J$46</f>
        <v>#REF!</v>
      </c>
      <c r="BE25" s="39" t="e">
        <f>BE21*'【料金算定－要領】総括原価'!$J$45+'【収益－要領】給水収益'!BE22*'【料金算定－要領】総括原価'!$J$46</f>
        <v>#REF!</v>
      </c>
      <c r="BF25" s="39" t="e">
        <f>BF21*'【料金算定－要領】総括原価'!$J$45+'【収益－要領】給水収益'!BF22*'【料金算定－要領】総括原価'!$J$46</f>
        <v>#REF!</v>
      </c>
      <c r="BG25" s="39" t="e">
        <f>BG21*'【料金算定－要領】総括原価'!$J$45+'【収益－要領】給水収益'!BG22*'【料金算定－要領】総括原価'!$J$46</f>
        <v>#REF!</v>
      </c>
      <c r="BH25" s="39" t="e">
        <f>BH21*'【料金算定－要領】総括原価'!$J$45+'【収益－要領】給水収益'!BH22*'【料金算定－要領】総括原価'!$J$46</f>
        <v>#REF!</v>
      </c>
      <c r="BI25" s="39" t="e">
        <f>BI21*'【料金算定－要領】総括原価'!$J$45+'【収益－要領】給水収益'!BI22*'【料金算定－要領】総括原価'!$J$46</f>
        <v>#REF!</v>
      </c>
      <c r="BJ25" s="39" t="e">
        <f>BJ21*'【料金算定－要領】総括原価'!$J$45+'【収益－要領】給水収益'!BJ22*'【料金算定－要領】総括原価'!$J$46</f>
        <v>#REF!</v>
      </c>
      <c r="BK25" s="39" t="e">
        <f>BK21*'【料金算定－要領】総括原価'!$J$45+'【収益－要領】給水収益'!BK22*'【料金算定－要領】総括原価'!$J$46</f>
        <v>#REF!</v>
      </c>
      <c r="BL25" s="39" t="e">
        <f>BL21*'【料金算定－要領】総括原価'!$J$45+'【収益－要領】給水収益'!BL22*'【料金算定－要領】総括原価'!$J$46</f>
        <v>#REF!</v>
      </c>
      <c r="BM25" s="39" t="e">
        <f>BM21*'【料金算定－要領】総括原価'!$J$45+'【収益－要領】給水収益'!BM22*'【料金算定－要領】総括原価'!$J$46</f>
        <v>#REF!</v>
      </c>
      <c r="BN25" s="39" t="e">
        <f>BN21*'【料金算定－要領】総括原価'!$J$45+'【収益－要領】給水収益'!BN22*'【料金算定－要領】総括原価'!$J$46</f>
        <v>#REF!</v>
      </c>
      <c r="BO25" s="39" t="e">
        <f>BO21*'【料金算定－要領】総括原価'!$J$45+'【収益－要領】給水収益'!BO22*'【料金算定－要領】総括原価'!$J$46</f>
        <v>#REF!</v>
      </c>
      <c r="BP25" s="39" t="e">
        <f>BP21*'【料金算定－要領】総括原価'!$J$45+'【収益－要領】給水収益'!BP22*'【料金算定－要領】総括原価'!$J$46</f>
        <v>#REF!</v>
      </c>
    </row>
    <row r="26" spans="13:68" s="24" customFormat="1" hidden="1">
      <c r="M26" s="25" t="s">
        <v>151</v>
      </c>
      <c r="N26" s="25">
        <f>SUM(N24:N25)</f>
        <v>0</v>
      </c>
      <c r="O26" s="25">
        <f t="shared" ref="O26:BP26" si="1">SUM(O24:O25)</f>
        <v>0</v>
      </c>
      <c r="P26" s="25">
        <f t="shared" si="1"/>
        <v>0</v>
      </c>
      <c r="Q26" s="25">
        <f t="shared" si="1"/>
        <v>0</v>
      </c>
      <c r="R26" s="25">
        <f t="shared" si="1"/>
        <v>0</v>
      </c>
      <c r="S26" s="39" t="e">
        <f t="shared" si="1"/>
        <v>#REF!</v>
      </c>
      <c r="T26" s="39" t="e">
        <f t="shared" si="1"/>
        <v>#REF!</v>
      </c>
      <c r="U26" s="39" t="e">
        <f t="shared" si="1"/>
        <v>#REF!</v>
      </c>
      <c r="V26" s="39" t="e">
        <f t="shared" si="1"/>
        <v>#REF!</v>
      </c>
      <c r="W26" s="39" t="e">
        <f t="shared" si="1"/>
        <v>#REF!</v>
      </c>
      <c r="X26" s="39" t="e">
        <f t="shared" si="1"/>
        <v>#REF!</v>
      </c>
      <c r="Y26" s="39" t="e">
        <f t="shared" si="1"/>
        <v>#REF!</v>
      </c>
      <c r="Z26" s="39" t="e">
        <f t="shared" si="1"/>
        <v>#REF!</v>
      </c>
      <c r="AA26" s="39" t="e">
        <f t="shared" si="1"/>
        <v>#REF!</v>
      </c>
      <c r="AB26" s="39" t="e">
        <f t="shared" si="1"/>
        <v>#REF!</v>
      </c>
      <c r="AC26" s="39" t="e">
        <f t="shared" si="1"/>
        <v>#REF!</v>
      </c>
      <c r="AD26" s="39" t="e">
        <f t="shared" si="1"/>
        <v>#REF!</v>
      </c>
      <c r="AE26" s="39" t="e">
        <f t="shared" si="1"/>
        <v>#REF!</v>
      </c>
      <c r="AF26" s="39" t="e">
        <f t="shared" si="1"/>
        <v>#REF!</v>
      </c>
      <c r="AG26" s="39" t="e">
        <f t="shared" si="1"/>
        <v>#REF!</v>
      </c>
      <c r="AH26" s="39" t="e">
        <f t="shared" si="1"/>
        <v>#REF!</v>
      </c>
      <c r="AI26" s="39" t="e">
        <f t="shared" si="1"/>
        <v>#REF!</v>
      </c>
      <c r="AJ26" s="39" t="e">
        <f t="shared" si="1"/>
        <v>#REF!</v>
      </c>
      <c r="AK26" s="39" t="e">
        <f t="shared" si="1"/>
        <v>#REF!</v>
      </c>
      <c r="AL26" s="39" t="e">
        <f t="shared" si="1"/>
        <v>#REF!</v>
      </c>
      <c r="AM26" s="39" t="e">
        <f t="shared" si="1"/>
        <v>#REF!</v>
      </c>
      <c r="AN26" s="39" t="e">
        <f t="shared" si="1"/>
        <v>#REF!</v>
      </c>
      <c r="AO26" s="39" t="e">
        <f t="shared" si="1"/>
        <v>#REF!</v>
      </c>
      <c r="AP26" s="39" t="e">
        <f t="shared" si="1"/>
        <v>#REF!</v>
      </c>
      <c r="AQ26" s="39" t="e">
        <f t="shared" si="1"/>
        <v>#REF!</v>
      </c>
      <c r="AR26" s="39" t="e">
        <f t="shared" si="1"/>
        <v>#REF!</v>
      </c>
      <c r="AS26" s="39" t="e">
        <f t="shared" si="1"/>
        <v>#REF!</v>
      </c>
      <c r="AT26" s="39" t="e">
        <f t="shared" si="1"/>
        <v>#REF!</v>
      </c>
      <c r="AU26" s="39" t="e">
        <f t="shared" si="1"/>
        <v>#REF!</v>
      </c>
      <c r="AV26" s="39" t="e">
        <f t="shared" si="1"/>
        <v>#REF!</v>
      </c>
      <c r="AW26" s="39" t="e">
        <f t="shared" si="1"/>
        <v>#REF!</v>
      </c>
      <c r="AX26" s="39" t="e">
        <f t="shared" si="1"/>
        <v>#REF!</v>
      </c>
      <c r="AY26" s="39" t="e">
        <f t="shared" si="1"/>
        <v>#REF!</v>
      </c>
      <c r="AZ26" s="39" t="e">
        <f t="shared" si="1"/>
        <v>#REF!</v>
      </c>
      <c r="BA26" s="39" t="e">
        <f t="shared" si="1"/>
        <v>#REF!</v>
      </c>
      <c r="BB26" s="39" t="e">
        <f t="shared" si="1"/>
        <v>#REF!</v>
      </c>
      <c r="BC26" s="39" t="e">
        <f t="shared" si="1"/>
        <v>#REF!</v>
      </c>
      <c r="BD26" s="39" t="e">
        <f t="shared" si="1"/>
        <v>#REF!</v>
      </c>
      <c r="BE26" s="39" t="e">
        <f t="shared" si="1"/>
        <v>#REF!</v>
      </c>
      <c r="BF26" s="39" t="e">
        <f t="shared" si="1"/>
        <v>#REF!</v>
      </c>
      <c r="BG26" s="39" t="e">
        <f t="shared" si="1"/>
        <v>#REF!</v>
      </c>
      <c r="BH26" s="39" t="e">
        <f t="shared" si="1"/>
        <v>#REF!</v>
      </c>
      <c r="BI26" s="39" t="e">
        <f t="shared" si="1"/>
        <v>#REF!</v>
      </c>
      <c r="BJ26" s="39" t="e">
        <f t="shared" si="1"/>
        <v>#REF!</v>
      </c>
      <c r="BK26" s="39" t="e">
        <f t="shared" si="1"/>
        <v>#REF!</v>
      </c>
      <c r="BL26" s="39" t="e">
        <f t="shared" si="1"/>
        <v>#REF!</v>
      </c>
      <c r="BM26" s="39" t="e">
        <f t="shared" si="1"/>
        <v>#REF!</v>
      </c>
      <c r="BN26" s="39" t="e">
        <f t="shared" si="1"/>
        <v>#REF!</v>
      </c>
      <c r="BO26" s="39" t="e">
        <f t="shared" si="1"/>
        <v>#REF!</v>
      </c>
      <c r="BP26" s="39" t="e">
        <f t="shared" si="1"/>
        <v>#REF!</v>
      </c>
    </row>
    <row r="27" spans="13:68" hidden="1"/>
    <row r="28" spans="13:68" hidden="1">
      <c r="M28" t="s">
        <v>154</v>
      </c>
    </row>
    <row r="29" spans="13:68" hidden="1">
      <c r="N29" s="21" t="s">
        <v>11</v>
      </c>
      <c r="O29" s="14"/>
      <c r="P29" s="14"/>
      <c r="Q29" s="14"/>
      <c r="R29" s="15"/>
      <c r="S29" s="23" t="s">
        <v>17</v>
      </c>
      <c r="T29" s="14"/>
      <c r="U29" s="14"/>
      <c r="V29" s="15"/>
      <c r="W29" s="22" t="s">
        <v>68</v>
      </c>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row>
    <row r="30" spans="13:68" hidden="1">
      <c r="N30" s="16" t="s">
        <v>12</v>
      </c>
      <c r="O30" s="16" t="s">
        <v>13</v>
      </c>
      <c r="P30" s="16" t="s">
        <v>14</v>
      </c>
      <c r="Q30" s="16" t="s">
        <v>15</v>
      </c>
      <c r="R30" s="16" t="s">
        <v>16</v>
      </c>
      <c r="S30" s="16" t="s">
        <v>18</v>
      </c>
      <c r="T30" s="16" t="s">
        <v>19</v>
      </c>
      <c r="U30" s="16" t="s">
        <v>20</v>
      </c>
      <c r="V30" s="16" t="s">
        <v>21</v>
      </c>
      <c r="W30" s="16" t="s">
        <v>22</v>
      </c>
      <c r="X30" s="16" t="s">
        <v>23</v>
      </c>
      <c r="Y30" s="16" t="s">
        <v>24</v>
      </c>
      <c r="Z30" s="16" t="s">
        <v>25</v>
      </c>
      <c r="AA30" s="16" t="s">
        <v>26</v>
      </c>
      <c r="AB30" s="16" t="s">
        <v>27</v>
      </c>
      <c r="AC30" s="16" t="s">
        <v>28</v>
      </c>
      <c r="AD30" s="16" t="s">
        <v>29</v>
      </c>
      <c r="AE30" s="16" t="s">
        <v>30</v>
      </c>
      <c r="AF30" s="16" t="s">
        <v>31</v>
      </c>
      <c r="AG30" s="16" t="s">
        <v>32</v>
      </c>
      <c r="AH30" s="16" t="s">
        <v>33</v>
      </c>
      <c r="AI30" s="16" t="s">
        <v>34</v>
      </c>
      <c r="AJ30" s="16" t="s">
        <v>35</v>
      </c>
      <c r="AK30" s="16" t="s">
        <v>36</v>
      </c>
      <c r="AL30" s="16" t="s">
        <v>37</v>
      </c>
      <c r="AM30" s="16" t="s">
        <v>38</v>
      </c>
      <c r="AN30" s="16" t="s">
        <v>39</v>
      </c>
      <c r="AO30" s="16" t="s">
        <v>40</v>
      </c>
      <c r="AP30" s="16" t="s">
        <v>41</v>
      </c>
      <c r="AQ30" s="16" t="s">
        <v>42</v>
      </c>
      <c r="AR30" s="16" t="s">
        <v>43</v>
      </c>
      <c r="AS30" s="16" t="s">
        <v>44</v>
      </c>
      <c r="AT30" s="16" t="s">
        <v>45</v>
      </c>
      <c r="AU30" s="16" t="s">
        <v>46</v>
      </c>
      <c r="AV30" s="16" t="s">
        <v>47</v>
      </c>
      <c r="AW30" s="16" t="s">
        <v>48</v>
      </c>
      <c r="AX30" s="16" t="s">
        <v>49</v>
      </c>
      <c r="AY30" s="16" t="s">
        <v>50</v>
      </c>
      <c r="AZ30" s="16" t="s">
        <v>51</v>
      </c>
      <c r="BA30" s="16" t="s">
        <v>52</v>
      </c>
      <c r="BB30" s="16" t="s">
        <v>53</v>
      </c>
      <c r="BC30" s="16" t="s">
        <v>54</v>
      </c>
      <c r="BD30" s="16" t="s">
        <v>55</v>
      </c>
      <c r="BE30" s="16" t="s">
        <v>56</v>
      </c>
      <c r="BF30" s="16" t="s">
        <v>57</v>
      </c>
      <c r="BG30" s="16" t="s">
        <v>58</v>
      </c>
      <c r="BH30" s="16" t="s">
        <v>59</v>
      </c>
      <c r="BI30" s="16" t="s">
        <v>60</v>
      </c>
      <c r="BJ30" s="16" t="s">
        <v>61</v>
      </c>
      <c r="BK30" s="16" t="s">
        <v>62</v>
      </c>
      <c r="BL30" s="16" t="s">
        <v>63</v>
      </c>
      <c r="BM30" s="16" t="s">
        <v>64</v>
      </c>
      <c r="BN30" s="16" t="s">
        <v>65</v>
      </c>
      <c r="BO30" s="16" t="s">
        <v>66</v>
      </c>
      <c r="BP30" s="16" t="s">
        <v>67</v>
      </c>
    </row>
    <row r="31" spans="13:68" s="24" customFormat="1" hidden="1">
      <c r="M31" s="25" t="s">
        <v>198</v>
      </c>
      <c r="N31" s="43"/>
      <c r="O31" s="43"/>
      <c r="P31" s="43"/>
      <c r="Q31" s="43"/>
      <c r="R31" s="43"/>
      <c r="S31" s="25" t="e">
        <f t="shared" ref="S31:AX31" si="2">S12+S20</f>
        <v>#REF!</v>
      </c>
      <c r="T31" s="25" t="e">
        <f t="shared" si="2"/>
        <v>#REF!</v>
      </c>
      <c r="U31" s="25" t="e">
        <f t="shared" si="2"/>
        <v>#REF!</v>
      </c>
      <c r="V31" s="25" t="e">
        <f t="shared" si="2"/>
        <v>#REF!</v>
      </c>
      <c r="W31" s="25" t="e">
        <f t="shared" si="2"/>
        <v>#REF!</v>
      </c>
      <c r="X31" s="25" t="e">
        <f t="shared" si="2"/>
        <v>#REF!</v>
      </c>
      <c r="Y31" s="25" t="e">
        <f t="shared" si="2"/>
        <v>#REF!</v>
      </c>
      <c r="Z31" s="25" t="e">
        <f t="shared" si="2"/>
        <v>#REF!</v>
      </c>
      <c r="AA31" s="25" t="e">
        <f t="shared" si="2"/>
        <v>#REF!</v>
      </c>
      <c r="AB31" s="25" t="e">
        <f t="shared" si="2"/>
        <v>#REF!</v>
      </c>
      <c r="AC31" s="25" t="e">
        <f t="shared" si="2"/>
        <v>#REF!</v>
      </c>
      <c r="AD31" s="25" t="e">
        <f t="shared" si="2"/>
        <v>#REF!</v>
      </c>
      <c r="AE31" s="25" t="e">
        <f t="shared" si="2"/>
        <v>#REF!</v>
      </c>
      <c r="AF31" s="25" t="e">
        <f t="shared" si="2"/>
        <v>#REF!</v>
      </c>
      <c r="AG31" s="25" t="e">
        <f t="shared" si="2"/>
        <v>#REF!</v>
      </c>
      <c r="AH31" s="25" t="e">
        <f t="shared" si="2"/>
        <v>#REF!</v>
      </c>
      <c r="AI31" s="25" t="e">
        <f t="shared" si="2"/>
        <v>#REF!</v>
      </c>
      <c r="AJ31" s="25" t="e">
        <f t="shared" si="2"/>
        <v>#REF!</v>
      </c>
      <c r="AK31" s="25" t="e">
        <f t="shared" si="2"/>
        <v>#REF!</v>
      </c>
      <c r="AL31" s="25" t="e">
        <f t="shared" si="2"/>
        <v>#REF!</v>
      </c>
      <c r="AM31" s="25" t="e">
        <f t="shared" si="2"/>
        <v>#REF!</v>
      </c>
      <c r="AN31" s="25" t="e">
        <f t="shared" si="2"/>
        <v>#REF!</v>
      </c>
      <c r="AO31" s="25" t="e">
        <f t="shared" si="2"/>
        <v>#REF!</v>
      </c>
      <c r="AP31" s="25" t="e">
        <f t="shared" si="2"/>
        <v>#REF!</v>
      </c>
      <c r="AQ31" s="25" t="e">
        <f t="shared" si="2"/>
        <v>#REF!</v>
      </c>
      <c r="AR31" s="25" t="e">
        <f t="shared" si="2"/>
        <v>#REF!</v>
      </c>
      <c r="AS31" s="25" t="e">
        <f t="shared" si="2"/>
        <v>#REF!</v>
      </c>
      <c r="AT31" s="25" t="e">
        <f t="shared" si="2"/>
        <v>#REF!</v>
      </c>
      <c r="AU31" s="25" t="e">
        <f t="shared" si="2"/>
        <v>#REF!</v>
      </c>
      <c r="AV31" s="25" t="e">
        <f t="shared" si="2"/>
        <v>#REF!</v>
      </c>
      <c r="AW31" s="25" t="e">
        <f t="shared" si="2"/>
        <v>#REF!</v>
      </c>
      <c r="AX31" s="25" t="e">
        <f t="shared" si="2"/>
        <v>#REF!</v>
      </c>
      <c r="AY31" s="25" t="e">
        <f t="shared" ref="AY31:BP31" si="3">AY12+AY20</f>
        <v>#REF!</v>
      </c>
      <c r="AZ31" s="25" t="e">
        <f t="shared" si="3"/>
        <v>#REF!</v>
      </c>
      <c r="BA31" s="25" t="e">
        <f t="shared" si="3"/>
        <v>#REF!</v>
      </c>
      <c r="BB31" s="25" t="e">
        <f t="shared" si="3"/>
        <v>#REF!</v>
      </c>
      <c r="BC31" s="25" t="e">
        <f t="shared" si="3"/>
        <v>#REF!</v>
      </c>
      <c r="BD31" s="25" t="e">
        <f t="shared" si="3"/>
        <v>#REF!</v>
      </c>
      <c r="BE31" s="25" t="e">
        <f t="shared" si="3"/>
        <v>#REF!</v>
      </c>
      <c r="BF31" s="25" t="e">
        <f t="shared" si="3"/>
        <v>#REF!</v>
      </c>
      <c r="BG31" s="25" t="e">
        <f t="shared" si="3"/>
        <v>#REF!</v>
      </c>
      <c r="BH31" s="25" t="e">
        <f t="shared" si="3"/>
        <v>#REF!</v>
      </c>
      <c r="BI31" s="25" t="e">
        <f t="shared" si="3"/>
        <v>#REF!</v>
      </c>
      <c r="BJ31" s="25" t="e">
        <f t="shared" si="3"/>
        <v>#REF!</v>
      </c>
      <c r="BK31" s="25" t="e">
        <f t="shared" si="3"/>
        <v>#REF!</v>
      </c>
      <c r="BL31" s="25" t="e">
        <f t="shared" si="3"/>
        <v>#REF!</v>
      </c>
      <c r="BM31" s="25" t="e">
        <f t="shared" si="3"/>
        <v>#REF!</v>
      </c>
      <c r="BN31" s="25" t="e">
        <f t="shared" si="3"/>
        <v>#REF!</v>
      </c>
      <c r="BO31" s="25" t="e">
        <f t="shared" si="3"/>
        <v>#REF!</v>
      </c>
      <c r="BP31" s="25" t="e">
        <f t="shared" si="3"/>
        <v>#REF!</v>
      </c>
    </row>
    <row r="32" spans="13:68" s="24" customFormat="1" hidden="1">
      <c r="M32" s="25" t="s">
        <v>199</v>
      </c>
      <c r="N32" s="43"/>
      <c r="O32" s="43"/>
      <c r="P32" s="43"/>
      <c r="Q32" s="43"/>
      <c r="R32" s="43"/>
      <c r="S32" s="25" t="e">
        <f t="shared" ref="S32:AX32" si="4">S7+S21</f>
        <v>#REF!</v>
      </c>
      <c r="T32" s="25" t="e">
        <f t="shared" si="4"/>
        <v>#REF!</v>
      </c>
      <c r="U32" s="25" t="e">
        <f t="shared" si="4"/>
        <v>#REF!</v>
      </c>
      <c r="V32" s="25" t="e">
        <f t="shared" si="4"/>
        <v>#REF!</v>
      </c>
      <c r="W32" s="25" t="e">
        <f t="shared" si="4"/>
        <v>#REF!</v>
      </c>
      <c r="X32" s="25" t="e">
        <f t="shared" si="4"/>
        <v>#REF!</v>
      </c>
      <c r="Y32" s="25" t="e">
        <f t="shared" si="4"/>
        <v>#REF!</v>
      </c>
      <c r="Z32" s="25" t="e">
        <f t="shared" si="4"/>
        <v>#REF!</v>
      </c>
      <c r="AA32" s="25" t="e">
        <f t="shared" si="4"/>
        <v>#REF!</v>
      </c>
      <c r="AB32" s="25" t="e">
        <f t="shared" si="4"/>
        <v>#REF!</v>
      </c>
      <c r="AC32" s="25" t="e">
        <f t="shared" si="4"/>
        <v>#REF!</v>
      </c>
      <c r="AD32" s="25" t="e">
        <f t="shared" si="4"/>
        <v>#REF!</v>
      </c>
      <c r="AE32" s="25" t="e">
        <f t="shared" si="4"/>
        <v>#REF!</v>
      </c>
      <c r="AF32" s="25" t="e">
        <f t="shared" si="4"/>
        <v>#REF!</v>
      </c>
      <c r="AG32" s="25" t="e">
        <f t="shared" si="4"/>
        <v>#REF!</v>
      </c>
      <c r="AH32" s="25" t="e">
        <f t="shared" si="4"/>
        <v>#REF!</v>
      </c>
      <c r="AI32" s="25" t="e">
        <f t="shared" si="4"/>
        <v>#REF!</v>
      </c>
      <c r="AJ32" s="25" t="e">
        <f t="shared" si="4"/>
        <v>#REF!</v>
      </c>
      <c r="AK32" s="25" t="e">
        <f t="shared" si="4"/>
        <v>#REF!</v>
      </c>
      <c r="AL32" s="25" t="e">
        <f t="shared" si="4"/>
        <v>#REF!</v>
      </c>
      <c r="AM32" s="25" t="e">
        <f t="shared" si="4"/>
        <v>#REF!</v>
      </c>
      <c r="AN32" s="25" t="e">
        <f t="shared" si="4"/>
        <v>#REF!</v>
      </c>
      <c r="AO32" s="25" t="e">
        <f t="shared" si="4"/>
        <v>#REF!</v>
      </c>
      <c r="AP32" s="25" t="e">
        <f t="shared" si="4"/>
        <v>#REF!</v>
      </c>
      <c r="AQ32" s="25" t="e">
        <f t="shared" si="4"/>
        <v>#REF!</v>
      </c>
      <c r="AR32" s="25" t="e">
        <f t="shared" si="4"/>
        <v>#REF!</v>
      </c>
      <c r="AS32" s="25" t="e">
        <f t="shared" si="4"/>
        <v>#REF!</v>
      </c>
      <c r="AT32" s="25" t="e">
        <f t="shared" si="4"/>
        <v>#REF!</v>
      </c>
      <c r="AU32" s="25" t="e">
        <f t="shared" si="4"/>
        <v>#REF!</v>
      </c>
      <c r="AV32" s="25" t="e">
        <f t="shared" si="4"/>
        <v>#REF!</v>
      </c>
      <c r="AW32" s="25" t="e">
        <f t="shared" si="4"/>
        <v>#REF!</v>
      </c>
      <c r="AX32" s="25" t="e">
        <f t="shared" si="4"/>
        <v>#REF!</v>
      </c>
      <c r="AY32" s="25" t="e">
        <f t="shared" ref="AY32:BP32" si="5">AY7+AY21</f>
        <v>#REF!</v>
      </c>
      <c r="AZ32" s="25" t="e">
        <f t="shared" si="5"/>
        <v>#REF!</v>
      </c>
      <c r="BA32" s="25" t="e">
        <f t="shared" si="5"/>
        <v>#REF!</v>
      </c>
      <c r="BB32" s="25" t="e">
        <f t="shared" si="5"/>
        <v>#REF!</v>
      </c>
      <c r="BC32" s="25" t="e">
        <f t="shared" si="5"/>
        <v>#REF!</v>
      </c>
      <c r="BD32" s="25" t="e">
        <f t="shared" si="5"/>
        <v>#REF!</v>
      </c>
      <c r="BE32" s="25" t="e">
        <f t="shared" si="5"/>
        <v>#REF!</v>
      </c>
      <c r="BF32" s="25" t="e">
        <f t="shared" si="5"/>
        <v>#REF!</v>
      </c>
      <c r="BG32" s="25" t="e">
        <f t="shared" si="5"/>
        <v>#REF!</v>
      </c>
      <c r="BH32" s="25" t="e">
        <f t="shared" si="5"/>
        <v>#REF!</v>
      </c>
      <c r="BI32" s="25" t="e">
        <f t="shared" si="5"/>
        <v>#REF!</v>
      </c>
      <c r="BJ32" s="25" t="e">
        <f t="shared" si="5"/>
        <v>#REF!</v>
      </c>
      <c r="BK32" s="25" t="e">
        <f t="shared" si="5"/>
        <v>#REF!</v>
      </c>
      <c r="BL32" s="25" t="e">
        <f t="shared" si="5"/>
        <v>#REF!</v>
      </c>
      <c r="BM32" s="25" t="e">
        <f t="shared" si="5"/>
        <v>#REF!</v>
      </c>
      <c r="BN32" s="25" t="e">
        <f t="shared" si="5"/>
        <v>#REF!</v>
      </c>
      <c r="BO32" s="25" t="e">
        <f t="shared" si="5"/>
        <v>#REF!</v>
      </c>
      <c r="BP32" s="25" t="e">
        <f t="shared" si="5"/>
        <v>#REF!</v>
      </c>
    </row>
    <row r="33" spans="13:68" s="24" customFormat="1" hidden="1">
      <c r="M33" s="25" t="s">
        <v>200</v>
      </c>
      <c r="N33" s="43"/>
      <c r="O33" s="43"/>
      <c r="P33" s="43"/>
      <c r="Q33" s="43"/>
      <c r="R33" s="43"/>
      <c r="S33" s="25" t="e">
        <f t="shared" ref="S33:BP33" si="6">S11+S22</f>
        <v>#REF!</v>
      </c>
      <c r="T33" s="25" t="e">
        <f t="shared" si="6"/>
        <v>#REF!</v>
      </c>
      <c r="U33" s="25" t="e">
        <f t="shared" si="6"/>
        <v>#REF!</v>
      </c>
      <c r="V33" s="25" t="e">
        <f t="shared" si="6"/>
        <v>#REF!</v>
      </c>
      <c r="W33" s="25" t="e">
        <f t="shared" si="6"/>
        <v>#REF!</v>
      </c>
      <c r="X33" s="25" t="e">
        <f t="shared" si="6"/>
        <v>#REF!</v>
      </c>
      <c r="Y33" s="25" t="e">
        <f t="shared" si="6"/>
        <v>#REF!</v>
      </c>
      <c r="Z33" s="25" t="e">
        <f t="shared" si="6"/>
        <v>#REF!</v>
      </c>
      <c r="AA33" s="25" t="e">
        <f t="shared" si="6"/>
        <v>#REF!</v>
      </c>
      <c r="AB33" s="25" t="e">
        <f t="shared" si="6"/>
        <v>#REF!</v>
      </c>
      <c r="AC33" s="25" t="e">
        <f t="shared" si="6"/>
        <v>#REF!</v>
      </c>
      <c r="AD33" s="25" t="e">
        <f t="shared" si="6"/>
        <v>#REF!</v>
      </c>
      <c r="AE33" s="25" t="e">
        <f t="shared" si="6"/>
        <v>#REF!</v>
      </c>
      <c r="AF33" s="25" t="e">
        <f t="shared" si="6"/>
        <v>#REF!</v>
      </c>
      <c r="AG33" s="25" t="e">
        <f t="shared" si="6"/>
        <v>#REF!</v>
      </c>
      <c r="AH33" s="25" t="e">
        <f t="shared" si="6"/>
        <v>#REF!</v>
      </c>
      <c r="AI33" s="25" t="e">
        <f t="shared" si="6"/>
        <v>#REF!</v>
      </c>
      <c r="AJ33" s="25" t="e">
        <f t="shared" si="6"/>
        <v>#REF!</v>
      </c>
      <c r="AK33" s="25" t="e">
        <f t="shared" si="6"/>
        <v>#REF!</v>
      </c>
      <c r="AL33" s="25" t="e">
        <f t="shared" si="6"/>
        <v>#REF!</v>
      </c>
      <c r="AM33" s="25" t="e">
        <f t="shared" si="6"/>
        <v>#REF!</v>
      </c>
      <c r="AN33" s="25" t="e">
        <f t="shared" si="6"/>
        <v>#REF!</v>
      </c>
      <c r="AO33" s="25" t="e">
        <f t="shared" si="6"/>
        <v>#REF!</v>
      </c>
      <c r="AP33" s="25" t="e">
        <f t="shared" si="6"/>
        <v>#REF!</v>
      </c>
      <c r="AQ33" s="25" t="e">
        <f t="shared" si="6"/>
        <v>#REF!</v>
      </c>
      <c r="AR33" s="25" t="e">
        <f t="shared" si="6"/>
        <v>#REF!</v>
      </c>
      <c r="AS33" s="25" t="e">
        <f t="shared" si="6"/>
        <v>#REF!</v>
      </c>
      <c r="AT33" s="25" t="e">
        <f t="shared" si="6"/>
        <v>#REF!</v>
      </c>
      <c r="AU33" s="25" t="e">
        <f t="shared" si="6"/>
        <v>#REF!</v>
      </c>
      <c r="AV33" s="25" t="e">
        <f t="shared" si="6"/>
        <v>#REF!</v>
      </c>
      <c r="AW33" s="25" t="e">
        <f t="shared" si="6"/>
        <v>#REF!</v>
      </c>
      <c r="AX33" s="25" t="e">
        <f t="shared" si="6"/>
        <v>#REF!</v>
      </c>
      <c r="AY33" s="25" t="e">
        <f t="shared" si="6"/>
        <v>#REF!</v>
      </c>
      <c r="AZ33" s="25" t="e">
        <f t="shared" si="6"/>
        <v>#REF!</v>
      </c>
      <c r="BA33" s="25" t="e">
        <f t="shared" si="6"/>
        <v>#REF!</v>
      </c>
      <c r="BB33" s="25" t="e">
        <f t="shared" si="6"/>
        <v>#REF!</v>
      </c>
      <c r="BC33" s="25" t="e">
        <f t="shared" si="6"/>
        <v>#REF!</v>
      </c>
      <c r="BD33" s="25" t="e">
        <f t="shared" si="6"/>
        <v>#REF!</v>
      </c>
      <c r="BE33" s="25" t="e">
        <f t="shared" si="6"/>
        <v>#REF!</v>
      </c>
      <c r="BF33" s="25" t="e">
        <f t="shared" si="6"/>
        <v>#REF!</v>
      </c>
      <c r="BG33" s="25" t="e">
        <f t="shared" si="6"/>
        <v>#REF!</v>
      </c>
      <c r="BH33" s="25" t="e">
        <f t="shared" si="6"/>
        <v>#REF!</v>
      </c>
      <c r="BI33" s="25" t="e">
        <f t="shared" si="6"/>
        <v>#REF!</v>
      </c>
      <c r="BJ33" s="25" t="e">
        <f t="shared" si="6"/>
        <v>#REF!</v>
      </c>
      <c r="BK33" s="25" t="e">
        <f t="shared" si="6"/>
        <v>#REF!</v>
      </c>
      <c r="BL33" s="25" t="e">
        <f t="shared" si="6"/>
        <v>#REF!</v>
      </c>
      <c r="BM33" s="25" t="e">
        <f t="shared" si="6"/>
        <v>#REF!</v>
      </c>
      <c r="BN33" s="25" t="e">
        <f t="shared" si="6"/>
        <v>#REF!</v>
      </c>
      <c r="BO33" s="25" t="e">
        <f t="shared" si="6"/>
        <v>#REF!</v>
      </c>
      <c r="BP33" s="25" t="e">
        <f t="shared" si="6"/>
        <v>#REF!</v>
      </c>
    </row>
    <row r="34" spans="13:68" s="24" customFormat="1" hidden="1">
      <c r="M34" s="25" t="s">
        <v>157</v>
      </c>
      <c r="N34" s="25">
        <f t="shared" ref="N34:AS34" si="7">N13+N24</f>
        <v>0</v>
      </c>
      <c r="O34" s="25">
        <f t="shared" si="7"/>
        <v>0</v>
      </c>
      <c r="P34" s="25">
        <f t="shared" si="7"/>
        <v>0</v>
      </c>
      <c r="Q34" s="25">
        <f t="shared" si="7"/>
        <v>0</v>
      </c>
      <c r="R34" s="25">
        <f t="shared" si="7"/>
        <v>0</v>
      </c>
      <c r="S34" s="39" t="e">
        <f t="shared" si="7"/>
        <v>#REF!</v>
      </c>
      <c r="T34" s="39" t="e">
        <f t="shared" si="7"/>
        <v>#REF!</v>
      </c>
      <c r="U34" s="39" t="e">
        <f t="shared" si="7"/>
        <v>#REF!</v>
      </c>
      <c r="V34" s="39" t="e">
        <f t="shared" si="7"/>
        <v>#REF!</v>
      </c>
      <c r="W34" s="39" t="e">
        <f t="shared" si="7"/>
        <v>#REF!</v>
      </c>
      <c r="X34" s="39" t="e">
        <f t="shared" si="7"/>
        <v>#REF!</v>
      </c>
      <c r="Y34" s="39" t="e">
        <f t="shared" si="7"/>
        <v>#REF!</v>
      </c>
      <c r="Z34" s="39" t="e">
        <f t="shared" si="7"/>
        <v>#REF!</v>
      </c>
      <c r="AA34" s="39" t="e">
        <f t="shared" si="7"/>
        <v>#REF!</v>
      </c>
      <c r="AB34" s="39" t="e">
        <f t="shared" si="7"/>
        <v>#REF!</v>
      </c>
      <c r="AC34" s="39" t="e">
        <f t="shared" si="7"/>
        <v>#REF!</v>
      </c>
      <c r="AD34" s="39" t="e">
        <f t="shared" si="7"/>
        <v>#REF!</v>
      </c>
      <c r="AE34" s="39" t="e">
        <f t="shared" si="7"/>
        <v>#REF!</v>
      </c>
      <c r="AF34" s="39" t="e">
        <f t="shared" si="7"/>
        <v>#REF!</v>
      </c>
      <c r="AG34" s="39" t="e">
        <f t="shared" si="7"/>
        <v>#REF!</v>
      </c>
      <c r="AH34" s="39" t="e">
        <f t="shared" si="7"/>
        <v>#REF!</v>
      </c>
      <c r="AI34" s="39" t="e">
        <f t="shared" si="7"/>
        <v>#REF!</v>
      </c>
      <c r="AJ34" s="39" t="e">
        <f t="shared" si="7"/>
        <v>#REF!</v>
      </c>
      <c r="AK34" s="39" t="e">
        <f t="shared" si="7"/>
        <v>#REF!</v>
      </c>
      <c r="AL34" s="39" t="e">
        <f t="shared" si="7"/>
        <v>#REF!</v>
      </c>
      <c r="AM34" s="39" t="e">
        <f t="shared" si="7"/>
        <v>#REF!</v>
      </c>
      <c r="AN34" s="39" t="e">
        <f t="shared" si="7"/>
        <v>#REF!</v>
      </c>
      <c r="AO34" s="39" t="e">
        <f t="shared" si="7"/>
        <v>#REF!</v>
      </c>
      <c r="AP34" s="39" t="e">
        <f t="shared" si="7"/>
        <v>#REF!</v>
      </c>
      <c r="AQ34" s="39" t="e">
        <f t="shared" si="7"/>
        <v>#REF!</v>
      </c>
      <c r="AR34" s="39" t="e">
        <f t="shared" si="7"/>
        <v>#REF!</v>
      </c>
      <c r="AS34" s="39" t="e">
        <f t="shared" si="7"/>
        <v>#REF!</v>
      </c>
      <c r="AT34" s="39" t="e">
        <f t="shared" ref="AT34:BP34" si="8">AT13+AT24</f>
        <v>#REF!</v>
      </c>
      <c r="AU34" s="39" t="e">
        <f t="shared" si="8"/>
        <v>#REF!</v>
      </c>
      <c r="AV34" s="39" t="e">
        <f t="shared" si="8"/>
        <v>#REF!</v>
      </c>
      <c r="AW34" s="39" t="e">
        <f t="shared" si="8"/>
        <v>#REF!</v>
      </c>
      <c r="AX34" s="39" t="e">
        <f t="shared" si="8"/>
        <v>#REF!</v>
      </c>
      <c r="AY34" s="39" t="e">
        <f t="shared" si="8"/>
        <v>#REF!</v>
      </c>
      <c r="AZ34" s="39" t="e">
        <f t="shared" si="8"/>
        <v>#REF!</v>
      </c>
      <c r="BA34" s="39" t="e">
        <f t="shared" si="8"/>
        <v>#REF!</v>
      </c>
      <c r="BB34" s="39" t="e">
        <f t="shared" si="8"/>
        <v>#REF!</v>
      </c>
      <c r="BC34" s="39" t="e">
        <f t="shared" si="8"/>
        <v>#REF!</v>
      </c>
      <c r="BD34" s="39" t="e">
        <f t="shared" si="8"/>
        <v>#REF!</v>
      </c>
      <c r="BE34" s="39" t="e">
        <f t="shared" si="8"/>
        <v>#REF!</v>
      </c>
      <c r="BF34" s="39" t="e">
        <f t="shared" si="8"/>
        <v>#REF!</v>
      </c>
      <c r="BG34" s="39" t="e">
        <f t="shared" si="8"/>
        <v>#REF!</v>
      </c>
      <c r="BH34" s="39" t="e">
        <f t="shared" si="8"/>
        <v>#REF!</v>
      </c>
      <c r="BI34" s="39" t="e">
        <f t="shared" si="8"/>
        <v>#REF!</v>
      </c>
      <c r="BJ34" s="39" t="e">
        <f t="shared" si="8"/>
        <v>#REF!</v>
      </c>
      <c r="BK34" s="39" t="e">
        <f t="shared" si="8"/>
        <v>#REF!</v>
      </c>
      <c r="BL34" s="39" t="e">
        <f t="shared" si="8"/>
        <v>#REF!</v>
      </c>
      <c r="BM34" s="39" t="e">
        <f t="shared" si="8"/>
        <v>#REF!</v>
      </c>
      <c r="BN34" s="39" t="e">
        <f t="shared" si="8"/>
        <v>#REF!</v>
      </c>
      <c r="BO34" s="39" t="e">
        <f t="shared" si="8"/>
        <v>#REF!</v>
      </c>
      <c r="BP34" s="39" t="e">
        <f t="shared" si="8"/>
        <v>#REF!</v>
      </c>
    </row>
    <row r="35" spans="13:68" s="24" customFormat="1" hidden="1">
      <c r="M35" s="25" t="s">
        <v>158</v>
      </c>
      <c r="N35" s="25">
        <f t="shared" ref="N35:AS35" si="9">N14+N25</f>
        <v>0</v>
      </c>
      <c r="O35" s="25">
        <f t="shared" si="9"/>
        <v>0</v>
      </c>
      <c r="P35" s="25">
        <f t="shared" si="9"/>
        <v>0</v>
      </c>
      <c r="Q35" s="25">
        <f t="shared" si="9"/>
        <v>0</v>
      </c>
      <c r="R35" s="25">
        <f t="shared" si="9"/>
        <v>0</v>
      </c>
      <c r="S35" s="39" t="e">
        <f t="shared" si="9"/>
        <v>#REF!</v>
      </c>
      <c r="T35" s="39" t="e">
        <f t="shared" si="9"/>
        <v>#REF!</v>
      </c>
      <c r="U35" s="39" t="e">
        <f t="shared" si="9"/>
        <v>#REF!</v>
      </c>
      <c r="V35" s="39" t="e">
        <f t="shared" si="9"/>
        <v>#REF!</v>
      </c>
      <c r="W35" s="39" t="e">
        <f t="shared" si="9"/>
        <v>#REF!</v>
      </c>
      <c r="X35" s="39" t="e">
        <f t="shared" si="9"/>
        <v>#REF!</v>
      </c>
      <c r="Y35" s="39" t="e">
        <f t="shared" si="9"/>
        <v>#REF!</v>
      </c>
      <c r="Z35" s="39" t="e">
        <f t="shared" si="9"/>
        <v>#REF!</v>
      </c>
      <c r="AA35" s="39" t="e">
        <f t="shared" si="9"/>
        <v>#REF!</v>
      </c>
      <c r="AB35" s="39" t="e">
        <f t="shared" si="9"/>
        <v>#REF!</v>
      </c>
      <c r="AC35" s="39" t="e">
        <f t="shared" si="9"/>
        <v>#REF!</v>
      </c>
      <c r="AD35" s="39" t="e">
        <f t="shared" si="9"/>
        <v>#REF!</v>
      </c>
      <c r="AE35" s="39" t="e">
        <f t="shared" si="9"/>
        <v>#REF!</v>
      </c>
      <c r="AF35" s="39" t="e">
        <f t="shared" si="9"/>
        <v>#REF!</v>
      </c>
      <c r="AG35" s="39" t="e">
        <f t="shared" si="9"/>
        <v>#REF!</v>
      </c>
      <c r="AH35" s="39" t="e">
        <f t="shared" si="9"/>
        <v>#REF!</v>
      </c>
      <c r="AI35" s="39" t="e">
        <f t="shared" si="9"/>
        <v>#REF!</v>
      </c>
      <c r="AJ35" s="39" t="e">
        <f t="shared" si="9"/>
        <v>#REF!</v>
      </c>
      <c r="AK35" s="39" t="e">
        <f t="shared" si="9"/>
        <v>#REF!</v>
      </c>
      <c r="AL35" s="39" t="e">
        <f t="shared" si="9"/>
        <v>#REF!</v>
      </c>
      <c r="AM35" s="39" t="e">
        <f t="shared" si="9"/>
        <v>#REF!</v>
      </c>
      <c r="AN35" s="39" t="e">
        <f t="shared" si="9"/>
        <v>#REF!</v>
      </c>
      <c r="AO35" s="39" t="e">
        <f t="shared" si="9"/>
        <v>#REF!</v>
      </c>
      <c r="AP35" s="39" t="e">
        <f t="shared" si="9"/>
        <v>#REF!</v>
      </c>
      <c r="AQ35" s="39" t="e">
        <f t="shared" si="9"/>
        <v>#REF!</v>
      </c>
      <c r="AR35" s="39" t="e">
        <f t="shared" si="9"/>
        <v>#REF!</v>
      </c>
      <c r="AS35" s="39" t="e">
        <f t="shared" si="9"/>
        <v>#REF!</v>
      </c>
      <c r="AT35" s="39" t="e">
        <f t="shared" ref="AT35:BP35" si="10">AT14+AT25</f>
        <v>#REF!</v>
      </c>
      <c r="AU35" s="39" t="e">
        <f t="shared" si="10"/>
        <v>#REF!</v>
      </c>
      <c r="AV35" s="39" t="e">
        <f t="shared" si="10"/>
        <v>#REF!</v>
      </c>
      <c r="AW35" s="39" t="e">
        <f t="shared" si="10"/>
        <v>#REF!</v>
      </c>
      <c r="AX35" s="39" t="e">
        <f t="shared" si="10"/>
        <v>#REF!</v>
      </c>
      <c r="AY35" s="39" t="e">
        <f t="shared" si="10"/>
        <v>#REF!</v>
      </c>
      <c r="AZ35" s="39" t="e">
        <f t="shared" si="10"/>
        <v>#REF!</v>
      </c>
      <c r="BA35" s="39" t="e">
        <f t="shared" si="10"/>
        <v>#REF!</v>
      </c>
      <c r="BB35" s="39" t="e">
        <f t="shared" si="10"/>
        <v>#REF!</v>
      </c>
      <c r="BC35" s="39" t="e">
        <f t="shared" si="10"/>
        <v>#REF!</v>
      </c>
      <c r="BD35" s="39" t="e">
        <f t="shared" si="10"/>
        <v>#REF!</v>
      </c>
      <c r="BE35" s="39" t="e">
        <f t="shared" si="10"/>
        <v>#REF!</v>
      </c>
      <c r="BF35" s="39" t="e">
        <f t="shared" si="10"/>
        <v>#REF!</v>
      </c>
      <c r="BG35" s="39" t="e">
        <f t="shared" si="10"/>
        <v>#REF!</v>
      </c>
      <c r="BH35" s="39" t="e">
        <f t="shared" si="10"/>
        <v>#REF!</v>
      </c>
      <c r="BI35" s="39" t="e">
        <f t="shared" si="10"/>
        <v>#REF!</v>
      </c>
      <c r="BJ35" s="39" t="e">
        <f t="shared" si="10"/>
        <v>#REF!</v>
      </c>
      <c r="BK35" s="39" t="e">
        <f t="shared" si="10"/>
        <v>#REF!</v>
      </c>
      <c r="BL35" s="39" t="e">
        <f t="shared" si="10"/>
        <v>#REF!</v>
      </c>
      <c r="BM35" s="39" t="e">
        <f t="shared" si="10"/>
        <v>#REF!</v>
      </c>
      <c r="BN35" s="39" t="e">
        <f t="shared" si="10"/>
        <v>#REF!</v>
      </c>
      <c r="BO35" s="39" t="e">
        <f t="shared" si="10"/>
        <v>#REF!</v>
      </c>
      <c r="BP35" s="39" t="e">
        <f t="shared" si="10"/>
        <v>#REF!</v>
      </c>
    </row>
    <row r="36" spans="13:68" s="24" customFormat="1" hidden="1">
      <c r="M36" s="25" t="s">
        <v>151</v>
      </c>
      <c r="N36" s="25">
        <f>SUM(N34:N35)</f>
        <v>0</v>
      </c>
      <c r="O36" s="25">
        <f t="shared" ref="O36:BP36" si="11">SUM(O34:O35)</f>
        <v>0</v>
      </c>
      <c r="P36" s="25">
        <f t="shared" si="11"/>
        <v>0</v>
      </c>
      <c r="Q36" s="25">
        <f t="shared" si="11"/>
        <v>0</v>
      </c>
      <c r="R36" s="25">
        <f t="shared" si="11"/>
        <v>0</v>
      </c>
      <c r="S36" s="39" t="e">
        <f t="shared" si="11"/>
        <v>#REF!</v>
      </c>
      <c r="T36" s="39" t="e">
        <f t="shared" si="11"/>
        <v>#REF!</v>
      </c>
      <c r="U36" s="39" t="e">
        <f t="shared" si="11"/>
        <v>#REF!</v>
      </c>
      <c r="V36" s="39" t="e">
        <f t="shared" si="11"/>
        <v>#REF!</v>
      </c>
      <c r="W36" s="39" t="e">
        <f t="shared" si="11"/>
        <v>#REF!</v>
      </c>
      <c r="X36" s="39" t="e">
        <f t="shared" si="11"/>
        <v>#REF!</v>
      </c>
      <c r="Y36" s="39" t="e">
        <f t="shared" si="11"/>
        <v>#REF!</v>
      </c>
      <c r="Z36" s="39" t="e">
        <f t="shared" si="11"/>
        <v>#REF!</v>
      </c>
      <c r="AA36" s="39" t="e">
        <f t="shared" si="11"/>
        <v>#REF!</v>
      </c>
      <c r="AB36" s="39" t="e">
        <f t="shared" si="11"/>
        <v>#REF!</v>
      </c>
      <c r="AC36" s="39" t="e">
        <f t="shared" si="11"/>
        <v>#REF!</v>
      </c>
      <c r="AD36" s="39" t="e">
        <f t="shared" si="11"/>
        <v>#REF!</v>
      </c>
      <c r="AE36" s="39" t="e">
        <f t="shared" si="11"/>
        <v>#REF!</v>
      </c>
      <c r="AF36" s="39" t="e">
        <f t="shared" si="11"/>
        <v>#REF!</v>
      </c>
      <c r="AG36" s="39" t="e">
        <f t="shared" si="11"/>
        <v>#REF!</v>
      </c>
      <c r="AH36" s="39" t="e">
        <f t="shared" si="11"/>
        <v>#REF!</v>
      </c>
      <c r="AI36" s="39" t="e">
        <f t="shared" si="11"/>
        <v>#REF!</v>
      </c>
      <c r="AJ36" s="39" t="e">
        <f t="shared" si="11"/>
        <v>#REF!</v>
      </c>
      <c r="AK36" s="39" t="e">
        <f t="shared" si="11"/>
        <v>#REF!</v>
      </c>
      <c r="AL36" s="39" t="e">
        <f t="shared" si="11"/>
        <v>#REF!</v>
      </c>
      <c r="AM36" s="39" t="e">
        <f t="shared" si="11"/>
        <v>#REF!</v>
      </c>
      <c r="AN36" s="39" t="e">
        <f t="shared" si="11"/>
        <v>#REF!</v>
      </c>
      <c r="AO36" s="39" t="e">
        <f t="shared" si="11"/>
        <v>#REF!</v>
      </c>
      <c r="AP36" s="39" t="e">
        <f t="shared" si="11"/>
        <v>#REF!</v>
      </c>
      <c r="AQ36" s="39" t="e">
        <f t="shared" si="11"/>
        <v>#REF!</v>
      </c>
      <c r="AR36" s="39" t="e">
        <f t="shared" si="11"/>
        <v>#REF!</v>
      </c>
      <c r="AS36" s="39" t="e">
        <f t="shared" si="11"/>
        <v>#REF!</v>
      </c>
      <c r="AT36" s="39" t="e">
        <f t="shared" si="11"/>
        <v>#REF!</v>
      </c>
      <c r="AU36" s="39" t="e">
        <f t="shared" si="11"/>
        <v>#REF!</v>
      </c>
      <c r="AV36" s="39" t="e">
        <f t="shared" si="11"/>
        <v>#REF!</v>
      </c>
      <c r="AW36" s="39" t="e">
        <f t="shared" si="11"/>
        <v>#REF!</v>
      </c>
      <c r="AX36" s="39" t="e">
        <f t="shared" si="11"/>
        <v>#REF!</v>
      </c>
      <c r="AY36" s="39" t="e">
        <f t="shared" si="11"/>
        <v>#REF!</v>
      </c>
      <c r="AZ36" s="39" t="e">
        <f t="shared" si="11"/>
        <v>#REF!</v>
      </c>
      <c r="BA36" s="39" t="e">
        <f t="shared" si="11"/>
        <v>#REF!</v>
      </c>
      <c r="BB36" s="39" t="e">
        <f t="shared" si="11"/>
        <v>#REF!</v>
      </c>
      <c r="BC36" s="39" t="e">
        <f t="shared" si="11"/>
        <v>#REF!</v>
      </c>
      <c r="BD36" s="39" t="e">
        <f t="shared" si="11"/>
        <v>#REF!</v>
      </c>
      <c r="BE36" s="39" t="e">
        <f t="shared" si="11"/>
        <v>#REF!</v>
      </c>
      <c r="BF36" s="39" t="e">
        <f t="shared" si="11"/>
        <v>#REF!</v>
      </c>
      <c r="BG36" s="39" t="e">
        <f t="shared" si="11"/>
        <v>#REF!</v>
      </c>
      <c r="BH36" s="39" t="e">
        <f t="shared" si="11"/>
        <v>#REF!</v>
      </c>
      <c r="BI36" s="39" t="e">
        <f t="shared" si="11"/>
        <v>#REF!</v>
      </c>
      <c r="BJ36" s="39" t="e">
        <f t="shared" si="11"/>
        <v>#REF!</v>
      </c>
      <c r="BK36" s="39" t="e">
        <f t="shared" si="11"/>
        <v>#REF!</v>
      </c>
      <c r="BL36" s="39" t="e">
        <f t="shared" si="11"/>
        <v>#REF!</v>
      </c>
      <c r="BM36" s="39" t="e">
        <f t="shared" si="11"/>
        <v>#REF!</v>
      </c>
      <c r="BN36" s="39" t="e">
        <f t="shared" si="11"/>
        <v>#REF!</v>
      </c>
      <c r="BO36" s="39" t="e">
        <f t="shared" si="11"/>
        <v>#REF!</v>
      </c>
      <c r="BP36" s="39" t="e">
        <f t="shared" si="11"/>
        <v>#REF!</v>
      </c>
    </row>
  </sheetData>
  <customSheetViews>
    <customSheetView guid="{B05628F6-030D-4851-8E75-96DF5849F39A}" showGridLines="0" hiddenRows="1" hiddenColumns="1" state="hidden">
      <selection activeCell="T121" sqref="T121:T125"/>
      <pageMargins left="0.7" right="0.7" top="0.75" bottom="0.75" header="0.3" footer="0.3"/>
    </customSheetView>
    <customSheetView guid="{1F923BC6-4AD1-4F20-A481-D76BE7901A2A}" showGridLines="0" hiddenRows="1" hiddenColumns="1" state="hidden">
      <selection activeCell="T121" sqref="T121:T125"/>
      <pageMargins left="0.7" right="0.7" top="0.75" bottom="0.75" header="0.3" footer="0.3"/>
    </customSheetView>
  </customSheetViews>
  <phoneticPr fontId="4"/>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333DE-25D3-475A-AC59-56FEAA621050}">
  <sheetPr>
    <tabColor theme="4" tint="0.79998168889431442"/>
    <pageSetUpPr fitToPage="1"/>
  </sheetPr>
  <dimension ref="A2:BP21"/>
  <sheetViews>
    <sheetView showGridLines="0" workbookViewId="0">
      <selection activeCell="X15" sqref="X15"/>
    </sheetView>
  </sheetViews>
  <sheetFormatPr defaultRowHeight="14.4" outlineLevelCol="1"/>
  <cols>
    <col min="1" max="1" width="2.90625" customWidth="1"/>
    <col min="2" max="12" width="0" hidden="1" customWidth="1" outlineLevel="1"/>
    <col min="13" max="13" width="14" customWidth="1" collapsed="1"/>
    <col min="19" max="19" width="9.36328125" bestFit="1" customWidth="1"/>
  </cols>
  <sheetData>
    <row r="2" spans="1:68">
      <c r="A2" t="s">
        <v>160</v>
      </c>
    </row>
    <row r="3" spans="1:68">
      <c r="M3" t="s">
        <v>156</v>
      </c>
    </row>
    <row r="4" spans="1:68">
      <c r="N4" s="21" t="s">
        <v>11</v>
      </c>
      <c r="O4" s="14"/>
      <c r="P4" s="14"/>
      <c r="Q4" s="14"/>
      <c r="R4" s="15"/>
      <c r="S4" s="23" t="s">
        <v>17</v>
      </c>
      <c r="T4" s="14"/>
      <c r="U4" s="14"/>
      <c r="V4" s="15"/>
      <c r="W4" s="22" t="s">
        <v>68</v>
      </c>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row>
    <row r="5" spans="1:68">
      <c r="N5" s="11" t="s">
        <v>12</v>
      </c>
      <c r="O5" s="11" t="s">
        <v>13</v>
      </c>
      <c r="P5" s="11" t="s">
        <v>14</v>
      </c>
      <c r="Q5" s="11" t="s">
        <v>15</v>
      </c>
      <c r="R5" s="11" t="s">
        <v>16</v>
      </c>
      <c r="S5" s="11" t="s">
        <v>18</v>
      </c>
      <c r="T5" s="11" t="s">
        <v>19</v>
      </c>
      <c r="U5" s="11" t="s">
        <v>20</v>
      </c>
      <c r="V5" s="11" t="s">
        <v>21</v>
      </c>
      <c r="W5" s="11" t="s">
        <v>22</v>
      </c>
      <c r="X5" s="11" t="s">
        <v>23</v>
      </c>
      <c r="Y5" s="11" t="s">
        <v>24</v>
      </c>
      <c r="Z5" s="11" t="s">
        <v>25</v>
      </c>
      <c r="AA5" s="11" t="s">
        <v>26</v>
      </c>
      <c r="AB5" s="11" t="s">
        <v>27</v>
      </c>
      <c r="AC5" s="11" t="s">
        <v>28</v>
      </c>
      <c r="AD5" s="11" t="s">
        <v>29</v>
      </c>
      <c r="AE5" s="11" t="s">
        <v>30</v>
      </c>
      <c r="AF5" s="11" t="s">
        <v>31</v>
      </c>
      <c r="AG5" s="11" t="s">
        <v>32</v>
      </c>
      <c r="AH5" s="11" t="s">
        <v>33</v>
      </c>
      <c r="AI5" s="11" t="s">
        <v>34</v>
      </c>
      <c r="AJ5" s="11" t="s">
        <v>35</v>
      </c>
      <c r="AK5" s="11" t="s">
        <v>36</v>
      </c>
      <c r="AL5" s="11" t="s">
        <v>37</v>
      </c>
      <c r="AM5" s="11" t="s">
        <v>38</v>
      </c>
      <c r="AN5" s="11" t="s">
        <v>39</v>
      </c>
      <c r="AO5" s="11" t="s">
        <v>40</v>
      </c>
      <c r="AP5" s="11" t="s">
        <v>41</v>
      </c>
      <c r="AQ5" s="11" t="s">
        <v>42</v>
      </c>
      <c r="AR5" s="11" t="s">
        <v>43</v>
      </c>
      <c r="AS5" s="11" t="s">
        <v>44</v>
      </c>
      <c r="AT5" s="11" t="s">
        <v>45</v>
      </c>
      <c r="AU5" s="11" t="s">
        <v>46</v>
      </c>
      <c r="AV5" s="11" t="s">
        <v>47</v>
      </c>
      <c r="AW5" s="11" t="s">
        <v>48</v>
      </c>
      <c r="AX5" s="11" t="s">
        <v>49</v>
      </c>
      <c r="AY5" s="11" t="s">
        <v>50</v>
      </c>
      <c r="AZ5" s="11" t="s">
        <v>51</v>
      </c>
      <c r="BA5" s="11" t="s">
        <v>52</v>
      </c>
      <c r="BB5" s="11" t="s">
        <v>53</v>
      </c>
      <c r="BC5" s="11" t="s">
        <v>54</v>
      </c>
      <c r="BD5" s="11" t="s">
        <v>55</v>
      </c>
      <c r="BE5" s="11" t="s">
        <v>56</v>
      </c>
      <c r="BF5" s="11" t="s">
        <v>57</v>
      </c>
      <c r="BG5" s="11" t="s">
        <v>58</v>
      </c>
      <c r="BH5" s="11" t="s">
        <v>59</v>
      </c>
      <c r="BI5" s="11" t="s">
        <v>60</v>
      </c>
      <c r="BJ5" s="11" t="s">
        <v>61</v>
      </c>
      <c r="BK5" s="11" t="s">
        <v>62</v>
      </c>
      <c r="BL5" s="11" t="s">
        <v>63</v>
      </c>
      <c r="BM5" s="11" t="s">
        <v>64</v>
      </c>
      <c r="BN5" s="11" t="s">
        <v>65</v>
      </c>
      <c r="BO5" s="11" t="s">
        <v>66</v>
      </c>
      <c r="BP5" s="11" t="s">
        <v>67</v>
      </c>
    </row>
    <row r="6" spans="1:68" s="24" customFormat="1">
      <c r="M6" s="25" t="s">
        <v>214</v>
      </c>
      <c r="N6" s="43"/>
      <c r="O6" s="43"/>
      <c r="P6" s="43"/>
      <c r="Q6" s="43"/>
      <c r="R6" s="43"/>
      <c r="S6" s="39" t="e">
        <f>SUM(S7:S11)</f>
        <v>#REF!</v>
      </c>
      <c r="T6" s="39" t="e">
        <f t="shared" ref="T6:BP6" si="0">SUM(T7:T11)</f>
        <v>#REF!</v>
      </c>
      <c r="U6" s="39" t="e">
        <f t="shared" si="0"/>
        <v>#REF!</v>
      </c>
      <c r="V6" s="39" t="e">
        <f t="shared" si="0"/>
        <v>#REF!</v>
      </c>
      <c r="W6" s="39" t="e">
        <f t="shared" si="0"/>
        <v>#REF!</v>
      </c>
      <c r="X6" s="39" t="e">
        <f t="shared" si="0"/>
        <v>#REF!</v>
      </c>
      <c r="Y6" s="39" t="e">
        <f t="shared" si="0"/>
        <v>#REF!</v>
      </c>
      <c r="Z6" s="39" t="e">
        <f t="shared" si="0"/>
        <v>#REF!</v>
      </c>
      <c r="AA6" s="39" t="e">
        <f t="shared" si="0"/>
        <v>#REF!</v>
      </c>
      <c r="AB6" s="39" t="e">
        <f t="shared" si="0"/>
        <v>#REF!</v>
      </c>
      <c r="AC6" s="39" t="e">
        <f t="shared" si="0"/>
        <v>#REF!</v>
      </c>
      <c r="AD6" s="39" t="e">
        <f t="shared" si="0"/>
        <v>#REF!</v>
      </c>
      <c r="AE6" s="39" t="e">
        <f t="shared" si="0"/>
        <v>#REF!</v>
      </c>
      <c r="AF6" s="39" t="e">
        <f t="shared" si="0"/>
        <v>#REF!</v>
      </c>
      <c r="AG6" s="39" t="e">
        <f t="shared" si="0"/>
        <v>#REF!</v>
      </c>
      <c r="AH6" s="39" t="e">
        <f t="shared" si="0"/>
        <v>#REF!</v>
      </c>
      <c r="AI6" s="39" t="e">
        <f t="shared" si="0"/>
        <v>#REF!</v>
      </c>
      <c r="AJ6" s="39" t="e">
        <f t="shared" si="0"/>
        <v>#REF!</v>
      </c>
      <c r="AK6" s="39" t="e">
        <f t="shared" si="0"/>
        <v>#REF!</v>
      </c>
      <c r="AL6" s="39" t="e">
        <f t="shared" si="0"/>
        <v>#REF!</v>
      </c>
      <c r="AM6" s="39" t="e">
        <f t="shared" si="0"/>
        <v>#REF!</v>
      </c>
      <c r="AN6" s="39" t="e">
        <f t="shared" si="0"/>
        <v>#REF!</v>
      </c>
      <c r="AO6" s="39" t="e">
        <f t="shared" si="0"/>
        <v>#REF!</v>
      </c>
      <c r="AP6" s="39" t="e">
        <f t="shared" si="0"/>
        <v>#REF!</v>
      </c>
      <c r="AQ6" s="39" t="e">
        <f t="shared" si="0"/>
        <v>#REF!</v>
      </c>
      <c r="AR6" s="39" t="e">
        <f t="shared" si="0"/>
        <v>#REF!</v>
      </c>
      <c r="AS6" s="39" t="e">
        <f t="shared" si="0"/>
        <v>#REF!</v>
      </c>
      <c r="AT6" s="39" t="e">
        <f t="shared" si="0"/>
        <v>#REF!</v>
      </c>
      <c r="AU6" s="39" t="e">
        <f t="shared" si="0"/>
        <v>#REF!</v>
      </c>
      <c r="AV6" s="39" t="e">
        <f t="shared" si="0"/>
        <v>#REF!</v>
      </c>
      <c r="AW6" s="39" t="e">
        <f t="shared" si="0"/>
        <v>#REF!</v>
      </c>
      <c r="AX6" s="39" t="e">
        <f t="shared" si="0"/>
        <v>#REF!</v>
      </c>
      <c r="AY6" s="39" t="e">
        <f t="shared" si="0"/>
        <v>#REF!</v>
      </c>
      <c r="AZ6" s="39" t="e">
        <f t="shared" si="0"/>
        <v>#REF!</v>
      </c>
      <c r="BA6" s="39" t="e">
        <f t="shared" si="0"/>
        <v>#REF!</v>
      </c>
      <c r="BB6" s="39" t="e">
        <f t="shared" si="0"/>
        <v>#REF!</v>
      </c>
      <c r="BC6" s="39" t="e">
        <f t="shared" si="0"/>
        <v>#REF!</v>
      </c>
      <c r="BD6" s="39" t="e">
        <f t="shared" si="0"/>
        <v>#REF!</v>
      </c>
      <c r="BE6" s="39" t="e">
        <f t="shared" si="0"/>
        <v>#REF!</v>
      </c>
      <c r="BF6" s="39" t="e">
        <f t="shared" si="0"/>
        <v>#REF!</v>
      </c>
      <c r="BG6" s="39" t="e">
        <f t="shared" si="0"/>
        <v>#REF!</v>
      </c>
      <c r="BH6" s="39" t="e">
        <f t="shared" si="0"/>
        <v>#REF!</v>
      </c>
      <c r="BI6" s="39" t="e">
        <f t="shared" si="0"/>
        <v>#REF!</v>
      </c>
      <c r="BJ6" s="39" t="e">
        <f t="shared" si="0"/>
        <v>#REF!</v>
      </c>
      <c r="BK6" s="39" t="e">
        <f t="shared" si="0"/>
        <v>#REF!</v>
      </c>
      <c r="BL6" s="39" t="e">
        <f t="shared" si="0"/>
        <v>#REF!</v>
      </c>
      <c r="BM6" s="39" t="e">
        <f t="shared" si="0"/>
        <v>#REF!</v>
      </c>
      <c r="BN6" s="39" t="e">
        <f t="shared" si="0"/>
        <v>#REF!</v>
      </c>
      <c r="BO6" s="39" t="e">
        <f t="shared" si="0"/>
        <v>#REF!</v>
      </c>
      <c r="BP6" s="39" t="e">
        <f t="shared" si="0"/>
        <v>#REF!</v>
      </c>
    </row>
    <row r="7" spans="1:68" s="24" customFormat="1">
      <c r="M7" s="25" t="s">
        <v>546</v>
      </c>
      <c r="N7" s="43"/>
      <c r="O7" s="43"/>
      <c r="P7" s="43"/>
      <c r="Q7" s="43"/>
      <c r="R7" s="43"/>
      <c r="S7" s="39" t="e">
        <f>【収益】水需要予測!Y22*'【料金算定－現行×改定率】総括原価'!$D18</f>
        <v>#REF!</v>
      </c>
      <c r="T7" s="39" t="e">
        <f>【収益】水需要予測!Z22*'【料金算定－現行×改定率】総括原価'!$D18</f>
        <v>#REF!</v>
      </c>
      <c r="U7" s="39" t="e">
        <f>【収益】水需要予測!AA22*'【料金算定－現行×改定率】総括原価'!$D18</f>
        <v>#REF!</v>
      </c>
      <c r="V7" s="39" t="e">
        <f>【収益】水需要予測!AB22*'【料金算定－現行×改定率】総括原価'!$D18</f>
        <v>#REF!</v>
      </c>
      <c r="W7" s="39" t="e">
        <f>【収益】水需要予測!AC22*'【料金算定－現行×改定率】総括原価'!$D18</f>
        <v>#REF!</v>
      </c>
      <c r="X7" s="39" t="e">
        <f>【収益】水需要予測!AD22*'【料金算定－現行×改定率】総括原価'!$D18</f>
        <v>#REF!</v>
      </c>
      <c r="Y7" s="39" t="e">
        <f>【収益】水需要予測!AE22*'【料金算定－現行×改定率】総括原価'!$D18</f>
        <v>#REF!</v>
      </c>
      <c r="Z7" s="39" t="e">
        <f>【収益】水需要予測!AF22*'【料金算定－現行×改定率】総括原価'!$D18</f>
        <v>#REF!</v>
      </c>
      <c r="AA7" s="39" t="e">
        <f>【収益】水需要予測!AG22*'【料金算定－現行×改定率】総括原価'!$D18</f>
        <v>#REF!</v>
      </c>
      <c r="AB7" s="39" t="e">
        <f>【収益】水需要予測!AH22*'【料金算定－現行×改定率】総括原価'!$D18</f>
        <v>#REF!</v>
      </c>
      <c r="AC7" s="39" t="e">
        <f>【収益】水需要予測!AI22*'【料金算定－現行×改定率】総括原価'!$D18</f>
        <v>#REF!</v>
      </c>
      <c r="AD7" s="39" t="e">
        <f>【収益】水需要予測!AJ22*'【料金算定－現行×改定率】総括原価'!$D18</f>
        <v>#REF!</v>
      </c>
      <c r="AE7" s="39" t="e">
        <f>【収益】水需要予測!AK22*'【料金算定－現行×改定率】総括原価'!$D18</f>
        <v>#REF!</v>
      </c>
      <c r="AF7" s="39" t="e">
        <f>【収益】水需要予測!AL22*'【料金算定－現行×改定率】総括原価'!$D18</f>
        <v>#REF!</v>
      </c>
      <c r="AG7" s="39" t="e">
        <f>【収益】水需要予測!AM22*'【料金算定－現行×改定率】総括原価'!$D18</f>
        <v>#REF!</v>
      </c>
      <c r="AH7" s="39" t="e">
        <f>【収益】水需要予測!AN22*'【料金算定－現行×改定率】総括原価'!$D18</f>
        <v>#REF!</v>
      </c>
      <c r="AI7" s="39" t="e">
        <f>【収益】水需要予測!AO22*'【料金算定－現行×改定率】総括原価'!$D18</f>
        <v>#REF!</v>
      </c>
      <c r="AJ7" s="39" t="e">
        <f>【収益】水需要予測!AP22*'【料金算定－現行×改定率】総括原価'!$D18</f>
        <v>#REF!</v>
      </c>
      <c r="AK7" s="39" t="e">
        <f>【収益】水需要予測!AQ22*'【料金算定－現行×改定率】総括原価'!$D18</f>
        <v>#REF!</v>
      </c>
      <c r="AL7" s="39" t="e">
        <f>【収益】水需要予測!AR22*'【料金算定－現行×改定率】総括原価'!$D18</f>
        <v>#REF!</v>
      </c>
      <c r="AM7" s="39" t="e">
        <f>【収益】水需要予測!AS22*'【料金算定－現行×改定率】総括原価'!$D18</f>
        <v>#REF!</v>
      </c>
      <c r="AN7" s="39" t="e">
        <f>【収益】水需要予測!AT22*'【料金算定－現行×改定率】総括原価'!$D18</f>
        <v>#REF!</v>
      </c>
      <c r="AO7" s="39" t="e">
        <f>【収益】水需要予測!AU22*'【料金算定－現行×改定率】総括原価'!$D18</f>
        <v>#REF!</v>
      </c>
      <c r="AP7" s="39" t="e">
        <f>【収益】水需要予測!AV22*'【料金算定－現行×改定率】総括原価'!$D18</f>
        <v>#REF!</v>
      </c>
      <c r="AQ7" s="39" t="e">
        <f>【収益】水需要予測!AW22*'【料金算定－現行×改定率】総括原価'!$D18</f>
        <v>#REF!</v>
      </c>
      <c r="AR7" s="39" t="e">
        <f>【収益】水需要予測!AX22*'【料金算定－現行×改定率】総括原価'!$D18</f>
        <v>#REF!</v>
      </c>
      <c r="AS7" s="39" t="e">
        <f>【収益】水需要予測!AY22*'【料金算定－現行×改定率】総括原価'!$D18</f>
        <v>#REF!</v>
      </c>
      <c r="AT7" s="39" t="e">
        <f>【収益】水需要予測!AZ22*'【料金算定－現行×改定率】総括原価'!$D18</f>
        <v>#REF!</v>
      </c>
      <c r="AU7" s="39" t="e">
        <f>【収益】水需要予測!BA22*'【料金算定－現行×改定率】総括原価'!$D18</f>
        <v>#REF!</v>
      </c>
      <c r="AV7" s="39" t="e">
        <f>【収益】水需要予測!BB22*'【料金算定－現行×改定率】総括原価'!$D18</f>
        <v>#REF!</v>
      </c>
      <c r="AW7" s="39" t="e">
        <f>【収益】水需要予測!BC22*'【料金算定－現行×改定率】総括原価'!$D18</f>
        <v>#REF!</v>
      </c>
      <c r="AX7" s="39" t="e">
        <f>【収益】水需要予測!BD22*'【料金算定－現行×改定率】総括原価'!$D18</f>
        <v>#REF!</v>
      </c>
      <c r="AY7" s="39" t="e">
        <f>【収益】水需要予測!BE22*'【料金算定－現行×改定率】総括原価'!$D18</f>
        <v>#REF!</v>
      </c>
      <c r="AZ7" s="39" t="e">
        <f>【収益】水需要予測!BF22*'【料金算定－現行×改定率】総括原価'!$D18</f>
        <v>#REF!</v>
      </c>
      <c r="BA7" s="39" t="e">
        <f>【収益】水需要予測!BG22*'【料金算定－現行×改定率】総括原価'!$D18</f>
        <v>#REF!</v>
      </c>
      <c r="BB7" s="39" t="e">
        <f>【収益】水需要予測!BH22*'【料金算定－現行×改定率】総括原価'!$D18</f>
        <v>#REF!</v>
      </c>
      <c r="BC7" s="39" t="e">
        <f>【収益】水需要予測!BI22*'【料金算定－現行×改定率】総括原価'!$D18</f>
        <v>#REF!</v>
      </c>
      <c r="BD7" s="39" t="e">
        <f>【収益】水需要予測!BJ22*'【料金算定－現行×改定率】総括原価'!$D18</f>
        <v>#REF!</v>
      </c>
      <c r="BE7" s="39" t="e">
        <f>【収益】水需要予測!BK22*'【料金算定－現行×改定率】総括原価'!$D18</f>
        <v>#REF!</v>
      </c>
      <c r="BF7" s="39" t="e">
        <f>【収益】水需要予測!BL22*'【料金算定－現行×改定率】総括原価'!$D18</f>
        <v>#REF!</v>
      </c>
      <c r="BG7" s="39" t="e">
        <f>【収益】水需要予測!BM22*'【料金算定－現行×改定率】総括原価'!$D18</f>
        <v>#REF!</v>
      </c>
      <c r="BH7" s="39" t="e">
        <f>【収益】水需要予測!BN22*'【料金算定－現行×改定率】総括原価'!$D18</f>
        <v>#REF!</v>
      </c>
      <c r="BI7" s="39" t="e">
        <f>【収益】水需要予測!BO22*'【料金算定－現行×改定率】総括原価'!$D18</f>
        <v>#REF!</v>
      </c>
      <c r="BJ7" s="39" t="e">
        <f>【収益】水需要予測!BP22*'【料金算定－現行×改定率】総括原価'!$D18</f>
        <v>#REF!</v>
      </c>
      <c r="BK7" s="39" t="e">
        <f>【収益】水需要予測!BQ22*'【料金算定－現行×改定率】総括原価'!$D18</f>
        <v>#REF!</v>
      </c>
      <c r="BL7" s="39" t="e">
        <f>【収益】水需要予測!BR22*'【料金算定－現行×改定率】総括原価'!$D18</f>
        <v>#REF!</v>
      </c>
      <c r="BM7" s="39" t="e">
        <f>【収益】水需要予測!BS22*'【料金算定－現行×改定率】総括原価'!$D18</f>
        <v>#REF!</v>
      </c>
      <c r="BN7" s="39" t="e">
        <f>【収益】水需要予測!BT22*'【料金算定－現行×改定率】総括原価'!$D18</f>
        <v>#REF!</v>
      </c>
      <c r="BO7" s="39" t="e">
        <f>【収益】水需要予測!BU22*'【料金算定－現行×改定率】総括原価'!$D18</f>
        <v>#REF!</v>
      </c>
      <c r="BP7" s="39" t="e">
        <f>【収益】水需要予測!BV22*'【料金算定－現行×改定率】総括原価'!$D18</f>
        <v>#REF!</v>
      </c>
    </row>
    <row r="8" spans="1:68" s="24" customFormat="1">
      <c r="M8" s="25" t="s">
        <v>547</v>
      </c>
      <c r="N8" s="43"/>
      <c r="O8" s="43"/>
      <c r="P8" s="43"/>
      <c r="Q8" s="43"/>
      <c r="R8" s="43"/>
      <c r="S8" s="39" t="e">
        <f>【収益】水需要予測!Y23*'【料金算定－現行×改定率】総括原価'!$D19</f>
        <v>#REF!</v>
      </c>
      <c r="T8" s="39" t="e">
        <f>【収益】水需要予測!Z23*'【料金算定－現行×改定率】総括原価'!$D19</f>
        <v>#REF!</v>
      </c>
      <c r="U8" s="39" t="e">
        <f>【収益】水需要予測!AA23*'【料金算定－現行×改定率】総括原価'!$D19</f>
        <v>#REF!</v>
      </c>
      <c r="V8" s="39" t="e">
        <f>【収益】水需要予測!AB23*'【料金算定－現行×改定率】総括原価'!$D19</f>
        <v>#REF!</v>
      </c>
      <c r="W8" s="39" t="e">
        <f>【収益】水需要予測!AC23*'【料金算定－現行×改定率】総括原価'!$D19</f>
        <v>#REF!</v>
      </c>
      <c r="X8" s="39" t="e">
        <f>【収益】水需要予測!AD23*'【料金算定－現行×改定率】総括原価'!$D19</f>
        <v>#REF!</v>
      </c>
      <c r="Y8" s="39" t="e">
        <f>【収益】水需要予測!AE23*'【料金算定－現行×改定率】総括原価'!$D19</f>
        <v>#REF!</v>
      </c>
      <c r="Z8" s="39" t="e">
        <f>【収益】水需要予測!AF23*'【料金算定－現行×改定率】総括原価'!$D19</f>
        <v>#REF!</v>
      </c>
      <c r="AA8" s="39" t="e">
        <f>【収益】水需要予測!AG23*'【料金算定－現行×改定率】総括原価'!$D19</f>
        <v>#REF!</v>
      </c>
      <c r="AB8" s="39" t="e">
        <f>【収益】水需要予測!AH23*'【料金算定－現行×改定率】総括原価'!$D19</f>
        <v>#REF!</v>
      </c>
      <c r="AC8" s="39" t="e">
        <f>【収益】水需要予測!AI23*'【料金算定－現行×改定率】総括原価'!$D19</f>
        <v>#REF!</v>
      </c>
      <c r="AD8" s="39" t="e">
        <f>【収益】水需要予測!AJ23*'【料金算定－現行×改定率】総括原価'!$D19</f>
        <v>#REF!</v>
      </c>
      <c r="AE8" s="39" t="e">
        <f>【収益】水需要予測!AK23*'【料金算定－現行×改定率】総括原価'!$D19</f>
        <v>#REF!</v>
      </c>
      <c r="AF8" s="39" t="e">
        <f>【収益】水需要予測!AL23*'【料金算定－現行×改定率】総括原価'!$D19</f>
        <v>#REF!</v>
      </c>
      <c r="AG8" s="39" t="e">
        <f>【収益】水需要予測!AM23*'【料金算定－現行×改定率】総括原価'!$D19</f>
        <v>#REF!</v>
      </c>
      <c r="AH8" s="39" t="e">
        <f>【収益】水需要予測!AN23*'【料金算定－現行×改定率】総括原価'!$D19</f>
        <v>#REF!</v>
      </c>
      <c r="AI8" s="39" t="e">
        <f>【収益】水需要予測!AO23*'【料金算定－現行×改定率】総括原価'!$D19</f>
        <v>#REF!</v>
      </c>
      <c r="AJ8" s="39" t="e">
        <f>【収益】水需要予測!AP23*'【料金算定－現行×改定率】総括原価'!$D19</f>
        <v>#REF!</v>
      </c>
      <c r="AK8" s="39" t="e">
        <f>【収益】水需要予測!AQ23*'【料金算定－現行×改定率】総括原価'!$D19</f>
        <v>#REF!</v>
      </c>
      <c r="AL8" s="39" t="e">
        <f>【収益】水需要予測!AR23*'【料金算定－現行×改定率】総括原価'!$D19</f>
        <v>#REF!</v>
      </c>
      <c r="AM8" s="39" t="e">
        <f>【収益】水需要予測!AS23*'【料金算定－現行×改定率】総括原価'!$D19</f>
        <v>#REF!</v>
      </c>
      <c r="AN8" s="39" t="e">
        <f>【収益】水需要予測!AT23*'【料金算定－現行×改定率】総括原価'!$D19</f>
        <v>#REF!</v>
      </c>
      <c r="AO8" s="39" t="e">
        <f>【収益】水需要予測!AU23*'【料金算定－現行×改定率】総括原価'!$D19</f>
        <v>#REF!</v>
      </c>
      <c r="AP8" s="39" t="e">
        <f>【収益】水需要予測!AV23*'【料金算定－現行×改定率】総括原価'!$D19</f>
        <v>#REF!</v>
      </c>
      <c r="AQ8" s="39" t="e">
        <f>【収益】水需要予測!AW23*'【料金算定－現行×改定率】総括原価'!$D19</f>
        <v>#REF!</v>
      </c>
      <c r="AR8" s="39" t="e">
        <f>【収益】水需要予測!AX23*'【料金算定－現行×改定率】総括原価'!$D19</f>
        <v>#REF!</v>
      </c>
      <c r="AS8" s="39" t="e">
        <f>【収益】水需要予測!AY23*'【料金算定－現行×改定率】総括原価'!$D19</f>
        <v>#REF!</v>
      </c>
      <c r="AT8" s="39" t="e">
        <f>【収益】水需要予測!AZ23*'【料金算定－現行×改定率】総括原価'!$D19</f>
        <v>#REF!</v>
      </c>
      <c r="AU8" s="39" t="e">
        <f>【収益】水需要予測!BA23*'【料金算定－現行×改定率】総括原価'!$D19</f>
        <v>#REF!</v>
      </c>
      <c r="AV8" s="39" t="e">
        <f>【収益】水需要予測!BB23*'【料金算定－現行×改定率】総括原価'!$D19</f>
        <v>#REF!</v>
      </c>
      <c r="AW8" s="39" t="e">
        <f>【収益】水需要予測!BC23*'【料金算定－現行×改定率】総括原価'!$D19</f>
        <v>#REF!</v>
      </c>
      <c r="AX8" s="39" t="e">
        <f>【収益】水需要予測!BD23*'【料金算定－現行×改定率】総括原価'!$D19</f>
        <v>#REF!</v>
      </c>
      <c r="AY8" s="39" t="e">
        <f>【収益】水需要予測!BE23*'【料金算定－現行×改定率】総括原価'!$D19</f>
        <v>#REF!</v>
      </c>
      <c r="AZ8" s="39" t="e">
        <f>【収益】水需要予測!BF23*'【料金算定－現行×改定率】総括原価'!$D19</f>
        <v>#REF!</v>
      </c>
      <c r="BA8" s="39" t="e">
        <f>【収益】水需要予測!BG23*'【料金算定－現行×改定率】総括原価'!$D19</f>
        <v>#REF!</v>
      </c>
      <c r="BB8" s="39" t="e">
        <f>【収益】水需要予測!BH23*'【料金算定－現行×改定率】総括原価'!$D19</f>
        <v>#REF!</v>
      </c>
      <c r="BC8" s="39" t="e">
        <f>【収益】水需要予測!BI23*'【料金算定－現行×改定率】総括原価'!$D19</f>
        <v>#REF!</v>
      </c>
      <c r="BD8" s="39" t="e">
        <f>【収益】水需要予測!BJ23*'【料金算定－現行×改定率】総括原価'!$D19</f>
        <v>#REF!</v>
      </c>
      <c r="BE8" s="39" t="e">
        <f>【収益】水需要予測!BK23*'【料金算定－現行×改定率】総括原価'!$D19</f>
        <v>#REF!</v>
      </c>
      <c r="BF8" s="39" t="e">
        <f>【収益】水需要予測!BL23*'【料金算定－現行×改定率】総括原価'!$D19</f>
        <v>#REF!</v>
      </c>
      <c r="BG8" s="39" t="e">
        <f>【収益】水需要予測!BM23*'【料金算定－現行×改定率】総括原価'!$D19</f>
        <v>#REF!</v>
      </c>
      <c r="BH8" s="39" t="e">
        <f>【収益】水需要予測!BN23*'【料金算定－現行×改定率】総括原価'!$D19</f>
        <v>#REF!</v>
      </c>
      <c r="BI8" s="39" t="e">
        <f>【収益】水需要予測!BO23*'【料金算定－現行×改定率】総括原価'!$D19</f>
        <v>#REF!</v>
      </c>
      <c r="BJ8" s="39" t="e">
        <f>【収益】水需要予測!BP23*'【料金算定－現行×改定率】総括原価'!$D19</f>
        <v>#REF!</v>
      </c>
      <c r="BK8" s="39" t="e">
        <f>【収益】水需要予測!BQ23*'【料金算定－現行×改定率】総括原価'!$D19</f>
        <v>#REF!</v>
      </c>
      <c r="BL8" s="39" t="e">
        <f>【収益】水需要予測!BR23*'【料金算定－現行×改定率】総括原価'!$D19</f>
        <v>#REF!</v>
      </c>
      <c r="BM8" s="39" t="e">
        <f>【収益】水需要予測!BS23*'【料金算定－現行×改定率】総括原価'!$D19</f>
        <v>#REF!</v>
      </c>
      <c r="BN8" s="39" t="e">
        <f>【収益】水需要予測!BT23*'【料金算定－現行×改定率】総括原価'!$D19</f>
        <v>#REF!</v>
      </c>
      <c r="BO8" s="39" t="e">
        <f>【収益】水需要予測!BU23*'【料金算定－現行×改定率】総括原価'!$D19</f>
        <v>#REF!</v>
      </c>
      <c r="BP8" s="39" t="e">
        <f>【収益】水需要予測!BV23*'【料金算定－現行×改定率】総括原価'!$D19</f>
        <v>#REF!</v>
      </c>
    </row>
    <row r="9" spans="1:68" s="24" customFormat="1">
      <c r="M9" s="25" t="s">
        <v>548</v>
      </c>
      <c r="N9" s="43"/>
      <c r="O9" s="43"/>
      <c r="P9" s="43"/>
      <c r="Q9" s="43"/>
      <c r="R9" s="43"/>
      <c r="S9" s="39" t="e">
        <f>【収益】水需要予測!#REF!*'【料金算定－現行×改定率】総括原価'!$D20</f>
        <v>#REF!</v>
      </c>
      <c r="T9" s="39" t="e">
        <f>【収益】水需要予測!#REF!*'【料金算定－現行×改定率】総括原価'!$D20</f>
        <v>#REF!</v>
      </c>
      <c r="U9" s="39" t="e">
        <f>【収益】水需要予測!#REF!*'【料金算定－現行×改定率】総括原価'!$D20</f>
        <v>#REF!</v>
      </c>
      <c r="V9" s="39" t="e">
        <f>【収益】水需要予測!#REF!*'【料金算定－現行×改定率】総括原価'!$D20</f>
        <v>#REF!</v>
      </c>
      <c r="W9" s="39" t="e">
        <f>【収益】水需要予測!#REF!*'【料金算定－現行×改定率】総括原価'!$D20</f>
        <v>#REF!</v>
      </c>
      <c r="X9" s="39" t="e">
        <f>【収益】水需要予測!#REF!*'【料金算定－現行×改定率】総括原価'!$D20</f>
        <v>#REF!</v>
      </c>
      <c r="Y9" s="39" t="e">
        <f>【収益】水需要予測!#REF!*'【料金算定－現行×改定率】総括原価'!$D20</f>
        <v>#REF!</v>
      </c>
      <c r="Z9" s="39" t="e">
        <f>【収益】水需要予測!#REF!*'【料金算定－現行×改定率】総括原価'!$D20</f>
        <v>#REF!</v>
      </c>
      <c r="AA9" s="39" t="e">
        <f>【収益】水需要予測!#REF!*'【料金算定－現行×改定率】総括原価'!$D20</f>
        <v>#REF!</v>
      </c>
      <c r="AB9" s="39" t="e">
        <f>【収益】水需要予測!#REF!*'【料金算定－現行×改定率】総括原価'!$D20</f>
        <v>#REF!</v>
      </c>
      <c r="AC9" s="39" t="e">
        <f>【収益】水需要予測!#REF!*'【料金算定－現行×改定率】総括原価'!$D20</f>
        <v>#REF!</v>
      </c>
      <c r="AD9" s="39" t="e">
        <f>【収益】水需要予測!#REF!*'【料金算定－現行×改定率】総括原価'!$D20</f>
        <v>#REF!</v>
      </c>
      <c r="AE9" s="39" t="e">
        <f>【収益】水需要予測!#REF!*'【料金算定－現行×改定率】総括原価'!$D20</f>
        <v>#REF!</v>
      </c>
      <c r="AF9" s="39" t="e">
        <f>【収益】水需要予測!#REF!*'【料金算定－現行×改定率】総括原価'!$D20</f>
        <v>#REF!</v>
      </c>
      <c r="AG9" s="39" t="e">
        <f>【収益】水需要予測!#REF!*'【料金算定－現行×改定率】総括原価'!$D20</f>
        <v>#REF!</v>
      </c>
      <c r="AH9" s="39" t="e">
        <f>【収益】水需要予測!#REF!*'【料金算定－現行×改定率】総括原価'!$D20</f>
        <v>#REF!</v>
      </c>
      <c r="AI9" s="39" t="e">
        <f>【収益】水需要予測!#REF!*'【料金算定－現行×改定率】総括原価'!$D20</f>
        <v>#REF!</v>
      </c>
      <c r="AJ9" s="39" t="e">
        <f>【収益】水需要予測!#REF!*'【料金算定－現行×改定率】総括原価'!$D20</f>
        <v>#REF!</v>
      </c>
      <c r="AK9" s="39" t="e">
        <f>【収益】水需要予測!#REF!*'【料金算定－現行×改定率】総括原価'!$D20</f>
        <v>#REF!</v>
      </c>
      <c r="AL9" s="39" t="e">
        <f>【収益】水需要予測!#REF!*'【料金算定－現行×改定率】総括原価'!$D20</f>
        <v>#REF!</v>
      </c>
      <c r="AM9" s="39" t="e">
        <f>【収益】水需要予測!#REF!*'【料金算定－現行×改定率】総括原価'!$D20</f>
        <v>#REF!</v>
      </c>
      <c r="AN9" s="39" t="e">
        <f>【収益】水需要予測!#REF!*'【料金算定－現行×改定率】総括原価'!$D20</f>
        <v>#REF!</v>
      </c>
      <c r="AO9" s="39" t="e">
        <f>【収益】水需要予測!#REF!*'【料金算定－現行×改定率】総括原価'!$D20</f>
        <v>#REF!</v>
      </c>
      <c r="AP9" s="39" t="e">
        <f>【収益】水需要予測!#REF!*'【料金算定－現行×改定率】総括原価'!$D20</f>
        <v>#REF!</v>
      </c>
      <c r="AQ9" s="39" t="e">
        <f>【収益】水需要予測!#REF!*'【料金算定－現行×改定率】総括原価'!$D20</f>
        <v>#REF!</v>
      </c>
      <c r="AR9" s="39" t="e">
        <f>【収益】水需要予測!#REF!*'【料金算定－現行×改定率】総括原価'!$D20</f>
        <v>#REF!</v>
      </c>
      <c r="AS9" s="39" t="e">
        <f>【収益】水需要予測!#REF!*'【料金算定－現行×改定率】総括原価'!$D20</f>
        <v>#REF!</v>
      </c>
      <c r="AT9" s="39" t="e">
        <f>【収益】水需要予測!#REF!*'【料金算定－現行×改定率】総括原価'!$D20</f>
        <v>#REF!</v>
      </c>
      <c r="AU9" s="39" t="e">
        <f>【収益】水需要予測!#REF!*'【料金算定－現行×改定率】総括原価'!$D20</f>
        <v>#REF!</v>
      </c>
      <c r="AV9" s="39" t="e">
        <f>【収益】水需要予測!#REF!*'【料金算定－現行×改定率】総括原価'!$D20</f>
        <v>#REF!</v>
      </c>
      <c r="AW9" s="39" t="e">
        <f>【収益】水需要予測!#REF!*'【料金算定－現行×改定率】総括原価'!$D20</f>
        <v>#REF!</v>
      </c>
      <c r="AX9" s="39" t="e">
        <f>【収益】水需要予測!#REF!*'【料金算定－現行×改定率】総括原価'!$D20</f>
        <v>#REF!</v>
      </c>
      <c r="AY9" s="39" t="e">
        <f>【収益】水需要予測!#REF!*'【料金算定－現行×改定率】総括原価'!$D20</f>
        <v>#REF!</v>
      </c>
      <c r="AZ9" s="39" t="e">
        <f>【収益】水需要予測!#REF!*'【料金算定－現行×改定率】総括原価'!$D20</f>
        <v>#REF!</v>
      </c>
      <c r="BA9" s="39" t="e">
        <f>【収益】水需要予測!#REF!*'【料金算定－現行×改定率】総括原価'!$D20</f>
        <v>#REF!</v>
      </c>
      <c r="BB9" s="39" t="e">
        <f>【収益】水需要予測!#REF!*'【料金算定－現行×改定率】総括原価'!$D20</f>
        <v>#REF!</v>
      </c>
      <c r="BC9" s="39" t="e">
        <f>【収益】水需要予測!#REF!*'【料金算定－現行×改定率】総括原価'!$D20</f>
        <v>#REF!</v>
      </c>
      <c r="BD9" s="39" t="e">
        <f>【収益】水需要予測!#REF!*'【料金算定－現行×改定率】総括原価'!$D20</f>
        <v>#REF!</v>
      </c>
      <c r="BE9" s="39" t="e">
        <f>【収益】水需要予測!#REF!*'【料金算定－現行×改定率】総括原価'!$D20</f>
        <v>#REF!</v>
      </c>
      <c r="BF9" s="39" t="e">
        <f>【収益】水需要予測!#REF!*'【料金算定－現行×改定率】総括原価'!$D20</f>
        <v>#REF!</v>
      </c>
      <c r="BG9" s="39" t="e">
        <f>【収益】水需要予測!#REF!*'【料金算定－現行×改定率】総括原価'!$D20</f>
        <v>#REF!</v>
      </c>
      <c r="BH9" s="39" t="e">
        <f>【収益】水需要予測!#REF!*'【料金算定－現行×改定率】総括原価'!$D20</f>
        <v>#REF!</v>
      </c>
      <c r="BI9" s="39" t="e">
        <f>【収益】水需要予測!#REF!*'【料金算定－現行×改定率】総括原価'!$D20</f>
        <v>#REF!</v>
      </c>
      <c r="BJ9" s="39" t="e">
        <f>【収益】水需要予測!#REF!*'【料金算定－現行×改定率】総括原価'!$D20</f>
        <v>#REF!</v>
      </c>
      <c r="BK9" s="39" t="e">
        <f>【収益】水需要予測!#REF!*'【料金算定－現行×改定率】総括原価'!$D20</f>
        <v>#REF!</v>
      </c>
      <c r="BL9" s="39" t="e">
        <f>【収益】水需要予測!#REF!*'【料金算定－現行×改定率】総括原価'!$D20</f>
        <v>#REF!</v>
      </c>
      <c r="BM9" s="39" t="e">
        <f>【収益】水需要予測!#REF!*'【料金算定－現行×改定率】総括原価'!$D20</f>
        <v>#REF!</v>
      </c>
      <c r="BN9" s="39" t="e">
        <f>【収益】水需要予測!#REF!*'【料金算定－現行×改定率】総括原価'!$D20</f>
        <v>#REF!</v>
      </c>
      <c r="BO9" s="39" t="e">
        <f>【収益】水需要予測!#REF!*'【料金算定－現行×改定率】総括原価'!$D20</f>
        <v>#REF!</v>
      </c>
      <c r="BP9" s="39" t="e">
        <f>【収益】水需要予測!#REF!*'【料金算定－現行×改定率】総括原価'!$D20</f>
        <v>#REF!</v>
      </c>
    </row>
    <row r="10" spans="1:68" s="24" customFormat="1">
      <c r="M10" s="25" t="s">
        <v>550</v>
      </c>
      <c r="N10" s="43"/>
      <c r="O10" s="43"/>
      <c r="P10" s="43"/>
      <c r="Q10" s="43"/>
      <c r="R10" s="43"/>
      <c r="S10" s="39" t="e">
        <f>【収益】水需要予測!#REF!*'【料金算定－現行×改定率】総括原価'!$D21</f>
        <v>#REF!</v>
      </c>
      <c r="T10" s="39" t="e">
        <f>【収益】水需要予測!#REF!*'【料金算定－現行×改定率】総括原価'!$D21</f>
        <v>#REF!</v>
      </c>
      <c r="U10" s="39" t="e">
        <f>【収益】水需要予測!#REF!*'【料金算定－現行×改定率】総括原価'!$D21</f>
        <v>#REF!</v>
      </c>
      <c r="V10" s="39" t="e">
        <f>【収益】水需要予測!#REF!*'【料金算定－現行×改定率】総括原価'!$D21</f>
        <v>#REF!</v>
      </c>
      <c r="W10" s="39" t="e">
        <f>【収益】水需要予測!#REF!*'【料金算定－現行×改定率】総括原価'!$D21</f>
        <v>#REF!</v>
      </c>
      <c r="X10" s="39" t="e">
        <f>【収益】水需要予測!#REF!*'【料金算定－現行×改定率】総括原価'!$D21</f>
        <v>#REF!</v>
      </c>
      <c r="Y10" s="39" t="e">
        <f>【収益】水需要予測!#REF!*'【料金算定－現行×改定率】総括原価'!$D21</f>
        <v>#REF!</v>
      </c>
      <c r="Z10" s="39" t="e">
        <f>【収益】水需要予測!#REF!*'【料金算定－現行×改定率】総括原価'!$D21</f>
        <v>#REF!</v>
      </c>
      <c r="AA10" s="39" t="e">
        <f>【収益】水需要予測!#REF!*'【料金算定－現行×改定率】総括原価'!$D21</f>
        <v>#REF!</v>
      </c>
      <c r="AB10" s="39" t="e">
        <f>【収益】水需要予測!#REF!*'【料金算定－現行×改定率】総括原価'!$D21</f>
        <v>#REF!</v>
      </c>
      <c r="AC10" s="39" t="e">
        <f>【収益】水需要予測!#REF!*'【料金算定－現行×改定率】総括原価'!$D21</f>
        <v>#REF!</v>
      </c>
      <c r="AD10" s="39" t="e">
        <f>【収益】水需要予測!#REF!*'【料金算定－現行×改定率】総括原価'!$D21</f>
        <v>#REF!</v>
      </c>
      <c r="AE10" s="39" t="e">
        <f>【収益】水需要予測!#REF!*'【料金算定－現行×改定率】総括原価'!$D21</f>
        <v>#REF!</v>
      </c>
      <c r="AF10" s="39" t="e">
        <f>【収益】水需要予測!#REF!*'【料金算定－現行×改定率】総括原価'!$D21</f>
        <v>#REF!</v>
      </c>
      <c r="AG10" s="39" t="e">
        <f>【収益】水需要予測!#REF!*'【料金算定－現行×改定率】総括原価'!$D21</f>
        <v>#REF!</v>
      </c>
      <c r="AH10" s="39" t="e">
        <f>【収益】水需要予測!#REF!*'【料金算定－現行×改定率】総括原価'!$D21</f>
        <v>#REF!</v>
      </c>
      <c r="AI10" s="39" t="e">
        <f>【収益】水需要予測!#REF!*'【料金算定－現行×改定率】総括原価'!$D21</f>
        <v>#REF!</v>
      </c>
      <c r="AJ10" s="39" t="e">
        <f>【収益】水需要予測!#REF!*'【料金算定－現行×改定率】総括原価'!$D21</f>
        <v>#REF!</v>
      </c>
      <c r="AK10" s="39" t="e">
        <f>【収益】水需要予測!#REF!*'【料金算定－現行×改定率】総括原価'!$D21</f>
        <v>#REF!</v>
      </c>
      <c r="AL10" s="39" t="e">
        <f>【収益】水需要予測!#REF!*'【料金算定－現行×改定率】総括原価'!$D21</f>
        <v>#REF!</v>
      </c>
      <c r="AM10" s="39" t="e">
        <f>【収益】水需要予測!#REF!*'【料金算定－現行×改定率】総括原価'!$D21</f>
        <v>#REF!</v>
      </c>
      <c r="AN10" s="39" t="e">
        <f>【収益】水需要予測!#REF!*'【料金算定－現行×改定率】総括原価'!$D21</f>
        <v>#REF!</v>
      </c>
      <c r="AO10" s="39" t="e">
        <f>【収益】水需要予測!#REF!*'【料金算定－現行×改定率】総括原価'!$D21</f>
        <v>#REF!</v>
      </c>
      <c r="AP10" s="39" t="e">
        <f>【収益】水需要予測!#REF!*'【料金算定－現行×改定率】総括原価'!$D21</f>
        <v>#REF!</v>
      </c>
      <c r="AQ10" s="39" t="e">
        <f>【収益】水需要予測!#REF!*'【料金算定－現行×改定率】総括原価'!$D21</f>
        <v>#REF!</v>
      </c>
      <c r="AR10" s="39" t="e">
        <f>【収益】水需要予測!#REF!*'【料金算定－現行×改定率】総括原価'!$D21</f>
        <v>#REF!</v>
      </c>
      <c r="AS10" s="39" t="e">
        <f>【収益】水需要予測!#REF!*'【料金算定－現行×改定率】総括原価'!$D21</f>
        <v>#REF!</v>
      </c>
      <c r="AT10" s="39" t="e">
        <f>【収益】水需要予測!#REF!*'【料金算定－現行×改定率】総括原価'!$D21</f>
        <v>#REF!</v>
      </c>
      <c r="AU10" s="39" t="e">
        <f>【収益】水需要予測!#REF!*'【料金算定－現行×改定率】総括原価'!$D21</f>
        <v>#REF!</v>
      </c>
      <c r="AV10" s="39" t="e">
        <f>【収益】水需要予測!#REF!*'【料金算定－現行×改定率】総括原価'!$D21</f>
        <v>#REF!</v>
      </c>
      <c r="AW10" s="39" t="e">
        <f>【収益】水需要予測!#REF!*'【料金算定－現行×改定率】総括原価'!$D21</f>
        <v>#REF!</v>
      </c>
      <c r="AX10" s="39" t="e">
        <f>【収益】水需要予測!#REF!*'【料金算定－現行×改定率】総括原価'!$D21</f>
        <v>#REF!</v>
      </c>
      <c r="AY10" s="39" t="e">
        <f>【収益】水需要予測!#REF!*'【料金算定－現行×改定率】総括原価'!$D21</f>
        <v>#REF!</v>
      </c>
      <c r="AZ10" s="39" t="e">
        <f>【収益】水需要予測!#REF!*'【料金算定－現行×改定率】総括原価'!$D21</f>
        <v>#REF!</v>
      </c>
      <c r="BA10" s="39" t="e">
        <f>【収益】水需要予測!#REF!*'【料金算定－現行×改定率】総括原価'!$D21</f>
        <v>#REF!</v>
      </c>
      <c r="BB10" s="39" t="e">
        <f>【収益】水需要予測!#REF!*'【料金算定－現行×改定率】総括原価'!$D21</f>
        <v>#REF!</v>
      </c>
      <c r="BC10" s="39" t="e">
        <f>【収益】水需要予測!#REF!*'【料金算定－現行×改定率】総括原価'!$D21</f>
        <v>#REF!</v>
      </c>
      <c r="BD10" s="39" t="e">
        <f>【収益】水需要予測!#REF!*'【料金算定－現行×改定率】総括原価'!$D21</f>
        <v>#REF!</v>
      </c>
      <c r="BE10" s="39" t="e">
        <f>【収益】水需要予測!#REF!*'【料金算定－現行×改定率】総括原価'!$D21</f>
        <v>#REF!</v>
      </c>
      <c r="BF10" s="39" t="e">
        <f>【収益】水需要予測!#REF!*'【料金算定－現行×改定率】総括原価'!$D21</f>
        <v>#REF!</v>
      </c>
      <c r="BG10" s="39" t="e">
        <f>【収益】水需要予測!#REF!*'【料金算定－現行×改定率】総括原価'!$D21</f>
        <v>#REF!</v>
      </c>
      <c r="BH10" s="39" t="e">
        <f>【収益】水需要予測!#REF!*'【料金算定－現行×改定率】総括原価'!$D21</f>
        <v>#REF!</v>
      </c>
      <c r="BI10" s="39" t="e">
        <f>【収益】水需要予測!#REF!*'【料金算定－現行×改定率】総括原価'!$D21</f>
        <v>#REF!</v>
      </c>
      <c r="BJ10" s="39" t="e">
        <f>【収益】水需要予測!#REF!*'【料金算定－現行×改定率】総括原価'!$D21</f>
        <v>#REF!</v>
      </c>
      <c r="BK10" s="39" t="e">
        <f>【収益】水需要予測!#REF!*'【料金算定－現行×改定率】総括原価'!$D21</f>
        <v>#REF!</v>
      </c>
      <c r="BL10" s="39" t="e">
        <f>【収益】水需要予測!#REF!*'【料金算定－現行×改定率】総括原価'!$D21</f>
        <v>#REF!</v>
      </c>
      <c r="BM10" s="39" t="e">
        <f>【収益】水需要予測!#REF!*'【料金算定－現行×改定率】総括原価'!$D21</f>
        <v>#REF!</v>
      </c>
      <c r="BN10" s="39" t="e">
        <f>【収益】水需要予測!#REF!*'【料金算定－現行×改定率】総括原価'!$D21</f>
        <v>#REF!</v>
      </c>
      <c r="BO10" s="39" t="e">
        <f>【収益】水需要予測!#REF!*'【料金算定－現行×改定率】総括原価'!$D21</f>
        <v>#REF!</v>
      </c>
      <c r="BP10" s="39" t="e">
        <f>【収益】水需要予測!#REF!*'【料金算定－現行×改定率】総括原価'!$D21</f>
        <v>#REF!</v>
      </c>
    </row>
    <row r="11" spans="1:68" s="24" customFormat="1">
      <c r="M11" s="25" t="s">
        <v>549</v>
      </c>
      <c r="N11" s="43"/>
      <c r="O11" s="43"/>
      <c r="P11" s="43"/>
      <c r="Q11" s="43"/>
      <c r="R11" s="43"/>
      <c r="S11" s="39" t="e">
        <f>【収益】水需要予測!#REF!*'【料金算定－現行×改定率】総括原価'!$D22</f>
        <v>#REF!</v>
      </c>
      <c r="T11" s="39" t="e">
        <f>【収益】水需要予測!#REF!*'【料金算定－現行×改定率】総括原価'!$D22</f>
        <v>#REF!</v>
      </c>
      <c r="U11" s="39" t="e">
        <f>【収益】水需要予測!#REF!*'【料金算定－現行×改定率】総括原価'!$D22</f>
        <v>#REF!</v>
      </c>
      <c r="V11" s="39" t="e">
        <f>【収益】水需要予測!#REF!*'【料金算定－現行×改定率】総括原価'!$D22</f>
        <v>#REF!</v>
      </c>
      <c r="W11" s="39" t="e">
        <f>【収益】水需要予測!#REF!*'【料金算定－現行×改定率】総括原価'!$D22</f>
        <v>#REF!</v>
      </c>
      <c r="X11" s="39" t="e">
        <f>【収益】水需要予測!#REF!*'【料金算定－現行×改定率】総括原価'!$D22</f>
        <v>#REF!</v>
      </c>
      <c r="Y11" s="39" t="e">
        <f>【収益】水需要予測!#REF!*'【料金算定－現行×改定率】総括原価'!$D22</f>
        <v>#REF!</v>
      </c>
      <c r="Z11" s="39" t="e">
        <f>【収益】水需要予測!#REF!*'【料金算定－現行×改定率】総括原価'!$D22</f>
        <v>#REF!</v>
      </c>
      <c r="AA11" s="39" t="e">
        <f>【収益】水需要予測!#REF!*'【料金算定－現行×改定率】総括原価'!$D22</f>
        <v>#REF!</v>
      </c>
      <c r="AB11" s="39" t="e">
        <f>【収益】水需要予測!#REF!*'【料金算定－現行×改定率】総括原価'!$D22</f>
        <v>#REF!</v>
      </c>
      <c r="AC11" s="39" t="e">
        <f>【収益】水需要予測!#REF!*'【料金算定－現行×改定率】総括原価'!$D22</f>
        <v>#REF!</v>
      </c>
      <c r="AD11" s="39" t="e">
        <f>【収益】水需要予測!#REF!*'【料金算定－現行×改定率】総括原価'!$D22</f>
        <v>#REF!</v>
      </c>
      <c r="AE11" s="39" t="e">
        <f>【収益】水需要予測!#REF!*'【料金算定－現行×改定率】総括原価'!$D22</f>
        <v>#REF!</v>
      </c>
      <c r="AF11" s="39" t="e">
        <f>【収益】水需要予測!#REF!*'【料金算定－現行×改定率】総括原価'!$D22</f>
        <v>#REF!</v>
      </c>
      <c r="AG11" s="39" t="e">
        <f>【収益】水需要予測!#REF!*'【料金算定－現行×改定率】総括原価'!$D22</f>
        <v>#REF!</v>
      </c>
      <c r="AH11" s="39" t="e">
        <f>【収益】水需要予測!#REF!*'【料金算定－現行×改定率】総括原価'!$D22</f>
        <v>#REF!</v>
      </c>
      <c r="AI11" s="39" t="e">
        <f>【収益】水需要予測!#REF!*'【料金算定－現行×改定率】総括原価'!$D22</f>
        <v>#REF!</v>
      </c>
      <c r="AJ11" s="39" t="e">
        <f>【収益】水需要予測!#REF!*'【料金算定－現行×改定率】総括原価'!$D22</f>
        <v>#REF!</v>
      </c>
      <c r="AK11" s="39" t="e">
        <f>【収益】水需要予測!#REF!*'【料金算定－現行×改定率】総括原価'!$D22</f>
        <v>#REF!</v>
      </c>
      <c r="AL11" s="39" t="e">
        <f>【収益】水需要予測!#REF!*'【料金算定－現行×改定率】総括原価'!$D22</f>
        <v>#REF!</v>
      </c>
      <c r="AM11" s="39" t="e">
        <f>【収益】水需要予測!#REF!*'【料金算定－現行×改定率】総括原価'!$D22</f>
        <v>#REF!</v>
      </c>
      <c r="AN11" s="39" t="e">
        <f>【収益】水需要予測!#REF!*'【料金算定－現行×改定率】総括原価'!$D22</f>
        <v>#REF!</v>
      </c>
      <c r="AO11" s="39" t="e">
        <f>【収益】水需要予測!#REF!*'【料金算定－現行×改定率】総括原価'!$D22</f>
        <v>#REF!</v>
      </c>
      <c r="AP11" s="39" t="e">
        <f>【収益】水需要予測!#REF!*'【料金算定－現行×改定率】総括原価'!$D22</f>
        <v>#REF!</v>
      </c>
      <c r="AQ11" s="39" t="e">
        <f>【収益】水需要予測!#REF!*'【料金算定－現行×改定率】総括原価'!$D22</f>
        <v>#REF!</v>
      </c>
      <c r="AR11" s="39" t="e">
        <f>【収益】水需要予測!#REF!*'【料金算定－現行×改定率】総括原価'!$D22</f>
        <v>#REF!</v>
      </c>
      <c r="AS11" s="39" t="e">
        <f>【収益】水需要予測!#REF!*'【料金算定－現行×改定率】総括原価'!$D22</f>
        <v>#REF!</v>
      </c>
      <c r="AT11" s="39" t="e">
        <f>【収益】水需要予測!#REF!*'【料金算定－現行×改定率】総括原価'!$D22</f>
        <v>#REF!</v>
      </c>
      <c r="AU11" s="39" t="e">
        <f>【収益】水需要予測!#REF!*'【料金算定－現行×改定率】総括原価'!$D22</f>
        <v>#REF!</v>
      </c>
      <c r="AV11" s="39" t="e">
        <f>【収益】水需要予測!#REF!*'【料金算定－現行×改定率】総括原価'!$D22</f>
        <v>#REF!</v>
      </c>
      <c r="AW11" s="39" t="e">
        <f>【収益】水需要予測!#REF!*'【料金算定－現行×改定率】総括原価'!$D22</f>
        <v>#REF!</v>
      </c>
      <c r="AX11" s="39" t="e">
        <f>【収益】水需要予測!#REF!*'【料金算定－現行×改定率】総括原価'!$D22</f>
        <v>#REF!</v>
      </c>
      <c r="AY11" s="39" t="e">
        <f>【収益】水需要予測!#REF!*'【料金算定－現行×改定率】総括原価'!$D22</f>
        <v>#REF!</v>
      </c>
      <c r="AZ11" s="39" t="e">
        <f>【収益】水需要予測!#REF!*'【料金算定－現行×改定率】総括原価'!$D22</f>
        <v>#REF!</v>
      </c>
      <c r="BA11" s="39" t="e">
        <f>【収益】水需要予測!#REF!*'【料金算定－現行×改定率】総括原価'!$D22</f>
        <v>#REF!</v>
      </c>
      <c r="BB11" s="39" t="e">
        <f>【収益】水需要予測!#REF!*'【料金算定－現行×改定率】総括原価'!$D22</f>
        <v>#REF!</v>
      </c>
      <c r="BC11" s="39" t="e">
        <f>【収益】水需要予測!#REF!*'【料金算定－現行×改定率】総括原価'!$D22</f>
        <v>#REF!</v>
      </c>
      <c r="BD11" s="39" t="e">
        <f>【収益】水需要予測!#REF!*'【料金算定－現行×改定率】総括原価'!$D22</f>
        <v>#REF!</v>
      </c>
      <c r="BE11" s="39" t="e">
        <f>【収益】水需要予測!#REF!*'【料金算定－現行×改定率】総括原価'!$D22</f>
        <v>#REF!</v>
      </c>
      <c r="BF11" s="39" t="e">
        <f>【収益】水需要予測!#REF!*'【料金算定－現行×改定率】総括原価'!$D22</f>
        <v>#REF!</v>
      </c>
      <c r="BG11" s="39" t="e">
        <f>【収益】水需要予測!#REF!*'【料金算定－現行×改定率】総括原価'!$D22</f>
        <v>#REF!</v>
      </c>
      <c r="BH11" s="39" t="e">
        <f>【収益】水需要予測!#REF!*'【料金算定－現行×改定率】総括原価'!$D22</f>
        <v>#REF!</v>
      </c>
      <c r="BI11" s="39" t="e">
        <f>【収益】水需要予測!#REF!*'【料金算定－現行×改定率】総括原価'!$D22</f>
        <v>#REF!</v>
      </c>
      <c r="BJ11" s="39" t="e">
        <f>【収益】水需要予測!#REF!*'【料金算定－現行×改定率】総括原価'!$D22</f>
        <v>#REF!</v>
      </c>
      <c r="BK11" s="39" t="e">
        <f>【収益】水需要予測!#REF!*'【料金算定－現行×改定率】総括原価'!$D22</f>
        <v>#REF!</v>
      </c>
      <c r="BL11" s="39" t="e">
        <f>【収益】水需要予測!#REF!*'【料金算定－現行×改定率】総括原価'!$D22</f>
        <v>#REF!</v>
      </c>
      <c r="BM11" s="39" t="e">
        <f>【収益】水需要予測!#REF!*'【料金算定－現行×改定率】総括原価'!$D22</f>
        <v>#REF!</v>
      </c>
      <c r="BN11" s="39" t="e">
        <f>【収益】水需要予測!#REF!*'【料金算定－現行×改定率】総括原価'!$D22</f>
        <v>#REF!</v>
      </c>
      <c r="BO11" s="39" t="e">
        <f>【収益】水需要予測!#REF!*'【料金算定－現行×改定率】総括原価'!$D22</f>
        <v>#REF!</v>
      </c>
      <c r="BP11" s="39" t="e">
        <f>【収益】水需要予測!#REF!*'【料金算定－現行×改定率】総括原価'!$D22</f>
        <v>#REF!</v>
      </c>
    </row>
    <row r="12" spans="1:68" s="24" customFormat="1">
      <c r="M12" s="25" t="s">
        <v>157</v>
      </c>
      <c r="N12" s="43"/>
      <c r="O12" s="43"/>
      <c r="P12" s="43"/>
      <c r="Q12" s="43"/>
      <c r="R12" s="43"/>
      <c r="S12" s="39" t="e">
        <f>SUM(S13:S20)</f>
        <v>#REF!</v>
      </c>
      <c r="T12" s="39" t="e">
        <f t="shared" ref="T12:BP12" si="1">SUM(T13:T20)</f>
        <v>#REF!</v>
      </c>
      <c r="U12" s="39" t="e">
        <f t="shared" si="1"/>
        <v>#REF!</v>
      </c>
      <c r="V12" s="39" t="e">
        <f t="shared" si="1"/>
        <v>#REF!</v>
      </c>
      <c r="W12" s="39" t="e">
        <f t="shared" si="1"/>
        <v>#REF!</v>
      </c>
      <c r="X12" s="39" t="e">
        <f t="shared" si="1"/>
        <v>#REF!</v>
      </c>
      <c r="Y12" s="39" t="e">
        <f t="shared" si="1"/>
        <v>#REF!</v>
      </c>
      <c r="Z12" s="39" t="e">
        <f t="shared" si="1"/>
        <v>#REF!</v>
      </c>
      <c r="AA12" s="39" t="e">
        <f t="shared" si="1"/>
        <v>#REF!</v>
      </c>
      <c r="AB12" s="39" t="e">
        <f t="shared" si="1"/>
        <v>#REF!</v>
      </c>
      <c r="AC12" s="39" t="e">
        <f t="shared" si="1"/>
        <v>#REF!</v>
      </c>
      <c r="AD12" s="39" t="e">
        <f t="shared" si="1"/>
        <v>#REF!</v>
      </c>
      <c r="AE12" s="39" t="e">
        <f t="shared" si="1"/>
        <v>#REF!</v>
      </c>
      <c r="AF12" s="39" t="e">
        <f t="shared" si="1"/>
        <v>#REF!</v>
      </c>
      <c r="AG12" s="39" t="e">
        <f t="shared" si="1"/>
        <v>#REF!</v>
      </c>
      <c r="AH12" s="39" t="e">
        <f t="shared" si="1"/>
        <v>#REF!</v>
      </c>
      <c r="AI12" s="39" t="e">
        <f t="shared" si="1"/>
        <v>#REF!</v>
      </c>
      <c r="AJ12" s="39" t="e">
        <f t="shared" si="1"/>
        <v>#REF!</v>
      </c>
      <c r="AK12" s="39" t="e">
        <f t="shared" si="1"/>
        <v>#REF!</v>
      </c>
      <c r="AL12" s="39" t="e">
        <f t="shared" si="1"/>
        <v>#REF!</v>
      </c>
      <c r="AM12" s="39" t="e">
        <f t="shared" si="1"/>
        <v>#REF!</v>
      </c>
      <c r="AN12" s="39" t="e">
        <f t="shared" si="1"/>
        <v>#REF!</v>
      </c>
      <c r="AO12" s="39" t="e">
        <f t="shared" si="1"/>
        <v>#REF!</v>
      </c>
      <c r="AP12" s="39" t="e">
        <f t="shared" si="1"/>
        <v>#REF!</v>
      </c>
      <c r="AQ12" s="39" t="e">
        <f t="shared" si="1"/>
        <v>#REF!</v>
      </c>
      <c r="AR12" s="39" t="e">
        <f t="shared" si="1"/>
        <v>#REF!</v>
      </c>
      <c r="AS12" s="39" t="e">
        <f t="shared" si="1"/>
        <v>#REF!</v>
      </c>
      <c r="AT12" s="39" t="e">
        <f t="shared" si="1"/>
        <v>#REF!</v>
      </c>
      <c r="AU12" s="39" t="e">
        <f t="shared" si="1"/>
        <v>#REF!</v>
      </c>
      <c r="AV12" s="39" t="e">
        <f t="shared" si="1"/>
        <v>#REF!</v>
      </c>
      <c r="AW12" s="39" t="e">
        <f t="shared" si="1"/>
        <v>#REF!</v>
      </c>
      <c r="AX12" s="39" t="e">
        <f t="shared" si="1"/>
        <v>#REF!</v>
      </c>
      <c r="AY12" s="39" t="e">
        <f t="shared" si="1"/>
        <v>#REF!</v>
      </c>
      <c r="AZ12" s="39" t="e">
        <f t="shared" si="1"/>
        <v>#REF!</v>
      </c>
      <c r="BA12" s="39" t="e">
        <f t="shared" si="1"/>
        <v>#REF!</v>
      </c>
      <c r="BB12" s="39" t="e">
        <f t="shared" si="1"/>
        <v>#REF!</v>
      </c>
      <c r="BC12" s="39" t="e">
        <f t="shared" si="1"/>
        <v>#REF!</v>
      </c>
      <c r="BD12" s="39" t="e">
        <f t="shared" si="1"/>
        <v>#REF!</v>
      </c>
      <c r="BE12" s="39" t="e">
        <f t="shared" si="1"/>
        <v>#REF!</v>
      </c>
      <c r="BF12" s="39" t="e">
        <f t="shared" si="1"/>
        <v>#REF!</v>
      </c>
      <c r="BG12" s="39" t="e">
        <f t="shared" si="1"/>
        <v>#REF!</v>
      </c>
      <c r="BH12" s="39" t="e">
        <f t="shared" si="1"/>
        <v>#REF!</v>
      </c>
      <c r="BI12" s="39" t="e">
        <f t="shared" si="1"/>
        <v>#REF!</v>
      </c>
      <c r="BJ12" s="39" t="e">
        <f t="shared" si="1"/>
        <v>#REF!</v>
      </c>
      <c r="BK12" s="39" t="e">
        <f t="shared" si="1"/>
        <v>#REF!</v>
      </c>
      <c r="BL12" s="39" t="e">
        <f t="shared" si="1"/>
        <v>#REF!</v>
      </c>
      <c r="BM12" s="39" t="e">
        <f t="shared" si="1"/>
        <v>#REF!</v>
      </c>
      <c r="BN12" s="39" t="e">
        <f t="shared" si="1"/>
        <v>#REF!</v>
      </c>
      <c r="BO12" s="39" t="e">
        <f t="shared" si="1"/>
        <v>#REF!</v>
      </c>
      <c r="BP12" s="39" t="e">
        <f t="shared" si="1"/>
        <v>#REF!</v>
      </c>
    </row>
    <row r="13" spans="1:68" s="24" customFormat="1">
      <c r="M13" s="25" t="s">
        <v>552</v>
      </c>
      <c r="N13" s="43"/>
      <c r="O13" s="43"/>
      <c r="P13" s="43"/>
      <c r="Q13" s="43"/>
      <c r="R13" s="43"/>
      <c r="S13" s="39" t="e">
        <f>【収益】水需要予測!Y25*'【料金算定－現行×改定率】総括原価'!$D9*12</f>
        <v>#REF!</v>
      </c>
      <c r="T13" s="39" t="e">
        <f>【収益】水需要予測!Z25*'【料金算定－現行×改定率】総括原価'!$D9*12</f>
        <v>#REF!</v>
      </c>
      <c r="U13" s="39" t="e">
        <f>【収益】水需要予測!AA25*'【料金算定－現行×改定率】総括原価'!$D9*12</f>
        <v>#REF!</v>
      </c>
      <c r="V13" s="39" t="e">
        <f>【収益】水需要予測!AB25*'【料金算定－現行×改定率】総括原価'!$D9*12</f>
        <v>#REF!</v>
      </c>
      <c r="W13" s="39" t="e">
        <f>【収益】水需要予測!AC25*'【料金算定－現行×改定率】総括原価'!$D9*12</f>
        <v>#REF!</v>
      </c>
      <c r="X13" s="39" t="e">
        <f>【収益】水需要予測!AD25*'【料金算定－現行×改定率】総括原価'!$D9*12</f>
        <v>#REF!</v>
      </c>
      <c r="Y13" s="39" t="e">
        <f>【収益】水需要予測!AE25*'【料金算定－現行×改定率】総括原価'!$D9*12</f>
        <v>#REF!</v>
      </c>
      <c r="Z13" s="39" t="e">
        <f>【収益】水需要予測!AF25*'【料金算定－現行×改定率】総括原価'!$D9*12</f>
        <v>#REF!</v>
      </c>
      <c r="AA13" s="39" t="e">
        <f>【収益】水需要予測!AG25*'【料金算定－現行×改定率】総括原価'!$D9*12</f>
        <v>#REF!</v>
      </c>
      <c r="AB13" s="39" t="e">
        <f>【収益】水需要予測!AH25*'【料金算定－現行×改定率】総括原価'!$D9*12</f>
        <v>#REF!</v>
      </c>
      <c r="AC13" s="39" t="e">
        <f>【収益】水需要予測!AI25*'【料金算定－現行×改定率】総括原価'!$D9*12</f>
        <v>#REF!</v>
      </c>
      <c r="AD13" s="39" t="e">
        <f>【収益】水需要予測!AJ25*'【料金算定－現行×改定率】総括原価'!$D9*12</f>
        <v>#REF!</v>
      </c>
      <c r="AE13" s="39" t="e">
        <f>【収益】水需要予測!AK25*'【料金算定－現行×改定率】総括原価'!$D9*12</f>
        <v>#REF!</v>
      </c>
      <c r="AF13" s="39" t="e">
        <f>【収益】水需要予測!AL25*'【料金算定－現行×改定率】総括原価'!$D9*12</f>
        <v>#REF!</v>
      </c>
      <c r="AG13" s="39" t="e">
        <f>【収益】水需要予測!AM25*'【料金算定－現行×改定率】総括原価'!$D9*12</f>
        <v>#REF!</v>
      </c>
      <c r="AH13" s="39" t="e">
        <f>【収益】水需要予測!AN25*'【料金算定－現行×改定率】総括原価'!$D9*12</f>
        <v>#REF!</v>
      </c>
      <c r="AI13" s="39" t="e">
        <f>【収益】水需要予測!AO25*'【料金算定－現行×改定率】総括原価'!$D9*12</f>
        <v>#REF!</v>
      </c>
      <c r="AJ13" s="39" t="e">
        <f>【収益】水需要予測!AP25*'【料金算定－現行×改定率】総括原価'!$D9*12</f>
        <v>#REF!</v>
      </c>
      <c r="AK13" s="39" t="e">
        <f>【収益】水需要予測!AQ25*'【料金算定－現行×改定率】総括原価'!$D9*12</f>
        <v>#REF!</v>
      </c>
      <c r="AL13" s="39" t="e">
        <f>【収益】水需要予測!AR25*'【料金算定－現行×改定率】総括原価'!$D9*12</f>
        <v>#REF!</v>
      </c>
      <c r="AM13" s="39" t="e">
        <f>【収益】水需要予測!AS25*'【料金算定－現行×改定率】総括原価'!$D9*12</f>
        <v>#REF!</v>
      </c>
      <c r="AN13" s="39" t="e">
        <f>【収益】水需要予測!AT25*'【料金算定－現行×改定率】総括原価'!$D9*12</f>
        <v>#REF!</v>
      </c>
      <c r="AO13" s="39" t="e">
        <f>【収益】水需要予測!AU25*'【料金算定－現行×改定率】総括原価'!$D9*12</f>
        <v>#REF!</v>
      </c>
      <c r="AP13" s="39" t="e">
        <f>【収益】水需要予測!AV25*'【料金算定－現行×改定率】総括原価'!$D9*12</f>
        <v>#REF!</v>
      </c>
      <c r="AQ13" s="39" t="e">
        <f>【収益】水需要予測!AW25*'【料金算定－現行×改定率】総括原価'!$D9*12</f>
        <v>#REF!</v>
      </c>
      <c r="AR13" s="39" t="e">
        <f>【収益】水需要予測!AX25*'【料金算定－現行×改定率】総括原価'!$D9*12</f>
        <v>#REF!</v>
      </c>
      <c r="AS13" s="39" t="e">
        <f>【収益】水需要予測!AY25*'【料金算定－現行×改定率】総括原価'!$D9*12</f>
        <v>#REF!</v>
      </c>
      <c r="AT13" s="39" t="e">
        <f>【収益】水需要予測!AZ25*'【料金算定－現行×改定率】総括原価'!$D9*12</f>
        <v>#REF!</v>
      </c>
      <c r="AU13" s="39" t="e">
        <f>【収益】水需要予測!BA25*'【料金算定－現行×改定率】総括原価'!$D9*12</f>
        <v>#REF!</v>
      </c>
      <c r="AV13" s="39" t="e">
        <f>【収益】水需要予測!BB25*'【料金算定－現行×改定率】総括原価'!$D9*12</f>
        <v>#REF!</v>
      </c>
      <c r="AW13" s="39" t="e">
        <f>【収益】水需要予測!BC25*'【料金算定－現行×改定率】総括原価'!$D9*12</f>
        <v>#REF!</v>
      </c>
      <c r="AX13" s="39" t="e">
        <f>【収益】水需要予測!BD25*'【料金算定－現行×改定率】総括原価'!$D9*12</f>
        <v>#REF!</v>
      </c>
      <c r="AY13" s="39" t="e">
        <f>【収益】水需要予測!BE25*'【料金算定－現行×改定率】総括原価'!$D9*12</f>
        <v>#REF!</v>
      </c>
      <c r="AZ13" s="39" t="e">
        <f>【収益】水需要予測!BF25*'【料金算定－現行×改定率】総括原価'!$D9*12</f>
        <v>#REF!</v>
      </c>
      <c r="BA13" s="39" t="e">
        <f>【収益】水需要予測!BG25*'【料金算定－現行×改定率】総括原価'!$D9*12</f>
        <v>#REF!</v>
      </c>
      <c r="BB13" s="39" t="e">
        <f>【収益】水需要予測!BH25*'【料金算定－現行×改定率】総括原価'!$D9*12</f>
        <v>#REF!</v>
      </c>
      <c r="BC13" s="39" t="e">
        <f>【収益】水需要予測!BI25*'【料金算定－現行×改定率】総括原価'!$D9*12</f>
        <v>#REF!</v>
      </c>
      <c r="BD13" s="39" t="e">
        <f>【収益】水需要予測!BJ25*'【料金算定－現行×改定率】総括原価'!$D9*12</f>
        <v>#REF!</v>
      </c>
      <c r="BE13" s="39" t="e">
        <f>【収益】水需要予測!BK25*'【料金算定－現行×改定率】総括原価'!$D9*12</f>
        <v>#REF!</v>
      </c>
      <c r="BF13" s="39" t="e">
        <f>【収益】水需要予測!BL25*'【料金算定－現行×改定率】総括原価'!$D9*12</f>
        <v>#REF!</v>
      </c>
      <c r="BG13" s="39" t="e">
        <f>【収益】水需要予測!BM25*'【料金算定－現行×改定率】総括原価'!$D9*12</f>
        <v>#REF!</v>
      </c>
      <c r="BH13" s="39" t="e">
        <f>【収益】水需要予測!BN25*'【料金算定－現行×改定率】総括原価'!$D9*12</f>
        <v>#REF!</v>
      </c>
      <c r="BI13" s="39" t="e">
        <f>【収益】水需要予測!BO25*'【料金算定－現行×改定率】総括原価'!$D9*12</f>
        <v>#REF!</v>
      </c>
      <c r="BJ13" s="39" t="e">
        <f>【収益】水需要予測!BP25*'【料金算定－現行×改定率】総括原価'!$D9*12</f>
        <v>#REF!</v>
      </c>
      <c r="BK13" s="39" t="e">
        <f>【収益】水需要予測!BQ25*'【料金算定－現行×改定率】総括原価'!$D9*12</f>
        <v>#REF!</v>
      </c>
      <c r="BL13" s="39" t="e">
        <f>【収益】水需要予測!BR25*'【料金算定－現行×改定率】総括原価'!$D9*12</f>
        <v>#REF!</v>
      </c>
      <c r="BM13" s="39" t="e">
        <f>【収益】水需要予測!BS25*'【料金算定－現行×改定率】総括原価'!$D9*12</f>
        <v>#REF!</v>
      </c>
      <c r="BN13" s="39" t="e">
        <f>【収益】水需要予測!BT25*'【料金算定－現行×改定率】総括原価'!$D9*12</f>
        <v>#REF!</v>
      </c>
      <c r="BO13" s="39" t="e">
        <f>【収益】水需要予測!BU25*'【料金算定－現行×改定率】総括原価'!$D9*12</f>
        <v>#REF!</v>
      </c>
      <c r="BP13" s="39" t="e">
        <f>【収益】水需要予測!BV25*'【料金算定－現行×改定率】総括原価'!$D9*12</f>
        <v>#REF!</v>
      </c>
    </row>
    <row r="14" spans="1:68" s="24" customFormat="1">
      <c r="M14" s="25" t="s">
        <v>553</v>
      </c>
      <c r="N14" s="43"/>
      <c r="O14" s="43"/>
      <c r="P14" s="43"/>
      <c r="Q14" s="43"/>
      <c r="R14" s="43"/>
      <c r="S14" s="39" t="e">
        <f>【収益】水需要予測!Y26*'【料金算定－現行×改定率】総括原価'!$D10*12</f>
        <v>#REF!</v>
      </c>
      <c r="T14" s="39" t="e">
        <f>【収益】水需要予測!Z26*'【料金算定－現行×改定率】総括原価'!$D10*12</f>
        <v>#REF!</v>
      </c>
      <c r="U14" s="39" t="e">
        <f>【収益】水需要予測!AA26*'【料金算定－現行×改定率】総括原価'!$D10*12</f>
        <v>#REF!</v>
      </c>
      <c r="V14" s="39" t="e">
        <f>【収益】水需要予測!AB26*'【料金算定－現行×改定率】総括原価'!$D10*12</f>
        <v>#REF!</v>
      </c>
      <c r="W14" s="39" t="e">
        <f>【収益】水需要予測!AC26*'【料金算定－現行×改定率】総括原価'!$D10*12</f>
        <v>#REF!</v>
      </c>
      <c r="X14" s="39" t="e">
        <f>【収益】水需要予測!AD26*'【料金算定－現行×改定率】総括原価'!$D10*12</f>
        <v>#REF!</v>
      </c>
      <c r="Y14" s="39" t="e">
        <f>【収益】水需要予測!AE26*'【料金算定－現行×改定率】総括原価'!$D10*12</f>
        <v>#REF!</v>
      </c>
      <c r="Z14" s="39" t="e">
        <f>【収益】水需要予測!AF26*'【料金算定－現行×改定率】総括原価'!$D10*12</f>
        <v>#REF!</v>
      </c>
      <c r="AA14" s="39" t="e">
        <f>【収益】水需要予測!AG26*'【料金算定－現行×改定率】総括原価'!$D10*12</f>
        <v>#REF!</v>
      </c>
      <c r="AB14" s="39" t="e">
        <f>【収益】水需要予測!AH26*'【料金算定－現行×改定率】総括原価'!$D10*12</f>
        <v>#REF!</v>
      </c>
      <c r="AC14" s="39" t="e">
        <f>【収益】水需要予測!AI26*'【料金算定－現行×改定率】総括原価'!$D10*12</f>
        <v>#REF!</v>
      </c>
      <c r="AD14" s="39" t="e">
        <f>【収益】水需要予測!AJ26*'【料金算定－現行×改定率】総括原価'!$D10*12</f>
        <v>#REF!</v>
      </c>
      <c r="AE14" s="39" t="e">
        <f>【収益】水需要予測!AK26*'【料金算定－現行×改定率】総括原価'!$D10*12</f>
        <v>#REF!</v>
      </c>
      <c r="AF14" s="39" t="e">
        <f>【収益】水需要予測!AL26*'【料金算定－現行×改定率】総括原価'!$D10*12</f>
        <v>#REF!</v>
      </c>
      <c r="AG14" s="39" t="e">
        <f>【収益】水需要予測!AM26*'【料金算定－現行×改定率】総括原価'!$D10*12</f>
        <v>#REF!</v>
      </c>
      <c r="AH14" s="39" t="e">
        <f>【収益】水需要予測!AN26*'【料金算定－現行×改定率】総括原価'!$D10*12</f>
        <v>#REF!</v>
      </c>
      <c r="AI14" s="39" t="e">
        <f>【収益】水需要予測!AO26*'【料金算定－現行×改定率】総括原価'!$D10*12</f>
        <v>#REF!</v>
      </c>
      <c r="AJ14" s="39" t="e">
        <f>【収益】水需要予測!AP26*'【料金算定－現行×改定率】総括原価'!$D10*12</f>
        <v>#REF!</v>
      </c>
      <c r="AK14" s="39" t="e">
        <f>【収益】水需要予測!AQ26*'【料金算定－現行×改定率】総括原価'!$D10*12</f>
        <v>#REF!</v>
      </c>
      <c r="AL14" s="39" t="e">
        <f>【収益】水需要予測!AR26*'【料金算定－現行×改定率】総括原価'!$D10*12</f>
        <v>#REF!</v>
      </c>
      <c r="AM14" s="39" t="e">
        <f>【収益】水需要予測!AS26*'【料金算定－現行×改定率】総括原価'!$D10*12</f>
        <v>#REF!</v>
      </c>
      <c r="AN14" s="39" t="e">
        <f>【収益】水需要予測!AT26*'【料金算定－現行×改定率】総括原価'!$D10*12</f>
        <v>#REF!</v>
      </c>
      <c r="AO14" s="39" t="e">
        <f>【収益】水需要予測!AU26*'【料金算定－現行×改定率】総括原価'!$D10*12</f>
        <v>#REF!</v>
      </c>
      <c r="AP14" s="39" t="e">
        <f>【収益】水需要予測!AV26*'【料金算定－現行×改定率】総括原価'!$D10*12</f>
        <v>#REF!</v>
      </c>
      <c r="AQ14" s="39" t="e">
        <f>【収益】水需要予測!AW26*'【料金算定－現行×改定率】総括原価'!$D10*12</f>
        <v>#REF!</v>
      </c>
      <c r="AR14" s="39" t="e">
        <f>【収益】水需要予測!AX26*'【料金算定－現行×改定率】総括原価'!$D10*12</f>
        <v>#REF!</v>
      </c>
      <c r="AS14" s="39" t="e">
        <f>【収益】水需要予測!AY26*'【料金算定－現行×改定率】総括原価'!$D10*12</f>
        <v>#REF!</v>
      </c>
      <c r="AT14" s="39" t="e">
        <f>【収益】水需要予測!AZ26*'【料金算定－現行×改定率】総括原価'!$D10*12</f>
        <v>#REF!</v>
      </c>
      <c r="AU14" s="39" t="e">
        <f>【収益】水需要予測!BA26*'【料金算定－現行×改定率】総括原価'!$D10*12</f>
        <v>#REF!</v>
      </c>
      <c r="AV14" s="39" t="e">
        <f>【収益】水需要予測!BB26*'【料金算定－現行×改定率】総括原価'!$D10*12</f>
        <v>#REF!</v>
      </c>
      <c r="AW14" s="39" t="e">
        <f>【収益】水需要予測!BC26*'【料金算定－現行×改定率】総括原価'!$D10*12</f>
        <v>#REF!</v>
      </c>
      <c r="AX14" s="39" t="e">
        <f>【収益】水需要予測!BD26*'【料金算定－現行×改定率】総括原価'!$D10*12</f>
        <v>#REF!</v>
      </c>
      <c r="AY14" s="39" t="e">
        <f>【収益】水需要予測!BE26*'【料金算定－現行×改定率】総括原価'!$D10*12</f>
        <v>#REF!</v>
      </c>
      <c r="AZ14" s="39" t="e">
        <f>【収益】水需要予測!BF26*'【料金算定－現行×改定率】総括原価'!$D10*12</f>
        <v>#REF!</v>
      </c>
      <c r="BA14" s="39" t="e">
        <f>【収益】水需要予測!BG26*'【料金算定－現行×改定率】総括原価'!$D10*12</f>
        <v>#REF!</v>
      </c>
      <c r="BB14" s="39" t="e">
        <f>【収益】水需要予測!BH26*'【料金算定－現行×改定率】総括原価'!$D10*12</f>
        <v>#REF!</v>
      </c>
      <c r="BC14" s="39" t="e">
        <f>【収益】水需要予測!BI26*'【料金算定－現行×改定率】総括原価'!$D10*12</f>
        <v>#REF!</v>
      </c>
      <c r="BD14" s="39" t="e">
        <f>【収益】水需要予測!BJ26*'【料金算定－現行×改定率】総括原価'!$D10*12</f>
        <v>#REF!</v>
      </c>
      <c r="BE14" s="39" t="e">
        <f>【収益】水需要予測!BK26*'【料金算定－現行×改定率】総括原価'!$D10*12</f>
        <v>#REF!</v>
      </c>
      <c r="BF14" s="39" t="e">
        <f>【収益】水需要予測!BL26*'【料金算定－現行×改定率】総括原価'!$D10*12</f>
        <v>#REF!</v>
      </c>
      <c r="BG14" s="39" t="e">
        <f>【収益】水需要予測!BM26*'【料金算定－現行×改定率】総括原価'!$D10*12</f>
        <v>#REF!</v>
      </c>
      <c r="BH14" s="39" t="e">
        <f>【収益】水需要予測!BN26*'【料金算定－現行×改定率】総括原価'!$D10*12</f>
        <v>#REF!</v>
      </c>
      <c r="BI14" s="39" t="e">
        <f>【収益】水需要予測!BO26*'【料金算定－現行×改定率】総括原価'!$D10*12</f>
        <v>#REF!</v>
      </c>
      <c r="BJ14" s="39" t="e">
        <f>【収益】水需要予測!BP26*'【料金算定－現行×改定率】総括原価'!$D10*12</f>
        <v>#REF!</v>
      </c>
      <c r="BK14" s="39" t="e">
        <f>【収益】水需要予測!BQ26*'【料金算定－現行×改定率】総括原価'!$D10*12</f>
        <v>#REF!</v>
      </c>
      <c r="BL14" s="39" t="e">
        <f>【収益】水需要予測!BR26*'【料金算定－現行×改定率】総括原価'!$D10*12</f>
        <v>#REF!</v>
      </c>
      <c r="BM14" s="39" t="e">
        <f>【収益】水需要予測!BS26*'【料金算定－現行×改定率】総括原価'!$D10*12</f>
        <v>#REF!</v>
      </c>
      <c r="BN14" s="39" t="e">
        <f>【収益】水需要予測!BT26*'【料金算定－現行×改定率】総括原価'!$D10*12</f>
        <v>#REF!</v>
      </c>
      <c r="BO14" s="39" t="e">
        <f>【収益】水需要予測!BU26*'【料金算定－現行×改定率】総括原価'!$D10*12</f>
        <v>#REF!</v>
      </c>
      <c r="BP14" s="39" t="e">
        <f>【収益】水需要予測!BV26*'【料金算定－現行×改定率】総括原価'!$D10*12</f>
        <v>#REF!</v>
      </c>
    </row>
    <row r="15" spans="1:68" s="24" customFormat="1">
      <c r="M15" s="25" t="s">
        <v>554</v>
      </c>
      <c r="N15" s="43"/>
      <c r="O15" s="43"/>
      <c r="P15" s="43"/>
      <c r="Q15" s="43"/>
      <c r="R15" s="43"/>
      <c r="S15" s="39" t="e">
        <f>【収益】水需要予測!Y27*'【料金算定－現行×改定率】総括原価'!$D11*12</f>
        <v>#REF!</v>
      </c>
      <c r="T15" s="39" t="e">
        <f>【収益】水需要予測!Z27*'【料金算定－現行×改定率】総括原価'!$D11*12</f>
        <v>#REF!</v>
      </c>
      <c r="U15" s="39" t="e">
        <f>【収益】水需要予測!AA27*'【料金算定－現行×改定率】総括原価'!$D11*12</f>
        <v>#REF!</v>
      </c>
      <c r="V15" s="39" t="e">
        <f>【収益】水需要予測!AB27*'【料金算定－現行×改定率】総括原価'!$D11*12</f>
        <v>#REF!</v>
      </c>
      <c r="W15" s="39" t="e">
        <f>【収益】水需要予測!AC27*'【料金算定－現行×改定率】総括原価'!$D11*12</f>
        <v>#REF!</v>
      </c>
      <c r="X15" s="39" t="e">
        <f>【収益】水需要予測!AD27*'【料金算定－現行×改定率】総括原価'!$D11*12</f>
        <v>#REF!</v>
      </c>
      <c r="Y15" s="39" t="e">
        <f>【収益】水需要予測!AE27*'【料金算定－現行×改定率】総括原価'!$D11*12</f>
        <v>#REF!</v>
      </c>
      <c r="Z15" s="39" t="e">
        <f>【収益】水需要予測!AF27*'【料金算定－現行×改定率】総括原価'!$D11*12</f>
        <v>#REF!</v>
      </c>
      <c r="AA15" s="39" t="e">
        <f>【収益】水需要予測!AG27*'【料金算定－現行×改定率】総括原価'!$D11*12</f>
        <v>#REF!</v>
      </c>
      <c r="AB15" s="39" t="e">
        <f>【収益】水需要予測!AH27*'【料金算定－現行×改定率】総括原価'!$D11*12</f>
        <v>#REF!</v>
      </c>
      <c r="AC15" s="39" t="e">
        <f>【収益】水需要予測!AI27*'【料金算定－現行×改定率】総括原価'!$D11*12</f>
        <v>#REF!</v>
      </c>
      <c r="AD15" s="39" t="e">
        <f>【収益】水需要予測!AJ27*'【料金算定－現行×改定率】総括原価'!$D11*12</f>
        <v>#REF!</v>
      </c>
      <c r="AE15" s="39" t="e">
        <f>【収益】水需要予測!AK27*'【料金算定－現行×改定率】総括原価'!$D11*12</f>
        <v>#REF!</v>
      </c>
      <c r="AF15" s="39" t="e">
        <f>【収益】水需要予測!AL27*'【料金算定－現行×改定率】総括原価'!$D11*12</f>
        <v>#REF!</v>
      </c>
      <c r="AG15" s="39" t="e">
        <f>【収益】水需要予測!AM27*'【料金算定－現行×改定率】総括原価'!$D11*12</f>
        <v>#REF!</v>
      </c>
      <c r="AH15" s="39" t="e">
        <f>【収益】水需要予測!AN27*'【料金算定－現行×改定率】総括原価'!$D11*12</f>
        <v>#REF!</v>
      </c>
      <c r="AI15" s="39" t="e">
        <f>【収益】水需要予測!AO27*'【料金算定－現行×改定率】総括原価'!$D11*12</f>
        <v>#REF!</v>
      </c>
      <c r="AJ15" s="39" t="e">
        <f>【収益】水需要予測!AP27*'【料金算定－現行×改定率】総括原価'!$D11*12</f>
        <v>#REF!</v>
      </c>
      <c r="AK15" s="39" t="e">
        <f>【収益】水需要予測!AQ27*'【料金算定－現行×改定率】総括原価'!$D11*12</f>
        <v>#REF!</v>
      </c>
      <c r="AL15" s="39" t="e">
        <f>【収益】水需要予測!AR27*'【料金算定－現行×改定率】総括原価'!$D11*12</f>
        <v>#REF!</v>
      </c>
      <c r="AM15" s="39" t="e">
        <f>【収益】水需要予測!AS27*'【料金算定－現行×改定率】総括原価'!$D11*12</f>
        <v>#REF!</v>
      </c>
      <c r="AN15" s="39" t="e">
        <f>【収益】水需要予測!AT27*'【料金算定－現行×改定率】総括原価'!$D11*12</f>
        <v>#REF!</v>
      </c>
      <c r="AO15" s="39" t="e">
        <f>【収益】水需要予測!AU27*'【料金算定－現行×改定率】総括原価'!$D11*12</f>
        <v>#REF!</v>
      </c>
      <c r="AP15" s="39" t="e">
        <f>【収益】水需要予測!AV27*'【料金算定－現行×改定率】総括原価'!$D11*12</f>
        <v>#REF!</v>
      </c>
      <c r="AQ15" s="39" t="e">
        <f>【収益】水需要予測!AW27*'【料金算定－現行×改定率】総括原価'!$D11*12</f>
        <v>#REF!</v>
      </c>
      <c r="AR15" s="39" t="e">
        <f>【収益】水需要予測!AX27*'【料金算定－現行×改定率】総括原価'!$D11*12</f>
        <v>#REF!</v>
      </c>
      <c r="AS15" s="39" t="e">
        <f>【収益】水需要予測!AY27*'【料金算定－現行×改定率】総括原価'!$D11*12</f>
        <v>#REF!</v>
      </c>
      <c r="AT15" s="39" t="e">
        <f>【収益】水需要予測!AZ27*'【料金算定－現行×改定率】総括原価'!$D11*12</f>
        <v>#REF!</v>
      </c>
      <c r="AU15" s="39" t="e">
        <f>【収益】水需要予測!BA27*'【料金算定－現行×改定率】総括原価'!$D11*12</f>
        <v>#REF!</v>
      </c>
      <c r="AV15" s="39" t="e">
        <f>【収益】水需要予測!BB27*'【料金算定－現行×改定率】総括原価'!$D11*12</f>
        <v>#REF!</v>
      </c>
      <c r="AW15" s="39" t="e">
        <f>【収益】水需要予測!BC27*'【料金算定－現行×改定率】総括原価'!$D11*12</f>
        <v>#REF!</v>
      </c>
      <c r="AX15" s="39" t="e">
        <f>【収益】水需要予測!BD27*'【料金算定－現行×改定率】総括原価'!$D11*12</f>
        <v>#REF!</v>
      </c>
      <c r="AY15" s="39" t="e">
        <f>【収益】水需要予測!BE27*'【料金算定－現行×改定率】総括原価'!$D11*12</f>
        <v>#REF!</v>
      </c>
      <c r="AZ15" s="39" t="e">
        <f>【収益】水需要予測!BF27*'【料金算定－現行×改定率】総括原価'!$D11*12</f>
        <v>#REF!</v>
      </c>
      <c r="BA15" s="39" t="e">
        <f>【収益】水需要予測!BG27*'【料金算定－現行×改定率】総括原価'!$D11*12</f>
        <v>#REF!</v>
      </c>
      <c r="BB15" s="39" t="e">
        <f>【収益】水需要予測!BH27*'【料金算定－現行×改定率】総括原価'!$D11*12</f>
        <v>#REF!</v>
      </c>
      <c r="BC15" s="39" t="e">
        <f>【収益】水需要予測!BI27*'【料金算定－現行×改定率】総括原価'!$D11*12</f>
        <v>#REF!</v>
      </c>
      <c r="BD15" s="39" t="e">
        <f>【収益】水需要予測!BJ27*'【料金算定－現行×改定率】総括原価'!$D11*12</f>
        <v>#REF!</v>
      </c>
      <c r="BE15" s="39" t="e">
        <f>【収益】水需要予測!BK27*'【料金算定－現行×改定率】総括原価'!$D11*12</f>
        <v>#REF!</v>
      </c>
      <c r="BF15" s="39" t="e">
        <f>【収益】水需要予測!BL27*'【料金算定－現行×改定率】総括原価'!$D11*12</f>
        <v>#REF!</v>
      </c>
      <c r="BG15" s="39" t="e">
        <f>【収益】水需要予測!BM27*'【料金算定－現行×改定率】総括原価'!$D11*12</f>
        <v>#REF!</v>
      </c>
      <c r="BH15" s="39" t="e">
        <f>【収益】水需要予測!BN27*'【料金算定－現行×改定率】総括原価'!$D11*12</f>
        <v>#REF!</v>
      </c>
      <c r="BI15" s="39" t="e">
        <f>【収益】水需要予測!BO27*'【料金算定－現行×改定率】総括原価'!$D11*12</f>
        <v>#REF!</v>
      </c>
      <c r="BJ15" s="39" t="e">
        <f>【収益】水需要予測!BP27*'【料金算定－現行×改定率】総括原価'!$D11*12</f>
        <v>#REF!</v>
      </c>
      <c r="BK15" s="39" t="e">
        <f>【収益】水需要予測!BQ27*'【料金算定－現行×改定率】総括原価'!$D11*12</f>
        <v>#REF!</v>
      </c>
      <c r="BL15" s="39" t="e">
        <f>【収益】水需要予測!BR27*'【料金算定－現行×改定率】総括原価'!$D11*12</f>
        <v>#REF!</v>
      </c>
      <c r="BM15" s="39" t="e">
        <f>【収益】水需要予測!BS27*'【料金算定－現行×改定率】総括原価'!$D11*12</f>
        <v>#REF!</v>
      </c>
      <c r="BN15" s="39" t="e">
        <f>【収益】水需要予測!BT27*'【料金算定－現行×改定率】総括原価'!$D11*12</f>
        <v>#REF!</v>
      </c>
      <c r="BO15" s="39" t="e">
        <f>【収益】水需要予測!BU27*'【料金算定－現行×改定率】総括原価'!$D11*12</f>
        <v>#REF!</v>
      </c>
      <c r="BP15" s="39" t="e">
        <f>【収益】水需要予測!BV27*'【料金算定－現行×改定率】総括原価'!$D11*12</f>
        <v>#REF!</v>
      </c>
    </row>
    <row r="16" spans="1:68" s="24" customFormat="1">
      <c r="M16" s="25" t="s">
        <v>555</v>
      </c>
      <c r="N16" s="43"/>
      <c r="O16" s="43"/>
      <c r="P16" s="43"/>
      <c r="Q16" s="43"/>
      <c r="R16" s="43"/>
      <c r="S16" s="39" t="e">
        <f>【収益】水需要予測!#REF!*'【料金算定－現行×改定率】総括原価'!$D12*12</f>
        <v>#REF!</v>
      </c>
      <c r="T16" s="39" t="e">
        <f>【収益】水需要予測!#REF!*'【料金算定－現行×改定率】総括原価'!$D12*12</f>
        <v>#REF!</v>
      </c>
      <c r="U16" s="39" t="e">
        <f>【収益】水需要予測!#REF!*'【料金算定－現行×改定率】総括原価'!$D12*12</f>
        <v>#REF!</v>
      </c>
      <c r="V16" s="39" t="e">
        <f>【収益】水需要予測!#REF!*'【料金算定－現行×改定率】総括原価'!$D12*12</f>
        <v>#REF!</v>
      </c>
      <c r="W16" s="39" t="e">
        <f>【収益】水需要予測!#REF!*'【料金算定－現行×改定率】総括原価'!$D12*12</f>
        <v>#REF!</v>
      </c>
      <c r="X16" s="39" t="e">
        <f>【収益】水需要予測!#REF!*'【料金算定－現行×改定率】総括原価'!$D12*12</f>
        <v>#REF!</v>
      </c>
      <c r="Y16" s="39" t="e">
        <f>【収益】水需要予測!#REF!*'【料金算定－現行×改定率】総括原価'!$D12*12</f>
        <v>#REF!</v>
      </c>
      <c r="Z16" s="39" t="e">
        <f>【収益】水需要予測!#REF!*'【料金算定－現行×改定率】総括原価'!$D12*12</f>
        <v>#REF!</v>
      </c>
      <c r="AA16" s="39" t="e">
        <f>【収益】水需要予測!#REF!*'【料金算定－現行×改定率】総括原価'!$D12*12</f>
        <v>#REF!</v>
      </c>
      <c r="AB16" s="39" t="e">
        <f>【収益】水需要予測!#REF!*'【料金算定－現行×改定率】総括原価'!$D12*12</f>
        <v>#REF!</v>
      </c>
      <c r="AC16" s="39" t="e">
        <f>【収益】水需要予測!#REF!*'【料金算定－現行×改定率】総括原価'!$D12*12</f>
        <v>#REF!</v>
      </c>
      <c r="AD16" s="39" t="e">
        <f>【収益】水需要予測!#REF!*'【料金算定－現行×改定率】総括原価'!$D12*12</f>
        <v>#REF!</v>
      </c>
      <c r="AE16" s="39" t="e">
        <f>【収益】水需要予測!#REF!*'【料金算定－現行×改定率】総括原価'!$D12*12</f>
        <v>#REF!</v>
      </c>
      <c r="AF16" s="39" t="e">
        <f>【収益】水需要予測!#REF!*'【料金算定－現行×改定率】総括原価'!$D12*12</f>
        <v>#REF!</v>
      </c>
      <c r="AG16" s="39" t="e">
        <f>【収益】水需要予測!#REF!*'【料金算定－現行×改定率】総括原価'!$D12*12</f>
        <v>#REF!</v>
      </c>
      <c r="AH16" s="39" t="e">
        <f>【収益】水需要予測!#REF!*'【料金算定－現行×改定率】総括原価'!$D12*12</f>
        <v>#REF!</v>
      </c>
      <c r="AI16" s="39" t="e">
        <f>【収益】水需要予測!#REF!*'【料金算定－現行×改定率】総括原価'!$D12*12</f>
        <v>#REF!</v>
      </c>
      <c r="AJ16" s="39" t="e">
        <f>【収益】水需要予測!#REF!*'【料金算定－現行×改定率】総括原価'!$D12*12</f>
        <v>#REF!</v>
      </c>
      <c r="AK16" s="39" t="e">
        <f>【収益】水需要予測!#REF!*'【料金算定－現行×改定率】総括原価'!$D12*12</f>
        <v>#REF!</v>
      </c>
      <c r="AL16" s="39" t="e">
        <f>【収益】水需要予測!#REF!*'【料金算定－現行×改定率】総括原価'!$D12*12</f>
        <v>#REF!</v>
      </c>
      <c r="AM16" s="39" t="e">
        <f>【収益】水需要予測!#REF!*'【料金算定－現行×改定率】総括原価'!$D12*12</f>
        <v>#REF!</v>
      </c>
      <c r="AN16" s="39" t="e">
        <f>【収益】水需要予測!#REF!*'【料金算定－現行×改定率】総括原価'!$D12*12</f>
        <v>#REF!</v>
      </c>
      <c r="AO16" s="39" t="e">
        <f>【収益】水需要予測!#REF!*'【料金算定－現行×改定率】総括原価'!$D12*12</f>
        <v>#REF!</v>
      </c>
      <c r="AP16" s="39" t="e">
        <f>【収益】水需要予測!#REF!*'【料金算定－現行×改定率】総括原価'!$D12*12</f>
        <v>#REF!</v>
      </c>
      <c r="AQ16" s="39" t="e">
        <f>【収益】水需要予測!#REF!*'【料金算定－現行×改定率】総括原価'!$D12*12</f>
        <v>#REF!</v>
      </c>
      <c r="AR16" s="39" t="e">
        <f>【収益】水需要予測!#REF!*'【料金算定－現行×改定率】総括原価'!$D12*12</f>
        <v>#REF!</v>
      </c>
      <c r="AS16" s="39" t="e">
        <f>【収益】水需要予測!#REF!*'【料金算定－現行×改定率】総括原価'!$D12*12</f>
        <v>#REF!</v>
      </c>
      <c r="AT16" s="39" t="e">
        <f>【収益】水需要予測!#REF!*'【料金算定－現行×改定率】総括原価'!$D12*12</f>
        <v>#REF!</v>
      </c>
      <c r="AU16" s="39" t="e">
        <f>【収益】水需要予測!#REF!*'【料金算定－現行×改定率】総括原価'!$D12*12</f>
        <v>#REF!</v>
      </c>
      <c r="AV16" s="39" t="e">
        <f>【収益】水需要予測!#REF!*'【料金算定－現行×改定率】総括原価'!$D12*12</f>
        <v>#REF!</v>
      </c>
      <c r="AW16" s="39" t="e">
        <f>【収益】水需要予測!#REF!*'【料金算定－現行×改定率】総括原価'!$D12*12</f>
        <v>#REF!</v>
      </c>
      <c r="AX16" s="39" t="e">
        <f>【収益】水需要予測!#REF!*'【料金算定－現行×改定率】総括原価'!$D12*12</f>
        <v>#REF!</v>
      </c>
      <c r="AY16" s="39" t="e">
        <f>【収益】水需要予測!#REF!*'【料金算定－現行×改定率】総括原価'!$D12*12</f>
        <v>#REF!</v>
      </c>
      <c r="AZ16" s="39" t="e">
        <f>【収益】水需要予測!#REF!*'【料金算定－現行×改定率】総括原価'!$D12*12</f>
        <v>#REF!</v>
      </c>
      <c r="BA16" s="39" t="e">
        <f>【収益】水需要予測!#REF!*'【料金算定－現行×改定率】総括原価'!$D12*12</f>
        <v>#REF!</v>
      </c>
      <c r="BB16" s="39" t="e">
        <f>【収益】水需要予測!#REF!*'【料金算定－現行×改定率】総括原価'!$D12*12</f>
        <v>#REF!</v>
      </c>
      <c r="BC16" s="39" t="e">
        <f>【収益】水需要予測!#REF!*'【料金算定－現行×改定率】総括原価'!$D12*12</f>
        <v>#REF!</v>
      </c>
      <c r="BD16" s="39" t="e">
        <f>【収益】水需要予測!#REF!*'【料金算定－現行×改定率】総括原価'!$D12*12</f>
        <v>#REF!</v>
      </c>
      <c r="BE16" s="39" t="e">
        <f>【収益】水需要予測!#REF!*'【料金算定－現行×改定率】総括原価'!$D12*12</f>
        <v>#REF!</v>
      </c>
      <c r="BF16" s="39" t="e">
        <f>【収益】水需要予測!#REF!*'【料金算定－現行×改定率】総括原価'!$D12*12</f>
        <v>#REF!</v>
      </c>
      <c r="BG16" s="39" t="e">
        <f>【収益】水需要予測!#REF!*'【料金算定－現行×改定率】総括原価'!$D12*12</f>
        <v>#REF!</v>
      </c>
      <c r="BH16" s="39" t="e">
        <f>【収益】水需要予測!#REF!*'【料金算定－現行×改定率】総括原価'!$D12*12</f>
        <v>#REF!</v>
      </c>
      <c r="BI16" s="39" t="e">
        <f>【収益】水需要予測!#REF!*'【料金算定－現行×改定率】総括原価'!$D12*12</f>
        <v>#REF!</v>
      </c>
      <c r="BJ16" s="39" t="e">
        <f>【収益】水需要予測!#REF!*'【料金算定－現行×改定率】総括原価'!$D12*12</f>
        <v>#REF!</v>
      </c>
      <c r="BK16" s="39" t="e">
        <f>【収益】水需要予測!#REF!*'【料金算定－現行×改定率】総括原価'!$D12*12</f>
        <v>#REF!</v>
      </c>
      <c r="BL16" s="39" t="e">
        <f>【収益】水需要予測!#REF!*'【料金算定－現行×改定率】総括原価'!$D12*12</f>
        <v>#REF!</v>
      </c>
      <c r="BM16" s="39" t="e">
        <f>【収益】水需要予測!#REF!*'【料金算定－現行×改定率】総括原価'!$D12*12</f>
        <v>#REF!</v>
      </c>
      <c r="BN16" s="39" t="e">
        <f>【収益】水需要予測!#REF!*'【料金算定－現行×改定率】総括原価'!$D12*12</f>
        <v>#REF!</v>
      </c>
      <c r="BO16" s="39" t="e">
        <f>【収益】水需要予測!#REF!*'【料金算定－現行×改定率】総括原価'!$D12*12</f>
        <v>#REF!</v>
      </c>
      <c r="BP16" s="39" t="e">
        <f>【収益】水需要予測!#REF!*'【料金算定－現行×改定率】総括原価'!$D12*12</f>
        <v>#REF!</v>
      </c>
    </row>
    <row r="17" spans="13:68" s="24" customFormat="1">
      <c r="M17" s="25" t="s">
        <v>556</v>
      </c>
      <c r="N17" s="43"/>
      <c r="O17" s="43"/>
      <c r="P17" s="43"/>
      <c r="Q17" s="43"/>
      <c r="R17" s="43"/>
      <c r="S17" s="39" t="e">
        <f>【収益】水需要予測!Y28*'【料金算定－現行×改定率】総括原価'!$D13*12</f>
        <v>#REF!</v>
      </c>
      <c r="T17" s="39" t="e">
        <f>【収益】水需要予測!Z28*'【料金算定－現行×改定率】総括原価'!$D13*12</f>
        <v>#REF!</v>
      </c>
      <c r="U17" s="39" t="e">
        <f>【収益】水需要予測!AA28*'【料金算定－現行×改定率】総括原価'!$D13*12</f>
        <v>#REF!</v>
      </c>
      <c r="V17" s="39" t="e">
        <f>【収益】水需要予測!AB28*'【料金算定－現行×改定率】総括原価'!$D13*12</f>
        <v>#REF!</v>
      </c>
      <c r="W17" s="39" t="e">
        <f>【収益】水需要予測!AC28*'【料金算定－現行×改定率】総括原価'!$D13*12</f>
        <v>#REF!</v>
      </c>
      <c r="X17" s="39" t="e">
        <f>【収益】水需要予測!AD28*'【料金算定－現行×改定率】総括原価'!$D13*12</f>
        <v>#REF!</v>
      </c>
      <c r="Y17" s="39" t="e">
        <f>【収益】水需要予測!AE28*'【料金算定－現行×改定率】総括原価'!$D13*12</f>
        <v>#REF!</v>
      </c>
      <c r="Z17" s="39" t="e">
        <f>【収益】水需要予測!AF28*'【料金算定－現行×改定率】総括原価'!$D13*12</f>
        <v>#REF!</v>
      </c>
      <c r="AA17" s="39" t="e">
        <f>【収益】水需要予測!AG28*'【料金算定－現行×改定率】総括原価'!$D13*12</f>
        <v>#REF!</v>
      </c>
      <c r="AB17" s="39" t="e">
        <f>【収益】水需要予測!AH28*'【料金算定－現行×改定率】総括原価'!$D13*12</f>
        <v>#REF!</v>
      </c>
      <c r="AC17" s="39" t="e">
        <f>【収益】水需要予測!AI28*'【料金算定－現行×改定率】総括原価'!$D13*12</f>
        <v>#REF!</v>
      </c>
      <c r="AD17" s="39" t="e">
        <f>【収益】水需要予測!AJ28*'【料金算定－現行×改定率】総括原価'!$D13*12</f>
        <v>#REF!</v>
      </c>
      <c r="AE17" s="39" t="e">
        <f>【収益】水需要予測!AK28*'【料金算定－現行×改定率】総括原価'!$D13*12</f>
        <v>#REF!</v>
      </c>
      <c r="AF17" s="39" t="e">
        <f>【収益】水需要予測!AL28*'【料金算定－現行×改定率】総括原価'!$D13*12</f>
        <v>#REF!</v>
      </c>
      <c r="AG17" s="39" t="e">
        <f>【収益】水需要予測!AM28*'【料金算定－現行×改定率】総括原価'!$D13*12</f>
        <v>#REF!</v>
      </c>
      <c r="AH17" s="39" t="e">
        <f>【収益】水需要予測!AN28*'【料金算定－現行×改定率】総括原価'!$D13*12</f>
        <v>#REF!</v>
      </c>
      <c r="AI17" s="39" t="e">
        <f>【収益】水需要予測!AO28*'【料金算定－現行×改定率】総括原価'!$D13*12</f>
        <v>#REF!</v>
      </c>
      <c r="AJ17" s="39" t="e">
        <f>【収益】水需要予測!AP28*'【料金算定－現行×改定率】総括原価'!$D13*12</f>
        <v>#REF!</v>
      </c>
      <c r="AK17" s="39" t="e">
        <f>【収益】水需要予測!AQ28*'【料金算定－現行×改定率】総括原価'!$D13*12</f>
        <v>#REF!</v>
      </c>
      <c r="AL17" s="39" t="e">
        <f>【収益】水需要予測!AR28*'【料金算定－現行×改定率】総括原価'!$D13*12</f>
        <v>#REF!</v>
      </c>
      <c r="AM17" s="39" t="e">
        <f>【収益】水需要予測!AS28*'【料金算定－現行×改定率】総括原価'!$D13*12</f>
        <v>#REF!</v>
      </c>
      <c r="AN17" s="39" t="e">
        <f>【収益】水需要予測!AT28*'【料金算定－現行×改定率】総括原価'!$D13*12</f>
        <v>#REF!</v>
      </c>
      <c r="AO17" s="39" t="e">
        <f>【収益】水需要予測!AU28*'【料金算定－現行×改定率】総括原価'!$D13*12</f>
        <v>#REF!</v>
      </c>
      <c r="AP17" s="39" t="e">
        <f>【収益】水需要予測!AV28*'【料金算定－現行×改定率】総括原価'!$D13*12</f>
        <v>#REF!</v>
      </c>
      <c r="AQ17" s="39" t="e">
        <f>【収益】水需要予測!AW28*'【料金算定－現行×改定率】総括原価'!$D13*12</f>
        <v>#REF!</v>
      </c>
      <c r="AR17" s="39" t="e">
        <f>【収益】水需要予測!AX28*'【料金算定－現行×改定率】総括原価'!$D13*12</f>
        <v>#REF!</v>
      </c>
      <c r="AS17" s="39" t="e">
        <f>【収益】水需要予測!AY28*'【料金算定－現行×改定率】総括原価'!$D13*12</f>
        <v>#REF!</v>
      </c>
      <c r="AT17" s="39" t="e">
        <f>【収益】水需要予測!AZ28*'【料金算定－現行×改定率】総括原価'!$D13*12</f>
        <v>#REF!</v>
      </c>
      <c r="AU17" s="39" t="e">
        <f>【収益】水需要予測!BA28*'【料金算定－現行×改定率】総括原価'!$D13*12</f>
        <v>#REF!</v>
      </c>
      <c r="AV17" s="39" t="e">
        <f>【収益】水需要予測!BB28*'【料金算定－現行×改定率】総括原価'!$D13*12</f>
        <v>#REF!</v>
      </c>
      <c r="AW17" s="39" t="e">
        <f>【収益】水需要予測!BC28*'【料金算定－現行×改定率】総括原価'!$D13*12</f>
        <v>#REF!</v>
      </c>
      <c r="AX17" s="39" t="e">
        <f>【収益】水需要予測!BD28*'【料金算定－現行×改定率】総括原価'!$D13*12</f>
        <v>#REF!</v>
      </c>
      <c r="AY17" s="39" t="e">
        <f>【収益】水需要予測!BE28*'【料金算定－現行×改定率】総括原価'!$D13*12</f>
        <v>#REF!</v>
      </c>
      <c r="AZ17" s="39" t="e">
        <f>【収益】水需要予測!BF28*'【料金算定－現行×改定率】総括原価'!$D13*12</f>
        <v>#REF!</v>
      </c>
      <c r="BA17" s="39" t="e">
        <f>【収益】水需要予測!BG28*'【料金算定－現行×改定率】総括原価'!$D13*12</f>
        <v>#REF!</v>
      </c>
      <c r="BB17" s="39" t="e">
        <f>【収益】水需要予測!BH28*'【料金算定－現行×改定率】総括原価'!$D13*12</f>
        <v>#REF!</v>
      </c>
      <c r="BC17" s="39" t="e">
        <f>【収益】水需要予測!BI28*'【料金算定－現行×改定率】総括原価'!$D13*12</f>
        <v>#REF!</v>
      </c>
      <c r="BD17" s="39" t="e">
        <f>【収益】水需要予測!BJ28*'【料金算定－現行×改定率】総括原価'!$D13*12</f>
        <v>#REF!</v>
      </c>
      <c r="BE17" s="39" t="e">
        <f>【収益】水需要予測!BK28*'【料金算定－現行×改定率】総括原価'!$D13*12</f>
        <v>#REF!</v>
      </c>
      <c r="BF17" s="39" t="e">
        <f>【収益】水需要予測!BL28*'【料金算定－現行×改定率】総括原価'!$D13*12</f>
        <v>#REF!</v>
      </c>
      <c r="BG17" s="39" t="e">
        <f>【収益】水需要予測!BM28*'【料金算定－現行×改定率】総括原価'!$D13*12</f>
        <v>#REF!</v>
      </c>
      <c r="BH17" s="39" t="e">
        <f>【収益】水需要予測!BN28*'【料金算定－現行×改定率】総括原価'!$D13*12</f>
        <v>#REF!</v>
      </c>
      <c r="BI17" s="39" t="e">
        <f>【収益】水需要予測!BO28*'【料金算定－現行×改定率】総括原価'!$D13*12</f>
        <v>#REF!</v>
      </c>
      <c r="BJ17" s="39" t="e">
        <f>【収益】水需要予測!BP28*'【料金算定－現行×改定率】総括原価'!$D13*12</f>
        <v>#REF!</v>
      </c>
      <c r="BK17" s="39" t="e">
        <f>【収益】水需要予測!BQ28*'【料金算定－現行×改定率】総括原価'!$D13*12</f>
        <v>#REF!</v>
      </c>
      <c r="BL17" s="39" t="e">
        <f>【収益】水需要予測!BR28*'【料金算定－現行×改定率】総括原価'!$D13*12</f>
        <v>#REF!</v>
      </c>
      <c r="BM17" s="39" t="e">
        <f>【収益】水需要予測!BS28*'【料金算定－現行×改定率】総括原価'!$D13*12</f>
        <v>#REF!</v>
      </c>
      <c r="BN17" s="39" t="e">
        <f>【収益】水需要予測!BT28*'【料金算定－現行×改定率】総括原価'!$D13*12</f>
        <v>#REF!</v>
      </c>
      <c r="BO17" s="39" t="e">
        <f>【収益】水需要予測!BU28*'【料金算定－現行×改定率】総括原価'!$D13*12</f>
        <v>#REF!</v>
      </c>
      <c r="BP17" s="39" t="e">
        <f>【収益】水需要予測!BV28*'【料金算定－現行×改定率】総括原価'!$D13*12</f>
        <v>#REF!</v>
      </c>
    </row>
    <row r="18" spans="13:68" s="24" customFormat="1">
      <c r="M18" s="25" t="s">
        <v>557</v>
      </c>
      <c r="N18" s="43"/>
      <c r="O18" s="43"/>
      <c r="P18" s="43"/>
      <c r="Q18" s="43"/>
      <c r="R18" s="43"/>
      <c r="S18" s="39" t="e">
        <f>【収益】水需要予測!Y29*'【料金算定－現行×改定率】総括原価'!$D14*12</f>
        <v>#REF!</v>
      </c>
      <c r="T18" s="39" t="e">
        <f>【収益】水需要予測!Z29*'【料金算定－現行×改定率】総括原価'!$D14*12</f>
        <v>#REF!</v>
      </c>
      <c r="U18" s="39" t="e">
        <f>【収益】水需要予測!AA29*'【料金算定－現行×改定率】総括原価'!$D14*12</f>
        <v>#REF!</v>
      </c>
      <c r="V18" s="39" t="e">
        <f>【収益】水需要予測!AB29*'【料金算定－現行×改定率】総括原価'!$D14*12</f>
        <v>#REF!</v>
      </c>
      <c r="W18" s="39" t="e">
        <f>【収益】水需要予測!AC29*'【料金算定－現行×改定率】総括原価'!$D14*12</f>
        <v>#REF!</v>
      </c>
      <c r="X18" s="39" t="e">
        <f>【収益】水需要予測!AD29*'【料金算定－現行×改定率】総括原価'!$D14*12</f>
        <v>#REF!</v>
      </c>
      <c r="Y18" s="39" t="e">
        <f>【収益】水需要予測!AE29*'【料金算定－現行×改定率】総括原価'!$D14*12</f>
        <v>#REF!</v>
      </c>
      <c r="Z18" s="39" t="e">
        <f>【収益】水需要予測!AF29*'【料金算定－現行×改定率】総括原価'!$D14*12</f>
        <v>#REF!</v>
      </c>
      <c r="AA18" s="39" t="e">
        <f>【収益】水需要予測!AG29*'【料金算定－現行×改定率】総括原価'!$D14*12</f>
        <v>#REF!</v>
      </c>
      <c r="AB18" s="39" t="e">
        <f>【収益】水需要予測!AH29*'【料金算定－現行×改定率】総括原価'!$D14*12</f>
        <v>#REF!</v>
      </c>
      <c r="AC18" s="39" t="e">
        <f>【収益】水需要予測!AI29*'【料金算定－現行×改定率】総括原価'!$D14*12</f>
        <v>#REF!</v>
      </c>
      <c r="AD18" s="39" t="e">
        <f>【収益】水需要予測!AJ29*'【料金算定－現行×改定率】総括原価'!$D14*12</f>
        <v>#REF!</v>
      </c>
      <c r="AE18" s="39" t="e">
        <f>【収益】水需要予測!AK29*'【料金算定－現行×改定率】総括原価'!$D14*12</f>
        <v>#REF!</v>
      </c>
      <c r="AF18" s="39" t="e">
        <f>【収益】水需要予測!AL29*'【料金算定－現行×改定率】総括原価'!$D14*12</f>
        <v>#REF!</v>
      </c>
      <c r="AG18" s="39" t="e">
        <f>【収益】水需要予測!AM29*'【料金算定－現行×改定率】総括原価'!$D14*12</f>
        <v>#REF!</v>
      </c>
      <c r="AH18" s="39" t="e">
        <f>【収益】水需要予測!AN29*'【料金算定－現行×改定率】総括原価'!$D14*12</f>
        <v>#REF!</v>
      </c>
      <c r="AI18" s="39" t="e">
        <f>【収益】水需要予測!AO29*'【料金算定－現行×改定率】総括原価'!$D14*12</f>
        <v>#REF!</v>
      </c>
      <c r="AJ18" s="39" t="e">
        <f>【収益】水需要予測!AP29*'【料金算定－現行×改定率】総括原価'!$D14*12</f>
        <v>#REF!</v>
      </c>
      <c r="AK18" s="39" t="e">
        <f>【収益】水需要予測!AQ29*'【料金算定－現行×改定率】総括原価'!$D14*12</f>
        <v>#REF!</v>
      </c>
      <c r="AL18" s="39" t="e">
        <f>【収益】水需要予測!AR29*'【料金算定－現行×改定率】総括原価'!$D14*12</f>
        <v>#REF!</v>
      </c>
      <c r="AM18" s="39" t="e">
        <f>【収益】水需要予測!AS29*'【料金算定－現行×改定率】総括原価'!$D14*12</f>
        <v>#REF!</v>
      </c>
      <c r="AN18" s="39" t="e">
        <f>【収益】水需要予測!AT29*'【料金算定－現行×改定率】総括原価'!$D14*12</f>
        <v>#REF!</v>
      </c>
      <c r="AO18" s="39" t="e">
        <f>【収益】水需要予測!AU29*'【料金算定－現行×改定率】総括原価'!$D14*12</f>
        <v>#REF!</v>
      </c>
      <c r="AP18" s="39" t="e">
        <f>【収益】水需要予測!AV29*'【料金算定－現行×改定率】総括原価'!$D14*12</f>
        <v>#REF!</v>
      </c>
      <c r="AQ18" s="39" t="e">
        <f>【収益】水需要予測!AW29*'【料金算定－現行×改定率】総括原価'!$D14*12</f>
        <v>#REF!</v>
      </c>
      <c r="AR18" s="39" t="e">
        <f>【収益】水需要予測!AX29*'【料金算定－現行×改定率】総括原価'!$D14*12</f>
        <v>#REF!</v>
      </c>
      <c r="AS18" s="39" t="e">
        <f>【収益】水需要予測!AY29*'【料金算定－現行×改定率】総括原価'!$D14*12</f>
        <v>#REF!</v>
      </c>
      <c r="AT18" s="39" t="e">
        <f>【収益】水需要予測!AZ29*'【料金算定－現行×改定率】総括原価'!$D14*12</f>
        <v>#REF!</v>
      </c>
      <c r="AU18" s="39" t="e">
        <f>【収益】水需要予測!BA29*'【料金算定－現行×改定率】総括原価'!$D14*12</f>
        <v>#REF!</v>
      </c>
      <c r="AV18" s="39" t="e">
        <f>【収益】水需要予測!BB29*'【料金算定－現行×改定率】総括原価'!$D14*12</f>
        <v>#REF!</v>
      </c>
      <c r="AW18" s="39" t="e">
        <f>【収益】水需要予測!BC29*'【料金算定－現行×改定率】総括原価'!$D14*12</f>
        <v>#REF!</v>
      </c>
      <c r="AX18" s="39" t="e">
        <f>【収益】水需要予測!BD29*'【料金算定－現行×改定率】総括原価'!$D14*12</f>
        <v>#REF!</v>
      </c>
      <c r="AY18" s="39" t="e">
        <f>【収益】水需要予測!BE29*'【料金算定－現行×改定率】総括原価'!$D14*12</f>
        <v>#REF!</v>
      </c>
      <c r="AZ18" s="39" t="e">
        <f>【収益】水需要予測!BF29*'【料金算定－現行×改定率】総括原価'!$D14*12</f>
        <v>#REF!</v>
      </c>
      <c r="BA18" s="39" t="e">
        <f>【収益】水需要予測!BG29*'【料金算定－現行×改定率】総括原価'!$D14*12</f>
        <v>#REF!</v>
      </c>
      <c r="BB18" s="39" t="e">
        <f>【収益】水需要予測!BH29*'【料金算定－現行×改定率】総括原価'!$D14*12</f>
        <v>#REF!</v>
      </c>
      <c r="BC18" s="39" t="e">
        <f>【収益】水需要予測!BI29*'【料金算定－現行×改定率】総括原価'!$D14*12</f>
        <v>#REF!</v>
      </c>
      <c r="BD18" s="39" t="e">
        <f>【収益】水需要予測!BJ29*'【料金算定－現行×改定率】総括原価'!$D14*12</f>
        <v>#REF!</v>
      </c>
      <c r="BE18" s="39" t="e">
        <f>【収益】水需要予測!BK29*'【料金算定－現行×改定率】総括原価'!$D14*12</f>
        <v>#REF!</v>
      </c>
      <c r="BF18" s="39" t="e">
        <f>【収益】水需要予測!BL29*'【料金算定－現行×改定率】総括原価'!$D14*12</f>
        <v>#REF!</v>
      </c>
      <c r="BG18" s="39" t="e">
        <f>【収益】水需要予測!BM29*'【料金算定－現行×改定率】総括原価'!$D14*12</f>
        <v>#REF!</v>
      </c>
      <c r="BH18" s="39" t="e">
        <f>【収益】水需要予測!BN29*'【料金算定－現行×改定率】総括原価'!$D14*12</f>
        <v>#REF!</v>
      </c>
      <c r="BI18" s="39" t="e">
        <f>【収益】水需要予測!BO29*'【料金算定－現行×改定率】総括原価'!$D14*12</f>
        <v>#REF!</v>
      </c>
      <c r="BJ18" s="39" t="e">
        <f>【収益】水需要予測!BP29*'【料金算定－現行×改定率】総括原価'!$D14*12</f>
        <v>#REF!</v>
      </c>
      <c r="BK18" s="39" t="e">
        <f>【収益】水需要予測!BQ29*'【料金算定－現行×改定率】総括原価'!$D14*12</f>
        <v>#REF!</v>
      </c>
      <c r="BL18" s="39" t="e">
        <f>【収益】水需要予測!BR29*'【料金算定－現行×改定率】総括原価'!$D14*12</f>
        <v>#REF!</v>
      </c>
      <c r="BM18" s="39" t="e">
        <f>【収益】水需要予測!BS29*'【料金算定－現行×改定率】総括原価'!$D14*12</f>
        <v>#REF!</v>
      </c>
      <c r="BN18" s="39" t="e">
        <f>【収益】水需要予測!BT29*'【料金算定－現行×改定率】総括原価'!$D14*12</f>
        <v>#REF!</v>
      </c>
      <c r="BO18" s="39" t="e">
        <f>【収益】水需要予測!BU29*'【料金算定－現行×改定率】総括原価'!$D14*12</f>
        <v>#REF!</v>
      </c>
      <c r="BP18" s="39" t="e">
        <f>【収益】水需要予測!BV29*'【料金算定－現行×改定率】総括原価'!$D14*12</f>
        <v>#REF!</v>
      </c>
    </row>
    <row r="19" spans="13:68" s="24" customFormat="1">
      <c r="M19" s="25" t="s">
        <v>558</v>
      </c>
      <c r="N19" s="43"/>
      <c r="O19" s="43"/>
      <c r="P19" s="43"/>
      <c r="Q19" s="43"/>
      <c r="R19" s="43"/>
      <c r="S19" s="39" t="e">
        <f>【収益】水需要予測!Y30*'【料金算定－現行×改定率】総括原価'!$D15*12</f>
        <v>#REF!</v>
      </c>
      <c r="T19" s="39" t="e">
        <f>【収益】水需要予測!Z30*'【料金算定－現行×改定率】総括原価'!$D15*12</f>
        <v>#REF!</v>
      </c>
      <c r="U19" s="39" t="e">
        <f>【収益】水需要予測!AA30*'【料金算定－現行×改定率】総括原価'!$D15*12</f>
        <v>#REF!</v>
      </c>
      <c r="V19" s="39" t="e">
        <f>【収益】水需要予測!AB30*'【料金算定－現行×改定率】総括原価'!$D15*12</f>
        <v>#REF!</v>
      </c>
      <c r="W19" s="39" t="e">
        <f>【収益】水需要予測!AC30*'【料金算定－現行×改定率】総括原価'!$D15*12</f>
        <v>#REF!</v>
      </c>
      <c r="X19" s="39" t="e">
        <f>【収益】水需要予測!AD30*'【料金算定－現行×改定率】総括原価'!$D15*12</f>
        <v>#REF!</v>
      </c>
      <c r="Y19" s="39" t="e">
        <f>【収益】水需要予測!AE30*'【料金算定－現行×改定率】総括原価'!$D15*12</f>
        <v>#REF!</v>
      </c>
      <c r="Z19" s="39" t="e">
        <f>【収益】水需要予測!AF30*'【料金算定－現行×改定率】総括原価'!$D15*12</f>
        <v>#REF!</v>
      </c>
      <c r="AA19" s="39" t="e">
        <f>【収益】水需要予測!AG30*'【料金算定－現行×改定率】総括原価'!$D15*12</f>
        <v>#REF!</v>
      </c>
      <c r="AB19" s="39" t="e">
        <f>【収益】水需要予測!AH30*'【料金算定－現行×改定率】総括原価'!$D15*12</f>
        <v>#REF!</v>
      </c>
      <c r="AC19" s="39" t="e">
        <f>【収益】水需要予測!AI30*'【料金算定－現行×改定率】総括原価'!$D15*12</f>
        <v>#REF!</v>
      </c>
      <c r="AD19" s="39" t="e">
        <f>【収益】水需要予測!AJ30*'【料金算定－現行×改定率】総括原価'!$D15*12</f>
        <v>#REF!</v>
      </c>
      <c r="AE19" s="39" t="e">
        <f>【収益】水需要予測!AK30*'【料金算定－現行×改定率】総括原価'!$D15*12</f>
        <v>#REF!</v>
      </c>
      <c r="AF19" s="39" t="e">
        <f>【収益】水需要予測!AL30*'【料金算定－現行×改定率】総括原価'!$D15*12</f>
        <v>#REF!</v>
      </c>
      <c r="AG19" s="39" t="e">
        <f>【収益】水需要予測!AM30*'【料金算定－現行×改定率】総括原価'!$D15*12</f>
        <v>#REF!</v>
      </c>
      <c r="AH19" s="39" t="e">
        <f>【収益】水需要予測!AN30*'【料金算定－現行×改定率】総括原価'!$D15*12</f>
        <v>#REF!</v>
      </c>
      <c r="AI19" s="39" t="e">
        <f>【収益】水需要予測!AO30*'【料金算定－現行×改定率】総括原価'!$D15*12</f>
        <v>#REF!</v>
      </c>
      <c r="AJ19" s="39" t="e">
        <f>【収益】水需要予測!AP30*'【料金算定－現行×改定率】総括原価'!$D15*12</f>
        <v>#REF!</v>
      </c>
      <c r="AK19" s="39" t="e">
        <f>【収益】水需要予測!AQ30*'【料金算定－現行×改定率】総括原価'!$D15*12</f>
        <v>#REF!</v>
      </c>
      <c r="AL19" s="39" t="e">
        <f>【収益】水需要予測!AR30*'【料金算定－現行×改定率】総括原価'!$D15*12</f>
        <v>#REF!</v>
      </c>
      <c r="AM19" s="39" t="e">
        <f>【収益】水需要予測!AS30*'【料金算定－現行×改定率】総括原価'!$D15*12</f>
        <v>#REF!</v>
      </c>
      <c r="AN19" s="39" t="e">
        <f>【収益】水需要予測!AT30*'【料金算定－現行×改定率】総括原価'!$D15*12</f>
        <v>#REF!</v>
      </c>
      <c r="AO19" s="39" t="e">
        <f>【収益】水需要予測!AU30*'【料金算定－現行×改定率】総括原価'!$D15*12</f>
        <v>#REF!</v>
      </c>
      <c r="AP19" s="39" t="e">
        <f>【収益】水需要予測!AV30*'【料金算定－現行×改定率】総括原価'!$D15*12</f>
        <v>#REF!</v>
      </c>
      <c r="AQ19" s="39" t="e">
        <f>【収益】水需要予測!AW30*'【料金算定－現行×改定率】総括原価'!$D15*12</f>
        <v>#REF!</v>
      </c>
      <c r="AR19" s="39" t="e">
        <f>【収益】水需要予測!AX30*'【料金算定－現行×改定率】総括原価'!$D15*12</f>
        <v>#REF!</v>
      </c>
      <c r="AS19" s="39" t="e">
        <f>【収益】水需要予測!AY30*'【料金算定－現行×改定率】総括原価'!$D15*12</f>
        <v>#REF!</v>
      </c>
      <c r="AT19" s="39" t="e">
        <f>【収益】水需要予測!AZ30*'【料金算定－現行×改定率】総括原価'!$D15*12</f>
        <v>#REF!</v>
      </c>
      <c r="AU19" s="39" t="e">
        <f>【収益】水需要予測!BA30*'【料金算定－現行×改定率】総括原価'!$D15*12</f>
        <v>#REF!</v>
      </c>
      <c r="AV19" s="39" t="e">
        <f>【収益】水需要予測!BB30*'【料金算定－現行×改定率】総括原価'!$D15*12</f>
        <v>#REF!</v>
      </c>
      <c r="AW19" s="39" t="e">
        <f>【収益】水需要予測!BC30*'【料金算定－現行×改定率】総括原価'!$D15*12</f>
        <v>#REF!</v>
      </c>
      <c r="AX19" s="39" t="e">
        <f>【収益】水需要予測!BD30*'【料金算定－現行×改定率】総括原価'!$D15*12</f>
        <v>#REF!</v>
      </c>
      <c r="AY19" s="39" t="e">
        <f>【収益】水需要予測!BE30*'【料金算定－現行×改定率】総括原価'!$D15*12</f>
        <v>#REF!</v>
      </c>
      <c r="AZ19" s="39" t="e">
        <f>【収益】水需要予測!BF30*'【料金算定－現行×改定率】総括原価'!$D15*12</f>
        <v>#REF!</v>
      </c>
      <c r="BA19" s="39" t="e">
        <f>【収益】水需要予測!BG30*'【料金算定－現行×改定率】総括原価'!$D15*12</f>
        <v>#REF!</v>
      </c>
      <c r="BB19" s="39" t="e">
        <f>【収益】水需要予測!BH30*'【料金算定－現行×改定率】総括原価'!$D15*12</f>
        <v>#REF!</v>
      </c>
      <c r="BC19" s="39" t="e">
        <f>【収益】水需要予測!BI30*'【料金算定－現行×改定率】総括原価'!$D15*12</f>
        <v>#REF!</v>
      </c>
      <c r="BD19" s="39" t="e">
        <f>【収益】水需要予測!BJ30*'【料金算定－現行×改定率】総括原価'!$D15*12</f>
        <v>#REF!</v>
      </c>
      <c r="BE19" s="39" t="e">
        <f>【収益】水需要予測!BK30*'【料金算定－現行×改定率】総括原価'!$D15*12</f>
        <v>#REF!</v>
      </c>
      <c r="BF19" s="39" t="e">
        <f>【収益】水需要予測!BL30*'【料金算定－現行×改定率】総括原価'!$D15*12</f>
        <v>#REF!</v>
      </c>
      <c r="BG19" s="39" t="e">
        <f>【収益】水需要予測!BM30*'【料金算定－現行×改定率】総括原価'!$D15*12</f>
        <v>#REF!</v>
      </c>
      <c r="BH19" s="39" t="e">
        <f>【収益】水需要予測!BN30*'【料金算定－現行×改定率】総括原価'!$D15*12</f>
        <v>#REF!</v>
      </c>
      <c r="BI19" s="39" t="e">
        <f>【収益】水需要予測!BO30*'【料金算定－現行×改定率】総括原価'!$D15*12</f>
        <v>#REF!</v>
      </c>
      <c r="BJ19" s="39" t="e">
        <f>【収益】水需要予測!BP30*'【料金算定－現行×改定率】総括原価'!$D15*12</f>
        <v>#REF!</v>
      </c>
      <c r="BK19" s="39" t="e">
        <f>【収益】水需要予測!BQ30*'【料金算定－現行×改定率】総括原価'!$D15*12</f>
        <v>#REF!</v>
      </c>
      <c r="BL19" s="39" t="e">
        <f>【収益】水需要予測!BR30*'【料金算定－現行×改定率】総括原価'!$D15*12</f>
        <v>#REF!</v>
      </c>
      <c r="BM19" s="39" t="e">
        <f>【収益】水需要予測!BS30*'【料金算定－現行×改定率】総括原価'!$D15*12</f>
        <v>#REF!</v>
      </c>
      <c r="BN19" s="39" t="e">
        <f>【収益】水需要予測!BT30*'【料金算定－現行×改定率】総括原価'!$D15*12</f>
        <v>#REF!</v>
      </c>
      <c r="BO19" s="39" t="e">
        <f>【収益】水需要予測!BU30*'【料金算定－現行×改定率】総括原価'!$D15*12</f>
        <v>#REF!</v>
      </c>
      <c r="BP19" s="39" t="e">
        <f>【収益】水需要予測!BV30*'【料金算定－現行×改定率】総括原価'!$D15*12</f>
        <v>#REF!</v>
      </c>
    </row>
    <row r="20" spans="13:68" s="24" customFormat="1">
      <c r="M20" s="25" t="s">
        <v>559</v>
      </c>
      <c r="N20" s="43"/>
      <c r="O20" s="43"/>
      <c r="P20" s="43"/>
      <c r="Q20" s="43"/>
      <c r="R20" s="43"/>
      <c r="S20" s="39" t="e">
        <f>【収益】水需要予測!Y31*'【料金算定－現行×改定率】総括原価'!$D16*12</f>
        <v>#REF!</v>
      </c>
      <c r="T20" s="39" t="e">
        <f>【収益】水需要予測!Z31*'【料金算定－現行×改定率】総括原価'!$D16*12</f>
        <v>#REF!</v>
      </c>
      <c r="U20" s="39" t="e">
        <f>【収益】水需要予測!AA31*'【料金算定－現行×改定率】総括原価'!$D16*12</f>
        <v>#REF!</v>
      </c>
      <c r="V20" s="39" t="e">
        <f>【収益】水需要予測!AB31*'【料金算定－現行×改定率】総括原価'!$D16*12</f>
        <v>#REF!</v>
      </c>
      <c r="W20" s="39" t="e">
        <f>【収益】水需要予測!AC31*'【料金算定－現行×改定率】総括原価'!$D16*12</f>
        <v>#REF!</v>
      </c>
      <c r="X20" s="39" t="e">
        <f>【収益】水需要予測!AD31*'【料金算定－現行×改定率】総括原価'!$D16*12</f>
        <v>#REF!</v>
      </c>
      <c r="Y20" s="39" t="e">
        <f>【収益】水需要予測!AE31*'【料金算定－現行×改定率】総括原価'!$D16*12</f>
        <v>#REF!</v>
      </c>
      <c r="Z20" s="39" t="e">
        <f>【収益】水需要予測!AF31*'【料金算定－現行×改定率】総括原価'!$D16*12</f>
        <v>#REF!</v>
      </c>
      <c r="AA20" s="39" t="e">
        <f>【収益】水需要予測!AG31*'【料金算定－現行×改定率】総括原価'!$D16*12</f>
        <v>#REF!</v>
      </c>
      <c r="AB20" s="39" t="e">
        <f>【収益】水需要予測!AH31*'【料金算定－現行×改定率】総括原価'!$D16*12</f>
        <v>#REF!</v>
      </c>
      <c r="AC20" s="39" t="e">
        <f>【収益】水需要予測!AI31*'【料金算定－現行×改定率】総括原価'!$D16*12</f>
        <v>#REF!</v>
      </c>
      <c r="AD20" s="39" t="e">
        <f>【収益】水需要予測!AJ31*'【料金算定－現行×改定率】総括原価'!$D16*12</f>
        <v>#REF!</v>
      </c>
      <c r="AE20" s="39" t="e">
        <f>【収益】水需要予測!AK31*'【料金算定－現行×改定率】総括原価'!$D16*12</f>
        <v>#REF!</v>
      </c>
      <c r="AF20" s="39" t="e">
        <f>【収益】水需要予測!AL31*'【料金算定－現行×改定率】総括原価'!$D16*12</f>
        <v>#REF!</v>
      </c>
      <c r="AG20" s="39" t="e">
        <f>【収益】水需要予測!AM31*'【料金算定－現行×改定率】総括原価'!$D16*12</f>
        <v>#REF!</v>
      </c>
      <c r="AH20" s="39" t="e">
        <f>【収益】水需要予測!AN31*'【料金算定－現行×改定率】総括原価'!$D16*12</f>
        <v>#REF!</v>
      </c>
      <c r="AI20" s="39" t="e">
        <f>【収益】水需要予測!AO31*'【料金算定－現行×改定率】総括原価'!$D16*12</f>
        <v>#REF!</v>
      </c>
      <c r="AJ20" s="39" t="e">
        <f>【収益】水需要予測!AP31*'【料金算定－現行×改定率】総括原価'!$D16*12</f>
        <v>#REF!</v>
      </c>
      <c r="AK20" s="39" t="e">
        <f>【収益】水需要予測!AQ31*'【料金算定－現行×改定率】総括原価'!$D16*12</f>
        <v>#REF!</v>
      </c>
      <c r="AL20" s="39" t="e">
        <f>【収益】水需要予測!AR31*'【料金算定－現行×改定率】総括原価'!$D16*12</f>
        <v>#REF!</v>
      </c>
      <c r="AM20" s="39" t="e">
        <f>【収益】水需要予測!AS31*'【料金算定－現行×改定率】総括原価'!$D16*12</f>
        <v>#REF!</v>
      </c>
      <c r="AN20" s="39" t="e">
        <f>【収益】水需要予測!AT31*'【料金算定－現行×改定率】総括原価'!$D16*12</f>
        <v>#REF!</v>
      </c>
      <c r="AO20" s="39" t="e">
        <f>【収益】水需要予測!AU31*'【料金算定－現行×改定率】総括原価'!$D16*12</f>
        <v>#REF!</v>
      </c>
      <c r="AP20" s="39" t="e">
        <f>【収益】水需要予測!AV31*'【料金算定－現行×改定率】総括原価'!$D16*12</f>
        <v>#REF!</v>
      </c>
      <c r="AQ20" s="39" t="e">
        <f>【収益】水需要予測!AW31*'【料金算定－現行×改定率】総括原価'!$D16*12</f>
        <v>#REF!</v>
      </c>
      <c r="AR20" s="39" t="e">
        <f>【収益】水需要予測!AX31*'【料金算定－現行×改定率】総括原価'!$D16*12</f>
        <v>#REF!</v>
      </c>
      <c r="AS20" s="39" t="e">
        <f>【収益】水需要予測!AY31*'【料金算定－現行×改定率】総括原価'!$D16*12</f>
        <v>#REF!</v>
      </c>
      <c r="AT20" s="39" t="e">
        <f>【収益】水需要予測!AZ31*'【料金算定－現行×改定率】総括原価'!$D16*12</f>
        <v>#REF!</v>
      </c>
      <c r="AU20" s="39" t="e">
        <f>【収益】水需要予測!BA31*'【料金算定－現行×改定率】総括原価'!$D16*12</f>
        <v>#REF!</v>
      </c>
      <c r="AV20" s="39" t="e">
        <f>【収益】水需要予測!BB31*'【料金算定－現行×改定率】総括原価'!$D16*12</f>
        <v>#REF!</v>
      </c>
      <c r="AW20" s="39" t="e">
        <f>【収益】水需要予測!BC31*'【料金算定－現行×改定率】総括原価'!$D16*12</f>
        <v>#REF!</v>
      </c>
      <c r="AX20" s="39" t="e">
        <f>【収益】水需要予測!BD31*'【料金算定－現行×改定率】総括原価'!$D16*12</f>
        <v>#REF!</v>
      </c>
      <c r="AY20" s="39" t="e">
        <f>【収益】水需要予測!BE31*'【料金算定－現行×改定率】総括原価'!$D16*12</f>
        <v>#REF!</v>
      </c>
      <c r="AZ20" s="39" t="e">
        <f>【収益】水需要予測!BF31*'【料金算定－現行×改定率】総括原価'!$D16*12</f>
        <v>#REF!</v>
      </c>
      <c r="BA20" s="39" t="e">
        <f>【収益】水需要予測!BG31*'【料金算定－現行×改定率】総括原価'!$D16*12</f>
        <v>#REF!</v>
      </c>
      <c r="BB20" s="39" t="e">
        <f>【収益】水需要予測!BH31*'【料金算定－現行×改定率】総括原価'!$D16*12</f>
        <v>#REF!</v>
      </c>
      <c r="BC20" s="39" t="e">
        <f>【収益】水需要予測!BI31*'【料金算定－現行×改定率】総括原価'!$D16*12</f>
        <v>#REF!</v>
      </c>
      <c r="BD20" s="39" t="e">
        <f>【収益】水需要予測!BJ31*'【料金算定－現行×改定率】総括原価'!$D16*12</f>
        <v>#REF!</v>
      </c>
      <c r="BE20" s="39" t="e">
        <f>【収益】水需要予測!BK31*'【料金算定－現行×改定率】総括原価'!$D16*12</f>
        <v>#REF!</v>
      </c>
      <c r="BF20" s="39" t="e">
        <f>【収益】水需要予測!BL31*'【料金算定－現行×改定率】総括原価'!$D16*12</f>
        <v>#REF!</v>
      </c>
      <c r="BG20" s="39" t="e">
        <f>【収益】水需要予測!BM31*'【料金算定－現行×改定率】総括原価'!$D16*12</f>
        <v>#REF!</v>
      </c>
      <c r="BH20" s="39" t="e">
        <f>【収益】水需要予測!BN31*'【料金算定－現行×改定率】総括原価'!$D16*12</f>
        <v>#REF!</v>
      </c>
      <c r="BI20" s="39" t="e">
        <f>【収益】水需要予測!BO31*'【料金算定－現行×改定率】総括原価'!$D16*12</f>
        <v>#REF!</v>
      </c>
      <c r="BJ20" s="39" t="e">
        <f>【収益】水需要予測!BP31*'【料金算定－現行×改定率】総括原価'!$D16*12</f>
        <v>#REF!</v>
      </c>
      <c r="BK20" s="39" t="e">
        <f>【収益】水需要予測!BQ31*'【料金算定－現行×改定率】総括原価'!$D16*12</f>
        <v>#REF!</v>
      </c>
      <c r="BL20" s="39" t="e">
        <f>【収益】水需要予測!BR31*'【料金算定－現行×改定率】総括原価'!$D16*12</f>
        <v>#REF!</v>
      </c>
      <c r="BM20" s="39" t="e">
        <f>【収益】水需要予測!BS31*'【料金算定－現行×改定率】総括原価'!$D16*12</f>
        <v>#REF!</v>
      </c>
      <c r="BN20" s="39" t="e">
        <f>【収益】水需要予測!BT31*'【料金算定－現行×改定率】総括原価'!$D16*12</f>
        <v>#REF!</v>
      </c>
      <c r="BO20" s="39" t="e">
        <f>【収益】水需要予測!BU31*'【料金算定－現行×改定率】総括原価'!$D16*12</f>
        <v>#REF!</v>
      </c>
      <c r="BP20" s="39" t="e">
        <f>【収益】水需要予測!BV31*'【料金算定－現行×改定率】総括原価'!$D16*12</f>
        <v>#REF!</v>
      </c>
    </row>
    <row r="21" spans="13:68" s="24" customFormat="1">
      <c r="M21" s="25" t="s">
        <v>151</v>
      </c>
      <c r="N21" s="43"/>
      <c r="O21" s="43"/>
      <c r="P21" s="43"/>
      <c r="Q21" s="43"/>
      <c r="R21" s="43"/>
      <c r="S21" s="39" t="e">
        <f>S6+S12</f>
        <v>#REF!</v>
      </c>
      <c r="T21" s="39" t="e">
        <f t="shared" ref="T21:BP21" si="2">T6+T12</f>
        <v>#REF!</v>
      </c>
      <c r="U21" s="39" t="e">
        <f t="shared" si="2"/>
        <v>#REF!</v>
      </c>
      <c r="V21" s="39" t="e">
        <f t="shared" si="2"/>
        <v>#REF!</v>
      </c>
      <c r="W21" s="39" t="e">
        <f t="shared" si="2"/>
        <v>#REF!</v>
      </c>
      <c r="X21" s="39" t="e">
        <f t="shared" si="2"/>
        <v>#REF!</v>
      </c>
      <c r="Y21" s="39" t="e">
        <f t="shared" si="2"/>
        <v>#REF!</v>
      </c>
      <c r="Z21" s="39" t="e">
        <f t="shared" si="2"/>
        <v>#REF!</v>
      </c>
      <c r="AA21" s="39" t="e">
        <f t="shared" si="2"/>
        <v>#REF!</v>
      </c>
      <c r="AB21" s="39" t="e">
        <f t="shared" si="2"/>
        <v>#REF!</v>
      </c>
      <c r="AC21" s="39" t="e">
        <f t="shared" si="2"/>
        <v>#REF!</v>
      </c>
      <c r="AD21" s="39" t="e">
        <f t="shared" si="2"/>
        <v>#REF!</v>
      </c>
      <c r="AE21" s="39" t="e">
        <f t="shared" si="2"/>
        <v>#REF!</v>
      </c>
      <c r="AF21" s="39" t="e">
        <f t="shared" si="2"/>
        <v>#REF!</v>
      </c>
      <c r="AG21" s="39" t="e">
        <f t="shared" si="2"/>
        <v>#REF!</v>
      </c>
      <c r="AH21" s="39" t="e">
        <f t="shared" si="2"/>
        <v>#REF!</v>
      </c>
      <c r="AI21" s="39" t="e">
        <f t="shared" si="2"/>
        <v>#REF!</v>
      </c>
      <c r="AJ21" s="39" t="e">
        <f t="shared" si="2"/>
        <v>#REF!</v>
      </c>
      <c r="AK21" s="39" t="e">
        <f t="shared" si="2"/>
        <v>#REF!</v>
      </c>
      <c r="AL21" s="39" t="e">
        <f t="shared" si="2"/>
        <v>#REF!</v>
      </c>
      <c r="AM21" s="39" t="e">
        <f t="shared" si="2"/>
        <v>#REF!</v>
      </c>
      <c r="AN21" s="39" t="e">
        <f t="shared" si="2"/>
        <v>#REF!</v>
      </c>
      <c r="AO21" s="39" t="e">
        <f t="shared" si="2"/>
        <v>#REF!</v>
      </c>
      <c r="AP21" s="39" t="e">
        <f t="shared" si="2"/>
        <v>#REF!</v>
      </c>
      <c r="AQ21" s="39" t="e">
        <f t="shared" si="2"/>
        <v>#REF!</v>
      </c>
      <c r="AR21" s="39" t="e">
        <f t="shared" si="2"/>
        <v>#REF!</v>
      </c>
      <c r="AS21" s="39" t="e">
        <f t="shared" si="2"/>
        <v>#REF!</v>
      </c>
      <c r="AT21" s="39" t="e">
        <f t="shared" si="2"/>
        <v>#REF!</v>
      </c>
      <c r="AU21" s="39" t="e">
        <f t="shared" si="2"/>
        <v>#REF!</v>
      </c>
      <c r="AV21" s="39" t="e">
        <f t="shared" si="2"/>
        <v>#REF!</v>
      </c>
      <c r="AW21" s="39" t="e">
        <f t="shared" si="2"/>
        <v>#REF!</v>
      </c>
      <c r="AX21" s="39" t="e">
        <f t="shared" si="2"/>
        <v>#REF!</v>
      </c>
      <c r="AY21" s="39" t="e">
        <f t="shared" si="2"/>
        <v>#REF!</v>
      </c>
      <c r="AZ21" s="39" t="e">
        <f t="shared" si="2"/>
        <v>#REF!</v>
      </c>
      <c r="BA21" s="39" t="e">
        <f t="shared" si="2"/>
        <v>#REF!</v>
      </c>
      <c r="BB21" s="39" t="e">
        <f t="shared" si="2"/>
        <v>#REF!</v>
      </c>
      <c r="BC21" s="39" t="e">
        <f t="shared" si="2"/>
        <v>#REF!</v>
      </c>
      <c r="BD21" s="39" t="e">
        <f t="shared" si="2"/>
        <v>#REF!</v>
      </c>
      <c r="BE21" s="39" t="e">
        <f t="shared" si="2"/>
        <v>#REF!</v>
      </c>
      <c r="BF21" s="39" t="e">
        <f t="shared" si="2"/>
        <v>#REF!</v>
      </c>
      <c r="BG21" s="39" t="e">
        <f t="shared" si="2"/>
        <v>#REF!</v>
      </c>
      <c r="BH21" s="39" t="e">
        <f t="shared" si="2"/>
        <v>#REF!</v>
      </c>
      <c r="BI21" s="39" t="e">
        <f t="shared" si="2"/>
        <v>#REF!</v>
      </c>
      <c r="BJ21" s="39" t="e">
        <f t="shared" si="2"/>
        <v>#REF!</v>
      </c>
      <c r="BK21" s="39" t="e">
        <f t="shared" si="2"/>
        <v>#REF!</v>
      </c>
      <c r="BL21" s="39" t="e">
        <f t="shared" si="2"/>
        <v>#REF!</v>
      </c>
      <c r="BM21" s="39" t="e">
        <f t="shared" si="2"/>
        <v>#REF!</v>
      </c>
      <c r="BN21" s="39" t="e">
        <f t="shared" si="2"/>
        <v>#REF!</v>
      </c>
      <c r="BO21" s="39" t="e">
        <f t="shared" si="2"/>
        <v>#REF!</v>
      </c>
      <c r="BP21" s="39" t="e">
        <f t="shared" si="2"/>
        <v>#REF!</v>
      </c>
    </row>
  </sheetData>
  <customSheetViews>
    <customSheetView guid="{B05628F6-030D-4851-8E75-96DF5849F39A}" showGridLines="0" fitToPage="1" hiddenColumns="1">
      <selection activeCell="I5" sqref="I5"/>
      <pageMargins left="0.70866141732283472" right="0.70866141732283472" top="0.74803149606299213" bottom="0.74803149606299213" header="0.31496062992125984" footer="0.31496062992125984"/>
      <pageSetup paperSize="9" scale="23" orientation="landscape" horizontalDpi="0" verticalDpi="0" r:id="rId1"/>
      <headerFooter>
        <oddHeader>&amp;A</oddHeader>
        <oddFooter>&amp;P / &amp;N ページ</oddFooter>
      </headerFooter>
    </customSheetView>
    <customSheetView guid="{1F923BC6-4AD1-4F20-A481-D76BE7901A2A}" showGridLines="0" fitToPage="1" hiddenColumns="1">
      <selection activeCell="I5" sqref="I5"/>
      <pageMargins left="0.70866141732283472" right="0.70866141732283472" top="0.74803149606299213" bottom="0.74803149606299213" header="0.31496062992125984" footer="0.31496062992125984"/>
      <pageSetup paperSize="9" scale="23" orientation="landscape" horizontalDpi="0" verticalDpi="0" r:id="rId2"/>
      <headerFooter>
        <oddHeader>&amp;A</oddHeader>
        <oddFooter>&amp;P / &amp;N ページ</oddFooter>
      </headerFooter>
    </customSheetView>
  </customSheetViews>
  <phoneticPr fontId="4"/>
  <pageMargins left="0.70866141732283472" right="0.70866141732283472" top="0.74803149606299213" bottom="0.74803149606299213" header="0.31496062992125984" footer="0.31496062992125984"/>
  <pageSetup paperSize="9" scale="23" orientation="landscape" verticalDpi="0" r:id="rId3"/>
  <headerFooter>
    <oddHeader>&amp;A</oddHeader>
    <oddFooter>&amp;P / &amp;N ページ</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40822-DF53-41C9-8F0D-93391D67712F}">
  <sheetPr>
    <tabColor rgb="FFFFFFCC"/>
    <pageSetUpPr fitToPage="1"/>
  </sheetPr>
  <dimension ref="A2:BP32"/>
  <sheetViews>
    <sheetView showGridLines="0" topLeftCell="A4" zoomScale="115" zoomScaleNormal="115" workbookViewId="0">
      <selection activeCell="U6" sqref="U6"/>
    </sheetView>
  </sheetViews>
  <sheetFormatPr defaultRowHeight="14.4" outlineLevelCol="1"/>
  <cols>
    <col min="1" max="1" width="2.90625" customWidth="1"/>
    <col min="2" max="12" width="0" hidden="1" customWidth="1" outlineLevel="1"/>
    <col min="13" max="13" width="14" customWidth="1" collapsed="1"/>
    <col min="14" max="18" width="0" hidden="1" customWidth="1"/>
    <col min="19" max="19" width="10.36328125" bestFit="1" customWidth="1"/>
  </cols>
  <sheetData>
    <row r="2" spans="1:68">
      <c r="A2" t="s">
        <v>160</v>
      </c>
    </row>
    <row r="3" spans="1:68">
      <c r="M3" t="s">
        <v>684</v>
      </c>
      <c r="S3" t="s">
        <v>194</v>
      </c>
    </row>
    <row r="4" spans="1:68">
      <c r="N4" s="21" t="s">
        <v>11</v>
      </c>
      <c r="O4" s="14"/>
      <c r="P4" s="14"/>
      <c r="Q4" s="14"/>
      <c r="R4" s="15"/>
      <c r="S4" s="23" t="s">
        <v>17</v>
      </c>
      <c r="T4" s="14"/>
      <c r="U4" s="14"/>
      <c r="V4" s="15"/>
      <c r="W4" s="22" t="s">
        <v>334</v>
      </c>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row>
    <row r="5" spans="1:68">
      <c r="N5" s="11" t="s">
        <v>12</v>
      </c>
      <c r="O5" s="11" t="s">
        <v>13</v>
      </c>
      <c r="P5" s="11" t="s">
        <v>14</v>
      </c>
      <c r="Q5" s="11" t="s">
        <v>15</v>
      </c>
      <c r="R5" s="11" t="s">
        <v>16</v>
      </c>
      <c r="S5" s="11" t="s">
        <v>23</v>
      </c>
      <c r="T5" s="11" t="s">
        <v>24</v>
      </c>
      <c r="U5" s="11" t="s">
        <v>25</v>
      </c>
      <c r="V5" s="11" t="s">
        <v>26</v>
      </c>
      <c r="W5" s="11" t="s">
        <v>27</v>
      </c>
      <c r="X5" s="11" t="s">
        <v>28</v>
      </c>
      <c r="Y5" s="11" t="s">
        <v>29</v>
      </c>
      <c r="Z5" s="11" t="s">
        <v>30</v>
      </c>
      <c r="AA5" s="11" t="s">
        <v>31</v>
      </c>
      <c r="AB5" s="11" t="s">
        <v>32</v>
      </c>
      <c r="AC5" s="11" t="s">
        <v>33</v>
      </c>
      <c r="AD5" s="11" t="s">
        <v>34</v>
      </c>
      <c r="AE5" s="11" t="s">
        <v>35</v>
      </c>
      <c r="AF5" s="11" t="s">
        <v>36</v>
      </c>
      <c r="AG5" s="11" t="s">
        <v>37</v>
      </c>
      <c r="AH5" s="11" t="s">
        <v>38</v>
      </c>
      <c r="AI5" s="11" t="s">
        <v>39</v>
      </c>
      <c r="AJ5" s="11" t="s">
        <v>40</v>
      </c>
      <c r="AK5" s="11" t="s">
        <v>41</v>
      </c>
      <c r="AL5" s="11" t="s">
        <v>42</v>
      </c>
      <c r="AM5" s="11" t="s">
        <v>43</v>
      </c>
      <c r="AN5" s="11" t="s">
        <v>44</v>
      </c>
      <c r="AO5" s="11" t="s">
        <v>45</v>
      </c>
      <c r="AP5" s="11" t="s">
        <v>46</v>
      </c>
      <c r="AQ5" s="11" t="s">
        <v>47</v>
      </c>
      <c r="AR5" s="11" t="s">
        <v>48</v>
      </c>
      <c r="AS5" s="11" t="s">
        <v>49</v>
      </c>
      <c r="AT5" s="11" t="s">
        <v>50</v>
      </c>
      <c r="AU5" s="11" t="s">
        <v>51</v>
      </c>
      <c r="AV5" s="11" t="s">
        <v>52</v>
      </c>
      <c r="AW5" s="11" t="s">
        <v>53</v>
      </c>
      <c r="AX5" s="11" t="s">
        <v>54</v>
      </c>
      <c r="AY5" s="11" t="s">
        <v>55</v>
      </c>
      <c r="AZ5" s="11" t="s">
        <v>56</v>
      </c>
      <c r="BA5" s="11" t="s">
        <v>57</v>
      </c>
      <c r="BB5" s="11" t="s">
        <v>58</v>
      </c>
      <c r="BC5" s="11" t="s">
        <v>59</v>
      </c>
      <c r="BD5" s="11" t="s">
        <v>60</v>
      </c>
      <c r="BE5" s="11" t="s">
        <v>61</v>
      </c>
      <c r="BF5" s="11" t="s">
        <v>62</v>
      </c>
      <c r="BG5" s="11" t="s">
        <v>63</v>
      </c>
      <c r="BH5" s="11" t="s">
        <v>64</v>
      </c>
      <c r="BI5" s="11" t="s">
        <v>65</v>
      </c>
      <c r="BJ5" s="11" t="s">
        <v>66</v>
      </c>
      <c r="BK5" s="11" t="s">
        <v>67</v>
      </c>
      <c r="BL5" s="11" t="s">
        <v>670</v>
      </c>
      <c r="BM5" s="11" t="s">
        <v>671</v>
      </c>
      <c r="BN5" s="11" t="s">
        <v>672</v>
      </c>
      <c r="BO5" s="11" t="s">
        <v>673</v>
      </c>
      <c r="BP5" s="11" t="s">
        <v>674</v>
      </c>
    </row>
    <row r="6" spans="1:68" s="24" customFormat="1">
      <c r="M6" s="25" t="s">
        <v>687</v>
      </c>
      <c r="N6" s="43"/>
      <c r="O6" s="43"/>
      <c r="P6" s="43"/>
      <c r="Q6" s="43"/>
      <c r="R6" s="43"/>
      <c r="S6" s="39">
        <f>S7+S10</f>
        <v>135966108</v>
      </c>
      <c r="T6" s="39">
        <f>T7+T10</f>
        <v>159273765</v>
      </c>
      <c r="U6" s="39">
        <f t="shared" ref="U6:BP6" si="0">U7+U10</f>
        <v>157053754</v>
      </c>
      <c r="V6" s="39">
        <f t="shared" si="0"/>
        <v>155127071</v>
      </c>
      <c r="W6" s="39">
        <f t="shared" si="0"/>
        <v>153250724</v>
      </c>
      <c r="X6" s="39">
        <f t="shared" si="0"/>
        <v>151651082</v>
      </c>
      <c r="Y6" s="39">
        <f t="shared" si="0"/>
        <v>148313935</v>
      </c>
      <c r="Z6" s="39">
        <f t="shared" si="0"/>
        <v>146663902</v>
      </c>
      <c r="AA6" s="39">
        <f t="shared" si="0"/>
        <v>145047617</v>
      </c>
      <c r="AB6" s="39">
        <f t="shared" si="0"/>
        <v>143686444</v>
      </c>
      <c r="AC6" s="39">
        <f t="shared" si="0"/>
        <v>141898845</v>
      </c>
      <c r="AD6" s="39">
        <f t="shared" si="0"/>
        <v>138246427</v>
      </c>
      <c r="AE6" s="39">
        <f t="shared" si="0"/>
        <v>136894450</v>
      </c>
      <c r="AF6" s="39">
        <f t="shared" si="0"/>
        <v>135759547</v>
      </c>
      <c r="AG6" s="39">
        <f t="shared" si="0"/>
        <v>134240832</v>
      </c>
      <c r="AH6" s="39">
        <f t="shared" si="0"/>
        <v>132955922</v>
      </c>
      <c r="AI6" s="39">
        <f t="shared" si="0"/>
        <v>128958962</v>
      </c>
      <c r="AJ6" s="39">
        <f t="shared" si="0"/>
        <v>128030067</v>
      </c>
      <c r="AK6" s="39">
        <f t="shared" si="0"/>
        <v>126758115</v>
      </c>
      <c r="AL6" s="39">
        <f t="shared" si="0"/>
        <v>125682931</v>
      </c>
      <c r="AM6" s="39">
        <f t="shared" si="0"/>
        <v>124624478</v>
      </c>
      <c r="AN6" s="39">
        <f t="shared" si="0"/>
        <v>120687721</v>
      </c>
      <c r="AO6" s="39">
        <f t="shared" si="0"/>
        <v>119619544</v>
      </c>
      <c r="AP6" s="39">
        <f t="shared" si="0"/>
        <v>118729116</v>
      </c>
      <c r="AQ6" s="39">
        <f t="shared" si="0"/>
        <v>117838545</v>
      </c>
      <c r="AR6" s="39">
        <f t="shared" si="0"/>
        <v>117116857</v>
      </c>
      <c r="AS6" s="39">
        <f t="shared" si="0"/>
        <v>112833611</v>
      </c>
      <c r="AT6" s="39">
        <f t="shared" si="0"/>
        <v>112127796</v>
      </c>
      <c r="AU6" s="39">
        <f t="shared" si="0"/>
        <v>111438712</v>
      </c>
      <c r="AV6" s="39">
        <f t="shared" si="0"/>
        <v>110885621</v>
      </c>
      <c r="AW6" s="39">
        <f t="shared" si="0"/>
        <v>110077704</v>
      </c>
      <c r="AX6" s="39">
        <f t="shared" si="0"/>
        <v>109405494</v>
      </c>
      <c r="AY6" s="39">
        <f t="shared" si="0"/>
        <v>108733141</v>
      </c>
      <c r="AZ6" s="39">
        <f t="shared" si="0"/>
        <v>108207363</v>
      </c>
      <c r="BA6" s="39">
        <f t="shared" si="0"/>
        <v>107422469</v>
      </c>
      <c r="BB6" s="39">
        <f t="shared" si="0"/>
        <v>106783864</v>
      </c>
      <c r="BC6" s="39">
        <f t="shared" si="0"/>
        <v>106145259</v>
      </c>
      <c r="BD6" s="39">
        <f t="shared" si="0"/>
        <v>105629920</v>
      </c>
      <c r="BE6" s="39">
        <f t="shared" si="0"/>
        <v>104884780</v>
      </c>
      <c r="BF6" s="39">
        <f t="shared" si="0"/>
        <v>104262906</v>
      </c>
      <c r="BG6" s="39">
        <f t="shared" si="0"/>
        <v>103657906</v>
      </c>
      <c r="BH6" s="39">
        <f t="shared" si="0"/>
        <v>103170452</v>
      </c>
      <c r="BI6" s="39">
        <f t="shared" si="0"/>
        <v>102447906</v>
      </c>
      <c r="BJ6" s="39">
        <f t="shared" si="0"/>
        <v>101859637</v>
      </c>
      <c r="BK6" s="39">
        <f t="shared" si="0"/>
        <v>101271368</v>
      </c>
      <c r="BL6" s="39">
        <f t="shared" si="0"/>
        <v>100795211</v>
      </c>
      <c r="BM6" s="39">
        <f t="shared" si="0"/>
        <v>100111704</v>
      </c>
      <c r="BN6" s="39">
        <f t="shared" si="0"/>
        <v>99540309</v>
      </c>
      <c r="BO6" s="39">
        <f t="shared" si="0"/>
        <v>98968914</v>
      </c>
      <c r="BP6" s="39">
        <f t="shared" si="0"/>
        <v>98520928</v>
      </c>
    </row>
    <row r="7" spans="1:68" s="24" customFormat="1">
      <c r="M7" s="25" t="s">
        <v>157</v>
      </c>
      <c r="N7" s="43"/>
      <c r="O7" s="43"/>
      <c r="P7" s="43"/>
      <c r="Q7" s="43"/>
      <c r="R7" s="43"/>
      <c r="S7" s="39">
        <f>SUM(S8:S9)</f>
        <v>39060442</v>
      </c>
      <c r="T7" s="39">
        <f t="shared" ref="T7:BP7" si="1">SUM(T8:T9)</f>
        <v>62574019</v>
      </c>
      <c r="U7" s="39">
        <f t="shared" si="1"/>
        <v>62599680</v>
      </c>
      <c r="V7" s="39">
        <f t="shared" si="1"/>
        <v>62620800</v>
      </c>
      <c r="W7" s="39">
        <f t="shared" si="1"/>
        <v>62641920</v>
      </c>
      <c r="X7" s="39">
        <f t="shared" si="1"/>
        <v>62663040</v>
      </c>
      <c r="Y7" s="39">
        <f t="shared" si="1"/>
        <v>62641920</v>
      </c>
      <c r="Z7" s="39">
        <f t="shared" si="1"/>
        <v>62620800</v>
      </c>
      <c r="AA7" s="39">
        <f t="shared" si="1"/>
        <v>62599680</v>
      </c>
      <c r="AB7" s="39">
        <f t="shared" si="1"/>
        <v>62578560</v>
      </c>
      <c r="AC7" s="39">
        <f t="shared" si="1"/>
        <v>62557440</v>
      </c>
      <c r="AD7" s="39">
        <f t="shared" si="1"/>
        <v>62515200</v>
      </c>
      <c r="AE7" s="39">
        <f t="shared" si="1"/>
        <v>62472960</v>
      </c>
      <c r="AF7" s="39">
        <f t="shared" si="1"/>
        <v>62430720</v>
      </c>
      <c r="AG7" s="39">
        <f t="shared" si="1"/>
        <v>62388480</v>
      </c>
      <c r="AH7" s="39">
        <f t="shared" si="1"/>
        <v>62346240</v>
      </c>
      <c r="AI7" s="39">
        <f t="shared" si="1"/>
        <v>62261760</v>
      </c>
      <c r="AJ7" s="39">
        <f t="shared" si="1"/>
        <v>62177280</v>
      </c>
      <c r="AK7" s="39">
        <f t="shared" si="1"/>
        <v>62092800</v>
      </c>
      <c r="AL7" s="39">
        <f t="shared" si="1"/>
        <v>62008320</v>
      </c>
      <c r="AM7" s="39">
        <f t="shared" si="1"/>
        <v>61923840</v>
      </c>
      <c r="AN7" s="39">
        <f t="shared" si="1"/>
        <v>61839360</v>
      </c>
      <c r="AO7" s="39">
        <f t="shared" si="1"/>
        <v>61754880</v>
      </c>
      <c r="AP7" s="39">
        <f t="shared" si="1"/>
        <v>61670400</v>
      </c>
      <c r="AQ7" s="39">
        <f t="shared" si="1"/>
        <v>61585920</v>
      </c>
      <c r="AR7" s="39">
        <f t="shared" si="1"/>
        <v>61501440</v>
      </c>
      <c r="AS7" s="39">
        <f t="shared" si="1"/>
        <v>61416960</v>
      </c>
      <c r="AT7" s="39">
        <f t="shared" si="1"/>
        <v>61332480</v>
      </c>
      <c r="AU7" s="39">
        <f t="shared" si="1"/>
        <v>61248000</v>
      </c>
      <c r="AV7" s="39">
        <f t="shared" si="1"/>
        <v>61163520</v>
      </c>
      <c r="AW7" s="39">
        <f t="shared" si="1"/>
        <v>61079040</v>
      </c>
      <c r="AX7" s="39">
        <f t="shared" si="1"/>
        <v>60994560</v>
      </c>
      <c r="AY7" s="39">
        <f t="shared" si="1"/>
        <v>60910080</v>
      </c>
      <c r="AZ7" s="39">
        <f t="shared" si="1"/>
        <v>60825600</v>
      </c>
      <c r="BA7" s="39">
        <f t="shared" si="1"/>
        <v>60741120</v>
      </c>
      <c r="BB7" s="39">
        <f t="shared" si="1"/>
        <v>60656640</v>
      </c>
      <c r="BC7" s="39">
        <f t="shared" si="1"/>
        <v>60572160</v>
      </c>
      <c r="BD7" s="39">
        <f t="shared" si="1"/>
        <v>60487680</v>
      </c>
      <c r="BE7" s="39">
        <f t="shared" si="1"/>
        <v>60403200</v>
      </c>
      <c r="BF7" s="39">
        <f t="shared" si="1"/>
        <v>60318720</v>
      </c>
      <c r="BG7" s="39">
        <f t="shared" si="1"/>
        <v>60234240</v>
      </c>
      <c r="BH7" s="39">
        <f t="shared" si="1"/>
        <v>60149760</v>
      </c>
      <c r="BI7" s="39">
        <f t="shared" si="1"/>
        <v>60065280</v>
      </c>
      <c r="BJ7" s="39">
        <f t="shared" si="1"/>
        <v>59980800</v>
      </c>
      <c r="BK7" s="39">
        <f t="shared" si="1"/>
        <v>59896320</v>
      </c>
      <c r="BL7" s="39">
        <f t="shared" si="1"/>
        <v>59811840</v>
      </c>
      <c r="BM7" s="39">
        <f t="shared" si="1"/>
        <v>59727360</v>
      </c>
      <c r="BN7" s="39">
        <f t="shared" si="1"/>
        <v>59642880</v>
      </c>
      <c r="BO7" s="39">
        <f t="shared" si="1"/>
        <v>59558400</v>
      </c>
      <c r="BP7" s="39">
        <f t="shared" si="1"/>
        <v>59473920</v>
      </c>
    </row>
    <row r="8" spans="1:68" s="24" customFormat="1">
      <c r="M8" s="25" t="s">
        <v>685</v>
      </c>
      <c r="N8" s="43"/>
      <c r="O8" s="43"/>
      <c r="P8" s="43"/>
      <c r="Q8" s="43"/>
      <c r="R8" s="43"/>
      <c r="S8" s="39">
        <f>ROUND(【収益】料金単価!$D$6*【収益】水需要予測!Y24*【収益】料金単価!$S$35*12,0)</f>
        <v>23188314</v>
      </c>
      <c r="T8" s="130">
        <f>ROUND(【収益】料金単価!$H$6*【収益】水需要予測!Z24*【収益】料金単価!$S$35*12,0)</f>
        <v>40110630</v>
      </c>
      <c r="U8" s="130">
        <f>ROUND(【収益】料金単価!$H$6*【収益】水需要予測!AA24*【収益】料金単価!$S$35*12,0)</f>
        <v>40127079</v>
      </c>
      <c r="V8" s="130">
        <f>ROUND(【収益】料金単価!$H$6*【収益】水需要予測!AB24*【収益】料金単価!$S$35*12,0)</f>
        <v>40140617</v>
      </c>
      <c r="W8" s="130">
        <f>ROUND(【収益】料金単価!$H$6*【収益】水需要予測!AC24*【収益】料金単価!$S$35*12,0)</f>
        <v>40154155</v>
      </c>
      <c r="X8" s="130">
        <f>ROUND(【収益】料金単価!$H$6*【収益】水需要予測!AD24*【収益】料金単価!$S$35*12,0)</f>
        <v>40167693</v>
      </c>
      <c r="Y8" s="130">
        <f>ROUND(【収益】料金単価!$H$6*【収益】水需要予測!AE24*【収益】料金単価!$S$35*12,0)</f>
        <v>40154155</v>
      </c>
      <c r="Z8" s="130">
        <f>ROUND(【収益】料金単価!$H$6*【収益】水需要予測!AF24*【収益】料金単価!$S$35*12,0)</f>
        <v>40140617</v>
      </c>
      <c r="AA8" s="130">
        <f>ROUND(【収益】料金単価!$H$6*【収益】水需要予測!AG24*【収益】料金単価!$S$35*12,0)</f>
        <v>40127079</v>
      </c>
      <c r="AB8" s="130">
        <f>ROUND(【収益】料金単価!$H$6*【収益】水需要予測!AH24*【収益】料金単価!$S$35*12,0)</f>
        <v>40113541</v>
      </c>
      <c r="AC8" s="130">
        <f>ROUND(【収益】料金単価!$H$6*【収益】水需要予測!AI24*【収益】料金単価!$S$35*12,0)</f>
        <v>40100003</v>
      </c>
      <c r="AD8" s="130">
        <f>ROUND(【収益】料金単価!$H$6*【収益】水需要予測!AJ24*【収益】料金単価!$S$35*12,0)</f>
        <v>40072926</v>
      </c>
      <c r="AE8" s="130">
        <f>ROUND(【収益】料金単価!$H$6*【収益】水需要予測!AK24*【収益】料金単価!$S$35*12,0)</f>
        <v>40045850</v>
      </c>
      <c r="AF8" s="130">
        <f>ROUND(【収益】料金単価!$H$6*【収益】水需要予測!AL24*【収益】料金単価!$S$35*12,0)</f>
        <v>40018774</v>
      </c>
      <c r="AG8" s="130">
        <f>ROUND(【収益】料金単価!$H$6*【収益】水需要予測!AM24*【収益】料金単価!$S$35*12,0)</f>
        <v>39991697</v>
      </c>
      <c r="AH8" s="130">
        <f>ROUND(【収益】料金単価!$H$6*【収益】水需要予測!AN24*【収益】料金単価!$S$35*12,0)</f>
        <v>39964621</v>
      </c>
      <c r="AI8" s="130">
        <f>ROUND(【収益】料金単価!$H$6*【収益】水需要予測!AO24*【収益】料金単価!$S$35*12,0)</f>
        <v>39910468</v>
      </c>
      <c r="AJ8" s="130">
        <f>ROUND(【収益】料金単価!$H$6*【収益】水需要予測!AP24*【収益】料金単価!$S$35*12,0)</f>
        <v>39856316</v>
      </c>
      <c r="AK8" s="130">
        <f>ROUND(【収益】料金単価!$H$6*【収益】水需要予測!AQ24*【収益】料金単価!$S$35*12,0)</f>
        <v>39802163</v>
      </c>
      <c r="AL8" s="130">
        <f>ROUND(【収益】料金単価!$H$6*【収益】水需要予測!AR24*【収益】料金単価!$S$35*12,0)</f>
        <v>39748011</v>
      </c>
      <c r="AM8" s="130">
        <f>ROUND(【収益】料金単価!$H$6*【収益】水需要予測!AS24*【収益】料金単価!$S$35*12,0)</f>
        <v>39693858</v>
      </c>
      <c r="AN8" s="130">
        <f>ROUND(【収益】料金単価!$H$6*【収益】水需要予測!AT24*【収益】料金単価!$S$35*12,0)</f>
        <v>39639705</v>
      </c>
      <c r="AO8" s="130">
        <f>ROUND(【収益】料金単価!$H$6*【収益】水需要予測!AU24*【収益】料金単価!$S$35*12,0)</f>
        <v>39585553</v>
      </c>
      <c r="AP8" s="130">
        <f>ROUND(【収益】料金単価!$H$6*【収益】水需要予測!AV24*【収益】料金単価!$S$35*12,0)</f>
        <v>39531400</v>
      </c>
      <c r="AQ8" s="130">
        <f>ROUND(【収益】料金単価!$H$6*【収益】水需要予測!AW24*【収益】料金単価!$S$35*12,0)</f>
        <v>39477248</v>
      </c>
      <c r="AR8" s="130">
        <f>ROUND(【収益】料金単価!$H$6*【収益】水需要予測!AX24*【収益】料金単価!$S$35*12,0)</f>
        <v>39423095</v>
      </c>
      <c r="AS8" s="130">
        <f>ROUND(【収益】料金単価!$H$6*【収益】水需要予測!AY24*【収益】料金単価!$S$35*12,0)</f>
        <v>39368942</v>
      </c>
      <c r="AT8" s="130">
        <f>ROUND(【収益】料金単価!$H$6*【収益】水需要予測!AZ24*【収益】料金単価!$S$35*12,0)</f>
        <v>39314790</v>
      </c>
      <c r="AU8" s="130">
        <f>ROUND(【収益】料金単価!$H$6*【収益】水需要予測!BA24*【収益】料金単価!$S$35*12,0)</f>
        <v>39260637</v>
      </c>
      <c r="AV8" s="130">
        <f>ROUND(【収益】料金単価!$H$6*【収益】水需要予測!BB24*【収益】料金単価!$S$35*12,0)</f>
        <v>39206485</v>
      </c>
      <c r="AW8" s="130">
        <f>ROUND(【収益】料金単価!$H$6*【収益】水需要予測!BC24*【収益】料金単価!$S$35*12,0)</f>
        <v>39152332</v>
      </c>
      <c r="AX8" s="130">
        <f>ROUND(【収益】料金単価!$H$6*【収益】水需要予測!BD24*【収益】料金単価!$S$35*12,0)</f>
        <v>39098179</v>
      </c>
      <c r="AY8" s="130">
        <f>ROUND(【収益】料金単価!$H$6*【収益】水需要予測!BE24*【収益】料金単価!$S$35*12,0)</f>
        <v>39044027</v>
      </c>
      <c r="AZ8" s="130">
        <f>ROUND(【収益】料金単価!$H$6*【収益】水需要予測!BF24*【収益】料金単価!$S$35*12,0)</f>
        <v>38989874</v>
      </c>
      <c r="BA8" s="130">
        <f>ROUND(【収益】料金単価!$H$6*【収益】水需要予測!BG24*【収益】料金単価!$S$35*12,0)</f>
        <v>38935722</v>
      </c>
      <c r="BB8" s="130">
        <f>ROUND(【収益】料金単価!$H$6*【収益】水需要予測!BH24*【収益】料金単価!$S$35*12,0)</f>
        <v>38881569</v>
      </c>
      <c r="BC8" s="130">
        <f>ROUND(【収益】料金単価!$H$6*【収益】水需要予測!BI24*【収益】料金単価!$S$35*12,0)</f>
        <v>38827416</v>
      </c>
      <c r="BD8" s="130">
        <f>ROUND(【収益】料金単価!$H$6*【収益】水需要予測!BJ24*【収益】料金単価!$S$35*12,0)</f>
        <v>38773264</v>
      </c>
      <c r="BE8" s="130">
        <f>ROUND(【収益】料金単価!$H$6*【収益】水需要予測!BK24*【収益】料金単価!$S$35*12,0)</f>
        <v>38719111</v>
      </c>
      <c r="BF8" s="130">
        <f>ROUND(【収益】料金単価!$H$6*【収益】水需要予測!BL24*【収益】料金単価!$S$35*12,0)</f>
        <v>38664959</v>
      </c>
      <c r="BG8" s="130">
        <f>ROUND(【収益】料金単価!$H$6*【収益】水需要予測!BM24*【収益】料金単価!$S$35*12,0)</f>
        <v>38610806</v>
      </c>
      <c r="BH8" s="130">
        <f>ROUND(【収益】料金単価!$H$6*【収益】水需要予測!BN24*【収益】料金単価!$S$35*12,0)</f>
        <v>38556653</v>
      </c>
      <c r="BI8" s="130">
        <f>ROUND(【収益】料金単価!$H$6*【収益】水需要予測!BO24*【収益】料金単価!$S$35*12,0)</f>
        <v>38502501</v>
      </c>
      <c r="BJ8" s="130">
        <f>ROUND(【収益】料金単価!$H$6*【収益】水需要予測!BP24*【収益】料金単価!$S$35*12,0)</f>
        <v>38448348</v>
      </c>
      <c r="BK8" s="130">
        <f>ROUND(【収益】料金単価!$H$6*【収益】水需要予測!BQ24*【収益】料金単価!$S$35*12,0)</f>
        <v>38394196</v>
      </c>
      <c r="BL8" s="130">
        <f>ROUND(【収益】料金単価!$H$6*【収益】水需要予測!BR24*【収益】料金単価!$S$35*12,0)</f>
        <v>38340043</v>
      </c>
      <c r="BM8" s="130">
        <f>ROUND(【収益】料金単価!$H$6*【収益】水需要予測!BS24*【収益】料金単価!$S$35*12,0)</f>
        <v>38285890</v>
      </c>
      <c r="BN8" s="130">
        <f>ROUND(【収益】料金単価!$H$6*【収益】水需要予測!BT24*【収益】料金単価!$S$35*12,0)</f>
        <v>38231738</v>
      </c>
      <c r="BO8" s="130">
        <f>ROUND(【収益】料金単価!$H$6*【収益】水需要予測!BU24*【収益】料金単価!$S$35*12,0)</f>
        <v>38177585</v>
      </c>
      <c r="BP8" s="130">
        <f>ROUND(【収益】料金単価!$H$6*【収益】水需要予測!BV24*【収益】料金単価!$S$35*12,0)</f>
        <v>38123432</v>
      </c>
    </row>
    <row r="9" spans="1:68" s="24" customFormat="1">
      <c r="M9" s="25" t="s">
        <v>686</v>
      </c>
      <c r="N9" s="43"/>
      <c r="O9" s="43"/>
      <c r="P9" s="43"/>
      <c r="Q9" s="43"/>
      <c r="R9" s="43"/>
      <c r="S9" s="39">
        <f>ROUND(【収益】料金単価!$D$7*【収益】水需要予測!Y24*(1-【収益】料金単価!$S$35)*12,0)</f>
        <v>15872128</v>
      </c>
      <c r="T9" s="130">
        <f>ROUND(【収益】料金単価!$H$7*【収益】水需要予測!Z24*(1-【収益】料金単価!$S$35)*12,0)</f>
        <v>22463389</v>
      </c>
      <c r="U9" s="130">
        <f>ROUND(【収益】料金単価!$H$7*【収益】水需要予測!AA24*(1-【収益】料金単価!$S$35)*12,0)</f>
        <v>22472601</v>
      </c>
      <c r="V9" s="130">
        <f>ROUND(【収益】料金単価!$H$7*【収益】水需要予測!AB24*(1-【収益】料金単価!$S$35)*12,0)</f>
        <v>22480183</v>
      </c>
      <c r="W9" s="130">
        <f>ROUND(【収益】料金単価!$H$7*【収益】水需要予測!AC24*(1-【収益】料金単価!$S$35)*12,0)</f>
        <v>22487765</v>
      </c>
      <c r="X9" s="130">
        <f>ROUND(【収益】料金単価!$H$7*【収益】水需要予測!AD24*(1-【収益】料金単価!$S$35)*12,0)</f>
        <v>22495347</v>
      </c>
      <c r="Y9" s="130">
        <f>ROUND(【収益】料金単価!$H$7*【収益】水需要予測!AE24*(1-【収益】料金単価!$S$35)*12,0)</f>
        <v>22487765</v>
      </c>
      <c r="Z9" s="130">
        <f>ROUND(【収益】料金単価!$H$7*【収益】水需要予測!AF24*(1-【収益】料金単価!$S$35)*12,0)</f>
        <v>22480183</v>
      </c>
      <c r="AA9" s="130">
        <f>ROUND(【収益】料金単価!$H$7*【収益】水需要予測!AG24*(1-【収益】料金単価!$S$35)*12,0)</f>
        <v>22472601</v>
      </c>
      <c r="AB9" s="130">
        <f>ROUND(【収益】料金単価!$H$7*【収益】水需要予測!AH24*(1-【収益】料金単価!$S$35)*12,0)</f>
        <v>22465019</v>
      </c>
      <c r="AC9" s="130">
        <f>ROUND(【収益】料金単価!$H$7*【収益】水需要予測!AI24*(1-【収益】料金単価!$S$35)*12,0)</f>
        <v>22457437</v>
      </c>
      <c r="AD9" s="130">
        <f>ROUND(【収益】料金単価!$H$7*【収益】水需要予測!AJ24*(1-【収益】料金単価!$S$35)*12,0)</f>
        <v>22442274</v>
      </c>
      <c r="AE9" s="130">
        <f>ROUND(【収益】料金単価!$H$7*【収益】水需要予測!AK24*(1-【収益】料金単価!$S$35)*12,0)</f>
        <v>22427110</v>
      </c>
      <c r="AF9" s="130">
        <f>ROUND(【収益】料金単価!$H$7*【収益】水需要予測!AL24*(1-【収益】料金単価!$S$35)*12,0)</f>
        <v>22411946</v>
      </c>
      <c r="AG9" s="130">
        <f>ROUND(【収益】料金単価!$H$7*【収益】水需要予測!AM24*(1-【収益】料金単価!$S$35)*12,0)</f>
        <v>22396783</v>
      </c>
      <c r="AH9" s="130">
        <f>ROUND(【収益】料金単価!$H$7*【収益】水需要予測!AN24*(1-【収益】料金単価!$S$35)*12,0)</f>
        <v>22381619</v>
      </c>
      <c r="AI9" s="130">
        <f>ROUND(【収益】料金単価!$H$7*【収益】水需要予測!AO24*(1-【収益】料金単価!$S$35)*12,0)</f>
        <v>22351292</v>
      </c>
      <c r="AJ9" s="130">
        <f>ROUND(【収益】料金単価!$H$7*【収益】水需要予測!AP24*(1-【収益】料金単価!$S$35)*12,0)</f>
        <v>22320964</v>
      </c>
      <c r="AK9" s="130">
        <f>ROUND(【収益】料金単価!$H$7*【収益】水需要予測!AQ24*(1-【収益】料金単価!$S$35)*12,0)</f>
        <v>22290637</v>
      </c>
      <c r="AL9" s="130">
        <f>ROUND(【収益】料金単価!$H$7*【収益】水需要予測!AR24*(1-【収益】料金単価!$S$35)*12,0)</f>
        <v>22260309</v>
      </c>
      <c r="AM9" s="130">
        <f>ROUND(【収益】料金単価!$H$7*【収益】水需要予測!AS24*(1-【収益】料金単価!$S$35)*12,0)</f>
        <v>22229982</v>
      </c>
      <c r="AN9" s="130">
        <f>ROUND(【収益】料金単価!$H$7*【収益】水需要予測!AT24*(1-【収益】料金単価!$S$35)*12,0)</f>
        <v>22199655</v>
      </c>
      <c r="AO9" s="130">
        <f>ROUND(【収益】料金単価!$H$7*【収益】水需要予測!AU24*(1-【収益】料金単価!$S$35)*12,0)</f>
        <v>22169327</v>
      </c>
      <c r="AP9" s="130">
        <f>ROUND(【収益】料金単価!$H$7*【収益】水需要予測!AV24*(1-【収益】料金単価!$S$35)*12,0)</f>
        <v>22139000</v>
      </c>
      <c r="AQ9" s="130">
        <f>ROUND(【収益】料金単価!$H$7*【収益】水需要予測!AW24*(1-【収益】料金単価!$S$35)*12,0)</f>
        <v>22108672</v>
      </c>
      <c r="AR9" s="130">
        <f>ROUND(【収益】料金単価!$H$7*【収益】水需要予測!AX24*(1-【収益】料金単価!$S$35)*12,0)</f>
        <v>22078345</v>
      </c>
      <c r="AS9" s="130">
        <f>ROUND(【収益】料金単価!$H$7*【収益】水需要予測!AY24*(1-【収益】料金単価!$S$35)*12,0)</f>
        <v>22048018</v>
      </c>
      <c r="AT9" s="130">
        <f>ROUND(【収益】料金単価!$H$7*【収益】水需要予測!AZ24*(1-【収益】料金単価!$S$35)*12,0)</f>
        <v>22017690</v>
      </c>
      <c r="AU9" s="130">
        <f>ROUND(【収益】料金単価!$H$7*【収益】水需要予測!BA24*(1-【収益】料金単価!$S$35)*12,0)</f>
        <v>21987363</v>
      </c>
      <c r="AV9" s="130">
        <f>ROUND(【収益】料金単価!$H$7*【収益】水需要予測!BB24*(1-【収益】料金単価!$S$35)*12,0)</f>
        <v>21957035</v>
      </c>
      <c r="AW9" s="130">
        <f>ROUND(【収益】料金単価!$H$7*【収益】水需要予測!BC24*(1-【収益】料金単価!$S$35)*12,0)</f>
        <v>21926708</v>
      </c>
      <c r="AX9" s="130">
        <f>ROUND(【収益】料金単価!$H$7*【収益】水需要予測!BD24*(1-【収益】料金単価!$S$35)*12,0)</f>
        <v>21896381</v>
      </c>
      <c r="AY9" s="130">
        <f>ROUND(【収益】料金単価!$H$7*【収益】水需要予測!BE24*(1-【収益】料金単価!$S$35)*12,0)</f>
        <v>21866053</v>
      </c>
      <c r="AZ9" s="130">
        <f>ROUND(【収益】料金単価!$H$7*【収益】水需要予測!BF24*(1-【収益】料金単価!$S$35)*12,0)</f>
        <v>21835726</v>
      </c>
      <c r="BA9" s="130">
        <f>ROUND(【収益】料金単価!$H$7*【収益】水需要予測!BG24*(1-【収益】料金単価!$S$35)*12,0)</f>
        <v>21805398</v>
      </c>
      <c r="BB9" s="130">
        <f>ROUND(【収益】料金単価!$H$7*【収益】水需要予測!BH24*(1-【収益】料金単価!$S$35)*12,0)</f>
        <v>21775071</v>
      </c>
      <c r="BC9" s="130">
        <f>ROUND(【収益】料金単価!$H$7*【収益】水需要予測!BI24*(1-【収益】料金単価!$S$35)*12,0)</f>
        <v>21744744</v>
      </c>
      <c r="BD9" s="130">
        <f>ROUND(【収益】料金単価!$H$7*【収益】水需要予測!BJ24*(1-【収益】料金単価!$S$35)*12,0)</f>
        <v>21714416</v>
      </c>
      <c r="BE9" s="130">
        <f>ROUND(【収益】料金単価!$H$7*【収益】水需要予測!BK24*(1-【収益】料金単価!$S$35)*12,0)</f>
        <v>21684089</v>
      </c>
      <c r="BF9" s="130">
        <f>ROUND(【収益】料金単価!$H$7*【収益】水需要予測!BL24*(1-【収益】料金単価!$S$35)*12,0)</f>
        <v>21653761</v>
      </c>
      <c r="BG9" s="130">
        <f>ROUND(【収益】料金単価!$H$7*【収益】水需要予測!BM24*(1-【収益】料金単価!$S$35)*12,0)</f>
        <v>21623434</v>
      </c>
      <c r="BH9" s="130">
        <f>ROUND(【収益】料金単価!$H$7*【収益】水需要予測!BN24*(1-【収益】料金単価!$S$35)*12,0)</f>
        <v>21593107</v>
      </c>
      <c r="BI9" s="130">
        <f>ROUND(【収益】料金単価!$H$7*【収益】水需要予測!BO24*(1-【収益】料金単価!$S$35)*12,0)</f>
        <v>21562779</v>
      </c>
      <c r="BJ9" s="130">
        <f>ROUND(【収益】料金単価!$H$7*【収益】水需要予測!BP24*(1-【収益】料金単価!$S$35)*12,0)</f>
        <v>21532452</v>
      </c>
      <c r="BK9" s="130">
        <f>ROUND(【収益】料金単価!$H$7*【収益】水需要予測!BQ24*(1-【収益】料金単価!$S$35)*12,0)</f>
        <v>21502124</v>
      </c>
      <c r="BL9" s="130">
        <f>ROUND(【収益】料金単価!$H$7*【収益】水需要予測!BR24*(1-【収益】料金単価!$S$35)*12,0)</f>
        <v>21471797</v>
      </c>
      <c r="BM9" s="130">
        <f>ROUND(【収益】料金単価!$H$7*【収益】水需要予測!BS24*(1-【収益】料金単価!$S$35)*12,0)</f>
        <v>21441470</v>
      </c>
      <c r="BN9" s="130">
        <f>ROUND(【収益】料金単価!$H$7*【収益】水需要予測!BT24*(1-【収益】料金単価!$S$35)*12,0)</f>
        <v>21411142</v>
      </c>
      <c r="BO9" s="130">
        <f>ROUND(【収益】料金単価!$H$7*【収益】水需要予測!BU24*(1-【収益】料金単価!$S$35)*12,0)</f>
        <v>21380815</v>
      </c>
      <c r="BP9" s="130">
        <f>ROUND(【収益】料金単価!$H$7*【収益】水需要予測!BV24*(1-【収益】料金単価!$S$35)*12,0)</f>
        <v>21350488</v>
      </c>
    </row>
    <row r="10" spans="1:68" s="24" customFormat="1">
      <c r="M10" s="25" t="s">
        <v>664</v>
      </c>
      <c r="N10" s="43"/>
      <c r="O10" s="43"/>
      <c r="P10" s="43"/>
      <c r="Q10" s="43"/>
      <c r="R10" s="43"/>
      <c r="S10" s="39">
        <f>SUM(S11:S12)</f>
        <v>96905666</v>
      </c>
      <c r="T10" s="39">
        <f t="shared" ref="T10:BP10" si="2">SUM(T11:T12)</f>
        <v>96699746</v>
      </c>
      <c r="U10" s="39">
        <f t="shared" si="2"/>
        <v>94454074</v>
      </c>
      <c r="V10" s="39">
        <f t="shared" si="2"/>
        <v>92506271</v>
      </c>
      <c r="W10" s="39">
        <f t="shared" si="2"/>
        <v>90608804</v>
      </c>
      <c r="X10" s="39">
        <f t="shared" si="2"/>
        <v>88988042</v>
      </c>
      <c r="Y10" s="39">
        <f t="shared" si="2"/>
        <v>85672015</v>
      </c>
      <c r="Z10" s="39">
        <f t="shared" si="2"/>
        <v>84043102</v>
      </c>
      <c r="AA10" s="39">
        <f t="shared" si="2"/>
        <v>82447937</v>
      </c>
      <c r="AB10" s="39">
        <f t="shared" si="2"/>
        <v>81107884</v>
      </c>
      <c r="AC10" s="39">
        <f t="shared" si="2"/>
        <v>79341405</v>
      </c>
      <c r="AD10" s="39">
        <f t="shared" si="2"/>
        <v>75731227</v>
      </c>
      <c r="AE10" s="39">
        <f t="shared" si="2"/>
        <v>74421490</v>
      </c>
      <c r="AF10" s="39">
        <f t="shared" si="2"/>
        <v>73328827</v>
      </c>
      <c r="AG10" s="39">
        <f t="shared" si="2"/>
        <v>71852352</v>
      </c>
      <c r="AH10" s="39">
        <f t="shared" si="2"/>
        <v>70609682</v>
      </c>
      <c r="AI10" s="39">
        <f t="shared" si="2"/>
        <v>66697202</v>
      </c>
      <c r="AJ10" s="39">
        <f t="shared" si="2"/>
        <v>65852787</v>
      </c>
      <c r="AK10" s="39">
        <f t="shared" si="2"/>
        <v>64665315</v>
      </c>
      <c r="AL10" s="39">
        <f t="shared" si="2"/>
        <v>63674611</v>
      </c>
      <c r="AM10" s="39">
        <f t="shared" si="2"/>
        <v>62700638</v>
      </c>
      <c r="AN10" s="39">
        <f t="shared" si="2"/>
        <v>58848361</v>
      </c>
      <c r="AO10" s="39">
        <f t="shared" si="2"/>
        <v>57864664</v>
      </c>
      <c r="AP10" s="39">
        <f t="shared" si="2"/>
        <v>57058716</v>
      </c>
      <c r="AQ10" s="39">
        <f t="shared" si="2"/>
        <v>56252625</v>
      </c>
      <c r="AR10" s="39">
        <f t="shared" si="2"/>
        <v>55615417</v>
      </c>
      <c r="AS10" s="39">
        <f t="shared" si="2"/>
        <v>51416651</v>
      </c>
      <c r="AT10" s="39">
        <f t="shared" si="2"/>
        <v>50795316</v>
      </c>
      <c r="AU10" s="39">
        <f t="shared" si="2"/>
        <v>50190712</v>
      </c>
      <c r="AV10" s="39">
        <f t="shared" si="2"/>
        <v>49722101</v>
      </c>
      <c r="AW10" s="39">
        <f t="shared" si="2"/>
        <v>48998664</v>
      </c>
      <c r="AX10" s="39">
        <f t="shared" si="2"/>
        <v>48410934</v>
      </c>
      <c r="AY10" s="39">
        <f t="shared" si="2"/>
        <v>47823061</v>
      </c>
      <c r="AZ10" s="39">
        <f t="shared" si="2"/>
        <v>47381763</v>
      </c>
      <c r="BA10" s="39">
        <f t="shared" si="2"/>
        <v>46681349</v>
      </c>
      <c r="BB10" s="39">
        <f t="shared" si="2"/>
        <v>46127224</v>
      </c>
      <c r="BC10" s="39">
        <f t="shared" si="2"/>
        <v>45573099</v>
      </c>
      <c r="BD10" s="39">
        <f t="shared" si="2"/>
        <v>45142240</v>
      </c>
      <c r="BE10" s="39">
        <f t="shared" si="2"/>
        <v>44481580</v>
      </c>
      <c r="BF10" s="39">
        <f t="shared" si="2"/>
        <v>43944186</v>
      </c>
      <c r="BG10" s="39">
        <f t="shared" si="2"/>
        <v>43423666</v>
      </c>
      <c r="BH10" s="39">
        <f t="shared" si="2"/>
        <v>43020692</v>
      </c>
      <c r="BI10" s="39">
        <f t="shared" si="2"/>
        <v>42382626</v>
      </c>
      <c r="BJ10" s="39">
        <f t="shared" si="2"/>
        <v>41878837</v>
      </c>
      <c r="BK10" s="39">
        <f t="shared" si="2"/>
        <v>41375048</v>
      </c>
      <c r="BL10" s="39">
        <f t="shared" si="2"/>
        <v>40983371</v>
      </c>
      <c r="BM10" s="39">
        <f t="shared" si="2"/>
        <v>40384344</v>
      </c>
      <c r="BN10" s="39">
        <f t="shared" si="2"/>
        <v>39897429</v>
      </c>
      <c r="BO10" s="39">
        <f t="shared" si="2"/>
        <v>39410514</v>
      </c>
      <c r="BP10" s="39">
        <f t="shared" si="2"/>
        <v>39047008</v>
      </c>
    </row>
    <row r="11" spans="1:68" s="24" customFormat="1">
      <c r="M11" s="25" t="s">
        <v>685</v>
      </c>
      <c r="N11" s="43"/>
      <c r="O11" s="43"/>
      <c r="P11" s="43"/>
      <c r="Q11" s="43"/>
      <c r="R11" s="43"/>
      <c r="S11" s="39">
        <v>0</v>
      </c>
      <c r="T11" s="39">
        <v>0</v>
      </c>
      <c r="U11" s="39">
        <v>0</v>
      </c>
      <c r="V11" s="39">
        <v>0</v>
      </c>
      <c r="W11" s="39">
        <v>0</v>
      </c>
      <c r="X11" s="39">
        <v>0</v>
      </c>
      <c r="Y11" s="39">
        <v>0</v>
      </c>
      <c r="Z11" s="39">
        <v>0</v>
      </c>
      <c r="AA11" s="39">
        <v>0</v>
      </c>
      <c r="AB11" s="39">
        <v>0</v>
      </c>
      <c r="AC11" s="39">
        <v>0</v>
      </c>
      <c r="AD11" s="39">
        <v>0</v>
      </c>
      <c r="AE11" s="39">
        <v>0</v>
      </c>
      <c r="AF11" s="39">
        <v>0</v>
      </c>
      <c r="AG11" s="39">
        <v>0</v>
      </c>
      <c r="AH11" s="39">
        <v>0</v>
      </c>
      <c r="AI11" s="39">
        <v>0</v>
      </c>
      <c r="AJ11" s="39">
        <v>0</v>
      </c>
      <c r="AK11" s="39">
        <v>0</v>
      </c>
      <c r="AL11" s="39">
        <v>0</v>
      </c>
      <c r="AM11" s="39">
        <v>0</v>
      </c>
      <c r="AN11" s="39">
        <v>0</v>
      </c>
      <c r="AO11" s="39">
        <v>0</v>
      </c>
      <c r="AP11" s="39">
        <v>0</v>
      </c>
      <c r="AQ11" s="39">
        <v>0</v>
      </c>
      <c r="AR11" s="39">
        <v>0</v>
      </c>
      <c r="AS11" s="39">
        <v>0</v>
      </c>
      <c r="AT11" s="39">
        <v>0</v>
      </c>
      <c r="AU11" s="39">
        <v>0</v>
      </c>
      <c r="AV11" s="39">
        <v>0</v>
      </c>
      <c r="AW11" s="39">
        <v>0</v>
      </c>
      <c r="AX11" s="39">
        <v>0</v>
      </c>
      <c r="AY11" s="39">
        <v>0</v>
      </c>
      <c r="AZ11" s="39">
        <v>0</v>
      </c>
      <c r="BA11" s="39">
        <v>0</v>
      </c>
      <c r="BB11" s="39">
        <v>0</v>
      </c>
      <c r="BC11" s="39">
        <v>0</v>
      </c>
      <c r="BD11" s="39">
        <v>0</v>
      </c>
      <c r="BE11" s="39">
        <v>0</v>
      </c>
      <c r="BF11" s="39">
        <v>0</v>
      </c>
      <c r="BG11" s="39">
        <v>0</v>
      </c>
      <c r="BH11" s="39">
        <v>0</v>
      </c>
      <c r="BI11" s="39">
        <v>0</v>
      </c>
      <c r="BJ11" s="39">
        <v>0</v>
      </c>
      <c r="BK11" s="39">
        <v>0</v>
      </c>
      <c r="BL11" s="39">
        <v>0</v>
      </c>
      <c r="BM11" s="39">
        <v>0</v>
      </c>
      <c r="BN11" s="39">
        <v>0</v>
      </c>
      <c r="BO11" s="39">
        <v>0</v>
      </c>
      <c r="BP11" s="39">
        <v>0</v>
      </c>
    </row>
    <row r="12" spans="1:68" s="24" customFormat="1">
      <c r="M12" s="25" t="s">
        <v>686</v>
      </c>
      <c r="N12" s="43"/>
      <c r="O12" s="43"/>
      <c r="P12" s="43"/>
      <c r="Q12" s="43"/>
      <c r="R12" s="43"/>
      <c r="S12" s="39">
        <f>ROUND(【収益】料金単価!$I$7*【収益】水需要予測!Y23,0)</f>
        <v>96905666</v>
      </c>
      <c r="T12" s="39">
        <f>ROUND(【収益】料金単価!$I$7*【収益】水需要予測!Z23,0)</f>
        <v>96699746</v>
      </c>
      <c r="U12" s="39">
        <f>ROUND(【収益】料金単価!$I$7*【収益】水需要予測!AA23,0)</f>
        <v>94454074</v>
      </c>
      <c r="V12" s="39">
        <f>ROUND(【収益】料金単価!$I$7*【収益】水需要予測!AB23,0)</f>
        <v>92506271</v>
      </c>
      <c r="W12" s="39">
        <f>ROUND(【収益】料金単価!$I$7*【収益】水需要予測!AC23,0)</f>
        <v>90608804</v>
      </c>
      <c r="X12" s="39">
        <f>ROUND(【収益】料金単価!$I$7*【収益】水需要予測!AD23,0)</f>
        <v>88988042</v>
      </c>
      <c r="Y12" s="39">
        <f>ROUND(【収益】料金単価!$I$7*【収益】水需要予測!AE23,0)</f>
        <v>85672015</v>
      </c>
      <c r="Z12" s="39">
        <f>ROUND(【収益】料金単価!$I$7*【収益】水需要予測!AF23,0)</f>
        <v>84043102</v>
      </c>
      <c r="AA12" s="39">
        <f>ROUND(【収益】料金単価!$I$7*【収益】水需要予測!AG23,0)</f>
        <v>82447937</v>
      </c>
      <c r="AB12" s="39">
        <f>ROUND(【収益】料金単価!$I$7*【収益】水需要予測!AH23,0)</f>
        <v>81107884</v>
      </c>
      <c r="AC12" s="39">
        <f>ROUND(【収益】料金単価!$I$7*【収益】水需要予測!AI23,0)</f>
        <v>79341405</v>
      </c>
      <c r="AD12" s="39">
        <f>ROUND(【収益】料金単価!$I$7*【収益】水需要予測!AJ23,0)</f>
        <v>75731227</v>
      </c>
      <c r="AE12" s="39">
        <f>ROUND(【収益】料金単価!$I$7*【収益】水需要予測!AK23,0)</f>
        <v>74421490</v>
      </c>
      <c r="AF12" s="39">
        <f>ROUND(【収益】料金単価!$I$7*【収益】水需要予測!AL23,0)</f>
        <v>73328827</v>
      </c>
      <c r="AG12" s="39">
        <f>ROUND(【収益】料金単価!$I$7*【収益】水需要予測!AM23,0)</f>
        <v>71852352</v>
      </c>
      <c r="AH12" s="39">
        <f>ROUND(【収益】料金単価!$I$7*【収益】水需要予測!AN23,0)</f>
        <v>70609682</v>
      </c>
      <c r="AI12" s="39">
        <f>ROUND(【収益】料金単価!$I$7*【収益】水需要予測!AO23,0)</f>
        <v>66697202</v>
      </c>
      <c r="AJ12" s="39">
        <f>ROUND(【収益】料金単価!$I$7*【収益】水需要予測!AP23,0)</f>
        <v>65852787</v>
      </c>
      <c r="AK12" s="39">
        <f>ROUND(【収益】料金単価!$I$7*【収益】水需要予測!AQ23,0)</f>
        <v>64665315</v>
      </c>
      <c r="AL12" s="39">
        <f>ROUND(【収益】料金単価!$I$7*【収益】水需要予測!AR23,0)</f>
        <v>63674611</v>
      </c>
      <c r="AM12" s="39">
        <f>ROUND(【収益】料金単価!$I$7*【収益】水需要予測!AS23,0)</f>
        <v>62700638</v>
      </c>
      <c r="AN12" s="39">
        <f>ROUND(【収益】料金単価!$I$7*【収益】水需要予測!AT23,0)</f>
        <v>58848361</v>
      </c>
      <c r="AO12" s="39">
        <f>ROUND(【収益】料金単価!$I$7*【収益】水需要予測!AU23,0)</f>
        <v>57864664</v>
      </c>
      <c r="AP12" s="39">
        <f>ROUND(【収益】料金単価!$I$7*【収益】水需要予測!AV23,0)</f>
        <v>57058716</v>
      </c>
      <c r="AQ12" s="39">
        <f>ROUND(【収益】料金単価!$I$7*【収益】水需要予測!AW23,0)</f>
        <v>56252625</v>
      </c>
      <c r="AR12" s="39">
        <f>ROUND(【収益】料金単価!$I$7*【収益】水需要予測!AX23,0)</f>
        <v>55615417</v>
      </c>
      <c r="AS12" s="39">
        <f>ROUND(【収益】料金単価!$I$7*【収益】水需要予測!AY23,0)</f>
        <v>51416651</v>
      </c>
      <c r="AT12" s="39">
        <f>ROUND(【収益】料金単価!$I$7*【収益】水需要予測!AZ23,0)</f>
        <v>50795316</v>
      </c>
      <c r="AU12" s="39">
        <f>ROUND(【収益】料金単価!$I$7*【収益】水需要予測!BA23,0)</f>
        <v>50190712</v>
      </c>
      <c r="AV12" s="39">
        <f>ROUND(【収益】料金単価!$I$7*【収益】水需要予測!BB23,0)</f>
        <v>49722101</v>
      </c>
      <c r="AW12" s="39">
        <f>ROUND(【収益】料金単価!$I$7*【収益】水需要予測!BC23,0)</f>
        <v>48998664</v>
      </c>
      <c r="AX12" s="39">
        <f>ROUND(【収益】料金単価!$I$7*【収益】水需要予測!BD23,0)</f>
        <v>48410934</v>
      </c>
      <c r="AY12" s="39">
        <f>ROUND(【収益】料金単価!$I$7*【収益】水需要予測!BE23,0)</f>
        <v>47823061</v>
      </c>
      <c r="AZ12" s="39">
        <f>ROUND(【収益】料金単価!$I$7*【収益】水需要予測!BF23,0)</f>
        <v>47381763</v>
      </c>
      <c r="BA12" s="39">
        <f>ROUND(【収益】料金単価!$I$7*【収益】水需要予測!BG23,0)</f>
        <v>46681349</v>
      </c>
      <c r="BB12" s="39">
        <f>ROUND(【収益】料金単価!$I$7*【収益】水需要予測!BH23,0)</f>
        <v>46127224</v>
      </c>
      <c r="BC12" s="39">
        <f>ROUND(【収益】料金単価!$I$7*【収益】水需要予測!BI23,0)</f>
        <v>45573099</v>
      </c>
      <c r="BD12" s="39">
        <f>ROUND(【収益】料金単価!$I$7*【収益】水需要予測!BJ23,0)</f>
        <v>45142240</v>
      </c>
      <c r="BE12" s="39">
        <f>ROUND(【収益】料金単価!$I$7*【収益】水需要予測!BK23,0)</f>
        <v>44481580</v>
      </c>
      <c r="BF12" s="39">
        <f>ROUND(【収益】料金単価!$I$7*【収益】水需要予測!BL23,0)</f>
        <v>43944186</v>
      </c>
      <c r="BG12" s="39">
        <f>ROUND(【収益】料金単価!$I$7*【収益】水需要予測!BM23,0)</f>
        <v>43423666</v>
      </c>
      <c r="BH12" s="39">
        <f>ROUND(【収益】料金単価!$I$7*【収益】水需要予測!BN23,0)</f>
        <v>43020692</v>
      </c>
      <c r="BI12" s="39">
        <f>ROUND(【収益】料金単価!$I$7*【収益】水需要予測!BO23,0)</f>
        <v>42382626</v>
      </c>
      <c r="BJ12" s="39">
        <f>ROUND(【収益】料金単価!$I$7*【収益】水需要予測!BP23,0)</f>
        <v>41878837</v>
      </c>
      <c r="BK12" s="39">
        <f>ROUND(【収益】料金単価!$I$7*【収益】水需要予測!BQ23,0)</f>
        <v>41375048</v>
      </c>
      <c r="BL12" s="39">
        <f>ROUND(【収益】料金単価!$I$7*【収益】水需要予測!BR23,0)</f>
        <v>40983371</v>
      </c>
      <c r="BM12" s="39">
        <f>ROUND(【収益】料金単価!$I$7*【収益】水需要予測!BS23,0)</f>
        <v>40384344</v>
      </c>
      <c r="BN12" s="39">
        <f>ROUND(【収益】料金単価!$I$7*【収益】水需要予測!BT23,0)</f>
        <v>39897429</v>
      </c>
      <c r="BO12" s="39">
        <f>ROUND(【収益】料金単価!$I$7*【収益】水需要予測!BU23,0)</f>
        <v>39410514</v>
      </c>
      <c r="BP12" s="39">
        <f>ROUND(【収益】料金単価!$I$7*【収益】水需要予測!BV23,0)</f>
        <v>39047008</v>
      </c>
    </row>
    <row r="13" spans="1:68" ht="4.2" customHeight="1"/>
    <row r="14" spans="1:68" s="24" customFormat="1">
      <c r="M14" s="25" t="s">
        <v>688</v>
      </c>
      <c r="N14" s="43"/>
      <c r="O14" s="43"/>
      <c r="P14" s="43"/>
      <c r="Q14" s="43"/>
      <c r="R14" s="43"/>
      <c r="S14" s="39">
        <f>SUM(S15:S21)</f>
        <v>3134340</v>
      </c>
      <c r="T14" s="39">
        <f>SUM(T15:T21)</f>
        <v>7696788</v>
      </c>
      <c r="U14" s="39">
        <f t="shared" ref="U14:BP14" si="3">SUM(U15:U21)</f>
        <v>7701804</v>
      </c>
      <c r="V14" s="39">
        <f t="shared" si="3"/>
        <v>7701804</v>
      </c>
      <c r="W14" s="39">
        <f t="shared" si="3"/>
        <v>7704312</v>
      </c>
      <c r="X14" s="39">
        <f t="shared" si="3"/>
        <v>7706820</v>
      </c>
      <c r="Y14" s="39">
        <f t="shared" si="3"/>
        <v>7704312</v>
      </c>
      <c r="Z14" s="39">
        <f t="shared" si="3"/>
        <v>7701804</v>
      </c>
      <c r="AA14" s="39">
        <f t="shared" si="3"/>
        <v>7701804</v>
      </c>
      <c r="AB14" s="39">
        <f t="shared" si="3"/>
        <v>7696788</v>
      </c>
      <c r="AC14" s="39">
        <f t="shared" si="3"/>
        <v>7694280</v>
      </c>
      <c r="AD14" s="39">
        <f t="shared" si="3"/>
        <v>7691772</v>
      </c>
      <c r="AE14" s="39">
        <f t="shared" si="3"/>
        <v>7684248</v>
      </c>
      <c r="AF14" s="39">
        <f t="shared" si="3"/>
        <v>7681740</v>
      </c>
      <c r="AG14" s="39">
        <f t="shared" si="3"/>
        <v>7676724</v>
      </c>
      <c r="AH14" s="39">
        <f t="shared" si="3"/>
        <v>7671708</v>
      </c>
      <c r="AI14" s="39">
        <f t="shared" si="3"/>
        <v>7661676</v>
      </c>
      <c r="AJ14" s="39">
        <f t="shared" si="3"/>
        <v>7651644</v>
      </c>
      <c r="AK14" s="39">
        <f t="shared" si="3"/>
        <v>7644120</v>
      </c>
      <c r="AL14" s="39">
        <f t="shared" si="3"/>
        <v>7630128</v>
      </c>
      <c r="AM14" s="39">
        <f t="shared" si="3"/>
        <v>7617324</v>
      </c>
      <c r="AN14" s="39">
        <f t="shared" si="3"/>
        <v>7601880</v>
      </c>
      <c r="AO14" s="39">
        <f t="shared" si="3"/>
        <v>7591848</v>
      </c>
      <c r="AP14" s="39">
        <f t="shared" si="3"/>
        <v>7584324</v>
      </c>
      <c r="AQ14" s="39">
        <f t="shared" si="3"/>
        <v>7574292</v>
      </c>
      <c r="AR14" s="39">
        <f t="shared" si="3"/>
        <v>7564260</v>
      </c>
      <c r="AS14" s="39">
        <f t="shared" si="3"/>
        <v>7554228</v>
      </c>
      <c r="AT14" s="39">
        <f t="shared" si="3"/>
        <v>7544196</v>
      </c>
      <c r="AU14" s="39">
        <f t="shared" si="3"/>
        <v>7534164</v>
      </c>
      <c r="AV14" s="39">
        <f t="shared" si="3"/>
        <v>7526640</v>
      </c>
      <c r="AW14" s="39">
        <f t="shared" si="3"/>
        <v>7515156</v>
      </c>
      <c r="AX14" s="39">
        <f t="shared" si="3"/>
        <v>7502352</v>
      </c>
      <c r="AY14" s="39">
        <f t="shared" si="3"/>
        <v>7492320</v>
      </c>
      <c r="AZ14" s="39">
        <f t="shared" si="3"/>
        <v>7482288</v>
      </c>
      <c r="BA14" s="39">
        <f t="shared" si="3"/>
        <v>7472256</v>
      </c>
      <c r="BB14" s="39">
        <f t="shared" si="3"/>
        <v>7464732</v>
      </c>
      <c r="BC14" s="39">
        <f t="shared" si="3"/>
        <v>7454700</v>
      </c>
      <c r="BD14" s="39">
        <f t="shared" si="3"/>
        <v>7444668</v>
      </c>
      <c r="BE14" s="39">
        <f t="shared" si="3"/>
        <v>7434636</v>
      </c>
      <c r="BF14" s="39">
        <f t="shared" si="3"/>
        <v>7424604</v>
      </c>
      <c r="BG14" s="39">
        <f t="shared" si="3"/>
        <v>7413120</v>
      </c>
      <c r="BH14" s="39">
        <f t="shared" si="3"/>
        <v>7403088</v>
      </c>
      <c r="BI14" s="39">
        <f t="shared" si="3"/>
        <v>7390284</v>
      </c>
      <c r="BJ14" s="39">
        <f t="shared" si="3"/>
        <v>7380252</v>
      </c>
      <c r="BK14" s="39">
        <f t="shared" si="3"/>
        <v>7370220</v>
      </c>
      <c r="BL14" s="39">
        <f t="shared" si="3"/>
        <v>7351476</v>
      </c>
      <c r="BM14" s="39">
        <f t="shared" si="3"/>
        <v>7343952</v>
      </c>
      <c r="BN14" s="39">
        <f t="shared" si="3"/>
        <v>7333920</v>
      </c>
      <c r="BO14" s="39">
        <f t="shared" si="3"/>
        <v>7326396</v>
      </c>
      <c r="BP14" s="39">
        <f t="shared" si="3"/>
        <v>7316364</v>
      </c>
    </row>
    <row r="15" spans="1:68" s="24" customFormat="1">
      <c r="M15" s="25" t="s">
        <v>689</v>
      </c>
      <c r="N15" s="43"/>
      <c r="O15" s="43"/>
      <c r="P15" s="43"/>
      <c r="Q15" s="43"/>
      <c r="R15" s="43"/>
      <c r="S15" s="39">
        <f>ROUND(【収益】料金単価!$C16*【収益】水需要予測!Y25*12,0)</f>
        <v>474540</v>
      </c>
      <c r="T15" s="130">
        <f>ROUND(【収益】料金単価!$G16*【収益】水需要予測!Z25*12,0)</f>
        <v>1753092</v>
      </c>
      <c r="U15" s="130">
        <f>ROUND(【収益】料金単価!$G16*【収益】水需要予測!AA25*12,0)</f>
        <v>1755600</v>
      </c>
      <c r="V15" s="130">
        <f>ROUND(【収益】料金単価!$G16*【収益】水需要予測!AB25*12,0)</f>
        <v>1755600</v>
      </c>
      <c r="W15" s="130">
        <f>ROUND(【収益】料金単価!$G16*【収益】水需要予測!AC25*12,0)</f>
        <v>1755600</v>
      </c>
      <c r="X15" s="130">
        <f>ROUND(【収益】料金単価!$G16*【収益】水需要予測!AD25*12,0)</f>
        <v>1755600</v>
      </c>
      <c r="Y15" s="130">
        <f>ROUND(【収益】料金単価!$G16*【収益】水需要予測!AE25*12,0)</f>
        <v>1755600</v>
      </c>
      <c r="Z15" s="130">
        <f>ROUND(【収益】料金単価!$G16*【収益】水需要予測!AF25*12,0)</f>
        <v>1755600</v>
      </c>
      <c r="AA15" s="130">
        <f>ROUND(【収益】料金単価!$G16*【収益】水需要予測!AG25*12,0)</f>
        <v>1755600</v>
      </c>
      <c r="AB15" s="130">
        <f>ROUND(【収益】料金単価!$G16*【収益】水需要予測!AH25*12,0)</f>
        <v>1753092</v>
      </c>
      <c r="AC15" s="130">
        <f>ROUND(【収益】料金単価!$G16*【収益】水需要予測!AI25*12,0)</f>
        <v>1753092</v>
      </c>
      <c r="AD15" s="130">
        <f>ROUND(【収益】料金単価!$G16*【収益】水需要予測!AJ25*12,0)</f>
        <v>1753092</v>
      </c>
      <c r="AE15" s="130">
        <f>ROUND(【収益】料金単価!$G16*【収益】水需要予測!AK25*12,0)</f>
        <v>1750584</v>
      </c>
      <c r="AF15" s="130">
        <f>ROUND(【収益】料金単価!$G16*【収益】水需要予測!AL25*12,0)</f>
        <v>1750584</v>
      </c>
      <c r="AG15" s="130">
        <f>ROUND(【収益】料金単価!$G16*【収益】水需要予測!AM25*12,0)</f>
        <v>1748076</v>
      </c>
      <c r="AH15" s="130">
        <f>ROUND(【収益】料金単価!$G16*【収益】水需要予測!AN25*12,0)</f>
        <v>1748076</v>
      </c>
      <c r="AI15" s="130">
        <f>ROUND(【収益】料金単価!$G16*【収益】水需要予測!AO25*12,0)</f>
        <v>1745568</v>
      </c>
      <c r="AJ15" s="130">
        <f>ROUND(【収益】料金単価!$G16*【収益】水需要予測!AP25*12,0)</f>
        <v>1743060</v>
      </c>
      <c r="AK15" s="130">
        <f>ROUND(【収益】料金単価!$G16*【収益】水需要予測!AQ25*12,0)</f>
        <v>1740552</v>
      </c>
      <c r="AL15" s="130">
        <f>ROUND(【収益】料金単価!$G16*【収益】水需要予測!AR25*12,0)</f>
        <v>1738044</v>
      </c>
      <c r="AM15" s="130">
        <f>ROUND(【収益】料金単価!$G16*【収益】水需要予測!AS25*12,0)</f>
        <v>1735536</v>
      </c>
      <c r="AN15" s="130">
        <f>ROUND(【収益】料金単価!$G16*【収益】水需要予測!AT25*12,0)</f>
        <v>1733028</v>
      </c>
      <c r="AO15" s="130">
        <f>ROUND(【収益】料金単価!$G16*【収益】水需要予測!AU25*12,0)</f>
        <v>1730520</v>
      </c>
      <c r="AP15" s="130">
        <f>ROUND(【収益】料金単価!$G16*【収益】水需要予測!AV25*12,0)</f>
        <v>1728012</v>
      </c>
      <c r="AQ15" s="130">
        <f>ROUND(【収益】料金単価!$G16*【収益】水需要予測!AW25*12,0)</f>
        <v>1725504</v>
      </c>
      <c r="AR15" s="130">
        <f>ROUND(【収益】料金単価!$G16*【収益】水需要予測!AX25*12,0)</f>
        <v>1722996</v>
      </c>
      <c r="AS15" s="130">
        <f>ROUND(【収益】料金単価!$G16*【収益】水需要予測!AY25*12,0)</f>
        <v>1720488</v>
      </c>
      <c r="AT15" s="130">
        <f>ROUND(【収益】料金単価!$G16*【収益】水需要予測!AZ25*12,0)</f>
        <v>1717980</v>
      </c>
      <c r="AU15" s="130">
        <f>ROUND(【収益】料金単価!$G16*【収益】水需要予測!BA25*12,0)</f>
        <v>1715472</v>
      </c>
      <c r="AV15" s="130">
        <f>ROUND(【収益】料金単価!$G16*【収益】水需要予測!BB25*12,0)</f>
        <v>1712964</v>
      </c>
      <c r="AW15" s="130">
        <f>ROUND(【収益】料金単価!$G16*【収益】水需要予測!BC25*12,0)</f>
        <v>1712964</v>
      </c>
      <c r="AX15" s="130">
        <f>ROUND(【収益】料金単価!$G16*【収益】水需要予測!BD25*12,0)</f>
        <v>1710456</v>
      </c>
      <c r="AY15" s="130">
        <f>ROUND(【収益】料金単価!$G16*【収益】水需要予測!BE25*12,0)</f>
        <v>1707948</v>
      </c>
      <c r="AZ15" s="130">
        <f>ROUND(【収益】料金単価!$G16*【収益】水需要予測!BF25*12,0)</f>
        <v>1705440</v>
      </c>
      <c r="BA15" s="130">
        <f>ROUND(【収益】料金単価!$G16*【収益】水需要予測!BG25*12,0)</f>
        <v>1702932</v>
      </c>
      <c r="BB15" s="130">
        <f>ROUND(【収益】料金単価!$G16*【収益】水需要予測!BH25*12,0)</f>
        <v>1700424</v>
      </c>
      <c r="BC15" s="130">
        <f>ROUND(【収益】料金単価!$G16*【収益】水需要予測!BI25*12,0)</f>
        <v>1697916</v>
      </c>
      <c r="BD15" s="130">
        <f>ROUND(【収益】料金単価!$G16*【収益】水需要予測!BJ25*12,0)</f>
        <v>1695408</v>
      </c>
      <c r="BE15" s="130">
        <f>ROUND(【収益】料金単価!$G16*【収益】水需要予測!BK25*12,0)</f>
        <v>1692900</v>
      </c>
      <c r="BF15" s="130">
        <f>ROUND(【収益】料金単価!$G16*【収益】水需要予測!BL25*12,0)</f>
        <v>1690392</v>
      </c>
      <c r="BG15" s="130">
        <f>ROUND(【収益】料金単価!$G16*【収益】水需要予測!BM25*12,0)</f>
        <v>1687884</v>
      </c>
      <c r="BH15" s="130">
        <f>ROUND(【収益】料金単価!$G16*【収益】水需要予測!BN25*12,0)</f>
        <v>1685376</v>
      </c>
      <c r="BI15" s="130">
        <f>ROUND(【収益】料金単価!$G16*【収益】水需要予測!BO25*12,0)</f>
        <v>1682868</v>
      </c>
      <c r="BJ15" s="130">
        <f>ROUND(【収益】料金単価!$G16*【収益】水需要予測!BP25*12,0)</f>
        <v>1680360</v>
      </c>
      <c r="BK15" s="130">
        <f>ROUND(【収益】料金単価!$G16*【収益】水需要予測!BQ25*12,0)</f>
        <v>1677852</v>
      </c>
      <c r="BL15" s="130">
        <f>ROUND(【収益】料金単価!$G16*【収益】水需要予測!BR25*12,0)</f>
        <v>1675344</v>
      </c>
      <c r="BM15" s="130">
        <f>ROUND(【収益】料金単価!$G16*【収益】水需要予測!BS25*12,0)</f>
        <v>1672836</v>
      </c>
      <c r="BN15" s="130">
        <f>ROUND(【収益】料金単価!$G16*【収益】水需要予測!BT25*12,0)</f>
        <v>1670328</v>
      </c>
      <c r="BO15" s="130">
        <f>ROUND(【収益】料金単価!$G16*【収益】水需要予測!BU25*12,0)</f>
        <v>1670328</v>
      </c>
      <c r="BP15" s="130">
        <f>ROUND(【収益】料金単価!$G16*【収益】水需要予測!BV25*12,0)</f>
        <v>1667820</v>
      </c>
    </row>
    <row r="16" spans="1:68" s="24" customFormat="1">
      <c r="M16" s="25" t="s">
        <v>690</v>
      </c>
      <c r="N16" s="43"/>
      <c r="O16" s="43"/>
      <c r="P16" s="43"/>
      <c r="Q16" s="43"/>
      <c r="R16" s="43"/>
      <c r="S16" s="39">
        <f>ROUND(【収益】料金単価!$C17*【収益】水需要予測!Y26*12,0)</f>
        <v>1986600</v>
      </c>
      <c r="T16" s="130">
        <f>ROUND(【収益】料金単価!$G17*【収益】水需要予測!Z26*12,0)</f>
        <v>5246736</v>
      </c>
      <c r="U16" s="130">
        <f>ROUND(【収益】料金単価!$G17*【収益】水需要予測!AA26*12,0)</f>
        <v>5249244</v>
      </c>
      <c r="V16" s="130">
        <f>ROUND(【収益】料金単価!$G17*【収益】水需要予測!AB26*12,0)</f>
        <v>5249244</v>
      </c>
      <c r="W16" s="130">
        <f>ROUND(【収益】料金単価!$G17*【収益】水需要予測!AC26*12,0)</f>
        <v>5251752</v>
      </c>
      <c r="X16" s="130">
        <f>ROUND(【収益】料金単価!$G17*【収益】水需要予測!AD26*12,0)</f>
        <v>5254260</v>
      </c>
      <c r="Y16" s="130">
        <f>ROUND(【収益】料金単価!$G17*【収益】水需要予測!AE26*12,0)</f>
        <v>5251752</v>
      </c>
      <c r="Z16" s="130">
        <f>ROUND(【収益】料金単価!$G17*【収益】水需要予測!AF26*12,0)</f>
        <v>5249244</v>
      </c>
      <c r="AA16" s="130">
        <f>ROUND(【収益】料金単価!$G17*【収益】水需要予測!AG26*12,0)</f>
        <v>5249244</v>
      </c>
      <c r="AB16" s="130">
        <f>ROUND(【収益】料金単価!$G17*【収益】水需要予測!AH26*12,0)</f>
        <v>5246736</v>
      </c>
      <c r="AC16" s="130">
        <f>ROUND(【収益】料金単価!$G17*【収益】水需要予測!AI26*12,0)</f>
        <v>5244228</v>
      </c>
      <c r="AD16" s="130">
        <f>ROUND(【収益】料金単価!$G17*【収益】水需要予測!AJ26*12,0)</f>
        <v>5241720</v>
      </c>
      <c r="AE16" s="130">
        <f>ROUND(【収益】料金単価!$G17*【収益】水需要予測!AK26*12,0)</f>
        <v>5236704</v>
      </c>
      <c r="AF16" s="130">
        <f>ROUND(【収益】料金単価!$G17*【収益】水需要予測!AL26*12,0)</f>
        <v>5234196</v>
      </c>
      <c r="AG16" s="130">
        <f>ROUND(【収益】料金単価!$G17*【収益】水需要予測!AM26*12,0)</f>
        <v>5231688</v>
      </c>
      <c r="AH16" s="130">
        <f>ROUND(【収益】料金単価!$G17*【収益】水需要予測!AN26*12,0)</f>
        <v>5226672</v>
      </c>
      <c r="AI16" s="130">
        <f>ROUND(【収益】料金単価!$G17*【収益】水需要予測!AO26*12,0)</f>
        <v>5219148</v>
      </c>
      <c r="AJ16" s="130">
        <f>ROUND(【収益】料金単価!$G17*【収益】水需要予測!AP26*12,0)</f>
        <v>5211624</v>
      </c>
      <c r="AK16" s="130">
        <f>ROUND(【収益】料金単価!$G17*【収益】水需要予測!AQ26*12,0)</f>
        <v>5206608</v>
      </c>
      <c r="AL16" s="130">
        <f>ROUND(【収益】料金単価!$G17*【収益】水需要予測!AR26*12,0)</f>
        <v>5199084</v>
      </c>
      <c r="AM16" s="130">
        <f>ROUND(【収益】料金単価!$G17*【収益】水需要予測!AS26*12,0)</f>
        <v>5191560</v>
      </c>
      <c r="AN16" s="130">
        <f>ROUND(【収益】料金単価!$G17*【収益】水需要予測!AT26*12,0)</f>
        <v>5184036</v>
      </c>
      <c r="AO16" s="130">
        <f>ROUND(【収益】料金単価!$G17*【収益】水需要予測!AU26*12,0)</f>
        <v>5176512</v>
      </c>
      <c r="AP16" s="130">
        <f>ROUND(【収益】料金単価!$G17*【収益】水需要予測!AV26*12,0)</f>
        <v>5171496</v>
      </c>
      <c r="AQ16" s="130">
        <f>ROUND(【収益】料金単価!$G17*【収益】水需要予測!AW26*12,0)</f>
        <v>5163972</v>
      </c>
      <c r="AR16" s="130">
        <f>ROUND(【収益】料金単価!$G17*【収益】水需要予測!AX26*12,0)</f>
        <v>5156448</v>
      </c>
      <c r="AS16" s="130">
        <f>ROUND(【収益】料金単価!$G17*【収益】水需要予測!AY26*12,0)</f>
        <v>5148924</v>
      </c>
      <c r="AT16" s="130">
        <f>ROUND(【収益】料金単価!$G17*【収益】水需要予測!AZ26*12,0)</f>
        <v>5141400</v>
      </c>
      <c r="AU16" s="130">
        <f>ROUND(【収益】料金単価!$G17*【収益】水需要予測!BA26*12,0)</f>
        <v>5133876</v>
      </c>
      <c r="AV16" s="130">
        <f>ROUND(【収益】料金単価!$G17*【収益】水需要予測!BB26*12,0)</f>
        <v>5128860</v>
      </c>
      <c r="AW16" s="130">
        <f>ROUND(【収益】料金単価!$G17*【収益】水需要予測!BC26*12,0)</f>
        <v>5121336</v>
      </c>
      <c r="AX16" s="130">
        <f>ROUND(【収益】料金単価!$G17*【収益】水需要予測!BD26*12,0)</f>
        <v>5113812</v>
      </c>
      <c r="AY16" s="130">
        <f>ROUND(【収益】料金単価!$G17*【収益】水需要予測!BE26*12,0)</f>
        <v>5106288</v>
      </c>
      <c r="AZ16" s="130">
        <f>ROUND(【収益】料金単価!$G17*【収益】水需要予測!BF26*12,0)</f>
        <v>5098764</v>
      </c>
      <c r="BA16" s="130">
        <f>ROUND(【収益】料金単価!$G17*【収益】水需要予測!BG26*12,0)</f>
        <v>5091240</v>
      </c>
      <c r="BB16" s="130">
        <f>ROUND(【収益】料金単価!$G17*【収益】水需要予測!BH26*12,0)</f>
        <v>5086224</v>
      </c>
      <c r="BC16" s="130">
        <f>ROUND(【収益】料金単価!$G17*【収益】水需要予測!BI26*12,0)</f>
        <v>5078700</v>
      </c>
      <c r="BD16" s="130">
        <f>ROUND(【収益】料金単価!$G17*【収益】水需要予測!BJ26*12,0)</f>
        <v>5071176</v>
      </c>
      <c r="BE16" s="130">
        <f>ROUND(【収益】料金単価!$G17*【収益】水需要予測!BK26*12,0)</f>
        <v>5063652</v>
      </c>
      <c r="BF16" s="130">
        <f>ROUND(【収益】料金単価!$G17*【収益】水需要予測!BL26*12,0)</f>
        <v>5056128</v>
      </c>
      <c r="BG16" s="130">
        <f>ROUND(【収益】料金単価!$G17*【収益】水需要予測!BM26*12,0)</f>
        <v>5051112</v>
      </c>
      <c r="BH16" s="130">
        <f>ROUND(【収益】料金単価!$G17*【収益】水需要予測!BN26*12,0)</f>
        <v>5043588</v>
      </c>
      <c r="BI16" s="130">
        <f>ROUND(【収益】料金単価!$G17*【収益】水需要予測!BO26*12,0)</f>
        <v>5036064</v>
      </c>
      <c r="BJ16" s="130">
        <f>ROUND(【収益】料金単価!$G17*【収益】水需要予測!BP26*12,0)</f>
        <v>5028540</v>
      </c>
      <c r="BK16" s="130">
        <f>ROUND(【収益】料金単価!$G17*【収益】水需要予測!BQ26*12,0)</f>
        <v>5021016</v>
      </c>
      <c r="BL16" s="130">
        <f>ROUND(【収益】料金単価!$G17*【収益】水需要予測!BR26*12,0)</f>
        <v>5013492</v>
      </c>
      <c r="BM16" s="130">
        <f>ROUND(【収益】料金単価!$G17*【収益】水需要予測!BS26*12,0)</f>
        <v>5008476</v>
      </c>
      <c r="BN16" s="130">
        <f>ROUND(【収益】料金単価!$G17*【収益】水需要予測!BT26*12,0)</f>
        <v>5000952</v>
      </c>
      <c r="BO16" s="130">
        <f>ROUND(【収益】料金単価!$G17*【収益】水需要予測!BU26*12,0)</f>
        <v>4993428</v>
      </c>
      <c r="BP16" s="130">
        <f>ROUND(【収益】料金単価!$G17*【収益】水需要予測!BV26*12,0)</f>
        <v>4985904</v>
      </c>
    </row>
    <row r="17" spans="13:68" s="24" customFormat="1">
      <c r="M17" s="25" t="s">
        <v>691</v>
      </c>
      <c r="N17" s="43"/>
      <c r="O17" s="43"/>
      <c r="P17" s="43"/>
      <c r="Q17" s="43"/>
      <c r="R17" s="43"/>
      <c r="S17" s="39">
        <f>ROUND(【収益】料金単価!$C18*【収益】水需要予測!Y27*12,0)</f>
        <v>92400</v>
      </c>
      <c r="T17" s="130">
        <f>ROUND(【収益】料金単価!$G18*【収益】水需要予測!Z27*12,0)</f>
        <v>188496</v>
      </c>
      <c r="U17" s="130">
        <f>ROUND(【収益】料金単価!$G18*【収益】水需要予測!AA27*12,0)</f>
        <v>188496</v>
      </c>
      <c r="V17" s="130">
        <f>ROUND(【収益】料金単価!$G18*【収益】水需要予測!AB27*12,0)</f>
        <v>188496</v>
      </c>
      <c r="W17" s="130">
        <f>ROUND(【収益】料金単価!$G18*【収益】水需要予測!AC27*12,0)</f>
        <v>188496</v>
      </c>
      <c r="X17" s="130">
        <f>ROUND(【収益】料金単価!$G18*【収益】水需要予測!AD27*12,0)</f>
        <v>188496</v>
      </c>
      <c r="Y17" s="130">
        <f>ROUND(【収益】料金単価!$G18*【収益】水需要予測!AE27*12,0)</f>
        <v>188496</v>
      </c>
      <c r="Z17" s="130">
        <f>ROUND(【収益】料金単価!$G18*【収益】水需要予測!AF27*12,0)</f>
        <v>188496</v>
      </c>
      <c r="AA17" s="130">
        <f>ROUND(【収益】料金単価!$G18*【収益】水需要予測!AG27*12,0)</f>
        <v>188496</v>
      </c>
      <c r="AB17" s="130">
        <f>ROUND(【収益】料金単価!$G18*【収益】水需要予測!AH27*12,0)</f>
        <v>188496</v>
      </c>
      <c r="AC17" s="130">
        <f>ROUND(【収益】料金単価!$G18*【収益】水需要予測!AI27*12,0)</f>
        <v>188496</v>
      </c>
      <c r="AD17" s="130">
        <f>ROUND(【収益】料金単価!$G18*【収益】水需要予測!AJ27*12,0)</f>
        <v>188496</v>
      </c>
      <c r="AE17" s="130">
        <f>ROUND(【収益】料金単価!$G18*【収益】水需要予測!AK27*12,0)</f>
        <v>188496</v>
      </c>
      <c r="AF17" s="130">
        <f>ROUND(【収益】料金単価!$G18*【収益】水需要予測!AL27*12,0)</f>
        <v>188496</v>
      </c>
      <c r="AG17" s="130">
        <f>ROUND(【収益】料金単価!$G18*【収益】水需要予測!AM27*12,0)</f>
        <v>188496</v>
      </c>
      <c r="AH17" s="130">
        <f>ROUND(【収益】料金単価!$G18*【収益】水需要予測!AN27*12,0)</f>
        <v>188496</v>
      </c>
      <c r="AI17" s="130">
        <f>ROUND(【収益】料金単価!$G18*【収益】水需要予測!AO27*12,0)</f>
        <v>188496</v>
      </c>
      <c r="AJ17" s="130">
        <f>ROUND(【収益】料金単価!$G18*【収益】水需要予測!AP27*12,0)</f>
        <v>188496</v>
      </c>
      <c r="AK17" s="130">
        <f>ROUND(【収益】料金単価!$G18*【収益】水需要予測!AQ27*12,0)</f>
        <v>188496</v>
      </c>
      <c r="AL17" s="130">
        <f>ROUND(【収益】料金単価!$G18*【収益】水需要予測!AR27*12,0)</f>
        <v>188496</v>
      </c>
      <c r="AM17" s="130">
        <f>ROUND(【収益】料金単価!$G18*【収益】水需要予測!AS27*12,0)</f>
        <v>185724</v>
      </c>
      <c r="AN17" s="130">
        <f>ROUND(【収益】料金単価!$G18*【収益】水需要予測!AT27*12,0)</f>
        <v>185724</v>
      </c>
      <c r="AO17" s="130">
        <f>ROUND(【収益】料金単価!$G18*【収益】水需要予測!AU27*12,0)</f>
        <v>185724</v>
      </c>
      <c r="AP17" s="130">
        <f>ROUND(【収益】料金単価!$G18*【収益】水需要予測!AV27*12,0)</f>
        <v>185724</v>
      </c>
      <c r="AQ17" s="130">
        <f>ROUND(【収益】料金単価!$G18*【収益】水需要予測!AW27*12,0)</f>
        <v>185724</v>
      </c>
      <c r="AR17" s="130">
        <f>ROUND(【収益】料金単価!$G18*【収益】水需要予測!AX27*12,0)</f>
        <v>185724</v>
      </c>
      <c r="AS17" s="130">
        <f>ROUND(【収益】料金単価!$G18*【収益】水需要予測!AY27*12,0)</f>
        <v>185724</v>
      </c>
      <c r="AT17" s="130">
        <f>ROUND(【収益】料金単価!$G18*【収益】水需要予測!AZ27*12,0)</f>
        <v>185724</v>
      </c>
      <c r="AU17" s="130">
        <f>ROUND(【収益】料金単価!$G18*【収益】水需要予測!BA27*12,0)</f>
        <v>185724</v>
      </c>
      <c r="AV17" s="130">
        <f>ROUND(【収益】料金単価!$G18*【収益】水需要予測!BB27*12,0)</f>
        <v>185724</v>
      </c>
      <c r="AW17" s="130">
        <f>ROUND(【収益】料金単価!$G18*【収益】水需要予測!BC27*12,0)</f>
        <v>185724</v>
      </c>
      <c r="AX17" s="130">
        <f>ROUND(【収益】料金単価!$G18*【収益】水需要予測!BD27*12,0)</f>
        <v>182952</v>
      </c>
      <c r="AY17" s="130">
        <f>ROUND(【収益】料金単価!$G18*【収益】水需要予測!BE27*12,0)</f>
        <v>182952</v>
      </c>
      <c r="AZ17" s="130">
        <f>ROUND(【収益】料金単価!$G18*【収益】水需要予測!BF27*12,0)</f>
        <v>182952</v>
      </c>
      <c r="BA17" s="130">
        <f>ROUND(【収益】料金単価!$G18*【収益】水需要予測!BG27*12,0)</f>
        <v>182952</v>
      </c>
      <c r="BB17" s="130">
        <f>ROUND(【収益】料金単価!$G18*【収益】水需要予測!BH27*12,0)</f>
        <v>182952</v>
      </c>
      <c r="BC17" s="130">
        <f>ROUND(【収益】料金単価!$G18*【収益】水需要予測!BI27*12,0)</f>
        <v>182952</v>
      </c>
      <c r="BD17" s="130">
        <f>ROUND(【収益】料金単価!$G18*【収益】水需要予測!BJ27*12,0)</f>
        <v>182952</v>
      </c>
      <c r="BE17" s="130">
        <f>ROUND(【収益】料金単価!$G18*【収益】水需要予測!BK27*12,0)</f>
        <v>182952</v>
      </c>
      <c r="BF17" s="130">
        <f>ROUND(【収益】料金単価!$G18*【収益】水需要予測!BL27*12,0)</f>
        <v>182952</v>
      </c>
      <c r="BG17" s="130">
        <f>ROUND(【収益】料金単価!$G18*【収益】水需要予測!BM27*12,0)</f>
        <v>182952</v>
      </c>
      <c r="BH17" s="130">
        <f>ROUND(【収益】料金単価!$G18*【収益】水需要予測!BN27*12,0)</f>
        <v>182952</v>
      </c>
      <c r="BI17" s="130">
        <f>ROUND(【収益】料金単価!$G18*【収益】水需要予測!BO27*12,0)</f>
        <v>180180</v>
      </c>
      <c r="BJ17" s="130">
        <f>ROUND(【収益】料金単価!$G18*【収益】水需要予測!BP27*12,0)</f>
        <v>180180</v>
      </c>
      <c r="BK17" s="130">
        <f>ROUND(【収益】料金単価!$G18*【収益】水需要予測!BQ27*12,0)</f>
        <v>180180</v>
      </c>
      <c r="BL17" s="130">
        <f>ROUND(【収益】料金単価!$G18*【収益】水需要予測!BR27*12,0)</f>
        <v>180180</v>
      </c>
      <c r="BM17" s="130">
        <f>ROUND(【収益】料金単価!$G18*【収益】水需要予測!BS27*12,0)</f>
        <v>180180</v>
      </c>
      <c r="BN17" s="130">
        <f>ROUND(【収益】料金単価!$G18*【収益】水需要予測!BT27*12,0)</f>
        <v>180180</v>
      </c>
      <c r="BO17" s="130">
        <f>ROUND(【収益】料金単価!$G18*【収益】水需要予測!BU27*12,0)</f>
        <v>180180</v>
      </c>
      <c r="BP17" s="130">
        <f>ROUND(【収益】料金単価!$G18*【収益】水需要予測!BV27*12,0)</f>
        <v>180180</v>
      </c>
    </row>
    <row r="18" spans="13:68" s="24" customFormat="1">
      <c r="M18" s="25" t="s">
        <v>692</v>
      </c>
      <c r="N18" s="43"/>
      <c r="O18" s="43"/>
      <c r="P18" s="43"/>
      <c r="Q18" s="43"/>
      <c r="R18" s="43"/>
      <c r="S18" s="39">
        <f>ROUND(【収益】料金単価!$C19*【収益】水需要予測!Y28*12,0)</f>
        <v>192720</v>
      </c>
      <c r="T18" s="130">
        <f>ROUND(【収益】料金単価!$G19*【収益】水需要予測!Z28*12,0)</f>
        <v>281160</v>
      </c>
      <c r="U18" s="130">
        <f>ROUND(【収益】料金単価!$G19*【収益】水需要予測!AA28*12,0)</f>
        <v>281160</v>
      </c>
      <c r="V18" s="130">
        <f>ROUND(【収益】料金単価!$G19*【収益】水需要予測!AB28*12,0)</f>
        <v>281160</v>
      </c>
      <c r="W18" s="130">
        <f>ROUND(【収益】料金単価!$G19*【収益】水需要予測!AC28*12,0)</f>
        <v>281160</v>
      </c>
      <c r="X18" s="130">
        <f>ROUND(【収益】料金単価!$G19*【収益】水需要予測!AD28*12,0)</f>
        <v>281160</v>
      </c>
      <c r="Y18" s="130">
        <f>ROUND(【収益】料金単価!$G19*【収益】水需要予測!AE28*12,0)</f>
        <v>281160</v>
      </c>
      <c r="Z18" s="130">
        <f>ROUND(【収益】料金単価!$G19*【収益】水需要予測!AF28*12,0)</f>
        <v>281160</v>
      </c>
      <c r="AA18" s="130">
        <f>ROUND(【収益】料金単価!$G19*【収益】水需要予測!AG28*12,0)</f>
        <v>281160</v>
      </c>
      <c r="AB18" s="130">
        <f>ROUND(【収益】料金単価!$G19*【収益】水需要予測!AH28*12,0)</f>
        <v>281160</v>
      </c>
      <c r="AC18" s="130">
        <f>ROUND(【収益】料金単価!$G19*【収益】水需要予測!AI28*12,0)</f>
        <v>281160</v>
      </c>
      <c r="AD18" s="130">
        <f>ROUND(【収益】料金単価!$G19*【収益】水需要予測!AJ28*12,0)</f>
        <v>281160</v>
      </c>
      <c r="AE18" s="130">
        <f>ROUND(【収益】料金単価!$G19*【収益】水需要予測!AK28*12,0)</f>
        <v>281160</v>
      </c>
      <c r="AF18" s="130">
        <f>ROUND(【収益】料金単価!$G19*【収益】水需要予測!AL28*12,0)</f>
        <v>281160</v>
      </c>
      <c r="AG18" s="130">
        <f>ROUND(【収益】料金単価!$G19*【収益】水需要予測!AM28*12,0)</f>
        <v>281160</v>
      </c>
      <c r="AH18" s="130">
        <f>ROUND(【収益】料金単価!$G19*【収益】水需要予測!AN28*12,0)</f>
        <v>281160</v>
      </c>
      <c r="AI18" s="130">
        <f>ROUND(【収益】料金単価!$G19*【収益】水需要予測!AO28*12,0)</f>
        <v>281160</v>
      </c>
      <c r="AJ18" s="130">
        <f>ROUND(【収益】料金単価!$G19*【収益】水需要予測!AP28*12,0)</f>
        <v>281160</v>
      </c>
      <c r="AK18" s="130">
        <f>ROUND(【収益】料金単価!$G19*【収益】水需要予測!AQ28*12,0)</f>
        <v>281160</v>
      </c>
      <c r="AL18" s="130">
        <f>ROUND(【収益】料金単価!$G19*【収益】水需要予測!AR28*12,0)</f>
        <v>277200</v>
      </c>
      <c r="AM18" s="130">
        <f>ROUND(【収益】料金単価!$G19*【収益】水需要予測!AS28*12,0)</f>
        <v>277200</v>
      </c>
      <c r="AN18" s="130">
        <f>ROUND(【収益】料金単価!$G19*【収益】水需要予測!AT28*12,0)</f>
        <v>277200</v>
      </c>
      <c r="AO18" s="130">
        <f>ROUND(【収益】料金単価!$G19*【収益】水需要予測!AU28*12,0)</f>
        <v>277200</v>
      </c>
      <c r="AP18" s="130">
        <f>ROUND(【収益】料金単価!$G19*【収益】水需要予測!AV28*12,0)</f>
        <v>277200</v>
      </c>
      <c r="AQ18" s="130">
        <f>ROUND(【収益】料金単価!$G19*【収益】水需要予測!AW28*12,0)</f>
        <v>277200</v>
      </c>
      <c r="AR18" s="130">
        <f>ROUND(【収益】料金単価!$G19*【収益】水需要予測!AX28*12,0)</f>
        <v>277200</v>
      </c>
      <c r="AS18" s="130">
        <f>ROUND(【収益】料金単価!$G19*【収益】水需要予測!AY28*12,0)</f>
        <v>277200</v>
      </c>
      <c r="AT18" s="130">
        <f>ROUND(【収益】料金単価!$G19*【収益】水需要予測!AZ28*12,0)</f>
        <v>277200</v>
      </c>
      <c r="AU18" s="130">
        <f>ROUND(【収益】料金単価!$G19*【収益】水需要予測!BA28*12,0)</f>
        <v>277200</v>
      </c>
      <c r="AV18" s="130">
        <f>ROUND(【収益】料金単価!$G19*【収益】水需要予測!BB28*12,0)</f>
        <v>277200</v>
      </c>
      <c r="AW18" s="130">
        <f>ROUND(【収益】料金単価!$G19*【収益】水需要予測!BC28*12,0)</f>
        <v>273240</v>
      </c>
      <c r="AX18" s="130">
        <f>ROUND(【収益】料金単価!$G19*【収益】水需要予測!BD28*12,0)</f>
        <v>273240</v>
      </c>
      <c r="AY18" s="130">
        <f>ROUND(【収益】料金単価!$G19*【収益】水需要予測!BE28*12,0)</f>
        <v>273240</v>
      </c>
      <c r="AZ18" s="130">
        <f>ROUND(【収益】料金単価!$G19*【収益】水需要予測!BF28*12,0)</f>
        <v>273240</v>
      </c>
      <c r="BA18" s="130">
        <f>ROUND(【収益】料金単価!$G19*【収益】水需要予測!BG28*12,0)</f>
        <v>273240</v>
      </c>
      <c r="BB18" s="130">
        <f>ROUND(【収益】料金単価!$G19*【収益】水需要予測!BH28*12,0)</f>
        <v>273240</v>
      </c>
      <c r="BC18" s="130">
        <f>ROUND(【収益】料金単価!$G19*【収益】水需要予測!BI28*12,0)</f>
        <v>273240</v>
      </c>
      <c r="BD18" s="130">
        <f>ROUND(【収益】料金単価!$G19*【収益】水需要予測!BJ28*12,0)</f>
        <v>273240</v>
      </c>
      <c r="BE18" s="130">
        <f>ROUND(【収益】料金単価!$G19*【収益】水需要予測!BK28*12,0)</f>
        <v>273240</v>
      </c>
      <c r="BF18" s="130">
        <f>ROUND(【収益】料金単価!$G19*【収益】水需要予測!BL28*12,0)</f>
        <v>273240</v>
      </c>
      <c r="BG18" s="130">
        <f>ROUND(【収益】料金単価!$G19*【収益】水需要予測!BM28*12,0)</f>
        <v>269280</v>
      </c>
      <c r="BH18" s="130">
        <f>ROUND(【収益】料金単価!$G19*【収益】水需要予測!BN28*12,0)</f>
        <v>269280</v>
      </c>
      <c r="BI18" s="130">
        <f>ROUND(【収益】料金単価!$G19*【収益】水需要予測!BO28*12,0)</f>
        <v>269280</v>
      </c>
      <c r="BJ18" s="130">
        <f>ROUND(【収益】料金単価!$G19*【収益】水需要予測!BP28*12,0)</f>
        <v>269280</v>
      </c>
      <c r="BK18" s="130">
        <f>ROUND(【収益】料金単価!$G19*【収益】水需要予測!BQ28*12,0)</f>
        <v>269280</v>
      </c>
      <c r="BL18" s="130">
        <f>ROUND(【収益】料金単価!$G19*【収益】水需要予測!BR28*12,0)</f>
        <v>269280</v>
      </c>
      <c r="BM18" s="130">
        <f>ROUND(【収益】料金単価!$G19*【収益】水需要予測!BS28*12,0)</f>
        <v>269280</v>
      </c>
      <c r="BN18" s="130">
        <f>ROUND(【収益】料金単価!$G19*【収益】水需要予測!BT28*12,0)</f>
        <v>269280</v>
      </c>
      <c r="BO18" s="130">
        <f>ROUND(【収益】料金単価!$G19*【収益】水需要予測!BU28*12,0)</f>
        <v>269280</v>
      </c>
      <c r="BP18" s="130">
        <f>ROUND(【収益】料金単価!$G19*【収益】水需要予測!BV28*12,0)</f>
        <v>269280</v>
      </c>
    </row>
    <row r="19" spans="13:68" s="24" customFormat="1">
      <c r="M19" s="25" t="s">
        <v>693</v>
      </c>
      <c r="N19" s="43"/>
      <c r="O19" s="43"/>
      <c r="P19" s="43"/>
      <c r="Q19" s="43"/>
      <c r="R19" s="43"/>
      <c r="S19" s="39">
        <f>ROUND(【収益】料金単価!$C20*【収益】水需要予測!Y29*12,0)</f>
        <v>221760</v>
      </c>
      <c r="T19" s="130">
        <f>ROUND(【収益】料金単価!$G20*【収益】水需要予測!Z29*12,0)</f>
        <v>113652</v>
      </c>
      <c r="U19" s="130">
        <f>ROUND(【収益】料金単価!$G20*【収益】水需要予測!AA29*12,0)</f>
        <v>113652</v>
      </c>
      <c r="V19" s="130">
        <f>ROUND(【収益】料金単価!$G20*【収益】水需要予測!AB29*12,0)</f>
        <v>113652</v>
      </c>
      <c r="W19" s="130">
        <f>ROUND(【収益】料金単価!$G20*【収益】水需要予測!AC29*12,0)</f>
        <v>113652</v>
      </c>
      <c r="X19" s="130">
        <f>ROUND(【収益】料金単価!$G20*【収益】水需要予測!AD29*12,0)</f>
        <v>113652</v>
      </c>
      <c r="Y19" s="130">
        <f>ROUND(【収益】料金単価!$G20*【収益】水需要予測!AE29*12,0)</f>
        <v>113652</v>
      </c>
      <c r="Z19" s="130">
        <f>ROUND(【収益】料金単価!$G20*【収益】水需要予測!AF29*12,0)</f>
        <v>113652</v>
      </c>
      <c r="AA19" s="130">
        <f>ROUND(【収益】料金単価!$G20*【収益】水需要予測!AG29*12,0)</f>
        <v>113652</v>
      </c>
      <c r="AB19" s="130">
        <f>ROUND(【収益】料金単価!$G20*【収益】水需要予測!AH29*12,0)</f>
        <v>113652</v>
      </c>
      <c r="AC19" s="130">
        <f>ROUND(【収益】料金単価!$G20*【収益】水需要予測!AI29*12,0)</f>
        <v>113652</v>
      </c>
      <c r="AD19" s="130">
        <f>ROUND(【収益】料金単価!$G20*【収益】水需要予測!AJ29*12,0)</f>
        <v>113652</v>
      </c>
      <c r="AE19" s="130">
        <f>ROUND(【収益】料金単価!$G20*【収益】水需要予測!AK29*12,0)</f>
        <v>113652</v>
      </c>
      <c r="AF19" s="130">
        <f>ROUND(【収益】料金単価!$G20*【収益】水需要予測!AL29*12,0)</f>
        <v>113652</v>
      </c>
      <c r="AG19" s="130">
        <f>ROUND(【収益】料金単価!$G20*【収益】水需要予測!AM29*12,0)</f>
        <v>113652</v>
      </c>
      <c r="AH19" s="130">
        <f>ROUND(【収益】料金単価!$G20*【収益】水需要予測!AN29*12,0)</f>
        <v>113652</v>
      </c>
      <c r="AI19" s="130">
        <f>ROUND(【収益】料金単価!$G20*【収益】水需要予測!AO29*12,0)</f>
        <v>113652</v>
      </c>
      <c r="AJ19" s="130">
        <f>ROUND(【収益】料金単価!$G20*【収益】水需要予測!AP29*12,0)</f>
        <v>113652</v>
      </c>
      <c r="AK19" s="130">
        <f>ROUND(【収益】料金単価!$G20*【収益】水需要予測!AQ29*12,0)</f>
        <v>113652</v>
      </c>
      <c r="AL19" s="130">
        <f>ROUND(【収益】料金単価!$G20*【収益】水需要予測!AR29*12,0)</f>
        <v>113652</v>
      </c>
      <c r="AM19" s="130">
        <f>ROUND(【収益】料金単価!$G20*【収益】水需要予測!AS29*12,0)</f>
        <v>113652</v>
      </c>
      <c r="AN19" s="130">
        <f>ROUND(【収益】料金単価!$G20*【収益】水需要予測!AT29*12,0)</f>
        <v>108240</v>
      </c>
      <c r="AO19" s="130">
        <f>ROUND(【収益】料金単価!$G20*【収益】水需要予測!AU29*12,0)</f>
        <v>108240</v>
      </c>
      <c r="AP19" s="130">
        <f>ROUND(【収益】料金単価!$G20*【収益】水需要予測!AV29*12,0)</f>
        <v>108240</v>
      </c>
      <c r="AQ19" s="130">
        <f>ROUND(【収益】料金単価!$G20*【収益】水需要予測!AW29*12,0)</f>
        <v>108240</v>
      </c>
      <c r="AR19" s="130">
        <f>ROUND(【収益】料金単価!$G20*【収益】水需要予測!AX29*12,0)</f>
        <v>108240</v>
      </c>
      <c r="AS19" s="130">
        <f>ROUND(【収益】料金単価!$G20*【収益】水需要予測!AY29*12,0)</f>
        <v>108240</v>
      </c>
      <c r="AT19" s="130">
        <f>ROUND(【収益】料金単価!$G20*【収益】水需要予測!AZ29*12,0)</f>
        <v>108240</v>
      </c>
      <c r="AU19" s="130">
        <f>ROUND(【収益】料金単価!$G20*【収益】水需要予測!BA29*12,0)</f>
        <v>108240</v>
      </c>
      <c r="AV19" s="130">
        <f>ROUND(【収益】料金単価!$G20*【収益】水需要予測!BB29*12,0)</f>
        <v>108240</v>
      </c>
      <c r="AW19" s="130">
        <f>ROUND(【収益】料金単価!$G20*【収益】水需要予測!BC29*12,0)</f>
        <v>108240</v>
      </c>
      <c r="AX19" s="130">
        <f>ROUND(【収益】料金単価!$G20*【収益】水需要予測!BD29*12,0)</f>
        <v>108240</v>
      </c>
      <c r="AY19" s="130">
        <f>ROUND(【収益】料金単価!$G20*【収益】水需要予測!BE29*12,0)</f>
        <v>108240</v>
      </c>
      <c r="AZ19" s="130">
        <f>ROUND(【収益】料金単価!$G20*【収益】水需要予測!BF29*12,0)</f>
        <v>108240</v>
      </c>
      <c r="BA19" s="130">
        <f>ROUND(【収益】料金単価!$G20*【収益】水需要予測!BG29*12,0)</f>
        <v>108240</v>
      </c>
      <c r="BB19" s="130">
        <f>ROUND(【収益】料金単価!$G20*【収益】水需要予測!BH29*12,0)</f>
        <v>108240</v>
      </c>
      <c r="BC19" s="130">
        <f>ROUND(【収益】料金単価!$G20*【収益】水需要予測!BI29*12,0)</f>
        <v>108240</v>
      </c>
      <c r="BD19" s="130">
        <f>ROUND(【収益】料金単価!$G20*【収益】水需要予測!BJ29*12,0)</f>
        <v>108240</v>
      </c>
      <c r="BE19" s="130">
        <f>ROUND(【収益】料金単価!$G20*【収益】水需要予測!BK29*12,0)</f>
        <v>108240</v>
      </c>
      <c r="BF19" s="130">
        <f>ROUND(【収益】料金単価!$G20*【収益】水需要予測!BL29*12,0)</f>
        <v>108240</v>
      </c>
      <c r="BG19" s="130">
        <f>ROUND(【収益】料金単価!$G20*【収益】水需要予測!BM29*12,0)</f>
        <v>108240</v>
      </c>
      <c r="BH19" s="130">
        <f>ROUND(【収益】料金単価!$G20*【収益】水需要予測!BN29*12,0)</f>
        <v>108240</v>
      </c>
      <c r="BI19" s="130">
        <f>ROUND(【収益】料金単価!$G20*【収益】水需要予測!BO29*12,0)</f>
        <v>108240</v>
      </c>
      <c r="BJ19" s="130">
        <f>ROUND(【収益】料金単価!$G20*【収益】水需要予測!BP29*12,0)</f>
        <v>108240</v>
      </c>
      <c r="BK19" s="130">
        <f>ROUND(【収益】料金単価!$G20*【収益】水需要予測!BQ29*12,0)</f>
        <v>108240</v>
      </c>
      <c r="BL19" s="130">
        <f>ROUND(【収益】料金単価!$G20*【収益】水需要予測!BR29*12,0)</f>
        <v>108240</v>
      </c>
      <c r="BM19" s="130">
        <f>ROUND(【収益】料金単価!$G20*【収益】水需要予測!BS29*12,0)</f>
        <v>108240</v>
      </c>
      <c r="BN19" s="130">
        <f>ROUND(【収益】料金単価!$G20*【収益】水需要予測!BT29*12,0)</f>
        <v>108240</v>
      </c>
      <c r="BO19" s="130">
        <f>ROUND(【収益】料金単価!$G20*【収益】水需要予測!BU29*12,0)</f>
        <v>108240</v>
      </c>
      <c r="BP19" s="130">
        <f>ROUND(【収益】料金単価!$G20*【収益】水需要予測!BV29*12,0)</f>
        <v>108240</v>
      </c>
    </row>
    <row r="20" spans="13:68" s="24" customFormat="1">
      <c r="M20" s="25" t="s">
        <v>694</v>
      </c>
      <c r="N20" s="43"/>
      <c r="O20" s="43"/>
      <c r="P20" s="43"/>
      <c r="Q20" s="43"/>
      <c r="R20" s="43"/>
      <c r="S20" s="39">
        <f>ROUND(【収益】料金単価!$C21*【収益】水需要予測!Y30*12,0)</f>
        <v>118800</v>
      </c>
      <c r="T20" s="130">
        <f>ROUND(【収益】料金単価!$G21*【収益】水需要予測!Z30*12,0)</f>
        <v>78408</v>
      </c>
      <c r="U20" s="130">
        <f>ROUND(【収益】料金単価!$G21*【収益】水需要予測!AA30*12,0)</f>
        <v>78408</v>
      </c>
      <c r="V20" s="130">
        <f>ROUND(【収益】料金単価!$G21*【収益】水需要予測!AB30*12,0)</f>
        <v>78408</v>
      </c>
      <c r="W20" s="130">
        <f>ROUND(【収益】料金単価!$G21*【収益】水需要予測!AC30*12,0)</f>
        <v>78408</v>
      </c>
      <c r="X20" s="130">
        <f>ROUND(【収益】料金単価!$G21*【収益】水需要予測!AD30*12,0)</f>
        <v>78408</v>
      </c>
      <c r="Y20" s="130">
        <f>ROUND(【収益】料金単価!$G21*【収益】水需要予測!AE30*12,0)</f>
        <v>78408</v>
      </c>
      <c r="Z20" s="130">
        <f>ROUND(【収益】料金単価!$G21*【収益】水需要予測!AF30*12,0)</f>
        <v>78408</v>
      </c>
      <c r="AA20" s="130">
        <f>ROUND(【収益】料金単価!$G21*【収益】水需要予測!AG30*12,0)</f>
        <v>78408</v>
      </c>
      <c r="AB20" s="130">
        <f>ROUND(【収益】料金単価!$G21*【収益】水需要予測!AH30*12,0)</f>
        <v>78408</v>
      </c>
      <c r="AC20" s="130">
        <f>ROUND(【収益】料金単価!$G21*【収益】水需要予測!AI30*12,0)</f>
        <v>78408</v>
      </c>
      <c r="AD20" s="130">
        <f>ROUND(【収益】料金単価!$G21*【収益】水需要予測!AJ30*12,0)</f>
        <v>78408</v>
      </c>
      <c r="AE20" s="130">
        <f>ROUND(【収益】料金単価!$G21*【収益】水需要予測!AK30*12,0)</f>
        <v>78408</v>
      </c>
      <c r="AF20" s="130">
        <f>ROUND(【収益】料金単価!$G21*【収益】水需要予測!AL30*12,0)</f>
        <v>78408</v>
      </c>
      <c r="AG20" s="130">
        <f>ROUND(【収益】料金単価!$G21*【収益】水需要予測!AM30*12,0)</f>
        <v>78408</v>
      </c>
      <c r="AH20" s="130">
        <f>ROUND(【収益】料金単価!$G21*【収益】水需要予測!AN30*12,0)</f>
        <v>78408</v>
      </c>
      <c r="AI20" s="130">
        <f>ROUND(【収益】料金単価!$G21*【収益】水需要予測!AO30*12,0)</f>
        <v>78408</v>
      </c>
      <c r="AJ20" s="130">
        <f>ROUND(【収益】料金単価!$G21*【収益】水需要予測!AP30*12,0)</f>
        <v>78408</v>
      </c>
      <c r="AK20" s="130">
        <f>ROUND(【収益】料金単価!$G21*【収益】水需要予測!AQ30*12,0)</f>
        <v>78408</v>
      </c>
      <c r="AL20" s="130">
        <f>ROUND(【収益】料金単価!$G21*【収益】水需要予測!AR30*12,0)</f>
        <v>78408</v>
      </c>
      <c r="AM20" s="130">
        <f>ROUND(【収益】料金単価!$G21*【収益】水需要予測!AS30*12,0)</f>
        <v>78408</v>
      </c>
      <c r="AN20" s="130">
        <f>ROUND(【収益】料金単価!$G21*【収益】水需要予測!AT30*12,0)</f>
        <v>78408</v>
      </c>
      <c r="AO20" s="130">
        <f>ROUND(【収益】料金単価!$G21*【収益】水需要予測!AU30*12,0)</f>
        <v>78408</v>
      </c>
      <c r="AP20" s="130">
        <f>ROUND(【収益】料金単価!$G21*【収益】水需要予測!AV30*12,0)</f>
        <v>78408</v>
      </c>
      <c r="AQ20" s="130">
        <f>ROUND(【収益】料金単価!$G21*【収益】水需要予測!AW30*12,0)</f>
        <v>78408</v>
      </c>
      <c r="AR20" s="130">
        <f>ROUND(【収益】料金単価!$G21*【収益】水需要予測!AX30*12,0)</f>
        <v>78408</v>
      </c>
      <c r="AS20" s="130">
        <f>ROUND(【収益】料金単価!$G21*【収益】水需要予測!AY30*12,0)</f>
        <v>78408</v>
      </c>
      <c r="AT20" s="130">
        <f>ROUND(【収益】料金単価!$G21*【収益】水需要予測!AZ30*12,0)</f>
        <v>78408</v>
      </c>
      <c r="AU20" s="130">
        <f>ROUND(【収益】料金単価!$G21*【収益】水需要予測!BA30*12,0)</f>
        <v>78408</v>
      </c>
      <c r="AV20" s="130">
        <f>ROUND(【収益】料金単価!$G21*【収益】水需要予測!BB30*12,0)</f>
        <v>78408</v>
      </c>
      <c r="AW20" s="130">
        <f>ROUND(【収益】料金単価!$G21*【収益】水需要予測!BC30*12,0)</f>
        <v>78408</v>
      </c>
      <c r="AX20" s="130">
        <f>ROUND(【収益】料金単価!$G21*【収益】水需要予測!BD30*12,0)</f>
        <v>78408</v>
      </c>
      <c r="AY20" s="130">
        <f>ROUND(【収益】料金単価!$G21*【収益】水需要予測!BE30*12,0)</f>
        <v>78408</v>
      </c>
      <c r="AZ20" s="130">
        <f>ROUND(【収益】料金単価!$G21*【収益】水需要予測!BF30*12,0)</f>
        <v>78408</v>
      </c>
      <c r="BA20" s="130">
        <f>ROUND(【収益】料金単価!$G21*【収益】水需要予測!BG30*12,0)</f>
        <v>78408</v>
      </c>
      <c r="BB20" s="130">
        <f>ROUND(【収益】料金単価!$G21*【収益】水需要予測!BH30*12,0)</f>
        <v>78408</v>
      </c>
      <c r="BC20" s="130">
        <f>ROUND(【収益】料金単価!$G21*【収益】水需要予測!BI30*12,0)</f>
        <v>78408</v>
      </c>
      <c r="BD20" s="130">
        <f>ROUND(【収益】料金単価!$G21*【収益】水需要予測!BJ30*12,0)</f>
        <v>78408</v>
      </c>
      <c r="BE20" s="130">
        <f>ROUND(【収益】料金単価!$G21*【収益】水需要予測!BK30*12,0)</f>
        <v>78408</v>
      </c>
      <c r="BF20" s="130">
        <f>ROUND(【収益】料金単価!$G21*【収益】水需要予測!BL30*12,0)</f>
        <v>78408</v>
      </c>
      <c r="BG20" s="130">
        <f>ROUND(【収益】料金単価!$G21*【収益】水需要予測!BM30*12,0)</f>
        <v>78408</v>
      </c>
      <c r="BH20" s="130">
        <f>ROUND(【収益】料金単価!$G21*【収益】水需要予測!BN30*12,0)</f>
        <v>78408</v>
      </c>
      <c r="BI20" s="130">
        <f>ROUND(【収益】料金単価!$G21*【収益】水需要予測!BO30*12,0)</f>
        <v>78408</v>
      </c>
      <c r="BJ20" s="130">
        <f>ROUND(【収益】料金単価!$G21*【収益】水需要予測!BP30*12,0)</f>
        <v>78408</v>
      </c>
      <c r="BK20" s="130">
        <f>ROUND(【収益】料金単価!$G21*【収益】水需要予測!BQ30*12,0)</f>
        <v>78408</v>
      </c>
      <c r="BL20" s="130">
        <f>ROUND(【収益】料金単価!$G21*【収益】水需要予測!BR30*12,0)</f>
        <v>69696</v>
      </c>
      <c r="BM20" s="130">
        <f>ROUND(【収益】料金単価!$G21*【収益】水需要予測!BS30*12,0)</f>
        <v>69696</v>
      </c>
      <c r="BN20" s="130">
        <f>ROUND(【収益】料金単価!$G21*【収益】水需要予測!BT30*12,0)</f>
        <v>69696</v>
      </c>
      <c r="BO20" s="130">
        <f>ROUND(【収益】料金単価!$G21*【収益】水需要予測!BU30*12,0)</f>
        <v>69696</v>
      </c>
      <c r="BP20" s="130">
        <f>ROUND(【収益】料金単価!$G21*【収益】水需要予測!BV30*12,0)</f>
        <v>69696</v>
      </c>
    </row>
    <row r="21" spans="13:68" s="24" customFormat="1">
      <c r="M21" s="25" t="s">
        <v>695</v>
      </c>
      <c r="N21" s="43"/>
      <c r="O21" s="43"/>
      <c r="P21" s="43"/>
      <c r="Q21" s="43"/>
      <c r="R21" s="43"/>
      <c r="S21" s="39">
        <f>ROUND(【収益】料金単価!$C22*【収益】水需要予測!Y31*12,0)</f>
        <v>47520</v>
      </c>
      <c r="T21" s="130">
        <f>ROUND(【収益】料金単価!$G22*【収益】水需要予測!Z31*12,0)</f>
        <v>35244</v>
      </c>
      <c r="U21" s="130">
        <f>ROUND(【収益】料金単価!$G22*【収益】水需要予測!AA31*12,0)</f>
        <v>35244</v>
      </c>
      <c r="V21" s="130">
        <f>ROUND(【収益】料金単価!$G22*【収益】水需要予測!AB31*12,0)</f>
        <v>35244</v>
      </c>
      <c r="W21" s="130">
        <f>ROUND(【収益】料金単価!$G22*【収益】水需要予測!AC31*12,0)</f>
        <v>35244</v>
      </c>
      <c r="X21" s="130">
        <f>ROUND(【収益】料金単価!$G22*【収益】水需要予測!AD31*12,0)</f>
        <v>35244</v>
      </c>
      <c r="Y21" s="130">
        <f>ROUND(【収益】料金単価!$G22*【収益】水需要予測!AE31*12,0)</f>
        <v>35244</v>
      </c>
      <c r="Z21" s="130">
        <f>ROUND(【収益】料金単価!$G22*【収益】水需要予測!AF31*12,0)</f>
        <v>35244</v>
      </c>
      <c r="AA21" s="130">
        <f>ROUND(【収益】料金単価!$G22*【収益】水需要予測!AG31*12,0)</f>
        <v>35244</v>
      </c>
      <c r="AB21" s="130">
        <f>ROUND(【収益】料金単価!$G22*【収益】水需要予測!AH31*12,0)</f>
        <v>35244</v>
      </c>
      <c r="AC21" s="130">
        <f>ROUND(【収益】料金単価!$G22*【収益】水需要予測!AI31*12,0)</f>
        <v>35244</v>
      </c>
      <c r="AD21" s="130">
        <f>ROUND(【収益】料金単価!$G22*【収益】水需要予測!AJ31*12,0)</f>
        <v>35244</v>
      </c>
      <c r="AE21" s="130">
        <f>ROUND(【収益】料金単価!$G22*【収益】水需要予測!AK31*12,0)</f>
        <v>35244</v>
      </c>
      <c r="AF21" s="130">
        <f>ROUND(【収益】料金単価!$G22*【収益】水需要予測!AL31*12,0)</f>
        <v>35244</v>
      </c>
      <c r="AG21" s="130">
        <f>ROUND(【収益】料金単価!$G22*【収益】水需要予測!AM31*12,0)</f>
        <v>35244</v>
      </c>
      <c r="AH21" s="130">
        <f>ROUND(【収益】料金単価!$G22*【収益】水需要予測!AN31*12,0)</f>
        <v>35244</v>
      </c>
      <c r="AI21" s="130">
        <f>ROUND(【収益】料金単価!$G22*【収益】水需要予測!AO31*12,0)</f>
        <v>35244</v>
      </c>
      <c r="AJ21" s="130">
        <f>ROUND(【収益】料金単価!$G22*【収益】水需要予測!AP31*12,0)</f>
        <v>35244</v>
      </c>
      <c r="AK21" s="130">
        <f>ROUND(【収益】料金単価!$G22*【収益】水需要予測!AQ31*12,0)</f>
        <v>35244</v>
      </c>
      <c r="AL21" s="130">
        <f>ROUND(【収益】料金単価!$G22*【収益】水需要予測!AR31*12,0)</f>
        <v>35244</v>
      </c>
      <c r="AM21" s="130">
        <f>ROUND(【収益】料金単価!$G22*【収益】水需要予測!AS31*12,0)</f>
        <v>35244</v>
      </c>
      <c r="AN21" s="130">
        <f>ROUND(【収益】料金単価!$G22*【収益】水需要予測!AT31*12,0)</f>
        <v>35244</v>
      </c>
      <c r="AO21" s="130">
        <f>ROUND(【収益】料金単価!$G22*【収益】水需要予測!AU31*12,0)</f>
        <v>35244</v>
      </c>
      <c r="AP21" s="130">
        <f>ROUND(【収益】料金単価!$G22*【収益】水需要予測!AV31*12,0)</f>
        <v>35244</v>
      </c>
      <c r="AQ21" s="130">
        <f>ROUND(【収益】料金単価!$G22*【収益】水需要予測!AW31*12,0)</f>
        <v>35244</v>
      </c>
      <c r="AR21" s="130">
        <f>ROUND(【収益】料金単価!$G22*【収益】水需要予測!AX31*12,0)</f>
        <v>35244</v>
      </c>
      <c r="AS21" s="130">
        <f>ROUND(【収益】料金単価!$G22*【収益】水需要予測!AY31*12,0)</f>
        <v>35244</v>
      </c>
      <c r="AT21" s="130">
        <f>ROUND(【収益】料金単価!$G22*【収益】水需要予測!AZ31*12,0)</f>
        <v>35244</v>
      </c>
      <c r="AU21" s="130">
        <f>ROUND(【収益】料金単価!$G22*【収益】水需要予測!BA31*12,0)</f>
        <v>35244</v>
      </c>
      <c r="AV21" s="130">
        <f>ROUND(【収益】料金単価!$G22*【収益】水需要予測!BB31*12,0)</f>
        <v>35244</v>
      </c>
      <c r="AW21" s="130">
        <f>ROUND(【収益】料金単価!$G22*【収益】水需要予測!BC31*12,0)</f>
        <v>35244</v>
      </c>
      <c r="AX21" s="130">
        <f>ROUND(【収益】料金単価!$G22*【収益】水需要予測!BD31*12,0)</f>
        <v>35244</v>
      </c>
      <c r="AY21" s="130">
        <f>ROUND(【収益】料金単価!$G22*【収益】水需要予測!BE31*12,0)</f>
        <v>35244</v>
      </c>
      <c r="AZ21" s="130">
        <f>ROUND(【収益】料金単価!$G22*【収益】水需要予測!BF31*12,0)</f>
        <v>35244</v>
      </c>
      <c r="BA21" s="130">
        <f>ROUND(【収益】料金単価!$G22*【収益】水需要予測!BG31*12,0)</f>
        <v>35244</v>
      </c>
      <c r="BB21" s="130">
        <f>ROUND(【収益】料金単価!$G22*【収益】水需要予測!BH31*12,0)</f>
        <v>35244</v>
      </c>
      <c r="BC21" s="130">
        <f>ROUND(【収益】料金単価!$G22*【収益】水需要予測!BI31*12,0)</f>
        <v>35244</v>
      </c>
      <c r="BD21" s="130">
        <f>ROUND(【収益】料金単価!$G22*【収益】水需要予測!BJ31*12,0)</f>
        <v>35244</v>
      </c>
      <c r="BE21" s="130">
        <f>ROUND(【収益】料金単価!$G22*【収益】水需要予測!BK31*12,0)</f>
        <v>35244</v>
      </c>
      <c r="BF21" s="130">
        <f>ROUND(【収益】料金単価!$G22*【収益】水需要予測!BL31*12,0)</f>
        <v>35244</v>
      </c>
      <c r="BG21" s="130">
        <f>ROUND(【収益】料金単価!$G22*【収益】水需要予測!BM31*12,0)</f>
        <v>35244</v>
      </c>
      <c r="BH21" s="130">
        <f>ROUND(【収益】料金単価!$G22*【収益】水需要予測!BN31*12,0)</f>
        <v>35244</v>
      </c>
      <c r="BI21" s="130">
        <f>ROUND(【収益】料金単価!$G22*【収益】水需要予測!BO31*12,0)</f>
        <v>35244</v>
      </c>
      <c r="BJ21" s="130">
        <f>ROUND(【収益】料金単価!$G22*【収益】水需要予測!BP31*12,0)</f>
        <v>35244</v>
      </c>
      <c r="BK21" s="130">
        <f>ROUND(【収益】料金単価!$G22*【収益】水需要予測!BQ31*12,0)</f>
        <v>35244</v>
      </c>
      <c r="BL21" s="130">
        <f>ROUND(【収益】料金単価!$G22*【収益】水需要予測!BR31*12,0)</f>
        <v>35244</v>
      </c>
      <c r="BM21" s="130">
        <f>ROUND(【収益】料金単価!$G22*【収益】水需要予測!BS31*12,0)</f>
        <v>35244</v>
      </c>
      <c r="BN21" s="130">
        <f>ROUND(【収益】料金単価!$G22*【収益】水需要予測!BT31*12,0)</f>
        <v>35244</v>
      </c>
      <c r="BO21" s="130">
        <f>ROUND(【収益】料金単価!$G22*【収益】水需要予測!BU31*12,0)</f>
        <v>35244</v>
      </c>
      <c r="BP21" s="130">
        <f>ROUND(【収益】料金単価!$G22*【収益】水需要予測!BV31*12,0)</f>
        <v>35244</v>
      </c>
    </row>
    <row r="22" spans="13:68" ht="4.2" customHeight="1"/>
    <row r="23" spans="13:68" s="24" customFormat="1">
      <c r="M23" s="25" t="s">
        <v>151</v>
      </c>
      <c r="N23" s="43"/>
      <c r="O23" s="43"/>
      <c r="P23" s="43"/>
      <c r="Q23" s="43"/>
      <c r="R23" s="43"/>
      <c r="S23" s="39">
        <f>S6+S14</f>
        <v>139100448</v>
      </c>
      <c r="T23" s="39">
        <f t="shared" ref="T23:BP23" si="4">T6+T14</f>
        <v>166970553</v>
      </c>
      <c r="U23" s="39">
        <f t="shared" si="4"/>
        <v>164755558</v>
      </c>
      <c r="V23" s="39">
        <f t="shared" si="4"/>
        <v>162828875</v>
      </c>
      <c r="W23" s="39">
        <f t="shared" si="4"/>
        <v>160955036</v>
      </c>
      <c r="X23" s="39">
        <f t="shared" si="4"/>
        <v>159357902</v>
      </c>
      <c r="Y23" s="39">
        <f t="shared" si="4"/>
        <v>156018247</v>
      </c>
      <c r="Z23" s="39">
        <f t="shared" si="4"/>
        <v>154365706</v>
      </c>
      <c r="AA23" s="39">
        <f t="shared" si="4"/>
        <v>152749421</v>
      </c>
      <c r="AB23" s="39">
        <f t="shared" si="4"/>
        <v>151383232</v>
      </c>
      <c r="AC23" s="39">
        <f t="shared" si="4"/>
        <v>149593125</v>
      </c>
      <c r="AD23" s="39">
        <f t="shared" si="4"/>
        <v>145938199</v>
      </c>
      <c r="AE23" s="39">
        <f t="shared" si="4"/>
        <v>144578698</v>
      </c>
      <c r="AF23" s="39">
        <f t="shared" si="4"/>
        <v>143441287</v>
      </c>
      <c r="AG23" s="39">
        <f t="shared" si="4"/>
        <v>141917556</v>
      </c>
      <c r="AH23" s="39">
        <f t="shared" si="4"/>
        <v>140627630</v>
      </c>
      <c r="AI23" s="39">
        <f t="shared" si="4"/>
        <v>136620638</v>
      </c>
      <c r="AJ23" s="39">
        <f t="shared" si="4"/>
        <v>135681711</v>
      </c>
      <c r="AK23" s="39">
        <f t="shared" si="4"/>
        <v>134402235</v>
      </c>
      <c r="AL23" s="39">
        <f t="shared" si="4"/>
        <v>133313059</v>
      </c>
      <c r="AM23" s="39">
        <f t="shared" si="4"/>
        <v>132241802</v>
      </c>
      <c r="AN23" s="39">
        <f t="shared" si="4"/>
        <v>128289601</v>
      </c>
      <c r="AO23" s="39">
        <f t="shared" si="4"/>
        <v>127211392</v>
      </c>
      <c r="AP23" s="39">
        <f t="shared" si="4"/>
        <v>126313440</v>
      </c>
      <c r="AQ23" s="39">
        <f t="shared" si="4"/>
        <v>125412837</v>
      </c>
      <c r="AR23" s="39">
        <f t="shared" si="4"/>
        <v>124681117</v>
      </c>
      <c r="AS23" s="39">
        <f t="shared" si="4"/>
        <v>120387839</v>
      </c>
      <c r="AT23" s="39">
        <f t="shared" si="4"/>
        <v>119671992</v>
      </c>
      <c r="AU23" s="39">
        <f t="shared" si="4"/>
        <v>118972876</v>
      </c>
      <c r="AV23" s="39">
        <f t="shared" si="4"/>
        <v>118412261</v>
      </c>
      <c r="AW23" s="39">
        <f t="shared" si="4"/>
        <v>117592860</v>
      </c>
      <c r="AX23" s="39">
        <f t="shared" si="4"/>
        <v>116907846</v>
      </c>
      <c r="AY23" s="39">
        <f t="shared" si="4"/>
        <v>116225461</v>
      </c>
      <c r="AZ23" s="39">
        <f t="shared" si="4"/>
        <v>115689651</v>
      </c>
      <c r="BA23" s="39">
        <f t="shared" si="4"/>
        <v>114894725</v>
      </c>
      <c r="BB23" s="39">
        <f t="shared" si="4"/>
        <v>114248596</v>
      </c>
      <c r="BC23" s="39">
        <f t="shared" si="4"/>
        <v>113599959</v>
      </c>
      <c r="BD23" s="39">
        <f t="shared" si="4"/>
        <v>113074588</v>
      </c>
      <c r="BE23" s="39">
        <f t="shared" si="4"/>
        <v>112319416</v>
      </c>
      <c r="BF23" s="39">
        <f t="shared" si="4"/>
        <v>111687510</v>
      </c>
      <c r="BG23" s="39">
        <f t="shared" si="4"/>
        <v>111071026</v>
      </c>
      <c r="BH23" s="39">
        <f t="shared" si="4"/>
        <v>110573540</v>
      </c>
      <c r="BI23" s="39">
        <f t="shared" si="4"/>
        <v>109838190</v>
      </c>
      <c r="BJ23" s="39">
        <f t="shared" si="4"/>
        <v>109239889</v>
      </c>
      <c r="BK23" s="39">
        <f t="shared" si="4"/>
        <v>108641588</v>
      </c>
      <c r="BL23" s="39">
        <f t="shared" si="4"/>
        <v>108146687</v>
      </c>
      <c r="BM23" s="39">
        <f t="shared" si="4"/>
        <v>107455656</v>
      </c>
      <c r="BN23" s="39">
        <f t="shared" si="4"/>
        <v>106874229</v>
      </c>
      <c r="BO23" s="39">
        <f t="shared" si="4"/>
        <v>106295310</v>
      </c>
      <c r="BP23" s="39">
        <f t="shared" si="4"/>
        <v>105837292</v>
      </c>
    </row>
    <row r="26" spans="13:68">
      <c r="M26" t="s">
        <v>696</v>
      </c>
    </row>
    <row r="27" spans="13:68">
      <c r="M27" s="1" t="s">
        <v>697</v>
      </c>
      <c r="N27" s="1"/>
      <c r="O27" s="1"/>
      <c r="P27" s="1"/>
      <c r="Q27" s="1"/>
      <c r="R27" s="1"/>
      <c r="S27" s="39">
        <f>ROUND(【収益】料金単価!$S$11,0)</f>
        <v>519199</v>
      </c>
      <c r="T27" s="39">
        <f>ROUND(【収益】料金単価!$S$11,0)</f>
        <v>519199</v>
      </c>
      <c r="U27" s="39">
        <f>ROUND(【収益】料金単価!$S$11,0)</f>
        <v>519199</v>
      </c>
      <c r="V27" s="39">
        <f>ROUND(【収益】料金単価!$S$11,0)</f>
        <v>519199</v>
      </c>
      <c r="W27" s="39">
        <f>ROUND(【収益】料金単価!$S$11,0)</f>
        <v>519199</v>
      </c>
      <c r="X27" s="39">
        <f>ROUND(【収益】料金単価!$S$11,0)</f>
        <v>519199</v>
      </c>
      <c r="Y27" s="39">
        <f>ROUND(【収益】料金単価!$S$11,0)</f>
        <v>519199</v>
      </c>
      <c r="Z27" s="39">
        <f>ROUND(【収益】料金単価!$S$11,0)</f>
        <v>519199</v>
      </c>
      <c r="AA27" s="39">
        <f>ROUND(【収益】料金単価!$S$11,0)</f>
        <v>519199</v>
      </c>
      <c r="AB27" s="39">
        <f>ROUND(【収益】料金単価!$S$11,0)</f>
        <v>519199</v>
      </c>
      <c r="AC27" s="39">
        <f>ROUND(【収益】料金単価!$S$11,0)</f>
        <v>519199</v>
      </c>
      <c r="AD27" s="39">
        <f>ROUND(【収益】料金単価!$S$11,0)</f>
        <v>519199</v>
      </c>
      <c r="AE27" s="39">
        <f>ROUND(【収益】料金単価!$S$11,0)</f>
        <v>519199</v>
      </c>
      <c r="AF27" s="39">
        <f>ROUND(【収益】料金単価!$S$11,0)</f>
        <v>519199</v>
      </c>
      <c r="AG27" s="39">
        <f>ROUND(【収益】料金単価!$S$11,0)</f>
        <v>519199</v>
      </c>
      <c r="AH27" s="39">
        <f>ROUND(【収益】料金単価!$S$11,0)</f>
        <v>519199</v>
      </c>
      <c r="AI27" s="39">
        <f>ROUND(【収益】料金単価!$S$11,0)</f>
        <v>519199</v>
      </c>
      <c r="AJ27" s="39">
        <f>ROUND(【収益】料金単価!$S$11,0)</f>
        <v>519199</v>
      </c>
      <c r="AK27" s="39">
        <f>ROUND(【収益】料金単価!$S$11,0)</f>
        <v>519199</v>
      </c>
      <c r="AL27" s="39">
        <f>ROUND(【収益】料金単価!$S$11,0)</f>
        <v>519199</v>
      </c>
      <c r="AM27" s="39">
        <f>ROUND(【収益】料金単価!$S$11,0)</f>
        <v>519199</v>
      </c>
      <c r="AN27" s="39">
        <f>ROUND(【収益】料金単価!$S$11,0)</f>
        <v>519199</v>
      </c>
      <c r="AO27" s="39">
        <f>ROUND(【収益】料金単価!$S$11,0)</f>
        <v>519199</v>
      </c>
      <c r="AP27" s="39">
        <f>ROUND(【収益】料金単価!$S$11,0)</f>
        <v>519199</v>
      </c>
      <c r="AQ27" s="39">
        <f>ROUND(【収益】料金単価!$S$11,0)</f>
        <v>519199</v>
      </c>
      <c r="AR27" s="39">
        <f>ROUND(【収益】料金単価!$S$11,0)</f>
        <v>519199</v>
      </c>
      <c r="AS27" s="39">
        <f>ROUND(【収益】料金単価!$S$11,0)</f>
        <v>519199</v>
      </c>
      <c r="AT27" s="39">
        <f>ROUND(【収益】料金単価!$S$11,0)</f>
        <v>519199</v>
      </c>
      <c r="AU27" s="39">
        <f>ROUND(【収益】料金単価!$S$11,0)</f>
        <v>519199</v>
      </c>
      <c r="AV27" s="39">
        <f>ROUND(【収益】料金単価!$S$11,0)</f>
        <v>519199</v>
      </c>
      <c r="AW27" s="39">
        <f>ROUND(【収益】料金単価!$S$11,0)</f>
        <v>519199</v>
      </c>
      <c r="AX27" s="39">
        <f>ROUND(【収益】料金単価!$S$11,0)</f>
        <v>519199</v>
      </c>
      <c r="AY27" s="39">
        <f>ROUND(【収益】料金単価!$S$11,0)</f>
        <v>519199</v>
      </c>
      <c r="AZ27" s="39">
        <f>ROUND(【収益】料金単価!$S$11,0)</f>
        <v>519199</v>
      </c>
      <c r="BA27" s="39">
        <f>ROUND(【収益】料金単価!$S$11,0)</f>
        <v>519199</v>
      </c>
      <c r="BB27" s="39">
        <f>ROUND(【収益】料金単価!$S$11,0)</f>
        <v>519199</v>
      </c>
      <c r="BC27" s="39">
        <f>ROUND(【収益】料金単価!$S$11,0)</f>
        <v>519199</v>
      </c>
      <c r="BD27" s="39">
        <f>ROUND(【収益】料金単価!$S$11,0)</f>
        <v>519199</v>
      </c>
      <c r="BE27" s="39">
        <f>ROUND(【収益】料金単価!$S$11,0)</f>
        <v>519199</v>
      </c>
      <c r="BF27" s="39">
        <f>ROUND(【収益】料金単価!$S$11,0)</f>
        <v>519199</v>
      </c>
      <c r="BG27" s="39">
        <f>ROUND(【収益】料金単価!$S$11,0)</f>
        <v>519199</v>
      </c>
      <c r="BH27" s="39">
        <f>ROUND(【収益】料金単価!$S$11,0)</f>
        <v>519199</v>
      </c>
      <c r="BI27" s="39">
        <f>ROUND(【収益】料金単価!$S$11,0)</f>
        <v>519199</v>
      </c>
      <c r="BJ27" s="39">
        <f>ROUND(【収益】料金単価!$S$11,0)</f>
        <v>519199</v>
      </c>
      <c r="BK27" s="39">
        <f>ROUND(【収益】料金単価!$S$11,0)</f>
        <v>519199</v>
      </c>
      <c r="BL27" s="39">
        <f>ROUND(【収益】料金単価!$S$11,0)</f>
        <v>519199</v>
      </c>
      <c r="BM27" s="39">
        <f>ROUND(【収益】料金単価!$S$11,0)</f>
        <v>519199</v>
      </c>
      <c r="BN27" s="39">
        <f>ROUND(【収益】料金単価!$S$11,0)</f>
        <v>519199</v>
      </c>
      <c r="BO27" s="39">
        <f>ROUND(【収益】料金単価!$S$11,0)</f>
        <v>519199</v>
      </c>
      <c r="BP27" s="39">
        <f>ROUND(【収益】料金単価!$S$11,0)</f>
        <v>519199</v>
      </c>
    </row>
    <row r="28" spans="13:68">
      <c r="M28" s="1" t="s">
        <v>698</v>
      </c>
      <c r="N28" s="1"/>
      <c r="O28" s="1"/>
      <c r="P28" s="1"/>
      <c r="Q28" s="1"/>
      <c r="R28" s="1"/>
      <c r="S28" s="39">
        <f>ROUND(【収益】料金単価!$S$17,0)</f>
        <v>14824</v>
      </c>
      <c r="T28" s="39">
        <f>ROUND(【収益】料金単価!$S$17,0)</f>
        <v>14824</v>
      </c>
      <c r="U28" s="39">
        <f>ROUND(【収益】料金単価!$S$17,0)</f>
        <v>14824</v>
      </c>
      <c r="V28" s="39">
        <f>ROUND(【収益】料金単価!$S$17,0)</f>
        <v>14824</v>
      </c>
      <c r="W28" s="39">
        <f>ROUND(【収益】料金単価!$S$17,0)</f>
        <v>14824</v>
      </c>
      <c r="X28" s="39">
        <f>ROUND(【収益】料金単価!$S$17,0)</f>
        <v>14824</v>
      </c>
      <c r="Y28" s="39">
        <f>ROUND(【収益】料金単価!$S$17,0)</f>
        <v>14824</v>
      </c>
      <c r="Z28" s="39">
        <f>ROUND(【収益】料金単価!$S$17,0)</f>
        <v>14824</v>
      </c>
      <c r="AA28" s="39">
        <f>ROUND(【収益】料金単価!$S$17,0)</f>
        <v>14824</v>
      </c>
      <c r="AB28" s="39">
        <f>ROUND(【収益】料金単価!$S$17,0)</f>
        <v>14824</v>
      </c>
      <c r="AC28" s="39">
        <f>ROUND(【収益】料金単価!$S$17,0)</f>
        <v>14824</v>
      </c>
      <c r="AD28" s="39">
        <f>ROUND(【収益】料金単価!$S$17,0)</f>
        <v>14824</v>
      </c>
      <c r="AE28" s="39">
        <f>ROUND(【収益】料金単価!$S$17,0)</f>
        <v>14824</v>
      </c>
      <c r="AF28" s="39">
        <f>ROUND(【収益】料金単価!$S$17,0)</f>
        <v>14824</v>
      </c>
      <c r="AG28" s="39">
        <f>ROUND(【収益】料金単価!$S$17,0)</f>
        <v>14824</v>
      </c>
      <c r="AH28" s="39">
        <f>ROUND(【収益】料金単価!$S$17,0)</f>
        <v>14824</v>
      </c>
      <c r="AI28" s="39">
        <f>ROUND(【収益】料金単価!$S$17,0)</f>
        <v>14824</v>
      </c>
      <c r="AJ28" s="39">
        <f>ROUND(【収益】料金単価!$S$17,0)</f>
        <v>14824</v>
      </c>
      <c r="AK28" s="39">
        <f>ROUND(【収益】料金単価!$S$17,0)</f>
        <v>14824</v>
      </c>
      <c r="AL28" s="39">
        <f>ROUND(【収益】料金単価!$S$17,0)</f>
        <v>14824</v>
      </c>
      <c r="AM28" s="39">
        <f>ROUND(【収益】料金単価!$S$17,0)</f>
        <v>14824</v>
      </c>
      <c r="AN28" s="39">
        <f>ROUND(【収益】料金単価!$S$17,0)</f>
        <v>14824</v>
      </c>
      <c r="AO28" s="39">
        <f>ROUND(【収益】料金単価!$S$17,0)</f>
        <v>14824</v>
      </c>
      <c r="AP28" s="39">
        <f>ROUND(【収益】料金単価!$S$17,0)</f>
        <v>14824</v>
      </c>
      <c r="AQ28" s="39">
        <f>ROUND(【収益】料金単価!$S$17,0)</f>
        <v>14824</v>
      </c>
      <c r="AR28" s="39">
        <f>ROUND(【収益】料金単価!$S$17,0)</f>
        <v>14824</v>
      </c>
      <c r="AS28" s="39">
        <f>ROUND(【収益】料金単価!$S$17,0)</f>
        <v>14824</v>
      </c>
      <c r="AT28" s="39">
        <f>ROUND(【収益】料金単価!$S$17,0)</f>
        <v>14824</v>
      </c>
      <c r="AU28" s="39">
        <f>ROUND(【収益】料金単価!$S$17,0)</f>
        <v>14824</v>
      </c>
      <c r="AV28" s="39">
        <f>ROUND(【収益】料金単価!$S$17,0)</f>
        <v>14824</v>
      </c>
      <c r="AW28" s="39">
        <f>ROUND(【収益】料金単価!$S$17,0)</f>
        <v>14824</v>
      </c>
      <c r="AX28" s="39">
        <f>ROUND(【収益】料金単価!$S$17,0)</f>
        <v>14824</v>
      </c>
      <c r="AY28" s="39">
        <f>ROUND(【収益】料金単価!$S$17,0)</f>
        <v>14824</v>
      </c>
      <c r="AZ28" s="39">
        <f>ROUND(【収益】料金単価!$S$17,0)</f>
        <v>14824</v>
      </c>
      <c r="BA28" s="39">
        <f>ROUND(【収益】料金単価!$S$17,0)</f>
        <v>14824</v>
      </c>
      <c r="BB28" s="39">
        <f>ROUND(【収益】料金単価!$S$17,0)</f>
        <v>14824</v>
      </c>
      <c r="BC28" s="39">
        <f>ROUND(【収益】料金単価!$S$17,0)</f>
        <v>14824</v>
      </c>
      <c r="BD28" s="39">
        <f>ROUND(【収益】料金単価!$S$17,0)</f>
        <v>14824</v>
      </c>
      <c r="BE28" s="39">
        <f>ROUND(【収益】料金単価!$S$17,0)</f>
        <v>14824</v>
      </c>
      <c r="BF28" s="39">
        <f>ROUND(【収益】料金単価!$S$17,0)</f>
        <v>14824</v>
      </c>
      <c r="BG28" s="39">
        <f>ROUND(【収益】料金単価!$S$17,0)</f>
        <v>14824</v>
      </c>
      <c r="BH28" s="39">
        <f>ROUND(【収益】料金単価!$S$17,0)</f>
        <v>14824</v>
      </c>
      <c r="BI28" s="39">
        <f>ROUND(【収益】料金単価!$S$17,0)</f>
        <v>14824</v>
      </c>
      <c r="BJ28" s="39">
        <f>ROUND(【収益】料金単価!$S$17,0)</f>
        <v>14824</v>
      </c>
      <c r="BK28" s="39">
        <f>ROUND(【収益】料金単価!$S$17,0)</f>
        <v>14824</v>
      </c>
      <c r="BL28" s="39">
        <f>ROUND(【収益】料金単価!$S$17,0)</f>
        <v>14824</v>
      </c>
      <c r="BM28" s="39">
        <f>ROUND(【収益】料金単価!$S$17,0)</f>
        <v>14824</v>
      </c>
      <c r="BN28" s="39">
        <f>ROUND(【収益】料金単価!$S$17,0)</f>
        <v>14824</v>
      </c>
      <c r="BO28" s="39">
        <f>ROUND(【収益】料金単価!$S$17,0)</f>
        <v>14824</v>
      </c>
      <c r="BP28" s="39">
        <f>ROUND(【収益】料金単価!$S$17,0)</f>
        <v>14824</v>
      </c>
    </row>
    <row r="29" spans="13:68" ht="4.2" customHeight="1"/>
    <row r="30" spans="13:68" s="24" customFormat="1">
      <c r="M30" s="25" t="s">
        <v>151</v>
      </c>
      <c r="N30" s="43"/>
      <c r="O30" s="43"/>
      <c r="P30" s="43"/>
      <c r="Q30" s="43"/>
      <c r="R30" s="43"/>
      <c r="S30" s="39">
        <f>S27+S28</f>
        <v>534023</v>
      </c>
      <c r="T30" s="39">
        <f t="shared" ref="T30:BP30" si="5">T27+T28</f>
        <v>534023</v>
      </c>
      <c r="U30" s="39">
        <f t="shared" si="5"/>
        <v>534023</v>
      </c>
      <c r="V30" s="39">
        <f t="shared" si="5"/>
        <v>534023</v>
      </c>
      <c r="W30" s="39">
        <f t="shared" si="5"/>
        <v>534023</v>
      </c>
      <c r="X30" s="39">
        <f t="shared" si="5"/>
        <v>534023</v>
      </c>
      <c r="Y30" s="39">
        <f t="shared" si="5"/>
        <v>534023</v>
      </c>
      <c r="Z30" s="39">
        <f t="shared" si="5"/>
        <v>534023</v>
      </c>
      <c r="AA30" s="39">
        <f t="shared" si="5"/>
        <v>534023</v>
      </c>
      <c r="AB30" s="39">
        <f t="shared" si="5"/>
        <v>534023</v>
      </c>
      <c r="AC30" s="39">
        <f t="shared" si="5"/>
        <v>534023</v>
      </c>
      <c r="AD30" s="39">
        <f t="shared" si="5"/>
        <v>534023</v>
      </c>
      <c r="AE30" s="39">
        <f t="shared" si="5"/>
        <v>534023</v>
      </c>
      <c r="AF30" s="39">
        <f t="shared" si="5"/>
        <v>534023</v>
      </c>
      <c r="AG30" s="39">
        <f t="shared" si="5"/>
        <v>534023</v>
      </c>
      <c r="AH30" s="39">
        <f t="shared" si="5"/>
        <v>534023</v>
      </c>
      <c r="AI30" s="39">
        <f t="shared" si="5"/>
        <v>534023</v>
      </c>
      <c r="AJ30" s="39">
        <f t="shared" si="5"/>
        <v>534023</v>
      </c>
      <c r="AK30" s="39">
        <f t="shared" si="5"/>
        <v>534023</v>
      </c>
      <c r="AL30" s="39">
        <f t="shared" si="5"/>
        <v>534023</v>
      </c>
      <c r="AM30" s="39">
        <f t="shared" si="5"/>
        <v>534023</v>
      </c>
      <c r="AN30" s="39">
        <f t="shared" si="5"/>
        <v>534023</v>
      </c>
      <c r="AO30" s="39">
        <f t="shared" si="5"/>
        <v>534023</v>
      </c>
      <c r="AP30" s="39">
        <f t="shared" si="5"/>
        <v>534023</v>
      </c>
      <c r="AQ30" s="39">
        <f t="shared" si="5"/>
        <v>534023</v>
      </c>
      <c r="AR30" s="39">
        <f t="shared" si="5"/>
        <v>534023</v>
      </c>
      <c r="AS30" s="39">
        <f t="shared" si="5"/>
        <v>534023</v>
      </c>
      <c r="AT30" s="39">
        <f t="shared" si="5"/>
        <v>534023</v>
      </c>
      <c r="AU30" s="39">
        <f t="shared" si="5"/>
        <v>534023</v>
      </c>
      <c r="AV30" s="39">
        <f t="shared" si="5"/>
        <v>534023</v>
      </c>
      <c r="AW30" s="39">
        <f t="shared" si="5"/>
        <v>534023</v>
      </c>
      <c r="AX30" s="39">
        <f t="shared" si="5"/>
        <v>534023</v>
      </c>
      <c r="AY30" s="39">
        <f t="shared" si="5"/>
        <v>534023</v>
      </c>
      <c r="AZ30" s="39">
        <f t="shared" si="5"/>
        <v>534023</v>
      </c>
      <c r="BA30" s="39">
        <f t="shared" si="5"/>
        <v>534023</v>
      </c>
      <c r="BB30" s="39">
        <f t="shared" si="5"/>
        <v>534023</v>
      </c>
      <c r="BC30" s="39">
        <f t="shared" si="5"/>
        <v>534023</v>
      </c>
      <c r="BD30" s="39">
        <f t="shared" si="5"/>
        <v>534023</v>
      </c>
      <c r="BE30" s="39">
        <f t="shared" si="5"/>
        <v>534023</v>
      </c>
      <c r="BF30" s="39">
        <f t="shared" si="5"/>
        <v>534023</v>
      </c>
      <c r="BG30" s="39">
        <f t="shared" si="5"/>
        <v>534023</v>
      </c>
      <c r="BH30" s="39">
        <f t="shared" si="5"/>
        <v>534023</v>
      </c>
      <c r="BI30" s="39">
        <f t="shared" si="5"/>
        <v>534023</v>
      </c>
      <c r="BJ30" s="39">
        <f t="shared" si="5"/>
        <v>534023</v>
      </c>
      <c r="BK30" s="39">
        <f t="shared" si="5"/>
        <v>534023</v>
      </c>
      <c r="BL30" s="39">
        <f t="shared" si="5"/>
        <v>534023</v>
      </c>
      <c r="BM30" s="39">
        <f t="shared" si="5"/>
        <v>534023</v>
      </c>
      <c r="BN30" s="39">
        <f t="shared" si="5"/>
        <v>534023</v>
      </c>
      <c r="BO30" s="39">
        <f t="shared" si="5"/>
        <v>534023</v>
      </c>
      <c r="BP30" s="39">
        <f t="shared" si="5"/>
        <v>534023</v>
      </c>
    </row>
    <row r="32" spans="13:68" s="24" customFormat="1">
      <c r="M32" s="25" t="s">
        <v>700</v>
      </c>
      <c r="N32" s="43"/>
      <c r="O32" s="43"/>
      <c r="P32" s="43"/>
      <c r="Q32" s="43"/>
      <c r="R32" s="43"/>
      <c r="S32" s="39">
        <f>S23+S30</f>
        <v>139634471</v>
      </c>
      <c r="T32" s="39">
        <f t="shared" ref="T32:BP32" si="6">T23+T30</f>
        <v>167504576</v>
      </c>
      <c r="U32" s="39">
        <f t="shared" si="6"/>
        <v>165289581</v>
      </c>
      <c r="V32" s="39">
        <f t="shared" si="6"/>
        <v>163362898</v>
      </c>
      <c r="W32" s="39">
        <f t="shared" si="6"/>
        <v>161489059</v>
      </c>
      <c r="X32" s="39">
        <f t="shared" si="6"/>
        <v>159891925</v>
      </c>
      <c r="Y32" s="39">
        <f t="shared" si="6"/>
        <v>156552270</v>
      </c>
      <c r="Z32" s="39">
        <f t="shared" si="6"/>
        <v>154899729</v>
      </c>
      <c r="AA32" s="39">
        <f t="shared" si="6"/>
        <v>153283444</v>
      </c>
      <c r="AB32" s="39">
        <f t="shared" si="6"/>
        <v>151917255</v>
      </c>
      <c r="AC32" s="39">
        <f t="shared" si="6"/>
        <v>150127148</v>
      </c>
      <c r="AD32" s="39">
        <f t="shared" si="6"/>
        <v>146472222</v>
      </c>
      <c r="AE32" s="39">
        <f t="shared" si="6"/>
        <v>145112721</v>
      </c>
      <c r="AF32" s="39">
        <f t="shared" si="6"/>
        <v>143975310</v>
      </c>
      <c r="AG32" s="39">
        <f t="shared" si="6"/>
        <v>142451579</v>
      </c>
      <c r="AH32" s="39">
        <f t="shared" si="6"/>
        <v>141161653</v>
      </c>
      <c r="AI32" s="39">
        <f t="shared" si="6"/>
        <v>137154661</v>
      </c>
      <c r="AJ32" s="39">
        <f t="shared" si="6"/>
        <v>136215734</v>
      </c>
      <c r="AK32" s="39">
        <f t="shared" si="6"/>
        <v>134936258</v>
      </c>
      <c r="AL32" s="39">
        <f t="shared" si="6"/>
        <v>133847082</v>
      </c>
      <c r="AM32" s="39">
        <f t="shared" si="6"/>
        <v>132775825</v>
      </c>
      <c r="AN32" s="39">
        <f t="shared" si="6"/>
        <v>128823624</v>
      </c>
      <c r="AO32" s="39">
        <f t="shared" si="6"/>
        <v>127745415</v>
      </c>
      <c r="AP32" s="39">
        <f t="shared" si="6"/>
        <v>126847463</v>
      </c>
      <c r="AQ32" s="39">
        <f t="shared" si="6"/>
        <v>125946860</v>
      </c>
      <c r="AR32" s="39">
        <f t="shared" si="6"/>
        <v>125215140</v>
      </c>
      <c r="AS32" s="39">
        <f t="shared" si="6"/>
        <v>120921862</v>
      </c>
      <c r="AT32" s="39">
        <f t="shared" si="6"/>
        <v>120206015</v>
      </c>
      <c r="AU32" s="39">
        <f t="shared" si="6"/>
        <v>119506899</v>
      </c>
      <c r="AV32" s="39">
        <f t="shared" si="6"/>
        <v>118946284</v>
      </c>
      <c r="AW32" s="39">
        <f t="shared" si="6"/>
        <v>118126883</v>
      </c>
      <c r="AX32" s="39">
        <f t="shared" si="6"/>
        <v>117441869</v>
      </c>
      <c r="AY32" s="39">
        <f t="shared" si="6"/>
        <v>116759484</v>
      </c>
      <c r="AZ32" s="39">
        <f t="shared" si="6"/>
        <v>116223674</v>
      </c>
      <c r="BA32" s="39">
        <f t="shared" si="6"/>
        <v>115428748</v>
      </c>
      <c r="BB32" s="39">
        <f t="shared" si="6"/>
        <v>114782619</v>
      </c>
      <c r="BC32" s="39">
        <f t="shared" si="6"/>
        <v>114133982</v>
      </c>
      <c r="BD32" s="39">
        <f t="shared" si="6"/>
        <v>113608611</v>
      </c>
      <c r="BE32" s="39">
        <f t="shared" si="6"/>
        <v>112853439</v>
      </c>
      <c r="BF32" s="39">
        <f t="shared" si="6"/>
        <v>112221533</v>
      </c>
      <c r="BG32" s="39">
        <f t="shared" si="6"/>
        <v>111605049</v>
      </c>
      <c r="BH32" s="39">
        <f t="shared" si="6"/>
        <v>111107563</v>
      </c>
      <c r="BI32" s="39">
        <f t="shared" si="6"/>
        <v>110372213</v>
      </c>
      <c r="BJ32" s="39">
        <f t="shared" si="6"/>
        <v>109773912</v>
      </c>
      <c r="BK32" s="39">
        <f t="shared" si="6"/>
        <v>109175611</v>
      </c>
      <c r="BL32" s="39">
        <f t="shared" si="6"/>
        <v>108680710</v>
      </c>
      <c r="BM32" s="39">
        <f t="shared" si="6"/>
        <v>107989679</v>
      </c>
      <c r="BN32" s="39">
        <f t="shared" si="6"/>
        <v>107408252</v>
      </c>
      <c r="BO32" s="39">
        <f t="shared" si="6"/>
        <v>106829333</v>
      </c>
      <c r="BP32" s="39">
        <f t="shared" si="6"/>
        <v>106371315</v>
      </c>
    </row>
  </sheetData>
  <phoneticPr fontId="4"/>
  <pageMargins left="0.70866141732283472" right="0.70866141732283472" top="0.74803149606299213" bottom="0.74803149606299213" header="0.31496062992125984" footer="0.31496062992125984"/>
  <pageSetup paperSize="9" fitToWidth="0" orientation="landscape" verticalDpi="0" r:id="rId1"/>
  <headerFooter>
    <oddHeader>&amp;A</oddHeader>
    <oddFooter>&amp;P / &amp;N ページ</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C6791-0ABB-4872-8654-E1C2574F67C3}">
  <sheetPr>
    <tabColor rgb="FFFF0000"/>
    <pageSetUpPr fitToPage="1"/>
  </sheetPr>
  <dimension ref="A2:BV34"/>
  <sheetViews>
    <sheetView showGridLines="0" zoomScale="85" zoomScaleNormal="85" workbookViewId="0">
      <selection activeCell="O11" sqref="O11"/>
    </sheetView>
  </sheetViews>
  <sheetFormatPr defaultRowHeight="14.4" outlineLevelRow="1" outlineLevelCol="1"/>
  <cols>
    <col min="1" max="1" width="2.90625" customWidth="1"/>
    <col min="2" max="12" width="8.7265625" hidden="1" customWidth="1" outlineLevel="1"/>
    <col min="13" max="13" width="14" customWidth="1" collapsed="1"/>
    <col min="14" max="24" width="8.81640625" customWidth="1"/>
  </cols>
  <sheetData>
    <row r="2" spans="1:74">
      <c r="A2" t="s">
        <v>152</v>
      </c>
      <c r="N2">
        <v>2014</v>
      </c>
      <c r="O2">
        <v>2015</v>
      </c>
      <c r="P2">
        <v>2016</v>
      </c>
      <c r="Q2">
        <v>2017</v>
      </c>
      <c r="R2">
        <v>2018</v>
      </c>
      <c r="S2">
        <v>2019</v>
      </c>
      <c r="T2">
        <v>2020</v>
      </c>
      <c r="U2">
        <v>2021</v>
      </c>
      <c r="V2">
        <v>2022</v>
      </c>
      <c r="W2">
        <v>2023</v>
      </c>
      <c r="Y2">
        <v>2024</v>
      </c>
      <c r="Z2">
        <v>2025</v>
      </c>
      <c r="AA2">
        <v>2026</v>
      </c>
      <c r="AB2">
        <v>2027</v>
      </c>
      <c r="AC2">
        <v>2028</v>
      </c>
      <c r="AD2">
        <v>2029</v>
      </c>
      <c r="AE2">
        <v>2030</v>
      </c>
      <c r="AF2">
        <v>2031</v>
      </c>
      <c r="AG2">
        <v>2032</v>
      </c>
      <c r="AH2">
        <v>2033</v>
      </c>
      <c r="AI2">
        <v>2034</v>
      </c>
      <c r="AJ2">
        <v>2035</v>
      </c>
      <c r="AK2">
        <v>2036</v>
      </c>
      <c r="AL2">
        <v>2037</v>
      </c>
      <c r="AM2">
        <v>2038</v>
      </c>
      <c r="AN2">
        <v>2039</v>
      </c>
      <c r="AO2">
        <v>2040</v>
      </c>
      <c r="AP2">
        <v>2041</v>
      </c>
      <c r="AQ2">
        <v>2042</v>
      </c>
      <c r="AR2">
        <v>2043</v>
      </c>
      <c r="AS2">
        <v>2044</v>
      </c>
      <c r="AT2">
        <v>2045</v>
      </c>
      <c r="AU2">
        <v>2046</v>
      </c>
      <c r="AV2">
        <v>2047</v>
      </c>
      <c r="AW2">
        <v>2048</v>
      </c>
      <c r="AX2">
        <v>2049</v>
      </c>
      <c r="AY2">
        <v>2050</v>
      </c>
      <c r="AZ2">
        <v>2051</v>
      </c>
      <c r="BA2">
        <v>2052</v>
      </c>
      <c r="BB2">
        <v>2053</v>
      </c>
      <c r="BC2">
        <v>2054</v>
      </c>
      <c r="BD2">
        <v>2055</v>
      </c>
      <c r="BE2">
        <v>2056</v>
      </c>
      <c r="BF2">
        <v>2057</v>
      </c>
      <c r="BG2">
        <v>2058</v>
      </c>
      <c r="BH2">
        <v>2059</v>
      </c>
      <c r="BI2">
        <v>2060</v>
      </c>
      <c r="BJ2">
        <v>2061</v>
      </c>
      <c r="BK2">
        <v>2062</v>
      </c>
      <c r="BL2">
        <v>2063</v>
      </c>
      <c r="BM2">
        <v>2064</v>
      </c>
      <c r="BN2">
        <v>2065</v>
      </c>
      <c r="BO2">
        <v>2066</v>
      </c>
      <c r="BP2">
        <v>2067</v>
      </c>
      <c r="BQ2">
        <v>2068</v>
      </c>
      <c r="BR2">
        <v>2069</v>
      </c>
      <c r="BS2">
        <v>2070</v>
      </c>
      <c r="BT2">
        <v>2071</v>
      </c>
      <c r="BU2">
        <v>2072</v>
      </c>
      <c r="BV2">
        <v>2073</v>
      </c>
    </row>
    <row r="3" spans="1:74">
      <c r="N3" s="114" t="s">
        <v>11</v>
      </c>
      <c r="O3" s="114"/>
      <c r="P3" s="114"/>
      <c r="Q3" s="114"/>
      <c r="R3" s="114"/>
      <c r="S3" s="114"/>
      <c r="T3" s="115"/>
      <c r="U3" s="115"/>
      <c r="V3" s="115"/>
      <c r="W3" s="116"/>
      <c r="X3" s="115" t="s">
        <v>177</v>
      </c>
      <c r="Y3" s="22" t="s">
        <v>334</v>
      </c>
      <c r="Z3" s="14"/>
      <c r="AA3" s="14"/>
      <c r="AB3" s="14"/>
      <c r="AC3" s="15"/>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row>
    <row r="4" spans="1:74">
      <c r="N4" s="35" t="s">
        <v>12</v>
      </c>
      <c r="O4" s="35" t="s">
        <v>13</v>
      </c>
      <c r="P4" s="35" t="s">
        <v>591</v>
      </c>
      <c r="Q4" s="35" t="s">
        <v>590</v>
      </c>
      <c r="R4" s="35" t="s">
        <v>575</v>
      </c>
      <c r="S4" s="35" t="s">
        <v>589</v>
      </c>
      <c r="T4" s="35" t="s">
        <v>19</v>
      </c>
      <c r="U4" s="35" t="s">
        <v>20</v>
      </c>
      <c r="V4" s="35" t="s">
        <v>588</v>
      </c>
      <c r="W4" s="35" t="s">
        <v>594</v>
      </c>
      <c r="X4" s="11"/>
      <c r="Y4" s="11" t="s">
        <v>23</v>
      </c>
      <c r="Z4" s="11" t="s">
        <v>24</v>
      </c>
      <c r="AA4" s="11" t="s">
        <v>25</v>
      </c>
      <c r="AB4" s="11" t="s">
        <v>26</v>
      </c>
      <c r="AC4" s="11" t="s">
        <v>27</v>
      </c>
      <c r="AD4" s="11" t="s">
        <v>28</v>
      </c>
      <c r="AE4" s="11" t="s">
        <v>29</v>
      </c>
      <c r="AF4" s="11" t="s">
        <v>30</v>
      </c>
      <c r="AG4" s="11" t="s">
        <v>31</v>
      </c>
      <c r="AH4" s="11" t="s">
        <v>32</v>
      </c>
      <c r="AI4" s="11" t="s">
        <v>33</v>
      </c>
      <c r="AJ4" s="11" t="s">
        <v>34</v>
      </c>
      <c r="AK4" s="11" t="s">
        <v>35</v>
      </c>
      <c r="AL4" s="11" t="s">
        <v>36</v>
      </c>
      <c r="AM4" s="11" t="s">
        <v>37</v>
      </c>
      <c r="AN4" s="11" t="s">
        <v>38</v>
      </c>
      <c r="AO4" s="11" t="s">
        <v>39</v>
      </c>
      <c r="AP4" s="11" t="s">
        <v>40</v>
      </c>
      <c r="AQ4" s="11" t="s">
        <v>41</v>
      </c>
      <c r="AR4" s="11" t="s">
        <v>42</v>
      </c>
      <c r="AS4" s="11" t="s">
        <v>43</v>
      </c>
      <c r="AT4" s="11" t="s">
        <v>44</v>
      </c>
      <c r="AU4" s="11" t="s">
        <v>45</v>
      </c>
      <c r="AV4" s="11" t="s">
        <v>46</v>
      </c>
      <c r="AW4" s="11" t="s">
        <v>47</v>
      </c>
      <c r="AX4" s="11" t="s">
        <v>48</v>
      </c>
      <c r="AY4" s="11" t="s">
        <v>49</v>
      </c>
      <c r="AZ4" s="11" t="s">
        <v>50</v>
      </c>
      <c r="BA4" s="11" t="s">
        <v>51</v>
      </c>
      <c r="BB4" s="11" t="s">
        <v>52</v>
      </c>
      <c r="BC4" s="11" t="s">
        <v>53</v>
      </c>
      <c r="BD4" s="11" t="s">
        <v>54</v>
      </c>
      <c r="BE4" s="11" t="s">
        <v>55</v>
      </c>
      <c r="BF4" s="11" t="s">
        <v>56</v>
      </c>
      <c r="BG4" s="11" t="s">
        <v>57</v>
      </c>
      <c r="BH4" s="11" t="s">
        <v>58</v>
      </c>
      <c r="BI4" s="11" t="s">
        <v>59</v>
      </c>
      <c r="BJ4" s="11" t="s">
        <v>60</v>
      </c>
      <c r="BK4" s="11" t="s">
        <v>61</v>
      </c>
      <c r="BL4" s="11" t="s">
        <v>62</v>
      </c>
      <c r="BM4" s="11" t="s">
        <v>63</v>
      </c>
      <c r="BN4" s="11" t="s">
        <v>64</v>
      </c>
      <c r="BO4" s="11" t="s">
        <v>65</v>
      </c>
      <c r="BP4" s="11" t="s">
        <v>66</v>
      </c>
      <c r="BQ4" s="11" t="s">
        <v>67</v>
      </c>
      <c r="BR4" s="11" t="s">
        <v>670</v>
      </c>
      <c r="BS4" s="11" t="s">
        <v>671</v>
      </c>
      <c r="BT4" s="11" t="s">
        <v>672</v>
      </c>
      <c r="BU4" s="11" t="s">
        <v>673</v>
      </c>
      <c r="BV4" s="11" t="s">
        <v>674</v>
      </c>
    </row>
    <row r="5" spans="1:74" s="24" customFormat="1">
      <c r="M5" s="25" t="s">
        <v>149</v>
      </c>
      <c r="N5" s="44">
        <f>【統計】水道統計指標!G4</f>
        <v>7012</v>
      </c>
      <c r="O5" s="44">
        <f>【統計】水道統計指標!H4</f>
        <v>6818</v>
      </c>
      <c r="P5" s="44">
        <f>【統計】水道統計指標!I4</f>
        <v>6668</v>
      </c>
      <c r="Q5" s="44">
        <f>【統計】水道統計指標!J4</f>
        <v>6575</v>
      </c>
      <c r="R5" s="44">
        <f>【統計】水道統計指標!K4</f>
        <v>6466</v>
      </c>
      <c r="S5" s="44">
        <f>【統計】水道統計指標!L4</f>
        <v>6337</v>
      </c>
      <c r="T5" s="44">
        <f>【統計】水道統計指標!M4</f>
        <v>6211</v>
      </c>
      <c r="U5" s="44">
        <f>【統計】水道統計指標!N4</f>
        <v>6033</v>
      </c>
      <c r="V5" s="44">
        <f>【統計】水道統計指標!O4</f>
        <v>5928</v>
      </c>
      <c r="W5" s="44">
        <f>【統計】水道統計指標!P4</f>
        <v>6263</v>
      </c>
      <c r="X5" s="44"/>
      <c r="Y5" s="164">
        <v>5771</v>
      </c>
      <c r="Z5" s="164">
        <v>5743</v>
      </c>
      <c r="AA5" s="25">
        <f t="shared" ref="AA5" si="0">ROUND(Z5*(1-AA6),0)</f>
        <v>5625</v>
      </c>
      <c r="AB5" s="25">
        <f t="shared" ref="AB5" si="1">ROUND(AA5*(1-AB6),0)</f>
        <v>5509</v>
      </c>
      <c r="AC5" s="25">
        <f t="shared" ref="AC5" si="2">ROUND(AB5*(1-AC6),0)</f>
        <v>5396</v>
      </c>
      <c r="AD5" s="25">
        <f t="shared" ref="AD5" si="3">ROUND(AC5*(1-AD6),0)</f>
        <v>5285</v>
      </c>
      <c r="AE5" s="164">
        <v>5102</v>
      </c>
      <c r="AF5" s="25">
        <f t="shared" ref="AF5" si="4">ROUND(AE5*(1-AF6),0)</f>
        <v>5005</v>
      </c>
      <c r="AG5" s="25">
        <f t="shared" ref="AG5" si="5">ROUND(AF5*(1-AG6),0)</f>
        <v>4910</v>
      </c>
      <c r="AH5" s="25">
        <f t="shared" ref="AH5" si="6">ROUND(AG5*(1-AH6),0)</f>
        <v>4817</v>
      </c>
      <c r="AI5" s="25">
        <f t="shared" ref="AI5" si="7">ROUND(AH5*(1-AI6),0)</f>
        <v>4725</v>
      </c>
      <c r="AJ5" s="164">
        <v>4510</v>
      </c>
      <c r="AK5" s="25">
        <f t="shared" ref="AK5" si="8">ROUND(AJ5*(1-AK6),0)</f>
        <v>4432</v>
      </c>
      <c r="AL5" s="25">
        <f t="shared" ref="AL5" si="9">ROUND(AK5*(1-AL6),0)</f>
        <v>4355</v>
      </c>
      <c r="AM5" s="25">
        <f t="shared" ref="AM5" si="10">ROUND(AL5*(1-AM6),0)</f>
        <v>4279</v>
      </c>
      <c r="AN5" s="25">
        <f t="shared" ref="AN5" si="11">ROUND(AM5*(1-AN6),0)</f>
        <v>4205</v>
      </c>
      <c r="AO5" s="164">
        <v>3972</v>
      </c>
      <c r="AP5" s="25">
        <f t="shared" ref="AP5" si="12">ROUND(AO5*(1-AP6),0)</f>
        <v>3911</v>
      </c>
      <c r="AQ5" s="25">
        <f t="shared" ref="AQ5" si="13">ROUND(AP5*(1-AQ6),0)</f>
        <v>3851</v>
      </c>
      <c r="AR5" s="25">
        <f t="shared" ref="AR5" si="14">ROUND(AQ5*(1-AR6),0)</f>
        <v>3792</v>
      </c>
      <c r="AS5" s="25">
        <f t="shared" ref="AS5" si="15">ROUND(AR5*(1-AS6),0)</f>
        <v>3734</v>
      </c>
      <c r="AT5" s="164">
        <v>3495</v>
      </c>
      <c r="AU5" s="25">
        <f t="shared" ref="AU5" si="16">ROUND(AT5*(1-AU6),0)</f>
        <v>3446</v>
      </c>
      <c r="AV5" s="25">
        <f t="shared" ref="AV5" si="17">ROUND(AU5*(1-AV6),0)</f>
        <v>3398</v>
      </c>
      <c r="AW5" s="25">
        <f t="shared" ref="AW5" si="18">ROUND(AV5*(1-AW6),0)</f>
        <v>3350</v>
      </c>
      <c r="AX5" s="25">
        <f t="shared" ref="AX5" si="19">ROUND(AW5*(1-AX6),0)</f>
        <v>3303</v>
      </c>
      <c r="AY5" s="164">
        <v>3062</v>
      </c>
      <c r="AZ5" s="25">
        <f t="shared" ref="AZ5" si="20">ROUND(AY5*(1-AZ6),0)</f>
        <v>3025</v>
      </c>
      <c r="BA5" s="25">
        <f t="shared" ref="BA5" si="21">ROUND(AZ5*(1-BA6),0)</f>
        <v>2989</v>
      </c>
      <c r="BB5" s="25">
        <f t="shared" ref="BB5" si="22">ROUND(BA5*(1-BB6),0)</f>
        <v>2953</v>
      </c>
      <c r="BC5" s="25">
        <f t="shared" ref="BC5" si="23">ROUND(BB5*(1-BC6),0)</f>
        <v>2918</v>
      </c>
      <c r="BD5" s="25">
        <f t="shared" ref="BD5" si="24">ROUND(BC5*(1-BD6),0)</f>
        <v>2883</v>
      </c>
      <c r="BE5" s="25">
        <f t="shared" ref="BE5" si="25">ROUND(BD5*(1-BE6),0)</f>
        <v>2848</v>
      </c>
      <c r="BF5" s="25">
        <f t="shared" ref="BF5" si="26">ROUND(BE5*(1-BF6),0)</f>
        <v>2814</v>
      </c>
      <c r="BG5" s="25">
        <f t="shared" ref="BG5" si="27">ROUND(BF5*(1-BG6),0)</f>
        <v>2780</v>
      </c>
      <c r="BH5" s="25">
        <f t="shared" ref="BH5" si="28">ROUND(BG5*(1-BH6),0)</f>
        <v>2747</v>
      </c>
      <c r="BI5" s="25">
        <f t="shared" ref="BI5" si="29">ROUND(BH5*(1-BI6),0)</f>
        <v>2714</v>
      </c>
      <c r="BJ5" s="25">
        <f t="shared" ref="BJ5" si="30">ROUND(BI5*(1-BJ6),0)</f>
        <v>2681</v>
      </c>
      <c r="BK5" s="25">
        <f t="shared" ref="BK5" si="31">ROUND(BJ5*(1-BK6),0)</f>
        <v>2649</v>
      </c>
      <c r="BL5" s="25">
        <f t="shared" ref="BL5" si="32">ROUND(BK5*(1-BL6),0)</f>
        <v>2617</v>
      </c>
      <c r="BM5" s="25">
        <f t="shared" ref="BM5" si="33">ROUND(BL5*(1-BM6),0)</f>
        <v>2586</v>
      </c>
      <c r="BN5" s="25">
        <f t="shared" ref="BN5" si="34">ROUND(BM5*(1-BN6),0)</f>
        <v>2555</v>
      </c>
      <c r="BO5" s="25">
        <f t="shared" ref="BO5" si="35">ROUND(BN5*(1-BO6),0)</f>
        <v>2524</v>
      </c>
      <c r="BP5" s="25">
        <f t="shared" ref="BP5" si="36">ROUND(BO5*(1-BP6),0)</f>
        <v>2494</v>
      </c>
      <c r="BQ5" s="25">
        <f t="shared" ref="BQ5" si="37">ROUND(BP5*(1-BQ6),0)</f>
        <v>2464</v>
      </c>
      <c r="BR5" s="25">
        <f t="shared" ref="BR5" si="38">ROUND(BQ5*(1-BR6),0)</f>
        <v>2434</v>
      </c>
      <c r="BS5" s="25">
        <f t="shared" ref="BS5" si="39">ROUND(BR5*(1-BS6),0)</f>
        <v>2405</v>
      </c>
      <c r="BT5" s="25">
        <f t="shared" ref="BT5" si="40">ROUND(BS5*(1-BT6),0)</f>
        <v>2376</v>
      </c>
      <c r="BU5" s="25">
        <f t="shared" ref="BU5" si="41">ROUND(BT5*(1-BU6),0)</f>
        <v>2347</v>
      </c>
      <c r="BV5" s="25">
        <f t="shared" ref="BV5" si="42">ROUND(BU5*(1-BV6),0)</f>
        <v>2319</v>
      </c>
    </row>
    <row r="6" spans="1:74" s="26" customFormat="1" ht="15" thickBot="1">
      <c r="M6" s="45" t="s">
        <v>195</v>
      </c>
      <c r="N6" s="46"/>
      <c r="O6" s="46">
        <f>ROUND((N5-O5)/N5,3)</f>
        <v>2.8000000000000001E-2</v>
      </c>
      <c r="P6" s="46">
        <f t="shared" ref="P6:S6" si="43">ROUND((O5-P5)/O5,3)</f>
        <v>2.1999999999999999E-2</v>
      </c>
      <c r="Q6" s="46">
        <f>ROUND((P5-Q5)/P5,3)</f>
        <v>1.4E-2</v>
      </c>
      <c r="R6" s="46">
        <f t="shared" si="43"/>
        <v>1.7000000000000001E-2</v>
      </c>
      <c r="S6" s="46">
        <f t="shared" si="43"/>
        <v>0.02</v>
      </c>
      <c r="T6" s="46">
        <f>ROUND((S5-T5)/S5,3)</f>
        <v>0.02</v>
      </c>
      <c r="U6" s="46">
        <f t="shared" ref="U6:V6" si="44">ROUND((T5-U5)/T5,3)</f>
        <v>2.9000000000000001E-2</v>
      </c>
      <c r="V6" s="46">
        <f t="shared" si="44"/>
        <v>1.7000000000000001E-2</v>
      </c>
      <c r="W6" s="46">
        <f>ROUND((V5-W5)/V5,3)</f>
        <v>-5.7000000000000002E-2</v>
      </c>
      <c r="X6" s="46">
        <f>ROUND(AVERAGE(O6:W6),3)</f>
        <v>1.2E-2</v>
      </c>
      <c r="Y6" s="165"/>
      <c r="Z6" s="165">
        <f>ROUND(($Z$5-$AE$5)/$T$5,3)/5</f>
        <v>2.06E-2</v>
      </c>
      <c r="AA6" s="165">
        <f t="shared" ref="AA6:AD6" si="45">ROUND(($Z$5-$AE$5)/$T$5,3)/5</f>
        <v>2.06E-2</v>
      </c>
      <c r="AB6" s="165">
        <f t="shared" si="45"/>
        <v>2.06E-2</v>
      </c>
      <c r="AC6" s="165">
        <f t="shared" si="45"/>
        <v>2.06E-2</v>
      </c>
      <c r="AD6" s="165">
        <f t="shared" si="45"/>
        <v>2.06E-2</v>
      </c>
      <c r="AE6" s="165">
        <f>ROUND(($AE$5-$AJ$5)/$T$5,3)/5</f>
        <v>1.9E-2</v>
      </c>
      <c r="AF6" s="165">
        <f t="shared" ref="AF6:AI6" si="46">ROUND(($AE$5-$AJ$5)/$T$5,3)/5</f>
        <v>1.9E-2</v>
      </c>
      <c r="AG6" s="165">
        <f t="shared" si="46"/>
        <v>1.9E-2</v>
      </c>
      <c r="AH6" s="165">
        <f t="shared" si="46"/>
        <v>1.9E-2</v>
      </c>
      <c r="AI6" s="165">
        <f t="shared" si="46"/>
        <v>1.9E-2</v>
      </c>
      <c r="AJ6" s="165">
        <f>ROUND(($AJ$5-$AO$5)/$T$5,3)/5</f>
        <v>1.7399999999999999E-2</v>
      </c>
      <c r="AK6" s="165">
        <f t="shared" ref="AK6:AN6" si="47">ROUND(($AJ$5-$AO$5)/$T$5,3)/5</f>
        <v>1.7399999999999999E-2</v>
      </c>
      <c r="AL6" s="165">
        <f t="shared" si="47"/>
        <v>1.7399999999999999E-2</v>
      </c>
      <c r="AM6" s="165">
        <f t="shared" si="47"/>
        <v>1.7399999999999999E-2</v>
      </c>
      <c r="AN6" s="165">
        <f t="shared" si="47"/>
        <v>1.7399999999999999E-2</v>
      </c>
      <c r="AO6" s="165">
        <f>ROUND(($AO$5-$AT$5)/$T$5,3)/5</f>
        <v>1.54E-2</v>
      </c>
      <c r="AP6" s="165">
        <f t="shared" ref="AP6:AS6" si="48">ROUND(($AO$5-$AT$5)/$T$5,3)/5</f>
        <v>1.54E-2</v>
      </c>
      <c r="AQ6" s="165">
        <f t="shared" si="48"/>
        <v>1.54E-2</v>
      </c>
      <c r="AR6" s="165">
        <f t="shared" si="48"/>
        <v>1.54E-2</v>
      </c>
      <c r="AS6" s="165">
        <f t="shared" si="48"/>
        <v>1.54E-2</v>
      </c>
      <c r="AT6" s="165">
        <f>ROUND(($AT$5-$AY$5)/$T$5,3)/5</f>
        <v>1.4000000000000002E-2</v>
      </c>
      <c r="AU6" s="165">
        <f t="shared" ref="AU6:AX6" si="49">ROUND(($AT$5-$AY$5)/$T$5,3)/5</f>
        <v>1.4000000000000002E-2</v>
      </c>
      <c r="AV6" s="165">
        <f t="shared" si="49"/>
        <v>1.4000000000000002E-2</v>
      </c>
      <c r="AW6" s="165">
        <f t="shared" si="49"/>
        <v>1.4000000000000002E-2</v>
      </c>
      <c r="AX6" s="165">
        <f t="shared" si="49"/>
        <v>1.4000000000000002E-2</v>
      </c>
      <c r="AY6" s="165">
        <f>X6</f>
        <v>1.2E-2</v>
      </c>
      <c r="AZ6" s="165">
        <f>AY6</f>
        <v>1.2E-2</v>
      </c>
      <c r="BA6" s="165">
        <f t="shared" ref="BA6:BV6" si="50">AZ6</f>
        <v>1.2E-2</v>
      </c>
      <c r="BB6" s="165">
        <f t="shared" si="50"/>
        <v>1.2E-2</v>
      </c>
      <c r="BC6" s="165">
        <f t="shared" si="50"/>
        <v>1.2E-2</v>
      </c>
      <c r="BD6" s="165">
        <f t="shared" si="50"/>
        <v>1.2E-2</v>
      </c>
      <c r="BE6" s="165">
        <f t="shared" si="50"/>
        <v>1.2E-2</v>
      </c>
      <c r="BF6" s="165">
        <f t="shared" si="50"/>
        <v>1.2E-2</v>
      </c>
      <c r="BG6" s="165">
        <f t="shared" si="50"/>
        <v>1.2E-2</v>
      </c>
      <c r="BH6" s="165">
        <f t="shared" si="50"/>
        <v>1.2E-2</v>
      </c>
      <c r="BI6" s="165">
        <f t="shared" si="50"/>
        <v>1.2E-2</v>
      </c>
      <c r="BJ6" s="165">
        <f t="shared" si="50"/>
        <v>1.2E-2</v>
      </c>
      <c r="BK6" s="165">
        <f t="shared" si="50"/>
        <v>1.2E-2</v>
      </c>
      <c r="BL6" s="165">
        <f t="shared" si="50"/>
        <v>1.2E-2</v>
      </c>
      <c r="BM6" s="165">
        <f t="shared" si="50"/>
        <v>1.2E-2</v>
      </c>
      <c r="BN6" s="165">
        <f t="shared" si="50"/>
        <v>1.2E-2</v>
      </c>
      <c r="BO6" s="165">
        <f t="shared" si="50"/>
        <v>1.2E-2</v>
      </c>
      <c r="BP6" s="165">
        <f t="shared" si="50"/>
        <v>1.2E-2</v>
      </c>
      <c r="BQ6" s="165">
        <f t="shared" si="50"/>
        <v>1.2E-2</v>
      </c>
      <c r="BR6" s="165">
        <f t="shared" si="50"/>
        <v>1.2E-2</v>
      </c>
      <c r="BS6" s="165">
        <f t="shared" si="50"/>
        <v>1.2E-2</v>
      </c>
      <c r="BT6" s="165">
        <f t="shared" si="50"/>
        <v>1.2E-2</v>
      </c>
      <c r="BU6" s="165">
        <f t="shared" si="50"/>
        <v>1.2E-2</v>
      </c>
      <c r="BV6" s="165">
        <f t="shared" si="50"/>
        <v>1.2E-2</v>
      </c>
    </row>
    <row r="7" spans="1:74" s="24" customFormat="1" ht="15" thickBot="1">
      <c r="M7" s="48" t="s">
        <v>150</v>
      </c>
      <c r="N7" s="49">
        <f>【統計】水道統計指標!G7</f>
        <v>5620</v>
      </c>
      <c r="O7" s="49">
        <f>【統計】水道統計指標!H7</f>
        <v>5525</v>
      </c>
      <c r="P7" s="49">
        <f>【統計】水道統計指標!I7</f>
        <v>5499</v>
      </c>
      <c r="Q7" s="49">
        <f>【統計】水道統計指標!J7</f>
        <v>6572</v>
      </c>
      <c r="R7" s="49">
        <f>【統計】水道統計指標!K7</f>
        <v>6463</v>
      </c>
      <c r="S7" s="49">
        <f>【統計】水道統計指標!L7</f>
        <v>6335</v>
      </c>
      <c r="T7" s="49">
        <f>【統計】水道統計指標!M7</f>
        <v>6209</v>
      </c>
      <c r="U7" s="49">
        <f>【統計】水道統計指標!N7</f>
        <v>6031</v>
      </c>
      <c r="V7" s="49">
        <f>【統計】水道統計指標!O7</f>
        <v>5926</v>
      </c>
      <c r="W7" s="49">
        <f>【統計】水道統計指標!P7</f>
        <v>5317</v>
      </c>
      <c r="X7" s="49"/>
      <c r="Y7" s="50">
        <f>Y5</f>
        <v>5771</v>
      </c>
      <c r="Z7" s="50">
        <f t="shared" ref="Z7:BV7" si="51">Z5</f>
        <v>5743</v>
      </c>
      <c r="AA7" s="50">
        <f t="shared" si="51"/>
        <v>5625</v>
      </c>
      <c r="AB7" s="50">
        <f t="shared" si="51"/>
        <v>5509</v>
      </c>
      <c r="AC7" s="50">
        <f t="shared" si="51"/>
        <v>5396</v>
      </c>
      <c r="AD7" s="50">
        <f t="shared" si="51"/>
        <v>5285</v>
      </c>
      <c r="AE7" s="50">
        <f t="shared" si="51"/>
        <v>5102</v>
      </c>
      <c r="AF7" s="50">
        <f t="shared" si="51"/>
        <v>5005</v>
      </c>
      <c r="AG7" s="50">
        <f t="shared" si="51"/>
        <v>4910</v>
      </c>
      <c r="AH7" s="50">
        <f t="shared" si="51"/>
        <v>4817</v>
      </c>
      <c r="AI7" s="50">
        <f t="shared" si="51"/>
        <v>4725</v>
      </c>
      <c r="AJ7" s="50">
        <f t="shared" si="51"/>
        <v>4510</v>
      </c>
      <c r="AK7" s="50">
        <f t="shared" si="51"/>
        <v>4432</v>
      </c>
      <c r="AL7" s="50">
        <f t="shared" si="51"/>
        <v>4355</v>
      </c>
      <c r="AM7" s="50">
        <f t="shared" si="51"/>
        <v>4279</v>
      </c>
      <c r="AN7" s="50">
        <f t="shared" si="51"/>
        <v>4205</v>
      </c>
      <c r="AO7" s="50">
        <f t="shared" si="51"/>
        <v>3972</v>
      </c>
      <c r="AP7" s="50">
        <f t="shared" si="51"/>
        <v>3911</v>
      </c>
      <c r="AQ7" s="50">
        <f t="shared" si="51"/>
        <v>3851</v>
      </c>
      <c r="AR7" s="50">
        <f t="shared" si="51"/>
        <v>3792</v>
      </c>
      <c r="AS7" s="50">
        <f t="shared" si="51"/>
        <v>3734</v>
      </c>
      <c r="AT7" s="50">
        <f t="shared" si="51"/>
        <v>3495</v>
      </c>
      <c r="AU7" s="50">
        <f t="shared" si="51"/>
        <v>3446</v>
      </c>
      <c r="AV7" s="50">
        <f t="shared" si="51"/>
        <v>3398</v>
      </c>
      <c r="AW7" s="50">
        <f t="shared" si="51"/>
        <v>3350</v>
      </c>
      <c r="AX7" s="50">
        <f t="shared" si="51"/>
        <v>3303</v>
      </c>
      <c r="AY7" s="50">
        <f t="shared" si="51"/>
        <v>3062</v>
      </c>
      <c r="AZ7" s="50">
        <f t="shared" si="51"/>
        <v>3025</v>
      </c>
      <c r="BA7" s="50">
        <f t="shared" si="51"/>
        <v>2989</v>
      </c>
      <c r="BB7" s="50">
        <f t="shared" si="51"/>
        <v>2953</v>
      </c>
      <c r="BC7" s="50">
        <f t="shared" si="51"/>
        <v>2918</v>
      </c>
      <c r="BD7" s="50">
        <f t="shared" si="51"/>
        <v>2883</v>
      </c>
      <c r="BE7" s="50">
        <f t="shared" si="51"/>
        <v>2848</v>
      </c>
      <c r="BF7" s="50">
        <f t="shared" si="51"/>
        <v>2814</v>
      </c>
      <c r="BG7" s="50">
        <f t="shared" si="51"/>
        <v>2780</v>
      </c>
      <c r="BH7" s="50">
        <f t="shared" si="51"/>
        <v>2747</v>
      </c>
      <c r="BI7" s="50">
        <f t="shared" si="51"/>
        <v>2714</v>
      </c>
      <c r="BJ7" s="50">
        <f t="shared" si="51"/>
        <v>2681</v>
      </c>
      <c r="BK7" s="50">
        <f t="shared" si="51"/>
        <v>2649</v>
      </c>
      <c r="BL7" s="50">
        <f t="shared" si="51"/>
        <v>2617</v>
      </c>
      <c r="BM7" s="50">
        <f t="shared" si="51"/>
        <v>2586</v>
      </c>
      <c r="BN7" s="50">
        <f t="shared" si="51"/>
        <v>2555</v>
      </c>
      <c r="BO7" s="50">
        <f t="shared" si="51"/>
        <v>2524</v>
      </c>
      <c r="BP7" s="50">
        <f t="shared" si="51"/>
        <v>2494</v>
      </c>
      <c r="BQ7" s="50">
        <f t="shared" si="51"/>
        <v>2464</v>
      </c>
      <c r="BR7" s="50">
        <f t="shared" si="51"/>
        <v>2434</v>
      </c>
      <c r="BS7" s="50">
        <f t="shared" si="51"/>
        <v>2405</v>
      </c>
      <c r="BT7" s="50">
        <f t="shared" si="51"/>
        <v>2376</v>
      </c>
      <c r="BU7" s="50">
        <f t="shared" si="51"/>
        <v>2347</v>
      </c>
      <c r="BV7" s="51">
        <f t="shared" si="51"/>
        <v>2319</v>
      </c>
    </row>
    <row r="8" spans="1:74" s="24" customFormat="1" ht="15" outlineLevel="1" thickBot="1">
      <c r="M8" s="52" t="s">
        <v>676</v>
      </c>
      <c r="N8" s="53"/>
      <c r="O8" s="53"/>
      <c r="P8" s="53"/>
      <c r="Q8" s="53"/>
      <c r="R8" s="53"/>
      <c r="S8" s="53"/>
      <c r="T8" s="53"/>
      <c r="U8" s="53"/>
      <c r="V8" s="53"/>
      <c r="W8" s="53"/>
      <c r="X8" s="53"/>
      <c r="Y8" s="54">
        <f>Y5/$W$5</f>
        <v>0.921443397732716</v>
      </c>
      <c r="Z8" s="54">
        <f>Z5/$Y$5</f>
        <v>0.99514815456593309</v>
      </c>
      <c r="AA8" s="54">
        <f t="shared" ref="AA8:AD8" si="52">AA5/$Z$5</f>
        <v>0.97945324743165596</v>
      </c>
      <c r="AB8" s="54">
        <f t="shared" si="52"/>
        <v>0.95925474490684315</v>
      </c>
      <c r="AC8" s="54">
        <f t="shared" si="52"/>
        <v>0.93957861744732718</v>
      </c>
      <c r="AD8" s="54">
        <f t="shared" si="52"/>
        <v>0.92025074003134255</v>
      </c>
      <c r="AE8" s="54">
        <f>AE5/$Z$5</f>
        <v>0.88838586104823258</v>
      </c>
      <c r="AF8" s="54">
        <f t="shared" ref="AF8:BV8" si="53">AF5/$W$5</f>
        <v>0.79913779338974933</v>
      </c>
      <c r="AG8" s="54">
        <f t="shared" si="53"/>
        <v>0.78396934376496885</v>
      </c>
      <c r="AH8" s="54">
        <f t="shared" si="53"/>
        <v>0.76912022992176277</v>
      </c>
      <c r="AI8" s="54">
        <f t="shared" si="53"/>
        <v>0.75443078396934371</v>
      </c>
      <c r="AJ8" s="54">
        <f t="shared" si="53"/>
        <v>0.72010218745010379</v>
      </c>
      <c r="AK8" s="54">
        <f t="shared" si="53"/>
        <v>0.70764809196870504</v>
      </c>
      <c r="AL8" s="54">
        <f t="shared" si="53"/>
        <v>0.69535366437809354</v>
      </c>
      <c r="AM8" s="54">
        <f t="shared" si="53"/>
        <v>0.68321890467826918</v>
      </c>
      <c r="AN8" s="54">
        <f t="shared" si="53"/>
        <v>0.67140348076001921</v>
      </c>
      <c r="AO8" s="54">
        <f t="shared" si="53"/>
        <v>0.63420086220661021</v>
      </c>
      <c r="AP8" s="54">
        <f t="shared" si="53"/>
        <v>0.62446112086859329</v>
      </c>
      <c r="AQ8" s="54">
        <f t="shared" si="53"/>
        <v>0.61488104742136351</v>
      </c>
      <c r="AR8" s="54">
        <f t="shared" si="53"/>
        <v>0.60546064186492099</v>
      </c>
      <c r="AS8" s="54">
        <f t="shared" si="53"/>
        <v>0.5961999041992655</v>
      </c>
      <c r="AT8" s="54">
        <f t="shared" si="53"/>
        <v>0.55803927830113365</v>
      </c>
      <c r="AU8" s="54">
        <f t="shared" si="53"/>
        <v>0.55021555165256264</v>
      </c>
      <c r="AV8" s="54">
        <f t="shared" si="53"/>
        <v>0.54255149289477889</v>
      </c>
      <c r="AW8" s="54">
        <f t="shared" si="53"/>
        <v>0.53488743413699502</v>
      </c>
      <c r="AX8" s="54">
        <f t="shared" si="53"/>
        <v>0.52738304326999841</v>
      </c>
      <c r="AY8" s="54">
        <f t="shared" si="53"/>
        <v>0.48890308159029217</v>
      </c>
      <c r="AZ8" s="54">
        <f t="shared" si="53"/>
        <v>0.48299536963116718</v>
      </c>
      <c r="BA8" s="54">
        <f t="shared" si="53"/>
        <v>0.47724732556282934</v>
      </c>
      <c r="BB8" s="54">
        <f t="shared" si="53"/>
        <v>0.47149928149449144</v>
      </c>
      <c r="BC8" s="54">
        <f t="shared" si="53"/>
        <v>0.46591090531694074</v>
      </c>
      <c r="BD8" s="54">
        <f t="shared" si="53"/>
        <v>0.46032252913939009</v>
      </c>
      <c r="BE8" s="54">
        <f t="shared" si="53"/>
        <v>0.45473415296183939</v>
      </c>
      <c r="BF8" s="54">
        <f t="shared" si="53"/>
        <v>0.44930544467507583</v>
      </c>
      <c r="BG8" s="54">
        <f t="shared" si="53"/>
        <v>0.44387673638831232</v>
      </c>
      <c r="BH8" s="54">
        <f t="shared" si="53"/>
        <v>0.43860769599233596</v>
      </c>
      <c r="BI8" s="54">
        <f t="shared" si="53"/>
        <v>0.43333865559635959</v>
      </c>
      <c r="BJ8" s="54">
        <f t="shared" si="53"/>
        <v>0.42806961520038322</v>
      </c>
      <c r="BK8" s="54">
        <f t="shared" si="53"/>
        <v>0.422960242695194</v>
      </c>
      <c r="BL8" s="54">
        <f t="shared" si="53"/>
        <v>0.41785087019000478</v>
      </c>
      <c r="BM8" s="54">
        <f t="shared" si="53"/>
        <v>0.41290116557560275</v>
      </c>
      <c r="BN8" s="54">
        <f t="shared" si="53"/>
        <v>0.40795146096120072</v>
      </c>
      <c r="BO8" s="54">
        <f t="shared" si="53"/>
        <v>0.40300175634679863</v>
      </c>
      <c r="BP8" s="54">
        <f t="shared" si="53"/>
        <v>0.3982117196231838</v>
      </c>
      <c r="BQ8" s="54">
        <f t="shared" si="53"/>
        <v>0.39342168289956891</v>
      </c>
      <c r="BR8" s="54">
        <f t="shared" si="53"/>
        <v>0.38863164617595403</v>
      </c>
      <c r="BS8" s="54">
        <f t="shared" si="53"/>
        <v>0.38400127734312628</v>
      </c>
      <c r="BT8" s="54">
        <f t="shared" si="53"/>
        <v>0.37937090851029859</v>
      </c>
      <c r="BU8" s="54">
        <f t="shared" si="53"/>
        <v>0.37474053967747084</v>
      </c>
      <c r="BV8" s="54">
        <f t="shared" si="53"/>
        <v>0.37026983873543029</v>
      </c>
    </row>
    <row r="9" spans="1:74" s="24" customFormat="1" ht="15" thickBot="1">
      <c r="M9" s="166" t="s">
        <v>161</v>
      </c>
      <c r="N9" s="49">
        <f>【統計】水道統計指標!G25</f>
        <v>2856</v>
      </c>
      <c r="O9" s="49">
        <f>【統計】水道統計指標!H25</f>
        <v>2972</v>
      </c>
      <c r="P9" s="49">
        <f>【統計】水道統計指標!I25</f>
        <v>3076</v>
      </c>
      <c r="Q9" s="49">
        <f>【統計】水道統計指標!J25</f>
        <v>3011</v>
      </c>
      <c r="R9" s="49">
        <f>【統計】水道統計指標!K25</f>
        <v>3011</v>
      </c>
      <c r="S9" s="49">
        <f>【統計】水道統計指標!L25</f>
        <v>3042</v>
      </c>
      <c r="T9" s="49">
        <f>【統計】水道統計指標!M25</f>
        <v>3032</v>
      </c>
      <c r="U9" s="49">
        <f>【統計】水道統計指標!N25</f>
        <v>3019</v>
      </c>
      <c r="V9" s="49">
        <f>【統計】水道統計指標!O25</f>
        <v>3014</v>
      </c>
      <c r="W9" s="49">
        <f>【統計】水道統計指標!P25</f>
        <v>2115</v>
      </c>
      <c r="X9" s="49"/>
      <c r="Y9" s="167">
        <v>3045</v>
      </c>
      <c r="Z9" s="50">
        <f>Y9*(1-$X$11)</f>
        <v>2962.7849999999999</v>
      </c>
      <c r="AA9" s="50">
        <f>ROUND(Z9*(1-AA11),0)</f>
        <v>2964</v>
      </c>
      <c r="AB9" s="50">
        <f t="shared" ref="AB9:BV9" si="54">ROUND(AA9*(1-AB11),0)</f>
        <v>2965</v>
      </c>
      <c r="AC9" s="50">
        <f t="shared" si="54"/>
        <v>2966</v>
      </c>
      <c r="AD9" s="50">
        <f t="shared" si="54"/>
        <v>2967</v>
      </c>
      <c r="AE9" s="50">
        <f t="shared" si="54"/>
        <v>2966</v>
      </c>
      <c r="AF9" s="50">
        <f t="shared" si="54"/>
        <v>2965</v>
      </c>
      <c r="AG9" s="50">
        <f t="shared" si="54"/>
        <v>2964</v>
      </c>
      <c r="AH9" s="50">
        <f t="shared" si="54"/>
        <v>2963</v>
      </c>
      <c r="AI9" s="50">
        <f t="shared" si="54"/>
        <v>2962</v>
      </c>
      <c r="AJ9" s="50">
        <f t="shared" si="54"/>
        <v>2960</v>
      </c>
      <c r="AK9" s="50">
        <f t="shared" si="54"/>
        <v>2958</v>
      </c>
      <c r="AL9" s="50">
        <f t="shared" si="54"/>
        <v>2956</v>
      </c>
      <c r="AM9" s="50">
        <f t="shared" si="54"/>
        <v>2954</v>
      </c>
      <c r="AN9" s="50">
        <f t="shared" si="54"/>
        <v>2952</v>
      </c>
      <c r="AO9" s="50">
        <f t="shared" si="54"/>
        <v>2948</v>
      </c>
      <c r="AP9" s="50">
        <f t="shared" si="54"/>
        <v>2944</v>
      </c>
      <c r="AQ9" s="50">
        <f t="shared" si="54"/>
        <v>2940</v>
      </c>
      <c r="AR9" s="50">
        <f t="shared" si="54"/>
        <v>2936</v>
      </c>
      <c r="AS9" s="50">
        <f t="shared" si="54"/>
        <v>2932</v>
      </c>
      <c r="AT9" s="50">
        <f t="shared" si="54"/>
        <v>2928</v>
      </c>
      <c r="AU9" s="50">
        <f t="shared" si="54"/>
        <v>2924</v>
      </c>
      <c r="AV9" s="50">
        <f t="shared" si="54"/>
        <v>2920</v>
      </c>
      <c r="AW9" s="50">
        <f t="shared" si="54"/>
        <v>2916</v>
      </c>
      <c r="AX9" s="50">
        <f t="shared" si="54"/>
        <v>2912</v>
      </c>
      <c r="AY9" s="50">
        <f t="shared" si="54"/>
        <v>2908</v>
      </c>
      <c r="AZ9" s="50">
        <f t="shared" si="54"/>
        <v>2904</v>
      </c>
      <c r="BA9" s="50">
        <f t="shared" si="54"/>
        <v>2900</v>
      </c>
      <c r="BB9" s="50">
        <f t="shared" si="54"/>
        <v>2896</v>
      </c>
      <c r="BC9" s="50">
        <f t="shared" si="54"/>
        <v>2892</v>
      </c>
      <c r="BD9" s="50">
        <f t="shared" si="54"/>
        <v>2888</v>
      </c>
      <c r="BE9" s="50">
        <f t="shared" si="54"/>
        <v>2884</v>
      </c>
      <c r="BF9" s="50">
        <f t="shared" si="54"/>
        <v>2880</v>
      </c>
      <c r="BG9" s="50">
        <f t="shared" si="54"/>
        <v>2876</v>
      </c>
      <c r="BH9" s="50">
        <f t="shared" si="54"/>
        <v>2872</v>
      </c>
      <c r="BI9" s="50">
        <f t="shared" si="54"/>
        <v>2868</v>
      </c>
      <c r="BJ9" s="50">
        <f t="shared" si="54"/>
        <v>2864</v>
      </c>
      <c r="BK9" s="50">
        <f t="shared" si="54"/>
        <v>2860</v>
      </c>
      <c r="BL9" s="50">
        <f t="shared" si="54"/>
        <v>2856</v>
      </c>
      <c r="BM9" s="50">
        <f t="shared" si="54"/>
        <v>2852</v>
      </c>
      <c r="BN9" s="50">
        <f t="shared" si="54"/>
        <v>2848</v>
      </c>
      <c r="BO9" s="50">
        <f t="shared" si="54"/>
        <v>2844</v>
      </c>
      <c r="BP9" s="50">
        <f t="shared" si="54"/>
        <v>2840</v>
      </c>
      <c r="BQ9" s="50">
        <f t="shared" si="54"/>
        <v>2836</v>
      </c>
      <c r="BR9" s="50">
        <f t="shared" si="54"/>
        <v>2832</v>
      </c>
      <c r="BS9" s="50">
        <f t="shared" si="54"/>
        <v>2828</v>
      </c>
      <c r="BT9" s="50">
        <f t="shared" si="54"/>
        <v>2824</v>
      </c>
      <c r="BU9" s="50">
        <f t="shared" si="54"/>
        <v>2820</v>
      </c>
      <c r="BV9" s="50">
        <f t="shared" si="54"/>
        <v>2816</v>
      </c>
    </row>
    <row r="10" spans="1:74" s="24" customFormat="1" ht="15" thickBot="1">
      <c r="M10" s="25" t="s">
        <v>677</v>
      </c>
      <c r="N10" s="53"/>
      <c r="O10" s="53"/>
      <c r="P10" s="53"/>
      <c r="Q10" s="53"/>
      <c r="R10" s="53"/>
      <c r="S10" s="53"/>
      <c r="T10" s="53"/>
      <c r="U10" s="53"/>
      <c r="V10" s="53"/>
      <c r="W10" s="53"/>
      <c r="X10" s="53"/>
      <c r="Y10" s="53"/>
      <c r="Z10" s="164">
        <v>1020</v>
      </c>
      <c r="AA10" s="25">
        <f t="shared" ref="AA10" si="55">ROUND(Z10*(1-AA11),0)</f>
        <v>1020</v>
      </c>
      <c r="AB10" s="25">
        <f t="shared" ref="AB10" si="56">ROUND(AA10*(1-AB11),0)</f>
        <v>1020</v>
      </c>
      <c r="AC10" s="25">
        <f t="shared" ref="AC10" si="57">ROUND(AB10*(1-AC11),0)</f>
        <v>1020</v>
      </c>
      <c r="AD10" s="25">
        <f t="shared" ref="AD10" si="58">ROUND(AC10*(1-AD11),0)</f>
        <v>1020</v>
      </c>
      <c r="AE10" s="164">
        <v>1035</v>
      </c>
      <c r="AF10" s="25">
        <f t="shared" ref="AF10" si="59">ROUND(AE10*(1-AF11),0)</f>
        <v>1035</v>
      </c>
      <c r="AG10" s="25">
        <f t="shared" ref="AG10" si="60">ROUND(AF10*(1-AG11),0)</f>
        <v>1035</v>
      </c>
      <c r="AH10" s="25">
        <f t="shared" ref="AH10" si="61">ROUND(AG10*(1-AH11),0)</f>
        <v>1035</v>
      </c>
      <c r="AI10" s="25">
        <f t="shared" ref="AI10" si="62">ROUND(AH10*(1-AI11),0)</f>
        <v>1035</v>
      </c>
      <c r="AJ10" s="164">
        <v>1026</v>
      </c>
      <c r="AK10" s="25">
        <f t="shared" ref="AK10" si="63">ROUND(AJ10*(1-AK11),0)</f>
        <v>1025</v>
      </c>
      <c r="AL10" s="25">
        <f t="shared" ref="AL10" si="64">ROUND(AK10*(1-AL11),0)</f>
        <v>1024</v>
      </c>
      <c r="AM10" s="25">
        <f t="shared" ref="AM10" si="65">ROUND(AL10*(1-AM11),0)</f>
        <v>1023</v>
      </c>
      <c r="AN10" s="25">
        <f t="shared" ref="AN10" si="66">ROUND(AM10*(1-AN11),0)</f>
        <v>1022</v>
      </c>
      <c r="AO10" s="164">
        <v>1000</v>
      </c>
      <c r="AP10" s="25">
        <f t="shared" ref="AP10" si="67">ROUND(AO10*(1-AP11),0)</f>
        <v>999</v>
      </c>
      <c r="AQ10" s="25">
        <f t="shared" ref="AQ10" si="68">ROUND(AP10*(1-AQ11),0)</f>
        <v>998</v>
      </c>
      <c r="AR10" s="25">
        <f t="shared" ref="AR10" si="69">ROUND(AQ10*(1-AR11),0)</f>
        <v>997</v>
      </c>
      <c r="AS10" s="25">
        <f t="shared" ref="AS10" si="70">ROUND(AR10*(1-AS11),0)</f>
        <v>996</v>
      </c>
      <c r="AT10" s="164">
        <v>963</v>
      </c>
      <c r="AU10" s="25">
        <f t="shared" ref="AU10" si="71">ROUND(AT10*(1-AU11),0)</f>
        <v>962</v>
      </c>
      <c r="AV10" s="25">
        <f t="shared" ref="AV10" si="72">ROUND(AU10*(1-AV11),0)</f>
        <v>961</v>
      </c>
      <c r="AW10" s="25">
        <f t="shared" ref="AW10" si="73">ROUND(AV10*(1-AW11),0)</f>
        <v>960</v>
      </c>
      <c r="AX10" s="25">
        <f t="shared" ref="AX10" si="74">ROUND(AW10*(1-AX11),0)</f>
        <v>959</v>
      </c>
      <c r="AY10" s="164">
        <v>920</v>
      </c>
      <c r="AZ10" s="25">
        <f t="shared" ref="AZ10" si="75">ROUND(AY10*(1-AZ11),0)</f>
        <v>919</v>
      </c>
      <c r="BA10" s="25">
        <f t="shared" ref="BA10" si="76">ROUND(AZ10*(1-BA11),0)</f>
        <v>918</v>
      </c>
      <c r="BB10" s="25">
        <f t="shared" ref="BB10" si="77">ROUND(BA10*(1-BB11),0)</f>
        <v>917</v>
      </c>
      <c r="BC10" s="25">
        <f t="shared" ref="BC10" si="78">ROUND(BB10*(1-BC11),0)</f>
        <v>916</v>
      </c>
      <c r="BD10" s="25">
        <f t="shared" ref="BD10" si="79">ROUND(BC10*(1-BD11),0)</f>
        <v>915</v>
      </c>
      <c r="BE10" s="25">
        <f t="shared" ref="BE10" si="80">ROUND(BD10*(1-BE11),0)</f>
        <v>914</v>
      </c>
      <c r="BF10" s="25">
        <f t="shared" ref="BF10" si="81">ROUND(BE10*(1-BF11),0)</f>
        <v>913</v>
      </c>
      <c r="BG10" s="25">
        <f t="shared" ref="BG10" si="82">ROUND(BF10*(1-BG11),0)</f>
        <v>912</v>
      </c>
      <c r="BH10" s="25">
        <f t="shared" ref="BH10" si="83">ROUND(BG10*(1-BH11),0)</f>
        <v>911</v>
      </c>
      <c r="BI10" s="25">
        <f t="shared" ref="BI10" si="84">ROUND(BH10*(1-BI11),0)</f>
        <v>910</v>
      </c>
      <c r="BJ10" s="25">
        <f t="shared" ref="BJ10" si="85">ROUND(BI10*(1-BJ11),0)</f>
        <v>909</v>
      </c>
      <c r="BK10" s="25">
        <f t="shared" ref="BK10" si="86">ROUND(BJ10*(1-BK11),0)</f>
        <v>908</v>
      </c>
      <c r="BL10" s="25">
        <f t="shared" ref="BL10" si="87">ROUND(BK10*(1-BL11),0)</f>
        <v>907</v>
      </c>
      <c r="BM10" s="25">
        <f t="shared" ref="BM10" si="88">ROUND(BL10*(1-BM11),0)</f>
        <v>906</v>
      </c>
      <c r="BN10" s="25">
        <f t="shared" ref="BN10" si="89">ROUND(BM10*(1-BN11),0)</f>
        <v>905</v>
      </c>
      <c r="BO10" s="25">
        <f t="shared" ref="BO10" si="90">ROUND(BN10*(1-BO11),0)</f>
        <v>904</v>
      </c>
      <c r="BP10" s="25">
        <f t="shared" ref="BP10" si="91">ROUND(BO10*(1-BP11),0)</f>
        <v>903</v>
      </c>
      <c r="BQ10" s="25">
        <f t="shared" ref="BQ10" si="92">ROUND(BP10*(1-BQ11),0)</f>
        <v>902</v>
      </c>
      <c r="BR10" s="25">
        <f t="shared" ref="BR10" si="93">ROUND(BQ10*(1-BR11),0)</f>
        <v>901</v>
      </c>
      <c r="BS10" s="25">
        <f t="shared" ref="BS10" si="94">ROUND(BR10*(1-BS11),0)</f>
        <v>900</v>
      </c>
      <c r="BT10" s="25">
        <f t="shared" ref="BT10" si="95">ROUND(BS10*(1-BT11),0)</f>
        <v>899</v>
      </c>
      <c r="BU10" s="25">
        <f t="shared" ref="BU10" si="96">ROUND(BT10*(1-BU11),0)</f>
        <v>898</v>
      </c>
      <c r="BV10" s="25">
        <f t="shared" ref="BV10" si="97">ROUND(BU10*(1-BV11),0)</f>
        <v>897</v>
      </c>
    </row>
    <row r="11" spans="1:74" s="24" customFormat="1">
      <c r="M11" s="47" t="s">
        <v>675</v>
      </c>
      <c r="N11" s="118"/>
      <c r="O11" s="118">
        <f t="shared" ref="O11" si="98">ROUND((N9-O9)/N9,3)</f>
        <v>-4.1000000000000002E-2</v>
      </c>
      <c r="P11" s="118">
        <f t="shared" ref="P11" si="99">ROUND((O9-P9)/O9,3)</f>
        <v>-3.5000000000000003E-2</v>
      </c>
      <c r="Q11" s="118">
        <f t="shared" ref="Q11" si="100">ROUND((P9-Q9)/P9,3)</f>
        <v>2.1000000000000001E-2</v>
      </c>
      <c r="R11" s="118">
        <f t="shared" ref="R11" si="101">ROUND((Q9-R9)/Q9,3)</f>
        <v>0</v>
      </c>
      <c r="S11" s="118">
        <f t="shared" ref="S11" si="102">ROUND((R9-S9)/R9,3)</f>
        <v>-0.01</v>
      </c>
      <c r="T11" s="118">
        <f>ROUND((S9-T9)/S9,3)</f>
        <v>3.0000000000000001E-3</v>
      </c>
      <c r="U11" s="118">
        <f t="shared" ref="U11" si="103">ROUND((T9-U9)/T9,3)</f>
        <v>4.0000000000000001E-3</v>
      </c>
      <c r="V11" s="118">
        <f t="shared" ref="V11" si="104">ROUND((U9-V9)/U9,3)</f>
        <v>2E-3</v>
      </c>
      <c r="W11" s="118">
        <f>ROUND((V9-W9)/V9,3)</f>
        <v>0.29799999999999999</v>
      </c>
      <c r="X11" s="118">
        <f>ROUND(AVERAGE(O11:W11),3)</f>
        <v>2.7E-2</v>
      </c>
      <c r="Y11" s="162"/>
      <c r="Z11" s="168">
        <f>ROUND(($Z$10-$AE$10)/$T$5,3)/5</f>
        <v>-4.0000000000000002E-4</v>
      </c>
      <c r="AA11" s="168">
        <f t="shared" ref="AA11:AD11" si="105">ROUND(($Z$10-$AE$10)/$T$5,3)/5</f>
        <v>-4.0000000000000002E-4</v>
      </c>
      <c r="AB11" s="168">
        <f t="shared" si="105"/>
        <v>-4.0000000000000002E-4</v>
      </c>
      <c r="AC11" s="168">
        <f t="shared" si="105"/>
        <v>-4.0000000000000002E-4</v>
      </c>
      <c r="AD11" s="168">
        <f t="shared" si="105"/>
        <v>-4.0000000000000002E-4</v>
      </c>
      <c r="AE11" s="168">
        <f>ROUND(($AE$10-$AJ$10)/$T$5,3)/5</f>
        <v>2.0000000000000001E-4</v>
      </c>
      <c r="AF11" s="168">
        <f t="shared" ref="AF11:AI11" si="106">ROUND(($AE$10-$AJ$10)/$T$5,3)/5</f>
        <v>2.0000000000000001E-4</v>
      </c>
      <c r="AG11" s="168">
        <f t="shared" si="106"/>
        <v>2.0000000000000001E-4</v>
      </c>
      <c r="AH11" s="168">
        <f t="shared" si="106"/>
        <v>2.0000000000000001E-4</v>
      </c>
      <c r="AI11" s="168">
        <f t="shared" si="106"/>
        <v>2.0000000000000001E-4</v>
      </c>
      <c r="AJ11" s="168">
        <f>ROUND(($AJ$10-$AO$10)/$T$5,3)/5</f>
        <v>8.0000000000000004E-4</v>
      </c>
      <c r="AK11" s="168">
        <f t="shared" ref="AK11:AN11" si="107">ROUND(($AJ$10-$AO$10)/$T$5,3)/5</f>
        <v>8.0000000000000004E-4</v>
      </c>
      <c r="AL11" s="168">
        <f t="shared" si="107"/>
        <v>8.0000000000000004E-4</v>
      </c>
      <c r="AM11" s="168">
        <f t="shared" si="107"/>
        <v>8.0000000000000004E-4</v>
      </c>
      <c r="AN11" s="168">
        <f t="shared" si="107"/>
        <v>8.0000000000000004E-4</v>
      </c>
      <c r="AO11" s="168">
        <f>ROUND(($AO$10-$AT$10)/$T$5,3)/5</f>
        <v>1.2000000000000001E-3</v>
      </c>
      <c r="AP11" s="168">
        <f t="shared" ref="AP11:AS11" si="108">ROUND(($AO$10-$AT$10)/$T$5,3)/5</f>
        <v>1.2000000000000001E-3</v>
      </c>
      <c r="AQ11" s="168">
        <f t="shared" si="108"/>
        <v>1.2000000000000001E-3</v>
      </c>
      <c r="AR11" s="168">
        <f t="shared" si="108"/>
        <v>1.2000000000000001E-3</v>
      </c>
      <c r="AS11" s="168">
        <f t="shared" si="108"/>
        <v>1.2000000000000001E-3</v>
      </c>
      <c r="AT11" s="168">
        <f>ROUND(($AT$10-$AY$10)/$T$5,3)/5</f>
        <v>1.4E-3</v>
      </c>
      <c r="AU11" s="168">
        <f t="shared" ref="AU11:AX11" si="109">ROUND(($AT$10-$AY$10)/$T$5,3)/5</f>
        <v>1.4E-3</v>
      </c>
      <c r="AV11" s="168">
        <f t="shared" si="109"/>
        <v>1.4E-3</v>
      </c>
      <c r="AW11" s="168">
        <f t="shared" si="109"/>
        <v>1.4E-3</v>
      </c>
      <c r="AX11" s="168">
        <f t="shared" si="109"/>
        <v>1.4E-3</v>
      </c>
      <c r="AY11" s="168">
        <f>AX11</f>
        <v>1.4E-3</v>
      </c>
      <c r="AZ11" s="168">
        <f t="shared" ref="AZ11:BV11" si="110">AY11</f>
        <v>1.4E-3</v>
      </c>
      <c r="BA11" s="168">
        <f t="shared" si="110"/>
        <v>1.4E-3</v>
      </c>
      <c r="BB11" s="168">
        <f t="shared" si="110"/>
        <v>1.4E-3</v>
      </c>
      <c r="BC11" s="168">
        <f t="shared" si="110"/>
        <v>1.4E-3</v>
      </c>
      <c r="BD11" s="168">
        <f t="shared" si="110"/>
        <v>1.4E-3</v>
      </c>
      <c r="BE11" s="168">
        <f t="shared" si="110"/>
        <v>1.4E-3</v>
      </c>
      <c r="BF11" s="168">
        <f t="shared" si="110"/>
        <v>1.4E-3</v>
      </c>
      <c r="BG11" s="168">
        <f t="shared" si="110"/>
        <v>1.4E-3</v>
      </c>
      <c r="BH11" s="168">
        <f t="shared" si="110"/>
        <v>1.4E-3</v>
      </c>
      <c r="BI11" s="168">
        <f t="shared" si="110"/>
        <v>1.4E-3</v>
      </c>
      <c r="BJ11" s="168">
        <f t="shared" si="110"/>
        <v>1.4E-3</v>
      </c>
      <c r="BK11" s="168">
        <f t="shared" si="110"/>
        <v>1.4E-3</v>
      </c>
      <c r="BL11" s="168">
        <f t="shared" si="110"/>
        <v>1.4E-3</v>
      </c>
      <c r="BM11" s="168">
        <f t="shared" si="110"/>
        <v>1.4E-3</v>
      </c>
      <c r="BN11" s="168">
        <f t="shared" si="110"/>
        <v>1.4E-3</v>
      </c>
      <c r="BO11" s="168">
        <f t="shared" si="110"/>
        <v>1.4E-3</v>
      </c>
      <c r="BP11" s="168">
        <f t="shared" si="110"/>
        <v>1.4E-3</v>
      </c>
      <c r="BQ11" s="168">
        <f t="shared" si="110"/>
        <v>1.4E-3</v>
      </c>
      <c r="BR11" s="168">
        <f t="shared" si="110"/>
        <v>1.4E-3</v>
      </c>
      <c r="BS11" s="168">
        <f t="shared" si="110"/>
        <v>1.4E-3</v>
      </c>
      <c r="BT11" s="168">
        <f t="shared" si="110"/>
        <v>1.4E-3</v>
      </c>
      <c r="BU11" s="168">
        <f t="shared" si="110"/>
        <v>1.4E-3</v>
      </c>
      <c r="BV11" s="168">
        <f t="shared" si="110"/>
        <v>1.4E-3</v>
      </c>
    </row>
    <row r="12" spans="1:74">
      <c r="M12" s="119" t="s">
        <v>536</v>
      </c>
      <c r="N12" t="s">
        <v>537</v>
      </c>
    </row>
    <row r="15" spans="1:74">
      <c r="A15" t="s">
        <v>153</v>
      </c>
    </row>
    <row r="16" spans="1:74">
      <c r="M16" t="s">
        <v>529</v>
      </c>
      <c r="V16" s="1" t="s">
        <v>177</v>
      </c>
      <c r="W16" s="59">
        <f>ROUND(SUM(N20:W20)/9,3)</f>
        <v>0.439</v>
      </c>
      <c r="X16" s="117"/>
    </row>
    <row r="17" spans="13:74">
      <c r="N17" s="114" t="s">
        <v>11</v>
      </c>
      <c r="O17" s="114"/>
      <c r="P17" s="114"/>
      <c r="Q17" s="114"/>
      <c r="R17" s="114"/>
      <c r="S17" s="114"/>
      <c r="T17" s="115"/>
      <c r="U17" s="115"/>
      <c r="V17" s="115"/>
      <c r="W17" s="116"/>
      <c r="X17" s="115"/>
      <c r="Y17" s="22" t="s">
        <v>334</v>
      </c>
      <c r="Z17" s="14"/>
      <c r="AA17" s="14"/>
      <c r="AB17" s="14"/>
      <c r="AC17" s="15"/>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row>
    <row r="18" spans="13:74">
      <c r="N18" s="35" t="str">
        <f>N4</f>
        <v>H26</v>
      </c>
      <c r="O18" s="35" t="str">
        <f t="shared" ref="O18:W18" si="111">O4</f>
        <v>H27</v>
      </c>
      <c r="P18" s="35" t="str">
        <f t="shared" si="111"/>
        <v>H28</v>
      </c>
      <c r="Q18" s="35" t="str">
        <f t="shared" si="111"/>
        <v>H29</v>
      </c>
      <c r="R18" s="35" t="str">
        <f t="shared" si="111"/>
        <v>H30</v>
      </c>
      <c r="S18" s="35" t="str">
        <f t="shared" si="111"/>
        <v>R1</v>
      </c>
      <c r="T18" s="35" t="str">
        <f t="shared" si="111"/>
        <v>R2</v>
      </c>
      <c r="U18" s="35" t="str">
        <f t="shared" si="111"/>
        <v>R3</v>
      </c>
      <c r="V18" s="35" t="str">
        <f t="shared" si="111"/>
        <v>R4</v>
      </c>
      <c r="W18" s="35" t="str">
        <f t="shared" si="111"/>
        <v>R5</v>
      </c>
      <c r="X18" s="11"/>
      <c r="Y18" s="35" t="str">
        <f t="shared" ref="Y18:BV18" si="112">Y4</f>
        <v>R6</v>
      </c>
      <c r="Z18" s="35" t="str">
        <f t="shared" si="112"/>
        <v>R7</v>
      </c>
      <c r="AA18" s="35" t="str">
        <f t="shared" si="112"/>
        <v>R8</v>
      </c>
      <c r="AB18" s="35" t="str">
        <f t="shared" si="112"/>
        <v>R9</v>
      </c>
      <c r="AC18" s="35" t="str">
        <f t="shared" si="112"/>
        <v>R10</v>
      </c>
      <c r="AD18" s="35" t="str">
        <f t="shared" si="112"/>
        <v>R11</v>
      </c>
      <c r="AE18" s="35" t="str">
        <f t="shared" si="112"/>
        <v>R12</v>
      </c>
      <c r="AF18" s="35" t="str">
        <f t="shared" si="112"/>
        <v>R13</v>
      </c>
      <c r="AG18" s="35" t="str">
        <f t="shared" si="112"/>
        <v>R14</v>
      </c>
      <c r="AH18" s="35" t="str">
        <f t="shared" si="112"/>
        <v>R15</v>
      </c>
      <c r="AI18" s="35" t="str">
        <f t="shared" si="112"/>
        <v>R16</v>
      </c>
      <c r="AJ18" s="35" t="str">
        <f t="shared" si="112"/>
        <v>R17</v>
      </c>
      <c r="AK18" s="35" t="str">
        <f t="shared" si="112"/>
        <v>R18</v>
      </c>
      <c r="AL18" s="35" t="str">
        <f t="shared" si="112"/>
        <v>R19</v>
      </c>
      <c r="AM18" s="35" t="str">
        <f t="shared" si="112"/>
        <v>R20</v>
      </c>
      <c r="AN18" s="35" t="str">
        <f t="shared" si="112"/>
        <v>R21</v>
      </c>
      <c r="AO18" s="35" t="str">
        <f t="shared" si="112"/>
        <v>R22</v>
      </c>
      <c r="AP18" s="35" t="str">
        <f t="shared" si="112"/>
        <v>R23</v>
      </c>
      <c r="AQ18" s="35" t="str">
        <f t="shared" si="112"/>
        <v>R24</v>
      </c>
      <c r="AR18" s="35" t="str">
        <f t="shared" si="112"/>
        <v>R25</v>
      </c>
      <c r="AS18" s="35" t="str">
        <f t="shared" si="112"/>
        <v>R26</v>
      </c>
      <c r="AT18" s="35" t="str">
        <f t="shared" si="112"/>
        <v>R27</v>
      </c>
      <c r="AU18" s="35" t="str">
        <f t="shared" si="112"/>
        <v>R28</v>
      </c>
      <c r="AV18" s="35" t="str">
        <f t="shared" si="112"/>
        <v>R29</v>
      </c>
      <c r="AW18" s="35" t="str">
        <f t="shared" si="112"/>
        <v>R30</v>
      </c>
      <c r="AX18" s="35" t="str">
        <f t="shared" si="112"/>
        <v>R31</v>
      </c>
      <c r="AY18" s="35" t="str">
        <f t="shared" si="112"/>
        <v>R32</v>
      </c>
      <c r="AZ18" s="35" t="str">
        <f t="shared" si="112"/>
        <v>R33</v>
      </c>
      <c r="BA18" s="35" t="str">
        <f t="shared" si="112"/>
        <v>R34</v>
      </c>
      <c r="BB18" s="35" t="str">
        <f t="shared" si="112"/>
        <v>R35</v>
      </c>
      <c r="BC18" s="35" t="str">
        <f t="shared" si="112"/>
        <v>R36</v>
      </c>
      <c r="BD18" s="35" t="str">
        <f t="shared" si="112"/>
        <v>R37</v>
      </c>
      <c r="BE18" s="35" t="str">
        <f t="shared" si="112"/>
        <v>R38</v>
      </c>
      <c r="BF18" s="35" t="str">
        <f t="shared" si="112"/>
        <v>R39</v>
      </c>
      <c r="BG18" s="35" t="str">
        <f t="shared" si="112"/>
        <v>R40</v>
      </c>
      <c r="BH18" s="35" t="str">
        <f t="shared" si="112"/>
        <v>R41</v>
      </c>
      <c r="BI18" s="35" t="str">
        <f t="shared" si="112"/>
        <v>R42</v>
      </c>
      <c r="BJ18" s="35" t="str">
        <f t="shared" si="112"/>
        <v>R43</v>
      </c>
      <c r="BK18" s="35" t="str">
        <f t="shared" si="112"/>
        <v>R44</v>
      </c>
      <c r="BL18" s="35" t="str">
        <f t="shared" si="112"/>
        <v>R45</v>
      </c>
      <c r="BM18" s="35" t="str">
        <f t="shared" si="112"/>
        <v>R46</v>
      </c>
      <c r="BN18" s="35" t="str">
        <f t="shared" si="112"/>
        <v>R47</v>
      </c>
      <c r="BO18" s="35" t="str">
        <f t="shared" si="112"/>
        <v>R48</v>
      </c>
      <c r="BP18" s="35" t="str">
        <f t="shared" si="112"/>
        <v>R49</v>
      </c>
      <c r="BQ18" s="35" t="str">
        <f t="shared" si="112"/>
        <v>R50</v>
      </c>
      <c r="BR18" s="35" t="str">
        <f t="shared" si="112"/>
        <v>R51</v>
      </c>
      <c r="BS18" s="35" t="str">
        <f t="shared" si="112"/>
        <v>R52</v>
      </c>
      <c r="BT18" s="35" t="str">
        <f t="shared" si="112"/>
        <v>R53</v>
      </c>
      <c r="BU18" s="35" t="str">
        <f t="shared" si="112"/>
        <v>R54</v>
      </c>
      <c r="BV18" s="35" t="str">
        <f t="shared" si="112"/>
        <v>R55</v>
      </c>
    </row>
    <row r="19" spans="13:74" s="24" customFormat="1">
      <c r="M19" s="28" t="s">
        <v>196</v>
      </c>
      <c r="N19" s="44">
        <f>【統計】水道統計指標!G14*1000</f>
        <v>791000</v>
      </c>
      <c r="O19" s="44">
        <f>【統計】水道統計指標!H14*1000</f>
        <v>841000</v>
      </c>
      <c r="P19" s="44">
        <f>【統計】水道統計指標!I14*1000</f>
        <v>0</v>
      </c>
      <c r="Q19" s="44">
        <f>【統計】水道統計指標!J14*1000</f>
        <v>1004000</v>
      </c>
      <c r="R19" s="44">
        <f>【統計】水道統計指標!K14*1000</f>
        <v>1009000</v>
      </c>
      <c r="S19" s="44">
        <f>【統計】水道統計指標!L14*1000</f>
        <v>986000</v>
      </c>
      <c r="T19" s="44">
        <f>【統計】水道統計指標!M14*1000</f>
        <v>1024000</v>
      </c>
      <c r="U19" s="44">
        <f>【統計】水道統計指標!N14*1000</f>
        <v>1053000</v>
      </c>
      <c r="V19" s="44">
        <f>【統計】水道統計指標!O14*1000</f>
        <v>1028000</v>
      </c>
      <c r="W19" s="44">
        <f>【統計】水道統計指標!P14*1000</f>
        <v>913000</v>
      </c>
      <c r="X19" s="44"/>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row>
    <row r="20" spans="13:74" s="24" customFormat="1" ht="28.8">
      <c r="M20" s="28" t="s">
        <v>197</v>
      </c>
      <c r="N20" s="58">
        <f t="shared" ref="N20:T20" si="113">ROUND(N19/N7/365,3)</f>
        <v>0.38600000000000001</v>
      </c>
      <c r="O20" s="58">
        <f t="shared" si="113"/>
        <v>0.41699999999999998</v>
      </c>
      <c r="P20" s="58">
        <f t="shared" si="113"/>
        <v>0</v>
      </c>
      <c r="Q20" s="58">
        <f t="shared" si="113"/>
        <v>0.41899999999999998</v>
      </c>
      <c r="R20" s="58">
        <f t="shared" si="113"/>
        <v>0.42799999999999999</v>
      </c>
      <c r="S20" s="58">
        <f t="shared" si="113"/>
        <v>0.42599999999999999</v>
      </c>
      <c r="T20" s="58">
        <f t="shared" si="113"/>
        <v>0.45200000000000001</v>
      </c>
      <c r="U20" s="58">
        <f>ROUND(U19/U7/366,3)</f>
        <v>0.47699999999999998</v>
      </c>
      <c r="V20" s="58">
        <f>ROUND(V19/V7/365,3)</f>
        <v>0.47499999999999998</v>
      </c>
      <c r="W20" s="58">
        <f>ROUND(W19/W7/365,3)</f>
        <v>0.47</v>
      </c>
      <c r="X20" s="58"/>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row>
    <row r="21" spans="13:74" s="24" customFormat="1">
      <c r="M21" s="25" t="s">
        <v>198</v>
      </c>
      <c r="N21" s="43"/>
      <c r="O21" s="43"/>
      <c r="P21" s="43"/>
      <c r="Q21" s="43"/>
      <c r="R21" s="43"/>
      <c r="S21" s="43"/>
      <c r="T21" s="43"/>
      <c r="U21" s="43"/>
      <c r="V21" s="43"/>
      <c r="W21" s="43"/>
      <c r="X21" s="43"/>
      <c r="Y21" s="25">
        <f>ROUND($W$16*Y7*365,0)</f>
        <v>924716</v>
      </c>
      <c r="Z21" s="25">
        <f>ROUND($W$16*Z7*366,0)</f>
        <v>922751</v>
      </c>
      <c r="AA21" s="25">
        <f>ROUND($W$16*AA7*365,0)</f>
        <v>901322</v>
      </c>
      <c r="AB21" s="25">
        <f>ROUND($W$16*AB7*365,0)</f>
        <v>882735</v>
      </c>
      <c r="AC21" s="25">
        <f>ROUND($W$16*AC7*365,0)</f>
        <v>864628</v>
      </c>
      <c r="AD21" s="25">
        <f>ROUND($W$16*AD7*366,0)</f>
        <v>849162</v>
      </c>
      <c r="AE21" s="25">
        <f>ROUND($W$16*AE7*365,0)</f>
        <v>817519</v>
      </c>
      <c r="AF21" s="25">
        <f>ROUND($W$16*AF7*365,0)</f>
        <v>801976</v>
      </c>
      <c r="AG21" s="25">
        <f>ROUND($W$16*AG7*365,0)</f>
        <v>786754</v>
      </c>
      <c r="AH21" s="25">
        <f>ROUND($W$16*AH7*366,0)</f>
        <v>773967</v>
      </c>
      <c r="AI21" s="25">
        <f>ROUND($W$16*AI7*365,0)</f>
        <v>757110</v>
      </c>
      <c r="AJ21" s="25">
        <f>ROUND($W$16*AJ7*365,0)</f>
        <v>722660</v>
      </c>
      <c r="AK21" s="25">
        <f>ROUND($W$16*AK7*365,0)</f>
        <v>710162</v>
      </c>
      <c r="AL21" s="25">
        <f>ROUND($W$16*AL7*366,0)</f>
        <v>699735</v>
      </c>
      <c r="AM21" s="25">
        <f>ROUND($W$16*AM7*365,0)</f>
        <v>685646</v>
      </c>
      <c r="AN21" s="25">
        <f>ROUND($W$16*AN7*365,0)</f>
        <v>673788</v>
      </c>
      <c r="AO21" s="25">
        <f>ROUND($W$16*AO7*365,0)</f>
        <v>636453</v>
      </c>
      <c r="AP21" s="25">
        <f>ROUND($W$16*AP7*366,0)</f>
        <v>628396</v>
      </c>
      <c r="AQ21" s="25">
        <f>ROUND($W$16*AQ7*365,0)</f>
        <v>617065</v>
      </c>
      <c r="AR21" s="25">
        <f>ROUND($W$16*AR7*365,0)</f>
        <v>607611</v>
      </c>
      <c r="AS21" s="25">
        <f>ROUND($W$16*AS7*365,0)</f>
        <v>598317</v>
      </c>
      <c r="AT21" s="25">
        <f>ROUND($W$16*AT7*366,0)</f>
        <v>561556</v>
      </c>
      <c r="AU21" s="25">
        <f>ROUND($W$16*AU7*365,0)</f>
        <v>552170</v>
      </c>
      <c r="AV21" s="25">
        <f>ROUND($W$16*AV7*365,0)</f>
        <v>544479</v>
      </c>
      <c r="AW21" s="25">
        <f>ROUND($W$16*AW7*365,0)</f>
        <v>536787</v>
      </c>
      <c r="AX21" s="25">
        <f>ROUND($W$16*AX7*366,0)</f>
        <v>530706</v>
      </c>
      <c r="AY21" s="25">
        <f>ROUND($W$16*AY7*365,0)</f>
        <v>490640</v>
      </c>
      <c r="AZ21" s="25">
        <f>ROUND($W$16*AZ7*365,0)</f>
        <v>484711</v>
      </c>
      <c r="BA21" s="25">
        <f>ROUND($W$16*BA7*365,0)</f>
        <v>478942</v>
      </c>
      <c r="BB21" s="25">
        <f>ROUND($W$16*BB7*366,0)</f>
        <v>474470</v>
      </c>
      <c r="BC21" s="25">
        <f>ROUND($W$16*BC7*365,0)</f>
        <v>467566</v>
      </c>
      <c r="BD21" s="25">
        <f>ROUND($W$16*BD7*365,0)</f>
        <v>461958</v>
      </c>
      <c r="BE21" s="25">
        <f>ROUND($W$16*BE7*365,0)</f>
        <v>456349</v>
      </c>
      <c r="BF21" s="25">
        <f>ROUND($W$16*BF7*366,0)</f>
        <v>452137</v>
      </c>
      <c r="BG21" s="25">
        <f>ROUND($W$16*BG7*365,0)</f>
        <v>445453</v>
      </c>
      <c r="BH21" s="25">
        <f>ROUND($W$16*BH7*365,0)</f>
        <v>440166</v>
      </c>
      <c r="BI21" s="25">
        <f>ROUND($W$16*BI7*365,0)</f>
        <v>434878</v>
      </c>
      <c r="BJ21" s="25">
        <f>ROUND($W$16*BJ7*366,0)</f>
        <v>430767</v>
      </c>
      <c r="BK21" s="25">
        <f>ROUND($W$16*BK7*365,0)</f>
        <v>424463</v>
      </c>
      <c r="BL21" s="25">
        <f>ROUND($W$16*BL7*365,0)</f>
        <v>419335</v>
      </c>
      <c r="BM21" s="25">
        <f>ROUND($W$16*BM7*365,0)</f>
        <v>414368</v>
      </c>
      <c r="BN21" s="25">
        <f>ROUND($W$16*BN7*366,0)</f>
        <v>410522</v>
      </c>
      <c r="BO21" s="25">
        <f>ROUND($W$16*BO7*365,0)</f>
        <v>404433</v>
      </c>
      <c r="BP21" s="25">
        <f>ROUND($W$16*BP7*365,0)</f>
        <v>399626</v>
      </c>
      <c r="BQ21" s="25">
        <f>ROUND($W$16*BQ7*365,0)</f>
        <v>394819</v>
      </c>
      <c r="BR21" s="25">
        <f>ROUND($W$16*BR7*366,0)</f>
        <v>391081</v>
      </c>
      <c r="BS21" s="25">
        <f>ROUND($W$16*BS7*365,0)</f>
        <v>385365</v>
      </c>
      <c r="BT21" s="25">
        <f>ROUND($W$16*BT7*365,0)</f>
        <v>380718</v>
      </c>
      <c r="BU21" s="25">
        <f>ROUND($W$16*BU7*365,0)</f>
        <v>376072</v>
      </c>
      <c r="BV21" s="25">
        <f>ROUND($W$16*BV7*366,0)</f>
        <v>372603</v>
      </c>
    </row>
    <row r="22" spans="13:74" s="24" customFormat="1" outlineLevel="1">
      <c r="M22" s="25" t="s">
        <v>679</v>
      </c>
      <c r="N22" s="43"/>
      <c r="O22" s="43"/>
      <c r="P22" s="43"/>
      <c r="Q22" s="43"/>
      <c r="R22" s="43"/>
      <c r="S22" s="43"/>
      <c r="T22" s="43"/>
      <c r="U22" s="43"/>
      <c r="V22" s="43"/>
      <c r="W22" s="43"/>
      <c r="X22" s="43"/>
      <c r="Y22" s="25">
        <f>ROUND(Y21*【収益】料金単価!$S$36,0)</f>
        <v>247054</v>
      </c>
      <c r="Z22" s="25">
        <f>ROUND(Z21*【収益】料金単価!$S$36,0)</f>
        <v>246529</v>
      </c>
      <c r="AA22" s="25">
        <f>ROUND(AA21*【収益】料金単価!$S$36,0)</f>
        <v>240804</v>
      </c>
      <c r="AB22" s="25">
        <f>ROUND(AB21*【収益】料金単価!$S$36,0)</f>
        <v>235838</v>
      </c>
      <c r="AC22" s="25">
        <f>ROUND(AC21*【収益】料金単価!$S$36,0)</f>
        <v>231000</v>
      </c>
      <c r="AD22" s="25">
        <f>ROUND(AD21*【収益】料金単価!$S$36,0)</f>
        <v>226868</v>
      </c>
      <c r="AE22" s="25">
        <f>ROUND(AE21*【収益】料金単価!$S$36,0)</f>
        <v>218414</v>
      </c>
      <c r="AF22" s="25">
        <f>ROUND(AF21*【収益】料金単価!$S$36,0)</f>
        <v>214262</v>
      </c>
      <c r="AG22" s="25">
        <f>ROUND(AG21*【収益】料金単価!$S$36,0)</f>
        <v>210195</v>
      </c>
      <c r="AH22" s="25">
        <f>ROUND(AH21*【収益】料金単価!$S$36,0)</f>
        <v>206779</v>
      </c>
      <c r="AI22" s="25">
        <f>ROUND(AI21*【収益】料金単価!$S$36,0)</f>
        <v>202275</v>
      </c>
      <c r="AJ22" s="25">
        <f>ROUND(AJ21*【収益】料金単価!$S$36,0)</f>
        <v>193071</v>
      </c>
      <c r="AK22" s="25">
        <f>ROUND(AK21*【収益】料金単価!$S$36,0)</f>
        <v>189732</v>
      </c>
      <c r="AL22" s="25">
        <f>ROUND(AL21*【収益】料金単価!$S$36,0)</f>
        <v>186946</v>
      </c>
      <c r="AM22" s="25">
        <f>ROUND(AM21*【収益】料金単価!$S$36,0)</f>
        <v>183182</v>
      </c>
      <c r="AN22" s="25">
        <f>ROUND(AN21*【収益】料金単価!$S$36,0)</f>
        <v>180014</v>
      </c>
      <c r="AO22" s="25">
        <f>ROUND(AO21*【収益】料金単価!$S$36,0)</f>
        <v>170039</v>
      </c>
      <c r="AP22" s="25">
        <f>ROUND(AP21*【収益】料金単価!$S$36,0)</f>
        <v>167887</v>
      </c>
      <c r="AQ22" s="25">
        <f>ROUND(AQ21*【収益】料金単価!$S$36,0)</f>
        <v>164860</v>
      </c>
      <c r="AR22" s="25">
        <f>ROUND(AR21*【収益】料金単価!$S$36,0)</f>
        <v>162334</v>
      </c>
      <c r="AS22" s="25">
        <f>ROUND(AS21*【収益】料金単価!$S$36,0)</f>
        <v>159851</v>
      </c>
      <c r="AT22" s="25">
        <f>ROUND(AT21*【収益】料金単価!$S$36,0)</f>
        <v>150029</v>
      </c>
      <c r="AU22" s="25">
        <f>ROUND(AU21*【収益】料金単価!$S$36,0)</f>
        <v>147522</v>
      </c>
      <c r="AV22" s="25">
        <f>ROUND(AV21*【収益】料金単価!$S$36,0)</f>
        <v>145467</v>
      </c>
      <c r="AW22" s="25">
        <f>ROUND(AW21*【収益】料金単価!$S$36,0)</f>
        <v>143412</v>
      </c>
      <c r="AX22" s="25">
        <f>ROUND(AX21*【収益】料金単価!$S$36,0)</f>
        <v>141787</v>
      </c>
      <c r="AY22" s="25">
        <f>ROUND(AY21*【収益】料金単価!$S$36,0)</f>
        <v>131083</v>
      </c>
      <c r="AZ22" s="25">
        <f>ROUND(AZ21*【収益】料金単価!$S$36,0)</f>
        <v>129499</v>
      </c>
      <c r="BA22" s="25">
        <f>ROUND(BA21*【収益】料金単価!$S$36,0)</f>
        <v>127958</v>
      </c>
      <c r="BB22" s="25">
        <f>ROUND(BB21*【収益】料金単価!$S$36,0)</f>
        <v>126763</v>
      </c>
      <c r="BC22" s="25">
        <f>ROUND(BC21*【収益】料金単価!$S$36,0)</f>
        <v>124918</v>
      </c>
      <c r="BD22" s="25">
        <f>ROUND(BD21*【収益】料金単価!$S$36,0)</f>
        <v>123420</v>
      </c>
      <c r="BE22" s="25">
        <f>ROUND(BE21*【収益】料金単価!$S$36,0)</f>
        <v>121922</v>
      </c>
      <c r="BF22" s="25">
        <f>ROUND(BF21*【収益】料金単価!$S$36,0)</f>
        <v>120796</v>
      </c>
      <c r="BG22" s="25">
        <f>ROUND(BG21*【収益】料金単価!$S$36,0)</f>
        <v>119010</v>
      </c>
      <c r="BH22" s="25">
        <f>ROUND(BH21*【収益】料金単価!$S$36,0)</f>
        <v>117598</v>
      </c>
      <c r="BI22" s="25">
        <f>ROUND(BI21*【収益】料金単価!$S$36,0)</f>
        <v>116185</v>
      </c>
      <c r="BJ22" s="25">
        <f>ROUND(BJ21*【収益】料金単価!$S$36,0)</f>
        <v>115087</v>
      </c>
      <c r="BK22" s="25">
        <f>ROUND(BK21*【収益】料金単価!$S$36,0)</f>
        <v>113403</v>
      </c>
      <c r="BL22" s="25">
        <f>ROUND(BL21*【収益】料金単価!$S$36,0)</f>
        <v>112033</v>
      </c>
      <c r="BM22" s="25">
        <f>ROUND(BM21*【収益】料金単価!$S$36,0)</f>
        <v>110706</v>
      </c>
      <c r="BN22" s="25">
        <f>ROUND(BN21*【収益】料金単価!$S$36,0)</f>
        <v>109678</v>
      </c>
      <c r="BO22" s="25">
        <f>ROUND(BO21*【収益】料金単価!$S$36,0)</f>
        <v>108051</v>
      </c>
      <c r="BP22" s="25">
        <f>ROUND(BP21*【収益】料金単価!$S$36,0)</f>
        <v>106767</v>
      </c>
      <c r="BQ22" s="25">
        <f>ROUND(BQ21*【収益】料金単価!$S$36,0)</f>
        <v>105483</v>
      </c>
      <c r="BR22" s="25">
        <f>ROUND(BR21*【収益】料金単価!$S$36,0)</f>
        <v>104484</v>
      </c>
      <c r="BS22" s="25">
        <f>ROUND(BS21*【収益】料金単価!$S$36,0)</f>
        <v>102957</v>
      </c>
      <c r="BT22" s="25">
        <f>ROUND(BT21*【収益】料金単価!$S$36,0)</f>
        <v>101715</v>
      </c>
      <c r="BU22" s="25">
        <f>ROUND(BU21*【収益】料金単価!$S$36,0)</f>
        <v>100474</v>
      </c>
      <c r="BV22" s="25">
        <f>ROUND(BV21*【収益】料金単価!$S$36,0)</f>
        <v>99547</v>
      </c>
    </row>
    <row r="23" spans="13:74" s="24" customFormat="1" outlineLevel="1">
      <c r="M23" s="25" t="s">
        <v>680</v>
      </c>
      <c r="N23" s="43"/>
      <c r="O23" s="43"/>
      <c r="P23" s="43"/>
      <c r="Q23" s="43"/>
      <c r="R23" s="43"/>
      <c r="S23" s="43"/>
      <c r="T23" s="43"/>
      <c r="U23" s="43"/>
      <c r="V23" s="43"/>
      <c r="W23" s="43"/>
      <c r="X23" s="43"/>
      <c r="Y23" s="25">
        <f>Y21-Y22</f>
        <v>677662</v>
      </c>
      <c r="Z23" s="25">
        <f t="shared" ref="Z23:BV23" si="114">Z21-Z22</f>
        <v>676222</v>
      </c>
      <c r="AA23" s="25">
        <f t="shared" si="114"/>
        <v>660518</v>
      </c>
      <c r="AB23" s="25">
        <f t="shared" si="114"/>
        <v>646897</v>
      </c>
      <c r="AC23" s="25">
        <f t="shared" si="114"/>
        <v>633628</v>
      </c>
      <c r="AD23" s="25">
        <f t="shared" si="114"/>
        <v>622294</v>
      </c>
      <c r="AE23" s="25">
        <f t="shared" si="114"/>
        <v>599105</v>
      </c>
      <c r="AF23" s="25">
        <f t="shared" si="114"/>
        <v>587714</v>
      </c>
      <c r="AG23" s="25">
        <f t="shared" si="114"/>
        <v>576559</v>
      </c>
      <c r="AH23" s="25">
        <f t="shared" si="114"/>
        <v>567188</v>
      </c>
      <c r="AI23" s="25">
        <f t="shared" si="114"/>
        <v>554835</v>
      </c>
      <c r="AJ23" s="25">
        <f t="shared" si="114"/>
        <v>529589</v>
      </c>
      <c r="AK23" s="25">
        <f t="shared" si="114"/>
        <v>520430</v>
      </c>
      <c r="AL23" s="25">
        <f t="shared" si="114"/>
        <v>512789</v>
      </c>
      <c r="AM23" s="25">
        <f t="shared" si="114"/>
        <v>502464</v>
      </c>
      <c r="AN23" s="25">
        <f t="shared" si="114"/>
        <v>493774</v>
      </c>
      <c r="AO23" s="25">
        <f t="shared" si="114"/>
        <v>466414</v>
      </c>
      <c r="AP23" s="25">
        <f t="shared" si="114"/>
        <v>460509</v>
      </c>
      <c r="AQ23" s="25">
        <f t="shared" si="114"/>
        <v>452205</v>
      </c>
      <c r="AR23" s="25">
        <f t="shared" si="114"/>
        <v>445277</v>
      </c>
      <c r="AS23" s="25">
        <f t="shared" si="114"/>
        <v>438466</v>
      </c>
      <c r="AT23" s="25">
        <f t="shared" si="114"/>
        <v>411527</v>
      </c>
      <c r="AU23" s="25">
        <f t="shared" si="114"/>
        <v>404648</v>
      </c>
      <c r="AV23" s="25">
        <f t="shared" si="114"/>
        <v>399012</v>
      </c>
      <c r="AW23" s="25">
        <f t="shared" si="114"/>
        <v>393375</v>
      </c>
      <c r="AX23" s="25">
        <f t="shared" si="114"/>
        <v>388919</v>
      </c>
      <c r="AY23" s="25">
        <f t="shared" si="114"/>
        <v>359557</v>
      </c>
      <c r="AZ23" s="25">
        <f t="shared" si="114"/>
        <v>355212</v>
      </c>
      <c r="BA23" s="25">
        <f t="shared" si="114"/>
        <v>350984</v>
      </c>
      <c r="BB23" s="25">
        <f t="shared" si="114"/>
        <v>347707</v>
      </c>
      <c r="BC23" s="25">
        <f t="shared" si="114"/>
        <v>342648</v>
      </c>
      <c r="BD23" s="25">
        <f t="shared" si="114"/>
        <v>338538</v>
      </c>
      <c r="BE23" s="25">
        <f t="shared" si="114"/>
        <v>334427</v>
      </c>
      <c r="BF23" s="25">
        <f t="shared" si="114"/>
        <v>331341</v>
      </c>
      <c r="BG23" s="25">
        <f t="shared" si="114"/>
        <v>326443</v>
      </c>
      <c r="BH23" s="25">
        <f t="shared" si="114"/>
        <v>322568</v>
      </c>
      <c r="BI23" s="25">
        <f t="shared" si="114"/>
        <v>318693</v>
      </c>
      <c r="BJ23" s="25">
        <f t="shared" si="114"/>
        <v>315680</v>
      </c>
      <c r="BK23" s="25">
        <f t="shared" si="114"/>
        <v>311060</v>
      </c>
      <c r="BL23" s="25">
        <f t="shared" si="114"/>
        <v>307302</v>
      </c>
      <c r="BM23" s="25">
        <f t="shared" si="114"/>
        <v>303662</v>
      </c>
      <c r="BN23" s="25">
        <f t="shared" si="114"/>
        <v>300844</v>
      </c>
      <c r="BO23" s="25">
        <f t="shared" si="114"/>
        <v>296382</v>
      </c>
      <c r="BP23" s="25">
        <f t="shared" si="114"/>
        <v>292859</v>
      </c>
      <c r="BQ23" s="25">
        <f t="shared" si="114"/>
        <v>289336</v>
      </c>
      <c r="BR23" s="25">
        <f t="shared" si="114"/>
        <v>286597</v>
      </c>
      <c r="BS23" s="25">
        <f t="shared" si="114"/>
        <v>282408</v>
      </c>
      <c r="BT23" s="25">
        <f t="shared" si="114"/>
        <v>279003</v>
      </c>
      <c r="BU23" s="25">
        <f t="shared" si="114"/>
        <v>275598</v>
      </c>
      <c r="BV23" s="25">
        <f t="shared" si="114"/>
        <v>273056</v>
      </c>
    </row>
    <row r="24" spans="13:74" s="24" customFormat="1">
      <c r="M24" s="25" t="s">
        <v>161</v>
      </c>
      <c r="N24" s="25">
        <f t="shared" ref="N24:R24" si="115">N9</f>
        <v>2856</v>
      </c>
      <c r="O24" s="25">
        <f t="shared" si="115"/>
        <v>2972</v>
      </c>
      <c r="P24" s="25">
        <f t="shared" si="115"/>
        <v>3076</v>
      </c>
      <c r="Q24" s="25">
        <f t="shared" si="115"/>
        <v>3011</v>
      </c>
      <c r="R24" s="25">
        <f t="shared" si="115"/>
        <v>3011</v>
      </c>
      <c r="S24" s="25">
        <f>S9</f>
        <v>3042</v>
      </c>
      <c r="T24" s="25">
        <f>T9</f>
        <v>3032</v>
      </c>
      <c r="U24" s="25">
        <f>U9</f>
        <v>3019</v>
      </c>
      <c r="V24" s="25">
        <f>V9</f>
        <v>3014</v>
      </c>
      <c r="W24" s="25">
        <f>W9</f>
        <v>2115</v>
      </c>
      <c r="X24" s="25"/>
      <c r="Y24" s="25">
        <f t="shared" ref="Y24:BD24" si="116">Y9</f>
        <v>3045</v>
      </c>
      <c r="Z24" s="25">
        <f t="shared" si="116"/>
        <v>2962.7849999999999</v>
      </c>
      <c r="AA24" s="25">
        <f t="shared" si="116"/>
        <v>2964</v>
      </c>
      <c r="AB24" s="25">
        <f t="shared" si="116"/>
        <v>2965</v>
      </c>
      <c r="AC24" s="25">
        <f t="shared" si="116"/>
        <v>2966</v>
      </c>
      <c r="AD24" s="25">
        <f t="shared" si="116"/>
        <v>2967</v>
      </c>
      <c r="AE24" s="25">
        <f t="shared" si="116"/>
        <v>2966</v>
      </c>
      <c r="AF24" s="25">
        <f t="shared" si="116"/>
        <v>2965</v>
      </c>
      <c r="AG24" s="25">
        <f t="shared" si="116"/>
        <v>2964</v>
      </c>
      <c r="AH24" s="25">
        <f t="shared" si="116"/>
        <v>2963</v>
      </c>
      <c r="AI24" s="25">
        <f t="shared" si="116"/>
        <v>2962</v>
      </c>
      <c r="AJ24" s="25">
        <f t="shared" si="116"/>
        <v>2960</v>
      </c>
      <c r="AK24" s="25">
        <f t="shared" si="116"/>
        <v>2958</v>
      </c>
      <c r="AL24" s="25">
        <f t="shared" si="116"/>
        <v>2956</v>
      </c>
      <c r="AM24" s="25">
        <f t="shared" si="116"/>
        <v>2954</v>
      </c>
      <c r="AN24" s="25">
        <f t="shared" si="116"/>
        <v>2952</v>
      </c>
      <c r="AO24" s="25">
        <f t="shared" si="116"/>
        <v>2948</v>
      </c>
      <c r="AP24" s="25">
        <f t="shared" si="116"/>
        <v>2944</v>
      </c>
      <c r="AQ24" s="25">
        <f t="shared" si="116"/>
        <v>2940</v>
      </c>
      <c r="AR24" s="25">
        <f t="shared" si="116"/>
        <v>2936</v>
      </c>
      <c r="AS24" s="25">
        <f t="shared" si="116"/>
        <v>2932</v>
      </c>
      <c r="AT24" s="25">
        <f t="shared" si="116"/>
        <v>2928</v>
      </c>
      <c r="AU24" s="25">
        <f t="shared" si="116"/>
        <v>2924</v>
      </c>
      <c r="AV24" s="25">
        <f t="shared" si="116"/>
        <v>2920</v>
      </c>
      <c r="AW24" s="25">
        <f t="shared" si="116"/>
        <v>2916</v>
      </c>
      <c r="AX24" s="25">
        <f t="shared" si="116"/>
        <v>2912</v>
      </c>
      <c r="AY24" s="25">
        <f t="shared" si="116"/>
        <v>2908</v>
      </c>
      <c r="AZ24" s="25">
        <f t="shared" si="116"/>
        <v>2904</v>
      </c>
      <c r="BA24" s="25">
        <f t="shared" si="116"/>
        <v>2900</v>
      </c>
      <c r="BB24" s="25">
        <f t="shared" si="116"/>
        <v>2896</v>
      </c>
      <c r="BC24" s="25">
        <f t="shared" si="116"/>
        <v>2892</v>
      </c>
      <c r="BD24" s="25">
        <f t="shared" si="116"/>
        <v>2888</v>
      </c>
      <c r="BE24" s="25">
        <f t="shared" ref="BE24:BV24" si="117">BE9</f>
        <v>2884</v>
      </c>
      <c r="BF24" s="25">
        <f t="shared" si="117"/>
        <v>2880</v>
      </c>
      <c r="BG24" s="25">
        <f t="shared" si="117"/>
        <v>2876</v>
      </c>
      <c r="BH24" s="25">
        <f t="shared" si="117"/>
        <v>2872</v>
      </c>
      <c r="BI24" s="25">
        <f t="shared" si="117"/>
        <v>2868</v>
      </c>
      <c r="BJ24" s="25">
        <f t="shared" si="117"/>
        <v>2864</v>
      </c>
      <c r="BK24" s="25">
        <f t="shared" si="117"/>
        <v>2860</v>
      </c>
      <c r="BL24" s="25">
        <f t="shared" si="117"/>
        <v>2856</v>
      </c>
      <c r="BM24" s="25">
        <f t="shared" si="117"/>
        <v>2852</v>
      </c>
      <c r="BN24" s="25">
        <f t="shared" si="117"/>
        <v>2848</v>
      </c>
      <c r="BO24" s="25">
        <f t="shared" si="117"/>
        <v>2844</v>
      </c>
      <c r="BP24" s="25">
        <f t="shared" si="117"/>
        <v>2840</v>
      </c>
      <c r="BQ24" s="25">
        <f t="shared" si="117"/>
        <v>2836</v>
      </c>
      <c r="BR24" s="25">
        <f t="shared" si="117"/>
        <v>2832</v>
      </c>
      <c r="BS24" s="25">
        <f t="shared" si="117"/>
        <v>2828</v>
      </c>
      <c r="BT24" s="25">
        <f t="shared" si="117"/>
        <v>2824</v>
      </c>
      <c r="BU24" s="25">
        <f t="shared" si="117"/>
        <v>2820</v>
      </c>
      <c r="BV24" s="25">
        <f t="shared" si="117"/>
        <v>2816</v>
      </c>
    </row>
    <row r="25" spans="13:74" s="24" customFormat="1" outlineLevel="1">
      <c r="M25" s="25" t="s">
        <v>552</v>
      </c>
      <c r="N25" s="43"/>
      <c r="O25" s="43"/>
      <c r="P25" s="43"/>
      <c r="Q25" s="43"/>
      <c r="R25" s="43"/>
      <c r="S25" s="43"/>
      <c r="T25" s="43"/>
      <c r="U25" s="43"/>
      <c r="V25" s="43"/>
      <c r="W25" s="43"/>
      <c r="X25" s="43"/>
      <c r="Y25" s="25">
        <f>ROUND(Y$24*【収益】料金単価!$T41,0)</f>
        <v>719</v>
      </c>
      <c r="Z25" s="25">
        <f>ROUND(Z$24*【収益】料金単価!$T41,0)</f>
        <v>699</v>
      </c>
      <c r="AA25" s="25">
        <f>ROUND(AA$24*【収益】料金単価!$T41,0)</f>
        <v>700</v>
      </c>
      <c r="AB25" s="25">
        <f>ROUND(AB$24*【収益】料金単価!$T41,0)</f>
        <v>700</v>
      </c>
      <c r="AC25" s="25">
        <f>ROUND(AC$24*【収益】料金単価!$T41,0)</f>
        <v>700</v>
      </c>
      <c r="AD25" s="25">
        <f>ROUND(AD$24*【収益】料金単価!$T41,0)</f>
        <v>700</v>
      </c>
      <c r="AE25" s="25">
        <f>ROUND(AE$24*【収益】料金単価!$T41,0)</f>
        <v>700</v>
      </c>
      <c r="AF25" s="25">
        <f>ROUND(AF$24*【収益】料金単価!$T41,0)</f>
        <v>700</v>
      </c>
      <c r="AG25" s="25">
        <f>ROUND(AG$24*【収益】料金単価!$T41,0)</f>
        <v>700</v>
      </c>
      <c r="AH25" s="25">
        <f>ROUND(AH$24*【収益】料金単価!$T41,0)</f>
        <v>699</v>
      </c>
      <c r="AI25" s="25">
        <f>ROUND(AI$24*【収益】料金単価!$T41,0)</f>
        <v>699</v>
      </c>
      <c r="AJ25" s="25">
        <f>ROUND(AJ$24*【収益】料金単価!$T41,0)</f>
        <v>699</v>
      </c>
      <c r="AK25" s="25">
        <f>ROUND(AK$24*【収益】料金単価!$T41,0)</f>
        <v>698</v>
      </c>
      <c r="AL25" s="25">
        <f>ROUND(AL$24*【収益】料金単価!$T41,0)</f>
        <v>698</v>
      </c>
      <c r="AM25" s="25">
        <f>ROUND(AM$24*【収益】料金単価!$T41,0)</f>
        <v>697</v>
      </c>
      <c r="AN25" s="25">
        <f>ROUND(AN$24*【収益】料金単価!$T41,0)</f>
        <v>697</v>
      </c>
      <c r="AO25" s="25">
        <f>ROUND(AO$24*【収益】料金単価!$T41,0)</f>
        <v>696</v>
      </c>
      <c r="AP25" s="25">
        <f>ROUND(AP$24*【収益】料金単価!$T41,0)</f>
        <v>695</v>
      </c>
      <c r="AQ25" s="25">
        <f>ROUND(AQ$24*【収益】料金単価!$T41,0)</f>
        <v>694</v>
      </c>
      <c r="AR25" s="25">
        <f>ROUND(AR$24*【収益】料金単価!$T41,0)</f>
        <v>693</v>
      </c>
      <c r="AS25" s="25">
        <f>ROUND(AS$24*【収益】料金単価!$T41,0)</f>
        <v>692</v>
      </c>
      <c r="AT25" s="25">
        <f>ROUND(AT$24*【収益】料金単価!$T41,0)</f>
        <v>691</v>
      </c>
      <c r="AU25" s="25">
        <f>ROUND(AU$24*【収益】料金単価!$T41,0)</f>
        <v>690</v>
      </c>
      <c r="AV25" s="25">
        <f>ROUND(AV$24*【収益】料金単価!$T41,0)</f>
        <v>689</v>
      </c>
      <c r="AW25" s="25">
        <f>ROUND(AW$24*【収益】料金単価!$T41,0)</f>
        <v>688</v>
      </c>
      <c r="AX25" s="25">
        <f>ROUND(AX$24*【収益】料金単価!$T41,0)</f>
        <v>687</v>
      </c>
      <c r="AY25" s="25">
        <f>ROUND(AY$24*【収益】料金単価!$T41,0)</f>
        <v>686</v>
      </c>
      <c r="AZ25" s="25">
        <f>ROUND(AZ$24*【収益】料金単価!$T41,0)</f>
        <v>685</v>
      </c>
      <c r="BA25" s="25">
        <f>ROUND(BA$24*【収益】料金単価!$T41,0)</f>
        <v>684</v>
      </c>
      <c r="BB25" s="25">
        <f>ROUND(BB$24*【収益】料金単価!$T41,0)</f>
        <v>683</v>
      </c>
      <c r="BC25" s="25">
        <f>ROUND(BC$24*【収益】料金単価!$T41,0)</f>
        <v>683</v>
      </c>
      <c r="BD25" s="25">
        <f>ROUND(BD$24*【収益】料金単価!$T41,0)</f>
        <v>682</v>
      </c>
      <c r="BE25" s="25">
        <f>ROUND(BE$24*【収益】料金単価!$T41,0)</f>
        <v>681</v>
      </c>
      <c r="BF25" s="25">
        <f>ROUND(BF$24*【収益】料金単価!$T41,0)</f>
        <v>680</v>
      </c>
      <c r="BG25" s="25">
        <f>ROUND(BG$24*【収益】料金単価!$T41,0)</f>
        <v>679</v>
      </c>
      <c r="BH25" s="25">
        <f>ROUND(BH$24*【収益】料金単価!$T41,0)</f>
        <v>678</v>
      </c>
      <c r="BI25" s="25">
        <f>ROUND(BI$24*【収益】料金単価!$T41,0)</f>
        <v>677</v>
      </c>
      <c r="BJ25" s="25">
        <f>ROUND(BJ$24*【収益】料金単価!$T41,0)</f>
        <v>676</v>
      </c>
      <c r="BK25" s="25">
        <f>ROUND(BK$24*【収益】料金単価!$T41,0)</f>
        <v>675</v>
      </c>
      <c r="BL25" s="25">
        <f>ROUND(BL$24*【収益】料金単価!$T41,0)</f>
        <v>674</v>
      </c>
      <c r="BM25" s="25">
        <f>ROUND(BM$24*【収益】料金単価!$T41,0)</f>
        <v>673</v>
      </c>
      <c r="BN25" s="25">
        <f>ROUND(BN$24*【収益】料金単価!$T41,0)</f>
        <v>672</v>
      </c>
      <c r="BO25" s="25">
        <f>ROUND(BO$24*【収益】料金単価!$T41,0)</f>
        <v>671</v>
      </c>
      <c r="BP25" s="25">
        <f>ROUND(BP$24*【収益】料金単価!$T41,0)</f>
        <v>670</v>
      </c>
      <c r="BQ25" s="25">
        <f>ROUND(BQ$24*【収益】料金単価!$T41,0)</f>
        <v>669</v>
      </c>
      <c r="BR25" s="25">
        <f>ROUND(BR$24*【収益】料金単価!$T41,0)</f>
        <v>668</v>
      </c>
      <c r="BS25" s="25">
        <f>ROUND(BS$24*【収益】料金単価!$T41,0)</f>
        <v>667</v>
      </c>
      <c r="BT25" s="25">
        <f>ROUND(BT$24*【収益】料金単価!$T41,0)</f>
        <v>666</v>
      </c>
      <c r="BU25" s="25">
        <f>ROUND(BU$24*【収益】料金単価!$T41,0)</f>
        <v>666</v>
      </c>
      <c r="BV25" s="25">
        <f>ROUND(BV$24*【収益】料金単価!$T41,0)</f>
        <v>665</v>
      </c>
    </row>
    <row r="26" spans="13:74" s="24" customFormat="1" outlineLevel="1">
      <c r="M26" s="25" t="s">
        <v>553</v>
      </c>
      <c r="N26" s="43"/>
      <c r="O26" s="43"/>
      <c r="P26" s="43"/>
      <c r="Q26" s="43"/>
      <c r="R26" s="43"/>
      <c r="S26" s="43"/>
      <c r="T26" s="43"/>
      <c r="U26" s="43"/>
      <c r="V26" s="43"/>
      <c r="W26" s="43"/>
      <c r="X26" s="43"/>
      <c r="Y26" s="25">
        <f>ROUND(Y$24*【収益】料金単価!$T42,0)</f>
        <v>2150</v>
      </c>
      <c r="Z26" s="25">
        <f>ROUND(Z$24*【収益】料金単価!$T42,0)</f>
        <v>2092</v>
      </c>
      <c r="AA26" s="25">
        <f>ROUND(AA$24*【収益】料金単価!$T42,0)</f>
        <v>2093</v>
      </c>
      <c r="AB26" s="25">
        <f>ROUND(AB$24*【収益】料金単価!$T42,0)</f>
        <v>2093</v>
      </c>
      <c r="AC26" s="25">
        <f>ROUND(AC$24*【収益】料金単価!$T42,0)</f>
        <v>2094</v>
      </c>
      <c r="AD26" s="25">
        <f>ROUND(AD$24*【収益】料金単価!$T42,0)</f>
        <v>2095</v>
      </c>
      <c r="AE26" s="25">
        <f>ROUND(AE$24*【収益】料金単価!$T42,0)</f>
        <v>2094</v>
      </c>
      <c r="AF26" s="25">
        <f>ROUND(AF$24*【収益】料金単価!$T42,0)</f>
        <v>2093</v>
      </c>
      <c r="AG26" s="25">
        <f>ROUND(AG$24*【収益】料金単価!$T42,0)</f>
        <v>2093</v>
      </c>
      <c r="AH26" s="25">
        <f>ROUND(AH$24*【収益】料金単価!$T42,0)</f>
        <v>2092</v>
      </c>
      <c r="AI26" s="25">
        <f>ROUND(AI$24*【収益】料金単価!$T42,0)</f>
        <v>2091</v>
      </c>
      <c r="AJ26" s="25">
        <f>ROUND(AJ$24*【収益】料金単価!$T42,0)</f>
        <v>2090</v>
      </c>
      <c r="AK26" s="25">
        <f>ROUND(AK$24*【収益】料金単価!$T42,0)</f>
        <v>2088</v>
      </c>
      <c r="AL26" s="25">
        <f>ROUND(AL$24*【収益】料金単価!$T42,0)</f>
        <v>2087</v>
      </c>
      <c r="AM26" s="25">
        <f>ROUND(AM$24*【収益】料金単価!$T42,0)</f>
        <v>2086</v>
      </c>
      <c r="AN26" s="25">
        <f>ROUND(AN$24*【収益】料金単価!$T42,0)</f>
        <v>2084</v>
      </c>
      <c r="AO26" s="25">
        <f>ROUND(AO$24*【収益】料金単価!$T42,0)</f>
        <v>2081</v>
      </c>
      <c r="AP26" s="25">
        <f>ROUND(AP$24*【収益】料金単価!$T42,0)</f>
        <v>2078</v>
      </c>
      <c r="AQ26" s="25">
        <f>ROUND(AQ$24*【収益】料金単価!$T42,0)</f>
        <v>2076</v>
      </c>
      <c r="AR26" s="25">
        <f>ROUND(AR$24*【収益】料金単価!$T42,0)</f>
        <v>2073</v>
      </c>
      <c r="AS26" s="25">
        <f>ROUND(AS$24*【収益】料金単価!$T42,0)</f>
        <v>2070</v>
      </c>
      <c r="AT26" s="25">
        <f>ROUND(AT$24*【収益】料金単価!$T42,0)</f>
        <v>2067</v>
      </c>
      <c r="AU26" s="25">
        <f>ROUND(AU$24*【収益】料金単価!$T42,0)</f>
        <v>2064</v>
      </c>
      <c r="AV26" s="25">
        <f>ROUND(AV$24*【収益】料金単価!$T42,0)</f>
        <v>2062</v>
      </c>
      <c r="AW26" s="25">
        <f>ROUND(AW$24*【収益】料金単価!$T42,0)</f>
        <v>2059</v>
      </c>
      <c r="AX26" s="25">
        <f>ROUND(AX$24*【収益】料金単価!$T42,0)</f>
        <v>2056</v>
      </c>
      <c r="AY26" s="25">
        <f>ROUND(AY$24*【収益】料金単価!$T42,0)</f>
        <v>2053</v>
      </c>
      <c r="AZ26" s="25">
        <f>ROUND(AZ$24*【収益】料金単価!$T42,0)</f>
        <v>2050</v>
      </c>
      <c r="BA26" s="25">
        <f>ROUND(BA$24*【収益】料金単価!$T42,0)</f>
        <v>2047</v>
      </c>
      <c r="BB26" s="25">
        <f>ROUND(BB$24*【収益】料金単価!$T42,0)</f>
        <v>2045</v>
      </c>
      <c r="BC26" s="25">
        <f>ROUND(BC$24*【収益】料金単価!$T42,0)</f>
        <v>2042</v>
      </c>
      <c r="BD26" s="25">
        <f>ROUND(BD$24*【収益】料金単価!$T42,0)</f>
        <v>2039</v>
      </c>
      <c r="BE26" s="25">
        <f>ROUND(BE$24*【収益】料金単価!$T42,0)</f>
        <v>2036</v>
      </c>
      <c r="BF26" s="25">
        <f>ROUND(BF$24*【収益】料金単価!$T42,0)</f>
        <v>2033</v>
      </c>
      <c r="BG26" s="25">
        <f>ROUND(BG$24*【収益】料金単価!$T42,0)</f>
        <v>2030</v>
      </c>
      <c r="BH26" s="25">
        <f>ROUND(BH$24*【収益】料金単価!$T42,0)</f>
        <v>2028</v>
      </c>
      <c r="BI26" s="25">
        <f>ROUND(BI$24*【収益】料金単価!$T42,0)</f>
        <v>2025</v>
      </c>
      <c r="BJ26" s="25">
        <f>ROUND(BJ$24*【収益】料金単価!$T42,0)</f>
        <v>2022</v>
      </c>
      <c r="BK26" s="25">
        <f>ROUND(BK$24*【収益】料金単価!$T42,0)</f>
        <v>2019</v>
      </c>
      <c r="BL26" s="25">
        <f>ROUND(BL$24*【収益】料金単価!$T42,0)</f>
        <v>2016</v>
      </c>
      <c r="BM26" s="25">
        <f>ROUND(BM$24*【収益】料金単価!$T42,0)</f>
        <v>2014</v>
      </c>
      <c r="BN26" s="25">
        <f>ROUND(BN$24*【収益】料金単価!$T42,0)</f>
        <v>2011</v>
      </c>
      <c r="BO26" s="25">
        <f>ROUND(BO$24*【収益】料金単価!$T42,0)</f>
        <v>2008</v>
      </c>
      <c r="BP26" s="25">
        <f>ROUND(BP$24*【収益】料金単価!$T42,0)</f>
        <v>2005</v>
      </c>
      <c r="BQ26" s="25">
        <f>ROUND(BQ$24*【収益】料金単価!$T42,0)</f>
        <v>2002</v>
      </c>
      <c r="BR26" s="25">
        <f>ROUND(BR$24*【収益】料金単価!$T42,0)</f>
        <v>1999</v>
      </c>
      <c r="BS26" s="25">
        <f>ROUND(BS$24*【収益】料金単価!$T42,0)</f>
        <v>1997</v>
      </c>
      <c r="BT26" s="25">
        <f>ROUND(BT$24*【収益】料金単価!$T42,0)</f>
        <v>1994</v>
      </c>
      <c r="BU26" s="25">
        <f>ROUND(BU$24*【収益】料金単価!$T42,0)</f>
        <v>1991</v>
      </c>
      <c r="BV26" s="25">
        <f>ROUND(BV$24*【収益】料金単価!$T42,0)</f>
        <v>1988</v>
      </c>
    </row>
    <row r="27" spans="13:74" s="24" customFormat="1" outlineLevel="1">
      <c r="M27" s="25" t="s">
        <v>554</v>
      </c>
      <c r="N27" s="43"/>
      <c r="O27" s="43"/>
      <c r="P27" s="43"/>
      <c r="Q27" s="43"/>
      <c r="R27" s="43"/>
      <c r="S27" s="43"/>
      <c r="T27" s="43"/>
      <c r="U27" s="43"/>
      <c r="V27" s="43"/>
      <c r="W27" s="43"/>
      <c r="X27" s="43"/>
      <c r="Y27" s="25">
        <f>ROUND(Y$24*【収益】料金単価!$T43,0)</f>
        <v>70</v>
      </c>
      <c r="Z27" s="25">
        <f>ROUND(Z$24*【収益】料金単価!$T43,0)</f>
        <v>68</v>
      </c>
      <c r="AA27" s="25">
        <f>ROUND(AA$24*【収益】料金単価!$T43,0)</f>
        <v>68</v>
      </c>
      <c r="AB27" s="25">
        <f>ROUND(AB$24*【収益】料金単価!$T43,0)</f>
        <v>68</v>
      </c>
      <c r="AC27" s="25">
        <f>ROUND(AC$24*【収益】料金単価!$T43,0)</f>
        <v>68</v>
      </c>
      <c r="AD27" s="25">
        <f>ROUND(AD$24*【収益】料金単価!$T43,0)</f>
        <v>68</v>
      </c>
      <c r="AE27" s="25">
        <f>ROUND(AE$24*【収益】料金単価!$T43,0)</f>
        <v>68</v>
      </c>
      <c r="AF27" s="25">
        <f>ROUND(AF$24*【収益】料金単価!$T43,0)</f>
        <v>68</v>
      </c>
      <c r="AG27" s="25">
        <f>ROUND(AG$24*【収益】料金単価!$T43,0)</f>
        <v>68</v>
      </c>
      <c r="AH27" s="25">
        <f>ROUND(AH$24*【収益】料金単価!$T43,0)</f>
        <v>68</v>
      </c>
      <c r="AI27" s="25">
        <f>ROUND(AI$24*【収益】料金単価!$T43,0)</f>
        <v>68</v>
      </c>
      <c r="AJ27" s="25">
        <f>ROUND(AJ$24*【収益】料金単価!$T43,0)</f>
        <v>68</v>
      </c>
      <c r="AK27" s="25">
        <f>ROUND(AK$24*【収益】料金単価!$T43,0)</f>
        <v>68</v>
      </c>
      <c r="AL27" s="25">
        <f>ROUND(AL$24*【収益】料金単価!$T43,0)</f>
        <v>68</v>
      </c>
      <c r="AM27" s="25">
        <f>ROUND(AM$24*【収益】料金単価!$T43,0)</f>
        <v>68</v>
      </c>
      <c r="AN27" s="25">
        <f>ROUND(AN$24*【収益】料金単価!$T43,0)</f>
        <v>68</v>
      </c>
      <c r="AO27" s="25">
        <f>ROUND(AO$24*【収益】料金単価!$T43,0)</f>
        <v>68</v>
      </c>
      <c r="AP27" s="25">
        <f>ROUND(AP$24*【収益】料金単価!$T43,0)</f>
        <v>68</v>
      </c>
      <c r="AQ27" s="25">
        <f>ROUND(AQ$24*【収益】料金単価!$T43,0)</f>
        <v>68</v>
      </c>
      <c r="AR27" s="25">
        <f>ROUND(AR$24*【収益】料金単価!$T43,0)</f>
        <v>68</v>
      </c>
      <c r="AS27" s="25">
        <f>ROUND(AS$24*【収益】料金単価!$T43,0)</f>
        <v>67</v>
      </c>
      <c r="AT27" s="25">
        <f>ROUND(AT$24*【収益】料金単価!$T43,0)</f>
        <v>67</v>
      </c>
      <c r="AU27" s="25">
        <f>ROUND(AU$24*【収益】料金単価!$T43,0)</f>
        <v>67</v>
      </c>
      <c r="AV27" s="25">
        <f>ROUND(AV$24*【収益】料金単価!$T43,0)</f>
        <v>67</v>
      </c>
      <c r="AW27" s="25">
        <f>ROUND(AW$24*【収益】料金単価!$T43,0)</f>
        <v>67</v>
      </c>
      <c r="AX27" s="25">
        <f>ROUND(AX$24*【収益】料金単価!$T43,0)</f>
        <v>67</v>
      </c>
      <c r="AY27" s="25">
        <f>ROUND(AY$24*【収益】料金単価!$T43,0)</f>
        <v>67</v>
      </c>
      <c r="AZ27" s="25">
        <f>ROUND(AZ$24*【収益】料金単価!$T43,0)</f>
        <v>67</v>
      </c>
      <c r="BA27" s="25">
        <f>ROUND(BA$24*【収益】料金単価!$T43,0)</f>
        <v>67</v>
      </c>
      <c r="BB27" s="25">
        <f>ROUND(BB$24*【収益】料金単価!$T43,0)</f>
        <v>67</v>
      </c>
      <c r="BC27" s="25">
        <f>ROUND(BC$24*【収益】料金単価!$T43,0)</f>
        <v>67</v>
      </c>
      <c r="BD27" s="25">
        <f>ROUND(BD$24*【収益】料金単価!$T43,0)</f>
        <v>66</v>
      </c>
      <c r="BE27" s="25">
        <f>ROUND(BE$24*【収益】料金単価!$T43,0)</f>
        <v>66</v>
      </c>
      <c r="BF27" s="25">
        <f>ROUND(BF$24*【収益】料金単価!$T43,0)</f>
        <v>66</v>
      </c>
      <c r="BG27" s="25">
        <f>ROUND(BG$24*【収益】料金単価!$T43,0)</f>
        <v>66</v>
      </c>
      <c r="BH27" s="25">
        <f>ROUND(BH$24*【収益】料金単価!$T43,0)</f>
        <v>66</v>
      </c>
      <c r="BI27" s="25">
        <f>ROUND(BI$24*【収益】料金単価!$T43,0)</f>
        <v>66</v>
      </c>
      <c r="BJ27" s="25">
        <f>ROUND(BJ$24*【収益】料金単価!$T43,0)</f>
        <v>66</v>
      </c>
      <c r="BK27" s="25">
        <f>ROUND(BK$24*【収益】料金単価!$T43,0)</f>
        <v>66</v>
      </c>
      <c r="BL27" s="25">
        <f>ROUND(BL$24*【収益】料金単価!$T43,0)</f>
        <v>66</v>
      </c>
      <c r="BM27" s="25">
        <f>ROUND(BM$24*【収益】料金単価!$T43,0)</f>
        <v>66</v>
      </c>
      <c r="BN27" s="25">
        <f>ROUND(BN$24*【収益】料金単価!$T43,0)</f>
        <v>66</v>
      </c>
      <c r="BO27" s="25">
        <f>ROUND(BO$24*【収益】料金単価!$T43,0)</f>
        <v>65</v>
      </c>
      <c r="BP27" s="25">
        <f>ROUND(BP$24*【収益】料金単価!$T43,0)</f>
        <v>65</v>
      </c>
      <c r="BQ27" s="25">
        <f>ROUND(BQ$24*【収益】料金単価!$T43,0)</f>
        <v>65</v>
      </c>
      <c r="BR27" s="25">
        <f>ROUND(BR$24*【収益】料金単価!$T43,0)</f>
        <v>65</v>
      </c>
      <c r="BS27" s="25">
        <f>ROUND(BS$24*【収益】料金単価!$T43,0)</f>
        <v>65</v>
      </c>
      <c r="BT27" s="25">
        <f>ROUND(BT$24*【収益】料金単価!$T43,0)</f>
        <v>65</v>
      </c>
      <c r="BU27" s="25">
        <f>ROUND(BU$24*【収益】料金単価!$T43,0)</f>
        <v>65</v>
      </c>
      <c r="BV27" s="25">
        <f>ROUND(BV$24*【収益】料金単価!$T43,0)</f>
        <v>65</v>
      </c>
    </row>
    <row r="28" spans="13:74" s="24" customFormat="1" outlineLevel="1">
      <c r="M28" s="25" t="s">
        <v>556</v>
      </c>
      <c r="N28" s="43"/>
      <c r="O28" s="43"/>
      <c r="P28" s="43"/>
      <c r="Q28" s="43"/>
      <c r="R28" s="43"/>
      <c r="S28" s="43"/>
      <c r="T28" s="43"/>
      <c r="U28" s="43"/>
      <c r="V28" s="43"/>
      <c r="W28" s="43"/>
      <c r="X28" s="43"/>
      <c r="Y28" s="25">
        <f>ROUND(Y$24*【収益】料金単価!$T44,0)</f>
        <v>73</v>
      </c>
      <c r="Z28" s="25">
        <f>ROUND(Z$24*【収益】料金単価!$T44,0)</f>
        <v>71</v>
      </c>
      <c r="AA28" s="25">
        <f>ROUND(AA$24*【収益】料金単価!$T44,0)</f>
        <v>71</v>
      </c>
      <c r="AB28" s="25">
        <f>ROUND(AB$24*【収益】料金単価!$T44,0)</f>
        <v>71</v>
      </c>
      <c r="AC28" s="25">
        <f>ROUND(AC$24*【収益】料金単価!$T44,0)</f>
        <v>71</v>
      </c>
      <c r="AD28" s="25">
        <f>ROUND(AD$24*【収益】料金単価!$T44,0)</f>
        <v>71</v>
      </c>
      <c r="AE28" s="25">
        <f>ROUND(AE$24*【収益】料金単価!$T44,0)</f>
        <v>71</v>
      </c>
      <c r="AF28" s="25">
        <f>ROUND(AF$24*【収益】料金単価!$T44,0)</f>
        <v>71</v>
      </c>
      <c r="AG28" s="25">
        <f>ROUND(AG$24*【収益】料金単価!$T44,0)</f>
        <v>71</v>
      </c>
      <c r="AH28" s="25">
        <f>ROUND(AH$24*【収益】料金単価!$T44,0)</f>
        <v>71</v>
      </c>
      <c r="AI28" s="25">
        <f>ROUND(AI$24*【収益】料金単価!$T44,0)</f>
        <v>71</v>
      </c>
      <c r="AJ28" s="25">
        <f>ROUND(AJ$24*【収益】料金単価!$T44,0)</f>
        <v>71</v>
      </c>
      <c r="AK28" s="25">
        <f>ROUND(AK$24*【収益】料金単価!$T44,0)</f>
        <v>71</v>
      </c>
      <c r="AL28" s="25">
        <f>ROUND(AL$24*【収益】料金単価!$T44,0)</f>
        <v>71</v>
      </c>
      <c r="AM28" s="25">
        <f>ROUND(AM$24*【収益】料金単価!$T44,0)</f>
        <v>71</v>
      </c>
      <c r="AN28" s="25">
        <f>ROUND(AN$24*【収益】料金単価!$T44,0)</f>
        <v>71</v>
      </c>
      <c r="AO28" s="25">
        <f>ROUND(AO$24*【収益】料金単価!$T44,0)</f>
        <v>71</v>
      </c>
      <c r="AP28" s="25">
        <f>ROUND(AP$24*【収益】料金単価!$T44,0)</f>
        <v>71</v>
      </c>
      <c r="AQ28" s="25">
        <f>ROUND(AQ$24*【収益】料金単価!$T44,0)</f>
        <v>71</v>
      </c>
      <c r="AR28" s="25">
        <f>ROUND(AR$24*【収益】料金単価!$T44,0)</f>
        <v>70</v>
      </c>
      <c r="AS28" s="25">
        <f>ROUND(AS$24*【収益】料金単価!$T44,0)</f>
        <v>70</v>
      </c>
      <c r="AT28" s="25">
        <f>ROUND(AT$24*【収益】料金単価!$T44,0)</f>
        <v>70</v>
      </c>
      <c r="AU28" s="25">
        <f>ROUND(AU$24*【収益】料金単価!$T44,0)</f>
        <v>70</v>
      </c>
      <c r="AV28" s="25">
        <f>ROUND(AV$24*【収益】料金単価!$T44,0)</f>
        <v>70</v>
      </c>
      <c r="AW28" s="25">
        <f>ROUND(AW$24*【収益】料金単価!$T44,0)</f>
        <v>70</v>
      </c>
      <c r="AX28" s="25">
        <f>ROUND(AX$24*【収益】料金単価!$T44,0)</f>
        <v>70</v>
      </c>
      <c r="AY28" s="25">
        <f>ROUND(AY$24*【収益】料金単価!$T44,0)</f>
        <v>70</v>
      </c>
      <c r="AZ28" s="25">
        <f>ROUND(AZ$24*【収益】料金単価!$T44,0)</f>
        <v>70</v>
      </c>
      <c r="BA28" s="25">
        <f>ROUND(BA$24*【収益】料金単価!$T44,0)</f>
        <v>70</v>
      </c>
      <c r="BB28" s="25">
        <f>ROUND(BB$24*【収益】料金単価!$T44,0)</f>
        <v>70</v>
      </c>
      <c r="BC28" s="25">
        <f>ROUND(BC$24*【収益】料金単価!$T44,0)</f>
        <v>69</v>
      </c>
      <c r="BD28" s="25">
        <f>ROUND(BD$24*【収益】料金単価!$T44,0)</f>
        <v>69</v>
      </c>
      <c r="BE28" s="25">
        <f>ROUND(BE$24*【収益】料金単価!$T44,0)</f>
        <v>69</v>
      </c>
      <c r="BF28" s="25">
        <f>ROUND(BF$24*【収益】料金単価!$T44,0)</f>
        <v>69</v>
      </c>
      <c r="BG28" s="25">
        <f>ROUND(BG$24*【収益】料金単価!$T44,0)</f>
        <v>69</v>
      </c>
      <c r="BH28" s="25">
        <f>ROUND(BH$24*【収益】料金単価!$T44,0)</f>
        <v>69</v>
      </c>
      <c r="BI28" s="25">
        <f>ROUND(BI$24*【収益】料金単価!$T44,0)</f>
        <v>69</v>
      </c>
      <c r="BJ28" s="25">
        <f>ROUND(BJ$24*【収益】料金単価!$T44,0)</f>
        <v>69</v>
      </c>
      <c r="BK28" s="25">
        <f>ROUND(BK$24*【収益】料金単価!$T44,0)</f>
        <v>69</v>
      </c>
      <c r="BL28" s="25">
        <f>ROUND(BL$24*【収益】料金単価!$T44,0)</f>
        <v>69</v>
      </c>
      <c r="BM28" s="25">
        <f>ROUND(BM$24*【収益】料金単価!$T44,0)</f>
        <v>68</v>
      </c>
      <c r="BN28" s="25">
        <f>ROUND(BN$24*【収益】料金単価!$T44,0)</f>
        <v>68</v>
      </c>
      <c r="BO28" s="25">
        <f>ROUND(BO$24*【収益】料金単価!$T44,0)</f>
        <v>68</v>
      </c>
      <c r="BP28" s="25">
        <f>ROUND(BP$24*【収益】料金単価!$T44,0)</f>
        <v>68</v>
      </c>
      <c r="BQ28" s="25">
        <f>ROUND(BQ$24*【収益】料金単価!$T44,0)</f>
        <v>68</v>
      </c>
      <c r="BR28" s="25">
        <f>ROUND(BR$24*【収益】料金単価!$T44,0)</f>
        <v>68</v>
      </c>
      <c r="BS28" s="25">
        <f>ROUND(BS$24*【収益】料金単価!$T44,0)</f>
        <v>68</v>
      </c>
      <c r="BT28" s="25">
        <f>ROUND(BT$24*【収益】料金単価!$T44,0)</f>
        <v>68</v>
      </c>
      <c r="BU28" s="25">
        <f>ROUND(BU$24*【収益】料金単価!$T44,0)</f>
        <v>68</v>
      </c>
      <c r="BV28" s="25">
        <f>ROUND(BV$24*【収益】料金単価!$T44,0)</f>
        <v>68</v>
      </c>
    </row>
    <row r="29" spans="13:74" s="24" customFormat="1" outlineLevel="1">
      <c r="M29" s="25" t="s">
        <v>557</v>
      </c>
      <c r="N29" s="43"/>
      <c r="O29" s="43"/>
      <c r="P29" s="43"/>
      <c r="Q29" s="43"/>
      <c r="R29" s="43"/>
      <c r="S29" s="43"/>
      <c r="T29" s="43"/>
      <c r="U29" s="43"/>
      <c r="V29" s="43"/>
      <c r="W29" s="43"/>
      <c r="X29" s="43"/>
      <c r="Y29" s="25">
        <f>ROUND(Y$24*【収益】料金単価!$T45,0)</f>
        <v>21</v>
      </c>
      <c r="Z29" s="25">
        <f>ROUND(Z$24*【収益】料金単価!$T45,0)</f>
        <v>21</v>
      </c>
      <c r="AA29" s="25">
        <f>ROUND(AA$24*【収益】料金単価!$T45,0)</f>
        <v>21</v>
      </c>
      <c r="AB29" s="25">
        <f>ROUND(AB$24*【収益】料金単価!$T45,0)</f>
        <v>21</v>
      </c>
      <c r="AC29" s="25">
        <f>ROUND(AC$24*【収益】料金単価!$T45,0)</f>
        <v>21</v>
      </c>
      <c r="AD29" s="25">
        <f>ROUND(AD$24*【収益】料金単価!$T45,0)</f>
        <v>21</v>
      </c>
      <c r="AE29" s="25">
        <f>ROUND(AE$24*【収益】料金単価!$T45,0)</f>
        <v>21</v>
      </c>
      <c r="AF29" s="25">
        <f>ROUND(AF$24*【収益】料金単価!$T45,0)</f>
        <v>21</v>
      </c>
      <c r="AG29" s="25">
        <f>ROUND(AG$24*【収益】料金単価!$T45,0)</f>
        <v>21</v>
      </c>
      <c r="AH29" s="25">
        <f>ROUND(AH$24*【収益】料金単価!$T45,0)</f>
        <v>21</v>
      </c>
      <c r="AI29" s="25">
        <f>ROUND(AI$24*【収益】料金単価!$T45,0)</f>
        <v>21</v>
      </c>
      <c r="AJ29" s="25">
        <f>ROUND(AJ$24*【収益】料金単価!$T45,0)</f>
        <v>21</v>
      </c>
      <c r="AK29" s="25">
        <f>ROUND(AK$24*【収益】料金単価!$T45,0)</f>
        <v>21</v>
      </c>
      <c r="AL29" s="25">
        <f>ROUND(AL$24*【収益】料金単価!$T45,0)</f>
        <v>21</v>
      </c>
      <c r="AM29" s="25">
        <f>ROUND(AM$24*【収益】料金単価!$T45,0)</f>
        <v>21</v>
      </c>
      <c r="AN29" s="25">
        <f>ROUND(AN$24*【収益】料金単価!$T45,0)</f>
        <v>21</v>
      </c>
      <c r="AO29" s="25">
        <f>ROUND(AO$24*【収益】料金単価!$T45,0)</f>
        <v>21</v>
      </c>
      <c r="AP29" s="25">
        <f>ROUND(AP$24*【収益】料金単価!$T45,0)</f>
        <v>21</v>
      </c>
      <c r="AQ29" s="25">
        <f>ROUND(AQ$24*【収益】料金単価!$T45,0)</f>
        <v>21</v>
      </c>
      <c r="AR29" s="25">
        <f>ROUND(AR$24*【収益】料金単価!$T45,0)</f>
        <v>21</v>
      </c>
      <c r="AS29" s="25">
        <f>ROUND(AS$24*【収益】料金単価!$T45,0)</f>
        <v>21</v>
      </c>
      <c r="AT29" s="25">
        <f>ROUND(AT$24*【収益】料金単価!$T45,0)</f>
        <v>20</v>
      </c>
      <c r="AU29" s="25">
        <f>ROUND(AU$24*【収益】料金単価!$T45,0)</f>
        <v>20</v>
      </c>
      <c r="AV29" s="25">
        <f>ROUND(AV$24*【収益】料金単価!$T45,0)</f>
        <v>20</v>
      </c>
      <c r="AW29" s="25">
        <f>ROUND(AW$24*【収益】料金単価!$T45,0)</f>
        <v>20</v>
      </c>
      <c r="AX29" s="25">
        <f>ROUND(AX$24*【収益】料金単価!$T45,0)</f>
        <v>20</v>
      </c>
      <c r="AY29" s="25">
        <f>ROUND(AY$24*【収益】料金単価!$T45,0)</f>
        <v>20</v>
      </c>
      <c r="AZ29" s="25">
        <f>ROUND(AZ$24*【収益】料金単価!$T45,0)</f>
        <v>20</v>
      </c>
      <c r="BA29" s="25">
        <f>ROUND(BA$24*【収益】料金単価!$T45,0)</f>
        <v>20</v>
      </c>
      <c r="BB29" s="25">
        <f>ROUND(BB$24*【収益】料金単価!$T45,0)</f>
        <v>20</v>
      </c>
      <c r="BC29" s="25">
        <f>ROUND(BC$24*【収益】料金単価!$T45,0)</f>
        <v>20</v>
      </c>
      <c r="BD29" s="25">
        <f>ROUND(BD$24*【収益】料金単価!$T45,0)</f>
        <v>20</v>
      </c>
      <c r="BE29" s="25">
        <f>ROUND(BE$24*【収益】料金単価!$T45,0)</f>
        <v>20</v>
      </c>
      <c r="BF29" s="25">
        <f>ROUND(BF$24*【収益】料金単価!$T45,0)</f>
        <v>20</v>
      </c>
      <c r="BG29" s="25">
        <f>ROUND(BG$24*【収益】料金単価!$T45,0)</f>
        <v>20</v>
      </c>
      <c r="BH29" s="25">
        <f>ROUND(BH$24*【収益】料金単価!$T45,0)</f>
        <v>20</v>
      </c>
      <c r="BI29" s="25">
        <f>ROUND(BI$24*【収益】料金単価!$T45,0)</f>
        <v>20</v>
      </c>
      <c r="BJ29" s="25">
        <f>ROUND(BJ$24*【収益】料金単価!$T45,0)</f>
        <v>20</v>
      </c>
      <c r="BK29" s="25">
        <f>ROUND(BK$24*【収益】料金単価!$T45,0)</f>
        <v>20</v>
      </c>
      <c r="BL29" s="25">
        <f>ROUND(BL$24*【収益】料金単価!$T45,0)</f>
        <v>20</v>
      </c>
      <c r="BM29" s="25">
        <f>ROUND(BM$24*【収益】料金単価!$T45,0)</f>
        <v>20</v>
      </c>
      <c r="BN29" s="25">
        <f>ROUND(BN$24*【収益】料金単価!$T45,0)</f>
        <v>20</v>
      </c>
      <c r="BO29" s="25">
        <f>ROUND(BO$24*【収益】料金単価!$T45,0)</f>
        <v>20</v>
      </c>
      <c r="BP29" s="25">
        <f>ROUND(BP$24*【収益】料金単価!$T45,0)</f>
        <v>20</v>
      </c>
      <c r="BQ29" s="25">
        <f>ROUND(BQ$24*【収益】料金単価!$T45,0)</f>
        <v>20</v>
      </c>
      <c r="BR29" s="25">
        <f>ROUND(BR$24*【収益】料金単価!$T45,0)</f>
        <v>20</v>
      </c>
      <c r="BS29" s="25">
        <f>ROUND(BS$24*【収益】料金単価!$T45,0)</f>
        <v>20</v>
      </c>
      <c r="BT29" s="25">
        <f>ROUND(BT$24*【収益】料金単価!$T45,0)</f>
        <v>20</v>
      </c>
      <c r="BU29" s="25">
        <f>ROUND(BU$24*【収益】料金単価!$T45,0)</f>
        <v>20</v>
      </c>
      <c r="BV29" s="25">
        <f>ROUND(BV$24*【収益】料金単価!$T45,0)</f>
        <v>20</v>
      </c>
    </row>
    <row r="30" spans="13:74" s="24" customFormat="1" outlineLevel="1">
      <c r="M30" s="25" t="s">
        <v>558</v>
      </c>
      <c r="N30" s="43"/>
      <c r="O30" s="43"/>
      <c r="P30" s="43"/>
      <c r="Q30" s="43"/>
      <c r="R30" s="43"/>
      <c r="S30" s="43"/>
      <c r="T30" s="43"/>
      <c r="U30" s="43"/>
      <c r="V30" s="43"/>
      <c r="W30" s="43"/>
      <c r="X30" s="43"/>
      <c r="Y30" s="25">
        <f>ROUND(Y$24*【収益】料金単価!$T46,0)</f>
        <v>9</v>
      </c>
      <c r="Z30" s="25">
        <f>ROUND(Z$24*【収益】料金単価!$T46,0)</f>
        <v>9</v>
      </c>
      <c r="AA30" s="25">
        <f>ROUND(AA$24*【収益】料金単価!$T46,0)</f>
        <v>9</v>
      </c>
      <c r="AB30" s="25">
        <f>ROUND(AB$24*【収益】料金単価!$T46,0)</f>
        <v>9</v>
      </c>
      <c r="AC30" s="25">
        <f>ROUND(AC$24*【収益】料金単価!$T46,0)</f>
        <v>9</v>
      </c>
      <c r="AD30" s="25">
        <f>ROUND(AD$24*【収益】料金単価!$T46,0)</f>
        <v>9</v>
      </c>
      <c r="AE30" s="25">
        <f>ROUND(AE$24*【収益】料金単価!$T46,0)</f>
        <v>9</v>
      </c>
      <c r="AF30" s="25">
        <f>ROUND(AF$24*【収益】料金単価!$T46,0)</f>
        <v>9</v>
      </c>
      <c r="AG30" s="25">
        <f>ROUND(AG$24*【収益】料金単価!$T46,0)</f>
        <v>9</v>
      </c>
      <c r="AH30" s="25">
        <f>ROUND(AH$24*【収益】料金単価!$T46,0)</f>
        <v>9</v>
      </c>
      <c r="AI30" s="25">
        <f>ROUND(AI$24*【収益】料金単価!$T46,0)</f>
        <v>9</v>
      </c>
      <c r="AJ30" s="25">
        <f>ROUND(AJ$24*【収益】料金単価!$T46,0)</f>
        <v>9</v>
      </c>
      <c r="AK30" s="25">
        <f>ROUND(AK$24*【収益】料金単価!$T46,0)</f>
        <v>9</v>
      </c>
      <c r="AL30" s="25">
        <f>ROUND(AL$24*【収益】料金単価!$T46,0)</f>
        <v>9</v>
      </c>
      <c r="AM30" s="25">
        <f>ROUND(AM$24*【収益】料金単価!$T46,0)</f>
        <v>9</v>
      </c>
      <c r="AN30" s="25">
        <f>ROUND(AN$24*【収益】料金単価!$T46,0)</f>
        <v>9</v>
      </c>
      <c r="AO30" s="25">
        <f>ROUND(AO$24*【収益】料金単価!$T46,0)</f>
        <v>9</v>
      </c>
      <c r="AP30" s="25">
        <f>ROUND(AP$24*【収益】料金単価!$T46,0)</f>
        <v>9</v>
      </c>
      <c r="AQ30" s="25">
        <f>ROUND(AQ$24*【収益】料金単価!$T46,0)</f>
        <v>9</v>
      </c>
      <c r="AR30" s="25">
        <f>ROUND(AR$24*【収益】料金単価!$T46,0)</f>
        <v>9</v>
      </c>
      <c r="AS30" s="25">
        <f>ROUND(AS$24*【収益】料金単価!$T46,0)</f>
        <v>9</v>
      </c>
      <c r="AT30" s="25">
        <f>ROUND(AT$24*【収益】料金単価!$T46,0)</f>
        <v>9</v>
      </c>
      <c r="AU30" s="25">
        <f>ROUND(AU$24*【収益】料金単価!$T46,0)</f>
        <v>9</v>
      </c>
      <c r="AV30" s="25">
        <f>ROUND(AV$24*【収益】料金単価!$T46,0)</f>
        <v>9</v>
      </c>
      <c r="AW30" s="25">
        <f>ROUND(AW$24*【収益】料金単価!$T46,0)</f>
        <v>9</v>
      </c>
      <c r="AX30" s="25">
        <f>ROUND(AX$24*【収益】料金単価!$T46,0)</f>
        <v>9</v>
      </c>
      <c r="AY30" s="25">
        <f>ROUND(AY$24*【収益】料金単価!$T46,0)</f>
        <v>9</v>
      </c>
      <c r="AZ30" s="25">
        <f>ROUND(AZ$24*【収益】料金単価!$T46,0)</f>
        <v>9</v>
      </c>
      <c r="BA30" s="25">
        <f>ROUND(BA$24*【収益】料金単価!$T46,0)</f>
        <v>9</v>
      </c>
      <c r="BB30" s="25">
        <f>ROUND(BB$24*【収益】料金単価!$T46,0)</f>
        <v>9</v>
      </c>
      <c r="BC30" s="25">
        <f>ROUND(BC$24*【収益】料金単価!$T46,0)</f>
        <v>9</v>
      </c>
      <c r="BD30" s="25">
        <f>ROUND(BD$24*【収益】料金単価!$T46,0)</f>
        <v>9</v>
      </c>
      <c r="BE30" s="25">
        <f>ROUND(BE$24*【収益】料金単価!$T46,0)</f>
        <v>9</v>
      </c>
      <c r="BF30" s="25">
        <f>ROUND(BF$24*【収益】料金単価!$T46,0)</f>
        <v>9</v>
      </c>
      <c r="BG30" s="25">
        <f>ROUND(BG$24*【収益】料金単価!$T46,0)</f>
        <v>9</v>
      </c>
      <c r="BH30" s="25">
        <f>ROUND(BH$24*【収益】料金単価!$T46,0)</f>
        <v>9</v>
      </c>
      <c r="BI30" s="25">
        <f>ROUND(BI$24*【収益】料金単価!$T46,0)</f>
        <v>9</v>
      </c>
      <c r="BJ30" s="25">
        <f>ROUND(BJ$24*【収益】料金単価!$T46,0)</f>
        <v>9</v>
      </c>
      <c r="BK30" s="25">
        <f>ROUND(BK$24*【収益】料金単価!$T46,0)</f>
        <v>9</v>
      </c>
      <c r="BL30" s="25">
        <f>ROUND(BL$24*【収益】料金単価!$T46,0)</f>
        <v>9</v>
      </c>
      <c r="BM30" s="25">
        <f>ROUND(BM$24*【収益】料金単価!$T46,0)</f>
        <v>9</v>
      </c>
      <c r="BN30" s="25">
        <f>ROUND(BN$24*【収益】料金単価!$T46,0)</f>
        <v>9</v>
      </c>
      <c r="BO30" s="25">
        <f>ROUND(BO$24*【収益】料金単価!$T46,0)</f>
        <v>9</v>
      </c>
      <c r="BP30" s="25">
        <f>ROUND(BP$24*【収益】料金単価!$T46,0)</f>
        <v>9</v>
      </c>
      <c r="BQ30" s="25">
        <f>ROUND(BQ$24*【収益】料金単価!$T46,0)</f>
        <v>9</v>
      </c>
      <c r="BR30" s="25">
        <f>ROUND(BR$24*【収益】料金単価!$T46,0)</f>
        <v>8</v>
      </c>
      <c r="BS30" s="25">
        <f>ROUND(BS$24*【収益】料金単価!$T46,0)</f>
        <v>8</v>
      </c>
      <c r="BT30" s="25">
        <f>ROUND(BT$24*【収益】料金単価!$T46,0)</f>
        <v>8</v>
      </c>
      <c r="BU30" s="25">
        <f>ROUND(BU$24*【収益】料金単価!$T46,0)</f>
        <v>8</v>
      </c>
      <c r="BV30" s="25">
        <f>ROUND(BV$24*【収益】料金単価!$T46,0)</f>
        <v>8</v>
      </c>
    </row>
    <row r="31" spans="13:74" s="24" customFormat="1" outlineLevel="1">
      <c r="M31" s="25" t="s">
        <v>559</v>
      </c>
      <c r="N31" s="43"/>
      <c r="O31" s="43"/>
      <c r="P31" s="43"/>
      <c r="Q31" s="43"/>
      <c r="R31" s="43"/>
      <c r="S31" s="43"/>
      <c r="T31" s="43"/>
      <c r="U31" s="43"/>
      <c r="V31" s="43"/>
      <c r="W31" s="43"/>
      <c r="X31" s="43"/>
      <c r="Y31" s="25">
        <f>ROUND(Y$24*【収益】料金単価!$T47,0)</f>
        <v>3</v>
      </c>
      <c r="Z31" s="25">
        <f>ROUND(Z$24*【収益】料金単価!$T47,0)</f>
        <v>3</v>
      </c>
      <c r="AA31" s="25">
        <f>ROUND(AA$24*【収益】料金単価!$T47,0)</f>
        <v>3</v>
      </c>
      <c r="AB31" s="25">
        <f>ROUND(AB$24*【収益】料金単価!$T47,0)</f>
        <v>3</v>
      </c>
      <c r="AC31" s="25">
        <f>ROUND(AC$24*【収益】料金単価!$T47,0)</f>
        <v>3</v>
      </c>
      <c r="AD31" s="25">
        <f>ROUND(AD$24*【収益】料金単価!$T47,0)</f>
        <v>3</v>
      </c>
      <c r="AE31" s="25">
        <f>ROUND(AE$24*【収益】料金単価!$T47,0)</f>
        <v>3</v>
      </c>
      <c r="AF31" s="25">
        <f>ROUND(AF$24*【収益】料金単価!$T47,0)</f>
        <v>3</v>
      </c>
      <c r="AG31" s="25">
        <f>ROUND(AG$24*【収益】料金単価!$T47,0)</f>
        <v>3</v>
      </c>
      <c r="AH31" s="25">
        <f>ROUND(AH$24*【収益】料金単価!$T47,0)</f>
        <v>3</v>
      </c>
      <c r="AI31" s="25">
        <f>ROUND(AI$24*【収益】料金単価!$T47,0)</f>
        <v>3</v>
      </c>
      <c r="AJ31" s="25">
        <f>ROUND(AJ$24*【収益】料金単価!$T47,0)</f>
        <v>3</v>
      </c>
      <c r="AK31" s="25">
        <f>ROUND(AK$24*【収益】料金単価!$T47,0)</f>
        <v>3</v>
      </c>
      <c r="AL31" s="25">
        <f>ROUND(AL$24*【収益】料金単価!$T47,0)</f>
        <v>3</v>
      </c>
      <c r="AM31" s="25">
        <f>ROUND(AM$24*【収益】料金単価!$T47,0)</f>
        <v>3</v>
      </c>
      <c r="AN31" s="25">
        <f>ROUND(AN$24*【収益】料金単価!$T47,0)</f>
        <v>3</v>
      </c>
      <c r="AO31" s="25">
        <f>ROUND(AO$24*【収益】料金単価!$T47,0)</f>
        <v>3</v>
      </c>
      <c r="AP31" s="25">
        <f>ROUND(AP$24*【収益】料金単価!$T47,0)</f>
        <v>3</v>
      </c>
      <c r="AQ31" s="25">
        <f>ROUND(AQ$24*【収益】料金単価!$T47,0)</f>
        <v>3</v>
      </c>
      <c r="AR31" s="25">
        <f>ROUND(AR$24*【収益】料金単価!$T47,0)</f>
        <v>3</v>
      </c>
      <c r="AS31" s="25">
        <f>ROUND(AS$24*【収益】料金単価!$T47,0)</f>
        <v>3</v>
      </c>
      <c r="AT31" s="25">
        <f>ROUND(AT$24*【収益】料金単価!$T47,0)</f>
        <v>3</v>
      </c>
      <c r="AU31" s="25">
        <f>ROUND(AU$24*【収益】料金単価!$T47,0)</f>
        <v>3</v>
      </c>
      <c r="AV31" s="25">
        <f>ROUND(AV$24*【収益】料金単価!$T47,0)</f>
        <v>3</v>
      </c>
      <c r="AW31" s="25">
        <f>ROUND(AW$24*【収益】料金単価!$T47,0)</f>
        <v>3</v>
      </c>
      <c r="AX31" s="25">
        <f>ROUND(AX$24*【収益】料金単価!$T47,0)</f>
        <v>3</v>
      </c>
      <c r="AY31" s="25">
        <f>ROUND(AY$24*【収益】料金単価!$T47,0)</f>
        <v>3</v>
      </c>
      <c r="AZ31" s="25">
        <f>ROUND(AZ$24*【収益】料金単価!$T47,0)</f>
        <v>3</v>
      </c>
      <c r="BA31" s="25">
        <f>ROUND(BA$24*【収益】料金単価!$T47,0)</f>
        <v>3</v>
      </c>
      <c r="BB31" s="25">
        <f>ROUND(BB$24*【収益】料金単価!$T47,0)</f>
        <v>3</v>
      </c>
      <c r="BC31" s="25">
        <f>ROUND(BC$24*【収益】料金単価!$T47,0)</f>
        <v>3</v>
      </c>
      <c r="BD31" s="25">
        <f>ROUND(BD$24*【収益】料金単価!$T47,0)</f>
        <v>3</v>
      </c>
      <c r="BE31" s="25">
        <f>ROUND(BE$24*【収益】料金単価!$T47,0)</f>
        <v>3</v>
      </c>
      <c r="BF31" s="25">
        <f>ROUND(BF$24*【収益】料金単価!$T47,0)</f>
        <v>3</v>
      </c>
      <c r="BG31" s="25">
        <f>ROUND(BG$24*【収益】料金単価!$T47,0)</f>
        <v>3</v>
      </c>
      <c r="BH31" s="25">
        <f>ROUND(BH$24*【収益】料金単価!$T47,0)</f>
        <v>3</v>
      </c>
      <c r="BI31" s="25">
        <f>ROUND(BI$24*【収益】料金単価!$T47,0)</f>
        <v>3</v>
      </c>
      <c r="BJ31" s="25">
        <f>ROUND(BJ$24*【収益】料金単価!$T47,0)</f>
        <v>3</v>
      </c>
      <c r="BK31" s="25">
        <f>ROUND(BK$24*【収益】料金単価!$T47,0)</f>
        <v>3</v>
      </c>
      <c r="BL31" s="25">
        <f>ROUND(BL$24*【収益】料金単価!$T47,0)</f>
        <v>3</v>
      </c>
      <c r="BM31" s="25">
        <f>ROUND(BM$24*【収益】料金単価!$T47,0)</f>
        <v>3</v>
      </c>
      <c r="BN31" s="25">
        <f>ROUND(BN$24*【収益】料金単価!$T47,0)</f>
        <v>3</v>
      </c>
      <c r="BO31" s="25">
        <f>ROUND(BO$24*【収益】料金単価!$T47,0)</f>
        <v>3</v>
      </c>
      <c r="BP31" s="25">
        <f>ROUND(BP$24*【収益】料金単価!$T47,0)</f>
        <v>3</v>
      </c>
      <c r="BQ31" s="25">
        <f>ROUND(BQ$24*【収益】料金単価!$T47,0)</f>
        <v>3</v>
      </c>
      <c r="BR31" s="25">
        <f>ROUND(BR$24*【収益】料金単価!$T47,0)</f>
        <v>3</v>
      </c>
      <c r="BS31" s="25">
        <f>ROUND(BS$24*【収益】料金単価!$T47,0)</f>
        <v>3</v>
      </c>
      <c r="BT31" s="25">
        <f>ROUND(BT$24*【収益】料金単価!$T47,0)</f>
        <v>3</v>
      </c>
      <c r="BU31" s="25">
        <f>ROUND(BU$24*【収益】料金単価!$T47,0)</f>
        <v>3</v>
      </c>
      <c r="BV31" s="25">
        <f>ROUND(BV$24*【収益】料金単価!$T47,0)</f>
        <v>3</v>
      </c>
    </row>
    <row r="34" spans="13:74">
      <c r="M34" s="28" t="s">
        <v>786</v>
      </c>
      <c r="N34">
        <v>791000</v>
      </c>
      <c r="S34">
        <v>986000</v>
      </c>
      <c r="AA34">
        <v>901322</v>
      </c>
      <c r="AB34">
        <v>882735</v>
      </c>
      <c r="AD34">
        <v>849162</v>
      </c>
      <c r="AF34">
        <v>801976</v>
      </c>
      <c r="AH34">
        <v>773967</v>
      </c>
      <c r="AJ34">
        <v>722660</v>
      </c>
      <c r="AL34">
        <v>699735</v>
      </c>
      <c r="AN34">
        <v>673788</v>
      </c>
      <c r="AP34">
        <v>628396</v>
      </c>
      <c r="AR34">
        <v>607611</v>
      </c>
      <c r="AT34">
        <v>561556</v>
      </c>
      <c r="AV34">
        <v>544479</v>
      </c>
      <c r="AX34">
        <v>530706</v>
      </c>
      <c r="AZ34">
        <v>484711</v>
      </c>
      <c r="BB34">
        <v>474470</v>
      </c>
      <c r="BD34">
        <v>461958</v>
      </c>
      <c r="BF34">
        <v>452137</v>
      </c>
      <c r="BH34">
        <v>440166</v>
      </c>
      <c r="BJ34">
        <v>430767</v>
      </c>
      <c r="BL34">
        <v>419335</v>
      </c>
      <c r="BN34">
        <v>410522</v>
      </c>
      <c r="BP34">
        <v>399626</v>
      </c>
      <c r="BR34">
        <v>391081</v>
      </c>
      <c r="BT34">
        <v>380718</v>
      </c>
      <c r="BV34">
        <v>372603</v>
      </c>
    </row>
  </sheetData>
  <customSheetViews>
    <customSheetView guid="{B05628F6-030D-4851-8E75-96DF5849F39A}" showGridLines="0" fitToPage="1" hiddenRows="1" hiddenColumns="1">
      <selection activeCell="N7" sqref="N7"/>
      <pageMargins left="0.70866141732283472" right="0.70866141732283472" top="0.74803149606299213" bottom="0.74803149606299213" header="0.31496062992125984" footer="0.31496062992125984"/>
      <pageSetup paperSize="9" fitToWidth="0" orientation="landscape" horizontalDpi="0" verticalDpi="0" r:id="rId1"/>
      <headerFooter>
        <oddHeader>&amp;A</oddHeader>
        <oddFooter>&amp;P / &amp;N ページ</oddFooter>
      </headerFooter>
    </customSheetView>
    <customSheetView guid="{1F923BC6-4AD1-4F20-A481-D76BE7901A2A}" scale="130" showPageBreaks="1" showGridLines="0" fitToPage="1" hiddenRows="1" hiddenColumns="1" topLeftCell="X1">
      <selection activeCell="N7" sqref="N7"/>
      <pageMargins left="0.70866141732283472" right="0.70866141732283472" top="0.74803149606299213" bottom="0.74803149606299213" header="0.31496062992125984" footer="0.31496062992125984"/>
      <pageSetup paperSize="9" fitToWidth="0" orientation="landscape" verticalDpi="0" r:id="rId2"/>
      <headerFooter>
        <oddHeader>&amp;A</oddHeader>
        <oddFooter>&amp;P / &amp;N ページ</oddFooter>
      </headerFooter>
    </customSheetView>
  </customSheetViews>
  <phoneticPr fontId="4"/>
  <pageMargins left="0.70866141732283472" right="0.70866141732283472" top="0.74803149606299213" bottom="0.74803149606299213" header="0.31496062992125984" footer="0.31496062992125984"/>
  <pageSetup paperSize="9" fitToWidth="0" orientation="landscape" verticalDpi="0" r:id="rId3"/>
  <headerFooter>
    <oddHeader>&amp;A</oddHeader>
    <oddFooter>&amp;P / &amp;N ページ</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51E0-657C-4B09-9CBD-A552E2618FCD}">
  <sheetPr>
    <tabColor rgb="FFFF0000"/>
  </sheetPr>
  <dimension ref="B2:T51"/>
  <sheetViews>
    <sheetView zoomScaleNormal="100" workbookViewId="0">
      <selection activeCell="I21" sqref="I21"/>
    </sheetView>
  </sheetViews>
  <sheetFormatPr defaultRowHeight="14.4"/>
  <cols>
    <col min="1" max="1" width="2.26953125" customWidth="1"/>
    <col min="2" max="2" width="12.36328125" bestFit="1" customWidth="1"/>
    <col min="12" max="12" width="2.26953125" customWidth="1"/>
    <col min="13" max="13" width="13.7265625" customWidth="1"/>
    <col min="14" max="19" width="9.36328125" style="24" bestFit="1" customWidth="1"/>
  </cols>
  <sheetData>
    <row r="2" spans="2:19">
      <c r="B2" t="s">
        <v>340</v>
      </c>
      <c r="M2" t="s">
        <v>652</v>
      </c>
    </row>
    <row r="3" spans="2:19">
      <c r="B3" t="s">
        <v>667</v>
      </c>
      <c r="G3" s="325" t="s">
        <v>715</v>
      </c>
      <c r="H3" s="325"/>
      <c r="I3" s="325"/>
      <c r="J3" s="325"/>
    </row>
    <row r="4" spans="2:19">
      <c r="B4" s="326" t="s">
        <v>653</v>
      </c>
      <c r="C4" s="326" t="s">
        <v>157</v>
      </c>
      <c r="D4" s="326"/>
      <c r="E4" s="326" t="s">
        <v>664</v>
      </c>
      <c r="F4" s="326"/>
      <c r="G4" s="326" t="s">
        <v>157</v>
      </c>
      <c r="H4" s="326"/>
      <c r="I4" s="326" t="s">
        <v>664</v>
      </c>
      <c r="J4" s="326"/>
      <c r="M4" t="s">
        <v>630</v>
      </c>
    </row>
    <row r="5" spans="2:19">
      <c r="B5" s="326"/>
      <c r="C5" s="10" t="s">
        <v>658</v>
      </c>
      <c r="D5" s="10" t="s">
        <v>243</v>
      </c>
      <c r="E5" s="163" t="s">
        <v>665</v>
      </c>
      <c r="F5" s="163" t="s">
        <v>666</v>
      </c>
      <c r="G5" s="10" t="s">
        <v>658</v>
      </c>
      <c r="H5" s="203" t="s">
        <v>738</v>
      </c>
      <c r="I5" s="163" t="s">
        <v>665</v>
      </c>
      <c r="J5" s="163" t="s">
        <v>666</v>
      </c>
      <c r="M5" s="10"/>
      <c r="N5" s="75" t="s">
        <v>19</v>
      </c>
      <c r="O5" s="75" t="s">
        <v>259</v>
      </c>
      <c r="P5" s="75" t="s">
        <v>21</v>
      </c>
      <c r="Q5" s="75" t="s">
        <v>22</v>
      </c>
      <c r="R5" s="75" t="s">
        <v>23</v>
      </c>
      <c r="S5" s="75" t="s">
        <v>530</v>
      </c>
    </row>
    <row r="6" spans="2:19">
      <c r="B6" s="326" t="s">
        <v>654</v>
      </c>
      <c r="C6" s="1" t="s">
        <v>659</v>
      </c>
      <c r="D6" s="25">
        <v>990</v>
      </c>
      <c r="E6" s="25">
        <v>0</v>
      </c>
      <c r="F6" s="25">
        <v>0</v>
      </c>
      <c r="G6" s="1" t="s">
        <v>659</v>
      </c>
      <c r="H6" s="179">
        <v>1760</v>
      </c>
      <c r="I6" s="179">
        <v>0</v>
      </c>
      <c r="J6" s="179">
        <v>0</v>
      </c>
      <c r="M6" s="1" t="s">
        <v>633</v>
      </c>
      <c r="N6" s="25"/>
      <c r="O6" s="25"/>
      <c r="P6" s="25"/>
      <c r="Q6" s="25"/>
      <c r="R6" s="25"/>
      <c r="S6" s="160"/>
    </row>
    <row r="7" spans="2:19">
      <c r="B7" s="326"/>
      <c r="C7" s="1" t="s">
        <v>660</v>
      </c>
      <c r="D7" s="25">
        <v>1210</v>
      </c>
      <c r="E7" s="25">
        <v>121</v>
      </c>
      <c r="F7" s="25">
        <v>110</v>
      </c>
      <c r="G7" s="1" t="s">
        <v>660</v>
      </c>
      <c r="H7" s="179">
        <v>1760</v>
      </c>
      <c r="I7" s="179">
        <v>143</v>
      </c>
      <c r="J7" s="179">
        <v>132</v>
      </c>
      <c r="M7" s="1" t="s">
        <v>631</v>
      </c>
      <c r="N7" s="44">
        <v>24</v>
      </c>
      <c r="O7" s="44">
        <v>24</v>
      </c>
      <c r="P7" s="44">
        <v>24</v>
      </c>
      <c r="Q7" s="44">
        <v>24</v>
      </c>
      <c r="R7" s="44">
        <v>24</v>
      </c>
      <c r="S7" s="160">
        <f t="shared" ref="S7:S11" si="0">AVERAGE(N7:R7)</f>
        <v>24</v>
      </c>
    </row>
    <row r="8" spans="2:19">
      <c r="B8" s="1" t="s">
        <v>655</v>
      </c>
      <c r="C8" s="1" t="s">
        <v>661</v>
      </c>
      <c r="D8" s="25">
        <v>36300</v>
      </c>
      <c r="E8" s="25">
        <v>110</v>
      </c>
      <c r="F8" s="25">
        <v>110</v>
      </c>
      <c r="G8" s="1" t="s">
        <v>661</v>
      </c>
      <c r="H8" s="179">
        <v>36850</v>
      </c>
      <c r="I8" s="179">
        <v>132</v>
      </c>
      <c r="J8" s="179">
        <v>132</v>
      </c>
      <c r="M8" s="1" t="s">
        <v>632</v>
      </c>
      <c r="N8" s="44">
        <v>12</v>
      </c>
      <c r="O8" s="44">
        <v>2</v>
      </c>
      <c r="P8" s="44">
        <v>0</v>
      </c>
      <c r="Q8" s="44">
        <v>4</v>
      </c>
      <c r="R8" s="44">
        <v>7</v>
      </c>
      <c r="S8" s="160">
        <f t="shared" si="0"/>
        <v>5</v>
      </c>
    </row>
    <row r="9" spans="2:19">
      <c r="B9" s="204" t="s">
        <v>656</v>
      </c>
      <c r="C9" s="1" t="s">
        <v>662</v>
      </c>
      <c r="D9" s="25">
        <v>0</v>
      </c>
      <c r="E9" s="25">
        <v>121</v>
      </c>
      <c r="F9" s="25">
        <v>121</v>
      </c>
      <c r="G9" s="1" t="s">
        <v>662</v>
      </c>
      <c r="H9" s="179">
        <v>0</v>
      </c>
      <c r="I9" s="179">
        <v>121</v>
      </c>
      <c r="J9" s="179">
        <v>121</v>
      </c>
      <c r="M9" s="1" t="s">
        <v>650</v>
      </c>
      <c r="N9" s="44">
        <v>2077</v>
      </c>
      <c r="O9" s="44">
        <v>181</v>
      </c>
      <c r="P9" s="44">
        <v>0</v>
      </c>
      <c r="Q9" s="44">
        <v>130</v>
      </c>
      <c r="R9" s="44">
        <v>561</v>
      </c>
      <c r="S9" s="160">
        <f t="shared" si="0"/>
        <v>589.79999999999995</v>
      </c>
    </row>
    <row r="10" spans="2:19">
      <c r="B10" s="204" t="s">
        <v>657</v>
      </c>
      <c r="C10" s="1" t="s">
        <v>663</v>
      </c>
      <c r="D10" s="25">
        <v>2420</v>
      </c>
      <c r="E10" s="25">
        <v>242</v>
      </c>
      <c r="F10" s="25">
        <v>242</v>
      </c>
      <c r="G10" s="1" t="s">
        <v>663</v>
      </c>
      <c r="H10" s="179">
        <v>2420</v>
      </c>
      <c r="I10" s="179">
        <v>242</v>
      </c>
      <c r="J10" s="179">
        <v>242</v>
      </c>
      <c r="M10" s="1" t="s">
        <v>196</v>
      </c>
      <c r="N10" s="44">
        <v>6653</v>
      </c>
      <c r="O10" s="44">
        <v>1600</v>
      </c>
      <c r="P10" s="44">
        <v>2619</v>
      </c>
      <c r="Q10" s="44">
        <v>5745</v>
      </c>
      <c r="R10" s="44">
        <v>6401</v>
      </c>
      <c r="S10" s="160">
        <f t="shared" si="0"/>
        <v>4603.6000000000004</v>
      </c>
    </row>
    <row r="11" spans="2:19">
      <c r="D11" s="171"/>
      <c r="E11" s="171"/>
      <c r="F11" s="171"/>
      <c r="G11" s="247" t="s">
        <v>781</v>
      </c>
      <c r="H11" s="171" t="s">
        <v>739</v>
      </c>
      <c r="I11" s="171"/>
      <c r="J11" s="171"/>
      <c r="M11" s="1" t="s">
        <v>699</v>
      </c>
      <c r="N11" s="44">
        <v>693950</v>
      </c>
      <c r="O11" s="44">
        <v>473070</v>
      </c>
      <c r="P11" s="44">
        <v>450960</v>
      </c>
      <c r="Q11" s="44">
        <v>465260</v>
      </c>
      <c r="R11" s="44">
        <v>512754</v>
      </c>
      <c r="S11" s="160">
        <f t="shared" si="0"/>
        <v>519198.8</v>
      </c>
    </row>
    <row r="12" spans="2:19">
      <c r="H12" t="s">
        <v>740</v>
      </c>
      <c r="M12" s="9" t="s">
        <v>634</v>
      </c>
      <c r="N12" s="158"/>
      <c r="O12" s="158"/>
      <c r="P12" s="158"/>
      <c r="Q12" s="158"/>
      <c r="R12" s="159"/>
      <c r="S12" s="161"/>
    </row>
    <row r="13" spans="2:19">
      <c r="M13" s="1" t="s">
        <v>631</v>
      </c>
      <c r="N13" s="44">
        <v>10</v>
      </c>
      <c r="O13" s="44">
        <v>10</v>
      </c>
      <c r="P13" s="44">
        <v>11</v>
      </c>
      <c r="Q13" s="44">
        <v>12</v>
      </c>
      <c r="R13" s="44">
        <v>12</v>
      </c>
      <c r="S13" s="160">
        <f t="shared" ref="S13:S17" si="1">AVERAGE(N13:R13)</f>
        <v>11</v>
      </c>
    </row>
    <row r="14" spans="2:19">
      <c r="B14" t="s">
        <v>668</v>
      </c>
      <c r="D14" s="325" t="s">
        <v>716</v>
      </c>
      <c r="E14" s="325"/>
      <c r="F14" s="327" t="s">
        <v>716</v>
      </c>
      <c r="G14" s="327"/>
      <c r="M14" s="1" t="s">
        <v>632</v>
      </c>
      <c r="N14" s="44">
        <v>10</v>
      </c>
      <c r="O14" s="44">
        <v>10</v>
      </c>
      <c r="P14" s="44">
        <v>11</v>
      </c>
      <c r="Q14" s="44">
        <v>12</v>
      </c>
      <c r="R14" s="44">
        <v>12</v>
      </c>
      <c r="S14" s="160">
        <f t="shared" si="1"/>
        <v>11</v>
      </c>
    </row>
    <row r="15" spans="2:19">
      <c r="B15" s="10" t="s">
        <v>227</v>
      </c>
      <c r="C15" s="10" t="s">
        <v>669</v>
      </c>
      <c r="D15" s="10" t="s">
        <v>227</v>
      </c>
      <c r="E15" s="10" t="s">
        <v>669</v>
      </c>
      <c r="F15" s="10" t="s">
        <v>227</v>
      </c>
      <c r="G15" s="10" t="s">
        <v>669</v>
      </c>
      <c r="M15" s="1" t="s">
        <v>650</v>
      </c>
      <c r="N15" s="44">
        <v>133</v>
      </c>
      <c r="O15" s="44">
        <v>55</v>
      </c>
      <c r="P15" s="44">
        <v>208</v>
      </c>
      <c r="Q15" s="44">
        <v>89</v>
      </c>
      <c r="R15" s="44">
        <v>129</v>
      </c>
      <c r="S15" s="160">
        <f t="shared" si="1"/>
        <v>122.8</v>
      </c>
    </row>
    <row r="16" spans="2:19">
      <c r="B16" s="1" t="s">
        <v>640</v>
      </c>
      <c r="C16" s="25">
        <v>55</v>
      </c>
      <c r="D16" s="1" t="s">
        <v>640</v>
      </c>
      <c r="E16" s="179">
        <v>418</v>
      </c>
      <c r="F16" s="1" t="s">
        <v>640</v>
      </c>
      <c r="G16" s="164">
        <v>209</v>
      </c>
      <c r="M16" s="1" t="s">
        <v>196</v>
      </c>
      <c r="N16" s="44">
        <v>133</v>
      </c>
      <c r="O16" s="44">
        <v>55</v>
      </c>
      <c r="P16" s="44">
        <v>208</v>
      </c>
      <c r="Q16" s="44">
        <v>89</v>
      </c>
      <c r="R16" s="44">
        <v>129</v>
      </c>
      <c r="S16" s="160">
        <f t="shared" si="1"/>
        <v>122.8</v>
      </c>
    </row>
    <row r="17" spans="2:19">
      <c r="B17" s="1" t="s">
        <v>641</v>
      </c>
      <c r="C17" s="25">
        <v>77</v>
      </c>
      <c r="D17" s="1" t="s">
        <v>641</v>
      </c>
      <c r="E17" s="179">
        <v>418</v>
      </c>
      <c r="F17" s="1" t="s">
        <v>641</v>
      </c>
      <c r="G17" s="164">
        <v>209</v>
      </c>
      <c r="M17" s="1" t="s">
        <v>699</v>
      </c>
      <c r="N17" s="44">
        <v>16060</v>
      </c>
      <c r="O17" s="44">
        <v>6620</v>
      </c>
      <c r="P17" s="44">
        <v>25110</v>
      </c>
      <c r="Q17" s="44">
        <v>10720</v>
      </c>
      <c r="R17" s="44">
        <v>15609</v>
      </c>
      <c r="S17" s="160">
        <f t="shared" si="1"/>
        <v>14823.8</v>
      </c>
    </row>
    <row r="18" spans="2:19">
      <c r="B18" s="1" t="s">
        <v>642</v>
      </c>
      <c r="C18" s="25">
        <v>110</v>
      </c>
      <c r="D18" s="1" t="s">
        <v>642</v>
      </c>
      <c r="E18" s="179">
        <v>451</v>
      </c>
      <c r="F18" s="1" t="s">
        <v>642</v>
      </c>
      <c r="G18" s="164">
        <v>231</v>
      </c>
      <c r="M18" s="9" t="s">
        <v>635</v>
      </c>
      <c r="N18" s="158"/>
      <c r="O18" s="158"/>
      <c r="P18" s="158"/>
      <c r="Q18" s="158"/>
      <c r="R18" s="159"/>
      <c r="S18" s="161"/>
    </row>
    <row r="19" spans="2:19">
      <c r="B19" s="1" t="s">
        <v>643</v>
      </c>
      <c r="C19" s="25">
        <v>220</v>
      </c>
      <c r="D19" s="1" t="s">
        <v>643</v>
      </c>
      <c r="E19" s="179">
        <v>649</v>
      </c>
      <c r="F19" s="1" t="s">
        <v>643</v>
      </c>
      <c r="G19" s="164">
        <v>330</v>
      </c>
      <c r="M19" s="1" t="s">
        <v>631</v>
      </c>
      <c r="N19" s="44">
        <v>0</v>
      </c>
      <c r="O19" s="44">
        <v>0</v>
      </c>
      <c r="P19" s="44">
        <v>0</v>
      </c>
      <c r="Q19" s="44">
        <v>0</v>
      </c>
      <c r="R19" s="44">
        <v>0</v>
      </c>
      <c r="S19" s="160">
        <f t="shared" ref="S19:S22" si="2">AVERAGE(N19:R19)</f>
        <v>0</v>
      </c>
    </row>
    <row r="20" spans="2:19">
      <c r="B20" s="1" t="s">
        <v>644</v>
      </c>
      <c r="C20" s="25">
        <v>880</v>
      </c>
      <c r="D20" s="1" t="s">
        <v>644</v>
      </c>
      <c r="E20" s="179">
        <v>924</v>
      </c>
      <c r="F20" s="1" t="s">
        <v>644</v>
      </c>
      <c r="G20" s="164">
        <v>451</v>
      </c>
      <c r="M20" s="1" t="s">
        <v>632</v>
      </c>
      <c r="N20" s="44">
        <v>0</v>
      </c>
      <c r="O20" s="44">
        <v>0</v>
      </c>
      <c r="P20" s="44">
        <v>0</v>
      </c>
      <c r="Q20" s="44">
        <v>0</v>
      </c>
      <c r="R20" s="44">
        <v>0</v>
      </c>
      <c r="S20" s="160">
        <f t="shared" si="2"/>
        <v>0</v>
      </c>
    </row>
    <row r="21" spans="2:19">
      <c r="B21" s="1" t="s">
        <v>645</v>
      </c>
      <c r="C21" s="25">
        <v>1100</v>
      </c>
      <c r="D21" s="1" t="s">
        <v>645</v>
      </c>
      <c r="E21" s="179">
        <v>1441</v>
      </c>
      <c r="F21" s="1" t="s">
        <v>645</v>
      </c>
      <c r="G21" s="164">
        <v>726</v>
      </c>
      <c r="M21" s="1" t="s">
        <v>650</v>
      </c>
      <c r="N21" s="44">
        <v>0</v>
      </c>
      <c r="O21" s="44">
        <v>0</v>
      </c>
      <c r="P21" s="44">
        <v>0</v>
      </c>
      <c r="Q21" s="44">
        <v>0</v>
      </c>
      <c r="R21" s="44">
        <v>0</v>
      </c>
      <c r="S21" s="160">
        <f t="shared" si="2"/>
        <v>0</v>
      </c>
    </row>
    <row r="22" spans="2:19">
      <c r="B22" s="1" t="s">
        <v>646</v>
      </c>
      <c r="C22" s="25">
        <v>1320</v>
      </c>
      <c r="D22" s="1" t="s">
        <v>646</v>
      </c>
      <c r="E22" s="179">
        <v>1958</v>
      </c>
      <c r="F22" s="1" t="s">
        <v>646</v>
      </c>
      <c r="G22" s="164">
        <v>979</v>
      </c>
      <c r="M22" s="1" t="s">
        <v>196</v>
      </c>
      <c r="N22" s="44">
        <v>0</v>
      </c>
      <c r="O22" s="44">
        <v>0</v>
      </c>
      <c r="P22" s="44">
        <v>0</v>
      </c>
      <c r="Q22" s="44">
        <v>0</v>
      </c>
      <c r="R22" s="44">
        <v>0</v>
      </c>
      <c r="S22" s="160">
        <f t="shared" si="2"/>
        <v>0</v>
      </c>
    </row>
    <row r="23" spans="2:19">
      <c r="B23" s="1" t="s">
        <v>647</v>
      </c>
      <c r="C23" s="25">
        <v>3300</v>
      </c>
      <c r="D23" s="1" t="s">
        <v>647</v>
      </c>
      <c r="E23" s="179">
        <v>3300</v>
      </c>
      <c r="F23" s="1" t="s">
        <v>647</v>
      </c>
      <c r="G23" s="164">
        <v>3300</v>
      </c>
      <c r="M23" s="9" t="s">
        <v>636</v>
      </c>
      <c r="N23" s="158"/>
      <c r="O23" s="158"/>
      <c r="P23" s="158"/>
      <c r="Q23" s="158"/>
      <c r="R23" s="159"/>
      <c r="S23" s="161"/>
    </row>
    <row r="24" spans="2:19">
      <c r="E24" t="s">
        <v>780</v>
      </c>
      <c r="M24" s="1" t="s">
        <v>631</v>
      </c>
      <c r="N24" s="44">
        <v>36570</v>
      </c>
      <c r="O24" s="44">
        <v>36520</v>
      </c>
      <c r="P24" s="44">
        <v>36426</v>
      </c>
      <c r="Q24" s="44">
        <v>36391</v>
      </c>
      <c r="R24" s="44">
        <v>36326</v>
      </c>
      <c r="S24" s="160">
        <f t="shared" ref="S24:S27" si="3">AVERAGE(N24:R24)</f>
        <v>36446.6</v>
      </c>
    </row>
    <row r="25" spans="2:19">
      <c r="M25" s="1" t="s">
        <v>632</v>
      </c>
      <c r="N25" s="44">
        <v>21382</v>
      </c>
      <c r="O25" s="44">
        <v>20890</v>
      </c>
      <c r="P25" s="44">
        <v>20181</v>
      </c>
      <c r="Q25" s="44">
        <v>19935</v>
      </c>
      <c r="R25" s="44">
        <v>19651</v>
      </c>
      <c r="S25" s="160">
        <f t="shared" si="3"/>
        <v>20407.8</v>
      </c>
    </row>
    <row r="26" spans="2:19">
      <c r="M26" s="1" t="s">
        <v>650</v>
      </c>
      <c r="N26" s="44">
        <v>744823</v>
      </c>
      <c r="O26" s="44">
        <v>773500</v>
      </c>
      <c r="P26" s="44">
        <v>750647</v>
      </c>
      <c r="Q26" s="44">
        <v>761040</v>
      </c>
      <c r="R26" s="44">
        <v>744334</v>
      </c>
      <c r="S26" s="160">
        <f t="shared" si="3"/>
        <v>754868.8</v>
      </c>
    </row>
    <row r="27" spans="2:19">
      <c r="M27" s="1" t="s">
        <v>196</v>
      </c>
      <c r="N27" s="44">
        <v>1029970</v>
      </c>
      <c r="O27" s="44">
        <v>1052832</v>
      </c>
      <c r="P27" s="44">
        <v>1027694</v>
      </c>
      <c r="Q27" s="44">
        <v>1039302</v>
      </c>
      <c r="R27" s="44">
        <v>1019321</v>
      </c>
      <c r="S27" s="160">
        <f t="shared" si="3"/>
        <v>1033823.8</v>
      </c>
    </row>
    <row r="28" spans="2:19">
      <c r="M28" s="9" t="s">
        <v>637</v>
      </c>
      <c r="N28" s="158"/>
      <c r="O28" s="158"/>
      <c r="P28" s="158"/>
      <c r="Q28" s="158"/>
      <c r="R28" s="159"/>
      <c r="S28" s="161"/>
    </row>
    <row r="29" spans="2:19">
      <c r="M29" s="1" t="s">
        <v>631</v>
      </c>
      <c r="N29" s="25">
        <f>N24-N7-N13-N19</f>
        <v>36536</v>
      </c>
      <c r="O29" s="25">
        <f>O24-O7-O13-O19</f>
        <v>36486</v>
      </c>
      <c r="P29" s="25">
        <f>P24-P7-P13-P19</f>
        <v>36391</v>
      </c>
      <c r="Q29" s="25">
        <f>Q24-Q7-Q13-Q19</f>
        <v>36355</v>
      </c>
      <c r="R29" s="25">
        <f>R24-R7-R13-R19</f>
        <v>36290</v>
      </c>
      <c r="S29" s="160">
        <f t="shared" ref="S29:S34" si="4">AVERAGE(N29:R29)</f>
        <v>36411.599999999999</v>
      </c>
    </row>
    <row r="30" spans="2:19">
      <c r="M30" s="1" t="s">
        <v>678</v>
      </c>
      <c r="N30" s="25">
        <f>N34-N32</f>
        <v>280571</v>
      </c>
      <c r="O30" s="25">
        <f t="shared" ref="O30:R30" si="5">O34-O32</f>
        <v>277913</v>
      </c>
      <c r="P30" s="25">
        <f t="shared" si="5"/>
        <v>274428</v>
      </c>
      <c r="Q30" s="25">
        <f t="shared" si="5"/>
        <v>272647</v>
      </c>
      <c r="R30" s="25">
        <f t="shared" si="5"/>
        <v>269147</v>
      </c>
      <c r="S30" s="160">
        <f t="shared" si="4"/>
        <v>274941.2</v>
      </c>
    </row>
    <row r="31" spans="2:19">
      <c r="M31" s="1" t="s">
        <v>632</v>
      </c>
      <c r="N31" s="25">
        <f t="shared" ref="N31:R32" si="6">N25-N8-N14-N20</f>
        <v>21360</v>
      </c>
      <c r="O31" s="25">
        <f t="shared" si="6"/>
        <v>20878</v>
      </c>
      <c r="P31" s="25">
        <f t="shared" si="6"/>
        <v>20170</v>
      </c>
      <c r="Q31" s="25">
        <f t="shared" si="6"/>
        <v>19919</v>
      </c>
      <c r="R31" s="25">
        <f t="shared" si="6"/>
        <v>19632</v>
      </c>
      <c r="S31" s="160">
        <f t="shared" si="4"/>
        <v>20391.8</v>
      </c>
    </row>
    <row r="32" spans="2:19">
      <c r="M32" s="1" t="s">
        <v>650</v>
      </c>
      <c r="N32" s="25">
        <f t="shared" si="6"/>
        <v>742613</v>
      </c>
      <c r="O32" s="25">
        <f t="shared" si="6"/>
        <v>773264</v>
      </c>
      <c r="P32" s="25">
        <f t="shared" si="6"/>
        <v>750439</v>
      </c>
      <c r="Q32" s="25">
        <f t="shared" si="6"/>
        <v>760821</v>
      </c>
      <c r="R32" s="25">
        <f t="shared" si="6"/>
        <v>743644</v>
      </c>
      <c r="S32" s="160">
        <f t="shared" si="4"/>
        <v>754156.2</v>
      </c>
    </row>
    <row r="33" spans="13:20">
      <c r="M33" s="1" t="s">
        <v>683</v>
      </c>
      <c r="N33" s="25">
        <f>N29+N31</f>
        <v>57896</v>
      </c>
      <c r="O33" s="25">
        <f t="shared" ref="O33:S33" si="7">O29+O31</f>
        <v>57364</v>
      </c>
      <c r="P33" s="25">
        <f t="shared" si="7"/>
        <v>56561</v>
      </c>
      <c r="Q33" s="25">
        <f t="shared" si="7"/>
        <v>56274</v>
      </c>
      <c r="R33" s="25">
        <f t="shared" si="7"/>
        <v>55922</v>
      </c>
      <c r="S33" s="25">
        <f t="shared" si="7"/>
        <v>56803.399999999994</v>
      </c>
    </row>
    <row r="34" spans="13:20">
      <c r="M34" s="1" t="s">
        <v>196</v>
      </c>
      <c r="N34" s="25">
        <f>N27-N10-N16-N22</f>
        <v>1023184</v>
      </c>
      <c r="O34" s="25">
        <f>O27-O10-O16-O22</f>
        <v>1051177</v>
      </c>
      <c r="P34" s="25">
        <f>P27-P10-P16-P22</f>
        <v>1024867</v>
      </c>
      <c r="Q34" s="25">
        <f>Q27-Q10-Q16-Q22</f>
        <v>1033468</v>
      </c>
      <c r="R34" s="25">
        <f>R27-R10-R16-R22</f>
        <v>1012791</v>
      </c>
      <c r="S34" s="160">
        <f t="shared" si="4"/>
        <v>1029097.4</v>
      </c>
    </row>
    <row r="35" spans="13:20">
      <c r="M35" s="170" t="s">
        <v>682</v>
      </c>
      <c r="N35" s="37">
        <f>N29/N33</f>
        <v>0.63106259499792727</v>
      </c>
      <c r="O35" s="37">
        <f t="shared" ref="O35:S35" si="8">O29/O33</f>
        <v>0.636043511610069</v>
      </c>
      <c r="P35" s="37">
        <f t="shared" si="8"/>
        <v>0.64339385795866411</v>
      </c>
      <c r="Q35" s="37">
        <f t="shared" si="8"/>
        <v>0.64603546931087186</v>
      </c>
      <c r="R35" s="37">
        <f t="shared" si="8"/>
        <v>0.64893959443510607</v>
      </c>
      <c r="S35" s="37">
        <f t="shared" si="8"/>
        <v>0.64101092540235272</v>
      </c>
    </row>
    <row r="36" spans="13:20">
      <c r="M36" s="170" t="s">
        <v>681</v>
      </c>
      <c r="N36" s="37">
        <f>N30/N34</f>
        <v>0.27421363117484243</v>
      </c>
      <c r="O36" s="37">
        <f t="shared" ref="O36:S36" si="9">O30/O34</f>
        <v>0.2643826872163299</v>
      </c>
      <c r="P36" s="37">
        <f t="shared" si="9"/>
        <v>0.26776937885598812</v>
      </c>
      <c r="Q36" s="37">
        <f t="shared" si="9"/>
        <v>0.26381755409940122</v>
      </c>
      <c r="R36" s="37">
        <f t="shared" si="9"/>
        <v>0.26574781963899757</v>
      </c>
      <c r="S36" s="37">
        <f t="shared" si="9"/>
        <v>0.26716732546404259</v>
      </c>
    </row>
    <row r="39" spans="13:20">
      <c r="M39" t="s">
        <v>638</v>
      </c>
    </row>
    <row r="40" spans="13:20">
      <c r="M40" s="1" t="s">
        <v>639</v>
      </c>
      <c r="N40" s="75" t="s">
        <v>19</v>
      </c>
      <c r="O40" s="75" t="s">
        <v>259</v>
      </c>
      <c r="P40" s="75" t="s">
        <v>21</v>
      </c>
      <c r="Q40" s="75" t="s">
        <v>22</v>
      </c>
      <c r="R40" s="75" t="s">
        <v>23</v>
      </c>
      <c r="S40" s="75" t="s">
        <v>530</v>
      </c>
      <c r="T40" s="75" t="s">
        <v>551</v>
      </c>
    </row>
    <row r="41" spans="13:20">
      <c r="M41" s="1" t="s">
        <v>640</v>
      </c>
      <c r="N41" s="44">
        <v>8896</v>
      </c>
      <c r="O41" s="44">
        <v>8680</v>
      </c>
      <c r="P41" s="44">
        <v>8569</v>
      </c>
      <c r="Q41" s="44">
        <v>8453</v>
      </c>
      <c r="R41" s="44">
        <v>8467</v>
      </c>
      <c r="S41" s="160">
        <f>AVERAGE(N41:R41)</f>
        <v>8613</v>
      </c>
      <c r="T41" s="162">
        <f>ROUND(S41/$S$51,3)</f>
        <v>0.23599999999999999</v>
      </c>
    </row>
    <row r="42" spans="13:20">
      <c r="M42" s="1" t="s">
        <v>641</v>
      </c>
      <c r="N42" s="44">
        <v>25629</v>
      </c>
      <c r="O42" s="44">
        <v>25749</v>
      </c>
      <c r="P42" s="44">
        <v>25765</v>
      </c>
      <c r="Q42" s="44">
        <v>25813</v>
      </c>
      <c r="R42" s="44">
        <v>25705</v>
      </c>
      <c r="S42" s="160">
        <f t="shared" ref="S42:S50" si="10">AVERAGE(N42:R42)</f>
        <v>25732.2</v>
      </c>
      <c r="T42" s="162">
        <f t="shared" ref="T42:T50" si="11">ROUND(S42/$S$51,3)</f>
        <v>0.70599999999999996</v>
      </c>
    </row>
    <row r="43" spans="13:20">
      <c r="M43" s="1" t="s">
        <v>642</v>
      </c>
      <c r="N43" s="44">
        <v>829</v>
      </c>
      <c r="O43" s="44">
        <v>825</v>
      </c>
      <c r="P43" s="44">
        <v>821</v>
      </c>
      <c r="Q43" s="44">
        <v>827</v>
      </c>
      <c r="R43" s="44">
        <v>849</v>
      </c>
      <c r="S43" s="160">
        <f t="shared" si="10"/>
        <v>830.2</v>
      </c>
      <c r="T43" s="162">
        <f t="shared" si="11"/>
        <v>2.3E-2</v>
      </c>
    </row>
    <row r="44" spans="13:20">
      <c r="M44" s="1" t="s">
        <v>643</v>
      </c>
      <c r="N44" s="44">
        <v>830</v>
      </c>
      <c r="O44" s="44">
        <v>882</v>
      </c>
      <c r="P44" s="44">
        <v>872</v>
      </c>
      <c r="Q44" s="44">
        <v>888</v>
      </c>
      <c r="R44" s="44">
        <v>880</v>
      </c>
      <c r="S44" s="160">
        <f t="shared" si="10"/>
        <v>870.4</v>
      </c>
      <c r="T44" s="162">
        <f t="shared" si="11"/>
        <v>2.4E-2</v>
      </c>
    </row>
    <row r="45" spans="13:20">
      <c r="M45" s="1" t="s">
        <v>644</v>
      </c>
      <c r="N45" s="44">
        <v>245</v>
      </c>
      <c r="O45" s="44">
        <v>252</v>
      </c>
      <c r="P45" s="44">
        <v>268</v>
      </c>
      <c r="Q45" s="44">
        <v>268</v>
      </c>
      <c r="R45" s="44">
        <v>279</v>
      </c>
      <c r="S45" s="160">
        <f t="shared" si="10"/>
        <v>262.39999999999998</v>
      </c>
      <c r="T45" s="162">
        <f t="shared" si="11"/>
        <v>7.0000000000000001E-3</v>
      </c>
    </row>
    <row r="46" spans="13:20">
      <c r="M46" s="1" t="s">
        <v>645</v>
      </c>
      <c r="N46" s="44">
        <v>97</v>
      </c>
      <c r="O46" s="44">
        <v>97</v>
      </c>
      <c r="P46" s="44">
        <v>96</v>
      </c>
      <c r="Q46" s="44">
        <v>106</v>
      </c>
      <c r="R46" s="44">
        <v>110</v>
      </c>
      <c r="S46" s="160">
        <f t="shared" si="10"/>
        <v>101.2</v>
      </c>
      <c r="T46" s="162">
        <f t="shared" si="11"/>
        <v>3.0000000000000001E-3</v>
      </c>
    </row>
    <row r="47" spans="13:20">
      <c r="M47" s="1" t="s">
        <v>646</v>
      </c>
      <c r="N47" s="44">
        <v>44</v>
      </c>
      <c r="O47" s="44">
        <v>34</v>
      </c>
      <c r="P47" s="44">
        <v>35</v>
      </c>
      <c r="Q47" s="44">
        <v>36</v>
      </c>
      <c r="R47" s="44">
        <v>36</v>
      </c>
      <c r="S47" s="160">
        <f t="shared" si="10"/>
        <v>37</v>
      </c>
      <c r="T47" s="162">
        <f t="shared" si="11"/>
        <v>1E-3</v>
      </c>
    </row>
    <row r="48" spans="13:20">
      <c r="M48" s="1" t="s">
        <v>647</v>
      </c>
      <c r="N48" s="44">
        <v>0</v>
      </c>
      <c r="O48" s="44">
        <v>0</v>
      </c>
      <c r="P48" s="44">
        <v>0</v>
      </c>
      <c r="Q48" s="44">
        <v>0</v>
      </c>
      <c r="R48" s="44">
        <v>0</v>
      </c>
      <c r="S48" s="160">
        <f t="shared" si="10"/>
        <v>0</v>
      </c>
      <c r="T48" s="162">
        <f t="shared" si="11"/>
        <v>0</v>
      </c>
    </row>
    <row r="49" spans="13:20">
      <c r="M49" s="1" t="s">
        <v>648</v>
      </c>
      <c r="N49" s="44">
        <v>0</v>
      </c>
      <c r="O49" s="44">
        <v>0</v>
      </c>
      <c r="P49" s="44">
        <v>0</v>
      </c>
      <c r="Q49" s="44">
        <v>0</v>
      </c>
      <c r="R49" s="44">
        <v>0</v>
      </c>
      <c r="S49" s="160">
        <f t="shared" si="10"/>
        <v>0</v>
      </c>
      <c r="T49" s="162">
        <f t="shared" si="11"/>
        <v>0</v>
      </c>
    </row>
    <row r="50" spans="13:20">
      <c r="M50" s="1" t="s">
        <v>649</v>
      </c>
      <c r="N50" s="44">
        <v>0</v>
      </c>
      <c r="O50" s="44">
        <v>0</v>
      </c>
      <c r="P50" s="44">
        <v>0</v>
      </c>
      <c r="Q50" s="44">
        <v>0</v>
      </c>
      <c r="R50" s="44">
        <v>0</v>
      </c>
      <c r="S50" s="160">
        <f t="shared" si="10"/>
        <v>0</v>
      </c>
      <c r="T50" s="162">
        <f t="shared" si="11"/>
        <v>0</v>
      </c>
    </row>
    <row r="51" spans="13:20">
      <c r="M51" s="1" t="s">
        <v>651</v>
      </c>
      <c r="N51" s="160">
        <f t="shared" ref="N51:S51" si="12">SUM(N41:N50)</f>
        <v>36570</v>
      </c>
      <c r="O51" s="160">
        <f t="shared" si="12"/>
        <v>36519</v>
      </c>
      <c r="P51" s="160">
        <f t="shared" si="12"/>
        <v>36426</v>
      </c>
      <c r="Q51" s="160">
        <f t="shared" si="12"/>
        <v>36391</v>
      </c>
      <c r="R51" s="160">
        <f t="shared" si="12"/>
        <v>36326</v>
      </c>
      <c r="S51" s="160">
        <f t="shared" si="12"/>
        <v>36446.399999999994</v>
      </c>
      <c r="T51" s="162">
        <f>S51/$S$51</f>
        <v>1</v>
      </c>
    </row>
  </sheetData>
  <mergeCells count="9">
    <mergeCell ref="G3:J3"/>
    <mergeCell ref="C4:D4"/>
    <mergeCell ref="E4:F4"/>
    <mergeCell ref="B4:B5"/>
    <mergeCell ref="D14:E14"/>
    <mergeCell ref="F14:G14"/>
    <mergeCell ref="B6:B7"/>
    <mergeCell ref="G4:H4"/>
    <mergeCell ref="I4:J4"/>
  </mergeCells>
  <phoneticPr fontId="4"/>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1F12-314E-4D9A-8E25-CB4AF7BCA58A}">
  <sheetPr>
    <tabColor theme="9" tint="0.79998168889431442"/>
  </sheetPr>
  <dimension ref="B2:N46"/>
  <sheetViews>
    <sheetView showGridLines="0" workbookViewId="0">
      <selection activeCell="B7" sqref="B7:B12"/>
    </sheetView>
  </sheetViews>
  <sheetFormatPr defaultRowHeight="14.4"/>
  <cols>
    <col min="1" max="1" width="3" customWidth="1"/>
    <col min="3" max="3" width="8.90625" bestFit="1" customWidth="1"/>
    <col min="4" max="4" width="10.36328125" bestFit="1" customWidth="1"/>
    <col min="7" max="7" width="11.36328125" bestFit="1" customWidth="1"/>
    <col min="8" max="8" width="9.36328125" bestFit="1" customWidth="1"/>
    <col min="13" max="13" width="9.26953125" bestFit="1" customWidth="1"/>
  </cols>
  <sheetData>
    <row r="2" spans="2:8">
      <c r="B2" t="s">
        <v>219</v>
      </c>
    </row>
    <row r="4" spans="2:8">
      <c r="B4" t="s">
        <v>236</v>
      </c>
    </row>
    <row r="5" spans="2:8">
      <c r="B5" t="s">
        <v>220</v>
      </c>
    </row>
    <row r="6" spans="2:8">
      <c r="B6" s="62" t="s">
        <v>227</v>
      </c>
      <c r="C6" s="41" t="s">
        <v>228</v>
      </c>
      <c r="D6" s="41" t="s">
        <v>229</v>
      </c>
      <c r="E6" s="41" t="s">
        <v>230</v>
      </c>
    </row>
    <row r="7" spans="2:8">
      <c r="B7" s="1" t="s">
        <v>221</v>
      </c>
      <c r="C7" s="65">
        <v>1</v>
      </c>
      <c r="D7" s="65">
        <v>1</v>
      </c>
      <c r="E7" s="65">
        <f>ROUND(C7*D7,2)</f>
        <v>1</v>
      </c>
    </row>
    <row r="8" spans="2:8">
      <c r="B8" s="1" t="s">
        <v>222</v>
      </c>
      <c r="C8" s="65">
        <f>(C9-C7)/(20-13)*3+C7</f>
        <v>1.9</v>
      </c>
      <c r="D8" s="65">
        <f>ROUND((D9-D7)/(20-13)*3+D7,2)</f>
        <v>0.92</v>
      </c>
      <c r="E8" s="65">
        <f t="shared" ref="E8:E12" si="0">ROUND(C8*D8,2)</f>
        <v>1.75</v>
      </c>
    </row>
    <row r="9" spans="2:8">
      <c r="B9" s="1" t="s">
        <v>223</v>
      </c>
      <c r="C9" s="65">
        <v>3.1</v>
      </c>
      <c r="D9" s="65">
        <v>0.81</v>
      </c>
      <c r="E9" s="65">
        <f t="shared" si="0"/>
        <v>2.5099999999999998</v>
      </c>
    </row>
    <row r="10" spans="2:8">
      <c r="B10" s="1" t="s">
        <v>224</v>
      </c>
      <c r="C10" s="65">
        <v>5.58</v>
      </c>
      <c r="D10" s="65">
        <v>0.72</v>
      </c>
      <c r="E10" s="65">
        <f t="shared" si="0"/>
        <v>4.0199999999999996</v>
      </c>
    </row>
    <row r="11" spans="2:8">
      <c r="B11" s="1" t="s">
        <v>225</v>
      </c>
      <c r="C11" s="65">
        <v>9.02</v>
      </c>
      <c r="D11" s="65">
        <v>0.66</v>
      </c>
      <c r="E11" s="65">
        <f t="shared" si="0"/>
        <v>5.95</v>
      </c>
    </row>
    <row r="12" spans="2:8">
      <c r="B12" s="1" t="s">
        <v>226</v>
      </c>
      <c r="C12" s="65">
        <v>19.22</v>
      </c>
      <c r="D12" s="65">
        <v>0.56999999999999995</v>
      </c>
      <c r="E12" s="65">
        <f t="shared" si="0"/>
        <v>10.96</v>
      </c>
    </row>
    <row r="14" spans="2:8">
      <c r="B14" s="62" t="s">
        <v>227</v>
      </c>
      <c r="C14" s="41" t="s">
        <v>231</v>
      </c>
      <c r="D14" s="41" t="s">
        <v>230</v>
      </c>
      <c r="E14" s="41" t="s">
        <v>233</v>
      </c>
      <c r="F14" s="41" t="s">
        <v>232</v>
      </c>
      <c r="G14" s="41" t="s">
        <v>234</v>
      </c>
      <c r="H14" s="41" t="s">
        <v>235</v>
      </c>
    </row>
    <row r="15" spans="2:8">
      <c r="B15" s="1" t="s">
        <v>221</v>
      </c>
      <c r="C15" s="25" t="e">
        <f>ROUND(#REF!,0)</f>
        <v>#REF!</v>
      </c>
      <c r="D15" s="65">
        <f>E7</f>
        <v>1</v>
      </c>
      <c r="E15" s="25" t="e">
        <f>ROUND(C15*D15,0)</f>
        <v>#REF!</v>
      </c>
      <c r="F15" s="42" t="e">
        <f>ROUND(E15/$E$21,4)</f>
        <v>#REF!</v>
      </c>
      <c r="G15" s="25" t="e">
        <f>ROUND(F15*$G$21,0)</f>
        <v>#REF!</v>
      </c>
      <c r="H15" s="58" t="e">
        <f>ROUND(G15/C15,2)</f>
        <v>#REF!</v>
      </c>
    </row>
    <row r="16" spans="2:8">
      <c r="B16" s="1" t="s">
        <v>222</v>
      </c>
      <c r="C16" s="25" t="e">
        <f>ROUND(#REF!,0)</f>
        <v>#REF!</v>
      </c>
      <c r="D16" s="65">
        <f>E8</f>
        <v>1.75</v>
      </c>
      <c r="E16" s="25" t="e">
        <f>ROUND(C16*D16,0)</f>
        <v>#REF!</v>
      </c>
      <c r="F16" s="42" t="e">
        <f t="shared" ref="F16:F19" si="1">ROUND(E16/$E$21,4)</f>
        <v>#REF!</v>
      </c>
      <c r="G16" s="25" t="e">
        <f t="shared" ref="G16:G20" si="2">ROUND(F16*$G$21,0)</f>
        <v>#REF!</v>
      </c>
      <c r="H16" s="58" t="e">
        <f t="shared" ref="H16:H19" si="3">ROUND(G16/C16,2)</f>
        <v>#REF!</v>
      </c>
    </row>
    <row r="17" spans="2:8">
      <c r="B17" s="1" t="s">
        <v>223</v>
      </c>
      <c r="C17" s="25" t="e">
        <f>ROUND(#REF!,0)</f>
        <v>#REF!</v>
      </c>
      <c r="D17" s="65">
        <f t="shared" ref="D17:D20" si="4">E9</f>
        <v>2.5099999999999998</v>
      </c>
      <c r="E17" s="25" t="e">
        <f t="shared" ref="E17:E20" si="5">ROUND(C17*D17,0)</f>
        <v>#REF!</v>
      </c>
      <c r="F17" s="42" t="e">
        <f t="shared" si="1"/>
        <v>#REF!</v>
      </c>
      <c r="G17" s="25" t="e">
        <f t="shared" si="2"/>
        <v>#REF!</v>
      </c>
      <c r="H17" s="58" t="e">
        <f t="shared" si="3"/>
        <v>#REF!</v>
      </c>
    </row>
    <row r="18" spans="2:8">
      <c r="B18" s="1" t="s">
        <v>224</v>
      </c>
      <c r="C18" s="25" t="e">
        <f>ROUND(#REF!,0)</f>
        <v>#REF!</v>
      </c>
      <c r="D18" s="65">
        <f t="shared" si="4"/>
        <v>4.0199999999999996</v>
      </c>
      <c r="E18" s="25" t="e">
        <f t="shared" si="5"/>
        <v>#REF!</v>
      </c>
      <c r="F18" s="42" t="e">
        <f t="shared" si="1"/>
        <v>#REF!</v>
      </c>
      <c r="G18" s="25" t="e">
        <f t="shared" si="2"/>
        <v>#REF!</v>
      </c>
      <c r="H18" s="58" t="e">
        <f t="shared" si="3"/>
        <v>#REF!</v>
      </c>
    </row>
    <row r="19" spans="2:8">
      <c r="B19" s="1" t="s">
        <v>225</v>
      </c>
      <c r="C19" s="25" t="e">
        <f>ROUND(#REF!,0)</f>
        <v>#REF!</v>
      </c>
      <c r="D19" s="65">
        <f t="shared" si="4"/>
        <v>5.95</v>
      </c>
      <c r="E19" s="25" t="e">
        <f t="shared" si="5"/>
        <v>#REF!</v>
      </c>
      <c r="F19" s="42" t="e">
        <f t="shared" si="1"/>
        <v>#REF!</v>
      </c>
      <c r="G19" s="25" t="e">
        <f t="shared" si="2"/>
        <v>#REF!</v>
      </c>
      <c r="H19" s="58" t="e">
        <f t="shared" si="3"/>
        <v>#REF!</v>
      </c>
    </row>
    <row r="20" spans="2:8">
      <c r="B20" s="1" t="s">
        <v>226</v>
      </c>
      <c r="C20" s="25" t="e">
        <f>ROUND(#REF!,0)</f>
        <v>#REF!</v>
      </c>
      <c r="D20" s="65">
        <f t="shared" si="4"/>
        <v>10.96</v>
      </c>
      <c r="E20" s="25" t="e">
        <f t="shared" si="5"/>
        <v>#REF!</v>
      </c>
      <c r="F20" s="42" t="e">
        <f>ROUND(E20/$E$21,4)</f>
        <v>#REF!</v>
      </c>
      <c r="G20" s="25" t="e">
        <f t="shared" si="2"/>
        <v>#REF!</v>
      </c>
      <c r="H20" s="58" t="e">
        <f>ROUND(G20/C20,2)</f>
        <v>#REF!</v>
      </c>
    </row>
    <row r="21" spans="2:8">
      <c r="B21" s="1"/>
      <c r="C21" s="25" t="e">
        <f>SUM(C15:C20)</f>
        <v>#REF!</v>
      </c>
      <c r="D21" s="1"/>
      <c r="E21" s="25" t="e">
        <f t="shared" ref="E21" si="6">SUM(E15:E20)</f>
        <v>#REF!</v>
      </c>
      <c r="F21" s="66" t="e">
        <f>SUM(F15:F20)</f>
        <v>#REF!</v>
      </c>
      <c r="G21" s="25">
        <f>【料金算定】分解原価集計!J33</f>
        <v>182545706</v>
      </c>
      <c r="H21" s="1"/>
    </row>
    <row r="23" spans="2:8">
      <c r="B23" t="s">
        <v>237</v>
      </c>
    </row>
    <row r="24" spans="2:8">
      <c r="B24" s="330" t="s">
        <v>238</v>
      </c>
      <c r="C24" s="331"/>
      <c r="D24" s="57" t="e">
        <f>SUM(【収益】水需要予測!#REF!)</f>
        <v>#REF!</v>
      </c>
    </row>
    <row r="25" spans="2:8">
      <c r="B25" s="328" t="s">
        <v>239</v>
      </c>
      <c r="C25" s="329"/>
      <c r="D25" s="25">
        <f>【料金算定】分解原価集計!K33</f>
        <v>547637120</v>
      </c>
    </row>
    <row r="26" spans="2:8">
      <c r="B26" s="328" t="s">
        <v>240</v>
      </c>
      <c r="C26" s="329"/>
      <c r="D26" s="65" t="e">
        <f>ROUND(D25/D24,3)</f>
        <v>#REF!</v>
      </c>
    </row>
    <row r="29" spans="2:8">
      <c r="B29" t="s">
        <v>241</v>
      </c>
    </row>
    <row r="30" spans="2:8">
      <c r="B30" s="330" t="s">
        <v>238</v>
      </c>
      <c r="C30" s="331"/>
      <c r="D30" s="57" t="e">
        <f>SUM(【収益】水需要予測!#REF!)</f>
        <v>#REF!</v>
      </c>
    </row>
    <row r="31" spans="2:8">
      <c r="B31" s="328" t="s">
        <v>7</v>
      </c>
      <c r="C31" s="329"/>
      <c r="D31" s="25">
        <f>【料金算定】分解原価集計!M33</f>
        <v>4568989</v>
      </c>
    </row>
    <row r="32" spans="2:8">
      <c r="B32" s="328" t="s">
        <v>240</v>
      </c>
      <c r="C32" s="329"/>
      <c r="D32" s="65" t="e">
        <f>ROUND(D31/D30,3)</f>
        <v>#REF!</v>
      </c>
    </row>
    <row r="35" spans="2:14">
      <c r="B35" t="s">
        <v>242</v>
      </c>
    </row>
    <row r="36" spans="2:14">
      <c r="B36" t="s">
        <v>245</v>
      </c>
      <c r="F36" t="s">
        <v>246</v>
      </c>
      <c r="I36" t="s">
        <v>248</v>
      </c>
    </row>
    <row r="37" spans="2:14">
      <c r="B37" t="s">
        <v>157</v>
      </c>
      <c r="C37" s="62" t="s">
        <v>227</v>
      </c>
      <c r="D37" s="62" t="s">
        <v>243</v>
      </c>
      <c r="F37" s="62" t="s">
        <v>227</v>
      </c>
      <c r="G37" s="62" t="s">
        <v>243</v>
      </c>
      <c r="I37" s="62" t="s">
        <v>227</v>
      </c>
      <c r="J37" s="62" t="s">
        <v>243</v>
      </c>
      <c r="M37" s="24" t="e">
        <f>ROUND(SUM(M38:M43)/C21,-2)</f>
        <v>#REF!</v>
      </c>
      <c r="N37" s="24" t="e">
        <f>ROUND(SUM(N38:N43)/C21,-2)</f>
        <v>#REF!</v>
      </c>
    </row>
    <row r="38" spans="2:14">
      <c r="C38" s="1" t="s">
        <v>221</v>
      </c>
      <c r="D38" s="25" t="e">
        <f>ROUNDDOWN(H15,-2)</f>
        <v>#REF!</v>
      </c>
      <c r="F38" s="1" t="s">
        <v>221</v>
      </c>
      <c r="G38" s="25" t="e">
        <f>D38</f>
        <v>#REF!</v>
      </c>
      <c r="I38" s="1" t="s">
        <v>221</v>
      </c>
      <c r="J38" s="25" t="e">
        <f>G38/2</f>
        <v>#REF!</v>
      </c>
      <c r="M38" t="e">
        <f>G38*C15</f>
        <v>#REF!</v>
      </c>
      <c r="N38" t="e">
        <f>J38*C15</f>
        <v>#REF!</v>
      </c>
    </row>
    <row r="39" spans="2:14">
      <c r="C39" s="1" t="s">
        <v>222</v>
      </c>
      <c r="D39" s="25" t="e">
        <f t="shared" ref="D39:D43" si="7">ROUNDDOWN(H16,-2)</f>
        <v>#REF!</v>
      </c>
      <c r="F39" s="1" t="s">
        <v>222</v>
      </c>
      <c r="G39" s="25" t="e">
        <f t="shared" ref="G39:G43" si="8">D39</f>
        <v>#REF!</v>
      </c>
      <c r="I39" s="1" t="s">
        <v>222</v>
      </c>
      <c r="J39" s="25" t="e">
        <f t="shared" ref="J39:J43" si="9">G39/2</f>
        <v>#REF!</v>
      </c>
      <c r="M39" t="e">
        <f t="shared" ref="M39:M43" si="10">G39*C16</f>
        <v>#REF!</v>
      </c>
      <c r="N39" t="e">
        <f t="shared" ref="N39:N43" si="11">J39*C16</f>
        <v>#REF!</v>
      </c>
    </row>
    <row r="40" spans="2:14">
      <c r="C40" s="1" t="s">
        <v>223</v>
      </c>
      <c r="D40" s="25" t="e">
        <f t="shared" si="7"/>
        <v>#REF!</v>
      </c>
      <c r="F40" s="1" t="s">
        <v>223</v>
      </c>
      <c r="G40" s="25" t="e">
        <f t="shared" si="8"/>
        <v>#REF!</v>
      </c>
      <c r="I40" s="1" t="s">
        <v>223</v>
      </c>
      <c r="J40" s="25" t="e">
        <f t="shared" si="9"/>
        <v>#REF!</v>
      </c>
      <c r="M40" t="e">
        <f t="shared" si="10"/>
        <v>#REF!</v>
      </c>
      <c r="N40" t="e">
        <f t="shared" si="11"/>
        <v>#REF!</v>
      </c>
    </row>
    <row r="41" spans="2:14">
      <c r="C41" s="1" t="s">
        <v>224</v>
      </c>
      <c r="D41" s="25" t="e">
        <f t="shared" si="7"/>
        <v>#REF!</v>
      </c>
      <c r="F41" s="1" t="s">
        <v>224</v>
      </c>
      <c r="G41" s="25" t="e">
        <f t="shared" si="8"/>
        <v>#REF!</v>
      </c>
      <c r="I41" s="1" t="s">
        <v>224</v>
      </c>
      <c r="J41" s="25" t="e">
        <f t="shared" si="9"/>
        <v>#REF!</v>
      </c>
      <c r="M41" t="e">
        <f t="shared" si="10"/>
        <v>#REF!</v>
      </c>
      <c r="N41" t="e">
        <f t="shared" si="11"/>
        <v>#REF!</v>
      </c>
    </row>
    <row r="42" spans="2:14">
      <c r="C42" s="1" t="s">
        <v>225</v>
      </c>
      <c r="D42" s="25" t="e">
        <f t="shared" si="7"/>
        <v>#REF!</v>
      </c>
      <c r="F42" s="1" t="s">
        <v>225</v>
      </c>
      <c r="G42" s="25" t="e">
        <f t="shared" si="8"/>
        <v>#REF!</v>
      </c>
      <c r="I42" s="1" t="s">
        <v>225</v>
      </c>
      <c r="J42" s="25" t="e">
        <f t="shared" si="9"/>
        <v>#REF!</v>
      </c>
      <c r="M42" t="e">
        <f t="shared" si="10"/>
        <v>#REF!</v>
      </c>
      <c r="N42" t="e">
        <f t="shared" si="11"/>
        <v>#REF!</v>
      </c>
    </row>
    <row r="43" spans="2:14">
      <c r="C43" s="1" t="s">
        <v>226</v>
      </c>
      <c r="D43" s="25" t="e">
        <f t="shared" si="7"/>
        <v>#REF!</v>
      </c>
      <c r="F43" s="1" t="s">
        <v>226</v>
      </c>
      <c r="G43" s="25" t="e">
        <f t="shared" si="8"/>
        <v>#REF!</v>
      </c>
      <c r="I43" s="1" t="s">
        <v>226</v>
      </c>
      <c r="J43" s="25" t="e">
        <f t="shared" si="9"/>
        <v>#REF!</v>
      </c>
      <c r="M43" t="e">
        <f t="shared" si="10"/>
        <v>#REF!</v>
      </c>
      <c r="N43" t="e">
        <f t="shared" si="11"/>
        <v>#REF!</v>
      </c>
    </row>
    <row r="45" spans="2:14">
      <c r="B45" t="s">
        <v>158</v>
      </c>
      <c r="C45" s="1" t="s">
        <v>244</v>
      </c>
      <c r="D45" s="25" t="e">
        <f>ROUNDDOWN(D26+D32,0)</f>
        <v>#REF!</v>
      </c>
      <c r="F45" s="1" t="s">
        <v>247</v>
      </c>
      <c r="G45" s="25" t="e">
        <f>D45</f>
        <v>#REF!</v>
      </c>
      <c r="I45" s="1" t="s">
        <v>247</v>
      </c>
      <c r="J45" s="25" t="e">
        <f t="shared" ref="J45:J46" si="12">G45/2</f>
        <v>#REF!</v>
      </c>
    </row>
    <row r="46" spans="2:14">
      <c r="F46" s="1" t="s">
        <v>159</v>
      </c>
      <c r="G46" s="25" t="e">
        <f>D45*1.3</f>
        <v>#REF!</v>
      </c>
      <c r="I46" s="1" t="s">
        <v>159</v>
      </c>
      <c r="J46" s="25" t="e">
        <f t="shared" si="12"/>
        <v>#REF!</v>
      </c>
    </row>
  </sheetData>
  <customSheetViews>
    <customSheetView guid="{B05628F6-030D-4851-8E75-96DF5849F39A}" showGridLines="0" state="hidden">
      <selection activeCell="B7" sqref="B7:B12"/>
      <pageMargins left="0.7" right="0.7" top="0.75" bottom="0.75" header="0.3" footer="0.3"/>
      <pageSetup paperSize="9" orientation="portrait" horizontalDpi="0" verticalDpi="0" r:id="rId1"/>
    </customSheetView>
    <customSheetView guid="{1F923BC6-4AD1-4F20-A481-D76BE7901A2A}" showGridLines="0" state="hidden">
      <selection activeCell="B7" sqref="B7:B12"/>
      <pageMargins left="0.7" right="0.7" top="0.75" bottom="0.75" header="0.3" footer="0.3"/>
      <pageSetup paperSize="9" orientation="portrait" horizontalDpi="0" verticalDpi="0" r:id="rId2"/>
    </customSheetView>
  </customSheetViews>
  <mergeCells count="6">
    <mergeCell ref="B32:C32"/>
    <mergeCell ref="B24:C24"/>
    <mergeCell ref="B25:C25"/>
    <mergeCell ref="B26:C26"/>
    <mergeCell ref="B30:C30"/>
    <mergeCell ref="B31:C31"/>
  </mergeCells>
  <phoneticPr fontId="4"/>
  <pageMargins left="0.7" right="0.7" top="0.75" bottom="0.75" header="0.3" footer="0.3"/>
  <pageSetup paperSize="9" orientation="portrait" verticalDpi="0"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BC199-8117-4913-9821-7E967D925F10}">
  <sheetPr>
    <tabColor rgb="FFFFFF00"/>
    <pageSetUpPr fitToPage="1"/>
  </sheetPr>
  <dimension ref="B2:D22"/>
  <sheetViews>
    <sheetView showGridLines="0" workbookViewId="0">
      <selection activeCell="C4" sqref="C4"/>
    </sheetView>
  </sheetViews>
  <sheetFormatPr defaultRowHeight="14.4"/>
  <cols>
    <col min="1" max="1" width="3" customWidth="1"/>
    <col min="3" max="3" width="8.90625" bestFit="1" customWidth="1"/>
    <col min="4" max="4" width="10.36328125" bestFit="1" customWidth="1"/>
  </cols>
  <sheetData>
    <row r="2" spans="2:4">
      <c r="B2" t="s">
        <v>272</v>
      </c>
    </row>
    <row r="3" spans="2:4">
      <c r="B3" s="62"/>
      <c r="C3" s="62" t="s">
        <v>271</v>
      </c>
    </row>
    <row r="4" spans="2:4">
      <c r="B4" s="1" t="s">
        <v>157</v>
      </c>
      <c r="C4" s="27">
        <f>料金改定率!D4</f>
        <v>1.5</v>
      </c>
    </row>
    <row r="5" spans="2:4">
      <c r="B5" s="1" t="s">
        <v>158</v>
      </c>
      <c r="C5" s="27">
        <f>料金改定率!D5</f>
        <v>1</v>
      </c>
    </row>
    <row r="7" spans="2:4">
      <c r="B7" t="s">
        <v>245</v>
      </c>
    </row>
    <row r="8" spans="2:4">
      <c r="B8" t="s">
        <v>157</v>
      </c>
      <c r="C8" s="62" t="s">
        <v>227</v>
      </c>
      <c r="D8" s="62" t="s">
        <v>243</v>
      </c>
    </row>
    <row r="9" spans="2:4">
      <c r="C9" s="1" t="s">
        <v>221</v>
      </c>
      <c r="D9" s="25" t="e">
        <f>ROUNDDOWN(#REF!*$C$4,-2)</f>
        <v>#REF!</v>
      </c>
    </row>
    <row r="10" spans="2:4">
      <c r="C10" s="1" t="s">
        <v>223</v>
      </c>
      <c r="D10" s="25" t="e">
        <f>ROUNDDOWN(#REF!*$C$4,-2)</f>
        <v>#REF!</v>
      </c>
    </row>
    <row r="11" spans="2:4">
      <c r="C11" s="1" t="s">
        <v>224</v>
      </c>
      <c r="D11" s="25" t="e">
        <f>ROUNDDOWN(#REF!*$C$4,-2)</f>
        <v>#REF!</v>
      </c>
    </row>
    <row r="12" spans="2:4">
      <c r="C12" s="1" t="s">
        <v>225</v>
      </c>
      <c r="D12" s="25" t="e">
        <f>ROUNDDOWN(#REF!*$C$4,-2)</f>
        <v>#REF!</v>
      </c>
    </row>
    <row r="13" spans="2:4">
      <c r="C13" s="1" t="s">
        <v>226</v>
      </c>
      <c r="D13" s="25" t="e">
        <f>ROUNDDOWN(#REF!*$C$4,-2)</f>
        <v>#REF!</v>
      </c>
    </row>
    <row r="14" spans="2:4">
      <c r="C14" s="1" t="s">
        <v>572</v>
      </c>
      <c r="D14" s="25" t="e">
        <f>ROUNDDOWN(#REF!*$C$4,-2)</f>
        <v>#REF!</v>
      </c>
    </row>
    <row r="15" spans="2:4">
      <c r="C15" s="1" t="s">
        <v>573</v>
      </c>
      <c r="D15" s="25" t="e">
        <f>ROUNDDOWN(#REF!*$C$4,-2)</f>
        <v>#REF!</v>
      </c>
    </row>
    <row r="16" spans="2:4">
      <c r="C16" s="1" t="s">
        <v>574</v>
      </c>
      <c r="D16" s="25" t="e">
        <f>ROUNDDOWN(#REF!*$C$4,-2)</f>
        <v>#REF!</v>
      </c>
    </row>
    <row r="18" spans="2:4">
      <c r="B18" t="s">
        <v>214</v>
      </c>
      <c r="C18" s="1" t="s">
        <v>541</v>
      </c>
      <c r="D18" s="1" t="e">
        <f>ROUNDDOWN(#REF!*$C$5,0)</f>
        <v>#REF!</v>
      </c>
    </row>
    <row r="19" spans="2:4">
      <c r="C19" s="1" t="s">
        <v>542</v>
      </c>
      <c r="D19" s="1" t="e">
        <f>ROUNDDOWN(#REF!*$C$5,0)</f>
        <v>#REF!</v>
      </c>
    </row>
    <row r="20" spans="2:4">
      <c r="C20" s="1" t="s">
        <v>543</v>
      </c>
      <c r="D20" s="1" t="e">
        <f>ROUNDDOWN(#REF!*$C$5,0)</f>
        <v>#REF!</v>
      </c>
    </row>
    <row r="21" spans="2:4">
      <c r="C21" s="1" t="s">
        <v>544</v>
      </c>
      <c r="D21" s="1" t="e">
        <f>ROUNDDOWN(#REF!*$C$5,0)</f>
        <v>#REF!</v>
      </c>
    </row>
    <row r="22" spans="2:4">
      <c r="C22" s="1" t="s">
        <v>545</v>
      </c>
      <c r="D22" s="1" t="e">
        <f>ROUNDDOWN(#REF!*$C$5,0)</f>
        <v>#REF!</v>
      </c>
    </row>
  </sheetData>
  <customSheetViews>
    <customSheetView guid="{B05628F6-030D-4851-8E75-96DF5849F39A}" showGridLines="0" fitToPage="1">
      <selection activeCell="D10" sqref="D10"/>
      <pageMargins left="0.70866141732283472" right="0.70866141732283472" top="0.74803149606299213" bottom="0.74803149606299213" header="0.31496062992125984" footer="0.31496062992125984"/>
      <pageSetup paperSize="9" orientation="landscape" horizontalDpi="0" verticalDpi="0" r:id="rId1"/>
      <headerFooter>
        <oddHeader>&amp;A</oddHeader>
        <oddFooter>&amp;P / &amp;N ページ</oddFooter>
      </headerFooter>
    </customSheetView>
    <customSheetView guid="{1F923BC6-4AD1-4F20-A481-D76BE7901A2A}" showGridLines="0" fitToPage="1">
      <selection activeCell="D10" sqref="D10"/>
      <pageMargins left="0.70866141732283472" right="0.70866141732283472" top="0.74803149606299213" bottom="0.74803149606299213" header="0.31496062992125984" footer="0.31496062992125984"/>
      <pageSetup paperSize="9" orientation="landscape" horizontalDpi="0" verticalDpi="0" r:id="rId2"/>
      <headerFooter>
        <oddHeader>&amp;A</oddHeader>
        <oddFooter>&amp;P / &amp;N ページ</oddFooter>
      </headerFooter>
    </customSheetView>
  </customSheetViews>
  <phoneticPr fontId="4"/>
  <pageMargins left="0.70866141732283472" right="0.70866141732283472" top="0.74803149606299213" bottom="0.74803149606299213" header="0.31496062992125984" footer="0.31496062992125984"/>
  <pageSetup paperSize="9" orientation="landscape" verticalDpi="0" r:id="rId3"/>
  <headerFooter>
    <oddHeader>&amp;A</oddHeader>
    <oddFooter>&amp;P / &amp;N ページ</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F9F19-E73C-4C21-9A43-7413C5E140EE}">
  <sheetPr>
    <tabColor theme="9" tint="0.79998168889431442"/>
    <pageSetUpPr fitToPage="1"/>
  </sheetPr>
  <dimension ref="B2:T38"/>
  <sheetViews>
    <sheetView showGridLines="0" topLeftCell="A4" workbookViewId="0">
      <selection activeCell="L7" sqref="L7"/>
    </sheetView>
  </sheetViews>
  <sheetFormatPr defaultRowHeight="14.4"/>
  <cols>
    <col min="1" max="1" width="3.08984375" customWidth="1"/>
    <col min="2" max="2" width="2.90625" customWidth="1"/>
    <col min="4" max="4" width="4.90625" customWidth="1"/>
    <col min="7" max="8" width="9.36328125" bestFit="1" customWidth="1"/>
    <col min="9" max="9" width="12.26953125" bestFit="1" customWidth="1"/>
    <col min="10" max="10" width="10.36328125" bestFit="1" customWidth="1"/>
    <col min="14" max="14" width="2.7265625" customWidth="1"/>
    <col min="16" max="16" width="13.1796875" bestFit="1" customWidth="1"/>
    <col min="17" max="19" width="11.453125" bestFit="1" customWidth="1"/>
    <col min="20" max="20" width="10.36328125" bestFit="1" customWidth="1"/>
  </cols>
  <sheetData>
    <row r="2" spans="2:20">
      <c r="I2" t="s">
        <v>194</v>
      </c>
    </row>
    <row r="3" spans="2:20">
      <c r="B3" s="335" t="s">
        <v>183</v>
      </c>
      <c r="C3" s="334"/>
      <c r="D3" s="334"/>
      <c r="E3" s="334"/>
      <c r="F3" s="16" t="s">
        <v>5</v>
      </c>
      <c r="G3" s="16" t="s">
        <v>6</v>
      </c>
      <c r="H3" s="16" t="s">
        <v>7</v>
      </c>
      <c r="I3" s="16" t="s">
        <v>145</v>
      </c>
      <c r="O3" t="s">
        <v>570</v>
      </c>
    </row>
    <row r="4" spans="2:20">
      <c r="B4" s="336" t="s">
        <v>189</v>
      </c>
      <c r="C4" s="336"/>
      <c r="D4" s="333" t="s">
        <v>184</v>
      </c>
      <c r="E4" s="333"/>
      <c r="F4" s="39">
        <v>0</v>
      </c>
      <c r="G4" s="39">
        <f>【料金算定】期間原価集計!O24-【料金算定】期間原価集計!O26-【料金算定】期間原価集計!O27</f>
        <v>255240131.40000001</v>
      </c>
      <c r="H4" s="39">
        <f>【料金算定】期間原価集計!O26+【料金算定】期間原価集計!O27</f>
        <v>4568989</v>
      </c>
      <c r="I4" s="60">
        <f t="shared" ref="I4:I8" si="0">SUM(F4:H4)</f>
        <v>259809120.40000001</v>
      </c>
      <c r="J4" t="s">
        <v>201</v>
      </c>
      <c r="P4" s="33" t="s">
        <v>17</v>
      </c>
      <c r="Q4" s="31"/>
      <c r="R4" s="31"/>
      <c r="S4" s="32"/>
    </row>
    <row r="5" spans="2:20">
      <c r="B5" s="336"/>
      <c r="C5" s="336"/>
      <c r="D5" s="333" t="s">
        <v>185</v>
      </c>
      <c r="E5" s="333"/>
      <c r="F5" s="39">
        <v>0</v>
      </c>
      <c r="G5" s="39">
        <f>T6+T7</f>
        <v>29171245</v>
      </c>
      <c r="H5" s="39">
        <v>0</v>
      </c>
      <c r="I5" s="60">
        <f t="shared" si="0"/>
        <v>29171245</v>
      </c>
      <c r="J5" t="s">
        <v>202</v>
      </c>
      <c r="O5" t="s">
        <v>101</v>
      </c>
      <c r="P5" s="35" t="s">
        <v>569</v>
      </c>
      <c r="Q5" s="35" t="s">
        <v>19</v>
      </c>
      <c r="R5" s="35" t="s">
        <v>20</v>
      </c>
      <c r="S5" s="35" t="s">
        <v>21</v>
      </c>
      <c r="T5" s="35" t="s">
        <v>151</v>
      </c>
    </row>
    <row r="6" spans="2:20">
      <c r="B6" s="336"/>
      <c r="C6" s="336"/>
      <c r="D6" s="332" t="s">
        <v>188</v>
      </c>
      <c r="E6" s="41" t="s">
        <v>104</v>
      </c>
      <c r="F6" s="39">
        <v>0</v>
      </c>
      <c r="G6" s="39">
        <f>T19+T20</f>
        <v>10697811</v>
      </c>
      <c r="H6" s="39">
        <v>0</v>
      </c>
      <c r="I6" s="60">
        <f t="shared" si="0"/>
        <v>10697811</v>
      </c>
      <c r="O6" t="s">
        <v>565</v>
      </c>
      <c r="P6" s="24">
        <v>3182264</v>
      </c>
      <c r="Q6" s="24">
        <v>3182264</v>
      </c>
      <c r="R6" s="24">
        <v>3182264</v>
      </c>
      <c r="S6" s="24">
        <v>3182264</v>
      </c>
      <c r="T6" s="55">
        <f>SUM(P6:S6)</f>
        <v>12729056</v>
      </c>
    </row>
    <row r="7" spans="2:20">
      <c r="B7" s="336"/>
      <c r="C7" s="336"/>
      <c r="D7" s="332"/>
      <c r="E7" s="41" t="s">
        <v>186</v>
      </c>
      <c r="F7" s="39">
        <v>0</v>
      </c>
      <c r="G7" s="39">
        <f>【料金算定】資産維持費!C12</f>
        <v>11279251</v>
      </c>
      <c r="H7" s="39">
        <v>0</v>
      </c>
      <c r="I7" s="60">
        <f t="shared" si="0"/>
        <v>11279251</v>
      </c>
      <c r="O7" t="s">
        <v>566</v>
      </c>
      <c r="P7" s="24">
        <v>4143626</v>
      </c>
      <c r="Q7" s="24">
        <v>4099521</v>
      </c>
      <c r="R7" s="24">
        <v>4099521</v>
      </c>
      <c r="S7" s="24">
        <v>4099521</v>
      </c>
      <c r="T7" s="55">
        <f t="shared" ref="T7:T8" si="1">SUM(P7:S7)</f>
        <v>16442189</v>
      </c>
    </row>
    <row r="8" spans="2:20">
      <c r="B8" s="336"/>
      <c r="C8" s="336"/>
      <c r="D8" s="333" t="s">
        <v>187</v>
      </c>
      <c r="E8" s="333"/>
      <c r="F8" s="60">
        <f>SUM(F4:F7)</f>
        <v>0</v>
      </c>
      <c r="G8" s="60">
        <f t="shared" ref="G8" si="2">SUM(G4:G7)</f>
        <v>306388438.39999998</v>
      </c>
      <c r="H8" s="60">
        <f t="shared" ref="H8" si="3">SUM(H4:H7)</f>
        <v>4568989</v>
      </c>
      <c r="I8" s="60">
        <f t="shared" si="0"/>
        <v>310957427.39999998</v>
      </c>
      <c r="O8" t="s">
        <v>567</v>
      </c>
      <c r="P8" s="24">
        <v>27327139</v>
      </c>
      <c r="Q8" s="24">
        <v>25558000</v>
      </c>
      <c r="R8" s="24">
        <v>24025828.300000001</v>
      </c>
      <c r="S8" s="24">
        <v>22667865</v>
      </c>
      <c r="T8" s="55">
        <f t="shared" si="1"/>
        <v>99578832.299999997</v>
      </c>
    </row>
    <row r="9" spans="2:20">
      <c r="B9" s="336" t="s">
        <v>190</v>
      </c>
      <c r="C9" s="336"/>
      <c r="D9" s="333" t="s">
        <v>184</v>
      </c>
      <c r="E9" s="333"/>
      <c r="F9" s="39">
        <v>0</v>
      </c>
      <c r="G9" s="39">
        <f>【料金算定】期間原価集計!O32-【料金算定】期間原価集計!O34-【料金算定】期間原価集計!O35</f>
        <v>134698869</v>
      </c>
      <c r="H9" s="39">
        <f>【料金算定】期間原価集計!O34+【料金算定】期間原価集計!O35</f>
        <v>0</v>
      </c>
      <c r="I9" s="60">
        <f t="shared" ref="I9:I13" si="4">SUM(F9:H9)</f>
        <v>134698869</v>
      </c>
    </row>
    <row r="10" spans="2:20">
      <c r="B10" s="336"/>
      <c r="C10" s="336"/>
      <c r="D10" s="333" t="s">
        <v>185</v>
      </c>
      <c r="E10" s="333"/>
      <c r="F10" s="39">
        <v>0</v>
      </c>
      <c r="G10" s="39">
        <f>T8</f>
        <v>99578832.299999997</v>
      </c>
      <c r="H10" s="39">
        <v>0</v>
      </c>
      <c r="I10" s="60">
        <f t="shared" si="4"/>
        <v>99578832.299999997</v>
      </c>
    </row>
    <row r="11" spans="2:20">
      <c r="B11" s="336"/>
      <c r="C11" s="336"/>
      <c r="D11" s="332" t="s">
        <v>188</v>
      </c>
      <c r="E11" s="41" t="s">
        <v>104</v>
      </c>
      <c r="F11" s="39">
        <v>0</v>
      </c>
      <c r="G11" s="39">
        <f>T21</f>
        <v>28363534</v>
      </c>
      <c r="H11" s="39">
        <v>0</v>
      </c>
      <c r="I11" s="60">
        <f t="shared" si="4"/>
        <v>28363534</v>
      </c>
      <c r="P11" s="33" t="s">
        <v>17</v>
      </c>
      <c r="Q11" s="31"/>
      <c r="R11" s="31"/>
      <c r="S11" s="32"/>
    </row>
    <row r="12" spans="2:20">
      <c r="B12" s="336"/>
      <c r="C12" s="336"/>
      <c r="D12" s="332"/>
      <c r="E12" s="41" t="s">
        <v>186</v>
      </c>
      <c r="F12" s="39">
        <v>0</v>
      </c>
      <c r="G12" s="39">
        <f>【料金算定】資産維持費!C13</f>
        <v>30425757</v>
      </c>
      <c r="H12" s="39">
        <v>0</v>
      </c>
      <c r="I12" s="60">
        <f t="shared" si="4"/>
        <v>30425757</v>
      </c>
      <c r="O12" t="s">
        <v>571</v>
      </c>
      <c r="P12" s="35" t="s">
        <v>569</v>
      </c>
      <c r="Q12" s="35" t="s">
        <v>19</v>
      </c>
      <c r="R12" s="35" t="s">
        <v>20</v>
      </c>
      <c r="S12" s="35" t="s">
        <v>21</v>
      </c>
    </row>
    <row r="13" spans="2:20">
      <c r="B13" s="336"/>
      <c r="C13" s="336"/>
      <c r="D13" s="333" t="s">
        <v>187</v>
      </c>
      <c r="E13" s="333"/>
      <c r="F13" s="60">
        <f>SUM(F9:F12)</f>
        <v>0</v>
      </c>
      <c r="G13" s="60">
        <f t="shared" ref="G13" si="5">SUM(G9:G12)</f>
        <v>293066992.30000001</v>
      </c>
      <c r="H13" s="60">
        <f t="shared" ref="H13" si="6">SUM(H9:H12)</f>
        <v>0</v>
      </c>
      <c r="I13" s="60">
        <f t="shared" si="4"/>
        <v>293066992.30000001</v>
      </c>
      <c r="O13" t="s">
        <v>565</v>
      </c>
      <c r="P13" s="24">
        <v>121309239</v>
      </c>
      <c r="Q13" s="24">
        <v>118126975</v>
      </c>
      <c r="R13" s="24">
        <v>118126975</v>
      </c>
      <c r="S13" s="24">
        <v>118126975</v>
      </c>
    </row>
    <row r="14" spans="2:20">
      <c r="B14" s="336" t="s">
        <v>191</v>
      </c>
      <c r="C14" s="336" t="s">
        <v>192</v>
      </c>
      <c r="D14" s="333" t="s">
        <v>184</v>
      </c>
      <c r="E14" s="333"/>
      <c r="F14" s="39">
        <v>0</v>
      </c>
      <c r="G14" s="39">
        <v>0</v>
      </c>
      <c r="H14" s="39">
        <v>0</v>
      </c>
      <c r="I14" s="60">
        <f t="shared" ref="I14:I18" si="7">SUM(F14:H14)</f>
        <v>0</v>
      </c>
      <c r="O14" t="s">
        <v>566</v>
      </c>
      <c r="P14" s="24">
        <v>153346140</v>
      </c>
      <c r="Q14" s="24">
        <v>149246619</v>
      </c>
      <c r="R14" s="24">
        <v>149246619</v>
      </c>
      <c r="S14" s="24">
        <v>149246619</v>
      </c>
    </row>
    <row r="15" spans="2:20">
      <c r="B15" s="336"/>
      <c r="C15" s="336"/>
      <c r="D15" s="333" t="s">
        <v>185</v>
      </c>
      <c r="E15" s="333"/>
      <c r="F15" s="39">
        <v>0</v>
      </c>
      <c r="G15" s="39">
        <v>0</v>
      </c>
      <c r="H15" s="39">
        <v>0</v>
      </c>
      <c r="I15" s="60">
        <f t="shared" si="7"/>
        <v>0</v>
      </c>
      <c r="O15" t="s">
        <v>567</v>
      </c>
      <c r="P15" s="24">
        <v>733316768</v>
      </c>
      <c r="Q15" s="24">
        <v>707758768</v>
      </c>
      <c r="R15" s="24">
        <v>707758768</v>
      </c>
      <c r="S15" s="24">
        <v>707758768</v>
      </c>
    </row>
    <row r="16" spans="2:20">
      <c r="B16" s="336"/>
      <c r="C16" s="336"/>
      <c r="D16" s="332" t="s">
        <v>188</v>
      </c>
      <c r="E16" s="41" t="s">
        <v>104</v>
      </c>
      <c r="F16" s="39">
        <v>0</v>
      </c>
      <c r="G16" s="39">
        <v>0</v>
      </c>
      <c r="H16" s="39">
        <v>0</v>
      </c>
      <c r="I16" s="60">
        <f t="shared" si="7"/>
        <v>0</v>
      </c>
      <c r="P16" s="55">
        <f>SUM(P13:P15)</f>
        <v>1007972147</v>
      </c>
      <c r="Q16" s="55">
        <f t="shared" ref="Q16:S16" si="8">SUM(Q13:Q15)</f>
        <v>975132362</v>
      </c>
      <c r="R16" s="55">
        <f t="shared" si="8"/>
        <v>975132362</v>
      </c>
      <c r="S16" s="55">
        <f t="shared" si="8"/>
        <v>975132362</v>
      </c>
    </row>
    <row r="17" spans="2:20">
      <c r="B17" s="336"/>
      <c r="C17" s="336"/>
      <c r="D17" s="332"/>
      <c r="E17" s="41" t="s">
        <v>186</v>
      </c>
      <c r="F17" s="39">
        <v>0</v>
      </c>
      <c r="G17" s="39">
        <v>0</v>
      </c>
      <c r="H17" s="39">
        <v>0</v>
      </c>
      <c r="I17" s="60">
        <f t="shared" si="7"/>
        <v>0</v>
      </c>
    </row>
    <row r="18" spans="2:20">
      <c r="B18" s="336"/>
      <c r="C18" s="336"/>
      <c r="D18" s="333" t="s">
        <v>187</v>
      </c>
      <c r="E18" s="333"/>
      <c r="F18" s="60">
        <f>SUM(F14:F17)</f>
        <v>0</v>
      </c>
      <c r="G18" s="60">
        <f t="shared" ref="G18" si="9">SUM(G14:G17)</f>
        <v>0</v>
      </c>
      <c r="H18" s="60">
        <f t="shared" ref="H18" si="10">SUM(H14:H17)</f>
        <v>0</v>
      </c>
      <c r="I18" s="60">
        <f t="shared" si="7"/>
        <v>0</v>
      </c>
      <c r="O18" t="s">
        <v>104</v>
      </c>
      <c r="P18" s="24">
        <f>【成行】財政シミュ!T60</f>
        <v>7314499</v>
      </c>
      <c r="Q18" s="24">
        <f>【成行】財政シミュ!U60</f>
        <v>10426807</v>
      </c>
      <c r="R18" s="24">
        <f>【成行】財政シミュ!V60</f>
        <v>10790095</v>
      </c>
      <c r="S18" s="24">
        <f>【成行】財政シミュ!W60</f>
        <v>10529945</v>
      </c>
      <c r="T18" s="35" t="s">
        <v>151</v>
      </c>
    </row>
    <row r="19" spans="2:20">
      <c r="B19" s="336"/>
      <c r="C19" s="336" t="s">
        <v>193</v>
      </c>
      <c r="D19" s="333" t="s">
        <v>184</v>
      </c>
      <c r="E19" s="333"/>
      <c r="F19" s="39">
        <v>0</v>
      </c>
      <c r="G19" s="39">
        <v>0</v>
      </c>
      <c r="H19" s="39">
        <v>0</v>
      </c>
      <c r="I19" s="60">
        <f t="shared" ref="I19:I23" si="11">SUM(F19:H19)</f>
        <v>0</v>
      </c>
      <c r="O19" t="s">
        <v>565</v>
      </c>
      <c r="P19" s="24">
        <f>ROUND(P$18*P13/P$16,0)</f>
        <v>880298</v>
      </c>
      <c r="Q19" s="24">
        <f t="shared" ref="Q19:S19" si="12">ROUND(Q$18*Q13/Q$16,0)</f>
        <v>1263097</v>
      </c>
      <c r="R19" s="24">
        <f t="shared" si="12"/>
        <v>1307106</v>
      </c>
      <c r="S19" s="24">
        <f t="shared" si="12"/>
        <v>1275591</v>
      </c>
      <c r="T19" s="55">
        <f>SUM(P19:S19)</f>
        <v>4726092</v>
      </c>
    </row>
    <row r="20" spans="2:20">
      <c r="B20" s="336"/>
      <c r="C20" s="336"/>
      <c r="D20" s="333" t="s">
        <v>185</v>
      </c>
      <c r="E20" s="333"/>
      <c r="F20" s="39">
        <v>0</v>
      </c>
      <c r="G20" s="39">
        <v>0</v>
      </c>
      <c r="H20" s="39">
        <v>0</v>
      </c>
      <c r="I20" s="60">
        <f t="shared" si="11"/>
        <v>0</v>
      </c>
      <c r="O20" t="s">
        <v>566</v>
      </c>
      <c r="P20" s="24">
        <f t="shared" ref="P20:S20" si="13">ROUND(P$18*P14/P$16,0)</f>
        <v>1112779</v>
      </c>
      <c r="Q20" s="24">
        <f t="shared" si="13"/>
        <v>1595851</v>
      </c>
      <c r="R20" s="24">
        <f t="shared" si="13"/>
        <v>1651453</v>
      </c>
      <c r="S20" s="24">
        <f t="shared" si="13"/>
        <v>1611636</v>
      </c>
      <c r="T20" s="55">
        <f t="shared" ref="T20:T21" si="14">SUM(P20:S20)</f>
        <v>5971719</v>
      </c>
    </row>
    <row r="21" spans="2:20">
      <c r="B21" s="336"/>
      <c r="C21" s="336"/>
      <c r="D21" s="332" t="s">
        <v>188</v>
      </c>
      <c r="E21" s="41" t="s">
        <v>104</v>
      </c>
      <c r="F21" s="39">
        <v>0</v>
      </c>
      <c r="G21" s="39">
        <v>0</v>
      </c>
      <c r="H21" s="39">
        <v>0</v>
      </c>
      <c r="I21" s="60">
        <f t="shared" si="11"/>
        <v>0</v>
      </c>
      <c r="O21" t="s">
        <v>567</v>
      </c>
      <c r="P21" s="24">
        <f t="shared" ref="P21:S21" si="15">ROUND(P$18*P15/P$16,0)</f>
        <v>5321422</v>
      </c>
      <c r="Q21" s="24">
        <f t="shared" si="15"/>
        <v>7567859</v>
      </c>
      <c r="R21" s="24">
        <f t="shared" si="15"/>
        <v>7831536</v>
      </c>
      <c r="S21" s="24">
        <f t="shared" si="15"/>
        <v>7642717</v>
      </c>
      <c r="T21" s="55">
        <f t="shared" si="14"/>
        <v>28363534</v>
      </c>
    </row>
    <row r="22" spans="2:20">
      <c r="B22" s="336"/>
      <c r="C22" s="336"/>
      <c r="D22" s="332"/>
      <c r="E22" s="41" t="s">
        <v>186</v>
      </c>
      <c r="F22" s="39">
        <v>0</v>
      </c>
      <c r="G22" s="39">
        <v>0</v>
      </c>
      <c r="H22" s="39">
        <v>0</v>
      </c>
      <c r="I22" s="60">
        <f t="shared" si="11"/>
        <v>0</v>
      </c>
    </row>
    <row r="23" spans="2:20">
      <c r="B23" s="336"/>
      <c r="C23" s="336"/>
      <c r="D23" s="333" t="s">
        <v>187</v>
      </c>
      <c r="E23" s="333"/>
      <c r="F23" s="60">
        <f>SUM(F19:F22)</f>
        <v>0</v>
      </c>
      <c r="G23" s="60">
        <f t="shared" ref="G23" si="16">SUM(G19:G22)</f>
        <v>0</v>
      </c>
      <c r="H23" s="60">
        <f t="shared" ref="H23" si="17">SUM(H19:H22)</f>
        <v>0</v>
      </c>
      <c r="I23" s="60">
        <f t="shared" si="11"/>
        <v>0</v>
      </c>
    </row>
    <row r="24" spans="2:20">
      <c r="B24" s="336"/>
      <c r="C24" s="336" t="s">
        <v>176</v>
      </c>
      <c r="D24" s="333" t="s">
        <v>184</v>
      </c>
      <c r="E24" s="333"/>
      <c r="F24" s="39">
        <v>0</v>
      </c>
      <c r="G24" s="39">
        <f>【料金算定】期間原価集計!O40</f>
        <v>130727396</v>
      </c>
      <c r="H24" s="39">
        <v>0</v>
      </c>
      <c r="I24" s="60">
        <f t="shared" ref="I24:I33" si="18">SUM(F24:H24)</f>
        <v>130727396</v>
      </c>
    </row>
    <row r="25" spans="2:20">
      <c r="B25" s="336"/>
      <c r="C25" s="336"/>
      <c r="D25" s="333" t="s">
        <v>185</v>
      </c>
      <c r="E25" s="333"/>
      <c r="F25" s="39">
        <v>0</v>
      </c>
      <c r="G25" s="39">
        <v>0</v>
      </c>
      <c r="H25" s="39">
        <v>0</v>
      </c>
      <c r="I25" s="60">
        <f t="shared" si="18"/>
        <v>0</v>
      </c>
    </row>
    <row r="26" spans="2:20">
      <c r="B26" s="336"/>
      <c r="C26" s="336"/>
      <c r="D26" s="332" t="s">
        <v>188</v>
      </c>
      <c r="E26" s="41" t="s">
        <v>104</v>
      </c>
      <c r="F26" s="39">
        <v>0</v>
      </c>
      <c r="G26" s="39">
        <v>0</v>
      </c>
      <c r="H26" s="39">
        <v>0</v>
      </c>
      <c r="I26" s="60">
        <f t="shared" si="18"/>
        <v>0</v>
      </c>
    </row>
    <row r="27" spans="2:20">
      <c r="B27" s="336"/>
      <c r="C27" s="336"/>
      <c r="D27" s="332"/>
      <c r="E27" s="41" t="s">
        <v>186</v>
      </c>
      <c r="F27" s="39">
        <v>0</v>
      </c>
      <c r="G27" s="39">
        <v>0</v>
      </c>
      <c r="H27" s="39">
        <v>0</v>
      </c>
      <c r="I27" s="60">
        <f t="shared" si="18"/>
        <v>0</v>
      </c>
      <c r="J27" s="335" t="s">
        <v>6</v>
      </c>
      <c r="K27" s="334"/>
      <c r="L27" s="335" t="s">
        <v>7</v>
      </c>
      <c r="M27" s="334"/>
    </row>
    <row r="28" spans="2:20">
      <c r="B28" s="336"/>
      <c r="C28" s="336"/>
      <c r="D28" s="333" t="s">
        <v>187</v>
      </c>
      <c r="E28" s="333"/>
      <c r="F28" s="60">
        <f>SUM(F24:F27)</f>
        <v>0</v>
      </c>
      <c r="G28" s="60">
        <f t="shared" ref="G28:H28" si="19">SUM(G24:G27)</f>
        <v>130727396</v>
      </c>
      <c r="H28" s="60">
        <f t="shared" si="19"/>
        <v>0</v>
      </c>
      <c r="I28" s="60">
        <f t="shared" si="18"/>
        <v>130727396</v>
      </c>
      <c r="J28" s="16" t="s">
        <v>213</v>
      </c>
      <c r="K28" s="16" t="s">
        <v>214</v>
      </c>
      <c r="L28" s="16" t="s">
        <v>213</v>
      </c>
      <c r="M28" s="16" t="s">
        <v>214</v>
      </c>
    </row>
    <row r="29" spans="2:20">
      <c r="B29" s="334" t="s">
        <v>145</v>
      </c>
      <c r="C29" s="334"/>
      <c r="D29" s="333" t="s">
        <v>184</v>
      </c>
      <c r="E29" s="333"/>
      <c r="F29" s="60">
        <f>F4+F9+F14+F19+F24</f>
        <v>0</v>
      </c>
      <c r="G29" s="60">
        <f t="shared" ref="G29:H29" si="20">G4+G9+G14+G19+G24</f>
        <v>520666396.39999998</v>
      </c>
      <c r="H29" s="60">
        <f t="shared" si="20"/>
        <v>4568989</v>
      </c>
      <c r="I29" s="60">
        <f t="shared" si="18"/>
        <v>525235385.39999998</v>
      </c>
      <c r="J29" s="39">
        <f>ROUND(G29*(1-K38),0)</f>
        <v>130166599</v>
      </c>
      <c r="K29" s="64">
        <f>ROUND(G29*K38,0)</f>
        <v>390499797</v>
      </c>
      <c r="L29" s="39">
        <v>0</v>
      </c>
      <c r="M29" s="64">
        <f>H29</f>
        <v>4568989</v>
      </c>
    </row>
    <row r="30" spans="2:20">
      <c r="B30" s="334"/>
      <c r="C30" s="334"/>
      <c r="D30" s="333" t="s">
        <v>185</v>
      </c>
      <c r="E30" s="333"/>
      <c r="F30" s="60">
        <f t="shared" ref="F30:H30" si="21">F5+F10+F15+F20+F25</f>
        <v>0</v>
      </c>
      <c r="G30" s="60">
        <f t="shared" si="21"/>
        <v>128750077.3</v>
      </c>
      <c r="H30" s="60">
        <f t="shared" si="21"/>
        <v>0</v>
      </c>
      <c r="I30" s="60">
        <f t="shared" si="18"/>
        <v>128750077.3</v>
      </c>
      <c r="J30" s="39">
        <f>ROUND(G30*(1-K38),0)</f>
        <v>32187519</v>
      </c>
      <c r="K30" s="64">
        <f>ROUND(G30*K38,0)</f>
        <v>96562558</v>
      </c>
      <c r="L30" s="39">
        <v>0</v>
      </c>
      <c r="M30" s="64">
        <f t="shared" ref="M30:M32" si="22">H30</f>
        <v>0</v>
      </c>
    </row>
    <row r="31" spans="2:20">
      <c r="B31" s="334"/>
      <c r="C31" s="334"/>
      <c r="D31" s="332" t="s">
        <v>188</v>
      </c>
      <c r="E31" s="41" t="s">
        <v>104</v>
      </c>
      <c r="F31" s="60">
        <f t="shared" ref="F31:G31" si="23">F6+F11+F16+F21+F26</f>
        <v>0</v>
      </c>
      <c r="G31" s="60">
        <f t="shared" si="23"/>
        <v>39061345</v>
      </c>
      <c r="H31" s="60">
        <f>H6+H11+H16+H21+H26</f>
        <v>0</v>
      </c>
      <c r="I31" s="60">
        <f t="shared" si="18"/>
        <v>39061345</v>
      </c>
      <c r="J31" s="39">
        <f>ROUND(G31*(1-K38),0)</f>
        <v>9765336</v>
      </c>
      <c r="K31" s="64">
        <f>ROUND(G31*K38,0)</f>
        <v>29296009</v>
      </c>
      <c r="L31" s="39">
        <v>0</v>
      </c>
      <c r="M31" s="64">
        <f t="shared" si="22"/>
        <v>0</v>
      </c>
    </row>
    <row r="32" spans="2:20">
      <c r="B32" s="334"/>
      <c r="C32" s="334"/>
      <c r="D32" s="332"/>
      <c r="E32" s="41" t="s">
        <v>186</v>
      </c>
      <c r="F32" s="60">
        <f t="shared" ref="F32:H32" si="24">F7+F12+F17+F22+F27</f>
        <v>0</v>
      </c>
      <c r="G32" s="60">
        <f t="shared" si="24"/>
        <v>41705008</v>
      </c>
      <c r="H32" s="60">
        <f t="shared" si="24"/>
        <v>0</v>
      </c>
      <c r="I32" s="60">
        <f t="shared" si="18"/>
        <v>41705008</v>
      </c>
      <c r="J32" s="39">
        <f>ROUND(G32*(1-K38),0)</f>
        <v>10426252</v>
      </c>
      <c r="K32" s="64">
        <f>ROUND(G32*K38,0)</f>
        <v>31278756</v>
      </c>
      <c r="L32" s="39">
        <v>0</v>
      </c>
      <c r="M32" s="64">
        <f t="shared" si="22"/>
        <v>0</v>
      </c>
    </row>
    <row r="33" spans="2:13">
      <c r="B33" s="334"/>
      <c r="C33" s="334"/>
      <c r="D33" s="333" t="s">
        <v>187</v>
      </c>
      <c r="E33" s="333"/>
      <c r="F33" s="60">
        <f t="shared" ref="F33:H33" si="25">F8+F13+F18+F23+F28</f>
        <v>0</v>
      </c>
      <c r="G33" s="60">
        <f t="shared" si="25"/>
        <v>730182826.70000005</v>
      </c>
      <c r="H33" s="60">
        <f t="shared" si="25"/>
        <v>4568989</v>
      </c>
      <c r="I33" s="60">
        <f t="shared" si="18"/>
        <v>734751815.70000005</v>
      </c>
      <c r="J33" s="64">
        <f>SUM(J29:J32)</f>
        <v>182545706</v>
      </c>
      <c r="K33" s="64">
        <f>SUM(K29:K32)</f>
        <v>547637120</v>
      </c>
      <c r="L33" s="64">
        <f>SUM(L29:L32)</f>
        <v>0</v>
      </c>
      <c r="M33" s="64">
        <f>SUM(M29:M32)</f>
        <v>4568989</v>
      </c>
    </row>
    <row r="36" spans="2:13">
      <c r="J36" s="56" t="s">
        <v>215</v>
      </c>
      <c r="K36" s="24">
        <v>7600</v>
      </c>
      <c r="L36" t="s">
        <v>216</v>
      </c>
    </row>
    <row r="37" spans="2:13">
      <c r="J37" s="56" t="s">
        <v>217</v>
      </c>
      <c r="K37" s="55">
        <f>AVERAGE(【収益】水需要予測!Y7:AB7)</f>
        <v>5662</v>
      </c>
      <c r="L37" t="s">
        <v>216</v>
      </c>
    </row>
    <row r="38" spans="2:13">
      <c r="J38" s="56" t="s">
        <v>218</v>
      </c>
      <c r="K38" s="26">
        <f>ROUND(K37/K36,2)</f>
        <v>0.75</v>
      </c>
    </row>
  </sheetData>
  <customSheetViews>
    <customSheetView guid="{B05628F6-030D-4851-8E75-96DF5849F39A}" showGridLines="0" fitToPage="1">
      <selection activeCell="L7" sqref="L7"/>
      <pageMargins left="0.70866141732283472" right="0.70866141732283472" top="0.74803149606299213" bottom="0.74803149606299213" header="0.31496062992125984" footer="0.31496062992125984"/>
      <pageSetup paperSize="9" scale="67" orientation="landscape" horizontalDpi="0" verticalDpi="0" r:id="rId1"/>
      <headerFooter>
        <oddHeader>&amp;A</oddHeader>
        <oddFooter>&amp;P / &amp;N ページ</oddFooter>
      </headerFooter>
    </customSheetView>
    <customSheetView guid="{1F923BC6-4AD1-4F20-A481-D76BE7901A2A}" showGridLines="0" fitToPage="1">
      <selection activeCell="L7" sqref="L7"/>
      <pageMargins left="0.70866141732283472" right="0.70866141732283472" top="0.74803149606299213" bottom="0.74803149606299213" header="0.31496062992125984" footer="0.31496062992125984"/>
      <pageSetup paperSize="9" scale="67" orientation="landscape" horizontalDpi="0" verticalDpi="0" r:id="rId2"/>
      <headerFooter>
        <oddHeader>&amp;A</oddHeader>
        <oddFooter>&amp;P / &amp;N ページ</oddFooter>
      </headerFooter>
    </customSheetView>
  </customSheetViews>
  <mergeCells count="34">
    <mergeCell ref="B3:E3"/>
    <mergeCell ref="B4:C8"/>
    <mergeCell ref="B9:C13"/>
    <mergeCell ref="D6:D7"/>
    <mergeCell ref="D4:E4"/>
    <mergeCell ref="D5:E5"/>
    <mergeCell ref="D8:E8"/>
    <mergeCell ref="D20:E20"/>
    <mergeCell ref="D9:E9"/>
    <mergeCell ref="D10:E10"/>
    <mergeCell ref="D11:D12"/>
    <mergeCell ref="D13:E13"/>
    <mergeCell ref="C14:C18"/>
    <mergeCell ref="C19:C23"/>
    <mergeCell ref="C24:C28"/>
    <mergeCell ref="B14:B28"/>
    <mergeCell ref="D29:E29"/>
    <mergeCell ref="D21:D22"/>
    <mergeCell ref="D23:E23"/>
    <mergeCell ref="D24:E24"/>
    <mergeCell ref="D25:E25"/>
    <mergeCell ref="D26:D27"/>
    <mergeCell ref="D28:E28"/>
    <mergeCell ref="D14:E14"/>
    <mergeCell ref="D15:E15"/>
    <mergeCell ref="D16:D17"/>
    <mergeCell ref="D18:E18"/>
    <mergeCell ref="D19:E19"/>
    <mergeCell ref="D31:D32"/>
    <mergeCell ref="D33:E33"/>
    <mergeCell ref="B29:C33"/>
    <mergeCell ref="J27:K27"/>
    <mergeCell ref="L27:M27"/>
    <mergeCell ref="D30:E30"/>
  </mergeCells>
  <phoneticPr fontId="4"/>
  <pageMargins left="0.70866141732283472" right="0.70866141732283472" top="0.74803149606299213" bottom="0.74803149606299213" header="0.31496062992125984" footer="0.31496062992125984"/>
  <pageSetup paperSize="9" scale="67" orientation="landscape" verticalDpi="0" r:id="rId3"/>
  <headerFooter>
    <oddHeader>&amp;A</oddHeader>
    <oddFooter>&amp;P / &amp;N ページ</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91102-8134-46AD-9051-4C5FC4BF455A}">
  <sheetPr>
    <tabColor theme="9" tint="0.79998168889431442"/>
    <pageSetUpPr fitToPage="1"/>
  </sheetPr>
  <dimension ref="B2:O120"/>
  <sheetViews>
    <sheetView showGridLines="0" workbookViewId="0">
      <pane xSplit="10" ySplit="4" topLeftCell="K45" activePane="bottomRight" state="frozen"/>
      <selection activeCell="I5" sqref="I5"/>
      <selection pane="topRight" activeCell="I5" sqref="I5"/>
      <selection pane="bottomLeft" activeCell="I5" sqref="I5"/>
      <selection pane="bottomRight" activeCell="Q69" sqref="Q69"/>
    </sheetView>
  </sheetViews>
  <sheetFormatPr defaultRowHeight="14.4" outlineLevelCol="1"/>
  <cols>
    <col min="1" max="1" width="2.7265625" customWidth="1"/>
    <col min="2" max="4" width="3.90625" customWidth="1"/>
    <col min="5" max="5" width="23.453125" bestFit="1" customWidth="1"/>
    <col min="6" max="6" width="7.36328125" hidden="1" customWidth="1" outlineLevel="1"/>
    <col min="7" max="9" width="8.08984375" hidden="1" customWidth="1" outlineLevel="1"/>
    <col min="10" max="10" width="4.36328125" hidden="1" customWidth="1" outlineLevel="1"/>
    <col min="11" max="11" width="8.90625" style="24" customWidth="1" collapsed="1"/>
    <col min="12" max="15" width="8.90625" style="24" bestFit="1" customWidth="1"/>
  </cols>
  <sheetData>
    <row r="2" spans="2:15">
      <c r="B2" t="s">
        <v>0</v>
      </c>
      <c r="K2" s="29">
        <v>1</v>
      </c>
      <c r="L2" s="29">
        <v>2</v>
      </c>
      <c r="M2" s="29">
        <v>3</v>
      </c>
      <c r="N2" s="29">
        <v>4</v>
      </c>
      <c r="O2" s="29"/>
    </row>
    <row r="3" spans="2:15">
      <c r="B3" s="11" t="s">
        <v>1</v>
      </c>
      <c r="C3" s="11" t="s">
        <v>2</v>
      </c>
      <c r="D3" s="12" t="s">
        <v>3</v>
      </c>
      <c r="E3" s="13"/>
      <c r="F3" s="20" t="s">
        <v>4</v>
      </c>
      <c r="G3" s="14"/>
      <c r="H3" s="14"/>
      <c r="I3" s="15"/>
      <c r="J3" s="311" t="s">
        <v>162</v>
      </c>
      <c r="K3" s="33" t="s">
        <v>17</v>
      </c>
      <c r="L3" s="31"/>
      <c r="M3" s="31"/>
      <c r="N3" s="32"/>
      <c r="O3" s="32"/>
    </row>
    <row r="4" spans="2:15">
      <c r="B4" s="17"/>
      <c r="C4" s="17"/>
      <c r="D4" s="18"/>
      <c r="E4" s="19"/>
      <c r="F4" s="17"/>
      <c r="G4" s="16" t="s">
        <v>5</v>
      </c>
      <c r="H4" s="16" t="s">
        <v>6</v>
      </c>
      <c r="I4" s="16" t="s">
        <v>7</v>
      </c>
      <c r="J4" s="312"/>
      <c r="K4" s="35" t="s">
        <v>18</v>
      </c>
      <c r="L4" s="35" t="s">
        <v>19</v>
      </c>
      <c r="M4" s="35" t="s">
        <v>20</v>
      </c>
      <c r="N4" s="35" t="s">
        <v>21</v>
      </c>
      <c r="O4" s="35" t="s">
        <v>151</v>
      </c>
    </row>
    <row r="5" spans="2:15">
      <c r="B5" s="5" t="s">
        <v>69</v>
      </c>
      <c r="C5" s="7"/>
      <c r="D5" s="7"/>
      <c r="E5" s="8"/>
      <c r="F5" s="1"/>
      <c r="G5" s="10"/>
      <c r="H5" s="10"/>
      <c r="I5" s="10"/>
      <c r="J5" s="10"/>
      <c r="K5" s="39">
        <f>【成行】財政シミュ!T5</f>
        <v>489727695.89999998</v>
      </c>
      <c r="L5" s="39">
        <f>【成行】財政シミュ!U5</f>
        <v>496835154.89999998</v>
      </c>
      <c r="M5" s="39">
        <f>【成行】財政シミュ!V5</f>
        <v>554400860.89999998</v>
      </c>
      <c r="N5" s="39">
        <f>【成行】財政シミュ!W5</f>
        <v>587903317.84736848</v>
      </c>
      <c r="O5" s="39">
        <f>SUM(K5:N5)</f>
        <v>2128867029.5473683</v>
      </c>
    </row>
    <row r="6" spans="2:15">
      <c r="B6" s="4"/>
      <c r="C6" s="5" t="s">
        <v>70</v>
      </c>
      <c r="D6" s="7"/>
      <c r="E6" s="8"/>
      <c r="F6" s="1"/>
      <c r="G6" s="10"/>
      <c r="H6" s="10"/>
      <c r="I6" s="10"/>
      <c r="J6" s="10"/>
      <c r="K6" s="39">
        <f>【成行】財政シミュ!T6</f>
        <v>125118797</v>
      </c>
      <c r="L6" s="39">
        <f>【成行】財政シミュ!U6</f>
        <v>123815212</v>
      </c>
      <c r="M6" s="39">
        <f>【成行】財政シミュ!V6</f>
        <v>121932198</v>
      </c>
      <c r="N6" s="39">
        <f>【成行】財政シミュ!W6</f>
        <v>120296885</v>
      </c>
      <c r="O6" s="39">
        <f t="shared" ref="O6:O65" si="0">SUM(K6:N6)</f>
        <v>491163092</v>
      </c>
    </row>
    <row r="7" spans="2:15">
      <c r="B7" s="4"/>
      <c r="C7" s="4"/>
      <c r="D7" s="9" t="s">
        <v>71</v>
      </c>
      <c r="E7" s="8"/>
      <c r="F7" s="1"/>
      <c r="G7" s="10"/>
      <c r="H7" s="10"/>
      <c r="I7" s="10"/>
      <c r="J7" s="10"/>
      <c r="K7" s="39">
        <f>【成行】財政シミュ!T7</f>
        <v>124725907</v>
      </c>
      <c r="L7" s="39">
        <f>【成行】財政シミュ!U7</f>
        <v>123422322</v>
      </c>
      <c r="M7" s="39">
        <f>【成行】財政シミュ!V7</f>
        <v>121539308</v>
      </c>
      <c r="N7" s="39">
        <f>【成行】財政シミュ!W7</f>
        <v>119903995</v>
      </c>
      <c r="O7" s="39">
        <f t="shared" si="0"/>
        <v>489591532</v>
      </c>
    </row>
    <row r="8" spans="2:15">
      <c r="B8" s="4"/>
      <c r="C8" s="4"/>
      <c r="D8" s="9" t="s">
        <v>72</v>
      </c>
      <c r="E8" s="8"/>
      <c r="F8" s="1"/>
      <c r="G8" s="10"/>
      <c r="H8" s="10"/>
      <c r="I8" s="10"/>
      <c r="J8" s="10"/>
      <c r="K8" s="39">
        <f>【成行】財政シミュ!T8</f>
        <v>0</v>
      </c>
      <c r="L8" s="39">
        <f>【成行】財政シミュ!U8</f>
        <v>0</v>
      </c>
      <c r="M8" s="39">
        <f>【成行】財政シミュ!V8</f>
        <v>0</v>
      </c>
      <c r="N8" s="39">
        <f>【成行】財政シミュ!W8</f>
        <v>0</v>
      </c>
      <c r="O8" s="39">
        <f t="shared" si="0"/>
        <v>0</v>
      </c>
    </row>
    <row r="9" spans="2:15">
      <c r="B9" s="4"/>
      <c r="C9" s="3"/>
      <c r="D9" s="9" t="s">
        <v>73</v>
      </c>
      <c r="E9" s="8"/>
      <c r="F9" s="1"/>
      <c r="G9" s="10"/>
      <c r="H9" s="10"/>
      <c r="I9" s="10"/>
      <c r="J9" s="10" t="s">
        <v>166</v>
      </c>
      <c r="K9" s="39">
        <f>【成行】財政シミュ!T10</f>
        <v>392890</v>
      </c>
      <c r="L9" s="39">
        <f>【成行】財政シミュ!U10</f>
        <v>392890</v>
      </c>
      <c r="M9" s="39">
        <f>【成行】財政シミュ!V10</f>
        <v>392890</v>
      </c>
      <c r="N9" s="39">
        <f>【成行】財政シミュ!W10</f>
        <v>392890</v>
      </c>
      <c r="O9" s="39">
        <f t="shared" si="0"/>
        <v>1571560</v>
      </c>
    </row>
    <row r="10" spans="2:15">
      <c r="B10" s="4"/>
      <c r="C10" s="5" t="s">
        <v>74</v>
      </c>
      <c r="D10" s="7"/>
      <c r="E10" s="8"/>
      <c r="F10" s="1"/>
      <c r="G10" s="10"/>
      <c r="H10" s="10"/>
      <c r="I10" s="10"/>
      <c r="J10" s="10"/>
      <c r="K10" s="39">
        <f>【成行】財政シミュ!T11</f>
        <v>364608898.89999998</v>
      </c>
      <c r="L10" s="39">
        <f>【成行】財政シミュ!U11</f>
        <v>373019942.89999998</v>
      </c>
      <c r="M10" s="39">
        <f>【成行】財政シミュ!V11</f>
        <v>432468662.89999998</v>
      </c>
      <c r="N10" s="39">
        <f>【成行】財政シミュ!W11</f>
        <v>467606432.84736848</v>
      </c>
      <c r="O10" s="39">
        <f t="shared" si="0"/>
        <v>1637703937.5473683</v>
      </c>
    </row>
    <row r="11" spans="2:15">
      <c r="B11" s="4"/>
      <c r="C11" s="4"/>
      <c r="D11" s="9" t="s">
        <v>75</v>
      </c>
      <c r="E11" s="8"/>
      <c r="F11" s="1"/>
      <c r="G11" s="10"/>
      <c r="H11" s="10"/>
      <c r="I11" s="10"/>
      <c r="J11" s="10" t="s">
        <v>166</v>
      </c>
      <c r="K11" s="39">
        <f>【成行】財政シミュ!T12</f>
        <v>15431.1</v>
      </c>
      <c r="L11" s="39">
        <f>【成行】財政シミュ!U12</f>
        <v>15431.1</v>
      </c>
      <c r="M11" s="39">
        <f>【成行】財政シミュ!V12</f>
        <v>15431.1</v>
      </c>
      <c r="N11" s="39">
        <f>【成行】財政シミュ!W12</f>
        <v>15431.1</v>
      </c>
      <c r="O11" s="39">
        <f t="shared" si="0"/>
        <v>61724.4</v>
      </c>
    </row>
    <row r="12" spans="2:15">
      <c r="B12" s="4"/>
      <c r="C12" s="4"/>
      <c r="D12" s="9" t="s">
        <v>76</v>
      </c>
      <c r="E12" s="8"/>
      <c r="F12" s="1"/>
      <c r="G12" s="10"/>
      <c r="H12" s="10"/>
      <c r="I12" s="10"/>
      <c r="J12" s="10" t="s">
        <v>166</v>
      </c>
      <c r="K12" s="39">
        <f>【成行】財政シミュ!T13</f>
        <v>25500721</v>
      </c>
      <c r="L12" s="39">
        <f>【成行】財政シミュ!U13</f>
        <v>33861477</v>
      </c>
      <c r="M12" s="39">
        <f>【成行】財政シミュ!V13</f>
        <v>38616631</v>
      </c>
      <c r="N12" s="39">
        <f>【成行】財政シミュ!W13</f>
        <v>47830328</v>
      </c>
      <c r="O12" s="39">
        <f t="shared" si="0"/>
        <v>145809157</v>
      </c>
    </row>
    <row r="13" spans="2:15">
      <c r="B13" s="4"/>
      <c r="C13" s="4"/>
      <c r="D13" s="9" t="s">
        <v>77</v>
      </c>
      <c r="E13" s="8"/>
      <c r="F13" s="1"/>
      <c r="G13" s="10"/>
      <c r="H13" s="10"/>
      <c r="I13" s="10"/>
      <c r="J13" s="10" t="s">
        <v>166</v>
      </c>
      <c r="K13" s="39">
        <f>【成行】財政シミュ!T15</f>
        <v>4890572.7999999998</v>
      </c>
      <c r="L13" s="39">
        <f>【成行】財政シミュ!U15</f>
        <v>4890572.7999999998</v>
      </c>
      <c r="M13" s="39">
        <f>【成行】財政シミュ!V15</f>
        <v>4890572.7999999998</v>
      </c>
      <c r="N13" s="39">
        <f>【成行】財政シミュ!W15</f>
        <v>4890572.7999999998</v>
      </c>
      <c r="O13" s="39">
        <f t="shared" si="0"/>
        <v>19562291.199999999</v>
      </c>
    </row>
    <row r="14" spans="2:15">
      <c r="B14" s="4"/>
      <c r="C14" s="4"/>
      <c r="D14" s="5" t="s">
        <v>78</v>
      </c>
      <c r="E14" s="8"/>
      <c r="F14" s="1"/>
      <c r="G14" s="10"/>
      <c r="H14" s="10"/>
      <c r="I14" s="10"/>
      <c r="J14" s="10"/>
      <c r="K14" s="39">
        <f>【成行】財政シミュ!T16</f>
        <v>334202174</v>
      </c>
      <c r="L14" s="39">
        <f>【成行】財政シミュ!U16</f>
        <v>334252462</v>
      </c>
      <c r="M14" s="39">
        <f>【成行】財政シミュ!V16</f>
        <v>329946028</v>
      </c>
      <c r="N14" s="39">
        <f>【成行】財政シミュ!W16</f>
        <v>324870100.94736844</v>
      </c>
      <c r="O14" s="39">
        <f t="shared" si="0"/>
        <v>1323270764.9473684</v>
      </c>
    </row>
    <row r="15" spans="2:15">
      <c r="B15" s="4"/>
      <c r="C15" s="4"/>
      <c r="D15" s="4"/>
      <c r="E15" s="1" t="s">
        <v>79</v>
      </c>
      <c r="F15" s="1"/>
      <c r="G15" s="10"/>
      <c r="H15" s="10"/>
      <c r="I15" s="10"/>
      <c r="J15" s="10" t="s">
        <v>166</v>
      </c>
      <c r="K15" s="39">
        <f>【成行】財政シミュ!T17</f>
        <v>334202174</v>
      </c>
      <c r="L15" s="39">
        <f>【成行】財政シミュ!U17</f>
        <v>334252462</v>
      </c>
      <c r="M15" s="39">
        <f>【成行】財政シミュ!V17</f>
        <v>329946028</v>
      </c>
      <c r="N15" s="39">
        <f>【成行】財政シミュ!W17</f>
        <v>323203522</v>
      </c>
      <c r="O15" s="39">
        <f t="shared" si="0"/>
        <v>1321604186</v>
      </c>
    </row>
    <row r="16" spans="2:15">
      <c r="B16" s="4"/>
      <c r="C16" s="3"/>
      <c r="D16" s="3"/>
      <c r="E16" s="1" t="s">
        <v>80</v>
      </c>
      <c r="F16" s="1"/>
      <c r="G16" s="10"/>
      <c r="H16" s="10"/>
      <c r="I16" s="10"/>
      <c r="J16" s="10"/>
      <c r="K16" s="39">
        <f>【成行】財政シミュ!T18</f>
        <v>0</v>
      </c>
      <c r="L16" s="39">
        <f>【成行】財政シミュ!U18</f>
        <v>0</v>
      </c>
      <c r="M16" s="39">
        <f>【成行】財政シミュ!V18</f>
        <v>0</v>
      </c>
      <c r="N16" s="39">
        <f>【成行】財政シミュ!W18</f>
        <v>1666578.9473684211</v>
      </c>
      <c r="O16" s="39">
        <f t="shared" si="0"/>
        <v>1666578.9473684211</v>
      </c>
    </row>
    <row r="17" spans="2:15">
      <c r="B17" s="4"/>
      <c r="C17" s="9" t="s">
        <v>81</v>
      </c>
      <c r="D17" s="7"/>
      <c r="E17" s="8"/>
      <c r="F17" s="1"/>
      <c r="G17" s="10"/>
      <c r="H17" s="10"/>
      <c r="I17" s="10"/>
      <c r="J17" s="10" t="s">
        <v>166</v>
      </c>
      <c r="K17" s="40">
        <f>【成行】財政シミュ!T19</f>
        <v>0</v>
      </c>
      <c r="L17" s="40">
        <f>【成行】財政シミュ!U19</f>
        <v>0</v>
      </c>
      <c r="M17" s="40">
        <f>【成行】財政シミュ!V19</f>
        <v>0</v>
      </c>
      <c r="N17" s="40">
        <f>【成行】財政シミュ!W19</f>
        <v>0</v>
      </c>
      <c r="O17" s="40">
        <f t="shared" si="0"/>
        <v>0</v>
      </c>
    </row>
    <row r="18" spans="2:15">
      <c r="B18" s="4"/>
      <c r="C18" s="5" t="s">
        <v>82</v>
      </c>
      <c r="D18" s="7"/>
      <c r="E18" s="8"/>
      <c r="F18" s="1"/>
      <c r="G18" s="10"/>
      <c r="H18" s="10"/>
      <c r="I18" s="10"/>
      <c r="J18" s="10"/>
      <c r="K18" s="39">
        <f>【成行】財政シミュ!T20</f>
        <v>0</v>
      </c>
      <c r="L18" s="39">
        <f>【成行】財政シミュ!U20</f>
        <v>0</v>
      </c>
      <c r="M18" s="39">
        <f>【成行】財政シミュ!V20</f>
        <v>0</v>
      </c>
      <c r="N18" s="39">
        <f>【成行】財政シミュ!W20</f>
        <v>0</v>
      </c>
      <c r="O18" s="39">
        <f t="shared" si="0"/>
        <v>0</v>
      </c>
    </row>
    <row r="19" spans="2:15">
      <c r="B19" s="4"/>
      <c r="C19" s="4"/>
      <c r="D19" s="9" t="s">
        <v>83</v>
      </c>
      <c r="E19" s="8"/>
      <c r="F19" s="1"/>
      <c r="G19" s="10"/>
      <c r="H19" s="10"/>
      <c r="I19" s="10"/>
      <c r="J19" s="10" t="s">
        <v>166</v>
      </c>
      <c r="K19" s="40">
        <f>【成行】財政シミュ!T21</f>
        <v>0</v>
      </c>
      <c r="L19" s="40">
        <f>【成行】財政シミュ!U21</f>
        <v>0</v>
      </c>
      <c r="M19" s="40">
        <f>【成行】財政シミュ!V21</f>
        <v>0</v>
      </c>
      <c r="N19" s="40">
        <f>【成行】財政シミュ!W21</f>
        <v>0</v>
      </c>
      <c r="O19" s="40">
        <f t="shared" si="0"/>
        <v>0</v>
      </c>
    </row>
    <row r="20" spans="2:15">
      <c r="B20" s="4"/>
      <c r="C20" s="4"/>
      <c r="D20" s="9" t="s">
        <v>84</v>
      </c>
      <c r="E20" s="8"/>
      <c r="F20" s="1"/>
      <c r="G20" s="10"/>
      <c r="H20" s="10"/>
      <c r="I20" s="10"/>
      <c r="J20" s="10" t="s">
        <v>166</v>
      </c>
      <c r="K20" s="40">
        <f>【成行】財政シミュ!T22</f>
        <v>0</v>
      </c>
      <c r="L20" s="40">
        <f>【成行】財政シミュ!U22</f>
        <v>0</v>
      </c>
      <c r="M20" s="40">
        <f>【成行】財政シミュ!V22</f>
        <v>0</v>
      </c>
      <c r="N20" s="40">
        <f>【成行】財政シミュ!W22</f>
        <v>0</v>
      </c>
      <c r="O20" s="40">
        <f t="shared" si="0"/>
        <v>0</v>
      </c>
    </row>
    <row r="21" spans="2:15">
      <c r="B21" s="3"/>
      <c r="C21" s="3"/>
      <c r="D21" s="9" t="s">
        <v>85</v>
      </c>
      <c r="E21" s="8"/>
      <c r="F21" s="1"/>
      <c r="G21" s="10"/>
      <c r="H21" s="10"/>
      <c r="I21" s="10"/>
      <c r="J21" s="10" t="s">
        <v>166</v>
      </c>
      <c r="K21" s="40">
        <f>【成行】財政シミュ!T23</f>
        <v>0</v>
      </c>
      <c r="L21" s="40">
        <f>【成行】財政シミュ!U23</f>
        <v>0</v>
      </c>
      <c r="M21" s="40">
        <f>【成行】財政シミュ!V23</f>
        <v>0</v>
      </c>
      <c r="N21" s="40">
        <f>【成行】財政シミュ!W23</f>
        <v>0</v>
      </c>
      <c r="O21" s="40">
        <f t="shared" si="0"/>
        <v>0</v>
      </c>
    </row>
    <row r="22" spans="2:15">
      <c r="B22" s="5" t="s">
        <v>86</v>
      </c>
      <c r="C22" s="7"/>
      <c r="D22" s="7"/>
      <c r="E22" s="8"/>
      <c r="F22" s="1"/>
      <c r="G22" s="10"/>
      <c r="H22" s="10"/>
      <c r="I22" s="10"/>
      <c r="J22" s="10"/>
      <c r="K22" s="39">
        <f>【成行】財政シミュ!T24</f>
        <v>532105330</v>
      </c>
      <c r="L22" s="39">
        <f>【成行】財政シミュ!U24</f>
        <v>546680663</v>
      </c>
      <c r="M22" s="39">
        <f>【成行】財政シミュ!V24</f>
        <v>554561152</v>
      </c>
      <c r="N22" s="39">
        <f>【成行】財政シミュ!W24</f>
        <v>584482252</v>
      </c>
      <c r="O22" s="39">
        <f t="shared" si="0"/>
        <v>2217829397</v>
      </c>
    </row>
    <row r="23" spans="2:15">
      <c r="B23" s="4"/>
      <c r="C23" s="5" t="s">
        <v>87</v>
      </c>
      <c r="D23" s="7"/>
      <c r="E23" s="8"/>
      <c r="F23" s="1"/>
      <c r="G23" s="10"/>
      <c r="H23" s="10"/>
      <c r="I23" s="10"/>
      <c r="J23" s="10"/>
      <c r="K23" s="39">
        <f>【成行】財政シミュ!T25</f>
        <v>517451551.60000002</v>
      </c>
      <c r="L23" s="39">
        <f>【成行】財政シミュ!U25</f>
        <v>523866176.60000002</v>
      </c>
      <c r="M23" s="39">
        <f>【成行】財政シミュ!V25</f>
        <v>527193760.60000002</v>
      </c>
      <c r="N23" s="39">
        <f>【成行】財政シミュ!W25</f>
        <v>548105637.60000002</v>
      </c>
      <c r="O23" s="39">
        <f t="shared" si="0"/>
        <v>2116617126.4000001</v>
      </c>
    </row>
    <row r="24" spans="2:15">
      <c r="B24" s="4"/>
      <c r="C24" s="4"/>
      <c r="D24" s="5" t="s">
        <v>88</v>
      </c>
      <c r="E24" s="8"/>
      <c r="F24" s="302" t="s">
        <v>174</v>
      </c>
      <c r="G24" s="10"/>
      <c r="H24" s="10"/>
      <c r="I24" s="10"/>
      <c r="J24" s="10"/>
      <c r="K24" s="39">
        <f>【成行】財政シミュ!T26</f>
        <v>64166869.600000001</v>
      </c>
      <c r="L24" s="39">
        <f>【成行】財政シミュ!U26</f>
        <v>64698199.600000001</v>
      </c>
      <c r="M24" s="39">
        <f>【成行】財政シミュ!V26</f>
        <v>65210912.600000001</v>
      </c>
      <c r="N24" s="39">
        <f>【成行】財政シミュ!W26</f>
        <v>65733138.600000001</v>
      </c>
      <c r="O24" s="39">
        <f t="shared" si="0"/>
        <v>259809120.40000001</v>
      </c>
    </row>
    <row r="25" spans="2:15">
      <c r="B25" s="4"/>
      <c r="C25" s="4"/>
      <c r="D25" s="4"/>
      <c r="E25" s="1" t="s">
        <v>89</v>
      </c>
      <c r="F25" s="303"/>
      <c r="G25" s="10"/>
      <c r="H25" s="10" t="s">
        <v>166</v>
      </c>
      <c r="I25" s="10"/>
      <c r="J25" s="10"/>
      <c r="K25" s="39">
        <f>【成行】財政シミュ!T27</f>
        <v>7622251</v>
      </c>
      <c r="L25" s="39">
        <f>【成行】財政シミュ!U27</f>
        <v>7706096</v>
      </c>
      <c r="M25" s="39">
        <f>【成行】財政シミュ!V27</f>
        <v>7790863</v>
      </c>
      <c r="N25" s="39">
        <f>【成行】財政シミュ!W27</f>
        <v>7876562</v>
      </c>
      <c r="O25" s="39">
        <f t="shared" si="0"/>
        <v>30995772</v>
      </c>
    </row>
    <row r="26" spans="2:15">
      <c r="B26" s="4"/>
      <c r="C26" s="4"/>
      <c r="D26" s="4"/>
      <c r="E26" s="1" t="s">
        <v>96</v>
      </c>
      <c r="F26" s="303"/>
      <c r="G26" s="10"/>
      <c r="H26" s="10"/>
      <c r="I26" s="10" t="s">
        <v>166</v>
      </c>
      <c r="J26" s="10"/>
      <c r="K26" s="39">
        <f>【成行】財政シミュ!T28</f>
        <v>924716</v>
      </c>
      <c r="L26" s="39">
        <f>【成行】財政シミュ!U28</f>
        <v>922751</v>
      </c>
      <c r="M26" s="39">
        <f>【成行】財政シミュ!V28</f>
        <v>901322</v>
      </c>
      <c r="N26" s="39">
        <f>【成行】財政シミュ!W28</f>
        <v>882735</v>
      </c>
      <c r="O26" s="39">
        <f t="shared" si="0"/>
        <v>3631524</v>
      </c>
    </row>
    <row r="27" spans="2:15">
      <c r="B27" s="4"/>
      <c r="C27" s="4"/>
      <c r="D27" s="4"/>
      <c r="E27" s="1" t="s">
        <v>90</v>
      </c>
      <c r="F27" s="303"/>
      <c r="G27" s="10"/>
      <c r="H27" s="10"/>
      <c r="I27" s="10" t="s">
        <v>166</v>
      </c>
      <c r="J27" s="10"/>
      <c r="K27" s="39">
        <f>【成行】財政シミュ!T29</f>
        <v>238712</v>
      </c>
      <c r="L27" s="39">
        <f>【成行】財政シミュ!U29</f>
        <v>238205</v>
      </c>
      <c r="M27" s="39">
        <f>【成行】財政シミュ!V29</f>
        <v>232673</v>
      </c>
      <c r="N27" s="39">
        <f>【成行】財政シミュ!W29</f>
        <v>227875</v>
      </c>
      <c r="O27" s="39">
        <f t="shared" si="0"/>
        <v>937465</v>
      </c>
    </row>
    <row r="28" spans="2:15">
      <c r="B28" s="4"/>
      <c r="C28" s="4"/>
      <c r="D28" s="4"/>
      <c r="E28" s="1" t="s">
        <v>91</v>
      </c>
      <c r="F28" s="303"/>
      <c r="G28" s="10"/>
      <c r="H28" s="10" t="s">
        <v>166</v>
      </c>
      <c r="I28" s="10"/>
      <c r="J28" s="10"/>
      <c r="K28" s="39">
        <f>【成行】財政シミュ!T30</f>
        <v>2690266</v>
      </c>
      <c r="L28" s="39">
        <f>【成行】財政シミュ!U30</f>
        <v>2719859</v>
      </c>
      <c r="M28" s="39">
        <f>【成行】財政シミュ!V30</f>
        <v>2749777</v>
      </c>
      <c r="N28" s="39">
        <f>【成行】財政シミュ!W30</f>
        <v>2780025</v>
      </c>
      <c r="O28" s="39">
        <f t="shared" si="0"/>
        <v>10939927</v>
      </c>
    </row>
    <row r="29" spans="2:15">
      <c r="B29" s="4"/>
      <c r="C29" s="4"/>
      <c r="D29" s="4"/>
      <c r="E29" s="1" t="s">
        <v>92</v>
      </c>
      <c r="F29" s="303"/>
      <c r="G29" s="10"/>
      <c r="H29" s="10" t="s">
        <v>166</v>
      </c>
      <c r="I29" s="10"/>
      <c r="J29" s="10"/>
      <c r="K29" s="39">
        <f>【成行】財政シミュ!T31</f>
        <v>30794859</v>
      </c>
      <c r="L29" s="39">
        <f>【成行】財政シミュ!U31</f>
        <v>31133602</v>
      </c>
      <c r="M29" s="39">
        <f>【成行】財政シミュ!V31</f>
        <v>31476072</v>
      </c>
      <c r="N29" s="39">
        <f>【成行】財政シミュ!W31</f>
        <v>31822309</v>
      </c>
      <c r="O29" s="39">
        <f t="shared" si="0"/>
        <v>125226842</v>
      </c>
    </row>
    <row r="30" spans="2:15">
      <c r="B30" s="4"/>
      <c r="C30" s="4"/>
      <c r="D30" s="4"/>
      <c r="E30" s="1" t="s">
        <v>93</v>
      </c>
      <c r="F30" s="303"/>
      <c r="G30" s="10"/>
      <c r="H30" s="10" t="s">
        <v>166</v>
      </c>
      <c r="I30" s="10"/>
      <c r="J30" s="10"/>
      <c r="K30" s="39">
        <f>【成行】財政シミュ!T32</f>
        <v>7420122</v>
      </c>
      <c r="L30" s="39">
        <f>【成行】財政シミュ!U32</f>
        <v>7501743</v>
      </c>
      <c r="M30" s="39">
        <f>【成行】財政シミュ!V32</f>
        <v>7584262</v>
      </c>
      <c r="N30" s="39">
        <f>【成行】財政シミュ!W32</f>
        <v>7667689</v>
      </c>
      <c r="O30" s="39">
        <f t="shared" si="0"/>
        <v>30173816</v>
      </c>
    </row>
    <row r="31" spans="2:15">
      <c r="B31" s="4"/>
      <c r="C31" s="4"/>
      <c r="D31" s="3"/>
      <c r="E31" s="1" t="s">
        <v>94</v>
      </c>
      <c r="F31" s="304"/>
      <c r="G31" s="10"/>
      <c r="H31" s="10" t="s">
        <v>166</v>
      </c>
      <c r="I31" s="10"/>
      <c r="J31" s="10"/>
      <c r="K31" s="39">
        <f>【成行】財政シミュ!T33</f>
        <v>14475943.6</v>
      </c>
      <c r="L31" s="39">
        <f>【成行】財政シミュ!U33</f>
        <v>14475943.6</v>
      </c>
      <c r="M31" s="39">
        <f>【成行】財政シミュ!V33</f>
        <v>14475943.6</v>
      </c>
      <c r="N31" s="39">
        <f>【成行】財政シミュ!W33</f>
        <v>14475943.6</v>
      </c>
      <c r="O31" s="39">
        <f t="shared" si="0"/>
        <v>57903774.399999999</v>
      </c>
    </row>
    <row r="32" spans="2:15">
      <c r="B32" s="4"/>
      <c r="C32" s="4"/>
      <c r="D32" s="5" t="s">
        <v>95</v>
      </c>
      <c r="E32" s="8"/>
      <c r="F32" s="302" t="s">
        <v>175</v>
      </c>
      <c r="G32" s="10"/>
      <c r="H32" s="10"/>
      <c r="I32" s="10"/>
      <c r="J32" s="10"/>
      <c r="K32" s="39">
        <f>【成行】財政シミュ!T34</f>
        <v>33124149</v>
      </c>
      <c r="L32" s="39">
        <f>【成行】財政シミュ!U34</f>
        <v>33488515</v>
      </c>
      <c r="M32" s="39">
        <f>【成行】財政シミュ!V34</f>
        <v>33856889</v>
      </c>
      <c r="N32" s="39">
        <f>【成行】財政シミュ!W34</f>
        <v>34229316</v>
      </c>
      <c r="O32" s="39">
        <f t="shared" si="0"/>
        <v>134698869</v>
      </c>
    </row>
    <row r="33" spans="2:15">
      <c r="B33" s="4"/>
      <c r="C33" s="4"/>
      <c r="D33" s="4"/>
      <c r="E33" s="1" t="s">
        <v>89</v>
      </c>
      <c r="F33" s="303"/>
      <c r="G33" s="10"/>
      <c r="H33" s="10" t="s">
        <v>166</v>
      </c>
      <c r="I33" s="10"/>
      <c r="J33" s="10"/>
      <c r="K33" s="39">
        <f>【成行】財政シミュ!T35</f>
        <v>12738180</v>
      </c>
      <c r="L33" s="39">
        <f>【成行】財政シミュ!U35</f>
        <v>12878300</v>
      </c>
      <c r="M33" s="39">
        <f>【成行】財政シミュ!V35</f>
        <v>13019961</v>
      </c>
      <c r="N33" s="39">
        <f>【成行】財政シミュ!W35</f>
        <v>13163181</v>
      </c>
      <c r="O33" s="39">
        <f t="shared" si="0"/>
        <v>51799622</v>
      </c>
    </row>
    <row r="34" spans="2:15">
      <c r="B34" s="4"/>
      <c r="C34" s="4"/>
      <c r="D34" s="4"/>
      <c r="E34" s="1" t="s">
        <v>96</v>
      </c>
      <c r="F34" s="303"/>
      <c r="G34" s="10"/>
      <c r="H34" s="10"/>
      <c r="I34" s="10" t="s">
        <v>166</v>
      </c>
      <c r="J34" s="10"/>
      <c r="K34" s="39">
        <f>【成行】財政シミュ!T36</f>
        <v>0</v>
      </c>
      <c r="L34" s="39">
        <f>【成行】財政シミュ!U36</f>
        <v>0</v>
      </c>
      <c r="M34" s="39">
        <f>【成行】財政シミュ!V36</f>
        <v>0</v>
      </c>
      <c r="N34" s="39">
        <f>【成行】財政シミュ!W36</f>
        <v>0</v>
      </c>
      <c r="O34" s="39">
        <f t="shared" si="0"/>
        <v>0</v>
      </c>
    </row>
    <row r="35" spans="2:15">
      <c r="B35" s="4"/>
      <c r="C35" s="4"/>
      <c r="D35" s="4"/>
      <c r="E35" s="1" t="s">
        <v>90</v>
      </c>
      <c r="F35" s="303"/>
      <c r="G35" s="10"/>
      <c r="H35" s="10"/>
      <c r="I35" s="10" t="s">
        <v>166</v>
      </c>
      <c r="J35" s="10"/>
      <c r="K35" s="39">
        <f>【成行】財政シミュ!T37</f>
        <v>0</v>
      </c>
      <c r="L35" s="39">
        <f>【成行】財政シミュ!U37</f>
        <v>0</v>
      </c>
      <c r="M35" s="39">
        <f>【成行】財政シミュ!V37</f>
        <v>0</v>
      </c>
      <c r="N35" s="39">
        <f>【成行】財政シミュ!W37</f>
        <v>0</v>
      </c>
      <c r="O35" s="39">
        <f t="shared" si="0"/>
        <v>0</v>
      </c>
    </row>
    <row r="36" spans="2:15">
      <c r="B36" s="4"/>
      <c r="C36" s="4"/>
      <c r="D36" s="4"/>
      <c r="E36" s="1" t="s">
        <v>91</v>
      </c>
      <c r="F36" s="303"/>
      <c r="G36" s="10"/>
      <c r="H36" s="10" t="s">
        <v>166</v>
      </c>
      <c r="I36" s="10"/>
      <c r="J36" s="10"/>
      <c r="K36" s="39">
        <f>【成行】財政シミュ!T38</f>
        <v>1433114</v>
      </c>
      <c r="L36" s="39">
        <f>【成行】財政シミュ!U38</f>
        <v>1448878</v>
      </c>
      <c r="M36" s="39">
        <f>【成行】財政シミュ!V38</f>
        <v>1464816</v>
      </c>
      <c r="N36" s="39">
        <f>【成行】財政シミュ!W38</f>
        <v>1480929</v>
      </c>
      <c r="O36" s="39">
        <f t="shared" si="0"/>
        <v>5827737</v>
      </c>
    </row>
    <row r="37" spans="2:15">
      <c r="B37" s="4"/>
      <c r="C37" s="4"/>
      <c r="D37" s="4"/>
      <c r="E37" s="1" t="s">
        <v>92</v>
      </c>
      <c r="F37" s="303"/>
      <c r="G37" s="10"/>
      <c r="H37" s="10" t="s">
        <v>166</v>
      </c>
      <c r="I37" s="10"/>
      <c r="J37" s="10"/>
      <c r="K37" s="39">
        <f>【成行】財政シミュ!T39</f>
        <v>15114789</v>
      </c>
      <c r="L37" s="39">
        <f>【成行】財政シミュ!U39</f>
        <v>15281052</v>
      </c>
      <c r="M37" s="39">
        <f>【成行】財政シミュ!V39</f>
        <v>15449144</v>
      </c>
      <c r="N37" s="39">
        <f>【成行】財政シミュ!W39</f>
        <v>15619085</v>
      </c>
      <c r="O37" s="39">
        <f t="shared" si="0"/>
        <v>61464070</v>
      </c>
    </row>
    <row r="38" spans="2:15">
      <c r="B38" s="4"/>
      <c r="C38" s="4"/>
      <c r="D38" s="4"/>
      <c r="E38" s="1" t="s">
        <v>93</v>
      </c>
      <c r="F38" s="303"/>
      <c r="G38" s="10"/>
      <c r="H38" s="10" t="s">
        <v>166</v>
      </c>
      <c r="I38" s="10"/>
      <c r="J38" s="10"/>
      <c r="K38" s="39">
        <f>【成行】財政シミュ!T40</f>
        <v>3838066</v>
      </c>
      <c r="L38" s="39">
        <f>【成行】財政シミュ!U40</f>
        <v>3880285</v>
      </c>
      <c r="M38" s="39">
        <f>【成行】財政シミュ!V40</f>
        <v>3922968</v>
      </c>
      <c r="N38" s="39">
        <f>【成行】財政シミュ!W40</f>
        <v>3966121</v>
      </c>
      <c r="O38" s="39">
        <f t="shared" si="0"/>
        <v>15607440</v>
      </c>
    </row>
    <row r="39" spans="2:15">
      <c r="B39" s="4"/>
      <c r="C39" s="4"/>
      <c r="D39" s="3"/>
      <c r="E39" s="1" t="s">
        <v>94</v>
      </c>
      <c r="F39" s="304"/>
      <c r="G39" s="10"/>
      <c r="H39" s="10" t="s">
        <v>166</v>
      </c>
      <c r="I39" s="10"/>
      <c r="J39" s="10"/>
      <c r="K39" s="39">
        <f>【成行】財政シミュ!T41</f>
        <v>0</v>
      </c>
      <c r="L39" s="39">
        <f>【成行】財政シミュ!U41</f>
        <v>0</v>
      </c>
      <c r="M39" s="39">
        <f>【成行】財政シミュ!V41</f>
        <v>0</v>
      </c>
      <c r="N39" s="39">
        <f>【成行】財政シミュ!W41</f>
        <v>0</v>
      </c>
      <c r="O39" s="39">
        <f t="shared" si="0"/>
        <v>0</v>
      </c>
    </row>
    <row r="40" spans="2:15">
      <c r="B40" s="4"/>
      <c r="C40" s="4"/>
      <c r="D40" s="5" t="s">
        <v>97</v>
      </c>
      <c r="E40" s="8"/>
      <c r="F40" s="302" t="s">
        <v>176</v>
      </c>
      <c r="G40" s="10"/>
      <c r="H40" s="10"/>
      <c r="I40" s="10"/>
      <c r="J40" s="10"/>
      <c r="K40" s="39">
        <f>【成行】財政シミュ!T43</f>
        <v>32147514</v>
      </c>
      <c r="L40" s="39">
        <f>【成行】財政シミュ!U43</f>
        <v>32501137</v>
      </c>
      <c r="M40" s="39">
        <f>【成行】財政シミュ!V43</f>
        <v>32858650</v>
      </c>
      <c r="N40" s="39">
        <f>【成行】財政シミュ!W43</f>
        <v>33220095</v>
      </c>
      <c r="O40" s="39">
        <f t="shared" si="0"/>
        <v>130727396</v>
      </c>
    </row>
    <row r="41" spans="2:15">
      <c r="B41" s="4"/>
      <c r="C41" s="4"/>
      <c r="D41" s="4"/>
      <c r="E41" s="1" t="s">
        <v>89</v>
      </c>
      <c r="F41" s="303"/>
      <c r="G41" s="10"/>
      <c r="H41" s="10" t="s">
        <v>166</v>
      </c>
      <c r="I41" s="10"/>
      <c r="J41" s="10"/>
      <c r="K41" s="39">
        <f>【成行】財政シミュ!T44</f>
        <v>18186222</v>
      </c>
      <c r="L41" s="39">
        <f>【成行】財政シミュ!U44</f>
        <v>18386270</v>
      </c>
      <c r="M41" s="39">
        <f>【成行】財政シミュ!V44</f>
        <v>18588519</v>
      </c>
      <c r="N41" s="39">
        <f>【成行】財政シミュ!W44</f>
        <v>18792993</v>
      </c>
      <c r="O41" s="39">
        <f t="shared" si="0"/>
        <v>73954004</v>
      </c>
    </row>
    <row r="42" spans="2:15">
      <c r="B42" s="4"/>
      <c r="C42" s="4"/>
      <c r="D42" s="4"/>
      <c r="E42" s="1" t="s">
        <v>98</v>
      </c>
      <c r="F42" s="303"/>
      <c r="G42" s="10"/>
      <c r="H42" s="10" t="s">
        <v>166</v>
      </c>
      <c r="I42" s="10"/>
      <c r="J42" s="10"/>
      <c r="K42" s="39">
        <f>【成行】財政シミュ!T45</f>
        <v>0</v>
      </c>
      <c r="L42" s="39">
        <f>【成行】財政シミュ!U45</f>
        <v>0</v>
      </c>
      <c r="M42" s="39">
        <f>【成行】財政シミュ!V45</f>
        <v>0</v>
      </c>
      <c r="N42" s="39">
        <f>【成行】財政シミュ!W45</f>
        <v>0</v>
      </c>
      <c r="O42" s="39">
        <f t="shared" si="0"/>
        <v>0</v>
      </c>
    </row>
    <row r="43" spans="2:15">
      <c r="B43" s="4"/>
      <c r="C43" s="4"/>
      <c r="D43" s="4"/>
      <c r="E43" s="1" t="s">
        <v>99</v>
      </c>
      <c r="F43" s="303"/>
      <c r="G43" s="10"/>
      <c r="H43" s="10" t="s">
        <v>166</v>
      </c>
      <c r="I43" s="10"/>
      <c r="J43" s="10"/>
      <c r="K43" s="40">
        <f>【成行】財政シミュ!T46</f>
        <v>0</v>
      </c>
      <c r="L43" s="40">
        <f>【成行】財政シミュ!U46</f>
        <v>0</v>
      </c>
      <c r="M43" s="40">
        <f>【成行】財政シミュ!V46</f>
        <v>0</v>
      </c>
      <c r="N43" s="40">
        <f>【成行】財政シミュ!W46</f>
        <v>0</v>
      </c>
      <c r="O43" s="40">
        <f t="shared" si="0"/>
        <v>0</v>
      </c>
    </row>
    <row r="44" spans="2:15">
      <c r="B44" s="4"/>
      <c r="C44" s="4"/>
      <c r="D44" s="4"/>
      <c r="E44" s="1" t="s">
        <v>100</v>
      </c>
      <c r="F44" s="303"/>
      <c r="G44" s="10"/>
      <c r="H44" s="10" t="s">
        <v>166</v>
      </c>
      <c r="I44" s="10"/>
      <c r="J44" s="10"/>
      <c r="K44" s="40">
        <f>【成行】財政シミュ!T47</f>
        <v>0</v>
      </c>
      <c r="L44" s="40">
        <f>【成行】財政シミュ!U47</f>
        <v>0</v>
      </c>
      <c r="M44" s="40">
        <f>【成行】財政シミュ!V47</f>
        <v>0</v>
      </c>
      <c r="N44" s="40">
        <f>【成行】財政シミュ!W47</f>
        <v>0</v>
      </c>
      <c r="O44" s="40">
        <f t="shared" si="0"/>
        <v>0</v>
      </c>
    </row>
    <row r="45" spans="2:15">
      <c r="B45" s="4"/>
      <c r="C45" s="4"/>
      <c r="D45" s="4"/>
      <c r="E45" s="1" t="s">
        <v>91</v>
      </c>
      <c r="F45" s="303"/>
      <c r="G45" s="10"/>
      <c r="H45" s="10" t="s">
        <v>166</v>
      </c>
      <c r="I45" s="10"/>
      <c r="J45" s="10"/>
      <c r="K45" s="39">
        <f>【成行】財政シミュ!T48</f>
        <v>45457</v>
      </c>
      <c r="L45" s="39">
        <f>【成行】財政シミュ!U48</f>
        <v>45957</v>
      </c>
      <c r="M45" s="39">
        <f>【成行】財政シミュ!V48</f>
        <v>46463</v>
      </c>
      <c r="N45" s="39">
        <f>【成行】財政シミュ!W48</f>
        <v>46974</v>
      </c>
      <c r="O45" s="39">
        <f t="shared" si="0"/>
        <v>184851</v>
      </c>
    </row>
    <row r="46" spans="2:15">
      <c r="B46" s="4"/>
      <c r="C46" s="4"/>
      <c r="D46" s="4"/>
      <c r="E46" s="1" t="s">
        <v>92</v>
      </c>
      <c r="F46" s="303"/>
      <c r="G46" s="10"/>
      <c r="H46" s="10" t="s">
        <v>166</v>
      </c>
      <c r="I46" s="10"/>
      <c r="J46" s="10"/>
      <c r="K46" s="39">
        <f>【成行】財政シミュ!T49</f>
        <v>7485144</v>
      </c>
      <c r="L46" s="39">
        <f>【成行】財政シミュ!U49</f>
        <v>7567481</v>
      </c>
      <c r="M46" s="39">
        <f>【成行】財政シミュ!V49</f>
        <v>7650723</v>
      </c>
      <c r="N46" s="39">
        <f>【成行】財政シミュ!W49</f>
        <v>7734881</v>
      </c>
      <c r="O46" s="39">
        <f t="shared" si="0"/>
        <v>30438229</v>
      </c>
    </row>
    <row r="47" spans="2:15">
      <c r="B47" s="4"/>
      <c r="C47" s="4"/>
      <c r="D47" s="4"/>
      <c r="E47" s="1" t="s">
        <v>93</v>
      </c>
      <c r="F47" s="303"/>
      <c r="G47" s="10"/>
      <c r="H47" s="10" t="s">
        <v>166</v>
      </c>
      <c r="I47" s="10"/>
      <c r="J47" s="10"/>
      <c r="K47" s="39">
        <f>【成行】財政シミュ!T50</f>
        <v>6430691</v>
      </c>
      <c r="L47" s="39">
        <f>【成行】財政シミュ!U50</f>
        <v>6501429</v>
      </c>
      <c r="M47" s="39">
        <f>【成行】財政シミュ!V50</f>
        <v>6572945</v>
      </c>
      <c r="N47" s="39">
        <f>【成行】財政シミュ!W50</f>
        <v>6645247</v>
      </c>
      <c r="O47" s="39">
        <f t="shared" si="0"/>
        <v>26150312</v>
      </c>
    </row>
    <row r="48" spans="2:15">
      <c r="B48" s="4"/>
      <c r="C48" s="4"/>
      <c r="D48" s="3"/>
      <c r="E48" s="1" t="s">
        <v>94</v>
      </c>
      <c r="F48" s="304"/>
      <c r="G48" s="10"/>
      <c r="H48" s="10" t="s">
        <v>166</v>
      </c>
      <c r="I48" s="10"/>
      <c r="J48" s="10"/>
      <c r="K48" s="39">
        <f>【成行】財政シミュ!T51</f>
        <v>0</v>
      </c>
      <c r="L48" s="39">
        <f>【成行】財政シミュ!U51</f>
        <v>0</v>
      </c>
      <c r="M48" s="39">
        <f>【成行】財政シミュ!V51</f>
        <v>0</v>
      </c>
      <c r="N48" s="39">
        <f>【成行】財政シミュ!W51</f>
        <v>0</v>
      </c>
      <c r="O48" s="39">
        <f t="shared" si="0"/>
        <v>0</v>
      </c>
    </row>
    <row r="49" spans="2:15">
      <c r="B49" s="4"/>
      <c r="C49" s="4"/>
      <c r="D49" s="5" t="s">
        <v>101</v>
      </c>
      <c r="E49" s="8"/>
      <c r="F49" s="1"/>
      <c r="G49" s="10"/>
      <c r="H49" s="10"/>
      <c r="I49" s="10"/>
      <c r="J49" s="10"/>
      <c r="K49" s="39">
        <f>【成行】財政シミュ!T52</f>
        <v>388013019</v>
      </c>
      <c r="L49" s="39">
        <f>【成行】財政シミュ!U52</f>
        <v>393178325</v>
      </c>
      <c r="M49" s="39">
        <f>【成行】財政シミュ!V52</f>
        <v>395267309</v>
      </c>
      <c r="N49" s="39">
        <f>【成行】財政シミュ!W52</f>
        <v>414923088</v>
      </c>
      <c r="O49" s="39">
        <f t="shared" si="0"/>
        <v>1591381741</v>
      </c>
    </row>
    <row r="50" spans="2:15">
      <c r="B50" s="4"/>
      <c r="C50" s="4"/>
      <c r="D50" s="4"/>
      <c r="E50" s="1" t="s">
        <v>79</v>
      </c>
      <c r="F50" s="1"/>
      <c r="G50" s="10"/>
      <c r="H50" s="10" t="s">
        <v>166</v>
      </c>
      <c r="I50" s="10"/>
      <c r="J50" s="10"/>
      <c r="K50" s="39">
        <f>【成行】財政シミュ!T53</f>
        <v>388013019</v>
      </c>
      <c r="L50" s="39">
        <f>【成行】財政シミュ!U53</f>
        <v>393178325</v>
      </c>
      <c r="M50" s="39">
        <f>【成行】財政シミュ!V53</f>
        <v>388776204</v>
      </c>
      <c r="N50" s="39">
        <f>【成行】財政シミュ!W53</f>
        <v>381326720</v>
      </c>
      <c r="O50" s="39">
        <f t="shared" si="0"/>
        <v>1551294268</v>
      </c>
    </row>
    <row r="51" spans="2:15">
      <c r="B51" s="4"/>
      <c r="C51" s="4"/>
      <c r="D51" s="3"/>
      <c r="E51" s="1" t="s">
        <v>80</v>
      </c>
      <c r="F51" s="1"/>
      <c r="G51" s="10"/>
      <c r="H51" s="10" t="s">
        <v>166</v>
      </c>
      <c r="I51" s="10"/>
      <c r="J51" s="10"/>
      <c r="K51" s="39">
        <f>【成行】財政シミュ!T54</f>
        <v>0</v>
      </c>
      <c r="L51" s="39">
        <f>【成行】財政シミュ!U54</f>
        <v>0</v>
      </c>
      <c r="M51" s="39">
        <f>【成行】財政シミュ!V54</f>
        <v>6491105</v>
      </c>
      <c r="N51" s="39">
        <f>【成行】財政シミュ!W54</f>
        <v>33596368</v>
      </c>
      <c r="O51" s="39">
        <f t="shared" si="0"/>
        <v>40087473</v>
      </c>
    </row>
    <row r="52" spans="2:15">
      <c r="B52" s="4"/>
      <c r="C52" s="4"/>
      <c r="D52" s="5" t="s">
        <v>102</v>
      </c>
      <c r="E52" s="8"/>
      <c r="F52" s="1"/>
      <c r="G52" s="10"/>
      <c r="H52" s="10"/>
      <c r="I52" s="10"/>
      <c r="J52" s="10"/>
      <c r="K52" s="39">
        <f>【成行】財政シミュ!T55</f>
        <v>0</v>
      </c>
      <c r="L52" s="39">
        <f>【成行】財政シミュ!U55</f>
        <v>0</v>
      </c>
      <c r="M52" s="39">
        <f>【成行】財政シミュ!V55</f>
        <v>0</v>
      </c>
      <c r="N52" s="39">
        <f>【成行】財政シミュ!W55</f>
        <v>0</v>
      </c>
      <c r="O52" s="39">
        <f t="shared" si="0"/>
        <v>0</v>
      </c>
    </row>
    <row r="53" spans="2:15">
      <c r="B53" s="4"/>
      <c r="C53" s="4"/>
      <c r="D53" s="4"/>
      <c r="E53" s="1" t="s">
        <v>164</v>
      </c>
      <c r="F53" s="1"/>
      <c r="G53" s="10"/>
      <c r="H53" s="10" t="s">
        <v>166</v>
      </c>
      <c r="I53" s="10"/>
      <c r="J53" s="10"/>
      <c r="K53" s="39">
        <f>【成行】財政シミュ!T56</f>
        <v>0</v>
      </c>
      <c r="L53" s="39">
        <f>【成行】財政シミュ!U56</f>
        <v>0</v>
      </c>
      <c r="M53" s="39">
        <f>【成行】財政シミュ!V56</f>
        <v>0</v>
      </c>
      <c r="N53" s="39">
        <f>【成行】財政シミュ!W56</f>
        <v>0</v>
      </c>
      <c r="O53" s="39">
        <f t="shared" si="0"/>
        <v>0</v>
      </c>
    </row>
    <row r="54" spans="2:15">
      <c r="B54" s="4"/>
      <c r="C54" s="3"/>
      <c r="D54" s="3"/>
      <c r="E54" s="1" t="s">
        <v>165</v>
      </c>
      <c r="F54" s="1"/>
      <c r="G54" s="10"/>
      <c r="H54" s="10" t="s">
        <v>166</v>
      </c>
      <c r="I54" s="10"/>
      <c r="J54" s="10"/>
      <c r="K54" s="40">
        <f>【成行】財政シミュ!T57</f>
        <v>0</v>
      </c>
      <c r="L54" s="40">
        <f>【成行】財政シミュ!U57</f>
        <v>0</v>
      </c>
      <c r="M54" s="40">
        <f>【成行】財政シミュ!V57</f>
        <v>0</v>
      </c>
      <c r="N54" s="40">
        <f>【成行】財政シミュ!W57</f>
        <v>0</v>
      </c>
      <c r="O54" s="40">
        <f t="shared" si="0"/>
        <v>0</v>
      </c>
    </row>
    <row r="55" spans="2:15">
      <c r="B55" s="4"/>
      <c r="C55" s="5" t="s">
        <v>103</v>
      </c>
      <c r="D55" s="7"/>
      <c r="E55" s="8"/>
      <c r="F55" s="1"/>
      <c r="G55" s="10"/>
      <c r="H55" s="10"/>
      <c r="I55" s="10"/>
      <c r="J55" s="10"/>
      <c r="K55" s="39">
        <f>【成行】財政シミュ!T58</f>
        <v>14653778.4</v>
      </c>
      <c r="L55" s="39">
        <f>【成行】財政シミュ!U58</f>
        <v>22814486.399999999</v>
      </c>
      <c r="M55" s="39">
        <f>【成行】財政シミュ!V58</f>
        <v>27367391.399999999</v>
      </c>
      <c r="N55" s="39">
        <f>【成行】財政シミュ!W58</f>
        <v>36376614.399999999</v>
      </c>
      <c r="O55" s="39">
        <f t="shared" si="0"/>
        <v>101212270.59999999</v>
      </c>
    </row>
    <row r="56" spans="2:15">
      <c r="B56" s="4"/>
      <c r="C56" s="4"/>
      <c r="D56" s="5" t="s">
        <v>104</v>
      </c>
      <c r="E56" s="8"/>
      <c r="F56" s="1"/>
      <c r="G56" s="10"/>
      <c r="H56" s="10"/>
      <c r="I56" s="10"/>
      <c r="J56" s="10"/>
      <c r="K56" s="39">
        <f>【成行】財政シミュ!T59</f>
        <v>7314499</v>
      </c>
      <c r="L56" s="39">
        <f>【成行】財政シミュ!U59</f>
        <v>15475207</v>
      </c>
      <c r="M56" s="39">
        <f>【成行】財政シミュ!V59</f>
        <v>20028112</v>
      </c>
      <c r="N56" s="39">
        <f>【成行】財政シミュ!W59</f>
        <v>29037335</v>
      </c>
      <c r="O56" s="39">
        <f t="shared" si="0"/>
        <v>71855153</v>
      </c>
    </row>
    <row r="57" spans="2:15">
      <c r="B57" s="4"/>
      <c r="C57" s="4"/>
      <c r="D57" s="4"/>
      <c r="E57" s="1" t="s">
        <v>105</v>
      </c>
      <c r="F57" s="1"/>
      <c r="G57" s="10"/>
      <c r="H57" s="10" t="s">
        <v>166</v>
      </c>
      <c r="I57" s="10"/>
      <c r="J57" s="10"/>
      <c r="K57" s="39">
        <f>【成行】財政シミュ!T60</f>
        <v>7314499</v>
      </c>
      <c r="L57" s="39">
        <f>【成行】財政シミュ!U60</f>
        <v>10426807</v>
      </c>
      <c r="M57" s="39">
        <f>【成行】財政シミュ!V60</f>
        <v>10790095</v>
      </c>
      <c r="N57" s="39">
        <f>【成行】財政シミュ!W60</f>
        <v>10529945</v>
      </c>
      <c r="O57" s="39">
        <f t="shared" si="0"/>
        <v>39061346</v>
      </c>
    </row>
    <row r="58" spans="2:15">
      <c r="B58" s="4"/>
      <c r="C58" s="4"/>
      <c r="D58" s="3"/>
      <c r="E58" s="1" t="s">
        <v>131</v>
      </c>
      <c r="F58" s="1"/>
      <c r="G58" s="10"/>
      <c r="H58" s="10" t="s">
        <v>166</v>
      </c>
      <c r="I58" s="10"/>
      <c r="J58" s="10"/>
      <c r="K58" s="39">
        <f>【成行】財政シミュ!T61</f>
        <v>0</v>
      </c>
      <c r="L58" s="39">
        <f>【成行】財政シミュ!U61</f>
        <v>5048400</v>
      </c>
      <c r="M58" s="39">
        <f>【成行】財政シミュ!V61</f>
        <v>9238017</v>
      </c>
      <c r="N58" s="39">
        <f>【成行】財政シミュ!W61</f>
        <v>18507390</v>
      </c>
      <c r="O58" s="39">
        <f t="shared" si="0"/>
        <v>32793807</v>
      </c>
    </row>
    <row r="59" spans="2:15">
      <c r="B59" s="4"/>
      <c r="C59" s="3"/>
      <c r="D59" s="9" t="s">
        <v>106</v>
      </c>
      <c r="E59" s="8"/>
      <c r="F59" s="1"/>
      <c r="G59" s="10"/>
      <c r="H59" s="10" t="s">
        <v>166</v>
      </c>
      <c r="I59" s="10"/>
      <c r="J59" s="10"/>
      <c r="K59" s="39">
        <f>【成行】財政シミュ!T62</f>
        <v>7339279.4000000004</v>
      </c>
      <c r="L59" s="39">
        <f>【成行】財政シミュ!U62</f>
        <v>7339279.4000000004</v>
      </c>
      <c r="M59" s="39">
        <f>【成行】財政シミュ!V62</f>
        <v>7339279.4000000004</v>
      </c>
      <c r="N59" s="39">
        <f>【成行】財政シミュ!W62</f>
        <v>7339279.4000000004</v>
      </c>
      <c r="O59" s="39">
        <f t="shared" si="0"/>
        <v>29357117.600000001</v>
      </c>
    </row>
    <row r="60" spans="2:15">
      <c r="B60" s="4"/>
      <c r="C60" s="5" t="s">
        <v>107</v>
      </c>
      <c r="D60" s="7"/>
      <c r="E60" s="8"/>
      <c r="F60" s="1"/>
      <c r="G60" s="10"/>
      <c r="H60" s="10"/>
      <c r="I60" s="10"/>
      <c r="J60" s="10"/>
      <c r="K60" s="39">
        <f>【成行】財政シミュ!T63</f>
        <v>0</v>
      </c>
      <c r="L60" s="39">
        <f>【成行】財政シミュ!U63</f>
        <v>0</v>
      </c>
      <c r="M60" s="39">
        <f>【成行】財政シミュ!V63</f>
        <v>0</v>
      </c>
      <c r="N60" s="39">
        <f>【成行】財政シミュ!W63</f>
        <v>0</v>
      </c>
      <c r="O60" s="39">
        <f t="shared" si="0"/>
        <v>0</v>
      </c>
    </row>
    <row r="61" spans="2:15">
      <c r="B61" s="4"/>
      <c r="C61" s="4"/>
      <c r="D61" s="1" t="s">
        <v>108</v>
      </c>
      <c r="E61" s="1"/>
      <c r="F61" s="1"/>
      <c r="G61" s="10"/>
      <c r="H61" s="10" t="s">
        <v>166</v>
      </c>
      <c r="I61" s="10"/>
      <c r="J61" s="10"/>
      <c r="K61" s="40">
        <f>【成行】財政シミュ!T64</f>
        <v>0</v>
      </c>
      <c r="L61" s="40">
        <f>【成行】財政シミュ!U64</f>
        <v>0</v>
      </c>
      <c r="M61" s="40">
        <f>【成行】財政シミュ!V64</f>
        <v>0</v>
      </c>
      <c r="N61" s="40">
        <f>【成行】財政シミュ!W64</f>
        <v>0</v>
      </c>
      <c r="O61" s="40">
        <f t="shared" si="0"/>
        <v>0</v>
      </c>
    </row>
    <row r="62" spans="2:15">
      <c r="B62" s="4"/>
      <c r="C62" s="4"/>
      <c r="D62" s="1" t="s">
        <v>109</v>
      </c>
      <c r="E62" s="1"/>
      <c r="F62" s="1"/>
      <c r="G62" s="10"/>
      <c r="H62" s="10" t="s">
        <v>166</v>
      </c>
      <c r="I62" s="10"/>
      <c r="J62" s="10"/>
      <c r="K62" s="40">
        <f>【成行】財政シミュ!T65</f>
        <v>0</v>
      </c>
      <c r="L62" s="40">
        <f>【成行】財政シミュ!U65</f>
        <v>0</v>
      </c>
      <c r="M62" s="40">
        <f>【成行】財政シミュ!V65</f>
        <v>0</v>
      </c>
      <c r="N62" s="40">
        <f>【成行】財政シミュ!W65</f>
        <v>0</v>
      </c>
      <c r="O62" s="40">
        <f t="shared" si="0"/>
        <v>0</v>
      </c>
    </row>
    <row r="63" spans="2:15">
      <c r="B63" s="4"/>
      <c r="C63" s="4"/>
      <c r="D63" s="1" t="s">
        <v>110</v>
      </c>
      <c r="E63" s="1"/>
      <c r="F63" s="1"/>
      <c r="G63" s="10"/>
      <c r="H63" s="10" t="s">
        <v>166</v>
      </c>
      <c r="I63" s="10"/>
      <c r="J63" s="10"/>
      <c r="K63" s="40">
        <f>【成行】財政シミュ!T66</f>
        <v>0</v>
      </c>
      <c r="L63" s="40">
        <f>【成行】財政シミュ!U66</f>
        <v>0</v>
      </c>
      <c r="M63" s="40">
        <f>【成行】財政シミュ!V66</f>
        <v>0</v>
      </c>
      <c r="N63" s="40">
        <f>【成行】財政シミュ!W66</f>
        <v>0</v>
      </c>
      <c r="O63" s="40">
        <f t="shared" si="0"/>
        <v>0</v>
      </c>
    </row>
    <row r="64" spans="2:15">
      <c r="B64" s="3"/>
      <c r="C64" s="3"/>
      <c r="D64" s="1" t="s">
        <v>111</v>
      </c>
      <c r="E64" s="1"/>
      <c r="F64" s="1"/>
      <c r="G64" s="10"/>
      <c r="H64" s="10" t="s">
        <v>166</v>
      </c>
      <c r="I64" s="10"/>
      <c r="J64" s="10"/>
      <c r="K64" s="40">
        <f>【成行】財政シミュ!T67</f>
        <v>0</v>
      </c>
      <c r="L64" s="40">
        <f>【成行】財政シミュ!U67</f>
        <v>0</v>
      </c>
      <c r="M64" s="40">
        <f>【成行】財政シミュ!V67</f>
        <v>0</v>
      </c>
      <c r="N64" s="40">
        <f>【成行】財政シミュ!W67</f>
        <v>0</v>
      </c>
      <c r="O64" s="40">
        <f t="shared" si="0"/>
        <v>0</v>
      </c>
    </row>
    <row r="65" spans="2:15">
      <c r="B65" s="9" t="s">
        <v>112</v>
      </c>
      <c r="C65" s="7"/>
      <c r="D65" s="7"/>
      <c r="E65" s="8"/>
      <c r="F65" s="1"/>
      <c r="G65" s="10"/>
      <c r="H65" s="10"/>
      <c r="I65" s="10"/>
      <c r="J65" s="10"/>
      <c r="K65" s="39">
        <f>【成行】財政シミュ!T68</f>
        <v>-42377634.100000024</v>
      </c>
      <c r="L65" s="39">
        <f>【成行】財政シミュ!U68</f>
        <v>-49845508.100000024</v>
      </c>
      <c r="M65" s="39">
        <f>【成行】財政シミュ!V68</f>
        <v>-160291.10000002384</v>
      </c>
      <c r="N65" s="39">
        <f>【成行】財政シミュ!W68</f>
        <v>3421065.8473684788</v>
      </c>
      <c r="O65" s="39">
        <f t="shared" si="0"/>
        <v>-88962367.452631593</v>
      </c>
    </row>
    <row r="67" spans="2:15">
      <c r="B67" t="s">
        <v>113</v>
      </c>
    </row>
    <row r="68" spans="2:15">
      <c r="B68" s="11" t="s">
        <v>1</v>
      </c>
      <c r="C68" s="11" t="s">
        <v>2</v>
      </c>
      <c r="D68" s="12" t="s">
        <v>3</v>
      </c>
      <c r="E68" s="13"/>
      <c r="F68" s="20" t="s">
        <v>4</v>
      </c>
      <c r="G68" s="14"/>
      <c r="H68" s="14"/>
      <c r="I68" s="15"/>
      <c r="J68" s="311" t="s">
        <v>162</v>
      </c>
      <c r="K68" s="33" t="s">
        <v>17</v>
      </c>
      <c r="L68" s="31"/>
      <c r="M68" s="31"/>
      <c r="N68" s="32"/>
      <c r="O68" s="32"/>
    </row>
    <row r="69" spans="2:15">
      <c r="B69" s="17"/>
      <c r="C69" s="17"/>
      <c r="D69" s="18"/>
      <c r="E69" s="19"/>
      <c r="F69" s="17"/>
      <c r="G69" s="16" t="s">
        <v>5</v>
      </c>
      <c r="H69" s="16" t="s">
        <v>6</v>
      </c>
      <c r="I69" s="16" t="s">
        <v>7</v>
      </c>
      <c r="J69" s="312"/>
      <c r="K69" s="35" t="s">
        <v>18</v>
      </c>
      <c r="L69" s="35" t="s">
        <v>19</v>
      </c>
      <c r="M69" s="35" t="s">
        <v>20</v>
      </c>
      <c r="N69" s="35" t="s">
        <v>21</v>
      </c>
      <c r="O69" s="35" t="s">
        <v>151</v>
      </c>
    </row>
    <row r="70" spans="2:15">
      <c r="B70" s="5" t="s">
        <v>114</v>
      </c>
      <c r="C70" s="7"/>
      <c r="D70" s="7"/>
      <c r="E70" s="8"/>
      <c r="F70" s="1"/>
      <c r="G70" s="1"/>
      <c r="H70" s="1"/>
      <c r="I70" s="1"/>
      <c r="J70" s="1"/>
      <c r="K70" s="39">
        <f>【成行】財政シミュ!T73</f>
        <v>254424733</v>
      </c>
      <c r="L70" s="39">
        <f>【成行】財政シミュ!U73</f>
        <v>245418000</v>
      </c>
      <c r="M70" s="39">
        <f>【成行】財政シミュ!V73</f>
        <v>1030000000</v>
      </c>
      <c r="N70" s="39">
        <f>【成行】財政シミュ!W73</f>
        <v>950000000</v>
      </c>
      <c r="O70" s="39">
        <f t="shared" ref="O70:O97" si="1">SUM(K70:N70)</f>
        <v>2479842733</v>
      </c>
    </row>
    <row r="71" spans="2:15">
      <c r="B71" s="4"/>
      <c r="C71" s="9" t="s">
        <v>115</v>
      </c>
      <c r="D71" s="7"/>
      <c r="E71" s="8"/>
      <c r="F71" s="1"/>
      <c r="G71" s="1"/>
      <c r="H71" s="1"/>
      <c r="I71" s="1"/>
      <c r="J71" s="1"/>
      <c r="K71" s="39">
        <f>【成行】財政シミュ!T74</f>
        <v>240400000</v>
      </c>
      <c r="L71" s="39">
        <f>【成行】財政シミュ!U74</f>
        <v>203400000</v>
      </c>
      <c r="M71" s="39">
        <f>【成行】財政シミュ!V74</f>
        <v>448670000</v>
      </c>
      <c r="N71" s="39">
        <f>【成行】財政シミュ!W74</f>
        <v>402000000</v>
      </c>
      <c r="O71" s="39">
        <f t="shared" si="1"/>
        <v>1294470000</v>
      </c>
    </row>
    <row r="72" spans="2:15">
      <c r="B72" s="4"/>
      <c r="C72" s="9" t="s">
        <v>116</v>
      </c>
      <c r="D72" s="7"/>
      <c r="E72" s="8"/>
      <c r="F72" s="1"/>
      <c r="G72" s="1"/>
      <c r="H72" s="1"/>
      <c r="I72" s="1"/>
      <c r="J72" s="1"/>
      <c r="K72" s="39" t="e">
        <f>【成行】財政シミュ!#REF!</f>
        <v>#REF!</v>
      </c>
      <c r="L72" s="39" t="e">
        <f>【成行】財政シミュ!#REF!</f>
        <v>#REF!</v>
      </c>
      <c r="M72" s="39" t="e">
        <f>【成行】財政シミュ!#REF!</f>
        <v>#REF!</v>
      </c>
      <c r="N72" s="39" t="e">
        <f>【成行】財政シミュ!#REF!</f>
        <v>#REF!</v>
      </c>
      <c r="O72" s="39" t="e">
        <f t="shared" si="1"/>
        <v>#REF!</v>
      </c>
    </row>
    <row r="73" spans="2:15">
      <c r="B73" s="4"/>
      <c r="C73" s="9" t="s">
        <v>76</v>
      </c>
      <c r="D73" s="7"/>
      <c r="E73" s="8"/>
      <c r="F73" s="1"/>
      <c r="G73" s="1"/>
      <c r="H73" s="1"/>
      <c r="I73" s="1"/>
      <c r="J73" s="1"/>
      <c r="K73" s="39">
        <f>【成行】財政シミュ!T76</f>
        <v>0</v>
      </c>
      <c r="L73" s="39">
        <f>【成行】財政シミュ!U76</f>
        <v>2686000</v>
      </c>
      <c r="M73" s="39">
        <f>【成行】財政シミュ!V76</f>
        <v>3000000</v>
      </c>
      <c r="N73" s="39">
        <f>【成行】財政シミュ!W76</f>
        <v>3000000</v>
      </c>
      <c r="O73" s="39">
        <f t="shared" si="1"/>
        <v>8686000</v>
      </c>
    </row>
    <row r="74" spans="2:15">
      <c r="B74" s="4"/>
      <c r="C74" s="9" t="s">
        <v>117</v>
      </c>
      <c r="D74" s="7"/>
      <c r="E74" s="8"/>
      <c r="F74" s="1"/>
      <c r="G74" s="1"/>
      <c r="H74" s="1"/>
      <c r="I74" s="1"/>
      <c r="J74" s="1"/>
      <c r="K74" s="39">
        <f>【成行】財政シミュ!T77</f>
        <v>4412733</v>
      </c>
      <c r="L74" s="39">
        <f>【成行】財政シミュ!U77</f>
        <v>16366000</v>
      </c>
      <c r="M74" s="39">
        <f>【成行】財政シミュ!V77</f>
        <v>63330000</v>
      </c>
      <c r="N74" s="39">
        <f>【成行】財政シミュ!W77</f>
        <v>50000000</v>
      </c>
      <c r="O74" s="39">
        <f t="shared" si="1"/>
        <v>134108733</v>
      </c>
    </row>
    <row r="75" spans="2:15">
      <c r="B75" s="4"/>
      <c r="C75" s="9" t="s">
        <v>118</v>
      </c>
      <c r="D75" s="7"/>
      <c r="E75" s="8"/>
      <c r="F75" s="1"/>
      <c r="G75" s="1"/>
      <c r="H75" s="1"/>
      <c r="I75" s="1"/>
      <c r="J75" s="1"/>
      <c r="K75" s="39">
        <f>【成行】財政シミュ!T78</f>
        <v>9612000</v>
      </c>
      <c r="L75" s="39">
        <f>【成行】財政シミュ!U78</f>
        <v>6600000</v>
      </c>
      <c r="M75" s="39">
        <f>【成行】財政シミュ!V78</f>
        <v>0</v>
      </c>
      <c r="N75" s="39">
        <f>【成行】財政シミュ!W78</f>
        <v>0</v>
      </c>
      <c r="O75" s="39">
        <f t="shared" si="1"/>
        <v>16212000</v>
      </c>
    </row>
    <row r="76" spans="2:15">
      <c r="B76" s="3"/>
      <c r="C76" s="9" t="s">
        <v>119</v>
      </c>
      <c r="D76" s="7"/>
      <c r="E76" s="8"/>
      <c r="F76" s="1"/>
      <c r="G76" s="1"/>
      <c r="H76" s="1"/>
      <c r="I76" s="1"/>
      <c r="J76" s="1"/>
      <c r="K76" s="39">
        <f>【成行】財政シミュ!T79</f>
        <v>0</v>
      </c>
      <c r="L76" s="39">
        <f>【成行】財政シミュ!U79</f>
        <v>0</v>
      </c>
      <c r="M76" s="39">
        <f>【成行】財政シミュ!V79</f>
        <v>0</v>
      </c>
      <c r="N76" s="39">
        <f>【成行】財政シミュ!W79</f>
        <v>0</v>
      </c>
      <c r="O76" s="39">
        <f t="shared" si="1"/>
        <v>0</v>
      </c>
    </row>
    <row r="77" spans="2:15">
      <c r="B77" s="5" t="s">
        <v>120</v>
      </c>
      <c r="C77" s="7"/>
      <c r="D77" s="7"/>
      <c r="E77" s="8"/>
      <c r="F77" s="1"/>
      <c r="G77" s="1"/>
      <c r="H77" s="1"/>
      <c r="I77" s="1"/>
      <c r="J77" s="1"/>
      <c r="K77" s="39">
        <f>【成行】財政シミュ!T80</f>
        <v>267061936</v>
      </c>
      <c r="L77" s="39">
        <f>【成行】財政シミュ!U80</f>
        <v>264833249</v>
      </c>
      <c r="M77" s="39">
        <f>【成行】財政シミュ!V80</f>
        <v>1068153082</v>
      </c>
      <c r="N77" s="39">
        <f>【成行】財政シミュ!W80</f>
        <v>1009344748</v>
      </c>
      <c r="O77" s="39">
        <f t="shared" si="1"/>
        <v>2609393015</v>
      </c>
    </row>
    <row r="78" spans="2:15">
      <c r="B78" s="4"/>
      <c r="C78" s="5" t="s">
        <v>121</v>
      </c>
      <c r="D78" s="7"/>
      <c r="E78" s="8"/>
      <c r="F78" s="1"/>
      <c r="G78" s="1"/>
      <c r="H78" s="1"/>
      <c r="I78" s="1"/>
      <c r="J78" s="1"/>
      <c r="K78" s="39">
        <f>【成行】財政シミュ!T81</f>
        <v>0</v>
      </c>
      <c r="L78" s="39">
        <f>【成行】財政シミュ!U81</f>
        <v>0</v>
      </c>
      <c r="M78" s="39">
        <f>【成行】財政シミュ!V81</f>
        <v>0</v>
      </c>
      <c r="N78" s="39">
        <f>【成行】財政シミュ!W81</f>
        <v>0</v>
      </c>
      <c r="O78" s="39">
        <f t="shared" si="1"/>
        <v>0</v>
      </c>
    </row>
    <row r="79" spans="2:15">
      <c r="B79" s="4"/>
      <c r="C79" s="4"/>
      <c r="D79" s="5" t="s">
        <v>122</v>
      </c>
      <c r="E79" s="8"/>
      <c r="F79" s="1"/>
      <c r="G79" s="1"/>
      <c r="H79" s="1"/>
      <c r="I79" s="1"/>
      <c r="J79" s="1"/>
      <c r="K79" s="39">
        <f>【成行】財政シミュ!T82</f>
        <v>0</v>
      </c>
      <c r="L79" s="39">
        <f>【成行】財政シミュ!U82</f>
        <v>0</v>
      </c>
      <c r="M79" s="39">
        <f>【成行】財政シミュ!V82</f>
        <v>0</v>
      </c>
      <c r="N79" s="39">
        <f>【成行】財政シミュ!W82</f>
        <v>0</v>
      </c>
      <c r="O79" s="39">
        <f t="shared" si="1"/>
        <v>0</v>
      </c>
    </row>
    <row r="80" spans="2:15">
      <c r="B80" s="4"/>
      <c r="C80" s="4"/>
      <c r="D80" s="4"/>
      <c r="E80" s="1" t="s">
        <v>89</v>
      </c>
      <c r="F80" s="1"/>
      <c r="G80" s="1"/>
      <c r="H80" s="1"/>
      <c r="I80" s="1"/>
      <c r="J80" s="1"/>
      <c r="K80" s="39">
        <f>【成行】財政シミュ!T83</f>
        <v>0</v>
      </c>
      <c r="L80" s="39">
        <f>【成行】財政シミュ!U83</f>
        <v>0</v>
      </c>
      <c r="M80" s="39">
        <f>【成行】財政シミュ!V83</f>
        <v>0</v>
      </c>
      <c r="N80" s="39">
        <f>【成行】財政シミュ!W83</f>
        <v>0</v>
      </c>
      <c r="O80" s="39">
        <f t="shared" si="1"/>
        <v>0</v>
      </c>
    </row>
    <row r="81" spans="2:15">
      <c r="B81" s="4"/>
      <c r="C81" s="3"/>
      <c r="D81" s="3"/>
      <c r="E81" s="1" t="s">
        <v>94</v>
      </c>
      <c r="F81" s="1"/>
      <c r="G81" s="1"/>
      <c r="H81" s="1"/>
      <c r="I81" s="1"/>
      <c r="J81" s="1"/>
      <c r="K81" s="39">
        <f>【成行】財政シミュ!T84</f>
        <v>0</v>
      </c>
      <c r="L81" s="39">
        <f>【成行】財政シミュ!U84</f>
        <v>0</v>
      </c>
      <c r="M81" s="39">
        <f>【成行】財政シミュ!V84</f>
        <v>0</v>
      </c>
      <c r="N81" s="39">
        <f>【成行】財政シミュ!W84</f>
        <v>0</v>
      </c>
      <c r="O81" s="39">
        <f t="shared" si="1"/>
        <v>0</v>
      </c>
    </row>
    <row r="82" spans="2:15">
      <c r="B82" s="4"/>
      <c r="C82" s="9" t="s">
        <v>123</v>
      </c>
      <c r="D82" s="7"/>
      <c r="E82" s="8"/>
      <c r="F82" s="1"/>
      <c r="G82" s="1"/>
      <c r="H82" s="1"/>
      <c r="I82" s="1"/>
      <c r="J82" s="1"/>
      <c r="K82" s="39">
        <f>【成行】財政シミュ!T85</f>
        <v>252917719</v>
      </c>
      <c r="L82" s="39">
        <f>【成行】財政シミュ!U85</f>
        <v>0</v>
      </c>
      <c r="M82" s="39">
        <f>【成行】財政シミュ!V85</f>
        <v>0</v>
      </c>
      <c r="N82" s="39">
        <f>【成行】財政シミュ!W85</f>
        <v>0</v>
      </c>
      <c r="O82" s="39">
        <f t="shared" si="1"/>
        <v>252917719</v>
      </c>
    </row>
    <row r="83" spans="2:15">
      <c r="B83" s="4"/>
      <c r="C83" s="5" t="s">
        <v>124</v>
      </c>
      <c r="D83" s="7"/>
      <c r="E83" s="8"/>
      <c r="F83" s="1"/>
      <c r="G83" s="1"/>
      <c r="H83" s="1"/>
      <c r="I83" s="1"/>
      <c r="J83" s="1"/>
      <c r="K83" s="39">
        <f>【成行】財政シミュ!T86</f>
        <v>0</v>
      </c>
      <c r="L83" s="39">
        <f>【成行】財政シミュ!U86</f>
        <v>32732000</v>
      </c>
      <c r="M83" s="39">
        <f>【成行】財政シミュ!V86</f>
        <v>750000000</v>
      </c>
      <c r="N83" s="39">
        <f>【成行】財政シミュ!W86</f>
        <v>670000000</v>
      </c>
      <c r="O83" s="39">
        <f t="shared" si="1"/>
        <v>1452732000</v>
      </c>
    </row>
    <row r="84" spans="2:15">
      <c r="B84" s="4"/>
      <c r="C84" s="4"/>
      <c r="D84" s="9" t="s">
        <v>92</v>
      </c>
      <c r="E84" s="8"/>
      <c r="F84" s="1"/>
      <c r="G84" s="1"/>
      <c r="H84" s="1"/>
      <c r="I84" s="1"/>
      <c r="J84" s="1"/>
      <c r="K84" s="39">
        <f>【成行】財政シミュ!T87</f>
        <v>0</v>
      </c>
      <c r="L84" s="39">
        <f>【成行】財政シミュ!U87</f>
        <v>32732000</v>
      </c>
      <c r="M84" s="39">
        <f>【成行】財政シミュ!V87</f>
        <v>0</v>
      </c>
      <c r="N84" s="39">
        <f>【成行】財政シミュ!W87</f>
        <v>0</v>
      </c>
      <c r="O84" s="39">
        <f t="shared" si="1"/>
        <v>32732000</v>
      </c>
    </row>
    <row r="85" spans="2:15">
      <c r="B85" s="4"/>
      <c r="C85" s="4"/>
      <c r="D85" s="9" t="s">
        <v>125</v>
      </c>
      <c r="E85" s="8"/>
      <c r="F85" s="1"/>
      <c r="G85" s="1"/>
      <c r="H85" s="1"/>
      <c r="I85" s="1"/>
      <c r="J85" s="1"/>
      <c r="K85" s="39">
        <f>【成行】財政シミュ!T88</f>
        <v>0</v>
      </c>
      <c r="L85" s="39">
        <f>【成行】財政シミュ!U88</f>
        <v>0</v>
      </c>
      <c r="M85" s="39">
        <f>【成行】財政シミュ!V88</f>
        <v>750000000</v>
      </c>
      <c r="N85" s="39">
        <f>【成行】財政シミュ!W88</f>
        <v>670000000</v>
      </c>
      <c r="O85" s="39">
        <f t="shared" si="1"/>
        <v>1420000000</v>
      </c>
    </row>
    <row r="86" spans="2:15">
      <c r="B86" s="4"/>
      <c r="C86" s="3"/>
      <c r="D86" s="9" t="s">
        <v>126</v>
      </c>
      <c r="E86" s="8"/>
      <c r="F86" s="1"/>
      <c r="G86" s="1"/>
      <c r="H86" s="1"/>
      <c r="I86" s="1"/>
      <c r="J86" s="1"/>
      <c r="K86" s="39">
        <f>【成行】財政シミュ!T89</f>
        <v>0</v>
      </c>
      <c r="L86" s="39">
        <f>【成行】財政シミュ!U89</f>
        <v>0</v>
      </c>
      <c r="M86" s="39">
        <f>【成行】財政シミュ!V89</f>
        <v>0</v>
      </c>
      <c r="N86" s="39">
        <f>【成行】財政シミュ!W89</f>
        <v>0</v>
      </c>
      <c r="O86" s="39">
        <f t="shared" si="1"/>
        <v>0</v>
      </c>
    </row>
    <row r="87" spans="2:15">
      <c r="B87" s="4"/>
      <c r="C87" s="5" t="s">
        <v>127</v>
      </c>
      <c r="D87" s="7"/>
      <c r="E87" s="8"/>
      <c r="F87" s="1"/>
      <c r="G87" s="1"/>
      <c r="H87" s="1"/>
      <c r="I87" s="1"/>
      <c r="J87" s="1"/>
      <c r="K87" s="39">
        <f>【成行】財政シミュ!T90</f>
        <v>0</v>
      </c>
      <c r="L87" s="39">
        <f>【成行】財政シミュ!U90</f>
        <v>213930000</v>
      </c>
      <c r="M87" s="39">
        <f>【成行】財政シミュ!V90</f>
        <v>280000000</v>
      </c>
      <c r="N87" s="39">
        <f>【成行】財政シミュ!W90</f>
        <v>280000000</v>
      </c>
      <c r="O87" s="39">
        <f t="shared" si="1"/>
        <v>773930000</v>
      </c>
    </row>
    <row r="88" spans="2:15">
      <c r="B88" s="4"/>
      <c r="C88" s="4"/>
      <c r="D88" s="9" t="s">
        <v>92</v>
      </c>
      <c r="E88" s="8"/>
      <c r="F88" s="1"/>
      <c r="G88" s="1"/>
      <c r="H88" s="1"/>
      <c r="I88" s="1"/>
      <c r="J88" s="1"/>
      <c r="K88" s="39">
        <f>【成行】財政シミュ!T91</f>
        <v>0</v>
      </c>
      <c r="L88" s="39">
        <f>【成行】財政シミュ!U91</f>
        <v>0</v>
      </c>
      <c r="M88" s="39">
        <f>【成行】財政シミュ!V91</f>
        <v>0</v>
      </c>
      <c r="N88" s="39">
        <f>【成行】財政シミュ!W91</f>
        <v>0</v>
      </c>
      <c r="O88" s="39">
        <f t="shared" si="1"/>
        <v>0</v>
      </c>
    </row>
    <row r="89" spans="2:15">
      <c r="B89" s="4"/>
      <c r="C89" s="4"/>
      <c r="D89" s="9" t="s">
        <v>125</v>
      </c>
      <c r="E89" s="8"/>
      <c r="F89" s="1"/>
      <c r="G89" s="1"/>
      <c r="H89" s="1"/>
      <c r="I89" s="1"/>
      <c r="J89" s="1"/>
      <c r="K89" s="39">
        <f>【成行】財政シミュ!T92</f>
        <v>0</v>
      </c>
      <c r="L89" s="39">
        <f>【成行】財政シミュ!U92</f>
        <v>210000000</v>
      </c>
      <c r="M89" s="39">
        <f>【成行】財政シミュ!V92</f>
        <v>260000000</v>
      </c>
      <c r="N89" s="39">
        <f>【成行】財政シミュ!W92</f>
        <v>260000000</v>
      </c>
      <c r="O89" s="39">
        <f t="shared" si="1"/>
        <v>730000000</v>
      </c>
    </row>
    <row r="90" spans="2:15">
      <c r="B90" s="4"/>
      <c r="C90" s="4"/>
      <c r="D90" s="9" t="s">
        <v>128</v>
      </c>
      <c r="E90" s="8"/>
      <c r="F90" s="1"/>
      <c r="G90" s="1"/>
      <c r="H90" s="1"/>
      <c r="I90" s="1"/>
      <c r="J90" s="1"/>
      <c r="K90" s="39">
        <f>【成行】財政シミュ!T93</f>
        <v>0</v>
      </c>
      <c r="L90" s="39">
        <f>【成行】財政シミュ!U93</f>
        <v>3930000</v>
      </c>
      <c r="M90" s="39">
        <f>【成行】財政シミュ!V93</f>
        <v>20000000</v>
      </c>
      <c r="N90" s="39">
        <f>【成行】財政シミュ!W93</f>
        <v>20000000</v>
      </c>
      <c r="O90" s="39">
        <f t="shared" si="1"/>
        <v>43930000</v>
      </c>
    </row>
    <row r="91" spans="2:15">
      <c r="B91" s="4"/>
      <c r="C91" s="4"/>
      <c r="D91" s="9" t="s">
        <v>126</v>
      </c>
      <c r="E91" s="8"/>
      <c r="F91" s="1"/>
      <c r="G91" s="1"/>
      <c r="H91" s="1"/>
      <c r="I91" s="1"/>
      <c r="J91" s="1"/>
      <c r="K91" s="39">
        <f>【成行】財政シミュ!T94</f>
        <v>0</v>
      </c>
      <c r="L91" s="39">
        <f>【成行】財政シミュ!U94</f>
        <v>0</v>
      </c>
      <c r="M91" s="39">
        <f>【成行】財政シミュ!V94</f>
        <v>0</v>
      </c>
      <c r="N91" s="39">
        <f>【成行】財政シミュ!W94</f>
        <v>0</v>
      </c>
      <c r="O91" s="39">
        <f t="shared" si="1"/>
        <v>0</v>
      </c>
    </row>
    <row r="92" spans="2:15">
      <c r="B92" s="4"/>
      <c r="C92" s="3"/>
      <c r="D92" s="9" t="s">
        <v>129</v>
      </c>
      <c r="E92" s="8"/>
      <c r="F92" s="1"/>
      <c r="G92" s="1"/>
      <c r="H92" s="1"/>
      <c r="I92" s="1"/>
      <c r="J92" s="1"/>
      <c r="K92" s="39">
        <f>【成行】財政シミュ!T95</f>
        <v>0</v>
      </c>
      <c r="L92" s="39">
        <f>【成行】財政シミュ!U95</f>
        <v>0</v>
      </c>
      <c r="M92" s="39">
        <f>【成行】財政シミュ!V95</f>
        <v>0</v>
      </c>
      <c r="N92" s="39">
        <f>【成行】財政シミュ!W95</f>
        <v>0</v>
      </c>
      <c r="O92" s="39">
        <f t="shared" si="1"/>
        <v>0</v>
      </c>
    </row>
    <row r="93" spans="2:15">
      <c r="B93" s="4"/>
      <c r="C93" s="2" t="s">
        <v>130</v>
      </c>
      <c r="D93" s="1"/>
      <c r="E93" s="1"/>
      <c r="F93" s="1"/>
      <c r="G93" s="1"/>
      <c r="H93" s="1"/>
      <c r="I93" s="1"/>
      <c r="J93" s="1"/>
      <c r="K93" s="39">
        <f>【成行】財政シミュ!T96</f>
        <v>14144217</v>
      </c>
      <c r="L93" s="39">
        <f>【成行】財政シミュ!U96</f>
        <v>18171249</v>
      </c>
      <c r="M93" s="39">
        <f>【成行】財政シミュ!V96</f>
        <v>38153082</v>
      </c>
      <c r="N93" s="39">
        <f>【成行】財政シミュ!W96</f>
        <v>59344748</v>
      </c>
      <c r="O93" s="39">
        <f t="shared" si="1"/>
        <v>129813296</v>
      </c>
    </row>
    <row r="94" spans="2:15">
      <c r="B94" s="4"/>
      <c r="C94" s="4"/>
      <c r="D94" s="9" t="s">
        <v>105</v>
      </c>
      <c r="E94" s="8"/>
      <c r="F94" s="1"/>
      <c r="G94" s="1"/>
      <c r="H94" s="1"/>
      <c r="I94" s="1"/>
      <c r="J94" s="1"/>
      <c r="K94" s="39">
        <f>【成行】財政シミュ!T97</f>
        <v>14144217</v>
      </c>
      <c r="L94" s="39">
        <f>【成行】財政シミュ!U97</f>
        <v>18171249</v>
      </c>
      <c r="M94" s="39">
        <f>【成行】財政シミュ!V97</f>
        <v>30881790</v>
      </c>
      <c r="N94" s="39">
        <f>【成行】財政シミュ!W97</f>
        <v>44652356</v>
      </c>
      <c r="O94" s="39">
        <f t="shared" si="1"/>
        <v>107849612</v>
      </c>
    </row>
    <row r="95" spans="2:15">
      <c r="B95" s="4"/>
      <c r="C95" s="3"/>
      <c r="D95" s="9" t="s">
        <v>131</v>
      </c>
      <c r="E95" s="8"/>
      <c r="F95" s="1"/>
      <c r="G95" s="1"/>
      <c r="H95" s="1"/>
      <c r="I95" s="1"/>
      <c r="J95" s="1"/>
      <c r="K95" s="39">
        <f>【成行】財政シミュ!T98</f>
        <v>0</v>
      </c>
      <c r="L95" s="39">
        <f>【成行】財政シミュ!U98</f>
        <v>0</v>
      </c>
      <c r="M95" s="39">
        <f>【成行】財政シミュ!V98</f>
        <v>7271292</v>
      </c>
      <c r="N95" s="39">
        <f>【成行】財政シミュ!W98</f>
        <v>14692392</v>
      </c>
      <c r="O95" s="39">
        <f t="shared" si="1"/>
        <v>21963684</v>
      </c>
    </row>
    <row r="96" spans="2:15">
      <c r="B96" s="3"/>
      <c r="C96" s="1" t="s">
        <v>132</v>
      </c>
      <c r="D96" s="1"/>
      <c r="E96" s="1"/>
      <c r="F96" s="1"/>
      <c r="G96" s="1"/>
      <c r="H96" s="1"/>
      <c r="I96" s="1"/>
      <c r="J96" s="1"/>
      <c r="K96" s="39">
        <f>【成行】財政シミュ!T99</f>
        <v>0</v>
      </c>
      <c r="L96" s="39">
        <f>【成行】財政シミュ!U99</f>
        <v>0</v>
      </c>
      <c r="M96" s="39">
        <f>【成行】財政シミュ!V99</f>
        <v>0</v>
      </c>
      <c r="N96" s="39">
        <f>【成行】財政シミュ!W99</f>
        <v>0</v>
      </c>
      <c r="O96" s="39">
        <f t="shared" si="1"/>
        <v>0</v>
      </c>
    </row>
    <row r="97" spans="2:15">
      <c r="B97" s="9" t="s">
        <v>133</v>
      </c>
      <c r="C97" s="7"/>
      <c r="D97" s="7"/>
      <c r="E97" s="8"/>
      <c r="F97" s="1"/>
      <c r="G97" s="1"/>
      <c r="H97" s="1"/>
      <c r="I97" s="1"/>
      <c r="J97" s="1"/>
      <c r="K97" s="39">
        <f>【成行】財政シミュ!T100</f>
        <v>-12637203</v>
      </c>
      <c r="L97" s="39">
        <f>【成行】財政シミュ!U100</f>
        <v>-19415249</v>
      </c>
      <c r="M97" s="39">
        <f>【成行】財政シミュ!V100</f>
        <v>-38153082</v>
      </c>
      <c r="N97" s="39">
        <f>【成行】財政シミュ!W100</f>
        <v>-59344748</v>
      </c>
      <c r="O97" s="39">
        <f t="shared" si="1"/>
        <v>-129550282</v>
      </c>
    </row>
    <row r="99" spans="2:15">
      <c r="B99" t="s">
        <v>134</v>
      </c>
    </row>
    <row r="100" spans="2:15">
      <c r="B100" s="11" t="s">
        <v>1</v>
      </c>
      <c r="C100" s="11" t="s">
        <v>2</v>
      </c>
      <c r="D100" s="12" t="s">
        <v>3</v>
      </c>
      <c r="E100" s="13"/>
      <c r="F100" s="20" t="s">
        <v>4</v>
      </c>
      <c r="G100" s="14"/>
      <c r="H100" s="14"/>
      <c r="I100" s="15"/>
      <c r="J100" s="311" t="s">
        <v>162</v>
      </c>
      <c r="K100" s="33" t="s">
        <v>17</v>
      </c>
      <c r="L100" s="31"/>
      <c r="M100" s="31"/>
      <c r="N100" s="32"/>
      <c r="O100" s="32"/>
    </row>
    <row r="101" spans="2:15">
      <c r="B101" s="17"/>
      <c r="C101" s="17"/>
      <c r="D101" s="18"/>
      <c r="E101" s="19"/>
      <c r="F101" s="17"/>
      <c r="G101" s="16" t="s">
        <v>5</v>
      </c>
      <c r="H101" s="16" t="s">
        <v>6</v>
      </c>
      <c r="I101" s="16" t="s">
        <v>7</v>
      </c>
      <c r="J101" s="312"/>
      <c r="K101" s="35" t="s">
        <v>18</v>
      </c>
      <c r="L101" s="35" t="s">
        <v>19</v>
      </c>
      <c r="M101" s="35" t="s">
        <v>20</v>
      </c>
      <c r="N101" s="35" t="s">
        <v>21</v>
      </c>
      <c r="O101" s="35" t="s">
        <v>151</v>
      </c>
    </row>
    <row r="102" spans="2:15">
      <c r="B102" s="9" t="s">
        <v>133</v>
      </c>
      <c r="C102" s="7"/>
      <c r="D102" s="7"/>
      <c r="E102" s="8"/>
      <c r="F102" s="1"/>
      <c r="G102" s="1"/>
      <c r="H102" s="1"/>
      <c r="I102" s="1"/>
      <c r="J102" s="1"/>
      <c r="K102" s="39">
        <f>【成行】財政シミュ!T105</f>
        <v>-12637203</v>
      </c>
      <c r="L102" s="39">
        <f>【成行】財政シミュ!U105</f>
        <v>-19415249</v>
      </c>
      <c r="M102" s="39">
        <f>【成行】財政シミュ!V105</f>
        <v>-38153082</v>
      </c>
      <c r="N102" s="39">
        <f>【成行】財政シミュ!W105</f>
        <v>-59344748</v>
      </c>
      <c r="O102" s="39">
        <f t="shared" ref="O102:O120" si="2">SUM(K102:N102)</f>
        <v>-129550282</v>
      </c>
    </row>
    <row r="103" spans="2:15">
      <c r="B103" s="308" t="s">
        <v>135</v>
      </c>
      <c r="C103" s="9" t="s">
        <v>136</v>
      </c>
      <c r="D103" s="7"/>
      <c r="E103" s="8"/>
      <c r="F103" s="1"/>
      <c r="G103" s="1"/>
      <c r="H103" s="1"/>
      <c r="I103" s="1"/>
      <c r="J103" s="1"/>
      <c r="K103" s="39" t="e">
        <f>【成行】財政シミュ!#REF!</f>
        <v>#REF!</v>
      </c>
      <c r="L103" s="39" t="e">
        <f>【成行】財政シミュ!#REF!</f>
        <v>#REF!</v>
      </c>
      <c r="M103" s="39" t="e">
        <f>【成行】財政シミュ!#REF!</f>
        <v>#REF!</v>
      </c>
      <c r="N103" s="39" t="e">
        <f>【成行】財政シミュ!#REF!</f>
        <v>#REF!</v>
      </c>
      <c r="O103" s="39" t="e">
        <f t="shared" si="2"/>
        <v>#REF!</v>
      </c>
    </row>
    <row r="104" spans="2:15">
      <c r="B104" s="309"/>
      <c r="C104" s="308" t="s">
        <v>137</v>
      </c>
      <c r="D104" s="9" t="s">
        <v>138</v>
      </c>
      <c r="E104" s="8"/>
      <c r="F104" s="1"/>
      <c r="G104" s="1"/>
      <c r="H104" s="1"/>
      <c r="I104" s="1"/>
      <c r="J104" s="1"/>
      <c r="K104" s="39" t="e">
        <f>【成行】財政シミュ!#REF!</f>
        <v>#REF!</v>
      </c>
      <c r="L104" s="39" t="e">
        <f>【成行】財政シミュ!#REF!</f>
        <v>#REF!</v>
      </c>
      <c r="M104" s="39" t="e">
        <f>【成行】財政シミュ!#REF!</f>
        <v>#REF!</v>
      </c>
      <c r="N104" s="39" t="e">
        <f>【成行】財政シミュ!#REF!</f>
        <v>#REF!</v>
      </c>
      <c r="O104" s="39" t="e">
        <f t="shared" si="2"/>
        <v>#REF!</v>
      </c>
    </row>
    <row r="105" spans="2:15">
      <c r="B105" s="309"/>
      <c r="C105" s="309"/>
      <c r="D105" s="9" t="s">
        <v>139</v>
      </c>
      <c r="E105" s="8"/>
      <c r="F105" s="1"/>
      <c r="G105" s="1"/>
      <c r="H105" s="1"/>
      <c r="I105" s="1"/>
      <c r="J105" s="1"/>
      <c r="K105" s="39">
        <f>【成行】財政シミュ!T106</f>
        <v>-42377634.100000024</v>
      </c>
      <c r="L105" s="39">
        <f>【成行】財政シミュ!U106</f>
        <v>-49845508.100000024</v>
      </c>
      <c r="M105" s="39">
        <f>【成行】財政シミュ!V106</f>
        <v>-160291.10000002384</v>
      </c>
      <c r="N105" s="39">
        <f>【成行】財政シミュ!W106</f>
        <v>3421065.8473684788</v>
      </c>
      <c r="O105" s="39">
        <f t="shared" si="2"/>
        <v>-88962367.452631593</v>
      </c>
    </row>
    <row r="106" spans="2:15">
      <c r="B106" s="309"/>
      <c r="C106" s="310"/>
      <c r="D106" s="9" t="s">
        <v>140</v>
      </c>
      <c r="E106" s="8"/>
      <c r="F106" s="1"/>
      <c r="G106" s="1"/>
      <c r="H106" s="1"/>
      <c r="I106" s="1"/>
      <c r="J106" s="1"/>
      <c r="K106" s="39">
        <f>【成行】財政シミュ!T107</f>
        <v>-42377634.100000024</v>
      </c>
      <c r="L106" s="39">
        <f>【成行】財政シミュ!U107</f>
        <v>-49845508.100000024</v>
      </c>
      <c r="M106" s="39">
        <f>【成行】財政シミュ!V107</f>
        <v>-160291.10000002384</v>
      </c>
      <c r="N106" s="39">
        <f>【成行】財政シミュ!W107</f>
        <v>3421065.8473684788</v>
      </c>
      <c r="O106" s="39">
        <f t="shared" si="2"/>
        <v>-88962367.452631593</v>
      </c>
    </row>
    <row r="107" spans="2:15">
      <c r="B107" s="309"/>
      <c r="C107" s="308" t="s">
        <v>141</v>
      </c>
      <c r="D107" s="9" t="s">
        <v>142</v>
      </c>
      <c r="E107" s="8"/>
      <c r="F107" s="1"/>
      <c r="G107" s="1"/>
      <c r="H107" s="1"/>
      <c r="I107" s="1"/>
      <c r="J107" s="1"/>
      <c r="K107" s="39" t="e">
        <f>【成行】財政シミュ!#REF!</f>
        <v>#REF!</v>
      </c>
      <c r="L107" s="39" t="e">
        <f>【成行】財政シミュ!#REF!</f>
        <v>#REF!</v>
      </c>
      <c r="M107" s="39" t="e">
        <f>【成行】財政シミュ!#REF!</f>
        <v>#REF!</v>
      </c>
      <c r="N107" s="39" t="e">
        <f>【成行】財政シミュ!#REF!</f>
        <v>#REF!</v>
      </c>
      <c r="O107" s="39" t="e">
        <f t="shared" si="2"/>
        <v>#REF!</v>
      </c>
    </row>
    <row r="108" spans="2:15">
      <c r="B108" s="309"/>
      <c r="C108" s="309"/>
      <c r="D108" s="308" t="s">
        <v>143</v>
      </c>
      <c r="E108" s="1" t="s">
        <v>101</v>
      </c>
      <c r="F108" s="1"/>
      <c r="G108" s="1"/>
      <c r="H108" s="1"/>
      <c r="I108" s="1"/>
      <c r="J108" s="1"/>
      <c r="K108" s="39">
        <f>【成行】財政シミュ!T108</f>
        <v>388013019</v>
      </c>
      <c r="L108" s="39">
        <f>【成行】財政シミュ!U108</f>
        <v>393178325</v>
      </c>
      <c r="M108" s="39">
        <f>【成行】財政シミュ!V108</f>
        <v>395267309</v>
      </c>
      <c r="N108" s="39">
        <f>【成行】財政シミュ!W108</f>
        <v>414923088</v>
      </c>
      <c r="O108" s="39">
        <f t="shared" si="2"/>
        <v>1591381741</v>
      </c>
    </row>
    <row r="109" spans="2:15">
      <c r="B109" s="309"/>
      <c r="C109" s="309"/>
      <c r="D109" s="309"/>
      <c r="E109" s="1" t="s">
        <v>102</v>
      </c>
      <c r="F109" s="1"/>
      <c r="G109" s="1"/>
      <c r="H109" s="1"/>
      <c r="I109" s="1"/>
      <c r="J109" s="1"/>
      <c r="K109" s="39">
        <f>【成行】財政シミュ!T109</f>
        <v>0</v>
      </c>
      <c r="L109" s="39">
        <f>【成行】財政シミュ!U109</f>
        <v>0</v>
      </c>
      <c r="M109" s="39">
        <f>【成行】財政シミュ!V109</f>
        <v>0</v>
      </c>
      <c r="N109" s="39">
        <f>【成行】財政シミュ!W109</f>
        <v>0</v>
      </c>
      <c r="O109" s="39">
        <f t="shared" si="2"/>
        <v>0</v>
      </c>
    </row>
    <row r="110" spans="2:15">
      <c r="B110" s="309"/>
      <c r="C110" s="309"/>
      <c r="D110" s="310"/>
      <c r="E110" s="1" t="s">
        <v>144</v>
      </c>
      <c r="F110" s="1"/>
      <c r="G110" s="1"/>
      <c r="H110" s="1"/>
      <c r="I110" s="1"/>
      <c r="J110" s="1"/>
      <c r="K110" s="39">
        <f>【成行】財政シミュ!T110</f>
        <v>-334202174</v>
      </c>
      <c r="L110" s="39">
        <f>【成行】財政シミュ!U110</f>
        <v>-334252462</v>
      </c>
      <c r="M110" s="39">
        <f>【成行】財政シミュ!V110</f>
        <v>-329946028</v>
      </c>
      <c r="N110" s="39">
        <f>【成行】財政シミュ!W110</f>
        <v>-324870100.94736844</v>
      </c>
      <c r="O110" s="39">
        <f t="shared" si="2"/>
        <v>-1323270764.9473684</v>
      </c>
    </row>
    <row r="111" spans="2:15">
      <c r="B111" s="309"/>
      <c r="C111" s="310"/>
      <c r="D111" s="9" t="s">
        <v>140</v>
      </c>
      <c r="E111" s="8"/>
      <c r="F111" s="1"/>
      <c r="G111" s="1"/>
      <c r="H111" s="1"/>
      <c r="I111" s="1"/>
      <c r="J111" s="1"/>
      <c r="K111" s="39">
        <f>【成行】財政シミュ!T111</f>
        <v>53810845</v>
      </c>
      <c r="L111" s="39">
        <f>【成行】財政シミュ!U111</f>
        <v>58925863</v>
      </c>
      <c r="M111" s="39">
        <f>【成行】財政シミュ!V111</f>
        <v>65321281</v>
      </c>
      <c r="N111" s="39">
        <f>【成行】財政シミュ!W111</f>
        <v>90052987.052631557</v>
      </c>
      <c r="O111" s="39">
        <f t="shared" si="2"/>
        <v>268110976.05263156</v>
      </c>
    </row>
    <row r="112" spans="2:15">
      <c r="B112" s="310"/>
      <c r="C112" s="9" t="s">
        <v>145</v>
      </c>
      <c r="D112" s="7"/>
      <c r="E112" s="8"/>
      <c r="F112" s="1"/>
      <c r="G112" s="1"/>
      <c r="H112" s="1"/>
      <c r="I112" s="1"/>
      <c r="J112" s="1"/>
      <c r="K112" s="39">
        <f>【成行】財政シミュ!T112</f>
        <v>11433210.899999976</v>
      </c>
      <c r="L112" s="39">
        <f>【成行】財政シミュ!U112</f>
        <v>9080354.8999999762</v>
      </c>
      <c r="M112" s="39">
        <f>【成行】財政シミュ!V112</f>
        <v>65160989.899999976</v>
      </c>
      <c r="N112" s="39">
        <f>【成行】財政シミュ!W112</f>
        <v>93474052.900000036</v>
      </c>
      <c r="O112" s="39">
        <f t="shared" si="2"/>
        <v>179148608.59999996</v>
      </c>
    </row>
    <row r="113" spans="2:15">
      <c r="B113" s="308" t="s">
        <v>146</v>
      </c>
      <c r="C113" s="9" t="s">
        <v>136</v>
      </c>
      <c r="D113" s="7"/>
      <c r="E113" s="8"/>
      <c r="F113" s="1"/>
      <c r="G113" s="1"/>
      <c r="H113" s="1"/>
      <c r="I113" s="1"/>
      <c r="J113" s="1"/>
      <c r="K113" s="39">
        <f>【成行】財政シミュ!T113</f>
        <v>-12637203</v>
      </c>
      <c r="L113" s="39">
        <f>【成行】財政シミュ!U113</f>
        <v>-19415249</v>
      </c>
      <c r="M113" s="39">
        <f>【成行】財政シミュ!V113</f>
        <v>-38153082</v>
      </c>
      <c r="N113" s="39">
        <f>【成行】財政シミュ!W113</f>
        <v>-59344748</v>
      </c>
      <c r="O113" s="39">
        <f t="shared" si="2"/>
        <v>-129550282</v>
      </c>
    </row>
    <row r="114" spans="2:15">
      <c r="B114" s="309"/>
      <c r="C114" s="9" t="s">
        <v>137</v>
      </c>
      <c r="D114" s="7"/>
      <c r="E114" s="8"/>
      <c r="F114" s="1"/>
      <c r="G114" s="1"/>
      <c r="H114" s="1"/>
      <c r="I114" s="1"/>
      <c r="J114" s="1"/>
      <c r="K114" s="39" t="e">
        <f>【成行】財政シミュ!#REF!</f>
        <v>#REF!</v>
      </c>
      <c r="L114" s="39" t="e">
        <f>【成行】財政シミュ!#REF!</f>
        <v>#REF!</v>
      </c>
      <c r="M114" s="39" t="e">
        <f>【成行】財政シミュ!#REF!</f>
        <v>#REF!</v>
      </c>
      <c r="N114" s="39" t="e">
        <f>【成行】財政シミュ!#REF!</f>
        <v>#REF!</v>
      </c>
      <c r="O114" s="39" t="e">
        <f t="shared" si="2"/>
        <v>#REF!</v>
      </c>
    </row>
    <row r="115" spans="2:15">
      <c r="B115" s="309"/>
      <c r="C115" s="9" t="s">
        <v>141</v>
      </c>
      <c r="D115" s="7"/>
      <c r="E115" s="8"/>
      <c r="F115" s="1"/>
      <c r="G115" s="1"/>
      <c r="H115" s="1"/>
      <c r="I115" s="1"/>
      <c r="J115" s="1"/>
      <c r="K115" s="39" t="e">
        <f>【成行】財政シミュ!#REF!</f>
        <v>#REF!</v>
      </c>
      <c r="L115" s="39" t="e">
        <f>【成行】財政シミュ!#REF!</f>
        <v>#REF!</v>
      </c>
      <c r="M115" s="39" t="e">
        <f>【成行】財政シミュ!#REF!</f>
        <v>#REF!</v>
      </c>
      <c r="N115" s="39" t="e">
        <f>【成行】財政シミュ!#REF!</f>
        <v>#REF!</v>
      </c>
      <c r="O115" s="39" t="e">
        <f t="shared" si="2"/>
        <v>#REF!</v>
      </c>
    </row>
    <row r="116" spans="2:15">
      <c r="B116" s="310"/>
      <c r="C116" s="9" t="s">
        <v>145</v>
      </c>
      <c r="D116" s="7"/>
      <c r="E116" s="8"/>
      <c r="F116" s="1"/>
      <c r="G116" s="1"/>
      <c r="H116" s="1"/>
      <c r="I116" s="1"/>
      <c r="J116" s="1"/>
      <c r="K116" s="39" t="e">
        <f>【成行】財政シミュ!#REF!</f>
        <v>#REF!</v>
      </c>
      <c r="L116" s="39" t="e">
        <f>【成行】財政シミュ!#REF!</f>
        <v>#REF!</v>
      </c>
      <c r="M116" s="39" t="e">
        <f>【成行】財政シミュ!#REF!</f>
        <v>#REF!</v>
      </c>
      <c r="N116" s="39" t="e">
        <f>【成行】財政シミュ!#REF!</f>
        <v>#REF!</v>
      </c>
      <c r="O116" s="39" t="e">
        <f t="shared" si="2"/>
        <v>#REF!</v>
      </c>
    </row>
    <row r="117" spans="2:15">
      <c r="B117" s="308" t="s">
        <v>147</v>
      </c>
      <c r="C117" s="9" t="s">
        <v>137</v>
      </c>
      <c r="D117" s="7"/>
      <c r="E117" s="8"/>
      <c r="F117" s="1"/>
      <c r="G117" s="1"/>
      <c r="H117" s="1"/>
      <c r="I117" s="1"/>
      <c r="J117" s="1"/>
      <c r="K117" s="39">
        <f>【成行】財政シミュ!T114</f>
        <v>131254277.89999998</v>
      </c>
      <c r="L117" s="39">
        <f>【成行】財政シミュ!U114</f>
        <v>120919383.79999995</v>
      </c>
      <c r="M117" s="39">
        <f>【成行】財政シミュ!V114</f>
        <v>147927291.69999993</v>
      </c>
      <c r="N117" s="39">
        <f>【成行】財政シミュ!W114</f>
        <v>182056596.59999996</v>
      </c>
      <c r="O117" s="39">
        <f t="shared" si="2"/>
        <v>582157549.99999976</v>
      </c>
    </row>
    <row r="118" spans="2:15">
      <c r="B118" s="309"/>
      <c r="C118" s="9" t="s">
        <v>141</v>
      </c>
      <c r="D118" s="7"/>
      <c r="E118" s="8"/>
      <c r="F118" s="1"/>
      <c r="G118" s="1"/>
      <c r="H118" s="1"/>
      <c r="I118" s="1"/>
      <c r="J118" s="1"/>
      <c r="K118" s="39" t="e">
        <f>【成行】財政シミュ!#REF!</f>
        <v>#REF!</v>
      </c>
      <c r="L118" s="39" t="e">
        <f>【成行】財政シミュ!#REF!</f>
        <v>#REF!</v>
      </c>
      <c r="M118" s="39" t="e">
        <f>【成行】財政シミュ!#REF!</f>
        <v>#REF!</v>
      </c>
      <c r="N118" s="39" t="e">
        <f>【成行】財政シミュ!#REF!</f>
        <v>#REF!</v>
      </c>
      <c r="O118" s="39" t="e">
        <f t="shared" si="2"/>
        <v>#REF!</v>
      </c>
    </row>
    <row r="119" spans="2:15">
      <c r="B119" s="310"/>
      <c r="C119" s="9" t="s">
        <v>145</v>
      </c>
      <c r="D119" s="7"/>
      <c r="E119" s="8"/>
      <c r="F119" s="1"/>
      <c r="G119" s="1"/>
      <c r="H119" s="1"/>
      <c r="I119" s="1"/>
      <c r="J119" s="1"/>
      <c r="K119" s="39" t="e">
        <f>【成行】財政シミュ!#REF!</f>
        <v>#REF!</v>
      </c>
      <c r="L119" s="39" t="e">
        <f>【成行】財政シミュ!#REF!</f>
        <v>#REF!</v>
      </c>
      <c r="M119" s="39" t="e">
        <f>【成行】財政シミュ!#REF!</f>
        <v>#REF!</v>
      </c>
      <c r="N119" s="39" t="e">
        <f>【成行】財政シミュ!#REF!</f>
        <v>#REF!</v>
      </c>
      <c r="O119" s="39" t="e">
        <f t="shared" si="2"/>
        <v>#REF!</v>
      </c>
    </row>
    <row r="120" spans="2:15">
      <c r="B120" s="9" t="s">
        <v>148</v>
      </c>
      <c r="C120" s="7"/>
      <c r="D120" s="7"/>
      <c r="E120" s="8"/>
      <c r="F120" s="1"/>
      <c r="G120" s="1"/>
      <c r="H120" s="1"/>
      <c r="I120" s="1"/>
      <c r="J120" s="1"/>
      <c r="K120" s="39">
        <f>【成行】財政シミュ!T115</f>
        <v>450554111</v>
      </c>
      <c r="L120" s="39">
        <f>【成行】財政シミュ!U115</f>
        <v>585276765</v>
      </c>
      <c r="M120" s="39">
        <f>【成行】財政シミュ!V115</f>
        <v>974703048</v>
      </c>
      <c r="N120" s="39">
        <f>【成行】財政シミュ!W115</f>
        <v>1319758822</v>
      </c>
      <c r="O120" s="39">
        <f t="shared" si="2"/>
        <v>3330292746</v>
      </c>
    </row>
  </sheetData>
  <customSheetViews>
    <customSheetView guid="{B05628F6-030D-4851-8E75-96DF5849F39A}" showGridLines="0" fitToPage="1" hiddenColumns="1">
      <pane xSplit="9" ySplit="4" topLeftCell="K5" activePane="bottomRight" state="frozen"/>
      <selection pane="bottomRight" activeCell="L9" sqref="L9"/>
      <pageMargins left="0.70866141732283472" right="0.70866141732283472" top="0.74803149606299213" bottom="0.74803149606299213" header="0.31496062992125984" footer="0.31496062992125984"/>
      <pageSetup paperSize="9" scale="28" orientation="landscape" horizontalDpi="0" verticalDpi="0" r:id="rId1"/>
      <headerFooter>
        <oddHeader>&amp;A</oddHeader>
        <oddFooter>&amp;P / &amp;N ページ</oddFooter>
      </headerFooter>
    </customSheetView>
    <customSheetView guid="{1F923BC6-4AD1-4F20-A481-D76BE7901A2A}" showGridLines="0" fitToPage="1" hiddenColumns="1">
      <pane xSplit="9" ySplit="4" topLeftCell="K5" activePane="bottomRight" state="frozen"/>
      <selection pane="bottomRight" activeCell="I5" sqref="I5"/>
      <pageMargins left="0.70866141732283472" right="0.70866141732283472" top="0.74803149606299213" bottom="0.74803149606299213" header="0.31496062992125984" footer="0.31496062992125984"/>
      <pageSetup paperSize="9" scale="28" orientation="landscape" horizontalDpi="0" verticalDpi="0" r:id="rId2"/>
      <headerFooter>
        <oddHeader>&amp;A</oddHeader>
        <oddFooter>&amp;P / &amp;N ページ</oddFooter>
      </headerFooter>
    </customSheetView>
  </customSheetViews>
  <mergeCells count="12">
    <mergeCell ref="B117:B119"/>
    <mergeCell ref="J3:J4"/>
    <mergeCell ref="F24:F31"/>
    <mergeCell ref="F32:F39"/>
    <mergeCell ref="F40:F48"/>
    <mergeCell ref="J68:J69"/>
    <mergeCell ref="J100:J101"/>
    <mergeCell ref="B103:B112"/>
    <mergeCell ref="C104:C106"/>
    <mergeCell ref="C107:C111"/>
    <mergeCell ref="D108:D110"/>
    <mergeCell ref="B113:B116"/>
  </mergeCells>
  <phoneticPr fontId="4"/>
  <pageMargins left="0.70866141732283472" right="0.70866141732283472" top="0.74803149606299213" bottom="0.74803149606299213" header="0.31496062992125984" footer="0.31496062992125984"/>
  <pageSetup paperSize="9" scale="28" orientation="landscape" verticalDpi="0" r:id="rId3"/>
  <headerFooter>
    <oddHeader>&amp;A</oddHeader>
    <oddFooter>&amp;P / &amp;N ページ</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0238-D1B0-4D0A-BBF9-830A05DA82D9}">
  <sheetPr>
    <tabColor theme="9" tint="0.79998168889431442"/>
    <pageSetUpPr fitToPage="1"/>
  </sheetPr>
  <dimension ref="B3:E20"/>
  <sheetViews>
    <sheetView showGridLines="0" workbookViewId="0">
      <selection activeCell="I5" sqref="I5"/>
    </sheetView>
  </sheetViews>
  <sheetFormatPr defaultRowHeight="14.4"/>
  <cols>
    <col min="1" max="1" width="3.08984375" customWidth="1"/>
    <col min="2" max="2" width="20.7265625" bestFit="1" customWidth="1"/>
    <col min="3" max="3" width="13.1796875" bestFit="1" customWidth="1"/>
    <col min="4" max="4" width="2.90625" bestFit="1" customWidth="1"/>
  </cols>
  <sheetData>
    <row r="3" spans="2:5">
      <c r="B3" t="s">
        <v>203</v>
      </c>
    </row>
    <row r="4" spans="2:5">
      <c r="B4" s="62" t="s">
        <v>204</v>
      </c>
      <c r="C4" s="124">
        <f>C9+C10</f>
        <v>1042625176</v>
      </c>
      <c r="D4" s="8" t="s">
        <v>208</v>
      </c>
    </row>
    <row r="5" spans="2:5">
      <c r="B5" s="41" t="s">
        <v>205</v>
      </c>
      <c r="C5" s="38">
        <v>1</v>
      </c>
      <c r="D5" s="8" t="s">
        <v>207</v>
      </c>
      <c r="E5" t="s">
        <v>269</v>
      </c>
    </row>
    <row r="6" spans="2:5">
      <c r="B6" s="41" t="s">
        <v>17</v>
      </c>
      <c r="C6" s="9">
        <v>4</v>
      </c>
      <c r="D6" s="8" t="s">
        <v>206</v>
      </c>
      <c r="E6" t="s">
        <v>270</v>
      </c>
    </row>
    <row r="7" spans="2:5">
      <c r="B7" s="41" t="s">
        <v>186</v>
      </c>
      <c r="C7" s="61">
        <f>ROUND(C4*C5/100,0)*C6</f>
        <v>41705008</v>
      </c>
      <c r="D7" s="8" t="s">
        <v>208</v>
      </c>
    </row>
    <row r="8" spans="2:5" ht="4.95" customHeight="1"/>
    <row r="9" spans="2:5">
      <c r="B9" s="41" t="s">
        <v>209</v>
      </c>
      <c r="C9" s="113">
        <f>C18+C19</f>
        <v>281981269</v>
      </c>
      <c r="D9" s="8" t="s">
        <v>208</v>
      </c>
    </row>
    <row r="10" spans="2:5">
      <c r="B10" s="41" t="s">
        <v>210</v>
      </c>
      <c r="C10" s="113">
        <f>C20</f>
        <v>760643907</v>
      </c>
      <c r="D10" s="8" t="s">
        <v>208</v>
      </c>
    </row>
    <row r="11" spans="2:5" ht="4.95" customHeight="1"/>
    <row r="12" spans="2:5">
      <c r="B12" s="41" t="s">
        <v>211</v>
      </c>
      <c r="C12" s="61">
        <f>ROUND($C$7*C9/SUM($C$9:$C$10),0)</f>
        <v>11279251</v>
      </c>
      <c r="D12" s="8" t="s">
        <v>208</v>
      </c>
    </row>
    <row r="13" spans="2:5">
      <c r="B13" s="41" t="s">
        <v>212</v>
      </c>
      <c r="C13" s="61">
        <f>ROUND($C$7*C10/SUM($C$9:$C$10),0)</f>
        <v>30425757</v>
      </c>
      <c r="D13" s="8" t="s">
        <v>208</v>
      </c>
    </row>
    <row r="17" spans="2:3">
      <c r="C17" t="s">
        <v>568</v>
      </c>
    </row>
    <row r="18" spans="2:3">
      <c r="B18" s="123" t="s">
        <v>565</v>
      </c>
      <c r="C18" s="24">
        <v>124491503</v>
      </c>
    </row>
    <row r="19" spans="2:3">
      <c r="B19" s="123" t="s">
        <v>566</v>
      </c>
      <c r="C19" s="24">
        <v>157489766</v>
      </c>
    </row>
    <row r="20" spans="2:3">
      <c r="B20" s="123" t="s">
        <v>567</v>
      </c>
      <c r="C20" s="24">
        <v>760643907</v>
      </c>
    </row>
  </sheetData>
  <customSheetViews>
    <customSheetView guid="{B05628F6-030D-4851-8E75-96DF5849F39A}" showGridLines="0" fitToPage="1">
      <selection activeCell="I5" sqref="I5"/>
      <pageMargins left="0.70866141732283472" right="0.70866141732283472" top="0.74803149606299213" bottom="0.74803149606299213" header="0.31496062992125984" footer="0.31496062992125984"/>
      <pageSetup paperSize="9" orientation="portrait" horizontalDpi="0" verticalDpi="0" r:id="rId1"/>
      <headerFooter>
        <oddHeader>&amp;A</oddHeader>
        <oddFooter>&amp;P / &amp;N ページ</oddFooter>
      </headerFooter>
    </customSheetView>
    <customSheetView guid="{1F923BC6-4AD1-4F20-A481-D76BE7901A2A}" showGridLines="0" fitToPage="1">
      <selection activeCell="I5" sqref="I5"/>
      <pageMargins left="0.70866141732283472" right="0.70866141732283472" top="0.74803149606299213" bottom="0.74803149606299213" header="0.31496062992125984" footer="0.31496062992125984"/>
      <pageSetup paperSize="9" orientation="portrait" horizontalDpi="0" verticalDpi="0" r:id="rId2"/>
      <headerFooter>
        <oddHeader>&amp;A</oddHeader>
        <oddFooter>&amp;P / &amp;N ページ</oddFooter>
      </headerFooter>
    </customSheetView>
  </customSheetViews>
  <phoneticPr fontId="4"/>
  <pageMargins left="0.70866141732283472" right="0.70866141732283472" top="0.74803149606299213" bottom="0.74803149606299213" header="0.31496062992125984" footer="0.31496062992125984"/>
  <pageSetup paperSize="9" orientation="portrait" verticalDpi="0" r:id="rId3"/>
  <headerFooter>
    <oddHeader>&amp;A</oddHeader>
    <oddFooter>&amp;P / &amp;N ページ</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F895-24CA-4E3B-93F7-6EFC254B6D06}">
  <sheetPr>
    <tabColor rgb="FF00B050"/>
  </sheetPr>
  <dimension ref="B2:AF51"/>
  <sheetViews>
    <sheetView tabSelected="1" topLeftCell="N1" zoomScale="85" zoomScaleNormal="85" workbookViewId="0">
      <selection activeCell="U9" sqref="U9"/>
    </sheetView>
  </sheetViews>
  <sheetFormatPr defaultRowHeight="14.4"/>
  <cols>
    <col min="1" max="1" width="2.26953125" customWidth="1"/>
    <col min="2" max="2" width="18.7265625" bestFit="1" customWidth="1"/>
    <col min="3" max="3" width="17" customWidth="1"/>
    <col min="4" max="4" width="0.36328125" customWidth="1"/>
    <col min="5" max="6" width="17.54296875" customWidth="1"/>
    <col min="7" max="7" width="12.36328125" customWidth="1"/>
    <col min="10" max="10" width="2.26953125" customWidth="1"/>
    <col min="11" max="11" width="13.7265625" customWidth="1"/>
    <col min="12" max="17" width="9.36328125" style="24" bestFit="1" customWidth="1"/>
    <col min="22" max="31" width="11" bestFit="1" customWidth="1"/>
    <col min="32" max="32" width="12.08984375" bestFit="1" customWidth="1"/>
  </cols>
  <sheetData>
    <row r="2" spans="2:32">
      <c r="K2" t="s">
        <v>652</v>
      </c>
    </row>
    <row r="5" spans="2:32">
      <c r="B5" s="277" t="s">
        <v>716</v>
      </c>
      <c r="K5" t="s">
        <v>638</v>
      </c>
      <c r="V5" s="279" t="s">
        <v>795</v>
      </c>
      <c r="W5" s="279"/>
      <c r="X5" s="279"/>
      <c r="Y5" s="279"/>
      <c r="Z5" s="279"/>
      <c r="AA5" s="279"/>
      <c r="AB5" s="279"/>
      <c r="AC5" s="279"/>
      <c r="AD5" s="279"/>
      <c r="AE5" s="279"/>
    </row>
    <row r="6" spans="2:32" ht="28.8">
      <c r="B6" t="s">
        <v>787</v>
      </c>
      <c r="C6" s="278" t="s">
        <v>792</v>
      </c>
      <c r="D6" s="278"/>
      <c r="E6" s="278" t="s">
        <v>793</v>
      </c>
      <c r="F6" s="278" t="s">
        <v>788</v>
      </c>
      <c r="G6" s="277"/>
      <c r="K6" s="1" t="s">
        <v>639</v>
      </c>
      <c r="L6" s="75" t="s">
        <v>19</v>
      </c>
      <c r="M6" s="75" t="s">
        <v>259</v>
      </c>
      <c r="N6" s="75" t="s">
        <v>21</v>
      </c>
      <c r="O6" s="75" t="s">
        <v>22</v>
      </c>
      <c r="P6" s="75" t="s">
        <v>23</v>
      </c>
      <c r="Q6" s="75" t="s">
        <v>530</v>
      </c>
      <c r="V6" t="s">
        <v>25</v>
      </c>
      <c r="W6" t="s">
        <v>26</v>
      </c>
      <c r="X6" t="s">
        <v>27</v>
      </c>
      <c r="Y6" t="s">
        <v>28</v>
      </c>
      <c r="Z6" t="s">
        <v>29</v>
      </c>
      <c r="AA6" t="s">
        <v>30</v>
      </c>
      <c r="AB6" t="s">
        <v>31</v>
      </c>
      <c r="AC6" t="s">
        <v>32</v>
      </c>
      <c r="AD6" t="s">
        <v>33</v>
      </c>
      <c r="AE6" t="s">
        <v>34</v>
      </c>
      <c r="AF6" t="s">
        <v>789</v>
      </c>
    </row>
    <row r="7" spans="2:32">
      <c r="B7" s="261" t="s">
        <v>227</v>
      </c>
      <c r="C7" s="261" t="s">
        <v>791</v>
      </c>
      <c r="D7" s="261"/>
      <c r="E7" s="261" t="s">
        <v>794</v>
      </c>
      <c r="F7" s="261" t="s">
        <v>669</v>
      </c>
      <c r="G7" s="261" t="s">
        <v>789</v>
      </c>
      <c r="K7" s="1" t="s">
        <v>640</v>
      </c>
      <c r="L7" s="44"/>
      <c r="M7" s="44"/>
      <c r="N7" s="44"/>
      <c r="O7" s="44"/>
      <c r="P7" s="44"/>
      <c r="Q7" s="160" t="e">
        <f>AVERAGE(L7:P7)</f>
        <v>#DIV/0!</v>
      </c>
      <c r="U7" t="s">
        <v>796</v>
      </c>
      <c r="V7" s="280">
        <v>38021395</v>
      </c>
      <c r="W7" s="280">
        <v>38034223</v>
      </c>
      <c r="X7" s="280">
        <v>38047050</v>
      </c>
      <c r="Y7" s="280">
        <v>38059878</v>
      </c>
      <c r="Z7" s="280">
        <v>38047050</v>
      </c>
      <c r="AA7" s="280">
        <v>38034223</v>
      </c>
      <c r="AB7" s="280">
        <v>38021395</v>
      </c>
      <c r="AC7" s="280">
        <v>38008568</v>
      </c>
      <c r="AD7" s="280">
        <v>37995739</v>
      </c>
      <c r="AE7" s="280">
        <v>37970084</v>
      </c>
      <c r="AF7" s="280">
        <f>SUM(V7:AE7)</f>
        <v>380239605</v>
      </c>
    </row>
    <row r="8" spans="2:32">
      <c r="B8" s="1" t="s">
        <v>640</v>
      </c>
      <c r="C8" s="164"/>
      <c r="D8" s="164"/>
      <c r="E8" s="164">
        <v>1090</v>
      </c>
      <c r="F8" s="164">
        <v>209</v>
      </c>
      <c r="G8" s="164">
        <f>SUM(E8:F8)</f>
        <v>1299</v>
      </c>
      <c r="K8" s="1" t="s">
        <v>641</v>
      </c>
      <c r="L8" s="44"/>
      <c r="M8" s="44"/>
      <c r="N8" s="44"/>
      <c r="O8" s="44"/>
      <c r="P8" s="44"/>
      <c r="Q8" s="160" t="e">
        <f t="shared" ref="Q8:Q16" si="0">AVERAGE(L8:P8)</f>
        <v>#DIV/0!</v>
      </c>
      <c r="AF8" t="s">
        <v>797</v>
      </c>
    </row>
    <row r="9" spans="2:32">
      <c r="B9" s="1" t="s">
        <v>641</v>
      </c>
      <c r="C9" s="164"/>
      <c r="D9" s="164"/>
      <c r="E9" s="164">
        <v>1310</v>
      </c>
      <c r="F9" s="164">
        <v>209</v>
      </c>
      <c r="G9" s="164">
        <f t="shared" ref="G9:G15" si="1">SUM(E9:F9)</f>
        <v>1519</v>
      </c>
      <c r="K9" s="1" t="s">
        <v>642</v>
      </c>
      <c r="L9" s="44"/>
      <c r="M9" s="44"/>
      <c r="N9" s="44"/>
      <c r="O9" s="44"/>
      <c r="P9" s="44"/>
      <c r="Q9" s="160" t="e">
        <f t="shared" si="0"/>
        <v>#DIV/0!</v>
      </c>
      <c r="AF9" s="280">
        <f>AF7/10</f>
        <v>38023960.5</v>
      </c>
    </row>
    <row r="10" spans="2:32">
      <c r="B10" s="1" t="s">
        <v>642</v>
      </c>
      <c r="C10" s="164"/>
      <c r="D10" s="164"/>
      <c r="E10" s="164">
        <v>1410</v>
      </c>
      <c r="F10" s="164">
        <v>231</v>
      </c>
      <c r="G10" s="164">
        <f t="shared" si="1"/>
        <v>1641</v>
      </c>
      <c r="K10" s="1" t="s">
        <v>643</v>
      </c>
      <c r="L10" s="44"/>
      <c r="M10" s="44"/>
      <c r="N10" s="44"/>
      <c r="O10" s="44"/>
      <c r="P10" s="44"/>
      <c r="Q10" s="160" t="e">
        <f t="shared" si="0"/>
        <v>#DIV/0!</v>
      </c>
    </row>
    <row r="11" spans="2:32">
      <c r="B11" s="1" t="s">
        <v>643</v>
      </c>
      <c r="C11" s="164"/>
      <c r="D11" s="164"/>
      <c r="E11" s="164">
        <v>1510</v>
      </c>
      <c r="F11" s="164">
        <v>330</v>
      </c>
      <c r="G11" s="164">
        <f t="shared" si="1"/>
        <v>1840</v>
      </c>
      <c r="K11" s="1" t="s">
        <v>644</v>
      </c>
      <c r="L11" s="44"/>
      <c r="M11" s="44"/>
      <c r="N11" s="44"/>
      <c r="O11" s="44"/>
      <c r="P11" s="44"/>
      <c r="Q11" s="160" t="e">
        <f t="shared" si="0"/>
        <v>#DIV/0!</v>
      </c>
    </row>
    <row r="12" spans="2:32">
      <c r="B12" s="1" t="s">
        <v>644</v>
      </c>
      <c r="C12" s="164"/>
      <c r="D12" s="164"/>
      <c r="E12" s="164">
        <v>1610</v>
      </c>
      <c r="F12" s="164">
        <v>451</v>
      </c>
      <c r="G12" s="164">
        <f t="shared" si="1"/>
        <v>2061</v>
      </c>
      <c r="K12" s="1" t="s">
        <v>645</v>
      </c>
      <c r="L12" s="44"/>
      <c r="M12" s="44"/>
      <c r="N12" s="44"/>
      <c r="O12" s="44"/>
      <c r="P12" s="44"/>
      <c r="Q12" s="160" t="e">
        <f t="shared" si="0"/>
        <v>#DIV/0!</v>
      </c>
    </row>
    <row r="13" spans="2:32">
      <c r="B13" s="1" t="s">
        <v>645</v>
      </c>
      <c r="C13" s="164"/>
      <c r="D13" s="164"/>
      <c r="E13" s="164">
        <v>1710</v>
      </c>
      <c r="F13" s="164">
        <v>726</v>
      </c>
      <c r="G13" s="164">
        <f t="shared" si="1"/>
        <v>2436</v>
      </c>
      <c r="K13" s="1" t="s">
        <v>646</v>
      </c>
      <c r="L13" s="44"/>
      <c r="M13" s="44"/>
      <c r="N13" s="44"/>
      <c r="O13" s="44"/>
      <c r="P13" s="44"/>
      <c r="Q13" s="160" t="e">
        <f t="shared" si="0"/>
        <v>#DIV/0!</v>
      </c>
    </row>
    <row r="14" spans="2:32">
      <c r="B14" s="1" t="s">
        <v>646</v>
      </c>
      <c r="C14" s="164"/>
      <c r="D14" s="164"/>
      <c r="E14" s="164">
        <v>1810</v>
      </c>
      <c r="F14" s="164">
        <v>979</v>
      </c>
      <c r="G14" s="164">
        <f t="shared" si="1"/>
        <v>2789</v>
      </c>
      <c r="K14" s="1" t="s">
        <v>647</v>
      </c>
      <c r="L14" s="44"/>
      <c r="M14" s="44"/>
      <c r="N14" s="44"/>
      <c r="O14" s="44"/>
      <c r="P14" s="44"/>
      <c r="Q14" s="160" t="e">
        <f t="shared" si="0"/>
        <v>#DIV/0!</v>
      </c>
    </row>
    <row r="15" spans="2:32">
      <c r="B15" s="1" t="s">
        <v>647</v>
      </c>
      <c r="C15" s="164"/>
      <c r="D15" s="164"/>
      <c r="E15" s="164">
        <v>1910</v>
      </c>
      <c r="F15" s="164">
        <v>3300</v>
      </c>
      <c r="G15" s="164">
        <f t="shared" si="1"/>
        <v>5210</v>
      </c>
      <c r="K15" s="1" t="s">
        <v>648</v>
      </c>
      <c r="L15" s="44"/>
      <c r="M15" s="44"/>
      <c r="N15" s="44"/>
      <c r="O15" s="44"/>
      <c r="P15" s="44"/>
      <c r="Q15" s="160" t="e">
        <f t="shared" si="0"/>
        <v>#DIV/0!</v>
      </c>
    </row>
    <row r="16" spans="2:32">
      <c r="K16" s="1" t="s">
        <v>649</v>
      </c>
      <c r="L16" s="44"/>
      <c r="M16" s="44"/>
      <c r="N16" s="44"/>
      <c r="O16" s="44"/>
      <c r="P16" s="44"/>
      <c r="Q16" s="160" t="e">
        <f t="shared" si="0"/>
        <v>#DIV/0!</v>
      </c>
    </row>
    <row r="17" spans="11:17">
      <c r="K17" s="1" t="s">
        <v>651</v>
      </c>
      <c r="L17" s="160">
        <f t="shared" ref="L17:Q17" si="2">SUM(L7:L16)</f>
        <v>0</v>
      </c>
      <c r="M17" s="160">
        <f t="shared" si="2"/>
        <v>0</v>
      </c>
      <c r="N17" s="160">
        <f t="shared" si="2"/>
        <v>0</v>
      </c>
      <c r="O17" s="160">
        <f t="shared" si="2"/>
        <v>0</v>
      </c>
      <c r="P17" s="160">
        <f t="shared" si="2"/>
        <v>0</v>
      </c>
      <c r="Q17" s="160" t="e">
        <f t="shared" si="2"/>
        <v>#DIV/0!</v>
      </c>
    </row>
    <row r="21" spans="11:17">
      <c r="K21" t="s">
        <v>798</v>
      </c>
      <c r="M21"/>
      <c r="N21"/>
      <c r="O21"/>
      <c r="P21"/>
      <c r="Q21"/>
    </row>
    <row r="22" spans="11:17">
      <c r="K22" s="1" t="s">
        <v>639</v>
      </c>
      <c r="L22" s="75" t="s">
        <v>799</v>
      </c>
      <c r="M22" s="75" t="s">
        <v>3935</v>
      </c>
      <c r="N22" s="75" t="s">
        <v>3936</v>
      </c>
      <c r="O22"/>
      <c r="P22"/>
      <c r="Q22"/>
    </row>
    <row r="23" spans="11:17">
      <c r="K23" s="1" t="s">
        <v>640</v>
      </c>
      <c r="L23" s="44">
        <v>743</v>
      </c>
      <c r="M23" s="298">
        <f>L23/$L$30</f>
        <v>0.2428898332788493</v>
      </c>
      <c r="N23" s="298"/>
      <c r="O23"/>
      <c r="P23"/>
      <c r="Q23"/>
    </row>
    <row r="24" spans="11:17">
      <c r="K24" s="1" t="s">
        <v>641</v>
      </c>
      <c r="L24" s="44">
        <v>2136</v>
      </c>
      <c r="M24" s="298">
        <f t="shared" ref="M24:M29" si="3">L24/$L$30</f>
        <v>0.69826740764955864</v>
      </c>
      <c r="N24" s="298"/>
      <c r="O24"/>
      <c r="P24"/>
      <c r="Q24"/>
    </row>
    <row r="25" spans="11:17">
      <c r="K25" s="1" t="s">
        <v>642</v>
      </c>
      <c r="L25" s="44">
        <v>72</v>
      </c>
      <c r="M25" s="298">
        <f t="shared" si="3"/>
        <v>2.3537103628636809E-2</v>
      </c>
      <c r="N25" s="298"/>
      <c r="O25"/>
      <c r="P25"/>
      <c r="Q25"/>
    </row>
    <row r="26" spans="11:17">
      <c r="K26" s="1" t="s">
        <v>643</v>
      </c>
      <c r="L26" s="44">
        <v>74</v>
      </c>
      <c r="M26" s="298">
        <f t="shared" si="3"/>
        <v>2.4190912062765611E-2</v>
      </c>
      <c r="N26" s="298"/>
      <c r="O26"/>
      <c r="P26"/>
      <c r="Q26"/>
    </row>
    <row r="27" spans="11:17">
      <c r="K27" s="1" t="s">
        <v>644</v>
      </c>
      <c r="L27" s="44">
        <v>22</v>
      </c>
      <c r="M27" s="298">
        <f t="shared" si="3"/>
        <v>7.1918927754168029E-3</v>
      </c>
      <c r="N27" s="298"/>
      <c r="O27"/>
      <c r="P27"/>
      <c r="Q27"/>
    </row>
    <row r="28" spans="11:17">
      <c r="K28" s="1" t="s">
        <v>645</v>
      </c>
      <c r="L28" s="44">
        <v>9</v>
      </c>
      <c r="M28" s="298">
        <f t="shared" si="3"/>
        <v>2.9421379535796012E-3</v>
      </c>
      <c r="N28" s="298"/>
      <c r="O28"/>
      <c r="P28"/>
      <c r="Q28"/>
    </row>
    <row r="29" spans="11:17">
      <c r="K29" s="1" t="s">
        <v>646</v>
      </c>
      <c r="L29" s="44">
        <v>3</v>
      </c>
      <c r="M29" s="298">
        <f t="shared" si="3"/>
        <v>9.8071265119320039E-4</v>
      </c>
      <c r="N29" s="298"/>
      <c r="O29"/>
      <c r="P29"/>
      <c r="Q29"/>
    </row>
    <row r="30" spans="11:17">
      <c r="K30" s="1" t="s">
        <v>151</v>
      </c>
      <c r="L30" s="160">
        <f>SUM(L23:L29)</f>
        <v>3059</v>
      </c>
      <c r="M30" s="299">
        <f>SUM(M23:M29)</f>
        <v>0.99999999999999978</v>
      </c>
      <c r="N30" s="299">
        <f>SUM(N23:N29)</f>
        <v>0</v>
      </c>
      <c r="O30"/>
      <c r="P30"/>
      <c r="Q30"/>
    </row>
    <row r="31" spans="11:17">
      <c r="M31"/>
      <c r="N31"/>
      <c r="O31"/>
      <c r="P31"/>
      <c r="Q31"/>
    </row>
    <row r="32" spans="11:17">
      <c r="M32"/>
      <c r="N32"/>
      <c r="O32"/>
      <c r="P32"/>
      <c r="Q32"/>
    </row>
    <row r="33" spans="13:18">
      <c r="M33"/>
      <c r="N33"/>
      <c r="O33"/>
      <c r="P33"/>
      <c r="Q33"/>
    </row>
    <row r="40" spans="13:18">
      <c r="R40" s="75" t="s">
        <v>551</v>
      </c>
    </row>
    <row r="41" spans="13:18">
      <c r="R41" s="162" t="e">
        <f>ROUND(Q7/$Q$17,3)</f>
        <v>#DIV/0!</v>
      </c>
    </row>
    <row r="42" spans="13:18">
      <c r="R42" s="162" t="e">
        <f t="shared" ref="R42:R50" si="4">ROUND(Q8/$Q$17,3)</f>
        <v>#DIV/0!</v>
      </c>
    </row>
    <row r="43" spans="13:18">
      <c r="R43" s="162" t="e">
        <f t="shared" si="4"/>
        <v>#DIV/0!</v>
      </c>
    </row>
    <row r="44" spans="13:18">
      <c r="R44" s="162" t="e">
        <f t="shared" si="4"/>
        <v>#DIV/0!</v>
      </c>
    </row>
    <row r="45" spans="13:18">
      <c r="R45" s="162" t="e">
        <f t="shared" si="4"/>
        <v>#DIV/0!</v>
      </c>
    </row>
    <row r="46" spans="13:18">
      <c r="R46" s="162" t="e">
        <f t="shared" si="4"/>
        <v>#DIV/0!</v>
      </c>
    </row>
    <row r="47" spans="13:18">
      <c r="R47" s="162" t="e">
        <f t="shared" si="4"/>
        <v>#DIV/0!</v>
      </c>
    </row>
    <row r="48" spans="13:18">
      <c r="R48" s="162" t="e">
        <f t="shared" si="4"/>
        <v>#DIV/0!</v>
      </c>
    </row>
    <row r="49" spans="18:18">
      <c r="R49" s="162" t="e">
        <f t="shared" si="4"/>
        <v>#DIV/0!</v>
      </c>
    </row>
    <row r="50" spans="18:18">
      <c r="R50" s="162" t="e">
        <f t="shared" si="4"/>
        <v>#DIV/0!</v>
      </c>
    </row>
    <row r="51" spans="18:18">
      <c r="R51" s="162" t="e">
        <f>Q17/$Q$17</f>
        <v>#DIV/0!</v>
      </c>
    </row>
  </sheetData>
  <phoneticPr fontId="4"/>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CB43-411B-4B52-975C-1A5334560C31}">
  <sheetPr>
    <tabColor rgb="FF00B050"/>
  </sheetPr>
  <dimension ref="A1:L3070"/>
  <sheetViews>
    <sheetView workbookViewId="0">
      <selection activeCell="I3073" sqref="I3073"/>
    </sheetView>
  </sheetViews>
  <sheetFormatPr defaultRowHeight="18"/>
  <cols>
    <col min="1" max="1" width="13.26953125" style="282" bestFit="1" customWidth="1"/>
    <col min="2" max="2" width="6" style="282" customWidth="1"/>
    <col min="3" max="3" width="13.08984375" style="282" bestFit="1" customWidth="1"/>
    <col min="4" max="4" width="5.81640625" style="282" bestFit="1" customWidth="1"/>
    <col min="5" max="5" width="11" style="282" customWidth="1"/>
    <col min="6" max="6" width="11" style="294" customWidth="1"/>
    <col min="7" max="12" width="11" style="282" customWidth="1"/>
    <col min="13" max="16384" width="8.7265625" style="282"/>
  </cols>
  <sheetData>
    <row r="1" spans="1:12">
      <c r="A1" s="281" t="s">
        <v>800</v>
      </c>
      <c r="B1" s="281" t="s">
        <v>800</v>
      </c>
      <c r="C1" s="281" t="s">
        <v>800</v>
      </c>
      <c r="D1" s="281" t="s">
        <v>800</v>
      </c>
      <c r="E1" s="337" t="s">
        <v>801</v>
      </c>
      <c r="F1" s="337" t="s">
        <v>800</v>
      </c>
      <c r="G1" s="337" t="s">
        <v>800</v>
      </c>
      <c r="H1" s="337" t="s">
        <v>800</v>
      </c>
      <c r="I1" s="337" t="s">
        <v>800</v>
      </c>
      <c r="J1" s="337" t="s">
        <v>800</v>
      </c>
      <c r="K1" s="337" t="s">
        <v>800</v>
      </c>
      <c r="L1" s="337" t="s">
        <v>800</v>
      </c>
    </row>
    <row r="2" spans="1:12" ht="18.600000000000001" thickBot="1">
      <c r="A2" s="283" t="s">
        <v>802</v>
      </c>
      <c r="B2" s="283" t="s">
        <v>803</v>
      </c>
      <c r="C2" s="283" t="s">
        <v>804</v>
      </c>
      <c r="D2" s="283" t="s">
        <v>805</v>
      </c>
      <c r="E2" s="283" t="s">
        <v>806</v>
      </c>
      <c r="F2" s="284" t="s">
        <v>807</v>
      </c>
      <c r="G2" s="283" t="s">
        <v>790</v>
      </c>
      <c r="H2" s="283" t="s">
        <v>808</v>
      </c>
      <c r="I2" s="283" t="s">
        <v>809</v>
      </c>
      <c r="J2" s="283" t="s">
        <v>810</v>
      </c>
      <c r="K2" s="283" t="s">
        <v>809</v>
      </c>
      <c r="L2" s="283" t="s">
        <v>811</v>
      </c>
    </row>
    <row r="3" spans="1:12">
      <c r="A3" s="285" t="s">
        <v>812</v>
      </c>
      <c r="B3" s="285" t="s">
        <v>813</v>
      </c>
      <c r="C3" s="285" t="s">
        <v>814</v>
      </c>
      <c r="D3" s="285" t="s">
        <v>815</v>
      </c>
      <c r="E3" s="286">
        <v>10</v>
      </c>
      <c r="F3" s="287">
        <v>14</v>
      </c>
      <c r="G3" s="286">
        <v>1100</v>
      </c>
      <c r="H3" s="286">
        <v>440</v>
      </c>
      <c r="I3" s="286">
        <v>154</v>
      </c>
      <c r="J3" s="286">
        <v>50</v>
      </c>
      <c r="K3" s="286">
        <v>5</v>
      </c>
      <c r="L3" s="286">
        <v>1749</v>
      </c>
    </row>
    <row r="4" spans="1:12">
      <c r="A4" s="288" t="s">
        <v>816</v>
      </c>
      <c r="B4" s="288" t="s">
        <v>817</v>
      </c>
      <c r="C4" s="288" t="s">
        <v>814</v>
      </c>
      <c r="D4" s="288" t="s">
        <v>818</v>
      </c>
      <c r="E4" s="289">
        <v>10</v>
      </c>
      <c r="F4" s="290">
        <v>20</v>
      </c>
      <c r="G4" s="289">
        <v>1100</v>
      </c>
      <c r="H4" s="289">
        <v>1100</v>
      </c>
      <c r="I4" s="289">
        <v>220</v>
      </c>
      <c r="J4" s="289">
        <v>70</v>
      </c>
      <c r="K4" s="289">
        <v>7</v>
      </c>
      <c r="L4" s="289">
        <v>2497</v>
      </c>
    </row>
    <row r="5" spans="1:12">
      <c r="A5" s="288" t="s">
        <v>819</v>
      </c>
      <c r="B5" s="288" t="s">
        <v>817</v>
      </c>
      <c r="C5" s="288" t="s">
        <v>820</v>
      </c>
      <c r="D5" s="288" t="s">
        <v>818</v>
      </c>
      <c r="E5" s="289">
        <v>10</v>
      </c>
      <c r="F5" s="290">
        <v>1</v>
      </c>
      <c r="G5" s="289">
        <v>900</v>
      </c>
      <c r="H5" s="289">
        <v>0</v>
      </c>
      <c r="I5" s="289">
        <v>90</v>
      </c>
      <c r="J5" s="289">
        <v>70</v>
      </c>
      <c r="K5" s="289">
        <v>7</v>
      </c>
      <c r="L5" s="289">
        <v>1067</v>
      </c>
    </row>
    <row r="6" spans="1:12">
      <c r="A6" s="288" t="s">
        <v>821</v>
      </c>
      <c r="B6" s="288" t="s">
        <v>817</v>
      </c>
      <c r="C6" s="288" t="s">
        <v>820</v>
      </c>
      <c r="D6" s="288" t="s">
        <v>822</v>
      </c>
      <c r="E6" s="289">
        <v>10</v>
      </c>
      <c r="F6" s="290">
        <v>52</v>
      </c>
      <c r="G6" s="289">
        <v>1100</v>
      </c>
      <c r="H6" s="289">
        <v>4620</v>
      </c>
      <c r="I6" s="289">
        <v>572</v>
      </c>
      <c r="J6" s="289">
        <v>200</v>
      </c>
      <c r="K6" s="289">
        <v>20</v>
      </c>
      <c r="L6" s="289">
        <v>6512</v>
      </c>
    </row>
    <row r="7" spans="1:12">
      <c r="A7" s="288" t="s">
        <v>823</v>
      </c>
      <c r="B7" s="288" t="s">
        <v>817</v>
      </c>
      <c r="C7" s="288" t="s">
        <v>820</v>
      </c>
      <c r="D7" s="288" t="s">
        <v>815</v>
      </c>
      <c r="E7" s="289">
        <v>10</v>
      </c>
      <c r="F7" s="290">
        <v>19</v>
      </c>
      <c r="G7" s="289">
        <v>1100</v>
      </c>
      <c r="H7" s="289">
        <v>990</v>
      </c>
      <c r="I7" s="289">
        <v>209</v>
      </c>
      <c r="J7" s="289">
        <v>50</v>
      </c>
      <c r="K7" s="289">
        <v>5</v>
      </c>
      <c r="L7" s="289">
        <v>2354</v>
      </c>
    </row>
    <row r="8" spans="1:12">
      <c r="A8" s="288" t="s">
        <v>824</v>
      </c>
      <c r="B8" s="288" t="s">
        <v>817</v>
      </c>
      <c r="C8" s="288" t="s">
        <v>814</v>
      </c>
      <c r="D8" s="288" t="s">
        <v>815</v>
      </c>
      <c r="E8" s="289">
        <v>10</v>
      </c>
      <c r="F8" s="290">
        <v>10</v>
      </c>
      <c r="G8" s="289">
        <v>1100</v>
      </c>
      <c r="H8" s="289">
        <v>0</v>
      </c>
      <c r="I8" s="289">
        <v>110</v>
      </c>
      <c r="J8" s="289">
        <v>50</v>
      </c>
      <c r="K8" s="289">
        <v>5</v>
      </c>
      <c r="L8" s="289">
        <v>1265</v>
      </c>
    </row>
    <row r="9" spans="1:12">
      <c r="A9" s="288" t="s">
        <v>825</v>
      </c>
      <c r="B9" s="288" t="s">
        <v>817</v>
      </c>
      <c r="C9" s="288" t="s">
        <v>820</v>
      </c>
      <c r="D9" s="288" t="s">
        <v>826</v>
      </c>
      <c r="E9" s="289">
        <v>10</v>
      </c>
      <c r="F9" s="290">
        <v>12</v>
      </c>
      <c r="G9" s="289">
        <v>1100</v>
      </c>
      <c r="H9" s="289">
        <v>220</v>
      </c>
      <c r="I9" s="289">
        <v>132</v>
      </c>
      <c r="J9" s="289">
        <v>100</v>
      </c>
      <c r="K9" s="289">
        <v>10</v>
      </c>
      <c r="L9" s="289">
        <v>1562</v>
      </c>
    </row>
    <row r="10" spans="1:12">
      <c r="A10" s="288" t="s">
        <v>827</v>
      </c>
      <c r="B10" s="288" t="s">
        <v>817</v>
      </c>
      <c r="C10" s="288" t="s">
        <v>814</v>
      </c>
      <c r="D10" s="288" t="s">
        <v>815</v>
      </c>
      <c r="E10" s="289">
        <v>10</v>
      </c>
      <c r="F10" s="290">
        <v>17</v>
      </c>
      <c r="G10" s="289">
        <v>1100</v>
      </c>
      <c r="H10" s="289">
        <v>770</v>
      </c>
      <c r="I10" s="289">
        <v>187</v>
      </c>
      <c r="J10" s="289">
        <v>50</v>
      </c>
      <c r="K10" s="289">
        <v>5</v>
      </c>
      <c r="L10" s="289">
        <v>2112</v>
      </c>
    </row>
    <row r="11" spans="1:12">
      <c r="A11" s="288" t="s">
        <v>828</v>
      </c>
      <c r="B11" s="288" t="s">
        <v>817</v>
      </c>
      <c r="C11" s="288" t="s">
        <v>829</v>
      </c>
      <c r="D11" s="288" t="s">
        <v>815</v>
      </c>
      <c r="E11" s="289">
        <v>10</v>
      </c>
      <c r="F11" s="290">
        <v>1</v>
      </c>
      <c r="G11" s="289">
        <v>900</v>
      </c>
      <c r="H11" s="289">
        <v>0</v>
      </c>
      <c r="I11" s="289">
        <v>90</v>
      </c>
      <c r="J11" s="289">
        <v>50</v>
      </c>
      <c r="K11" s="289">
        <v>5</v>
      </c>
      <c r="L11" s="289">
        <v>1045</v>
      </c>
    </row>
    <row r="12" spans="1:12">
      <c r="A12" s="288" t="s">
        <v>830</v>
      </c>
      <c r="B12" s="288" t="s">
        <v>817</v>
      </c>
      <c r="C12" s="288" t="s">
        <v>814</v>
      </c>
      <c r="D12" s="288" t="s">
        <v>815</v>
      </c>
      <c r="E12" s="289">
        <v>10</v>
      </c>
      <c r="F12" s="290">
        <v>5</v>
      </c>
      <c r="G12" s="289">
        <v>900</v>
      </c>
      <c r="H12" s="289">
        <v>0</v>
      </c>
      <c r="I12" s="289">
        <v>90</v>
      </c>
      <c r="J12" s="289">
        <v>50</v>
      </c>
      <c r="K12" s="289">
        <v>5</v>
      </c>
      <c r="L12" s="289">
        <v>1045</v>
      </c>
    </row>
    <row r="13" spans="1:12">
      <c r="A13" s="288" t="s">
        <v>831</v>
      </c>
      <c r="B13" s="288" t="s">
        <v>817</v>
      </c>
      <c r="C13" s="288" t="s">
        <v>814</v>
      </c>
      <c r="D13" s="288" t="s">
        <v>815</v>
      </c>
      <c r="E13" s="289">
        <v>10</v>
      </c>
      <c r="F13" s="290">
        <v>18</v>
      </c>
      <c r="G13" s="289">
        <v>1100</v>
      </c>
      <c r="H13" s="289">
        <v>880</v>
      </c>
      <c r="I13" s="289">
        <v>198</v>
      </c>
      <c r="J13" s="289">
        <v>50</v>
      </c>
      <c r="K13" s="289">
        <v>5</v>
      </c>
      <c r="L13" s="289">
        <v>2233</v>
      </c>
    </row>
    <row r="14" spans="1:12">
      <c r="A14" s="288" t="s">
        <v>832</v>
      </c>
      <c r="B14" s="288" t="s">
        <v>817</v>
      </c>
      <c r="C14" s="288" t="s">
        <v>833</v>
      </c>
      <c r="D14" s="288" t="s">
        <v>822</v>
      </c>
      <c r="E14" s="289">
        <v>10</v>
      </c>
      <c r="F14" s="290">
        <v>249</v>
      </c>
      <c r="G14" s="289">
        <v>1100</v>
      </c>
      <c r="H14" s="289">
        <v>24800</v>
      </c>
      <c r="I14" s="289">
        <v>2590</v>
      </c>
      <c r="J14" s="289">
        <v>200</v>
      </c>
      <c r="K14" s="289">
        <v>20</v>
      </c>
      <c r="L14" s="289">
        <v>28710</v>
      </c>
    </row>
    <row r="15" spans="1:12">
      <c r="A15" s="288" t="s">
        <v>834</v>
      </c>
      <c r="B15" s="288" t="s">
        <v>817</v>
      </c>
      <c r="C15" s="288" t="s">
        <v>820</v>
      </c>
      <c r="D15" s="288" t="s">
        <v>815</v>
      </c>
      <c r="E15" s="289">
        <v>10</v>
      </c>
      <c r="F15" s="290">
        <v>4</v>
      </c>
      <c r="G15" s="289">
        <v>900</v>
      </c>
      <c r="H15" s="289">
        <v>0</v>
      </c>
      <c r="I15" s="289">
        <v>90</v>
      </c>
      <c r="J15" s="289">
        <v>50</v>
      </c>
      <c r="K15" s="289">
        <v>5</v>
      </c>
      <c r="L15" s="289">
        <v>1045</v>
      </c>
    </row>
    <row r="16" spans="1:12">
      <c r="A16" s="288" t="s">
        <v>835</v>
      </c>
      <c r="B16" s="288" t="s">
        <v>817</v>
      </c>
      <c r="C16" s="288" t="s">
        <v>814</v>
      </c>
      <c r="D16" s="288" t="s">
        <v>818</v>
      </c>
      <c r="E16" s="289">
        <v>10</v>
      </c>
      <c r="F16" s="290">
        <v>26</v>
      </c>
      <c r="G16" s="289">
        <v>1100</v>
      </c>
      <c r="H16" s="289">
        <v>1760</v>
      </c>
      <c r="I16" s="289">
        <v>286</v>
      </c>
      <c r="J16" s="289">
        <v>70</v>
      </c>
      <c r="K16" s="289">
        <v>7</v>
      </c>
      <c r="L16" s="289">
        <v>3223</v>
      </c>
    </row>
    <row r="17" spans="1:12">
      <c r="A17" s="288" t="s">
        <v>836</v>
      </c>
      <c r="B17" s="288" t="s">
        <v>817</v>
      </c>
      <c r="C17" s="288" t="s">
        <v>833</v>
      </c>
      <c r="D17" s="288" t="s">
        <v>837</v>
      </c>
      <c r="E17" s="289">
        <v>10</v>
      </c>
      <c r="F17" s="290">
        <v>2</v>
      </c>
      <c r="G17" s="289">
        <v>900</v>
      </c>
      <c r="H17" s="289">
        <v>0</v>
      </c>
      <c r="I17" s="289">
        <v>90</v>
      </c>
      <c r="J17" s="289">
        <v>800</v>
      </c>
      <c r="K17" s="289">
        <v>80</v>
      </c>
      <c r="L17" s="289">
        <v>1870</v>
      </c>
    </row>
    <row r="18" spans="1:12">
      <c r="A18" s="288" t="s">
        <v>838</v>
      </c>
      <c r="B18" s="288" t="s">
        <v>817</v>
      </c>
      <c r="C18" s="288" t="s">
        <v>814</v>
      </c>
      <c r="D18" s="288" t="s">
        <v>815</v>
      </c>
      <c r="E18" s="289">
        <v>10</v>
      </c>
      <c r="F18" s="290">
        <v>18</v>
      </c>
      <c r="G18" s="289">
        <v>1100</v>
      </c>
      <c r="H18" s="289">
        <v>880</v>
      </c>
      <c r="I18" s="289">
        <v>198</v>
      </c>
      <c r="J18" s="289">
        <v>50</v>
      </c>
      <c r="K18" s="289">
        <v>5</v>
      </c>
      <c r="L18" s="289">
        <v>2233</v>
      </c>
    </row>
    <row r="19" spans="1:12">
      <c r="A19" s="288" t="s">
        <v>839</v>
      </c>
      <c r="B19" s="288" t="s">
        <v>817</v>
      </c>
      <c r="C19" s="288" t="s">
        <v>820</v>
      </c>
      <c r="D19" s="288" t="s">
        <v>818</v>
      </c>
      <c r="E19" s="289">
        <v>10</v>
      </c>
      <c r="F19" s="290">
        <v>5</v>
      </c>
      <c r="G19" s="289">
        <v>900</v>
      </c>
      <c r="H19" s="289">
        <v>0</v>
      </c>
      <c r="I19" s="289">
        <v>90</v>
      </c>
      <c r="J19" s="289">
        <v>70</v>
      </c>
      <c r="K19" s="289">
        <v>7</v>
      </c>
      <c r="L19" s="289">
        <v>1067</v>
      </c>
    </row>
    <row r="20" spans="1:12">
      <c r="A20" s="288" t="s">
        <v>840</v>
      </c>
      <c r="B20" s="288" t="s">
        <v>817</v>
      </c>
      <c r="C20" s="288" t="s">
        <v>814</v>
      </c>
      <c r="D20" s="288" t="s">
        <v>815</v>
      </c>
      <c r="E20" s="289">
        <v>10</v>
      </c>
      <c r="F20" s="290">
        <v>10</v>
      </c>
      <c r="G20" s="289">
        <v>1100</v>
      </c>
      <c r="H20" s="289">
        <v>0</v>
      </c>
      <c r="I20" s="289">
        <v>110</v>
      </c>
      <c r="J20" s="289">
        <v>50</v>
      </c>
      <c r="K20" s="289">
        <v>5</v>
      </c>
      <c r="L20" s="289">
        <v>1265</v>
      </c>
    </row>
    <row r="21" spans="1:12">
      <c r="A21" s="288" t="s">
        <v>841</v>
      </c>
      <c r="B21" s="288" t="s">
        <v>817</v>
      </c>
      <c r="C21" s="288" t="s">
        <v>833</v>
      </c>
      <c r="D21" s="288" t="s">
        <v>815</v>
      </c>
      <c r="E21" s="289">
        <v>10</v>
      </c>
      <c r="F21" s="290">
        <v>1</v>
      </c>
      <c r="G21" s="289">
        <v>900</v>
      </c>
      <c r="H21" s="289">
        <v>0</v>
      </c>
      <c r="I21" s="289">
        <v>90</v>
      </c>
      <c r="J21" s="289">
        <v>50</v>
      </c>
      <c r="K21" s="289">
        <v>5</v>
      </c>
      <c r="L21" s="289">
        <v>1045</v>
      </c>
    </row>
    <row r="22" spans="1:12">
      <c r="A22" s="288" t="s">
        <v>842</v>
      </c>
      <c r="B22" s="288" t="s">
        <v>817</v>
      </c>
      <c r="C22" s="288" t="s">
        <v>833</v>
      </c>
      <c r="D22" s="288" t="s">
        <v>818</v>
      </c>
      <c r="E22" s="289">
        <v>10</v>
      </c>
      <c r="F22" s="290">
        <v>0</v>
      </c>
      <c r="G22" s="289">
        <v>900</v>
      </c>
      <c r="H22" s="289">
        <v>0</v>
      </c>
      <c r="I22" s="289">
        <v>90</v>
      </c>
      <c r="J22" s="289">
        <v>70</v>
      </c>
      <c r="K22" s="289">
        <v>7</v>
      </c>
      <c r="L22" s="289">
        <v>1067</v>
      </c>
    </row>
    <row r="23" spans="1:12">
      <c r="A23" s="288" t="s">
        <v>843</v>
      </c>
      <c r="B23" s="288" t="s">
        <v>817</v>
      </c>
      <c r="C23" s="288" t="s">
        <v>814</v>
      </c>
      <c r="D23" s="288" t="s">
        <v>815</v>
      </c>
      <c r="E23" s="289">
        <v>10</v>
      </c>
      <c r="F23" s="290">
        <v>36</v>
      </c>
      <c r="G23" s="289">
        <v>1100</v>
      </c>
      <c r="H23" s="289">
        <v>2860</v>
      </c>
      <c r="I23" s="289">
        <v>396</v>
      </c>
      <c r="J23" s="289">
        <v>50</v>
      </c>
      <c r="K23" s="289">
        <v>5</v>
      </c>
      <c r="L23" s="289">
        <v>4411</v>
      </c>
    </row>
    <row r="24" spans="1:12">
      <c r="A24" s="288" t="s">
        <v>844</v>
      </c>
      <c r="B24" s="288" t="s">
        <v>817</v>
      </c>
      <c r="C24" s="288" t="s">
        <v>814</v>
      </c>
      <c r="D24" s="288" t="s">
        <v>818</v>
      </c>
      <c r="E24" s="289">
        <v>10</v>
      </c>
      <c r="F24" s="290">
        <v>7</v>
      </c>
      <c r="G24" s="289">
        <v>1100</v>
      </c>
      <c r="H24" s="289">
        <v>0</v>
      </c>
      <c r="I24" s="289">
        <v>110</v>
      </c>
      <c r="J24" s="289">
        <v>70</v>
      </c>
      <c r="K24" s="289">
        <v>7</v>
      </c>
      <c r="L24" s="289">
        <v>1287</v>
      </c>
    </row>
    <row r="25" spans="1:12">
      <c r="A25" s="288" t="s">
        <v>845</v>
      </c>
      <c r="B25" s="288" t="s">
        <v>817</v>
      </c>
      <c r="C25" s="288" t="s">
        <v>814</v>
      </c>
      <c r="D25" s="288" t="s">
        <v>815</v>
      </c>
      <c r="E25" s="289">
        <v>10</v>
      </c>
      <c r="F25" s="290">
        <v>5</v>
      </c>
      <c r="G25" s="289">
        <v>900</v>
      </c>
      <c r="H25" s="289">
        <v>0</v>
      </c>
      <c r="I25" s="289">
        <v>90</v>
      </c>
      <c r="J25" s="289">
        <v>50</v>
      </c>
      <c r="K25" s="289">
        <v>5</v>
      </c>
      <c r="L25" s="289">
        <v>1045</v>
      </c>
    </row>
    <row r="26" spans="1:12">
      <c r="A26" s="288" t="s">
        <v>846</v>
      </c>
      <c r="B26" s="288" t="s">
        <v>817</v>
      </c>
      <c r="C26" s="288" t="s">
        <v>814</v>
      </c>
      <c r="D26" s="288" t="s">
        <v>815</v>
      </c>
      <c r="E26" s="289">
        <v>10</v>
      </c>
      <c r="F26" s="290">
        <v>12</v>
      </c>
      <c r="G26" s="289">
        <v>1100</v>
      </c>
      <c r="H26" s="289">
        <v>220</v>
      </c>
      <c r="I26" s="289">
        <v>132</v>
      </c>
      <c r="J26" s="289">
        <v>50</v>
      </c>
      <c r="K26" s="289">
        <v>5</v>
      </c>
      <c r="L26" s="289">
        <v>1507</v>
      </c>
    </row>
    <row r="27" spans="1:12">
      <c r="A27" s="288" t="s">
        <v>847</v>
      </c>
      <c r="B27" s="288" t="s">
        <v>817</v>
      </c>
      <c r="C27" s="288" t="s">
        <v>814</v>
      </c>
      <c r="D27" s="288" t="s">
        <v>815</v>
      </c>
      <c r="E27" s="289">
        <v>10</v>
      </c>
      <c r="F27" s="290">
        <v>27</v>
      </c>
      <c r="G27" s="289">
        <v>1100</v>
      </c>
      <c r="H27" s="289">
        <v>1870</v>
      </c>
      <c r="I27" s="289">
        <v>297</v>
      </c>
      <c r="J27" s="289">
        <v>50</v>
      </c>
      <c r="K27" s="289">
        <v>5</v>
      </c>
      <c r="L27" s="289">
        <v>3322</v>
      </c>
    </row>
    <row r="28" spans="1:12">
      <c r="A28" s="288" t="s">
        <v>848</v>
      </c>
      <c r="B28" s="288" t="s">
        <v>817</v>
      </c>
      <c r="C28" s="288" t="s">
        <v>814</v>
      </c>
      <c r="D28" s="288" t="s">
        <v>815</v>
      </c>
      <c r="E28" s="289">
        <v>10</v>
      </c>
      <c r="F28" s="290">
        <v>1</v>
      </c>
      <c r="G28" s="289">
        <v>900</v>
      </c>
      <c r="H28" s="289">
        <v>0</v>
      </c>
      <c r="I28" s="289">
        <v>90</v>
      </c>
      <c r="J28" s="289">
        <v>50</v>
      </c>
      <c r="K28" s="289">
        <v>5</v>
      </c>
      <c r="L28" s="289">
        <v>1045</v>
      </c>
    </row>
    <row r="29" spans="1:12">
      <c r="A29" s="288" t="s">
        <v>849</v>
      </c>
      <c r="B29" s="288" t="s">
        <v>817</v>
      </c>
      <c r="C29" s="288" t="s">
        <v>814</v>
      </c>
      <c r="D29" s="288" t="s">
        <v>815</v>
      </c>
      <c r="E29" s="289">
        <v>10</v>
      </c>
      <c r="F29" s="290">
        <v>11</v>
      </c>
      <c r="G29" s="289">
        <v>1100</v>
      </c>
      <c r="H29" s="289">
        <v>110</v>
      </c>
      <c r="I29" s="289">
        <v>121</v>
      </c>
      <c r="J29" s="289">
        <v>50</v>
      </c>
      <c r="K29" s="289">
        <v>5</v>
      </c>
      <c r="L29" s="289">
        <v>1386</v>
      </c>
    </row>
    <row r="30" spans="1:12">
      <c r="A30" s="288" t="s">
        <v>850</v>
      </c>
      <c r="B30" s="288" t="s">
        <v>817</v>
      </c>
      <c r="C30" s="288" t="s">
        <v>820</v>
      </c>
      <c r="D30" s="288" t="s">
        <v>826</v>
      </c>
      <c r="E30" s="289">
        <v>10</v>
      </c>
      <c r="F30" s="290">
        <v>0</v>
      </c>
      <c r="G30" s="289">
        <v>900</v>
      </c>
      <c r="H30" s="289">
        <v>0</v>
      </c>
      <c r="I30" s="289">
        <v>90</v>
      </c>
      <c r="J30" s="289">
        <v>100</v>
      </c>
      <c r="K30" s="289">
        <v>10</v>
      </c>
      <c r="L30" s="289">
        <v>1100</v>
      </c>
    </row>
    <row r="31" spans="1:12">
      <c r="A31" s="288" t="s">
        <v>851</v>
      </c>
      <c r="B31" s="288" t="s">
        <v>817</v>
      </c>
      <c r="C31" s="288" t="s">
        <v>820</v>
      </c>
      <c r="D31" s="288" t="s">
        <v>818</v>
      </c>
      <c r="E31" s="289">
        <v>10</v>
      </c>
      <c r="F31" s="290">
        <v>22</v>
      </c>
      <c r="G31" s="289">
        <v>1100</v>
      </c>
      <c r="H31" s="289">
        <v>1320</v>
      </c>
      <c r="I31" s="289">
        <v>242</v>
      </c>
      <c r="J31" s="289">
        <v>70</v>
      </c>
      <c r="K31" s="289">
        <v>7</v>
      </c>
      <c r="L31" s="289">
        <v>2739</v>
      </c>
    </row>
    <row r="32" spans="1:12">
      <c r="A32" s="288" t="s">
        <v>852</v>
      </c>
      <c r="B32" s="288" t="s">
        <v>817</v>
      </c>
      <c r="C32" s="288" t="s">
        <v>820</v>
      </c>
      <c r="D32" s="288" t="s">
        <v>818</v>
      </c>
      <c r="E32" s="289">
        <v>10</v>
      </c>
      <c r="F32" s="290">
        <v>5</v>
      </c>
      <c r="G32" s="289">
        <v>900</v>
      </c>
      <c r="H32" s="289">
        <v>0</v>
      </c>
      <c r="I32" s="289">
        <v>90</v>
      </c>
      <c r="J32" s="289">
        <v>70</v>
      </c>
      <c r="K32" s="289">
        <v>7</v>
      </c>
      <c r="L32" s="289">
        <v>1067</v>
      </c>
    </row>
    <row r="33" spans="1:12">
      <c r="A33" s="288" t="s">
        <v>853</v>
      </c>
      <c r="B33" s="288" t="s">
        <v>817</v>
      </c>
      <c r="C33" s="288" t="s">
        <v>820</v>
      </c>
      <c r="D33" s="288" t="s">
        <v>822</v>
      </c>
      <c r="E33" s="289">
        <v>10</v>
      </c>
      <c r="F33" s="290">
        <v>1301</v>
      </c>
      <c r="G33" s="289">
        <v>1100</v>
      </c>
      <c r="H33" s="289">
        <v>130000</v>
      </c>
      <c r="I33" s="289">
        <v>13110</v>
      </c>
      <c r="J33" s="289">
        <v>200</v>
      </c>
      <c r="K33" s="289">
        <v>20</v>
      </c>
      <c r="L33" s="289">
        <v>144430</v>
      </c>
    </row>
    <row r="34" spans="1:12">
      <c r="A34" s="288" t="s">
        <v>854</v>
      </c>
      <c r="B34" s="288" t="s">
        <v>817</v>
      </c>
      <c r="C34" s="288" t="s">
        <v>829</v>
      </c>
      <c r="D34" s="288" t="s">
        <v>815</v>
      </c>
      <c r="E34" s="289">
        <v>10</v>
      </c>
      <c r="F34" s="290">
        <v>3</v>
      </c>
      <c r="G34" s="289">
        <v>900</v>
      </c>
      <c r="H34" s="289">
        <v>0</v>
      </c>
      <c r="I34" s="289">
        <v>90</v>
      </c>
      <c r="J34" s="289">
        <v>50</v>
      </c>
      <c r="K34" s="289">
        <v>5</v>
      </c>
      <c r="L34" s="289">
        <v>1045</v>
      </c>
    </row>
    <row r="35" spans="1:12">
      <c r="A35" s="288" t="s">
        <v>855</v>
      </c>
      <c r="B35" s="288" t="s">
        <v>817</v>
      </c>
      <c r="C35" s="288" t="s">
        <v>820</v>
      </c>
      <c r="D35" s="288" t="s">
        <v>826</v>
      </c>
      <c r="E35" s="289">
        <v>10</v>
      </c>
      <c r="F35" s="290">
        <v>0</v>
      </c>
      <c r="G35" s="289">
        <v>900</v>
      </c>
      <c r="H35" s="289">
        <v>0</v>
      </c>
      <c r="I35" s="289">
        <v>90</v>
      </c>
      <c r="J35" s="289">
        <v>100</v>
      </c>
      <c r="K35" s="289">
        <v>10</v>
      </c>
      <c r="L35" s="289">
        <v>1100</v>
      </c>
    </row>
    <row r="36" spans="1:12">
      <c r="A36" s="288" t="s">
        <v>856</v>
      </c>
      <c r="B36" s="288" t="s">
        <v>817</v>
      </c>
      <c r="C36" s="288" t="s">
        <v>820</v>
      </c>
      <c r="D36" s="288" t="s">
        <v>818</v>
      </c>
      <c r="E36" s="289">
        <v>10</v>
      </c>
      <c r="F36" s="290">
        <v>2</v>
      </c>
      <c r="G36" s="289">
        <v>900</v>
      </c>
      <c r="H36" s="289">
        <v>0</v>
      </c>
      <c r="I36" s="289">
        <v>90</v>
      </c>
      <c r="J36" s="289">
        <v>70</v>
      </c>
      <c r="K36" s="289">
        <v>7</v>
      </c>
      <c r="L36" s="289">
        <v>1067</v>
      </c>
    </row>
    <row r="37" spans="1:12">
      <c r="A37" s="288" t="s">
        <v>857</v>
      </c>
      <c r="B37" s="288" t="s">
        <v>817</v>
      </c>
      <c r="C37" s="288" t="s">
        <v>820</v>
      </c>
      <c r="D37" s="288" t="s">
        <v>822</v>
      </c>
      <c r="E37" s="289">
        <v>10</v>
      </c>
      <c r="F37" s="290">
        <v>96</v>
      </c>
      <c r="G37" s="289">
        <v>1100</v>
      </c>
      <c r="H37" s="289">
        <v>9460</v>
      </c>
      <c r="I37" s="289">
        <v>1056</v>
      </c>
      <c r="J37" s="289">
        <v>200</v>
      </c>
      <c r="K37" s="289">
        <v>20</v>
      </c>
      <c r="L37" s="289">
        <v>11836</v>
      </c>
    </row>
    <row r="38" spans="1:12">
      <c r="A38" s="288" t="s">
        <v>858</v>
      </c>
      <c r="B38" s="288" t="s">
        <v>817</v>
      </c>
      <c r="C38" s="288" t="s">
        <v>820</v>
      </c>
      <c r="D38" s="288" t="s">
        <v>826</v>
      </c>
      <c r="E38" s="289">
        <v>10</v>
      </c>
      <c r="F38" s="290">
        <v>12</v>
      </c>
      <c r="G38" s="289">
        <v>1100</v>
      </c>
      <c r="H38" s="289">
        <v>220</v>
      </c>
      <c r="I38" s="289">
        <v>132</v>
      </c>
      <c r="J38" s="289">
        <v>100</v>
      </c>
      <c r="K38" s="289">
        <v>10</v>
      </c>
      <c r="L38" s="289">
        <v>1562</v>
      </c>
    </row>
    <row r="39" spans="1:12">
      <c r="A39" s="288" t="s">
        <v>859</v>
      </c>
      <c r="B39" s="288" t="s">
        <v>860</v>
      </c>
      <c r="C39" s="288" t="s">
        <v>814</v>
      </c>
      <c r="D39" s="288" t="s">
        <v>815</v>
      </c>
      <c r="E39" s="289">
        <v>10</v>
      </c>
      <c r="F39" s="290">
        <v>8</v>
      </c>
      <c r="G39" s="289">
        <v>1100</v>
      </c>
      <c r="H39" s="289">
        <v>0</v>
      </c>
      <c r="I39" s="289">
        <v>110</v>
      </c>
      <c r="J39" s="289">
        <v>50</v>
      </c>
      <c r="K39" s="289">
        <v>5</v>
      </c>
      <c r="L39" s="289">
        <v>1265</v>
      </c>
    </row>
    <row r="40" spans="1:12">
      <c r="A40" s="288" t="s">
        <v>861</v>
      </c>
      <c r="B40" s="288" t="s">
        <v>860</v>
      </c>
      <c r="C40" s="288" t="s">
        <v>814</v>
      </c>
      <c r="D40" s="288" t="s">
        <v>818</v>
      </c>
      <c r="E40" s="289">
        <v>10</v>
      </c>
      <c r="F40" s="290">
        <v>7</v>
      </c>
      <c r="G40" s="289">
        <v>1100</v>
      </c>
      <c r="H40" s="289">
        <v>0</v>
      </c>
      <c r="I40" s="289">
        <v>110</v>
      </c>
      <c r="J40" s="289">
        <v>70</v>
      </c>
      <c r="K40" s="289">
        <v>7</v>
      </c>
      <c r="L40" s="289">
        <v>1287</v>
      </c>
    </row>
    <row r="41" spans="1:12">
      <c r="A41" s="288" t="s">
        <v>862</v>
      </c>
      <c r="B41" s="288" t="s">
        <v>860</v>
      </c>
      <c r="C41" s="288" t="s">
        <v>814</v>
      </c>
      <c r="D41" s="288" t="s">
        <v>815</v>
      </c>
      <c r="E41" s="289">
        <v>10</v>
      </c>
      <c r="F41" s="290">
        <v>18</v>
      </c>
      <c r="G41" s="289">
        <v>1100</v>
      </c>
      <c r="H41" s="289">
        <v>880</v>
      </c>
      <c r="I41" s="289">
        <v>198</v>
      </c>
      <c r="J41" s="289">
        <v>50</v>
      </c>
      <c r="K41" s="289">
        <v>5</v>
      </c>
      <c r="L41" s="289">
        <v>2233</v>
      </c>
    </row>
    <row r="42" spans="1:12">
      <c r="A42" s="288" t="s">
        <v>863</v>
      </c>
      <c r="B42" s="288" t="s">
        <v>860</v>
      </c>
      <c r="C42" s="288" t="s">
        <v>814</v>
      </c>
      <c r="D42" s="288" t="s">
        <v>815</v>
      </c>
      <c r="E42" s="289">
        <v>10</v>
      </c>
      <c r="F42" s="290">
        <v>10</v>
      </c>
      <c r="G42" s="289">
        <v>1100</v>
      </c>
      <c r="H42" s="289">
        <v>0</v>
      </c>
      <c r="I42" s="289">
        <v>110</v>
      </c>
      <c r="J42" s="289">
        <v>50</v>
      </c>
      <c r="K42" s="289">
        <v>5</v>
      </c>
      <c r="L42" s="289">
        <v>1265</v>
      </c>
    </row>
    <row r="43" spans="1:12">
      <c r="A43" s="288" t="s">
        <v>864</v>
      </c>
      <c r="B43" s="288" t="s">
        <v>860</v>
      </c>
      <c r="C43" s="288" t="s">
        <v>814</v>
      </c>
      <c r="D43" s="288" t="s">
        <v>818</v>
      </c>
      <c r="E43" s="289">
        <v>10</v>
      </c>
      <c r="F43" s="290">
        <v>27</v>
      </c>
      <c r="G43" s="289">
        <v>1100</v>
      </c>
      <c r="H43" s="289">
        <v>1870</v>
      </c>
      <c r="I43" s="289">
        <v>297</v>
      </c>
      <c r="J43" s="289">
        <v>70</v>
      </c>
      <c r="K43" s="289">
        <v>7</v>
      </c>
      <c r="L43" s="289">
        <v>3344</v>
      </c>
    </row>
    <row r="44" spans="1:12">
      <c r="A44" s="288" t="s">
        <v>865</v>
      </c>
      <c r="B44" s="288" t="s">
        <v>860</v>
      </c>
      <c r="C44" s="288" t="s">
        <v>814</v>
      </c>
      <c r="D44" s="288" t="s">
        <v>815</v>
      </c>
      <c r="E44" s="289">
        <v>10</v>
      </c>
      <c r="F44" s="290">
        <v>31</v>
      </c>
      <c r="G44" s="289">
        <v>1100</v>
      </c>
      <c r="H44" s="289">
        <v>2310</v>
      </c>
      <c r="I44" s="289">
        <v>341</v>
      </c>
      <c r="J44" s="289">
        <v>50</v>
      </c>
      <c r="K44" s="289">
        <v>5</v>
      </c>
      <c r="L44" s="289">
        <v>3806</v>
      </c>
    </row>
    <row r="45" spans="1:12">
      <c r="A45" s="288" t="s">
        <v>866</v>
      </c>
      <c r="B45" s="288" t="s">
        <v>860</v>
      </c>
      <c r="C45" s="288" t="s">
        <v>814</v>
      </c>
      <c r="D45" s="288" t="s">
        <v>818</v>
      </c>
      <c r="E45" s="289">
        <v>10</v>
      </c>
      <c r="F45" s="290">
        <v>11</v>
      </c>
      <c r="G45" s="289">
        <v>1100</v>
      </c>
      <c r="H45" s="289">
        <v>110</v>
      </c>
      <c r="I45" s="289">
        <v>121</v>
      </c>
      <c r="J45" s="289">
        <v>70</v>
      </c>
      <c r="K45" s="289">
        <v>7</v>
      </c>
      <c r="L45" s="289">
        <v>1408</v>
      </c>
    </row>
    <row r="46" spans="1:12">
      <c r="A46" s="288" t="s">
        <v>867</v>
      </c>
      <c r="B46" s="288" t="s">
        <v>860</v>
      </c>
      <c r="C46" s="288" t="s">
        <v>814</v>
      </c>
      <c r="D46" s="288" t="s">
        <v>818</v>
      </c>
      <c r="E46" s="289">
        <v>10</v>
      </c>
      <c r="F46" s="290">
        <v>17</v>
      </c>
      <c r="G46" s="289">
        <v>1100</v>
      </c>
      <c r="H46" s="289">
        <v>770</v>
      </c>
      <c r="I46" s="289">
        <v>187</v>
      </c>
      <c r="J46" s="289">
        <v>70</v>
      </c>
      <c r="K46" s="289">
        <v>7</v>
      </c>
      <c r="L46" s="289">
        <v>2134</v>
      </c>
    </row>
    <row r="47" spans="1:12">
      <c r="A47" s="288" t="s">
        <v>868</v>
      </c>
      <c r="B47" s="288" t="s">
        <v>860</v>
      </c>
      <c r="C47" s="288" t="s">
        <v>814</v>
      </c>
      <c r="D47" s="288" t="s">
        <v>818</v>
      </c>
      <c r="E47" s="289">
        <v>10</v>
      </c>
      <c r="F47" s="290">
        <v>20</v>
      </c>
      <c r="G47" s="289">
        <v>1100</v>
      </c>
      <c r="H47" s="289">
        <v>1100</v>
      </c>
      <c r="I47" s="289">
        <v>220</v>
      </c>
      <c r="J47" s="289">
        <v>70</v>
      </c>
      <c r="K47" s="289">
        <v>7</v>
      </c>
      <c r="L47" s="289">
        <v>2497</v>
      </c>
    </row>
    <row r="48" spans="1:12">
      <c r="A48" s="288" t="s">
        <v>869</v>
      </c>
      <c r="B48" s="288" t="s">
        <v>860</v>
      </c>
      <c r="C48" s="288" t="s">
        <v>814</v>
      </c>
      <c r="D48" s="288" t="s">
        <v>815</v>
      </c>
      <c r="E48" s="289">
        <v>10</v>
      </c>
      <c r="F48" s="290">
        <v>4</v>
      </c>
      <c r="G48" s="289">
        <v>900</v>
      </c>
      <c r="H48" s="289">
        <v>0</v>
      </c>
      <c r="I48" s="289">
        <v>90</v>
      </c>
      <c r="J48" s="289">
        <v>50</v>
      </c>
      <c r="K48" s="289">
        <v>5</v>
      </c>
      <c r="L48" s="289">
        <v>1045</v>
      </c>
    </row>
    <row r="49" spans="1:12">
      <c r="A49" s="288" t="s">
        <v>870</v>
      </c>
      <c r="B49" s="288" t="s">
        <v>860</v>
      </c>
      <c r="C49" s="288" t="s">
        <v>814</v>
      </c>
      <c r="D49" s="288" t="s">
        <v>815</v>
      </c>
      <c r="E49" s="289">
        <v>10</v>
      </c>
      <c r="F49" s="290">
        <v>0</v>
      </c>
      <c r="G49" s="289">
        <v>900</v>
      </c>
      <c r="H49" s="289">
        <v>0</v>
      </c>
      <c r="I49" s="289">
        <v>90</v>
      </c>
      <c r="J49" s="289">
        <v>50</v>
      </c>
      <c r="K49" s="289">
        <v>5</v>
      </c>
      <c r="L49" s="289">
        <v>1045</v>
      </c>
    </row>
    <row r="50" spans="1:12">
      <c r="A50" s="288" t="s">
        <v>871</v>
      </c>
      <c r="B50" s="288" t="s">
        <v>860</v>
      </c>
      <c r="C50" s="288" t="s">
        <v>814</v>
      </c>
      <c r="D50" s="288" t="s">
        <v>818</v>
      </c>
      <c r="E50" s="289">
        <v>10</v>
      </c>
      <c r="F50" s="290">
        <v>18</v>
      </c>
      <c r="G50" s="289">
        <v>1100</v>
      </c>
      <c r="H50" s="289">
        <v>880</v>
      </c>
      <c r="I50" s="289">
        <v>198</v>
      </c>
      <c r="J50" s="289">
        <v>70</v>
      </c>
      <c r="K50" s="289">
        <v>7</v>
      </c>
      <c r="L50" s="289">
        <v>2255</v>
      </c>
    </row>
    <row r="51" spans="1:12">
      <c r="A51" s="288" t="s">
        <v>872</v>
      </c>
      <c r="B51" s="288" t="s">
        <v>860</v>
      </c>
      <c r="C51" s="288" t="s">
        <v>814</v>
      </c>
      <c r="D51" s="288" t="s">
        <v>818</v>
      </c>
      <c r="E51" s="289">
        <v>10</v>
      </c>
      <c r="F51" s="290">
        <v>17</v>
      </c>
      <c r="G51" s="289">
        <v>1100</v>
      </c>
      <c r="H51" s="289">
        <v>770</v>
      </c>
      <c r="I51" s="289">
        <v>187</v>
      </c>
      <c r="J51" s="289">
        <v>70</v>
      </c>
      <c r="K51" s="289">
        <v>7</v>
      </c>
      <c r="L51" s="289">
        <v>2134</v>
      </c>
    </row>
    <row r="52" spans="1:12">
      <c r="A52" s="288" t="s">
        <v>873</v>
      </c>
      <c r="B52" s="288" t="s">
        <v>860</v>
      </c>
      <c r="C52" s="288" t="s">
        <v>820</v>
      </c>
      <c r="D52" s="288" t="s">
        <v>818</v>
      </c>
      <c r="E52" s="289">
        <v>10</v>
      </c>
      <c r="F52" s="290">
        <v>0</v>
      </c>
      <c r="G52" s="289">
        <v>900</v>
      </c>
      <c r="H52" s="289">
        <v>0</v>
      </c>
      <c r="I52" s="289">
        <v>90</v>
      </c>
      <c r="J52" s="289">
        <v>70</v>
      </c>
      <c r="K52" s="289">
        <v>7</v>
      </c>
      <c r="L52" s="289">
        <v>1067</v>
      </c>
    </row>
    <row r="53" spans="1:12">
      <c r="A53" s="288" t="s">
        <v>874</v>
      </c>
      <c r="B53" s="288" t="s">
        <v>860</v>
      </c>
      <c r="C53" s="288" t="s">
        <v>814</v>
      </c>
      <c r="D53" s="288" t="s">
        <v>818</v>
      </c>
      <c r="E53" s="289">
        <v>10</v>
      </c>
      <c r="F53" s="290">
        <v>36</v>
      </c>
      <c r="G53" s="289">
        <v>1100</v>
      </c>
      <c r="H53" s="289">
        <v>2860</v>
      </c>
      <c r="I53" s="289">
        <v>396</v>
      </c>
      <c r="J53" s="289">
        <v>70</v>
      </c>
      <c r="K53" s="289">
        <v>7</v>
      </c>
      <c r="L53" s="289">
        <v>4433</v>
      </c>
    </row>
    <row r="54" spans="1:12">
      <c r="A54" s="288" t="s">
        <v>875</v>
      </c>
      <c r="B54" s="288" t="s">
        <v>860</v>
      </c>
      <c r="C54" s="288" t="s">
        <v>814</v>
      </c>
      <c r="D54" s="288" t="s">
        <v>815</v>
      </c>
      <c r="E54" s="289">
        <v>10</v>
      </c>
      <c r="F54" s="290">
        <v>13</v>
      </c>
      <c r="G54" s="289">
        <v>1100</v>
      </c>
      <c r="H54" s="289">
        <v>330</v>
      </c>
      <c r="I54" s="289">
        <v>143</v>
      </c>
      <c r="J54" s="289">
        <v>50</v>
      </c>
      <c r="K54" s="289">
        <v>5</v>
      </c>
      <c r="L54" s="289">
        <v>1628</v>
      </c>
    </row>
    <row r="55" spans="1:12">
      <c r="A55" s="288" t="s">
        <v>876</v>
      </c>
      <c r="B55" s="288" t="s">
        <v>860</v>
      </c>
      <c r="C55" s="288" t="s">
        <v>814</v>
      </c>
      <c r="D55" s="288" t="s">
        <v>818</v>
      </c>
      <c r="E55" s="289">
        <v>10</v>
      </c>
      <c r="F55" s="290">
        <v>7</v>
      </c>
      <c r="G55" s="289">
        <v>1100</v>
      </c>
      <c r="H55" s="289">
        <v>0</v>
      </c>
      <c r="I55" s="289">
        <v>110</v>
      </c>
      <c r="J55" s="289">
        <v>70</v>
      </c>
      <c r="K55" s="289">
        <v>7</v>
      </c>
      <c r="L55" s="289">
        <v>1287</v>
      </c>
    </row>
    <row r="56" spans="1:12">
      <c r="A56" s="288" t="s">
        <v>877</v>
      </c>
      <c r="B56" s="288" t="s">
        <v>860</v>
      </c>
      <c r="C56" s="288" t="s">
        <v>814</v>
      </c>
      <c r="D56" s="288" t="s">
        <v>815</v>
      </c>
      <c r="E56" s="289">
        <v>10</v>
      </c>
      <c r="F56" s="290">
        <v>15</v>
      </c>
      <c r="G56" s="289">
        <v>1100</v>
      </c>
      <c r="H56" s="289">
        <v>550</v>
      </c>
      <c r="I56" s="289">
        <v>165</v>
      </c>
      <c r="J56" s="289">
        <v>50</v>
      </c>
      <c r="K56" s="289">
        <v>5</v>
      </c>
      <c r="L56" s="289">
        <v>1870</v>
      </c>
    </row>
    <row r="57" spans="1:12">
      <c r="A57" s="288" t="s">
        <v>878</v>
      </c>
      <c r="B57" s="288" t="s">
        <v>860</v>
      </c>
      <c r="C57" s="288" t="s">
        <v>814</v>
      </c>
      <c r="D57" s="288" t="s">
        <v>818</v>
      </c>
      <c r="E57" s="289">
        <v>10</v>
      </c>
      <c r="F57" s="290">
        <v>24</v>
      </c>
      <c r="G57" s="289">
        <v>1100</v>
      </c>
      <c r="H57" s="289">
        <v>1540</v>
      </c>
      <c r="I57" s="289">
        <v>264</v>
      </c>
      <c r="J57" s="289">
        <v>70</v>
      </c>
      <c r="K57" s="289">
        <v>7</v>
      </c>
      <c r="L57" s="289">
        <v>2981</v>
      </c>
    </row>
    <row r="58" spans="1:12">
      <c r="A58" s="288" t="s">
        <v>879</v>
      </c>
      <c r="B58" s="288" t="s">
        <v>860</v>
      </c>
      <c r="C58" s="288" t="s">
        <v>814</v>
      </c>
      <c r="D58" s="288" t="s">
        <v>815</v>
      </c>
      <c r="E58" s="289">
        <v>10</v>
      </c>
      <c r="F58" s="290">
        <v>0</v>
      </c>
      <c r="G58" s="289">
        <v>900</v>
      </c>
      <c r="H58" s="289">
        <v>0</v>
      </c>
      <c r="I58" s="289">
        <v>90</v>
      </c>
      <c r="J58" s="289">
        <v>50</v>
      </c>
      <c r="K58" s="289">
        <v>5</v>
      </c>
      <c r="L58" s="289">
        <v>1045</v>
      </c>
    </row>
    <row r="59" spans="1:12">
      <c r="A59" s="288" t="s">
        <v>880</v>
      </c>
      <c r="B59" s="288" t="s">
        <v>860</v>
      </c>
      <c r="C59" s="288" t="s">
        <v>814</v>
      </c>
      <c r="D59" s="288" t="s">
        <v>815</v>
      </c>
      <c r="E59" s="289">
        <v>10</v>
      </c>
      <c r="F59" s="290">
        <v>14</v>
      </c>
      <c r="G59" s="289">
        <v>1100</v>
      </c>
      <c r="H59" s="289">
        <v>440</v>
      </c>
      <c r="I59" s="289">
        <v>154</v>
      </c>
      <c r="J59" s="289">
        <v>50</v>
      </c>
      <c r="K59" s="289">
        <v>5</v>
      </c>
      <c r="L59" s="289">
        <v>1749</v>
      </c>
    </row>
    <row r="60" spans="1:12">
      <c r="A60" s="288" t="s">
        <v>881</v>
      </c>
      <c r="B60" s="288" t="s">
        <v>860</v>
      </c>
      <c r="C60" s="288" t="s">
        <v>814</v>
      </c>
      <c r="D60" s="288" t="s">
        <v>818</v>
      </c>
      <c r="E60" s="289">
        <v>10</v>
      </c>
      <c r="F60" s="290">
        <v>41</v>
      </c>
      <c r="G60" s="289">
        <v>1100</v>
      </c>
      <c r="H60" s="289">
        <v>3410</v>
      </c>
      <c r="I60" s="289">
        <v>451</v>
      </c>
      <c r="J60" s="289">
        <v>70</v>
      </c>
      <c r="K60" s="289">
        <v>7</v>
      </c>
      <c r="L60" s="289">
        <v>5038</v>
      </c>
    </row>
    <row r="61" spans="1:12">
      <c r="A61" s="288" t="s">
        <v>882</v>
      </c>
      <c r="B61" s="288" t="s">
        <v>860</v>
      </c>
      <c r="C61" s="288" t="s">
        <v>814</v>
      </c>
      <c r="D61" s="288" t="s">
        <v>818</v>
      </c>
      <c r="E61" s="289">
        <v>10</v>
      </c>
      <c r="F61" s="290">
        <v>0</v>
      </c>
      <c r="G61" s="289">
        <v>900</v>
      </c>
      <c r="H61" s="289">
        <v>0</v>
      </c>
      <c r="I61" s="289">
        <v>90</v>
      </c>
      <c r="J61" s="289">
        <v>70</v>
      </c>
      <c r="K61" s="289">
        <v>7</v>
      </c>
      <c r="L61" s="289">
        <v>1067</v>
      </c>
    </row>
    <row r="62" spans="1:12">
      <c r="A62" s="288" t="s">
        <v>883</v>
      </c>
      <c r="B62" s="288" t="s">
        <v>860</v>
      </c>
      <c r="C62" s="288" t="s">
        <v>814</v>
      </c>
      <c r="D62" s="288" t="s">
        <v>818</v>
      </c>
      <c r="E62" s="289">
        <v>10</v>
      </c>
      <c r="F62" s="290">
        <v>30</v>
      </c>
      <c r="G62" s="289">
        <v>1100</v>
      </c>
      <c r="H62" s="289">
        <v>2200</v>
      </c>
      <c r="I62" s="289">
        <v>330</v>
      </c>
      <c r="J62" s="289">
        <v>70</v>
      </c>
      <c r="K62" s="289">
        <v>7</v>
      </c>
      <c r="L62" s="289">
        <v>3707</v>
      </c>
    </row>
    <row r="63" spans="1:12">
      <c r="A63" s="288" t="s">
        <v>884</v>
      </c>
      <c r="B63" s="288" t="s">
        <v>860</v>
      </c>
      <c r="C63" s="288" t="s">
        <v>814</v>
      </c>
      <c r="D63" s="288" t="s">
        <v>818</v>
      </c>
      <c r="E63" s="289">
        <v>10</v>
      </c>
      <c r="F63" s="290">
        <v>11</v>
      </c>
      <c r="G63" s="289">
        <v>1100</v>
      </c>
      <c r="H63" s="289">
        <v>110</v>
      </c>
      <c r="I63" s="289">
        <v>121</v>
      </c>
      <c r="J63" s="289">
        <v>70</v>
      </c>
      <c r="K63" s="289">
        <v>7</v>
      </c>
      <c r="L63" s="289">
        <v>1408</v>
      </c>
    </row>
    <row r="64" spans="1:12">
      <c r="A64" s="288" t="s">
        <v>885</v>
      </c>
      <c r="B64" s="288" t="s">
        <v>860</v>
      </c>
      <c r="C64" s="288" t="s">
        <v>814</v>
      </c>
      <c r="D64" s="288" t="s">
        <v>815</v>
      </c>
      <c r="E64" s="289">
        <v>10</v>
      </c>
      <c r="F64" s="290">
        <v>6</v>
      </c>
      <c r="G64" s="289">
        <v>1100</v>
      </c>
      <c r="H64" s="289">
        <v>0</v>
      </c>
      <c r="I64" s="289">
        <v>110</v>
      </c>
      <c r="J64" s="289">
        <v>50</v>
      </c>
      <c r="K64" s="289">
        <v>5</v>
      </c>
      <c r="L64" s="289">
        <v>1265</v>
      </c>
    </row>
    <row r="65" spans="1:12">
      <c r="A65" s="288" t="s">
        <v>886</v>
      </c>
      <c r="B65" s="288" t="s">
        <v>860</v>
      </c>
      <c r="C65" s="288" t="s">
        <v>820</v>
      </c>
      <c r="D65" s="288" t="s">
        <v>815</v>
      </c>
      <c r="E65" s="289">
        <v>10</v>
      </c>
      <c r="F65" s="290">
        <v>1</v>
      </c>
      <c r="G65" s="289">
        <v>900</v>
      </c>
      <c r="H65" s="289">
        <v>0</v>
      </c>
      <c r="I65" s="289">
        <v>90</v>
      </c>
      <c r="J65" s="289">
        <v>50</v>
      </c>
      <c r="K65" s="289">
        <v>5</v>
      </c>
      <c r="L65" s="289">
        <v>1045</v>
      </c>
    </row>
    <row r="66" spans="1:12">
      <c r="A66" s="288" t="s">
        <v>887</v>
      </c>
      <c r="B66" s="288" t="s">
        <v>860</v>
      </c>
      <c r="C66" s="288" t="s">
        <v>814</v>
      </c>
      <c r="D66" s="288" t="s">
        <v>818</v>
      </c>
      <c r="E66" s="289">
        <v>10</v>
      </c>
      <c r="F66" s="290">
        <v>36</v>
      </c>
      <c r="G66" s="289">
        <v>1100</v>
      </c>
      <c r="H66" s="289">
        <v>2860</v>
      </c>
      <c r="I66" s="289">
        <v>396</v>
      </c>
      <c r="J66" s="289">
        <v>70</v>
      </c>
      <c r="K66" s="289">
        <v>7</v>
      </c>
      <c r="L66" s="289">
        <v>4433</v>
      </c>
    </row>
    <row r="67" spans="1:12">
      <c r="A67" s="288" t="s">
        <v>888</v>
      </c>
      <c r="B67" s="288" t="s">
        <v>860</v>
      </c>
      <c r="C67" s="288" t="s">
        <v>833</v>
      </c>
      <c r="D67" s="288" t="s">
        <v>818</v>
      </c>
      <c r="E67" s="289">
        <v>10</v>
      </c>
      <c r="F67" s="290">
        <v>156</v>
      </c>
      <c r="G67" s="289">
        <v>1100</v>
      </c>
      <c r="H67" s="289">
        <v>15500</v>
      </c>
      <c r="I67" s="289">
        <v>1660</v>
      </c>
      <c r="J67" s="289">
        <v>70</v>
      </c>
      <c r="K67" s="289">
        <v>7</v>
      </c>
      <c r="L67" s="289">
        <v>18337</v>
      </c>
    </row>
    <row r="68" spans="1:12">
      <c r="A68" s="288" t="s">
        <v>889</v>
      </c>
      <c r="B68" s="288" t="s">
        <v>860</v>
      </c>
      <c r="C68" s="288" t="s">
        <v>814</v>
      </c>
      <c r="D68" s="288" t="s">
        <v>815</v>
      </c>
      <c r="E68" s="289">
        <v>10</v>
      </c>
      <c r="F68" s="290">
        <v>24</v>
      </c>
      <c r="G68" s="289">
        <v>1100</v>
      </c>
      <c r="H68" s="289">
        <v>1540</v>
      </c>
      <c r="I68" s="289">
        <v>264</v>
      </c>
      <c r="J68" s="289">
        <v>50</v>
      </c>
      <c r="K68" s="289">
        <v>5</v>
      </c>
      <c r="L68" s="289">
        <v>2959</v>
      </c>
    </row>
    <row r="69" spans="1:12">
      <c r="A69" s="288" t="s">
        <v>890</v>
      </c>
      <c r="B69" s="288" t="s">
        <v>860</v>
      </c>
      <c r="C69" s="288" t="s">
        <v>833</v>
      </c>
      <c r="D69" s="288" t="s">
        <v>818</v>
      </c>
      <c r="E69" s="289">
        <v>10</v>
      </c>
      <c r="F69" s="290">
        <v>308</v>
      </c>
      <c r="G69" s="289">
        <v>1100</v>
      </c>
      <c r="H69" s="289">
        <v>30700</v>
      </c>
      <c r="I69" s="289">
        <v>3180</v>
      </c>
      <c r="J69" s="289">
        <v>70</v>
      </c>
      <c r="K69" s="289">
        <v>7</v>
      </c>
      <c r="L69" s="289">
        <v>35057</v>
      </c>
    </row>
    <row r="70" spans="1:12">
      <c r="A70" s="288" t="s">
        <v>891</v>
      </c>
      <c r="B70" s="288" t="s">
        <v>860</v>
      </c>
      <c r="C70" s="288" t="s">
        <v>833</v>
      </c>
      <c r="D70" s="288" t="s">
        <v>815</v>
      </c>
      <c r="E70" s="289">
        <v>10</v>
      </c>
      <c r="F70" s="290">
        <v>33</v>
      </c>
      <c r="G70" s="289">
        <v>1100</v>
      </c>
      <c r="H70" s="289">
        <v>2530</v>
      </c>
      <c r="I70" s="289">
        <v>363</v>
      </c>
      <c r="J70" s="289">
        <v>50</v>
      </c>
      <c r="K70" s="289">
        <v>5</v>
      </c>
      <c r="L70" s="289">
        <v>4048</v>
      </c>
    </row>
    <row r="71" spans="1:12">
      <c r="A71" s="288" t="s">
        <v>892</v>
      </c>
      <c r="B71" s="288" t="s">
        <v>860</v>
      </c>
      <c r="C71" s="288" t="s">
        <v>814</v>
      </c>
      <c r="D71" s="288" t="s">
        <v>815</v>
      </c>
      <c r="E71" s="289">
        <v>10</v>
      </c>
      <c r="F71" s="290">
        <v>27</v>
      </c>
      <c r="G71" s="289">
        <v>1100</v>
      </c>
      <c r="H71" s="289">
        <v>1870</v>
      </c>
      <c r="I71" s="289">
        <v>297</v>
      </c>
      <c r="J71" s="289">
        <v>50</v>
      </c>
      <c r="K71" s="289">
        <v>5</v>
      </c>
      <c r="L71" s="289">
        <v>3322</v>
      </c>
    </row>
    <row r="72" spans="1:12">
      <c r="A72" s="288" t="s">
        <v>893</v>
      </c>
      <c r="B72" s="288" t="s">
        <v>860</v>
      </c>
      <c r="C72" s="288" t="s">
        <v>814</v>
      </c>
      <c r="D72" s="288" t="s">
        <v>815</v>
      </c>
      <c r="E72" s="289">
        <v>10</v>
      </c>
      <c r="F72" s="290">
        <v>12</v>
      </c>
      <c r="G72" s="289">
        <v>1100</v>
      </c>
      <c r="H72" s="289">
        <v>220</v>
      </c>
      <c r="I72" s="289">
        <v>132</v>
      </c>
      <c r="J72" s="289">
        <v>50</v>
      </c>
      <c r="K72" s="289">
        <v>5</v>
      </c>
      <c r="L72" s="289">
        <v>1507</v>
      </c>
    </row>
    <row r="73" spans="1:12">
      <c r="A73" s="288" t="s">
        <v>894</v>
      </c>
      <c r="B73" s="288" t="s">
        <v>860</v>
      </c>
      <c r="C73" s="288" t="s">
        <v>814</v>
      </c>
      <c r="D73" s="288" t="s">
        <v>815</v>
      </c>
      <c r="E73" s="289">
        <v>10</v>
      </c>
      <c r="F73" s="290">
        <v>9</v>
      </c>
      <c r="G73" s="289">
        <v>1100</v>
      </c>
      <c r="H73" s="289">
        <v>0</v>
      </c>
      <c r="I73" s="289">
        <v>110</v>
      </c>
      <c r="J73" s="289">
        <v>50</v>
      </c>
      <c r="K73" s="289">
        <v>5</v>
      </c>
      <c r="L73" s="289">
        <v>1265</v>
      </c>
    </row>
    <row r="74" spans="1:12">
      <c r="A74" s="288" t="s">
        <v>895</v>
      </c>
      <c r="B74" s="288" t="s">
        <v>860</v>
      </c>
      <c r="C74" s="288" t="s">
        <v>814</v>
      </c>
      <c r="D74" s="288" t="s">
        <v>815</v>
      </c>
      <c r="E74" s="289">
        <v>10</v>
      </c>
      <c r="F74" s="290">
        <v>0</v>
      </c>
      <c r="G74" s="289">
        <v>900</v>
      </c>
      <c r="H74" s="289">
        <v>0</v>
      </c>
      <c r="I74" s="289">
        <v>90</v>
      </c>
      <c r="J74" s="289">
        <v>50</v>
      </c>
      <c r="K74" s="289">
        <v>5</v>
      </c>
      <c r="L74" s="289">
        <v>1045</v>
      </c>
    </row>
    <row r="75" spans="1:12">
      <c r="A75" s="288" t="s">
        <v>896</v>
      </c>
      <c r="B75" s="288" t="s">
        <v>860</v>
      </c>
      <c r="C75" s="288" t="s">
        <v>814</v>
      </c>
      <c r="D75" s="288" t="s">
        <v>815</v>
      </c>
      <c r="E75" s="289">
        <v>10</v>
      </c>
      <c r="F75" s="290">
        <v>0</v>
      </c>
      <c r="G75" s="289">
        <v>900</v>
      </c>
      <c r="H75" s="289">
        <v>0</v>
      </c>
      <c r="I75" s="289">
        <v>90</v>
      </c>
      <c r="J75" s="289">
        <v>50</v>
      </c>
      <c r="K75" s="289">
        <v>5</v>
      </c>
      <c r="L75" s="289">
        <v>1045</v>
      </c>
    </row>
    <row r="76" spans="1:12">
      <c r="A76" s="288" t="s">
        <v>897</v>
      </c>
      <c r="B76" s="288" t="s">
        <v>860</v>
      </c>
      <c r="C76" s="288" t="s">
        <v>814</v>
      </c>
      <c r="D76" s="288" t="s">
        <v>815</v>
      </c>
      <c r="E76" s="289">
        <v>10</v>
      </c>
      <c r="F76" s="290">
        <v>3</v>
      </c>
      <c r="G76" s="289">
        <v>900</v>
      </c>
      <c r="H76" s="289">
        <v>0</v>
      </c>
      <c r="I76" s="289">
        <v>90</v>
      </c>
      <c r="J76" s="289">
        <v>50</v>
      </c>
      <c r="K76" s="289">
        <v>5</v>
      </c>
      <c r="L76" s="289">
        <v>1045</v>
      </c>
    </row>
    <row r="77" spans="1:12">
      <c r="A77" s="288" t="s">
        <v>898</v>
      </c>
      <c r="B77" s="288" t="s">
        <v>860</v>
      </c>
      <c r="C77" s="288" t="s">
        <v>814</v>
      </c>
      <c r="D77" s="288" t="s">
        <v>815</v>
      </c>
      <c r="E77" s="289">
        <v>10</v>
      </c>
      <c r="F77" s="290">
        <v>16</v>
      </c>
      <c r="G77" s="289">
        <v>1100</v>
      </c>
      <c r="H77" s="289">
        <v>660</v>
      </c>
      <c r="I77" s="289">
        <v>176</v>
      </c>
      <c r="J77" s="289">
        <v>50</v>
      </c>
      <c r="K77" s="289">
        <v>5</v>
      </c>
      <c r="L77" s="289">
        <v>1991</v>
      </c>
    </row>
    <row r="78" spans="1:12">
      <c r="A78" s="288" t="s">
        <v>899</v>
      </c>
      <c r="B78" s="288" t="s">
        <v>860</v>
      </c>
      <c r="C78" s="288" t="s">
        <v>814</v>
      </c>
      <c r="D78" s="288" t="s">
        <v>815</v>
      </c>
      <c r="E78" s="289">
        <v>10</v>
      </c>
      <c r="F78" s="290">
        <v>1</v>
      </c>
      <c r="G78" s="289">
        <v>900</v>
      </c>
      <c r="H78" s="289">
        <v>0</v>
      </c>
      <c r="I78" s="289">
        <v>90</v>
      </c>
      <c r="J78" s="289">
        <v>50</v>
      </c>
      <c r="K78" s="289">
        <v>5</v>
      </c>
      <c r="L78" s="289">
        <v>1045</v>
      </c>
    </row>
    <row r="79" spans="1:12">
      <c r="A79" s="288" t="s">
        <v>900</v>
      </c>
      <c r="B79" s="288" t="s">
        <v>860</v>
      </c>
      <c r="C79" s="288" t="s">
        <v>814</v>
      </c>
      <c r="D79" s="288" t="s">
        <v>815</v>
      </c>
      <c r="E79" s="289">
        <v>10</v>
      </c>
      <c r="F79" s="290">
        <v>17</v>
      </c>
      <c r="G79" s="289">
        <v>1100</v>
      </c>
      <c r="H79" s="289">
        <v>770</v>
      </c>
      <c r="I79" s="289">
        <v>187</v>
      </c>
      <c r="J79" s="289">
        <v>50</v>
      </c>
      <c r="K79" s="289">
        <v>5</v>
      </c>
      <c r="L79" s="289">
        <v>2112</v>
      </c>
    </row>
    <row r="80" spans="1:12">
      <c r="A80" s="288" t="s">
        <v>901</v>
      </c>
      <c r="B80" s="288" t="s">
        <v>860</v>
      </c>
      <c r="C80" s="288" t="s">
        <v>814</v>
      </c>
      <c r="D80" s="288" t="s">
        <v>815</v>
      </c>
      <c r="E80" s="289">
        <v>10</v>
      </c>
      <c r="F80" s="290">
        <v>19</v>
      </c>
      <c r="G80" s="289">
        <v>1100</v>
      </c>
      <c r="H80" s="289">
        <v>990</v>
      </c>
      <c r="I80" s="289">
        <v>209</v>
      </c>
      <c r="J80" s="289">
        <v>50</v>
      </c>
      <c r="K80" s="289">
        <v>5</v>
      </c>
      <c r="L80" s="289">
        <v>2354</v>
      </c>
    </row>
    <row r="81" spans="1:12">
      <c r="A81" s="288" t="s">
        <v>902</v>
      </c>
      <c r="B81" s="288" t="s">
        <v>860</v>
      </c>
      <c r="C81" s="288" t="s">
        <v>814</v>
      </c>
      <c r="D81" s="288" t="s">
        <v>815</v>
      </c>
      <c r="E81" s="289">
        <v>10</v>
      </c>
      <c r="F81" s="290">
        <v>14</v>
      </c>
      <c r="G81" s="289">
        <v>1100</v>
      </c>
      <c r="H81" s="289">
        <v>440</v>
      </c>
      <c r="I81" s="289">
        <v>154</v>
      </c>
      <c r="J81" s="289">
        <v>50</v>
      </c>
      <c r="K81" s="289">
        <v>5</v>
      </c>
      <c r="L81" s="289">
        <v>1749</v>
      </c>
    </row>
    <row r="82" spans="1:12">
      <c r="A82" s="288" t="s">
        <v>903</v>
      </c>
      <c r="B82" s="288" t="s">
        <v>860</v>
      </c>
      <c r="C82" s="288" t="s">
        <v>814</v>
      </c>
      <c r="D82" s="288" t="s">
        <v>818</v>
      </c>
      <c r="E82" s="289">
        <v>10</v>
      </c>
      <c r="F82" s="290">
        <v>24</v>
      </c>
      <c r="G82" s="289">
        <v>1100</v>
      </c>
      <c r="H82" s="289">
        <v>1540</v>
      </c>
      <c r="I82" s="289">
        <v>264</v>
      </c>
      <c r="J82" s="289">
        <v>70</v>
      </c>
      <c r="K82" s="289">
        <v>7</v>
      </c>
      <c r="L82" s="289">
        <v>2981</v>
      </c>
    </row>
    <row r="83" spans="1:12">
      <c r="A83" s="288" t="s">
        <v>904</v>
      </c>
      <c r="B83" s="288" t="s">
        <v>860</v>
      </c>
      <c r="C83" s="288" t="s">
        <v>814</v>
      </c>
      <c r="D83" s="288" t="s">
        <v>818</v>
      </c>
      <c r="E83" s="289">
        <v>10</v>
      </c>
      <c r="F83" s="290">
        <v>18</v>
      </c>
      <c r="G83" s="289">
        <v>1100</v>
      </c>
      <c r="H83" s="289">
        <v>880</v>
      </c>
      <c r="I83" s="289">
        <v>198</v>
      </c>
      <c r="J83" s="289">
        <v>70</v>
      </c>
      <c r="K83" s="289">
        <v>7</v>
      </c>
      <c r="L83" s="289">
        <v>2255</v>
      </c>
    </row>
    <row r="84" spans="1:12">
      <c r="A84" s="288" t="s">
        <v>905</v>
      </c>
      <c r="B84" s="288" t="s">
        <v>860</v>
      </c>
      <c r="C84" s="288" t="s">
        <v>814</v>
      </c>
      <c r="D84" s="288" t="s">
        <v>818</v>
      </c>
      <c r="E84" s="289">
        <v>10</v>
      </c>
      <c r="F84" s="290">
        <v>29</v>
      </c>
      <c r="G84" s="289">
        <v>1100</v>
      </c>
      <c r="H84" s="289">
        <v>2090</v>
      </c>
      <c r="I84" s="289">
        <v>319</v>
      </c>
      <c r="J84" s="289">
        <v>70</v>
      </c>
      <c r="K84" s="289">
        <v>7</v>
      </c>
      <c r="L84" s="289">
        <v>3586</v>
      </c>
    </row>
    <row r="85" spans="1:12">
      <c r="A85" s="288" t="s">
        <v>906</v>
      </c>
      <c r="B85" s="288" t="s">
        <v>860</v>
      </c>
      <c r="C85" s="288" t="s">
        <v>814</v>
      </c>
      <c r="D85" s="288" t="s">
        <v>818</v>
      </c>
      <c r="E85" s="289">
        <v>10</v>
      </c>
      <c r="F85" s="290">
        <v>4</v>
      </c>
      <c r="G85" s="289">
        <v>900</v>
      </c>
      <c r="H85" s="289">
        <v>0</v>
      </c>
      <c r="I85" s="289">
        <v>90</v>
      </c>
      <c r="J85" s="289">
        <v>70</v>
      </c>
      <c r="K85" s="289">
        <v>7</v>
      </c>
      <c r="L85" s="289">
        <v>1067</v>
      </c>
    </row>
    <row r="86" spans="1:12">
      <c r="A86" s="288" t="s">
        <v>907</v>
      </c>
      <c r="B86" s="288" t="s">
        <v>860</v>
      </c>
      <c r="C86" s="288" t="s">
        <v>814</v>
      </c>
      <c r="D86" s="288" t="s">
        <v>818</v>
      </c>
      <c r="E86" s="289">
        <v>10</v>
      </c>
      <c r="F86" s="290">
        <v>20</v>
      </c>
      <c r="G86" s="289">
        <v>1100</v>
      </c>
      <c r="H86" s="289">
        <v>1100</v>
      </c>
      <c r="I86" s="289">
        <v>220</v>
      </c>
      <c r="J86" s="289">
        <v>70</v>
      </c>
      <c r="K86" s="289">
        <v>7</v>
      </c>
      <c r="L86" s="289">
        <v>2497</v>
      </c>
    </row>
    <row r="87" spans="1:12">
      <c r="A87" s="288" t="s">
        <v>908</v>
      </c>
      <c r="B87" s="288" t="s">
        <v>860</v>
      </c>
      <c r="C87" s="288" t="s">
        <v>814</v>
      </c>
      <c r="D87" s="288" t="s">
        <v>818</v>
      </c>
      <c r="E87" s="289">
        <v>10</v>
      </c>
      <c r="F87" s="290">
        <v>29</v>
      </c>
      <c r="G87" s="289">
        <v>1100</v>
      </c>
      <c r="H87" s="289">
        <v>2090</v>
      </c>
      <c r="I87" s="289">
        <v>319</v>
      </c>
      <c r="J87" s="289">
        <v>70</v>
      </c>
      <c r="K87" s="289">
        <v>7</v>
      </c>
      <c r="L87" s="289">
        <v>3586</v>
      </c>
    </row>
    <row r="88" spans="1:12">
      <c r="A88" s="288" t="s">
        <v>909</v>
      </c>
      <c r="B88" s="288" t="s">
        <v>860</v>
      </c>
      <c r="C88" s="288" t="s">
        <v>814</v>
      </c>
      <c r="D88" s="288" t="s">
        <v>818</v>
      </c>
      <c r="E88" s="289">
        <v>10</v>
      </c>
      <c r="F88" s="290">
        <v>7</v>
      </c>
      <c r="G88" s="289">
        <v>1100</v>
      </c>
      <c r="H88" s="289">
        <v>0</v>
      </c>
      <c r="I88" s="289">
        <v>110</v>
      </c>
      <c r="J88" s="289">
        <v>70</v>
      </c>
      <c r="K88" s="289">
        <v>7</v>
      </c>
      <c r="L88" s="289">
        <v>1287</v>
      </c>
    </row>
    <row r="89" spans="1:12">
      <c r="A89" s="288" t="s">
        <v>910</v>
      </c>
      <c r="B89" s="288" t="s">
        <v>860</v>
      </c>
      <c r="C89" s="288" t="s">
        <v>814</v>
      </c>
      <c r="D89" s="288" t="s">
        <v>818</v>
      </c>
      <c r="E89" s="289">
        <v>10</v>
      </c>
      <c r="F89" s="290">
        <v>0</v>
      </c>
      <c r="G89" s="289">
        <v>900</v>
      </c>
      <c r="H89" s="289">
        <v>0</v>
      </c>
      <c r="I89" s="289">
        <v>90</v>
      </c>
      <c r="J89" s="289">
        <v>70</v>
      </c>
      <c r="K89" s="289">
        <v>7</v>
      </c>
      <c r="L89" s="289">
        <v>1067</v>
      </c>
    </row>
    <row r="90" spans="1:12">
      <c r="A90" s="288" t="s">
        <v>911</v>
      </c>
      <c r="B90" s="288" t="s">
        <v>860</v>
      </c>
      <c r="C90" s="288" t="s">
        <v>814</v>
      </c>
      <c r="D90" s="288" t="s">
        <v>815</v>
      </c>
      <c r="E90" s="289">
        <v>10</v>
      </c>
      <c r="F90" s="290">
        <v>16</v>
      </c>
      <c r="G90" s="289">
        <v>1100</v>
      </c>
      <c r="H90" s="289">
        <v>660</v>
      </c>
      <c r="I90" s="289">
        <v>176</v>
      </c>
      <c r="J90" s="289">
        <v>50</v>
      </c>
      <c r="K90" s="289">
        <v>5</v>
      </c>
      <c r="L90" s="289">
        <v>1991</v>
      </c>
    </row>
    <row r="91" spans="1:12">
      <c r="A91" s="288" t="s">
        <v>912</v>
      </c>
      <c r="B91" s="288" t="s">
        <v>860</v>
      </c>
      <c r="C91" s="288" t="s">
        <v>814</v>
      </c>
      <c r="D91" s="288" t="s">
        <v>815</v>
      </c>
      <c r="E91" s="289">
        <v>10</v>
      </c>
      <c r="F91" s="290">
        <v>18</v>
      </c>
      <c r="G91" s="289">
        <v>1100</v>
      </c>
      <c r="H91" s="289">
        <v>880</v>
      </c>
      <c r="I91" s="289">
        <v>198</v>
      </c>
      <c r="J91" s="289">
        <v>50</v>
      </c>
      <c r="K91" s="289">
        <v>5</v>
      </c>
      <c r="L91" s="289">
        <v>2233</v>
      </c>
    </row>
    <row r="92" spans="1:12">
      <c r="A92" s="288" t="s">
        <v>913</v>
      </c>
      <c r="B92" s="288" t="s">
        <v>860</v>
      </c>
      <c r="C92" s="288" t="s">
        <v>814</v>
      </c>
      <c r="D92" s="288" t="s">
        <v>815</v>
      </c>
      <c r="E92" s="289">
        <v>10</v>
      </c>
      <c r="F92" s="290">
        <v>0</v>
      </c>
      <c r="G92" s="289">
        <v>900</v>
      </c>
      <c r="H92" s="289">
        <v>0</v>
      </c>
      <c r="I92" s="289">
        <v>90</v>
      </c>
      <c r="J92" s="289">
        <v>50</v>
      </c>
      <c r="K92" s="289">
        <v>5</v>
      </c>
      <c r="L92" s="289">
        <v>1045</v>
      </c>
    </row>
    <row r="93" spans="1:12">
      <c r="A93" s="288" t="s">
        <v>914</v>
      </c>
      <c r="B93" s="288" t="s">
        <v>860</v>
      </c>
      <c r="C93" s="288" t="s">
        <v>814</v>
      </c>
      <c r="D93" s="288" t="s">
        <v>818</v>
      </c>
      <c r="E93" s="289">
        <v>10</v>
      </c>
      <c r="F93" s="290">
        <v>16</v>
      </c>
      <c r="G93" s="289">
        <v>1100</v>
      </c>
      <c r="H93" s="289">
        <v>660</v>
      </c>
      <c r="I93" s="289">
        <v>176</v>
      </c>
      <c r="J93" s="289">
        <v>70</v>
      </c>
      <c r="K93" s="289">
        <v>7</v>
      </c>
      <c r="L93" s="289">
        <v>2013</v>
      </c>
    </row>
    <row r="94" spans="1:12">
      <c r="A94" s="288" t="s">
        <v>915</v>
      </c>
      <c r="B94" s="288" t="s">
        <v>860</v>
      </c>
      <c r="C94" s="288" t="s">
        <v>814</v>
      </c>
      <c r="D94" s="288" t="s">
        <v>818</v>
      </c>
      <c r="E94" s="289">
        <v>10</v>
      </c>
      <c r="F94" s="290">
        <v>8</v>
      </c>
      <c r="G94" s="289">
        <v>1100</v>
      </c>
      <c r="H94" s="289">
        <v>0</v>
      </c>
      <c r="I94" s="289">
        <v>110</v>
      </c>
      <c r="J94" s="289">
        <v>70</v>
      </c>
      <c r="K94" s="289">
        <v>7</v>
      </c>
      <c r="L94" s="289">
        <v>1287</v>
      </c>
    </row>
    <row r="95" spans="1:12">
      <c r="A95" s="288" t="s">
        <v>916</v>
      </c>
      <c r="B95" s="288" t="s">
        <v>860</v>
      </c>
      <c r="C95" s="288" t="s">
        <v>814</v>
      </c>
      <c r="D95" s="288" t="s">
        <v>815</v>
      </c>
      <c r="E95" s="289">
        <v>10</v>
      </c>
      <c r="F95" s="290">
        <v>27</v>
      </c>
      <c r="G95" s="289">
        <v>1100</v>
      </c>
      <c r="H95" s="289">
        <v>1870</v>
      </c>
      <c r="I95" s="289">
        <v>297</v>
      </c>
      <c r="J95" s="289">
        <v>50</v>
      </c>
      <c r="K95" s="289">
        <v>5</v>
      </c>
      <c r="L95" s="289">
        <v>3322</v>
      </c>
    </row>
    <row r="96" spans="1:12">
      <c r="A96" s="288" t="s">
        <v>917</v>
      </c>
      <c r="B96" s="288" t="s">
        <v>860</v>
      </c>
      <c r="C96" s="288" t="s">
        <v>814</v>
      </c>
      <c r="D96" s="288" t="s">
        <v>826</v>
      </c>
      <c r="E96" s="289">
        <v>10</v>
      </c>
      <c r="F96" s="290">
        <v>39</v>
      </c>
      <c r="G96" s="289">
        <v>1100</v>
      </c>
      <c r="H96" s="289">
        <v>3190</v>
      </c>
      <c r="I96" s="289">
        <v>429</v>
      </c>
      <c r="J96" s="289">
        <v>100</v>
      </c>
      <c r="K96" s="289">
        <v>10</v>
      </c>
      <c r="L96" s="289">
        <v>4829</v>
      </c>
    </row>
    <row r="97" spans="1:12">
      <c r="A97" s="288" t="s">
        <v>918</v>
      </c>
      <c r="B97" s="288" t="s">
        <v>860</v>
      </c>
      <c r="C97" s="288" t="s">
        <v>814</v>
      </c>
      <c r="D97" s="288" t="s">
        <v>815</v>
      </c>
      <c r="E97" s="289">
        <v>10</v>
      </c>
      <c r="F97" s="290">
        <v>8</v>
      </c>
      <c r="G97" s="289">
        <v>1100</v>
      </c>
      <c r="H97" s="289">
        <v>0</v>
      </c>
      <c r="I97" s="289">
        <v>110</v>
      </c>
      <c r="J97" s="289">
        <v>50</v>
      </c>
      <c r="K97" s="289">
        <v>5</v>
      </c>
      <c r="L97" s="289">
        <v>1265</v>
      </c>
    </row>
    <row r="98" spans="1:12">
      <c r="A98" s="288" t="s">
        <v>919</v>
      </c>
      <c r="B98" s="288" t="s">
        <v>860</v>
      </c>
      <c r="C98" s="288" t="s">
        <v>820</v>
      </c>
      <c r="D98" s="288" t="s">
        <v>815</v>
      </c>
      <c r="E98" s="289">
        <v>10</v>
      </c>
      <c r="F98" s="290">
        <v>0</v>
      </c>
      <c r="G98" s="289">
        <v>900</v>
      </c>
      <c r="H98" s="289">
        <v>0</v>
      </c>
      <c r="I98" s="289">
        <v>90</v>
      </c>
      <c r="J98" s="289">
        <v>50</v>
      </c>
      <c r="K98" s="289">
        <v>5</v>
      </c>
      <c r="L98" s="289">
        <v>1045</v>
      </c>
    </row>
    <row r="99" spans="1:12">
      <c r="A99" s="288" t="s">
        <v>920</v>
      </c>
      <c r="B99" s="288" t="s">
        <v>860</v>
      </c>
      <c r="C99" s="288" t="s">
        <v>814</v>
      </c>
      <c r="D99" s="288" t="s">
        <v>818</v>
      </c>
      <c r="E99" s="289">
        <v>10</v>
      </c>
      <c r="F99" s="290">
        <v>24</v>
      </c>
      <c r="G99" s="289">
        <v>1100</v>
      </c>
      <c r="H99" s="289">
        <v>1540</v>
      </c>
      <c r="I99" s="289">
        <v>264</v>
      </c>
      <c r="J99" s="289">
        <v>70</v>
      </c>
      <c r="K99" s="289">
        <v>7</v>
      </c>
      <c r="L99" s="289">
        <v>2981</v>
      </c>
    </row>
    <row r="100" spans="1:12">
      <c r="A100" s="288" t="s">
        <v>921</v>
      </c>
      <c r="B100" s="288" t="s">
        <v>860</v>
      </c>
      <c r="C100" s="288" t="s">
        <v>814</v>
      </c>
      <c r="D100" s="288" t="s">
        <v>815</v>
      </c>
      <c r="E100" s="289">
        <v>10</v>
      </c>
      <c r="F100" s="290">
        <v>13</v>
      </c>
      <c r="G100" s="289">
        <v>1100</v>
      </c>
      <c r="H100" s="289">
        <v>330</v>
      </c>
      <c r="I100" s="289">
        <v>143</v>
      </c>
      <c r="J100" s="289">
        <v>50</v>
      </c>
      <c r="K100" s="289">
        <v>5</v>
      </c>
      <c r="L100" s="289">
        <v>1628</v>
      </c>
    </row>
    <row r="101" spans="1:12">
      <c r="A101" s="288" t="s">
        <v>922</v>
      </c>
      <c r="B101" s="288" t="s">
        <v>860</v>
      </c>
      <c r="C101" s="288" t="s">
        <v>814</v>
      </c>
      <c r="D101" s="288" t="s">
        <v>815</v>
      </c>
      <c r="E101" s="289">
        <v>10</v>
      </c>
      <c r="F101" s="290">
        <v>26</v>
      </c>
      <c r="G101" s="289">
        <v>1100</v>
      </c>
      <c r="H101" s="289">
        <v>1760</v>
      </c>
      <c r="I101" s="289">
        <v>286</v>
      </c>
      <c r="J101" s="289">
        <v>50</v>
      </c>
      <c r="K101" s="289">
        <v>5</v>
      </c>
      <c r="L101" s="289">
        <v>3201</v>
      </c>
    </row>
    <row r="102" spans="1:12">
      <c r="A102" s="288" t="s">
        <v>923</v>
      </c>
      <c r="B102" s="288" t="s">
        <v>860</v>
      </c>
      <c r="C102" s="288" t="s">
        <v>814</v>
      </c>
      <c r="D102" s="288" t="s">
        <v>818</v>
      </c>
      <c r="E102" s="289">
        <v>10</v>
      </c>
      <c r="F102" s="290">
        <v>17</v>
      </c>
      <c r="G102" s="289">
        <v>1100</v>
      </c>
      <c r="H102" s="289">
        <v>770</v>
      </c>
      <c r="I102" s="289">
        <v>187</v>
      </c>
      <c r="J102" s="289">
        <v>70</v>
      </c>
      <c r="K102" s="289">
        <v>7</v>
      </c>
      <c r="L102" s="289">
        <v>2134</v>
      </c>
    </row>
    <row r="103" spans="1:12">
      <c r="A103" s="288" t="s">
        <v>924</v>
      </c>
      <c r="B103" s="288" t="s">
        <v>860</v>
      </c>
      <c r="C103" s="288" t="s">
        <v>814</v>
      </c>
      <c r="D103" s="288" t="s">
        <v>815</v>
      </c>
      <c r="E103" s="289">
        <v>10</v>
      </c>
      <c r="F103" s="290">
        <v>17</v>
      </c>
      <c r="G103" s="289">
        <v>1100</v>
      </c>
      <c r="H103" s="289">
        <v>770</v>
      </c>
      <c r="I103" s="289">
        <v>187</v>
      </c>
      <c r="J103" s="289">
        <v>50</v>
      </c>
      <c r="K103" s="289">
        <v>5</v>
      </c>
      <c r="L103" s="289">
        <v>2112</v>
      </c>
    </row>
    <row r="104" spans="1:12">
      <c r="A104" s="288" t="s">
        <v>925</v>
      </c>
      <c r="B104" s="288" t="s">
        <v>860</v>
      </c>
      <c r="C104" s="288" t="s">
        <v>814</v>
      </c>
      <c r="D104" s="288" t="s">
        <v>818</v>
      </c>
      <c r="E104" s="289">
        <v>10</v>
      </c>
      <c r="F104" s="290">
        <v>19</v>
      </c>
      <c r="G104" s="289">
        <v>1100</v>
      </c>
      <c r="H104" s="289">
        <v>990</v>
      </c>
      <c r="I104" s="289">
        <v>209</v>
      </c>
      <c r="J104" s="289">
        <v>70</v>
      </c>
      <c r="K104" s="289">
        <v>7</v>
      </c>
      <c r="L104" s="289">
        <v>2376</v>
      </c>
    </row>
    <row r="105" spans="1:12">
      <c r="A105" s="288" t="s">
        <v>926</v>
      </c>
      <c r="B105" s="288" t="s">
        <v>860</v>
      </c>
      <c r="C105" s="288" t="s">
        <v>814</v>
      </c>
      <c r="D105" s="288" t="s">
        <v>815</v>
      </c>
      <c r="E105" s="289">
        <v>10</v>
      </c>
      <c r="F105" s="290">
        <v>10</v>
      </c>
      <c r="G105" s="289">
        <v>1100</v>
      </c>
      <c r="H105" s="289">
        <v>0</v>
      </c>
      <c r="I105" s="289">
        <v>110</v>
      </c>
      <c r="J105" s="289">
        <v>50</v>
      </c>
      <c r="K105" s="289">
        <v>5</v>
      </c>
      <c r="L105" s="289">
        <v>1265</v>
      </c>
    </row>
    <row r="106" spans="1:12">
      <c r="A106" s="288" t="s">
        <v>927</v>
      </c>
      <c r="B106" s="288" t="s">
        <v>860</v>
      </c>
      <c r="C106" s="288" t="s">
        <v>814</v>
      </c>
      <c r="D106" s="288" t="s">
        <v>815</v>
      </c>
      <c r="E106" s="289">
        <v>10</v>
      </c>
      <c r="F106" s="290">
        <v>0</v>
      </c>
      <c r="G106" s="289">
        <v>900</v>
      </c>
      <c r="H106" s="289">
        <v>0</v>
      </c>
      <c r="I106" s="289">
        <v>90</v>
      </c>
      <c r="J106" s="289">
        <v>50</v>
      </c>
      <c r="K106" s="289">
        <v>5</v>
      </c>
      <c r="L106" s="289">
        <v>1045</v>
      </c>
    </row>
    <row r="107" spans="1:12">
      <c r="A107" s="288" t="s">
        <v>928</v>
      </c>
      <c r="B107" s="288" t="s">
        <v>860</v>
      </c>
      <c r="C107" s="288" t="s">
        <v>820</v>
      </c>
      <c r="D107" s="288" t="s">
        <v>815</v>
      </c>
      <c r="E107" s="289">
        <v>10</v>
      </c>
      <c r="F107" s="290">
        <v>10</v>
      </c>
      <c r="G107" s="289">
        <v>1100</v>
      </c>
      <c r="H107" s="289">
        <v>0</v>
      </c>
      <c r="I107" s="289">
        <v>110</v>
      </c>
      <c r="J107" s="289">
        <v>50</v>
      </c>
      <c r="K107" s="289">
        <v>5</v>
      </c>
      <c r="L107" s="289">
        <v>1265</v>
      </c>
    </row>
    <row r="108" spans="1:12">
      <c r="A108" s="288" t="s">
        <v>929</v>
      </c>
      <c r="B108" s="288" t="s">
        <v>860</v>
      </c>
      <c r="C108" s="288" t="s">
        <v>820</v>
      </c>
      <c r="D108" s="288" t="s">
        <v>818</v>
      </c>
      <c r="E108" s="289">
        <v>10</v>
      </c>
      <c r="F108" s="290">
        <v>0</v>
      </c>
      <c r="G108" s="289">
        <v>900</v>
      </c>
      <c r="H108" s="289">
        <v>0</v>
      </c>
      <c r="I108" s="289">
        <v>90</v>
      </c>
      <c r="J108" s="289">
        <v>70</v>
      </c>
      <c r="K108" s="289">
        <v>7</v>
      </c>
      <c r="L108" s="289">
        <v>1067</v>
      </c>
    </row>
    <row r="109" spans="1:12">
      <c r="A109" s="288" t="s">
        <v>930</v>
      </c>
      <c r="B109" s="288" t="s">
        <v>860</v>
      </c>
      <c r="C109" s="288" t="s">
        <v>814</v>
      </c>
      <c r="D109" s="288" t="s">
        <v>818</v>
      </c>
      <c r="E109" s="289">
        <v>10</v>
      </c>
      <c r="F109" s="290">
        <v>8</v>
      </c>
      <c r="G109" s="289">
        <v>1100</v>
      </c>
      <c r="H109" s="289">
        <v>0</v>
      </c>
      <c r="I109" s="289">
        <v>110</v>
      </c>
      <c r="J109" s="289">
        <v>70</v>
      </c>
      <c r="K109" s="289">
        <v>7</v>
      </c>
      <c r="L109" s="289">
        <v>1287</v>
      </c>
    </row>
    <row r="110" spans="1:12">
      <c r="A110" s="288" t="s">
        <v>931</v>
      </c>
      <c r="B110" s="288" t="s">
        <v>860</v>
      </c>
      <c r="C110" s="288" t="s">
        <v>814</v>
      </c>
      <c r="D110" s="288" t="s">
        <v>818</v>
      </c>
      <c r="E110" s="289">
        <v>10</v>
      </c>
      <c r="F110" s="290">
        <v>18</v>
      </c>
      <c r="G110" s="289">
        <v>1100</v>
      </c>
      <c r="H110" s="289">
        <v>880</v>
      </c>
      <c r="I110" s="289">
        <v>198</v>
      </c>
      <c r="J110" s="289">
        <v>70</v>
      </c>
      <c r="K110" s="289">
        <v>7</v>
      </c>
      <c r="L110" s="289">
        <v>2255</v>
      </c>
    </row>
    <row r="111" spans="1:12">
      <c r="A111" s="288" t="s">
        <v>932</v>
      </c>
      <c r="B111" s="288" t="s">
        <v>860</v>
      </c>
      <c r="C111" s="288" t="s">
        <v>814</v>
      </c>
      <c r="D111" s="288" t="s">
        <v>815</v>
      </c>
      <c r="E111" s="289">
        <v>10</v>
      </c>
      <c r="F111" s="290">
        <v>9</v>
      </c>
      <c r="G111" s="289">
        <v>1100</v>
      </c>
      <c r="H111" s="289">
        <v>0</v>
      </c>
      <c r="I111" s="289">
        <v>110</v>
      </c>
      <c r="J111" s="289">
        <v>50</v>
      </c>
      <c r="K111" s="289">
        <v>5</v>
      </c>
      <c r="L111" s="289">
        <v>1265</v>
      </c>
    </row>
    <row r="112" spans="1:12">
      <c r="A112" s="288" t="s">
        <v>933</v>
      </c>
      <c r="B112" s="288" t="s">
        <v>860</v>
      </c>
      <c r="C112" s="288" t="s">
        <v>814</v>
      </c>
      <c r="D112" s="288" t="s">
        <v>815</v>
      </c>
      <c r="E112" s="289">
        <v>10</v>
      </c>
      <c r="F112" s="290">
        <v>19</v>
      </c>
      <c r="G112" s="289">
        <v>1100</v>
      </c>
      <c r="H112" s="289">
        <v>990</v>
      </c>
      <c r="I112" s="289">
        <v>209</v>
      </c>
      <c r="J112" s="289">
        <v>50</v>
      </c>
      <c r="K112" s="289">
        <v>5</v>
      </c>
      <c r="L112" s="289">
        <v>2354</v>
      </c>
    </row>
    <row r="113" spans="1:12">
      <c r="A113" s="288" t="s">
        <v>934</v>
      </c>
      <c r="B113" s="288" t="s">
        <v>860</v>
      </c>
      <c r="C113" s="288" t="s">
        <v>814</v>
      </c>
      <c r="D113" s="288" t="s">
        <v>815</v>
      </c>
      <c r="E113" s="289">
        <v>10</v>
      </c>
      <c r="F113" s="290">
        <v>21</v>
      </c>
      <c r="G113" s="289">
        <v>1100</v>
      </c>
      <c r="H113" s="289">
        <v>1210</v>
      </c>
      <c r="I113" s="289">
        <v>231</v>
      </c>
      <c r="J113" s="289">
        <v>50</v>
      </c>
      <c r="K113" s="289">
        <v>5</v>
      </c>
      <c r="L113" s="289">
        <v>2596</v>
      </c>
    </row>
    <row r="114" spans="1:12">
      <c r="A114" s="288" t="s">
        <v>935</v>
      </c>
      <c r="B114" s="288" t="s">
        <v>860</v>
      </c>
      <c r="C114" s="288" t="s">
        <v>814</v>
      </c>
      <c r="D114" s="288" t="s">
        <v>815</v>
      </c>
      <c r="E114" s="289">
        <v>10</v>
      </c>
      <c r="F114" s="290">
        <v>8</v>
      </c>
      <c r="G114" s="289">
        <v>1100</v>
      </c>
      <c r="H114" s="289">
        <v>0</v>
      </c>
      <c r="I114" s="289">
        <v>110</v>
      </c>
      <c r="J114" s="289">
        <v>50</v>
      </c>
      <c r="K114" s="289">
        <v>5</v>
      </c>
      <c r="L114" s="289">
        <v>1265</v>
      </c>
    </row>
    <row r="115" spans="1:12">
      <c r="A115" s="288" t="s">
        <v>936</v>
      </c>
      <c r="B115" s="288" t="s">
        <v>860</v>
      </c>
      <c r="C115" s="288" t="s">
        <v>814</v>
      </c>
      <c r="D115" s="288" t="s">
        <v>818</v>
      </c>
      <c r="E115" s="289">
        <v>10</v>
      </c>
      <c r="F115" s="290">
        <v>26</v>
      </c>
      <c r="G115" s="289">
        <v>1100</v>
      </c>
      <c r="H115" s="289">
        <v>1760</v>
      </c>
      <c r="I115" s="289">
        <v>286</v>
      </c>
      <c r="J115" s="289">
        <v>70</v>
      </c>
      <c r="K115" s="289">
        <v>7</v>
      </c>
      <c r="L115" s="289">
        <v>3223</v>
      </c>
    </row>
    <row r="116" spans="1:12">
      <c r="A116" s="288" t="s">
        <v>937</v>
      </c>
      <c r="B116" s="288" t="s">
        <v>860</v>
      </c>
      <c r="C116" s="288" t="s">
        <v>820</v>
      </c>
      <c r="D116" s="288" t="s">
        <v>815</v>
      </c>
      <c r="E116" s="289">
        <v>10</v>
      </c>
      <c r="F116" s="290">
        <v>9</v>
      </c>
      <c r="G116" s="289">
        <v>1100</v>
      </c>
      <c r="H116" s="289">
        <v>0</v>
      </c>
      <c r="I116" s="289">
        <v>110</v>
      </c>
      <c r="J116" s="289">
        <v>50</v>
      </c>
      <c r="K116" s="289">
        <v>5</v>
      </c>
      <c r="L116" s="289">
        <v>1265</v>
      </c>
    </row>
    <row r="117" spans="1:12">
      <c r="A117" s="288" t="s">
        <v>938</v>
      </c>
      <c r="B117" s="288" t="s">
        <v>860</v>
      </c>
      <c r="C117" s="288" t="s">
        <v>820</v>
      </c>
      <c r="D117" s="288" t="s">
        <v>818</v>
      </c>
      <c r="E117" s="289">
        <v>10</v>
      </c>
      <c r="F117" s="290">
        <v>0</v>
      </c>
      <c r="G117" s="289">
        <v>900</v>
      </c>
      <c r="H117" s="289">
        <v>0</v>
      </c>
      <c r="I117" s="289">
        <v>90</v>
      </c>
      <c r="J117" s="289">
        <v>70</v>
      </c>
      <c r="K117" s="289">
        <v>7</v>
      </c>
      <c r="L117" s="289">
        <v>1067</v>
      </c>
    </row>
    <row r="118" spans="1:12">
      <c r="A118" s="288" t="s">
        <v>939</v>
      </c>
      <c r="B118" s="288" t="s">
        <v>860</v>
      </c>
      <c r="C118" s="288" t="s">
        <v>829</v>
      </c>
      <c r="D118" s="288" t="s">
        <v>818</v>
      </c>
      <c r="E118" s="289">
        <v>10</v>
      </c>
      <c r="F118" s="290">
        <v>5</v>
      </c>
      <c r="G118" s="289">
        <v>900</v>
      </c>
      <c r="H118" s="289">
        <v>0</v>
      </c>
      <c r="I118" s="289">
        <v>90</v>
      </c>
      <c r="J118" s="289">
        <v>70</v>
      </c>
      <c r="K118" s="289">
        <v>7</v>
      </c>
      <c r="L118" s="289">
        <v>1067</v>
      </c>
    </row>
    <row r="119" spans="1:12">
      <c r="A119" s="288" t="s">
        <v>940</v>
      </c>
      <c r="B119" s="288" t="s">
        <v>860</v>
      </c>
      <c r="C119" s="288" t="s">
        <v>820</v>
      </c>
      <c r="D119" s="288" t="s">
        <v>818</v>
      </c>
      <c r="E119" s="289">
        <v>10</v>
      </c>
      <c r="F119" s="290">
        <v>2</v>
      </c>
      <c r="G119" s="289">
        <v>900</v>
      </c>
      <c r="H119" s="289">
        <v>0</v>
      </c>
      <c r="I119" s="289">
        <v>90</v>
      </c>
      <c r="J119" s="289">
        <v>70</v>
      </c>
      <c r="K119" s="289">
        <v>7</v>
      </c>
      <c r="L119" s="289">
        <v>1067</v>
      </c>
    </row>
    <row r="120" spans="1:12">
      <c r="A120" s="288" t="s">
        <v>941</v>
      </c>
      <c r="B120" s="288" t="s">
        <v>860</v>
      </c>
      <c r="C120" s="288" t="s">
        <v>820</v>
      </c>
      <c r="D120" s="288" t="s">
        <v>815</v>
      </c>
      <c r="E120" s="289">
        <v>10</v>
      </c>
      <c r="F120" s="290">
        <v>6</v>
      </c>
      <c r="G120" s="289">
        <v>1100</v>
      </c>
      <c r="H120" s="289">
        <v>0</v>
      </c>
      <c r="I120" s="289">
        <v>110</v>
      </c>
      <c r="J120" s="289">
        <v>50</v>
      </c>
      <c r="K120" s="289">
        <v>5</v>
      </c>
      <c r="L120" s="289">
        <v>1265</v>
      </c>
    </row>
    <row r="121" spans="1:12">
      <c r="A121" s="288" t="s">
        <v>942</v>
      </c>
      <c r="B121" s="288" t="s">
        <v>860</v>
      </c>
      <c r="C121" s="288" t="s">
        <v>833</v>
      </c>
      <c r="D121" s="288" t="s">
        <v>818</v>
      </c>
      <c r="E121" s="289">
        <v>10</v>
      </c>
      <c r="F121" s="290">
        <v>0</v>
      </c>
      <c r="G121" s="289">
        <v>900</v>
      </c>
      <c r="H121" s="289">
        <v>0</v>
      </c>
      <c r="I121" s="289">
        <v>90</v>
      </c>
      <c r="J121" s="289">
        <v>70</v>
      </c>
      <c r="K121" s="289">
        <v>7</v>
      </c>
      <c r="L121" s="289">
        <v>1067</v>
      </c>
    </row>
    <row r="122" spans="1:12">
      <c r="A122" s="288" t="s">
        <v>943</v>
      </c>
      <c r="B122" s="288" t="s">
        <v>860</v>
      </c>
      <c r="C122" s="288" t="s">
        <v>833</v>
      </c>
      <c r="D122" s="288" t="s">
        <v>818</v>
      </c>
      <c r="E122" s="289">
        <v>10</v>
      </c>
      <c r="F122" s="290">
        <v>0</v>
      </c>
      <c r="G122" s="289">
        <v>900</v>
      </c>
      <c r="H122" s="289">
        <v>0</v>
      </c>
      <c r="I122" s="289">
        <v>90</v>
      </c>
      <c r="J122" s="289">
        <v>70</v>
      </c>
      <c r="K122" s="289">
        <v>7</v>
      </c>
      <c r="L122" s="289">
        <v>1067</v>
      </c>
    </row>
    <row r="123" spans="1:12">
      <c r="A123" s="288" t="s">
        <v>944</v>
      </c>
      <c r="B123" s="288" t="s">
        <v>860</v>
      </c>
      <c r="C123" s="288" t="s">
        <v>829</v>
      </c>
      <c r="D123" s="288" t="s">
        <v>818</v>
      </c>
      <c r="E123" s="289">
        <v>10</v>
      </c>
      <c r="F123" s="290">
        <v>2</v>
      </c>
      <c r="G123" s="289">
        <v>900</v>
      </c>
      <c r="H123" s="289">
        <v>0</v>
      </c>
      <c r="I123" s="289">
        <v>90</v>
      </c>
      <c r="J123" s="289">
        <v>70</v>
      </c>
      <c r="K123" s="289">
        <v>7</v>
      </c>
      <c r="L123" s="289">
        <v>1067</v>
      </c>
    </row>
    <row r="124" spans="1:12">
      <c r="A124" s="288" t="s">
        <v>945</v>
      </c>
      <c r="B124" s="288" t="s">
        <v>860</v>
      </c>
      <c r="C124" s="288" t="s">
        <v>814</v>
      </c>
      <c r="D124" s="288" t="s">
        <v>818</v>
      </c>
      <c r="E124" s="289">
        <v>10</v>
      </c>
      <c r="F124" s="290">
        <v>28</v>
      </c>
      <c r="G124" s="289">
        <v>1100</v>
      </c>
      <c r="H124" s="289">
        <v>1980</v>
      </c>
      <c r="I124" s="289">
        <v>308</v>
      </c>
      <c r="J124" s="289">
        <v>70</v>
      </c>
      <c r="K124" s="289">
        <v>7</v>
      </c>
      <c r="L124" s="289">
        <v>3465</v>
      </c>
    </row>
    <row r="125" spans="1:12">
      <c r="A125" s="288" t="s">
        <v>946</v>
      </c>
      <c r="B125" s="288" t="s">
        <v>860</v>
      </c>
      <c r="C125" s="288" t="s">
        <v>814</v>
      </c>
      <c r="D125" s="288" t="s">
        <v>818</v>
      </c>
      <c r="E125" s="289">
        <v>10</v>
      </c>
      <c r="F125" s="290">
        <v>44</v>
      </c>
      <c r="G125" s="289">
        <v>1100</v>
      </c>
      <c r="H125" s="289">
        <v>3740</v>
      </c>
      <c r="I125" s="289">
        <v>484</v>
      </c>
      <c r="J125" s="289">
        <v>70</v>
      </c>
      <c r="K125" s="289">
        <v>7</v>
      </c>
      <c r="L125" s="289">
        <v>5401</v>
      </c>
    </row>
    <row r="126" spans="1:12">
      <c r="A126" s="288" t="s">
        <v>947</v>
      </c>
      <c r="B126" s="288" t="s">
        <v>860</v>
      </c>
      <c r="C126" s="288" t="s">
        <v>814</v>
      </c>
      <c r="D126" s="288" t="s">
        <v>818</v>
      </c>
      <c r="E126" s="289">
        <v>10</v>
      </c>
      <c r="F126" s="290">
        <v>32</v>
      </c>
      <c r="G126" s="289">
        <v>1100</v>
      </c>
      <c r="H126" s="289">
        <v>2420</v>
      </c>
      <c r="I126" s="289">
        <v>352</v>
      </c>
      <c r="J126" s="289">
        <v>70</v>
      </c>
      <c r="K126" s="289">
        <v>7</v>
      </c>
      <c r="L126" s="289">
        <v>3949</v>
      </c>
    </row>
    <row r="127" spans="1:12">
      <c r="A127" s="288" t="s">
        <v>948</v>
      </c>
      <c r="B127" s="288" t="s">
        <v>860</v>
      </c>
      <c r="C127" s="288" t="s">
        <v>814</v>
      </c>
      <c r="D127" s="288" t="s">
        <v>818</v>
      </c>
      <c r="E127" s="289">
        <v>10</v>
      </c>
      <c r="F127" s="290">
        <v>35</v>
      </c>
      <c r="G127" s="289">
        <v>1100</v>
      </c>
      <c r="H127" s="289">
        <v>2750</v>
      </c>
      <c r="I127" s="289">
        <v>385</v>
      </c>
      <c r="J127" s="289">
        <v>70</v>
      </c>
      <c r="K127" s="289">
        <v>7</v>
      </c>
      <c r="L127" s="289">
        <v>4312</v>
      </c>
    </row>
    <row r="128" spans="1:12">
      <c r="A128" s="288" t="s">
        <v>949</v>
      </c>
      <c r="B128" s="288" t="s">
        <v>860</v>
      </c>
      <c r="C128" s="288" t="s">
        <v>814</v>
      </c>
      <c r="D128" s="288" t="s">
        <v>818</v>
      </c>
      <c r="E128" s="289">
        <v>10</v>
      </c>
      <c r="F128" s="290">
        <v>35</v>
      </c>
      <c r="G128" s="289">
        <v>1100</v>
      </c>
      <c r="H128" s="289">
        <v>2750</v>
      </c>
      <c r="I128" s="289">
        <v>385</v>
      </c>
      <c r="J128" s="289">
        <v>70</v>
      </c>
      <c r="K128" s="289">
        <v>7</v>
      </c>
      <c r="L128" s="289">
        <v>4312</v>
      </c>
    </row>
    <row r="129" spans="1:12">
      <c r="A129" s="288" t="s">
        <v>950</v>
      </c>
      <c r="B129" s="288" t="s">
        <v>860</v>
      </c>
      <c r="C129" s="288" t="s">
        <v>814</v>
      </c>
      <c r="D129" s="288" t="s">
        <v>818</v>
      </c>
      <c r="E129" s="289">
        <v>10</v>
      </c>
      <c r="F129" s="290">
        <v>24</v>
      </c>
      <c r="G129" s="289">
        <v>1100</v>
      </c>
      <c r="H129" s="289">
        <v>1540</v>
      </c>
      <c r="I129" s="289">
        <v>264</v>
      </c>
      <c r="J129" s="289">
        <v>70</v>
      </c>
      <c r="K129" s="289">
        <v>7</v>
      </c>
      <c r="L129" s="289">
        <v>2981</v>
      </c>
    </row>
    <row r="130" spans="1:12">
      <c r="A130" s="288" t="s">
        <v>951</v>
      </c>
      <c r="B130" s="288" t="s">
        <v>860</v>
      </c>
      <c r="C130" s="288" t="s">
        <v>814</v>
      </c>
      <c r="D130" s="288" t="s">
        <v>818</v>
      </c>
      <c r="E130" s="289">
        <v>10</v>
      </c>
      <c r="F130" s="290">
        <v>30</v>
      </c>
      <c r="G130" s="289">
        <v>1100</v>
      </c>
      <c r="H130" s="289">
        <v>2200</v>
      </c>
      <c r="I130" s="289">
        <v>330</v>
      </c>
      <c r="J130" s="289">
        <v>70</v>
      </c>
      <c r="K130" s="289">
        <v>7</v>
      </c>
      <c r="L130" s="289">
        <v>3707</v>
      </c>
    </row>
    <row r="131" spans="1:12">
      <c r="A131" s="288" t="s">
        <v>952</v>
      </c>
      <c r="B131" s="288" t="s">
        <v>860</v>
      </c>
      <c r="C131" s="288" t="s">
        <v>814</v>
      </c>
      <c r="D131" s="288" t="s">
        <v>818</v>
      </c>
      <c r="E131" s="289">
        <v>10</v>
      </c>
      <c r="F131" s="290">
        <v>41</v>
      </c>
      <c r="G131" s="289">
        <v>1100</v>
      </c>
      <c r="H131" s="289">
        <v>3410</v>
      </c>
      <c r="I131" s="289">
        <v>451</v>
      </c>
      <c r="J131" s="289">
        <v>70</v>
      </c>
      <c r="K131" s="289">
        <v>7</v>
      </c>
      <c r="L131" s="289">
        <v>5038</v>
      </c>
    </row>
    <row r="132" spans="1:12">
      <c r="A132" s="288" t="s">
        <v>953</v>
      </c>
      <c r="B132" s="288" t="s">
        <v>860</v>
      </c>
      <c r="C132" s="288" t="s">
        <v>814</v>
      </c>
      <c r="D132" s="288" t="s">
        <v>818</v>
      </c>
      <c r="E132" s="289">
        <v>10</v>
      </c>
      <c r="F132" s="290">
        <v>13</v>
      </c>
      <c r="G132" s="289">
        <v>1100</v>
      </c>
      <c r="H132" s="289">
        <v>330</v>
      </c>
      <c r="I132" s="289">
        <v>143</v>
      </c>
      <c r="J132" s="289">
        <v>70</v>
      </c>
      <c r="K132" s="289">
        <v>7</v>
      </c>
      <c r="L132" s="289">
        <v>1650</v>
      </c>
    </row>
    <row r="133" spans="1:12">
      <c r="A133" s="288" t="s">
        <v>954</v>
      </c>
      <c r="B133" s="288" t="s">
        <v>860</v>
      </c>
      <c r="C133" s="288" t="s">
        <v>814</v>
      </c>
      <c r="D133" s="288" t="s">
        <v>818</v>
      </c>
      <c r="E133" s="289">
        <v>10</v>
      </c>
      <c r="F133" s="290">
        <v>27</v>
      </c>
      <c r="G133" s="289">
        <v>1100</v>
      </c>
      <c r="H133" s="289">
        <v>1870</v>
      </c>
      <c r="I133" s="289">
        <v>297</v>
      </c>
      <c r="J133" s="289">
        <v>70</v>
      </c>
      <c r="K133" s="289">
        <v>7</v>
      </c>
      <c r="L133" s="289">
        <v>3344</v>
      </c>
    </row>
    <row r="134" spans="1:12">
      <c r="A134" s="288" t="s">
        <v>955</v>
      </c>
      <c r="B134" s="288" t="s">
        <v>860</v>
      </c>
      <c r="C134" s="288" t="s">
        <v>814</v>
      </c>
      <c r="D134" s="288" t="s">
        <v>818</v>
      </c>
      <c r="E134" s="289">
        <v>10</v>
      </c>
      <c r="F134" s="290">
        <v>27</v>
      </c>
      <c r="G134" s="289">
        <v>1100</v>
      </c>
      <c r="H134" s="289">
        <v>1870</v>
      </c>
      <c r="I134" s="289">
        <v>297</v>
      </c>
      <c r="J134" s="289">
        <v>70</v>
      </c>
      <c r="K134" s="289">
        <v>7</v>
      </c>
      <c r="L134" s="289">
        <v>3344</v>
      </c>
    </row>
    <row r="135" spans="1:12">
      <c r="A135" s="288" t="s">
        <v>956</v>
      </c>
      <c r="B135" s="288" t="s">
        <v>860</v>
      </c>
      <c r="C135" s="288" t="s">
        <v>814</v>
      </c>
      <c r="D135" s="288" t="s">
        <v>818</v>
      </c>
      <c r="E135" s="289">
        <v>10</v>
      </c>
      <c r="F135" s="290">
        <v>28</v>
      </c>
      <c r="G135" s="289">
        <v>1100</v>
      </c>
      <c r="H135" s="289">
        <v>1980</v>
      </c>
      <c r="I135" s="289">
        <v>308</v>
      </c>
      <c r="J135" s="289">
        <v>70</v>
      </c>
      <c r="K135" s="289">
        <v>7</v>
      </c>
      <c r="L135" s="289">
        <v>3465</v>
      </c>
    </row>
    <row r="136" spans="1:12">
      <c r="A136" s="288" t="s">
        <v>957</v>
      </c>
      <c r="B136" s="288" t="s">
        <v>860</v>
      </c>
      <c r="C136" s="288" t="s">
        <v>814</v>
      </c>
      <c r="D136" s="288" t="s">
        <v>818</v>
      </c>
      <c r="E136" s="289">
        <v>10</v>
      </c>
      <c r="F136" s="290">
        <v>17</v>
      </c>
      <c r="G136" s="289">
        <v>1100</v>
      </c>
      <c r="H136" s="289">
        <v>770</v>
      </c>
      <c r="I136" s="289">
        <v>187</v>
      </c>
      <c r="J136" s="289">
        <v>70</v>
      </c>
      <c r="K136" s="289">
        <v>7</v>
      </c>
      <c r="L136" s="289">
        <v>2134</v>
      </c>
    </row>
    <row r="137" spans="1:12">
      <c r="A137" s="288" t="s">
        <v>958</v>
      </c>
      <c r="B137" s="288" t="s">
        <v>860</v>
      </c>
      <c r="C137" s="288" t="s">
        <v>814</v>
      </c>
      <c r="D137" s="288" t="s">
        <v>818</v>
      </c>
      <c r="E137" s="289">
        <v>10</v>
      </c>
      <c r="F137" s="290">
        <v>19</v>
      </c>
      <c r="G137" s="289">
        <v>1100</v>
      </c>
      <c r="H137" s="289">
        <v>990</v>
      </c>
      <c r="I137" s="289">
        <v>209</v>
      </c>
      <c r="J137" s="289">
        <v>70</v>
      </c>
      <c r="K137" s="289">
        <v>7</v>
      </c>
      <c r="L137" s="289">
        <v>2376</v>
      </c>
    </row>
    <row r="138" spans="1:12">
      <c r="A138" s="288" t="s">
        <v>959</v>
      </c>
      <c r="B138" s="288" t="s">
        <v>860</v>
      </c>
      <c r="C138" s="288" t="s">
        <v>814</v>
      </c>
      <c r="D138" s="288" t="s">
        <v>818</v>
      </c>
      <c r="E138" s="289">
        <v>10</v>
      </c>
      <c r="F138" s="290">
        <v>19</v>
      </c>
      <c r="G138" s="289">
        <v>1100</v>
      </c>
      <c r="H138" s="289">
        <v>990</v>
      </c>
      <c r="I138" s="289">
        <v>209</v>
      </c>
      <c r="J138" s="289">
        <v>70</v>
      </c>
      <c r="K138" s="289">
        <v>7</v>
      </c>
      <c r="L138" s="289">
        <v>2376</v>
      </c>
    </row>
    <row r="139" spans="1:12">
      <c r="A139" s="288" t="s">
        <v>960</v>
      </c>
      <c r="B139" s="288" t="s">
        <v>860</v>
      </c>
      <c r="C139" s="288" t="s">
        <v>814</v>
      </c>
      <c r="D139" s="288" t="s">
        <v>818</v>
      </c>
      <c r="E139" s="289">
        <v>10</v>
      </c>
      <c r="F139" s="290">
        <v>13</v>
      </c>
      <c r="G139" s="289">
        <v>1100</v>
      </c>
      <c r="H139" s="289">
        <v>330</v>
      </c>
      <c r="I139" s="289">
        <v>143</v>
      </c>
      <c r="J139" s="289">
        <v>70</v>
      </c>
      <c r="K139" s="289">
        <v>7</v>
      </c>
      <c r="L139" s="289">
        <v>1650</v>
      </c>
    </row>
    <row r="140" spans="1:12">
      <c r="A140" s="288" t="s">
        <v>961</v>
      </c>
      <c r="B140" s="288" t="s">
        <v>860</v>
      </c>
      <c r="C140" s="288" t="s">
        <v>814</v>
      </c>
      <c r="D140" s="288" t="s">
        <v>818</v>
      </c>
      <c r="E140" s="289">
        <v>10</v>
      </c>
      <c r="F140" s="290">
        <v>9</v>
      </c>
      <c r="G140" s="289">
        <v>1100</v>
      </c>
      <c r="H140" s="289">
        <v>0</v>
      </c>
      <c r="I140" s="289">
        <v>110</v>
      </c>
      <c r="J140" s="289">
        <v>70</v>
      </c>
      <c r="K140" s="289">
        <v>7</v>
      </c>
      <c r="L140" s="289">
        <v>1287</v>
      </c>
    </row>
    <row r="141" spans="1:12">
      <c r="A141" s="288" t="s">
        <v>962</v>
      </c>
      <c r="B141" s="288" t="s">
        <v>860</v>
      </c>
      <c r="C141" s="288" t="s">
        <v>814</v>
      </c>
      <c r="D141" s="288" t="s">
        <v>818</v>
      </c>
      <c r="E141" s="289">
        <v>10</v>
      </c>
      <c r="F141" s="290">
        <v>5</v>
      </c>
      <c r="G141" s="289">
        <v>900</v>
      </c>
      <c r="H141" s="289">
        <v>0</v>
      </c>
      <c r="I141" s="289">
        <v>90</v>
      </c>
      <c r="J141" s="289">
        <v>70</v>
      </c>
      <c r="K141" s="289">
        <v>7</v>
      </c>
      <c r="L141" s="289">
        <v>1067</v>
      </c>
    </row>
    <row r="142" spans="1:12">
      <c r="A142" s="288" t="s">
        <v>963</v>
      </c>
      <c r="B142" s="288" t="s">
        <v>860</v>
      </c>
      <c r="C142" s="288" t="s">
        <v>833</v>
      </c>
      <c r="D142" s="288" t="s">
        <v>822</v>
      </c>
      <c r="E142" s="289">
        <v>10</v>
      </c>
      <c r="F142" s="290">
        <v>161</v>
      </c>
      <c r="G142" s="289">
        <v>1100</v>
      </c>
      <c r="H142" s="289">
        <v>16000</v>
      </c>
      <c r="I142" s="289">
        <v>1710</v>
      </c>
      <c r="J142" s="289">
        <v>200</v>
      </c>
      <c r="K142" s="289">
        <v>20</v>
      </c>
      <c r="L142" s="289">
        <v>19030</v>
      </c>
    </row>
    <row r="143" spans="1:12">
      <c r="A143" s="288" t="s">
        <v>964</v>
      </c>
      <c r="B143" s="288" t="s">
        <v>860</v>
      </c>
      <c r="C143" s="288" t="s">
        <v>833</v>
      </c>
      <c r="D143" s="288" t="s">
        <v>837</v>
      </c>
      <c r="E143" s="289">
        <v>10</v>
      </c>
      <c r="F143" s="290">
        <v>182</v>
      </c>
      <c r="G143" s="289">
        <v>1100</v>
      </c>
      <c r="H143" s="289">
        <v>18100</v>
      </c>
      <c r="I143" s="289">
        <v>1920</v>
      </c>
      <c r="J143" s="289">
        <v>800</v>
      </c>
      <c r="K143" s="289">
        <v>80</v>
      </c>
      <c r="L143" s="289">
        <v>22000</v>
      </c>
    </row>
    <row r="144" spans="1:12">
      <c r="A144" s="288" t="s">
        <v>965</v>
      </c>
      <c r="B144" s="288" t="s">
        <v>860</v>
      </c>
      <c r="C144" s="288" t="s">
        <v>833</v>
      </c>
      <c r="D144" s="288" t="s">
        <v>818</v>
      </c>
      <c r="E144" s="289">
        <v>10</v>
      </c>
      <c r="F144" s="290">
        <v>9</v>
      </c>
      <c r="G144" s="289">
        <v>1100</v>
      </c>
      <c r="H144" s="289">
        <v>0</v>
      </c>
      <c r="I144" s="289">
        <v>110</v>
      </c>
      <c r="J144" s="289">
        <v>70</v>
      </c>
      <c r="K144" s="289">
        <v>7</v>
      </c>
      <c r="L144" s="289">
        <v>1287</v>
      </c>
    </row>
    <row r="145" spans="1:12">
      <c r="A145" s="288" t="s">
        <v>966</v>
      </c>
      <c r="B145" s="288" t="s">
        <v>860</v>
      </c>
      <c r="C145" s="288" t="s">
        <v>833</v>
      </c>
      <c r="D145" s="288" t="s">
        <v>822</v>
      </c>
      <c r="E145" s="289">
        <v>10</v>
      </c>
      <c r="F145" s="290">
        <v>393</v>
      </c>
      <c r="G145" s="289">
        <v>1100</v>
      </c>
      <c r="H145" s="289">
        <v>39200</v>
      </c>
      <c r="I145" s="289">
        <v>4030</v>
      </c>
      <c r="J145" s="289">
        <v>200</v>
      </c>
      <c r="K145" s="289">
        <v>20</v>
      </c>
      <c r="L145" s="289">
        <v>44550</v>
      </c>
    </row>
    <row r="146" spans="1:12">
      <c r="A146" s="288" t="s">
        <v>967</v>
      </c>
      <c r="B146" s="288" t="s">
        <v>860</v>
      </c>
      <c r="C146" s="288" t="s">
        <v>820</v>
      </c>
      <c r="D146" s="288" t="s">
        <v>826</v>
      </c>
      <c r="E146" s="289">
        <v>10</v>
      </c>
      <c r="F146" s="290">
        <v>16</v>
      </c>
      <c r="G146" s="289">
        <v>1100</v>
      </c>
      <c r="H146" s="289">
        <v>660</v>
      </c>
      <c r="I146" s="289">
        <v>176</v>
      </c>
      <c r="J146" s="289">
        <v>100</v>
      </c>
      <c r="K146" s="289">
        <v>10</v>
      </c>
      <c r="L146" s="289">
        <v>2046</v>
      </c>
    </row>
    <row r="147" spans="1:12">
      <c r="A147" s="288" t="s">
        <v>968</v>
      </c>
      <c r="B147" s="288" t="s">
        <v>860</v>
      </c>
      <c r="C147" s="288" t="s">
        <v>820</v>
      </c>
      <c r="D147" s="288" t="s">
        <v>815</v>
      </c>
      <c r="E147" s="289">
        <v>10</v>
      </c>
      <c r="F147" s="290">
        <v>2</v>
      </c>
      <c r="G147" s="289">
        <v>900</v>
      </c>
      <c r="H147" s="289">
        <v>0</v>
      </c>
      <c r="I147" s="289">
        <v>90</v>
      </c>
      <c r="J147" s="289">
        <v>50</v>
      </c>
      <c r="K147" s="289">
        <v>5</v>
      </c>
      <c r="L147" s="289">
        <v>1045</v>
      </c>
    </row>
    <row r="148" spans="1:12">
      <c r="A148" s="288" t="s">
        <v>969</v>
      </c>
      <c r="B148" s="288" t="s">
        <v>860</v>
      </c>
      <c r="C148" s="288" t="s">
        <v>820</v>
      </c>
      <c r="D148" s="288" t="s">
        <v>826</v>
      </c>
      <c r="E148" s="289">
        <v>10</v>
      </c>
      <c r="F148" s="290">
        <v>8</v>
      </c>
      <c r="G148" s="289">
        <v>1100</v>
      </c>
      <c r="H148" s="289">
        <v>0</v>
      </c>
      <c r="I148" s="289">
        <v>110</v>
      </c>
      <c r="J148" s="289">
        <v>100</v>
      </c>
      <c r="K148" s="289">
        <v>10</v>
      </c>
      <c r="L148" s="289">
        <v>1320</v>
      </c>
    </row>
    <row r="149" spans="1:12">
      <c r="A149" s="288" t="s">
        <v>970</v>
      </c>
      <c r="B149" s="288" t="s">
        <v>860</v>
      </c>
      <c r="C149" s="288" t="s">
        <v>820</v>
      </c>
      <c r="D149" s="288" t="s">
        <v>818</v>
      </c>
      <c r="E149" s="289">
        <v>10</v>
      </c>
      <c r="F149" s="290">
        <v>15</v>
      </c>
      <c r="G149" s="289">
        <v>1100</v>
      </c>
      <c r="H149" s="289">
        <v>550</v>
      </c>
      <c r="I149" s="289">
        <v>165</v>
      </c>
      <c r="J149" s="289">
        <v>70</v>
      </c>
      <c r="K149" s="289">
        <v>7</v>
      </c>
      <c r="L149" s="289">
        <v>1892</v>
      </c>
    </row>
    <row r="150" spans="1:12">
      <c r="A150" s="288" t="s">
        <v>971</v>
      </c>
      <c r="B150" s="288" t="s">
        <v>860</v>
      </c>
      <c r="C150" s="288" t="s">
        <v>833</v>
      </c>
      <c r="D150" s="288" t="s">
        <v>837</v>
      </c>
      <c r="E150" s="289">
        <v>10</v>
      </c>
      <c r="F150" s="290">
        <v>165</v>
      </c>
      <c r="G150" s="289">
        <v>1100</v>
      </c>
      <c r="H150" s="289">
        <v>16400</v>
      </c>
      <c r="I150" s="289">
        <v>1750</v>
      </c>
      <c r="J150" s="289">
        <v>800</v>
      </c>
      <c r="K150" s="289">
        <v>80</v>
      </c>
      <c r="L150" s="289">
        <v>20130</v>
      </c>
    </row>
    <row r="151" spans="1:12">
      <c r="A151" s="288" t="s">
        <v>972</v>
      </c>
      <c r="B151" s="288" t="s">
        <v>860</v>
      </c>
      <c r="C151" s="288" t="s">
        <v>820</v>
      </c>
      <c r="D151" s="288" t="s">
        <v>818</v>
      </c>
      <c r="E151" s="289">
        <v>10</v>
      </c>
      <c r="F151" s="290">
        <v>0</v>
      </c>
      <c r="G151" s="289">
        <v>900</v>
      </c>
      <c r="H151" s="289">
        <v>0</v>
      </c>
      <c r="I151" s="289">
        <v>90</v>
      </c>
      <c r="J151" s="289">
        <v>70</v>
      </c>
      <c r="K151" s="289">
        <v>7</v>
      </c>
      <c r="L151" s="289">
        <v>1067</v>
      </c>
    </row>
    <row r="152" spans="1:12">
      <c r="A152" s="288" t="s">
        <v>973</v>
      </c>
      <c r="B152" s="288" t="s">
        <v>860</v>
      </c>
      <c r="C152" s="288" t="s">
        <v>833</v>
      </c>
      <c r="D152" s="288" t="s">
        <v>837</v>
      </c>
      <c r="E152" s="289">
        <v>10</v>
      </c>
      <c r="F152" s="290">
        <v>1054</v>
      </c>
      <c r="G152" s="289">
        <v>1100</v>
      </c>
      <c r="H152" s="289">
        <v>105300</v>
      </c>
      <c r="I152" s="289">
        <v>10640</v>
      </c>
      <c r="J152" s="289">
        <v>800</v>
      </c>
      <c r="K152" s="289">
        <v>80</v>
      </c>
      <c r="L152" s="289">
        <v>117920</v>
      </c>
    </row>
    <row r="153" spans="1:12">
      <c r="A153" s="288" t="s">
        <v>974</v>
      </c>
      <c r="B153" s="288" t="s">
        <v>860</v>
      </c>
      <c r="C153" s="288" t="s">
        <v>820</v>
      </c>
      <c r="D153" s="288" t="s">
        <v>818</v>
      </c>
      <c r="E153" s="289">
        <v>10</v>
      </c>
      <c r="F153" s="290">
        <v>1</v>
      </c>
      <c r="G153" s="289">
        <v>900</v>
      </c>
      <c r="H153" s="289">
        <v>0</v>
      </c>
      <c r="I153" s="289">
        <v>90</v>
      </c>
      <c r="J153" s="289">
        <v>70</v>
      </c>
      <c r="K153" s="289">
        <v>7</v>
      </c>
      <c r="L153" s="289">
        <v>1067</v>
      </c>
    </row>
    <row r="154" spans="1:12">
      <c r="A154" s="288" t="s">
        <v>975</v>
      </c>
      <c r="B154" s="288" t="s">
        <v>860</v>
      </c>
      <c r="C154" s="288" t="s">
        <v>833</v>
      </c>
      <c r="D154" s="288" t="s">
        <v>822</v>
      </c>
      <c r="E154" s="289">
        <v>10</v>
      </c>
      <c r="F154" s="290">
        <v>64</v>
      </c>
      <c r="G154" s="289">
        <v>1100</v>
      </c>
      <c r="H154" s="289">
        <v>5940</v>
      </c>
      <c r="I154" s="289">
        <v>704</v>
      </c>
      <c r="J154" s="289">
        <v>200</v>
      </c>
      <c r="K154" s="289">
        <v>20</v>
      </c>
      <c r="L154" s="289">
        <v>7964</v>
      </c>
    </row>
    <row r="155" spans="1:12">
      <c r="A155" s="288" t="s">
        <v>976</v>
      </c>
      <c r="B155" s="288" t="s">
        <v>860</v>
      </c>
      <c r="C155" s="288" t="s">
        <v>833</v>
      </c>
      <c r="D155" s="288" t="s">
        <v>822</v>
      </c>
      <c r="E155" s="289">
        <v>10</v>
      </c>
      <c r="F155" s="290">
        <v>2560</v>
      </c>
      <c r="G155" s="289">
        <v>1100</v>
      </c>
      <c r="H155" s="289">
        <v>255900</v>
      </c>
      <c r="I155" s="289">
        <v>25700</v>
      </c>
      <c r="J155" s="289">
        <v>200</v>
      </c>
      <c r="K155" s="289">
        <v>20</v>
      </c>
      <c r="L155" s="289">
        <v>282920</v>
      </c>
    </row>
    <row r="156" spans="1:12">
      <c r="A156" s="288" t="s">
        <v>977</v>
      </c>
      <c r="B156" s="288" t="s">
        <v>860</v>
      </c>
      <c r="C156" s="288" t="s">
        <v>833</v>
      </c>
      <c r="D156" s="288" t="s">
        <v>822</v>
      </c>
      <c r="E156" s="289">
        <v>10</v>
      </c>
      <c r="F156" s="290">
        <v>4</v>
      </c>
      <c r="G156" s="289">
        <v>900</v>
      </c>
      <c r="H156" s="289">
        <v>0</v>
      </c>
      <c r="I156" s="289">
        <v>90</v>
      </c>
      <c r="J156" s="289">
        <v>200</v>
      </c>
      <c r="K156" s="289">
        <v>20</v>
      </c>
      <c r="L156" s="289">
        <v>1210</v>
      </c>
    </row>
    <row r="157" spans="1:12">
      <c r="A157" s="288" t="s">
        <v>978</v>
      </c>
      <c r="B157" s="288" t="s">
        <v>860</v>
      </c>
      <c r="C157" s="288" t="s">
        <v>820</v>
      </c>
      <c r="D157" s="288" t="s">
        <v>815</v>
      </c>
      <c r="E157" s="289">
        <v>10</v>
      </c>
      <c r="F157" s="290">
        <v>1</v>
      </c>
      <c r="G157" s="289">
        <v>900</v>
      </c>
      <c r="H157" s="289">
        <v>0</v>
      </c>
      <c r="I157" s="289">
        <v>90</v>
      </c>
      <c r="J157" s="289">
        <v>50</v>
      </c>
      <c r="K157" s="289">
        <v>5</v>
      </c>
      <c r="L157" s="289">
        <v>1045</v>
      </c>
    </row>
    <row r="158" spans="1:12">
      <c r="A158" s="288" t="s">
        <v>979</v>
      </c>
      <c r="B158" s="288" t="s">
        <v>860</v>
      </c>
      <c r="C158" s="288" t="s">
        <v>829</v>
      </c>
      <c r="D158" s="288" t="s">
        <v>822</v>
      </c>
      <c r="E158" s="289">
        <v>10</v>
      </c>
      <c r="F158" s="290">
        <v>236</v>
      </c>
      <c r="G158" s="289">
        <v>1100</v>
      </c>
      <c r="H158" s="289">
        <v>23500</v>
      </c>
      <c r="I158" s="289">
        <v>2460</v>
      </c>
      <c r="J158" s="289">
        <v>200</v>
      </c>
      <c r="K158" s="289">
        <v>20</v>
      </c>
      <c r="L158" s="289">
        <v>27280</v>
      </c>
    </row>
    <row r="159" spans="1:12">
      <c r="A159" s="288" t="s">
        <v>980</v>
      </c>
      <c r="B159" s="288" t="s">
        <v>860</v>
      </c>
      <c r="C159" s="288" t="s">
        <v>829</v>
      </c>
      <c r="D159" s="288" t="s">
        <v>822</v>
      </c>
      <c r="E159" s="289">
        <v>10</v>
      </c>
      <c r="F159" s="290">
        <v>48</v>
      </c>
      <c r="G159" s="289">
        <v>1100</v>
      </c>
      <c r="H159" s="289">
        <v>4180</v>
      </c>
      <c r="I159" s="289">
        <v>528</v>
      </c>
      <c r="J159" s="289">
        <v>200</v>
      </c>
      <c r="K159" s="289">
        <v>20</v>
      </c>
      <c r="L159" s="289">
        <v>6028</v>
      </c>
    </row>
    <row r="160" spans="1:12">
      <c r="A160" s="288" t="s">
        <v>981</v>
      </c>
      <c r="B160" s="288" t="s">
        <v>860</v>
      </c>
      <c r="C160" s="288" t="s">
        <v>829</v>
      </c>
      <c r="D160" s="288" t="s">
        <v>815</v>
      </c>
      <c r="E160" s="289">
        <v>10</v>
      </c>
      <c r="F160" s="290">
        <v>0</v>
      </c>
      <c r="G160" s="289">
        <v>900</v>
      </c>
      <c r="H160" s="289">
        <v>0</v>
      </c>
      <c r="I160" s="289">
        <v>90</v>
      </c>
      <c r="J160" s="289">
        <v>50</v>
      </c>
      <c r="K160" s="289">
        <v>5</v>
      </c>
      <c r="L160" s="289">
        <v>1045</v>
      </c>
    </row>
    <row r="161" spans="1:12">
      <c r="A161" s="288" t="s">
        <v>982</v>
      </c>
      <c r="B161" s="288" t="s">
        <v>860</v>
      </c>
      <c r="C161" s="288" t="s">
        <v>814</v>
      </c>
      <c r="D161" s="288" t="s">
        <v>818</v>
      </c>
      <c r="E161" s="289">
        <v>10</v>
      </c>
      <c r="F161" s="290">
        <v>13</v>
      </c>
      <c r="G161" s="289">
        <v>1100</v>
      </c>
      <c r="H161" s="289">
        <v>330</v>
      </c>
      <c r="I161" s="289">
        <v>143</v>
      </c>
      <c r="J161" s="289">
        <v>70</v>
      </c>
      <c r="K161" s="289">
        <v>7</v>
      </c>
      <c r="L161" s="289">
        <v>1650</v>
      </c>
    </row>
    <row r="162" spans="1:12">
      <c r="A162" s="288" t="s">
        <v>983</v>
      </c>
      <c r="B162" s="288" t="s">
        <v>860</v>
      </c>
      <c r="C162" s="288" t="s">
        <v>814</v>
      </c>
      <c r="D162" s="288" t="s">
        <v>815</v>
      </c>
      <c r="E162" s="289">
        <v>10</v>
      </c>
      <c r="F162" s="290">
        <v>27</v>
      </c>
      <c r="G162" s="289">
        <v>1100</v>
      </c>
      <c r="H162" s="289">
        <v>1870</v>
      </c>
      <c r="I162" s="289">
        <v>297</v>
      </c>
      <c r="J162" s="289">
        <v>50</v>
      </c>
      <c r="K162" s="289">
        <v>5</v>
      </c>
      <c r="L162" s="289">
        <v>3322</v>
      </c>
    </row>
    <row r="163" spans="1:12">
      <c r="A163" s="288" t="s">
        <v>984</v>
      </c>
      <c r="B163" s="288" t="s">
        <v>860</v>
      </c>
      <c r="C163" s="288" t="s">
        <v>814</v>
      </c>
      <c r="D163" s="288" t="s">
        <v>815</v>
      </c>
      <c r="E163" s="289">
        <v>10</v>
      </c>
      <c r="F163" s="290">
        <v>10</v>
      </c>
      <c r="G163" s="289">
        <v>1100</v>
      </c>
      <c r="H163" s="289">
        <v>0</v>
      </c>
      <c r="I163" s="289">
        <v>110</v>
      </c>
      <c r="J163" s="289">
        <v>50</v>
      </c>
      <c r="K163" s="289">
        <v>5</v>
      </c>
      <c r="L163" s="289">
        <v>1265</v>
      </c>
    </row>
    <row r="164" spans="1:12">
      <c r="A164" s="288" t="s">
        <v>985</v>
      </c>
      <c r="B164" s="288" t="s">
        <v>860</v>
      </c>
      <c r="C164" s="288" t="s">
        <v>814</v>
      </c>
      <c r="D164" s="288" t="s">
        <v>815</v>
      </c>
      <c r="E164" s="289">
        <v>10</v>
      </c>
      <c r="F164" s="290">
        <v>9</v>
      </c>
      <c r="G164" s="289">
        <v>1100</v>
      </c>
      <c r="H164" s="289">
        <v>0</v>
      </c>
      <c r="I164" s="289">
        <v>110</v>
      </c>
      <c r="J164" s="289">
        <v>50</v>
      </c>
      <c r="K164" s="289">
        <v>5</v>
      </c>
      <c r="L164" s="289">
        <v>1265</v>
      </c>
    </row>
    <row r="165" spans="1:12">
      <c r="A165" s="288" t="s">
        <v>986</v>
      </c>
      <c r="B165" s="288" t="s">
        <v>860</v>
      </c>
      <c r="C165" s="288" t="s">
        <v>814</v>
      </c>
      <c r="D165" s="288" t="s">
        <v>815</v>
      </c>
      <c r="E165" s="289">
        <v>10</v>
      </c>
      <c r="F165" s="290">
        <v>4</v>
      </c>
      <c r="G165" s="289">
        <v>900</v>
      </c>
      <c r="H165" s="289">
        <v>0</v>
      </c>
      <c r="I165" s="289">
        <v>90</v>
      </c>
      <c r="J165" s="289">
        <v>50</v>
      </c>
      <c r="K165" s="289">
        <v>5</v>
      </c>
      <c r="L165" s="289">
        <v>1045</v>
      </c>
    </row>
    <row r="166" spans="1:12">
      <c r="A166" s="288" t="s">
        <v>987</v>
      </c>
      <c r="B166" s="288" t="s">
        <v>860</v>
      </c>
      <c r="C166" s="288" t="s">
        <v>814</v>
      </c>
      <c r="D166" s="288" t="s">
        <v>815</v>
      </c>
      <c r="E166" s="289">
        <v>10</v>
      </c>
      <c r="F166" s="290">
        <v>8</v>
      </c>
      <c r="G166" s="289">
        <v>1100</v>
      </c>
      <c r="H166" s="289">
        <v>0</v>
      </c>
      <c r="I166" s="289">
        <v>110</v>
      </c>
      <c r="J166" s="289">
        <v>50</v>
      </c>
      <c r="K166" s="289">
        <v>5</v>
      </c>
      <c r="L166" s="289">
        <v>1265</v>
      </c>
    </row>
    <row r="167" spans="1:12">
      <c r="A167" s="288" t="s">
        <v>988</v>
      </c>
      <c r="B167" s="288" t="s">
        <v>860</v>
      </c>
      <c r="C167" s="288" t="s">
        <v>814</v>
      </c>
      <c r="D167" s="288" t="s">
        <v>818</v>
      </c>
      <c r="E167" s="289">
        <v>10</v>
      </c>
      <c r="F167" s="290">
        <v>7</v>
      </c>
      <c r="G167" s="289">
        <v>1100</v>
      </c>
      <c r="H167" s="289">
        <v>0</v>
      </c>
      <c r="I167" s="289">
        <v>110</v>
      </c>
      <c r="J167" s="289">
        <v>70</v>
      </c>
      <c r="K167" s="289">
        <v>7</v>
      </c>
      <c r="L167" s="289">
        <v>1287</v>
      </c>
    </row>
    <row r="168" spans="1:12">
      <c r="A168" s="288" t="s">
        <v>989</v>
      </c>
      <c r="B168" s="288" t="s">
        <v>860</v>
      </c>
      <c r="C168" s="288" t="s">
        <v>814</v>
      </c>
      <c r="D168" s="288" t="s">
        <v>815</v>
      </c>
      <c r="E168" s="289">
        <v>10</v>
      </c>
      <c r="F168" s="290">
        <v>16</v>
      </c>
      <c r="G168" s="289">
        <v>1100</v>
      </c>
      <c r="H168" s="289">
        <v>660</v>
      </c>
      <c r="I168" s="289">
        <v>176</v>
      </c>
      <c r="J168" s="289">
        <v>50</v>
      </c>
      <c r="K168" s="289">
        <v>5</v>
      </c>
      <c r="L168" s="289">
        <v>1991</v>
      </c>
    </row>
    <row r="169" spans="1:12">
      <c r="A169" s="288" t="s">
        <v>990</v>
      </c>
      <c r="B169" s="288" t="s">
        <v>860</v>
      </c>
      <c r="C169" s="288" t="s">
        <v>814</v>
      </c>
      <c r="D169" s="288" t="s">
        <v>815</v>
      </c>
      <c r="E169" s="289">
        <v>10</v>
      </c>
      <c r="F169" s="290">
        <v>8</v>
      </c>
      <c r="G169" s="289">
        <v>1100</v>
      </c>
      <c r="H169" s="289">
        <v>0</v>
      </c>
      <c r="I169" s="289">
        <v>110</v>
      </c>
      <c r="J169" s="289">
        <v>50</v>
      </c>
      <c r="K169" s="289">
        <v>5</v>
      </c>
      <c r="L169" s="289">
        <v>1265</v>
      </c>
    </row>
    <row r="170" spans="1:12">
      <c r="A170" s="288" t="s">
        <v>991</v>
      </c>
      <c r="B170" s="288" t="s">
        <v>860</v>
      </c>
      <c r="C170" s="288" t="s">
        <v>814</v>
      </c>
      <c r="D170" s="288" t="s">
        <v>815</v>
      </c>
      <c r="E170" s="289">
        <v>10</v>
      </c>
      <c r="F170" s="290">
        <v>17</v>
      </c>
      <c r="G170" s="289">
        <v>1100</v>
      </c>
      <c r="H170" s="289">
        <v>770</v>
      </c>
      <c r="I170" s="289">
        <v>187</v>
      </c>
      <c r="J170" s="289">
        <v>50</v>
      </c>
      <c r="K170" s="289">
        <v>5</v>
      </c>
      <c r="L170" s="289">
        <v>2112</v>
      </c>
    </row>
    <row r="171" spans="1:12">
      <c r="A171" s="288" t="s">
        <v>992</v>
      </c>
      <c r="B171" s="288" t="s">
        <v>860</v>
      </c>
      <c r="C171" s="288" t="s">
        <v>814</v>
      </c>
      <c r="D171" s="288" t="s">
        <v>815</v>
      </c>
      <c r="E171" s="289">
        <v>10</v>
      </c>
      <c r="F171" s="290">
        <v>17</v>
      </c>
      <c r="G171" s="289">
        <v>1100</v>
      </c>
      <c r="H171" s="289">
        <v>770</v>
      </c>
      <c r="I171" s="289">
        <v>187</v>
      </c>
      <c r="J171" s="289">
        <v>50</v>
      </c>
      <c r="K171" s="289">
        <v>5</v>
      </c>
      <c r="L171" s="289">
        <v>2112</v>
      </c>
    </row>
    <row r="172" spans="1:12">
      <c r="A172" s="288" t="s">
        <v>993</v>
      </c>
      <c r="B172" s="288" t="s">
        <v>860</v>
      </c>
      <c r="C172" s="288" t="s">
        <v>814</v>
      </c>
      <c r="D172" s="288" t="s">
        <v>815</v>
      </c>
      <c r="E172" s="289">
        <v>10</v>
      </c>
      <c r="F172" s="290">
        <v>14</v>
      </c>
      <c r="G172" s="289">
        <v>1100</v>
      </c>
      <c r="H172" s="289">
        <v>440</v>
      </c>
      <c r="I172" s="289">
        <v>154</v>
      </c>
      <c r="J172" s="289">
        <v>50</v>
      </c>
      <c r="K172" s="289">
        <v>5</v>
      </c>
      <c r="L172" s="289">
        <v>1749</v>
      </c>
    </row>
    <row r="173" spans="1:12">
      <c r="A173" s="288" t="s">
        <v>994</v>
      </c>
      <c r="B173" s="288" t="s">
        <v>860</v>
      </c>
      <c r="C173" s="288" t="s">
        <v>814</v>
      </c>
      <c r="D173" s="288" t="s">
        <v>815</v>
      </c>
      <c r="E173" s="289">
        <v>10</v>
      </c>
      <c r="F173" s="290">
        <v>18</v>
      </c>
      <c r="G173" s="289">
        <v>1100</v>
      </c>
      <c r="H173" s="289">
        <v>880</v>
      </c>
      <c r="I173" s="289">
        <v>198</v>
      </c>
      <c r="J173" s="289">
        <v>50</v>
      </c>
      <c r="K173" s="289">
        <v>5</v>
      </c>
      <c r="L173" s="289">
        <v>2233</v>
      </c>
    </row>
    <row r="174" spans="1:12">
      <c r="A174" s="288" t="s">
        <v>995</v>
      </c>
      <c r="B174" s="288" t="s">
        <v>860</v>
      </c>
      <c r="C174" s="288" t="s">
        <v>820</v>
      </c>
      <c r="D174" s="288" t="s">
        <v>818</v>
      </c>
      <c r="E174" s="289">
        <v>10</v>
      </c>
      <c r="F174" s="290">
        <v>0</v>
      </c>
      <c r="G174" s="289">
        <v>900</v>
      </c>
      <c r="H174" s="289">
        <v>0</v>
      </c>
      <c r="I174" s="289">
        <v>90</v>
      </c>
      <c r="J174" s="289">
        <v>70</v>
      </c>
      <c r="K174" s="289">
        <v>7</v>
      </c>
      <c r="L174" s="289">
        <v>1067</v>
      </c>
    </row>
    <row r="175" spans="1:12">
      <c r="A175" s="288" t="s">
        <v>996</v>
      </c>
      <c r="B175" s="288" t="s">
        <v>860</v>
      </c>
      <c r="C175" s="288" t="s">
        <v>820</v>
      </c>
      <c r="D175" s="288" t="s">
        <v>818</v>
      </c>
      <c r="E175" s="289">
        <v>10</v>
      </c>
      <c r="F175" s="290">
        <v>2</v>
      </c>
      <c r="G175" s="289">
        <v>900</v>
      </c>
      <c r="H175" s="289">
        <v>0</v>
      </c>
      <c r="I175" s="289">
        <v>90</v>
      </c>
      <c r="J175" s="289">
        <v>70</v>
      </c>
      <c r="K175" s="289">
        <v>7</v>
      </c>
      <c r="L175" s="289">
        <v>1067</v>
      </c>
    </row>
    <row r="176" spans="1:12">
      <c r="A176" s="288" t="s">
        <v>997</v>
      </c>
      <c r="B176" s="288" t="s">
        <v>860</v>
      </c>
      <c r="C176" s="288" t="s">
        <v>814</v>
      </c>
      <c r="D176" s="288" t="s">
        <v>815</v>
      </c>
      <c r="E176" s="289">
        <v>10</v>
      </c>
      <c r="F176" s="290">
        <v>30</v>
      </c>
      <c r="G176" s="289">
        <v>1100</v>
      </c>
      <c r="H176" s="289">
        <v>2200</v>
      </c>
      <c r="I176" s="289">
        <v>330</v>
      </c>
      <c r="J176" s="289">
        <v>50</v>
      </c>
      <c r="K176" s="289">
        <v>5</v>
      </c>
      <c r="L176" s="289">
        <v>3685</v>
      </c>
    </row>
    <row r="177" spans="1:12">
      <c r="A177" s="288" t="s">
        <v>998</v>
      </c>
      <c r="B177" s="288" t="s">
        <v>860</v>
      </c>
      <c r="C177" s="288" t="s">
        <v>814</v>
      </c>
      <c r="D177" s="288" t="s">
        <v>818</v>
      </c>
      <c r="E177" s="289">
        <v>10</v>
      </c>
      <c r="F177" s="290">
        <v>3</v>
      </c>
      <c r="G177" s="289">
        <v>900</v>
      </c>
      <c r="H177" s="289">
        <v>0</v>
      </c>
      <c r="I177" s="289">
        <v>90</v>
      </c>
      <c r="J177" s="289">
        <v>70</v>
      </c>
      <c r="K177" s="289">
        <v>7</v>
      </c>
      <c r="L177" s="289">
        <v>1067</v>
      </c>
    </row>
    <row r="178" spans="1:12">
      <c r="A178" s="288" t="s">
        <v>999</v>
      </c>
      <c r="B178" s="288" t="s">
        <v>860</v>
      </c>
      <c r="C178" s="288" t="s">
        <v>814</v>
      </c>
      <c r="D178" s="288" t="s">
        <v>818</v>
      </c>
      <c r="E178" s="289">
        <v>10</v>
      </c>
      <c r="F178" s="290">
        <v>8</v>
      </c>
      <c r="G178" s="289">
        <v>1100</v>
      </c>
      <c r="H178" s="289">
        <v>0</v>
      </c>
      <c r="I178" s="289">
        <v>110</v>
      </c>
      <c r="J178" s="289">
        <v>70</v>
      </c>
      <c r="K178" s="289">
        <v>7</v>
      </c>
      <c r="L178" s="289">
        <v>1287</v>
      </c>
    </row>
    <row r="179" spans="1:12">
      <c r="A179" s="288" t="s">
        <v>1000</v>
      </c>
      <c r="B179" s="288" t="s">
        <v>860</v>
      </c>
      <c r="C179" s="288" t="s">
        <v>814</v>
      </c>
      <c r="D179" s="288" t="s">
        <v>815</v>
      </c>
      <c r="E179" s="289">
        <v>10</v>
      </c>
      <c r="F179" s="290">
        <v>6</v>
      </c>
      <c r="G179" s="289">
        <v>1100</v>
      </c>
      <c r="H179" s="289">
        <v>0</v>
      </c>
      <c r="I179" s="289">
        <v>110</v>
      </c>
      <c r="J179" s="289">
        <v>50</v>
      </c>
      <c r="K179" s="289">
        <v>5</v>
      </c>
      <c r="L179" s="289">
        <v>1265</v>
      </c>
    </row>
    <row r="180" spans="1:12">
      <c r="A180" s="288" t="s">
        <v>1001</v>
      </c>
      <c r="B180" s="288" t="s">
        <v>860</v>
      </c>
      <c r="C180" s="288" t="s">
        <v>814</v>
      </c>
      <c r="D180" s="288" t="s">
        <v>815</v>
      </c>
      <c r="E180" s="289">
        <v>10</v>
      </c>
      <c r="F180" s="290">
        <v>28</v>
      </c>
      <c r="G180" s="289">
        <v>1100</v>
      </c>
      <c r="H180" s="289">
        <v>1980</v>
      </c>
      <c r="I180" s="289">
        <v>308</v>
      </c>
      <c r="J180" s="289">
        <v>50</v>
      </c>
      <c r="K180" s="289">
        <v>5</v>
      </c>
      <c r="L180" s="289">
        <v>3443</v>
      </c>
    </row>
    <row r="181" spans="1:12">
      <c r="A181" s="288" t="s">
        <v>1002</v>
      </c>
      <c r="B181" s="288" t="s">
        <v>860</v>
      </c>
      <c r="C181" s="288" t="s">
        <v>814</v>
      </c>
      <c r="D181" s="288" t="s">
        <v>815</v>
      </c>
      <c r="E181" s="289">
        <v>10</v>
      </c>
      <c r="F181" s="290">
        <v>3</v>
      </c>
      <c r="G181" s="289">
        <v>900</v>
      </c>
      <c r="H181" s="289">
        <v>0</v>
      </c>
      <c r="I181" s="289">
        <v>90</v>
      </c>
      <c r="J181" s="289">
        <v>50</v>
      </c>
      <c r="K181" s="289">
        <v>5</v>
      </c>
      <c r="L181" s="289">
        <v>1045</v>
      </c>
    </row>
    <row r="182" spans="1:12">
      <c r="A182" s="288" t="s">
        <v>1003</v>
      </c>
      <c r="B182" s="288" t="s">
        <v>860</v>
      </c>
      <c r="C182" s="288" t="s">
        <v>814</v>
      </c>
      <c r="D182" s="288" t="s">
        <v>818</v>
      </c>
      <c r="E182" s="289">
        <v>10</v>
      </c>
      <c r="F182" s="290">
        <v>10</v>
      </c>
      <c r="G182" s="289">
        <v>1100</v>
      </c>
      <c r="H182" s="289">
        <v>0</v>
      </c>
      <c r="I182" s="289">
        <v>110</v>
      </c>
      <c r="J182" s="289">
        <v>70</v>
      </c>
      <c r="K182" s="289">
        <v>7</v>
      </c>
      <c r="L182" s="289">
        <v>1287</v>
      </c>
    </row>
    <row r="183" spans="1:12">
      <c r="A183" s="288" t="s">
        <v>1004</v>
      </c>
      <c r="B183" s="288" t="s">
        <v>860</v>
      </c>
      <c r="C183" s="288" t="s">
        <v>814</v>
      </c>
      <c r="D183" s="288" t="s">
        <v>818</v>
      </c>
      <c r="E183" s="289">
        <v>10</v>
      </c>
      <c r="F183" s="290">
        <v>21</v>
      </c>
      <c r="G183" s="289">
        <v>1100</v>
      </c>
      <c r="H183" s="289">
        <v>1210</v>
      </c>
      <c r="I183" s="289">
        <v>231</v>
      </c>
      <c r="J183" s="289">
        <v>70</v>
      </c>
      <c r="K183" s="289">
        <v>7</v>
      </c>
      <c r="L183" s="289">
        <v>2618</v>
      </c>
    </row>
    <row r="184" spans="1:12">
      <c r="A184" s="288" t="s">
        <v>1005</v>
      </c>
      <c r="B184" s="288" t="s">
        <v>860</v>
      </c>
      <c r="C184" s="288" t="s">
        <v>814</v>
      </c>
      <c r="D184" s="288" t="s">
        <v>815</v>
      </c>
      <c r="E184" s="289">
        <v>10</v>
      </c>
      <c r="F184" s="290">
        <v>8</v>
      </c>
      <c r="G184" s="289">
        <v>1100</v>
      </c>
      <c r="H184" s="289">
        <v>0</v>
      </c>
      <c r="I184" s="289">
        <v>110</v>
      </c>
      <c r="J184" s="289">
        <v>50</v>
      </c>
      <c r="K184" s="289">
        <v>5</v>
      </c>
      <c r="L184" s="289">
        <v>1265</v>
      </c>
    </row>
    <row r="185" spans="1:12">
      <c r="A185" s="288" t="s">
        <v>1006</v>
      </c>
      <c r="B185" s="288" t="s">
        <v>860</v>
      </c>
      <c r="C185" s="288" t="s">
        <v>814</v>
      </c>
      <c r="D185" s="288" t="s">
        <v>815</v>
      </c>
      <c r="E185" s="289">
        <v>10</v>
      </c>
      <c r="F185" s="290">
        <v>40</v>
      </c>
      <c r="G185" s="289">
        <v>1100</v>
      </c>
      <c r="H185" s="289">
        <v>3300</v>
      </c>
      <c r="I185" s="289">
        <v>440</v>
      </c>
      <c r="J185" s="289">
        <v>50</v>
      </c>
      <c r="K185" s="289">
        <v>5</v>
      </c>
      <c r="L185" s="289">
        <v>4895</v>
      </c>
    </row>
    <row r="186" spans="1:12">
      <c r="A186" s="288" t="s">
        <v>1007</v>
      </c>
      <c r="B186" s="288" t="s">
        <v>860</v>
      </c>
      <c r="C186" s="288" t="s">
        <v>814</v>
      </c>
      <c r="D186" s="288" t="s">
        <v>815</v>
      </c>
      <c r="E186" s="289">
        <v>10</v>
      </c>
      <c r="F186" s="290">
        <v>17</v>
      </c>
      <c r="G186" s="289">
        <v>1100</v>
      </c>
      <c r="H186" s="289">
        <v>770</v>
      </c>
      <c r="I186" s="289">
        <v>187</v>
      </c>
      <c r="J186" s="289">
        <v>50</v>
      </c>
      <c r="K186" s="289">
        <v>5</v>
      </c>
      <c r="L186" s="289">
        <v>2112</v>
      </c>
    </row>
    <row r="187" spans="1:12">
      <c r="A187" s="288" t="s">
        <v>1008</v>
      </c>
      <c r="B187" s="288" t="s">
        <v>860</v>
      </c>
      <c r="C187" s="288" t="s">
        <v>814</v>
      </c>
      <c r="D187" s="288" t="s">
        <v>815</v>
      </c>
      <c r="E187" s="289">
        <v>10</v>
      </c>
      <c r="F187" s="290">
        <v>2</v>
      </c>
      <c r="G187" s="289">
        <v>900</v>
      </c>
      <c r="H187" s="289">
        <v>0</v>
      </c>
      <c r="I187" s="289">
        <v>90</v>
      </c>
      <c r="J187" s="289">
        <v>50</v>
      </c>
      <c r="K187" s="289">
        <v>5</v>
      </c>
      <c r="L187" s="289">
        <v>1045</v>
      </c>
    </row>
    <row r="188" spans="1:12">
      <c r="A188" s="288" t="s">
        <v>1009</v>
      </c>
      <c r="B188" s="288" t="s">
        <v>860</v>
      </c>
      <c r="C188" s="288" t="s">
        <v>814</v>
      </c>
      <c r="D188" s="288" t="s">
        <v>818</v>
      </c>
      <c r="E188" s="289">
        <v>10</v>
      </c>
      <c r="F188" s="290">
        <v>9</v>
      </c>
      <c r="G188" s="289">
        <v>1100</v>
      </c>
      <c r="H188" s="289">
        <v>0</v>
      </c>
      <c r="I188" s="289">
        <v>110</v>
      </c>
      <c r="J188" s="289">
        <v>70</v>
      </c>
      <c r="K188" s="289">
        <v>7</v>
      </c>
      <c r="L188" s="289">
        <v>1287</v>
      </c>
    </row>
    <row r="189" spans="1:12">
      <c r="A189" s="288" t="s">
        <v>1010</v>
      </c>
      <c r="B189" s="288" t="s">
        <v>860</v>
      </c>
      <c r="C189" s="288" t="s">
        <v>814</v>
      </c>
      <c r="D189" s="288" t="s">
        <v>815</v>
      </c>
      <c r="E189" s="289">
        <v>10</v>
      </c>
      <c r="F189" s="290">
        <v>54</v>
      </c>
      <c r="G189" s="289">
        <v>1100</v>
      </c>
      <c r="H189" s="289">
        <v>4840</v>
      </c>
      <c r="I189" s="289">
        <v>594</v>
      </c>
      <c r="J189" s="289">
        <v>50</v>
      </c>
      <c r="K189" s="289">
        <v>5</v>
      </c>
      <c r="L189" s="289">
        <v>6589</v>
      </c>
    </row>
    <row r="190" spans="1:12">
      <c r="A190" s="288" t="s">
        <v>1011</v>
      </c>
      <c r="B190" s="288" t="s">
        <v>860</v>
      </c>
      <c r="C190" s="288" t="s">
        <v>814</v>
      </c>
      <c r="D190" s="288" t="s">
        <v>837</v>
      </c>
      <c r="E190" s="289">
        <v>10</v>
      </c>
      <c r="F190" s="290">
        <v>9</v>
      </c>
      <c r="G190" s="289">
        <v>1100</v>
      </c>
      <c r="H190" s="289">
        <v>0</v>
      </c>
      <c r="I190" s="289">
        <v>110</v>
      </c>
      <c r="J190" s="289">
        <v>800</v>
      </c>
      <c r="K190" s="289">
        <v>80</v>
      </c>
      <c r="L190" s="289">
        <v>2090</v>
      </c>
    </row>
    <row r="191" spans="1:12">
      <c r="A191" s="288" t="s">
        <v>1012</v>
      </c>
      <c r="B191" s="288" t="s">
        <v>860</v>
      </c>
      <c r="C191" s="288" t="s">
        <v>814</v>
      </c>
      <c r="D191" s="288" t="s">
        <v>815</v>
      </c>
      <c r="E191" s="289">
        <v>10</v>
      </c>
      <c r="F191" s="290">
        <v>19</v>
      </c>
      <c r="G191" s="289">
        <v>1100</v>
      </c>
      <c r="H191" s="289">
        <v>990</v>
      </c>
      <c r="I191" s="289">
        <v>209</v>
      </c>
      <c r="J191" s="289">
        <v>50</v>
      </c>
      <c r="K191" s="289">
        <v>5</v>
      </c>
      <c r="L191" s="289">
        <v>2354</v>
      </c>
    </row>
    <row r="192" spans="1:12">
      <c r="A192" s="288" t="s">
        <v>1013</v>
      </c>
      <c r="B192" s="288" t="s">
        <v>860</v>
      </c>
      <c r="C192" s="288" t="s">
        <v>814</v>
      </c>
      <c r="D192" s="288" t="s">
        <v>818</v>
      </c>
      <c r="E192" s="289">
        <v>10</v>
      </c>
      <c r="F192" s="290">
        <v>14</v>
      </c>
      <c r="G192" s="289">
        <v>1100</v>
      </c>
      <c r="H192" s="289">
        <v>440</v>
      </c>
      <c r="I192" s="289">
        <v>154</v>
      </c>
      <c r="J192" s="289">
        <v>70</v>
      </c>
      <c r="K192" s="289">
        <v>7</v>
      </c>
      <c r="L192" s="289">
        <v>1771</v>
      </c>
    </row>
    <row r="193" spans="1:12">
      <c r="A193" s="288" t="s">
        <v>1014</v>
      </c>
      <c r="B193" s="288" t="s">
        <v>860</v>
      </c>
      <c r="C193" s="288" t="s">
        <v>814</v>
      </c>
      <c r="D193" s="288" t="s">
        <v>815</v>
      </c>
      <c r="E193" s="289">
        <v>10</v>
      </c>
      <c r="F193" s="290">
        <v>28</v>
      </c>
      <c r="G193" s="289">
        <v>1100</v>
      </c>
      <c r="H193" s="289">
        <v>1980</v>
      </c>
      <c r="I193" s="289">
        <v>308</v>
      </c>
      <c r="J193" s="289">
        <v>50</v>
      </c>
      <c r="K193" s="289">
        <v>5</v>
      </c>
      <c r="L193" s="289">
        <v>3443</v>
      </c>
    </row>
    <row r="194" spans="1:12">
      <c r="A194" s="288" t="s">
        <v>1015</v>
      </c>
      <c r="B194" s="288" t="s">
        <v>860</v>
      </c>
      <c r="C194" s="288" t="s">
        <v>820</v>
      </c>
      <c r="D194" s="288" t="s">
        <v>815</v>
      </c>
      <c r="E194" s="289">
        <v>10</v>
      </c>
      <c r="F194" s="290">
        <v>20</v>
      </c>
      <c r="G194" s="289">
        <v>1100</v>
      </c>
      <c r="H194" s="289">
        <v>1100</v>
      </c>
      <c r="I194" s="289">
        <v>220</v>
      </c>
      <c r="J194" s="289">
        <v>50</v>
      </c>
      <c r="K194" s="289">
        <v>5</v>
      </c>
      <c r="L194" s="289">
        <v>2475</v>
      </c>
    </row>
    <row r="195" spans="1:12">
      <c r="A195" s="288" t="s">
        <v>1016</v>
      </c>
      <c r="B195" s="288" t="s">
        <v>860</v>
      </c>
      <c r="C195" s="288" t="s">
        <v>814</v>
      </c>
      <c r="D195" s="288" t="s">
        <v>818</v>
      </c>
      <c r="E195" s="289">
        <v>10</v>
      </c>
      <c r="F195" s="290">
        <v>33</v>
      </c>
      <c r="G195" s="289">
        <v>1100</v>
      </c>
      <c r="H195" s="289">
        <v>2530</v>
      </c>
      <c r="I195" s="289">
        <v>363</v>
      </c>
      <c r="J195" s="289">
        <v>70</v>
      </c>
      <c r="K195" s="289">
        <v>7</v>
      </c>
      <c r="L195" s="289">
        <v>4070</v>
      </c>
    </row>
    <row r="196" spans="1:12">
      <c r="A196" s="288" t="s">
        <v>1017</v>
      </c>
      <c r="B196" s="288" t="s">
        <v>860</v>
      </c>
      <c r="C196" s="288" t="s">
        <v>820</v>
      </c>
      <c r="D196" s="288" t="s">
        <v>815</v>
      </c>
      <c r="E196" s="289">
        <v>10</v>
      </c>
      <c r="F196" s="290">
        <v>4</v>
      </c>
      <c r="G196" s="289">
        <v>900</v>
      </c>
      <c r="H196" s="289">
        <v>0</v>
      </c>
      <c r="I196" s="289">
        <v>90</v>
      </c>
      <c r="J196" s="289">
        <v>50</v>
      </c>
      <c r="K196" s="289">
        <v>5</v>
      </c>
      <c r="L196" s="289">
        <v>1045</v>
      </c>
    </row>
    <row r="197" spans="1:12">
      <c r="A197" s="288" t="s">
        <v>1018</v>
      </c>
      <c r="B197" s="288" t="s">
        <v>860</v>
      </c>
      <c r="C197" s="288" t="s">
        <v>820</v>
      </c>
      <c r="D197" s="288" t="s">
        <v>826</v>
      </c>
      <c r="E197" s="289">
        <v>10</v>
      </c>
      <c r="F197" s="290">
        <v>69</v>
      </c>
      <c r="G197" s="289">
        <v>1100</v>
      </c>
      <c r="H197" s="289">
        <v>6490</v>
      </c>
      <c r="I197" s="289">
        <v>759</v>
      </c>
      <c r="J197" s="289">
        <v>100</v>
      </c>
      <c r="K197" s="289">
        <v>10</v>
      </c>
      <c r="L197" s="289">
        <v>8459</v>
      </c>
    </row>
    <row r="198" spans="1:12">
      <c r="A198" s="288" t="s">
        <v>1019</v>
      </c>
      <c r="B198" s="288" t="s">
        <v>860</v>
      </c>
      <c r="C198" s="288" t="s">
        <v>833</v>
      </c>
      <c r="D198" s="288" t="s">
        <v>826</v>
      </c>
      <c r="E198" s="289">
        <v>10</v>
      </c>
      <c r="F198" s="290">
        <v>104</v>
      </c>
      <c r="G198" s="289">
        <v>1100</v>
      </c>
      <c r="H198" s="289">
        <v>10300</v>
      </c>
      <c r="I198" s="289">
        <v>1140</v>
      </c>
      <c r="J198" s="289">
        <v>100</v>
      </c>
      <c r="K198" s="289">
        <v>10</v>
      </c>
      <c r="L198" s="289">
        <v>12650</v>
      </c>
    </row>
    <row r="199" spans="1:12">
      <c r="A199" s="288" t="s">
        <v>1020</v>
      </c>
      <c r="B199" s="288" t="s">
        <v>860</v>
      </c>
      <c r="C199" s="288" t="s">
        <v>814</v>
      </c>
      <c r="D199" s="288" t="s">
        <v>818</v>
      </c>
      <c r="E199" s="289">
        <v>10</v>
      </c>
      <c r="F199" s="290">
        <v>6</v>
      </c>
      <c r="G199" s="289">
        <v>1100</v>
      </c>
      <c r="H199" s="289">
        <v>0</v>
      </c>
      <c r="I199" s="289">
        <v>110</v>
      </c>
      <c r="J199" s="289">
        <v>70</v>
      </c>
      <c r="K199" s="289">
        <v>7</v>
      </c>
      <c r="L199" s="289">
        <v>1287</v>
      </c>
    </row>
    <row r="200" spans="1:12">
      <c r="A200" s="288" t="s">
        <v>1021</v>
      </c>
      <c r="B200" s="288" t="s">
        <v>860</v>
      </c>
      <c r="C200" s="288" t="s">
        <v>814</v>
      </c>
      <c r="D200" s="288" t="s">
        <v>818</v>
      </c>
      <c r="E200" s="289">
        <v>10</v>
      </c>
      <c r="F200" s="290">
        <v>11</v>
      </c>
      <c r="G200" s="289">
        <v>1100</v>
      </c>
      <c r="H200" s="289">
        <v>110</v>
      </c>
      <c r="I200" s="289">
        <v>121</v>
      </c>
      <c r="J200" s="289">
        <v>70</v>
      </c>
      <c r="K200" s="289">
        <v>7</v>
      </c>
      <c r="L200" s="289">
        <v>1408</v>
      </c>
    </row>
    <row r="201" spans="1:12">
      <c r="A201" s="288" t="s">
        <v>1022</v>
      </c>
      <c r="B201" s="288" t="s">
        <v>860</v>
      </c>
      <c r="C201" s="288" t="s">
        <v>820</v>
      </c>
      <c r="D201" s="288" t="s">
        <v>818</v>
      </c>
      <c r="E201" s="289">
        <v>10</v>
      </c>
      <c r="F201" s="290">
        <v>66</v>
      </c>
      <c r="G201" s="289">
        <v>1100</v>
      </c>
      <c r="H201" s="289">
        <v>6160</v>
      </c>
      <c r="I201" s="289">
        <v>726</v>
      </c>
      <c r="J201" s="289">
        <v>70</v>
      </c>
      <c r="K201" s="289">
        <v>7</v>
      </c>
      <c r="L201" s="289">
        <v>8063</v>
      </c>
    </row>
    <row r="202" spans="1:12">
      <c r="A202" s="288" t="s">
        <v>1023</v>
      </c>
      <c r="B202" s="288" t="s">
        <v>860</v>
      </c>
      <c r="C202" s="288" t="s">
        <v>820</v>
      </c>
      <c r="D202" s="288" t="s">
        <v>822</v>
      </c>
      <c r="E202" s="289">
        <v>10</v>
      </c>
      <c r="F202" s="290">
        <v>63</v>
      </c>
      <c r="G202" s="289">
        <v>1100</v>
      </c>
      <c r="H202" s="289">
        <v>5830</v>
      </c>
      <c r="I202" s="289">
        <v>693</v>
      </c>
      <c r="J202" s="289">
        <v>200</v>
      </c>
      <c r="K202" s="289">
        <v>20</v>
      </c>
      <c r="L202" s="289">
        <v>7843</v>
      </c>
    </row>
    <row r="203" spans="1:12">
      <c r="A203" s="288" t="s">
        <v>1024</v>
      </c>
      <c r="B203" s="288" t="s">
        <v>860</v>
      </c>
      <c r="C203" s="288" t="s">
        <v>820</v>
      </c>
      <c r="D203" s="288" t="s">
        <v>822</v>
      </c>
      <c r="E203" s="289">
        <v>10</v>
      </c>
      <c r="F203" s="290">
        <v>3</v>
      </c>
      <c r="G203" s="289">
        <v>900</v>
      </c>
      <c r="H203" s="289">
        <v>0</v>
      </c>
      <c r="I203" s="289">
        <v>90</v>
      </c>
      <c r="J203" s="289">
        <v>200</v>
      </c>
      <c r="K203" s="289">
        <v>20</v>
      </c>
      <c r="L203" s="289">
        <v>1210</v>
      </c>
    </row>
    <row r="204" spans="1:12">
      <c r="A204" s="288" t="s">
        <v>1025</v>
      </c>
      <c r="B204" s="288" t="s">
        <v>860</v>
      </c>
      <c r="C204" s="288" t="s">
        <v>820</v>
      </c>
      <c r="D204" s="288" t="s">
        <v>818</v>
      </c>
      <c r="E204" s="289">
        <v>10</v>
      </c>
      <c r="F204" s="290">
        <v>1</v>
      </c>
      <c r="G204" s="289">
        <v>900</v>
      </c>
      <c r="H204" s="289">
        <v>0</v>
      </c>
      <c r="I204" s="289">
        <v>90</v>
      </c>
      <c r="J204" s="289">
        <v>70</v>
      </c>
      <c r="K204" s="289">
        <v>7</v>
      </c>
      <c r="L204" s="289">
        <v>1067</v>
      </c>
    </row>
    <row r="205" spans="1:12">
      <c r="A205" s="288" t="s">
        <v>1026</v>
      </c>
      <c r="B205" s="288" t="s">
        <v>860</v>
      </c>
      <c r="C205" s="288" t="s">
        <v>820</v>
      </c>
      <c r="D205" s="288" t="s">
        <v>818</v>
      </c>
      <c r="E205" s="289">
        <v>10</v>
      </c>
      <c r="F205" s="290">
        <v>0</v>
      </c>
      <c r="G205" s="289">
        <v>900</v>
      </c>
      <c r="H205" s="289">
        <v>0</v>
      </c>
      <c r="I205" s="289">
        <v>90</v>
      </c>
      <c r="J205" s="289">
        <v>70</v>
      </c>
      <c r="K205" s="289">
        <v>7</v>
      </c>
      <c r="L205" s="289">
        <v>1067</v>
      </c>
    </row>
    <row r="206" spans="1:12">
      <c r="A206" s="288" t="s">
        <v>1027</v>
      </c>
      <c r="B206" s="288" t="s">
        <v>860</v>
      </c>
      <c r="C206" s="288" t="s">
        <v>814</v>
      </c>
      <c r="D206" s="288" t="s">
        <v>815</v>
      </c>
      <c r="E206" s="289">
        <v>10</v>
      </c>
      <c r="F206" s="290">
        <v>2</v>
      </c>
      <c r="G206" s="289">
        <v>900</v>
      </c>
      <c r="H206" s="289">
        <v>0</v>
      </c>
      <c r="I206" s="289">
        <v>90</v>
      </c>
      <c r="J206" s="289">
        <v>50</v>
      </c>
      <c r="K206" s="289">
        <v>5</v>
      </c>
      <c r="L206" s="289">
        <v>1045</v>
      </c>
    </row>
    <row r="207" spans="1:12">
      <c r="A207" s="288" t="s">
        <v>1028</v>
      </c>
      <c r="B207" s="288" t="s">
        <v>860</v>
      </c>
      <c r="C207" s="288" t="s">
        <v>814</v>
      </c>
      <c r="D207" s="288" t="s">
        <v>815</v>
      </c>
      <c r="E207" s="289">
        <v>10</v>
      </c>
      <c r="F207" s="290">
        <v>27</v>
      </c>
      <c r="G207" s="289">
        <v>1100</v>
      </c>
      <c r="H207" s="289">
        <v>1870</v>
      </c>
      <c r="I207" s="289">
        <v>297</v>
      </c>
      <c r="J207" s="289">
        <v>50</v>
      </c>
      <c r="K207" s="289">
        <v>5</v>
      </c>
      <c r="L207" s="289">
        <v>3322</v>
      </c>
    </row>
    <row r="208" spans="1:12">
      <c r="A208" s="288" t="s">
        <v>1029</v>
      </c>
      <c r="B208" s="288" t="s">
        <v>860</v>
      </c>
      <c r="C208" s="288" t="s">
        <v>814</v>
      </c>
      <c r="D208" s="288" t="s">
        <v>815</v>
      </c>
      <c r="E208" s="289">
        <v>10</v>
      </c>
      <c r="F208" s="290">
        <v>22</v>
      </c>
      <c r="G208" s="289">
        <v>1100</v>
      </c>
      <c r="H208" s="289">
        <v>1320</v>
      </c>
      <c r="I208" s="289">
        <v>242</v>
      </c>
      <c r="J208" s="289">
        <v>50</v>
      </c>
      <c r="K208" s="289">
        <v>5</v>
      </c>
      <c r="L208" s="289">
        <v>2717</v>
      </c>
    </row>
    <row r="209" spans="1:12">
      <c r="A209" s="288" t="s">
        <v>1030</v>
      </c>
      <c r="B209" s="288" t="s">
        <v>860</v>
      </c>
      <c r="C209" s="288" t="s">
        <v>814</v>
      </c>
      <c r="D209" s="288" t="s">
        <v>815</v>
      </c>
      <c r="E209" s="289">
        <v>10</v>
      </c>
      <c r="F209" s="290">
        <v>11</v>
      </c>
      <c r="G209" s="289">
        <v>1100</v>
      </c>
      <c r="H209" s="289">
        <v>110</v>
      </c>
      <c r="I209" s="289">
        <v>121</v>
      </c>
      <c r="J209" s="289">
        <v>50</v>
      </c>
      <c r="K209" s="289">
        <v>5</v>
      </c>
      <c r="L209" s="289">
        <v>1386</v>
      </c>
    </row>
    <row r="210" spans="1:12">
      <c r="A210" s="288" t="s">
        <v>1031</v>
      </c>
      <c r="B210" s="288" t="s">
        <v>860</v>
      </c>
      <c r="C210" s="288" t="s">
        <v>814</v>
      </c>
      <c r="D210" s="288" t="s">
        <v>815</v>
      </c>
      <c r="E210" s="289">
        <v>10</v>
      </c>
      <c r="F210" s="290">
        <v>18</v>
      </c>
      <c r="G210" s="289">
        <v>1100</v>
      </c>
      <c r="H210" s="289">
        <v>880</v>
      </c>
      <c r="I210" s="289">
        <v>198</v>
      </c>
      <c r="J210" s="289">
        <v>50</v>
      </c>
      <c r="K210" s="289">
        <v>5</v>
      </c>
      <c r="L210" s="289">
        <v>2233</v>
      </c>
    </row>
    <row r="211" spans="1:12">
      <c r="A211" s="288" t="s">
        <v>1032</v>
      </c>
      <c r="B211" s="288" t="s">
        <v>860</v>
      </c>
      <c r="C211" s="288" t="s">
        <v>814</v>
      </c>
      <c r="D211" s="288" t="s">
        <v>815</v>
      </c>
      <c r="E211" s="289">
        <v>10</v>
      </c>
      <c r="F211" s="290">
        <v>25</v>
      </c>
      <c r="G211" s="289">
        <v>1100</v>
      </c>
      <c r="H211" s="289">
        <v>1650</v>
      </c>
      <c r="I211" s="289">
        <v>275</v>
      </c>
      <c r="J211" s="289">
        <v>50</v>
      </c>
      <c r="K211" s="289">
        <v>5</v>
      </c>
      <c r="L211" s="289">
        <v>3080</v>
      </c>
    </row>
    <row r="212" spans="1:12">
      <c r="A212" s="288" t="s">
        <v>1033</v>
      </c>
      <c r="B212" s="288" t="s">
        <v>860</v>
      </c>
      <c r="C212" s="288" t="s">
        <v>814</v>
      </c>
      <c r="D212" s="288" t="s">
        <v>815</v>
      </c>
      <c r="E212" s="289">
        <v>10</v>
      </c>
      <c r="F212" s="290">
        <v>7</v>
      </c>
      <c r="G212" s="289">
        <v>1100</v>
      </c>
      <c r="H212" s="289">
        <v>0</v>
      </c>
      <c r="I212" s="289">
        <v>110</v>
      </c>
      <c r="J212" s="289">
        <v>50</v>
      </c>
      <c r="K212" s="289">
        <v>5</v>
      </c>
      <c r="L212" s="289">
        <v>1265</v>
      </c>
    </row>
    <row r="213" spans="1:12">
      <c r="A213" s="288" t="s">
        <v>1034</v>
      </c>
      <c r="B213" s="288" t="s">
        <v>860</v>
      </c>
      <c r="C213" s="288" t="s">
        <v>814</v>
      </c>
      <c r="D213" s="288" t="s">
        <v>815</v>
      </c>
      <c r="E213" s="289">
        <v>10</v>
      </c>
      <c r="F213" s="290">
        <v>10</v>
      </c>
      <c r="G213" s="289">
        <v>1100</v>
      </c>
      <c r="H213" s="289">
        <v>0</v>
      </c>
      <c r="I213" s="289">
        <v>110</v>
      </c>
      <c r="J213" s="289">
        <v>50</v>
      </c>
      <c r="K213" s="289">
        <v>5</v>
      </c>
      <c r="L213" s="289">
        <v>1265</v>
      </c>
    </row>
    <row r="214" spans="1:12">
      <c r="A214" s="288" t="s">
        <v>1035</v>
      </c>
      <c r="B214" s="288" t="s">
        <v>860</v>
      </c>
      <c r="C214" s="288" t="s">
        <v>814</v>
      </c>
      <c r="D214" s="288" t="s">
        <v>815</v>
      </c>
      <c r="E214" s="289">
        <v>10</v>
      </c>
      <c r="F214" s="290">
        <v>11</v>
      </c>
      <c r="G214" s="289">
        <v>1100</v>
      </c>
      <c r="H214" s="289">
        <v>110</v>
      </c>
      <c r="I214" s="289">
        <v>121</v>
      </c>
      <c r="J214" s="289">
        <v>50</v>
      </c>
      <c r="K214" s="289">
        <v>5</v>
      </c>
      <c r="L214" s="289">
        <v>1386</v>
      </c>
    </row>
    <row r="215" spans="1:12">
      <c r="A215" s="288" t="s">
        <v>1036</v>
      </c>
      <c r="B215" s="288" t="s">
        <v>860</v>
      </c>
      <c r="C215" s="288" t="s">
        <v>814</v>
      </c>
      <c r="D215" s="288" t="s">
        <v>815</v>
      </c>
      <c r="E215" s="289">
        <v>10</v>
      </c>
      <c r="F215" s="290">
        <v>22</v>
      </c>
      <c r="G215" s="289">
        <v>1100</v>
      </c>
      <c r="H215" s="289">
        <v>1320</v>
      </c>
      <c r="I215" s="289">
        <v>242</v>
      </c>
      <c r="J215" s="289">
        <v>50</v>
      </c>
      <c r="K215" s="289">
        <v>5</v>
      </c>
      <c r="L215" s="289">
        <v>2717</v>
      </c>
    </row>
    <row r="216" spans="1:12">
      <c r="A216" s="288" t="s">
        <v>1037</v>
      </c>
      <c r="B216" s="288" t="s">
        <v>860</v>
      </c>
      <c r="C216" s="288" t="s">
        <v>820</v>
      </c>
      <c r="D216" s="288" t="s">
        <v>822</v>
      </c>
      <c r="E216" s="289">
        <v>10</v>
      </c>
      <c r="F216" s="290">
        <v>3</v>
      </c>
      <c r="G216" s="289">
        <v>900</v>
      </c>
      <c r="H216" s="289">
        <v>0</v>
      </c>
      <c r="I216" s="289">
        <v>90</v>
      </c>
      <c r="J216" s="289">
        <v>200</v>
      </c>
      <c r="K216" s="289">
        <v>20</v>
      </c>
      <c r="L216" s="289">
        <v>1210</v>
      </c>
    </row>
    <row r="217" spans="1:12">
      <c r="A217" s="288" t="s">
        <v>1038</v>
      </c>
      <c r="B217" s="288" t="s">
        <v>860</v>
      </c>
      <c r="C217" s="288" t="s">
        <v>814</v>
      </c>
      <c r="D217" s="288" t="s">
        <v>815</v>
      </c>
      <c r="E217" s="289">
        <v>10</v>
      </c>
      <c r="F217" s="290">
        <v>22</v>
      </c>
      <c r="G217" s="289">
        <v>1100</v>
      </c>
      <c r="H217" s="289">
        <v>1320</v>
      </c>
      <c r="I217" s="289">
        <v>242</v>
      </c>
      <c r="J217" s="289">
        <v>50</v>
      </c>
      <c r="K217" s="289">
        <v>5</v>
      </c>
      <c r="L217" s="289">
        <v>2717</v>
      </c>
    </row>
    <row r="218" spans="1:12">
      <c r="A218" s="288" t="s">
        <v>1039</v>
      </c>
      <c r="B218" s="288" t="s">
        <v>860</v>
      </c>
      <c r="C218" s="288" t="s">
        <v>820</v>
      </c>
      <c r="D218" s="288" t="s">
        <v>818</v>
      </c>
      <c r="E218" s="289">
        <v>10</v>
      </c>
      <c r="F218" s="290">
        <v>0</v>
      </c>
      <c r="G218" s="289">
        <v>900</v>
      </c>
      <c r="H218" s="289">
        <v>0</v>
      </c>
      <c r="I218" s="289">
        <v>90</v>
      </c>
      <c r="J218" s="289">
        <v>70</v>
      </c>
      <c r="K218" s="289">
        <v>7</v>
      </c>
      <c r="L218" s="289">
        <v>1067</v>
      </c>
    </row>
    <row r="219" spans="1:12">
      <c r="A219" s="288" t="s">
        <v>1040</v>
      </c>
      <c r="B219" s="288" t="s">
        <v>860</v>
      </c>
      <c r="C219" s="288" t="s">
        <v>820</v>
      </c>
      <c r="D219" s="288" t="s">
        <v>818</v>
      </c>
      <c r="E219" s="289">
        <v>10</v>
      </c>
      <c r="F219" s="290">
        <v>4</v>
      </c>
      <c r="G219" s="289">
        <v>900</v>
      </c>
      <c r="H219" s="289">
        <v>0</v>
      </c>
      <c r="I219" s="289">
        <v>90</v>
      </c>
      <c r="J219" s="289">
        <v>70</v>
      </c>
      <c r="K219" s="289">
        <v>7</v>
      </c>
      <c r="L219" s="289">
        <v>1067</v>
      </c>
    </row>
    <row r="220" spans="1:12">
      <c r="A220" s="288" t="s">
        <v>1041</v>
      </c>
      <c r="B220" s="288" t="s">
        <v>860</v>
      </c>
      <c r="C220" s="288" t="s">
        <v>814</v>
      </c>
      <c r="D220" s="288" t="s">
        <v>815</v>
      </c>
      <c r="E220" s="289">
        <v>10</v>
      </c>
      <c r="F220" s="290">
        <v>5</v>
      </c>
      <c r="G220" s="289">
        <v>900</v>
      </c>
      <c r="H220" s="289">
        <v>0</v>
      </c>
      <c r="I220" s="289">
        <v>90</v>
      </c>
      <c r="J220" s="289">
        <v>50</v>
      </c>
      <c r="K220" s="289">
        <v>5</v>
      </c>
      <c r="L220" s="289">
        <v>1045</v>
      </c>
    </row>
    <row r="221" spans="1:12">
      <c r="A221" s="288" t="s">
        <v>1042</v>
      </c>
      <c r="B221" s="288" t="s">
        <v>860</v>
      </c>
      <c r="C221" s="288" t="s">
        <v>814</v>
      </c>
      <c r="D221" s="288" t="s">
        <v>815</v>
      </c>
      <c r="E221" s="289">
        <v>10</v>
      </c>
      <c r="F221" s="290">
        <v>29</v>
      </c>
      <c r="G221" s="289">
        <v>1100</v>
      </c>
      <c r="H221" s="289">
        <v>2090</v>
      </c>
      <c r="I221" s="289">
        <v>319</v>
      </c>
      <c r="J221" s="289">
        <v>50</v>
      </c>
      <c r="K221" s="289">
        <v>5</v>
      </c>
      <c r="L221" s="289">
        <v>3564</v>
      </c>
    </row>
    <row r="222" spans="1:12">
      <c r="A222" s="288" t="s">
        <v>1043</v>
      </c>
      <c r="B222" s="288" t="s">
        <v>860</v>
      </c>
      <c r="C222" s="288" t="s">
        <v>820</v>
      </c>
      <c r="D222" s="288" t="s">
        <v>826</v>
      </c>
      <c r="E222" s="289">
        <v>10</v>
      </c>
      <c r="F222" s="290">
        <v>16</v>
      </c>
      <c r="G222" s="289">
        <v>1100</v>
      </c>
      <c r="H222" s="289">
        <v>660</v>
      </c>
      <c r="I222" s="289">
        <v>176</v>
      </c>
      <c r="J222" s="289">
        <v>100</v>
      </c>
      <c r="K222" s="289">
        <v>10</v>
      </c>
      <c r="L222" s="289">
        <v>2046</v>
      </c>
    </row>
    <row r="223" spans="1:12">
      <c r="A223" s="288" t="s">
        <v>1044</v>
      </c>
      <c r="B223" s="288" t="s">
        <v>860</v>
      </c>
      <c r="C223" s="288" t="s">
        <v>814</v>
      </c>
      <c r="D223" s="288" t="s">
        <v>815</v>
      </c>
      <c r="E223" s="289">
        <v>10</v>
      </c>
      <c r="F223" s="290">
        <v>24</v>
      </c>
      <c r="G223" s="289">
        <v>1100</v>
      </c>
      <c r="H223" s="289">
        <v>1540</v>
      </c>
      <c r="I223" s="289">
        <v>264</v>
      </c>
      <c r="J223" s="289">
        <v>50</v>
      </c>
      <c r="K223" s="289">
        <v>5</v>
      </c>
      <c r="L223" s="289">
        <v>2959</v>
      </c>
    </row>
    <row r="224" spans="1:12">
      <c r="A224" s="288" t="s">
        <v>1045</v>
      </c>
      <c r="B224" s="288" t="s">
        <v>860</v>
      </c>
      <c r="C224" s="288" t="s">
        <v>814</v>
      </c>
      <c r="D224" s="288" t="s">
        <v>815</v>
      </c>
      <c r="E224" s="289">
        <v>10</v>
      </c>
      <c r="F224" s="290">
        <v>7</v>
      </c>
      <c r="G224" s="289">
        <v>1100</v>
      </c>
      <c r="H224" s="289">
        <v>0</v>
      </c>
      <c r="I224" s="289">
        <v>110</v>
      </c>
      <c r="J224" s="289">
        <v>50</v>
      </c>
      <c r="K224" s="289">
        <v>5</v>
      </c>
      <c r="L224" s="289">
        <v>1265</v>
      </c>
    </row>
    <row r="225" spans="1:12">
      <c r="A225" s="288" t="s">
        <v>1046</v>
      </c>
      <c r="B225" s="288" t="s">
        <v>860</v>
      </c>
      <c r="C225" s="288" t="s">
        <v>814</v>
      </c>
      <c r="D225" s="288" t="s">
        <v>818</v>
      </c>
      <c r="E225" s="289">
        <v>10</v>
      </c>
      <c r="F225" s="290">
        <v>13</v>
      </c>
      <c r="G225" s="289">
        <v>1100</v>
      </c>
      <c r="H225" s="289">
        <v>330</v>
      </c>
      <c r="I225" s="289">
        <v>143</v>
      </c>
      <c r="J225" s="289">
        <v>70</v>
      </c>
      <c r="K225" s="289">
        <v>7</v>
      </c>
      <c r="L225" s="289">
        <v>1650</v>
      </c>
    </row>
    <row r="226" spans="1:12">
      <c r="A226" s="288" t="s">
        <v>1047</v>
      </c>
      <c r="B226" s="288" t="s">
        <v>860</v>
      </c>
      <c r="C226" s="288" t="s">
        <v>820</v>
      </c>
      <c r="D226" s="288" t="s">
        <v>826</v>
      </c>
      <c r="E226" s="289">
        <v>10</v>
      </c>
      <c r="F226" s="290">
        <v>148</v>
      </c>
      <c r="G226" s="289">
        <v>1100</v>
      </c>
      <c r="H226" s="289">
        <v>14700</v>
      </c>
      <c r="I226" s="289">
        <v>1580</v>
      </c>
      <c r="J226" s="289">
        <v>100</v>
      </c>
      <c r="K226" s="289">
        <v>10</v>
      </c>
      <c r="L226" s="289">
        <v>17490</v>
      </c>
    </row>
    <row r="227" spans="1:12">
      <c r="A227" s="288" t="s">
        <v>1048</v>
      </c>
      <c r="B227" s="288" t="s">
        <v>860</v>
      </c>
      <c r="C227" s="288" t="s">
        <v>820</v>
      </c>
      <c r="D227" s="288" t="s">
        <v>822</v>
      </c>
      <c r="E227" s="289">
        <v>10</v>
      </c>
      <c r="F227" s="290">
        <v>162</v>
      </c>
      <c r="G227" s="289">
        <v>1100</v>
      </c>
      <c r="H227" s="289">
        <v>16100</v>
      </c>
      <c r="I227" s="289">
        <v>1720</v>
      </c>
      <c r="J227" s="289">
        <v>200</v>
      </c>
      <c r="K227" s="289">
        <v>20</v>
      </c>
      <c r="L227" s="289">
        <v>19140</v>
      </c>
    </row>
    <row r="228" spans="1:12">
      <c r="A228" s="288" t="s">
        <v>1049</v>
      </c>
      <c r="B228" s="288" t="s">
        <v>860</v>
      </c>
      <c r="C228" s="288" t="s">
        <v>814</v>
      </c>
      <c r="D228" s="288" t="s">
        <v>818</v>
      </c>
      <c r="E228" s="289">
        <v>10</v>
      </c>
      <c r="F228" s="290">
        <v>6</v>
      </c>
      <c r="G228" s="289">
        <v>1100</v>
      </c>
      <c r="H228" s="289">
        <v>0</v>
      </c>
      <c r="I228" s="289">
        <v>110</v>
      </c>
      <c r="J228" s="289">
        <v>70</v>
      </c>
      <c r="K228" s="289">
        <v>7</v>
      </c>
      <c r="L228" s="289">
        <v>1287</v>
      </c>
    </row>
    <row r="229" spans="1:12">
      <c r="A229" s="288" t="s">
        <v>1050</v>
      </c>
      <c r="B229" s="288" t="s">
        <v>860</v>
      </c>
      <c r="C229" s="288" t="s">
        <v>814</v>
      </c>
      <c r="D229" s="288" t="s">
        <v>818</v>
      </c>
      <c r="E229" s="289">
        <v>10</v>
      </c>
      <c r="F229" s="290">
        <v>11</v>
      </c>
      <c r="G229" s="289">
        <v>1100</v>
      </c>
      <c r="H229" s="289">
        <v>110</v>
      </c>
      <c r="I229" s="289">
        <v>121</v>
      </c>
      <c r="J229" s="289">
        <v>70</v>
      </c>
      <c r="K229" s="289">
        <v>7</v>
      </c>
      <c r="L229" s="289">
        <v>1408</v>
      </c>
    </row>
    <row r="230" spans="1:12">
      <c r="A230" s="288" t="s">
        <v>1051</v>
      </c>
      <c r="B230" s="288" t="s">
        <v>860</v>
      </c>
      <c r="C230" s="288" t="s">
        <v>814</v>
      </c>
      <c r="D230" s="288" t="s">
        <v>815</v>
      </c>
      <c r="E230" s="289">
        <v>10</v>
      </c>
      <c r="F230" s="290">
        <v>26</v>
      </c>
      <c r="G230" s="289">
        <v>1100</v>
      </c>
      <c r="H230" s="289">
        <v>1760</v>
      </c>
      <c r="I230" s="289">
        <v>286</v>
      </c>
      <c r="J230" s="289">
        <v>50</v>
      </c>
      <c r="K230" s="289">
        <v>5</v>
      </c>
      <c r="L230" s="289">
        <v>3201</v>
      </c>
    </row>
    <row r="231" spans="1:12">
      <c r="A231" s="288" t="s">
        <v>1052</v>
      </c>
      <c r="B231" s="288" t="s">
        <v>860</v>
      </c>
      <c r="C231" s="288" t="s">
        <v>814</v>
      </c>
      <c r="D231" s="288" t="s">
        <v>815</v>
      </c>
      <c r="E231" s="289">
        <v>10</v>
      </c>
      <c r="F231" s="290">
        <v>3</v>
      </c>
      <c r="G231" s="289">
        <v>900</v>
      </c>
      <c r="H231" s="289">
        <v>0</v>
      </c>
      <c r="I231" s="289">
        <v>90</v>
      </c>
      <c r="J231" s="289">
        <v>50</v>
      </c>
      <c r="K231" s="289">
        <v>5</v>
      </c>
      <c r="L231" s="289">
        <v>1045</v>
      </c>
    </row>
    <row r="232" spans="1:12">
      <c r="A232" s="288" t="s">
        <v>1053</v>
      </c>
      <c r="B232" s="288" t="s">
        <v>860</v>
      </c>
      <c r="C232" s="288" t="s">
        <v>814</v>
      </c>
      <c r="D232" s="288" t="s">
        <v>815</v>
      </c>
      <c r="E232" s="289">
        <v>10</v>
      </c>
      <c r="F232" s="290">
        <v>11</v>
      </c>
      <c r="G232" s="289">
        <v>1100</v>
      </c>
      <c r="H232" s="289">
        <v>110</v>
      </c>
      <c r="I232" s="289">
        <v>121</v>
      </c>
      <c r="J232" s="289">
        <v>50</v>
      </c>
      <c r="K232" s="289">
        <v>5</v>
      </c>
      <c r="L232" s="289">
        <v>1386</v>
      </c>
    </row>
    <row r="233" spans="1:12">
      <c r="A233" s="288" t="s">
        <v>1054</v>
      </c>
      <c r="B233" s="288" t="s">
        <v>860</v>
      </c>
      <c r="C233" s="288" t="s">
        <v>814</v>
      </c>
      <c r="D233" s="288" t="s">
        <v>815</v>
      </c>
      <c r="E233" s="289">
        <v>10</v>
      </c>
      <c r="F233" s="290">
        <v>5</v>
      </c>
      <c r="G233" s="289">
        <v>900</v>
      </c>
      <c r="H233" s="289">
        <v>0</v>
      </c>
      <c r="I233" s="289">
        <v>90</v>
      </c>
      <c r="J233" s="289">
        <v>50</v>
      </c>
      <c r="K233" s="289">
        <v>5</v>
      </c>
      <c r="L233" s="289">
        <v>1045</v>
      </c>
    </row>
    <row r="234" spans="1:12">
      <c r="A234" s="288" t="s">
        <v>1055</v>
      </c>
      <c r="B234" s="288" t="s">
        <v>860</v>
      </c>
      <c r="C234" s="288" t="s">
        <v>814</v>
      </c>
      <c r="D234" s="288" t="s">
        <v>818</v>
      </c>
      <c r="E234" s="289">
        <v>10</v>
      </c>
      <c r="F234" s="290">
        <v>10</v>
      </c>
      <c r="G234" s="289">
        <v>1100</v>
      </c>
      <c r="H234" s="289">
        <v>0</v>
      </c>
      <c r="I234" s="289">
        <v>110</v>
      </c>
      <c r="J234" s="289">
        <v>70</v>
      </c>
      <c r="K234" s="289">
        <v>7</v>
      </c>
      <c r="L234" s="289">
        <v>1287</v>
      </c>
    </row>
    <row r="235" spans="1:12">
      <c r="A235" s="288" t="s">
        <v>1056</v>
      </c>
      <c r="B235" s="288" t="s">
        <v>860</v>
      </c>
      <c r="C235" s="288" t="s">
        <v>820</v>
      </c>
      <c r="D235" s="288" t="s">
        <v>818</v>
      </c>
      <c r="E235" s="289">
        <v>10</v>
      </c>
      <c r="F235" s="290">
        <v>0</v>
      </c>
      <c r="G235" s="289">
        <v>900</v>
      </c>
      <c r="H235" s="289">
        <v>0</v>
      </c>
      <c r="I235" s="289">
        <v>90</v>
      </c>
      <c r="J235" s="289">
        <v>70</v>
      </c>
      <c r="K235" s="289">
        <v>7</v>
      </c>
      <c r="L235" s="289">
        <v>1067</v>
      </c>
    </row>
    <row r="236" spans="1:12">
      <c r="A236" s="288" t="s">
        <v>1057</v>
      </c>
      <c r="B236" s="288" t="s">
        <v>860</v>
      </c>
      <c r="C236" s="288" t="s">
        <v>814</v>
      </c>
      <c r="D236" s="288" t="s">
        <v>815</v>
      </c>
      <c r="E236" s="289">
        <v>10</v>
      </c>
      <c r="F236" s="290">
        <v>7</v>
      </c>
      <c r="G236" s="289">
        <v>1100</v>
      </c>
      <c r="H236" s="289">
        <v>0</v>
      </c>
      <c r="I236" s="289">
        <v>110</v>
      </c>
      <c r="J236" s="289">
        <v>50</v>
      </c>
      <c r="K236" s="289">
        <v>5</v>
      </c>
      <c r="L236" s="289">
        <v>1265</v>
      </c>
    </row>
    <row r="237" spans="1:12">
      <c r="A237" s="288" t="s">
        <v>1058</v>
      </c>
      <c r="B237" s="288" t="s">
        <v>860</v>
      </c>
      <c r="C237" s="288" t="s">
        <v>820</v>
      </c>
      <c r="D237" s="288" t="s">
        <v>818</v>
      </c>
      <c r="E237" s="289">
        <v>10</v>
      </c>
      <c r="F237" s="290">
        <v>37</v>
      </c>
      <c r="G237" s="289">
        <v>1100</v>
      </c>
      <c r="H237" s="289">
        <v>2970</v>
      </c>
      <c r="I237" s="289">
        <v>407</v>
      </c>
      <c r="J237" s="289">
        <v>70</v>
      </c>
      <c r="K237" s="289">
        <v>7</v>
      </c>
      <c r="L237" s="289">
        <v>4554</v>
      </c>
    </row>
    <row r="238" spans="1:12">
      <c r="A238" s="288" t="s">
        <v>1059</v>
      </c>
      <c r="B238" s="288" t="s">
        <v>860</v>
      </c>
      <c r="C238" s="288" t="s">
        <v>820</v>
      </c>
      <c r="D238" s="288" t="s">
        <v>818</v>
      </c>
      <c r="E238" s="289">
        <v>10</v>
      </c>
      <c r="F238" s="290">
        <v>18</v>
      </c>
      <c r="G238" s="289">
        <v>1100</v>
      </c>
      <c r="H238" s="289">
        <v>880</v>
      </c>
      <c r="I238" s="289">
        <v>198</v>
      </c>
      <c r="J238" s="289">
        <v>70</v>
      </c>
      <c r="K238" s="289">
        <v>7</v>
      </c>
      <c r="L238" s="289">
        <v>2255</v>
      </c>
    </row>
    <row r="239" spans="1:12">
      <c r="A239" s="288" t="s">
        <v>1060</v>
      </c>
      <c r="B239" s="288" t="s">
        <v>860</v>
      </c>
      <c r="C239" s="288" t="s">
        <v>820</v>
      </c>
      <c r="D239" s="288" t="s">
        <v>826</v>
      </c>
      <c r="E239" s="289">
        <v>10</v>
      </c>
      <c r="F239" s="290">
        <v>120</v>
      </c>
      <c r="G239" s="289">
        <v>1100</v>
      </c>
      <c r="H239" s="289">
        <v>11900</v>
      </c>
      <c r="I239" s="289">
        <v>1300</v>
      </c>
      <c r="J239" s="289">
        <v>100</v>
      </c>
      <c r="K239" s="289">
        <v>10</v>
      </c>
      <c r="L239" s="289">
        <v>14410</v>
      </c>
    </row>
    <row r="240" spans="1:12">
      <c r="A240" s="288" t="s">
        <v>1061</v>
      </c>
      <c r="B240" s="288" t="s">
        <v>860</v>
      </c>
      <c r="C240" s="288" t="s">
        <v>814</v>
      </c>
      <c r="D240" s="288" t="s">
        <v>815</v>
      </c>
      <c r="E240" s="289">
        <v>10</v>
      </c>
      <c r="F240" s="290">
        <v>9</v>
      </c>
      <c r="G240" s="289">
        <v>1100</v>
      </c>
      <c r="H240" s="289">
        <v>0</v>
      </c>
      <c r="I240" s="289">
        <v>110</v>
      </c>
      <c r="J240" s="289">
        <v>50</v>
      </c>
      <c r="K240" s="289">
        <v>5</v>
      </c>
      <c r="L240" s="289">
        <v>1265</v>
      </c>
    </row>
    <row r="241" spans="1:12">
      <c r="A241" s="288" t="s">
        <v>1062</v>
      </c>
      <c r="B241" s="288" t="s">
        <v>860</v>
      </c>
      <c r="C241" s="288" t="s">
        <v>814</v>
      </c>
      <c r="D241" s="288" t="s">
        <v>815</v>
      </c>
      <c r="E241" s="289">
        <v>10</v>
      </c>
      <c r="F241" s="290">
        <v>14</v>
      </c>
      <c r="G241" s="289">
        <v>1100</v>
      </c>
      <c r="H241" s="289">
        <v>440</v>
      </c>
      <c r="I241" s="289">
        <v>154</v>
      </c>
      <c r="J241" s="289">
        <v>50</v>
      </c>
      <c r="K241" s="289">
        <v>5</v>
      </c>
      <c r="L241" s="289">
        <v>1749</v>
      </c>
    </row>
    <row r="242" spans="1:12">
      <c r="A242" s="288" t="s">
        <v>1063</v>
      </c>
      <c r="B242" s="288" t="s">
        <v>860</v>
      </c>
      <c r="C242" s="288" t="s">
        <v>814</v>
      </c>
      <c r="D242" s="288" t="s">
        <v>815</v>
      </c>
      <c r="E242" s="289">
        <v>10</v>
      </c>
      <c r="F242" s="290">
        <v>1</v>
      </c>
      <c r="G242" s="289">
        <v>900</v>
      </c>
      <c r="H242" s="289">
        <v>0</v>
      </c>
      <c r="I242" s="289">
        <v>90</v>
      </c>
      <c r="J242" s="289">
        <v>50</v>
      </c>
      <c r="K242" s="289">
        <v>5</v>
      </c>
      <c r="L242" s="289">
        <v>1045</v>
      </c>
    </row>
    <row r="243" spans="1:12">
      <c r="A243" s="288" t="s">
        <v>1064</v>
      </c>
      <c r="B243" s="288" t="s">
        <v>860</v>
      </c>
      <c r="C243" s="288" t="s">
        <v>814</v>
      </c>
      <c r="D243" s="288" t="s">
        <v>818</v>
      </c>
      <c r="E243" s="289">
        <v>10</v>
      </c>
      <c r="F243" s="290">
        <v>10</v>
      </c>
      <c r="G243" s="289">
        <v>1100</v>
      </c>
      <c r="H243" s="289">
        <v>0</v>
      </c>
      <c r="I243" s="289">
        <v>110</v>
      </c>
      <c r="J243" s="289">
        <v>70</v>
      </c>
      <c r="K243" s="289">
        <v>7</v>
      </c>
      <c r="L243" s="289">
        <v>1287</v>
      </c>
    </row>
    <row r="244" spans="1:12">
      <c r="A244" s="288" t="s">
        <v>1065</v>
      </c>
      <c r="B244" s="288" t="s">
        <v>860</v>
      </c>
      <c r="C244" s="288" t="s">
        <v>814</v>
      </c>
      <c r="D244" s="288" t="s">
        <v>818</v>
      </c>
      <c r="E244" s="289">
        <v>10</v>
      </c>
      <c r="F244" s="290">
        <v>16</v>
      </c>
      <c r="G244" s="289">
        <v>1100</v>
      </c>
      <c r="H244" s="289">
        <v>660</v>
      </c>
      <c r="I244" s="289">
        <v>176</v>
      </c>
      <c r="J244" s="289">
        <v>70</v>
      </c>
      <c r="K244" s="289">
        <v>7</v>
      </c>
      <c r="L244" s="289">
        <v>2013</v>
      </c>
    </row>
    <row r="245" spans="1:12">
      <c r="A245" s="288" t="s">
        <v>1066</v>
      </c>
      <c r="B245" s="288" t="s">
        <v>860</v>
      </c>
      <c r="C245" s="288" t="s">
        <v>814</v>
      </c>
      <c r="D245" s="288" t="s">
        <v>818</v>
      </c>
      <c r="E245" s="289">
        <v>10</v>
      </c>
      <c r="F245" s="290">
        <v>5</v>
      </c>
      <c r="G245" s="289">
        <v>900</v>
      </c>
      <c r="H245" s="289">
        <v>0</v>
      </c>
      <c r="I245" s="289">
        <v>90</v>
      </c>
      <c r="J245" s="289">
        <v>70</v>
      </c>
      <c r="K245" s="289">
        <v>7</v>
      </c>
      <c r="L245" s="289">
        <v>1067</v>
      </c>
    </row>
    <row r="246" spans="1:12">
      <c r="A246" s="288" t="s">
        <v>1067</v>
      </c>
      <c r="B246" s="288" t="s">
        <v>860</v>
      </c>
      <c r="C246" s="288" t="s">
        <v>814</v>
      </c>
      <c r="D246" s="288" t="s">
        <v>818</v>
      </c>
      <c r="E246" s="289">
        <v>10</v>
      </c>
      <c r="F246" s="290">
        <v>4</v>
      </c>
      <c r="G246" s="289">
        <v>900</v>
      </c>
      <c r="H246" s="289">
        <v>0</v>
      </c>
      <c r="I246" s="289">
        <v>90</v>
      </c>
      <c r="J246" s="289">
        <v>70</v>
      </c>
      <c r="K246" s="289">
        <v>7</v>
      </c>
      <c r="L246" s="289">
        <v>1067</v>
      </c>
    </row>
    <row r="247" spans="1:12">
      <c r="A247" s="288" t="s">
        <v>1068</v>
      </c>
      <c r="B247" s="288" t="s">
        <v>860</v>
      </c>
      <c r="C247" s="288" t="s">
        <v>814</v>
      </c>
      <c r="D247" s="288" t="s">
        <v>818</v>
      </c>
      <c r="E247" s="289">
        <v>10</v>
      </c>
      <c r="F247" s="290">
        <v>15</v>
      </c>
      <c r="G247" s="289">
        <v>1100</v>
      </c>
      <c r="H247" s="289">
        <v>550</v>
      </c>
      <c r="I247" s="289">
        <v>165</v>
      </c>
      <c r="J247" s="289">
        <v>70</v>
      </c>
      <c r="K247" s="289">
        <v>7</v>
      </c>
      <c r="L247" s="289">
        <v>1892</v>
      </c>
    </row>
    <row r="248" spans="1:12">
      <c r="A248" s="288" t="s">
        <v>1069</v>
      </c>
      <c r="B248" s="288" t="s">
        <v>860</v>
      </c>
      <c r="C248" s="288" t="s">
        <v>814</v>
      </c>
      <c r="D248" s="288" t="s">
        <v>818</v>
      </c>
      <c r="E248" s="289">
        <v>10</v>
      </c>
      <c r="F248" s="290">
        <v>0</v>
      </c>
      <c r="G248" s="289">
        <v>900</v>
      </c>
      <c r="H248" s="289">
        <v>0</v>
      </c>
      <c r="I248" s="289">
        <v>90</v>
      </c>
      <c r="J248" s="289">
        <v>70</v>
      </c>
      <c r="K248" s="289">
        <v>7</v>
      </c>
      <c r="L248" s="289">
        <v>1067</v>
      </c>
    </row>
    <row r="249" spans="1:12">
      <c r="A249" s="288" t="s">
        <v>1070</v>
      </c>
      <c r="B249" s="288" t="s">
        <v>860</v>
      </c>
      <c r="C249" s="288" t="s">
        <v>814</v>
      </c>
      <c r="D249" s="288" t="s">
        <v>818</v>
      </c>
      <c r="E249" s="289">
        <v>10</v>
      </c>
      <c r="F249" s="290">
        <v>29</v>
      </c>
      <c r="G249" s="289">
        <v>1100</v>
      </c>
      <c r="H249" s="289">
        <v>2090</v>
      </c>
      <c r="I249" s="289">
        <v>319</v>
      </c>
      <c r="J249" s="289">
        <v>70</v>
      </c>
      <c r="K249" s="289">
        <v>7</v>
      </c>
      <c r="L249" s="289">
        <v>3586</v>
      </c>
    </row>
    <row r="250" spans="1:12">
      <c r="A250" s="288" t="s">
        <v>1071</v>
      </c>
      <c r="B250" s="288" t="s">
        <v>860</v>
      </c>
      <c r="C250" s="288" t="s">
        <v>814</v>
      </c>
      <c r="D250" s="288" t="s">
        <v>818</v>
      </c>
      <c r="E250" s="289">
        <v>10</v>
      </c>
      <c r="F250" s="290">
        <v>11</v>
      </c>
      <c r="G250" s="289">
        <v>1100</v>
      </c>
      <c r="H250" s="289">
        <v>110</v>
      </c>
      <c r="I250" s="289">
        <v>121</v>
      </c>
      <c r="J250" s="289">
        <v>70</v>
      </c>
      <c r="K250" s="289">
        <v>7</v>
      </c>
      <c r="L250" s="289">
        <v>1408</v>
      </c>
    </row>
    <row r="251" spans="1:12">
      <c r="A251" s="288" t="s">
        <v>1072</v>
      </c>
      <c r="B251" s="288" t="s">
        <v>860</v>
      </c>
      <c r="C251" s="288" t="s">
        <v>814</v>
      </c>
      <c r="D251" s="288" t="s">
        <v>818</v>
      </c>
      <c r="E251" s="289">
        <v>10</v>
      </c>
      <c r="F251" s="290">
        <v>10</v>
      </c>
      <c r="G251" s="289">
        <v>1100</v>
      </c>
      <c r="H251" s="289">
        <v>0</v>
      </c>
      <c r="I251" s="289">
        <v>110</v>
      </c>
      <c r="J251" s="289">
        <v>70</v>
      </c>
      <c r="K251" s="289">
        <v>7</v>
      </c>
      <c r="L251" s="289">
        <v>1287</v>
      </c>
    </row>
    <row r="252" spans="1:12">
      <c r="A252" s="288" t="s">
        <v>1073</v>
      </c>
      <c r="B252" s="288" t="s">
        <v>860</v>
      </c>
      <c r="C252" s="288" t="s">
        <v>814</v>
      </c>
      <c r="D252" s="288" t="s">
        <v>818</v>
      </c>
      <c r="E252" s="289">
        <v>10</v>
      </c>
      <c r="F252" s="290">
        <v>14</v>
      </c>
      <c r="G252" s="289">
        <v>1100</v>
      </c>
      <c r="H252" s="289">
        <v>440</v>
      </c>
      <c r="I252" s="289">
        <v>154</v>
      </c>
      <c r="J252" s="289">
        <v>70</v>
      </c>
      <c r="K252" s="289">
        <v>7</v>
      </c>
      <c r="L252" s="289">
        <v>1771</v>
      </c>
    </row>
    <row r="253" spans="1:12">
      <c r="A253" s="288" t="s">
        <v>1074</v>
      </c>
      <c r="B253" s="288" t="s">
        <v>860</v>
      </c>
      <c r="C253" s="288" t="s">
        <v>814</v>
      </c>
      <c r="D253" s="288" t="s">
        <v>818</v>
      </c>
      <c r="E253" s="289">
        <v>10</v>
      </c>
      <c r="F253" s="290">
        <v>23</v>
      </c>
      <c r="G253" s="289">
        <v>1100</v>
      </c>
      <c r="H253" s="289">
        <v>1430</v>
      </c>
      <c r="I253" s="289">
        <v>253</v>
      </c>
      <c r="J253" s="289">
        <v>70</v>
      </c>
      <c r="K253" s="289">
        <v>7</v>
      </c>
      <c r="L253" s="289">
        <v>2860</v>
      </c>
    </row>
    <row r="254" spans="1:12">
      <c r="A254" s="288" t="s">
        <v>1075</v>
      </c>
      <c r="B254" s="288" t="s">
        <v>1076</v>
      </c>
      <c r="C254" s="288" t="s">
        <v>820</v>
      </c>
      <c r="D254" s="288" t="s">
        <v>815</v>
      </c>
      <c r="E254" s="289">
        <v>10</v>
      </c>
      <c r="F254" s="290">
        <v>3</v>
      </c>
      <c r="G254" s="289">
        <v>900</v>
      </c>
      <c r="H254" s="289">
        <v>0</v>
      </c>
      <c r="I254" s="289">
        <v>90</v>
      </c>
      <c r="J254" s="289">
        <v>50</v>
      </c>
      <c r="K254" s="289">
        <v>5</v>
      </c>
      <c r="L254" s="289">
        <v>1045</v>
      </c>
    </row>
    <row r="255" spans="1:12">
      <c r="A255" s="288" t="s">
        <v>1077</v>
      </c>
      <c r="B255" s="288" t="s">
        <v>1076</v>
      </c>
      <c r="C255" s="288" t="s">
        <v>814</v>
      </c>
      <c r="D255" s="288" t="s">
        <v>815</v>
      </c>
      <c r="E255" s="289">
        <v>10</v>
      </c>
      <c r="F255" s="290">
        <v>4</v>
      </c>
      <c r="G255" s="289">
        <v>900</v>
      </c>
      <c r="H255" s="289">
        <v>0</v>
      </c>
      <c r="I255" s="289">
        <v>90</v>
      </c>
      <c r="J255" s="289">
        <v>50</v>
      </c>
      <c r="K255" s="289">
        <v>5</v>
      </c>
      <c r="L255" s="289">
        <v>1045</v>
      </c>
    </row>
    <row r="256" spans="1:12">
      <c r="A256" s="288" t="s">
        <v>1078</v>
      </c>
      <c r="B256" s="288" t="s">
        <v>1076</v>
      </c>
      <c r="C256" s="288" t="s">
        <v>814</v>
      </c>
      <c r="D256" s="288" t="s">
        <v>815</v>
      </c>
      <c r="E256" s="289">
        <v>10</v>
      </c>
      <c r="F256" s="290">
        <v>11</v>
      </c>
      <c r="G256" s="289">
        <v>1100</v>
      </c>
      <c r="H256" s="289">
        <v>110</v>
      </c>
      <c r="I256" s="289">
        <v>121</v>
      </c>
      <c r="J256" s="289">
        <v>50</v>
      </c>
      <c r="K256" s="289">
        <v>5</v>
      </c>
      <c r="L256" s="289">
        <v>1386</v>
      </c>
    </row>
    <row r="257" spans="1:12">
      <c r="A257" s="288" t="s">
        <v>1079</v>
      </c>
      <c r="B257" s="288" t="s">
        <v>1076</v>
      </c>
      <c r="C257" s="288" t="s">
        <v>814</v>
      </c>
      <c r="D257" s="288" t="s">
        <v>815</v>
      </c>
      <c r="E257" s="289">
        <v>10</v>
      </c>
      <c r="F257" s="290">
        <v>14</v>
      </c>
      <c r="G257" s="289">
        <v>1100</v>
      </c>
      <c r="H257" s="289">
        <v>440</v>
      </c>
      <c r="I257" s="289">
        <v>154</v>
      </c>
      <c r="J257" s="289">
        <v>50</v>
      </c>
      <c r="K257" s="289">
        <v>5</v>
      </c>
      <c r="L257" s="289">
        <v>1749</v>
      </c>
    </row>
    <row r="258" spans="1:12">
      <c r="A258" s="288" t="s">
        <v>1080</v>
      </c>
      <c r="B258" s="288" t="s">
        <v>1076</v>
      </c>
      <c r="C258" s="288" t="s">
        <v>814</v>
      </c>
      <c r="D258" s="288" t="s">
        <v>815</v>
      </c>
      <c r="E258" s="289">
        <v>10</v>
      </c>
      <c r="F258" s="290">
        <v>3</v>
      </c>
      <c r="G258" s="289">
        <v>900</v>
      </c>
      <c r="H258" s="289">
        <v>0</v>
      </c>
      <c r="I258" s="289">
        <v>90</v>
      </c>
      <c r="J258" s="289">
        <v>50</v>
      </c>
      <c r="K258" s="289">
        <v>5</v>
      </c>
      <c r="L258" s="289">
        <v>1045</v>
      </c>
    </row>
    <row r="259" spans="1:12">
      <c r="A259" s="288" t="s">
        <v>1081</v>
      </c>
      <c r="B259" s="288" t="s">
        <v>1076</v>
      </c>
      <c r="C259" s="288" t="s">
        <v>814</v>
      </c>
      <c r="D259" s="288" t="s">
        <v>815</v>
      </c>
      <c r="E259" s="289">
        <v>10</v>
      </c>
      <c r="F259" s="290">
        <v>21</v>
      </c>
      <c r="G259" s="289">
        <v>1100</v>
      </c>
      <c r="H259" s="289">
        <v>1210</v>
      </c>
      <c r="I259" s="289">
        <v>231</v>
      </c>
      <c r="J259" s="289">
        <v>50</v>
      </c>
      <c r="K259" s="289">
        <v>5</v>
      </c>
      <c r="L259" s="289">
        <v>2596</v>
      </c>
    </row>
    <row r="260" spans="1:12">
      <c r="A260" s="288" t="s">
        <v>1082</v>
      </c>
      <c r="B260" s="288" t="s">
        <v>1076</v>
      </c>
      <c r="C260" s="288" t="s">
        <v>814</v>
      </c>
      <c r="D260" s="288" t="s">
        <v>815</v>
      </c>
      <c r="E260" s="289">
        <v>10</v>
      </c>
      <c r="F260" s="290">
        <v>3</v>
      </c>
      <c r="G260" s="289">
        <v>900</v>
      </c>
      <c r="H260" s="289">
        <v>0</v>
      </c>
      <c r="I260" s="289">
        <v>90</v>
      </c>
      <c r="J260" s="289">
        <v>50</v>
      </c>
      <c r="K260" s="289">
        <v>5</v>
      </c>
      <c r="L260" s="289">
        <v>1045</v>
      </c>
    </row>
    <row r="261" spans="1:12">
      <c r="A261" s="288" t="s">
        <v>1083</v>
      </c>
      <c r="B261" s="288" t="s">
        <v>1076</v>
      </c>
      <c r="C261" s="288" t="s">
        <v>814</v>
      </c>
      <c r="D261" s="288" t="s">
        <v>815</v>
      </c>
      <c r="E261" s="289">
        <v>10</v>
      </c>
      <c r="F261" s="290">
        <v>9</v>
      </c>
      <c r="G261" s="289">
        <v>1100</v>
      </c>
      <c r="H261" s="289">
        <v>0</v>
      </c>
      <c r="I261" s="289">
        <v>110</v>
      </c>
      <c r="J261" s="289">
        <v>50</v>
      </c>
      <c r="K261" s="289">
        <v>5</v>
      </c>
      <c r="L261" s="289">
        <v>1265</v>
      </c>
    </row>
    <row r="262" spans="1:12">
      <c r="A262" s="288" t="s">
        <v>1084</v>
      </c>
      <c r="B262" s="288" t="s">
        <v>1076</v>
      </c>
      <c r="C262" s="288" t="s">
        <v>820</v>
      </c>
      <c r="D262" s="288" t="s">
        <v>818</v>
      </c>
      <c r="E262" s="289">
        <v>10</v>
      </c>
      <c r="F262" s="290">
        <v>5</v>
      </c>
      <c r="G262" s="289">
        <v>900</v>
      </c>
      <c r="H262" s="289">
        <v>0</v>
      </c>
      <c r="I262" s="289">
        <v>90</v>
      </c>
      <c r="J262" s="289">
        <v>70</v>
      </c>
      <c r="K262" s="289">
        <v>7</v>
      </c>
      <c r="L262" s="289">
        <v>1067</v>
      </c>
    </row>
    <row r="263" spans="1:12">
      <c r="A263" s="288" t="s">
        <v>1085</v>
      </c>
      <c r="B263" s="288" t="s">
        <v>1076</v>
      </c>
      <c r="C263" s="288" t="s">
        <v>814</v>
      </c>
      <c r="D263" s="288" t="s">
        <v>815</v>
      </c>
      <c r="E263" s="289">
        <v>10</v>
      </c>
      <c r="F263" s="290">
        <v>23</v>
      </c>
      <c r="G263" s="289">
        <v>1100</v>
      </c>
      <c r="H263" s="289">
        <v>1430</v>
      </c>
      <c r="I263" s="289">
        <v>253</v>
      </c>
      <c r="J263" s="289">
        <v>50</v>
      </c>
      <c r="K263" s="289">
        <v>5</v>
      </c>
      <c r="L263" s="289">
        <v>2838</v>
      </c>
    </row>
    <row r="264" spans="1:12">
      <c r="A264" s="288" t="s">
        <v>1086</v>
      </c>
      <c r="B264" s="288" t="s">
        <v>1076</v>
      </c>
      <c r="C264" s="288" t="s">
        <v>814</v>
      </c>
      <c r="D264" s="288" t="s">
        <v>818</v>
      </c>
      <c r="E264" s="289">
        <v>10</v>
      </c>
      <c r="F264" s="290">
        <v>21</v>
      </c>
      <c r="G264" s="289">
        <v>1100</v>
      </c>
      <c r="H264" s="289">
        <v>1210</v>
      </c>
      <c r="I264" s="289">
        <v>231</v>
      </c>
      <c r="J264" s="289">
        <v>70</v>
      </c>
      <c r="K264" s="289">
        <v>7</v>
      </c>
      <c r="L264" s="289">
        <v>2618</v>
      </c>
    </row>
    <row r="265" spans="1:12">
      <c r="A265" s="288" t="s">
        <v>1087</v>
      </c>
      <c r="B265" s="288" t="s">
        <v>1076</v>
      </c>
      <c r="C265" s="288" t="s">
        <v>814</v>
      </c>
      <c r="D265" s="288" t="s">
        <v>818</v>
      </c>
      <c r="E265" s="289">
        <v>10</v>
      </c>
      <c r="F265" s="290">
        <v>12</v>
      </c>
      <c r="G265" s="289">
        <v>1100</v>
      </c>
      <c r="H265" s="289">
        <v>220</v>
      </c>
      <c r="I265" s="289">
        <v>132</v>
      </c>
      <c r="J265" s="289">
        <v>70</v>
      </c>
      <c r="K265" s="289">
        <v>7</v>
      </c>
      <c r="L265" s="289">
        <v>1529</v>
      </c>
    </row>
    <row r="266" spans="1:12">
      <c r="A266" s="288" t="s">
        <v>1088</v>
      </c>
      <c r="B266" s="288" t="s">
        <v>1076</v>
      </c>
      <c r="C266" s="288" t="s">
        <v>814</v>
      </c>
      <c r="D266" s="288" t="s">
        <v>815</v>
      </c>
      <c r="E266" s="289">
        <v>10</v>
      </c>
      <c r="F266" s="290">
        <v>6</v>
      </c>
      <c r="G266" s="289">
        <v>1100</v>
      </c>
      <c r="H266" s="289">
        <v>0</v>
      </c>
      <c r="I266" s="289">
        <v>110</v>
      </c>
      <c r="J266" s="289">
        <v>50</v>
      </c>
      <c r="K266" s="289">
        <v>5</v>
      </c>
      <c r="L266" s="289">
        <v>1265</v>
      </c>
    </row>
    <row r="267" spans="1:12">
      <c r="A267" s="288" t="s">
        <v>1089</v>
      </c>
      <c r="B267" s="288" t="s">
        <v>1076</v>
      </c>
      <c r="C267" s="288" t="s">
        <v>820</v>
      </c>
      <c r="D267" s="288" t="s">
        <v>815</v>
      </c>
      <c r="E267" s="289">
        <v>10</v>
      </c>
      <c r="F267" s="290">
        <v>1</v>
      </c>
      <c r="G267" s="289">
        <v>900</v>
      </c>
      <c r="H267" s="289">
        <v>0</v>
      </c>
      <c r="I267" s="289">
        <v>90</v>
      </c>
      <c r="J267" s="289">
        <v>50</v>
      </c>
      <c r="K267" s="289">
        <v>5</v>
      </c>
      <c r="L267" s="289">
        <v>1045</v>
      </c>
    </row>
    <row r="268" spans="1:12">
      <c r="A268" s="288" t="s">
        <v>1090</v>
      </c>
      <c r="B268" s="288" t="s">
        <v>1076</v>
      </c>
      <c r="C268" s="288" t="s">
        <v>820</v>
      </c>
      <c r="D268" s="288" t="s">
        <v>815</v>
      </c>
      <c r="E268" s="289">
        <v>10</v>
      </c>
      <c r="F268" s="290">
        <v>0</v>
      </c>
      <c r="G268" s="289">
        <v>900</v>
      </c>
      <c r="H268" s="289">
        <v>0</v>
      </c>
      <c r="I268" s="289">
        <v>90</v>
      </c>
      <c r="J268" s="289">
        <v>50</v>
      </c>
      <c r="K268" s="289">
        <v>5</v>
      </c>
      <c r="L268" s="289">
        <v>1045</v>
      </c>
    </row>
    <row r="269" spans="1:12">
      <c r="A269" s="288" t="s">
        <v>1091</v>
      </c>
      <c r="B269" s="288" t="s">
        <v>1076</v>
      </c>
      <c r="C269" s="288" t="s">
        <v>814</v>
      </c>
      <c r="D269" s="288" t="s">
        <v>815</v>
      </c>
      <c r="E269" s="289">
        <v>10</v>
      </c>
      <c r="F269" s="290">
        <v>4</v>
      </c>
      <c r="G269" s="289">
        <v>900</v>
      </c>
      <c r="H269" s="289">
        <v>0</v>
      </c>
      <c r="I269" s="289">
        <v>90</v>
      </c>
      <c r="J269" s="289">
        <v>50</v>
      </c>
      <c r="K269" s="289">
        <v>5</v>
      </c>
      <c r="L269" s="289">
        <v>1045</v>
      </c>
    </row>
    <row r="270" spans="1:12">
      <c r="A270" s="288" t="s">
        <v>1092</v>
      </c>
      <c r="B270" s="288" t="s">
        <v>1076</v>
      </c>
      <c r="C270" s="288" t="s">
        <v>814</v>
      </c>
      <c r="D270" s="288" t="s">
        <v>815</v>
      </c>
      <c r="E270" s="289">
        <v>10</v>
      </c>
      <c r="F270" s="290">
        <v>7</v>
      </c>
      <c r="G270" s="289">
        <v>1100</v>
      </c>
      <c r="H270" s="289">
        <v>0</v>
      </c>
      <c r="I270" s="289">
        <v>110</v>
      </c>
      <c r="J270" s="289">
        <v>50</v>
      </c>
      <c r="K270" s="289">
        <v>5</v>
      </c>
      <c r="L270" s="289">
        <v>1265</v>
      </c>
    </row>
    <row r="271" spans="1:12">
      <c r="A271" s="288" t="s">
        <v>1093</v>
      </c>
      <c r="B271" s="288" t="s">
        <v>1076</v>
      </c>
      <c r="C271" s="288" t="s">
        <v>814</v>
      </c>
      <c r="D271" s="288" t="s">
        <v>815</v>
      </c>
      <c r="E271" s="289">
        <v>10</v>
      </c>
      <c r="F271" s="290">
        <v>19</v>
      </c>
      <c r="G271" s="289">
        <v>1100</v>
      </c>
      <c r="H271" s="289">
        <v>990</v>
      </c>
      <c r="I271" s="289">
        <v>209</v>
      </c>
      <c r="J271" s="289">
        <v>50</v>
      </c>
      <c r="K271" s="289">
        <v>5</v>
      </c>
      <c r="L271" s="289">
        <v>2354</v>
      </c>
    </row>
    <row r="272" spans="1:12">
      <c r="A272" s="288" t="s">
        <v>1094</v>
      </c>
      <c r="B272" s="288" t="s">
        <v>1076</v>
      </c>
      <c r="C272" s="288" t="s">
        <v>1095</v>
      </c>
      <c r="D272" s="288" t="s">
        <v>818</v>
      </c>
      <c r="E272" s="289">
        <v>10</v>
      </c>
      <c r="F272" s="290">
        <v>2</v>
      </c>
      <c r="G272" s="289">
        <v>900</v>
      </c>
      <c r="H272" s="289">
        <v>0</v>
      </c>
      <c r="I272" s="289">
        <v>90</v>
      </c>
      <c r="J272" s="289">
        <v>70</v>
      </c>
      <c r="K272" s="289">
        <v>7</v>
      </c>
      <c r="L272" s="289">
        <v>1067</v>
      </c>
    </row>
    <row r="273" spans="1:12">
      <c r="A273" s="288" t="s">
        <v>1096</v>
      </c>
      <c r="B273" s="288" t="s">
        <v>1076</v>
      </c>
      <c r="C273" s="288" t="s">
        <v>814</v>
      </c>
      <c r="D273" s="288" t="s">
        <v>815</v>
      </c>
      <c r="E273" s="289">
        <v>10</v>
      </c>
      <c r="F273" s="290">
        <v>26</v>
      </c>
      <c r="G273" s="289">
        <v>1100</v>
      </c>
      <c r="H273" s="289">
        <v>1760</v>
      </c>
      <c r="I273" s="289">
        <v>286</v>
      </c>
      <c r="J273" s="289">
        <v>50</v>
      </c>
      <c r="K273" s="289">
        <v>5</v>
      </c>
      <c r="L273" s="289">
        <v>3201</v>
      </c>
    </row>
    <row r="274" spans="1:12">
      <c r="A274" s="288" t="s">
        <v>1097</v>
      </c>
      <c r="B274" s="288" t="s">
        <v>1076</v>
      </c>
      <c r="C274" s="288" t="s">
        <v>814</v>
      </c>
      <c r="D274" s="288" t="s">
        <v>818</v>
      </c>
      <c r="E274" s="289">
        <v>10</v>
      </c>
      <c r="F274" s="290">
        <v>24</v>
      </c>
      <c r="G274" s="289">
        <v>1100</v>
      </c>
      <c r="H274" s="289">
        <v>1540</v>
      </c>
      <c r="I274" s="289">
        <v>264</v>
      </c>
      <c r="J274" s="289">
        <v>70</v>
      </c>
      <c r="K274" s="289">
        <v>7</v>
      </c>
      <c r="L274" s="289">
        <v>2981</v>
      </c>
    </row>
    <row r="275" spans="1:12">
      <c r="A275" s="288" t="s">
        <v>1098</v>
      </c>
      <c r="B275" s="288" t="s">
        <v>1076</v>
      </c>
      <c r="C275" s="288" t="s">
        <v>814</v>
      </c>
      <c r="D275" s="288" t="s">
        <v>815</v>
      </c>
      <c r="E275" s="289">
        <v>10</v>
      </c>
      <c r="F275" s="290">
        <v>21</v>
      </c>
      <c r="G275" s="289">
        <v>1100</v>
      </c>
      <c r="H275" s="289">
        <v>1210</v>
      </c>
      <c r="I275" s="289">
        <v>231</v>
      </c>
      <c r="J275" s="289">
        <v>50</v>
      </c>
      <c r="K275" s="289">
        <v>5</v>
      </c>
      <c r="L275" s="289">
        <v>2596</v>
      </c>
    </row>
    <row r="276" spans="1:12">
      <c r="A276" s="288" t="s">
        <v>1099</v>
      </c>
      <c r="B276" s="288" t="s">
        <v>1076</v>
      </c>
      <c r="C276" s="288" t="s">
        <v>814</v>
      </c>
      <c r="D276" s="288" t="s">
        <v>815</v>
      </c>
      <c r="E276" s="289">
        <v>10</v>
      </c>
      <c r="F276" s="290">
        <v>0</v>
      </c>
      <c r="G276" s="289">
        <v>900</v>
      </c>
      <c r="H276" s="289">
        <v>0</v>
      </c>
      <c r="I276" s="289">
        <v>90</v>
      </c>
      <c r="J276" s="289">
        <v>50</v>
      </c>
      <c r="K276" s="289">
        <v>5</v>
      </c>
      <c r="L276" s="289">
        <v>1045</v>
      </c>
    </row>
    <row r="277" spans="1:12">
      <c r="A277" s="288" t="s">
        <v>1100</v>
      </c>
      <c r="B277" s="288" t="s">
        <v>1076</v>
      </c>
      <c r="C277" s="288" t="s">
        <v>814</v>
      </c>
      <c r="D277" s="288" t="s">
        <v>815</v>
      </c>
      <c r="E277" s="289">
        <v>10</v>
      </c>
      <c r="F277" s="290">
        <v>12</v>
      </c>
      <c r="G277" s="289">
        <v>1100</v>
      </c>
      <c r="H277" s="289">
        <v>220</v>
      </c>
      <c r="I277" s="289">
        <v>132</v>
      </c>
      <c r="J277" s="289">
        <v>50</v>
      </c>
      <c r="K277" s="289">
        <v>5</v>
      </c>
      <c r="L277" s="289">
        <v>1507</v>
      </c>
    </row>
    <row r="278" spans="1:12">
      <c r="A278" s="288" t="s">
        <v>1101</v>
      </c>
      <c r="B278" s="288" t="s">
        <v>1076</v>
      </c>
      <c r="C278" s="288" t="s">
        <v>814</v>
      </c>
      <c r="D278" s="288" t="s">
        <v>818</v>
      </c>
      <c r="E278" s="289">
        <v>10</v>
      </c>
      <c r="F278" s="290">
        <v>2</v>
      </c>
      <c r="G278" s="289">
        <v>900</v>
      </c>
      <c r="H278" s="289">
        <v>0</v>
      </c>
      <c r="I278" s="289">
        <v>90</v>
      </c>
      <c r="J278" s="289">
        <v>70</v>
      </c>
      <c r="K278" s="289">
        <v>7</v>
      </c>
      <c r="L278" s="289">
        <v>1067</v>
      </c>
    </row>
    <row r="279" spans="1:12">
      <c r="A279" s="288" t="s">
        <v>1102</v>
      </c>
      <c r="B279" s="288" t="s">
        <v>1076</v>
      </c>
      <c r="C279" s="288" t="s">
        <v>814</v>
      </c>
      <c r="D279" s="288" t="s">
        <v>818</v>
      </c>
      <c r="E279" s="289">
        <v>10</v>
      </c>
      <c r="F279" s="290">
        <v>12</v>
      </c>
      <c r="G279" s="289">
        <v>1100</v>
      </c>
      <c r="H279" s="289">
        <v>220</v>
      </c>
      <c r="I279" s="289">
        <v>132</v>
      </c>
      <c r="J279" s="289">
        <v>70</v>
      </c>
      <c r="K279" s="289">
        <v>7</v>
      </c>
      <c r="L279" s="289">
        <v>1529</v>
      </c>
    </row>
    <row r="280" spans="1:12">
      <c r="A280" s="288" t="s">
        <v>1103</v>
      </c>
      <c r="B280" s="288" t="s">
        <v>1076</v>
      </c>
      <c r="C280" s="288" t="s">
        <v>814</v>
      </c>
      <c r="D280" s="288" t="s">
        <v>815</v>
      </c>
      <c r="E280" s="289">
        <v>10</v>
      </c>
      <c r="F280" s="290">
        <v>22</v>
      </c>
      <c r="G280" s="289">
        <v>1100</v>
      </c>
      <c r="H280" s="289">
        <v>1320</v>
      </c>
      <c r="I280" s="289">
        <v>242</v>
      </c>
      <c r="J280" s="289">
        <v>50</v>
      </c>
      <c r="K280" s="289">
        <v>5</v>
      </c>
      <c r="L280" s="289">
        <v>2717</v>
      </c>
    </row>
    <row r="281" spans="1:12">
      <c r="A281" s="288" t="s">
        <v>1104</v>
      </c>
      <c r="B281" s="288" t="s">
        <v>1076</v>
      </c>
      <c r="C281" s="288" t="s">
        <v>814</v>
      </c>
      <c r="D281" s="288" t="s">
        <v>815</v>
      </c>
      <c r="E281" s="289">
        <v>10</v>
      </c>
      <c r="F281" s="290">
        <v>40</v>
      </c>
      <c r="G281" s="289">
        <v>1100</v>
      </c>
      <c r="H281" s="289">
        <v>3300</v>
      </c>
      <c r="I281" s="289">
        <v>440</v>
      </c>
      <c r="J281" s="289">
        <v>50</v>
      </c>
      <c r="K281" s="289">
        <v>5</v>
      </c>
      <c r="L281" s="289">
        <v>4895</v>
      </c>
    </row>
    <row r="282" spans="1:12">
      <c r="A282" s="288" t="s">
        <v>1105</v>
      </c>
      <c r="B282" s="288" t="s">
        <v>1076</v>
      </c>
      <c r="C282" s="288" t="s">
        <v>814</v>
      </c>
      <c r="D282" s="288" t="s">
        <v>815</v>
      </c>
      <c r="E282" s="289">
        <v>10</v>
      </c>
      <c r="F282" s="290">
        <v>0</v>
      </c>
      <c r="G282" s="289">
        <v>900</v>
      </c>
      <c r="H282" s="289">
        <v>0</v>
      </c>
      <c r="I282" s="289">
        <v>90</v>
      </c>
      <c r="J282" s="289">
        <v>50</v>
      </c>
      <c r="K282" s="289">
        <v>5</v>
      </c>
      <c r="L282" s="289">
        <v>1045</v>
      </c>
    </row>
    <row r="283" spans="1:12">
      <c r="A283" s="288" t="s">
        <v>1106</v>
      </c>
      <c r="B283" s="288" t="s">
        <v>1076</v>
      </c>
      <c r="C283" s="288" t="s">
        <v>829</v>
      </c>
      <c r="D283" s="288" t="s">
        <v>826</v>
      </c>
      <c r="E283" s="289">
        <v>10</v>
      </c>
      <c r="F283" s="290">
        <v>137</v>
      </c>
      <c r="G283" s="289">
        <v>1100</v>
      </c>
      <c r="H283" s="289">
        <v>13600</v>
      </c>
      <c r="I283" s="289">
        <v>1470</v>
      </c>
      <c r="J283" s="289">
        <v>100</v>
      </c>
      <c r="K283" s="289">
        <v>10</v>
      </c>
      <c r="L283" s="289">
        <v>16280</v>
      </c>
    </row>
    <row r="284" spans="1:12">
      <c r="A284" s="288" t="s">
        <v>1107</v>
      </c>
      <c r="B284" s="288" t="s">
        <v>1076</v>
      </c>
      <c r="C284" s="288" t="s">
        <v>829</v>
      </c>
      <c r="D284" s="288" t="s">
        <v>826</v>
      </c>
      <c r="E284" s="289">
        <v>10</v>
      </c>
      <c r="F284" s="290">
        <v>191</v>
      </c>
      <c r="G284" s="289">
        <v>1100</v>
      </c>
      <c r="H284" s="289">
        <v>19000</v>
      </c>
      <c r="I284" s="289">
        <v>2010</v>
      </c>
      <c r="J284" s="289">
        <v>100</v>
      </c>
      <c r="K284" s="289">
        <v>10</v>
      </c>
      <c r="L284" s="289">
        <v>22220</v>
      </c>
    </row>
    <row r="285" spans="1:12">
      <c r="A285" s="288" t="s">
        <v>1108</v>
      </c>
      <c r="B285" s="288" t="s">
        <v>1076</v>
      </c>
      <c r="C285" s="288" t="s">
        <v>829</v>
      </c>
      <c r="D285" s="288" t="s">
        <v>826</v>
      </c>
      <c r="E285" s="289">
        <v>10</v>
      </c>
      <c r="F285" s="290">
        <v>337</v>
      </c>
      <c r="G285" s="289">
        <v>1100</v>
      </c>
      <c r="H285" s="289">
        <v>33600</v>
      </c>
      <c r="I285" s="289">
        <v>3470</v>
      </c>
      <c r="J285" s="289">
        <v>100</v>
      </c>
      <c r="K285" s="289">
        <v>10</v>
      </c>
      <c r="L285" s="289">
        <v>38280</v>
      </c>
    </row>
    <row r="286" spans="1:12">
      <c r="A286" s="288" t="s">
        <v>1109</v>
      </c>
      <c r="B286" s="288" t="s">
        <v>1076</v>
      </c>
      <c r="C286" s="288" t="s">
        <v>820</v>
      </c>
      <c r="D286" s="288" t="s">
        <v>815</v>
      </c>
      <c r="E286" s="289">
        <v>10</v>
      </c>
      <c r="F286" s="290">
        <v>0</v>
      </c>
      <c r="G286" s="289">
        <v>900</v>
      </c>
      <c r="H286" s="289">
        <v>0</v>
      </c>
      <c r="I286" s="289">
        <v>90</v>
      </c>
      <c r="J286" s="289">
        <v>50</v>
      </c>
      <c r="K286" s="289">
        <v>5</v>
      </c>
      <c r="L286" s="289">
        <v>1045</v>
      </c>
    </row>
    <row r="287" spans="1:12">
      <c r="A287" s="288" t="s">
        <v>1110</v>
      </c>
      <c r="B287" s="288" t="s">
        <v>1076</v>
      </c>
      <c r="C287" s="288" t="s">
        <v>820</v>
      </c>
      <c r="D287" s="288" t="s">
        <v>815</v>
      </c>
      <c r="E287" s="289">
        <v>10</v>
      </c>
      <c r="F287" s="290">
        <v>0</v>
      </c>
      <c r="G287" s="289">
        <v>900</v>
      </c>
      <c r="H287" s="289">
        <v>0</v>
      </c>
      <c r="I287" s="289">
        <v>90</v>
      </c>
      <c r="J287" s="289">
        <v>50</v>
      </c>
      <c r="K287" s="289">
        <v>5</v>
      </c>
      <c r="L287" s="289">
        <v>1045</v>
      </c>
    </row>
    <row r="288" spans="1:12">
      <c r="A288" s="288" t="s">
        <v>1111</v>
      </c>
      <c r="B288" s="288" t="s">
        <v>1076</v>
      </c>
      <c r="C288" s="288" t="s">
        <v>820</v>
      </c>
      <c r="D288" s="288" t="s">
        <v>815</v>
      </c>
      <c r="E288" s="289">
        <v>10</v>
      </c>
      <c r="F288" s="290">
        <v>0</v>
      </c>
      <c r="G288" s="289">
        <v>900</v>
      </c>
      <c r="H288" s="289">
        <v>0</v>
      </c>
      <c r="I288" s="289">
        <v>90</v>
      </c>
      <c r="J288" s="289">
        <v>50</v>
      </c>
      <c r="K288" s="289">
        <v>5</v>
      </c>
      <c r="L288" s="289">
        <v>1045</v>
      </c>
    </row>
    <row r="289" spans="1:12">
      <c r="A289" s="288" t="s">
        <v>1112</v>
      </c>
      <c r="B289" s="288" t="s">
        <v>1076</v>
      </c>
      <c r="C289" s="288" t="s">
        <v>820</v>
      </c>
      <c r="D289" s="288" t="s">
        <v>815</v>
      </c>
      <c r="E289" s="289">
        <v>10</v>
      </c>
      <c r="F289" s="290">
        <v>0</v>
      </c>
      <c r="G289" s="289">
        <v>900</v>
      </c>
      <c r="H289" s="289">
        <v>0</v>
      </c>
      <c r="I289" s="289">
        <v>90</v>
      </c>
      <c r="J289" s="289">
        <v>50</v>
      </c>
      <c r="K289" s="289">
        <v>5</v>
      </c>
      <c r="L289" s="289">
        <v>1045</v>
      </c>
    </row>
    <row r="290" spans="1:12">
      <c r="A290" s="288" t="s">
        <v>1113</v>
      </c>
      <c r="B290" s="288" t="s">
        <v>1076</v>
      </c>
      <c r="C290" s="288" t="s">
        <v>820</v>
      </c>
      <c r="D290" s="288" t="s">
        <v>815</v>
      </c>
      <c r="E290" s="289">
        <v>10</v>
      </c>
      <c r="F290" s="290">
        <v>0</v>
      </c>
      <c r="G290" s="289">
        <v>900</v>
      </c>
      <c r="H290" s="289">
        <v>0</v>
      </c>
      <c r="I290" s="289">
        <v>90</v>
      </c>
      <c r="J290" s="289">
        <v>50</v>
      </c>
      <c r="K290" s="289">
        <v>5</v>
      </c>
      <c r="L290" s="289">
        <v>1045</v>
      </c>
    </row>
    <row r="291" spans="1:12">
      <c r="A291" s="288" t="s">
        <v>1114</v>
      </c>
      <c r="B291" s="288" t="s">
        <v>1076</v>
      </c>
      <c r="C291" s="288" t="s">
        <v>820</v>
      </c>
      <c r="D291" s="288" t="s">
        <v>815</v>
      </c>
      <c r="E291" s="289">
        <v>10</v>
      </c>
      <c r="F291" s="290">
        <v>0</v>
      </c>
      <c r="G291" s="289">
        <v>900</v>
      </c>
      <c r="H291" s="289">
        <v>0</v>
      </c>
      <c r="I291" s="289">
        <v>90</v>
      </c>
      <c r="J291" s="289">
        <v>50</v>
      </c>
      <c r="K291" s="289">
        <v>5</v>
      </c>
      <c r="L291" s="289">
        <v>1045</v>
      </c>
    </row>
    <row r="292" spans="1:12">
      <c r="A292" s="288" t="s">
        <v>1115</v>
      </c>
      <c r="B292" s="288" t="s">
        <v>1076</v>
      </c>
      <c r="C292" s="288" t="s">
        <v>820</v>
      </c>
      <c r="D292" s="288" t="s">
        <v>815</v>
      </c>
      <c r="E292" s="289">
        <v>10</v>
      </c>
      <c r="F292" s="290">
        <v>6</v>
      </c>
      <c r="G292" s="289">
        <v>1100</v>
      </c>
      <c r="H292" s="289">
        <v>0</v>
      </c>
      <c r="I292" s="289">
        <v>110</v>
      </c>
      <c r="J292" s="289">
        <v>50</v>
      </c>
      <c r="K292" s="289">
        <v>5</v>
      </c>
      <c r="L292" s="289">
        <v>1265</v>
      </c>
    </row>
    <row r="293" spans="1:12">
      <c r="A293" s="288" t="s">
        <v>1116</v>
      </c>
      <c r="B293" s="288" t="s">
        <v>1076</v>
      </c>
      <c r="C293" s="288" t="s">
        <v>820</v>
      </c>
      <c r="D293" s="288" t="s">
        <v>815</v>
      </c>
      <c r="E293" s="289">
        <v>10</v>
      </c>
      <c r="F293" s="290">
        <v>1</v>
      </c>
      <c r="G293" s="289">
        <v>900</v>
      </c>
      <c r="H293" s="289">
        <v>0</v>
      </c>
      <c r="I293" s="289">
        <v>90</v>
      </c>
      <c r="J293" s="289">
        <v>50</v>
      </c>
      <c r="K293" s="289">
        <v>5</v>
      </c>
      <c r="L293" s="289">
        <v>1045</v>
      </c>
    </row>
    <row r="294" spans="1:12">
      <c r="A294" s="288" t="s">
        <v>1117</v>
      </c>
      <c r="B294" s="288" t="s">
        <v>1076</v>
      </c>
      <c r="C294" s="288" t="s">
        <v>820</v>
      </c>
      <c r="D294" s="288" t="s">
        <v>815</v>
      </c>
      <c r="E294" s="289">
        <v>10</v>
      </c>
      <c r="F294" s="290">
        <v>0</v>
      </c>
      <c r="G294" s="289">
        <v>900</v>
      </c>
      <c r="H294" s="289">
        <v>0</v>
      </c>
      <c r="I294" s="289">
        <v>90</v>
      </c>
      <c r="J294" s="289">
        <v>50</v>
      </c>
      <c r="K294" s="289">
        <v>5</v>
      </c>
      <c r="L294" s="289">
        <v>1045</v>
      </c>
    </row>
    <row r="295" spans="1:12">
      <c r="A295" s="288" t="s">
        <v>1118</v>
      </c>
      <c r="B295" s="288" t="s">
        <v>1076</v>
      </c>
      <c r="C295" s="288" t="s">
        <v>820</v>
      </c>
      <c r="D295" s="288" t="s">
        <v>815</v>
      </c>
      <c r="E295" s="289">
        <v>10</v>
      </c>
      <c r="F295" s="290">
        <v>1</v>
      </c>
      <c r="G295" s="289">
        <v>900</v>
      </c>
      <c r="H295" s="289">
        <v>0</v>
      </c>
      <c r="I295" s="289">
        <v>90</v>
      </c>
      <c r="J295" s="289">
        <v>50</v>
      </c>
      <c r="K295" s="289">
        <v>5</v>
      </c>
      <c r="L295" s="289">
        <v>1045</v>
      </c>
    </row>
    <row r="296" spans="1:12">
      <c r="A296" s="288" t="s">
        <v>1119</v>
      </c>
      <c r="B296" s="288" t="s">
        <v>1076</v>
      </c>
      <c r="C296" s="288" t="s">
        <v>820</v>
      </c>
      <c r="D296" s="288" t="s">
        <v>815</v>
      </c>
      <c r="E296" s="289">
        <v>10</v>
      </c>
      <c r="F296" s="290">
        <v>1</v>
      </c>
      <c r="G296" s="289">
        <v>900</v>
      </c>
      <c r="H296" s="289">
        <v>0</v>
      </c>
      <c r="I296" s="289">
        <v>90</v>
      </c>
      <c r="J296" s="289">
        <v>50</v>
      </c>
      <c r="K296" s="289">
        <v>5</v>
      </c>
      <c r="L296" s="289">
        <v>1045</v>
      </c>
    </row>
    <row r="297" spans="1:12">
      <c r="A297" s="288" t="s">
        <v>1120</v>
      </c>
      <c r="B297" s="288" t="s">
        <v>1076</v>
      </c>
      <c r="C297" s="288" t="s">
        <v>820</v>
      </c>
      <c r="D297" s="288" t="s">
        <v>818</v>
      </c>
      <c r="E297" s="289">
        <v>10</v>
      </c>
      <c r="F297" s="290">
        <v>31</v>
      </c>
      <c r="G297" s="289">
        <v>1100</v>
      </c>
      <c r="H297" s="289">
        <v>2310</v>
      </c>
      <c r="I297" s="289">
        <v>341</v>
      </c>
      <c r="J297" s="289">
        <v>70</v>
      </c>
      <c r="K297" s="289">
        <v>7</v>
      </c>
      <c r="L297" s="289">
        <v>3828</v>
      </c>
    </row>
    <row r="298" spans="1:12">
      <c r="A298" s="288" t="s">
        <v>1121</v>
      </c>
      <c r="B298" s="288" t="s">
        <v>1076</v>
      </c>
      <c r="C298" s="288" t="s">
        <v>814</v>
      </c>
      <c r="D298" s="288" t="s">
        <v>818</v>
      </c>
      <c r="E298" s="289">
        <v>10</v>
      </c>
      <c r="F298" s="290">
        <v>6</v>
      </c>
      <c r="G298" s="289">
        <v>1100</v>
      </c>
      <c r="H298" s="289">
        <v>0</v>
      </c>
      <c r="I298" s="289">
        <v>110</v>
      </c>
      <c r="J298" s="289">
        <v>70</v>
      </c>
      <c r="K298" s="289">
        <v>7</v>
      </c>
      <c r="L298" s="289">
        <v>1287</v>
      </c>
    </row>
    <row r="299" spans="1:12">
      <c r="A299" s="288" t="s">
        <v>1122</v>
      </c>
      <c r="B299" s="288" t="s">
        <v>1076</v>
      </c>
      <c r="C299" s="288" t="s">
        <v>814</v>
      </c>
      <c r="D299" s="288" t="s">
        <v>818</v>
      </c>
      <c r="E299" s="289">
        <v>10</v>
      </c>
      <c r="F299" s="290">
        <v>21</v>
      </c>
      <c r="G299" s="289">
        <v>1100</v>
      </c>
      <c r="H299" s="289">
        <v>1210</v>
      </c>
      <c r="I299" s="289">
        <v>231</v>
      </c>
      <c r="J299" s="289">
        <v>70</v>
      </c>
      <c r="K299" s="289">
        <v>7</v>
      </c>
      <c r="L299" s="289">
        <v>2618</v>
      </c>
    </row>
    <row r="300" spans="1:12">
      <c r="A300" s="288" t="s">
        <v>1123</v>
      </c>
      <c r="B300" s="288" t="s">
        <v>1076</v>
      </c>
      <c r="C300" s="288" t="s">
        <v>814</v>
      </c>
      <c r="D300" s="288" t="s">
        <v>818</v>
      </c>
      <c r="E300" s="289">
        <v>10</v>
      </c>
      <c r="F300" s="290">
        <v>22</v>
      </c>
      <c r="G300" s="289">
        <v>1100</v>
      </c>
      <c r="H300" s="289">
        <v>1320</v>
      </c>
      <c r="I300" s="289">
        <v>242</v>
      </c>
      <c r="J300" s="289">
        <v>70</v>
      </c>
      <c r="K300" s="289">
        <v>7</v>
      </c>
      <c r="L300" s="289">
        <v>2739</v>
      </c>
    </row>
    <row r="301" spans="1:12">
      <c r="A301" s="288" t="s">
        <v>1124</v>
      </c>
      <c r="B301" s="288" t="s">
        <v>1076</v>
      </c>
      <c r="C301" s="288" t="s">
        <v>814</v>
      </c>
      <c r="D301" s="288" t="s">
        <v>818</v>
      </c>
      <c r="E301" s="289">
        <v>10</v>
      </c>
      <c r="F301" s="290">
        <v>13</v>
      </c>
      <c r="G301" s="289">
        <v>1100</v>
      </c>
      <c r="H301" s="289">
        <v>330</v>
      </c>
      <c r="I301" s="289">
        <v>143</v>
      </c>
      <c r="J301" s="289">
        <v>70</v>
      </c>
      <c r="K301" s="289">
        <v>7</v>
      </c>
      <c r="L301" s="289">
        <v>1650</v>
      </c>
    </row>
    <row r="302" spans="1:12">
      <c r="A302" s="288" t="s">
        <v>1125</v>
      </c>
      <c r="B302" s="288" t="s">
        <v>1076</v>
      </c>
      <c r="C302" s="288" t="s">
        <v>814</v>
      </c>
      <c r="D302" s="288" t="s">
        <v>818</v>
      </c>
      <c r="E302" s="289">
        <v>10</v>
      </c>
      <c r="F302" s="290">
        <v>10</v>
      </c>
      <c r="G302" s="289">
        <v>1100</v>
      </c>
      <c r="H302" s="289">
        <v>0</v>
      </c>
      <c r="I302" s="289">
        <v>110</v>
      </c>
      <c r="J302" s="289">
        <v>70</v>
      </c>
      <c r="K302" s="289">
        <v>7</v>
      </c>
      <c r="L302" s="289">
        <v>1287</v>
      </c>
    </row>
    <row r="303" spans="1:12">
      <c r="A303" s="288" t="s">
        <v>1126</v>
      </c>
      <c r="B303" s="288" t="s">
        <v>1076</v>
      </c>
      <c r="C303" s="288" t="s">
        <v>814</v>
      </c>
      <c r="D303" s="288" t="s">
        <v>818</v>
      </c>
      <c r="E303" s="289">
        <v>10</v>
      </c>
      <c r="F303" s="290">
        <v>4</v>
      </c>
      <c r="G303" s="289">
        <v>900</v>
      </c>
      <c r="H303" s="289">
        <v>0</v>
      </c>
      <c r="I303" s="289">
        <v>90</v>
      </c>
      <c r="J303" s="289">
        <v>70</v>
      </c>
      <c r="K303" s="289">
        <v>7</v>
      </c>
      <c r="L303" s="289">
        <v>1067</v>
      </c>
    </row>
    <row r="304" spans="1:12">
      <c r="A304" s="288" t="s">
        <v>1127</v>
      </c>
      <c r="B304" s="288" t="s">
        <v>1076</v>
      </c>
      <c r="C304" s="288" t="s">
        <v>814</v>
      </c>
      <c r="D304" s="288" t="s">
        <v>818</v>
      </c>
      <c r="E304" s="289">
        <v>10</v>
      </c>
      <c r="F304" s="290">
        <v>36</v>
      </c>
      <c r="G304" s="289">
        <v>1100</v>
      </c>
      <c r="H304" s="289">
        <v>2860</v>
      </c>
      <c r="I304" s="289">
        <v>396</v>
      </c>
      <c r="J304" s="289">
        <v>70</v>
      </c>
      <c r="K304" s="289">
        <v>7</v>
      </c>
      <c r="L304" s="289">
        <v>4433</v>
      </c>
    </row>
    <row r="305" spans="1:12">
      <c r="A305" s="288" t="s">
        <v>1128</v>
      </c>
      <c r="B305" s="288" t="s">
        <v>1076</v>
      </c>
      <c r="C305" s="288" t="s">
        <v>814</v>
      </c>
      <c r="D305" s="288" t="s">
        <v>818</v>
      </c>
      <c r="E305" s="289">
        <v>10</v>
      </c>
      <c r="F305" s="290">
        <v>28</v>
      </c>
      <c r="G305" s="289">
        <v>1100</v>
      </c>
      <c r="H305" s="289">
        <v>1980</v>
      </c>
      <c r="I305" s="289">
        <v>308</v>
      </c>
      <c r="J305" s="289">
        <v>70</v>
      </c>
      <c r="K305" s="289">
        <v>7</v>
      </c>
      <c r="L305" s="289">
        <v>3465</v>
      </c>
    </row>
    <row r="306" spans="1:12">
      <c r="A306" s="288" t="s">
        <v>1129</v>
      </c>
      <c r="B306" s="288" t="s">
        <v>1076</v>
      </c>
      <c r="C306" s="288" t="s">
        <v>820</v>
      </c>
      <c r="D306" s="288" t="s">
        <v>815</v>
      </c>
      <c r="E306" s="289">
        <v>10</v>
      </c>
      <c r="F306" s="290">
        <v>0</v>
      </c>
      <c r="G306" s="289">
        <v>900</v>
      </c>
      <c r="H306" s="289">
        <v>0</v>
      </c>
      <c r="I306" s="289">
        <v>90</v>
      </c>
      <c r="J306" s="289">
        <v>50</v>
      </c>
      <c r="K306" s="289">
        <v>5</v>
      </c>
      <c r="L306" s="289">
        <v>1045</v>
      </c>
    </row>
    <row r="307" spans="1:12">
      <c r="A307" s="288" t="s">
        <v>1130</v>
      </c>
      <c r="B307" s="288" t="s">
        <v>1076</v>
      </c>
      <c r="C307" s="288" t="s">
        <v>814</v>
      </c>
      <c r="D307" s="288" t="s">
        <v>815</v>
      </c>
      <c r="E307" s="289">
        <v>10</v>
      </c>
      <c r="F307" s="290">
        <v>12</v>
      </c>
      <c r="G307" s="289">
        <v>1100</v>
      </c>
      <c r="H307" s="289">
        <v>220</v>
      </c>
      <c r="I307" s="289">
        <v>132</v>
      </c>
      <c r="J307" s="289">
        <v>50</v>
      </c>
      <c r="K307" s="289">
        <v>5</v>
      </c>
      <c r="L307" s="289">
        <v>1507</v>
      </c>
    </row>
    <row r="308" spans="1:12">
      <c r="A308" s="288" t="s">
        <v>1131</v>
      </c>
      <c r="B308" s="288" t="s">
        <v>1076</v>
      </c>
      <c r="C308" s="288" t="s">
        <v>820</v>
      </c>
      <c r="D308" s="288" t="s">
        <v>818</v>
      </c>
      <c r="E308" s="289">
        <v>10</v>
      </c>
      <c r="F308" s="290">
        <v>15</v>
      </c>
      <c r="G308" s="289">
        <v>1100</v>
      </c>
      <c r="H308" s="289">
        <v>550</v>
      </c>
      <c r="I308" s="289">
        <v>165</v>
      </c>
      <c r="J308" s="289">
        <v>70</v>
      </c>
      <c r="K308" s="289">
        <v>7</v>
      </c>
      <c r="L308" s="289">
        <v>1892</v>
      </c>
    </row>
    <row r="309" spans="1:12">
      <c r="A309" s="288" t="s">
        <v>1132</v>
      </c>
      <c r="B309" s="288" t="s">
        <v>1076</v>
      </c>
      <c r="C309" s="288" t="s">
        <v>820</v>
      </c>
      <c r="D309" s="288" t="s">
        <v>815</v>
      </c>
      <c r="E309" s="289">
        <v>10</v>
      </c>
      <c r="F309" s="290">
        <v>1</v>
      </c>
      <c r="G309" s="289">
        <v>900</v>
      </c>
      <c r="H309" s="289">
        <v>0</v>
      </c>
      <c r="I309" s="289">
        <v>90</v>
      </c>
      <c r="J309" s="289">
        <v>50</v>
      </c>
      <c r="K309" s="289">
        <v>5</v>
      </c>
      <c r="L309" s="289">
        <v>1045</v>
      </c>
    </row>
    <row r="310" spans="1:12">
      <c r="A310" s="288" t="s">
        <v>1133</v>
      </c>
      <c r="B310" s="288" t="s">
        <v>1076</v>
      </c>
      <c r="C310" s="288" t="s">
        <v>814</v>
      </c>
      <c r="D310" s="288" t="s">
        <v>818</v>
      </c>
      <c r="E310" s="289">
        <v>10</v>
      </c>
      <c r="F310" s="290">
        <v>11</v>
      </c>
      <c r="G310" s="289">
        <v>1100</v>
      </c>
      <c r="H310" s="289">
        <v>110</v>
      </c>
      <c r="I310" s="289">
        <v>121</v>
      </c>
      <c r="J310" s="289">
        <v>70</v>
      </c>
      <c r="K310" s="289">
        <v>7</v>
      </c>
      <c r="L310" s="289">
        <v>1408</v>
      </c>
    </row>
    <row r="311" spans="1:12">
      <c r="A311" s="288" t="s">
        <v>1134</v>
      </c>
      <c r="B311" s="288" t="s">
        <v>1076</v>
      </c>
      <c r="C311" s="288" t="s">
        <v>814</v>
      </c>
      <c r="D311" s="288" t="s">
        <v>818</v>
      </c>
      <c r="E311" s="289">
        <v>10</v>
      </c>
      <c r="F311" s="290">
        <v>31</v>
      </c>
      <c r="G311" s="289">
        <v>1100</v>
      </c>
      <c r="H311" s="289">
        <v>2310</v>
      </c>
      <c r="I311" s="289">
        <v>341</v>
      </c>
      <c r="J311" s="289">
        <v>70</v>
      </c>
      <c r="K311" s="289">
        <v>7</v>
      </c>
      <c r="L311" s="289">
        <v>3828</v>
      </c>
    </row>
    <row r="312" spans="1:12">
      <c r="A312" s="288" t="s">
        <v>1135</v>
      </c>
      <c r="B312" s="288" t="s">
        <v>1076</v>
      </c>
      <c r="C312" s="288" t="s">
        <v>814</v>
      </c>
      <c r="D312" s="288" t="s">
        <v>815</v>
      </c>
      <c r="E312" s="289">
        <v>10</v>
      </c>
      <c r="F312" s="290">
        <v>7</v>
      </c>
      <c r="G312" s="289">
        <v>1100</v>
      </c>
      <c r="H312" s="289">
        <v>0</v>
      </c>
      <c r="I312" s="289">
        <v>110</v>
      </c>
      <c r="J312" s="289">
        <v>50</v>
      </c>
      <c r="K312" s="289">
        <v>5</v>
      </c>
      <c r="L312" s="289">
        <v>1265</v>
      </c>
    </row>
    <row r="313" spans="1:12">
      <c r="A313" s="288" t="s">
        <v>1136</v>
      </c>
      <c r="B313" s="288" t="s">
        <v>1076</v>
      </c>
      <c r="C313" s="288" t="s">
        <v>814</v>
      </c>
      <c r="D313" s="288" t="s">
        <v>815</v>
      </c>
      <c r="E313" s="289">
        <v>10</v>
      </c>
      <c r="F313" s="290">
        <v>10</v>
      </c>
      <c r="G313" s="289">
        <v>1100</v>
      </c>
      <c r="H313" s="289">
        <v>0</v>
      </c>
      <c r="I313" s="289">
        <v>110</v>
      </c>
      <c r="J313" s="289">
        <v>50</v>
      </c>
      <c r="K313" s="289">
        <v>5</v>
      </c>
      <c r="L313" s="289">
        <v>1265</v>
      </c>
    </row>
    <row r="314" spans="1:12">
      <c r="A314" s="288" t="s">
        <v>1137</v>
      </c>
      <c r="B314" s="288" t="s">
        <v>1076</v>
      </c>
      <c r="C314" s="288" t="s">
        <v>814</v>
      </c>
      <c r="D314" s="288" t="s">
        <v>815</v>
      </c>
      <c r="E314" s="289">
        <v>10</v>
      </c>
      <c r="F314" s="290">
        <v>19</v>
      </c>
      <c r="G314" s="289">
        <v>1100</v>
      </c>
      <c r="H314" s="289">
        <v>990</v>
      </c>
      <c r="I314" s="289">
        <v>209</v>
      </c>
      <c r="J314" s="289">
        <v>50</v>
      </c>
      <c r="K314" s="289">
        <v>5</v>
      </c>
      <c r="L314" s="289">
        <v>2354</v>
      </c>
    </row>
    <row r="315" spans="1:12">
      <c r="A315" s="288" t="s">
        <v>1138</v>
      </c>
      <c r="B315" s="288" t="s">
        <v>1076</v>
      </c>
      <c r="C315" s="288" t="s">
        <v>814</v>
      </c>
      <c r="D315" s="288" t="s">
        <v>815</v>
      </c>
      <c r="E315" s="289">
        <v>10</v>
      </c>
      <c r="F315" s="290">
        <v>1</v>
      </c>
      <c r="G315" s="289">
        <v>900</v>
      </c>
      <c r="H315" s="289">
        <v>0</v>
      </c>
      <c r="I315" s="289">
        <v>90</v>
      </c>
      <c r="J315" s="289">
        <v>50</v>
      </c>
      <c r="K315" s="289">
        <v>5</v>
      </c>
      <c r="L315" s="289">
        <v>1045</v>
      </c>
    </row>
    <row r="316" spans="1:12">
      <c r="A316" s="288" t="s">
        <v>1139</v>
      </c>
      <c r="B316" s="288" t="s">
        <v>1076</v>
      </c>
      <c r="C316" s="288" t="s">
        <v>814</v>
      </c>
      <c r="D316" s="288" t="s">
        <v>818</v>
      </c>
      <c r="E316" s="289">
        <v>10</v>
      </c>
      <c r="F316" s="290">
        <v>4</v>
      </c>
      <c r="G316" s="289">
        <v>900</v>
      </c>
      <c r="H316" s="289">
        <v>0</v>
      </c>
      <c r="I316" s="289">
        <v>90</v>
      </c>
      <c r="J316" s="289">
        <v>70</v>
      </c>
      <c r="K316" s="289">
        <v>7</v>
      </c>
      <c r="L316" s="289">
        <v>1067</v>
      </c>
    </row>
    <row r="317" spans="1:12">
      <c r="A317" s="288" t="s">
        <v>1140</v>
      </c>
      <c r="B317" s="288" t="s">
        <v>1076</v>
      </c>
      <c r="C317" s="288" t="s">
        <v>814</v>
      </c>
      <c r="D317" s="288" t="s">
        <v>815</v>
      </c>
      <c r="E317" s="289">
        <v>10</v>
      </c>
      <c r="F317" s="290">
        <v>5</v>
      </c>
      <c r="G317" s="289">
        <v>900</v>
      </c>
      <c r="H317" s="289">
        <v>0</v>
      </c>
      <c r="I317" s="289">
        <v>90</v>
      </c>
      <c r="J317" s="289">
        <v>50</v>
      </c>
      <c r="K317" s="289">
        <v>5</v>
      </c>
      <c r="L317" s="289">
        <v>1045</v>
      </c>
    </row>
    <row r="318" spans="1:12">
      <c r="A318" s="288" t="s">
        <v>1141</v>
      </c>
      <c r="B318" s="288" t="s">
        <v>1076</v>
      </c>
      <c r="C318" s="288" t="s">
        <v>814</v>
      </c>
      <c r="D318" s="288" t="s">
        <v>815</v>
      </c>
      <c r="E318" s="289">
        <v>10</v>
      </c>
      <c r="F318" s="290">
        <v>10</v>
      </c>
      <c r="G318" s="289">
        <v>1100</v>
      </c>
      <c r="H318" s="289">
        <v>0</v>
      </c>
      <c r="I318" s="289">
        <v>110</v>
      </c>
      <c r="J318" s="289">
        <v>50</v>
      </c>
      <c r="K318" s="289">
        <v>5</v>
      </c>
      <c r="L318" s="289">
        <v>1265</v>
      </c>
    </row>
    <row r="319" spans="1:12">
      <c r="A319" s="288" t="s">
        <v>1142</v>
      </c>
      <c r="B319" s="288" t="s">
        <v>1076</v>
      </c>
      <c r="C319" s="288" t="s">
        <v>814</v>
      </c>
      <c r="D319" s="288" t="s">
        <v>815</v>
      </c>
      <c r="E319" s="289">
        <v>10</v>
      </c>
      <c r="F319" s="290">
        <v>26</v>
      </c>
      <c r="G319" s="289">
        <v>1100</v>
      </c>
      <c r="H319" s="289">
        <v>1760</v>
      </c>
      <c r="I319" s="289">
        <v>286</v>
      </c>
      <c r="J319" s="289">
        <v>50</v>
      </c>
      <c r="K319" s="289">
        <v>5</v>
      </c>
      <c r="L319" s="289">
        <v>3201</v>
      </c>
    </row>
    <row r="320" spans="1:12">
      <c r="A320" s="288" t="s">
        <v>1143</v>
      </c>
      <c r="B320" s="288" t="s">
        <v>1076</v>
      </c>
      <c r="C320" s="288" t="s">
        <v>814</v>
      </c>
      <c r="D320" s="288" t="s">
        <v>815</v>
      </c>
      <c r="E320" s="289">
        <v>10</v>
      </c>
      <c r="F320" s="290">
        <v>34</v>
      </c>
      <c r="G320" s="289">
        <v>1100</v>
      </c>
      <c r="H320" s="289">
        <v>2640</v>
      </c>
      <c r="I320" s="289">
        <v>374</v>
      </c>
      <c r="J320" s="289">
        <v>50</v>
      </c>
      <c r="K320" s="289">
        <v>5</v>
      </c>
      <c r="L320" s="289">
        <v>4169</v>
      </c>
    </row>
    <row r="321" spans="1:12">
      <c r="A321" s="288" t="s">
        <v>1144</v>
      </c>
      <c r="B321" s="288" t="s">
        <v>1076</v>
      </c>
      <c r="C321" s="288" t="s">
        <v>814</v>
      </c>
      <c r="D321" s="288" t="s">
        <v>815</v>
      </c>
      <c r="E321" s="289">
        <v>10</v>
      </c>
      <c r="F321" s="290">
        <v>15</v>
      </c>
      <c r="G321" s="289">
        <v>1100</v>
      </c>
      <c r="H321" s="289">
        <v>550</v>
      </c>
      <c r="I321" s="289">
        <v>165</v>
      </c>
      <c r="J321" s="289">
        <v>50</v>
      </c>
      <c r="K321" s="289">
        <v>5</v>
      </c>
      <c r="L321" s="289">
        <v>1870</v>
      </c>
    </row>
    <row r="322" spans="1:12">
      <c r="A322" s="288" t="s">
        <v>1145</v>
      </c>
      <c r="B322" s="288" t="s">
        <v>1076</v>
      </c>
      <c r="C322" s="288" t="s">
        <v>814</v>
      </c>
      <c r="D322" s="288" t="s">
        <v>815</v>
      </c>
      <c r="E322" s="289">
        <v>10</v>
      </c>
      <c r="F322" s="290">
        <v>0</v>
      </c>
      <c r="G322" s="289">
        <v>900</v>
      </c>
      <c r="H322" s="289">
        <v>0</v>
      </c>
      <c r="I322" s="289">
        <v>90</v>
      </c>
      <c r="J322" s="289">
        <v>50</v>
      </c>
      <c r="K322" s="289">
        <v>5</v>
      </c>
      <c r="L322" s="289">
        <v>1045</v>
      </c>
    </row>
    <row r="323" spans="1:12">
      <c r="A323" s="288" t="s">
        <v>1146</v>
      </c>
      <c r="B323" s="288" t="s">
        <v>1076</v>
      </c>
      <c r="C323" s="288" t="s">
        <v>814</v>
      </c>
      <c r="D323" s="288" t="s">
        <v>815</v>
      </c>
      <c r="E323" s="289">
        <v>10</v>
      </c>
      <c r="F323" s="290">
        <v>11</v>
      </c>
      <c r="G323" s="289">
        <v>1100</v>
      </c>
      <c r="H323" s="289">
        <v>110</v>
      </c>
      <c r="I323" s="289">
        <v>121</v>
      </c>
      <c r="J323" s="289">
        <v>50</v>
      </c>
      <c r="K323" s="289">
        <v>5</v>
      </c>
      <c r="L323" s="289">
        <v>1386</v>
      </c>
    </row>
    <row r="324" spans="1:12">
      <c r="A324" s="288" t="s">
        <v>1147</v>
      </c>
      <c r="B324" s="288" t="s">
        <v>1076</v>
      </c>
      <c r="C324" s="288" t="s">
        <v>814</v>
      </c>
      <c r="D324" s="288" t="s">
        <v>815</v>
      </c>
      <c r="E324" s="289">
        <v>10</v>
      </c>
      <c r="F324" s="290">
        <v>7</v>
      </c>
      <c r="G324" s="289">
        <v>1100</v>
      </c>
      <c r="H324" s="289">
        <v>0</v>
      </c>
      <c r="I324" s="289">
        <v>110</v>
      </c>
      <c r="J324" s="289">
        <v>50</v>
      </c>
      <c r="K324" s="289">
        <v>5</v>
      </c>
      <c r="L324" s="289">
        <v>1265</v>
      </c>
    </row>
    <row r="325" spans="1:12">
      <c r="A325" s="288" t="s">
        <v>1148</v>
      </c>
      <c r="B325" s="288" t="s">
        <v>1076</v>
      </c>
      <c r="C325" s="288" t="s">
        <v>814</v>
      </c>
      <c r="D325" s="288" t="s">
        <v>818</v>
      </c>
      <c r="E325" s="289">
        <v>10</v>
      </c>
      <c r="F325" s="290">
        <v>6</v>
      </c>
      <c r="G325" s="289">
        <v>1100</v>
      </c>
      <c r="H325" s="289">
        <v>0</v>
      </c>
      <c r="I325" s="289">
        <v>110</v>
      </c>
      <c r="J325" s="289">
        <v>70</v>
      </c>
      <c r="K325" s="289">
        <v>7</v>
      </c>
      <c r="L325" s="289">
        <v>1287</v>
      </c>
    </row>
    <row r="326" spans="1:12">
      <c r="A326" s="288" t="s">
        <v>1149</v>
      </c>
      <c r="B326" s="288" t="s">
        <v>1076</v>
      </c>
      <c r="C326" s="288" t="s">
        <v>814</v>
      </c>
      <c r="D326" s="288" t="s">
        <v>815</v>
      </c>
      <c r="E326" s="289">
        <v>10</v>
      </c>
      <c r="F326" s="290">
        <v>16</v>
      </c>
      <c r="G326" s="289">
        <v>1100</v>
      </c>
      <c r="H326" s="289">
        <v>660</v>
      </c>
      <c r="I326" s="289">
        <v>176</v>
      </c>
      <c r="J326" s="289">
        <v>50</v>
      </c>
      <c r="K326" s="289">
        <v>5</v>
      </c>
      <c r="L326" s="289">
        <v>1991</v>
      </c>
    </row>
    <row r="327" spans="1:12">
      <c r="A327" s="288" t="s">
        <v>1150</v>
      </c>
      <c r="B327" s="288" t="s">
        <v>1076</v>
      </c>
      <c r="C327" s="288" t="s">
        <v>814</v>
      </c>
      <c r="D327" s="288" t="s">
        <v>818</v>
      </c>
      <c r="E327" s="289">
        <v>10</v>
      </c>
      <c r="F327" s="290">
        <v>9</v>
      </c>
      <c r="G327" s="289">
        <v>1100</v>
      </c>
      <c r="H327" s="289">
        <v>0</v>
      </c>
      <c r="I327" s="289">
        <v>110</v>
      </c>
      <c r="J327" s="289">
        <v>70</v>
      </c>
      <c r="K327" s="289">
        <v>7</v>
      </c>
      <c r="L327" s="289">
        <v>1287</v>
      </c>
    </row>
    <row r="328" spans="1:12">
      <c r="A328" s="288" t="s">
        <v>1151</v>
      </c>
      <c r="B328" s="288" t="s">
        <v>1076</v>
      </c>
      <c r="C328" s="288" t="s">
        <v>814</v>
      </c>
      <c r="D328" s="288" t="s">
        <v>818</v>
      </c>
      <c r="E328" s="289">
        <v>10</v>
      </c>
      <c r="F328" s="290">
        <v>6</v>
      </c>
      <c r="G328" s="289">
        <v>1100</v>
      </c>
      <c r="H328" s="289">
        <v>0</v>
      </c>
      <c r="I328" s="289">
        <v>110</v>
      </c>
      <c r="J328" s="289">
        <v>70</v>
      </c>
      <c r="K328" s="289">
        <v>7</v>
      </c>
      <c r="L328" s="289">
        <v>1287</v>
      </c>
    </row>
    <row r="329" spans="1:12">
      <c r="A329" s="288" t="s">
        <v>1152</v>
      </c>
      <c r="B329" s="288" t="s">
        <v>1076</v>
      </c>
      <c r="C329" s="288" t="s">
        <v>814</v>
      </c>
      <c r="D329" s="288" t="s">
        <v>815</v>
      </c>
      <c r="E329" s="289">
        <v>10</v>
      </c>
      <c r="F329" s="290">
        <v>33</v>
      </c>
      <c r="G329" s="289">
        <v>1100</v>
      </c>
      <c r="H329" s="289">
        <v>2530</v>
      </c>
      <c r="I329" s="289">
        <v>363</v>
      </c>
      <c r="J329" s="289">
        <v>50</v>
      </c>
      <c r="K329" s="289">
        <v>5</v>
      </c>
      <c r="L329" s="289">
        <v>4048</v>
      </c>
    </row>
    <row r="330" spans="1:12">
      <c r="A330" s="288" t="s">
        <v>1153</v>
      </c>
      <c r="B330" s="288" t="s">
        <v>1076</v>
      </c>
      <c r="C330" s="288" t="s">
        <v>814</v>
      </c>
      <c r="D330" s="288" t="s">
        <v>818</v>
      </c>
      <c r="E330" s="289">
        <v>10</v>
      </c>
      <c r="F330" s="290">
        <v>23</v>
      </c>
      <c r="G330" s="289">
        <v>1100</v>
      </c>
      <c r="H330" s="289">
        <v>1430</v>
      </c>
      <c r="I330" s="289">
        <v>253</v>
      </c>
      <c r="J330" s="289">
        <v>70</v>
      </c>
      <c r="K330" s="289">
        <v>7</v>
      </c>
      <c r="L330" s="289">
        <v>2860</v>
      </c>
    </row>
    <row r="331" spans="1:12">
      <c r="A331" s="288" t="s">
        <v>1154</v>
      </c>
      <c r="B331" s="288" t="s">
        <v>1076</v>
      </c>
      <c r="C331" s="288" t="s">
        <v>814</v>
      </c>
      <c r="D331" s="288" t="s">
        <v>815</v>
      </c>
      <c r="E331" s="289">
        <v>10</v>
      </c>
      <c r="F331" s="290">
        <v>34</v>
      </c>
      <c r="G331" s="289">
        <v>1100</v>
      </c>
      <c r="H331" s="289">
        <v>2640</v>
      </c>
      <c r="I331" s="289">
        <v>374</v>
      </c>
      <c r="J331" s="289">
        <v>50</v>
      </c>
      <c r="K331" s="289">
        <v>5</v>
      </c>
      <c r="L331" s="289">
        <v>4169</v>
      </c>
    </row>
    <row r="332" spans="1:12">
      <c r="A332" s="288" t="s">
        <v>1155</v>
      </c>
      <c r="B332" s="288" t="s">
        <v>1076</v>
      </c>
      <c r="C332" s="288" t="s">
        <v>814</v>
      </c>
      <c r="D332" s="288" t="s">
        <v>815</v>
      </c>
      <c r="E332" s="289">
        <v>10</v>
      </c>
      <c r="F332" s="290">
        <v>11</v>
      </c>
      <c r="G332" s="289">
        <v>1100</v>
      </c>
      <c r="H332" s="289">
        <v>110</v>
      </c>
      <c r="I332" s="289">
        <v>121</v>
      </c>
      <c r="J332" s="289">
        <v>50</v>
      </c>
      <c r="K332" s="289">
        <v>5</v>
      </c>
      <c r="L332" s="289">
        <v>1386</v>
      </c>
    </row>
    <row r="333" spans="1:12">
      <c r="A333" s="288" t="s">
        <v>1156</v>
      </c>
      <c r="B333" s="288" t="s">
        <v>1076</v>
      </c>
      <c r="C333" s="288" t="s">
        <v>814</v>
      </c>
      <c r="D333" s="288" t="s">
        <v>818</v>
      </c>
      <c r="E333" s="289">
        <v>10</v>
      </c>
      <c r="F333" s="290">
        <v>19</v>
      </c>
      <c r="G333" s="289">
        <v>1100</v>
      </c>
      <c r="H333" s="289">
        <v>990</v>
      </c>
      <c r="I333" s="289">
        <v>209</v>
      </c>
      <c r="J333" s="289">
        <v>70</v>
      </c>
      <c r="K333" s="289">
        <v>7</v>
      </c>
      <c r="L333" s="289">
        <v>2376</v>
      </c>
    </row>
    <row r="334" spans="1:12">
      <c r="A334" s="288" t="s">
        <v>1157</v>
      </c>
      <c r="B334" s="288" t="s">
        <v>1076</v>
      </c>
      <c r="C334" s="288" t="s">
        <v>814</v>
      </c>
      <c r="D334" s="288" t="s">
        <v>815</v>
      </c>
      <c r="E334" s="289">
        <v>10</v>
      </c>
      <c r="F334" s="290">
        <v>0</v>
      </c>
      <c r="G334" s="289">
        <v>900</v>
      </c>
      <c r="H334" s="289">
        <v>0</v>
      </c>
      <c r="I334" s="289">
        <v>90</v>
      </c>
      <c r="J334" s="289">
        <v>50</v>
      </c>
      <c r="K334" s="289">
        <v>5</v>
      </c>
      <c r="L334" s="289">
        <v>1045</v>
      </c>
    </row>
    <row r="335" spans="1:12">
      <c r="A335" s="288" t="s">
        <v>1158</v>
      </c>
      <c r="B335" s="288" t="s">
        <v>1076</v>
      </c>
      <c r="C335" s="288" t="s">
        <v>814</v>
      </c>
      <c r="D335" s="288" t="s">
        <v>815</v>
      </c>
      <c r="E335" s="289">
        <v>10</v>
      </c>
      <c r="F335" s="290">
        <v>12</v>
      </c>
      <c r="G335" s="289">
        <v>1100</v>
      </c>
      <c r="H335" s="289">
        <v>220</v>
      </c>
      <c r="I335" s="289">
        <v>132</v>
      </c>
      <c r="J335" s="289">
        <v>50</v>
      </c>
      <c r="K335" s="289">
        <v>5</v>
      </c>
      <c r="L335" s="289">
        <v>1507</v>
      </c>
    </row>
    <row r="336" spans="1:12">
      <c r="A336" s="288" t="s">
        <v>1159</v>
      </c>
      <c r="B336" s="288" t="s">
        <v>1076</v>
      </c>
      <c r="C336" s="288" t="s">
        <v>814</v>
      </c>
      <c r="D336" s="288" t="s">
        <v>818</v>
      </c>
      <c r="E336" s="289">
        <v>10</v>
      </c>
      <c r="F336" s="290">
        <v>18</v>
      </c>
      <c r="G336" s="289">
        <v>1100</v>
      </c>
      <c r="H336" s="289">
        <v>880</v>
      </c>
      <c r="I336" s="289">
        <v>198</v>
      </c>
      <c r="J336" s="289">
        <v>70</v>
      </c>
      <c r="K336" s="289">
        <v>7</v>
      </c>
      <c r="L336" s="289">
        <v>2255</v>
      </c>
    </row>
    <row r="337" spans="1:12">
      <c r="A337" s="288" t="s">
        <v>1160</v>
      </c>
      <c r="B337" s="288" t="s">
        <v>1076</v>
      </c>
      <c r="C337" s="288" t="s">
        <v>814</v>
      </c>
      <c r="D337" s="288" t="s">
        <v>818</v>
      </c>
      <c r="E337" s="289">
        <v>10</v>
      </c>
      <c r="F337" s="290">
        <v>11</v>
      </c>
      <c r="G337" s="289">
        <v>1100</v>
      </c>
      <c r="H337" s="289">
        <v>110</v>
      </c>
      <c r="I337" s="289">
        <v>121</v>
      </c>
      <c r="J337" s="289">
        <v>70</v>
      </c>
      <c r="K337" s="289">
        <v>7</v>
      </c>
      <c r="L337" s="289">
        <v>1408</v>
      </c>
    </row>
    <row r="338" spans="1:12">
      <c r="A338" s="288" t="s">
        <v>1161</v>
      </c>
      <c r="B338" s="288" t="s">
        <v>1076</v>
      </c>
      <c r="C338" s="288" t="s">
        <v>814</v>
      </c>
      <c r="D338" s="288" t="s">
        <v>818</v>
      </c>
      <c r="E338" s="289">
        <v>10</v>
      </c>
      <c r="F338" s="290">
        <v>20</v>
      </c>
      <c r="G338" s="289">
        <v>1100</v>
      </c>
      <c r="H338" s="289">
        <v>1100</v>
      </c>
      <c r="I338" s="289">
        <v>220</v>
      </c>
      <c r="J338" s="289">
        <v>70</v>
      </c>
      <c r="K338" s="289">
        <v>7</v>
      </c>
      <c r="L338" s="289">
        <v>2497</v>
      </c>
    </row>
    <row r="339" spans="1:12">
      <c r="A339" s="288" t="s">
        <v>1162</v>
      </c>
      <c r="B339" s="288" t="s">
        <v>1076</v>
      </c>
      <c r="C339" s="288" t="s">
        <v>814</v>
      </c>
      <c r="D339" s="288" t="s">
        <v>815</v>
      </c>
      <c r="E339" s="289">
        <v>10</v>
      </c>
      <c r="F339" s="290">
        <v>13</v>
      </c>
      <c r="G339" s="289">
        <v>1100</v>
      </c>
      <c r="H339" s="289">
        <v>330</v>
      </c>
      <c r="I339" s="289">
        <v>143</v>
      </c>
      <c r="J339" s="289">
        <v>50</v>
      </c>
      <c r="K339" s="289">
        <v>5</v>
      </c>
      <c r="L339" s="289">
        <v>1628</v>
      </c>
    </row>
    <row r="340" spans="1:12">
      <c r="A340" s="288" t="s">
        <v>1163</v>
      </c>
      <c r="B340" s="288" t="s">
        <v>1076</v>
      </c>
      <c r="C340" s="288" t="s">
        <v>829</v>
      </c>
      <c r="D340" s="288" t="s">
        <v>815</v>
      </c>
      <c r="E340" s="289">
        <v>10</v>
      </c>
      <c r="F340" s="290">
        <v>0</v>
      </c>
      <c r="G340" s="289">
        <v>900</v>
      </c>
      <c r="H340" s="289">
        <v>0</v>
      </c>
      <c r="I340" s="289">
        <v>90</v>
      </c>
      <c r="J340" s="289">
        <v>50</v>
      </c>
      <c r="K340" s="289">
        <v>5</v>
      </c>
      <c r="L340" s="289">
        <v>1045</v>
      </c>
    </row>
    <row r="341" spans="1:12">
      <c r="A341" s="288" t="s">
        <v>1164</v>
      </c>
      <c r="B341" s="288" t="s">
        <v>1076</v>
      </c>
      <c r="C341" s="288" t="s">
        <v>814</v>
      </c>
      <c r="D341" s="288" t="s">
        <v>818</v>
      </c>
      <c r="E341" s="289">
        <v>10</v>
      </c>
      <c r="F341" s="290">
        <v>18</v>
      </c>
      <c r="G341" s="289">
        <v>1100</v>
      </c>
      <c r="H341" s="289">
        <v>880</v>
      </c>
      <c r="I341" s="289">
        <v>198</v>
      </c>
      <c r="J341" s="289">
        <v>70</v>
      </c>
      <c r="K341" s="289">
        <v>7</v>
      </c>
      <c r="L341" s="289">
        <v>2255</v>
      </c>
    </row>
    <row r="342" spans="1:12">
      <c r="A342" s="288" t="s">
        <v>1165</v>
      </c>
      <c r="B342" s="288" t="s">
        <v>1076</v>
      </c>
      <c r="C342" s="288" t="s">
        <v>829</v>
      </c>
      <c r="D342" s="288" t="s">
        <v>826</v>
      </c>
      <c r="E342" s="289">
        <v>10</v>
      </c>
      <c r="F342" s="290">
        <v>53</v>
      </c>
      <c r="G342" s="289">
        <v>1100</v>
      </c>
      <c r="H342" s="289">
        <v>4730</v>
      </c>
      <c r="I342" s="289">
        <v>583</v>
      </c>
      <c r="J342" s="289">
        <v>100</v>
      </c>
      <c r="K342" s="289">
        <v>10</v>
      </c>
      <c r="L342" s="289">
        <v>6523</v>
      </c>
    </row>
    <row r="343" spans="1:12">
      <c r="A343" s="288" t="s">
        <v>1166</v>
      </c>
      <c r="B343" s="288" t="s">
        <v>1076</v>
      </c>
      <c r="C343" s="288" t="s">
        <v>814</v>
      </c>
      <c r="D343" s="288" t="s">
        <v>818</v>
      </c>
      <c r="E343" s="289">
        <v>10</v>
      </c>
      <c r="F343" s="290">
        <v>19</v>
      </c>
      <c r="G343" s="289">
        <v>1100</v>
      </c>
      <c r="H343" s="289">
        <v>990</v>
      </c>
      <c r="I343" s="289">
        <v>209</v>
      </c>
      <c r="J343" s="289">
        <v>70</v>
      </c>
      <c r="K343" s="289">
        <v>7</v>
      </c>
      <c r="L343" s="289">
        <v>2376</v>
      </c>
    </row>
    <row r="344" spans="1:12">
      <c r="A344" s="288" t="s">
        <v>1167</v>
      </c>
      <c r="B344" s="288" t="s">
        <v>1076</v>
      </c>
      <c r="C344" s="288" t="s">
        <v>829</v>
      </c>
      <c r="D344" s="288" t="s">
        <v>826</v>
      </c>
      <c r="E344" s="289">
        <v>10</v>
      </c>
      <c r="F344" s="290">
        <v>675</v>
      </c>
      <c r="G344" s="289">
        <v>1100</v>
      </c>
      <c r="H344" s="289">
        <v>67400</v>
      </c>
      <c r="I344" s="289">
        <v>6850</v>
      </c>
      <c r="J344" s="289">
        <v>100</v>
      </c>
      <c r="K344" s="289">
        <v>10</v>
      </c>
      <c r="L344" s="289">
        <v>75460</v>
      </c>
    </row>
    <row r="345" spans="1:12">
      <c r="A345" s="288" t="s">
        <v>1168</v>
      </c>
      <c r="B345" s="288" t="s">
        <v>1076</v>
      </c>
      <c r="C345" s="288" t="s">
        <v>820</v>
      </c>
      <c r="D345" s="288" t="s">
        <v>818</v>
      </c>
      <c r="E345" s="289">
        <v>10</v>
      </c>
      <c r="F345" s="290">
        <v>13</v>
      </c>
      <c r="G345" s="289">
        <v>1100</v>
      </c>
      <c r="H345" s="289">
        <v>330</v>
      </c>
      <c r="I345" s="289">
        <v>143</v>
      </c>
      <c r="J345" s="289">
        <v>70</v>
      </c>
      <c r="K345" s="289">
        <v>7</v>
      </c>
      <c r="L345" s="289">
        <v>1650</v>
      </c>
    </row>
    <row r="346" spans="1:12">
      <c r="A346" s="288" t="s">
        <v>1169</v>
      </c>
      <c r="B346" s="288" t="s">
        <v>1076</v>
      </c>
      <c r="C346" s="288" t="s">
        <v>814</v>
      </c>
      <c r="D346" s="288" t="s">
        <v>815</v>
      </c>
      <c r="E346" s="289">
        <v>10</v>
      </c>
      <c r="F346" s="290">
        <v>35</v>
      </c>
      <c r="G346" s="289">
        <v>1100</v>
      </c>
      <c r="H346" s="289">
        <v>2750</v>
      </c>
      <c r="I346" s="289">
        <v>385</v>
      </c>
      <c r="J346" s="289">
        <v>50</v>
      </c>
      <c r="K346" s="289">
        <v>5</v>
      </c>
      <c r="L346" s="289">
        <v>4290</v>
      </c>
    </row>
    <row r="347" spans="1:12">
      <c r="A347" s="288" t="s">
        <v>1170</v>
      </c>
      <c r="B347" s="288" t="s">
        <v>1076</v>
      </c>
      <c r="C347" s="288" t="s">
        <v>814</v>
      </c>
      <c r="D347" s="288" t="s">
        <v>815</v>
      </c>
      <c r="E347" s="289">
        <v>10</v>
      </c>
      <c r="F347" s="290">
        <v>11</v>
      </c>
      <c r="G347" s="289">
        <v>1100</v>
      </c>
      <c r="H347" s="289">
        <v>110</v>
      </c>
      <c r="I347" s="289">
        <v>121</v>
      </c>
      <c r="J347" s="289">
        <v>50</v>
      </c>
      <c r="K347" s="289">
        <v>5</v>
      </c>
      <c r="L347" s="289">
        <v>1386</v>
      </c>
    </row>
    <row r="348" spans="1:12">
      <c r="A348" s="288" t="s">
        <v>1171</v>
      </c>
      <c r="B348" s="288" t="s">
        <v>1076</v>
      </c>
      <c r="C348" s="288" t="s">
        <v>814</v>
      </c>
      <c r="D348" s="288" t="s">
        <v>815</v>
      </c>
      <c r="E348" s="289">
        <v>10</v>
      </c>
      <c r="F348" s="290">
        <v>13</v>
      </c>
      <c r="G348" s="289">
        <v>1100</v>
      </c>
      <c r="H348" s="289">
        <v>330</v>
      </c>
      <c r="I348" s="289">
        <v>143</v>
      </c>
      <c r="J348" s="289">
        <v>50</v>
      </c>
      <c r="K348" s="289">
        <v>5</v>
      </c>
      <c r="L348" s="289">
        <v>1628</v>
      </c>
    </row>
    <row r="349" spans="1:12">
      <c r="A349" s="288" t="s">
        <v>1172</v>
      </c>
      <c r="B349" s="288" t="s">
        <v>1076</v>
      </c>
      <c r="C349" s="288" t="s">
        <v>814</v>
      </c>
      <c r="D349" s="288" t="s">
        <v>815</v>
      </c>
      <c r="E349" s="289">
        <v>10</v>
      </c>
      <c r="F349" s="290">
        <v>4</v>
      </c>
      <c r="G349" s="289">
        <v>900</v>
      </c>
      <c r="H349" s="289">
        <v>0</v>
      </c>
      <c r="I349" s="289">
        <v>90</v>
      </c>
      <c r="J349" s="289">
        <v>50</v>
      </c>
      <c r="K349" s="289">
        <v>5</v>
      </c>
      <c r="L349" s="289">
        <v>1045</v>
      </c>
    </row>
    <row r="350" spans="1:12">
      <c r="A350" s="288" t="s">
        <v>1173</v>
      </c>
      <c r="B350" s="288" t="s">
        <v>1076</v>
      </c>
      <c r="C350" s="288" t="s">
        <v>814</v>
      </c>
      <c r="D350" s="288" t="s">
        <v>818</v>
      </c>
      <c r="E350" s="289">
        <v>10</v>
      </c>
      <c r="F350" s="290">
        <v>43</v>
      </c>
      <c r="G350" s="289">
        <v>1100</v>
      </c>
      <c r="H350" s="289">
        <v>3630</v>
      </c>
      <c r="I350" s="289">
        <v>473</v>
      </c>
      <c r="J350" s="289">
        <v>70</v>
      </c>
      <c r="K350" s="289">
        <v>7</v>
      </c>
      <c r="L350" s="289">
        <v>5280</v>
      </c>
    </row>
    <row r="351" spans="1:12">
      <c r="A351" s="288" t="s">
        <v>1174</v>
      </c>
      <c r="B351" s="288" t="s">
        <v>1076</v>
      </c>
      <c r="C351" s="288" t="s">
        <v>814</v>
      </c>
      <c r="D351" s="288" t="s">
        <v>815</v>
      </c>
      <c r="E351" s="289">
        <v>10</v>
      </c>
      <c r="F351" s="290">
        <v>16</v>
      </c>
      <c r="G351" s="289">
        <v>1100</v>
      </c>
      <c r="H351" s="289">
        <v>660</v>
      </c>
      <c r="I351" s="289">
        <v>176</v>
      </c>
      <c r="J351" s="289">
        <v>50</v>
      </c>
      <c r="K351" s="289">
        <v>5</v>
      </c>
      <c r="L351" s="289">
        <v>1991</v>
      </c>
    </row>
    <row r="352" spans="1:12">
      <c r="A352" s="288" t="s">
        <v>1175</v>
      </c>
      <c r="B352" s="288" t="s">
        <v>1076</v>
      </c>
      <c r="C352" s="288" t="s">
        <v>814</v>
      </c>
      <c r="D352" s="288" t="s">
        <v>815</v>
      </c>
      <c r="E352" s="289">
        <v>10</v>
      </c>
      <c r="F352" s="290">
        <v>0</v>
      </c>
      <c r="G352" s="289">
        <v>900</v>
      </c>
      <c r="H352" s="289">
        <v>0</v>
      </c>
      <c r="I352" s="289">
        <v>90</v>
      </c>
      <c r="J352" s="289">
        <v>50</v>
      </c>
      <c r="K352" s="289">
        <v>5</v>
      </c>
      <c r="L352" s="289">
        <v>1045</v>
      </c>
    </row>
    <row r="353" spans="1:12">
      <c r="A353" s="288" t="s">
        <v>1176</v>
      </c>
      <c r="B353" s="288" t="s">
        <v>1076</v>
      </c>
      <c r="C353" s="288" t="s">
        <v>814</v>
      </c>
      <c r="D353" s="288" t="s">
        <v>815</v>
      </c>
      <c r="E353" s="289">
        <v>10</v>
      </c>
      <c r="F353" s="290">
        <v>22</v>
      </c>
      <c r="G353" s="289">
        <v>1100</v>
      </c>
      <c r="H353" s="289">
        <v>1320</v>
      </c>
      <c r="I353" s="289">
        <v>242</v>
      </c>
      <c r="J353" s="289">
        <v>50</v>
      </c>
      <c r="K353" s="289">
        <v>5</v>
      </c>
      <c r="L353" s="289">
        <v>2717</v>
      </c>
    </row>
    <row r="354" spans="1:12">
      <c r="A354" s="288" t="s">
        <v>1177</v>
      </c>
      <c r="B354" s="288" t="s">
        <v>1076</v>
      </c>
      <c r="C354" s="288" t="s">
        <v>814</v>
      </c>
      <c r="D354" s="288" t="s">
        <v>818</v>
      </c>
      <c r="E354" s="289">
        <v>10</v>
      </c>
      <c r="F354" s="290">
        <v>11</v>
      </c>
      <c r="G354" s="289">
        <v>1100</v>
      </c>
      <c r="H354" s="289">
        <v>110</v>
      </c>
      <c r="I354" s="289">
        <v>121</v>
      </c>
      <c r="J354" s="289">
        <v>70</v>
      </c>
      <c r="K354" s="289">
        <v>7</v>
      </c>
      <c r="L354" s="289">
        <v>1408</v>
      </c>
    </row>
    <row r="355" spans="1:12">
      <c r="A355" s="288" t="s">
        <v>1178</v>
      </c>
      <c r="B355" s="288" t="s">
        <v>1076</v>
      </c>
      <c r="C355" s="288" t="s">
        <v>814</v>
      </c>
      <c r="D355" s="288" t="s">
        <v>818</v>
      </c>
      <c r="E355" s="289">
        <v>10</v>
      </c>
      <c r="F355" s="290">
        <v>10</v>
      </c>
      <c r="G355" s="289">
        <v>1100</v>
      </c>
      <c r="H355" s="289">
        <v>0</v>
      </c>
      <c r="I355" s="289">
        <v>110</v>
      </c>
      <c r="J355" s="289">
        <v>70</v>
      </c>
      <c r="K355" s="289">
        <v>7</v>
      </c>
      <c r="L355" s="289">
        <v>1287</v>
      </c>
    </row>
    <row r="356" spans="1:12">
      <c r="A356" s="288" t="s">
        <v>1179</v>
      </c>
      <c r="B356" s="288" t="s">
        <v>1076</v>
      </c>
      <c r="C356" s="288" t="s">
        <v>814</v>
      </c>
      <c r="D356" s="288" t="s">
        <v>815</v>
      </c>
      <c r="E356" s="289">
        <v>10</v>
      </c>
      <c r="F356" s="290">
        <v>0</v>
      </c>
      <c r="G356" s="289">
        <v>900</v>
      </c>
      <c r="H356" s="289">
        <v>0</v>
      </c>
      <c r="I356" s="289">
        <v>90</v>
      </c>
      <c r="J356" s="289">
        <v>50</v>
      </c>
      <c r="K356" s="289">
        <v>5</v>
      </c>
      <c r="L356" s="289">
        <v>1045</v>
      </c>
    </row>
    <row r="357" spans="1:12">
      <c r="A357" s="288" t="s">
        <v>1180</v>
      </c>
      <c r="B357" s="288" t="s">
        <v>1076</v>
      </c>
      <c r="C357" s="288" t="s">
        <v>814</v>
      </c>
      <c r="D357" s="288" t="s">
        <v>815</v>
      </c>
      <c r="E357" s="289">
        <v>10</v>
      </c>
      <c r="F357" s="290">
        <v>23</v>
      </c>
      <c r="G357" s="289">
        <v>1100</v>
      </c>
      <c r="H357" s="289">
        <v>1430</v>
      </c>
      <c r="I357" s="289">
        <v>253</v>
      </c>
      <c r="J357" s="289">
        <v>50</v>
      </c>
      <c r="K357" s="289">
        <v>5</v>
      </c>
      <c r="L357" s="289">
        <v>2838</v>
      </c>
    </row>
    <row r="358" spans="1:12">
      <c r="A358" s="288" t="s">
        <v>1181</v>
      </c>
      <c r="B358" s="288" t="s">
        <v>1076</v>
      </c>
      <c r="C358" s="288" t="s">
        <v>814</v>
      </c>
      <c r="D358" s="288" t="s">
        <v>818</v>
      </c>
      <c r="E358" s="289">
        <v>10</v>
      </c>
      <c r="F358" s="290">
        <v>2</v>
      </c>
      <c r="G358" s="289">
        <v>900</v>
      </c>
      <c r="H358" s="289">
        <v>0</v>
      </c>
      <c r="I358" s="289">
        <v>90</v>
      </c>
      <c r="J358" s="289">
        <v>70</v>
      </c>
      <c r="K358" s="289">
        <v>7</v>
      </c>
      <c r="L358" s="289">
        <v>1067</v>
      </c>
    </row>
    <row r="359" spans="1:12">
      <c r="A359" s="288" t="s">
        <v>1182</v>
      </c>
      <c r="B359" s="288" t="s">
        <v>1076</v>
      </c>
      <c r="C359" s="288" t="s">
        <v>814</v>
      </c>
      <c r="D359" s="288" t="s">
        <v>815</v>
      </c>
      <c r="E359" s="289">
        <v>10</v>
      </c>
      <c r="F359" s="290">
        <v>6</v>
      </c>
      <c r="G359" s="289">
        <v>1100</v>
      </c>
      <c r="H359" s="289">
        <v>0</v>
      </c>
      <c r="I359" s="289">
        <v>110</v>
      </c>
      <c r="J359" s="289">
        <v>50</v>
      </c>
      <c r="K359" s="289">
        <v>5</v>
      </c>
      <c r="L359" s="289">
        <v>1265</v>
      </c>
    </row>
    <row r="360" spans="1:12">
      <c r="A360" s="288" t="s">
        <v>1183</v>
      </c>
      <c r="B360" s="288" t="s">
        <v>1076</v>
      </c>
      <c r="C360" s="288" t="s">
        <v>814</v>
      </c>
      <c r="D360" s="288" t="s">
        <v>818</v>
      </c>
      <c r="E360" s="289">
        <v>10</v>
      </c>
      <c r="F360" s="290">
        <v>12</v>
      </c>
      <c r="G360" s="289">
        <v>1100</v>
      </c>
      <c r="H360" s="289">
        <v>220</v>
      </c>
      <c r="I360" s="289">
        <v>132</v>
      </c>
      <c r="J360" s="289">
        <v>70</v>
      </c>
      <c r="K360" s="289">
        <v>7</v>
      </c>
      <c r="L360" s="289">
        <v>1529</v>
      </c>
    </row>
    <row r="361" spans="1:12">
      <c r="A361" s="288" t="s">
        <v>1184</v>
      </c>
      <c r="B361" s="288" t="s">
        <v>1076</v>
      </c>
      <c r="C361" s="288" t="s">
        <v>814</v>
      </c>
      <c r="D361" s="288" t="s">
        <v>818</v>
      </c>
      <c r="E361" s="289">
        <v>10</v>
      </c>
      <c r="F361" s="290">
        <v>25</v>
      </c>
      <c r="G361" s="289">
        <v>1100</v>
      </c>
      <c r="H361" s="289">
        <v>1650</v>
      </c>
      <c r="I361" s="289">
        <v>275</v>
      </c>
      <c r="J361" s="289">
        <v>70</v>
      </c>
      <c r="K361" s="289">
        <v>7</v>
      </c>
      <c r="L361" s="289">
        <v>3102</v>
      </c>
    </row>
    <row r="362" spans="1:12">
      <c r="A362" s="288" t="s">
        <v>1185</v>
      </c>
      <c r="B362" s="288" t="s">
        <v>1076</v>
      </c>
      <c r="C362" s="288" t="s">
        <v>814</v>
      </c>
      <c r="D362" s="288" t="s">
        <v>815</v>
      </c>
      <c r="E362" s="289">
        <v>10</v>
      </c>
      <c r="F362" s="290">
        <v>11</v>
      </c>
      <c r="G362" s="289">
        <v>1100</v>
      </c>
      <c r="H362" s="289">
        <v>110</v>
      </c>
      <c r="I362" s="289">
        <v>121</v>
      </c>
      <c r="J362" s="289">
        <v>50</v>
      </c>
      <c r="K362" s="289">
        <v>5</v>
      </c>
      <c r="L362" s="289">
        <v>1386</v>
      </c>
    </row>
    <row r="363" spans="1:12">
      <c r="A363" s="288" t="s">
        <v>1186</v>
      </c>
      <c r="B363" s="288" t="s">
        <v>1076</v>
      </c>
      <c r="C363" s="288" t="s">
        <v>814</v>
      </c>
      <c r="D363" s="288" t="s">
        <v>815</v>
      </c>
      <c r="E363" s="289">
        <v>10</v>
      </c>
      <c r="F363" s="290">
        <v>5</v>
      </c>
      <c r="G363" s="289">
        <v>900</v>
      </c>
      <c r="H363" s="289">
        <v>0</v>
      </c>
      <c r="I363" s="289">
        <v>90</v>
      </c>
      <c r="J363" s="289">
        <v>50</v>
      </c>
      <c r="K363" s="289">
        <v>5</v>
      </c>
      <c r="L363" s="289">
        <v>1045</v>
      </c>
    </row>
    <row r="364" spans="1:12">
      <c r="A364" s="288" t="s">
        <v>1187</v>
      </c>
      <c r="B364" s="288" t="s">
        <v>1076</v>
      </c>
      <c r="C364" s="288" t="s">
        <v>814</v>
      </c>
      <c r="D364" s="288" t="s">
        <v>815</v>
      </c>
      <c r="E364" s="289">
        <v>10</v>
      </c>
      <c r="F364" s="290">
        <v>6</v>
      </c>
      <c r="G364" s="289">
        <v>1100</v>
      </c>
      <c r="H364" s="289">
        <v>0</v>
      </c>
      <c r="I364" s="289">
        <v>110</v>
      </c>
      <c r="J364" s="289">
        <v>50</v>
      </c>
      <c r="K364" s="289">
        <v>5</v>
      </c>
      <c r="L364" s="289">
        <v>1265</v>
      </c>
    </row>
    <row r="365" spans="1:12">
      <c r="A365" s="288" t="s">
        <v>1188</v>
      </c>
      <c r="B365" s="288" t="s">
        <v>1076</v>
      </c>
      <c r="C365" s="288" t="s">
        <v>814</v>
      </c>
      <c r="D365" s="288" t="s">
        <v>818</v>
      </c>
      <c r="E365" s="289">
        <v>10</v>
      </c>
      <c r="F365" s="290">
        <v>13</v>
      </c>
      <c r="G365" s="289">
        <v>1100</v>
      </c>
      <c r="H365" s="289">
        <v>330</v>
      </c>
      <c r="I365" s="289">
        <v>143</v>
      </c>
      <c r="J365" s="289">
        <v>70</v>
      </c>
      <c r="K365" s="289">
        <v>7</v>
      </c>
      <c r="L365" s="289">
        <v>1650</v>
      </c>
    </row>
    <row r="366" spans="1:12">
      <c r="A366" s="288" t="s">
        <v>1189</v>
      </c>
      <c r="B366" s="288" t="s">
        <v>1076</v>
      </c>
      <c r="C366" s="288" t="s">
        <v>814</v>
      </c>
      <c r="D366" s="288" t="s">
        <v>815</v>
      </c>
      <c r="E366" s="289">
        <v>10</v>
      </c>
      <c r="F366" s="290">
        <v>21</v>
      </c>
      <c r="G366" s="289">
        <v>1100</v>
      </c>
      <c r="H366" s="289">
        <v>1210</v>
      </c>
      <c r="I366" s="289">
        <v>231</v>
      </c>
      <c r="J366" s="289">
        <v>50</v>
      </c>
      <c r="K366" s="289">
        <v>5</v>
      </c>
      <c r="L366" s="289">
        <v>2596</v>
      </c>
    </row>
    <row r="367" spans="1:12">
      <c r="A367" s="288" t="s">
        <v>1190</v>
      </c>
      <c r="B367" s="288" t="s">
        <v>1076</v>
      </c>
      <c r="C367" s="288" t="s">
        <v>814</v>
      </c>
      <c r="D367" s="288" t="s">
        <v>818</v>
      </c>
      <c r="E367" s="289">
        <v>10</v>
      </c>
      <c r="F367" s="290">
        <v>10</v>
      </c>
      <c r="G367" s="289">
        <v>1100</v>
      </c>
      <c r="H367" s="289">
        <v>0</v>
      </c>
      <c r="I367" s="289">
        <v>110</v>
      </c>
      <c r="J367" s="289">
        <v>70</v>
      </c>
      <c r="K367" s="289">
        <v>7</v>
      </c>
      <c r="L367" s="289">
        <v>1287</v>
      </c>
    </row>
    <row r="368" spans="1:12">
      <c r="A368" s="288" t="s">
        <v>1191</v>
      </c>
      <c r="B368" s="288" t="s">
        <v>1076</v>
      </c>
      <c r="C368" s="288" t="s">
        <v>814</v>
      </c>
      <c r="D368" s="288" t="s">
        <v>815</v>
      </c>
      <c r="E368" s="289">
        <v>10</v>
      </c>
      <c r="F368" s="290">
        <v>14</v>
      </c>
      <c r="G368" s="289">
        <v>1100</v>
      </c>
      <c r="H368" s="289">
        <v>440</v>
      </c>
      <c r="I368" s="289">
        <v>154</v>
      </c>
      <c r="J368" s="289">
        <v>50</v>
      </c>
      <c r="K368" s="289">
        <v>5</v>
      </c>
      <c r="L368" s="289">
        <v>1749</v>
      </c>
    </row>
    <row r="369" spans="1:12">
      <c r="A369" s="288" t="s">
        <v>1192</v>
      </c>
      <c r="B369" s="288" t="s">
        <v>1076</v>
      </c>
      <c r="C369" s="288" t="s">
        <v>814</v>
      </c>
      <c r="D369" s="288" t="s">
        <v>815</v>
      </c>
      <c r="E369" s="289">
        <v>10</v>
      </c>
      <c r="F369" s="290">
        <v>20</v>
      </c>
      <c r="G369" s="289">
        <v>1100</v>
      </c>
      <c r="H369" s="289">
        <v>1100</v>
      </c>
      <c r="I369" s="289">
        <v>220</v>
      </c>
      <c r="J369" s="289">
        <v>50</v>
      </c>
      <c r="K369" s="289">
        <v>5</v>
      </c>
      <c r="L369" s="289">
        <v>2475</v>
      </c>
    </row>
    <row r="370" spans="1:12">
      <c r="A370" s="288" t="s">
        <v>1193</v>
      </c>
      <c r="B370" s="288" t="s">
        <v>1076</v>
      </c>
      <c r="C370" s="288" t="s">
        <v>820</v>
      </c>
      <c r="D370" s="288" t="s">
        <v>818</v>
      </c>
      <c r="E370" s="289">
        <v>10</v>
      </c>
      <c r="F370" s="290">
        <v>2</v>
      </c>
      <c r="G370" s="289">
        <v>900</v>
      </c>
      <c r="H370" s="289">
        <v>0</v>
      </c>
      <c r="I370" s="289">
        <v>90</v>
      </c>
      <c r="J370" s="289">
        <v>70</v>
      </c>
      <c r="K370" s="289">
        <v>7</v>
      </c>
      <c r="L370" s="289">
        <v>1067</v>
      </c>
    </row>
    <row r="371" spans="1:12">
      <c r="A371" s="288" t="s">
        <v>1194</v>
      </c>
      <c r="B371" s="288" t="s">
        <v>1076</v>
      </c>
      <c r="C371" s="288" t="s">
        <v>814</v>
      </c>
      <c r="D371" s="288" t="s">
        <v>818</v>
      </c>
      <c r="E371" s="289">
        <v>10</v>
      </c>
      <c r="F371" s="290">
        <v>4</v>
      </c>
      <c r="G371" s="289">
        <v>900</v>
      </c>
      <c r="H371" s="289">
        <v>0</v>
      </c>
      <c r="I371" s="289">
        <v>90</v>
      </c>
      <c r="J371" s="289">
        <v>70</v>
      </c>
      <c r="K371" s="289">
        <v>7</v>
      </c>
      <c r="L371" s="289">
        <v>1067</v>
      </c>
    </row>
    <row r="372" spans="1:12">
      <c r="A372" s="288" t="s">
        <v>1195</v>
      </c>
      <c r="B372" s="288" t="s">
        <v>1076</v>
      </c>
      <c r="C372" s="288" t="s">
        <v>814</v>
      </c>
      <c r="D372" s="288" t="s">
        <v>815</v>
      </c>
      <c r="E372" s="289">
        <v>10</v>
      </c>
      <c r="F372" s="290">
        <v>0</v>
      </c>
      <c r="G372" s="289">
        <v>900</v>
      </c>
      <c r="H372" s="289">
        <v>0</v>
      </c>
      <c r="I372" s="289">
        <v>90</v>
      </c>
      <c r="J372" s="289">
        <v>50</v>
      </c>
      <c r="K372" s="289">
        <v>5</v>
      </c>
      <c r="L372" s="289">
        <v>1045</v>
      </c>
    </row>
    <row r="373" spans="1:12">
      <c r="A373" s="288" t="s">
        <v>1196</v>
      </c>
      <c r="B373" s="288" t="s">
        <v>1076</v>
      </c>
      <c r="C373" s="288" t="s">
        <v>814</v>
      </c>
      <c r="D373" s="288" t="s">
        <v>818</v>
      </c>
      <c r="E373" s="289">
        <v>10</v>
      </c>
      <c r="F373" s="290">
        <v>14</v>
      </c>
      <c r="G373" s="289">
        <v>1100</v>
      </c>
      <c r="H373" s="289">
        <v>440</v>
      </c>
      <c r="I373" s="289">
        <v>154</v>
      </c>
      <c r="J373" s="289">
        <v>70</v>
      </c>
      <c r="K373" s="289">
        <v>7</v>
      </c>
      <c r="L373" s="289">
        <v>1771</v>
      </c>
    </row>
    <row r="374" spans="1:12">
      <c r="A374" s="288" t="s">
        <v>1197</v>
      </c>
      <c r="B374" s="288" t="s">
        <v>1076</v>
      </c>
      <c r="C374" s="288" t="s">
        <v>814</v>
      </c>
      <c r="D374" s="288" t="s">
        <v>815</v>
      </c>
      <c r="E374" s="289">
        <v>10</v>
      </c>
      <c r="F374" s="290">
        <v>12</v>
      </c>
      <c r="G374" s="289">
        <v>1100</v>
      </c>
      <c r="H374" s="289">
        <v>220</v>
      </c>
      <c r="I374" s="289">
        <v>132</v>
      </c>
      <c r="J374" s="289">
        <v>50</v>
      </c>
      <c r="K374" s="289">
        <v>5</v>
      </c>
      <c r="L374" s="289">
        <v>1507</v>
      </c>
    </row>
    <row r="375" spans="1:12">
      <c r="A375" s="288" t="s">
        <v>1198</v>
      </c>
      <c r="B375" s="288" t="s">
        <v>1076</v>
      </c>
      <c r="C375" s="288" t="s">
        <v>814</v>
      </c>
      <c r="D375" s="288" t="s">
        <v>818</v>
      </c>
      <c r="E375" s="289">
        <v>10</v>
      </c>
      <c r="F375" s="290">
        <v>48</v>
      </c>
      <c r="G375" s="289">
        <v>1100</v>
      </c>
      <c r="H375" s="289">
        <v>4180</v>
      </c>
      <c r="I375" s="289">
        <v>528</v>
      </c>
      <c r="J375" s="289">
        <v>70</v>
      </c>
      <c r="K375" s="289">
        <v>7</v>
      </c>
      <c r="L375" s="289">
        <v>5885</v>
      </c>
    </row>
    <row r="376" spans="1:12">
      <c r="A376" s="288" t="s">
        <v>1199</v>
      </c>
      <c r="B376" s="288" t="s">
        <v>1076</v>
      </c>
      <c r="C376" s="288" t="s">
        <v>814</v>
      </c>
      <c r="D376" s="288" t="s">
        <v>815</v>
      </c>
      <c r="E376" s="289">
        <v>10</v>
      </c>
      <c r="F376" s="290">
        <v>3</v>
      </c>
      <c r="G376" s="289">
        <v>900</v>
      </c>
      <c r="H376" s="289">
        <v>0</v>
      </c>
      <c r="I376" s="289">
        <v>90</v>
      </c>
      <c r="J376" s="289">
        <v>50</v>
      </c>
      <c r="K376" s="289">
        <v>5</v>
      </c>
      <c r="L376" s="289">
        <v>1045</v>
      </c>
    </row>
    <row r="377" spans="1:12">
      <c r="A377" s="288" t="s">
        <v>1200</v>
      </c>
      <c r="B377" s="288" t="s">
        <v>1076</v>
      </c>
      <c r="C377" s="288" t="s">
        <v>814</v>
      </c>
      <c r="D377" s="288" t="s">
        <v>818</v>
      </c>
      <c r="E377" s="289">
        <v>10</v>
      </c>
      <c r="F377" s="290">
        <v>31</v>
      </c>
      <c r="G377" s="289">
        <v>1100</v>
      </c>
      <c r="H377" s="289">
        <v>2310</v>
      </c>
      <c r="I377" s="289">
        <v>341</v>
      </c>
      <c r="J377" s="289">
        <v>70</v>
      </c>
      <c r="K377" s="289">
        <v>7</v>
      </c>
      <c r="L377" s="289">
        <v>3828</v>
      </c>
    </row>
    <row r="378" spans="1:12">
      <c r="A378" s="288" t="s">
        <v>1201</v>
      </c>
      <c r="B378" s="288" t="s">
        <v>1076</v>
      </c>
      <c r="C378" s="288" t="s">
        <v>814</v>
      </c>
      <c r="D378" s="288" t="s">
        <v>818</v>
      </c>
      <c r="E378" s="289">
        <v>10</v>
      </c>
      <c r="F378" s="290">
        <v>14</v>
      </c>
      <c r="G378" s="289">
        <v>1100</v>
      </c>
      <c r="H378" s="289">
        <v>440</v>
      </c>
      <c r="I378" s="289">
        <v>154</v>
      </c>
      <c r="J378" s="289">
        <v>70</v>
      </c>
      <c r="K378" s="289">
        <v>7</v>
      </c>
      <c r="L378" s="289">
        <v>1771</v>
      </c>
    </row>
    <row r="379" spans="1:12">
      <c r="A379" s="288" t="s">
        <v>1202</v>
      </c>
      <c r="B379" s="288" t="s">
        <v>1076</v>
      </c>
      <c r="C379" s="288" t="s">
        <v>814</v>
      </c>
      <c r="D379" s="288" t="s">
        <v>818</v>
      </c>
      <c r="E379" s="289">
        <v>10</v>
      </c>
      <c r="F379" s="290">
        <v>26</v>
      </c>
      <c r="G379" s="289">
        <v>1100</v>
      </c>
      <c r="H379" s="289">
        <v>1760</v>
      </c>
      <c r="I379" s="289">
        <v>286</v>
      </c>
      <c r="J379" s="289">
        <v>70</v>
      </c>
      <c r="K379" s="289">
        <v>7</v>
      </c>
      <c r="L379" s="289">
        <v>3223</v>
      </c>
    </row>
    <row r="380" spans="1:12">
      <c r="A380" s="288" t="s">
        <v>1203</v>
      </c>
      <c r="B380" s="288" t="s">
        <v>1076</v>
      </c>
      <c r="C380" s="288" t="s">
        <v>814</v>
      </c>
      <c r="D380" s="288" t="s">
        <v>815</v>
      </c>
      <c r="E380" s="289">
        <v>10</v>
      </c>
      <c r="F380" s="290">
        <v>16</v>
      </c>
      <c r="G380" s="289">
        <v>1100</v>
      </c>
      <c r="H380" s="289">
        <v>660</v>
      </c>
      <c r="I380" s="289">
        <v>176</v>
      </c>
      <c r="J380" s="289">
        <v>50</v>
      </c>
      <c r="K380" s="289">
        <v>5</v>
      </c>
      <c r="L380" s="289">
        <v>1991</v>
      </c>
    </row>
    <row r="381" spans="1:12">
      <c r="A381" s="288" t="s">
        <v>1204</v>
      </c>
      <c r="B381" s="288" t="s">
        <v>1076</v>
      </c>
      <c r="C381" s="288" t="s">
        <v>814</v>
      </c>
      <c r="D381" s="288" t="s">
        <v>815</v>
      </c>
      <c r="E381" s="289">
        <v>10</v>
      </c>
      <c r="F381" s="290">
        <v>12</v>
      </c>
      <c r="G381" s="289">
        <v>1100</v>
      </c>
      <c r="H381" s="289">
        <v>220</v>
      </c>
      <c r="I381" s="289">
        <v>132</v>
      </c>
      <c r="J381" s="289">
        <v>50</v>
      </c>
      <c r="K381" s="289">
        <v>5</v>
      </c>
      <c r="L381" s="289">
        <v>1507</v>
      </c>
    </row>
    <row r="382" spans="1:12">
      <c r="A382" s="288" t="s">
        <v>1205</v>
      </c>
      <c r="B382" s="288" t="s">
        <v>1076</v>
      </c>
      <c r="C382" s="288" t="s">
        <v>814</v>
      </c>
      <c r="D382" s="288" t="s">
        <v>818</v>
      </c>
      <c r="E382" s="289">
        <v>10</v>
      </c>
      <c r="F382" s="290">
        <v>7</v>
      </c>
      <c r="G382" s="289">
        <v>1100</v>
      </c>
      <c r="H382" s="289">
        <v>0</v>
      </c>
      <c r="I382" s="289">
        <v>110</v>
      </c>
      <c r="J382" s="289">
        <v>70</v>
      </c>
      <c r="K382" s="289">
        <v>7</v>
      </c>
      <c r="L382" s="289">
        <v>1287</v>
      </c>
    </row>
    <row r="383" spans="1:12">
      <c r="A383" s="288" t="s">
        <v>1206</v>
      </c>
      <c r="B383" s="288" t="s">
        <v>1076</v>
      </c>
      <c r="C383" s="288" t="s">
        <v>814</v>
      </c>
      <c r="D383" s="288" t="s">
        <v>815</v>
      </c>
      <c r="E383" s="289">
        <v>10</v>
      </c>
      <c r="F383" s="290">
        <v>26</v>
      </c>
      <c r="G383" s="289">
        <v>1100</v>
      </c>
      <c r="H383" s="289">
        <v>1760</v>
      </c>
      <c r="I383" s="289">
        <v>286</v>
      </c>
      <c r="J383" s="289">
        <v>50</v>
      </c>
      <c r="K383" s="289">
        <v>5</v>
      </c>
      <c r="L383" s="289">
        <v>3201</v>
      </c>
    </row>
    <row r="384" spans="1:12">
      <c r="A384" s="288" t="s">
        <v>1207</v>
      </c>
      <c r="B384" s="288" t="s">
        <v>1076</v>
      </c>
      <c r="C384" s="288" t="s">
        <v>814</v>
      </c>
      <c r="D384" s="288" t="s">
        <v>818</v>
      </c>
      <c r="E384" s="289">
        <v>10</v>
      </c>
      <c r="F384" s="290">
        <v>23</v>
      </c>
      <c r="G384" s="289">
        <v>1100</v>
      </c>
      <c r="H384" s="289">
        <v>1430</v>
      </c>
      <c r="I384" s="289">
        <v>253</v>
      </c>
      <c r="J384" s="289">
        <v>70</v>
      </c>
      <c r="K384" s="289">
        <v>7</v>
      </c>
      <c r="L384" s="289">
        <v>2860</v>
      </c>
    </row>
    <row r="385" spans="1:12">
      <c r="A385" s="288" t="s">
        <v>1208</v>
      </c>
      <c r="B385" s="288" t="s">
        <v>1076</v>
      </c>
      <c r="C385" s="288" t="s">
        <v>814</v>
      </c>
      <c r="D385" s="288" t="s">
        <v>818</v>
      </c>
      <c r="E385" s="289">
        <v>10</v>
      </c>
      <c r="F385" s="290">
        <v>22</v>
      </c>
      <c r="G385" s="289">
        <v>1100</v>
      </c>
      <c r="H385" s="289">
        <v>1320</v>
      </c>
      <c r="I385" s="289">
        <v>242</v>
      </c>
      <c r="J385" s="289">
        <v>70</v>
      </c>
      <c r="K385" s="289">
        <v>7</v>
      </c>
      <c r="L385" s="289">
        <v>2739</v>
      </c>
    </row>
    <row r="386" spans="1:12">
      <c r="A386" s="288" t="s">
        <v>1209</v>
      </c>
      <c r="B386" s="288" t="s">
        <v>1076</v>
      </c>
      <c r="C386" s="288" t="s">
        <v>814</v>
      </c>
      <c r="D386" s="288" t="s">
        <v>815</v>
      </c>
      <c r="E386" s="289">
        <v>10</v>
      </c>
      <c r="F386" s="290">
        <v>17</v>
      </c>
      <c r="G386" s="289">
        <v>1100</v>
      </c>
      <c r="H386" s="289">
        <v>770</v>
      </c>
      <c r="I386" s="289">
        <v>187</v>
      </c>
      <c r="J386" s="289">
        <v>50</v>
      </c>
      <c r="K386" s="289">
        <v>5</v>
      </c>
      <c r="L386" s="289">
        <v>2112</v>
      </c>
    </row>
    <row r="387" spans="1:12">
      <c r="A387" s="288" t="s">
        <v>1210</v>
      </c>
      <c r="B387" s="288" t="s">
        <v>1076</v>
      </c>
      <c r="C387" s="288" t="s">
        <v>814</v>
      </c>
      <c r="D387" s="288" t="s">
        <v>818</v>
      </c>
      <c r="E387" s="289">
        <v>10</v>
      </c>
      <c r="F387" s="290">
        <v>7</v>
      </c>
      <c r="G387" s="289">
        <v>1100</v>
      </c>
      <c r="H387" s="289">
        <v>0</v>
      </c>
      <c r="I387" s="289">
        <v>110</v>
      </c>
      <c r="J387" s="289">
        <v>70</v>
      </c>
      <c r="K387" s="289">
        <v>7</v>
      </c>
      <c r="L387" s="289">
        <v>1287</v>
      </c>
    </row>
    <row r="388" spans="1:12">
      <c r="A388" s="288" t="s">
        <v>1211</v>
      </c>
      <c r="B388" s="288" t="s">
        <v>1076</v>
      </c>
      <c r="C388" s="288" t="s">
        <v>814</v>
      </c>
      <c r="D388" s="288" t="s">
        <v>815</v>
      </c>
      <c r="E388" s="289">
        <v>10</v>
      </c>
      <c r="F388" s="290">
        <v>6</v>
      </c>
      <c r="G388" s="289">
        <v>1100</v>
      </c>
      <c r="H388" s="289">
        <v>0</v>
      </c>
      <c r="I388" s="289">
        <v>110</v>
      </c>
      <c r="J388" s="289">
        <v>50</v>
      </c>
      <c r="K388" s="289">
        <v>5</v>
      </c>
      <c r="L388" s="289">
        <v>1265</v>
      </c>
    </row>
    <row r="389" spans="1:12">
      <c r="A389" s="288" t="s">
        <v>1212</v>
      </c>
      <c r="B389" s="288" t="s">
        <v>1076</v>
      </c>
      <c r="C389" s="288" t="s">
        <v>814</v>
      </c>
      <c r="D389" s="288" t="s">
        <v>815</v>
      </c>
      <c r="E389" s="289">
        <v>10</v>
      </c>
      <c r="F389" s="290">
        <v>0</v>
      </c>
      <c r="G389" s="289">
        <v>900</v>
      </c>
      <c r="H389" s="289">
        <v>0</v>
      </c>
      <c r="I389" s="289">
        <v>90</v>
      </c>
      <c r="J389" s="289">
        <v>50</v>
      </c>
      <c r="K389" s="289">
        <v>5</v>
      </c>
      <c r="L389" s="289">
        <v>1045</v>
      </c>
    </row>
    <row r="390" spans="1:12">
      <c r="A390" s="288" t="s">
        <v>1213</v>
      </c>
      <c r="B390" s="288" t="s">
        <v>1076</v>
      </c>
      <c r="C390" s="288" t="s">
        <v>814</v>
      </c>
      <c r="D390" s="288" t="s">
        <v>815</v>
      </c>
      <c r="E390" s="289">
        <v>10</v>
      </c>
      <c r="F390" s="290">
        <v>19</v>
      </c>
      <c r="G390" s="289">
        <v>1100</v>
      </c>
      <c r="H390" s="289">
        <v>990</v>
      </c>
      <c r="I390" s="289">
        <v>209</v>
      </c>
      <c r="J390" s="289">
        <v>50</v>
      </c>
      <c r="K390" s="289">
        <v>5</v>
      </c>
      <c r="L390" s="289">
        <v>2354</v>
      </c>
    </row>
    <row r="391" spans="1:12">
      <c r="A391" s="288" t="s">
        <v>1214</v>
      </c>
      <c r="B391" s="288" t="s">
        <v>1076</v>
      </c>
      <c r="C391" s="288" t="s">
        <v>814</v>
      </c>
      <c r="D391" s="288" t="s">
        <v>815</v>
      </c>
      <c r="E391" s="289">
        <v>10</v>
      </c>
      <c r="F391" s="290">
        <v>12</v>
      </c>
      <c r="G391" s="289">
        <v>1100</v>
      </c>
      <c r="H391" s="289">
        <v>220</v>
      </c>
      <c r="I391" s="289">
        <v>132</v>
      </c>
      <c r="J391" s="289">
        <v>50</v>
      </c>
      <c r="K391" s="289">
        <v>5</v>
      </c>
      <c r="L391" s="289">
        <v>1507</v>
      </c>
    </row>
    <row r="392" spans="1:12">
      <c r="A392" s="288" t="s">
        <v>1215</v>
      </c>
      <c r="B392" s="288" t="s">
        <v>1076</v>
      </c>
      <c r="C392" s="288" t="s">
        <v>814</v>
      </c>
      <c r="D392" s="288" t="s">
        <v>818</v>
      </c>
      <c r="E392" s="289">
        <v>10</v>
      </c>
      <c r="F392" s="290">
        <v>24</v>
      </c>
      <c r="G392" s="289">
        <v>1100</v>
      </c>
      <c r="H392" s="289">
        <v>1540</v>
      </c>
      <c r="I392" s="289">
        <v>264</v>
      </c>
      <c r="J392" s="289">
        <v>70</v>
      </c>
      <c r="K392" s="289">
        <v>7</v>
      </c>
      <c r="L392" s="289">
        <v>2981</v>
      </c>
    </row>
    <row r="393" spans="1:12">
      <c r="A393" s="288" t="s">
        <v>1216</v>
      </c>
      <c r="B393" s="288" t="s">
        <v>1076</v>
      </c>
      <c r="C393" s="288" t="s">
        <v>814</v>
      </c>
      <c r="D393" s="288" t="s">
        <v>818</v>
      </c>
      <c r="E393" s="289">
        <v>10</v>
      </c>
      <c r="F393" s="290">
        <v>6</v>
      </c>
      <c r="G393" s="289">
        <v>1100</v>
      </c>
      <c r="H393" s="289">
        <v>0</v>
      </c>
      <c r="I393" s="289">
        <v>110</v>
      </c>
      <c r="J393" s="289">
        <v>70</v>
      </c>
      <c r="K393" s="289">
        <v>7</v>
      </c>
      <c r="L393" s="289">
        <v>1287</v>
      </c>
    </row>
    <row r="394" spans="1:12">
      <c r="A394" s="288" t="s">
        <v>1217</v>
      </c>
      <c r="B394" s="288" t="s">
        <v>1076</v>
      </c>
      <c r="C394" s="288" t="s">
        <v>814</v>
      </c>
      <c r="D394" s="288" t="s">
        <v>815</v>
      </c>
      <c r="E394" s="289">
        <v>10</v>
      </c>
      <c r="F394" s="290">
        <v>7</v>
      </c>
      <c r="G394" s="289">
        <v>1100</v>
      </c>
      <c r="H394" s="289">
        <v>0</v>
      </c>
      <c r="I394" s="289">
        <v>110</v>
      </c>
      <c r="J394" s="289">
        <v>50</v>
      </c>
      <c r="K394" s="289">
        <v>5</v>
      </c>
      <c r="L394" s="289">
        <v>1265</v>
      </c>
    </row>
    <row r="395" spans="1:12">
      <c r="A395" s="288" t="s">
        <v>1218</v>
      </c>
      <c r="B395" s="288" t="s">
        <v>1076</v>
      </c>
      <c r="C395" s="288" t="s">
        <v>814</v>
      </c>
      <c r="D395" s="288" t="s">
        <v>815</v>
      </c>
      <c r="E395" s="289">
        <v>10</v>
      </c>
      <c r="F395" s="290">
        <v>15</v>
      </c>
      <c r="G395" s="289">
        <v>1100</v>
      </c>
      <c r="H395" s="289">
        <v>550</v>
      </c>
      <c r="I395" s="289">
        <v>165</v>
      </c>
      <c r="J395" s="289">
        <v>50</v>
      </c>
      <c r="K395" s="289">
        <v>5</v>
      </c>
      <c r="L395" s="289">
        <v>1870</v>
      </c>
    </row>
    <row r="396" spans="1:12">
      <c r="A396" s="288" t="s">
        <v>1219</v>
      </c>
      <c r="B396" s="288" t="s">
        <v>1076</v>
      </c>
      <c r="C396" s="288" t="s">
        <v>814</v>
      </c>
      <c r="D396" s="288" t="s">
        <v>818</v>
      </c>
      <c r="E396" s="289">
        <v>10</v>
      </c>
      <c r="F396" s="290">
        <v>20</v>
      </c>
      <c r="G396" s="289">
        <v>1100</v>
      </c>
      <c r="H396" s="289">
        <v>1100</v>
      </c>
      <c r="I396" s="289">
        <v>220</v>
      </c>
      <c r="J396" s="289">
        <v>70</v>
      </c>
      <c r="K396" s="289">
        <v>7</v>
      </c>
      <c r="L396" s="289">
        <v>2497</v>
      </c>
    </row>
    <row r="397" spans="1:12">
      <c r="A397" s="288" t="s">
        <v>1220</v>
      </c>
      <c r="B397" s="288" t="s">
        <v>1076</v>
      </c>
      <c r="C397" s="288" t="s">
        <v>814</v>
      </c>
      <c r="D397" s="288" t="s">
        <v>815</v>
      </c>
      <c r="E397" s="289">
        <v>10</v>
      </c>
      <c r="F397" s="290">
        <v>41</v>
      </c>
      <c r="G397" s="289">
        <v>1100</v>
      </c>
      <c r="H397" s="289">
        <v>3410</v>
      </c>
      <c r="I397" s="289">
        <v>451</v>
      </c>
      <c r="J397" s="289">
        <v>50</v>
      </c>
      <c r="K397" s="289">
        <v>5</v>
      </c>
      <c r="L397" s="289">
        <v>5016</v>
      </c>
    </row>
    <row r="398" spans="1:12">
      <c r="A398" s="288" t="s">
        <v>1221</v>
      </c>
      <c r="B398" s="288" t="s">
        <v>1076</v>
      </c>
      <c r="C398" s="288" t="s">
        <v>814</v>
      </c>
      <c r="D398" s="288" t="s">
        <v>818</v>
      </c>
      <c r="E398" s="289">
        <v>10</v>
      </c>
      <c r="F398" s="290">
        <v>8</v>
      </c>
      <c r="G398" s="289">
        <v>1100</v>
      </c>
      <c r="H398" s="289">
        <v>0</v>
      </c>
      <c r="I398" s="289">
        <v>110</v>
      </c>
      <c r="J398" s="289">
        <v>70</v>
      </c>
      <c r="K398" s="289">
        <v>7</v>
      </c>
      <c r="L398" s="289">
        <v>1287</v>
      </c>
    </row>
    <row r="399" spans="1:12">
      <c r="A399" s="288" t="s">
        <v>1222</v>
      </c>
      <c r="B399" s="288" t="s">
        <v>1076</v>
      </c>
      <c r="C399" s="288" t="s">
        <v>814</v>
      </c>
      <c r="D399" s="288" t="s">
        <v>815</v>
      </c>
      <c r="E399" s="289">
        <v>10</v>
      </c>
      <c r="F399" s="290">
        <v>19</v>
      </c>
      <c r="G399" s="289">
        <v>1100</v>
      </c>
      <c r="H399" s="289">
        <v>990</v>
      </c>
      <c r="I399" s="289">
        <v>209</v>
      </c>
      <c r="J399" s="289">
        <v>50</v>
      </c>
      <c r="K399" s="289">
        <v>5</v>
      </c>
      <c r="L399" s="289">
        <v>2354</v>
      </c>
    </row>
    <row r="400" spans="1:12">
      <c r="A400" s="288" t="s">
        <v>1223</v>
      </c>
      <c r="B400" s="288" t="s">
        <v>1076</v>
      </c>
      <c r="C400" s="288" t="s">
        <v>814</v>
      </c>
      <c r="D400" s="288" t="s">
        <v>818</v>
      </c>
      <c r="E400" s="289">
        <v>10</v>
      </c>
      <c r="F400" s="290">
        <v>14</v>
      </c>
      <c r="G400" s="289">
        <v>1100</v>
      </c>
      <c r="H400" s="289">
        <v>440</v>
      </c>
      <c r="I400" s="289">
        <v>154</v>
      </c>
      <c r="J400" s="289">
        <v>70</v>
      </c>
      <c r="K400" s="289">
        <v>7</v>
      </c>
      <c r="L400" s="289">
        <v>1771</v>
      </c>
    </row>
    <row r="401" spans="1:12">
      <c r="A401" s="288" t="s">
        <v>1224</v>
      </c>
      <c r="B401" s="288" t="s">
        <v>1076</v>
      </c>
      <c r="C401" s="288" t="s">
        <v>814</v>
      </c>
      <c r="D401" s="288" t="s">
        <v>818</v>
      </c>
      <c r="E401" s="289">
        <v>10</v>
      </c>
      <c r="F401" s="290">
        <v>9</v>
      </c>
      <c r="G401" s="289">
        <v>1100</v>
      </c>
      <c r="H401" s="289">
        <v>0</v>
      </c>
      <c r="I401" s="289">
        <v>110</v>
      </c>
      <c r="J401" s="289">
        <v>70</v>
      </c>
      <c r="K401" s="289">
        <v>7</v>
      </c>
      <c r="L401" s="289">
        <v>1287</v>
      </c>
    </row>
    <row r="402" spans="1:12">
      <c r="A402" s="288" t="s">
        <v>1225</v>
      </c>
      <c r="B402" s="288" t="s">
        <v>1076</v>
      </c>
      <c r="C402" s="288" t="s">
        <v>814</v>
      </c>
      <c r="D402" s="288" t="s">
        <v>815</v>
      </c>
      <c r="E402" s="289">
        <v>10</v>
      </c>
      <c r="F402" s="290">
        <v>0</v>
      </c>
      <c r="G402" s="289">
        <v>900</v>
      </c>
      <c r="H402" s="289">
        <v>0</v>
      </c>
      <c r="I402" s="289">
        <v>90</v>
      </c>
      <c r="J402" s="289">
        <v>50</v>
      </c>
      <c r="K402" s="289">
        <v>5</v>
      </c>
      <c r="L402" s="289">
        <v>1045</v>
      </c>
    </row>
    <row r="403" spans="1:12">
      <c r="A403" s="288" t="s">
        <v>1226</v>
      </c>
      <c r="B403" s="288" t="s">
        <v>1076</v>
      </c>
      <c r="C403" s="288" t="s">
        <v>814</v>
      </c>
      <c r="D403" s="288" t="s">
        <v>815</v>
      </c>
      <c r="E403" s="289">
        <v>10</v>
      </c>
      <c r="F403" s="290">
        <v>0</v>
      </c>
      <c r="G403" s="289">
        <v>900</v>
      </c>
      <c r="H403" s="289">
        <v>0</v>
      </c>
      <c r="I403" s="289">
        <v>90</v>
      </c>
      <c r="J403" s="289">
        <v>50</v>
      </c>
      <c r="K403" s="289">
        <v>5</v>
      </c>
      <c r="L403" s="289">
        <v>1045</v>
      </c>
    </row>
    <row r="404" spans="1:12">
      <c r="A404" s="288" t="s">
        <v>1227</v>
      </c>
      <c r="B404" s="288" t="s">
        <v>1076</v>
      </c>
      <c r="C404" s="288" t="s">
        <v>814</v>
      </c>
      <c r="D404" s="288" t="s">
        <v>815</v>
      </c>
      <c r="E404" s="289">
        <v>10</v>
      </c>
      <c r="F404" s="290">
        <v>9</v>
      </c>
      <c r="G404" s="289">
        <v>1100</v>
      </c>
      <c r="H404" s="289">
        <v>0</v>
      </c>
      <c r="I404" s="289">
        <v>110</v>
      </c>
      <c r="J404" s="289">
        <v>50</v>
      </c>
      <c r="K404" s="289">
        <v>5</v>
      </c>
      <c r="L404" s="289">
        <v>1265</v>
      </c>
    </row>
    <row r="405" spans="1:12">
      <c r="A405" s="288" t="s">
        <v>1228</v>
      </c>
      <c r="B405" s="288" t="s">
        <v>1076</v>
      </c>
      <c r="C405" s="288" t="s">
        <v>814</v>
      </c>
      <c r="D405" s="288" t="s">
        <v>815</v>
      </c>
      <c r="E405" s="289">
        <v>10</v>
      </c>
      <c r="F405" s="290">
        <v>14</v>
      </c>
      <c r="G405" s="289">
        <v>1100</v>
      </c>
      <c r="H405" s="289">
        <v>440</v>
      </c>
      <c r="I405" s="289">
        <v>154</v>
      </c>
      <c r="J405" s="289">
        <v>50</v>
      </c>
      <c r="K405" s="289">
        <v>5</v>
      </c>
      <c r="L405" s="289">
        <v>1749</v>
      </c>
    </row>
    <row r="406" spans="1:12">
      <c r="A406" s="288" t="s">
        <v>1229</v>
      </c>
      <c r="B406" s="288" t="s">
        <v>1076</v>
      </c>
      <c r="C406" s="288" t="s">
        <v>814</v>
      </c>
      <c r="D406" s="288" t="s">
        <v>815</v>
      </c>
      <c r="E406" s="289">
        <v>10</v>
      </c>
      <c r="F406" s="290">
        <v>0</v>
      </c>
      <c r="G406" s="289">
        <v>900</v>
      </c>
      <c r="H406" s="289">
        <v>0</v>
      </c>
      <c r="I406" s="289">
        <v>90</v>
      </c>
      <c r="J406" s="289">
        <v>50</v>
      </c>
      <c r="K406" s="289">
        <v>5</v>
      </c>
      <c r="L406" s="289">
        <v>1045</v>
      </c>
    </row>
    <row r="407" spans="1:12">
      <c r="A407" s="288" t="s">
        <v>1230</v>
      </c>
      <c r="B407" s="288" t="s">
        <v>1076</v>
      </c>
      <c r="C407" s="288" t="s">
        <v>814</v>
      </c>
      <c r="D407" s="288" t="s">
        <v>818</v>
      </c>
      <c r="E407" s="289">
        <v>10</v>
      </c>
      <c r="F407" s="290">
        <v>8</v>
      </c>
      <c r="G407" s="289">
        <v>1100</v>
      </c>
      <c r="H407" s="289">
        <v>0</v>
      </c>
      <c r="I407" s="289">
        <v>110</v>
      </c>
      <c r="J407" s="289">
        <v>70</v>
      </c>
      <c r="K407" s="289">
        <v>7</v>
      </c>
      <c r="L407" s="289">
        <v>1287</v>
      </c>
    </row>
    <row r="408" spans="1:12">
      <c r="A408" s="288" t="s">
        <v>1231</v>
      </c>
      <c r="B408" s="288" t="s">
        <v>1076</v>
      </c>
      <c r="C408" s="288" t="s">
        <v>814</v>
      </c>
      <c r="D408" s="288" t="s">
        <v>815</v>
      </c>
      <c r="E408" s="289">
        <v>10</v>
      </c>
      <c r="F408" s="290">
        <v>18</v>
      </c>
      <c r="G408" s="289">
        <v>1100</v>
      </c>
      <c r="H408" s="289">
        <v>880</v>
      </c>
      <c r="I408" s="289">
        <v>198</v>
      </c>
      <c r="J408" s="289">
        <v>50</v>
      </c>
      <c r="K408" s="289">
        <v>5</v>
      </c>
      <c r="L408" s="289">
        <v>2233</v>
      </c>
    </row>
    <row r="409" spans="1:12">
      <c r="A409" s="288" t="s">
        <v>1232</v>
      </c>
      <c r="B409" s="288" t="s">
        <v>1076</v>
      </c>
      <c r="C409" s="288" t="s">
        <v>814</v>
      </c>
      <c r="D409" s="288" t="s">
        <v>815</v>
      </c>
      <c r="E409" s="289">
        <v>10</v>
      </c>
      <c r="F409" s="290">
        <v>2</v>
      </c>
      <c r="G409" s="289">
        <v>900</v>
      </c>
      <c r="H409" s="289">
        <v>0</v>
      </c>
      <c r="I409" s="289">
        <v>90</v>
      </c>
      <c r="J409" s="289">
        <v>50</v>
      </c>
      <c r="K409" s="289">
        <v>5</v>
      </c>
      <c r="L409" s="289">
        <v>1045</v>
      </c>
    </row>
    <row r="410" spans="1:12">
      <c r="A410" s="288" t="s">
        <v>1233</v>
      </c>
      <c r="B410" s="288" t="s">
        <v>1076</v>
      </c>
      <c r="C410" s="288" t="s">
        <v>814</v>
      </c>
      <c r="D410" s="288" t="s">
        <v>815</v>
      </c>
      <c r="E410" s="289">
        <v>10</v>
      </c>
      <c r="F410" s="290">
        <v>7</v>
      </c>
      <c r="G410" s="289">
        <v>1100</v>
      </c>
      <c r="H410" s="289">
        <v>0</v>
      </c>
      <c r="I410" s="289">
        <v>110</v>
      </c>
      <c r="J410" s="289">
        <v>50</v>
      </c>
      <c r="K410" s="289">
        <v>5</v>
      </c>
      <c r="L410" s="289">
        <v>1265</v>
      </c>
    </row>
    <row r="411" spans="1:12">
      <c r="A411" s="288" t="s">
        <v>1234</v>
      </c>
      <c r="B411" s="288" t="s">
        <v>1076</v>
      </c>
      <c r="C411" s="288" t="s">
        <v>814</v>
      </c>
      <c r="D411" s="288" t="s">
        <v>815</v>
      </c>
      <c r="E411" s="289">
        <v>10</v>
      </c>
      <c r="F411" s="290">
        <v>2</v>
      </c>
      <c r="G411" s="289">
        <v>900</v>
      </c>
      <c r="H411" s="289">
        <v>0</v>
      </c>
      <c r="I411" s="289">
        <v>90</v>
      </c>
      <c r="J411" s="289">
        <v>50</v>
      </c>
      <c r="K411" s="289">
        <v>5</v>
      </c>
      <c r="L411" s="289">
        <v>1045</v>
      </c>
    </row>
    <row r="412" spans="1:12">
      <c r="A412" s="288" t="s">
        <v>1235</v>
      </c>
      <c r="B412" s="288" t="s">
        <v>1076</v>
      </c>
      <c r="C412" s="288" t="s">
        <v>814</v>
      </c>
      <c r="D412" s="288" t="s">
        <v>818</v>
      </c>
      <c r="E412" s="289">
        <v>10</v>
      </c>
      <c r="F412" s="290">
        <v>0</v>
      </c>
      <c r="G412" s="289">
        <v>900</v>
      </c>
      <c r="H412" s="289">
        <v>0</v>
      </c>
      <c r="I412" s="289">
        <v>90</v>
      </c>
      <c r="J412" s="289">
        <v>70</v>
      </c>
      <c r="K412" s="289">
        <v>7</v>
      </c>
      <c r="L412" s="289">
        <v>1067</v>
      </c>
    </row>
    <row r="413" spans="1:12">
      <c r="A413" s="288" t="s">
        <v>1236</v>
      </c>
      <c r="B413" s="288" t="s">
        <v>1076</v>
      </c>
      <c r="C413" s="288" t="s">
        <v>814</v>
      </c>
      <c r="D413" s="288" t="s">
        <v>815</v>
      </c>
      <c r="E413" s="289">
        <v>10</v>
      </c>
      <c r="F413" s="290">
        <v>0</v>
      </c>
      <c r="G413" s="289">
        <v>900</v>
      </c>
      <c r="H413" s="289">
        <v>0</v>
      </c>
      <c r="I413" s="289">
        <v>90</v>
      </c>
      <c r="J413" s="289">
        <v>50</v>
      </c>
      <c r="K413" s="289">
        <v>5</v>
      </c>
      <c r="L413" s="289">
        <v>1045</v>
      </c>
    </row>
    <row r="414" spans="1:12">
      <c r="A414" s="288" t="s">
        <v>1237</v>
      </c>
      <c r="B414" s="288" t="s">
        <v>1076</v>
      </c>
      <c r="C414" s="288" t="s">
        <v>814</v>
      </c>
      <c r="D414" s="288" t="s">
        <v>815</v>
      </c>
      <c r="E414" s="289">
        <v>10</v>
      </c>
      <c r="F414" s="290">
        <v>8</v>
      </c>
      <c r="G414" s="289">
        <v>1100</v>
      </c>
      <c r="H414" s="289">
        <v>0</v>
      </c>
      <c r="I414" s="289">
        <v>110</v>
      </c>
      <c r="J414" s="289">
        <v>50</v>
      </c>
      <c r="K414" s="289">
        <v>5</v>
      </c>
      <c r="L414" s="289">
        <v>1265</v>
      </c>
    </row>
    <row r="415" spans="1:12">
      <c r="A415" s="288" t="s">
        <v>1238</v>
      </c>
      <c r="B415" s="288" t="s">
        <v>1076</v>
      </c>
      <c r="C415" s="288" t="s">
        <v>814</v>
      </c>
      <c r="D415" s="288" t="s">
        <v>815</v>
      </c>
      <c r="E415" s="289">
        <v>10</v>
      </c>
      <c r="F415" s="290">
        <v>10</v>
      </c>
      <c r="G415" s="289">
        <v>1100</v>
      </c>
      <c r="H415" s="289">
        <v>0</v>
      </c>
      <c r="I415" s="289">
        <v>110</v>
      </c>
      <c r="J415" s="289">
        <v>50</v>
      </c>
      <c r="K415" s="289">
        <v>5</v>
      </c>
      <c r="L415" s="289">
        <v>1265</v>
      </c>
    </row>
    <row r="416" spans="1:12">
      <c r="A416" s="288" t="s">
        <v>1239</v>
      </c>
      <c r="B416" s="288" t="s">
        <v>1076</v>
      </c>
      <c r="C416" s="288" t="s">
        <v>814</v>
      </c>
      <c r="D416" s="288" t="s">
        <v>815</v>
      </c>
      <c r="E416" s="289">
        <v>10</v>
      </c>
      <c r="F416" s="290">
        <v>18</v>
      </c>
      <c r="G416" s="289">
        <v>1100</v>
      </c>
      <c r="H416" s="289">
        <v>880</v>
      </c>
      <c r="I416" s="289">
        <v>198</v>
      </c>
      <c r="J416" s="289">
        <v>50</v>
      </c>
      <c r="K416" s="289">
        <v>5</v>
      </c>
      <c r="L416" s="289">
        <v>2233</v>
      </c>
    </row>
    <row r="417" spans="1:12">
      <c r="A417" s="288" t="s">
        <v>1240</v>
      </c>
      <c r="B417" s="288" t="s">
        <v>1076</v>
      </c>
      <c r="C417" s="288" t="s">
        <v>814</v>
      </c>
      <c r="D417" s="288" t="s">
        <v>815</v>
      </c>
      <c r="E417" s="289">
        <v>10</v>
      </c>
      <c r="F417" s="290">
        <v>4</v>
      </c>
      <c r="G417" s="289">
        <v>900</v>
      </c>
      <c r="H417" s="289">
        <v>0</v>
      </c>
      <c r="I417" s="289">
        <v>90</v>
      </c>
      <c r="J417" s="289">
        <v>50</v>
      </c>
      <c r="K417" s="289">
        <v>5</v>
      </c>
      <c r="L417" s="289">
        <v>1045</v>
      </c>
    </row>
    <row r="418" spans="1:12">
      <c r="A418" s="288" t="s">
        <v>1241</v>
      </c>
      <c r="B418" s="288" t="s">
        <v>1076</v>
      </c>
      <c r="C418" s="288" t="s">
        <v>814</v>
      </c>
      <c r="D418" s="288" t="s">
        <v>818</v>
      </c>
      <c r="E418" s="289">
        <v>10</v>
      </c>
      <c r="F418" s="290">
        <v>28</v>
      </c>
      <c r="G418" s="289">
        <v>1100</v>
      </c>
      <c r="H418" s="289">
        <v>1980</v>
      </c>
      <c r="I418" s="289">
        <v>308</v>
      </c>
      <c r="J418" s="289">
        <v>70</v>
      </c>
      <c r="K418" s="289">
        <v>7</v>
      </c>
      <c r="L418" s="289">
        <v>3465</v>
      </c>
    </row>
    <row r="419" spans="1:12">
      <c r="A419" s="288" t="s">
        <v>1242</v>
      </c>
      <c r="B419" s="288" t="s">
        <v>1076</v>
      </c>
      <c r="C419" s="288" t="s">
        <v>829</v>
      </c>
      <c r="D419" s="288" t="s">
        <v>815</v>
      </c>
      <c r="E419" s="289">
        <v>10</v>
      </c>
      <c r="F419" s="290">
        <v>2</v>
      </c>
      <c r="G419" s="289">
        <v>900</v>
      </c>
      <c r="H419" s="289">
        <v>0</v>
      </c>
      <c r="I419" s="289">
        <v>90</v>
      </c>
      <c r="J419" s="289">
        <v>50</v>
      </c>
      <c r="K419" s="289">
        <v>5</v>
      </c>
      <c r="L419" s="289">
        <v>1045</v>
      </c>
    </row>
    <row r="420" spans="1:12">
      <c r="A420" s="288" t="s">
        <v>1243</v>
      </c>
      <c r="B420" s="288" t="s">
        <v>1076</v>
      </c>
      <c r="C420" s="288" t="s">
        <v>829</v>
      </c>
      <c r="D420" s="288" t="s">
        <v>818</v>
      </c>
      <c r="E420" s="289">
        <v>10</v>
      </c>
      <c r="F420" s="290">
        <v>2</v>
      </c>
      <c r="G420" s="289">
        <v>900</v>
      </c>
      <c r="H420" s="289">
        <v>0</v>
      </c>
      <c r="I420" s="289">
        <v>90</v>
      </c>
      <c r="J420" s="289">
        <v>70</v>
      </c>
      <c r="K420" s="289">
        <v>7</v>
      </c>
      <c r="L420" s="289">
        <v>1067</v>
      </c>
    </row>
    <row r="421" spans="1:12">
      <c r="A421" s="288" t="s">
        <v>1244</v>
      </c>
      <c r="B421" s="288" t="s">
        <v>1076</v>
      </c>
      <c r="C421" s="288" t="s">
        <v>814</v>
      </c>
      <c r="D421" s="288" t="s">
        <v>826</v>
      </c>
      <c r="E421" s="289">
        <v>10</v>
      </c>
      <c r="F421" s="290">
        <v>33</v>
      </c>
      <c r="G421" s="289">
        <v>1100</v>
      </c>
      <c r="H421" s="289">
        <v>2530</v>
      </c>
      <c r="I421" s="289">
        <v>363</v>
      </c>
      <c r="J421" s="289">
        <v>100</v>
      </c>
      <c r="K421" s="289">
        <v>10</v>
      </c>
      <c r="L421" s="289">
        <v>4103</v>
      </c>
    </row>
    <row r="422" spans="1:12">
      <c r="A422" s="288" t="s">
        <v>1245</v>
      </c>
      <c r="B422" s="288" t="s">
        <v>1076</v>
      </c>
      <c r="C422" s="288" t="s">
        <v>829</v>
      </c>
      <c r="D422" s="288" t="s">
        <v>815</v>
      </c>
      <c r="E422" s="289">
        <v>10</v>
      </c>
      <c r="F422" s="290">
        <v>3</v>
      </c>
      <c r="G422" s="289">
        <v>900</v>
      </c>
      <c r="H422" s="289">
        <v>0</v>
      </c>
      <c r="I422" s="289">
        <v>90</v>
      </c>
      <c r="J422" s="289">
        <v>50</v>
      </c>
      <c r="K422" s="289">
        <v>5</v>
      </c>
      <c r="L422" s="289">
        <v>1045</v>
      </c>
    </row>
    <row r="423" spans="1:12">
      <c r="A423" s="288" t="s">
        <v>1246</v>
      </c>
      <c r="B423" s="288" t="s">
        <v>1076</v>
      </c>
      <c r="C423" s="288" t="s">
        <v>814</v>
      </c>
      <c r="D423" s="288" t="s">
        <v>818</v>
      </c>
      <c r="E423" s="289">
        <v>10</v>
      </c>
      <c r="F423" s="290">
        <v>16</v>
      </c>
      <c r="G423" s="289">
        <v>1100</v>
      </c>
      <c r="H423" s="289">
        <v>660</v>
      </c>
      <c r="I423" s="289">
        <v>176</v>
      </c>
      <c r="J423" s="289">
        <v>70</v>
      </c>
      <c r="K423" s="289">
        <v>7</v>
      </c>
      <c r="L423" s="289">
        <v>2013</v>
      </c>
    </row>
    <row r="424" spans="1:12">
      <c r="A424" s="288" t="s">
        <v>1247</v>
      </c>
      <c r="B424" s="288" t="s">
        <v>1076</v>
      </c>
      <c r="C424" s="288" t="s">
        <v>814</v>
      </c>
      <c r="D424" s="288" t="s">
        <v>815</v>
      </c>
      <c r="E424" s="289">
        <v>10</v>
      </c>
      <c r="F424" s="290">
        <v>26</v>
      </c>
      <c r="G424" s="289">
        <v>1100</v>
      </c>
      <c r="H424" s="289">
        <v>1760</v>
      </c>
      <c r="I424" s="289">
        <v>286</v>
      </c>
      <c r="J424" s="289">
        <v>50</v>
      </c>
      <c r="K424" s="289">
        <v>5</v>
      </c>
      <c r="L424" s="289">
        <v>3201</v>
      </c>
    </row>
    <row r="425" spans="1:12">
      <c r="A425" s="288" t="s">
        <v>1248</v>
      </c>
      <c r="B425" s="288" t="s">
        <v>1076</v>
      </c>
      <c r="C425" s="288" t="s">
        <v>814</v>
      </c>
      <c r="D425" s="288" t="s">
        <v>818</v>
      </c>
      <c r="E425" s="289">
        <v>10</v>
      </c>
      <c r="F425" s="290">
        <v>19</v>
      </c>
      <c r="G425" s="289">
        <v>1100</v>
      </c>
      <c r="H425" s="289">
        <v>990</v>
      </c>
      <c r="I425" s="289">
        <v>209</v>
      </c>
      <c r="J425" s="289">
        <v>70</v>
      </c>
      <c r="K425" s="289">
        <v>7</v>
      </c>
      <c r="L425" s="289">
        <v>2376</v>
      </c>
    </row>
    <row r="426" spans="1:12">
      <c r="A426" s="288" t="s">
        <v>1249</v>
      </c>
      <c r="B426" s="288" t="s">
        <v>1076</v>
      </c>
      <c r="C426" s="288" t="s">
        <v>814</v>
      </c>
      <c r="D426" s="288" t="s">
        <v>815</v>
      </c>
      <c r="E426" s="289">
        <v>10</v>
      </c>
      <c r="F426" s="290">
        <v>9</v>
      </c>
      <c r="G426" s="289">
        <v>1100</v>
      </c>
      <c r="H426" s="289">
        <v>0</v>
      </c>
      <c r="I426" s="289">
        <v>110</v>
      </c>
      <c r="J426" s="289">
        <v>50</v>
      </c>
      <c r="K426" s="289">
        <v>5</v>
      </c>
      <c r="L426" s="289">
        <v>1265</v>
      </c>
    </row>
    <row r="427" spans="1:12">
      <c r="A427" s="288" t="s">
        <v>1250</v>
      </c>
      <c r="B427" s="288" t="s">
        <v>1076</v>
      </c>
      <c r="C427" s="288" t="s">
        <v>814</v>
      </c>
      <c r="D427" s="288" t="s">
        <v>815</v>
      </c>
      <c r="E427" s="289">
        <v>10</v>
      </c>
      <c r="F427" s="290">
        <v>13</v>
      </c>
      <c r="G427" s="289">
        <v>1100</v>
      </c>
      <c r="H427" s="289">
        <v>330</v>
      </c>
      <c r="I427" s="289">
        <v>143</v>
      </c>
      <c r="J427" s="289">
        <v>50</v>
      </c>
      <c r="K427" s="289">
        <v>5</v>
      </c>
      <c r="L427" s="289">
        <v>1628</v>
      </c>
    </row>
    <row r="428" spans="1:12">
      <c r="A428" s="288" t="s">
        <v>1251</v>
      </c>
      <c r="B428" s="288" t="s">
        <v>1076</v>
      </c>
      <c r="C428" s="288" t="s">
        <v>814</v>
      </c>
      <c r="D428" s="288" t="s">
        <v>815</v>
      </c>
      <c r="E428" s="289">
        <v>10</v>
      </c>
      <c r="F428" s="290">
        <v>11</v>
      </c>
      <c r="G428" s="289">
        <v>1100</v>
      </c>
      <c r="H428" s="289">
        <v>110</v>
      </c>
      <c r="I428" s="289">
        <v>121</v>
      </c>
      <c r="J428" s="289">
        <v>50</v>
      </c>
      <c r="K428" s="289">
        <v>5</v>
      </c>
      <c r="L428" s="289">
        <v>1386</v>
      </c>
    </row>
    <row r="429" spans="1:12">
      <c r="A429" s="288" t="s">
        <v>1252</v>
      </c>
      <c r="B429" s="288" t="s">
        <v>1076</v>
      </c>
      <c r="C429" s="288" t="s">
        <v>814</v>
      </c>
      <c r="D429" s="288" t="s">
        <v>818</v>
      </c>
      <c r="E429" s="289">
        <v>10</v>
      </c>
      <c r="F429" s="290">
        <v>16</v>
      </c>
      <c r="G429" s="289">
        <v>1100</v>
      </c>
      <c r="H429" s="289">
        <v>660</v>
      </c>
      <c r="I429" s="289">
        <v>176</v>
      </c>
      <c r="J429" s="289">
        <v>70</v>
      </c>
      <c r="K429" s="289">
        <v>7</v>
      </c>
      <c r="L429" s="289">
        <v>2013</v>
      </c>
    </row>
    <row r="430" spans="1:12">
      <c r="A430" s="288" t="s">
        <v>1253</v>
      </c>
      <c r="B430" s="288" t="s">
        <v>1076</v>
      </c>
      <c r="C430" s="288" t="s">
        <v>814</v>
      </c>
      <c r="D430" s="288" t="s">
        <v>818</v>
      </c>
      <c r="E430" s="289">
        <v>10</v>
      </c>
      <c r="F430" s="290">
        <v>29</v>
      </c>
      <c r="G430" s="289">
        <v>1100</v>
      </c>
      <c r="H430" s="289">
        <v>2090</v>
      </c>
      <c r="I430" s="289">
        <v>319</v>
      </c>
      <c r="J430" s="289">
        <v>70</v>
      </c>
      <c r="K430" s="289">
        <v>7</v>
      </c>
      <c r="L430" s="289">
        <v>3586</v>
      </c>
    </row>
    <row r="431" spans="1:12">
      <c r="A431" s="288" t="s">
        <v>1254</v>
      </c>
      <c r="B431" s="288" t="s">
        <v>1076</v>
      </c>
      <c r="C431" s="288" t="s">
        <v>814</v>
      </c>
      <c r="D431" s="288" t="s">
        <v>815</v>
      </c>
      <c r="E431" s="289">
        <v>10</v>
      </c>
      <c r="F431" s="290">
        <v>15</v>
      </c>
      <c r="G431" s="289">
        <v>1100</v>
      </c>
      <c r="H431" s="289">
        <v>550</v>
      </c>
      <c r="I431" s="289">
        <v>165</v>
      </c>
      <c r="J431" s="289">
        <v>50</v>
      </c>
      <c r="K431" s="289">
        <v>5</v>
      </c>
      <c r="L431" s="289">
        <v>1870</v>
      </c>
    </row>
    <row r="432" spans="1:12">
      <c r="A432" s="288" t="s">
        <v>1255</v>
      </c>
      <c r="B432" s="288" t="s">
        <v>1076</v>
      </c>
      <c r="C432" s="288" t="s">
        <v>814</v>
      </c>
      <c r="D432" s="288" t="s">
        <v>815</v>
      </c>
      <c r="E432" s="289">
        <v>10</v>
      </c>
      <c r="F432" s="290">
        <v>17</v>
      </c>
      <c r="G432" s="289">
        <v>1100</v>
      </c>
      <c r="H432" s="289">
        <v>770</v>
      </c>
      <c r="I432" s="289">
        <v>187</v>
      </c>
      <c r="J432" s="289">
        <v>50</v>
      </c>
      <c r="K432" s="289">
        <v>5</v>
      </c>
      <c r="L432" s="289">
        <v>2112</v>
      </c>
    </row>
    <row r="433" spans="1:12">
      <c r="A433" s="288" t="s">
        <v>1256</v>
      </c>
      <c r="B433" s="288" t="s">
        <v>1076</v>
      </c>
      <c r="C433" s="288" t="s">
        <v>814</v>
      </c>
      <c r="D433" s="288" t="s">
        <v>815</v>
      </c>
      <c r="E433" s="289">
        <v>10</v>
      </c>
      <c r="F433" s="290">
        <v>11</v>
      </c>
      <c r="G433" s="289">
        <v>1100</v>
      </c>
      <c r="H433" s="289">
        <v>110</v>
      </c>
      <c r="I433" s="289">
        <v>121</v>
      </c>
      <c r="J433" s="289">
        <v>50</v>
      </c>
      <c r="K433" s="289">
        <v>5</v>
      </c>
      <c r="L433" s="289">
        <v>1386</v>
      </c>
    </row>
    <row r="434" spans="1:12">
      <c r="A434" s="288" t="s">
        <v>1257</v>
      </c>
      <c r="B434" s="288" t="s">
        <v>1076</v>
      </c>
      <c r="C434" s="288" t="s">
        <v>814</v>
      </c>
      <c r="D434" s="288" t="s">
        <v>815</v>
      </c>
      <c r="E434" s="289">
        <v>10</v>
      </c>
      <c r="F434" s="290">
        <v>7</v>
      </c>
      <c r="G434" s="289">
        <v>1100</v>
      </c>
      <c r="H434" s="289">
        <v>0</v>
      </c>
      <c r="I434" s="289">
        <v>110</v>
      </c>
      <c r="J434" s="289">
        <v>50</v>
      </c>
      <c r="K434" s="289">
        <v>5</v>
      </c>
      <c r="L434" s="289">
        <v>1265</v>
      </c>
    </row>
    <row r="435" spans="1:12">
      <c r="A435" s="288" t="s">
        <v>1258</v>
      </c>
      <c r="B435" s="288" t="s">
        <v>1076</v>
      </c>
      <c r="C435" s="288" t="s">
        <v>814</v>
      </c>
      <c r="D435" s="288" t="s">
        <v>815</v>
      </c>
      <c r="E435" s="289">
        <v>10</v>
      </c>
      <c r="F435" s="290">
        <v>6</v>
      </c>
      <c r="G435" s="289">
        <v>1100</v>
      </c>
      <c r="H435" s="289">
        <v>0</v>
      </c>
      <c r="I435" s="289">
        <v>110</v>
      </c>
      <c r="J435" s="289">
        <v>50</v>
      </c>
      <c r="K435" s="289">
        <v>5</v>
      </c>
      <c r="L435" s="289">
        <v>1265</v>
      </c>
    </row>
    <row r="436" spans="1:12">
      <c r="A436" s="288" t="s">
        <v>1259</v>
      </c>
      <c r="B436" s="288" t="s">
        <v>1076</v>
      </c>
      <c r="C436" s="288" t="s">
        <v>814</v>
      </c>
      <c r="D436" s="288" t="s">
        <v>815</v>
      </c>
      <c r="E436" s="289">
        <v>10</v>
      </c>
      <c r="F436" s="290">
        <v>10</v>
      </c>
      <c r="G436" s="289">
        <v>1100</v>
      </c>
      <c r="H436" s="289">
        <v>0</v>
      </c>
      <c r="I436" s="289">
        <v>110</v>
      </c>
      <c r="J436" s="289">
        <v>50</v>
      </c>
      <c r="K436" s="289">
        <v>5</v>
      </c>
      <c r="L436" s="289">
        <v>1265</v>
      </c>
    </row>
    <row r="437" spans="1:12">
      <c r="A437" s="288" t="s">
        <v>1260</v>
      </c>
      <c r="B437" s="288" t="s">
        <v>1076</v>
      </c>
      <c r="C437" s="288" t="s">
        <v>814</v>
      </c>
      <c r="D437" s="288" t="s">
        <v>815</v>
      </c>
      <c r="E437" s="289">
        <v>10</v>
      </c>
      <c r="F437" s="290">
        <v>17</v>
      </c>
      <c r="G437" s="289">
        <v>1100</v>
      </c>
      <c r="H437" s="289">
        <v>770</v>
      </c>
      <c r="I437" s="289">
        <v>187</v>
      </c>
      <c r="J437" s="289">
        <v>50</v>
      </c>
      <c r="K437" s="289">
        <v>5</v>
      </c>
      <c r="L437" s="289">
        <v>2112</v>
      </c>
    </row>
    <row r="438" spans="1:12">
      <c r="A438" s="288" t="s">
        <v>1261</v>
      </c>
      <c r="B438" s="288" t="s">
        <v>1076</v>
      </c>
      <c r="C438" s="288" t="s">
        <v>814</v>
      </c>
      <c r="D438" s="288" t="s">
        <v>815</v>
      </c>
      <c r="E438" s="289">
        <v>10</v>
      </c>
      <c r="F438" s="290">
        <v>20</v>
      </c>
      <c r="G438" s="289">
        <v>1100</v>
      </c>
      <c r="H438" s="289">
        <v>1100</v>
      </c>
      <c r="I438" s="289">
        <v>220</v>
      </c>
      <c r="J438" s="289">
        <v>50</v>
      </c>
      <c r="K438" s="289">
        <v>5</v>
      </c>
      <c r="L438" s="289">
        <v>2475</v>
      </c>
    </row>
    <row r="439" spans="1:12">
      <c r="A439" s="288" t="s">
        <v>1262</v>
      </c>
      <c r="B439" s="288" t="s">
        <v>1076</v>
      </c>
      <c r="C439" s="288" t="s">
        <v>814</v>
      </c>
      <c r="D439" s="288" t="s">
        <v>818</v>
      </c>
      <c r="E439" s="289">
        <v>10</v>
      </c>
      <c r="F439" s="290">
        <v>6</v>
      </c>
      <c r="G439" s="289">
        <v>1100</v>
      </c>
      <c r="H439" s="289">
        <v>0</v>
      </c>
      <c r="I439" s="289">
        <v>110</v>
      </c>
      <c r="J439" s="289">
        <v>70</v>
      </c>
      <c r="K439" s="289">
        <v>7</v>
      </c>
      <c r="L439" s="289">
        <v>1287</v>
      </c>
    </row>
    <row r="440" spans="1:12">
      <c r="A440" s="288" t="s">
        <v>1263</v>
      </c>
      <c r="B440" s="288" t="s">
        <v>1076</v>
      </c>
      <c r="C440" s="288" t="s">
        <v>814</v>
      </c>
      <c r="D440" s="288" t="s">
        <v>818</v>
      </c>
      <c r="E440" s="289">
        <v>10</v>
      </c>
      <c r="F440" s="290">
        <v>18</v>
      </c>
      <c r="G440" s="289">
        <v>1100</v>
      </c>
      <c r="H440" s="289">
        <v>880</v>
      </c>
      <c r="I440" s="289">
        <v>198</v>
      </c>
      <c r="J440" s="289">
        <v>70</v>
      </c>
      <c r="K440" s="289">
        <v>7</v>
      </c>
      <c r="L440" s="289">
        <v>2255</v>
      </c>
    </row>
    <row r="441" spans="1:12">
      <c r="A441" s="288" t="s">
        <v>1264</v>
      </c>
      <c r="B441" s="288" t="s">
        <v>1076</v>
      </c>
      <c r="C441" s="288" t="s">
        <v>814</v>
      </c>
      <c r="D441" s="288" t="s">
        <v>815</v>
      </c>
      <c r="E441" s="289">
        <v>10</v>
      </c>
      <c r="F441" s="290">
        <v>5</v>
      </c>
      <c r="G441" s="289">
        <v>900</v>
      </c>
      <c r="H441" s="289">
        <v>0</v>
      </c>
      <c r="I441" s="289">
        <v>90</v>
      </c>
      <c r="J441" s="289">
        <v>50</v>
      </c>
      <c r="K441" s="289">
        <v>5</v>
      </c>
      <c r="L441" s="289">
        <v>1045</v>
      </c>
    </row>
    <row r="442" spans="1:12">
      <c r="A442" s="288" t="s">
        <v>1265</v>
      </c>
      <c r="B442" s="288" t="s">
        <v>1076</v>
      </c>
      <c r="C442" s="288" t="s">
        <v>814</v>
      </c>
      <c r="D442" s="288" t="s">
        <v>815</v>
      </c>
      <c r="E442" s="289">
        <v>10</v>
      </c>
      <c r="F442" s="290">
        <v>21</v>
      </c>
      <c r="G442" s="289">
        <v>1100</v>
      </c>
      <c r="H442" s="289">
        <v>1210</v>
      </c>
      <c r="I442" s="289">
        <v>231</v>
      </c>
      <c r="J442" s="289">
        <v>50</v>
      </c>
      <c r="K442" s="289">
        <v>5</v>
      </c>
      <c r="L442" s="289">
        <v>2596</v>
      </c>
    </row>
    <row r="443" spans="1:12">
      <c r="A443" s="288" t="s">
        <v>1266</v>
      </c>
      <c r="B443" s="288" t="s">
        <v>1076</v>
      </c>
      <c r="C443" s="288" t="s">
        <v>814</v>
      </c>
      <c r="D443" s="288" t="s">
        <v>815</v>
      </c>
      <c r="E443" s="289">
        <v>10</v>
      </c>
      <c r="F443" s="290">
        <v>13</v>
      </c>
      <c r="G443" s="289">
        <v>1100</v>
      </c>
      <c r="H443" s="289">
        <v>330</v>
      </c>
      <c r="I443" s="289">
        <v>143</v>
      </c>
      <c r="J443" s="289">
        <v>50</v>
      </c>
      <c r="K443" s="289">
        <v>5</v>
      </c>
      <c r="L443" s="289">
        <v>1628</v>
      </c>
    </row>
    <row r="444" spans="1:12">
      <c r="A444" s="288" t="s">
        <v>1267</v>
      </c>
      <c r="B444" s="288" t="s">
        <v>1076</v>
      </c>
      <c r="C444" s="288" t="s">
        <v>814</v>
      </c>
      <c r="D444" s="288" t="s">
        <v>815</v>
      </c>
      <c r="E444" s="289">
        <v>10</v>
      </c>
      <c r="F444" s="290">
        <v>23</v>
      </c>
      <c r="G444" s="289">
        <v>1100</v>
      </c>
      <c r="H444" s="289">
        <v>1430</v>
      </c>
      <c r="I444" s="289">
        <v>253</v>
      </c>
      <c r="J444" s="289">
        <v>50</v>
      </c>
      <c r="K444" s="289">
        <v>5</v>
      </c>
      <c r="L444" s="289">
        <v>2838</v>
      </c>
    </row>
    <row r="445" spans="1:12">
      <c r="A445" s="288" t="s">
        <v>1268</v>
      </c>
      <c r="B445" s="288" t="s">
        <v>1076</v>
      </c>
      <c r="C445" s="288" t="s">
        <v>814</v>
      </c>
      <c r="D445" s="288" t="s">
        <v>815</v>
      </c>
      <c r="E445" s="289">
        <v>10</v>
      </c>
      <c r="F445" s="290">
        <v>9</v>
      </c>
      <c r="G445" s="289">
        <v>1100</v>
      </c>
      <c r="H445" s="289">
        <v>0</v>
      </c>
      <c r="I445" s="289">
        <v>110</v>
      </c>
      <c r="J445" s="289">
        <v>50</v>
      </c>
      <c r="K445" s="289">
        <v>5</v>
      </c>
      <c r="L445" s="289">
        <v>1265</v>
      </c>
    </row>
    <row r="446" spans="1:12">
      <c r="A446" s="288" t="s">
        <v>1269</v>
      </c>
      <c r="B446" s="288" t="s">
        <v>1076</v>
      </c>
      <c r="C446" s="288" t="s">
        <v>820</v>
      </c>
      <c r="D446" s="288" t="s">
        <v>815</v>
      </c>
      <c r="E446" s="289">
        <v>10</v>
      </c>
      <c r="F446" s="290">
        <v>5</v>
      </c>
      <c r="G446" s="289">
        <v>900</v>
      </c>
      <c r="H446" s="289">
        <v>0</v>
      </c>
      <c r="I446" s="289">
        <v>90</v>
      </c>
      <c r="J446" s="289">
        <v>50</v>
      </c>
      <c r="K446" s="289">
        <v>5</v>
      </c>
      <c r="L446" s="289">
        <v>1045</v>
      </c>
    </row>
    <row r="447" spans="1:12">
      <c r="A447" s="288" t="s">
        <v>1270</v>
      </c>
      <c r="B447" s="288" t="s">
        <v>1076</v>
      </c>
      <c r="C447" s="288" t="s">
        <v>814</v>
      </c>
      <c r="D447" s="288" t="s">
        <v>815</v>
      </c>
      <c r="E447" s="289">
        <v>10</v>
      </c>
      <c r="F447" s="290">
        <v>8</v>
      </c>
      <c r="G447" s="289">
        <v>1100</v>
      </c>
      <c r="H447" s="289">
        <v>0</v>
      </c>
      <c r="I447" s="289">
        <v>110</v>
      </c>
      <c r="J447" s="289">
        <v>50</v>
      </c>
      <c r="K447" s="289">
        <v>5</v>
      </c>
      <c r="L447" s="289">
        <v>1265</v>
      </c>
    </row>
    <row r="448" spans="1:12">
      <c r="A448" s="288" t="s">
        <v>1271</v>
      </c>
      <c r="B448" s="288" t="s">
        <v>1076</v>
      </c>
      <c r="C448" s="288" t="s">
        <v>814</v>
      </c>
      <c r="D448" s="288" t="s">
        <v>815</v>
      </c>
      <c r="E448" s="289">
        <v>10</v>
      </c>
      <c r="F448" s="290">
        <v>11</v>
      </c>
      <c r="G448" s="289">
        <v>1100</v>
      </c>
      <c r="H448" s="289">
        <v>110</v>
      </c>
      <c r="I448" s="289">
        <v>121</v>
      </c>
      <c r="J448" s="289">
        <v>50</v>
      </c>
      <c r="K448" s="289">
        <v>5</v>
      </c>
      <c r="L448" s="289">
        <v>1386</v>
      </c>
    </row>
    <row r="449" spans="1:12">
      <c r="A449" s="288" t="s">
        <v>1272</v>
      </c>
      <c r="B449" s="288" t="s">
        <v>1076</v>
      </c>
      <c r="C449" s="288" t="s">
        <v>1095</v>
      </c>
      <c r="D449" s="288" t="s">
        <v>815</v>
      </c>
      <c r="E449" s="289">
        <v>10</v>
      </c>
      <c r="F449" s="290">
        <v>2</v>
      </c>
      <c r="G449" s="289">
        <v>550</v>
      </c>
      <c r="H449" s="289">
        <v>0</v>
      </c>
      <c r="I449" s="289">
        <v>55</v>
      </c>
      <c r="J449" s="289">
        <v>50</v>
      </c>
      <c r="K449" s="289">
        <v>5</v>
      </c>
      <c r="L449" s="289">
        <v>660</v>
      </c>
    </row>
    <row r="450" spans="1:12">
      <c r="A450" s="288" t="s">
        <v>1273</v>
      </c>
      <c r="B450" s="288" t="s">
        <v>1076</v>
      </c>
      <c r="C450" s="288" t="s">
        <v>814</v>
      </c>
      <c r="D450" s="288" t="s">
        <v>815</v>
      </c>
      <c r="E450" s="289">
        <v>10</v>
      </c>
      <c r="F450" s="290">
        <v>4</v>
      </c>
      <c r="G450" s="289">
        <v>900</v>
      </c>
      <c r="H450" s="289">
        <v>0</v>
      </c>
      <c r="I450" s="289">
        <v>90</v>
      </c>
      <c r="J450" s="289">
        <v>50</v>
      </c>
      <c r="K450" s="289">
        <v>5</v>
      </c>
      <c r="L450" s="289">
        <v>1045</v>
      </c>
    </row>
    <row r="451" spans="1:12">
      <c r="A451" s="288" t="s">
        <v>1274</v>
      </c>
      <c r="B451" s="288" t="s">
        <v>1076</v>
      </c>
      <c r="C451" s="288" t="s">
        <v>814</v>
      </c>
      <c r="D451" s="288" t="s">
        <v>815</v>
      </c>
      <c r="E451" s="289">
        <v>10</v>
      </c>
      <c r="F451" s="290">
        <v>7</v>
      </c>
      <c r="G451" s="289">
        <v>1100</v>
      </c>
      <c r="H451" s="289">
        <v>0</v>
      </c>
      <c r="I451" s="289">
        <v>110</v>
      </c>
      <c r="J451" s="289">
        <v>50</v>
      </c>
      <c r="K451" s="289">
        <v>5</v>
      </c>
      <c r="L451" s="289">
        <v>1265</v>
      </c>
    </row>
    <row r="452" spans="1:12">
      <c r="A452" s="288" t="s">
        <v>1275</v>
      </c>
      <c r="B452" s="288" t="s">
        <v>1076</v>
      </c>
      <c r="C452" s="288" t="s">
        <v>814</v>
      </c>
      <c r="D452" s="288" t="s">
        <v>815</v>
      </c>
      <c r="E452" s="289">
        <v>10</v>
      </c>
      <c r="F452" s="290">
        <v>9</v>
      </c>
      <c r="G452" s="289">
        <v>1100</v>
      </c>
      <c r="H452" s="289">
        <v>0</v>
      </c>
      <c r="I452" s="289">
        <v>110</v>
      </c>
      <c r="J452" s="289">
        <v>50</v>
      </c>
      <c r="K452" s="289">
        <v>5</v>
      </c>
      <c r="L452" s="289">
        <v>1265</v>
      </c>
    </row>
    <row r="453" spans="1:12">
      <c r="A453" s="288" t="s">
        <v>1276</v>
      </c>
      <c r="B453" s="288" t="s">
        <v>1076</v>
      </c>
      <c r="C453" s="288" t="s">
        <v>814</v>
      </c>
      <c r="D453" s="288" t="s">
        <v>815</v>
      </c>
      <c r="E453" s="289">
        <v>10</v>
      </c>
      <c r="F453" s="290">
        <v>24</v>
      </c>
      <c r="G453" s="289">
        <v>1100</v>
      </c>
      <c r="H453" s="289">
        <v>1540</v>
      </c>
      <c r="I453" s="289">
        <v>264</v>
      </c>
      <c r="J453" s="289">
        <v>50</v>
      </c>
      <c r="K453" s="289">
        <v>5</v>
      </c>
      <c r="L453" s="289">
        <v>2959</v>
      </c>
    </row>
    <row r="454" spans="1:12">
      <c r="A454" s="288" t="s">
        <v>1277</v>
      </c>
      <c r="B454" s="288" t="s">
        <v>1076</v>
      </c>
      <c r="C454" s="288" t="s">
        <v>814</v>
      </c>
      <c r="D454" s="288" t="s">
        <v>815</v>
      </c>
      <c r="E454" s="289">
        <v>10</v>
      </c>
      <c r="F454" s="290">
        <v>9</v>
      </c>
      <c r="G454" s="289">
        <v>1100</v>
      </c>
      <c r="H454" s="289">
        <v>0</v>
      </c>
      <c r="I454" s="289">
        <v>110</v>
      </c>
      <c r="J454" s="289">
        <v>50</v>
      </c>
      <c r="K454" s="289">
        <v>5</v>
      </c>
      <c r="L454" s="289">
        <v>1265</v>
      </c>
    </row>
    <row r="455" spans="1:12">
      <c r="A455" s="288" t="s">
        <v>1278</v>
      </c>
      <c r="B455" s="288" t="s">
        <v>1076</v>
      </c>
      <c r="C455" s="288" t="s">
        <v>814</v>
      </c>
      <c r="D455" s="288" t="s">
        <v>815</v>
      </c>
      <c r="E455" s="289">
        <v>10</v>
      </c>
      <c r="F455" s="290">
        <v>7</v>
      </c>
      <c r="G455" s="289">
        <v>1100</v>
      </c>
      <c r="H455" s="289">
        <v>0</v>
      </c>
      <c r="I455" s="289">
        <v>110</v>
      </c>
      <c r="J455" s="289">
        <v>50</v>
      </c>
      <c r="K455" s="289">
        <v>5</v>
      </c>
      <c r="L455" s="289">
        <v>1265</v>
      </c>
    </row>
    <row r="456" spans="1:12">
      <c r="A456" s="288" t="s">
        <v>1279</v>
      </c>
      <c r="B456" s="288" t="s">
        <v>1280</v>
      </c>
      <c r="C456" s="288" t="s">
        <v>814</v>
      </c>
      <c r="D456" s="288" t="s">
        <v>818</v>
      </c>
      <c r="E456" s="289">
        <v>10</v>
      </c>
      <c r="F456" s="290">
        <v>30</v>
      </c>
      <c r="G456" s="289">
        <v>1100</v>
      </c>
      <c r="H456" s="289">
        <v>2200</v>
      </c>
      <c r="I456" s="289">
        <v>330</v>
      </c>
      <c r="J456" s="289">
        <v>70</v>
      </c>
      <c r="K456" s="289">
        <v>7</v>
      </c>
      <c r="L456" s="289">
        <v>3707</v>
      </c>
    </row>
    <row r="457" spans="1:12">
      <c r="A457" s="288" t="s">
        <v>1281</v>
      </c>
      <c r="B457" s="288" t="s">
        <v>1280</v>
      </c>
      <c r="C457" s="288" t="s">
        <v>814</v>
      </c>
      <c r="D457" s="288" t="s">
        <v>815</v>
      </c>
      <c r="E457" s="289">
        <v>10</v>
      </c>
      <c r="F457" s="290">
        <v>56</v>
      </c>
      <c r="G457" s="289">
        <v>1100</v>
      </c>
      <c r="H457" s="289">
        <v>5060</v>
      </c>
      <c r="I457" s="289">
        <v>616</v>
      </c>
      <c r="J457" s="289">
        <v>50</v>
      </c>
      <c r="K457" s="289">
        <v>5</v>
      </c>
      <c r="L457" s="289">
        <v>6831</v>
      </c>
    </row>
    <row r="458" spans="1:12">
      <c r="A458" s="288" t="s">
        <v>1282</v>
      </c>
      <c r="B458" s="288" t="s">
        <v>1280</v>
      </c>
      <c r="C458" s="288" t="s">
        <v>814</v>
      </c>
      <c r="D458" s="288" t="s">
        <v>815</v>
      </c>
      <c r="E458" s="289">
        <v>10</v>
      </c>
      <c r="F458" s="290">
        <v>6</v>
      </c>
      <c r="G458" s="289">
        <v>1100</v>
      </c>
      <c r="H458" s="289">
        <v>0</v>
      </c>
      <c r="I458" s="289">
        <v>110</v>
      </c>
      <c r="J458" s="289">
        <v>50</v>
      </c>
      <c r="K458" s="289">
        <v>5</v>
      </c>
      <c r="L458" s="289">
        <v>1265</v>
      </c>
    </row>
    <row r="459" spans="1:12">
      <c r="A459" s="288" t="s">
        <v>1283</v>
      </c>
      <c r="B459" s="288" t="s">
        <v>1280</v>
      </c>
      <c r="C459" s="288" t="s">
        <v>814</v>
      </c>
      <c r="D459" s="288" t="s">
        <v>815</v>
      </c>
      <c r="E459" s="289">
        <v>10</v>
      </c>
      <c r="F459" s="290">
        <v>11</v>
      </c>
      <c r="G459" s="289">
        <v>1100</v>
      </c>
      <c r="H459" s="289">
        <v>110</v>
      </c>
      <c r="I459" s="289">
        <v>121</v>
      </c>
      <c r="J459" s="289">
        <v>50</v>
      </c>
      <c r="K459" s="289">
        <v>5</v>
      </c>
      <c r="L459" s="289">
        <v>1386</v>
      </c>
    </row>
    <row r="460" spans="1:12">
      <c r="A460" s="288" t="s">
        <v>1284</v>
      </c>
      <c r="B460" s="288" t="s">
        <v>1280</v>
      </c>
      <c r="C460" s="288" t="s">
        <v>814</v>
      </c>
      <c r="D460" s="288" t="s">
        <v>818</v>
      </c>
      <c r="E460" s="289">
        <v>10</v>
      </c>
      <c r="F460" s="290">
        <v>5</v>
      </c>
      <c r="G460" s="289">
        <v>900</v>
      </c>
      <c r="H460" s="289">
        <v>0</v>
      </c>
      <c r="I460" s="289">
        <v>90</v>
      </c>
      <c r="J460" s="289">
        <v>70</v>
      </c>
      <c r="K460" s="289">
        <v>7</v>
      </c>
      <c r="L460" s="289">
        <v>1067</v>
      </c>
    </row>
    <row r="461" spans="1:12">
      <c r="A461" s="288" t="s">
        <v>1285</v>
      </c>
      <c r="B461" s="288" t="s">
        <v>1280</v>
      </c>
      <c r="C461" s="288" t="s">
        <v>814</v>
      </c>
      <c r="D461" s="288" t="s">
        <v>818</v>
      </c>
      <c r="E461" s="289">
        <v>10</v>
      </c>
      <c r="F461" s="290">
        <v>16</v>
      </c>
      <c r="G461" s="289">
        <v>1100</v>
      </c>
      <c r="H461" s="289">
        <v>660</v>
      </c>
      <c r="I461" s="289">
        <v>176</v>
      </c>
      <c r="J461" s="289">
        <v>70</v>
      </c>
      <c r="K461" s="289">
        <v>7</v>
      </c>
      <c r="L461" s="289">
        <v>2013</v>
      </c>
    </row>
    <row r="462" spans="1:12">
      <c r="A462" s="288" t="s">
        <v>1286</v>
      </c>
      <c r="B462" s="288" t="s">
        <v>1280</v>
      </c>
      <c r="C462" s="288" t="s">
        <v>814</v>
      </c>
      <c r="D462" s="288" t="s">
        <v>815</v>
      </c>
      <c r="E462" s="289">
        <v>10</v>
      </c>
      <c r="F462" s="290">
        <v>1</v>
      </c>
      <c r="G462" s="289">
        <v>900</v>
      </c>
      <c r="H462" s="289">
        <v>0</v>
      </c>
      <c r="I462" s="289">
        <v>90</v>
      </c>
      <c r="J462" s="289">
        <v>50</v>
      </c>
      <c r="K462" s="289">
        <v>5</v>
      </c>
      <c r="L462" s="289">
        <v>1045</v>
      </c>
    </row>
    <row r="463" spans="1:12">
      <c r="A463" s="288" t="s">
        <v>1287</v>
      </c>
      <c r="B463" s="288" t="s">
        <v>1280</v>
      </c>
      <c r="C463" s="288" t="s">
        <v>814</v>
      </c>
      <c r="D463" s="288" t="s">
        <v>815</v>
      </c>
      <c r="E463" s="289">
        <v>10</v>
      </c>
      <c r="F463" s="290">
        <v>2</v>
      </c>
      <c r="G463" s="289">
        <v>900</v>
      </c>
      <c r="H463" s="289">
        <v>0</v>
      </c>
      <c r="I463" s="289">
        <v>90</v>
      </c>
      <c r="J463" s="289">
        <v>50</v>
      </c>
      <c r="K463" s="289">
        <v>5</v>
      </c>
      <c r="L463" s="289">
        <v>1045</v>
      </c>
    </row>
    <row r="464" spans="1:12">
      <c r="A464" s="288" t="s">
        <v>1288</v>
      </c>
      <c r="B464" s="288" t="s">
        <v>1280</v>
      </c>
      <c r="C464" s="288" t="s">
        <v>814</v>
      </c>
      <c r="D464" s="288" t="s">
        <v>815</v>
      </c>
      <c r="E464" s="289">
        <v>10</v>
      </c>
      <c r="F464" s="290">
        <v>2</v>
      </c>
      <c r="G464" s="289">
        <v>900</v>
      </c>
      <c r="H464" s="289">
        <v>0</v>
      </c>
      <c r="I464" s="289">
        <v>90</v>
      </c>
      <c r="J464" s="289">
        <v>50</v>
      </c>
      <c r="K464" s="289">
        <v>5</v>
      </c>
      <c r="L464" s="289">
        <v>1045</v>
      </c>
    </row>
    <row r="465" spans="1:12">
      <c r="A465" s="288" t="s">
        <v>1289</v>
      </c>
      <c r="B465" s="288" t="s">
        <v>1280</v>
      </c>
      <c r="C465" s="288" t="s">
        <v>814</v>
      </c>
      <c r="D465" s="288" t="s">
        <v>815</v>
      </c>
      <c r="E465" s="289">
        <v>10</v>
      </c>
      <c r="F465" s="290">
        <v>3</v>
      </c>
      <c r="G465" s="289">
        <v>900</v>
      </c>
      <c r="H465" s="289">
        <v>0</v>
      </c>
      <c r="I465" s="289">
        <v>90</v>
      </c>
      <c r="J465" s="289">
        <v>50</v>
      </c>
      <c r="K465" s="289">
        <v>5</v>
      </c>
      <c r="L465" s="289">
        <v>1045</v>
      </c>
    </row>
    <row r="466" spans="1:12">
      <c r="A466" s="288" t="s">
        <v>1290</v>
      </c>
      <c r="B466" s="288" t="s">
        <v>1280</v>
      </c>
      <c r="C466" s="288" t="s">
        <v>829</v>
      </c>
      <c r="D466" s="288" t="s">
        <v>818</v>
      </c>
      <c r="E466" s="289">
        <v>10</v>
      </c>
      <c r="F466" s="290">
        <v>1</v>
      </c>
      <c r="G466" s="289">
        <v>900</v>
      </c>
      <c r="H466" s="289">
        <v>0</v>
      </c>
      <c r="I466" s="289">
        <v>90</v>
      </c>
      <c r="J466" s="289">
        <v>70</v>
      </c>
      <c r="K466" s="289">
        <v>7</v>
      </c>
      <c r="L466" s="289">
        <v>1067</v>
      </c>
    </row>
    <row r="467" spans="1:12">
      <c r="A467" s="288" t="s">
        <v>1291</v>
      </c>
      <c r="B467" s="288" t="s">
        <v>1280</v>
      </c>
      <c r="C467" s="288" t="s">
        <v>814</v>
      </c>
      <c r="D467" s="288" t="s">
        <v>818</v>
      </c>
      <c r="E467" s="289">
        <v>10</v>
      </c>
      <c r="F467" s="290">
        <v>8</v>
      </c>
      <c r="G467" s="289">
        <v>1100</v>
      </c>
      <c r="H467" s="289">
        <v>0</v>
      </c>
      <c r="I467" s="289">
        <v>110</v>
      </c>
      <c r="J467" s="289">
        <v>70</v>
      </c>
      <c r="K467" s="289">
        <v>7</v>
      </c>
      <c r="L467" s="289">
        <v>1287</v>
      </c>
    </row>
    <row r="468" spans="1:12">
      <c r="A468" s="288" t="s">
        <v>1292</v>
      </c>
      <c r="B468" s="288" t="s">
        <v>1280</v>
      </c>
      <c r="C468" s="288" t="s">
        <v>814</v>
      </c>
      <c r="D468" s="288" t="s">
        <v>815</v>
      </c>
      <c r="E468" s="289">
        <v>10</v>
      </c>
      <c r="F468" s="290">
        <v>19</v>
      </c>
      <c r="G468" s="289">
        <v>1100</v>
      </c>
      <c r="H468" s="289">
        <v>990</v>
      </c>
      <c r="I468" s="289">
        <v>209</v>
      </c>
      <c r="J468" s="289">
        <v>50</v>
      </c>
      <c r="K468" s="289">
        <v>5</v>
      </c>
      <c r="L468" s="289">
        <v>2354</v>
      </c>
    </row>
    <row r="469" spans="1:12">
      <c r="A469" s="288" t="s">
        <v>1293</v>
      </c>
      <c r="B469" s="288" t="s">
        <v>1280</v>
      </c>
      <c r="C469" s="288" t="s">
        <v>814</v>
      </c>
      <c r="D469" s="288" t="s">
        <v>815</v>
      </c>
      <c r="E469" s="289">
        <v>10</v>
      </c>
      <c r="F469" s="290">
        <v>8</v>
      </c>
      <c r="G469" s="289">
        <v>1100</v>
      </c>
      <c r="H469" s="289">
        <v>0</v>
      </c>
      <c r="I469" s="289">
        <v>110</v>
      </c>
      <c r="J469" s="289">
        <v>50</v>
      </c>
      <c r="K469" s="289">
        <v>5</v>
      </c>
      <c r="L469" s="289">
        <v>1265</v>
      </c>
    </row>
    <row r="470" spans="1:12">
      <c r="A470" s="288" t="s">
        <v>1294</v>
      </c>
      <c r="B470" s="288" t="s">
        <v>1280</v>
      </c>
      <c r="C470" s="288" t="s">
        <v>814</v>
      </c>
      <c r="D470" s="288" t="s">
        <v>815</v>
      </c>
      <c r="E470" s="289">
        <v>10</v>
      </c>
      <c r="F470" s="290">
        <v>15</v>
      </c>
      <c r="G470" s="289">
        <v>1100</v>
      </c>
      <c r="H470" s="289">
        <v>550</v>
      </c>
      <c r="I470" s="289">
        <v>165</v>
      </c>
      <c r="J470" s="289">
        <v>50</v>
      </c>
      <c r="K470" s="289">
        <v>5</v>
      </c>
      <c r="L470" s="289">
        <v>1870</v>
      </c>
    </row>
    <row r="471" spans="1:12">
      <c r="A471" s="288" t="s">
        <v>1295</v>
      </c>
      <c r="B471" s="288" t="s">
        <v>1280</v>
      </c>
      <c r="C471" s="288" t="s">
        <v>814</v>
      </c>
      <c r="D471" s="288" t="s">
        <v>818</v>
      </c>
      <c r="E471" s="289">
        <v>10</v>
      </c>
      <c r="F471" s="290">
        <v>13</v>
      </c>
      <c r="G471" s="289">
        <v>1100</v>
      </c>
      <c r="H471" s="289">
        <v>330</v>
      </c>
      <c r="I471" s="289">
        <v>143</v>
      </c>
      <c r="J471" s="289">
        <v>70</v>
      </c>
      <c r="K471" s="289">
        <v>7</v>
      </c>
      <c r="L471" s="289">
        <v>1650</v>
      </c>
    </row>
    <row r="472" spans="1:12">
      <c r="A472" s="288" t="s">
        <v>1296</v>
      </c>
      <c r="B472" s="288" t="s">
        <v>1280</v>
      </c>
      <c r="C472" s="288" t="s">
        <v>814</v>
      </c>
      <c r="D472" s="288" t="s">
        <v>815</v>
      </c>
      <c r="E472" s="289">
        <v>10</v>
      </c>
      <c r="F472" s="290">
        <v>8</v>
      </c>
      <c r="G472" s="289">
        <v>1100</v>
      </c>
      <c r="H472" s="289">
        <v>0</v>
      </c>
      <c r="I472" s="289">
        <v>110</v>
      </c>
      <c r="J472" s="289">
        <v>50</v>
      </c>
      <c r="K472" s="289">
        <v>5</v>
      </c>
      <c r="L472" s="289">
        <v>1265</v>
      </c>
    </row>
    <row r="473" spans="1:12">
      <c r="A473" s="288" t="s">
        <v>1297</v>
      </c>
      <c r="B473" s="288" t="s">
        <v>1280</v>
      </c>
      <c r="C473" s="288" t="s">
        <v>814</v>
      </c>
      <c r="D473" s="288" t="s">
        <v>815</v>
      </c>
      <c r="E473" s="289">
        <v>10</v>
      </c>
      <c r="F473" s="290">
        <v>9</v>
      </c>
      <c r="G473" s="289">
        <v>1100</v>
      </c>
      <c r="H473" s="289">
        <v>0</v>
      </c>
      <c r="I473" s="289">
        <v>110</v>
      </c>
      <c r="J473" s="289">
        <v>50</v>
      </c>
      <c r="K473" s="289">
        <v>5</v>
      </c>
      <c r="L473" s="289">
        <v>1265</v>
      </c>
    </row>
    <row r="474" spans="1:12">
      <c r="A474" s="288" t="s">
        <v>1298</v>
      </c>
      <c r="B474" s="288" t="s">
        <v>1280</v>
      </c>
      <c r="C474" s="288" t="s">
        <v>814</v>
      </c>
      <c r="D474" s="288" t="s">
        <v>815</v>
      </c>
      <c r="E474" s="289">
        <v>10</v>
      </c>
      <c r="F474" s="290">
        <v>7</v>
      </c>
      <c r="G474" s="289">
        <v>1100</v>
      </c>
      <c r="H474" s="289">
        <v>0</v>
      </c>
      <c r="I474" s="289">
        <v>110</v>
      </c>
      <c r="J474" s="289">
        <v>50</v>
      </c>
      <c r="K474" s="289">
        <v>5</v>
      </c>
      <c r="L474" s="289">
        <v>1265</v>
      </c>
    </row>
    <row r="475" spans="1:12">
      <c r="A475" s="288" t="s">
        <v>1299</v>
      </c>
      <c r="B475" s="288" t="s">
        <v>1280</v>
      </c>
      <c r="C475" s="288" t="s">
        <v>814</v>
      </c>
      <c r="D475" s="288" t="s">
        <v>815</v>
      </c>
      <c r="E475" s="289">
        <v>10</v>
      </c>
      <c r="F475" s="290">
        <v>6</v>
      </c>
      <c r="G475" s="289">
        <v>1100</v>
      </c>
      <c r="H475" s="289">
        <v>0</v>
      </c>
      <c r="I475" s="289">
        <v>110</v>
      </c>
      <c r="J475" s="289">
        <v>50</v>
      </c>
      <c r="K475" s="289">
        <v>5</v>
      </c>
      <c r="L475" s="289">
        <v>1265</v>
      </c>
    </row>
    <row r="476" spans="1:12">
      <c r="A476" s="288" t="s">
        <v>1300</v>
      </c>
      <c r="B476" s="288" t="s">
        <v>1280</v>
      </c>
      <c r="C476" s="288" t="s">
        <v>814</v>
      </c>
      <c r="D476" s="288" t="s">
        <v>815</v>
      </c>
      <c r="E476" s="289">
        <v>10</v>
      </c>
      <c r="F476" s="290">
        <v>21</v>
      </c>
      <c r="G476" s="289">
        <v>1100</v>
      </c>
      <c r="H476" s="289">
        <v>1210</v>
      </c>
      <c r="I476" s="289">
        <v>231</v>
      </c>
      <c r="J476" s="289">
        <v>50</v>
      </c>
      <c r="K476" s="289">
        <v>5</v>
      </c>
      <c r="L476" s="289">
        <v>2596</v>
      </c>
    </row>
    <row r="477" spans="1:12">
      <c r="A477" s="288" t="s">
        <v>1301</v>
      </c>
      <c r="B477" s="288" t="s">
        <v>1280</v>
      </c>
      <c r="C477" s="288" t="s">
        <v>814</v>
      </c>
      <c r="D477" s="288" t="s">
        <v>815</v>
      </c>
      <c r="E477" s="289">
        <v>10</v>
      </c>
      <c r="F477" s="290">
        <v>7</v>
      </c>
      <c r="G477" s="289">
        <v>1100</v>
      </c>
      <c r="H477" s="289">
        <v>0</v>
      </c>
      <c r="I477" s="289">
        <v>110</v>
      </c>
      <c r="J477" s="289">
        <v>50</v>
      </c>
      <c r="K477" s="289">
        <v>5</v>
      </c>
      <c r="L477" s="289">
        <v>1265</v>
      </c>
    </row>
    <row r="478" spans="1:12">
      <c r="A478" s="288" t="s">
        <v>1302</v>
      </c>
      <c r="B478" s="288" t="s">
        <v>1280</v>
      </c>
      <c r="C478" s="288" t="s">
        <v>814</v>
      </c>
      <c r="D478" s="288" t="s">
        <v>815</v>
      </c>
      <c r="E478" s="289">
        <v>10</v>
      </c>
      <c r="F478" s="290">
        <v>5</v>
      </c>
      <c r="G478" s="289">
        <v>900</v>
      </c>
      <c r="H478" s="289">
        <v>0</v>
      </c>
      <c r="I478" s="289">
        <v>90</v>
      </c>
      <c r="J478" s="289">
        <v>50</v>
      </c>
      <c r="K478" s="289">
        <v>5</v>
      </c>
      <c r="L478" s="289">
        <v>1045</v>
      </c>
    </row>
    <row r="479" spans="1:12">
      <c r="A479" s="288" t="s">
        <v>1303</v>
      </c>
      <c r="B479" s="288" t="s">
        <v>1280</v>
      </c>
      <c r="C479" s="288" t="s">
        <v>814</v>
      </c>
      <c r="D479" s="288" t="s">
        <v>815</v>
      </c>
      <c r="E479" s="289">
        <v>10</v>
      </c>
      <c r="F479" s="290">
        <v>4</v>
      </c>
      <c r="G479" s="289">
        <v>900</v>
      </c>
      <c r="H479" s="289">
        <v>0</v>
      </c>
      <c r="I479" s="289">
        <v>90</v>
      </c>
      <c r="J479" s="289">
        <v>50</v>
      </c>
      <c r="K479" s="289">
        <v>5</v>
      </c>
      <c r="L479" s="289">
        <v>1045</v>
      </c>
    </row>
    <row r="480" spans="1:12">
      <c r="A480" s="288" t="s">
        <v>1304</v>
      </c>
      <c r="B480" s="288" t="s">
        <v>1280</v>
      </c>
      <c r="C480" s="288" t="s">
        <v>814</v>
      </c>
      <c r="D480" s="288" t="s">
        <v>815</v>
      </c>
      <c r="E480" s="289">
        <v>10</v>
      </c>
      <c r="F480" s="290">
        <v>13</v>
      </c>
      <c r="G480" s="289">
        <v>1100</v>
      </c>
      <c r="H480" s="289">
        <v>330</v>
      </c>
      <c r="I480" s="289">
        <v>143</v>
      </c>
      <c r="J480" s="289">
        <v>50</v>
      </c>
      <c r="K480" s="289">
        <v>5</v>
      </c>
      <c r="L480" s="289">
        <v>1628</v>
      </c>
    </row>
    <row r="481" spans="1:12">
      <c r="A481" s="288" t="s">
        <v>1305</v>
      </c>
      <c r="B481" s="288" t="s">
        <v>1280</v>
      </c>
      <c r="C481" s="288" t="s">
        <v>814</v>
      </c>
      <c r="D481" s="288" t="s">
        <v>815</v>
      </c>
      <c r="E481" s="289">
        <v>10</v>
      </c>
      <c r="F481" s="290">
        <v>7</v>
      </c>
      <c r="G481" s="289">
        <v>1100</v>
      </c>
      <c r="H481" s="289">
        <v>0</v>
      </c>
      <c r="I481" s="289">
        <v>110</v>
      </c>
      <c r="J481" s="289">
        <v>50</v>
      </c>
      <c r="K481" s="289">
        <v>5</v>
      </c>
      <c r="L481" s="289">
        <v>1265</v>
      </c>
    </row>
    <row r="482" spans="1:12">
      <c r="A482" s="288" t="s">
        <v>1306</v>
      </c>
      <c r="B482" s="288" t="s">
        <v>1280</v>
      </c>
      <c r="C482" s="288" t="s">
        <v>814</v>
      </c>
      <c r="D482" s="288" t="s">
        <v>815</v>
      </c>
      <c r="E482" s="289">
        <v>10</v>
      </c>
      <c r="F482" s="290">
        <v>0</v>
      </c>
      <c r="G482" s="289">
        <v>900</v>
      </c>
      <c r="H482" s="289">
        <v>0</v>
      </c>
      <c r="I482" s="289">
        <v>90</v>
      </c>
      <c r="J482" s="289">
        <v>50</v>
      </c>
      <c r="K482" s="289">
        <v>5</v>
      </c>
      <c r="L482" s="289">
        <v>1045</v>
      </c>
    </row>
    <row r="483" spans="1:12">
      <c r="A483" s="288" t="s">
        <v>1307</v>
      </c>
      <c r="B483" s="288" t="s">
        <v>1280</v>
      </c>
      <c r="C483" s="288" t="s">
        <v>814</v>
      </c>
      <c r="D483" s="288" t="s">
        <v>815</v>
      </c>
      <c r="E483" s="289">
        <v>10</v>
      </c>
      <c r="F483" s="290">
        <v>3</v>
      </c>
      <c r="G483" s="289">
        <v>900</v>
      </c>
      <c r="H483" s="289">
        <v>0</v>
      </c>
      <c r="I483" s="289">
        <v>90</v>
      </c>
      <c r="J483" s="289">
        <v>50</v>
      </c>
      <c r="K483" s="289">
        <v>5</v>
      </c>
      <c r="L483" s="289">
        <v>1045</v>
      </c>
    </row>
    <row r="484" spans="1:12">
      <c r="A484" s="288" t="s">
        <v>1308</v>
      </c>
      <c r="B484" s="288" t="s">
        <v>1280</v>
      </c>
      <c r="C484" s="288" t="s">
        <v>814</v>
      </c>
      <c r="D484" s="288" t="s">
        <v>815</v>
      </c>
      <c r="E484" s="289">
        <v>10</v>
      </c>
      <c r="F484" s="290">
        <v>5</v>
      </c>
      <c r="G484" s="289">
        <v>900</v>
      </c>
      <c r="H484" s="289">
        <v>0</v>
      </c>
      <c r="I484" s="289">
        <v>90</v>
      </c>
      <c r="J484" s="289">
        <v>50</v>
      </c>
      <c r="K484" s="289">
        <v>5</v>
      </c>
      <c r="L484" s="289">
        <v>1045</v>
      </c>
    </row>
    <row r="485" spans="1:12">
      <c r="A485" s="288" t="s">
        <v>1309</v>
      </c>
      <c r="B485" s="288" t="s">
        <v>1280</v>
      </c>
      <c r="C485" s="288" t="s">
        <v>814</v>
      </c>
      <c r="D485" s="288" t="s">
        <v>815</v>
      </c>
      <c r="E485" s="289">
        <v>10</v>
      </c>
      <c r="F485" s="290">
        <v>7</v>
      </c>
      <c r="G485" s="289">
        <v>1100</v>
      </c>
      <c r="H485" s="289">
        <v>0</v>
      </c>
      <c r="I485" s="289">
        <v>110</v>
      </c>
      <c r="J485" s="289">
        <v>50</v>
      </c>
      <c r="K485" s="289">
        <v>5</v>
      </c>
      <c r="L485" s="289">
        <v>1265</v>
      </c>
    </row>
    <row r="486" spans="1:12">
      <c r="A486" s="288" t="s">
        <v>1310</v>
      </c>
      <c r="B486" s="288" t="s">
        <v>1280</v>
      </c>
      <c r="C486" s="288" t="s">
        <v>814</v>
      </c>
      <c r="D486" s="288" t="s">
        <v>815</v>
      </c>
      <c r="E486" s="289">
        <v>10</v>
      </c>
      <c r="F486" s="290">
        <v>8</v>
      </c>
      <c r="G486" s="289">
        <v>1100</v>
      </c>
      <c r="H486" s="289">
        <v>0</v>
      </c>
      <c r="I486" s="289">
        <v>110</v>
      </c>
      <c r="J486" s="289">
        <v>50</v>
      </c>
      <c r="K486" s="289">
        <v>5</v>
      </c>
      <c r="L486" s="289">
        <v>1265</v>
      </c>
    </row>
    <row r="487" spans="1:12">
      <c r="A487" s="288" t="s">
        <v>1311</v>
      </c>
      <c r="B487" s="288" t="s">
        <v>1280</v>
      </c>
      <c r="C487" s="288" t="s">
        <v>814</v>
      </c>
      <c r="D487" s="288" t="s">
        <v>815</v>
      </c>
      <c r="E487" s="289">
        <v>10</v>
      </c>
      <c r="F487" s="290">
        <v>8</v>
      </c>
      <c r="G487" s="289">
        <v>1100</v>
      </c>
      <c r="H487" s="289">
        <v>0</v>
      </c>
      <c r="I487" s="289">
        <v>110</v>
      </c>
      <c r="J487" s="289">
        <v>50</v>
      </c>
      <c r="K487" s="289">
        <v>5</v>
      </c>
      <c r="L487" s="289">
        <v>1265</v>
      </c>
    </row>
    <row r="488" spans="1:12">
      <c r="A488" s="288" t="s">
        <v>1312</v>
      </c>
      <c r="B488" s="288" t="s">
        <v>1280</v>
      </c>
      <c r="C488" s="288" t="s">
        <v>814</v>
      </c>
      <c r="D488" s="288" t="s">
        <v>815</v>
      </c>
      <c r="E488" s="289">
        <v>10</v>
      </c>
      <c r="F488" s="290">
        <v>0</v>
      </c>
      <c r="G488" s="289">
        <v>900</v>
      </c>
      <c r="H488" s="289">
        <v>0</v>
      </c>
      <c r="I488" s="289">
        <v>90</v>
      </c>
      <c r="J488" s="289">
        <v>50</v>
      </c>
      <c r="K488" s="289">
        <v>5</v>
      </c>
      <c r="L488" s="289">
        <v>1045</v>
      </c>
    </row>
    <row r="489" spans="1:12">
      <c r="A489" s="288" t="s">
        <v>1313</v>
      </c>
      <c r="B489" s="288" t="s">
        <v>1280</v>
      </c>
      <c r="C489" s="288" t="s">
        <v>814</v>
      </c>
      <c r="D489" s="288" t="s">
        <v>815</v>
      </c>
      <c r="E489" s="289">
        <v>10</v>
      </c>
      <c r="F489" s="290">
        <v>13</v>
      </c>
      <c r="G489" s="289">
        <v>1100</v>
      </c>
      <c r="H489" s="289">
        <v>330</v>
      </c>
      <c r="I489" s="289">
        <v>143</v>
      </c>
      <c r="J489" s="289">
        <v>50</v>
      </c>
      <c r="K489" s="289">
        <v>5</v>
      </c>
      <c r="L489" s="289">
        <v>1628</v>
      </c>
    </row>
    <row r="490" spans="1:12">
      <c r="A490" s="288" t="s">
        <v>1314</v>
      </c>
      <c r="B490" s="288" t="s">
        <v>1280</v>
      </c>
      <c r="C490" s="288" t="s">
        <v>814</v>
      </c>
      <c r="D490" s="288" t="s">
        <v>815</v>
      </c>
      <c r="E490" s="289">
        <v>10</v>
      </c>
      <c r="F490" s="290">
        <v>8</v>
      </c>
      <c r="G490" s="289">
        <v>1100</v>
      </c>
      <c r="H490" s="289">
        <v>0</v>
      </c>
      <c r="I490" s="289">
        <v>110</v>
      </c>
      <c r="J490" s="289">
        <v>50</v>
      </c>
      <c r="K490" s="289">
        <v>5</v>
      </c>
      <c r="L490" s="289">
        <v>1265</v>
      </c>
    </row>
    <row r="491" spans="1:12">
      <c r="A491" s="288" t="s">
        <v>1315</v>
      </c>
      <c r="B491" s="288" t="s">
        <v>1280</v>
      </c>
      <c r="C491" s="288" t="s">
        <v>814</v>
      </c>
      <c r="D491" s="288" t="s">
        <v>815</v>
      </c>
      <c r="E491" s="289">
        <v>10</v>
      </c>
      <c r="F491" s="290">
        <v>5</v>
      </c>
      <c r="G491" s="289">
        <v>900</v>
      </c>
      <c r="H491" s="289">
        <v>0</v>
      </c>
      <c r="I491" s="289">
        <v>90</v>
      </c>
      <c r="J491" s="289">
        <v>50</v>
      </c>
      <c r="K491" s="289">
        <v>5</v>
      </c>
      <c r="L491" s="289">
        <v>1045</v>
      </c>
    </row>
    <row r="492" spans="1:12">
      <c r="A492" s="288" t="s">
        <v>1316</v>
      </c>
      <c r="B492" s="288" t="s">
        <v>1280</v>
      </c>
      <c r="C492" s="288" t="s">
        <v>814</v>
      </c>
      <c r="D492" s="288" t="s">
        <v>815</v>
      </c>
      <c r="E492" s="289">
        <v>10</v>
      </c>
      <c r="F492" s="290">
        <v>10</v>
      </c>
      <c r="G492" s="289">
        <v>1100</v>
      </c>
      <c r="H492" s="289">
        <v>0</v>
      </c>
      <c r="I492" s="289">
        <v>110</v>
      </c>
      <c r="J492" s="289">
        <v>50</v>
      </c>
      <c r="K492" s="289">
        <v>5</v>
      </c>
      <c r="L492" s="289">
        <v>1265</v>
      </c>
    </row>
    <row r="493" spans="1:12">
      <c r="A493" s="288" t="s">
        <v>1317</v>
      </c>
      <c r="B493" s="288" t="s">
        <v>1280</v>
      </c>
      <c r="C493" s="288" t="s">
        <v>814</v>
      </c>
      <c r="D493" s="288" t="s">
        <v>815</v>
      </c>
      <c r="E493" s="289">
        <v>10</v>
      </c>
      <c r="F493" s="290">
        <v>4</v>
      </c>
      <c r="G493" s="289">
        <v>900</v>
      </c>
      <c r="H493" s="289">
        <v>0</v>
      </c>
      <c r="I493" s="289">
        <v>90</v>
      </c>
      <c r="J493" s="289">
        <v>50</v>
      </c>
      <c r="K493" s="289">
        <v>5</v>
      </c>
      <c r="L493" s="289">
        <v>1045</v>
      </c>
    </row>
    <row r="494" spans="1:12">
      <c r="A494" s="288" t="s">
        <v>1318</v>
      </c>
      <c r="B494" s="288" t="s">
        <v>1280</v>
      </c>
      <c r="C494" s="288" t="s">
        <v>814</v>
      </c>
      <c r="D494" s="288" t="s">
        <v>815</v>
      </c>
      <c r="E494" s="289">
        <v>10</v>
      </c>
      <c r="F494" s="290">
        <v>8</v>
      </c>
      <c r="G494" s="289">
        <v>1100</v>
      </c>
      <c r="H494" s="289">
        <v>0</v>
      </c>
      <c r="I494" s="289">
        <v>110</v>
      </c>
      <c r="J494" s="289">
        <v>50</v>
      </c>
      <c r="K494" s="289">
        <v>5</v>
      </c>
      <c r="L494" s="289">
        <v>1265</v>
      </c>
    </row>
    <row r="495" spans="1:12">
      <c r="A495" s="288" t="s">
        <v>1319</v>
      </c>
      <c r="B495" s="288" t="s">
        <v>1280</v>
      </c>
      <c r="C495" s="288" t="s">
        <v>814</v>
      </c>
      <c r="D495" s="288" t="s">
        <v>815</v>
      </c>
      <c r="E495" s="289">
        <v>10</v>
      </c>
      <c r="F495" s="290">
        <v>7</v>
      </c>
      <c r="G495" s="289">
        <v>1100</v>
      </c>
      <c r="H495" s="289">
        <v>0</v>
      </c>
      <c r="I495" s="289">
        <v>110</v>
      </c>
      <c r="J495" s="289">
        <v>50</v>
      </c>
      <c r="K495" s="289">
        <v>5</v>
      </c>
      <c r="L495" s="289">
        <v>1265</v>
      </c>
    </row>
    <row r="496" spans="1:12">
      <c r="A496" s="288" t="s">
        <v>1320</v>
      </c>
      <c r="B496" s="288" t="s">
        <v>1280</v>
      </c>
      <c r="C496" s="288" t="s">
        <v>814</v>
      </c>
      <c r="D496" s="288" t="s">
        <v>815</v>
      </c>
      <c r="E496" s="289">
        <v>10</v>
      </c>
      <c r="F496" s="290">
        <v>4</v>
      </c>
      <c r="G496" s="289">
        <v>900</v>
      </c>
      <c r="H496" s="289">
        <v>0</v>
      </c>
      <c r="I496" s="289">
        <v>90</v>
      </c>
      <c r="J496" s="289">
        <v>50</v>
      </c>
      <c r="K496" s="289">
        <v>5</v>
      </c>
      <c r="L496" s="289">
        <v>1045</v>
      </c>
    </row>
    <row r="497" spans="1:12">
      <c r="A497" s="288" t="s">
        <v>1321</v>
      </c>
      <c r="B497" s="288" t="s">
        <v>1280</v>
      </c>
      <c r="C497" s="288" t="s">
        <v>814</v>
      </c>
      <c r="D497" s="288" t="s">
        <v>815</v>
      </c>
      <c r="E497" s="289">
        <v>10</v>
      </c>
      <c r="F497" s="290">
        <v>18</v>
      </c>
      <c r="G497" s="289">
        <v>1100</v>
      </c>
      <c r="H497" s="289">
        <v>880</v>
      </c>
      <c r="I497" s="289">
        <v>198</v>
      </c>
      <c r="J497" s="289">
        <v>50</v>
      </c>
      <c r="K497" s="289">
        <v>5</v>
      </c>
      <c r="L497" s="289">
        <v>2233</v>
      </c>
    </row>
    <row r="498" spans="1:12">
      <c r="A498" s="288" t="s">
        <v>1322</v>
      </c>
      <c r="B498" s="288" t="s">
        <v>1280</v>
      </c>
      <c r="C498" s="288" t="s">
        <v>814</v>
      </c>
      <c r="D498" s="288" t="s">
        <v>815</v>
      </c>
      <c r="E498" s="289">
        <v>10</v>
      </c>
      <c r="F498" s="290">
        <v>7</v>
      </c>
      <c r="G498" s="289">
        <v>1100</v>
      </c>
      <c r="H498" s="289">
        <v>0</v>
      </c>
      <c r="I498" s="289">
        <v>110</v>
      </c>
      <c r="J498" s="289">
        <v>50</v>
      </c>
      <c r="K498" s="289">
        <v>5</v>
      </c>
      <c r="L498" s="289">
        <v>1265</v>
      </c>
    </row>
    <row r="499" spans="1:12">
      <c r="A499" s="288" t="s">
        <v>1323</v>
      </c>
      <c r="B499" s="288" t="s">
        <v>1280</v>
      </c>
      <c r="C499" s="288" t="s">
        <v>814</v>
      </c>
      <c r="D499" s="288" t="s">
        <v>815</v>
      </c>
      <c r="E499" s="289">
        <v>10</v>
      </c>
      <c r="F499" s="290">
        <v>3</v>
      </c>
      <c r="G499" s="289">
        <v>900</v>
      </c>
      <c r="H499" s="289">
        <v>0</v>
      </c>
      <c r="I499" s="289">
        <v>90</v>
      </c>
      <c r="J499" s="289">
        <v>50</v>
      </c>
      <c r="K499" s="289">
        <v>5</v>
      </c>
      <c r="L499" s="289">
        <v>1045</v>
      </c>
    </row>
    <row r="500" spans="1:12">
      <c r="A500" s="288" t="s">
        <v>1324</v>
      </c>
      <c r="B500" s="288" t="s">
        <v>1280</v>
      </c>
      <c r="C500" s="288" t="s">
        <v>814</v>
      </c>
      <c r="D500" s="288" t="s">
        <v>815</v>
      </c>
      <c r="E500" s="289">
        <v>10</v>
      </c>
      <c r="F500" s="290">
        <v>6</v>
      </c>
      <c r="G500" s="289">
        <v>1100</v>
      </c>
      <c r="H500" s="289">
        <v>0</v>
      </c>
      <c r="I500" s="289">
        <v>110</v>
      </c>
      <c r="J500" s="289">
        <v>50</v>
      </c>
      <c r="K500" s="289">
        <v>5</v>
      </c>
      <c r="L500" s="289">
        <v>1265</v>
      </c>
    </row>
    <row r="501" spans="1:12">
      <c r="A501" s="288" t="s">
        <v>1325</v>
      </c>
      <c r="B501" s="288" t="s">
        <v>1280</v>
      </c>
      <c r="C501" s="288" t="s">
        <v>814</v>
      </c>
      <c r="D501" s="288" t="s">
        <v>815</v>
      </c>
      <c r="E501" s="289">
        <v>10</v>
      </c>
      <c r="F501" s="290">
        <v>4</v>
      </c>
      <c r="G501" s="289">
        <v>900</v>
      </c>
      <c r="H501" s="289">
        <v>0</v>
      </c>
      <c r="I501" s="289">
        <v>90</v>
      </c>
      <c r="J501" s="289">
        <v>50</v>
      </c>
      <c r="K501" s="289">
        <v>5</v>
      </c>
      <c r="L501" s="289">
        <v>1045</v>
      </c>
    </row>
    <row r="502" spans="1:12">
      <c r="A502" s="288" t="s">
        <v>1326</v>
      </c>
      <c r="B502" s="288" t="s">
        <v>1280</v>
      </c>
      <c r="C502" s="288" t="s">
        <v>814</v>
      </c>
      <c r="D502" s="288" t="s">
        <v>815</v>
      </c>
      <c r="E502" s="289">
        <v>10</v>
      </c>
      <c r="F502" s="290">
        <v>13</v>
      </c>
      <c r="G502" s="289">
        <v>1100</v>
      </c>
      <c r="H502" s="289">
        <v>330</v>
      </c>
      <c r="I502" s="289">
        <v>143</v>
      </c>
      <c r="J502" s="289">
        <v>50</v>
      </c>
      <c r="K502" s="289">
        <v>5</v>
      </c>
      <c r="L502" s="289">
        <v>1628</v>
      </c>
    </row>
    <row r="503" spans="1:12">
      <c r="A503" s="288" t="s">
        <v>1327</v>
      </c>
      <c r="B503" s="288" t="s">
        <v>1280</v>
      </c>
      <c r="C503" s="288" t="s">
        <v>814</v>
      </c>
      <c r="D503" s="288" t="s">
        <v>815</v>
      </c>
      <c r="E503" s="289">
        <v>10</v>
      </c>
      <c r="F503" s="290">
        <v>12</v>
      </c>
      <c r="G503" s="289">
        <v>1100</v>
      </c>
      <c r="H503" s="289">
        <v>220</v>
      </c>
      <c r="I503" s="289">
        <v>132</v>
      </c>
      <c r="J503" s="289">
        <v>50</v>
      </c>
      <c r="K503" s="289">
        <v>5</v>
      </c>
      <c r="L503" s="289">
        <v>1507</v>
      </c>
    </row>
    <row r="504" spans="1:12">
      <c r="A504" s="288" t="s">
        <v>1328</v>
      </c>
      <c r="B504" s="288" t="s">
        <v>1280</v>
      </c>
      <c r="C504" s="288" t="s">
        <v>814</v>
      </c>
      <c r="D504" s="288" t="s">
        <v>815</v>
      </c>
      <c r="E504" s="289">
        <v>10</v>
      </c>
      <c r="F504" s="290">
        <v>11</v>
      </c>
      <c r="G504" s="289">
        <v>1100</v>
      </c>
      <c r="H504" s="289">
        <v>110</v>
      </c>
      <c r="I504" s="289">
        <v>121</v>
      </c>
      <c r="J504" s="289">
        <v>50</v>
      </c>
      <c r="K504" s="289">
        <v>5</v>
      </c>
      <c r="L504" s="289">
        <v>1386</v>
      </c>
    </row>
    <row r="505" spans="1:12">
      <c r="A505" s="288" t="s">
        <v>1329</v>
      </c>
      <c r="B505" s="288" t="s">
        <v>1280</v>
      </c>
      <c r="C505" s="288" t="s">
        <v>814</v>
      </c>
      <c r="D505" s="288" t="s">
        <v>815</v>
      </c>
      <c r="E505" s="289">
        <v>10</v>
      </c>
      <c r="F505" s="290">
        <v>7</v>
      </c>
      <c r="G505" s="289">
        <v>1100</v>
      </c>
      <c r="H505" s="289">
        <v>0</v>
      </c>
      <c r="I505" s="289">
        <v>110</v>
      </c>
      <c r="J505" s="289">
        <v>50</v>
      </c>
      <c r="K505" s="289">
        <v>5</v>
      </c>
      <c r="L505" s="289">
        <v>1265</v>
      </c>
    </row>
    <row r="506" spans="1:12">
      <c r="A506" s="288" t="s">
        <v>1330</v>
      </c>
      <c r="B506" s="288" t="s">
        <v>1280</v>
      </c>
      <c r="C506" s="288" t="s">
        <v>814</v>
      </c>
      <c r="D506" s="288" t="s">
        <v>815</v>
      </c>
      <c r="E506" s="289">
        <v>10</v>
      </c>
      <c r="F506" s="290">
        <v>10</v>
      </c>
      <c r="G506" s="289">
        <v>1100</v>
      </c>
      <c r="H506" s="289">
        <v>0</v>
      </c>
      <c r="I506" s="289">
        <v>110</v>
      </c>
      <c r="J506" s="289">
        <v>50</v>
      </c>
      <c r="K506" s="289">
        <v>5</v>
      </c>
      <c r="L506" s="289">
        <v>1265</v>
      </c>
    </row>
    <row r="507" spans="1:12">
      <c r="A507" s="288" t="s">
        <v>1331</v>
      </c>
      <c r="B507" s="288" t="s">
        <v>1280</v>
      </c>
      <c r="C507" s="288" t="s">
        <v>814</v>
      </c>
      <c r="D507" s="288" t="s">
        <v>815</v>
      </c>
      <c r="E507" s="289">
        <v>10</v>
      </c>
      <c r="F507" s="290">
        <v>10</v>
      </c>
      <c r="G507" s="289">
        <v>1100</v>
      </c>
      <c r="H507" s="289">
        <v>0</v>
      </c>
      <c r="I507" s="289">
        <v>110</v>
      </c>
      <c r="J507" s="289">
        <v>50</v>
      </c>
      <c r="K507" s="289">
        <v>5</v>
      </c>
      <c r="L507" s="289">
        <v>1265</v>
      </c>
    </row>
    <row r="508" spans="1:12">
      <c r="A508" s="288" t="s">
        <v>1332</v>
      </c>
      <c r="B508" s="288" t="s">
        <v>1280</v>
      </c>
      <c r="C508" s="288" t="s">
        <v>814</v>
      </c>
      <c r="D508" s="288" t="s">
        <v>815</v>
      </c>
      <c r="E508" s="289">
        <v>10</v>
      </c>
      <c r="F508" s="290">
        <v>13</v>
      </c>
      <c r="G508" s="289">
        <v>1100</v>
      </c>
      <c r="H508" s="289">
        <v>330</v>
      </c>
      <c r="I508" s="289">
        <v>143</v>
      </c>
      <c r="J508" s="289">
        <v>50</v>
      </c>
      <c r="K508" s="289">
        <v>5</v>
      </c>
      <c r="L508" s="289">
        <v>1628</v>
      </c>
    </row>
    <row r="509" spans="1:12">
      <c r="A509" s="288" t="s">
        <v>1333</v>
      </c>
      <c r="B509" s="288" t="s">
        <v>1280</v>
      </c>
      <c r="C509" s="288" t="s">
        <v>814</v>
      </c>
      <c r="D509" s="288" t="s">
        <v>815</v>
      </c>
      <c r="E509" s="289">
        <v>10</v>
      </c>
      <c r="F509" s="290">
        <v>19</v>
      </c>
      <c r="G509" s="289">
        <v>1100</v>
      </c>
      <c r="H509" s="289">
        <v>990</v>
      </c>
      <c r="I509" s="289">
        <v>209</v>
      </c>
      <c r="J509" s="289">
        <v>50</v>
      </c>
      <c r="K509" s="289">
        <v>5</v>
      </c>
      <c r="L509" s="289">
        <v>2354</v>
      </c>
    </row>
    <row r="510" spans="1:12">
      <c r="A510" s="288" t="s">
        <v>1334</v>
      </c>
      <c r="B510" s="288" t="s">
        <v>1280</v>
      </c>
      <c r="C510" s="288" t="s">
        <v>814</v>
      </c>
      <c r="D510" s="288" t="s">
        <v>815</v>
      </c>
      <c r="E510" s="289">
        <v>10</v>
      </c>
      <c r="F510" s="290">
        <v>5</v>
      </c>
      <c r="G510" s="289">
        <v>900</v>
      </c>
      <c r="H510" s="289">
        <v>0</v>
      </c>
      <c r="I510" s="289">
        <v>90</v>
      </c>
      <c r="J510" s="289">
        <v>50</v>
      </c>
      <c r="K510" s="289">
        <v>5</v>
      </c>
      <c r="L510" s="289">
        <v>1045</v>
      </c>
    </row>
    <row r="511" spans="1:12">
      <c r="A511" s="288" t="s">
        <v>1335</v>
      </c>
      <c r="B511" s="288" t="s">
        <v>1280</v>
      </c>
      <c r="C511" s="288" t="s">
        <v>814</v>
      </c>
      <c r="D511" s="288" t="s">
        <v>815</v>
      </c>
      <c r="E511" s="289">
        <v>10</v>
      </c>
      <c r="F511" s="290">
        <v>11</v>
      </c>
      <c r="G511" s="289">
        <v>1100</v>
      </c>
      <c r="H511" s="289">
        <v>110</v>
      </c>
      <c r="I511" s="289">
        <v>121</v>
      </c>
      <c r="J511" s="289">
        <v>50</v>
      </c>
      <c r="K511" s="289">
        <v>5</v>
      </c>
      <c r="L511" s="289">
        <v>1386</v>
      </c>
    </row>
    <row r="512" spans="1:12">
      <c r="A512" s="288" t="s">
        <v>1336</v>
      </c>
      <c r="B512" s="288" t="s">
        <v>1280</v>
      </c>
      <c r="C512" s="288" t="s">
        <v>814</v>
      </c>
      <c r="D512" s="288" t="s">
        <v>815</v>
      </c>
      <c r="E512" s="289">
        <v>10</v>
      </c>
      <c r="F512" s="290">
        <v>17</v>
      </c>
      <c r="G512" s="289">
        <v>1100</v>
      </c>
      <c r="H512" s="289">
        <v>770</v>
      </c>
      <c r="I512" s="289">
        <v>187</v>
      </c>
      <c r="J512" s="289">
        <v>50</v>
      </c>
      <c r="K512" s="289">
        <v>5</v>
      </c>
      <c r="L512" s="289">
        <v>2112</v>
      </c>
    </row>
    <row r="513" spans="1:12">
      <c r="A513" s="288" t="s">
        <v>1337</v>
      </c>
      <c r="B513" s="288" t="s">
        <v>1280</v>
      </c>
      <c r="C513" s="288" t="s">
        <v>814</v>
      </c>
      <c r="D513" s="288" t="s">
        <v>815</v>
      </c>
      <c r="E513" s="289">
        <v>10</v>
      </c>
      <c r="F513" s="290">
        <v>18</v>
      </c>
      <c r="G513" s="289">
        <v>1100</v>
      </c>
      <c r="H513" s="289">
        <v>880</v>
      </c>
      <c r="I513" s="289">
        <v>198</v>
      </c>
      <c r="J513" s="289">
        <v>50</v>
      </c>
      <c r="K513" s="289">
        <v>5</v>
      </c>
      <c r="L513" s="289">
        <v>2233</v>
      </c>
    </row>
    <row r="514" spans="1:12">
      <c r="A514" s="288" t="s">
        <v>1338</v>
      </c>
      <c r="B514" s="288" t="s">
        <v>1280</v>
      </c>
      <c r="C514" s="288" t="s">
        <v>814</v>
      </c>
      <c r="D514" s="288" t="s">
        <v>815</v>
      </c>
      <c r="E514" s="289">
        <v>10</v>
      </c>
      <c r="F514" s="290">
        <v>18</v>
      </c>
      <c r="G514" s="289">
        <v>1100</v>
      </c>
      <c r="H514" s="289">
        <v>880</v>
      </c>
      <c r="I514" s="289">
        <v>198</v>
      </c>
      <c r="J514" s="289">
        <v>50</v>
      </c>
      <c r="K514" s="289">
        <v>5</v>
      </c>
      <c r="L514" s="289">
        <v>2233</v>
      </c>
    </row>
    <row r="515" spans="1:12">
      <c r="A515" s="288" t="s">
        <v>1339</v>
      </c>
      <c r="B515" s="288" t="s">
        <v>1280</v>
      </c>
      <c r="C515" s="288" t="s">
        <v>814</v>
      </c>
      <c r="D515" s="288" t="s">
        <v>815</v>
      </c>
      <c r="E515" s="289">
        <v>10</v>
      </c>
      <c r="F515" s="290">
        <v>26</v>
      </c>
      <c r="G515" s="289">
        <v>1100</v>
      </c>
      <c r="H515" s="289">
        <v>1760</v>
      </c>
      <c r="I515" s="289">
        <v>286</v>
      </c>
      <c r="J515" s="289">
        <v>50</v>
      </c>
      <c r="K515" s="289">
        <v>5</v>
      </c>
      <c r="L515" s="289">
        <v>3201</v>
      </c>
    </row>
    <row r="516" spans="1:12">
      <c r="A516" s="288" t="s">
        <v>1340</v>
      </c>
      <c r="B516" s="288" t="s">
        <v>1280</v>
      </c>
      <c r="C516" s="288" t="s">
        <v>814</v>
      </c>
      <c r="D516" s="288" t="s">
        <v>815</v>
      </c>
      <c r="E516" s="289">
        <v>10</v>
      </c>
      <c r="F516" s="290">
        <v>27</v>
      </c>
      <c r="G516" s="289">
        <v>1100</v>
      </c>
      <c r="H516" s="289">
        <v>1870</v>
      </c>
      <c r="I516" s="289">
        <v>297</v>
      </c>
      <c r="J516" s="289">
        <v>50</v>
      </c>
      <c r="K516" s="289">
        <v>5</v>
      </c>
      <c r="L516" s="289">
        <v>3322</v>
      </c>
    </row>
    <row r="517" spans="1:12">
      <c r="A517" s="288" t="s">
        <v>1341</v>
      </c>
      <c r="B517" s="288" t="s">
        <v>1280</v>
      </c>
      <c r="C517" s="288" t="s">
        <v>814</v>
      </c>
      <c r="D517" s="288" t="s">
        <v>815</v>
      </c>
      <c r="E517" s="289">
        <v>10</v>
      </c>
      <c r="F517" s="290">
        <v>10</v>
      </c>
      <c r="G517" s="289">
        <v>1100</v>
      </c>
      <c r="H517" s="289">
        <v>0</v>
      </c>
      <c r="I517" s="289">
        <v>110</v>
      </c>
      <c r="J517" s="289">
        <v>50</v>
      </c>
      <c r="K517" s="289">
        <v>5</v>
      </c>
      <c r="L517" s="289">
        <v>1265</v>
      </c>
    </row>
    <row r="518" spans="1:12">
      <c r="A518" s="288" t="s">
        <v>1342</v>
      </c>
      <c r="B518" s="288" t="s">
        <v>1280</v>
      </c>
      <c r="C518" s="288" t="s">
        <v>814</v>
      </c>
      <c r="D518" s="288" t="s">
        <v>815</v>
      </c>
      <c r="E518" s="289">
        <v>10</v>
      </c>
      <c r="F518" s="290">
        <v>20</v>
      </c>
      <c r="G518" s="289">
        <v>1100</v>
      </c>
      <c r="H518" s="289">
        <v>1100</v>
      </c>
      <c r="I518" s="289">
        <v>220</v>
      </c>
      <c r="J518" s="289">
        <v>50</v>
      </c>
      <c r="K518" s="289">
        <v>5</v>
      </c>
      <c r="L518" s="289">
        <v>2475</v>
      </c>
    </row>
    <row r="519" spans="1:12">
      <c r="A519" s="288" t="s">
        <v>1343</v>
      </c>
      <c r="B519" s="288" t="s">
        <v>1280</v>
      </c>
      <c r="C519" s="288" t="s">
        <v>814</v>
      </c>
      <c r="D519" s="288" t="s">
        <v>815</v>
      </c>
      <c r="E519" s="289">
        <v>10</v>
      </c>
      <c r="F519" s="290">
        <v>4</v>
      </c>
      <c r="G519" s="289">
        <v>900</v>
      </c>
      <c r="H519" s="289">
        <v>0</v>
      </c>
      <c r="I519" s="289">
        <v>90</v>
      </c>
      <c r="J519" s="289">
        <v>50</v>
      </c>
      <c r="K519" s="289">
        <v>5</v>
      </c>
      <c r="L519" s="289">
        <v>1045</v>
      </c>
    </row>
    <row r="520" spans="1:12">
      <c r="A520" s="288" t="s">
        <v>1344</v>
      </c>
      <c r="B520" s="288" t="s">
        <v>1280</v>
      </c>
      <c r="C520" s="288" t="s">
        <v>814</v>
      </c>
      <c r="D520" s="288" t="s">
        <v>815</v>
      </c>
      <c r="E520" s="289">
        <v>10</v>
      </c>
      <c r="F520" s="290">
        <v>13</v>
      </c>
      <c r="G520" s="289">
        <v>1100</v>
      </c>
      <c r="H520" s="289">
        <v>330</v>
      </c>
      <c r="I520" s="289">
        <v>143</v>
      </c>
      <c r="J520" s="289">
        <v>50</v>
      </c>
      <c r="K520" s="289">
        <v>5</v>
      </c>
      <c r="L520" s="289">
        <v>1628</v>
      </c>
    </row>
    <row r="521" spans="1:12">
      <c r="A521" s="288" t="s">
        <v>1345</v>
      </c>
      <c r="B521" s="288" t="s">
        <v>1280</v>
      </c>
      <c r="C521" s="288" t="s">
        <v>814</v>
      </c>
      <c r="D521" s="288" t="s">
        <v>815</v>
      </c>
      <c r="E521" s="289">
        <v>10</v>
      </c>
      <c r="F521" s="290">
        <v>25</v>
      </c>
      <c r="G521" s="289">
        <v>1100</v>
      </c>
      <c r="H521" s="289">
        <v>1650</v>
      </c>
      <c r="I521" s="289">
        <v>275</v>
      </c>
      <c r="J521" s="289">
        <v>50</v>
      </c>
      <c r="K521" s="289">
        <v>5</v>
      </c>
      <c r="L521" s="289">
        <v>3080</v>
      </c>
    </row>
    <row r="522" spans="1:12">
      <c r="A522" s="288" t="s">
        <v>1346</v>
      </c>
      <c r="B522" s="288" t="s">
        <v>1280</v>
      </c>
      <c r="C522" s="288" t="s">
        <v>814</v>
      </c>
      <c r="D522" s="288" t="s">
        <v>815</v>
      </c>
      <c r="E522" s="289">
        <v>10</v>
      </c>
      <c r="F522" s="290">
        <v>2</v>
      </c>
      <c r="G522" s="289">
        <v>900</v>
      </c>
      <c r="H522" s="289">
        <v>0</v>
      </c>
      <c r="I522" s="289">
        <v>90</v>
      </c>
      <c r="J522" s="289">
        <v>50</v>
      </c>
      <c r="K522" s="289">
        <v>5</v>
      </c>
      <c r="L522" s="289">
        <v>1045</v>
      </c>
    </row>
    <row r="523" spans="1:12">
      <c r="A523" s="288" t="s">
        <v>1347</v>
      </c>
      <c r="B523" s="288" t="s">
        <v>1280</v>
      </c>
      <c r="C523" s="288" t="s">
        <v>814</v>
      </c>
      <c r="D523" s="288" t="s">
        <v>815</v>
      </c>
      <c r="E523" s="289">
        <v>10</v>
      </c>
      <c r="F523" s="290">
        <v>0</v>
      </c>
      <c r="G523" s="289">
        <v>900</v>
      </c>
      <c r="H523" s="289">
        <v>0</v>
      </c>
      <c r="I523" s="289">
        <v>90</v>
      </c>
      <c r="J523" s="289">
        <v>50</v>
      </c>
      <c r="K523" s="289">
        <v>5</v>
      </c>
      <c r="L523" s="289">
        <v>1045</v>
      </c>
    </row>
    <row r="524" spans="1:12">
      <c r="A524" s="288" t="s">
        <v>1348</v>
      </c>
      <c r="B524" s="288" t="s">
        <v>1280</v>
      </c>
      <c r="C524" s="288" t="s">
        <v>814</v>
      </c>
      <c r="D524" s="288" t="s">
        <v>815</v>
      </c>
      <c r="E524" s="289">
        <v>10</v>
      </c>
      <c r="F524" s="290">
        <v>6</v>
      </c>
      <c r="G524" s="289">
        <v>1100</v>
      </c>
      <c r="H524" s="289">
        <v>0</v>
      </c>
      <c r="I524" s="289">
        <v>110</v>
      </c>
      <c r="J524" s="289">
        <v>50</v>
      </c>
      <c r="K524" s="289">
        <v>5</v>
      </c>
      <c r="L524" s="289">
        <v>1265</v>
      </c>
    </row>
    <row r="525" spans="1:12">
      <c r="A525" s="288" t="s">
        <v>1349</v>
      </c>
      <c r="B525" s="288" t="s">
        <v>1280</v>
      </c>
      <c r="C525" s="288" t="s">
        <v>814</v>
      </c>
      <c r="D525" s="288" t="s">
        <v>815</v>
      </c>
      <c r="E525" s="289">
        <v>10</v>
      </c>
      <c r="F525" s="290">
        <v>25</v>
      </c>
      <c r="G525" s="289">
        <v>1100</v>
      </c>
      <c r="H525" s="289">
        <v>1650</v>
      </c>
      <c r="I525" s="289">
        <v>275</v>
      </c>
      <c r="J525" s="289">
        <v>50</v>
      </c>
      <c r="K525" s="289">
        <v>5</v>
      </c>
      <c r="L525" s="289">
        <v>3080</v>
      </c>
    </row>
    <row r="526" spans="1:12">
      <c r="A526" s="288" t="s">
        <v>1350</v>
      </c>
      <c r="B526" s="288" t="s">
        <v>1280</v>
      </c>
      <c r="C526" s="288" t="s">
        <v>814</v>
      </c>
      <c r="D526" s="288" t="s">
        <v>815</v>
      </c>
      <c r="E526" s="289">
        <v>10</v>
      </c>
      <c r="F526" s="290">
        <v>6</v>
      </c>
      <c r="G526" s="289">
        <v>1100</v>
      </c>
      <c r="H526" s="289">
        <v>0</v>
      </c>
      <c r="I526" s="289">
        <v>110</v>
      </c>
      <c r="J526" s="289">
        <v>50</v>
      </c>
      <c r="K526" s="289">
        <v>5</v>
      </c>
      <c r="L526" s="289">
        <v>1265</v>
      </c>
    </row>
    <row r="527" spans="1:12">
      <c r="A527" s="288" t="s">
        <v>1351</v>
      </c>
      <c r="B527" s="288" t="s">
        <v>1280</v>
      </c>
      <c r="C527" s="288" t="s">
        <v>814</v>
      </c>
      <c r="D527" s="288" t="s">
        <v>818</v>
      </c>
      <c r="E527" s="289">
        <v>10</v>
      </c>
      <c r="F527" s="290">
        <v>6</v>
      </c>
      <c r="G527" s="289">
        <v>1100</v>
      </c>
      <c r="H527" s="289">
        <v>0</v>
      </c>
      <c r="I527" s="289">
        <v>110</v>
      </c>
      <c r="J527" s="289">
        <v>70</v>
      </c>
      <c r="K527" s="289">
        <v>7</v>
      </c>
      <c r="L527" s="289">
        <v>1287</v>
      </c>
    </row>
    <row r="528" spans="1:12">
      <c r="A528" s="288" t="s">
        <v>1352</v>
      </c>
      <c r="B528" s="288" t="s">
        <v>1280</v>
      </c>
      <c r="C528" s="288" t="s">
        <v>814</v>
      </c>
      <c r="D528" s="288" t="s">
        <v>818</v>
      </c>
      <c r="E528" s="289">
        <v>10</v>
      </c>
      <c r="F528" s="290">
        <v>0</v>
      </c>
      <c r="G528" s="289">
        <v>900</v>
      </c>
      <c r="H528" s="289">
        <v>0</v>
      </c>
      <c r="I528" s="289">
        <v>90</v>
      </c>
      <c r="J528" s="289">
        <v>70</v>
      </c>
      <c r="K528" s="289">
        <v>7</v>
      </c>
      <c r="L528" s="289">
        <v>1067</v>
      </c>
    </row>
    <row r="529" spans="1:12">
      <c r="A529" s="288" t="s">
        <v>1353</v>
      </c>
      <c r="B529" s="288" t="s">
        <v>1280</v>
      </c>
      <c r="C529" s="288" t="s">
        <v>814</v>
      </c>
      <c r="D529" s="288" t="s">
        <v>818</v>
      </c>
      <c r="E529" s="289">
        <v>10</v>
      </c>
      <c r="F529" s="290">
        <v>5</v>
      </c>
      <c r="G529" s="289">
        <v>900</v>
      </c>
      <c r="H529" s="289">
        <v>0</v>
      </c>
      <c r="I529" s="289">
        <v>90</v>
      </c>
      <c r="J529" s="289">
        <v>70</v>
      </c>
      <c r="K529" s="289">
        <v>7</v>
      </c>
      <c r="L529" s="289">
        <v>1067</v>
      </c>
    </row>
    <row r="530" spans="1:12">
      <c r="A530" s="288" t="s">
        <v>1354</v>
      </c>
      <c r="B530" s="288" t="s">
        <v>1280</v>
      </c>
      <c r="C530" s="288" t="s">
        <v>814</v>
      </c>
      <c r="D530" s="288" t="s">
        <v>818</v>
      </c>
      <c r="E530" s="289">
        <v>10</v>
      </c>
      <c r="F530" s="290">
        <v>3</v>
      </c>
      <c r="G530" s="289">
        <v>900</v>
      </c>
      <c r="H530" s="289">
        <v>0</v>
      </c>
      <c r="I530" s="289">
        <v>90</v>
      </c>
      <c r="J530" s="289">
        <v>70</v>
      </c>
      <c r="K530" s="289">
        <v>7</v>
      </c>
      <c r="L530" s="289">
        <v>1067</v>
      </c>
    </row>
    <row r="531" spans="1:12">
      <c r="A531" s="288" t="s">
        <v>1355</v>
      </c>
      <c r="B531" s="288" t="s">
        <v>1356</v>
      </c>
      <c r="C531" s="288" t="s">
        <v>814</v>
      </c>
      <c r="D531" s="288" t="s">
        <v>818</v>
      </c>
      <c r="E531" s="289">
        <v>10</v>
      </c>
      <c r="F531" s="290">
        <v>12</v>
      </c>
      <c r="G531" s="289">
        <v>1100</v>
      </c>
      <c r="H531" s="289">
        <v>220</v>
      </c>
      <c r="I531" s="289">
        <v>132</v>
      </c>
      <c r="J531" s="289">
        <v>70</v>
      </c>
      <c r="K531" s="289">
        <v>7</v>
      </c>
      <c r="L531" s="289">
        <v>1529</v>
      </c>
    </row>
    <row r="532" spans="1:12">
      <c r="A532" s="288" t="s">
        <v>1357</v>
      </c>
      <c r="B532" s="288" t="s">
        <v>1356</v>
      </c>
      <c r="C532" s="288" t="s">
        <v>814</v>
      </c>
      <c r="D532" s="288" t="s">
        <v>818</v>
      </c>
      <c r="E532" s="289">
        <v>10</v>
      </c>
      <c r="F532" s="290">
        <v>21</v>
      </c>
      <c r="G532" s="289">
        <v>1100</v>
      </c>
      <c r="H532" s="289">
        <v>1210</v>
      </c>
      <c r="I532" s="289">
        <v>231</v>
      </c>
      <c r="J532" s="289">
        <v>70</v>
      </c>
      <c r="K532" s="289">
        <v>7</v>
      </c>
      <c r="L532" s="289">
        <v>2618</v>
      </c>
    </row>
    <row r="533" spans="1:12">
      <c r="A533" s="288" t="s">
        <v>1358</v>
      </c>
      <c r="B533" s="288" t="s">
        <v>1356</v>
      </c>
      <c r="C533" s="288" t="s">
        <v>814</v>
      </c>
      <c r="D533" s="288" t="s">
        <v>818</v>
      </c>
      <c r="E533" s="289">
        <v>10</v>
      </c>
      <c r="F533" s="290">
        <v>32</v>
      </c>
      <c r="G533" s="289">
        <v>1100</v>
      </c>
      <c r="H533" s="289">
        <v>2420</v>
      </c>
      <c r="I533" s="289">
        <v>352</v>
      </c>
      <c r="J533" s="289">
        <v>70</v>
      </c>
      <c r="K533" s="289">
        <v>7</v>
      </c>
      <c r="L533" s="289">
        <v>3949</v>
      </c>
    </row>
    <row r="534" spans="1:12">
      <c r="A534" s="288" t="s">
        <v>1359</v>
      </c>
      <c r="B534" s="288" t="s">
        <v>1356</v>
      </c>
      <c r="C534" s="288" t="s">
        <v>814</v>
      </c>
      <c r="D534" s="288" t="s">
        <v>818</v>
      </c>
      <c r="E534" s="289">
        <v>10</v>
      </c>
      <c r="F534" s="290">
        <v>15</v>
      </c>
      <c r="G534" s="289">
        <v>1100</v>
      </c>
      <c r="H534" s="289">
        <v>550</v>
      </c>
      <c r="I534" s="289">
        <v>165</v>
      </c>
      <c r="J534" s="289">
        <v>70</v>
      </c>
      <c r="K534" s="289">
        <v>7</v>
      </c>
      <c r="L534" s="289">
        <v>1892</v>
      </c>
    </row>
    <row r="535" spans="1:12">
      <c r="A535" s="288" t="s">
        <v>1360</v>
      </c>
      <c r="B535" s="288" t="s">
        <v>1356</v>
      </c>
      <c r="C535" s="288" t="s">
        <v>814</v>
      </c>
      <c r="D535" s="288" t="s">
        <v>818</v>
      </c>
      <c r="E535" s="289">
        <v>10</v>
      </c>
      <c r="F535" s="290">
        <v>16</v>
      </c>
      <c r="G535" s="289">
        <v>1100</v>
      </c>
      <c r="H535" s="289">
        <v>660</v>
      </c>
      <c r="I535" s="289">
        <v>176</v>
      </c>
      <c r="J535" s="289">
        <v>70</v>
      </c>
      <c r="K535" s="289">
        <v>7</v>
      </c>
      <c r="L535" s="289">
        <v>2013</v>
      </c>
    </row>
    <row r="536" spans="1:12">
      <c r="A536" s="288" t="s">
        <v>1361</v>
      </c>
      <c r="B536" s="288" t="s">
        <v>1356</v>
      </c>
      <c r="C536" s="288" t="s">
        <v>814</v>
      </c>
      <c r="D536" s="288" t="s">
        <v>818</v>
      </c>
      <c r="E536" s="289">
        <v>10</v>
      </c>
      <c r="F536" s="290">
        <v>11</v>
      </c>
      <c r="G536" s="289">
        <v>1100</v>
      </c>
      <c r="H536" s="289">
        <v>110</v>
      </c>
      <c r="I536" s="289">
        <v>121</v>
      </c>
      <c r="J536" s="289">
        <v>70</v>
      </c>
      <c r="K536" s="289">
        <v>7</v>
      </c>
      <c r="L536" s="289">
        <v>1408</v>
      </c>
    </row>
    <row r="537" spans="1:12">
      <c r="A537" s="288" t="s">
        <v>1362</v>
      </c>
      <c r="B537" s="288" t="s">
        <v>1356</v>
      </c>
      <c r="C537" s="288" t="s">
        <v>814</v>
      </c>
      <c r="D537" s="288" t="s">
        <v>818</v>
      </c>
      <c r="E537" s="289">
        <v>10</v>
      </c>
      <c r="F537" s="290">
        <v>4</v>
      </c>
      <c r="G537" s="289">
        <v>900</v>
      </c>
      <c r="H537" s="289">
        <v>0</v>
      </c>
      <c r="I537" s="289">
        <v>90</v>
      </c>
      <c r="J537" s="289">
        <v>70</v>
      </c>
      <c r="K537" s="289">
        <v>7</v>
      </c>
      <c r="L537" s="289">
        <v>1067</v>
      </c>
    </row>
    <row r="538" spans="1:12">
      <c r="A538" s="288" t="s">
        <v>1363</v>
      </c>
      <c r="B538" s="288" t="s">
        <v>1356</v>
      </c>
      <c r="C538" s="288" t="s">
        <v>814</v>
      </c>
      <c r="D538" s="288" t="s">
        <v>818</v>
      </c>
      <c r="E538" s="289">
        <v>10</v>
      </c>
      <c r="F538" s="290">
        <v>17</v>
      </c>
      <c r="G538" s="289">
        <v>1100</v>
      </c>
      <c r="H538" s="289">
        <v>770</v>
      </c>
      <c r="I538" s="289">
        <v>187</v>
      </c>
      <c r="J538" s="289">
        <v>70</v>
      </c>
      <c r="K538" s="289">
        <v>7</v>
      </c>
      <c r="L538" s="289">
        <v>2134</v>
      </c>
    </row>
    <row r="539" spans="1:12">
      <c r="A539" s="288" t="s">
        <v>1364</v>
      </c>
      <c r="B539" s="288" t="s">
        <v>1356</v>
      </c>
      <c r="C539" s="288" t="s">
        <v>814</v>
      </c>
      <c r="D539" s="288" t="s">
        <v>818</v>
      </c>
      <c r="E539" s="289">
        <v>10</v>
      </c>
      <c r="F539" s="290">
        <v>42</v>
      </c>
      <c r="G539" s="289">
        <v>1100</v>
      </c>
      <c r="H539" s="289">
        <v>3520</v>
      </c>
      <c r="I539" s="289">
        <v>462</v>
      </c>
      <c r="J539" s="289">
        <v>70</v>
      </c>
      <c r="K539" s="289">
        <v>7</v>
      </c>
      <c r="L539" s="289">
        <v>5159</v>
      </c>
    </row>
    <row r="540" spans="1:12">
      <c r="A540" s="288" t="s">
        <v>1365</v>
      </c>
      <c r="B540" s="288" t="s">
        <v>1356</v>
      </c>
      <c r="C540" s="288" t="s">
        <v>814</v>
      </c>
      <c r="D540" s="288" t="s">
        <v>818</v>
      </c>
      <c r="E540" s="289">
        <v>10</v>
      </c>
      <c r="F540" s="290">
        <v>15</v>
      </c>
      <c r="G540" s="289">
        <v>1100</v>
      </c>
      <c r="H540" s="289">
        <v>550</v>
      </c>
      <c r="I540" s="289">
        <v>165</v>
      </c>
      <c r="J540" s="289">
        <v>70</v>
      </c>
      <c r="K540" s="289">
        <v>7</v>
      </c>
      <c r="L540" s="289">
        <v>1892</v>
      </c>
    </row>
    <row r="541" spans="1:12">
      <c r="A541" s="288" t="s">
        <v>1366</v>
      </c>
      <c r="B541" s="288" t="s">
        <v>1356</v>
      </c>
      <c r="C541" s="288" t="s">
        <v>814</v>
      </c>
      <c r="D541" s="288" t="s">
        <v>818</v>
      </c>
      <c r="E541" s="289">
        <v>10</v>
      </c>
      <c r="F541" s="290">
        <v>8</v>
      </c>
      <c r="G541" s="289">
        <v>1100</v>
      </c>
      <c r="H541" s="289">
        <v>0</v>
      </c>
      <c r="I541" s="289">
        <v>110</v>
      </c>
      <c r="J541" s="289">
        <v>70</v>
      </c>
      <c r="K541" s="289">
        <v>7</v>
      </c>
      <c r="L541" s="289">
        <v>1287</v>
      </c>
    </row>
    <row r="542" spans="1:12">
      <c r="A542" s="288" t="s">
        <v>1367</v>
      </c>
      <c r="B542" s="288" t="s">
        <v>1356</v>
      </c>
      <c r="C542" s="288" t="s">
        <v>814</v>
      </c>
      <c r="D542" s="288" t="s">
        <v>818</v>
      </c>
      <c r="E542" s="289">
        <v>10</v>
      </c>
      <c r="F542" s="290">
        <v>41</v>
      </c>
      <c r="G542" s="289">
        <v>1100</v>
      </c>
      <c r="H542" s="289">
        <v>3410</v>
      </c>
      <c r="I542" s="289">
        <v>451</v>
      </c>
      <c r="J542" s="289">
        <v>70</v>
      </c>
      <c r="K542" s="289">
        <v>7</v>
      </c>
      <c r="L542" s="289">
        <v>5038</v>
      </c>
    </row>
    <row r="543" spans="1:12">
      <c r="A543" s="288" t="s">
        <v>1368</v>
      </c>
      <c r="B543" s="288" t="s">
        <v>1356</v>
      </c>
      <c r="C543" s="288" t="s">
        <v>814</v>
      </c>
      <c r="D543" s="288" t="s">
        <v>818</v>
      </c>
      <c r="E543" s="289">
        <v>10</v>
      </c>
      <c r="F543" s="290">
        <v>35</v>
      </c>
      <c r="G543" s="289">
        <v>1100</v>
      </c>
      <c r="H543" s="289">
        <v>2750</v>
      </c>
      <c r="I543" s="289">
        <v>385</v>
      </c>
      <c r="J543" s="289">
        <v>70</v>
      </c>
      <c r="K543" s="289">
        <v>7</v>
      </c>
      <c r="L543" s="289">
        <v>4312</v>
      </c>
    </row>
    <row r="544" spans="1:12">
      <c r="A544" s="288" t="s">
        <v>1369</v>
      </c>
      <c r="B544" s="288" t="s">
        <v>1356</v>
      </c>
      <c r="C544" s="288" t="s">
        <v>814</v>
      </c>
      <c r="D544" s="288" t="s">
        <v>818</v>
      </c>
      <c r="E544" s="289">
        <v>10</v>
      </c>
      <c r="F544" s="290">
        <v>9</v>
      </c>
      <c r="G544" s="289">
        <v>1100</v>
      </c>
      <c r="H544" s="289">
        <v>0</v>
      </c>
      <c r="I544" s="289">
        <v>110</v>
      </c>
      <c r="J544" s="289">
        <v>70</v>
      </c>
      <c r="K544" s="289">
        <v>7</v>
      </c>
      <c r="L544" s="289">
        <v>1287</v>
      </c>
    </row>
    <row r="545" spans="1:12">
      <c r="A545" s="288" t="s">
        <v>1370</v>
      </c>
      <c r="B545" s="288" t="s">
        <v>1356</v>
      </c>
      <c r="C545" s="288" t="s">
        <v>814</v>
      </c>
      <c r="D545" s="288" t="s">
        <v>818</v>
      </c>
      <c r="E545" s="289">
        <v>10</v>
      </c>
      <c r="F545" s="290">
        <v>15</v>
      </c>
      <c r="G545" s="289">
        <v>1100</v>
      </c>
      <c r="H545" s="289">
        <v>550</v>
      </c>
      <c r="I545" s="289">
        <v>165</v>
      </c>
      <c r="J545" s="289">
        <v>70</v>
      </c>
      <c r="K545" s="289">
        <v>7</v>
      </c>
      <c r="L545" s="289">
        <v>1892</v>
      </c>
    </row>
    <row r="546" spans="1:12">
      <c r="A546" s="288" t="s">
        <v>1371</v>
      </c>
      <c r="B546" s="288" t="s">
        <v>1356</v>
      </c>
      <c r="C546" s="288" t="s">
        <v>814</v>
      </c>
      <c r="D546" s="288" t="s">
        <v>818</v>
      </c>
      <c r="E546" s="289">
        <v>10</v>
      </c>
      <c r="F546" s="290">
        <v>57</v>
      </c>
      <c r="G546" s="289">
        <v>1100</v>
      </c>
      <c r="H546" s="289">
        <v>5170</v>
      </c>
      <c r="I546" s="289">
        <v>627</v>
      </c>
      <c r="J546" s="289">
        <v>70</v>
      </c>
      <c r="K546" s="289">
        <v>7</v>
      </c>
      <c r="L546" s="289">
        <v>6974</v>
      </c>
    </row>
    <row r="547" spans="1:12">
      <c r="A547" s="288" t="s">
        <v>1372</v>
      </c>
      <c r="B547" s="288" t="s">
        <v>1356</v>
      </c>
      <c r="C547" s="288" t="s">
        <v>814</v>
      </c>
      <c r="D547" s="288" t="s">
        <v>818</v>
      </c>
      <c r="E547" s="289">
        <v>10</v>
      </c>
      <c r="F547" s="290">
        <v>16</v>
      </c>
      <c r="G547" s="289">
        <v>1100</v>
      </c>
      <c r="H547" s="289">
        <v>660</v>
      </c>
      <c r="I547" s="289">
        <v>176</v>
      </c>
      <c r="J547" s="289">
        <v>70</v>
      </c>
      <c r="K547" s="289">
        <v>7</v>
      </c>
      <c r="L547" s="289">
        <v>2013</v>
      </c>
    </row>
    <row r="548" spans="1:12">
      <c r="A548" s="288" t="s">
        <v>1373</v>
      </c>
      <c r="B548" s="288" t="s">
        <v>1356</v>
      </c>
      <c r="C548" s="288" t="s">
        <v>814</v>
      </c>
      <c r="D548" s="288" t="s">
        <v>818</v>
      </c>
      <c r="E548" s="289">
        <v>10</v>
      </c>
      <c r="F548" s="290">
        <v>30</v>
      </c>
      <c r="G548" s="289">
        <v>1100</v>
      </c>
      <c r="H548" s="289">
        <v>2200</v>
      </c>
      <c r="I548" s="289">
        <v>330</v>
      </c>
      <c r="J548" s="289">
        <v>70</v>
      </c>
      <c r="K548" s="289">
        <v>7</v>
      </c>
      <c r="L548" s="289">
        <v>3707</v>
      </c>
    </row>
    <row r="549" spans="1:12">
      <c r="A549" s="288" t="s">
        <v>1374</v>
      </c>
      <c r="B549" s="288" t="s">
        <v>1356</v>
      </c>
      <c r="C549" s="288" t="s">
        <v>814</v>
      </c>
      <c r="D549" s="288" t="s">
        <v>818</v>
      </c>
      <c r="E549" s="289">
        <v>10</v>
      </c>
      <c r="F549" s="290">
        <v>9</v>
      </c>
      <c r="G549" s="289">
        <v>1100</v>
      </c>
      <c r="H549" s="289">
        <v>0</v>
      </c>
      <c r="I549" s="289">
        <v>110</v>
      </c>
      <c r="J549" s="289">
        <v>70</v>
      </c>
      <c r="K549" s="289">
        <v>7</v>
      </c>
      <c r="L549" s="289">
        <v>1287</v>
      </c>
    </row>
    <row r="550" spans="1:12">
      <c r="A550" s="288" t="s">
        <v>1375</v>
      </c>
      <c r="B550" s="288" t="s">
        <v>1356</v>
      </c>
      <c r="C550" s="288" t="s">
        <v>814</v>
      </c>
      <c r="D550" s="288" t="s">
        <v>818</v>
      </c>
      <c r="E550" s="289">
        <v>10</v>
      </c>
      <c r="F550" s="290">
        <v>25</v>
      </c>
      <c r="G550" s="289">
        <v>1100</v>
      </c>
      <c r="H550" s="289">
        <v>1650</v>
      </c>
      <c r="I550" s="289">
        <v>275</v>
      </c>
      <c r="J550" s="289">
        <v>70</v>
      </c>
      <c r="K550" s="289">
        <v>7</v>
      </c>
      <c r="L550" s="289">
        <v>3102</v>
      </c>
    </row>
    <row r="551" spans="1:12">
      <c r="A551" s="288" t="s">
        <v>1376</v>
      </c>
      <c r="B551" s="288" t="s">
        <v>1356</v>
      </c>
      <c r="C551" s="288" t="s">
        <v>814</v>
      </c>
      <c r="D551" s="288" t="s">
        <v>818</v>
      </c>
      <c r="E551" s="289">
        <v>10</v>
      </c>
      <c r="F551" s="290">
        <v>14</v>
      </c>
      <c r="G551" s="289">
        <v>1100</v>
      </c>
      <c r="H551" s="289">
        <v>440</v>
      </c>
      <c r="I551" s="289">
        <v>154</v>
      </c>
      <c r="J551" s="289">
        <v>70</v>
      </c>
      <c r="K551" s="289">
        <v>7</v>
      </c>
      <c r="L551" s="289">
        <v>1771</v>
      </c>
    </row>
    <row r="552" spans="1:12">
      <c r="A552" s="288" t="s">
        <v>1377</v>
      </c>
      <c r="B552" s="288" t="s">
        <v>1356</v>
      </c>
      <c r="C552" s="288" t="s">
        <v>814</v>
      </c>
      <c r="D552" s="288" t="s">
        <v>818</v>
      </c>
      <c r="E552" s="289">
        <v>10</v>
      </c>
      <c r="F552" s="290">
        <v>24</v>
      </c>
      <c r="G552" s="289">
        <v>1100</v>
      </c>
      <c r="H552" s="289">
        <v>1540</v>
      </c>
      <c r="I552" s="289">
        <v>264</v>
      </c>
      <c r="J552" s="289">
        <v>70</v>
      </c>
      <c r="K552" s="289">
        <v>7</v>
      </c>
      <c r="L552" s="289">
        <v>2981</v>
      </c>
    </row>
    <row r="553" spans="1:12">
      <c r="A553" s="288" t="s">
        <v>1378</v>
      </c>
      <c r="B553" s="288" t="s">
        <v>1356</v>
      </c>
      <c r="C553" s="288" t="s">
        <v>814</v>
      </c>
      <c r="D553" s="288" t="s">
        <v>818</v>
      </c>
      <c r="E553" s="289">
        <v>10</v>
      </c>
      <c r="F553" s="290">
        <v>16</v>
      </c>
      <c r="G553" s="289">
        <v>1100</v>
      </c>
      <c r="H553" s="289">
        <v>660</v>
      </c>
      <c r="I553" s="289">
        <v>176</v>
      </c>
      <c r="J553" s="289">
        <v>70</v>
      </c>
      <c r="K553" s="289">
        <v>7</v>
      </c>
      <c r="L553" s="289">
        <v>2013</v>
      </c>
    </row>
    <row r="554" spans="1:12">
      <c r="A554" s="288" t="s">
        <v>1379</v>
      </c>
      <c r="B554" s="288" t="s">
        <v>1356</v>
      </c>
      <c r="C554" s="288" t="s">
        <v>814</v>
      </c>
      <c r="D554" s="288" t="s">
        <v>818</v>
      </c>
      <c r="E554" s="289">
        <v>10</v>
      </c>
      <c r="F554" s="290">
        <v>14</v>
      </c>
      <c r="G554" s="289">
        <v>1100</v>
      </c>
      <c r="H554" s="289">
        <v>440</v>
      </c>
      <c r="I554" s="289">
        <v>154</v>
      </c>
      <c r="J554" s="289">
        <v>70</v>
      </c>
      <c r="K554" s="289">
        <v>7</v>
      </c>
      <c r="L554" s="289">
        <v>1771</v>
      </c>
    </row>
    <row r="555" spans="1:12">
      <c r="A555" s="288" t="s">
        <v>1380</v>
      </c>
      <c r="B555" s="288" t="s">
        <v>1356</v>
      </c>
      <c r="C555" s="288" t="s">
        <v>814</v>
      </c>
      <c r="D555" s="288" t="s">
        <v>818</v>
      </c>
      <c r="E555" s="289">
        <v>10</v>
      </c>
      <c r="F555" s="290">
        <v>23</v>
      </c>
      <c r="G555" s="289">
        <v>1100</v>
      </c>
      <c r="H555" s="289">
        <v>1430</v>
      </c>
      <c r="I555" s="289">
        <v>253</v>
      </c>
      <c r="J555" s="289">
        <v>70</v>
      </c>
      <c r="K555" s="289">
        <v>7</v>
      </c>
      <c r="L555" s="289">
        <v>2860</v>
      </c>
    </row>
    <row r="556" spans="1:12">
      <c r="A556" s="288" t="s">
        <v>1381</v>
      </c>
      <c r="B556" s="288" t="s">
        <v>1356</v>
      </c>
      <c r="C556" s="288" t="s">
        <v>814</v>
      </c>
      <c r="D556" s="288" t="s">
        <v>818</v>
      </c>
      <c r="E556" s="289">
        <v>10</v>
      </c>
      <c r="F556" s="290">
        <v>18</v>
      </c>
      <c r="G556" s="289">
        <v>1100</v>
      </c>
      <c r="H556" s="289">
        <v>880</v>
      </c>
      <c r="I556" s="289">
        <v>198</v>
      </c>
      <c r="J556" s="289">
        <v>70</v>
      </c>
      <c r="K556" s="289">
        <v>7</v>
      </c>
      <c r="L556" s="289">
        <v>2255</v>
      </c>
    </row>
    <row r="557" spans="1:12">
      <c r="A557" s="288" t="s">
        <v>1382</v>
      </c>
      <c r="B557" s="288" t="s">
        <v>1356</v>
      </c>
      <c r="C557" s="288" t="s">
        <v>814</v>
      </c>
      <c r="D557" s="288" t="s">
        <v>818</v>
      </c>
      <c r="E557" s="289">
        <v>10</v>
      </c>
      <c r="F557" s="290">
        <v>23</v>
      </c>
      <c r="G557" s="289">
        <v>1100</v>
      </c>
      <c r="H557" s="289">
        <v>1430</v>
      </c>
      <c r="I557" s="289">
        <v>253</v>
      </c>
      <c r="J557" s="289">
        <v>70</v>
      </c>
      <c r="K557" s="289">
        <v>7</v>
      </c>
      <c r="L557" s="289">
        <v>2860</v>
      </c>
    </row>
    <row r="558" spans="1:12">
      <c r="A558" s="288" t="s">
        <v>1383</v>
      </c>
      <c r="B558" s="288" t="s">
        <v>1356</v>
      </c>
      <c r="C558" s="288" t="s">
        <v>814</v>
      </c>
      <c r="D558" s="288" t="s">
        <v>818</v>
      </c>
      <c r="E558" s="289">
        <v>10</v>
      </c>
      <c r="F558" s="290">
        <v>19</v>
      </c>
      <c r="G558" s="289">
        <v>1100</v>
      </c>
      <c r="H558" s="289">
        <v>990</v>
      </c>
      <c r="I558" s="289">
        <v>209</v>
      </c>
      <c r="J558" s="289">
        <v>70</v>
      </c>
      <c r="K558" s="289">
        <v>7</v>
      </c>
      <c r="L558" s="289">
        <v>2376</v>
      </c>
    </row>
    <row r="559" spans="1:12">
      <c r="A559" s="288" t="s">
        <v>1384</v>
      </c>
      <c r="B559" s="288" t="s">
        <v>1356</v>
      </c>
      <c r="C559" s="288" t="s">
        <v>814</v>
      </c>
      <c r="D559" s="288" t="s">
        <v>818</v>
      </c>
      <c r="E559" s="289">
        <v>10</v>
      </c>
      <c r="F559" s="290">
        <v>12</v>
      </c>
      <c r="G559" s="289">
        <v>1100</v>
      </c>
      <c r="H559" s="289">
        <v>220</v>
      </c>
      <c r="I559" s="289">
        <v>132</v>
      </c>
      <c r="J559" s="289">
        <v>70</v>
      </c>
      <c r="K559" s="289">
        <v>7</v>
      </c>
      <c r="L559" s="289">
        <v>1529</v>
      </c>
    </row>
    <row r="560" spans="1:12">
      <c r="A560" s="288" t="s">
        <v>1385</v>
      </c>
      <c r="B560" s="288" t="s">
        <v>1356</v>
      </c>
      <c r="C560" s="288" t="s">
        <v>814</v>
      </c>
      <c r="D560" s="288" t="s">
        <v>818</v>
      </c>
      <c r="E560" s="289">
        <v>10</v>
      </c>
      <c r="F560" s="290">
        <v>14</v>
      </c>
      <c r="G560" s="289">
        <v>1100</v>
      </c>
      <c r="H560" s="289">
        <v>440</v>
      </c>
      <c r="I560" s="289">
        <v>154</v>
      </c>
      <c r="J560" s="289">
        <v>70</v>
      </c>
      <c r="K560" s="289">
        <v>7</v>
      </c>
      <c r="L560" s="289">
        <v>1771</v>
      </c>
    </row>
    <row r="561" spans="1:12">
      <c r="A561" s="288" t="s">
        <v>1386</v>
      </c>
      <c r="B561" s="288" t="s">
        <v>1356</v>
      </c>
      <c r="C561" s="288" t="s">
        <v>814</v>
      </c>
      <c r="D561" s="288" t="s">
        <v>818</v>
      </c>
      <c r="E561" s="289">
        <v>10</v>
      </c>
      <c r="F561" s="290">
        <v>22</v>
      </c>
      <c r="G561" s="289">
        <v>1100</v>
      </c>
      <c r="H561" s="289">
        <v>1320</v>
      </c>
      <c r="I561" s="289">
        <v>242</v>
      </c>
      <c r="J561" s="289">
        <v>70</v>
      </c>
      <c r="K561" s="289">
        <v>7</v>
      </c>
      <c r="L561" s="289">
        <v>2739</v>
      </c>
    </row>
    <row r="562" spans="1:12">
      <c r="A562" s="288" t="s">
        <v>1387</v>
      </c>
      <c r="B562" s="288" t="s">
        <v>1356</v>
      </c>
      <c r="C562" s="288" t="s">
        <v>814</v>
      </c>
      <c r="D562" s="288" t="s">
        <v>818</v>
      </c>
      <c r="E562" s="289">
        <v>10</v>
      </c>
      <c r="F562" s="290">
        <v>1</v>
      </c>
      <c r="G562" s="289">
        <v>900</v>
      </c>
      <c r="H562" s="289">
        <v>0</v>
      </c>
      <c r="I562" s="289">
        <v>90</v>
      </c>
      <c r="J562" s="289">
        <v>70</v>
      </c>
      <c r="K562" s="289">
        <v>7</v>
      </c>
      <c r="L562" s="289">
        <v>1067</v>
      </c>
    </row>
    <row r="563" spans="1:12">
      <c r="A563" s="288" t="s">
        <v>1388</v>
      </c>
      <c r="B563" s="288" t="s">
        <v>1356</v>
      </c>
      <c r="C563" s="288" t="s">
        <v>814</v>
      </c>
      <c r="D563" s="288" t="s">
        <v>818</v>
      </c>
      <c r="E563" s="289">
        <v>10</v>
      </c>
      <c r="F563" s="290">
        <v>13</v>
      </c>
      <c r="G563" s="289">
        <v>1100</v>
      </c>
      <c r="H563" s="289">
        <v>330</v>
      </c>
      <c r="I563" s="289">
        <v>143</v>
      </c>
      <c r="J563" s="289">
        <v>70</v>
      </c>
      <c r="K563" s="289">
        <v>7</v>
      </c>
      <c r="L563" s="289">
        <v>1650</v>
      </c>
    </row>
    <row r="564" spans="1:12">
      <c r="A564" s="288" t="s">
        <v>1389</v>
      </c>
      <c r="B564" s="288" t="s">
        <v>1356</v>
      </c>
      <c r="C564" s="288" t="s">
        <v>814</v>
      </c>
      <c r="D564" s="288" t="s">
        <v>818</v>
      </c>
      <c r="E564" s="289">
        <v>10</v>
      </c>
      <c r="F564" s="290">
        <v>9</v>
      </c>
      <c r="G564" s="289">
        <v>1100</v>
      </c>
      <c r="H564" s="289">
        <v>0</v>
      </c>
      <c r="I564" s="289">
        <v>110</v>
      </c>
      <c r="J564" s="289">
        <v>70</v>
      </c>
      <c r="K564" s="289">
        <v>7</v>
      </c>
      <c r="L564" s="289">
        <v>1287</v>
      </c>
    </row>
    <row r="565" spans="1:12">
      <c r="A565" s="288" t="s">
        <v>1390</v>
      </c>
      <c r="B565" s="288" t="s">
        <v>1356</v>
      </c>
      <c r="C565" s="288" t="s">
        <v>814</v>
      </c>
      <c r="D565" s="288" t="s">
        <v>818</v>
      </c>
      <c r="E565" s="289">
        <v>10</v>
      </c>
      <c r="F565" s="290">
        <v>10</v>
      </c>
      <c r="G565" s="289">
        <v>1100</v>
      </c>
      <c r="H565" s="289">
        <v>0</v>
      </c>
      <c r="I565" s="289">
        <v>110</v>
      </c>
      <c r="J565" s="289">
        <v>70</v>
      </c>
      <c r="K565" s="289">
        <v>7</v>
      </c>
      <c r="L565" s="289">
        <v>1287</v>
      </c>
    </row>
    <row r="566" spans="1:12">
      <c r="A566" s="288" t="s">
        <v>1391</v>
      </c>
      <c r="B566" s="288" t="s">
        <v>1356</v>
      </c>
      <c r="C566" s="288" t="s">
        <v>814</v>
      </c>
      <c r="D566" s="288" t="s">
        <v>818</v>
      </c>
      <c r="E566" s="289">
        <v>10</v>
      </c>
      <c r="F566" s="290">
        <v>22</v>
      </c>
      <c r="G566" s="289">
        <v>1100</v>
      </c>
      <c r="H566" s="289">
        <v>1320</v>
      </c>
      <c r="I566" s="289">
        <v>242</v>
      </c>
      <c r="J566" s="289">
        <v>70</v>
      </c>
      <c r="K566" s="289">
        <v>7</v>
      </c>
      <c r="L566" s="289">
        <v>2739</v>
      </c>
    </row>
    <row r="567" spans="1:12">
      <c r="A567" s="288" t="s">
        <v>1392</v>
      </c>
      <c r="B567" s="288" t="s">
        <v>1356</v>
      </c>
      <c r="C567" s="288" t="s">
        <v>814</v>
      </c>
      <c r="D567" s="288" t="s">
        <v>818</v>
      </c>
      <c r="E567" s="289">
        <v>10</v>
      </c>
      <c r="F567" s="290">
        <v>33</v>
      </c>
      <c r="G567" s="289">
        <v>1100</v>
      </c>
      <c r="H567" s="289">
        <v>2530</v>
      </c>
      <c r="I567" s="289">
        <v>363</v>
      </c>
      <c r="J567" s="289">
        <v>70</v>
      </c>
      <c r="K567" s="289">
        <v>7</v>
      </c>
      <c r="L567" s="289">
        <v>4070</v>
      </c>
    </row>
    <row r="568" spans="1:12">
      <c r="A568" s="288" t="s">
        <v>1393</v>
      </c>
      <c r="B568" s="288" t="s">
        <v>1356</v>
      </c>
      <c r="C568" s="288" t="s">
        <v>814</v>
      </c>
      <c r="D568" s="288" t="s">
        <v>818</v>
      </c>
      <c r="E568" s="289">
        <v>10</v>
      </c>
      <c r="F568" s="290">
        <v>18</v>
      </c>
      <c r="G568" s="289">
        <v>1100</v>
      </c>
      <c r="H568" s="289">
        <v>880</v>
      </c>
      <c r="I568" s="289">
        <v>198</v>
      </c>
      <c r="J568" s="289">
        <v>70</v>
      </c>
      <c r="K568" s="289">
        <v>7</v>
      </c>
      <c r="L568" s="289">
        <v>2255</v>
      </c>
    </row>
    <row r="569" spans="1:12">
      <c r="A569" s="288" t="s">
        <v>1394</v>
      </c>
      <c r="B569" s="288" t="s">
        <v>1356</v>
      </c>
      <c r="C569" s="288" t="s">
        <v>814</v>
      </c>
      <c r="D569" s="288" t="s">
        <v>818</v>
      </c>
      <c r="E569" s="289">
        <v>10</v>
      </c>
      <c r="F569" s="290">
        <v>18</v>
      </c>
      <c r="G569" s="289">
        <v>1100</v>
      </c>
      <c r="H569" s="289">
        <v>880</v>
      </c>
      <c r="I569" s="289">
        <v>198</v>
      </c>
      <c r="J569" s="289">
        <v>70</v>
      </c>
      <c r="K569" s="289">
        <v>7</v>
      </c>
      <c r="L569" s="289">
        <v>2255</v>
      </c>
    </row>
    <row r="570" spans="1:12">
      <c r="A570" s="288" t="s">
        <v>1395</v>
      </c>
      <c r="B570" s="288" t="s">
        <v>1356</v>
      </c>
      <c r="C570" s="288" t="s">
        <v>814</v>
      </c>
      <c r="D570" s="288" t="s">
        <v>818</v>
      </c>
      <c r="E570" s="289">
        <v>10</v>
      </c>
      <c r="F570" s="290">
        <v>9</v>
      </c>
      <c r="G570" s="289">
        <v>1100</v>
      </c>
      <c r="H570" s="289">
        <v>0</v>
      </c>
      <c r="I570" s="289">
        <v>110</v>
      </c>
      <c r="J570" s="289">
        <v>70</v>
      </c>
      <c r="K570" s="289">
        <v>7</v>
      </c>
      <c r="L570" s="289">
        <v>1287</v>
      </c>
    </row>
    <row r="571" spans="1:12">
      <c r="A571" s="288" t="s">
        <v>1396</v>
      </c>
      <c r="B571" s="288" t="s">
        <v>1356</v>
      </c>
      <c r="C571" s="288" t="s">
        <v>814</v>
      </c>
      <c r="D571" s="288" t="s">
        <v>818</v>
      </c>
      <c r="E571" s="289">
        <v>10</v>
      </c>
      <c r="F571" s="290">
        <v>14</v>
      </c>
      <c r="G571" s="289">
        <v>1100</v>
      </c>
      <c r="H571" s="289">
        <v>440</v>
      </c>
      <c r="I571" s="289">
        <v>154</v>
      </c>
      <c r="J571" s="289">
        <v>70</v>
      </c>
      <c r="K571" s="289">
        <v>7</v>
      </c>
      <c r="L571" s="289">
        <v>1771</v>
      </c>
    </row>
    <row r="572" spans="1:12">
      <c r="A572" s="288" t="s">
        <v>1397</v>
      </c>
      <c r="B572" s="288" t="s">
        <v>1356</v>
      </c>
      <c r="C572" s="288" t="s">
        <v>814</v>
      </c>
      <c r="D572" s="288" t="s">
        <v>818</v>
      </c>
      <c r="E572" s="289">
        <v>10</v>
      </c>
      <c r="F572" s="290">
        <v>27</v>
      </c>
      <c r="G572" s="289">
        <v>1100</v>
      </c>
      <c r="H572" s="289">
        <v>1870</v>
      </c>
      <c r="I572" s="289">
        <v>297</v>
      </c>
      <c r="J572" s="289">
        <v>70</v>
      </c>
      <c r="K572" s="289">
        <v>7</v>
      </c>
      <c r="L572" s="289">
        <v>3344</v>
      </c>
    </row>
    <row r="573" spans="1:12">
      <c r="A573" s="288" t="s">
        <v>1398</v>
      </c>
      <c r="B573" s="288" t="s">
        <v>1356</v>
      </c>
      <c r="C573" s="288" t="s">
        <v>814</v>
      </c>
      <c r="D573" s="288" t="s">
        <v>818</v>
      </c>
      <c r="E573" s="289">
        <v>10</v>
      </c>
      <c r="F573" s="290">
        <v>11</v>
      </c>
      <c r="G573" s="289">
        <v>1100</v>
      </c>
      <c r="H573" s="289">
        <v>110</v>
      </c>
      <c r="I573" s="289">
        <v>121</v>
      </c>
      <c r="J573" s="289">
        <v>70</v>
      </c>
      <c r="K573" s="289">
        <v>7</v>
      </c>
      <c r="L573" s="289">
        <v>1408</v>
      </c>
    </row>
    <row r="574" spans="1:12">
      <c r="A574" s="288" t="s">
        <v>1399</v>
      </c>
      <c r="B574" s="288" t="s">
        <v>1356</v>
      </c>
      <c r="C574" s="288" t="s">
        <v>814</v>
      </c>
      <c r="D574" s="288" t="s">
        <v>818</v>
      </c>
      <c r="E574" s="289">
        <v>10</v>
      </c>
      <c r="F574" s="290">
        <v>33</v>
      </c>
      <c r="G574" s="289">
        <v>1100</v>
      </c>
      <c r="H574" s="289">
        <v>2530</v>
      </c>
      <c r="I574" s="289">
        <v>363</v>
      </c>
      <c r="J574" s="289">
        <v>70</v>
      </c>
      <c r="K574" s="289">
        <v>7</v>
      </c>
      <c r="L574" s="289">
        <v>4070</v>
      </c>
    </row>
    <row r="575" spans="1:12">
      <c r="A575" s="288" t="s">
        <v>1400</v>
      </c>
      <c r="B575" s="288" t="s">
        <v>1356</v>
      </c>
      <c r="C575" s="288" t="s">
        <v>814</v>
      </c>
      <c r="D575" s="288" t="s">
        <v>818</v>
      </c>
      <c r="E575" s="289">
        <v>10</v>
      </c>
      <c r="F575" s="290">
        <v>33</v>
      </c>
      <c r="G575" s="289">
        <v>1100</v>
      </c>
      <c r="H575" s="289">
        <v>2530</v>
      </c>
      <c r="I575" s="289">
        <v>363</v>
      </c>
      <c r="J575" s="289">
        <v>70</v>
      </c>
      <c r="K575" s="289">
        <v>7</v>
      </c>
      <c r="L575" s="289">
        <v>4070</v>
      </c>
    </row>
    <row r="576" spans="1:12">
      <c r="A576" s="288" t="s">
        <v>1401</v>
      </c>
      <c r="B576" s="288" t="s">
        <v>1356</v>
      </c>
      <c r="C576" s="288" t="s">
        <v>814</v>
      </c>
      <c r="D576" s="288" t="s">
        <v>818</v>
      </c>
      <c r="E576" s="289">
        <v>10</v>
      </c>
      <c r="F576" s="290">
        <v>22</v>
      </c>
      <c r="G576" s="289">
        <v>1100</v>
      </c>
      <c r="H576" s="289">
        <v>1320</v>
      </c>
      <c r="I576" s="289">
        <v>242</v>
      </c>
      <c r="J576" s="289">
        <v>70</v>
      </c>
      <c r="K576" s="289">
        <v>7</v>
      </c>
      <c r="L576" s="289">
        <v>2739</v>
      </c>
    </row>
    <row r="577" spans="1:12">
      <c r="A577" s="288" t="s">
        <v>1402</v>
      </c>
      <c r="B577" s="288" t="s">
        <v>1356</v>
      </c>
      <c r="C577" s="288" t="s">
        <v>814</v>
      </c>
      <c r="D577" s="288" t="s">
        <v>818</v>
      </c>
      <c r="E577" s="289">
        <v>10</v>
      </c>
      <c r="F577" s="290">
        <v>27</v>
      </c>
      <c r="G577" s="289">
        <v>1100</v>
      </c>
      <c r="H577" s="289">
        <v>1870</v>
      </c>
      <c r="I577" s="289">
        <v>297</v>
      </c>
      <c r="J577" s="289">
        <v>70</v>
      </c>
      <c r="K577" s="289">
        <v>7</v>
      </c>
      <c r="L577" s="289">
        <v>3344</v>
      </c>
    </row>
    <row r="578" spans="1:12">
      <c r="A578" s="288" t="s">
        <v>1403</v>
      </c>
      <c r="B578" s="288" t="s">
        <v>1356</v>
      </c>
      <c r="C578" s="288" t="s">
        <v>814</v>
      </c>
      <c r="D578" s="288" t="s">
        <v>818</v>
      </c>
      <c r="E578" s="289">
        <v>10</v>
      </c>
      <c r="F578" s="290">
        <v>11</v>
      </c>
      <c r="G578" s="289">
        <v>1100</v>
      </c>
      <c r="H578" s="289">
        <v>110</v>
      </c>
      <c r="I578" s="289">
        <v>121</v>
      </c>
      <c r="J578" s="289">
        <v>70</v>
      </c>
      <c r="K578" s="289">
        <v>7</v>
      </c>
      <c r="L578" s="289">
        <v>1408</v>
      </c>
    </row>
    <row r="579" spans="1:12">
      <c r="A579" s="288" t="s">
        <v>1404</v>
      </c>
      <c r="B579" s="288" t="s">
        <v>1356</v>
      </c>
      <c r="C579" s="288" t="s">
        <v>814</v>
      </c>
      <c r="D579" s="288" t="s">
        <v>818</v>
      </c>
      <c r="E579" s="289">
        <v>10</v>
      </c>
      <c r="F579" s="290">
        <v>14</v>
      </c>
      <c r="G579" s="289">
        <v>1100</v>
      </c>
      <c r="H579" s="289">
        <v>440</v>
      </c>
      <c r="I579" s="289">
        <v>154</v>
      </c>
      <c r="J579" s="289">
        <v>70</v>
      </c>
      <c r="K579" s="289">
        <v>7</v>
      </c>
      <c r="L579" s="289">
        <v>1771</v>
      </c>
    </row>
    <row r="580" spans="1:12">
      <c r="A580" s="288" t="s">
        <v>1405</v>
      </c>
      <c r="B580" s="288" t="s">
        <v>1356</v>
      </c>
      <c r="C580" s="288" t="s">
        <v>814</v>
      </c>
      <c r="D580" s="288" t="s">
        <v>818</v>
      </c>
      <c r="E580" s="289">
        <v>10</v>
      </c>
      <c r="F580" s="290">
        <v>22</v>
      </c>
      <c r="G580" s="289">
        <v>1100</v>
      </c>
      <c r="H580" s="289">
        <v>1320</v>
      </c>
      <c r="I580" s="289">
        <v>242</v>
      </c>
      <c r="J580" s="289">
        <v>70</v>
      </c>
      <c r="K580" s="289">
        <v>7</v>
      </c>
      <c r="L580" s="289">
        <v>2739</v>
      </c>
    </row>
    <row r="581" spans="1:12">
      <c r="A581" s="288" t="s">
        <v>1406</v>
      </c>
      <c r="B581" s="288" t="s">
        <v>1356</v>
      </c>
      <c r="C581" s="288" t="s">
        <v>814</v>
      </c>
      <c r="D581" s="288" t="s">
        <v>818</v>
      </c>
      <c r="E581" s="289">
        <v>10</v>
      </c>
      <c r="F581" s="290">
        <v>0</v>
      </c>
      <c r="G581" s="289">
        <v>900</v>
      </c>
      <c r="H581" s="289">
        <v>0</v>
      </c>
      <c r="I581" s="289">
        <v>90</v>
      </c>
      <c r="J581" s="289">
        <v>70</v>
      </c>
      <c r="K581" s="289">
        <v>7</v>
      </c>
      <c r="L581" s="289">
        <v>1067</v>
      </c>
    </row>
    <row r="582" spans="1:12">
      <c r="A582" s="288" t="s">
        <v>1407</v>
      </c>
      <c r="B582" s="288" t="s">
        <v>1356</v>
      </c>
      <c r="C582" s="288" t="s">
        <v>814</v>
      </c>
      <c r="D582" s="288" t="s">
        <v>818</v>
      </c>
      <c r="E582" s="289">
        <v>10</v>
      </c>
      <c r="F582" s="290">
        <v>15</v>
      </c>
      <c r="G582" s="289">
        <v>1100</v>
      </c>
      <c r="H582" s="289">
        <v>550</v>
      </c>
      <c r="I582" s="289">
        <v>165</v>
      </c>
      <c r="J582" s="289">
        <v>70</v>
      </c>
      <c r="K582" s="289">
        <v>7</v>
      </c>
      <c r="L582" s="289">
        <v>1892</v>
      </c>
    </row>
    <row r="583" spans="1:12">
      <c r="A583" s="288" t="s">
        <v>1408</v>
      </c>
      <c r="B583" s="288" t="s">
        <v>1356</v>
      </c>
      <c r="C583" s="288" t="s">
        <v>814</v>
      </c>
      <c r="D583" s="288" t="s">
        <v>818</v>
      </c>
      <c r="E583" s="289">
        <v>10</v>
      </c>
      <c r="F583" s="290">
        <v>19</v>
      </c>
      <c r="G583" s="289">
        <v>1100</v>
      </c>
      <c r="H583" s="289">
        <v>990</v>
      </c>
      <c r="I583" s="289">
        <v>209</v>
      </c>
      <c r="J583" s="289">
        <v>70</v>
      </c>
      <c r="K583" s="289">
        <v>7</v>
      </c>
      <c r="L583" s="289">
        <v>2376</v>
      </c>
    </row>
    <row r="584" spans="1:12">
      <c r="A584" s="288" t="s">
        <v>1409</v>
      </c>
      <c r="B584" s="288" t="s">
        <v>1356</v>
      </c>
      <c r="C584" s="288" t="s">
        <v>814</v>
      </c>
      <c r="D584" s="288" t="s">
        <v>818</v>
      </c>
      <c r="E584" s="289">
        <v>10</v>
      </c>
      <c r="F584" s="290">
        <v>7</v>
      </c>
      <c r="G584" s="289">
        <v>1100</v>
      </c>
      <c r="H584" s="289">
        <v>0</v>
      </c>
      <c r="I584" s="289">
        <v>110</v>
      </c>
      <c r="J584" s="289">
        <v>70</v>
      </c>
      <c r="K584" s="289">
        <v>7</v>
      </c>
      <c r="L584" s="289">
        <v>1287</v>
      </c>
    </row>
    <row r="585" spans="1:12">
      <c r="A585" s="288" t="s">
        <v>1410</v>
      </c>
      <c r="B585" s="288" t="s">
        <v>1356</v>
      </c>
      <c r="C585" s="288" t="s">
        <v>814</v>
      </c>
      <c r="D585" s="288" t="s">
        <v>818</v>
      </c>
      <c r="E585" s="289">
        <v>10</v>
      </c>
      <c r="F585" s="290">
        <v>19</v>
      </c>
      <c r="G585" s="289">
        <v>1100</v>
      </c>
      <c r="H585" s="289">
        <v>990</v>
      </c>
      <c r="I585" s="289">
        <v>209</v>
      </c>
      <c r="J585" s="289">
        <v>70</v>
      </c>
      <c r="K585" s="289">
        <v>7</v>
      </c>
      <c r="L585" s="289">
        <v>2376</v>
      </c>
    </row>
    <row r="586" spans="1:12">
      <c r="A586" s="288" t="s">
        <v>1411</v>
      </c>
      <c r="B586" s="288" t="s">
        <v>1356</v>
      </c>
      <c r="C586" s="288" t="s">
        <v>814</v>
      </c>
      <c r="D586" s="288" t="s">
        <v>818</v>
      </c>
      <c r="E586" s="289">
        <v>10</v>
      </c>
      <c r="F586" s="290">
        <v>10</v>
      </c>
      <c r="G586" s="289">
        <v>1100</v>
      </c>
      <c r="H586" s="289">
        <v>0</v>
      </c>
      <c r="I586" s="289">
        <v>110</v>
      </c>
      <c r="J586" s="289">
        <v>70</v>
      </c>
      <c r="K586" s="289">
        <v>7</v>
      </c>
      <c r="L586" s="289">
        <v>1287</v>
      </c>
    </row>
    <row r="587" spans="1:12">
      <c r="A587" s="288" t="s">
        <v>1412</v>
      </c>
      <c r="B587" s="288" t="s">
        <v>1356</v>
      </c>
      <c r="C587" s="288" t="s">
        <v>814</v>
      </c>
      <c r="D587" s="288" t="s">
        <v>818</v>
      </c>
      <c r="E587" s="289">
        <v>10</v>
      </c>
      <c r="F587" s="290">
        <v>16</v>
      </c>
      <c r="G587" s="289">
        <v>1100</v>
      </c>
      <c r="H587" s="289">
        <v>660</v>
      </c>
      <c r="I587" s="289">
        <v>176</v>
      </c>
      <c r="J587" s="289">
        <v>70</v>
      </c>
      <c r="K587" s="289">
        <v>7</v>
      </c>
      <c r="L587" s="289">
        <v>2013</v>
      </c>
    </row>
    <row r="588" spans="1:12">
      <c r="A588" s="288" t="s">
        <v>1413</v>
      </c>
      <c r="B588" s="288" t="s">
        <v>1356</v>
      </c>
      <c r="C588" s="288" t="s">
        <v>814</v>
      </c>
      <c r="D588" s="288" t="s">
        <v>818</v>
      </c>
      <c r="E588" s="289">
        <v>10</v>
      </c>
      <c r="F588" s="290">
        <v>19</v>
      </c>
      <c r="G588" s="289">
        <v>1100</v>
      </c>
      <c r="H588" s="289">
        <v>990</v>
      </c>
      <c r="I588" s="289">
        <v>209</v>
      </c>
      <c r="J588" s="289">
        <v>70</v>
      </c>
      <c r="K588" s="289">
        <v>7</v>
      </c>
      <c r="L588" s="289">
        <v>2376</v>
      </c>
    </row>
    <row r="589" spans="1:12">
      <c r="A589" s="288" t="s">
        <v>1414</v>
      </c>
      <c r="B589" s="288" t="s">
        <v>1356</v>
      </c>
      <c r="C589" s="288" t="s">
        <v>814</v>
      </c>
      <c r="D589" s="288" t="s">
        <v>818</v>
      </c>
      <c r="E589" s="289">
        <v>10</v>
      </c>
      <c r="F589" s="290">
        <v>10</v>
      </c>
      <c r="G589" s="289">
        <v>1100</v>
      </c>
      <c r="H589" s="289">
        <v>0</v>
      </c>
      <c r="I589" s="289">
        <v>110</v>
      </c>
      <c r="J589" s="289">
        <v>70</v>
      </c>
      <c r="K589" s="289">
        <v>7</v>
      </c>
      <c r="L589" s="289">
        <v>1287</v>
      </c>
    </row>
    <row r="590" spans="1:12">
      <c r="A590" s="288" t="s">
        <v>1415</v>
      </c>
      <c r="B590" s="288" t="s">
        <v>1356</v>
      </c>
      <c r="C590" s="288" t="s">
        <v>814</v>
      </c>
      <c r="D590" s="288" t="s">
        <v>818</v>
      </c>
      <c r="E590" s="289">
        <v>10</v>
      </c>
      <c r="F590" s="290">
        <v>0</v>
      </c>
      <c r="G590" s="289">
        <v>900</v>
      </c>
      <c r="H590" s="289">
        <v>0</v>
      </c>
      <c r="I590" s="289">
        <v>90</v>
      </c>
      <c r="J590" s="289">
        <v>70</v>
      </c>
      <c r="K590" s="289">
        <v>7</v>
      </c>
      <c r="L590" s="289">
        <v>1067</v>
      </c>
    </row>
    <row r="591" spans="1:12">
      <c r="A591" s="288" t="s">
        <v>1416</v>
      </c>
      <c r="B591" s="288" t="s">
        <v>1356</v>
      </c>
      <c r="C591" s="288" t="s">
        <v>814</v>
      </c>
      <c r="D591" s="288" t="s">
        <v>818</v>
      </c>
      <c r="E591" s="289">
        <v>10</v>
      </c>
      <c r="F591" s="290">
        <v>9</v>
      </c>
      <c r="G591" s="289">
        <v>1100</v>
      </c>
      <c r="H591" s="289">
        <v>0</v>
      </c>
      <c r="I591" s="289">
        <v>110</v>
      </c>
      <c r="J591" s="289">
        <v>70</v>
      </c>
      <c r="K591" s="289">
        <v>7</v>
      </c>
      <c r="L591" s="289">
        <v>1287</v>
      </c>
    </row>
    <row r="592" spans="1:12">
      <c r="A592" s="288" t="s">
        <v>1417</v>
      </c>
      <c r="B592" s="288" t="s">
        <v>1356</v>
      </c>
      <c r="C592" s="288" t="s">
        <v>814</v>
      </c>
      <c r="D592" s="288" t="s">
        <v>818</v>
      </c>
      <c r="E592" s="289">
        <v>10</v>
      </c>
      <c r="F592" s="290">
        <v>22</v>
      </c>
      <c r="G592" s="289">
        <v>1100</v>
      </c>
      <c r="H592" s="289">
        <v>1320</v>
      </c>
      <c r="I592" s="289">
        <v>242</v>
      </c>
      <c r="J592" s="289">
        <v>70</v>
      </c>
      <c r="K592" s="289">
        <v>7</v>
      </c>
      <c r="L592" s="289">
        <v>2739</v>
      </c>
    </row>
    <row r="593" spans="1:12">
      <c r="A593" s="288" t="s">
        <v>1418</v>
      </c>
      <c r="B593" s="288" t="s">
        <v>1356</v>
      </c>
      <c r="C593" s="288" t="s">
        <v>814</v>
      </c>
      <c r="D593" s="288" t="s">
        <v>818</v>
      </c>
      <c r="E593" s="289">
        <v>10</v>
      </c>
      <c r="F593" s="290">
        <v>7</v>
      </c>
      <c r="G593" s="289">
        <v>1100</v>
      </c>
      <c r="H593" s="289">
        <v>0</v>
      </c>
      <c r="I593" s="289">
        <v>110</v>
      </c>
      <c r="J593" s="289">
        <v>70</v>
      </c>
      <c r="K593" s="289">
        <v>7</v>
      </c>
      <c r="L593" s="289">
        <v>1287</v>
      </c>
    </row>
    <row r="594" spans="1:12">
      <c r="A594" s="288" t="s">
        <v>1419</v>
      </c>
      <c r="B594" s="288" t="s">
        <v>1356</v>
      </c>
      <c r="C594" s="288" t="s">
        <v>814</v>
      </c>
      <c r="D594" s="288" t="s">
        <v>818</v>
      </c>
      <c r="E594" s="289">
        <v>10</v>
      </c>
      <c r="F594" s="290">
        <v>19</v>
      </c>
      <c r="G594" s="289">
        <v>1100</v>
      </c>
      <c r="H594" s="289">
        <v>990</v>
      </c>
      <c r="I594" s="289">
        <v>209</v>
      </c>
      <c r="J594" s="289">
        <v>70</v>
      </c>
      <c r="K594" s="289">
        <v>7</v>
      </c>
      <c r="L594" s="289">
        <v>2376</v>
      </c>
    </row>
    <row r="595" spans="1:12">
      <c r="A595" s="288" t="s">
        <v>1420</v>
      </c>
      <c r="B595" s="288" t="s">
        <v>1356</v>
      </c>
      <c r="C595" s="288" t="s">
        <v>814</v>
      </c>
      <c r="D595" s="288" t="s">
        <v>818</v>
      </c>
      <c r="E595" s="289">
        <v>10</v>
      </c>
      <c r="F595" s="290">
        <v>13</v>
      </c>
      <c r="G595" s="289">
        <v>1100</v>
      </c>
      <c r="H595" s="289">
        <v>330</v>
      </c>
      <c r="I595" s="289">
        <v>143</v>
      </c>
      <c r="J595" s="289">
        <v>70</v>
      </c>
      <c r="K595" s="289">
        <v>7</v>
      </c>
      <c r="L595" s="289">
        <v>1650</v>
      </c>
    </row>
    <row r="596" spans="1:12">
      <c r="A596" s="288" t="s">
        <v>1421</v>
      </c>
      <c r="B596" s="288" t="s">
        <v>1356</v>
      </c>
      <c r="C596" s="288" t="s">
        <v>814</v>
      </c>
      <c r="D596" s="288" t="s">
        <v>818</v>
      </c>
      <c r="E596" s="289">
        <v>10</v>
      </c>
      <c r="F596" s="290">
        <v>16</v>
      </c>
      <c r="G596" s="289">
        <v>1100</v>
      </c>
      <c r="H596" s="289">
        <v>660</v>
      </c>
      <c r="I596" s="289">
        <v>176</v>
      </c>
      <c r="J596" s="289">
        <v>70</v>
      </c>
      <c r="K596" s="289">
        <v>7</v>
      </c>
      <c r="L596" s="289">
        <v>2013</v>
      </c>
    </row>
    <row r="597" spans="1:12">
      <c r="A597" s="288" t="s">
        <v>1422</v>
      </c>
      <c r="B597" s="288" t="s">
        <v>1356</v>
      </c>
      <c r="C597" s="288" t="s">
        <v>814</v>
      </c>
      <c r="D597" s="288" t="s">
        <v>818</v>
      </c>
      <c r="E597" s="289">
        <v>10</v>
      </c>
      <c r="F597" s="290">
        <v>18</v>
      </c>
      <c r="G597" s="289">
        <v>1100</v>
      </c>
      <c r="H597" s="289">
        <v>880</v>
      </c>
      <c r="I597" s="289">
        <v>198</v>
      </c>
      <c r="J597" s="289">
        <v>70</v>
      </c>
      <c r="K597" s="289">
        <v>7</v>
      </c>
      <c r="L597" s="289">
        <v>2255</v>
      </c>
    </row>
    <row r="598" spans="1:12">
      <c r="A598" s="288" t="s">
        <v>1423</v>
      </c>
      <c r="B598" s="288" t="s">
        <v>1356</v>
      </c>
      <c r="C598" s="288" t="s">
        <v>814</v>
      </c>
      <c r="D598" s="288" t="s">
        <v>818</v>
      </c>
      <c r="E598" s="289">
        <v>10</v>
      </c>
      <c r="F598" s="290">
        <v>12</v>
      </c>
      <c r="G598" s="289">
        <v>1100</v>
      </c>
      <c r="H598" s="289">
        <v>220</v>
      </c>
      <c r="I598" s="289">
        <v>132</v>
      </c>
      <c r="J598" s="289">
        <v>70</v>
      </c>
      <c r="K598" s="289">
        <v>7</v>
      </c>
      <c r="L598" s="289">
        <v>1529</v>
      </c>
    </row>
    <row r="599" spans="1:12">
      <c r="A599" s="288" t="s">
        <v>1424</v>
      </c>
      <c r="B599" s="288" t="s">
        <v>1356</v>
      </c>
      <c r="C599" s="288" t="s">
        <v>814</v>
      </c>
      <c r="D599" s="288" t="s">
        <v>818</v>
      </c>
      <c r="E599" s="289">
        <v>10</v>
      </c>
      <c r="F599" s="290">
        <v>10</v>
      </c>
      <c r="G599" s="289">
        <v>1100</v>
      </c>
      <c r="H599" s="289">
        <v>0</v>
      </c>
      <c r="I599" s="289">
        <v>110</v>
      </c>
      <c r="J599" s="289">
        <v>70</v>
      </c>
      <c r="K599" s="289">
        <v>7</v>
      </c>
      <c r="L599" s="289">
        <v>1287</v>
      </c>
    </row>
    <row r="600" spans="1:12">
      <c r="A600" s="288" t="s">
        <v>1425</v>
      </c>
      <c r="B600" s="288" t="s">
        <v>1356</v>
      </c>
      <c r="C600" s="288" t="s">
        <v>814</v>
      </c>
      <c r="D600" s="288" t="s">
        <v>818</v>
      </c>
      <c r="E600" s="289">
        <v>10</v>
      </c>
      <c r="F600" s="290">
        <v>10</v>
      </c>
      <c r="G600" s="289">
        <v>1100</v>
      </c>
      <c r="H600" s="289">
        <v>0</v>
      </c>
      <c r="I600" s="289">
        <v>110</v>
      </c>
      <c r="J600" s="289">
        <v>70</v>
      </c>
      <c r="K600" s="289">
        <v>7</v>
      </c>
      <c r="L600" s="289">
        <v>1287</v>
      </c>
    </row>
    <row r="601" spans="1:12">
      <c r="A601" s="288" t="s">
        <v>1426</v>
      </c>
      <c r="B601" s="288" t="s">
        <v>1356</v>
      </c>
      <c r="C601" s="288" t="s">
        <v>814</v>
      </c>
      <c r="D601" s="288" t="s">
        <v>818</v>
      </c>
      <c r="E601" s="289">
        <v>10</v>
      </c>
      <c r="F601" s="290">
        <v>24</v>
      </c>
      <c r="G601" s="289">
        <v>1100</v>
      </c>
      <c r="H601" s="289">
        <v>1540</v>
      </c>
      <c r="I601" s="289">
        <v>264</v>
      </c>
      <c r="J601" s="289">
        <v>70</v>
      </c>
      <c r="K601" s="289">
        <v>7</v>
      </c>
      <c r="L601" s="289">
        <v>2981</v>
      </c>
    </row>
    <row r="602" spans="1:12">
      <c r="A602" s="288" t="s">
        <v>1427</v>
      </c>
      <c r="B602" s="288" t="s">
        <v>1356</v>
      </c>
      <c r="C602" s="288" t="s">
        <v>814</v>
      </c>
      <c r="D602" s="288" t="s">
        <v>818</v>
      </c>
      <c r="E602" s="289">
        <v>10</v>
      </c>
      <c r="F602" s="290">
        <v>11</v>
      </c>
      <c r="G602" s="289">
        <v>1100</v>
      </c>
      <c r="H602" s="289">
        <v>110</v>
      </c>
      <c r="I602" s="289">
        <v>121</v>
      </c>
      <c r="J602" s="289">
        <v>70</v>
      </c>
      <c r="K602" s="289">
        <v>7</v>
      </c>
      <c r="L602" s="289">
        <v>1408</v>
      </c>
    </row>
    <row r="603" spans="1:12">
      <c r="A603" s="288" t="s">
        <v>1428</v>
      </c>
      <c r="B603" s="288" t="s">
        <v>1356</v>
      </c>
      <c r="C603" s="288" t="s">
        <v>814</v>
      </c>
      <c r="D603" s="288" t="s">
        <v>818</v>
      </c>
      <c r="E603" s="289">
        <v>10</v>
      </c>
      <c r="F603" s="290">
        <v>3</v>
      </c>
      <c r="G603" s="289">
        <v>900</v>
      </c>
      <c r="H603" s="289">
        <v>0</v>
      </c>
      <c r="I603" s="289">
        <v>90</v>
      </c>
      <c r="J603" s="289">
        <v>70</v>
      </c>
      <c r="K603" s="289">
        <v>7</v>
      </c>
      <c r="L603" s="289">
        <v>1067</v>
      </c>
    </row>
    <row r="604" spans="1:12">
      <c r="A604" s="288" t="s">
        <v>1429</v>
      </c>
      <c r="B604" s="288" t="s">
        <v>1356</v>
      </c>
      <c r="C604" s="288" t="s">
        <v>814</v>
      </c>
      <c r="D604" s="288" t="s">
        <v>818</v>
      </c>
      <c r="E604" s="289">
        <v>10</v>
      </c>
      <c r="F604" s="290">
        <v>17</v>
      </c>
      <c r="G604" s="289">
        <v>1100</v>
      </c>
      <c r="H604" s="289">
        <v>770</v>
      </c>
      <c r="I604" s="289">
        <v>187</v>
      </c>
      <c r="J604" s="289">
        <v>70</v>
      </c>
      <c r="K604" s="289">
        <v>7</v>
      </c>
      <c r="L604" s="289">
        <v>2134</v>
      </c>
    </row>
    <row r="605" spans="1:12">
      <c r="A605" s="288" t="s">
        <v>1430</v>
      </c>
      <c r="B605" s="288" t="s">
        <v>1356</v>
      </c>
      <c r="C605" s="288" t="s">
        <v>814</v>
      </c>
      <c r="D605" s="288" t="s">
        <v>818</v>
      </c>
      <c r="E605" s="289">
        <v>10</v>
      </c>
      <c r="F605" s="290">
        <v>5</v>
      </c>
      <c r="G605" s="289">
        <v>900</v>
      </c>
      <c r="H605" s="289">
        <v>0</v>
      </c>
      <c r="I605" s="289">
        <v>90</v>
      </c>
      <c r="J605" s="289">
        <v>70</v>
      </c>
      <c r="K605" s="289">
        <v>7</v>
      </c>
      <c r="L605" s="289">
        <v>1067</v>
      </c>
    </row>
    <row r="606" spans="1:12">
      <c r="A606" s="288" t="s">
        <v>1431</v>
      </c>
      <c r="B606" s="288" t="s">
        <v>1356</v>
      </c>
      <c r="C606" s="288" t="s">
        <v>814</v>
      </c>
      <c r="D606" s="288" t="s">
        <v>818</v>
      </c>
      <c r="E606" s="289">
        <v>10</v>
      </c>
      <c r="F606" s="290">
        <v>10</v>
      </c>
      <c r="G606" s="289">
        <v>1100</v>
      </c>
      <c r="H606" s="289">
        <v>0</v>
      </c>
      <c r="I606" s="289">
        <v>110</v>
      </c>
      <c r="J606" s="289">
        <v>70</v>
      </c>
      <c r="K606" s="289">
        <v>7</v>
      </c>
      <c r="L606" s="289">
        <v>1287</v>
      </c>
    </row>
    <row r="607" spans="1:12">
      <c r="A607" s="288" t="s">
        <v>1432</v>
      </c>
      <c r="B607" s="288" t="s">
        <v>1356</v>
      </c>
      <c r="C607" s="288" t="s">
        <v>814</v>
      </c>
      <c r="D607" s="288" t="s">
        <v>818</v>
      </c>
      <c r="E607" s="289">
        <v>10</v>
      </c>
      <c r="F607" s="290">
        <v>11</v>
      </c>
      <c r="G607" s="289">
        <v>1100</v>
      </c>
      <c r="H607" s="289">
        <v>110</v>
      </c>
      <c r="I607" s="289">
        <v>121</v>
      </c>
      <c r="J607" s="289">
        <v>70</v>
      </c>
      <c r="K607" s="289">
        <v>7</v>
      </c>
      <c r="L607" s="289">
        <v>1408</v>
      </c>
    </row>
    <row r="608" spans="1:12">
      <c r="A608" s="288" t="s">
        <v>1433</v>
      </c>
      <c r="B608" s="288" t="s">
        <v>1356</v>
      </c>
      <c r="C608" s="288" t="s">
        <v>814</v>
      </c>
      <c r="D608" s="288" t="s">
        <v>818</v>
      </c>
      <c r="E608" s="289">
        <v>10</v>
      </c>
      <c r="F608" s="290">
        <v>8</v>
      </c>
      <c r="G608" s="289">
        <v>1100</v>
      </c>
      <c r="H608" s="289">
        <v>0</v>
      </c>
      <c r="I608" s="289">
        <v>110</v>
      </c>
      <c r="J608" s="289">
        <v>70</v>
      </c>
      <c r="K608" s="289">
        <v>7</v>
      </c>
      <c r="L608" s="289">
        <v>1287</v>
      </c>
    </row>
    <row r="609" spans="1:12">
      <c r="A609" s="288" t="s">
        <v>1434</v>
      </c>
      <c r="B609" s="288" t="s">
        <v>1356</v>
      </c>
      <c r="C609" s="288" t="s">
        <v>814</v>
      </c>
      <c r="D609" s="288" t="s">
        <v>818</v>
      </c>
      <c r="E609" s="289">
        <v>10</v>
      </c>
      <c r="F609" s="290">
        <v>12</v>
      </c>
      <c r="G609" s="289">
        <v>1100</v>
      </c>
      <c r="H609" s="289">
        <v>220</v>
      </c>
      <c r="I609" s="289">
        <v>132</v>
      </c>
      <c r="J609" s="289">
        <v>70</v>
      </c>
      <c r="K609" s="289">
        <v>7</v>
      </c>
      <c r="L609" s="289">
        <v>1529</v>
      </c>
    </row>
    <row r="610" spans="1:12">
      <c r="A610" s="288" t="s">
        <v>1435</v>
      </c>
      <c r="B610" s="288" t="s">
        <v>1356</v>
      </c>
      <c r="C610" s="288" t="s">
        <v>814</v>
      </c>
      <c r="D610" s="288" t="s">
        <v>818</v>
      </c>
      <c r="E610" s="289">
        <v>10</v>
      </c>
      <c r="F610" s="290">
        <v>10</v>
      </c>
      <c r="G610" s="289">
        <v>1100</v>
      </c>
      <c r="H610" s="289">
        <v>0</v>
      </c>
      <c r="I610" s="289">
        <v>110</v>
      </c>
      <c r="J610" s="289">
        <v>70</v>
      </c>
      <c r="K610" s="289">
        <v>7</v>
      </c>
      <c r="L610" s="289">
        <v>1287</v>
      </c>
    </row>
    <row r="611" spans="1:12">
      <c r="A611" s="288" t="s">
        <v>1436</v>
      </c>
      <c r="B611" s="288" t="s">
        <v>1356</v>
      </c>
      <c r="C611" s="288" t="s">
        <v>814</v>
      </c>
      <c r="D611" s="288" t="s">
        <v>818</v>
      </c>
      <c r="E611" s="289">
        <v>10</v>
      </c>
      <c r="F611" s="290">
        <v>15</v>
      </c>
      <c r="G611" s="289">
        <v>1100</v>
      </c>
      <c r="H611" s="289">
        <v>550</v>
      </c>
      <c r="I611" s="289">
        <v>165</v>
      </c>
      <c r="J611" s="289">
        <v>70</v>
      </c>
      <c r="K611" s="289">
        <v>7</v>
      </c>
      <c r="L611" s="289">
        <v>1892</v>
      </c>
    </row>
    <row r="612" spans="1:12">
      <c r="A612" s="288" t="s">
        <v>1437</v>
      </c>
      <c r="B612" s="288" t="s">
        <v>1356</v>
      </c>
      <c r="C612" s="288" t="s">
        <v>814</v>
      </c>
      <c r="D612" s="288" t="s">
        <v>818</v>
      </c>
      <c r="E612" s="289">
        <v>10</v>
      </c>
      <c r="F612" s="290">
        <v>7</v>
      </c>
      <c r="G612" s="289">
        <v>1100</v>
      </c>
      <c r="H612" s="289">
        <v>0</v>
      </c>
      <c r="I612" s="289">
        <v>110</v>
      </c>
      <c r="J612" s="289">
        <v>70</v>
      </c>
      <c r="K612" s="289">
        <v>7</v>
      </c>
      <c r="L612" s="289">
        <v>1287</v>
      </c>
    </row>
    <row r="613" spans="1:12">
      <c r="A613" s="288" t="s">
        <v>1438</v>
      </c>
      <c r="B613" s="288" t="s">
        <v>1356</v>
      </c>
      <c r="C613" s="288" t="s">
        <v>814</v>
      </c>
      <c r="D613" s="288" t="s">
        <v>818</v>
      </c>
      <c r="E613" s="289">
        <v>10</v>
      </c>
      <c r="F613" s="290">
        <v>11</v>
      </c>
      <c r="G613" s="289">
        <v>1100</v>
      </c>
      <c r="H613" s="289">
        <v>110</v>
      </c>
      <c r="I613" s="289">
        <v>121</v>
      </c>
      <c r="J613" s="289">
        <v>70</v>
      </c>
      <c r="K613" s="289">
        <v>7</v>
      </c>
      <c r="L613" s="289">
        <v>1408</v>
      </c>
    </row>
    <row r="614" spans="1:12">
      <c r="A614" s="288" t="s">
        <v>1439</v>
      </c>
      <c r="B614" s="288" t="s">
        <v>1356</v>
      </c>
      <c r="C614" s="288" t="s">
        <v>814</v>
      </c>
      <c r="D614" s="288" t="s">
        <v>818</v>
      </c>
      <c r="E614" s="289">
        <v>10</v>
      </c>
      <c r="F614" s="290">
        <v>18</v>
      </c>
      <c r="G614" s="289">
        <v>1100</v>
      </c>
      <c r="H614" s="289">
        <v>880</v>
      </c>
      <c r="I614" s="289">
        <v>198</v>
      </c>
      <c r="J614" s="289">
        <v>70</v>
      </c>
      <c r="K614" s="289">
        <v>7</v>
      </c>
      <c r="L614" s="289">
        <v>2255</v>
      </c>
    </row>
    <row r="615" spans="1:12">
      <c r="A615" s="288" t="s">
        <v>1440</v>
      </c>
      <c r="B615" s="288" t="s">
        <v>1356</v>
      </c>
      <c r="C615" s="288" t="s">
        <v>814</v>
      </c>
      <c r="D615" s="288" t="s">
        <v>818</v>
      </c>
      <c r="E615" s="289">
        <v>10</v>
      </c>
      <c r="F615" s="290">
        <v>7</v>
      </c>
      <c r="G615" s="289">
        <v>1100</v>
      </c>
      <c r="H615" s="289">
        <v>0</v>
      </c>
      <c r="I615" s="289">
        <v>110</v>
      </c>
      <c r="J615" s="289">
        <v>70</v>
      </c>
      <c r="K615" s="289">
        <v>7</v>
      </c>
      <c r="L615" s="289">
        <v>1287</v>
      </c>
    </row>
    <row r="616" spans="1:12">
      <c r="A616" s="288" t="s">
        <v>1441</v>
      </c>
      <c r="B616" s="288" t="s">
        <v>1356</v>
      </c>
      <c r="C616" s="288" t="s">
        <v>814</v>
      </c>
      <c r="D616" s="288" t="s">
        <v>818</v>
      </c>
      <c r="E616" s="289">
        <v>10</v>
      </c>
      <c r="F616" s="290">
        <v>17</v>
      </c>
      <c r="G616" s="289">
        <v>1100</v>
      </c>
      <c r="H616" s="289">
        <v>770</v>
      </c>
      <c r="I616" s="289">
        <v>187</v>
      </c>
      <c r="J616" s="289">
        <v>70</v>
      </c>
      <c r="K616" s="289">
        <v>7</v>
      </c>
      <c r="L616" s="289">
        <v>2134</v>
      </c>
    </row>
    <row r="617" spans="1:12">
      <c r="A617" s="288" t="s">
        <v>1442</v>
      </c>
      <c r="B617" s="288" t="s">
        <v>1356</v>
      </c>
      <c r="C617" s="288" t="s">
        <v>814</v>
      </c>
      <c r="D617" s="288" t="s">
        <v>818</v>
      </c>
      <c r="E617" s="289">
        <v>10</v>
      </c>
      <c r="F617" s="290">
        <v>26</v>
      </c>
      <c r="G617" s="289">
        <v>1100</v>
      </c>
      <c r="H617" s="289">
        <v>1760</v>
      </c>
      <c r="I617" s="289">
        <v>286</v>
      </c>
      <c r="J617" s="289">
        <v>70</v>
      </c>
      <c r="K617" s="289">
        <v>7</v>
      </c>
      <c r="L617" s="289">
        <v>3223</v>
      </c>
    </row>
    <row r="618" spans="1:12">
      <c r="A618" s="288" t="s">
        <v>1443</v>
      </c>
      <c r="B618" s="288" t="s">
        <v>1356</v>
      </c>
      <c r="C618" s="288" t="s">
        <v>814</v>
      </c>
      <c r="D618" s="288" t="s">
        <v>818</v>
      </c>
      <c r="E618" s="289">
        <v>10</v>
      </c>
      <c r="F618" s="290">
        <v>0</v>
      </c>
      <c r="G618" s="289">
        <v>900</v>
      </c>
      <c r="H618" s="289">
        <v>0</v>
      </c>
      <c r="I618" s="289">
        <v>90</v>
      </c>
      <c r="J618" s="289">
        <v>70</v>
      </c>
      <c r="K618" s="289">
        <v>7</v>
      </c>
      <c r="L618" s="289">
        <v>1067</v>
      </c>
    </row>
    <row r="619" spans="1:12">
      <c r="A619" s="288" t="s">
        <v>1444</v>
      </c>
      <c r="B619" s="288" t="s">
        <v>1356</v>
      </c>
      <c r="C619" s="288" t="s">
        <v>814</v>
      </c>
      <c r="D619" s="288" t="s">
        <v>818</v>
      </c>
      <c r="E619" s="289">
        <v>10</v>
      </c>
      <c r="F619" s="290">
        <v>4</v>
      </c>
      <c r="G619" s="289">
        <v>900</v>
      </c>
      <c r="H619" s="289">
        <v>0</v>
      </c>
      <c r="I619" s="289">
        <v>90</v>
      </c>
      <c r="J619" s="289">
        <v>70</v>
      </c>
      <c r="K619" s="289">
        <v>7</v>
      </c>
      <c r="L619" s="289">
        <v>1067</v>
      </c>
    </row>
    <row r="620" spans="1:12">
      <c r="A620" s="288" t="s">
        <v>1445</v>
      </c>
      <c r="B620" s="288" t="s">
        <v>1356</v>
      </c>
      <c r="C620" s="288" t="s">
        <v>814</v>
      </c>
      <c r="D620" s="288" t="s">
        <v>818</v>
      </c>
      <c r="E620" s="289">
        <v>10</v>
      </c>
      <c r="F620" s="290">
        <v>8</v>
      </c>
      <c r="G620" s="289">
        <v>1100</v>
      </c>
      <c r="H620" s="289">
        <v>0</v>
      </c>
      <c r="I620" s="289">
        <v>110</v>
      </c>
      <c r="J620" s="289">
        <v>70</v>
      </c>
      <c r="K620" s="289">
        <v>7</v>
      </c>
      <c r="L620" s="289">
        <v>1287</v>
      </c>
    </row>
    <row r="621" spans="1:12">
      <c r="A621" s="288" t="s">
        <v>1446</v>
      </c>
      <c r="B621" s="288" t="s">
        <v>1356</v>
      </c>
      <c r="C621" s="288" t="s">
        <v>814</v>
      </c>
      <c r="D621" s="288" t="s">
        <v>818</v>
      </c>
      <c r="E621" s="289">
        <v>10</v>
      </c>
      <c r="F621" s="290">
        <v>5</v>
      </c>
      <c r="G621" s="289">
        <v>900</v>
      </c>
      <c r="H621" s="289">
        <v>0</v>
      </c>
      <c r="I621" s="289">
        <v>90</v>
      </c>
      <c r="J621" s="289">
        <v>70</v>
      </c>
      <c r="K621" s="289">
        <v>7</v>
      </c>
      <c r="L621" s="289">
        <v>1067</v>
      </c>
    </row>
    <row r="622" spans="1:12">
      <c r="A622" s="288" t="s">
        <v>1447</v>
      </c>
      <c r="B622" s="288" t="s">
        <v>1356</v>
      </c>
      <c r="C622" s="288" t="s">
        <v>814</v>
      </c>
      <c r="D622" s="288" t="s">
        <v>818</v>
      </c>
      <c r="E622" s="289">
        <v>10</v>
      </c>
      <c r="F622" s="290">
        <v>10</v>
      </c>
      <c r="G622" s="289">
        <v>1100</v>
      </c>
      <c r="H622" s="289">
        <v>0</v>
      </c>
      <c r="I622" s="289">
        <v>110</v>
      </c>
      <c r="J622" s="289">
        <v>70</v>
      </c>
      <c r="K622" s="289">
        <v>7</v>
      </c>
      <c r="L622" s="289">
        <v>1287</v>
      </c>
    </row>
    <row r="623" spans="1:12">
      <c r="A623" s="288" t="s">
        <v>1448</v>
      </c>
      <c r="B623" s="288" t="s">
        <v>1356</v>
      </c>
      <c r="C623" s="288" t="s">
        <v>814</v>
      </c>
      <c r="D623" s="288" t="s">
        <v>818</v>
      </c>
      <c r="E623" s="289">
        <v>10</v>
      </c>
      <c r="F623" s="290">
        <v>24</v>
      </c>
      <c r="G623" s="289">
        <v>1100</v>
      </c>
      <c r="H623" s="289">
        <v>1540</v>
      </c>
      <c r="I623" s="289">
        <v>264</v>
      </c>
      <c r="J623" s="289">
        <v>70</v>
      </c>
      <c r="K623" s="289">
        <v>7</v>
      </c>
      <c r="L623" s="289">
        <v>2981</v>
      </c>
    </row>
    <row r="624" spans="1:12">
      <c r="A624" s="288" t="s">
        <v>1449</v>
      </c>
      <c r="B624" s="288" t="s">
        <v>1356</v>
      </c>
      <c r="C624" s="288" t="s">
        <v>814</v>
      </c>
      <c r="D624" s="288" t="s">
        <v>818</v>
      </c>
      <c r="E624" s="289">
        <v>10</v>
      </c>
      <c r="F624" s="290">
        <v>21</v>
      </c>
      <c r="G624" s="289">
        <v>1100</v>
      </c>
      <c r="H624" s="289">
        <v>1210</v>
      </c>
      <c r="I624" s="289">
        <v>231</v>
      </c>
      <c r="J624" s="289">
        <v>70</v>
      </c>
      <c r="K624" s="289">
        <v>7</v>
      </c>
      <c r="L624" s="289">
        <v>2618</v>
      </c>
    </row>
    <row r="625" spans="1:12">
      <c r="A625" s="288" t="s">
        <v>1450</v>
      </c>
      <c r="B625" s="288" t="s">
        <v>1356</v>
      </c>
      <c r="C625" s="288" t="s">
        <v>814</v>
      </c>
      <c r="D625" s="288" t="s">
        <v>818</v>
      </c>
      <c r="E625" s="289">
        <v>10</v>
      </c>
      <c r="F625" s="290">
        <v>22</v>
      </c>
      <c r="G625" s="289">
        <v>1100</v>
      </c>
      <c r="H625" s="289">
        <v>1320</v>
      </c>
      <c r="I625" s="289">
        <v>242</v>
      </c>
      <c r="J625" s="289">
        <v>70</v>
      </c>
      <c r="K625" s="289">
        <v>7</v>
      </c>
      <c r="L625" s="289">
        <v>2739</v>
      </c>
    </row>
    <row r="626" spans="1:12">
      <c r="A626" s="288" t="s">
        <v>1451</v>
      </c>
      <c r="B626" s="288" t="s">
        <v>1356</v>
      </c>
      <c r="C626" s="288" t="s">
        <v>814</v>
      </c>
      <c r="D626" s="288" t="s">
        <v>818</v>
      </c>
      <c r="E626" s="289">
        <v>10</v>
      </c>
      <c r="F626" s="290">
        <v>23</v>
      </c>
      <c r="G626" s="289">
        <v>1100</v>
      </c>
      <c r="H626" s="289">
        <v>1430</v>
      </c>
      <c r="I626" s="289">
        <v>253</v>
      </c>
      <c r="J626" s="289">
        <v>70</v>
      </c>
      <c r="K626" s="289">
        <v>7</v>
      </c>
      <c r="L626" s="289">
        <v>2860</v>
      </c>
    </row>
    <row r="627" spans="1:12">
      <c r="A627" s="288" t="s">
        <v>1452</v>
      </c>
      <c r="B627" s="288" t="s">
        <v>1356</v>
      </c>
      <c r="C627" s="288" t="s">
        <v>814</v>
      </c>
      <c r="D627" s="288" t="s">
        <v>818</v>
      </c>
      <c r="E627" s="289">
        <v>10</v>
      </c>
      <c r="F627" s="290">
        <v>20</v>
      </c>
      <c r="G627" s="289">
        <v>1100</v>
      </c>
      <c r="H627" s="289">
        <v>1100</v>
      </c>
      <c r="I627" s="289">
        <v>220</v>
      </c>
      <c r="J627" s="289">
        <v>70</v>
      </c>
      <c r="K627" s="289">
        <v>7</v>
      </c>
      <c r="L627" s="289">
        <v>2497</v>
      </c>
    </row>
    <row r="628" spans="1:12">
      <c r="A628" s="288" t="s">
        <v>1453</v>
      </c>
      <c r="B628" s="288" t="s">
        <v>1356</v>
      </c>
      <c r="C628" s="288" t="s">
        <v>814</v>
      </c>
      <c r="D628" s="288" t="s">
        <v>818</v>
      </c>
      <c r="E628" s="289">
        <v>10</v>
      </c>
      <c r="F628" s="290">
        <v>23</v>
      </c>
      <c r="G628" s="289">
        <v>1100</v>
      </c>
      <c r="H628" s="289">
        <v>1430</v>
      </c>
      <c r="I628" s="289">
        <v>253</v>
      </c>
      <c r="J628" s="289">
        <v>70</v>
      </c>
      <c r="K628" s="289">
        <v>7</v>
      </c>
      <c r="L628" s="289">
        <v>2860</v>
      </c>
    </row>
    <row r="629" spans="1:12">
      <c r="A629" s="288" t="s">
        <v>1454</v>
      </c>
      <c r="B629" s="288" t="s">
        <v>1356</v>
      </c>
      <c r="C629" s="288" t="s">
        <v>814</v>
      </c>
      <c r="D629" s="288" t="s">
        <v>818</v>
      </c>
      <c r="E629" s="289">
        <v>10</v>
      </c>
      <c r="F629" s="290">
        <v>24</v>
      </c>
      <c r="G629" s="289">
        <v>1100</v>
      </c>
      <c r="H629" s="289">
        <v>1540</v>
      </c>
      <c r="I629" s="289">
        <v>264</v>
      </c>
      <c r="J629" s="289">
        <v>70</v>
      </c>
      <c r="K629" s="289">
        <v>7</v>
      </c>
      <c r="L629" s="289">
        <v>2981</v>
      </c>
    </row>
    <row r="630" spans="1:12">
      <c r="A630" s="288" t="s">
        <v>1455</v>
      </c>
      <c r="B630" s="288" t="s">
        <v>1356</v>
      </c>
      <c r="C630" s="288" t="s">
        <v>814</v>
      </c>
      <c r="D630" s="288" t="s">
        <v>818</v>
      </c>
      <c r="E630" s="289">
        <v>10</v>
      </c>
      <c r="F630" s="290">
        <v>24</v>
      </c>
      <c r="G630" s="289">
        <v>1100</v>
      </c>
      <c r="H630" s="289">
        <v>1540</v>
      </c>
      <c r="I630" s="289">
        <v>264</v>
      </c>
      <c r="J630" s="289">
        <v>70</v>
      </c>
      <c r="K630" s="289">
        <v>7</v>
      </c>
      <c r="L630" s="289">
        <v>2981</v>
      </c>
    </row>
    <row r="631" spans="1:12">
      <c r="A631" s="288" t="s">
        <v>1456</v>
      </c>
      <c r="B631" s="288" t="s">
        <v>1356</v>
      </c>
      <c r="C631" s="288" t="s">
        <v>814</v>
      </c>
      <c r="D631" s="288" t="s">
        <v>818</v>
      </c>
      <c r="E631" s="289">
        <v>10</v>
      </c>
      <c r="F631" s="290">
        <v>1</v>
      </c>
      <c r="G631" s="289">
        <v>900</v>
      </c>
      <c r="H631" s="289">
        <v>0</v>
      </c>
      <c r="I631" s="289">
        <v>90</v>
      </c>
      <c r="J631" s="289">
        <v>70</v>
      </c>
      <c r="K631" s="289">
        <v>7</v>
      </c>
      <c r="L631" s="289">
        <v>1067</v>
      </c>
    </row>
    <row r="632" spans="1:12">
      <c r="A632" s="288" t="s">
        <v>1457</v>
      </c>
      <c r="B632" s="288" t="s">
        <v>1356</v>
      </c>
      <c r="C632" s="288" t="s">
        <v>814</v>
      </c>
      <c r="D632" s="288" t="s">
        <v>818</v>
      </c>
      <c r="E632" s="289">
        <v>10</v>
      </c>
      <c r="F632" s="290">
        <v>13</v>
      </c>
      <c r="G632" s="289">
        <v>1100</v>
      </c>
      <c r="H632" s="289">
        <v>330</v>
      </c>
      <c r="I632" s="289">
        <v>143</v>
      </c>
      <c r="J632" s="289">
        <v>70</v>
      </c>
      <c r="K632" s="289">
        <v>7</v>
      </c>
      <c r="L632" s="289">
        <v>1650</v>
      </c>
    </row>
    <row r="633" spans="1:12">
      <c r="A633" s="288" t="s">
        <v>1458</v>
      </c>
      <c r="B633" s="288" t="s">
        <v>1356</v>
      </c>
      <c r="C633" s="288" t="s">
        <v>814</v>
      </c>
      <c r="D633" s="288" t="s">
        <v>818</v>
      </c>
      <c r="E633" s="289">
        <v>10</v>
      </c>
      <c r="F633" s="290">
        <v>18</v>
      </c>
      <c r="G633" s="289">
        <v>1100</v>
      </c>
      <c r="H633" s="289">
        <v>880</v>
      </c>
      <c r="I633" s="289">
        <v>198</v>
      </c>
      <c r="J633" s="289">
        <v>70</v>
      </c>
      <c r="K633" s="289">
        <v>7</v>
      </c>
      <c r="L633" s="289">
        <v>2255</v>
      </c>
    </row>
    <row r="634" spans="1:12">
      <c r="A634" s="288" t="s">
        <v>1459</v>
      </c>
      <c r="B634" s="288" t="s">
        <v>1356</v>
      </c>
      <c r="C634" s="288" t="s">
        <v>1095</v>
      </c>
      <c r="D634" s="288" t="s">
        <v>818</v>
      </c>
      <c r="E634" s="289">
        <v>10</v>
      </c>
      <c r="F634" s="290">
        <v>12</v>
      </c>
      <c r="G634" s="289">
        <v>1100</v>
      </c>
      <c r="H634" s="289">
        <v>220</v>
      </c>
      <c r="I634" s="289">
        <v>132</v>
      </c>
      <c r="J634" s="289">
        <v>70</v>
      </c>
      <c r="K634" s="289">
        <v>7</v>
      </c>
      <c r="L634" s="289">
        <v>1529</v>
      </c>
    </row>
    <row r="635" spans="1:12">
      <c r="A635" s="288" t="s">
        <v>1460</v>
      </c>
      <c r="B635" s="288" t="s">
        <v>1356</v>
      </c>
      <c r="C635" s="288" t="s">
        <v>814</v>
      </c>
      <c r="D635" s="288" t="s">
        <v>818</v>
      </c>
      <c r="E635" s="289">
        <v>10</v>
      </c>
      <c r="F635" s="290">
        <v>18</v>
      </c>
      <c r="G635" s="289">
        <v>1100</v>
      </c>
      <c r="H635" s="289">
        <v>880</v>
      </c>
      <c r="I635" s="289">
        <v>198</v>
      </c>
      <c r="J635" s="289">
        <v>70</v>
      </c>
      <c r="K635" s="289">
        <v>7</v>
      </c>
      <c r="L635" s="289">
        <v>2255</v>
      </c>
    </row>
    <row r="636" spans="1:12">
      <c r="A636" s="288" t="s">
        <v>1461</v>
      </c>
      <c r="B636" s="288" t="s">
        <v>1356</v>
      </c>
      <c r="C636" s="288" t="s">
        <v>814</v>
      </c>
      <c r="D636" s="288" t="s">
        <v>818</v>
      </c>
      <c r="E636" s="289">
        <v>10</v>
      </c>
      <c r="F636" s="290">
        <v>7</v>
      </c>
      <c r="G636" s="289">
        <v>1100</v>
      </c>
      <c r="H636" s="289">
        <v>0</v>
      </c>
      <c r="I636" s="289">
        <v>110</v>
      </c>
      <c r="J636" s="289">
        <v>70</v>
      </c>
      <c r="K636" s="289">
        <v>7</v>
      </c>
      <c r="L636" s="289">
        <v>1287</v>
      </c>
    </row>
    <row r="637" spans="1:12">
      <c r="A637" s="288" t="s">
        <v>1462</v>
      </c>
      <c r="B637" s="288" t="s">
        <v>1356</v>
      </c>
      <c r="C637" s="288" t="s">
        <v>814</v>
      </c>
      <c r="D637" s="288" t="s">
        <v>818</v>
      </c>
      <c r="E637" s="289">
        <v>10</v>
      </c>
      <c r="F637" s="290">
        <v>18</v>
      </c>
      <c r="G637" s="289">
        <v>1100</v>
      </c>
      <c r="H637" s="289">
        <v>880</v>
      </c>
      <c r="I637" s="289">
        <v>198</v>
      </c>
      <c r="J637" s="289">
        <v>70</v>
      </c>
      <c r="K637" s="289">
        <v>7</v>
      </c>
      <c r="L637" s="289">
        <v>2255</v>
      </c>
    </row>
    <row r="638" spans="1:12">
      <c r="A638" s="288" t="s">
        <v>1463</v>
      </c>
      <c r="B638" s="288" t="s">
        <v>1356</v>
      </c>
      <c r="C638" s="288" t="s">
        <v>814</v>
      </c>
      <c r="D638" s="288" t="s">
        <v>818</v>
      </c>
      <c r="E638" s="289">
        <v>10</v>
      </c>
      <c r="F638" s="290">
        <v>15</v>
      </c>
      <c r="G638" s="289">
        <v>1100</v>
      </c>
      <c r="H638" s="289">
        <v>550</v>
      </c>
      <c r="I638" s="289">
        <v>165</v>
      </c>
      <c r="J638" s="289">
        <v>70</v>
      </c>
      <c r="K638" s="289">
        <v>7</v>
      </c>
      <c r="L638" s="289">
        <v>1892</v>
      </c>
    </row>
    <row r="639" spans="1:12">
      <c r="A639" s="288" t="s">
        <v>1464</v>
      </c>
      <c r="B639" s="288" t="s">
        <v>1356</v>
      </c>
      <c r="C639" s="288" t="s">
        <v>814</v>
      </c>
      <c r="D639" s="288" t="s">
        <v>818</v>
      </c>
      <c r="E639" s="289">
        <v>10</v>
      </c>
      <c r="F639" s="290">
        <v>17</v>
      </c>
      <c r="G639" s="289">
        <v>1100</v>
      </c>
      <c r="H639" s="289">
        <v>770</v>
      </c>
      <c r="I639" s="289">
        <v>187</v>
      </c>
      <c r="J639" s="289">
        <v>70</v>
      </c>
      <c r="K639" s="289">
        <v>7</v>
      </c>
      <c r="L639" s="289">
        <v>2134</v>
      </c>
    </row>
    <row r="640" spans="1:12">
      <c r="A640" s="288" t="s">
        <v>1465</v>
      </c>
      <c r="B640" s="288" t="s">
        <v>1356</v>
      </c>
      <c r="C640" s="288" t="s">
        <v>814</v>
      </c>
      <c r="D640" s="288" t="s">
        <v>818</v>
      </c>
      <c r="E640" s="289">
        <v>10</v>
      </c>
      <c r="F640" s="290">
        <v>22</v>
      </c>
      <c r="G640" s="289">
        <v>1100</v>
      </c>
      <c r="H640" s="289">
        <v>1320</v>
      </c>
      <c r="I640" s="289">
        <v>242</v>
      </c>
      <c r="J640" s="289">
        <v>70</v>
      </c>
      <c r="K640" s="289">
        <v>7</v>
      </c>
      <c r="L640" s="289">
        <v>2739</v>
      </c>
    </row>
    <row r="641" spans="1:12">
      <c r="A641" s="288" t="s">
        <v>1466</v>
      </c>
      <c r="B641" s="288" t="s">
        <v>1356</v>
      </c>
      <c r="C641" s="288" t="s">
        <v>814</v>
      </c>
      <c r="D641" s="288" t="s">
        <v>818</v>
      </c>
      <c r="E641" s="289">
        <v>10</v>
      </c>
      <c r="F641" s="290">
        <v>18</v>
      </c>
      <c r="G641" s="289">
        <v>1100</v>
      </c>
      <c r="H641" s="289">
        <v>880</v>
      </c>
      <c r="I641" s="289">
        <v>198</v>
      </c>
      <c r="J641" s="289">
        <v>70</v>
      </c>
      <c r="K641" s="289">
        <v>7</v>
      </c>
      <c r="L641" s="289">
        <v>2255</v>
      </c>
    </row>
    <row r="642" spans="1:12">
      <c r="A642" s="288" t="s">
        <v>1467</v>
      </c>
      <c r="B642" s="288" t="s">
        <v>1356</v>
      </c>
      <c r="C642" s="288" t="s">
        <v>814</v>
      </c>
      <c r="D642" s="288" t="s">
        <v>818</v>
      </c>
      <c r="E642" s="289">
        <v>10</v>
      </c>
      <c r="F642" s="290">
        <v>29</v>
      </c>
      <c r="G642" s="289">
        <v>1100</v>
      </c>
      <c r="H642" s="289">
        <v>2090</v>
      </c>
      <c r="I642" s="289">
        <v>319</v>
      </c>
      <c r="J642" s="289">
        <v>70</v>
      </c>
      <c r="K642" s="289">
        <v>7</v>
      </c>
      <c r="L642" s="289">
        <v>3586</v>
      </c>
    </row>
    <row r="643" spans="1:12">
      <c r="A643" s="288" t="s">
        <v>1468</v>
      </c>
      <c r="B643" s="288" t="s">
        <v>1356</v>
      </c>
      <c r="C643" s="288" t="s">
        <v>814</v>
      </c>
      <c r="D643" s="288" t="s">
        <v>818</v>
      </c>
      <c r="E643" s="289">
        <v>10</v>
      </c>
      <c r="F643" s="290">
        <v>32</v>
      </c>
      <c r="G643" s="289">
        <v>1100</v>
      </c>
      <c r="H643" s="289">
        <v>2420</v>
      </c>
      <c r="I643" s="289">
        <v>352</v>
      </c>
      <c r="J643" s="289">
        <v>70</v>
      </c>
      <c r="K643" s="289">
        <v>7</v>
      </c>
      <c r="L643" s="289">
        <v>3949</v>
      </c>
    </row>
    <row r="644" spans="1:12">
      <c r="A644" s="288" t="s">
        <v>1469</v>
      </c>
      <c r="B644" s="288" t="s">
        <v>1356</v>
      </c>
      <c r="C644" s="288" t="s">
        <v>814</v>
      </c>
      <c r="D644" s="288" t="s">
        <v>818</v>
      </c>
      <c r="E644" s="289">
        <v>10</v>
      </c>
      <c r="F644" s="290">
        <v>1</v>
      </c>
      <c r="G644" s="289">
        <v>900</v>
      </c>
      <c r="H644" s="289">
        <v>0</v>
      </c>
      <c r="I644" s="289">
        <v>90</v>
      </c>
      <c r="J644" s="289">
        <v>70</v>
      </c>
      <c r="K644" s="289">
        <v>7</v>
      </c>
      <c r="L644" s="289">
        <v>1067</v>
      </c>
    </row>
    <row r="645" spans="1:12">
      <c r="A645" s="288" t="s">
        <v>1470</v>
      </c>
      <c r="B645" s="288" t="s">
        <v>1356</v>
      </c>
      <c r="C645" s="288" t="s">
        <v>814</v>
      </c>
      <c r="D645" s="288" t="s">
        <v>818</v>
      </c>
      <c r="E645" s="289">
        <v>10</v>
      </c>
      <c r="F645" s="290">
        <v>9</v>
      </c>
      <c r="G645" s="289">
        <v>1100</v>
      </c>
      <c r="H645" s="289">
        <v>0</v>
      </c>
      <c r="I645" s="289">
        <v>110</v>
      </c>
      <c r="J645" s="289">
        <v>70</v>
      </c>
      <c r="K645" s="289">
        <v>7</v>
      </c>
      <c r="L645" s="289">
        <v>1287</v>
      </c>
    </row>
    <row r="646" spans="1:12">
      <c r="A646" s="288" t="s">
        <v>1471</v>
      </c>
      <c r="B646" s="288" t="s">
        <v>1356</v>
      </c>
      <c r="C646" s="288" t="s">
        <v>814</v>
      </c>
      <c r="D646" s="288" t="s">
        <v>818</v>
      </c>
      <c r="E646" s="289">
        <v>10</v>
      </c>
      <c r="F646" s="290">
        <v>11</v>
      </c>
      <c r="G646" s="289">
        <v>1100</v>
      </c>
      <c r="H646" s="289">
        <v>110</v>
      </c>
      <c r="I646" s="289">
        <v>121</v>
      </c>
      <c r="J646" s="289">
        <v>70</v>
      </c>
      <c r="K646" s="289">
        <v>7</v>
      </c>
      <c r="L646" s="289">
        <v>1408</v>
      </c>
    </row>
    <row r="647" spans="1:12">
      <c r="A647" s="288" t="s">
        <v>1472</v>
      </c>
      <c r="B647" s="288" t="s">
        <v>1356</v>
      </c>
      <c r="C647" s="288" t="s">
        <v>814</v>
      </c>
      <c r="D647" s="288" t="s">
        <v>818</v>
      </c>
      <c r="E647" s="289">
        <v>10</v>
      </c>
      <c r="F647" s="290">
        <v>22</v>
      </c>
      <c r="G647" s="289">
        <v>1100</v>
      </c>
      <c r="H647" s="289">
        <v>1320</v>
      </c>
      <c r="I647" s="289">
        <v>242</v>
      </c>
      <c r="J647" s="289">
        <v>70</v>
      </c>
      <c r="K647" s="289">
        <v>7</v>
      </c>
      <c r="L647" s="289">
        <v>2739</v>
      </c>
    </row>
    <row r="648" spans="1:12">
      <c r="A648" s="288" t="s">
        <v>1473</v>
      </c>
      <c r="B648" s="288" t="s">
        <v>1356</v>
      </c>
      <c r="C648" s="288" t="s">
        <v>814</v>
      </c>
      <c r="D648" s="288" t="s">
        <v>818</v>
      </c>
      <c r="E648" s="289">
        <v>10</v>
      </c>
      <c r="F648" s="290">
        <v>13</v>
      </c>
      <c r="G648" s="289">
        <v>1100</v>
      </c>
      <c r="H648" s="289">
        <v>330</v>
      </c>
      <c r="I648" s="289">
        <v>143</v>
      </c>
      <c r="J648" s="289">
        <v>70</v>
      </c>
      <c r="K648" s="289">
        <v>7</v>
      </c>
      <c r="L648" s="289">
        <v>1650</v>
      </c>
    </row>
    <row r="649" spans="1:12">
      <c r="A649" s="288" t="s">
        <v>1474</v>
      </c>
      <c r="B649" s="288" t="s">
        <v>1356</v>
      </c>
      <c r="C649" s="288" t="s">
        <v>814</v>
      </c>
      <c r="D649" s="288" t="s">
        <v>818</v>
      </c>
      <c r="E649" s="289">
        <v>10</v>
      </c>
      <c r="F649" s="290">
        <v>8</v>
      </c>
      <c r="G649" s="289">
        <v>1100</v>
      </c>
      <c r="H649" s="289">
        <v>0</v>
      </c>
      <c r="I649" s="289">
        <v>110</v>
      </c>
      <c r="J649" s="289">
        <v>70</v>
      </c>
      <c r="K649" s="289">
        <v>7</v>
      </c>
      <c r="L649" s="289">
        <v>1287</v>
      </c>
    </row>
    <row r="650" spans="1:12">
      <c r="A650" s="288" t="s">
        <v>1475</v>
      </c>
      <c r="B650" s="288" t="s">
        <v>1356</v>
      </c>
      <c r="C650" s="288" t="s">
        <v>814</v>
      </c>
      <c r="D650" s="288" t="s">
        <v>818</v>
      </c>
      <c r="E650" s="289">
        <v>10</v>
      </c>
      <c r="F650" s="290">
        <v>42</v>
      </c>
      <c r="G650" s="289">
        <v>1100</v>
      </c>
      <c r="H650" s="289">
        <v>3520</v>
      </c>
      <c r="I650" s="289">
        <v>462</v>
      </c>
      <c r="J650" s="289">
        <v>70</v>
      </c>
      <c r="K650" s="289">
        <v>7</v>
      </c>
      <c r="L650" s="289">
        <v>5159</v>
      </c>
    </row>
    <row r="651" spans="1:12">
      <c r="A651" s="288" t="s">
        <v>1476</v>
      </c>
      <c r="B651" s="288" t="s">
        <v>1356</v>
      </c>
      <c r="C651" s="288" t="s">
        <v>814</v>
      </c>
      <c r="D651" s="288" t="s">
        <v>818</v>
      </c>
      <c r="E651" s="289">
        <v>10</v>
      </c>
      <c r="F651" s="290">
        <v>18</v>
      </c>
      <c r="G651" s="289">
        <v>1100</v>
      </c>
      <c r="H651" s="289">
        <v>880</v>
      </c>
      <c r="I651" s="289">
        <v>198</v>
      </c>
      <c r="J651" s="289">
        <v>70</v>
      </c>
      <c r="K651" s="289">
        <v>7</v>
      </c>
      <c r="L651" s="289">
        <v>2255</v>
      </c>
    </row>
    <row r="652" spans="1:12">
      <c r="A652" s="288" t="s">
        <v>1477</v>
      </c>
      <c r="B652" s="288" t="s">
        <v>1356</v>
      </c>
      <c r="C652" s="288" t="s">
        <v>814</v>
      </c>
      <c r="D652" s="288" t="s">
        <v>818</v>
      </c>
      <c r="E652" s="289">
        <v>10</v>
      </c>
      <c r="F652" s="290">
        <v>20</v>
      </c>
      <c r="G652" s="289">
        <v>1100</v>
      </c>
      <c r="H652" s="289">
        <v>1100</v>
      </c>
      <c r="I652" s="289">
        <v>220</v>
      </c>
      <c r="J652" s="289">
        <v>70</v>
      </c>
      <c r="K652" s="289">
        <v>7</v>
      </c>
      <c r="L652" s="289">
        <v>2497</v>
      </c>
    </row>
    <row r="653" spans="1:12">
      <c r="A653" s="288" t="s">
        <v>1478</v>
      </c>
      <c r="B653" s="288" t="s">
        <v>1356</v>
      </c>
      <c r="C653" s="288" t="s">
        <v>814</v>
      </c>
      <c r="D653" s="288" t="s">
        <v>818</v>
      </c>
      <c r="E653" s="289">
        <v>10</v>
      </c>
      <c r="F653" s="290">
        <v>14</v>
      </c>
      <c r="G653" s="289">
        <v>1100</v>
      </c>
      <c r="H653" s="289">
        <v>440</v>
      </c>
      <c r="I653" s="289">
        <v>154</v>
      </c>
      <c r="J653" s="289">
        <v>70</v>
      </c>
      <c r="K653" s="289">
        <v>7</v>
      </c>
      <c r="L653" s="289">
        <v>1771</v>
      </c>
    </row>
    <row r="654" spans="1:12">
      <c r="A654" s="288" t="s">
        <v>1479</v>
      </c>
      <c r="B654" s="288" t="s">
        <v>1356</v>
      </c>
      <c r="C654" s="288" t="s">
        <v>814</v>
      </c>
      <c r="D654" s="288" t="s">
        <v>818</v>
      </c>
      <c r="E654" s="289">
        <v>10</v>
      </c>
      <c r="F654" s="290">
        <v>12</v>
      </c>
      <c r="G654" s="289">
        <v>1100</v>
      </c>
      <c r="H654" s="289">
        <v>220</v>
      </c>
      <c r="I654" s="289">
        <v>132</v>
      </c>
      <c r="J654" s="289">
        <v>70</v>
      </c>
      <c r="K654" s="289">
        <v>7</v>
      </c>
      <c r="L654" s="289">
        <v>1529</v>
      </c>
    </row>
    <row r="655" spans="1:12">
      <c r="A655" s="288" t="s">
        <v>1480</v>
      </c>
      <c r="B655" s="288" t="s">
        <v>1356</v>
      </c>
      <c r="C655" s="288" t="s">
        <v>814</v>
      </c>
      <c r="D655" s="288" t="s">
        <v>818</v>
      </c>
      <c r="E655" s="289">
        <v>10</v>
      </c>
      <c r="F655" s="290">
        <v>9</v>
      </c>
      <c r="G655" s="289">
        <v>1100</v>
      </c>
      <c r="H655" s="289">
        <v>0</v>
      </c>
      <c r="I655" s="289">
        <v>110</v>
      </c>
      <c r="J655" s="289">
        <v>70</v>
      </c>
      <c r="K655" s="289">
        <v>7</v>
      </c>
      <c r="L655" s="289">
        <v>1287</v>
      </c>
    </row>
    <row r="656" spans="1:12">
      <c r="A656" s="288" t="s">
        <v>1481</v>
      </c>
      <c r="B656" s="288" t="s">
        <v>1356</v>
      </c>
      <c r="C656" s="288" t="s">
        <v>814</v>
      </c>
      <c r="D656" s="288" t="s">
        <v>818</v>
      </c>
      <c r="E656" s="289">
        <v>10</v>
      </c>
      <c r="F656" s="290">
        <v>8</v>
      </c>
      <c r="G656" s="289">
        <v>1100</v>
      </c>
      <c r="H656" s="289">
        <v>0</v>
      </c>
      <c r="I656" s="289">
        <v>110</v>
      </c>
      <c r="J656" s="289">
        <v>70</v>
      </c>
      <c r="K656" s="289">
        <v>7</v>
      </c>
      <c r="L656" s="289">
        <v>1287</v>
      </c>
    </row>
    <row r="657" spans="1:12">
      <c r="A657" s="288" t="s">
        <v>1482</v>
      </c>
      <c r="B657" s="288" t="s">
        <v>1356</v>
      </c>
      <c r="C657" s="288" t="s">
        <v>814</v>
      </c>
      <c r="D657" s="288" t="s">
        <v>818</v>
      </c>
      <c r="E657" s="289">
        <v>10</v>
      </c>
      <c r="F657" s="290">
        <v>0</v>
      </c>
      <c r="G657" s="289">
        <v>900</v>
      </c>
      <c r="H657" s="289">
        <v>0</v>
      </c>
      <c r="I657" s="289">
        <v>90</v>
      </c>
      <c r="J657" s="289">
        <v>70</v>
      </c>
      <c r="K657" s="289">
        <v>7</v>
      </c>
      <c r="L657" s="289">
        <v>1067</v>
      </c>
    </row>
    <row r="658" spans="1:12">
      <c r="A658" s="288" t="s">
        <v>1483</v>
      </c>
      <c r="B658" s="288" t="s">
        <v>1356</v>
      </c>
      <c r="C658" s="288" t="s">
        <v>814</v>
      </c>
      <c r="D658" s="288" t="s">
        <v>818</v>
      </c>
      <c r="E658" s="289">
        <v>10</v>
      </c>
      <c r="F658" s="290">
        <v>0</v>
      </c>
      <c r="G658" s="289">
        <v>900</v>
      </c>
      <c r="H658" s="289">
        <v>0</v>
      </c>
      <c r="I658" s="289">
        <v>90</v>
      </c>
      <c r="J658" s="289">
        <v>70</v>
      </c>
      <c r="K658" s="289">
        <v>7</v>
      </c>
      <c r="L658" s="289">
        <v>1067</v>
      </c>
    </row>
    <row r="659" spans="1:12">
      <c r="A659" s="288" t="s">
        <v>1484</v>
      </c>
      <c r="B659" s="288" t="s">
        <v>1356</v>
      </c>
      <c r="C659" s="288" t="s">
        <v>814</v>
      </c>
      <c r="D659" s="288" t="s">
        <v>818</v>
      </c>
      <c r="E659" s="289">
        <v>10</v>
      </c>
      <c r="F659" s="290">
        <v>14</v>
      </c>
      <c r="G659" s="289">
        <v>1100</v>
      </c>
      <c r="H659" s="289">
        <v>440</v>
      </c>
      <c r="I659" s="289">
        <v>154</v>
      </c>
      <c r="J659" s="289">
        <v>70</v>
      </c>
      <c r="K659" s="289">
        <v>7</v>
      </c>
      <c r="L659" s="289">
        <v>1771</v>
      </c>
    </row>
    <row r="660" spans="1:12">
      <c r="A660" s="288" t="s">
        <v>1485</v>
      </c>
      <c r="B660" s="288" t="s">
        <v>1356</v>
      </c>
      <c r="C660" s="288" t="s">
        <v>814</v>
      </c>
      <c r="D660" s="288" t="s">
        <v>818</v>
      </c>
      <c r="E660" s="289">
        <v>10</v>
      </c>
      <c r="F660" s="290">
        <v>54</v>
      </c>
      <c r="G660" s="289">
        <v>1100</v>
      </c>
      <c r="H660" s="289">
        <v>4840</v>
      </c>
      <c r="I660" s="289">
        <v>594</v>
      </c>
      <c r="J660" s="289">
        <v>70</v>
      </c>
      <c r="K660" s="289">
        <v>7</v>
      </c>
      <c r="L660" s="289">
        <v>6611</v>
      </c>
    </row>
    <row r="661" spans="1:12">
      <c r="A661" s="288" t="s">
        <v>1486</v>
      </c>
      <c r="B661" s="288" t="s">
        <v>1356</v>
      </c>
      <c r="C661" s="288" t="s">
        <v>814</v>
      </c>
      <c r="D661" s="288" t="s">
        <v>818</v>
      </c>
      <c r="E661" s="289">
        <v>10</v>
      </c>
      <c r="F661" s="290">
        <v>18</v>
      </c>
      <c r="G661" s="289">
        <v>1100</v>
      </c>
      <c r="H661" s="289">
        <v>880</v>
      </c>
      <c r="I661" s="289">
        <v>198</v>
      </c>
      <c r="J661" s="289">
        <v>70</v>
      </c>
      <c r="K661" s="289">
        <v>7</v>
      </c>
      <c r="L661" s="289">
        <v>2255</v>
      </c>
    </row>
    <row r="662" spans="1:12">
      <c r="A662" s="288" t="s">
        <v>1487</v>
      </c>
      <c r="B662" s="288" t="s">
        <v>1356</v>
      </c>
      <c r="C662" s="288" t="s">
        <v>814</v>
      </c>
      <c r="D662" s="288" t="s">
        <v>818</v>
      </c>
      <c r="E662" s="289">
        <v>10</v>
      </c>
      <c r="F662" s="290">
        <v>10</v>
      </c>
      <c r="G662" s="289">
        <v>1100</v>
      </c>
      <c r="H662" s="289">
        <v>0</v>
      </c>
      <c r="I662" s="289">
        <v>110</v>
      </c>
      <c r="J662" s="289">
        <v>70</v>
      </c>
      <c r="K662" s="289">
        <v>7</v>
      </c>
      <c r="L662" s="289">
        <v>1287</v>
      </c>
    </row>
    <row r="663" spans="1:12">
      <c r="A663" s="288" t="s">
        <v>1488</v>
      </c>
      <c r="B663" s="288" t="s">
        <v>1356</v>
      </c>
      <c r="C663" s="288" t="s">
        <v>814</v>
      </c>
      <c r="D663" s="288" t="s">
        <v>818</v>
      </c>
      <c r="E663" s="289">
        <v>10</v>
      </c>
      <c r="F663" s="290">
        <v>12</v>
      </c>
      <c r="G663" s="289">
        <v>1100</v>
      </c>
      <c r="H663" s="289">
        <v>220</v>
      </c>
      <c r="I663" s="289">
        <v>132</v>
      </c>
      <c r="J663" s="289">
        <v>70</v>
      </c>
      <c r="K663" s="289">
        <v>7</v>
      </c>
      <c r="L663" s="289">
        <v>1529</v>
      </c>
    </row>
    <row r="664" spans="1:12">
      <c r="A664" s="288" t="s">
        <v>1489</v>
      </c>
      <c r="B664" s="288" t="s">
        <v>1356</v>
      </c>
      <c r="C664" s="288" t="s">
        <v>814</v>
      </c>
      <c r="D664" s="288" t="s">
        <v>818</v>
      </c>
      <c r="E664" s="289">
        <v>10</v>
      </c>
      <c r="F664" s="290">
        <v>0</v>
      </c>
      <c r="G664" s="289">
        <v>900</v>
      </c>
      <c r="H664" s="289">
        <v>0</v>
      </c>
      <c r="I664" s="289">
        <v>90</v>
      </c>
      <c r="J664" s="289">
        <v>70</v>
      </c>
      <c r="K664" s="289">
        <v>7</v>
      </c>
      <c r="L664" s="289">
        <v>1067</v>
      </c>
    </row>
    <row r="665" spans="1:12">
      <c r="A665" s="288" t="s">
        <v>1490</v>
      </c>
      <c r="B665" s="288" t="s">
        <v>1356</v>
      </c>
      <c r="C665" s="288" t="s">
        <v>814</v>
      </c>
      <c r="D665" s="288" t="s">
        <v>818</v>
      </c>
      <c r="E665" s="289">
        <v>10</v>
      </c>
      <c r="F665" s="290">
        <v>25</v>
      </c>
      <c r="G665" s="289">
        <v>1100</v>
      </c>
      <c r="H665" s="289">
        <v>1650</v>
      </c>
      <c r="I665" s="289">
        <v>275</v>
      </c>
      <c r="J665" s="289">
        <v>70</v>
      </c>
      <c r="K665" s="289">
        <v>7</v>
      </c>
      <c r="L665" s="289">
        <v>3102</v>
      </c>
    </row>
    <row r="666" spans="1:12">
      <c r="A666" s="288" t="s">
        <v>1491</v>
      </c>
      <c r="B666" s="288" t="s">
        <v>1356</v>
      </c>
      <c r="C666" s="288" t="s">
        <v>814</v>
      </c>
      <c r="D666" s="288" t="s">
        <v>818</v>
      </c>
      <c r="E666" s="289">
        <v>10</v>
      </c>
      <c r="F666" s="290">
        <v>12</v>
      </c>
      <c r="G666" s="289">
        <v>1100</v>
      </c>
      <c r="H666" s="289">
        <v>220</v>
      </c>
      <c r="I666" s="289">
        <v>132</v>
      </c>
      <c r="J666" s="289">
        <v>70</v>
      </c>
      <c r="K666" s="289">
        <v>7</v>
      </c>
      <c r="L666" s="289">
        <v>1529</v>
      </c>
    </row>
    <row r="667" spans="1:12">
      <c r="A667" s="288" t="s">
        <v>1492</v>
      </c>
      <c r="B667" s="288" t="s">
        <v>1356</v>
      </c>
      <c r="C667" s="288" t="s">
        <v>814</v>
      </c>
      <c r="D667" s="288" t="s">
        <v>818</v>
      </c>
      <c r="E667" s="289">
        <v>10</v>
      </c>
      <c r="F667" s="290">
        <v>16</v>
      </c>
      <c r="G667" s="289">
        <v>1100</v>
      </c>
      <c r="H667" s="289">
        <v>660</v>
      </c>
      <c r="I667" s="289">
        <v>176</v>
      </c>
      <c r="J667" s="289">
        <v>70</v>
      </c>
      <c r="K667" s="289">
        <v>7</v>
      </c>
      <c r="L667" s="289">
        <v>2013</v>
      </c>
    </row>
    <row r="668" spans="1:12">
      <c r="A668" s="288" t="s">
        <v>1493</v>
      </c>
      <c r="B668" s="288" t="s">
        <v>1356</v>
      </c>
      <c r="C668" s="288" t="s">
        <v>814</v>
      </c>
      <c r="D668" s="288" t="s">
        <v>818</v>
      </c>
      <c r="E668" s="289">
        <v>10</v>
      </c>
      <c r="F668" s="290">
        <v>7</v>
      </c>
      <c r="G668" s="289">
        <v>1100</v>
      </c>
      <c r="H668" s="289">
        <v>0</v>
      </c>
      <c r="I668" s="289">
        <v>110</v>
      </c>
      <c r="J668" s="289">
        <v>70</v>
      </c>
      <c r="K668" s="289">
        <v>7</v>
      </c>
      <c r="L668" s="289">
        <v>1287</v>
      </c>
    </row>
    <row r="669" spans="1:12">
      <c r="A669" s="288" t="s">
        <v>1494</v>
      </c>
      <c r="B669" s="288" t="s">
        <v>1356</v>
      </c>
      <c r="C669" s="288" t="s">
        <v>814</v>
      </c>
      <c r="D669" s="288" t="s">
        <v>818</v>
      </c>
      <c r="E669" s="289">
        <v>10</v>
      </c>
      <c r="F669" s="290">
        <v>8</v>
      </c>
      <c r="G669" s="289">
        <v>1100</v>
      </c>
      <c r="H669" s="289">
        <v>0</v>
      </c>
      <c r="I669" s="289">
        <v>110</v>
      </c>
      <c r="J669" s="289">
        <v>70</v>
      </c>
      <c r="K669" s="289">
        <v>7</v>
      </c>
      <c r="L669" s="289">
        <v>1287</v>
      </c>
    </row>
    <row r="670" spans="1:12">
      <c r="A670" s="288" t="s">
        <v>1495</v>
      </c>
      <c r="B670" s="288" t="s">
        <v>1356</v>
      </c>
      <c r="C670" s="288" t="s">
        <v>814</v>
      </c>
      <c r="D670" s="288" t="s">
        <v>818</v>
      </c>
      <c r="E670" s="289">
        <v>10</v>
      </c>
      <c r="F670" s="290">
        <v>15</v>
      </c>
      <c r="G670" s="289">
        <v>1100</v>
      </c>
      <c r="H670" s="289">
        <v>550</v>
      </c>
      <c r="I670" s="289">
        <v>165</v>
      </c>
      <c r="J670" s="289">
        <v>70</v>
      </c>
      <c r="K670" s="289">
        <v>7</v>
      </c>
      <c r="L670" s="289">
        <v>1892</v>
      </c>
    </row>
    <row r="671" spans="1:12">
      <c r="A671" s="288" t="s">
        <v>1496</v>
      </c>
      <c r="B671" s="288" t="s">
        <v>1356</v>
      </c>
      <c r="C671" s="288" t="s">
        <v>814</v>
      </c>
      <c r="D671" s="288" t="s">
        <v>818</v>
      </c>
      <c r="E671" s="289">
        <v>10</v>
      </c>
      <c r="F671" s="290">
        <v>12</v>
      </c>
      <c r="G671" s="289">
        <v>1100</v>
      </c>
      <c r="H671" s="289">
        <v>220</v>
      </c>
      <c r="I671" s="289">
        <v>132</v>
      </c>
      <c r="J671" s="289">
        <v>70</v>
      </c>
      <c r="K671" s="289">
        <v>7</v>
      </c>
      <c r="L671" s="289">
        <v>1529</v>
      </c>
    </row>
    <row r="672" spans="1:12">
      <c r="A672" s="288" t="s">
        <v>1497</v>
      </c>
      <c r="B672" s="288" t="s">
        <v>1356</v>
      </c>
      <c r="C672" s="288" t="s">
        <v>814</v>
      </c>
      <c r="D672" s="288" t="s">
        <v>818</v>
      </c>
      <c r="E672" s="289">
        <v>10</v>
      </c>
      <c r="F672" s="290">
        <v>12</v>
      </c>
      <c r="G672" s="289">
        <v>1100</v>
      </c>
      <c r="H672" s="289">
        <v>220</v>
      </c>
      <c r="I672" s="289">
        <v>132</v>
      </c>
      <c r="J672" s="289">
        <v>70</v>
      </c>
      <c r="K672" s="289">
        <v>7</v>
      </c>
      <c r="L672" s="289">
        <v>1529</v>
      </c>
    </row>
    <row r="673" spans="1:12">
      <c r="A673" s="288" t="s">
        <v>1498</v>
      </c>
      <c r="B673" s="288" t="s">
        <v>1356</v>
      </c>
      <c r="C673" s="288" t="s">
        <v>814</v>
      </c>
      <c r="D673" s="288" t="s">
        <v>818</v>
      </c>
      <c r="E673" s="289">
        <v>10</v>
      </c>
      <c r="F673" s="290">
        <v>0</v>
      </c>
      <c r="G673" s="289">
        <v>900</v>
      </c>
      <c r="H673" s="289">
        <v>0</v>
      </c>
      <c r="I673" s="289">
        <v>90</v>
      </c>
      <c r="J673" s="289">
        <v>70</v>
      </c>
      <c r="K673" s="289">
        <v>7</v>
      </c>
      <c r="L673" s="289">
        <v>1067</v>
      </c>
    </row>
    <row r="674" spans="1:12">
      <c r="A674" s="288" t="s">
        <v>1499</v>
      </c>
      <c r="B674" s="288" t="s">
        <v>1356</v>
      </c>
      <c r="C674" s="288" t="s">
        <v>814</v>
      </c>
      <c r="D674" s="288" t="s">
        <v>818</v>
      </c>
      <c r="E674" s="289">
        <v>10</v>
      </c>
      <c r="F674" s="290">
        <v>6</v>
      </c>
      <c r="G674" s="289">
        <v>1100</v>
      </c>
      <c r="H674" s="289">
        <v>0</v>
      </c>
      <c r="I674" s="289">
        <v>110</v>
      </c>
      <c r="J674" s="289">
        <v>70</v>
      </c>
      <c r="K674" s="289">
        <v>7</v>
      </c>
      <c r="L674" s="289">
        <v>1287</v>
      </c>
    </row>
    <row r="675" spans="1:12">
      <c r="A675" s="288" t="s">
        <v>1500</v>
      </c>
      <c r="B675" s="288" t="s">
        <v>1356</v>
      </c>
      <c r="C675" s="288" t="s">
        <v>814</v>
      </c>
      <c r="D675" s="288" t="s">
        <v>818</v>
      </c>
      <c r="E675" s="289">
        <v>10</v>
      </c>
      <c r="F675" s="290">
        <v>33</v>
      </c>
      <c r="G675" s="289">
        <v>1100</v>
      </c>
      <c r="H675" s="289">
        <v>2530</v>
      </c>
      <c r="I675" s="289">
        <v>363</v>
      </c>
      <c r="J675" s="289">
        <v>70</v>
      </c>
      <c r="K675" s="289">
        <v>7</v>
      </c>
      <c r="L675" s="289">
        <v>4070</v>
      </c>
    </row>
    <row r="676" spans="1:12">
      <c r="A676" s="288" t="s">
        <v>1501</v>
      </c>
      <c r="B676" s="288" t="s">
        <v>1356</v>
      </c>
      <c r="C676" s="288" t="s">
        <v>814</v>
      </c>
      <c r="D676" s="288" t="s">
        <v>818</v>
      </c>
      <c r="E676" s="289">
        <v>10</v>
      </c>
      <c r="F676" s="290">
        <v>18</v>
      </c>
      <c r="G676" s="289">
        <v>1100</v>
      </c>
      <c r="H676" s="289">
        <v>880</v>
      </c>
      <c r="I676" s="289">
        <v>198</v>
      </c>
      <c r="J676" s="289">
        <v>70</v>
      </c>
      <c r="K676" s="289">
        <v>7</v>
      </c>
      <c r="L676" s="289">
        <v>2255</v>
      </c>
    </row>
    <row r="677" spans="1:12">
      <c r="A677" s="288" t="s">
        <v>1502</v>
      </c>
      <c r="B677" s="288" t="s">
        <v>1356</v>
      </c>
      <c r="C677" s="288" t="s">
        <v>814</v>
      </c>
      <c r="D677" s="288" t="s">
        <v>818</v>
      </c>
      <c r="E677" s="289">
        <v>10</v>
      </c>
      <c r="F677" s="290">
        <v>23</v>
      </c>
      <c r="G677" s="289">
        <v>1100</v>
      </c>
      <c r="H677" s="289">
        <v>1430</v>
      </c>
      <c r="I677" s="289">
        <v>253</v>
      </c>
      <c r="J677" s="289">
        <v>70</v>
      </c>
      <c r="K677" s="289">
        <v>7</v>
      </c>
      <c r="L677" s="289">
        <v>2860</v>
      </c>
    </row>
    <row r="678" spans="1:12">
      <c r="A678" s="288" t="s">
        <v>1503</v>
      </c>
      <c r="B678" s="288" t="s">
        <v>1356</v>
      </c>
      <c r="C678" s="288" t="s">
        <v>814</v>
      </c>
      <c r="D678" s="288" t="s">
        <v>818</v>
      </c>
      <c r="E678" s="289">
        <v>10</v>
      </c>
      <c r="F678" s="290">
        <v>16</v>
      </c>
      <c r="G678" s="289">
        <v>1100</v>
      </c>
      <c r="H678" s="289">
        <v>660</v>
      </c>
      <c r="I678" s="289">
        <v>176</v>
      </c>
      <c r="J678" s="289">
        <v>70</v>
      </c>
      <c r="K678" s="289">
        <v>7</v>
      </c>
      <c r="L678" s="289">
        <v>2013</v>
      </c>
    </row>
    <row r="679" spans="1:12">
      <c r="A679" s="288" t="s">
        <v>1504</v>
      </c>
      <c r="B679" s="288" t="s">
        <v>1356</v>
      </c>
      <c r="C679" s="288" t="s">
        <v>814</v>
      </c>
      <c r="D679" s="288" t="s">
        <v>818</v>
      </c>
      <c r="E679" s="289">
        <v>10</v>
      </c>
      <c r="F679" s="290">
        <v>18</v>
      </c>
      <c r="G679" s="289">
        <v>1100</v>
      </c>
      <c r="H679" s="289">
        <v>880</v>
      </c>
      <c r="I679" s="289">
        <v>198</v>
      </c>
      <c r="J679" s="289">
        <v>70</v>
      </c>
      <c r="K679" s="289">
        <v>7</v>
      </c>
      <c r="L679" s="289">
        <v>2255</v>
      </c>
    </row>
    <row r="680" spans="1:12">
      <c r="A680" s="288" t="s">
        <v>1505</v>
      </c>
      <c r="B680" s="288" t="s">
        <v>1356</v>
      </c>
      <c r="C680" s="288" t="s">
        <v>814</v>
      </c>
      <c r="D680" s="288" t="s">
        <v>818</v>
      </c>
      <c r="E680" s="289">
        <v>10</v>
      </c>
      <c r="F680" s="290">
        <v>12</v>
      </c>
      <c r="G680" s="289">
        <v>1100</v>
      </c>
      <c r="H680" s="289">
        <v>220</v>
      </c>
      <c r="I680" s="289">
        <v>132</v>
      </c>
      <c r="J680" s="289">
        <v>70</v>
      </c>
      <c r="K680" s="289">
        <v>7</v>
      </c>
      <c r="L680" s="289">
        <v>1529</v>
      </c>
    </row>
    <row r="681" spans="1:12">
      <c r="A681" s="288" t="s">
        <v>1506</v>
      </c>
      <c r="B681" s="288" t="s">
        <v>1356</v>
      </c>
      <c r="C681" s="288" t="s">
        <v>820</v>
      </c>
      <c r="D681" s="288" t="s">
        <v>818</v>
      </c>
      <c r="E681" s="289">
        <v>10</v>
      </c>
      <c r="F681" s="290">
        <v>3</v>
      </c>
      <c r="G681" s="289">
        <v>900</v>
      </c>
      <c r="H681" s="289">
        <v>0</v>
      </c>
      <c r="I681" s="289">
        <v>90</v>
      </c>
      <c r="J681" s="289">
        <v>70</v>
      </c>
      <c r="K681" s="289">
        <v>7</v>
      </c>
      <c r="L681" s="289">
        <v>1067</v>
      </c>
    </row>
    <row r="682" spans="1:12">
      <c r="A682" s="288" t="s">
        <v>1507</v>
      </c>
      <c r="B682" s="288" t="s">
        <v>1356</v>
      </c>
      <c r="C682" s="288" t="s">
        <v>814</v>
      </c>
      <c r="D682" s="288" t="s">
        <v>818</v>
      </c>
      <c r="E682" s="289">
        <v>10</v>
      </c>
      <c r="F682" s="290">
        <v>12</v>
      </c>
      <c r="G682" s="289">
        <v>1100</v>
      </c>
      <c r="H682" s="289">
        <v>220</v>
      </c>
      <c r="I682" s="289">
        <v>132</v>
      </c>
      <c r="J682" s="289">
        <v>70</v>
      </c>
      <c r="K682" s="289">
        <v>7</v>
      </c>
      <c r="L682" s="289">
        <v>1529</v>
      </c>
    </row>
    <row r="683" spans="1:12">
      <c r="A683" s="288" t="s">
        <v>1508</v>
      </c>
      <c r="B683" s="288" t="s">
        <v>1356</v>
      </c>
      <c r="C683" s="288" t="s">
        <v>814</v>
      </c>
      <c r="D683" s="288" t="s">
        <v>818</v>
      </c>
      <c r="E683" s="289">
        <v>10</v>
      </c>
      <c r="F683" s="290">
        <v>19</v>
      </c>
      <c r="G683" s="289">
        <v>1100</v>
      </c>
      <c r="H683" s="289">
        <v>990</v>
      </c>
      <c r="I683" s="289">
        <v>209</v>
      </c>
      <c r="J683" s="289">
        <v>70</v>
      </c>
      <c r="K683" s="289">
        <v>7</v>
      </c>
      <c r="L683" s="289">
        <v>2376</v>
      </c>
    </row>
    <row r="684" spans="1:12">
      <c r="A684" s="288" t="s">
        <v>1509</v>
      </c>
      <c r="B684" s="288" t="s">
        <v>1356</v>
      </c>
      <c r="C684" s="288" t="s">
        <v>814</v>
      </c>
      <c r="D684" s="288" t="s">
        <v>818</v>
      </c>
      <c r="E684" s="289">
        <v>10</v>
      </c>
      <c r="F684" s="290">
        <v>47</v>
      </c>
      <c r="G684" s="289">
        <v>1100</v>
      </c>
      <c r="H684" s="289">
        <v>4070</v>
      </c>
      <c r="I684" s="289">
        <v>517</v>
      </c>
      <c r="J684" s="289">
        <v>70</v>
      </c>
      <c r="K684" s="289">
        <v>7</v>
      </c>
      <c r="L684" s="289">
        <v>5764</v>
      </c>
    </row>
    <row r="685" spans="1:12">
      <c r="A685" s="288" t="s">
        <v>1510</v>
      </c>
      <c r="B685" s="288" t="s">
        <v>1356</v>
      </c>
      <c r="C685" s="288" t="s">
        <v>814</v>
      </c>
      <c r="D685" s="288" t="s">
        <v>818</v>
      </c>
      <c r="E685" s="289">
        <v>10</v>
      </c>
      <c r="F685" s="290">
        <v>10</v>
      </c>
      <c r="G685" s="289">
        <v>1100</v>
      </c>
      <c r="H685" s="289">
        <v>0</v>
      </c>
      <c r="I685" s="289">
        <v>110</v>
      </c>
      <c r="J685" s="289">
        <v>70</v>
      </c>
      <c r="K685" s="289">
        <v>7</v>
      </c>
      <c r="L685" s="289">
        <v>1287</v>
      </c>
    </row>
    <row r="686" spans="1:12">
      <c r="A686" s="288" t="s">
        <v>1511</v>
      </c>
      <c r="B686" s="288" t="s">
        <v>1356</v>
      </c>
      <c r="C686" s="288" t="s">
        <v>814</v>
      </c>
      <c r="D686" s="288" t="s">
        <v>818</v>
      </c>
      <c r="E686" s="289">
        <v>10</v>
      </c>
      <c r="F686" s="290">
        <v>8</v>
      </c>
      <c r="G686" s="289">
        <v>1100</v>
      </c>
      <c r="H686" s="289">
        <v>0</v>
      </c>
      <c r="I686" s="289">
        <v>110</v>
      </c>
      <c r="J686" s="289">
        <v>70</v>
      </c>
      <c r="K686" s="289">
        <v>7</v>
      </c>
      <c r="L686" s="289">
        <v>1287</v>
      </c>
    </row>
    <row r="687" spans="1:12">
      <c r="A687" s="288" t="s">
        <v>1512</v>
      </c>
      <c r="B687" s="288" t="s">
        <v>1356</v>
      </c>
      <c r="C687" s="288" t="s">
        <v>814</v>
      </c>
      <c r="D687" s="288" t="s">
        <v>818</v>
      </c>
      <c r="E687" s="289">
        <v>10</v>
      </c>
      <c r="F687" s="290">
        <v>25</v>
      </c>
      <c r="G687" s="289">
        <v>1100</v>
      </c>
      <c r="H687" s="289">
        <v>1650</v>
      </c>
      <c r="I687" s="289">
        <v>275</v>
      </c>
      <c r="J687" s="289">
        <v>70</v>
      </c>
      <c r="K687" s="289">
        <v>7</v>
      </c>
      <c r="L687" s="289">
        <v>3102</v>
      </c>
    </row>
    <row r="688" spans="1:12">
      <c r="A688" s="288" t="s">
        <v>1513</v>
      </c>
      <c r="B688" s="288" t="s">
        <v>1356</v>
      </c>
      <c r="C688" s="288" t="s">
        <v>814</v>
      </c>
      <c r="D688" s="288" t="s">
        <v>818</v>
      </c>
      <c r="E688" s="289">
        <v>10</v>
      </c>
      <c r="F688" s="290">
        <v>20</v>
      </c>
      <c r="G688" s="289">
        <v>1100</v>
      </c>
      <c r="H688" s="289">
        <v>1100</v>
      </c>
      <c r="I688" s="289">
        <v>220</v>
      </c>
      <c r="J688" s="289">
        <v>70</v>
      </c>
      <c r="K688" s="289">
        <v>7</v>
      </c>
      <c r="L688" s="289">
        <v>2497</v>
      </c>
    </row>
    <row r="689" spans="1:12">
      <c r="A689" s="288" t="s">
        <v>1514</v>
      </c>
      <c r="B689" s="288" t="s">
        <v>1356</v>
      </c>
      <c r="C689" s="288" t="s">
        <v>814</v>
      </c>
      <c r="D689" s="288" t="s">
        <v>818</v>
      </c>
      <c r="E689" s="289">
        <v>10</v>
      </c>
      <c r="F689" s="290">
        <v>12</v>
      </c>
      <c r="G689" s="289">
        <v>1100</v>
      </c>
      <c r="H689" s="289">
        <v>220</v>
      </c>
      <c r="I689" s="289">
        <v>132</v>
      </c>
      <c r="J689" s="289">
        <v>70</v>
      </c>
      <c r="K689" s="289">
        <v>7</v>
      </c>
      <c r="L689" s="289">
        <v>1529</v>
      </c>
    </row>
    <row r="690" spans="1:12">
      <c r="A690" s="288" t="s">
        <v>1515</v>
      </c>
      <c r="B690" s="288" t="s">
        <v>1356</v>
      </c>
      <c r="C690" s="288" t="s">
        <v>814</v>
      </c>
      <c r="D690" s="288" t="s">
        <v>818</v>
      </c>
      <c r="E690" s="289">
        <v>10</v>
      </c>
      <c r="F690" s="290">
        <v>13</v>
      </c>
      <c r="G690" s="289">
        <v>1100</v>
      </c>
      <c r="H690" s="289">
        <v>330</v>
      </c>
      <c r="I690" s="289">
        <v>143</v>
      </c>
      <c r="J690" s="289">
        <v>70</v>
      </c>
      <c r="K690" s="289">
        <v>7</v>
      </c>
      <c r="L690" s="289">
        <v>1650</v>
      </c>
    </row>
    <row r="691" spans="1:12">
      <c r="A691" s="288" t="s">
        <v>1516</v>
      </c>
      <c r="B691" s="288" t="s">
        <v>1356</v>
      </c>
      <c r="C691" s="288" t="s">
        <v>814</v>
      </c>
      <c r="D691" s="288" t="s">
        <v>818</v>
      </c>
      <c r="E691" s="289">
        <v>10</v>
      </c>
      <c r="F691" s="290">
        <v>15</v>
      </c>
      <c r="G691" s="289">
        <v>1100</v>
      </c>
      <c r="H691" s="289">
        <v>550</v>
      </c>
      <c r="I691" s="289">
        <v>165</v>
      </c>
      <c r="J691" s="289">
        <v>70</v>
      </c>
      <c r="K691" s="289">
        <v>7</v>
      </c>
      <c r="L691" s="289">
        <v>1892</v>
      </c>
    </row>
    <row r="692" spans="1:12">
      <c r="A692" s="288" t="s">
        <v>1517</v>
      </c>
      <c r="B692" s="288" t="s">
        <v>1356</v>
      </c>
      <c r="C692" s="288" t="s">
        <v>814</v>
      </c>
      <c r="D692" s="288" t="s">
        <v>815</v>
      </c>
      <c r="E692" s="289">
        <v>10</v>
      </c>
      <c r="F692" s="290">
        <v>0</v>
      </c>
      <c r="G692" s="289">
        <v>900</v>
      </c>
      <c r="H692" s="289">
        <v>0</v>
      </c>
      <c r="I692" s="289">
        <v>90</v>
      </c>
      <c r="J692" s="289">
        <v>50</v>
      </c>
      <c r="K692" s="289">
        <v>5</v>
      </c>
      <c r="L692" s="289">
        <v>1045</v>
      </c>
    </row>
    <row r="693" spans="1:12">
      <c r="A693" s="288" t="s">
        <v>1518</v>
      </c>
      <c r="B693" s="288" t="s">
        <v>1356</v>
      </c>
      <c r="C693" s="288" t="s">
        <v>814</v>
      </c>
      <c r="D693" s="288" t="s">
        <v>818</v>
      </c>
      <c r="E693" s="289">
        <v>10</v>
      </c>
      <c r="F693" s="290">
        <v>19</v>
      </c>
      <c r="G693" s="289">
        <v>1100</v>
      </c>
      <c r="H693" s="289">
        <v>990</v>
      </c>
      <c r="I693" s="289">
        <v>209</v>
      </c>
      <c r="J693" s="289">
        <v>70</v>
      </c>
      <c r="K693" s="289">
        <v>7</v>
      </c>
      <c r="L693" s="289">
        <v>2376</v>
      </c>
    </row>
    <row r="694" spans="1:12">
      <c r="A694" s="288" t="s">
        <v>1519</v>
      </c>
      <c r="B694" s="288" t="s">
        <v>1356</v>
      </c>
      <c r="C694" s="288" t="s">
        <v>814</v>
      </c>
      <c r="D694" s="288" t="s">
        <v>818</v>
      </c>
      <c r="E694" s="289">
        <v>10</v>
      </c>
      <c r="F694" s="290">
        <v>24</v>
      </c>
      <c r="G694" s="289">
        <v>1100</v>
      </c>
      <c r="H694" s="289">
        <v>1540</v>
      </c>
      <c r="I694" s="289">
        <v>264</v>
      </c>
      <c r="J694" s="289">
        <v>70</v>
      </c>
      <c r="K694" s="289">
        <v>7</v>
      </c>
      <c r="L694" s="289">
        <v>2981</v>
      </c>
    </row>
    <row r="695" spans="1:12">
      <c r="A695" s="288" t="s">
        <v>1520</v>
      </c>
      <c r="B695" s="288" t="s">
        <v>1356</v>
      </c>
      <c r="C695" s="288" t="s">
        <v>814</v>
      </c>
      <c r="D695" s="288" t="s">
        <v>818</v>
      </c>
      <c r="E695" s="289">
        <v>10</v>
      </c>
      <c r="F695" s="290">
        <v>15</v>
      </c>
      <c r="G695" s="289">
        <v>1100</v>
      </c>
      <c r="H695" s="289">
        <v>550</v>
      </c>
      <c r="I695" s="289">
        <v>165</v>
      </c>
      <c r="J695" s="289">
        <v>70</v>
      </c>
      <c r="K695" s="289">
        <v>7</v>
      </c>
      <c r="L695" s="289">
        <v>1892</v>
      </c>
    </row>
    <row r="696" spans="1:12">
      <c r="A696" s="288" t="s">
        <v>1521</v>
      </c>
      <c r="B696" s="288" t="s">
        <v>1356</v>
      </c>
      <c r="C696" s="288" t="s">
        <v>814</v>
      </c>
      <c r="D696" s="288" t="s">
        <v>818</v>
      </c>
      <c r="E696" s="289">
        <v>10</v>
      </c>
      <c r="F696" s="290">
        <v>31</v>
      </c>
      <c r="G696" s="289">
        <v>1100</v>
      </c>
      <c r="H696" s="289">
        <v>2310</v>
      </c>
      <c r="I696" s="289">
        <v>341</v>
      </c>
      <c r="J696" s="289">
        <v>70</v>
      </c>
      <c r="K696" s="289">
        <v>7</v>
      </c>
      <c r="L696" s="289">
        <v>3828</v>
      </c>
    </row>
    <row r="697" spans="1:12">
      <c r="A697" s="288" t="s">
        <v>1522</v>
      </c>
      <c r="B697" s="288" t="s">
        <v>1356</v>
      </c>
      <c r="C697" s="288" t="s">
        <v>814</v>
      </c>
      <c r="D697" s="288" t="s">
        <v>818</v>
      </c>
      <c r="E697" s="289">
        <v>10</v>
      </c>
      <c r="F697" s="290">
        <v>5</v>
      </c>
      <c r="G697" s="289">
        <v>900</v>
      </c>
      <c r="H697" s="289">
        <v>0</v>
      </c>
      <c r="I697" s="289">
        <v>90</v>
      </c>
      <c r="J697" s="289">
        <v>70</v>
      </c>
      <c r="K697" s="289">
        <v>7</v>
      </c>
      <c r="L697" s="289">
        <v>1067</v>
      </c>
    </row>
    <row r="698" spans="1:12">
      <c r="A698" s="288" t="s">
        <v>1523</v>
      </c>
      <c r="B698" s="288" t="s">
        <v>1356</v>
      </c>
      <c r="C698" s="288" t="s">
        <v>814</v>
      </c>
      <c r="D698" s="288" t="s">
        <v>818</v>
      </c>
      <c r="E698" s="289">
        <v>10</v>
      </c>
      <c r="F698" s="290">
        <v>7</v>
      </c>
      <c r="G698" s="289">
        <v>1100</v>
      </c>
      <c r="H698" s="289">
        <v>0</v>
      </c>
      <c r="I698" s="289">
        <v>110</v>
      </c>
      <c r="J698" s="289">
        <v>70</v>
      </c>
      <c r="K698" s="289">
        <v>7</v>
      </c>
      <c r="L698" s="289">
        <v>1287</v>
      </c>
    </row>
    <row r="699" spans="1:12">
      <c r="A699" s="288" t="s">
        <v>1524</v>
      </c>
      <c r="B699" s="288" t="s">
        <v>1356</v>
      </c>
      <c r="C699" s="288" t="s">
        <v>814</v>
      </c>
      <c r="D699" s="288" t="s">
        <v>818</v>
      </c>
      <c r="E699" s="289">
        <v>10</v>
      </c>
      <c r="F699" s="290">
        <v>20</v>
      </c>
      <c r="G699" s="289">
        <v>1100</v>
      </c>
      <c r="H699" s="289">
        <v>1100</v>
      </c>
      <c r="I699" s="289">
        <v>220</v>
      </c>
      <c r="J699" s="289">
        <v>70</v>
      </c>
      <c r="K699" s="289">
        <v>7</v>
      </c>
      <c r="L699" s="289">
        <v>2497</v>
      </c>
    </row>
    <row r="700" spans="1:12">
      <c r="A700" s="288" t="s">
        <v>1525</v>
      </c>
      <c r="B700" s="288" t="s">
        <v>1356</v>
      </c>
      <c r="C700" s="288" t="s">
        <v>814</v>
      </c>
      <c r="D700" s="288" t="s">
        <v>818</v>
      </c>
      <c r="E700" s="289">
        <v>10</v>
      </c>
      <c r="F700" s="290">
        <v>13</v>
      </c>
      <c r="G700" s="289">
        <v>1100</v>
      </c>
      <c r="H700" s="289">
        <v>330</v>
      </c>
      <c r="I700" s="289">
        <v>143</v>
      </c>
      <c r="J700" s="289">
        <v>70</v>
      </c>
      <c r="K700" s="289">
        <v>7</v>
      </c>
      <c r="L700" s="289">
        <v>1650</v>
      </c>
    </row>
    <row r="701" spans="1:12">
      <c r="A701" s="288" t="s">
        <v>1526</v>
      </c>
      <c r="B701" s="288" t="s">
        <v>1356</v>
      </c>
      <c r="C701" s="288" t="s">
        <v>814</v>
      </c>
      <c r="D701" s="288" t="s">
        <v>818</v>
      </c>
      <c r="E701" s="289">
        <v>10</v>
      </c>
      <c r="F701" s="290">
        <v>19</v>
      </c>
      <c r="G701" s="289">
        <v>1100</v>
      </c>
      <c r="H701" s="289">
        <v>990</v>
      </c>
      <c r="I701" s="289">
        <v>209</v>
      </c>
      <c r="J701" s="289">
        <v>70</v>
      </c>
      <c r="K701" s="289">
        <v>7</v>
      </c>
      <c r="L701" s="289">
        <v>2376</v>
      </c>
    </row>
    <row r="702" spans="1:12">
      <c r="A702" s="288" t="s">
        <v>1527</v>
      </c>
      <c r="B702" s="288" t="s">
        <v>1356</v>
      </c>
      <c r="C702" s="288" t="s">
        <v>814</v>
      </c>
      <c r="D702" s="288" t="s">
        <v>818</v>
      </c>
      <c r="E702" s="289">
        <v>10</v>
      </c>
      <c r="F702" s="290">
        <v>11</v>
      </c>
      <c r="G702" s="289">
        <v>1100</v>
      </c>
      <c r="H702" s="289">
        <v>110</v>
      </c>
      <c r="I702" s="289">
        <v>121</v>
      </c>
      <c r="J702" s="289">
        <v>70</v>
      </c>
      <c r="K702" s="289">
        <v>7</v>
      </c>
      <c r="L702" s="289">
        <v>1408</v>
      </c>
    </row>
    <row r="703" spans="1:12">
      <c r="A703" s="288" t="s">
        <v>1528</v>
      </c>
      <c r="B703" s="288" t="s">
        <v>1356</v>
      </c>
      <c r="C703" s="288" t="s">
        <v>814</v>
      </c>
      <c r="D703" s="288" t="s">
        <v>818</v>
      </c>
      <c r="E703" s="289">
        <v>10</v>
      </c>
      <c r="F703" s="290">
        <v>40</v>
      </c>
      <c r="G703" s="289">
        <v>1100</v>
      </c>
      <c r="H703" s="289">
        <v>3300</v>
      </c>
      <c r="I703" s="289">
        <v>440</v>
      </c>
      <c r="J703" s="289">
        <v>70</v>
      </c>
      <c r="K703" s="289">
        <v>7</v>
      </c>
      <c r="L703" s="289">
        <v>4917</v>
      </c>
    </row>
    <row r="704" spans="1:12">
      <c r="A704" s="288" t="s">
        <v>1529</v>
      </c>
      <c r="B704" s="288" t="s">
        <v>1356</v>
      </c>
      <c r="C704" s="288" t="s">
        <v>814</v>
      </c>
      <c r="D704" s="288" t="s">
        <v>818</v>
      </c>
      <c r="E704" s="289">
        <v>10</v>
      </c>
      <c r="F704" s="290">
        <v>17</v>
      </c>
      <c r="G704" s="289">
        <v>1100</v>
      </c>
      <c r="H704" s="289">
        <v>770</v>
      </c>
      <c r="I704" s="289">
        <v>187</v>
      </c>
      <c r="J704" s="289">
        <v>70</v>
      </c>
      <c r="K704" s="289">
        <v>7</v>
      </c>
      <c r="L704" s="289">
        <v>2134</v>
      </c>
    </row>
    <row r="705" spans="1:12">
      <c r="A705" s="288" t="s">
        <v>1530</v>
      </c>
      <c r="B705" s="288" t="s">
        <v>1356</v>
      </c>
      <c r="C705" s="288" t="s">
        <v>814</v>
      </c>
      <c r="D705" s="288" t="s">
        <v>818</v>
      </c>
      <c r="E705" s="289">
        <v>10</v>
      </c>
      <c r="F705" s="290">
        <v>26</v>
      </c>
      <c r="G705" s="289">
        <v>1100</v>
      </c>
      <c r="H705" s="289">
        <v>1760</v>
      </c>
      <c r="I705" s="289">
        <v>286</v>
      </c>
      <c r="J705" s="289">
        <v>70</v>
      </c>
      <c r="K705" s="289">
        <v>7</v>
      </c>
      <c r="L705" s="289">
        <v>3223</v>
      </c>
    </row>
    <row r="706" spans="1:12">
      <c r="A706" s="288" t="s">
        <v>1531</v>
      </c>
      <c r="B706" s="288" t="s">
        <v>1356</v>
      </c>
      <c r="C706" s="288" t="s">
        <v>814</v>
      </c>
      <c r="D706" s="288" t="s">
        <v>818</v>
      </c>
      <c r="E706" s="289">
        <v>10</v>
      </c>
      <c r="F706" s="290">
        <v>15</v>
      </c>
      <c r="G706" s="289">
        <v>1100</v>
      </c>
      <c r="H706" s="289">
        <v>550</v>
      </c>
      <c r="I706" s="289">
        <v>165</v>
      </c>
      <c r="J706" s="289">
        <v>70</v>
      </c>
      <c r="K706" s="289">
        <v>7</v>
      </c>
      <c r="L706" s="289">
        <v>1892</v>
      </c>
    </row>
    <row r="707" spans="1:12">
      <c r="A707" s="288" t="s">
        <v>1532</v>
      </c>
      <c r="B707" s="288" t="s">
        <v>1356</v>
      </c>
      <c r="C707" s="288" t="s">
        <v>814</v>
      </c>
      <c r="D707" s="288" t="s">
        <v>818</v>
      </c>
      <c r="E707" s="289">
        <v>10</v>
      </c>
      <c r="F707" s="290">
        <v>12</v>
      </c>
      <c r="G707" s="289">
        <v>1100</v>
      </c>
      <c r="H707" s="289">
        <v>220</v>
      </c>
      <c r="I707" s="289">
        <v>132</v>
      </c>
      <c r="J707" s="289">
        <v>70</v>
      </c>
      <c r="K707" s="289">
        <v>7</v>
      </c>
      <c r="L707" s="289">
        <v>1529</v>
      </c>
    </row>
    <row r="708" spans="1:12">
      <c r="A708" s="288" t="s">
        <v>1533</v>
      </c>
      <c r="B708" s="288" t="s">
        <v>1356</v>
      </c>
      <c r="C708" s="288" t="s">
        <v>814</v>
      </c>
      <c r="D708" s="288" t="s">
        <v>818</v>
      </c>
      <c r="E708" s="289">
        <v>10</v>
      </c>
      <c r="F708" s="290">
        <v>41</v>
      </c>
      <c r="G708" s="289">
        <v>1100</v>
      </c>
      <c r="H708" s="289">
        <v>3410</v>
      </c>
      <c r="I708" s="289">
        <v>451</v>
      </c>
      <c r="J708" s="289">
        <v>70</v>
      </c>
      <c r="K708" s="289">
        <v>7</v>
      </c>
      <c r="L708" s="289">
        <v>5038</v>
      </c>
    </row>
    <row r="709" spans="1:12">
      <c r="A709" s="288" t="s">
        <v>1534</v>
      </c>
      <c r="B709" s="288" t="s">
        <v>1356</v>
      </c>
      <c r="C709" s="288" t="s">
        <v>814</v>
      </c>
      <c r="D709" s="288" t="s">
        <v>818</v>
      </c>
      <c r="E709" s="289">
        <v>10</v>
      </c>
      <c r="F709" s="290">
        <v>1</v>
      </c>
      <c r="G709" s="289">
        <v>900</v>
      </c>
      <c r="H709" s="289">
        <v>0</v>
      </c>
      <c r="I709" s="289">
        <v>90</v>
      </c>
      <c r="J709" s="289">
        <v>70</v>
      </c>
      <c r="K709" s="289">
        <v>7</v>
      </c>
      <c r="L709" s="289">
        <v>1067</v>
      </c>
    </row>
    <row r="710" spans="1:12">
      <c r="A710" s="288" t="s">
        <v>1535</v>
      </c>
      <c r="B710" s="288" t="s">
        <v>1356</v>
      </c>
      <c r="C710" s="288" t="s">
        <v>814</v>
      </c>
      <c r="D710" s="288" t="s">
        <v>818</v>
      </c>
      <c r="E710" s="289">
        <v>10</v>
      </c>
      <c r="F710" s="290">
        <v>10</v>
      </c>
      <c r="G710" s="289">
        <v>1100</v>
      </c>
      <c r="H710" s="289">
        <v>0</v>
      </c>
      <c r="I710" s="289">
        <v>110</v>
      </c>
      <c r="J710" s="289">
        <v>70</v>
      </c>
      <c r="K710" s="289">
        <v>7</v>
      </c>
      <c r="L710" s="289">
        <v>1287</v>
      </c>
    </row>
    <row r="711" spans="1:12">
      <c r="A711" s="288" t="s">
        <v>1536</v>
      </c>
      <c r="B711" s="288" t="s">
        <v>1356</v>
      </c>
      <c r="C711" s="288" t="s">
        <v>814</v>
      </c>
      <c r="D711" s="288" t="s">
        <v>818</v>
      </c>
      <c r="E711" s="289">
        <v>10</v>
      </c>
      <c r="F711" s="290">
        <v>7</v>
      </c>
      <c r="G711" s="289">
        <v>1100</v>
      </c>
      <c r="H711" s="289">
        <v>0</v>
      </c>
      <c r="I711" s="289">
        <v>110</v>
      </c>
      <c r="J711" s="289">
        <v>70</v>
      </c>
      <c r="K711" s="289">
        <v>7</v>
      </c>
      <c r="L711" s="289">
        <v>1287</v>
      </c>
    </row>
    <row r="712" spans="1:12">
      <c r="A712" s="288" t="s">
        <v>1537</v>
      </c>
      <c r="B712" s="288" t="s">
        <v>1356</v>
      </c>
      <c r="C712" s="288" t="s">
        <v>814</v>
      </c>
      <c r="D712" s="288" t="s">
        <v>818</v>
      </c>
      <c r="E712" s="289">
        <v>10</v>
      </c>
      <c r="F712" s="290">
        <v>11</v>
      </c>
      <c r="G712" s="289">
        <v>1100</v>
      </c>
      <c r="H712" s="289">
        <v>110</v>
      </c>
      <c r="I712" s="289">
        <v>121</v>
      </c>
      <c r="J712" s="289">
        <v>70</v>
      </c>
      <c r="K712" s="289">
        <v>7</v>
      </c>
      <c r="L712" s="289">
        <v>1408</v>
      </c>
    </row>
    <row r="713" spans="1:12">
      <c r="A713" s="288" t="s">
        <v>1538</v>
      </c>
      <c r="B713" s="288" t="s">
        <v>1356</v>
      </c>
      <c r="C713" s="288" t="s">
        <v>814</v>
      </c>
      <c r="D713" s="288" t="s">
        <v>818</v>
      </c>
      <c r="E713" s="289">
        <v>10</v>
      </c>
      <c r="F713" s="290">
        <v>5</v>
      </c>
      <c r="G713" s="289">
        <v>900</v>
      </c>
      <c r="H713" s="289">
        <v>0</v>
      </c>
      <c r="I713" s="289">
        <v>90</v>
      </c>
      <c r="J713" s="289">
        <v>70</v>
      </c>
      <c r="K713" s="289">
        <v>7</v>
      </c>
      <c r="L713" s="289">
        <v>1067</v>
      </c>
    </row>
    <row r="714" spans="1:12">
      <c r="A714" s="288" t="s">
        <v>1539</v>
      </c>
      <c r="B714" s="288" t="s">
        <v>1356</v>
      </c>
      <c r="C714" s="288" t="s">
        <v>814</v>
      </c>
      <c r="D714" s="288" t="s">
        <v>818</v>
      </c>
      <c r="E714" s="289">
        <v>10</v>
      </c>
      <c r="F714" s="290">
        <v>23</v>
      </c>
      <c r="G714" s="289">
        <v>1100</v>
      </c>
      <c r="H714" s="289">
        <v>1430</v>
      </c>
      <c r="I714" s="289">
        <v>253</v>
      </c>
      <c r="J714" s="289">
        <v>70</v>
      </c>
      <c r="K714" s="289">
        <v>7</v>
      </c>
      <c r="L714" s="289">
        <v>2860</v>
      </c>
    </row>
    <row r="715" spans="1:12">
      <c r="A715" s="288" t="s">
        <v>1540</v>
      </c>
      <c r="B715" s="288" t="s">
        <v>1356</v>
      </c>
      <c r="C715" s="288" t="s">
        <v>814</v>
      </c>
      <c r="D715" s="288" t="s">
        <v>818</v>
      </c>
      <c r="E715" s="289">
        <v>10</v>
      </c>
      <c r="F715" s="290">
        <v>6</v>
      </c>
      <c r="G715" s="289">
        <v>1100</v>
      </c>
      <c r="H715" s="289">
        <v>0</v>
      </c>
      <c r="I715" s="289">
        <v>110</v>
      </c>
      <c r="J715" s="289">
        <v>70</v>
      </c>
      <c r="K715" s="289">
        <v>7</v>
      </c>
      <c r="L715" s="289">
        <v>1287</v>
      </c>
    </row>
    <row r="716" spans="1:12">
      <c r="A716" s="288" t="s">
        <v>1541</v>
      </c>
      <c r="B716" s="288" t="s">
        <v>1356</v>
      </c>
      <c r="C716" s="288" t="s">
        <v>814</v>
      </c>
      <c r="D716" s="288" t="s">
        <v>818</v>
      </c>
      <c r="E716" s="289">
        <v>10</v>
      </c>
      <c r="F716" s="290">
        <v>12</v>
      </c>
      <c r="G716" s="289">
        <v>1100</v>
      </c>
      <c r="H716" s="289">
        <v>220</v>
      </c>
      <c r="I716" s="289">
        <v>132</v>
      </c>
      <c r="J716" s="289">
        <v>70</v>
      </c>
      <c r="K716" s="289">
        <v>7</v>
      </c>
      <c r="L716" s="289">
        <v>1529</v>
      </c>
    </row>
    <row r="717" spans="1:12">
      <c r="A717" s="288" t="s">
        <v>1542</v>
      </c>
      <c r="B717" s="288" t="s">
        <v>1356</v>
      </c>
      <c r="C717" s="288" t="s">
        <v>814</v>
      </c>
      <c r="D717" s="288" t="s">
        <v>818</v>
      </c>
      <c r="E717" s="289">
        <v>10</v>
      </c>
      <c r="F717" s="290">
        <v>22</v>
      </c>
      <c r="G717" s="289">
        <v>1100</v>
      </c>
      <c r="H717" s="289">
        <v>1320</v>
      </c>
      <c r="I717" s="289">
        <v>242</v>
      </c>
      <c r="J717" s="289">
        <v>70</v>
      </c>
      <c r="K717" s="289">
        <v>7</v>
      </c>
      <c r="L717" s="289">
        <v>2739</v>
      </c>
    </row>
    <row r="718" spans="1:12">
      <c r="A718" s="288" t="s">
        <v>1543</v>
      </c>
      <c r="B718" s="288" t="s">
        <v>1356</v>
      </c>
      <c r="C718" s="288" t="s">
        <v>814</v>
      </c>
      <c r="D718" s="288" t="s">
        <v>818</v>
      </c>
      <c r="E718" s="289">
        <v>10</v>
      </c>
      <c r="F718" s="290">
        <v>27</v>
      </c>
      <c r="G718" s="289">
        <v>1100</v>
      </c>
      <c r="H718" s="289">
        <v>1870</v>
      </c>
      <c r="I718" s="289">
        <v>297</v>
      </c>
      <c r="J718" s="289">
        <v>70</v>
      </c>
      <c r="K718" s="289">
        <v>7</v>
      </c>
      <c r="L718" s="289">
        <v>3344</v>
      </c>
    </row>
    <row r="719" spans="1:12">
      <c r="A719" s="288" t="s">
        <v>1544</v>
      </c>
      <c r="B719" s="288" t="s">
        <v>1356</v>
      </c>
      <c r="C719" s="288" t="s">
        <v>814</v>
      </c>
      <c r="D719" s="288" t="s">
        <v>818</v>
      </c>
      <c r="E719" s="289">
        <v>10</v>
      </c>
      <c r="F719" s="290">
        <v>6</v>
      </c>
      <c r="G719" s="289">
        <v>1100</v>
      </c>
      <c r="H719" s="289">
        <v>0</v>
      </c>
      <c r="I719" s="289">
        <v>110</v>
      </c>
      <c r="J719" s="289">
        <v>70</v>
      </c>
      <c r="K719" s="289">
        <v>7</v>
      </c>
      <c r="L719" s="289">
        <v>1287</v>
      </c>
    </row>
    <row r="720" spans="1:12">
      <c r="A720" s="288" t="s">
        <v>1545</v>
      </c>
      <c r="B720" s="288" t="s">
        <v>1356</v>
      </c>
      <c r="C720" s="288" t="s">
        <v>814</v>
      </c>
      <c r="D720" s="288" t="s">
        <v>818</v>
      </c>
      <c r="E720" s="289">
        <v>10</v>
      </c>
      <c r="F720" s="290">
        <v>19</v>
      </c>
      <c r="G720" s="289">
        <v>1100</v>
      </c>
      <c r="H720" s="289">
        <v>990</v>
      </c>
      <c r="I720" s="289">
        <v>209</v>
      </c>
      <c r="J720" s="289">
        <v>70</v>
      </c>
      <c r="K720" s="289">
        <v>7</v>
      </c>
      <c r="L720" s="289">
        <v>2376</v>
      </c>
    </row>
    <row r="721" spans="1:12">
      <c r="A721" s="288" t="s">
        <v>1546</v>
      </c>
      <c r="B721" s="288" t="s">
        <v>1356</v>
      </c>
      <c r="C721" s="288" t="s">
        <v>814</v>
      </c>
      <c r="D721" s="288" t="s">
        <v>818</v>
      </c>
      <c r="E721" s="289">
        <v>10</v>
      </c>
      <c r="F721" s="290">
        <v>17</v>
      </c>
      <c r="G721" s="289">
        <v>1100</v>
      </c>
      <c r="H721" s="289">
        <v>770</v>
      </c>
      <c r="I721" s="289">
        <v>187</v>
      </c>
      <c r="J721" s="289">
        <v>70</v>
      </c>
      <c r="K721" s="289">
        <v>7</v>
      </c>
      <c r="L721" s="289">
        <v>2134</v>
      </c>
    </row>
    <row r="722" spans="1:12">
      <c r="A722" s="288" t="s">
        <v>1547</v>
      </c>
      <c r="B722" s="288" t="s">
        <v>1356</v>
      </c>
      <c r="C722" s="288" t="s">
        <v>814</v>
      </c>
      <c r="D722" s="288" t="s">
        <v>818</v>
      </c>
      <c r="E722" s="289">
        <v>10</v>
      </c>
      <c r="F722" s="290">
        <v>12</v>
      </c>
      <c r="G722" s="289">
        <v>1100</v>
      </c>
      <c r="H722" s="289">
        <v>220</v>
      </c>
      <c r="I722" s="289">
        <v>132</v>
      </c>
      <c r="J722" s="289">
        <v>70</v>
      </c>
      <c r="K722" s="289">
        <v>7</v>
      </c>
      <c r="L722" s="289">
        <v>1529</v>
      </c>
    </row>
    <row r="723" spans="1:12">
      <c r="A723" s="288" t="s">
        <v>1548</v>
      </c>
      <c r="B723" s="288" t="s">
        <v>1356</v>
      </c>
      <c r="C723" s="288" t="s">
        <v>814</v>
      </c>
      <c r="D723" s="288" t="s">
        <v>818</v>
      </c>
      <c r="E723" s="289">
        <v>10</v>
      </c>
      <c r="F723" s="290">
        <v>1</v>
      </c>
      <c r="G723" s="289">
        <v>900</v>
      </c>
      <c r="H723" s="289">
        <v>0</v>
      </c>
      <c r="I723" s="289">
        <v>90</v>
      </c>
      <c r="J723" s="289">
        <v>70</v>
      </c>
      <c r="K723" s="289">
        <v>7</v>
      </c>
      <c r="L723" s="289">
        <v>1067</v>
      </c>
    </row>
    <row r="724" spans="1:12">
      <c r="A724" s="288" t="s">
        <v>1549</v>
      </c>
      <c r="B724" s="288" t="s">
        <v>1356</v>
      </c>
      <c r="C724" s="288" t="s">
        <v>814</v>
      </c>
      <c r="D724" s="288" t="s">
        <v>818</v>
      </c>
      <c r="E724" s="289">
        <v>10</v>
      </c>
      <c r="F724" s="290">
        <v>25</v>
      </c>
      <c r="G724" s="289">
        <v>1100</v>
      </c>
      <c r="H724" s="289">
        <v>1650</v>
      </c>
      <c r="I724" s="289">
        <v>275</v>
      </c>
      <c r="J724" s="289">
        <v>70</v>
      </c>
      <c r="K724" s="289">
        <v>7</v>
      </c>
      <c r="L724" s="289">
        <v>3102</v>
      </c>
    </row>
    <row r="725" spans="1:12">
      <c r="A725" s="288" t="s">
        <v>1550</v>
      </c>
      <c r="B725" s="288" t="s">
        <v>1356</v>
      </c>
      <c r="C725" s="288" t="s">
        <v>814</v>
      </c>
      <c r="D725" s="288" t="s">
        <v>818</v>
      </c>
      <c r="E725" s="289">
        <v>10</v>
      </c>
      <c r="F725" s="290">
        <v>22</v>
      </c>
      <c r="G725" s="289">
        <v>1100</v>
      </c>
      <c r="H725" s="289">
        <v>1320</v>
      </c>
      <c r="I725" s="289">
        <v>242</v>
      </c>
      <c r="J725" s="289">
        <v>70</v>
      </c>
      <c r="K725" s="289">
        <v>7</v>
      </c>
      <c r="L725" s="289">
        <v>2739</v>
      </c>
    </row>
    <row r="726" spans="1:12">
      <c r="A726" s="288" t="s">
        <v>1551</v>
      </c>
      <c r="B726" s="288" t="s">
        <v>1356</v>
      </c>
      <c r="C726" s="288" t="s">
        <v>814</v>
      </c>
      <c r="D726" s="288" t="s">
        <v>818</v>
      </c>
      <c r="E726" s="289">
        <v>10</v>
      </c>
      <c r="F726" s="290">
        <v>16</v>
      </c>
      <c r="G726" s="289">
        <v>1100</v>
      </c>
      <c r="H726" s="289">
        <v>660</v>
      </c>
      <c r="I726" s="289">
        <v>176</v>
      </c>
      <c r="J726" s="289">
        <v>70</v>
      </c>
      <c r="K726" s="289">
        <v>7</v>
      </c>
      <c r="L726" s="289">
        <v>2013</v>
      </c>
    </row>
    <row r="727" spans="1:12">
      <c r="A727" s="288" t="s">
        <v>1552</v>
      </c>
      <c r="B727" s="288" t="s">
        <v>1356</v>
      </c>
      <c r="C727" s="288" t="s">
        <v>814</v>
      </c>
      <c r="D727" s="288" t="s">
        <v>818</v>
      </c>
      <c r="E727" s="289">
        <v>10</v>
      </c>
      <c r="F727" s="290">
        <v>32</v>
      </c>
      <c r="G727" s="289">
        <v>1100</v>
      </c>
      <c r="H727" s="289">
        <v>2420</v>
      </c>
      <c r="I727" s="289">
        <v>352</v>
      </c>
      <c r="J727" s="289">
        <v>70</v>
      </c>
      <c r="K727" s="289">
        <v>7</v>
      </c>
      <c r="L727" s="289">
        <v>3949</v>
      </c>
    </row>
    <row r="728" spans="1:12">
      <c r="A728" s="288" t="s">
        <v>1553</v>
      </c>
      <c r="B728" s="288" t="s">
        <v>1356</v>
      </c>
      <c r="C728" s="288" t="s">
        <v>814</v>
      </c>
      <c r="D728" s="288" t="s">
        <v>818</v>
      </c>
      <c r="E728" s="289">
        <v>10</v>
      </c>
      <c r="F728" s="290">
        <v>31</v>
      </c>
      <c r="G728" s="289">
        <v>1100</v>
      </c>
      <c r="H728" s="289">
        <v>2310</v>
      </c>
      <c r="I728" s="289">
        <v>341</v>
      </c>
      <c r="J728" s="289">
        <v>70</v>
      </c>
      <c r="K728" s="289">
        <v>7</v>
      </c>
      <c r="L728" s="289">
        <v>3828</v>
      </c>
    </row>
    <row r="729" spans="1:12">
      <c r="A729" s="288" t="s">
        <v>1554</v>
      </c>
      <c r="B729" s="288" t="s">
        <v>1356</v>
      </c>
      <c r="C729" s="288" t="s">
        <v>814</v>
      </c>
      <c r="D729" s="288" t="s">
        <v>818</v>
      </c>
      <c r="E729" s="289">
        <v>10</v>
      </c>
      <c r="F729" s="290">
        <v>25</v>
      </c>
      <c r="G729" s="289">
        <v>1100</v>
      </c>
      <c r="H729" s="289">
        <v>1650</v>
      </c>
      <c r="I729" s="289">
        <v>275</v>
      </c>
      <c r="J729" s="289">
        <v>70</v>
      </c>
      <c r="K729" s="289">
        <v>7</v>
      </c>
      <c r="L729" s="289">
        <v>3102</v>
      </c>
    </row>
    <row r="730" spans="1:12">
      <c r="A730" s="288" t="s">
        <v>1555</v>
      </c>
      <c r="B730" s="288" t="s">
        <v>1356</v>
      </c>
      <c r="C730" s="288" t="s">
        <v>1095</v>
      </c>
      <c r="D730" s="288" t="s">
        <v>815</v>
      </c>
      <c r="E730" s="289">
        <v>10</v>
      </c>
      <c r="F730" s="290">
        <v>1</v>
      </c>
      <c r="G730" s="289">
        <v>900</v>
      </c>
      <c r="H730" s="289">
        <v>0</v>
      </c>
      <c r="I730" s="289">
        <v>90</v>
      </c>
      <c r="J730" s="289">
        <v>50</v>
      </c>
      <c r="K730" s="289">
        <v>5</v>
      </c>
      <c r="L730" s="289">
        <v>1045</v>
      </c>
    </row>
    <row r="731" spans="1:12">
      <c r="A731" s="288" t="s">
        <v>1556</v>
      </c>
      <c r="B731" s="288" t="s">
        <v>1356</v>
      </c>
      <c r="C731" s="288" t="s">
        <v>814</v>
      </c>
      <c r="D731" s="288" t="s">
        <v>818</v>
      </c>
      <c r="E731" s="289">
        <v>10</v>
      </c>
      <c r="F731" s="290">
        <v>18</v>
      </c>
      <c r="G731" s="289">
        <v>1100</v>
      </c>
      <c r="H731" s="289">
        <v>880</v>
      </c>
      <c r="I731" s="289">
        <v>198</v>
      </c>
      <c r="J731" s="289">
        <v>70</v>
      </c>
      <c r="K731" s="289">
        <v>7</v>
      </c>
      <c r="L731" s="289">
        <v>2255</v>
      </c>
    </row>
    <row r="732" spans="1:12">
      <c r="A732" s="288" t="s">
        <v>1557</v>
      </c>
      <c r="B732" s="288" t="s">
        <v>1356</v>
      </c>
      <c r="C732" s="288" t="s">
        <v>814</v>
      </c>
      <c r="D732" s="288" t="s">
        <v>815</v>
      </c>
      <c r="E732" s="289">
        <v>10</v>
      </c>
      <c r="F732" s="290">
        <v>12</v>
      </c>
      <c r="G732" s="289">
        <v>1100</v>
      </c>
      <c r="H732" s="289">
        <v>220</v>
      </c>
      <c r="I732" s="289">
        <v>132</v>
      </c>
      <c r="J732" s="289">
        <v>50</v>
      </c>
      <c r="K732" s="289">
        <v>5</v>
      </c>
      <c r="L732" s="289">
        <v>1507</v>
      </c>
    </row>
    <row r="733" spans="1:12">
      <c r="A733" s="288" t="s">
        <v>1558</v>
      </c>
      <c r="B733" s="288" t="s">
        <v>1356</v>
      </c>
      <c r="C733" s="288" t="s">
        <v>814</v>
      </c>
      <c r="D733" s="288" t="s">
        <v>815</v>
      </c>
      <c r="E733" s="289">
        <v>10</v>
      </c>
      <c r="F733" s="290">
        <v>4</v>
      </c>
      <c r="G733" s="289">
        <v>900</v>
      </c>
      <c r="H733" s="289">
        <v>0</v>
      </c>
      <c r="I733" s="289">
        <v>90</v>
      </c>
      <c r="J733" s="289">
        <v>50</v>
      </c>
      <c r="K733" s="289">
        <v>5</v>
      </c>
      <c r="L733" s="289">
        <v>1045</v>
      </c>
    </row>
    <row r="734" spans="1:12">
      <c r="A734" s="288" t="s">
        <v>1559</v>
      </c>
      <c r="B734" s="288" t="s">
        <v>1356</v>
      </c>
      <c r="C734" s="288" t="s">
        <v>814</v>
      </c>
      <c r="D734" s="288" t="s">
        <v>815</v>
      </c>
      <c r="E734" s="289">
        <v>10</v>
      </c>
      <c r="F734" s="290">
        <v>2</v>
      </c>
      <c r="G734" s="289">
        <v>900</v>
      </c>
      <c r="H734" s="289">
        <v>0</v>
      </c>
      <c r="I734" s="289">
        <v>90</v>
      </c>
      <c r="J734" s="289">
        <v>50</v>
      </c>
      <c r="K734" s="289">
        <v>5</v>
      </c>
      <c r="L734" s="289">
        <v>1045</v>
      </c>
    </row>
    <row r="735" spans="1:12">
      <c r="A735" s="288" t="s">
        <v>1560</v>
      </c>
      <c r="B735" s="288" t="s">
        <v>1356</v>
      </c>
      <c r="C735" s="288" t="s">
        <v>814</v>
      </c>
      <c r="D735" s="288" t="s">
        <v>815</v>
      </c>
      <c r="E735" s="289">
        <v>10</v>
      </c>
      <c r="F735" s="290">
        <v>4</v>
      </c>
      <c r="G735" s="289">
        <v>900</v>
      </c>
      <c r="H735" s="289">
        <v>0</v>
      </c>
      <c r="I735" s="289">
        <v>90</v>
      </c>
      <c r="J735" s="289">
        <v>50</v>
      </c>
      <c r="K735" s="289">
        <v>5</v>
      </c>
      <c r="L735" s="289">
        <v>1045</v>
      </c>
    </row>
    <row r="736" spans="1:12">
      <c r="A736" s="288" t="s">
        <v>1561</v>
      </c>
      <c r="B736" s="288" t="s">
        <v>1356</v>
      </c>
      <c r="C736" s="288" t="s">
        <v>814</v>
      </c>
      <c r="D736" s="288" t="s">
        <v>818</v>
      </c>
      <c r="E736" s="289">
        <v>10</v>
      </c>
      <c r="F736" s="290">
        <v>3</v>
      </c>
      <c r="G736" s="289">
        <v>900</v>
      </c>
      <c r="H736" s="289">
        <v>0</v>
      </c>
      <c r="I736" s="289">
        <v>90</v>
      </c>
      <c r="J736" s="289">
        <v>70</v>
      </c>
      <c r="K736" s="289">
        <v>7</v>
      </c>
      <c r="L736" s="289">
        <v>1067</v>
      </c>
    </row>
    <row r="737" spans="1:12">
      <c r="A737" s="288" t="s">
        <v>1562</v>
      </c>
      <c r="B737" s="288" t="s">
        <v>1356</v>
      </c>
      <c r="C737" s="288" t="s">
        <v>814</v>
      </c>
      <c r="D737" s="288" t="s">
        <v>818</v>
      </c>
      <c r="E737" s="289">
        <v>10</v>
      </c>
      <c r="F737" s="290">
        <v>11</v>
      </c>
      <c r="G737" s="289">
        <v>1100</v>
      </c>
      <c r="H737" s="289">
        <v>110</v>
      </c>
      <c r="I737" s="289">
        <v>121</v>
      </c>
      <c r="J737" s="289">
        <v>70</v>
      </c>
      <c r="K737" s="289">
        <v>7</v>
      </c>
      <c r="L737" s="289">
        <v>1408</v>
      </c>
    </row>
    <row r="738" spans="1:12">
      <c r="A738" s="288" t="s">
        <v>1563</v>
      </c>
      <c r="B738" s="288" t="s">
        <v>1356</v>
      </c>
      <c r="C738" s="288" t="s">
        <v>814</v>
      </c>
      <c r="D738" s="288" t="s">
        <v>818</v>
      </c>
      <c r="E738" s="289">
        <v>10</v>
      </c>
      <c r="F738" s="290">
        <v>36</v>
      </c>
      <c r="G738" s="289">
        <v>1100</v>
      </c>
      <c r="H738" s="289">
        <v>2860</v>
      </c>
      <c r="I738" s="289">
        <v>396</v>
      </c>
      <c r="J738" s="289">
        <v>70</v>
      </c>
      <c r="K738" s="289">
        <v>7</v>
      </c>
      <c r="L738" s="289">
        <v>4433</v>
      </c>
    </row>
    <row r="739" spans="1:12">
      <c r="A739" s="288" t="s">
        <v>1564</v>
      </c>
      <c r="B739" s="288" t="s">
        <v>1356</v>
      </c>
      <c r="C739" s="288" t="s">
        <v>814</v>
      </c>
      <c r="D739" s="288" t="s">
        <v>818</v>
      </c>
      <c r="E739" s="289">
        <v>10</v>
      </c>
      <c r="F739" s="290">
        <v>19</v>
      </c>
      <c r="G739" s="289">
        <v>1100</v>
      </c>
      <c r="H739" s="289">
        <v>990</v>
      </c>
      <c r="I739" s="289">
        <v>209</v>
      </c>
      <c r="J739" s="289">
        <v>70</v>
      </c>
      <c r="K739" s="289">
        <v>7</v>
      </c>
      <c r="L739" s="289">
        <v>2376</v>
      </c>
    </row>
    <row r="740" spans="1:12">
      <c r="A740" s="288" t="s">
        <v>1565</v>
      </c>
      <c r="B740" s="288" t="s">
        <v>1356</v>
      </c>
      <c r="C740" s="288" t="s">
        <v>814</v>
      </c>
      <c r="D740" s="288" t="s">
        <v>818</v>
      </c>
      <c r="E740" s="289">
        <v>10</v>
      </c>
      <c r="F740" s="290">
        <v>9</v>
      </c>
      <c r="G740" s="289">
        <v>1100</v>
      </c>
      <c r="H740" s="289">
        <v>0</v>
      </c>
      <c r="I740" s="289">
        <v>110</v>
      </c>
      <c r="J740" s="289">
        <v>70</v>
      </c>
      <c r="K740" s="289">
        <v>7</v>
      </c>
      <c r="L740" s="289">
        <v>1287</v>
      </c>
    </row>
    <row r="741" spans="1:12">
      <c r="A741" s="288" t="s">
        <v>1566</v>
      </c>
      <c r="B741" s="288" t="s">
        <v>1356</v>
      </c>
      <c r="C741" s="288" t="s">
        <v>814</v>
      </c>
      <c r="D741" s="288" t="s">
        <v>818</v>
      </c>
      <c r="E741" s="289">
        <v>10</v>
      </c>
      <c r="F741" s="290">
        <v>34</v>
      </c>
      <c r="G741" s="289">
        <v>1100</v>
      </c>
      <c r="H741" s="289">
        <v>2640</v>
      </c>
      <c r="I741" s="289">
        <v>374</v>
      </c>
      <c r="J741" s="289">
        <v>70</v>
      </c>
      <c r="K741" s="289">
        <v>7</v>
      </c>
      <c r="L741" s="289">
        <v>4191</v>
      </c>
    </row>
    <row r="742" spans="1:12">
      <c r="A742" s="288" t="s">
        <v>1567</v>
      </c>
      <c r="B742" s="288" t="s">
        <v>1356</v>
      </c>
      <c r="C742" s="288" t="s">
        <v>814</v>
      </c>
      <c r="D742" s="288" t="s">
        <v>818</v>
      </c>
      <c r="E742" s="289">
        <v>10</v>
      </c>
      <c r="F742" s="290">
        <v>35</v>
      </c>
      <c r="G742" s="289">
        <v>1100</v>
      </c>
      <c r="H742" s="289">
        <v>2750</v>
      </c>
      <c r="I742" s="289">
        <v>385</v>
      </c>
      <c r="J742" s="289">
        <v>70</v>
      </c>
      <c r="K742" s="289">
        <v>7</v>
      </c>
      <c r="L742" s="289">
        <v>4312</v>
      </c>
    </row>
    <row r="743" spans="1:12">
      <c r="A743" s="288" t="s">
        <v>1568</v>
      </c>
      <c r="B743" s="288" t="s">
        <v>1356</v>
      </c>
      <c r="C743" s="288" t="s">
        <v>814</v>
      </c>
      <c r="D743" s="288" t="s">
        <v>818</v>
      </c>
      <c r="E743" s="289">
        <v>10</v>
      </c>
      <c r="F743" s="290">
        <v>12</v>
      </c>
      <c r="G743" s="289">
        <v>1100</v>
      </c>
      <c r="H743" s="289">
        <v>220</v>
      </c>
      <c r="I743" s="289">
        <v>132</v>
      </c>
      <c r="J743" s="289">
        <v>70</v>
      </c>
      <c r="K743" s="289">
        <v>7</v>
      </c>
      <c r="L743" s="289">
        <v>1529</v>
      </c>
    </row>
    <row r="744" spans="1:12">
      <c r="A744" s="288" t="s">
        <v>1569</v>
      </c>
      <c r="B744" s="288" t="s">
        <v>1356</v>
      </c>
      <c r="C744" s="288" t="s">
        <v>814</v>
      </c>
      <c r="D744" s="288" t="s">
        <v>818</v>
      </c>
      <c r="E744" s="289">
        <v>10</v>
      </c>
      <c r="F744" s="290">
        <v>14</v>
      </c>
      <c r="G744" s="289">
        <v>1100</v>
      </c>
      <c r="H744" s="289">
        <v>440</v>
      </c>
      <c r="I744" s="289">
        <v>154</v>
      </c>
      <c r="J744" s="289">
        <v>70</v>
      </c>
      <c r="K744" s="289">
        <v>7</v>
      </c>
      <c r="L744" s="289">
        <v>1771</v>
      </c>
    </row>
    <row r="745" spans="1:12">
      <c r="A745" s="288" t="s">
        <v>1570</v>
      </c>
      <c r="B745" s="288" t="s">
        <v>1356</v>
      </c>
      <c r="C745" s="288" t="s">
        <v>814</v>
      </c>
      <c r="D745" s="288" t="s">
        <v>818</v>
      </c>
      <c r="E745" s="289">
        <v>10</v>
      </c>
      <c r="F745" s="290">
        <v>28</v>
      </c>
      <c r="G745" s="289">
        <v>1100</v>
      </c>
      <c r="H745" s="289">
        <v>1980</v>
      </c>
      <c r="I745" s="289">
        <v>308</v>
      </c>
      <c r="J745" s="289">
        <v>70</v>
      </c>
      <c r="K745" s="289">
        <v>7</v>
      </c>
      <c r="L745" s="289">
        <v>3465</v>
      </c>
    </row>
    <row r="746" spans="1:12">
      <c r="A746" s="288" t="s">
        <v>1571</v>
      </c>
      <c r="B746" s="288" t="s">
        <v>1356</v>
      </c>
      <c r="C746" s="288" t="s">
        <v>814</v>
      </c>
      <c r="D746" s="288" t="s">
        <v>818</v>
      </c>
      <c r="E746" s="289">
        <v>10</v>
      </c>
      <c r="F746" s="290">
        <v>6</v>
      </c>
      <c r="G746" s="289">
        <v>1100</v>
      </c>
      <c r="H746" s="289">
        <v>0</v>
      </c>
      <c r="I746" s="289">
        <v>110</v>
      </c>
      <c r="J746" s="289">
        <v>70</v>
      </c>
      <c r="K746" s="289">
        <v>7</v>
      </c>
      <c r="L746" s="289">
        <v>1287</v>
      </c>
    </row>
    <row r="747" spans="1:12">
      <c r="A747" s="288" t="s">
        <v>1572</v>
      </c>
      <c r="B747" s="288" t="s">
        <v>1356</v>
      </c>
      <c r="C747" s="288" t="s">
        <v>814</v>
      </c>
      <c r="D747" s="288" t="s">
        <v>818</v>
      </c>
      <c r="E747" s="289">
        <v>10</v>
      </c>
      <c r="F747" s="290">
        <v>15</v>
      </c>
      <c r="G747" s="289">
        <v>1100</v>
      </c>
      <c r="H747" s="289">
        <v>550</v>
      </c>
      <c r="I747" s="289">
        <v>165</v>
      </c>
      <c r="J747" s="289">
        <v>70</v>
      </c>
      <c r="K747" s="289">
        <v>7</v>
      </c>
      <c r="L747" s="289">
        <v>1892</v>
      </c>
    </row>
    <row r="748" spans="1:12">
      <c r="A748" s="288" t="s">
        <v>1573</v>
      </c>
      <c r="B748" s="288" t="s">
        <v>1356</v>
      </c>
      <c r="C748" s="288" t="s">
        <v>814</v>
      </c>
      <c r="D748" s="288" t="s">
        <v>818</v>
      </c>
      <c r="E748" s="289">
        <v>10</v>
      </c>
      <c r="F748" s="290">
        <v>3</v>
      </c>
      <c r="G748" s="289">
        <v>900</v>
      </c>
      <c r="H748" s="289">
        <v>0</v>
      </c>
      <c r="I748" s="289">
        <v>90</v>
      </c>
      <c r="J748" s="289">
        <v>70</v>
      </c>
      <c r="K748" s="289">
        <v>7</v>
      </c>
      <c r="L748" s="289">
        <v>1067</v>
      </c>
    </row>
    <row r="749" spans="1:12">
      <c r="A749" s="288" t="s">
        <v>1574</v>
      </c>
      <c r="B749" s="288" t="s">
        <v>1356</v>
      </c>
      <c r="C749" s="288" t="s">
        <v>814</v>
      </c>
      <c r="D749" s="288" t="s">
        <v>818</v>
      </c>
      <c r="E749" s="289">
        <v>10</v>
      </c>
      <c r="F749" s="290">
        <v>8</v>
      </c>
      <c r="G749" s="289">
        <v>1100</v>
      </c>
      <c r="H749" s="289">
        <v>0</v>
      </c>
      <c r="I749" s="289">
        <v>110</v>
      </c>
      <c r="J749" s="289">
        <v>70</v>
      </c>
      <c r="K749" s="289">
        <v>7</v>
      </c>
      <c r="L749" s="289">
        <v>1287</v>
      </c>
    </row>
    <row r="750" spans="1:12">
      <c r="A750" s="288" t="s">
        <v>1575</v>
      </c>
      <c r="B750" s="288" t="s">
        <v>1356</v>
      </c>
      <c r="C750" s="288" t="s">
        <v>814</v>
      </c>
      <c r="D750" s="288" t="s">
        <v>818</v>
      </c>
      <c r="E750" s="289">
        <v>10</v>
      </c>
      <c r="F750" s="290">
        <v>13</v>
      </c>
      <c r="G750" s="289">
        <v>1100</v>
      </c>
      <c r="H750" s="289">
        <v>330</v>
      </c>
      <c r="I750" s="289">
        <v>143</v>
      </c>
      <c r="J750" s="289">
        <v>70</v>
      </c>
      <c r="K750" s="289">
        <v>7</v>
      </c>
      <c r="L750" s="289">
        <v>1650</v>
      </c>
    </row>
    <row r="751" spans="1:12">
      <c r="A751" s="288" t="s">
        <v>1576</v>
      </c>
      <c r="B751" s="288" t="s">
        <v>1356</v>
      </c>
      <c r="C751" s="288" t="s">
        <v>814</v>
      </c>
      <c r="D751" s="288" t="s">
        <v>818</v>
      </c>
      <c r="E751" s="289">
        <v>10</v>
      </c>
      <c r="F751" s="290">
        <v>14</v>
      </c>
      <c r="G751" s="289">
        <v>1100</v>
      </c>
      <c r="H751" s="289">
        <v>440</v>
      </c>
      <c r="I751" s="289">
        <v>154</v>
      </c>
      <c r="J751" s="289">
        <v>70</v>
      </c>
      <c r="K751" s="289">
        <v>7</v>
      </c>
      <c r="L751" s="289">
        <v>1771</v>
      </c>
    </row>
    <row r="752" spans="1:12">
      <c r="A752" s="288" t="s">
        <v>1577</v>
      </c>
      <c r="B752" s="288" t="s">
        <v>1356</v>
      </c>
      <c r="C752" s="288" t="s">
        <v>814</v>
      </c>
      <c r="D752" s="288" t="s">
        <v>818</v>
      </c>
      <c r="E752" s="289">
        <v>10</v>
      </c>
      <c r="F752" s="290">
        <v>37</v>
      </c>
      <c r="G752" s="289">
        <v>1100</v>
      </c>
      <c r="H752" s="289">
        <v>2970</v>
      </c>
      <c r="I752" s="289">
        <v>407</v>
      </c>
      <c r="J752" s="289">
        <v>70</v>
      </c>
      <c r="K752" s="289">
        <v>7</v>
      </c>
      <c r="L752" s="289">
        <v>4554</v>
      </c>
    </row>
    <row r="753" spans="1:12">
      <c r="A753" s="288" t="s">
        <v>1578</v>
      </c>
      <c r="B753" s="288" t="s">
        <v>1356</v>
      </c>
      <c r="C753" s="288" t="s">
        <v>814</v>
      </c>
      <c r="D753" s="288" t="s">
        <v>818</v>
      </c>
      <c r="E753" s="289">
        <v>10</v>
      </c>
      <c r="F753" s="290">
        <v>44</v>
      </c>
      <c r="G753" s="289">
        <v>1100</v>
      </c>
      <c r="H753" s="289">
        <v>3740</v>
      </c>
      <c r="I753" s="289">
        <v>484</v>
      </c>
      <c r="J753" s="289">
        <v>70</v>
      </c>
      <c r="K753" s="289">
        <v>7</v>
      </c>
      <c r="L753" s="289">
        <v>5401</v>
      </c>
    </row>
    <row r="754" spans="1:12">
      <c r="A754" s="288" t="s">
        <v>1579</v>
      </c>
      <c r="B754" s="288" t="s">
        <v>1356</v>
      </c>
      <c r="C754" s="288" t="s">
        <v>814</v>
      </c>
      <c r="D754" s="288" t="s">
        <v>818</v>
      </c>
      <c r="E754" s="289">
        <v>10</v>
      </c>
      <c r="F754" s="290">
        <v>10</v>
      </c>
      <c r="G754" s="289">
        <v>1100</v>
      </c>
      <c r="H754" s="289">
        <v>0</v>
      </c>
      <c r="I754" s="289">
        <v>110</v>
      </c>
      <c r="J754" s="289">
        <v>70</v>
      </c>
      <c r="K754" s="289">
        <v>7</v>
      </c>
      <c r="L754" s="289">
        <v>1287</v>
      </c>
    </row>
    <row r="755" spans="1:12">
      <c r="A755" s="288" t="s">
        <v>1580</v>
      </c>
      <c r="B755" s="288" t="s">
        <v>1356</v>
      </c>
      <c r="C755" s="288" t="s">
        <v>814</v>
      </c>
      <c r="D755" s="288" t="s">
        <v>818</v>
      </c>
      <c r="E755" s="289">
        <v>10</v>
      </c>
      <c r="F755" s="290">
        <v>18</v>
      </c>
      <c r="G755" s="289">
        <v>1100</v>
      </c>
      <c r="H755" s="289">
        <v>880</v>
      </c>
      <c r="I755" s="289">
        <v>198</v>
      </c>
      <c r="J755" s="289">
        <v>70</v>
      </c>
      <c r="K755" s="289">
        <v>7</v>
      </c>
      <c r="L755" s="289">
        <v>2255</v>
      </c>
    </row>
    <row r="756" spans="1:12">
      <c r="A756" s="288" t="s">
        <v>1581</v>
      </c>
      <c r="B756" s="288" t="s">
        <v>1356</v>
      </c>
      <c r="C756" s="288" t="s">
        <v>814</v>
      </c>
      <c r="D756" s="288" t="s">
        <v>818</v>
      </c>
      <c r="E756" s="289">
        <v>10</v>
      </c>
      <c r="F756" s="290">
        <v>19</v>
      </c>
      <c r="G756" s="289">
        <v>1100</v>
      </c>
      <c r="H756" s="289">
        <v>990</v>
      </c>
      <c r="I756" s="289">
        <v>209</v>
      </c>
      <c r="J756" s="289">
        <v>70</v>
      </c>
      <c r="K756" s="289">
        <v>7</v>
      </c>
      <c r="L756" s="289">
        <v>2376</v>
      </c>
    </row>
    <row r="757" spans="1:12">
      <c r="A757" s="288" t="s">
        <v>1582</v>
      </c>
      <c r="B757" s="288" t="s">
        <v>1356</v>
      </c>
      <c r="C757" s="288" t="s">
        <v>814</v>
      </c>
      <c r="D757" s="288" t="s">
        <v>818</v>
      </c>
      <c r="E757" s="289">
        <v>10</v>
      </c>
      <c r="F757" s="290">
        <v>11</v>
      </c>
      <c r="G757" s="289">
        <v>1100</v>
      </c>
      <c r="H757" s="289">
        <v>110</v>
      </c>
      <c r="I757" s="289">
        <v>121</v>
      </c>
      <c r="J757" s="289">
        <v>70</v>
      </c>
      <c r="K757" s="289">
        <v>7</v>
      </c>
      <c r="L757" s="289">
        <v>1408</v>
      </c>
    </row>
    <row r="758" spans="1:12">
      <c r="A758" s="288" t="s">
        <v>1583</v>
      </c>
      <c r="B758" s="288" t="s">
        <v>1356</v>
      </c>
      <c r="C758" s="288" t="s">
        <v>814</v>
      </c>
      <c r="D758" s="288" t="s">
        <v>818</v>
      </c>
      <c r="E758" s="289">
        <v>10</v>
      </c>
      <c r="F758" s="290">
        <v>25</v>
      </c>
      <c r="G758" s="289">
        <v>1100</v>
      </c>
      <c r="H758" s="289">
        <v>1650</v>
      </c>
      <c r="I758" s="289">
        <v>275</v>
      </c>
      <c r="J758" s="289">
        <v>70</v>
      </c>
      <c r="K758" s="289">
        <v>7</v>
      </c>
      <c r="L758" s="289">
        <v>3102</v>
      </c>
    </row>
    <row r="759" spans="1:12">
      <c r="A759" s="288" t="s">
        <v>1584</v>
      </c>
      <c r="B759" s="288" t="s">
        <v>1356</v>
      </c>
      <c r="C759" s="288" t="s">
        <v>814</v>
      </c>
      <c r="D759" s="288" t="s">
        <v>818</v>
      </c>
      <c r="E759" s="289">
        <v>10</v>
      </c>
      <c r="F759" s="290">
        <v>23</v>
      </c>
      <c r="G759" s="289">
        <v>1100</v>
      </c>
      <c r="H759" s="289">
        <v>1430</v>
      </c>
      <c r="I759" s="289">
        <v>253</v>
      </c>
      <c r="J759" s="289">
        <v>70</v>
      </c>
      <c r="K759" s="289">
        <v>7</v>
      </c>
      <c r="L759" s="289">
        <v>2860</v>
      </c>
    </row>
    <row r="760" spans="1:12">
      <c r="A760" s="288" t="s">
        <v>1585</v>
      </c>
      <c r="B760" s="288" t="s">
        <v>1356</v>
      </c>
      <c r="C760" s="288" t="s">
        <v>814</v>
      </c>
      <c r="D760" s="288" t="s">
        <v>818</v>
      </c>
      <c r="E760" s="289">
        <v>10</v>
      </c>
      <c r="F760" s="290">
        <v>18</v>
      </c>
      <c r="G760" s="289">
        <v>1100</v>
      </c>
      <c r="H760" s="289">
        <v>880</v>
      </c>
      <c r="I760" s="289">
        <v>198</v>
      </c>
      <c r="J760" s="289">
        <v>70</v>
      </c>
      <c r="K760" s="289">
        <v>7</v>
      </c>
      <c r="L760" s="289">
        <v>2255</v>
      </c>
    </row>
    <row r="761" spans="1:12">
      <c r="A761" s="288" t="s">
        <v>1586</v>
      </c>
      <c r="B761" s="288" t="s">
        <v>1356</v>
      </c>
      <c r="C761" s="288" t="s">
        <v>814</v>
      </c>
      <c r="D761" s="288" t="s">
        <v>818</v>
      </c>
      <c r="E761" s="289">
        <v>10</v>
      </c>
      <c r="F761" s="290">
        <v>4</v>
      </c>
      <c r="G761" s="289">
        <v>900</v>
      </c>
      <c r="H761" s="289">
        <v>0</v>
      </c>
      <c r="I761" s="289">
        <v>90</v>
      </c>
      <c r="J761" s="289">
        <v>70</v>
      </c>
      <c r="K761" s="289">
        <v>7</v>
      </c>
      <c r="L761" s="289">
        <v>1067</v>
      </c>
    </row>
    <row r="762" spans="1:12">
      <c r="A762" s="288" t="s">
        <v>1587</v>
      </c>
      <c r="B762" s="288" t="s">
        <v>1356</v>
      </c>
      <c r="C762" s="288" t="s">
        <v>814</v>
      </c>
      <c r="D762" s="288" t="s">
        <v>818</v>
      </c>
      <c r="E762" s="289">
        <v>10</v>
      </c>
      <c r="F762" s="290">
        <v>10</v>
      </c>
      <c r="G762" s="289">
        <v>1100</v>
      </c>
      <c r="H762" s="289">
        <v>0</v>
      </c>
      <c r="I762" s="289">
        <v>110</v>
      </c>
      <c r="J762" s="289">
        <v>70</v>
      </c>
      <c r="K762" s="289">
        <v>7</v>
      </c>
      <c r="L762" s="289">
        <v>1287</v>
      </c>
    </row>
    <row r="763" spans="1:12">
      <c r="A763" s="288" t="s">
        <v>1588</v>
      </c>
      <c r="B763" s="288" t="s">
        <v>1356</v>
      </c>
      <c r="C763" s="288" t="s">
        <v>814</v>
      </c>
      <c r="D763" s="288" t="s">
        <v>818</v>
      </c>
      <c r="E763" s="289">
        <v>10</v>
      </c>
      <c r="F763" s="290">
        <v>5</v>
      </c>
      <c r="G763" s="289">
        <v>900</v>
      </c>
      <c r="H763" s="289">
        <v>0</v>
      </c>
      <c r="I763" s="289">
        <v>90</v>
      </c>
      <c r="J763" s="289">
        <v>70</v>
      </c>
      <c r="K763" s="289">
        <v>7</v>
      </c>
      <c r="L763" s="289">
        <v>1067</v>
      </c>
    </row>
    <row r="764" spans="1:12">
      <c r="A764" s="288" t="s">
        <v>1589</v>
      </c>
      <c r="B764" s="288" t="s">
        <v>1356</v>
      </c>
      <c r="C764" s="288" t="s">
        <v>820</v>
      </c>
      <c r="D764" s="288" t="s">
        <v>818</v>
      </c>
      <c r="E764" s="289">
        <v>10</v>
      </c>
      <c r="F764" s="290">
        <v>41</v>
      </c>
      <c r="G764" s="289">
        <v>1100</v>
      </c>
      <c r="H764" s="289">
        <v>3410</v>
      </c>
      <c r="I764" s="289">
        <v>451</v>
      </c>
      <c r="J764" s="289">
        <v>70</v>
      </c>
      <c r="K764" s="289">
        <v>7</v>
      </c>
      <c r="L764" s="289">
        <v>5038</v>
      </c>
    </row>
    <row r="765" spans="1:12">
      <c r="A765" s="288" t="s">
        <v>1590</v>
      </c>
      <c r="B765" s="288" t="s">
        <v>1356</v>
      </c>
      <c r="C765" s="288" t="s">
        <v>814</v>
      </c>
      <c r="D765" s="288" t="s">
        <v>818</v>
      </c>
      <c r="E765" s="289">
        <v>10</v>
      </c>
      <c r="F765" s="290">
        <v>29</v>
      </c>
      <c r="G765" s="289">
        <v>1100</v>
      </c>
      <c r="H765" s="289">
        <v>2090</v>
      </c>
      <c r="I765" s="289">
        <v>319</v>
      </c>
      <c r="J765" s="289">
        <v>70</v>
      </c>
      <c r="K765" s="289">
        <v>7</v>
      </c>
      <c r="L765" s="289">
        <v>3586</v>
      </c>
    </row>
    <row r="766" spans="1:12">
      <c r="A766" s="288" t="s">
        <v>1591</v>
      </c>
      <c r="B766" s="288" t="s">
        <v>1356</v>
      </c>
      <c r="C766" s="288" t="s">
        <v>814</v>
      </c>
      <c r="D766" s="288" t="s">
        <v>818</v>
      </c>
      <c r="E766" s="289">
        <v>10</v>
      </c>
      <c r="F766" s="290">
        <v>9</v>
      </c>
      <c r="G766" s="289">
        <v>1100</v>
      </c>
      <c r="H766" s="289">
        <v>0</v>
      </c>
      <c r="I766" s="289">
        <v>110</v>
      </c>
      <c r="J766" s="289">
        <v>70</v>
      </c>
      <c r="K766" s="289">
        <v>7</v>
      </c>
      <c r="L766" s="289">
        <v>1287</v>
      </c>
    </row>
    <row r="767" spans="1:12">
      <c r="A767" s="288" t="s">
        <v>1592</v>
      </c>
      <c r="B767" s="288" t="s">
        <v>1356</v>
      </c>
      <c r="C767" s="288" t="s">
        <v>814</v>
      </c>
      <c r="D767" s="288" t="s">
        <v>818</v>
      </c>
      <c r="E767" s="289">
        <v>10</v>
      </c>
      <c r="F767" s="290">
        <v>15</v>
      </c>
      <c r="G767" s="289">
        <v>1100</v>
      </c>
      <c r="H767" s="289">
        <v>550</v>
      </c>
      <c r="I767" s="289">
        <v>165</v>
      </c>
      <c r="J767" s="289">
        <v>70</v>
      </c>
      <c r="K767" s="289">
        <v>7</v>
      </c>
      <c r="L767" s="289">
        <v>1892</v>
      </c>
    </row>
    <row r="768" spans="1:12">
      <c r="A768" s="288" t="s">
        <v>1593</v>
      </c>
      <c r="B768" s="288" t="s">
        <v>1356</v>
      </c>
      <c r="C768" s="288" t="s">
        <v>814</v>
      </c>
      <c r="D768" s="288" t="s">
        <v>818</v>
      </c>
      <c r="E768" s="289">
        <v>10</v>
      </c>
      <c r="F768" s="290">
        <v>18</v>
      </c>
      <c r="G768" s="289">
        <v>1100</v>
      </c>
      <c r="H768" s="289">
        <v>880</v>
      </c>
      <c r="I768" s="289">
        <v>198</v>
      </c>
      <c r="J768" s="289">
        <v>70</v>
      </c>
      <c r="K768" s="289">
        <v>7</v>
      </c>
      <c r="L768" s="289">
        <v>2255</v>
      </c>
    </row>
    <row r="769" spans="1:12">
      <c r="A769" s="288" t="s">
        <v>1594</v>
      </c>
      <c r="B769" s="288" t="s">
        <v>1356</v>
      </c>
      <c r="C769" s="288" t="s">
        <v>814</v>
      </c>
      <c r="D769" s="288" t="s">
        <v>818</v>
      </c>
      <c r="E769" s="289">
        <v>10</v>
      </c>
      <c r="F769" s="290">
        <v>15</v>
      </c>
      <c r="G769" s="289">
        <v>1100</v>
      </c>
      <c r="H769" s="289">
        <v>550</v>
      </c>
      <c r="I769" s="289">
        <v>165</v>
      </c>
      <c r="J769" s="289">
        <v>70</v>
      </c>
      <c r="K769" s="289">
        <v>7</v>
      </c>
      <c r="L769" s="289">
        <v>1892</v>
      </c>
    </row>
    <row r="770" spans="1:12">
      <c r="A770" s="288" t="s">
        <v>1595</v>
      </c>
      <c r="B770" s="288" t="s">
        <v>1356</v>
      </c>
      <c r="C770" s="288" t="s">
        <v>814</v>
      </c>
      <c r="D770" s="288" t="s">
        <v>818</v>
      </c>
      <c r="E770" s="289">
        <v>10</v>
      </c>
      <c r="F770" s="290">
        <v>29</v>
      </c>
      <c r="G770" s="289">
        <v>1100</v>
      </c>
      <c r="H770" s="289">
        <v>2090</v>
      </c>
      <c r="I770" s="289">
        <v>319</v>
      </c>
      <c r="J770" s="289">
        <v>70</v>
      </c>
      <c r="K770" s="289">
        <v>7</v>
      </c>
      <c r="L770" s="289">
        <v>3586</v>
      </c>
    </row>
    <row r="771" spans="1:12">
      <c r="A771" s="288" t="s">
        <v>1596</v>
      </c>
      <c r="B771" s="288" t="s">
        <v>1356</v>
      </c>
      <c r="C771" s="288" t="s">
        <v>814</v>
      </c>
      <c r="D771" s="288" t="s">
        <v>818</v>
      </c>
      <c r="E771" s="289">
        <v>10</v>
      </c>
      <c r="F771" s="290">
        <v>20</v>
      </c>
      <c r="G771" s="289">
        <v>1100</v>
      </c>
      <c r="H771" s="289">
        <v>1100</v>
      </c>
      <c r="I771" s="289">
        <v>220</v>
      </c>
      <c r="J771" s="289">
        <v>70</v>
      </c>
      <c r="K771" s="289">
        <v>7</v>
      </c>
      <c r="L771" s="289">
        <v>2497</v>
      </c>
    </row>
    <row r="772" spans="1:12">
      <c r="A772" s="288" t="s">
        <v>1597</v>
      </c>
      <c r="B772" s="288" t="s">
        <v>1356</v>
      </c>
      <c r="C772" s="288" t="s">
        <v>814</v>
      </c>
      <c r="D772" s="288" t="s">
        <v>818</v>
      </c>
      <c r="E772" s="289">
        <v>10</v>
      </c>
      <c r="F772" s="290">
        <v>11</v>
      </c>
      <c r="G772" s="289">
        <v>1100</v>
      </c>
      <c r="H772" s="289">
        <v>110</v>
      </c>
      <c r="I772" s="289">
        <v>121</v>
      </c>
      <c r="J772" s="289">
        <v>70</v>
      </c>
      <c r="K772" s="289">
        <v>7</v>
      </c>
      <c r="L772" s="289">
        <v>1408</v>
      </c>
    </row>
    <row r="773" spans="1:12">
      <c r="A773" s="288" t="s">
        <v>1598</v>
      </c>
      <c r="B773" s="288" t="s">
        <v>1356</v>
      </c>
      <c r="C773" s="288" t="s">
        <v>814</v>
      </c>
      <c r="D773" s="288" t="s">
        <v>818</v>
      </c>
      <c r="E773" s="289">
        <v>10</v>
      </c>
      <c r="F773" s="290">
        <v>9</v>
      </c>
      <c r="G773" s="289">
        <v>1100</v>
      </c>
      <c r="H773" s="289">
        <v>0</v>
      </c>
      <c r="I773" s="289">
        <v>110</v>
      </c>
      <c r="J773" s="289">
        <v>70</v>
      </c>
      <c r="K773" s="289">
        <v>7</v>
      </c>
      <c r="L773" s="289">
        <v>1287</v>
      </c>
    </row>
    <row r="774" spans="1:12">
      <c r="A774" s="288" t="s">
        <v>1599</v>
      </c>
      <c r="B774" s="288" t="s">
        <v>1356</v>
      </c>
      <c r="C774" s="288" t="s">
        <v>814</v>
      </c>
      <c r="D774" s="288" t="s">
        <v>818</v>
      </c>
      <c r="E774" s="289">
        <v>10</v>
      </c>
      <c r="F774" s="290">
        <v>10</v>
      </c>
      <c r="G774" s="289">
        <v>1100</v>
      </c>
      <c r="H774" s="289">
        <v>0</v>
      </c>
      <c r="I774" s="289">
        <v>110</v>
      </c>
      <c r="J774" s="289">
        <v>70</v>
      </c>
      <c r="K774" s="289">
        <v>7</v>
      </c>
      <c r="L774" s="289">
        <v>1287</v>
      </c>
    </row>
    <row r="775" spans="1:12">
      <c r="A775" s="288" t="s">
        <v>1600</v>
      </c>
      <c r="B775" s="288" t="s">
        <v>1356</v>
      </c>
      <c r="C775" s="288" t="s">
        <v>814</v>
      </c>
      <c r="D775" s="288" t="s">
        <v>818</v>
      </c>
      <c r="E775" s="289">
        <v>10</v>
      </c>
      <c r="F775" s="290">
        <v>17</v>
      </c>
      <c r="G775" s="289">
        <v>1100</v>
      </c>
      <c r="H775" s="289">
        <v>770</v>
      </c>
      <c r="I775" s="289">
        <v>187</v>
      </c>
      <c r="J775" s="289">
        <v>70</v>
      </c>
      <c r="K775" s="289">
        <v>7</v>
      </c>
      <c r="L775" s="289">
        <v>2134</v>
      </c>
    </row>
    <row r="776" spans="1:12">
      <c r="A776" s="288" t="s">
        <v>1601</v>
      </c>
      <c r="B776" s="288" t="s">
        <v>1356</v>
      </c>
      <c r="C776" s="288" t="s">
        <v>814</v>
      </c>
      <c r="D776" s="288" t="s">
        <v>818</v>
      </c>
      <c r="E776" s="289">
        <v>10</v>
      </c>
      <c r="F776" s="290">
        <v>20</v>
      </c>
      <c r="G776" s="289">
        <v>1100</v>
      </c>
      <c r="H776" s="289">
        <v>1100</v>
      </c>
      <c r="I776" s="289">
        <v>220</v>
      </c>
      <c r="J776" s="289">
        <v>70</v>
      </c>
      <c r="K776" s="289">
        <v>7</v>
      </c>
      <c r="L776" s="289">
        <v>2497</v>
      </c>
    </row>
    <row r="777" spans="1:12">
      <c r="A777" s="288" t="s">
        <v>1602</v>
      </c>
      <c r="B777" s="288" t="s">
        <v>1356</v>
      </c>
      <c r="C777" s="288" t="s">
        <v>814</v>
      </c>
      <c r="D777" s="288" t="s">
        <v>818</v>
      </c>
      <c r="E777" s="289">
        <v>10</v>
      </c>
      <c r="F777" s="290">
        <v>17</v>
      </c>
      <c r="G777" s="289">
        <v>1100</v>
      </c>
      <c r="H777" s="289">
        <v>770</v>
      </c>
      <c r="I777" s="289">
        <v>187</v>
      </c>
      <c r="J777" s="289">
        <v>70</v>
      </c>
      <c r="K777" s="289">
        <v>7</v>
      </c>
      <c r="L777" s="289">
        <v>2134</v>
      </c>
    </row>
    <row r="778" spans="1:12">
      <c r="A778" s="288" t="s">
        <v>1603</v>
      </c>
      <c r="B778" s="288" t="s">
        <v>1356</v>
      </c>
      <c r="C778" s="288" t="s">
        <v>814</v>
      </c>
      <c r="D778" s="288" t="s">
        <v>818</v>
      </c>
      <c r="E778" s="289">
        <v>10</v>
      </c>
      <c r="F778" s="290">
        <v>16</v>
      </c>
      <c r="G778" s="289">
        <v>1100</v>
      </c>
      <c r="H778" s="289">
        <v>660</v>
      </c>
      <c r="I778" s="289">
        <v>176</v>
      </c>
      <c r="J778" s="289">
        <v>70</v>
      </c>
      <c r="K778" s="289">
        <v>7</v>
      </c>
      <c r="L778" s="289">
        <v>2013</v>
      </c>
    </row>
    <row r="779" spans="1:12">
      <c r="A779" s="288" t="s">
        <v>1604</v>
      </c>
      <c r="B779" s="288" t="s">
        <v>1356</v>
      </c>
      <c r="C779" s="288" t="s">
        <v>814</v>
      </c>
      <c r="D779" s="288" t="s">
        <v>818</v>
      </c>
      <c r="E779" s="289">
        <v>10</v>
      </c>
      <c r="F779" s="290">
        <v>0</v>
      </c>
      <c r="G779" s="289">
        <v>900</v>
      </c>
      <c r="H779" s="289">
        <v>0</v>
      </c>
      <c r="I779" s="289">
        <v>90</v>
      </c>
      <c r="J779" s="289">
        <v>70</v>
      </c>
      <c r="K779" s="289">
        <v>7</v>
      </c>
      <c r="L779" s="289">
        <v>1067</v>
      </c>
    </row>
    <row r="780" spans="1:12">
      <c r="A780" s="288" t="s">
        <v>1605</v>
      </c>
      <c r="B780" s="288" t="s">
        <v>1356</v>
      </c>
      <c r="C780" s="288" t="s">
        <v>814</v>
      </c>
      <c r="D780" s="288" t="s">
        <v>818</v>
      </c>
      <c r="E780" s="289">
        <v>10</v>
      </c>
      <c r="F780" s="290">
        <v>9</v>
      </c>
      <c r="G780" s="289">
        <v>1100</v>
      </c>
      <c r="H780" s="289">
        <v>0</v>
      </c>
      <c r="I780" s="289">
        <v>110</v>
      </c>
      <c r="J780" s="289">
        <v>70</v>
      </c>
      <c r="K780" s="289">
        <v>7</v>
      </c>
      <c r="L780" s="289">
        <v>1287</v>
      </c>
    </row>
    <row r="781" spans="1:12">
      <c r="A781" s="288" t="s">
        <v>1606</v>
      </c>
      <c r="B781" s="288" t="s">
        <v>1356</v>
      </c>
      <c r="C781" s="288" t="s">
        <v>814</v>
      </c>
      <c r="D781" s="288" t="s">
        <v>818</v>
      </c>
      <c r="E781" s="289">
        <v>10</v>
      </c>
      <c r="F781" s="290">
        <v>18</v>
      </c>
      <c r="G781" s="289">
        <v>1100</v>
      </c>
      <c r="H781" s="289">
        <v>880</v>
      </c>
      <c r="I781" s="289">
        <v>198</v>
      </c>
      <c r="J781" s="289">
        <v>70</v>
      </c>
      <c r="K781" s="289">
        <v>7</v>
      </c>
      <c r="L781" s="289">
        <v>2255</v>
      </c>
    </row>
    <row r="782" spans="1:12">
      <c r="A782" s="288" t="s">
        <v>1607</v>
      </c>
      <c r="B782" s="288" t="s">
        <v>1356</v>
      </c>
      <c r="C782" s="288" t="s">
        <v>814</v>
      </c>
      <c r="D782" s="288" t="s">
        <v>818</v>
      </c>
      <c r="E782" s="289">
        <v>10</v>
      </c>
      <c r="F782" s="290">
        <v>0</v>
      </c>
      <c r="G782" s="289">
        <v>900</v>
      </c>
      <c r="H782" s="289">
        <v>0</v>
      </c>
      <c r="I782" s="289">
        <v>90</v>
      </c>
      <c r="J782" s="289">
        <v>70</v>
      </c>
      <c r="K782" s="289">
        <v>7</v>
      </c>
      <c r="L782" s="289">
        <v>1067</v>
      </c>
    </row>
    <row r="783" spans="1:12">
      <c r="A783" s="288" t="s">
        <v>1608</v>
      </c>
      <c r="B783" s="288" t="s">
        <v>1356</v>
      </c>
      <c r="C783" s="288" t="s">
        <v>814</v>
      </c>
      <c r="D783" s="288" t="s">
        <v>818</v>
      </c>
      <c r="E783" s="289">
        <v>10</v>
      </c>
      <c r="F783" s="290">
        <v>15</v>
      </c>
      <c r="G783" s="289">
        <v>1100</v>
      </c>
      <c r="H783" s="289">
        <v>550</v>
      </c>
      <c r="I783" s="289">
        <v>165</v>
      </c>
      <c r="J783" s="289">
        <v>70</v>
      </c>
      <c r="K783" s="289">
        <v>7</v>
      </c>
      <c r="L783" s="289">
        <v>1892</v>
      </c>
    </row>
    <row r="784" spans="1:12">
      <c r="A784" s="288" t="s">
        <v>1609</v>
      </c>
      <c r="B784" s="288" t="s">
        <v>1356</v>
      </c>
      <c r="C784" s="288" t="s">
        <v>814</v>
      </c>
      <c r="D784" s="288" t="s">
        <v>818</v>
      </c>
      <c r="E784" s="289">
        <v>10</v>
      </c>
      <c r="F784" s="290">
        <v>9</v>
      </c>
      <c r="G784" s="289">
        <v>1100</v>
      </c>
      <c r="H784" s="289">
        <v>0</v>
      </c>
      <c r="I784" s="289">
        <v>110</v>
      </c>
      <c r="J784" s="289">
        <v>70</v>
      </c>
      <c r="K784" s="289">
        <v>7</v>
      </c>
      <c r="L784" s="289">
        <v>1287</v>
      </c>
    </row>
    <row r="785" spans="1:12">
      <c r="A785" s="288" t="s">
        <v>1610</v>
      </c>
      <c r="B785" s="288" t="s">
        <v>1356</v>
      </c>
      <c r="C785" s="288" t="s">
        <v>814</v>
      </c>
      <c r="D785" s="288" t="s">
        <v>818</v>
      </c>
      <c r="E785" s="289">
        <v>10</v>
      </c>
      <c r="F785" s="290">
        <v>20</v>
      </c>
      <c r="G785" s="289">
        <v>1100</v>
      </c>
      <c r="H785" s="289">
        <v>1100</v>
      </c>
      <c r="I785" s="289">
        <v>220</v>
      </c>
      <c r="J785" s="289">
        <v>70</v>
      </c>
      <c r="K785" s="289">
        <v>7</v>
      </c>
      <c r="L785" s="289">
        <v>2497</v>
      </c>
    </row>
    <row r="786" spans="1:12">
      <c r="A786" s="288" t="s">
        <v>1611</v>
      </c>
      <c r="B786" s="288" t="s">
        <v>1356</v>
      </c>
      <c r="C786" s="288" t="s">
        <v>814</v>
      </c>
      <c r="D786" s="288" t="s">
        <v>818</v>
      </c>
      <c r="E786" s="289">
        <v>10</v>
      </c>
      <c r="F786" s="290">
        <v>43</v>
      </c>
      <c r="G786" s="289">
        <v>1100</v>
      </c>
      <c r="H786" s="289">
        <v>3630</v>
      </c>
      <c r="I786" s="289">
        <v>473</v>
      </c>
      <c r="J786" s="289">
        <v>70</v>
      </c>
      <c r="K786" s="289">
        <v>7</v>
      </c>
      <c r="L786" s="289">
        <v>5280</v>
      </c>
    </row>
    <row r="787" spans="1:12">
      <c r="A787" s="288" t="s">
        <v>1612</v>
      </c>
      <c r="B787" s="288" t="s">
        <v>1356</v>
      </c>
      <c r="C787" s="288" t="s">
        <v>814</v>
      </c>
      <c r="D787" s="288" t="s">
        <v>818</v>
      </c>
      <c r="E787" s="289">
        <v>10</v>
      </c>
      <c r="F787" s="290">
        <v>21</v>
      </c>
      <c r="G787" s="289">
        <v>1100</v>
      </c>
      <c r="H787" s="289">
        <v>1210</v>
      </c>
      <c r="I787" s="289">
        <v>231</v>
      </c>
      <c r="J787" s="289">
        <v>70</v>
      </c>
      <c r="K787" s="289">
        <v>7</v>
      </c>
      <c r="L787" s="289">
        <v>2618</v>
      </c>
    </row>
    <row r="788" spans="1:12">
      <c r="A788" s="288" t="s">
        <v>1613</v>
      </c>
      <c r="B788" s="288" t="s">
        <v>1356</v>
      </c>
      <c r="C788" s="288" t="s">
        <v>814</v>
      </c>
      <c r="D788" s="288" t="s">
        <v>818</v>
      </c>
      <c r="E788" s="289">
        <v>10</v>
      </c>
      <c r="F788" s="290">
        <v>30</v>
      </c>
      <c r="G788" s="289">
        <v>1100</v>
      </c>
      <c r="H788" s="289">
        <v>2200</v>
      </c>
      <c r="I788" s="289">
        <v>330</v>
      </c>
      <c r="J788" s="289">
        <v>70</v>
      </c>
      <c r="K788" s="289">
        <v>7</v>
      </c>
      <c r="L788" s="289">
        <v>3707</v>
      </c>
    </row>
    <row r="789" spans="1:12">
      <c r="A789" s="288" t="s">
        <v>1614</v>
      </c>
      <c r="B789" s="288" t="s">
        <v>1356</v>
      </c>
      <c r="C789" s="288" t="s">
        <v>814</v>
      </c>
      <c r="D789" s="288" t="s">
        <v>818</v>
      </c>
      <c r="E789" s="289">
        <v>10</v>
      </c>
      <c r="F789" s="290">
        <v>10</v>
      </c>
      <c r="G789" s="289">
        <v>1100</v>
      </c>
      <c r="H789" s="289">
        <v>0</v>
      </c>
      <c r="I789" s="289">
        <v>110</v>
      </c>
      <c r="J789" s="289">
        <v>70</v>
      </c>
      <c r="K789" s="289">
        <v>7</v>
      </c>
      <c r="L789" s="289">
        <v>1287</v>
      </c>
    </row>
    <row r="790" spans="1:12">
      <c r="A790" s="288" t="s">
        <v>1615</v>
      </c>
      <c r="B790" s="288" t="s">
        <v>1356</v>
      </c>
      <c r="C790" s="288" t="s">
        <v>814</v>
      </c>
      <c r="D790" s="288" t="s">
        <v>818</v>
      </c>
      <c r="E790" s="289">
        <v>10</v>
      </c>
      <c r="F790" s="290">
        <v>9</v>
      </c>
      <c r="G790" s="289">
        <v>1100</v>
      </c>
      <c r="H790" s="289">
        <v>0</v>
      </c>
      <c r="I790" s="289">
        <v>110</v>
      </c>
      <c r="J790" s="289">
        <v>70</v>
      </c>
      <c r="K790" s="289">
        <v>7</v>
      </c>
      <c r="L790" s="289">
        <v>1287</v>
      </c>
    </row>
    <row r="791" spans="1:12">
      <c r="A791" s="288" t="s">
        <v>1616</v>
      </c>
      <c r="B791" s="288" t="s">
        <v>1356</v>
      </c>
      <c r="C791" s="288" t="s">
        <v>829</v>
      </c>
      <c r="D791" s="288" t="s">
        <v>815</v>
      </c>
      <c r="E791" s="289">
        <v>10</v>
      </c>
      <c r="F791" s="290">
        <v>0</v>
      </c>
      <c r="G791" s="289">
        <v>900</v>
      </c>
      <c r="H791" s="289">
        <v>0</v>
      </c>
      <c r="I791" s="289">
        <v>90</v>
      </c>
      <c r="J791" s="289">
        <v>50</v>
      </c>
      <c r="K791" s="289">
        <v>5</v>
      </c>
      <c r="L791" s="289">
        <v>1045</v>
      </c>
    </row>
    <row r="792" spans="1:12">
      <c r="A792" s="288" t="s">
        <v>1617</v>
      </c>
      <c r="B792" s="288" t="s">
        <v>1356</v>
      </c>
      <c r="C792" s="288" t="s">
        <v>814</v>
      </c>
      <c r="D792" s="288" t="s">
        <v>818</v>
      </c>
      <c r="E792" s="289">
        <v>10</v>
      </c>
      <c r="F792" s="290">
        <v>7</v>
      </c>
      <c r="G792" s="289">
        <v>1100</v>
      </c>
      <c r="H792" s="289">
        <v>0</v>
      </c>
      <c r="I792" s="289">
        <v>110</v>
      </c>
      <c r="J792" s="289">
        <v>70</v>
      </c>
      <c r="K792" s="289">
        <v>7</v>
      </c>
      <c r="L792" s="289">
        <v>1287</v>
      </c>
    </row>
    <row r="793" spans="1:12">
      <c r="A793" s="288" t="s">
        <v>1618</v>
      </c>
      <c r="B793" s="288" t="s">
        <v>1356</v>
      </c>
      <c r="C793" s="288" t="s">
        <v>814</v>
      </c>
      <c r="D793" s="288" t="s">
        <v>818</v>
      </c>
      <c r="E793" s="289">
        <v>10</v>
      </c>
      <c r="F793" s="290">
        <v>0</v>
      </c>
      <c r="G793" s="289">
        <v>900</v>
      </c>
      <c r="H793" s="289">
        <v>0</v>
      </c>
      <c r="I793" s="289">
        <v>90</v>
      </c>
      <c r="J793" s="289">
        <v>70</v>
      </c>
      <c r="K793" s="289">
        <v>7</v>
      </c>
      <c r="L793" s="289">
        <v>1067</v>
      </c>
    </row>
    <row r="794" spans="1:12">
      <c r="A794" s="288" t="s">
        <v>1619</v>
      </c>
      <c r="B794" s="288" t="s">
        <v>1356</v>
      </c>
      <c r="C794" s="288" t="s">
        <v>814</v>
      </c>
      <c r="D794" s="288" t="s">
        <v>818</v>
      </c>
      <c r="E794" s="289">
        <v>10</v>
      </c>
      <c r="F794" s="290">
        <v>16</v>
      </c>
      <c r="G794" s="289">
        <v>1100</v>
      </c>
      <c r="H794" s="289">
        <v>660</v>
      </c>
      <c r="I794" s="289">
        <v>176</v>
      </c>
      <c r="J794" s="289">
        <v>70</v>
      </c>
      <c r="K794" s="289">
        <v>7</v>
      </c>
      <c r="L794" s="289">
        <v>2013</v>
      </c>
    </row>
    <row r="795" spans="1:12">
      <c r="A795" s="288" t="s">
        <v>1620</v>
      </c>
      <c r="B795" s="288" t="s">
        <v>1356</v>
      </c>
      <c r="C795" s="288" t="s">
        <v>814</v>
      </c>
      <c r="D795" s="288" t="s">
        <v>818</v>
      </c>
      <c r="E795" s="289">
        <v>10</v>
      </c>
      <c r="F795" s="290">
        <v>13</v>
      </c>
      <c r="G795" s="289">
        <v>1100</v>
      </c>
      <c r="H795" s="289">
        <v>330</v>
      </c>
      <c r="I795" s="289">
        <v>143</v>
      </c>
      <c r="J795" s="289">
        <v>70</v>
      </c>
      <c r="K795" s="289">
        <v>7</v>
      </c>
      <c r="L795" s="289">
        <v>1650</v>
      </c>
    </row>
    <row r="796" spans="1:12">
      <c r="A796" s="288" t="s">
        <v>1621</v>
      </c>
      <c r="B796" s="288" t="s">
        <v>1356</v>
      </c>
      <c r="C796" s="288" t="s">
        <v>814</v>
      </c>
      <c r="D796" s="288" t="s">
        <v>818</v>
      </c>
      <c r="E796" s="289">
        <v>10</v>
      </c>
      <c r="F796" s="290">
        <v>14</v>
      </c>
      <c r="G796" s="289">
        <v>1100</v>
      </c>
      <c r="H796" s="289">
        <v>440</v>
      </c>
      <c r="I796" s="289">
        <v>154</v>
      </c>
      <c r="J796" s="289">
        <v>70</v>
      </c>
      <c r="K796" s="289">
        <v>7</v>
      </c>
      <c r="L796" s="289">
        <v>1771</v>
      </c>
    </row>
    <row r="797" spans="1:12">
      <c r="A797" s="288" t="s">
        <v>1622</v>
      </c>
      <c r="B797" s="288" t="s">
        <v>1356</v>
      </c>
      <c r="C797" s="288" t="s">
        <v>814</v>
      </c>
      <c r="D797" s="288" t="s">
        <v>818</v>
      </c>
      <c r="E797" s="289">
        <v>10</v>
      </c>
      <c r="F797" s="290">
        <v>13</v>
      </c>
      <c r="G797" s="289">
        <v>1100</v>
      </c>
      <c r="H797" s="289">
        <v>330</v>
      </c>
      <c r="I797" s="289">
        <v>143</v>
      </c>
      <c r="J797" s="289">
        <v>70</v>
      </c>
      <c r="K797" s="289">
        <v>7</v>
      </c>
      <c r="L797" s="289">
        <v>1650</v>
      </c>
    </row>
    <row r="798" spans="1:12">
      <c r="A798" s="288" t="s">
        <v>1623</v>
      </c>
      <c r="B798" s="288" t="s">
        <v>1356</v>
      </c>
      <c r="C798" s="288" t="s">
        <v>814</v>
      </c>
      <c r="D798" s="288" t="s">
        <v>818</v>
      </c>
      <c r="E798" s="289">
        <v>10</v>
      </c>
      <c r="F798" s="290">
        <v>32</v>
      </c>
      <c r="G798" s="289">
        <v>1100</v>
      </c>
      <c r="H798" s="289">
        <v>2420</v>
      </c>
      <c r="I798" s="289">
        <v>352</v>
      </c>
      <c r="J798" s="289">
        <v>70</v>
      </c>
      <c r="K798" s="289">
        <v>7</v>
      </c>
      <c r="L798" s="289">
        <v>3949</v>
      </c>
    </row>
    <row r="799" spans="1:12">
      <c r="A799" s="288" t="s">
        <v>1624</v>
      </c>
      <c r="B799" s="288" t="s">
        <v>1356</v>
      </c>
      <c r="C799" s="288" t="s">
        <v>814</v>
      </c>
      <c r="D799" s="288" t="s">
        <v>818</v>
      </c>
      <c r="E799" s="289">
        <v>10</v>
      </c>
      <c r="F799" s="290">
        <v>18</v>
      </c>
      <c r="G799" s="289">
        <v>1100</v>
      </c>
      <c r="H799" s="289">
        <v>880</v>
      </c>
      <c r="I799" s="289">
        <v>198</v>
      </c>
      <c r="J799" s="289">
        <v>70</v>
      </c>
      <c r="K799" s="289">
        <v>7</v>
      </c>
      <c r="L799" s="289">
        <v>2255</v>
      </c>
    </row>
    <row r="800" spans="1:12">
      <c r="A800" s="288" t="s">
        <v>1625</v>
      </c>
      <c r="B800" s="288" t="s">
        <v>1356</v>
      </c>
      <c r="C800" s="288" t="s">
        <v>829</v>
      </c>
      <c r="D800" s="288" t="s">
        <v>818</v>
      </c>
      <c r="E800" s="289">
        <v>10</v>
      </c>
      <c r="F800" s="290">
        <v>1</v>
      </c>
      <c r="G800" s="289">
        <v>900</v>
      </c>
      <c r="H800" s="289">
        <v>0</v>
      </c>
      <c r="I800" s="289">
        <v>90</v>
      </c>
      <c r="J800" s="289">
        <v>70</v>
      </c>
      <c r="K800" s="289">
        <v>7</v>
      </c>
      <c r="L800" s="289">
        <v>1067</v>
      </c>
    </row>
    <row r="801" spans="1:12">
      <c r="A801" s="288" t="s">
        <v>1626</v>
      </c>
      <c r="B801" s="288" t="s">
        <v>1356</v>
      </c>
      <c r="C801" s="288" t="s">
        <v>814</v>
      </c>
      <c r="D801" s="288" t="s">
        <v>818</v>
      </c>
      <c r="E801" s="289">
        <v>10</v>
      </c>
      <c r="F801" s="290">
        <v>6</v>
      </c>
      <c r="G801" s="289">
        <v>1100</v>
      </c>
      <c r="H801" s="289">
        <v>0</v>
      </c>
      <c r="I801" s="289">
        <v>110</v>
      </c>
      <c r="J801" s="289">
        <v>70</v>
      </c>
      <c r="K801" s="289">
        <v>7</v>
      </c>
      <c r="L801" s="289">
        <v>1287</v>
      </c>
    </row>
    <row r="802" spans="1:12">
      <c r="A802" s="288" t="s">
        <v>1627</v>
      </c>
      <c r="B802" s="288" t="s">
        <v>1356</v>
      </c>
      <c r="C802" s="288" t="s">
        <v>814</v>
      </c>
      <c r="D802" s="288" t="s">
        <v>818</v>
      </c>
      <c r="E802" s="289">
        <v>10</v>
      </c>
      <c r="F802" s="290">
        <v>22</v>
      </c>
      <c r="G802" s="289">
        <v>1100</v>
      </c>
      <c r="H802" s="289">
        <v>1320</v>
      </c>
      <c r="I802" s="289">
        <v>242</v>
      </c>
      <c r="J802" s="289">
        <v>70</v>
      </c>
      <c r="K802" s="289">
        <v>7</v>
      </c>
      <c r="L802" s="289">
        <v>2739</v>
      </c>
    </row>
    <row r="803" spans="1:12">
      <c r="A803" s="288" t="s">
        <v>1628</v>
      </c>
      <c r="B803" s="288" t="s">
        <v>1356</v>
      </c>
      <c r="C803" s="288" t="s">
        <v>814</v>
      </c>
      <c r="D803" s="288" t="s">
        <v>818</v>
      </c>
      <c r="E803" s="289">
        <v>10</v>
      </c>
      <c r="F803" s="290">
        <v>7</v>
      </c>
      <c r="G803" s="289">
        <v>1100</v>
      </c>
      <c r="H803" s="289">
        <v>0</v>
      </c>
      <c r="I803" s="289">
        <v>110</v>
      </c>
      <c r="J803" s="289">
        <v>70</v>
      </c>
      <c r="K803" s="289">
        <v>7</v>
      </c>
      <c r="L803" s="289">
        <v>1287</v>
      </c>
    </row>
    <row r="804" spans="1:12">
      <c r="A804" s="288" t="s">
        <v>1629</v>
      </c>
      <c r="B804" s="288" t="s">
        <v>1356</v>
      </c>
      <c r="C804" s="288" t="s">
        <v>814</v>
      </c>
      <c r="D804" s="288" t="s">
        <v>818</v>
      </c>
      <c r="E804" s="289">
        <v>10</v>
      </c>
      <c r="F804" s="290">
        <v>6</v>
      </c>
      <c r="G804" s="289">
        <v>1100</v>
      </c>
      <c r="H804" s="289">
        <v>0</v>
      </c>
      <c r="I804" s="289">
        <v>110</v>
      </c>
      <c r="J804" s="289">
        <v>70</v>
      </c>
      <c r="K804" s="289">
        <v>7</v>
      </c>
      <c r="L804" s="289">
        <v>1287</v>
      </c>
    </row>
    <row r="805" spans="1:12">
      <c r="A805" s="288" t="s">
        <v>1630</v>
      </c>
      <c r="B805" s="288" t="s">
        <v>1356</v>
      </c>
      <c r="C805" s="288" t="s">
        <v>814</v>
      </c>
      <c r="D805" s="288" t="s">
        <v>818</v>
      </c>
      <c r="E805" s="289">
        <v>10</v>
      </c>
      <c r="F805" s="290">
        <v>6</v>
      </c>
      <c r="G805" s="289">
        <v>1100</v>
      </c>
      <c r="H805" s="289">
        <v>0</v>
      </c>
      <c r="I805" s="289">
        <v>110</v>
      </c>
      <c r="J805" s="289">
        <v>70</v>
      </c>
      <c r="K805" s="289">
        <v>7</v>
      </c>
      <c r="L805" s="289">
        <v>1287</v>
      </c>
    </row>
    <row r="806" spans="1:12">
      <c r="A806" s="288" t="s">
        <v>1631</v>
      </c>
      <c r="B806" s="288" t="s">
        <v>1356</v>
      </c>
      <c r="C806" s="288" t="s">
        <v>814</v>
      </c>
      <c r="D806" s="288" t="s">
        <v>818</v>
      </c>
      <c r="E806" s="289">
        <v>10</v>
      </c>
      <c r="F806" s="290">
        <v>1</v>
      </c>
      <c r="G806" s="289">
        <v>900</v>
      </c>
      <c r="H806" s="289">
        <v>0</v>
      </c>
      <c r="I806" s="289">
        <v>90</v>
      </c>
      <c r="J806" s="289">
        <v>70</v>
      </c>
      <c r="K806" s="289">
        <v>7</v>
      </c>
      <c r="L806" s="289">
        <v>1067</v>
      </c>
    </row>
    <row r="807" spans="1:12">
      <c r="A807" s="288" t="s">
        <v>1632</v>
      </c>
      <c r="B807" s="288" t="s">
        <v>1356</v>
      </c>
      <c r="C807" s="288" t="s">
        <v>814</v>
      </c>
      <c r="D807" s="288" t="s">
        <v>818</v>
      </c>
      <c r="E807" s="289">
        <v>10</v>
      </c>
      <c r="F807" s="290">
        <v>3</v>
      </c>
      <c r="G807" s="289">
        <v>900</v>
      </c>
      <c r="H807" s="289">
        <v>0</v>
      </c>
      <c r="I807" s="289">
        <v>90</v>
      </c>
      <c r="J807" s="289">
        <v>70</v>
      </c>
      <c r="K807" s="289">
        <v>7</v>
      </c>
      <c r="L807" s="289">
        <v>1067</v>
      </c>
    </row>
    <row r="808" spans="1:12">
      <c r="A808" s="288" t="s">
        <v>1633</v>
      </c>
      <c r="B808" s="288" t="s">
        <v>1356</v>
      </c>
      <c r="C808" s="288" t="s">
        <v>814</v>
      </c>
      <c r="D808" s="288" t="s">
        <v>818</v>
      </c>
      <c r="E808" s="289">
        <v>10</v>
      </c>
      <c r="F808" s="290">
        <v>4</v>
      </c>
      <c r="G808" s="289">
        <v>900</v>
      </c>
      <c r="H808" s="289">
        <v>0</v>
      </c>
      <c r="I808" s="289">
        <v>90</v>
      </c>
      <c r="J808" s="289">
        <v>70</v>
      </c>
      <c r="K808" s="289">
        <v>7</v>
      </c>
      <c r="L808" s="289">
        <v>1067</v>
      </c>
    </row>
    <row r="809" spans="1:12">
      <c r="A809" s="288" t="s">
        <v>1634</v>
      </c>
      <c r="B809" s="288" t="s">
        <v>1356</v>
      </c>
      <c r="C809" s="288" t="s">
        <v>814</v>
      </c>
      <c r="D809" s="288" t="s">
        <v>818</v>
      </c>
      <c r="E809" s="289">
        <v>10</v>
      </c>
      <c r="F809" s="290">
        <v>3</v>
      </c>
      <c r="G809" s="289">
        <v>900</v>
      </c>
      <c r="H809" s="289">
        <v>0</v>
      </c>
      <c r="I809" s="289">
        <v>90</v>
      </c>
      <c r="J809" s="289">
        <v>70</v>
      </c>
      <c r="K809" s="289">
        <v>7</v>
      </c>
      <c r="L809" s="289">
        <v>1067</v>
      </c>
    </row>
    <row r="810" spans="1:12">
      <c r="A810" s="288" t="s">
        <v>1635</v>
      </c>
      <c r="B810" s="288" t="s">
        <v>1356</v>
      </c>
      <c r="C810" s="288" t="s">
        <v>814</v>
      </c>
      <c r="D810" s="288" t="s">
        <v>818</v>
      </c>
      <c r="E810" s="289">
        <v>10</v>
      </c>
      <c r="F810" s="290">
        <v>23</v>
      </c>
      <c r="G810" s="289">
        <v>1100</v>
      </c>
      <c r="H810" s="289">
        <v>1430</v>
      </c>
      <c r="I810" s="289">
        <v>253</v>
      </c>
      <c r="J810" s="289">
        <v>70</v>
      </c>
      <c r="K810" s="289">
        <v>7</v>
      </c>
      <c r="L810" s="289">
        <v>2860</v>
      </c>
    </row>
    <row r="811" spans="1:12">
      <c r="A811" s="288" t="s">
        <v>1636</v>
      </c>
      <c r="B811" s="288" t="s">
        <v>1356</v>
      </c>
      <c r="C811" s="288" t="s">
        <v>814</v>
      </c>
      <c r="D811" s="288" t="s">
        <v>818</v>
      </c>
      <c r="E811" s="289">
        <v>10</v>
      </c>
      <c r="F811" s="290">
        <v>11</v>
      </c>
      <c r="G811" s="289">
        <v>1100</v>
      </c>
      <c r="H811" s="289">
        <v>110</v>
      </c>
      <c r="I811" s="289">
        <v>121</v>
      </c>
      <c r="J811" s="289">
        <v>70</v>
      </c>
      <c r="K811" s="289">
        <v>7</v>
      </c>
      <c r="L811" s="289">
        <v>1408</v>
      </c>
    </row>
    <row r="812" spans="1:12">
      <c r="A812" s="288" t="s">
        <v>1637</v>
      </c>
      <c r="B812" s="288" t="s">
        <v>1356</v>
      </c>
      <c r="C812" s="288" t="s">
        <v>814</v>
      </c>
      <c r="D812" s="288" t="s">
        <v>818</v>
      </c>
      <c r="E812" s="289">
        <v>10</v>
      </c>
      <c r="F812" s="290">
        <v>15</v>
      </c>
      <c r="G812" s="289">
        <v>1100</v>
      </c>
      <c r="H812" s="289">
        <v>550</v>
      </c>
      <c r="I812" s="289">
        <v>165</v>
      </c>
      <c r="J812" s="289">
        <v>70</v>
      </c>
      <c r="K812" s="289">
        <v>7</v>
      </c>
      <c r="L812" s="289">
        <v>1892</v>
      </c>
    </row>
    <row r="813" spans="1:12">
      <c r="A813" s="288" t="s">
        <v>1638</v>
      </c>
      <c r="B813" s="288" t="s">
        <v>1356</v>
      </c>
      <c r="C813" s="288" t="s">
        <v>814</v>
      </c>
      <c r="D813" s="288" t="s">
        <v>818</v>
      </c>
      <c r="E813" s="289">
        <v>10</v>
      </c>
      <c r="F813" s="290">
        <v>1</v>
      </c>
      <c r="G813" s="289">
        <v>900</v>
      </c>
      <c r="H813" s="289">
        <v>0</v>
      </c>
      <c r="I813" s="289">
        <v>90</v>
      </c>
      <c r="J813" s="289">
        <v>70</v>
      </c>
      <c r="K813" s="289">
        <v>7</v>
      </c>
      <c r="L813" s="289">
        <v>1067</v>
      </c>
    </row>
    <row r="814" spans="1:12">
      <c r="A814" s="288" t="s">
        <v>1639</v>
      </c>
      <c r="B814" s="288" t="s">
        <v>1356</v>
      </c>
      <c r="C814" s="288" t="s">
        <v>814</v>
      </c>
      <c r="D814" s="288" t="s">
        <v>818</v>
      </c>
      <c r="E814" s="289">
        <v>10</v>
      </c>
      <c r="F814" s="290">
        <v>13</v>
      </c>
      <c r="G814" s="289">
        <v>1100</v>
      </c>
      <c r="H814" s="289">
        <v>330</v>
      </c>
      <c r="I814" s="289">
        <v>143</v>
      </c>
      <c r="J814" s="289">
        <v>70</v>
      </c>
      <c r="K814" s="289">
        <v>7</v>
      </c>
      <c r="L814" s="289">
        <v>1650</v>
      </c>
    </row>
    <row r="815" spans="1:12">
      <c r="A815" s="288" t="s">
        <v>1640</v>
      </c>
      <c r="B815" s="288" t="s">
        <v>1641</v>
      </c>
      <c r="C815" s="288" t="s">
        <v>814</v>
      </c>
      <c r="D815" s="288" t="s">
        <v>818</v>
      </c>
      <c r="E815" s="289">
        <v>10</v>
      </c>
      <c r="F815" s="290">
        <v>25</v>
      </c>
      <c r="G815" s="289">
        <v>1100</v>
      </c>
      <c r="H815" s="289">
        <v>1650</v>
      </c>
      <c r="I815" s="289">
        <v>275</v>
      </c>
      <c r="J815" s="289">
        <v>70</v>
      </c>
      <c r="K815" s="289">
        <v>7</v>
      </c>
      <c r="L815" s="289">
        <v>3102</v>
      </c>
    </row>
    <row r="816" spans="1:12">
      <c r="A816" s="288" t="s">
        <v>1642</v>
      </c>
      <c r="B816" s="288" t="s">
        <v>1641</v>
      </c>
      <c r="C816" s="288" t="s">
        <v>814</v>
      </c>
      <c r="D816" s="288" t="s">
        <v>818</v>
      </c>
      <c r="E816" s="289">
        <v>10</v>
      </c>
      <c r="F816" s="290">
        <v>24</v>
      </c>
      <c r="G816" s="289">
        <v>1100</v>
      </c>
      <c r="H816" s="289">
        <v>1540</v>
      </c>
      <c r="I816" s="289">
        <v>264</v>
      </c>
      <c r="J816" s="289">
        <v>70</v>
      </c>
      <c r="K816" s="289">
        <v>7</v>
      </c>
      <c r="L816" s="289">
        <v>2981</v>
      </c>
    </row>
    <row r="817" spans="1:12">
      <c r="A817" s="288" t="s">
        <v>1643</v>
      </c>
      <c r="B817" s="288" t="s">
        <v>1641</v>
      </c>
      <c r="C817" s="288" t="s">
        <v>814</v>
      </c>
      <c r="D817" s="288" t="s">
        <v>818</v>
      </c>
      <c r="E817" s="289">
        <v>10</v>
      </c>
      <c r="F817" s="290">
        <v>16</v>
      </c>
      <c r="G817" s="289">
        <v>1100</v>
      </c>
      <c r="H817" s="289">
        <v>660</v>
      </c>
      <c r="I817" s="289">
        <v>176</v>
      </c>
      <c r="J817" s="289">
        <v>70</v>
      </c>
      <c r="K817" s="289">
        <v>7</v>
      </c>
      <c r="L817" s="289">
        <v>2013</v>
      </c>
    </row>
    <row r="818" spans="1:12">
      <c r="A818" s="288" t="s">
        <v>1644</v>
      </c>
      <c r="B818" s="288" t="s">
        <v>1641</v>
      </c>
      <c r="C818" s="288" t="s">
        <v>814</v>
      </c>
      <c r="D818" s="288" t="s">
        <v>818</v>
      </c>
      <c r="E818" s="289">
        <v>10</v>
      </c>
      <c r="F818" s="290">
        <v>24</v>
      </c>
      <c r="G818" s="289">
        <v>1100</v>
      </c>
      <c r="H818" s="289">
        <v>1540</v>
      </c>
      <c r="I818" s="289">
        <v>264</v>
      </c>
      <c r="J818" s="289">
        <v>70</v>
      </c>
      <c r="K818" s="289">
        <v>7</v>
      </c>
      <c r="L818" s="289">
        <v>2981</v>
      </c>
    </row>
    <row r="819" spans="1:12">
      <c r="A819" s="288" t="s">
        <v>1645</v>
      </c>
      <c r="B819" s="288" t="s">
        <v>1641</v>
      </c>
      <c r="C819" s="288" t="s">
        <v>814</v>
      </c>
      <c r="D819" s="288" t="s">
        <v>818</v>
      </c>
      <c r="E819" s="289">
        <v>10</v>
      </c>
      <c r="F819" s="290">
        <v>11</v>
      </c>
      <c r="G819" s="289">
        <v>1100</v>
      </c>
      <c r="H819" s="289">
        <v>110</v>
      </c>
      <c r="I819" s="289">
        <v>121</v>
      </c>
      <c r="J819" s="289">
        <v>70</v>
      </c>
      <c r="K819" s="289">
        <v>7</v>
      </c>
      <c r="L819" s="289">
        <v>1408</v>
      </c>
    </row>
    <row r="820" spans="1:12">
      <c r="A820" s="288" t="s">
        <v>1646</v>
      </c>
      <c r="B820" s="288" t="s">
        <v>1641</v>
      </c>
      <c r="C820" s="288" t="s">
        <v>814</v>
      </c>
      <c r="D820" s="288" t="s">
        <v>818</v>
      </c>
      <c r="E820" s="289">
        <v>10</v>
      </c>
      <c r="F820" s="290">
        <v>28</v>
      </c>
      <c r="G820" s="289">
        <v>1100</v>
      </c>
      <c r="H820" s="289">
        <v>1980</v>
      </c>
      <c r="I820" s="289">
        <v>308</v>
      </c>
      <c r="J820" s="289">
        <v>70</v>
      </c>
      <c r="K820" s="289">
        <v>7</v>
      </c>
      <c r="L820" s="289">
        <v>3465</v>
      </c>
    </row>
    <row r="821" spans="1:12">
      <c r="A821" s="288" t="s">
        <v>1647</v>
      </c>
      <c r="B821" s="288" t="s">
        <v>1641</v>
      </c>
      <c r="C821" s="288" t="s">
        <v>814</v>
      </c>
      <c r="D821" s="288" t="s">
        <v>818</v>
      </c>
      <c r="E821" s="289">
        <v>10</v>
      </c>
      <c r="F821" s="290">
        <v>8</v>
      </c>
      <c r="G821" s="289">
        <v>1100</v>
      </c>
      <c r="H821" s="289">
        <v>0</v>
      </c>
      <c r="I821" s="289">
        <v>110</v>
      </c>
      <c r="J821" s="289">
        <v>70</v>
      </c>
      <c r="K821" s="289">
        <v>7</v>
      </c>
      <c r="L821" s="289">
        <v>1287</v>
      </c>
    </row>
    <row r="822" spans="1:12">
      <c r="A822" s="288" t="s">
        <v>1648</v>
      </c>
      <c r="B822" s="288" t="s">
        <v>1641</v>
      </c>
      <c r="C822" s="288" t="s">
        <v>814</v>
      </c>
      <c r="D822" s="288" t="s">
        <v>818</v>
      </c>
      <c r="E822" s="289">
        <v>10</v>
      </c>
      <c r="F822" s="290">
        <v>36</v>
      </c>
      <c r="G822" s="289">
        <v>1100</v>
      </c>
      <c r="H822" s="289">
        <v>2860</v>
      </c>
      <c r="I822" s="289">
        <v>396</v>
      </c>
      <c r="J822" s="289">
        <v>70</v>
      </c>
      <c r="K822" s="289">
        <v>7</v>
      </c>
      <c r="L822" s="289">
        <v>4433</v>
      </c>
    </row>
    <row r="823" spans="1:12">
      <c r="A823" s="288" t="s">
        <v>1649</v>
      </c>
      <c r="B823" s="288" t="s">
        <v>1641</v>
      </c>
      <c r="C823" s="288" t="s">
        <v>814</v>
      </c>
      <c r="D823" s="288" t="s">
        <v>818</v>
      </c>
      <c r="E823" s="289">
        <v>10</v>
      </c>
      <c r="F823" s="290">
        <v>14</v>
      </c>
      <c r="G823" s="289">
        <v>1100</v>
      </c>
      <c r="H823" s="289">
        <v>440</v>
      </c>
      <c r="I823" s="289">
        <v>154</v>
      </c>
      <c r="J823" s="289">
        <v>70</v>
      </c>
      <c r="K823" s="289">
        <v>7</v>
      </c>
      <c r="L823" s="289">
        <v>1771</v>
      </c>
    </row>
    <row r="824" spans="1:12">
      <c r="A824" s="288" t="s">
        <v>1650</v>
      </c>
      <c r="B824" s="288" t="s">
        <v>1641</v>
      </c>
      <c r="C824" s="288" t="s">
        <v>814</v>
      </c>
      <c r="D824" s="288" t="s">
        <v>818</v>
      </c>
      <c r="E824" s="289">
        <v>10</v>
      </c>
      <c r="F824" s="290">
        <v>26</v>
      </c>
      <c r="G824" s="289">
        <v>1100</v>
      </c>
      <c r="H824" s="289">
        <v>1760</v>
      </c>
      <c r="I824" s="289">
        <v>286</v>
      </c>
      <c r="J824" s="289">
        <v>70</v>
      </c>
      <c r="K824" s="289">
        <v>7</v>
      </c>
      <c r="L824" s="289">
        <v>3223</v>
      </c>
    </row>
    <row r="825" spans="1:12">
      <c r="A825" s="288" t="s">
        <v>1651</v>
      </c>
      <c r="B825" s="288" t="s">
        <v>1641</v>
      </c>
      <c r="C825" s="288" t="s">
        <v>814</v>
      </c>
      <c r="D825" s="288" t="s">
        <v>818</v>
      </c>
      <c r="E825" s="289">
        <v>10</v>
      </c>
      <c r="F825" s="290">
        <v>10</v>
      </c>
      <c r="G825" s="289">
        <v>1100</v>
      </c>
      <c r="H825" s="289">
        <v>0</v>
      </c>
      <c r="I825" s="289">
        <v>110</v>
      </c>
      <c r="J825" s="289">
        <v>70</v>
      </c>
      <c r="K825" s="289">
        <v>7</v>
      </c>
      <c r="L825" s="289">
        <v>1287</v>
      </c>
    </row>
    <row r="826" spans="1:12">
      <c r="A826" s="288" t="s">
        <v>1652</v>
      </c>
      <c r="B826" s="288" t="s">
        <v>1641</v>
      </c>
      <c r="C826" s="288" t="s">
        <v>814</v>
      </c>
      <c r="D826" s="288" t="s">
        <v>818</v>
      </c>
      <c r="E826" s="289">
        <v>10</v>
      </c>
      <c r="F826" s="290">
        <v>14</v>
      </c>
      <c r="G826" s="289">
        <v>1100</v>
      </c>
      <c r="H826" s="289">
        <v>440</v>
      </c>
      <c r="I826" s="289">
        <v>154</v>
      </c>
      <c r="J826" s="289">
        <v>70</v>
      </c>
      <c r="K826" s="289">
        <v>7</v>
      </c>
      <c r="L826" s="289">
        <v>1771</v>
      </c>
    </row>
    <row r="827" spans="1:12">
      <c r="A827" s="288" t="s">
        <v>1653</v>
      </c>
      <c r="B827" s="288" t="s">
        <v>1641</v>
      </c>
      <c r="C827" s="288" t="s">
        <v>814</v>
      </c>
      <c r="D827" s="288" t="s">
        <v>818</v>
      </c>
      <c r="E827" s="289">
        <v>10</v>
      </c>
      <c r="F827" s="290">
        <v>25</v>
      </c>
      <c r="G827" s="289">
        <v>1100</v>
      </c>
      <c r="H827" s="289">
        <v>1650</v>
      </c>
      <c r="I827" s="289">
        <v>275</v>
      </c>
      <c r="J827" s="289">
        <v>70</v>
      </c>
      <c r="K827" s="289">
        <v>7</v>
      </c>
      <c r="L827" s="289">
        <v>3102</v>
      </c>
    </row>
    <row r="828" spans="1:12">
      <c r="A828" s="288" t="s">
        <v>1654</v>
      </c>
      <c r="B828" s="288" t="s">
        <v>1641</v>
      </c>
      <c r="C828" s="288" t="s">
        <v>814</v>
      </c>
      <c r="D828" s="288" t="s">
        <v>815</v>
      </c>
      <c r="E828" s="289">
        <v>10</v>
      </c>
      <c r="F828" s="290">
        <v>8</v>
      </c>
      <c r="G828" s="289">
        <v>1100</v>
      </c>
      <c r="H828" s="289">
        <v>0</v>
      </c>
      <c r="I828" s="289">
        <v>110</v>
      </c>
      <c r="J828" s="289">
        <v>50</v>
      </c>
      <c r="K828" s="289">
        <v>5</v>
      </c>
      <c r="L828" s="289">
        <v>1265</v>
      </c>
    </row>
    <row r="829" spans="1:12">
      <c r="A829" s="288" t="s">
        <v>1655</v>
      </c>
      <c r="B829" s="288" t="s">
        <v>1641</v>
      </c>
      <c r="C829" s="288" t="s">
        <v>814</v>
      </c>
      <c r="D829" s="288" t="s">
        <v>818</v>
      </c>
      <c r="E829" s="289">
        <v>10</v>
      </c>
      <c r="F829" s="290">
        <v>17</v>
      </c>
      <c r="G829" s="289">
        <v>1100</v>
      </c>
      <c r="H829" s="289">
        <v>770</v>
      </c>
      <c r="I829" s="289">
        <v>187</v>
      </c>
      <c r="J829" s="289">
        <v>70</v>
      </c>
      <c r="K829" s="289">
        <v>7</v>
      </c>
      <c r="L829" s="289">
        <v>2134</v>
      </c>
    </row>
    <row r="830" spans="1:12">
      <c r="A830" s="288" t="s">
        <v>1656</v>
      </c>
      <c r="B830" s="288" t="s">
        <v>1641</v>
      </c>
      <c r="C830" s="288" t="s">
        <v>814</v>
      </c>
      <c r="D830" s="288" t="s">
        <v>815</v>
      </c>
      <c r="E830" s="289">
        <v>10</v>
      </c>
      <c r="F830" s="290">
        <v>9</v>
      </c>
      <c r="G830" s="289">
        <v>1100</v>
      </c>
      <c r="H830" s="289">
        <v>0</v>
      </c>
      <c r="I830" s="289">
        <v>110</v>
      </c>
      <c r="J830" s="289">
        <v>50</v>
      </c>
      <c r="K830" s="289">
        <v>5</v>
      </c>
      <c r="L830" s="289">
        <v>1265</v>
      </c>
    </row>
    <row r="831" spans="1:12">
      <c r="A831" s="288" t="s">
        <v>1657</v>
      </c>
      <c r="B831" s="288" t="s">
        <v>1641</v>
      </c>
      <c r="C831" s="288" t="s">
        <v>814</v>
      </c>
      <c r="D831" s="288" t="s">
        <v>815</v>
      </c>
      <c r="E831" s="289">
        <v>10</v>
      </c>
      <c r="F831" s="290">
        <v>35</v>
      </c>
      <c r="G831" s="289">
        <v>1100</v>
      </c>
      <c r="H831" s="289">
        <v>2750</v>
      </c>
      <c r="I831" s="289">
        <v>385</v>
      </c>
      <c r="J831" s="289">
        <v>50</v>
      </c>
      <c r="K831" s="289">
        <v>5</v>
      </c>
      <c r="L831" s="289">
        <v>4290</v>
      </c>
    </row>
    <row r="832" spans="1:12">
      <c r="A832" s="288" t="s">
        <v>1658</v>
      </c>
      <c r="B832" s="288" t="s">
        <v>1641</v>
      </c>
      <c r="C832" s="288" t="s">
        <v>814</v>
      </c>
      <c r="D832" s="288" t="s">
        <v>818</v>
      </c>
      <c r="E832" s="289">
        <v>10</v>
      </c>
      <c r="F832" s="290">
        <v>27</v>
      </c>
      <c r="G832" s="289">
        <v>1100</v>
      </c>
      <c r="H832" s="289">
        <v>1870</v>
      </c>
      <c r="I832" s="289">
        <v>297</v>
      </c>
      <c r="J832" s="289">
        <v>70</v>
      </c>
      <c r="K832" s="289">
        <v>7</v>
      </c>
      <c r="L832" s="289">
        <v>3344</v>
      </c>
    </row>
    <row r="833" spans="1:12">
      <c r="A833" s="288" t="s">
        <v>1659</v>
      </c>
      <c r="B833" s="288" t="s">
        <v>1641</v>
      </c>
      <c r="C833" s="288" t="s">
        <v>814</v>
      </c>
      <c r="D833" s="288" t="s">
        <v>815</v>
      </c>
      <c r="E833" s="289">
        <v>10</v>
      </c>
      <c r="F833" s="290">
        <v>20</v>
      </c>
      <c r="G833" s="289">
        <v>1100</v>
      </c>
      <c r="H833" s="289">
        <v>1100</v>
      </c>
      <c r="I833" s="289">
        <v>220</v>
      </c>
      <c r="J833" s="289">
        <v>50</v>
      </c>
      <c r="K833" s="289">
        <v>5</v>
      </c>
      <c r="L833" s="289">
        <v>2475</v>
      </c>
    </row>
    <row r="834" spans="1:12">
      <c r="A834" s="288" t="s">
        <v>1660</v>
      </c>
      <c r="B834" s="288" t="s">
        <v>1641</v>
      </c>
      <c r="C834" s="288" t="s">
        <v>814</v>
      </c>
      <c r="D834" s="288" t="s">
        <v>815</v>
      </c>
      <c r="E834" s="289">
        <v>10</v>
      </c>
      <c r="F834" s="290">
        <v>8</v>
      </c>
      <c r="G834" s="289">
        <v>1100</v>
      </c>
      <c r="H834" s="289">
        <v>0</v>
      </c>
      <c r="I834" s="289">
        <v>110</v>
      </c>
      <c r="J834" s="289">
        <v>50</v>
      </c>
      <c r="K834" s="289">
        <v>5</v>
      </c>
      <c r="L834" s="289">
        <v>1265</v>
      </c>
    </row>
    <row r="835" spans="1:12">
      <c r="A835" s="288" t="s">
        <v>1661</v>
      </c>
      <c r="B835" s="288" t="s">
        <v>1641</v>
      </c>
      <c r="C835" s="288" t="s">
        <v>814</v>
      </c>
      <c r="D835" s="288" t="s">
        <v>818</v>
      </c>
      <c r="E835" s="289">
        <v>10</v>
      </c>
      <c r="F835" s="290">
        <v>22</v>
      </c>
      <c r="G835" s="289">
        <v>1100</v>
      </c>
      <c r="H835" s="289">
        <v>1320</v>
      </c>
      <c r="I835" s="289">
        <v>242</v>
      </c>
      <c r="J835" s="289">
        <v>70</v>
      </c>
      <c r="K835" s="289">
        <v>7</v>
      </c>
      <c r="L835" s="289">
        <v>2739</v>
      </c>
    </row>
    <row r="836" spans="1:12">
      <c r="A836" s="288" t="s">
        <v>1662</v>
      </c>
      <c r="B836" s="288" t="s">
        <v>1641</v>
      </c>
      <c r="C836" s="288" t="s">
        <v>814</v>
      </c>
      <c r="D836" s="288" t="s">
        <v>815</v>
      </c>
      <c r="E836" s="289">
        <v>10</v>
      </c>
      <c r="F836" s="290">
        <v>15</v>
      </c>
      <c r="G836" s="289">
        <v>1100</v>
      </c>
      <c r="H836" s="289">
        <v>550</v>
      </c>
      <c r="I836" s="289">
        <v>165</v>
      </c>
      <c r="J836" s="289">
        <v>50</v>
      </c>
      <c r="K836" s="289">
        <v>5</v>
      </c>
      <c r="L836" s="289">
        <v>1870</v>
      </c>
    </row>
    <row r="837" spans="1:12">
      <c r="A837" s="288" t="s">
        <v>1663</v>
      </c>
      <c r="B837" s="288" t="s">
        <v>1641</v>
      </c>
      <c r="C837" s="288" t="s">
        <v>814</v>
      </c>
      <c r="D837" s="288" t="s">
        <v>815</v>
      </c>
      <c r="E837" s="289">
        <v>10</v>
      </c>
      <c r="F837" s="290">
        <v>7</v>
      </c>
      <c r="G837" s="289">
        <v>1100</v>
      </c>
      <c r="H837" s="289">
        <v>0</v>
      </c>
      <c r="I837" s="289">
        <v>110</v>
      </c>
      <c r="J837" s="289">
        <v>50</v>
      </c>
      <c r="K837" s="289">
        <v>5</v>
      </c>
      <c r="L837" s="289">
        <v>1265</v>
      </c>
    </row>
    <row r="838" spans="1:12">
      <c r="A838" s="288" t="s">
        <v>1664</v>
      </c>
      <c r="B838" s="288" t="s">
        <v>1641</v>
      </c>
      <c r="C838" s="288" t="s">
        <v>814</v>
      </c>
      <c r="D838" s="288" t="s">
        <v>815</v>
      </c>
      <c r="E838" s="289">
        <v>10</v>
      </c>
      <c r="F838" s="290">
        <v>7</v>
      </c>
      <c r="G838" s="289">
        <v>1100</v>
      </c>
      <c r="H838" s="289">
        <v>0</v>
      </c>
      <c r="I838" s="289">
        <v>110</v>
      </c>
      <c r="J838" s="289">
        <v>50</v>
      </c>
      <c r="K838" s="289">
        <v>5</v>
      </c>
      <c r="L838" s="289">
        <v>1265</v>
      </c>
    </row>
    <row r="839" spans="1:12">
      <c r="A839" s="288" t="s">
        <v>1665</v>
      </c>
      <c r="B839" s="288" t="s">
        <v>1641</v>
      </c>
      <c r="C839" s="288" t="s">
        <v>814</v>
      </c>
      <c r="D839" s="288" t="s">
        <v>818</v>
      </c>
      <c r="E839" s="289">
        <v>10</v>
      </c>
      <c r="F839" s="290">
        <v>12</v>
      </c>
      <c r="G839" s="289">
        <v>1100</v>
      </c>
      <c r="H839" s="289">
        <v>220</v>
      </c>
      <c r="I839" s="289">
        <v>132</v>
      </c>
      <c r="J839" s="289">
        <v>70</v>
      </c>
      <c r="K839" s="289">
        <v>7</v>
      </c>
      <c r="L839" s="289">
        <v>1529</v>
      </c>
    </row>
    <row r="840" spans="1:12">
      <c r="A840" s="288" t="s">
        <v>1666</v>
      </c>
      <c r="B840" s="288" t="s">
        <v>1641</v>
      </c>
      <c r="C840" s="288" t="s">
        <v>814</v>
      </c>
      <c r="D840" s="288" t="s">
        <v>815</v>
      </c>
      <c r="E840" s="289">
        <v>10</v>
      </c>
      <c r="F840" s="290">
        <v>24</v>
      </c>
      <c r="G840" s="289">
        <v>1100</v>
      </c>
      <c r="H840" s="289">
        <v>1540</v>
      </c>
      <c r="I840" s="289">
        <v>264</v>
      </c>
      <c r="J840" s="289">
        <v>50</v>
      </c>
      <c r="K840" s="289">
        <v>5</v>
      </c>
      <c r="L840" s="289">
        <v>2959</v>
      </c>
    </row>
    <row r="841" spans="1:12">
      <c r="A841" s="288" t="s">
        <v>1667</v>
      </c>
      <c r="B841" s="288" t="s">
        <v>1641</v>
      </c>
      <c r="C841" s="288" t="s">
        <v>814</v>
      </c>
      <c r="D841" s="288" t="s">
        <v>815</v>
      </c>
      <c r="E841" s="289">
        <v>10</v>
      </c>
      <c r="F841" s="290">
        <v>78</v>
      </c>
      <c r="G841" s="289">
        <v>1100</v>
      </c>
      <c r="H841" s="289">
        <v>7480</v>
      </c>
      <c r="I841" s="289">
        <v>858</v>
      </c>
      <c r="J841" s="289">
        <v>50</v>
      </c>
      <c r="K841" s="289">
        <v>5</v>
      </c>
      <c r="L841" s="289">
        <v>9493</v>
      </c>
    </row>
    <row r="842" spans="1:12">
      <c r="A842" s="288" t="s">
        <v>1668</v>
      </c>
      <c r="B842" s="288" t="s">
        <v>1641</v>
      </c>
      <c r="C842" s="288" t="s">
        <v>814</v>
      </c>
      <c r="D842" s="288" t="s">
        <v>815</v>
      </c>
      <c r="E842" s="289">
        <v>10</v>
      </c>
      <c r="F842" s="290">
        <v>16</v>
      </c>
      <c r="G842" s="289">
        <v>1100</v>
      </c>
      <c r="H842" s="289">
        <v>660</v>
      </c>
      <c r="I842" s="289">
        <v>176</v>
      </c>
      <c r="J842" s="289">
        <v>50</v>
      </c>
      <c r="K842" s="289">
        <v>5</v>
      </c>
      <c r="L842" s="289">
        <v>1991</v>
      </c>
    </row>
    <row r="843" spans="1:12">
      <c r="A843" s="288" t="s">
        <v>1669</v>
      </c>
      <c r="B843" s="288" t="s">
        <v>1641</v>
      </c>
      <c r="C843" s="288" t="s">
        <v>814</v>
      </c>
      <c r="D843" s="288" t="s">
        <v>818</v>
      </c>
      <c r="E843" s="289">
        <v>10</v>
      </c>
      <c r="F843" s="290">
        <v>25</v>
      </c>
      <c r="G843" s="289">
        <v>1100</v>
      </c>
      <c r="H843" s="289">
        <v>1650</v>
      </c>
      <c r="I843" s="289">
        <v>275</v>
      </c>
      <c r="J843" s="289">
        <v>70</v>
      </c>
      <c r="K843" s="289">
        <v>7</v>
      </c>
      <c r="L843" s="289">
        <v>3102</v>
      </c>
    </row>
    <row r="844" spans="1:12">
      <c r="A844" s="288" t="s">
        <v>1670</v>
      </c>
      <c r="B844" s="288" t="s">
        <v>1641</v>
      </c>
      <c r="C844" s="288" t="s">
        <v>814</v>
      </c>
      <c r="D844" s="288" t="s">
        <v>818</v>
      </c>
      <c r="E844" s="289">
        <v>10</v>
      </c>
      <c r="F844" s="290">
        <v>17</v>
      </c>
      <c r="G844" s="289">
        <v>1100</v>
      </c>
      <c r="H844" s="289">
        <v>770</v>
      </c>
      <c r="I844" s="289">
        <v>187</v>
      </c>
      <c r="J844" s="289">
        <v>70</v>
      </c>
      <c r="K844" s="289">
        <v>7</v>
      </c>
      <c r="L844" s="289">
        <v>2134</v>
      </c>
    </row>
    <row r="845" spans="1:12">
      <c r="A845" s="288" t="s">
        <v>1671</v>
      </c>
      <c r="B845" s="288" t="s">
        <v>1641</v>
      </c>
      <c r="C845" s="288" t="s">
        <v>814</v>
      </c>
      <c r="D845" s="288" t="s">
        <v>818</v>
      </c>
      <c r="E845" s="289">
        <v>10</v>
      </c>
      <c r="F845" s="290">
        <v>29</v>
      </c>
      <c r="G845" s="289">
        <v>1100</v>
      </c>
      <c r="H845" s="289">
        <v>2090</v>
      </c>
      <c r="I845" s="289">
        <v>319</v>
      </c>
      <c r="J845" s="289">
        <v>70</v>
      </c>
      <c r="K845" s="289">
        <v>7</v>
      </c>
      <c r="L845" s="289">
        <v>3586</v>
      </c>
    </row>
    <row r="846" spans="1:12">
      <c r="A846" s="288" t="s">
        <v>1672</v>
      </c>
      <c r="B846" s="288" t="s">
        <v>1641</v>
      </c>
      <c r="C846" s="288" t="s">
        <v>814</v>
      </c>
      <c r="D846" s="288" t="s">
        <v>818</v>
      </c>
      <c r="E846" s="289">
        <v>10</v>
      </c>
      <c r="F846" s="290">
        <v>10</v>
      </c>
      <c r="G846" s="289">
        <v>1100</v>
      </c>
      <c r="H846" s="289">
        <v>0</v>
      </c>
      <c r="I846" s="289">
        <v>110</v>
      </c>
      <c r="J846" s="289">
        <v>70</v>
      </c>
      <c r="K846" s="289">
        <v>7</v>
      </c>
      <c r="L846" s="289">
        <v>1287</v>
      </c>
    </row>
    <row r="847" spans="1:12">
      <c r="A847" s="288" t="s">
        <v>1673</v>
      </c>
      <c r="B847" s="288" t="s">
        <v>1641</v>
      </c>
      <c r="C847" s="288" t="s">
        <v>814</v>
      </c>
      <c r="D847" s="288" t="s">
        <v>818</v>
      </c>
      <c r="E847" s="289">
        <v>10</v>
      </c>
      <c r="F847" s="290">
        <v>8</v>
      </c>
      <c r="G847" s="289">
        <v>1100</v>
      </c>
      <c r="H847" s="289">
        <v>0</v>
      </c>
      <c r="I847" s="289">
        <v>110</v>
      </c>
      <c r="J847" s="289">
        <v>70</v>
      </c>
      <c r="K847" s="289">
        <v>7</v>
      </c>
      <c r="L847" s="289">
        <v>1287</v>
      </c>
    </row>
    <row r="848" spans="1:12">
      <c r="A848" s="288" t="s">
        <v>1674</v>
      </c>
      <c r="B848" s="288" t="s">
        <v>1641</v>
      </c>
      <c r="C848" s="288" t="s">
        <v>814</v>
      </c>
      <c r="D848" s="288" t="s">
        <v>818</v>
      </c>
      <c r="E848" s="289">
        <v>10</v>
      </c>
      <c r="F848" s="290">
        <v>10</v>
      </c>
      <c r="G848" s="289">
        <v>1100</v>
      </c>
      <c r="H848" s="289">
        <v>0</v>
      </c>
      <c r="I848" s="289">
        <v>110</v>
      </c>
      <c r="J848" s="289">
        <v>70</v>
      </c>
      <c r="K848" s="289">
        <v>7</v>
      </c>
      <c r="L848" s="289">
        <v>1287</v>
      </c>
    </row>
    <row r="849" spans="1:12">
      <c r="A849" s="288" t="s">
        <v>1675</v>
      </c>
      <c r="B849" s="288" t="s">
        <v>1641</v>
      </c>
      <c r="C849" s="288" t="s">
        <v>814</v>
      </c>
      <c r="D849" s="288" t="s">
        <v>818</v>
      </c>
      <c r="E849" s="289">
        <v>10</v>
      </c>
      <c r="F849" s="290">
        <v>19</v>
      </c>
      <c r="G849" s="289">
        <v>1100</v>
      </c>
      <c r="H849" s="289">
        <v>990</v>
      </c>
      <c r="I849" s="289">
        <v>209</v>
      </c>
      <c r="J849" s="289">
        <v>70</v>
      </c>
      <c r="K849" s="289">
        <v>7</v>
      </c>
      <c r="L849" s="289">
        <v>2376</v>
      </c>
    </row>
    <row r="850" spans="1:12">
      <c r="A850" s="288" t="s">
        <v>1676</v>
      </c>
      <c r="B850" s="288" t="s">
        <v>1641</v>
      </c>
      <c r="C850" s="288" t="s">
        <v>814</v>
      </c>
      <c r="D850" s="288" t="s">
        <v>818</v>
      </c>
      <c r="E850" s="289">
        <v>10</v>
      </c>
      <c r="F850" s="290">
        <v>14</v>
      </c>
      <c r="G850" s="289">
        <v>1100</v>
      </c>
      <c r="H850" s="289">
        <v>440</v>
      </c>
      <c r="I850" s="289">
        <v>154</v>
      </c>
      <c r="J850" s="289">
        <v>70</v>
      </c>
      <c r="K850" s="289">
        <v>7</v>
      </c>
      <c r="L850" s="289">
        <v>1771</v>
      </c>
    </row>
    <row r="851" spans="1:12">
      <c r="A851" s="288" t="s">
        <v>1677</v>
      </c>
      <c r="B851" s="288" t="s">
        <v>1641</v>
      </c>
      <c r="C851" s="288" t="s">
        <v>814</v>
      </c>
      <c r="D851" s="288" t="s">
        <v>818</v>
      </c>
      <c r="E851" s="289">
        <v>10</v>
      </c>
      <c r="F851" s="290">
        <v>14</v>
      </c>
      <c r="G851" s="289">
        <v>1100</v>
      </c>
      <c r="H851" s="289">
        <v>440</v>
      </c>
      <c r="I851" s="289">
        <v>154</v>
      </c>
      <c r="J851" s="289">
        <v>70</v>
      </c>
      <c r="K851" s="289">
        <v>7</v>
      </c>
      <c r="L851" s="289">
        <v>1771</v>
      </c>
    </row>
    <row r="852" spans="1:12">
      <c r="A852" s="288" t="s">
        <v>1678</v>
      </c>
      <c r="B852" s="288" t="s">
        <v>1641</v>
      </c>
      <c r="C852" s="288" t="s">
        <v>814</v>
      </c>
      <c r="D852" s="288" t="s">
        <v>818</v>
      </c>
      <c r="E852" s="289">
        <v>10</v>
      </c>
      <c r="F852" s="290">
        <v>17</v>
      </c>
      <c r="G852" s="289">
        <v>1100</v>
      </c>
      <c r="H852" s="289">
        <v>770</v>
      </c>
      <c r="I852" s="289">
        <v>187</v>
      </c>
      <c r="J852" s="289">
        <v>70</v>
      </c>
      <c r="K852" s="289">
        <v>7</v>
      </c>
      <c r="L852" s="289">
        <v>2134</v>
      </c>
    </row>
    <row r="853" spans="1:12">
      <c r="A853" s="288" t="s">
        <v>1679</v>
      </c>
      <c r="B853" s="288" t="s">
        <v>1641</v>
      </c>
      <c r="C853" s="288" t="s">
        <v>814</v>
      </c>
      <c r="D853" s="288" t="s">
        <v>818</v>
      </c>
      <c r="E853" s="289">
        <v>10</v>
      </c>
      <c r="F853" s="290">
        <v>19</v>
      </c>
      <c r="G853" s="289">
        <v>1100</v>
      </c>
      <c r="H853" s="289">
        <v>990</v>
      </c>
      <c r="I853" s="289">
        <v>209</v>
      </c>
      <c r="J853" s="289">
        <v>70</v>
      </c>
      <c r="K853" s="289">
        <v>7</v>
      </c>
      <c r="L853" s="289">
        <v>2376</v>
      </c>
    </row>
    <row r="854" spans="1:12">
      <c r="A854" s="288" t="s">
        <v>1680</v>
      </c>
      <c r="B854" s="288" t="s">
        <v>1641</v>
      </c>
      <c r="C854" s="288" t="s">
        <v>814</v>
      </c>
      <c r="D854" s="288" t="s">
        <v>818</v>
      </c>
      <c r="E854" s="289">
        <v>10</v>
      </c>
      <c r="F854" s="290">
        <v>8</v>
      </c>
      <c r="G854" s="289">
        <v>1100</v>
      </c>
      <c r="H854" s="289">
        <v>0</v>
      </c>
      <c r="I854" s="289">
        <v>110</v>
      </c>
      <c r="J854" s="289">
        <v>70</v>
      </c>
      <c r="K854" s="289">
        <v>7</v>
      </c>
      <c r="L854" s="289">
        <v>1287</v>
      </c>
    </row>
    <row r="855" spans="1:12">
      <c r="A855" s="288" t="s">
        <v>1681</v>
      </c>
      <c r="B855" s="288" t="s">
        <v>1641</v>
      </c>
      <c r="C855" s="288" t="s">
        <v>814</v>
      </c>
      <c r="D855" s="288" t="s">
        <v>818</v>
      </c>
      <c r="E855" s="289">
        <v>10</v>
      </c>
      <c r="F855" s="290">
        <v>23</v>
      </c>
      <c r="G855" s="289">
        <v>1100</v>
      </c>
      <c r="H855" s="289">
        <v>1430</v>
      </c>
      <c r="I855" s="289">
        <v>253</v>
      </c>
      <c r="J855" s="289">
        <v>70</v>
      </c>
      <c r="K855" s="289">
        <v>7</v>
      </c>
      <c r="L855" s="289">
        <v>2860</v>
      </c>
    </row>
    <row r="856" spans="1:12">
      <c r="A856" s="288" t="s">
        <v>1682</v>
      </c>
      <c r="B856" s="288" t="s">
        <v>1641</v>
      </c>
      <c r="C856" s="288" t="s">
        <v>814</v>
      </c>
      <c r="D856" s="288" t="s">
        <v>818</v>
      </c>
      <c r="E856" s="289">
        <v>10</v>
      </c>
      <c r="F856" s="290">
        <v>15</v>
      </c>
      <c r="G856" s="289">
        <v>1100</v>
      </c>
      <c r="H856" s="289">
        <v>550</v>
      </c>
      <c r="I856" s="289">
        <v>165</v>
      </c>
      <c r="J856" s="289">
        <v>70</v>
      </c>
      <c r="K856" s="289">
        <v>7</v>
      </c>
      <c r="L856" s="289">
        <v>1892</v>
      </c>
    </row>
    <row r="857" spans="1:12">
      <c r="A857" s="288" t="s">
        <v>1683</v>
      </c>
      <c r="B857" s="288" t="s">
        <v>1641</v>
      </c>
      <c r="C857" s="288" t="s">
        <v>814</v>
      </c>
      <c r="D857" s="288" t="s">
        <v>818</v>
      </c>
      <c r="E857" s="289">
        <v>10</v>
      </c>
      <c r="F857" s="290">
        <v>12</v>
      </c>
      <c r="G857" s="289">
        <v>1100</v>
      </c>
      <c r="H857" s="289">
        <v>220</v>
      </c>
      <c r="I857" s="289">
        <v>132</v>
      </c>
      <c r="J857" s="289">
        <v>70</v>
      </c>
      <c r="K857" s="289">
        <v>7</v>
      </c>
      <c r="L857" s="289">
        <v>1529</v>
      </c>
    </row>
    <row r="858" spans="1:12">
      <c r="A858" s="288" t="s">
        <v>1684</v>
      </c>
      <c r="B858" s="288" t="s">
        <v>1641</v>
      </c>
      <c r="C858" s="288" t="s">
        <v>814</v>
      </c>
      <c r="D858" s="288" t="s">
        <v>818</v>
      </c>
      <c r="E858" s="289">
        <v>10</v>
      </c>
      <c r="F858" s="290">
        <v>11</v>
      </c>
      <c r="G858" s="289">
        <v>1100</v>
      </c>
      <c r="H858" s="289">
        <v>110</v>
      </c>
      <c r="I858" s="289">
        <v>121</v>
      </c>
      <c r="J858" s="289">
        <v>70</v>
      </c>
      <c r="K858" s="289">
        <v>7</v>
      </c>
      <c r="L858" s="289">
        <v>1408</v>
      </c>
    </row>
    <row r="859" spans="1:12">
      <c r="A859" s="288" t="s">
        <v>1685</v>
      </c>
      <c r="B859" s="288" t="s">
        <v>1641</v>
      </c>
      <c r="C859" s="288" t="s">
        <v>814</v>
      </c>
      <c r="D859" s="288" t="s">
        <v>818</v>
      </c>
      <c r="E859" s="289">
        <v>10</v>
      </c>
      <c r="F859" s="290">
        <v>30</v>
      </c>
      <c r="G859" s="289">
        <v>1100</v>
      </c>
      <c r="H859" s="289">
        <v>2200</v>
      </c>
      <c r="I859" s="289">
        <v>330</v>
      </c>
      <c r="J859" s="289">
        <v>70</v>
      </c>
      <c r="K859" s="289">
        <v>7</v>
      </c>
      <c r="L859" s="289">
        <v>3707</v>
      </c>
    </row>
    <row r="860" spans="1:12">
      <c r="A860" s="288" t="s">
        <v>1686</v>
      </c>
      <c r="B860" s="288" t="s">
        <v>1641</v>
      </c>
      <c r="C860" s="288" t="s">
        <v>814</v>
      </c>
      <c r="D860" s="288" t="s">
        <v>818</v>
      </c>
      <c r="E860" s="289">
        <v>10</v>
      </c>
      <c r="F860" s="290">
        <v>27</v>
      </c>
      <c r="G860" s="289">
        <v>1100</v>
      </c>
      <c r="H860" s="289">
        <v>1870</v>
      </c>
      <c r="I860" s="289">
        <v>297</v>
      </c>
      <c r="J860" s="289">
        <v>70</v>
      </c>
      <c r="K860" s="289">
        <v>7</v>
      </c>
      <c r="L860" s="289">
        <v>3344</v>
      </c>
    </row>
    <row r="861" spans="1:12">
      <c r="A861" s="288" t="s">
        <v>1687</v>
      </c>
      <c r="B861" s="288" t="s">
        <v>1641</v>
      </c>
      <c r="C861" s="288" t="s">
        <v>814</v>
      </c>
      <c r="D861" s="288" t="s">
        <v>818</v>
      </c>
      <c r="E861" s="289">
        <v>10</v>
      </c>
      <c r="F861" s="290">
        <v>18</v>
      </c>
      <c r="G861" s="289">
        <v>1100</v>
      </c>
      <c r="H861" s="289">
        <v>880</v>
      </c>
      <c r="I861" s="289">
        <v>198</v>
      </c>
      <c r="J861" s="289">
        <v>70</v>
      </c>
      <c r="K861" s="289">
        <v>7</v>
      </c>
      <c r="L861" s="289">
        <v>2255</v>
      </c>
    </row>
    <row r="862" spans="1:12">
      <c r="A862" s="288" t="s">
        <v>1688</v>
      </c>
      <c r="B862" s="288" t="s">
        <v>1641</v>
      </c>
      <c r="C862" s="288" t="s">
        <v>814</v>
      </c>
      <c r="D862" s="288" t="s">
        <v>818</v>
      </c>
      <c r="E862" s="289">
        <v>10</v>
      </c>
      <c r="F862" s="290">
        <v>8</v>
      </c>
      <c r="G862" s="289">
        <v>1100</v>
      </c>
      <c r="H862" s="289">
        <v>0</v>
      </c>
      <c r="I862" s="289">
        <v>110</v>
      </c>
      <c r="J862" s="289">
        <v>70</v>
      </c>
      <c r="K862" s="289">
        <v>7</v>
      </c>
      <c r="L862" s="289">
        <v>1287</v>
      </c>
    </row>
    <row r="863" spans="1:12">
      <c r="A863" s="288" t="s">
        <v>1689</v>
      </c>
      <c r="B863" s="288" t="s">
        <v>1641</v>
      </c>
      <c r="C863" s="288" t="s">
        <v>814</v>
      </c>
      <c r="D863" s="288" t="s">
        <v>818</v>
      </c>
      <c r="E863" s="289">
        <v>10</v>
      </c>
      <c r="F863" s="290">
        <v>4</v>
      </c>
      <c r="G863" s="289">
        <v>900</v>
      </c>
      <c r="H863" s="289">
        <v>0</v>
      </c>
      <c r="I863" s="289">
        <v>90</v>
      </c>
      <c r="J863" s="289">
        <v>70</v>
      </c>
      <c r="K863" s="289">
        <v>7</v>
      </c>
      <c r="L863" s="289">
        <v>1067</v>
      </c>
    </row>
    <row r="864" spans="1:12">
      <c r="A864" s="288" t="s">
        <v>1690</v>
      </c>
      <c r="B864" s="288" t="s">
        <v>1641</v>
      </c>
      <c r="C864" s="288" t="s">
        <v>814</v>
      </c>
      <c r="D864" s="288" t="s">
        <v>818</v>
      </c>
      <c r="E864" s="289">
        <v>10</v>
      </c>
      <c r="F864" s="290">
        <v>13</v>
      </c>
      <c r="G864" s="289">
        <v>1100</v>
      </c>
      <c r="H864" s="289">
        <v>330</v>
      </c>
      <c r="I864" s="289">
        <v>143</v>
      </c>
      <c r="J864" s="289">
        <v>70</v>
      </c>
      <c r="K864" s="289">
        <v>7</v>
      </c>
      <c r="L864" s="289">
        <v>1650</v>
      </c>
    </row>
    <row r="865" spans="1:12">
      <c r="A865" s="288" t="s">
        <v>1691</v>
      </c>
      <c r="B865" s="288" t="s">
        <v>1641</v>
      </c>
      <c r="C865" s="288" t="s">
        <v>814</v>
      </c>
      <c r="D865" s="288" t="s">
        <v>818</v>
      </c>
      <c r="E865" s="289">
        <v>10</v>
      </c>
      <c r="F865" s="290">
        <v>4</v>
      </c>
      <c r="G865" s="289">
        <v>900</v>
      </c>
      <c r="H865" s="289">
        <v>0</v>
      </c>
      <c r="I865" s="289">
        <v>90</v>
      </c>
      <c r="J865" s="289">
        <v>70</v>
      </c>
      <c r="K865" s="289">
        <v>7</v>
      </c>
      <c r="L865" s="289">
        <v>1067</v>
      </c>
    </row>
    <row r="866" spans="1:12">
      <c r="A866" s="288" t="s">
        <v>1692</v>
      </c>
      <c r="B866" s="288" t="s">
        <v>1641</v>
      </c>
      <c r="C866" s="288" t="s">
        <v>814</v>
      </c>
      <c r="D866" s="288" t="s">
        <v>818</v>
      </c>
      <c r="E866" s="289">
        <v>10</v>
      </c>
      <c r="F866" s="290">
        <v>6</v>
      </c>
      <c r="G866" s="289">
        <v>1100</v>
      </c>
      <c r="H866" s="289">
        <v>0</v>
      </c>
      <c r="I866" s="289">
        <v>110</v>
      </c>
      <c r="J866" s="289">
        <v>70</v>
      </c>
      <c r="K866" s="289">
        <v>7</v>
      </c>
      <c r="L866" s="289">
        <v>1287</v>
      </c>
    </row>
    <row r="867" spans="1:12">
      <c r="A867" s="288" t="s">
        <v>1693</v>
      </c>
      <c r="B867" s="288" t="s">
        <v>1641</v>
      </c>
      <c r="C867" s="288" t="s">
        <v>814</v>
      </c>
      <c r="D867" s="288" t="s">
        <v>818</v>
      </c>
      <c r="E867" s="289">
        <v>10</v>
      </c>
      <c r="F867" s="290">
        <v>2</v>
      </c>
      <c r="G867" s="289">
        <v>900</v>
      </c>
      <c r="H867" s="289">
        <v>0</v>
      </c>
      <c r="I867" s="289">
        <v>90</v>
      </c>
      <c r="J867" s="289">
        <v>70</v>
      </c>
      <c r="K867" s="289">
        <v>7</v>
      </c>
      <c r="L867" s="289">
        <v>1067</v>
      </c>
    </row>
    <row r="868" spans="1:12">
      <c r="A868" s="288" t="s">
        <v>1694</v>
      </c>
      <c r="B868" s="288" t="s">
        <v>1641</v>
      </c>
      <c r="C868" s="288" t="s">
        <v>814</v>
      </c>
      <c r="D868" s="288" t="s">
        <v>818</v>
      </c>
      <c r="E868" s="289">
        <v>10</v>
      </c>
      <c r="F868" s="290">
        <v>17</v>
      </c>
      <c r="G868" s="289">
        <v>1100</v>
      </c>
      <c r="H868" s="289">
        <v>770</v>
      </c>
      <c r="I868" s="289">
        <v>187</v>
      </c>
      <c r="J868" s="289">
        <v>70</v>
      </c>
      <c r="K868" s="289">
        <v>7</v>
      </c>
      <c r="L868" s="289">
        <v>2134</v>
      </c>
    </row>
    <row r="869" spans="1:12">
      <c r="A869" s="288" t="s">
        <v>1695</v>
      </c>
      <c r="B869" s="288" t="s">
        <v>1641</v>
      </c>
      <c r="C869" s="288" t="s">
        <v>814</v>
      </c>
      <c r="D869" s="288" t="s">
        <v>818</v>
      </c>
      <c r="E869" s="289">
        <v>10</v>
      </c>
      <c r="F869" s="290">
        <v>18</v>
      </c>
      <c r="G869" s="289">
        <v>1100</v>
      </c>
      <c r="H869" s="289">
        <v>880</v>
      </c>
      <c r="I869" s="289">
        <v>198</v>
      </c>
      <c r="J869" s="289">
        <v>70</v>
      </c>
      <c r="K869" s="289">
        <v>7</v>
      </c>
      <c r="L869" s="289">
        <v>2255</v>
      </c>
    </row>
    <row r="870" spans="1:12">
      <c r="A870" s="288" t="s">
        <v>1696</v>
      </c>
      <c r="B870" s="288" t="s">
        <v>1641</v>
      </c>
      <c r="C870" s="288" t="s">
        <v>814</v>
      </c>
      <c r="D870" s="288" t="s">
        <v>818</v>
      </c>
      <c r="E870" s="289">
        <v>10</v>
      </c>
      <c r="F870" s="290">
        <v>27</v>
      </c>
      <c r="G870" s="289">
        <v>1100</v>
      </c>
      <c r="H870" s="289">
        <v>1870</v>
      </c>
      <c r="I870" s="289">
        <v>297</v>
      </c>
      <c r="J870" s="289">
        <v>70</v>
      </c>
      <c r="K870" s="289">
        <v>7</v>
      </c>
      <c r="L870" s="289">
        <v>3344</v>
      </c>
    </row>
    <row r="871" spans="1:12">
      <c r="A871" s="288" t="s">
        <v>1697</v>
      </c>
      <c r="B871" s="288" t="s">
        <v>1641</v>
      </c>
      <c r="C871" s="288" t="s">
        <v>829</v>
      </c>
      <c r="D871" s="288" t="s">
        <v>815</v>
      </c>
      <c r="E871" s="289">
        <v>10</v>
      </c>
      <c r="F871" s="290">
        <v>1</v>
      </c>
      <c r="G871" s="289">
        <v>900</v>
      </c>
      <c r="H871" s="289">
        <v>0</v>
      </c>
      <c r="I871" s="289">
        <v>90</v>
      </c>
      <c r="J871" s="289">
        <v>50</v>
      </c>
      <c r="K871" s="289">
        <v>5</v>
      </c>
      <c r="L871" s="289">
        <v>1045</v>
      </c>
    </row>
    <row r="872" spans="1:12">
      <c r="A872" s="288" t="s">
        <v>1698</v>
      </c>
      <c r="B872" s="288" t="s">
        <v>1641</v>
      </c>
      <c r="C872" s="288" t="s">
        <v>820</v>
      </c>
      <c r="D872" s="288" t="s">
        <v>822</v>
      </c>
      <c r="E872" s="289">
        <v>10</v>
      </c>
      <c r="F872" s="290">
        <v>6</v>
      </c>
      <c r="G872" s="289">
        <v>1100</v>
      </c>
      <c r="H872" s="289">
        <v>0</v>
      </c>
      <c r="I872" s="289">
        <v>110</v>
      </c>
      <c r="J872" s="289">
        <v>200</v>
      </c>
      <c r="K872" s="289">
        <v>20</v>
      </c>
      <c r="L872" s="289">
        <v>1430</v>
      </c>
    </row>
    <row r="873" spans="1:12">
      <c r="A873" s="288" t="s">
        <v>1699</v>
      </c>
      <c r="B873" s="288" t="s">
        <v>1641</v>
      </c>
      <c r="C873" s="288" t="s">
        <v>820</v>
      </c>
      <c r="D873" s="288" t="s">
        <v>826</v>
      </c>
      <c r="E873" s="289">
        <v>10</v>
      </c>
      <c r="F873" s="290">
        <v>187</v>
      </c>
      <c r="G873" s="289">
        <v>1100</v>
      </c>
      <c r="H873" s="289">
        <v>18600</v>
      </c>
      <c r="I873" s="289">
        <v>1970</v>
      </c>
      <c r="J873" s="289">
        <v>100</v>
      </c>
      <c r="K873" s="289">
        <v>10</v>
      </c>
      <c r="L873" s="289">
        <v>21780</v>
      </c>
    </row>
    <row r="874" spans="1:12">
      <c r="A874" s="288" t="s">
        <v>1700</v>
      </c>
      <c r="B874" s="288" t="s">
        <v>1641</v>
      </c>
      <c r="C874" s="288" t="s">
        <v>829</v>
      </c>
      <c r="D874" s="288" t="s">
        <v>815</v>
      </c>
      <c r="E874" s="289">
        <v>10</v>
      </c>
      <c r="F874" s="290">
        <v>1</v>
      </c>
      <c r="G874" s="289">
        <v>900</v>
      </c>
      <c r="H874" s="289">
        <v>0</v>
      </c>
      <c r="I874" s="289">
        <v>90</v>
      </c>
      <c r="J874" s="289">
        <v>50</v>
      </c>
      <c r="K874" s="289">
        <v>5</v>
      </c>
      <c r="L874" s="289">
        <v>1045</v>
      </c>
    </row>
    <row r="875" spans="1:12">
      <c r="A875" s="288" t="s">
        <v>1701</v>
      </c>
      <c r="B875" s="288" t="s">
        <v>1641</v>
      </c>
      <c r="C875" s="288" t="s">
        <v>814</v>
      </c>
      <c r="D875" s="288" t="s">
        <v>815</v>
      </c>
      <c r="E875" s="289">
        <v>10</v>
      </c>
      <c r="F875" s="290">
        <v>7</v>
      </c>
      <c r="G875" s="289">
        <v>1100</v>
      </c>
      <c r="H875" s="289">
        <v>0</v>
      </c>
      <c r="I875" s="289">
        <v>110</v>
      </c>
      <c r="J875" s="289">
        <v>50</v>
      </c>
      <c r="K875" s="289">
        <v>5</v>
      </c>
      <c r="L875" s="289">
        <v>1265</v>
      </c>
    </row>
    <row r="876" spans="1:12">
      <c r="A876" s="288" t="s">
        <v>1702</v>
      </c>
      <c r="B876" s="288" t="s">
        <v>1641</v>
      </c>
      <c r="C876" s="288" t="s">
        <v>829</v>
      </c>
      <c r="D876" s="288" t="s">
        <v>826</v>
      </c>
      <c r="E876" s="289">
        <v>10</v>
      </c>
      <c r="F876" s="290">
        <v>0</v>
      </c>
      <c r="G876" s="289">
        <v>900</v>
      </c>
      <c r="H876" s="289">
        <v>0</v>
      </c>
      <c r="I876" s="289">
        <v>90</v>
      </c>
      <c r="J876" s="289">
        <v>100</v>
      </c>
      <c r="K876" s="289">
        <v>10</v>
      </c>
      <c r="L876" s="289">
        <v>1100</v>
      </c>
    </row>
    <row r="877" spans="1:12">
      <c r="A877" s="288" t="s">
        <v>1703</v>
      </c>
      <c r="B877" s="288" t="s">
        <v>1641</v>
      </c>
      <c r="C877" s="288" t="s">
        <v>814</v>
      </c>
      <c r="D877" s="288" t="s">
        <v>815</v>
      </c>
      <c r="E877" s="289">
        <v>10</v>
      </c>
      <c r="F877" s="290">
        <v>21</v>
      </c>
      <c r="G877" s="289">
        <v>1100</v>
      </c>
      <c r="H877" s="289">
        <v>1210</v>
      </c>
      <c r="I877" s="289">
        <v>231</v>
      </c>
      <c r="J877" s="289">
        <v>50</v>
      </c>
      <c r="K877" s="289">
        <v>5</v>
      </c>
      <c r="L877" s="289">
        <v>2596</v>
      </c>
    </row>
    <row r="878" spans="1:12">
      <c r="A878" s="288" t="s">
        <v>1704</v>
      </c>
      <c r="B878" s="288" t="s">
        <v>1641</v>
      </c>
      <c r="C878" s="288" t="s">
        <v>814</v>
      </c>
      <c r="D878" s="288" t="s">
        <v>818</v>
      </c>
      <c r="E878" s="289">
        <v>10</v>
      </c>
      <c r="F878" s="290">
        <v>40</v>
      </c>
      <c r="G878" s="289">
        <v>1100</v>
      </c>
      <c r="H878" s="289">
        <v>3300</v>
      </c>
      <c r="I878" s="289">
        <v>440</v>
      </c>
      <c r="J878" s="289">
        <v>70</v>
      </c>
      <c r="K878" s="289">
        <v>7</v>
      </c>
      <c r="L878" s="289">
        <v>4917</v>
      </c>
    </row>
    <row r="879" spans="1:12">
      <c r="A879" s="288" t="s">
        <v>1705</v>
      </c>
      <c r="B879" s="288" t="s">
        <v>1641</v>
      </c>
      <c r="C879" s="288" t="s">
        <v>814</v>
      </c>
      <c r="D879" s="288" t="s">
        <v>818</v>
      </c>
      <c r="E879" s="289">
        <v>10</v>
      </c>
      <c r="F879" s="290">
        <v>16</v>
      </c>
      <c r="G879" s="289">
        <v>1100</v>
      </c>
      <c r="H879" s="289">
        <v>660</v>
      </c>
      <c r="I879" s="289">
        <v>176</v>
      </c>
      <c r="J879" s="289">
        <v>70</v>
      </c>
      <c r="K879" s="289">
        <v>7</v>
      </c>
      <c r="L879" s="289">
        <v>2013</v>
      </c>
    </row>
    <row r="880" spans="1:12">
      <c r="A880" s="288" t="s">
        <v>1706</v>
      </c>
      <c r="B880" s="288" t="s">
        <v>1641</v>
      </c>
      <c r="C880" s="288" t="s">
        <v>814</v>
      </c>
      <c r="D880" s="288" t="s">
        <v>818</v>
      </c>
      <c r="E880" s="289">
        <v>10</v>
      </c>
      <c r="F880" s="290">
        <v>6</v>
      </c>
      <c r="G880" s="289">
        <v>1100</v>
      </c>
      <c r="H880" s="289">
        <v>0</v>
      </c>
      <c r="I880" s="289">
        <v>110</v>
      </c>
      <c r="J880" s="289">
        <v>70</v>
      </c>
      <c r="K880" s="289">
        <v>7</v>
      </c>
      <c r="L880" s="289">
        <v>1287</v>
      </c>
    </row>
    <row r="881" spans="1:12">
      <c r="A881" s="288" t="s">
        <v>1707</v>
      </c>
      <c r="B881" s="288" t="s">
        <v>1641</v>
      </c>
      <c r="C881" s="288" t="s">
        <v>814</v>
      </c>
      <c r="D881" s="288" t="s">
        <v>818</v>
      </c>
      <c r="E881" s="289">
        <v>10</v>
      </c>
      <c r="F881" s="290">
        <v>11</v>
      </c>
      <c r="G881" s="289">
        <v>1100</v>
      </c>
      <c r="H881" s="289">
        <v>110</v>
      </c>
      <c r="I881" s="289">
        <v>121</v>
      </c>
      <c r="J881" s="289">
        <v>70</v>
      </c>
      <c r="K881" s="289">
        <v>7</v>
      </c>
      <c r="L881" s="289">
        <v>1408</v>
      </c>
    </row>
    <row r="882" spans="1:12">
      <c r="A882" s="288" t="s">
        <v>1708</v>
      </c>
      <c r="B882" s="288" t="s">
        <v>1641</v>
      </c>
      <c r="C882" s="288" t="s">
        <v>814</v>
      </c>
      <c r="D882" s="288" t="s">
        <v>818</v>
      </c>
      <c r="E882" s="289">
        <v>10</v>
      </c>
      <c r="F882" s="290">
        <v>27</v>
      </c>
      <c r="G882" s="289">
        <v>1100</v>
      </c>
      <c r="H882" s="289">
        <v>1870</v>
      </c>
      <c r="I882" s="289">
        <v>297</v>
      </c>
      <c r="J882" s="289">
        <v>70</v>
      </c>
      <c r="K882" s="289">
        <v>7</v>
      </c>
      <c r="L882" s="289">
        <v>3344</v>
      </c>
    </row>
    <row r="883" spans="1:12">
      <c r="A883" s="288" t="s">
        <v>1709</v>
      </c>
      <c r="B883" s="288" t="s">
        <v>1641</v>
      </c>
      <c r="C883" s="288" t="s">
        <v>814</v>
      </c>
      <c r="D883" s="288" t="s">
        <v>818</v>
      </c>
      <c r="E883" s="289">
        <v>10</v>
      </c>
      <c r="F883" s="290">
        <v>11</v>
      </c>
      <c r="G883" s="289">
        <v>1100</v>
      </c>
      <c r="H883" s="289">
        <v>110</v>
      </c>
      <c r="I883" s="289">
        <v>121</v>
      </c>
      <c r="J883" s="289">
        <v>70</v>
      </c>
      <c r="K883" s="289">
        <v>7</v>
      </c>
      <c r="L883" s="289">
        <v>1408</v>
      </c>
    </row>
    <row r="884" spans="1:12">
      <c r="A884" s="288" t="s">
        <v>1710</v>
      </c>
      <c r="B884" s="288" t="s">
        <v>1641</v>
      </c>
      <c r="C884" s="288" t="s">
        <v>814</v>
      </c>
      <c r="D884" s="288" t="s">
        <v>818</v>
      </c>
      <c r="E884" s="289">
        <v>10</v>
      </c>
      <c r="F884" s="290">
        <v>5</v>
      </c>
      <c r="G884" s="289">
        <v>900</v>
      </c>
      <c r="H884" s="289">
        <v>0</v>
      </c>
      <c r="I884" s="289">
        <v>90</v>
      </c>
      <c r="J884" s="289">
        <v>70</v>
      </c>
      <c r="K884" s="289">
        <v>7</v>
      </c>
      <c r="L884" s="289">
        <v>1067</v>
      </c>
    </row>
    <row r="885" spans="1:12">
      <c r="A885" s="288" t="s">
        <v>1711</v>
      </c>
      <c r="B885" s="288" t="s">
        <v>1641</v>
      </c>
      <c r="C885" s="288" t="s">
        <v>814</v>
      </c>
      <c r="D885" s="288" t="s">
        <v>818</v>
      </c>
      <c r="E885" s="289">
        <v>10</v>
      </c>
      <c r="F885" s="290">
        <v>12</v>
      </c>
      <c r="G885" s="289">
        <v>1100</v>
      </c>
      <c r="H885" s="289">
        <v>220</v>
      </c>
      <c r="I885" s="289">
        <v>132</v>
      </c>
      <c r="J885" s="289">
        <v>70</v>
      </c>
      <c r="K885" s="289">
        <v>7</v>
      </c>
      <c r="L885" s="289">
        <v>1529</v>
      </c>
    </row>
    <row r="886" spans="1:12">
      <c r="A886" s="288" t="s">
        <v>1712</v>
      </c>
      <c r="B886" s="288" t="s">
        <v>1641</v>
      </c>
      <c r="C886" s="288" t="s">
        <v>814</v>
      </c>
      <c r="D886" s="288" t="s">
        <v>818</v>
      </c>
      <c r="E886" s="289">
        <v>10</v>
      </c>
      <c r="F886" s="290">
        <v>14</v>
      </c>
      <c r="G886" s="289">
        <v>1100</v>
      </c>
      <c r="H886" s="289">
        <v>440</v>
      </c>
      <c r="I886" s="289">
        <v>154</v>
      </c>
      <c r="J886" s="289">
        <v>70</v>
      </c>
      <c r="K886" s="289">
        <v>7</v>
      </c>
      <c r="L886" s="289">
        <v>1771</v>
      </c>
    </row>
    <row r="887" spans="1:12">
      <c r="A887" s="288" t="s">
        <v>1713</v>
      </c>
      <c r="B887" s="288" t="s">
        <v>1641</v>
      </c>
      <c r="C887" s="288" t="s">
        <v>814</v>
      </c>
      <c r="D887" s="288" t="s">
        <v>818</v>
      </c>
      <c r="E887" s="289">
        <v>10</v>
      </c>
      <c r="F887" s="290">
        <v>10</v>
      </c>
      <c r="G887" s="289">
        <v>1100</v>
      </c>
      <c r="H887" s="289">
        <v>0</v>
      </c>
      <c r="I887" s="289">
        <v>110</v>
      </c>
      <c r="J887" s="289">
        <v>70</v>
      </c>
      <c r="K887" s="289">
        <v>7</v>
      </c>
      <c r="L887" s="289">
        <v>1287</v>
      </c>
    </row>
    <row r="888" spans="1:12">
      <c r="A888" s="288" t="s">
        <v>1714</v>
      </c>
      <c r="B888" s="288" t="s">
        <v>1641</v>
      </c>
      <c r="C888" s="288" t="s">
        <v>814</v>
      </c>
      <c r="D888" s="288" t="s">
        <v>818</v>
      </c>
      <c r="E888" s="289">
        <v>10</v>
      </c>
      <c r="F888" s="290">
        <v>13</v>
      </c>
      <c r="G888" s="289">
        <v>1100</v>
      </c>
      <c r="H888" s="289">
        <v>330</v>
      </c>
      <c r="I888" s="289">
        <v>143</v>
      </c>
      <c r="J888" s="289">
        <v>70</v>
      </c>
      <c r="K888" s="289">
        <v>7</v>
      </c>
      <c r="L888" s="289">
        <v>1650</v>
      </c>
    </row>
    <row r="889" spans="1:12">
      <c r="A889" s="288" t="s">
        <v>1715</v>
      </c>
      <c r="B889" s="288" t="s">
        <v>1641</v>
      </c>
      <c r="C889" s="288" t="s">
        <v>814</v>
      </c>
      <c r="D889" s="288" t="s">
        <v>818</v>
      </c>
      <c r="E889" s="289">
        <v>10</v>
      </c>
      <c r="F889" s="290">
        <v>0</v>
      </c>
      <c r="G889" s="289">
        <v>900</v>
      </c>
      <c r="H889" s="289">
        <v>0</v>
      </c>
      <c r="I889" s="289">
        <v>90</v>
      </c>
      <c r="J889" s="289">
        <v>70</v>
      </c>
      <c r="K889" s="289">
        <v>7</v>
      </c>
      <c r="L889" s="289">
        <v>1067</v>
      </c>
    </row>
    <row r="890" spans="1:12">
      <c r="A890" s="288" t="s">
        <v>1716</v>
      </c>
      <c r="B890" s="288" t="s">
        <v>1641</v>
      </c>
      <c r="C890" s="288" t="s">
        <v>814</v>
      </c>
      <c r="D890" s="288" t="s">
        <v>818</v>
      </c>
      <c r="E890" s="289">
        <v>10</v>
      </c>
      <c r="F890" s="290">
        <v>31</v>
      </c>
      <c r="G890" s="289">
        <v>1100</v>
      </c>
      <c r="H890" s="289">
        <v>2310</v>
      </c>
      <c r="I890" s="289">
        <v>341</v>
      </c>
      <c r="J890" s="289">
        <v>70</v>
      </c>
      <c r="K890" s="289">
        <v>7</v>
      </c>
      <c r="L890" s="289">
        <v>3828</v>
      </c>
    </row>
    <row r="891" spans="1:12">
      <c r="A891" s="288" t="s">
        <v>1717</v>
      </c>
      <c r="B891" s="288" t="s">
        <v>1641</v>
      </c>
      <c r="C891" s="288" t="s">
        <v>814</v>
      </c>
      <c r="D891" s="288" t="s">
        <v>818</v>
      </c>
      <c r="E891" s="289">
        <v>10</v>
      </c>
      <c r="F891" s="290">
        <v>16</v>
      </c>
      <c r="G891" s="289">
        <v>1100</v>
      </c>
      <c r="H891" s="289">
        <v>660</v>
      </c>
      <c r="I891" s="289">
        <v>176</v>
      </c>
      <c r="J891" s="289">
        <v>70</v>
      </c>
      <c r="K891" s="289">
        <v>7</v>
      </c>
      <c r="L891" s="289">
        <v>2013</v>
      </c>
    </row>
    <row r="892" spans="1:12">
      <c r="A892" s="288" t="s">
        <v>1718</v>
      </c>
      <c r="B892" s="288" t="s">
        <v>1641</v>
      </c>
      <c r="C892" s="288" t="s">
        <v>814</v>
      </c>
      <c r="D892" s="288" t="s">
        <v>818</v>
      </c>
      <c r="E892" s="289">
        <v>10</v>
      </c>
      <c r="F892" s="290">
        <v>7</v>
      </c>
      <c r="G892" s="289">
        <v>1100</v>
      </c>
      <c r="H892" s="289">
        <v>0</v>
      </c>
      <c r="I892" s="289">
        <v>110</v>
      </c>
      <c r="J892" s="289">
        <v>70</v>
      </c>
      <c r="K892" s="289">
        <v>7</v>
      </c>
      <c r="L892" s="289">
        <v>1287</v>
      </c>
    </row>
    <row r="893" spans="1:12">
      <c r="A893" s="288" t="s">
        <v>1719</v>
      </c>
      <c r="B893" s="288" t="s">
        <v>1641</v>
      </c>
      <c r="C893" s="288" t="s">
        <v>814</v>
      </c>
      <c r="D893" s="288" t="s">
        <v>818</v>
      </c>
      <c r="E893" s="289">
        <v>10</v>
      </c>
      <c r="F893" s="290">
        <v>13</v>
      </c>
      <c r="G893" s="289">
        <v>1100</v>
      </c>
      <c r="H893" s="289">
        <v>330</v>
      </c>
      <c r="I893" s="289">
        <v>143</v>
      </c>
      <c r="J893" s="289">
        <v>70</v>
      </c>
      <c r="K893" s="289">
        <v>7</v>
      </c>
      <c r="L893" s="289">
        <v>1650</v>
      </c>
    </row>
    <row r="894" spans="1:12">
      <c r="A894" s="288" t="s">
        <v>1720</v>
      </c>
      <c r="B894" s="288" t="s">
        <v>1641</v>
      </c>
      <c r="C894" s="288" t="s">
        <v>814</v>
      </c>
      <c r="D894" s="288" t="s">
        <v>818</v>
      </c>
      <c r="E894" s="289">
        <v>10</v>
      </c>
      <c r="F894" s="290">
        <v>24</v>
      </c>
      <c r="G894" s="289">
        <v>1100</v>
      </c>
      <c r="H894" s="289">
        <v>1540</v>
      </c>
      <c r="I894" s="289">
        <v>264</v>
      </c>
      <c r="J894" s="289">
        <v>70</v>
      </c>
      <c r="K894" s="289">
        <v>7</v>
      </c>
      <c r="L894" s="289">
        <v>2981</v>
      </c>
    </row>
    <row r="895" spans="1:12">
      <c r="A895" s="288" t="s">
        <v>1721</v>
      </c>
      <c r="B895" s="288" t="s">
        <v>1641</v>
      </c>
      <c r="C895" s="288" t="s">
        <v>820</v>
      </c>
      <c r="D895" s="288" t="s">
        <v>818</v>
      </c>
      <c r="E895" s="289">
        <v>10</v>
      </c>
      <c r="F895" s="290">
        <v>0</v>
      </c>
      <c r="G895" s="289">
        <v>900</v>
      </c>
      <c r="H895" s="289">
        <v>0</v>
      </c>
      <c r="I895" s="289">
        <v>90</v>
      </c>
      <c r="J895" s="289">
        <v>70</v>
      </c>
      <c r="K895" s="289">
        <v>7</v>
      </c>
      <c r="L895" s="289">
        <v>1067</v>
      </c>
    </row>
    <row r="896" spans="1:12">
      <c r="A896" s="288" t="s">
        <v>1722</v>
      </c>
      <c r="B896" s="288" t="s">
        <v>1641</v>
      </c>
      <c r="C896" s="288" t="s">
        <v>814</v>
      </c>
      <c r="D896" s="288" t="s">
        <v>818</v>
      </c>
      <c r="E896" s="289">
        <v>10</v>
      </c>
      <c r="F896" s="290">
        <v>31</v>
      </c>
      <c r="G896" s="289">
        <v>1100</v>
      </c>
      <c r="H896" s="289">
        <v>2310</v>
      </c>
      <c r="I896" s="289">
        <v>341</v>
      </c>
      <c r="J896" s="289">
        <v>70</v>
      </c>
      <c r="K896" s="289">
        <v>7</v>
      </c>
      <c r="L896" s="289">
        <v>3828</v>
      </c>
    </row>
    <row r="897" spans="1:12">
      <c r="A897" s="288" t="s">
        <v>1723</v>
      </c>
      <c r="B897" s="288" t="s">
        <v>1641</v>
      </c>
      <c r="C897" s="288" t="s">
        <v>814</v>
      </c>
      <c r="D897" s="288" t="s">
        <v>818</v>
      </c>
      <c r="E897" s="289">
        <v>10</v>
      </c>
      <c r="F897" s="290">
        <v>36</v>
      </c>
      <c r="G897" s="289">
        <v>1100</v>
      </c>
      <c r="H897" s="289">
        <v>2860</v>
      </c>
      <c r="I897" s="289">
        <v>396</v>
      </c>
      <c r="J897" s="289">
        <v>70</v>
      </c>
      <c r="K897" s="289">
        <v>7</v>
      </c>
      <c r="L897" s="289">
        <v>4433</v>
      </c>
    </row>
    <row r="898" spans="1:12">
      <c r="A898" s="288" t="s">
        <v>1724</v>
      </c>
      <c r="B898" s="288" t="s">
        <v>1641</v>
      </c>
      <c r="C898" s="288" t="s">
        <v>814</v>
      </c>
      <c r="D898" s="288" t="s">
        <v>818</v>
      </c>
      <c r="E898" s="289">
        <v>10</v>
      </c>
      <c r="F898" s="290">
        <v>3</v>
      </c>
      <c r="G898" s="289">
        <v>900</v>
      </c>
      <c r="H898" s="289">
        <v>0</v>
      </c>
      <c r="I898" s="289">
        <v>90</v>
      </c>
      <c r="J898" s="289">
        <v>70</v>
      </c>
      <c r="K898" s="289">
        <v>7</v>
      </c>
      <c r="L898" s="289">
        <v>1067</v>
      </c>
    </row>
    <row r="899" spans="1:12">
      <c r="A899" s="288" t="s">
        <v>1725</v>
      </c>
      <c r="B899" s="288" t="s">
        <v>1641</v>
      </c>
      <c r="C899" s="288" t="s">
        <v>814</v>
      </c>
      <c r="D899" s="288" t="s">
        <v>818</v>
      </c>
      <c r="E899" s="289">
        <v>10</v>
      </c>
      <c r="F899" s="290">
        <v>33</v>
      </c>
      <c r="G899" s="289">
        <v>1100</v>
      </c>
      <c r="H899" s="289">
        <v>2530</v>
      </c>
      <c r="I899" s="289">
        <v>363</v>
      </c>
      <c r="J899" s="289">
        <v>70</v>
      </c>
      <c r="K899" s="289">
        <v>7</v>
      </c>
      <c r="L899" s="289">
        <v>4070</v>
      </c>
    </row>
    <row r="900" spans="1:12">
      <c r="A900" s="288" t="s">
        <v>1726</v>
      </c>
      <c r="B900" s="288" t="s">
        <v>1641</v>
      </c>
      <c r="C900" s="288" t="s">
        <v>814</v>
      </c>
      <c r="D900" s="288" t="s">
        <v>815</v>
      </c>
      <c r="E900" s="289">
        <v>10</v>
      </c>
      <c r="F900" s="290">
        <v>13</v>
      </c>
      <c r="G900" s="289">
        <v>1100</v>
      </c>
      <c r="H900" s="289">
        <v>330</v>
      </c>
      <c r="I900" s="289">
        <v>143</v>
      </c>
      <c r="J900" s="289">
        <v>50</v>
      </c>
      <c r="K900" s="289">
        <v>5</v>
      </c>
      <c r="L900" s="289">
        <v>1628</v>
      </c>
    </row>
    <row r="901" spans="1:12">
      <c r="A901" s="288" t="s">
        <v>1727</v>
      </c>
      <c r="B901" s="288" t="s">
        <v>1641</v>
      </c>
      <c r="C901" s="288" t="s">
        <v>814</v>
      </c>
      <c r="D901" s="288" t="s">
        <v>815</v>
      </c>
      <c r="E901" s="289">
        <v>10</v>
      </c>
      <c r="F901" s="290">
        <v>13</v>
      </c>
      <c r="G901" s="289">
        <v>1100</v>
      </c>
      <c r="H901" s="289">
        <v>330</v>
      </c>
      <c r="I901" s="289">
        <v>143</v>
      </c>
      <c r="J901" s="289">
        <v>50</v>
      </c>
      <c r="K901" s="289">
        <v>5</v>
      </c>
      <c r="L901" s="289">
        <v>1628</v>
      </c>
    </row>
    <row r="902" spans="1:12">
      <c r="A902" s="288" t="s">
        <v>1728</v>
      </c>
      <c r="B902" s="288" t="s">
        <v>1641</v>
      </c>
      <c r="C902" s="288" t="s">
        <v>814</v>
      </c>
      <c r="D902" s="288" t="s">
        <v>815</v>
      </c>
      <c r="E902" s="289">
        <v>10</v>
      </c>
      <c r="F902" s="290">
        <v>16</v>
      </c>
      <c r="G902" s="289">
        <v>1100</v>
      </c>
      <c r="H902" s="289">
        <v>660</v>
      </c>
      <c r="I902" s="289">
        <v>176</v>
      </c>
      <c r="J902" s="289">
        <v>50</v>
      </c>
      <c r="K902" s="289">
        <v>5</v>
      </c>
      <c r="L902" s="289">
        <v>1991</v>
      </c>
    </row>
    <row r="903" spans="1:12">
      <c r="A903" s="288" t="s">
        <v>1729</v>
      </c>
      <c r="B903" s="288" t="s">
        <v>1641</v>
      </c>
      <c r="C903" s="288" t="s">
        <v>814</v>
      </c>
      <c r="D903" s="288" t="s">
        <v>815</v>
      </c>
      <c r="E903" s="289">
        <v>10</v>
      </c>
      <c r="F903" s="290">
        <v>0</v>
      </c>
      <c r="G903" s="289">
        <v>900</v>
      </c>
      <c r="H903" s="289">
        <v>0</v>
      </c>
      <c r="I903" s="289">
        <v>90</v>
      </c>
      <c r="J903" s="289">
        <v>50</v>
      </c>
      <c r="K903" s="289">
        <v>5</v>
      </c>
      <c r="L903" s="289">
        <v>1045</v>
      </c>
    </row>
    <row r="904" spans="1:12">
      <c r="A904" s="288" t="s">
        <v>1730</v>
      </c>
      <c r="B904" s="288" t="s">
        <v>1641</v>
      </c>
      <c r="C904" s="288" t="s">
        <v>814</v>
      </c>
      <c r="D904" s="288" t="s">
        <v>815</v>
      </c>
      <c r="E904" s="289">
        <v>10</v>
      </c>
      <c r="F904" s="290">
        <v>0</v>
      </c>
      <c r="G904" s="289">
        <v>900</v>
      </c>
      <c r="H904" s="289">
        <v>0</v>
      </c>
      <c r="I904" s="289">
        <v>90</v>
      </c>
      <c r="J904" s="289">
        <v>50</v>
      </c>
      <c r="K904" s="289">
        <v>5</v>
      </c>
      <c r="L904" s="289">
        <v>1045</v>
      </c>
    </row>
    <row r="905" spans="1:12">
      <c r="A905" s="288" t="s">
        <v>1731</v>
      </c>
      <c r="B905" s="288" t="s">
        <v>1641</v>
      </c>
      <c r="C905" s="288" t="s">
        <v>814</v>
      </c>
      <c r="D905" s="288" t="s">
        <v>815</v>
      </c>
      <c r="E905" s="289">
        <v>10</v>
      </c>
      <c r="F905" s="290">
        <v>4</v>
      </c>
      <c r="G905" s="289">
        <v>900</v>
      </c>
      <c r="H905" s="289">
        <v>0</v>
      </c>
      <c r="I905" s="289">
        <v>90</v>
      </c>
      <c r="J905" s="289">
        <v>50</v>
      </c>
      <c r="K905" s="289">
        <v>5</v>
      </c>
      <c r="L905" s="289">
        <v>1045</v>
      </c>
    </row>
    <row r="906" spans="1:12">
      <c r="A906" s="288" t="s">
        <v>1732</v>
      </c>
      <c r="B906" s="288" t="s">
        <v>1641</v>
      </c>
      <c r="C906" s="288" t="s">
        <v>814</v>
      </c>
      <c r="D906" s="288" t="s">
        <v>815</v>
      </c>
      <c r="E906" s="289">
        <v>10</v>
      </c>
      <c r="F906" s="290">
        <v>27</v>
      </c>
      <c r="G906" s="289">
        <v>1100</v>
      </c>
      <c r="H906" s="289">
        <v>1870</v>
      </c>
      <c r="I906" s="289">
        <v>297</v>
      </c>
      <c r="J906" s="289">
        <v>50</v>
      </c>
      <c r="K906" s="289">
        <v>5</v>
      </c>
      <c r="L906" s="289">
        <v>3322</v>
      </c>
    </row>
    <row r="907" spans="1:12">
      <c r="A907" s="288" t="s">
        <v>1733</v>
      </c>
      <c r="B907" s="288" t="s">
        <v>1641</v>
      </c>
      <c r="C907" s="288" t="s">
        <v>814</v>
      </c>
      <c r="D907" s="288" t="s">
        <v>815</v>
      </c>
      <c r="E907" s="289">
        <v>10</v>
      </c>
      <c r="F907" s="290">
        <v>1</v>
      </c>
      <c r="G907" s="289">
        <v>900</v>
      </c>
      <c r="H907" s="289">
        <v>0</v>
      </c>
      <c r="I907" s="289">
        <v>90</v>
      </c>
      <c r="J907" s="289">
        <v>50</v>
      </c>
      <c r="K907" s="289">
        <v>5</v>
      </c>
      <c r="L907" s="289">
        <v>1045</v>
      </c>
    </row>
    <row r="908" spans="1:12">
      <c r="A908" s="288" t="s">
        <v>1734</v>
      </c>
      <c r="B908" s="288" t="s">
        <v>1641</v>
      </c>
      <c r="C908" s="288" t="s">
        <v>814</v>
      </c>
      <c r="D908" s="288" t="s">
        <v>815</v>
      </c>
      <c r="E908" s="289">
        <v>10</v>
      </c>
      <c r="F908" s="290">
        <v>1</v>
      </c>
      <c r="G908" s="289">
        <v>900</v>
      </c>
      <c r="H908" s="289">
        <v>0</v>
      </c>
      <c r="I908" s="289">
        <v>90</v>
      </c>
      <c r="J908" s="289">
        <v>50</v>
      </c>
      <c r="K908" s="289">
        <v>5</v>
      </c>
      <c r="L908" s="289">
        <v>1045</v>
      </c>
    </row>
    <row r="909" spans="1:12">
      <c r="A909" s="288" t="s">
        <v>1735</v>
      </c>
      <c r="B909" s="288" t="s">
        <v>1641</v>
      </c>
      <c r="C909" s="288" t="s">
        <v>814</v>
      </c>
      <c r="D909" s="288" t="s">
        <v>815</v>
      </c>
      <c r="E909" s="289">
        <v>10</v>
      </c>
      <c r="F909" s="290">
        <v>7</v>
      </c>
      <c r="G909" s="289">
        <v>1100</v>
      </c>
      <c r="H909" s="289">
        <v>0</v>
      </c>
      <c r="I909" s="289">
        <v>110</v>
      </c>
      <c r="J909" s="289">
        <v>50</v>
      </c>
      <c r="K909" s="289">
        <v>5</v>
      </c>
      <c r="L909" s="289">
        <v>1265</v>
      </c>
    </row>
    <row r="910" spans="1:12">
      <c r="A910" s="288" t="s">
        <v>1736</v>
      </c>
      <c r="B910" s="288" t="s">
        <v>1641</v>
      </c>
      <c r="C910" s="288" t="s">
        <v>814</v>
      </c>
      <c r="D910" s="288" t="s">
        <v>818</v>
      </c>
      <c r="E910" s="289">
        <v>10</v>
      </c>
      <c r="F910" s="290">
        <v>7</v>
      </c>
      <c r="G910" s="289">
        <v>1100</v>
      </c>
      <c r="H910" s="289">
        <v>0</v>
      </c>
      <c r="I910" s="289">
        <v>110</v>
      </c>
      <c r="J910" s="289">
        <v>70</v>
      </c>
      <c r="K910" s="289">
        <v>7</v>
      </c>
      <c r="L910" s="289">
        <v>1287</v>
      </c>
    </row>
    <row r="911" spans="1:12">
      <c r="A911" s="288" t="s">
        <v>1737</v>
      </c>
      <c r="B911" s="288" t="s">
        <v>1641</v>
      </c>
      <c r="C911" s="288" t="s">
        <v>814</v>
      </c>
      <c r="D911" s="288" t="s">
        <v>815</v>
      </c>
      <c r="E911" s="289">
        <v>10</v>
      </c>
      <c r="F911" s="290">
        <v>4</v>
      </c>
      <c r="G911" s="289">
        <v>900</v>
      </c>
      <c r="H911" s="289">
        <v>0</v>
      </c>
      <c r="I911" s="289">
        <v>90</v>
      </c>
      <c r="J911" s="289">
        <v>50</v>
      </c>
      <c r="K911" s="289">
        <v>5</v>
      </c>
      <c r="L911" s="289">
        <v>1045</v>
      </c>
    </row>
    <row r="912" spans="1:12">
      <c r="A912" s="288" t="s">
        <v>1738</v>
      </c>
      <c r="B912" s="288" t="s">
        <v>1641</v>
      </c>
      <c r="C912" s="288" t="s">
        <v>814</v>
      </c>
      <c r="D912" s="288" t="s">
        <v>818</v>
      </c>
      <c r="E912" s="289">
        <v>10</v>
      </c>
      <c r="F912" s="290">
        <v>22</v>
      </c>
      <c r="G912" s="289">
        <v>1100</v>
      </c>
      <c r="H912" s="289">
        <v>1320</v>
      </c>
      <c r="I912" s="289">
        <v>242</v>
      </c>
      <c r="J912" s="289">
        <v>70</v>
      </c>
      <c r="K912" s="289">
        <v>7</v>
      </c>
      <c r="L912" s="289">
        <v>2739</v>
      </c>
    </row>
    <row r="913" spans="1:12">
      <c r="A913" s="288" t="s">
        <v>1739</v>
      </c>
      <c r="B913" s="288" t="s">
        <v>1641</v>
      </c>
      <c r="C913" s="288" t="s">
        <v>814</v>
      </c>
      <c r="D913" s="288" t="s">
        <v>818</v>
      </c>
      <c r="E913" s="289">
        <v>10</v>
      </c>
      <c r="F913" s="290">
        <v>11</v>
      </c>
      <c r="G913" s="289">
        <v>1100</v>
      </c>
      <c r="H913" s="289">
        <v>110</v>
      </c>
      <c r="I913" s="289">
        <v>121</v>
      </c>
      <c r="J913" s="289">
        <v>70</v>
      </c>
      <c r="K913" s="289">
        <v>7</v>
      </c>
      <c r="L913" s="289">
        <v>1408</v>
      </c>
    </row>
    <row r="914" spans="1:12">
      <c r="A914" s="288" t="s">
        <v>1740</v>
      </c>
      <c r="B914" s="288" t="s">
        <v>1641</v>
      </c>
      <c r="C914" s="288" t="s">
        <v>814</v>
      </c>
      <c r="D914" s="288" t="s">
        <v>818</v>
      </c>
      <c r="E914" s="289">
        <v>10</v>
      </c>
      <c r="F914" s="290">
        <v>3</v>
      </c>
      <c r="G914" s="289">
        <v>900</v>
      </c>
      <c r="H914" s="289">
        <v>0</v>
      </c>
      <c r="I914" s="289">
        <v>90</v>
      </c>
      <c r="J914" s="289">
        <v>70</v>
      </c>
      <c r="K914" s="289">
        <v>7</v>
      </c>
      <c r="L914" s="289">
        <v>1067</v>
      </c>
    </row>
    <row r="915" spans="1:12">
      <c r="A915" s="288" t="s">
        <v>1741</v>
      </c>
      <c r="B915" s="288" t="s">
        <v>1641</v>
      </c>
      <c r="C915" s="288" t="s">
        <v>814</v>
      </c>
      <c r="D915" s="288" t="s">
        <v>815</v>
      </c>
      <c r="E915" s="289">
        <v>10</v>
      </c>
      <c r="F915" s="290">
        <v>19</v>
      </c>
      <c r="G915" s="289">
        <v>1100</v>
      </c>
      <c r="H915" s="289">
        <v>990</v>
      </c>
      <c r="I915" s="289">
        <v>209</v>
      </c>
      <c r="J915" s="289">
        <v>50</v>
      </c>
      <c r="K915" s="289">
        <v>5</v>
      </c>
      <c r="L915" s="289">
        <v>2354</v>
      </c>
    </row>
    <row r="916" spans="1:12">
      <c r="A916" s="288" t="s">
        <v>1742</v>
      </c>
      <c r="B916" s="288" t="s">
        <v>1641</v>
      </c>
      <c r="C916" s="288" t="s">
        <v>814</v>
      </c>
      <c r="D916" s="288" t="s">
        <v>815</v>
      </c>
      <c r="E916" s="289">
        <v>10</v>
      </c>
      <c r="F916" s="290">
        <v>0</v>
      </c>
      <c r="G916" s="289">
        <v>900</v>
      </c>
      <c r="H916" s="289">
        <v>0</v>
      </c>
      <c r="I916" s="289">
        <v>90</v>
      </c>
      <c r="J916" s="289">
        <v>50</v>
      </c>
      <c r="K916" s="289">
        <v>5</v>
      </c>
      <c r="L916" s="289">
        <v>1045</v>
      </c>
    </row>
    <row r="917" spans="1:12">
      <c r="A917" s="288" t="s">
        <v>1743</v>
      </c>
      <c r="B917" s="288" t="s">
        <v>1641</v>
      </c>
      <c r="C917" s="288" t="s">
        <v>814</v>
      </c>
      <c r="D917" s="288" t="s">
        <v>815</v>
      </c>
      <c r="E917" s="289">
        <v>10</v>
      </c>
      <c r="F917" s="290">
        <v>3</v>
      </c>
      <c r="G917" s="289">
        <v>900</v>
      </c>
      <c r="H917" s="289">
        <v>0</v>
      </c>
      <c r="I917" s="289">
        <v>90</v>
      </c>
      <c r="J917" s="289">
        <v>50</v>
      </c>
      <c r="K917" s="289">
        <v>5</v>
      </c>
      <c r="L917" s="289">
        <v>1045</v>
      </c>
    </row>
    <row r="918" spans="1:12">
      <c r="A918" s="288" t="s">
        <v>1744</v>
      </c>
      <c r="B918" s="288" t="s">
        <v>1641</v>
      </c>
      <c r="C918" s="288" t="s">
        <v>814</v>
      </c>
      <c r="D918" s="288" t="s">
        <v>818</v>
      </c>
      <c r="E918" s="289">
        <v>10</v>
      </c>
      <c r="F918" s="290">
        <v>16</v>
      </c>
      <c r="G918" s="289">
        <v>1100</v>
      </c>
      <c r="H918" s="289">
        <v>660</v>
      </c>
      <c r="I918" s="289">
        <v>176</v>
      </c>
      <c r="J918" s="289">
        <v>70</v>
      </c>
      <c r="K918" s="289">
        <v>7</v>
      </c>
      <c r="L918" s="289">
        <v>2013</v>
      </c>
    </row>
    <row r="919" spans="1:12">
      <c r="A919" s="288" t="s">
        <v>1745</v>
      </c>
      <c r="B919" s="288" t="s">
        <v>1641</v>
      </c>
      <c r="C919" s="288" t="s">
        <v>814</v>
      </c>
      <c r="D919" s="288" t="s">
        <v>818</v>
      </c>
      <c r="E919" s="289">
        <v>10</v>
      </c>
      <c r="F919" s="290">
        <v>11</v>
      </c>
      <c r="G919" s="289">
        <v>1100</v>
      </c>
      <c r="H919" s="289">
        <v>110</v>
      </c>
      <c r="I919" s="289">
        <v>121</v>
      </c>
      <c r="J919" s="289">
        <v>70</v>
      </c>
      <c r="K919" s="289">
        <v>7</v>
      </c>
      <c r="L919" s="289">
        <v>1408</v>
      </c>
    </row>
    <row r="920" spans="1:12">
      <c r="A920" s="288" t="s">
        <v>1746</v>
      </c>
      <c r="B920" s="288" t="s">
        <v>1641</v>
      </c>
      <c r="C920" s="288" t="s">
        <v>814</v>
      </c>
      <c r="D920" s="288" t="s">
        <v>815</v>
      </c>
      <c r="E920" s="289">
        <v>10</v>
      </c>
      <c r="F920" s="290">
        <v>9</v>
      </c>
      <c r="G920" s="289">
        <v>1100</v>
      </c>
      <c r="H920" s="289">
        <v>0</v>
      </c>
      <c r="I920" s="289">
        <v>110</v>
      </c>
      <c r="J920" s="289">
        <v>50</v>
      </c>
      <c r="K920" s="289">
        <v>5</v>
      </c>
      <c r="L920" s="289">
        <v>1265</v>
      </c>
    </row>
    <row r="921" spans="1:12">
      <c r="A921" s="288" t="s">
        <v>1747</v>
      </c>
      <c r="B921" s="288" t="s">
        <v>1641</v>
      </c>
      <c r="C921" s="288" t="s">
        <v>814</v>
      </c>
      <c r="D921" s="288" t="s">
        <v>815</v>
      </c>
      <c r="E921" s="289">
        <v>10</v>
      </c>
      <c r="F921" s="290">
        <v>0</v>
      </c>
      <c r="G921" s="289">
        <v>900</v>
      </c>
      <c r="H921" s="289">
        <v>0</v>
      </c>
      <c r="I921" s="289">
        <v>90</v>
      </c>
      <c r="J921" s="289">
        <v>50</v>
      </c>
      <c r="K921" s="289">
        <v>5</v>
      </c>
      <c r="L921" s="289">
        <v>1045</v>
      </c>
    </row>
    <row r="922" spans="1:12">
      <c r="A922" s="288" t="s">
        <v>1748</v>
      </c>
      <c r="B922" s="288" t="s">
        <v>1641</v>
      </c>
      <c r="C922" s="288" t="s">
        <v>814</v>
      </c>
      <c r="D922" s="288" t="s">
        <v>815</v>
      </c>
      <c r="E922" s="289">
        <v>10</v>
      </c>
      <c r="F922" s="290">
        <v>0</v>
      </c>
      <c r="G922" s="289">
        <v>900</v>
      </c>
      <c r="H922" s="289">
        <v>0</v>
      </c>
      <c r="I922" s="289">
        <v>90</v>
      </c>
      <c r="J922" s="289">
        <v>50</v>
      </c>
      <c r="K922" s="289">
        <v>5</v>
      </c>
      <c r="L922" s="289">
        <v>1045</v>
      </c>
    </row>
    <row r="923" spans="1:12">
      <c r="A923" s="288" t="s">
        <v>1749</v>
      </c>
      <c r="B923" s="288" t="s">
        <v>1641</v>
      </c>
      <c r="C923" s="288" t="s">
        <v>814</v>
      </c>
      <c r="D923" s="288" t="s">
        <v>815</v>
      </c>
      <c r="E923" s="289">
        <v>10</v>
      </c>
      <c r="F923" s="290">
        <v>21</v>
      </c>
      <c r="G923" s="289">
        <v>1100</v>
      </c>
      <c r="H923" s="289">
        <v>1210</v>
      </c>
      <c r="I923" s="289">
        <v>231</v>
      </c>
      <c r="J923" s="289">
        <v>50</v>
      </c>
      <c r="K923" s="289">
        <v>5</v>
      </c>
      <c r="L923" s="289">
        <v>2596</v>
      </c>
    </row>
    <row r="924" spans="1:12">
      <c r="A924" s="288" t="s">
        <v>1750</v>
      </c>
      <c r="B924" s="288" t="s">
        <v>1641</v>
      </c>
      <c r="C924" s="288" t="s">
        <v>814</v>
      </c>
      <c r="D924" s="288" t="s">
        <v>815</v>
      </c>
      <c r="E924" s="289">
        <v>10</v>
      </c>
      <c r="F924" s="290">
        <v>11</v>
      </c>
      <c r="G924" s="289">
        <v>1100</v>
      </c>
      <c r="H924" s="289">
        <v>110</v>
      </c>
      <c r="I924" s="289">
        <v>121</v>
      </c>
      <c r="J924" s="289">
        <v>50</v>
      </c>
      <c r="K924" s="289">
        <v>5</v>
      </c>
      <c r="L924" s="289">
        <v>1386</v>
      </c>
    </row>
    <row r="925" spans="1:12">
      <c r="A925" s="288" t="s">
        <v>1751</v>
      </c>
      <c r="B925" s="288" t="s">
        <v>1641</v>
      </c>
      <c r="C925" s="288" t="s">
        <v>814</v>
      </c>
      <c r="D925" s="288" t="s">
        <v>815</v>
      </c>
      <c r="E925" s="289">
        <v>10</v>
      </c>
      <c r="F925" s="290">
        <v>14</v>
      </c>
      <c r="G925" s="289">
        <v>1100</v>
      </c>
      <c r="H925" s="289">
        <v>440</v>
      </c>
      <c r="I925" s="289">
        <v>154</v>
      </c>
      <c r="J925" s="289">
        <v>50</v>
      </c>
      <c r="K925" s="289">
        <v>5</v>
      </c>
      <c r="L925" s="289">
        <v>1749</v>
      </c>
    </row>
    <row r="926" spans="1:12">
      <c r="A926" s="288" t="s">
        <v>1752</v>
      </c>
      <c r="B926" s="288" t="s">
        <v>1641</v>
      </c>
      <c r="C926" s="288" t="s">
        <v>814</v>
      </c>
      <c r="D926" s="288" t="s">
        <v>818</v>
      </c>
      <c r="E926" s="289">
        <v>10</v>
      </c>
      <c r="F926" s="290">
        <v>1</v>
      </c>
      <c r="G926" s="289">
        <v>900</v>
      </c>
      <c r="H926" s="289">
        <v>0</v>
      </c>
      <c r="I926" s="289">
        <v>90</v>
      </c>
      <c r="J926" s="289">
        <v>70</v>
      </c>
      <c r="K926" s="289">
        <v>7</v>
      </c>
      <c r="L926" s="289">
        <v>1067</v>
      </c>
    </row>
    <row r="927" spans="1:12">
      <c r="A927" s="288" t="s">
        <v>1753</v>
      </c>
      <c r="B927" s="288" t="s">
        <v>1641</v>
      </c>
      <c r="C927" s="288" t="s">
        <v>814</v>
      </c>
      <c r="D927" s="288" t="s">
        <v>815</v>
      </c>
      <c r="E927" s="289">
        <v>10</v>
      </c>
      <c r="F927" s="290">
        <v>6</v>
      </c>
      <c r="G927" s="289">
        <v>1100</v>
      </c>
      <c r="H927" s="289">
        <v>0</v>
      </c>
      <c r="I927" s="289">
        <v>110</v>
      </c>
      <c r="J927" s="289">
        <v>50</v>
      </c>
      <c r="K927" s="289">
        <v>5</v>
      </c>
      <c r="L927" s="289">
        <v>1265</v>
      </c>
    </row>
    <row r="928" spans="1:12">
      <c r="A928" s="288" t="s">
        <v>1754</v>
      </c>
      <c r="B928" s="288" t="s">
        <v>1641</v>
      </c>
      <c r="C928" s="288" t="s">
        <v>814</v>
      </c>
      <c r="D928" s="288" t="s">
        <v>815</v>
      </c>
      <c r="E928" s="289">
        <v>10</v>
      </c>
      <c r="F928" s="290">
        <v>39</v>
      </c>
      <c r="G928" s="289">
        <v>1100</v>
      </c>
      <c r="H928" s="289">
        <v>3190</v>
      </c>
      <c r="I928" s="289">
        <v>429</v>
      </c>
      <c r="J928" s="289">
        <v>50</v>
      </c>
      <c r="K928" s="289">
        <v>5</v>
      </c>
      <c r="L928" s="289">
        <v>4774</v>
      </c>
    </row>
    <row r="929" spans="1:12">
      <c r="A929" s="288" t="s">
        <v>1755</v>
      </c>
      <c r="B929" s="288" t="s">
        <v>1641</v>
      </c>
      <c r="C929" s="288" t="s">
        <v>814</v>
      </c>
      <c r="D929" s="288" t="s">
        <v>818</v>
      </c>
      <c r="E929" s="289">
        <v>10</v>
      </c>
      <c r="F929" s="290">
        <v>41</v>
      </c>
      <c r="G929" s="289">
        <v>1100</v>
      </c>
      <c r="H929" s="289">
        <v>3410</v>
      </c>
      <c r="I929" s="289">
        <v>451</v>
      </c>
      <c r="J929" s="289">
        <v>70</v>
      </c>
      <c r="K929" s="289">
        <v>7</v>
      </c>
      <c r="L929" s="289">
        <v>5038</v>
      </c>
    </row>
    <row r="930" spans="1:12">
      <c r="A930" s="288" t="s">
        <v>1756</v>
      </c>
      <c r="B930" s="288" t="s">
        <v>1641</v>
      </c>
      <c r="C930" s="288" t="s">
        <v>814</v>
      </c>
      <c r="D930" s="288" t="s">
        <v>815</v>
      </c>
      <c r="E930" s="289">
        <v>10</v>
      </c>
      <c r="F930" s="290">
        <v>11</v>
      </c>
      <c r="G930" s="289">
        <v>1100</v>
      </c>
      <c r="H930" s="289">
        <v>110</v>
      </c>
      <c r="I930" s="289">
        <v>121</v>
      </c>
      <c r="J930" s="289">
        <v>50</v>
      </c>
      <c r="K930" s="289">
        <v>5</v>
      </c>
      <c r="L930" s="289">
        <v>1386</v>
      </c>
    </row>
    <row r="931" spans="1:12">
      <c r="A931" s="288" t="s">
        <v>1757</v>
      </c>
      <c r="B931" s="288" t="s">
        <v>1641</v>
      </c>
      <c r="C931" s="288" t="s">
        <v>814</v>
      </c>
      <c r="D931" s="288" t="s">
        <v>815</v>
      </c>
      <c r="E931" s="289">
        <v>10</v>
      </c>
      <c r="F931" s="290">
        <v>4</v>
      </c>
      <c r="G931" s="289">
        <v>900</v>
      </c>
      <c r="H931" s="289">
        <v>0</v>
      </c>
      <c r="I931" s="289">
        <v>90</v>
      </c>
      <c r="J931" s="289">
        <v>50</v>
      </c>
      <c r="K931" s="289">
        <v>5</v>
      </c>
      <c r="L931" s="289">
        <v>1045</v>
      </c>
    </row>
    <row r="932" spans="1:12">
      <c r="A932" s="288" t="s">
        <v>1758</v>
      </c>
      <c r="B932" s="288" t="s">
        <v>1641</v>
      </c>
      <c r="C932" s="288" t="s">
        <v>814</v>
      </c>
      <c r="D932" s="288" t="s">
        <v>815</v>
      </c>
      <c r="E932" s="289">
        <v>10</v>
      </c>
      <c r="F932" s="290">
        <v>14</v>
      </c>
      <c r="G932" s="289">
        <v>1100</v>
      </c>
      <c r="H932" s="289">
        <v>440</v>
      </c>
      <c r="I932" s="289">
        <v>154</v>
      </c>
      <c r="J932" s="289">
        <v>50</v>
      </c>
      <c r="K932" s="289">
        <v>5</v>
      </c>
      <c r="L932" s="289">
        <v>1749</v>
      </c>
    </row>
    <row r="933" spans="1:12">
      <c r="A933" s="288" t="s">
        <v>1759</v>
      </c>
      <c r="B933" s="288" t="s">
        <v>1641</v>
      </c>
      <c r="C933" s="288" t="s">
        <v>814</v>
      </c>
      <c r="D933" s="288" t="s">
        <v>815</v>
      </c>
      <c r="E933" s="289">
        <v>10</v>
      </c>
      <c r="F933" s="290">
        <v>14</v>
      </c>
      <c r="G933" s="289">
        <v>1100</v>
      </c>
      <c r="H933" s="289">
        <v>440</v>
      </c>
      <c r="I933" s="289">
        <v>154</v>
      </c>
      <c r="J933" s="289">
        <v>50</v>
      </c>
      <c r="K933" s="289">
        <v>5</v>
      </c>
      <c r="L933" s="289">
        <v>1749</v>
      </c>
    </row>
    <row r="934" spans="1:12">
      <c r="A934" s="288" t="s">
        <v>1760</v>
      </c>
      <c r="B934" s="288" t="s">
        <v>1641</v>
      </c>
      <c r="C934" s="288" t="s">
        <v>814</v>
      </c>
      <c r="D934" s="288" t="s">
        <v>815</v>
      </c>
      <c r="E934" s="289">
        <v>10</v>
      </c>
      <c r="F934" s="290">
        <v>13</v>
      </c>
      <c r="G934" s="289">
        <v>1100</v>
      </c>
      <c r="H934" s="289">
        <v>330</v>
      </c>
      <c r="I934" s="289">
        <v>143</v>
      </c>
      <c r="J934" s="289">
        <v>50</v>
      </c>
      <c r="K934" s="289">
        <v>5</v>
      </c>
      <c r="L934" s="289">
        <v>1628</v>
      </c>
    </row>
    <row r="935" spans="1:12">
      <c r="A935" s="288" t="s">
        <v>1761</v>
      </c>
      <c r="B935" s="288" t="s">
        <v>1641</v>
      </c>
      <c r="C935" s="288" t="s">
        <v>814</v>
      </c>
      <c r="D935" s="288" t="s">
        <v>815</v>
      </c>
      <c r="E935" s="289">
        <v>10</v>
      </c>
      <c r="F935" s="290">
        <v>20</v>
      </c>
      <c r="G935" s="289">
        <v>1100</v>
      </c>
      <c r="H935" s="289">
        <v>1100</v>
      </c>
      <c r="I935" s="289">
        <v>220</v>
      </c>
      <c r="J935" s="289">
        <v>50</v>
      </c>
      <c r="K935" s="289">
        <v>5</v>
      </c>
      <c r="L935" s="289">
        <v>2475</v>
      </c>
    </row>
    <row r="936" spans="1:12">
      <c r="A936" s="288" t="s">
        <v>1762</v>
      </c>
      <c r="B936" s="288" t="s">
        <v>1641</v>
      </c>
      <c r="C936" s="288" t="s">
        <v>814</v>
      </c>
      <c r="D936" s="288" t="s">
        <v>818</v>
      </c>
      <c r="E936" s="289">
        <v>10</v>
      </c>
      <c r="F936" s="290">
        <v>10</v>
      </c>
      <c r="G936" s="289">
        <v>1100</v>
      </c>
      <c r="H936" s="289">
        <v>0</v>
      </c>
      <c r="I936" s="289">
        <v>110</v>
      </c>
      <c r="J936" s="289">
        <v>70</v>
      </c>
      <c r="K936" s="289">
        <v>7</v>
      </c>
      <c r="L936" s="289">
        <v>1287</v>
      </c>
    </row>
    <row r="937" spans="1:12">
      <c r="A937" s="288" t="s">
        <v>1763</v>
      </c>
      <c r="B937" s="288" t="s">
        <v>1641</v>
      </c>
      <c r="C937" s="288" t="s">
        <v>820</v>
      </c>
      <c r="D937" s="288" t="s">
        <v>818</v>
      </c>
      <c r="E937" s="289">
        <v>10</v>
      </c>
      <c r="F937" s="290">
        <v>1</v>
      </c>
      <c r="G937" s="289">
        <v>900</v>
      </c>
      <c r="H937" s="289">
        <v>0</v>
      </c>
      <c r="I937" s="289">
        <v>90</v>
      </c>
      <c r="J937" s="289">
        <v>70</v>
      </c>
      <c r="K937" s="289">
        <v>7</v>
      </c>
      <c r="L937" s="289">
        <v>1067</v>
      </c>
    </row>
    <row r="938" spans="1:12">
      <c r="A938" s="288" t="s">
        <v>1764</v>
      </c>
      <c r="B938" s="288" t="s">
        <v>1641</v>
      </c>
      <c r="C938" s="288" t="s">
        <v>814</v>
      </c>
      <c r="D938" s="288" t="s">
        <v>815</v>
      </c>
      <c r="E938" s="289">
        <v>10</v>
      </c>
      <c r="F938" s="290">
        <v>6</v>
      </c>
      <c r="G938" s="289">
        <v>1100</v>
      </c>
      <c r="H938" s="289">
        <v>0</v>
      </c>
      <c r="I938" s="289">
        <v>110</v>
      </c>
      <c r="J938" s="289">
        <v>50</v>
      </c>
      <c r="K938" s="289">
        <v>5</v>
      </c>
      <c r="L938" s="289">
        <v>1265</v>
      </c>
    </row>
    <row r="939" spans="1:12">
      <c r="A939" s="288" t="s">
        <v>1765</v>
      </c>
      <c r="B939" s="288" t="s">
        <v>1641</v>
      </c>
      <c r="C939" s="288" t="s">
        <v>814</v>
      </c>
      <c r="D939" s="288" t="s">
        <v>815</v>
      </c>
      <c r="E939" s="289">
        <v>10</v>
      </c>
      <c r="F939" s="290">
        <v>7</v>
      </c>
      <c r="G939" s="289">
        <v>1100</v>
      </c>
      <c r="H939" s="289">
        <v>0</v>
      </c>
      <c r="I939" s="289">
        <v>110</v>
      </c>
      <c r="J939" s="289">
        <v>50</v>
      </c>
      <c r="K939" s="289">
        <v>5</v>
      </c>
      <c r="L939" s="289">
        <v>1265</v>
      </c>
    </row>
    <row r="940" spans="1:12">
      <c r="A940" s="288" t="s">
        <v>1766</v>
      </c>
      <c r="B940" s="288" t="s">
        <v>1641</v>
      </c>
      <c r="C940" s="288" t="s">
        <v>814</v>
      </c>
      <c r="D940" s="288" t="s">
        <v>818</v>
      </c>
      <c r="E940" s="289">
        <v>10</v>
      </c>
      <c r="F940" s="290">
        <v>1</v>
      </c>
      <c r="G940" s="289">
        <v>900</v>
      </c>
      <c r="H940" s="289">
        <v>0</v>
      </c>
      <c r="I940" s="289">
        <v>90</v>
      </c>
      <c r="J940" s="289">
        <v>70</v>
      </c>
      <c r="K940" s="289">
        <v>7</v>
      </c>
      <c r="L940" s="289">
        <v>1067</v>
      </c>
    </row>
    <row r="941" spans="1:12">
      <c r="A941" s="288" t="s">
        <v>1767</v>
      </c>
      <c r="B941" s="288" t="s">
        <v>1641</v>
      </c>
      <c r="C941" s="288" t="s">
        <v>814</v>
      </c>
      <c r="D941" s="288" t="s">
        <v>818</v>
      </c>
      <c r="E941" s="289">
        <v>10</v>
      </c>
      <c r="F941" s="290">
        <v>32</v>
      </c>
      <c r="G941" s="289">
        <v>1100</v>
      </c>
      <c r="H941" s="289">
        <v>2420</v>
      </c>
      <c r="I941" s="289">
        <v>352</v>
      </c>
      <c r="J941" s="289">
        <v>70</v>
      </c>
      <c r="K941" s="289">
        <v>7</v>
      </c>
      <c r="L941" s="289">
        <v>3949</v>
      </c>
    </row>
    <row r="942" spans="1:12">
      <c r="A942" s="288" t="s">
        <v>1768</v>
      </c>
      <c r="B942" s="288" t="s">
        <v>1641</v>
      </c>
      <c r="C942" s="288" t="s">
        <v>814</v>
      </c>
      <c r="D942" s="288" t="s">
        <v>818</v>
      </c>
      <c r="E942" s="289">
        <v>10</v>
      </c>
      <c r="F942" s="290">
        <v>10</v>
      </c>
      <c r="G942" s="289">
        <v>1100</v>
      </c>
      <c r="H942" s="289">
        <v>0</v>
      </c>
      <c r="I942" s="289">
        <v>110</v>
      </c>
      <c r="J942" s="289">
        <v>70</v>
      </c>
      <c r="K942" s="289">
        <v>7</v>
      </c>
      <c r="L942" s="289">
        <v>1287</v>
      </c>
    </row>
    <row r="943" spans="1:12">
      <c r="A943" s="288" t="s">
        <v>1769</v>
      </c>
      <c r="B943" s="288" t="s">
        <v>1641</v>
      </c>
      <c r="C943" s="288" t="s">
        <v>814</v>
      </c>
      <c r="D943" s="288" t="s">
        <v>818</v>
      </c>
      <c r="E943" s="289">
        <v>10</v>
      </c>
      <c r="F943" s="290">
        <v>32</v>
      </c>
      <c r="G943" s="289">
        <v>1100</v>
      </c>
      <c r="H943" s="289">
        <v>2420</v>
      </c>
      <c r="I943" s="289">
        <v>352</v>
      </c>
      <c r="J943" s="289">
        <v>70</v>
      </c>
      <c r="K943" s="289">
        <v>7</v>
      </c>
      <c r="L943" s="289">
        <v>3949</v>
      </c>
    </row>
    <row r="944" spans="1:12">
      <c r="A944" s="288" t="s">
        <v>1770</v>
      </c>
      <c r="B944" s="288" t="s">
        <v>1641</v>
      </c>
      <c r="C944" s="288" t="s">
        <v>814</v>
      </c>
      <c r="D944" s="288" t="s">
        <v>818</v>
      </c>
      <c r="E944" s="289">
        <v>10</v>
      </c>
      <c r="F944" s="290">
        <v>10</v>
      </c>
      <c r="G944" s="289">
        <v>1100</v>
      </c>
      <c r="H944" s="289">
        <v>0</v>
      </c>
      <c r="I944" s="289">
        <v>110</v>
      </c>
      <c r="J944" s="289">
        <v>70</v>
      </c>
      <c r="K944" s="289">
        <v>7</v>
      </c>
      <c r="L944" s="289">
        <v>1287</v>
      </c>
    </row>
    <row r="945" spans="1:12">
      <c r="A945" s="288" t="s">
        <v>1771</v>
      </c>
      <c r="B945" s="288" t="s">
        <v>1641</v>
      </c>
      <c r="C945" s="288" t="s">
        <v>814</v>
      </c>
      <c r="D945" s="288" t="s">
        <v>818</v>
      </c>
      <c r="E945" s="289">
        <v>10</v>
      </c>
      <c r="F945" s="290">
        <v>30</v>
      </c>
      <c r="G945" s="289">
        <v>1100</v>
      </c>
      <c r="H945" s="289">
        <v>2200</v>
      </c>
      <c r="I945" s="289">
        <v>330</v>
      </c>
      <c r="J945" s="289">
        <v>70</v>
      </c>
      <c r="K945" s="289">
        <v>7</v>
      </c>
      <c r="L945" s="289">
        <v>3707</v>
      </c>
    </row>
    <row r="946" spans="1:12">
      <c r="A946" s="288" t="s">
        <v>1772</v>
      </c>
      <c r="B946" s="288" t="s">
        <v>1641</v>
      </c>
      <c r="C946" s="288" t="s">
        <v>814</v>
      </c>
      <c r="D946" s="288" t="s">
        <v>818</v>
      </c>
      <c r="E946" s="289">
        <v>10</v>
      </c>
      <c r="F946" s="290">
        <v>20</v>
      </c>
      <c r="G946" s="289">
        <v>1100</v>
      </c>
      <c r="H946" s="289">
        <v>1100</v>
      </c>
      <c r="I946" s="289">
        <v>220</v>
      </c>
      <c r="J946" s="289">
        <v>70</v>
      </c>
      <c r="K946" s="289">
        <v>7</v>
      </c>
      <c r="L946" s="289">
        <v>2497</v>
      </c>
    </row>
    <row r="947" spans="1:12">
      <c r="A947" s="288" t="s">
        <v>1773</v>
      </c>
      <c r="B947" s="288" t="s">
        <v>1641</v>
      </c>
      <c r="C947" s="288" t="s">
        <v>814</v>
      </c>
      <c r="D947" s="288" t="s">
        <v>818</v>
      </c>
      <c r="E947" s="289">
        <v>10</v>
      </c>
      <c r="F947" s="290">
        <v>15</v>
      </c>
      <c r="G947" s="289">
        <v>1100</v>
      </c>
      <c r="H947" s="289">
        <v>550</v>
      </c>
      <c r="I947" s="289">
        <v>165</v>
      </c>
      <c r="J947" s="289">
        <v>70</v>
      </c>
      <c r="K947" s="289">
        <v>7</v>
      </c>
      <c r="L947" s="289">
        <v>1892</v>
      </c>
    </row>
    <row r="948" spans="1:12">
      <c r="A948" s="288" t="s">
        <v>1774</v>
      </c>
      <c r="B948" s="288" t="s">
        <v>1641</v>
      </c>
      <c r="C948" s="288" t="s">
        <v>814</v>
      </c>
      <c r="D948" s="288" t="s">
        <v>818</v>
      </c>
      <c r="E948" s="289">
        <v>10</v>
      </c>
      <c r="F948" s="290">
        <v>6</v>
      </c>
      <c r="G948" s="289">
        <v>1100</v>
      </c>
      <c r="H948" s="289">
        <v>0</v>
      </c>
      <c r="I948" s="289">
        <v>110</v>
      </c>
      <c r="J948" s="289">
        <v>70</v>
      </c>
      <c r="K948" s="289">
        <v>7</v>
      </c>
      <c r="L948" s="289">
        <v>1287</v>
      </c>
    </row>
    <row r="949" spans="1:12">
      <c r="A949" s="288" t="s">
        <v>1775</v>
      </c>
      <c r="B949" s="288" t="s">
        <v>1641</v>
      </c>
      <c r="C949" s="288" t="s">
        <v>814</v>
      </c>
      <c r="D949" s="288" t="s">
        <v>818</v>
      </c>
      <c r="E949" s="289">
        <v>10</v>
      </c>
      <c r="F949" s="290">
        <v>17</v>
      </c>
      <c r="G949" s="289">
        <v>1100</v>
      </c>
      <c r="H949" s="289">
        <v>770</v>
      </c>
      <c r="I949" s="289">
        <v>187</v>
      </c>
      <c r="J949" s="289">
        <v>70</v>
      </c>
      <c r="K949" s="289">
        <v>7</v>
      </c>
      <c r="L949" s="289">
        <v>2134</v>
      </c>
    </row>
    <row r="950" spans="1:12">
      <c r="A950" s="288" t="s">
        <v>1776</v>
      </c>
      <c r="B950" s="288" t="s">
        <v>1641</v>
      </c>
      <c r="C950" s="288" t="s">
        <v>814</v>
      </c>
      <c r="D950" s="288" t="s">
        <v>818</v>
      </c>
      <c r="E950" s="289">
        <v>10</v>
      </c>
      <c r="F950" s="290">
        <v>30</v>
      </c>
      <c r="G950" s="289">
        <v>1100</v>
      </c>
      <c r="H950" s="289">
        <v>2200</v>
      </c>
      <c r="I950" s="289">
        <v>330</v>
      </c>
      <c r="J950" s="289">
        <v>70</v>
      </c>
      <c r="K950" s="289">
        <v>7</v>
      </c>
      <c r="L950" s="289">
        <v>3707</v>
      </c>
    </row>
    <row r="951" spans="1:12">
      <c r="A951" s="288" t="s">
        <v>1777</v>
      </c>
      <c r="B951" s="288" t="s">
        <v>1641</v>
      </c>
      <c r="C951" s="288" t="s">
        <v>814</v>
      </c>
      <c r="D951" s="288" t="s">
        <v>818</v>
      </c>
      <c r="E951" s="289">
        <v>10</v>
      </c>
      <c r="F951" s="290">
        <v>8</v>
      </c>
      <c r="G951" s="289">
        <v>1100</v>
      </c>
      <c r="H951" s="289">
        <v>0</v>
      </c>
      <c r="I951" s="289">
        <v>110</v>
      </c>
      <c r="J951" s="289">
        <v>70</v>
      </c>
      <c r="K951" s="289">
        <v>7</v>
      </c>
      <c r="L951" s="289">
        <v>1287</v>
      </c>
    </row>
    <row r="952" spans="1:12">
      <c r="A952" s="288" t="s">
        <v>1778</v>
      </c>
      <c r="B952" s="288" t="s">
        <v>1641</v>
      </c>
      <c r="C952" s="288" t="s">
        <v>814</v>
      </c>
      <c r="D952" s="288" t="s">
        <v>818</v>
      </c>
      <c r="E952" s="289">
        <v>10</v>
      </c>
      <c r="F952" s="290">
        <v>21</v>
      </c>
      <c r="G952" s="289">
        <v>1100</v>
      </c>
      <c r="H952" s="289">
        <v>1210</v>
      </c>
      <c r="I952" s="289">
        <v>231</v>
      </c>
      <c r="J952" s="289">
        <v>70</v>
      </c>
      <c r="K952" s="289">
        <v>7</v>
      </c>
      <c r="L952" s="289">
        <v>2618</v>
      </c>
    </row>
    <row r="953" spans="1:12">
      <c r="A953" s="288" t="s">
        <v>1779</v>
      </c>
      <c r="B953" s="288" t="s">
        <v>1641</v>
      </c>
      <c r="C953" s="288" t="s">
        <v>814</v>
      </c>
      <c r="D953" s="288" t="s">
        <v>818</v>
      </c>
      <c r="E953" s="289">
        <v>10</v>
      </c>
      <c r="F953" s="290">
        <v>33</v>
      </c>
      <c r="G953" s="289">
        <v>1100</v>
      </c>
      <c r="H953" s="289">
        <v>2530</v>
      </c>
      <c r="I953" s="289">
        <v>363</v>
      </c>
      <c r="J953" s="289">
        <v>70</v>
      </c>
      <c r="K953" s="289">
        <v>7</v>
      </c>
      <c r="L953" s="289">
        <v>4070</v>
      </c>
    </row>
    <row r="954" spans="1:12">
      <c r="A954" s="288" t="s">
        <v>1780</v>
      </c>
      <c r="B954" s="288" t="s">
        <v>1641</v>
      </c>
      <c r="C954" s="288" t="s">
        <v>829</v>
      </c>
      <c r="D954" s="288" t="s">
        <v>818</v>
      </c>
      <c r="E954" s="289">
        <v>10</v>
      </c>
      <c r="F954" s="290">
        <v>0</v>
      </c>
      <c r="G954" s="289">
        <v>900</v>
      </c>
      <c r="H954" s="289">
        <v>0</v>
      </c>
      <c r="I954" s="289">
        <v>90</v>
      </c>
      <c r="J954" s="289">
        <v>70</v>
      </c>
      <c r="K954" s="289">
        <v>7</v>
      </c>
      <c r="L954" s="289">
        <v>1067</v>
      </c>
    </row>
    <row r="955" spans="1:12">
      <c r="A955" s="288" t="s">
        <v>1781</v>
      </c>
      <c r="B955" s="288" t="s">
        <v>1782</v>
      </c>
      <c r="C955" s="288" t="s">
        <v>814</v>
      </c>
      <c r="D955" s="288" t="s">
        <v>818</v>
      </c>
      <c r="E955" s="289">
        <v>10</v>
      </c>
      <c r="F955" s="290">
        <v>24</v>
      </c>
      <c r="G955" s="289">
        <v>1100</v>
      </c>
      <c r="H955" s="289">
        <v>1540</v>
      </c>
      <c r="I955" s="289">
        <v>264</v>
      </c>
      <c r="J955" s="289">
        <v>70</v>
      </c>
      <c r="K955" s="289">
        <v>7</v>
      </c>
      <c r="L955" s="289">
        <v>2981</v>
      </c>
    </row>
    <row r="956" spans="1:12">
      <c r="A956" s="288" t="s">
        <v>1783</v>
      </c>
      <c r="B956" s="288" t="s">
        <v>1782</v>
      </c>
      <c r="C956" s="288" t="s">
        <v>814</v>
      </c>
      <c r="D956" s="288" t="s">
        <v>815</v>
      </c>
      <c r="E956" s="289">
        <v>10</v>
      </c>
      <c r="F956" s="290">
        <v>22</v>
      </c>
      <c r="G956" s="289">
        <v>1100</v>
      </c>
      <c r="H956" s="289">
        <v>1320</v>
      </c>
      <c r="I956" s="289">
        <v>242</v>
      </c>
      <c r="J956" s="289">
        <v>50</v>
      </c>
      <c r="K956" s="289">
        <v>5</v>
      </c>
      <c r="L956" s="289">
        <v>2717</v>
      </c>
    </row>
    <row r="957" spans="1:12">
      <c r="A957" s="288" t="s">
        <v>1784</v>
      </c>
      <c r="B957" s="288" t="s">
        <v>1782</v>
      </c>
      <c r="C957" s="288" t="s">
        <v>814</v>
      </c>
      <c r="D957" s="288" t="s">
        <v>815</v>
      </c>
      <c r="E957" s="289">
        <v>10</v>
      </c>
      <c r="F957" s="290">
        <v>10</v>
      </c>
      <c r="G957" s="289">
        <v>1100</v>
      </c>
      <c r="H957" s="289">
        <v>0</v>
      </c>
      <c r="I957" s="289">
        <v>110</v>
      </c>
      <c r="J957" s="289">
        <v>50</v>
      </c>
      <c r="K957" s="289">
        <v>5</v>
      </c>
      <c r="L957" s="289">
        <v>1265</v>
      </c>
    </row>
    <row r="958" spans="1:12">
      <c r="A958" s="288" t="s">
        <v>1785</v>
      </c>
      <c r="B958" s="288" t="s">
        <v>1782</v>
      </c>
      <c r="C958" s="288" t="s">
        <v>814</v>
      </c>
      <c r="D958" s="288" t="s">
        <v>815</v>
      </c>
      <c r="E958" s="289">
        <v>10</v>
      </c>
      <c r="F958" s="290">
        <v>1</v>
      </c>
      <c r="G958" s="289">
        <v>550</v>
      </c>
      <c r="H958" s="289">
        <v>0</v>
      </c>
      <c r="I958" s="289">
        <v>55</v>
      </c>
      <c r="J958" s="289">
        <v>50</v>
      </c>
      <c r="K958" s="289">
        <v>5</v>
      </c>
      <c r="L958" s="289">
        <v>660</v>
      </c>
    </row>
    <row r="959" spans="1:12">
      <c r="A959" s="288" t="s">
        <v>1786</v>
      </c>
      <c r="B959" s="288" t="s">
        <v>1782</v>
      </c>
      <c r="C959" s="288" t="s">
        <v>814</v>
      </c>
      <c r="D959" s="288" t="s">
        <v>815</v>
      </c>
      <c r="E959" s="289">
        <v>10</v>
      </c>
      <c r="F959" s="290">
        <v>6</v>
      </c>
      <c r="G959" s="289">
        <v>1100</v>
      </c>
      <c r="H959" s="289">
        <v>0</v>
      </c>
      <c r="I959" s="289">
        <v>110</v>
      </c>
      <c r="J959" s="289">
        <v>50</v>
      </c>
      <c r="K959" s="289">
        <v>5</v>
      </c>
      <c r="L959" s="289">
        <v>1265</v>
      </c>
    </row>
    <row r="960" spans="1:12">
      <c r="A960" s="288" t="s">
        <v>1787</v>
      </c>
      <c r="B960" s="288" t="s">
        <v>1782</v>
      </c>
      <c r="C960" s="288" t="s">
        <v>814</v>
      </c>
      <c r="D960" s="288" t="s">
        <v>815</v>
      </c>
      <c r="E960" s="289">
        <v>10</v>
      </c>
      <c r="F960" s="290">
        <v>4</v>
      </c>
      <c r="G960" s="289">
        <v>900</v>
      </c>
      <c r="H960" s="289">
        <v>0</v>
      </c>
      <c r="I960" s="289">
        <v>90</v>
      </c>
      <c r="J960" s="289">
        <v>50</v>
      </c>
      <c r="K960" s="289">
        <v>5</v>
      </c>
      <c r="L960" s="289">
        <v>1045</v>
      </c>
    </row>
    <row r="961" spans="1:12">
      <c r="A961" s="288" t="s">
        <v>1788</v>
      </c>
      <c r="B961" s="288" t="s">
        <v>1782</v>
      </c>
      <c r="C961" s="288" t="s">
        <v>814</v>
      </c>
      <c r="D961" s="288" t="s">
        <v>815</v>
      </c>
      <c r="E961" s="289">
        <v>10</v>
      </c>
      <c r="F961" s="290">
        <v>5</v>
      </c>
      <c r="G961" s="289">
        <v>900</v>
      </c>
      <c r="H961" s="289">
        <v>0</v>
      </c>
      <c r="I961" s="289">
        <v>90</v>
      </c>
      <c r="J961" s="289">
        <v>50</v>
      </c>
      <c r="K961" s="289">
        <v>5</v>
      </c>
      <c r="L961" s="289">
        <v>1045</v>
      </c>
    </row>
    <row r="962" spans="1:12">
      <c r="A962" s="288" t="s">
        <v>1789</v>
      </c>
      <c r="B962" s="288" t="s">
        <v>1782</v>
      </c>
      <c r="C962" s="288" t="s">
        <v>814</v>
      </c>
      <c r="D962" s="288" t="s">
        <v>815</v>
      </c>
      <c r="E962" s="289">
        <v>10</v>
      </c>
      <c r="F962" s="290">
        <v>8</v>
      </c>
      <c r="G962" s="289">
        <v>1100</v>
      </c>
      <c r="H962" s="289">
        <v>0</v>
      </c>
      <c r="I962" s="289">
        <v>110</v>
      </c>
      <c r="J962" s="289">
        <v>50</v>
      </c>
      <c r="K962" s="289">
        <v>5</v>
      </c>
      <c r="L962" s="289">
        <v>1265</v>
      </c>
    </row>
    <row r="963" spans="1:12">
      <c r="A963" s="288" t="s">
        <v>1790</v>
      </c>
      <c r="B963" s="288" t="s">
        <v>1782</v>
      </c>
      <c r="C963" s="288" t="s">
        <v>814</v>
      </c>
      <c r="D963" s="288" t="s">
        <v>815</v>
      </c>
      <c r="E963" s="289">
        <v>10</v>
      </c>
      <c r="F963" s="290">
        <v>2</v>
      </c>
      <c r="G963" s="289">
        <v>900</v>
      </c>
      <c r="H963" s="289">
        <v>0</v>
      </c>
      <c r="I963" s="289">
        <v>90</v>
      </c>
      <c r="J963" s="289">
        <v>50</v>
      </c>
      <c r="K963" s="289">
        <v>5</v>
      </c>
      <c r="L963" s="289">
        <v>1045</v>
      </c>
    </row>
    <row r="964" spans="1:12">
      <c r="A964" s="288" t="s">
        <v>1791</v>
      </c>
      <c r="B964" s="288" t="s">
        <v>1782</v>
      </c>
      <c r="C964" s="288" t="s">
        <v>814</v>
      </c>
      <c r="D964" s="288" t="s">
        <v>815</v>
      </c>
      <c r="E964" s="289">
        <v>10</v>
      </c>
      <c r="F964" s="290">
        <v>12</v>
      </c>
      <c r="G964" s="289">
        <v>1100</v>
      </c>
      <c r="H964" s="289">
        <v>220</v>
      </c>
      <c r="I964" s="289">
        <v>132</v>
      </c>
      <c r="J964" s="289">
        <v>50</v>
      </c>
      <c r="K964" s="289">
        <v>5</v>
      </c>
      <c r="L964" s="289">
        <v>1507</v>
      </c>
    </row>
    <row r="965" spans="1:12">
      <c r="A965" s="288" t="s">
        <v>1792</v>
      </c>
      <c r="B965" s="288" t="s">
        <v>1782</v>
      </c>
      <c r="C965" s="288" t="s">
        <v>1095</v>
      </c>
      <c r="D965" s="288" t="s">
        <v>815</v>
      </c>
      <c r="E965" s="289">
        <v>10</v>
      </c>
      <c r="F965" s="290">
        <v>0</v>
      </c>
      <c r="G965" s="289">
        <v>900</v>
      </c>
      <c r="H965" s="289">
        <v>0</v>
      </c>
      <c r="I965" s="289">
        <v>90</v>
      </c>
      <c r="J965" s="289">
        <v>50</v>
      </c>
      <c r="K965" s="289">
        <v>5</v>
      </c>
      <c r="L965" s="289">
        <v>1045</v>
      </c>
    </row>
    <row r="966" spans="1:12">
      <c r="A966" s="288" t="s">
        <v>1793</v>
      </c>
      <c r="B966" s="288" t="s">
        <v>1782</v>
      </c>
      <c r="C966" s="288" t="s">
        <v>814</v>
      </c>
      <c r="D966" s="288" t="s">
        <v>815</v>
      </c>
      <c r="E966" s="289">
        <v>10</v>
      </c>
      <c r="F966" s="290">
        <v>4</v>
      </c>
      <c r="G966" s="289">
        <v>550</v>
      </c>
      <c r="H966" s="289">
        <v>0</v>
      </c>
      <c r="I966" s="289">
        <v>55</v>
      </c>
      <c r="J966" s="289">
        <v>50</v>
      </c>
      <c r="K966" s="289">
        <v>5</v>
      </c>
      <c r="L966" s="289">
        <v>660</v>
      </c>
    </row>
    <row r="967" spans="1:12">
      <c r="A967" s="288" t="s">
        <v>1794</v>
      </c>
      <c r="B967" s="288" t="s">
        <v>1782</v>
      </c>
      <c r="C967" s="288" t="s">
        <v>814</v>
      </c>
      <c r="D967" s="288" t="s">
        <v>815</v>
      </c>
      <c r="E967" s="289">
        <v>10</v>
      </c>
      <c r="F967" s="290">
        <v>1</v>
      </c>
      <c r="G967" s="289">
        <v>900</v>
      </c>
      <c r="H967" s="289">
        <v>0</v>
      </c>
      <c r="I967" s="289">
        <v>90</v>
      </c>
      <c r="J967" s="289">
        <v>50</v>
      </c>
      <c r="K967" s="289">
        <v>5</v>
      </c>
      <c r="L967" s="289">
        <v>1045</v>
      </c>
    </row>
    <row r="968" spans="1:12">
      <c r="A968" s="288" t="s">
        <v>1795</v>
      </c>
      <c r="B968" s="288" t="s">
        <v>1782</v>
      </c>
      <c r="C968" s="288" t="s">
        <v>1095</v>
      </c>
      <c r="D968" s="288" t="s">
        <v>815</v>
      </c>
      <c r="E968" s="289">
        <v>10</v>
      </c>
      <c r="F968" s="290">
        <v>0</v>
      </c>
      <c r="G968" s="289">
        <v>900</v>
      </c>
      <c r="H968" s="289">
        <v>0</v>
      </c>
      <c r="I968" s="289">
        <v>90</v>
      </c>
      <c r="J968" s="289">
        <v>50</v>
      </c>
      <c r="K968" s="289">
        <v>5</v>
      </c>
      <c r="L968" s="289">
        <v>1045</v>
      </c>
    </row>
    <row r="969" spans="1:12">
      <c r="A969" s="288" t="s">
        <v>1796</v>
      </c>
      <c r="B969" s="288" t="s">
        <v>1782</v>
      </c>
      <c r="C969" s="288" t="s">
        <v>814</v>
      </c>
      <c r="D969" s="288" t="s">
        <v>815</v>
      </c>
      <c r="E969" s="289">
        <v>10</v>
      </c>
      <c r="F969" s="290">
        <v>9</v>
      </c>
      <c r="G969" s="289">
        <v>1100</v>
      </c>
      <c r="H969" s="289">
        <v>0</v>
      </c>
      <c r="I969" s="289">
        <v>110</v>
      </c>
      <c r="J969" s="289">
        <v>50</v>
      </c>
      <c r="K969" s="289">
        <v>5</v>
      </c>
      <c r="L969" s="289">
        <v>1265</v>
      </c>
    </row>
    <row r="970" spans="1:12">
      <c r="A970" s="288" t="s">
        <v>1797</v>
      </c>
      <c r="B970" s="288" t="s">
        <v>1782</v>
      </c>
      <c r="C970" s="288" t="s">
        <v>814</v>
      </c>
      <c r="D970" s="288" t="s">
        <v>815</v>
      </c>
      <c r="E970" s="289">
        <v>10</v>
      </c>
      <c r="F970" s="290">
        <v>7</v>
      </c>
      <c r="G970" s="289">
        <v>1100</v>
      </c>
      <c r="H970" s="289">
        <v>0</v>
      </c>
      <c r="I970" s="289">
        <v>110</v>
      </c>
      <c r="J970" s="289">
        <v>50</v>
      </c>
      <c r="K970" s="289">
        <v>5</v>
      </c>
      <c r="L970" s="289">
        <v>1265</v>
      </c>
    </row>
    <row r="971" spans="1:12">
      <c r="A971" s="288" t="s">
        <v>1798</v>
      </c>
      <c r="B971" s="288" t="s">
        <v>1782</v>
      </c>
      <c r="C971" s="288" t="s">
        <v>814</v>
      </c>
      <c r="D971" s="288" t="s">
        <v>815</v>
      </c>
      <c r="E971" s="289">
        <v>10</v>
      </c>
      <c r="F971" s="290">
        <v>8</v>
      </c>
      <c r="G971" s="289">
        <v>1100</v>
      </c>
      <c r="H971" s="289">
        <v>0</v>
      </c>
      <c r="I971" s="289">
        <v>110</v>
      </c>
      <c r="J971" s="289">
        <v>50</v>
      </c>
      <c r="K971" s="289">
        <v>5</v>
      </c>
      <c r="L971" s="289">
        <v>1265</v>
      </c>
    </row>
    <row r="972" spans="1:12">
      <c r="A972" s="288" t="s">
        <v>1799</v>
      </c>
      <c r="B972" s="288" t="s">
        <v>1782</v>
      </c>
      <c r="C972" s="288" t="s">
        <v>1095</v>
      </c>
      <c r="D972" s="288" t="s">
        <v>815</v>
      </c>
      <c r="E972" s="289">
        <v>10</v>
      </c>
      <c r="F972" s="290">
        <v>0</v>
      </c>
      <c r="G972" s="289">
        <v>900</v>
      </c>
      <c r="H972" s="289">
        <v>0</v>
      </c>
      <c r="I972" s="289">
        <v>90</v>
      </c>
      <c r="J972" s="289">
        <v>50</v>
      </c>
      <c r="K972" s="289">
        <v>5</v>
      </c>
      <c r="L972" s="289">
        <v>1045</v>
      </c>
    </row>
    <row r="973" spans="1:12">
      <c r="A973" s="288" t="s">
        <v>1800</v>
      </c>
      <c r="B973" s="288" t="s">
        <v>1782</v>
      </c>
      <c r="C973" s="288" t="s">
        <v>1095</v>
      </c>
      <c r="D973" s="288" t="s">
        <v>815</v>
      </c>
      <c r="E973" s="289">
        <v>10</v>
      </c>
      <c r="F973" s="290">
        <v>0</v>
      </c>
      <c r="G973" s="289">
        <v>900</v>
      </c>
      <c r="H973" s="289">
        <v>0</v>
      </c>
      <c r="I973" s="289">
        <v>90</v>
      </c>
      <c r="J973" s="289">
        <v>50</v>
      </c>
      <c r="K973" s="289">
        <v>5</v>
      </c>
      <c r="L973" s="289">
        <v>1045</v>
      </c>
    </row>
    <row r="974" spans="1:12">
      <c r="A974" s="288" t="s">
        <v>1801</v>
      </c>
      <c r="B974" s="288" t="s">
        <v>1782</v>
      </c>
      <c r="C974" s="288" t="s">
        <v>1095</v>
      </c>
      <c r="D974" s="288" t="s">
        <v>815</v>
      </c>
      <c r="E974" s="289">
        <v>10</v>
      </c>
      <c r="F974" s="290">
        <v>0</v>
      </c>
      <c r="G974" s="289">
        <v>900</v>
      </c>
      <c r="H974" s="289">
        <v>0</v>
      </c>
      <c r="I974" s="289">
        <v>90</v>
      </c>
      <c r="J974" s="289">
        <v>50</v>
      </c>
      <c r="K974" s="289">
        <v>5</v>
      </c>
      <c r="L974" s="289">
        <v>1045</v>
      </c>
    </row>
    <row r="975" spans="1:12">
      <c r="A975" s="288" t="s">
        <v>1802</v>
      </c>
      <c r="B975" s="288" t="s">
        <v>1782</v>
      </c>
      <c r="C975" s="288" t="s">
        <v>1095</v>
      </c>
      <c r="D975" s="288" t="s">
        <v>815</v>
      </c>
      <c r="E975" s="289">
        <v>10</v>
      </c>
      <c r="F975" s="290">
        <v>0</v>
      </c>
      <c r="G975" s="289">
        <v>900</v>
      </c>
      <c r="H975" s="289">
        <v>0</v>
      </c>
      <c r="I975" s="289">
        <v>90</v>
      </c>
      <c r="J975" s="289">
        <v>50</v>
      </c>
      <c r="K975" s="289">
        <v>5</v>
      </c>
      <c r="L975" s="289">
        <v>1045</v>
      </c>
    </row>
    <row r="976" spans="1:12">
      <c r="A976" s="288" t="s">
        <v>1803</v>
      </c>
      <c r="B976" s="288" t="s">
        <v>1782</v>
      </c>
      <c r="C976" s="288" t="s">
        <v>1095</v>
      </c>
      <c r="D976" s="288" t="s">
        <v>815</v>
      </c>
      <c r="E976" s="289">
        <v>10</v>
      </c>
      <c r="F976" s="290">
        <v>0</v>
      </c>
      <c r="G976" s="289">
        <v>900</v>
      </c>
      <c r="H976" s="289">
        <v>0</v>
      </c>
      <c r="I976" s="289">
        <v>90</v>
      </c>
      <c r="J976" s="289">
        <v>50</v>
      </c>
      <c r="K976" s="289">
        <v>5</v>
      </c>
      <c r="L976" s="289">
        <v>1045</v>
      </c>
    </row>
    <row r="977" spans="1:12">
      <c r="A977" s="288" t="s">
        <v>1804</v>
      </c>
      <c r="B977" s="288" t="s">
        <v>1782</v>
      </c>
      <c r="C977" s="288" t="s">
        <v>814</v>
      </c>
      <c r="D977" s="288" t="s">
        <v>815</v>
      </c>
      <c r="E977" s="289">
        <v>10</v>
      </c>
      <c r="F977" s="290">
        <v>5</v>
      </c>
      <c r="G977" s="289">
        <v>900</v>
      </c>
      <c r="H977" s="289">
        <v>0</v>
      </c>
      <c r="I977" s="289">
        <v>90</v>
      </c>
      <c r="J977" s="289">
        <v>50</v>
      </c>
      <c r="K977" s="289">
        <v>5</v>
      </c>
      <c r="L977" s="289">
        <v>1045</v>
      </c>
    </row>
    <row r="978" spans="1:12">
      <c r="A978" s="288" t="s">
        <v>1805</v>
      </c>
      <c r="B978" s="288" t="s">
        <v>1782</v>
      </c>
      <c r="C978" s="288" t="s">
        <v>814</v>
      </c>
      <c r="D978" s="288" t="s">
        <v>818</v>
      </c>
      <c r="E978" s="289">
        <v>10</v>
      </c>
      <c r="F978" s="290">
        <v>34</v>
      </c>
      <c r="G978" s="289">
        <v>1100</v>
      </c>
      <c r="H978" s="289">
        <v>2640</v>
      </c>
      <c r="I978" s="289">
        <v>374</v>
      </c>
      <c r="J978" s="289">
        <v>70</v>
      </c>
      <c r="K978" s="289">
        <v>7</v>
      </c>
      <c r="L978" s="289">
        <v>4191</v>
      </c>
    </row>
    <row r="979" spans="1:12">
      <c r="A979" s="288" t="s">
        <v>1806</v>
      </c>
      <c r="B979" s="288" t="s">
        <v>1782</v>
      </c>
      <c r="C979" s="288" t="s">
        <v>814</v>
      </c>
      <c r="D979" s="288" t="s">
        <v>815</v>
      </c>
      <c r="E979" s="289">
        <v>10</v>
      </c>
      <c r="F979" s="290">
        <v>23</v>
      </c>
      <c r="G979" s="289">
        <v>1100</v>
      </c>
      <c r="H979" s="289">
        <v>1430</v>
      </c>
      <c r="I979" s="289">
        <v>253</v>
      </c>
      <c r="J979" s="289">
        <v>50</v>
      </c>
      <c r="K979" s="289">
        <v>5</v>
      </c>
      <c r="L979" s="289">
        <v>2838</v>
      </c>
    </row>
    <row r="980" spans="1:12">
      <c r="A980" s="288" t="s">
        <v>1807</v>
      </c>
      <c r="B980" s="288" t="s">
        <v>1782</v>
      </c>
      <c r="C980" s="288" t="s">
        <v>814</v>
      </c>
      <c r="D980" s="288" t="s">
        <v>815</v>
      </c>
      <c r="E980" s="289">
        <v>10</v>
      </c>
      <c r="F980" s="290">
        <v>1</v>
      </c>
      <c r="G980" s="289">
        <v>900</v>
      </c>
      <c r="H980" s="289">
        <v>0</v>
      </c>
      <c r="I980" s="289">
        <v>90</v>
      </c>
      <c r="J980" s="289">
        <v>50</v>
      </c>
      <c r="K980" s="289">
        <v>5</v>
      </c>
      <c r="L980" s="289">
        <v>1045</v>
      </c>
    </row>
    <row r="981" spans="1:12">
      <c r="A981" s="288" t="s">
        <v>1808</v>
      </c>
      <c r="B981" s="288" t="s">
        <v>1782</v>
      </c>
      <c r="C981" s="288" t="s">
        <v>814</v>
      </c>
      <c r="D981" s="288" t="s">
        <v>815</v>
      </c>
      <c r="E981" s="289">
        <v>10</v>
      </c>
      <c r="F981" s="290">
        <v>27</v>
      </c>
      <c r="G981" s="289">
        <v>1100</v>
      </c>
      <c r="H981" s="289">
        <v>1870</v>
      </c>
      <c r="I981" s="289">
        <v>297</v>
      </c>
      <c r="J981" s="289">
        <v>50</v>
      </c>
      <c r="K981" s="289">
        <v>5</v>
      </c>
      <c r="L981" s="289">
        <v>3322</v>
      </c>
    </row>
    <row r="982" spans="1:12">
      <c r="A982" s="288" t="s">
        <v>1809</v>
      </c>
      <c r="B982" s="288" t="s">
        <v>1782</v>
      </c>
      <c r="C982" s="288" t="s">
        <v>814</v>
      </c>
      <c r="D982" s="288" t="s">
        <v>818</v>
      </c>
      <c r="E982" s="289">
        <v>10</v>
      </c>
      <c r="F982" s="290">
        <v>3</v>
      </c>
      <c r="G982" s="289">
        <v>900</v>
      </c>
      <c r="H982" s="289">
        <v>0</v>
      </c>
      <c r="I982" s="289">
        <v>90</v>
      </c>
      <c r="J982" s="289">
        <v>70</v>
      </c>
      <c r="K982" s="289">
        <v>7</v>
      </c>
      <c r="L982" s="289">
        <v>1067</v>
      </c>
    </row>
    <row r="983" spans="1:12">
      <c r="A983" s="288" t="s">
        <v>1810</v>
      </c>
      <c r="B983" s="288" t="s">
        <v>1782</v>
      </c>
      <c r="C983" s="288" t="s">
        <v>814</v>
      </c>
      <c r="D983" s="288" t="s">
        <v>815</v>
      </c>
      <c r="E983" s="289">
        <v>10</v>
      </c>
      <c r="F983" s="290">
        <v>4</v>
      </c>
      <c r="G983" s="289">
        <v>900</v>
      </c>
      <c r="H983" s="289">
        <v>0</v>
      </c>
      <c r="I983" s="289">
        <v>90</v>
      </c>
      <c r="J983" s="289">
        <v>50</v>
      </c>
      <c r="K983" s="289">
        <v>5</v>
      </c>
      <c r="L983" s="289">
        <v>1045</v>
      </c>
    </row>
    <row r="984" spans="1:12">
      <c r="A984" s="288" t="s">
        <v>1811</v>
      </c>
      <c r="B984" s="288" t="s">
        <v>1782</v>
      </c>
      <c r="C984" s="288" t="s">
        <v>814</v>
      </c>
      <c r="D984" s="288" t="s">
        <v>815</v>
      </c>
      <c r="E984" s="289">
        <v>10</v>
      </c>
      <c r="F984" s="290">
        <v>14</v>
      </c>
      <c r="G984" s="289">
        <v>1100</v>
      </c>
      <c r="H984" s="289">
        <v>440</v>
      </c>
      <c r="I984" s="289">
        <v>154</v>
      </c>
      <c r="J984" s="289">
        <v>50</v>
      </c>
      <c r="K984" s="289">
        <v>5</v>
      </c>
      <c r="L984" s="289">
        <v>1749</v>
      </c>
    </row>
    <row r="985" spans="1:12">
      <c r="A985" s="288" t="s">
        <v>1812</v>
      </c>
      <c r="B985" s="288" t="s">
        <v>1782</v>
      </c>
      <c r="C985" s="288" t="s">
        <v>814</v>
      </c>
      <c r="D985" s="288" t="s">
        <v>818</v>
      </c>
      <c r="E985" s="289">
        <v>10</v>
      </c>
      <c r="F985" s="290">
        <v>15</v>
      </c>
      <c r="G985" s="289">
        <v>1100</v>
      </c>
      <c r="H985" s="289">
        <v>550</v>
      </c>
      <c r="I985" s="289">
        <v>165</v>
      </c>
      <c r="J985" s="289">
        <v>70</v>
      </c>
      <c r="K985" s="289">
        <v>7</v>
      </c>
      <c r="L985" s="289">
        <v>1892</v>
      </c>
    </row>
    <row r="986" spans="1:12">
      <c r="A986" s="288" t="s">
        <v>1813</v>
      </c>
      <c r="B986" s="288" t="s">
        <v>1782</v>
      </c>
      <c r="C986" s="288" t="s">
        <v>814</v>
      </c>
      <c r="D986" s="288" t="s">
        <v>815</v>
      </c>
      <c r="E986" s="289">
        <v>10</v>
      </c>
      <c r="F986" s="290">
        <v>11</v>
      </c>
      <c r="G986" s="289">
        <v>1100</v>
      </c>
      <c r="H986" s="289">
        <v>110</v>
      </c>
      <c r="I986" s="289">
        <v>121</v>
      </c>
      <c r="J986" s="289">
        <v>50</v>
      </c>
      <c r="K986" s="289">
        <v>5</v>
      </c>
      <c r="L986" s="289">
        <v>1386</v>
      </c>
    </row>
    <row r="987" spans="1:12">
      <c r="A987" s="288" t="s">
        <v>1814</v>
      </c>
      <c r="B987" s="288" t="s">
        <v>1782</v>
      </c>
      <c r="C987" s="288" t="s">
        <v>814</v>
      </c>
      <c r="D987" s="288" t="s">
        <v>815</v>
      </c>
      <c r="E987" s="289">
        <v>10</v>
      </c>
      <c r="F987" s="290">
        <v>13</v>
      </c>
      <c r="G987" s="289">
        <v>1100</v>
      </c>
      <c r="H987" s="289">
        <v>330</v>
      </c>
      <c r="I987" s="289">
        <v>143</v>
      </c>
      <c r="J987" s="289">
        <v>50</v>
      </c>
      <c r="K987" s="289">
        <v>5</v>
      </c>
      <c r="L987" s="289">
        <v>1628</v>
      </c>
    </row>
    <row r="988" spans="1:12">
      <c r="A988" s="288" t="s">
        <v>1815</v>
      </c>
      <c r="B988" s="288" t="s">
        <v>1782</v>
      </c>
      <c r="C988" s="288" t="s">
        <v>814</v>
      </c>
      <c r="D988" s="288" t="s">
        <v>815</v>
      </c>
      <c r="E988" s="289">
        <v>10</v>
      </c>
      <c r="F988" s="290">
        <v>10</v>
      </c>
      <c r="G988" s="289">
        <v>1100</v>
      </c>
      <c r="H988" s="289">
        <v>0</v>
      </c>
      <c r="I988" s="289">
        <v>110</v>
      </c>
      <c r="J988" s="289">
        <v>50</v>
      </c>
      <c r="K988" s="289">
        <v>5</v>
      </c>
      <c r="L988" s="289">
        <v>1265</v>
      </c>
    </row>
    <row r="989" spans="1:12">
      <c r="A989" s="288" t="s">
        <v>1816</v>
      </c>
      <c r="B989" s="288" t="s">
        <v>1782</v>
      </c>
      <c r="C989" s="288" t="s">
        <v>814</v>
      </c>
      <c r="D989" s="288" t="s">
        <v>815</v>
      </c>
      <c r="E989" s="289">
        <v>10</v>
      </c>
      <c r="F989" s="290">
        <v>22</v>
      </c>
      <c r="G989" s="289">
        <v>1100</v>
      </c>
      <c r="H989" s="289">
        <v>1320</v>
      </c>
      <c r="I989" s="289">
        <v>242</v>
      </c>
      <c r="J989" s="289">
        <v>50</v>
      </c>
      <c r="K989" s="289">
        <v>5</v>
      </c>
      <c r="L989" s="289">
        <v>2717</v>
      </c>
    </row>
    <row r="990" spans="1:12">
      <c r="A990" s="288" t="s">
        <v>1817</v>
      </c>
      <c r="B990" s="288" t="s">
        <v>1782</v>
      </c>
      <c r="C990" s="288" t="s">
        <v>814</v>
      </c>
      <c r="D990" s="288" t="s">
        <v>815</v>
      </c>
      <c r="E990" s="289">
        <v>10</v>
      </c>
      <c r="F990" s="290">
        <v>8</v>
      </c>
      <c r="G990" s="289">
        <v>1100</v>
      </c>
      <c r="H990" s="289">
        <v>0</v>
      </c>
      <c r="I990" s="289">
        <v>110</v>
      </c>
      <c r="J990" s="289">
        <v>50</v>
      </c>
      <c r="K990" s="289">
        <v>5</v>
      </c>
      <c r="L990" s="289">
        <v>1265</v>
      </c>
    </row>
    <row r="991" spans="1:12">
      <c r="A991" s="288" t="s">
        <v>1818</v>
      </c>
      <c r="B991" s="288" t="s">
        <v>1782</v>
      </c>
      <c r="C991" s="288" t="s">
        <v>814</v>
      </c>
      <c r="D991" s="288" t="s">
        <v>818</v>
      </c>
      <c r="E991" s="289">
        <v>10</v>
      </c>
      <c r="F991" s="290">
        <v>11</v>
      </c>
      <c r="G991" s="289">
        <v>1100</v>
      </c>
      <c r="H991" s="289">
        <v>110</v>
      </c>
      <c r="I991" s="289">
        <v>121</v>
      </c>
      <c r="J991" s="289">
        <v>70</v>
      </c>
      <c r="K991" s="289">
        <v>7</v>
      </c>
      <c r="L991" s="289">
        <v>1408</v>
      </c>
    </row>
    <row r="992" spans="1:12">
      <c r="A992" s="288" t="s">
        <v>1819</v>
      </c>
      <c r="B992" s="288" t="s">
        <v>1782</v>
      </c>
      <c r="C992" s="288" t="s">
        <v>814</v>
      </c>
      <c r="D992" s="288" t="s">
        <v>818</v>
      </c>
      <c r="E992" s="289">
        <v>10</v>
      </c>
      <c r="F992" s="290">
        <v>1</v>
      </c>
      <c r="G992" s="289">
        <v>900</v>
      </c>
      <c r="H992" s="289">
        <v>0</v>
      </c>
      <c r="I992" s="289">
        <v>90</v>
      </c>
      <c r="J992" s="289">
        <v>70</v>
      </c>
      <c r="K992" s="289">
        <v>7</v>
      </c>
      <c r="L992" s="289">
        <v>1067</v>
      </c>
    </row>
    <row r="993" spans="1:12">
      <c r="A993" s="288" t="s">
        <v>1820</v>
      </c>
      <c r="B993" s="288" t="s">
        <v>1782</v>
      </c>
      <c r="C993" s="288" t="s">
        <v>814</v>
      </c>
      <c r="D993" s="288" t="s">
        <v>815</v>
      </c>
      <c r="E993" s="289">
        <v>10</v>
      </c>
      <c r="F993" s="290">
        <v>12</v>
      </c>
      <c r="G993" s="289">
        <v>1100</v>
      </c>
      <c r="H993" s="289">
        <v>220</v>
      </c>
      <c r="I993" s="289">
        <v>132</v>
      </c>
      <c r="J993" s="289">
        <v>50</v>
      </c>
      <c r="K993" s="289">
        <v>5</v>
      </c>
      <c r="L993" s="289">
        <v>1507</v>
      </c>
    </row>
    <row r="994" spans="1:12">
      <c r="A994" s="288" t="s">
        <v>1821</v>
      </c>
      <c r="B994" s="288" t="s">
        <v>1782</v>
      </c>
      <c r="C994" s="288" t="s">
        <v>814</v>
      </c>
      <c r="D994" s="288" t="s">
        <v>815</v>
      </c>
      <c r="E994" s="289">
        <v>10</v>
      </c>
      <c r="F994" s="290">
        <v>8</v>
      </c>
      <c r="G994" s="289">
        <v>1100</v>
      </c>
      <c r="H994" s="289">
        <v>0</v>
      </c>
      <c r="I994" s="289">
        <v>110</v>
      </c>
      <c r="J994" s="289">
        <v>50</v>
      </c>
      <c r="K994" s="289">
        <v>5</v>
      </c>
      <c r="L994" s="289">
        <v>1265</v>
      </c>
    </row>
    <row r="995" spans="1:12">
      <c r="A995" s="288" t="s">
        <v>1822</v>
      </c>
      <c r="B995" s="288" t="s">
        <v>1782</v>
      </c>
      <c r="C995" s="288" t="s">
        <v>820</v>
      </c>
      <c r="D995" s="288" t="s">
        <v>815</v>
      </c>
      <c r="E995" s="289">
        <v>10</v>
      </c>
      <c r="F995" s="290">
        <v>2</v>
      </c>
      <c r="G995" s="289">
        <v>900</v>
      </c>
      <c r="H995" s="289">
        <v>0</v>
      </c>
      <c r="I995" s="289">
        <v>90</v>
      </c>
      <c r="J995" s="289">
        <v>50</v>
      </c>
      <c r="K995" s="289">
        <v>5</v>
      </c>
      <c r="L995" s="289">
        <v>1045</v>
      </c>
    </row>
    <row r="996" spans="1:12">
      <c r="A996" s="288" t="s">
        <v>1823</v>
      </c>
      <c r="B996" s="288" t="s">
        <v>1782</v>
      </c>
      <c r="C996" s="288" t="s">
        <v>814</v>
      </c>
      <c r="D996" s="288" t="s">
        <v>815</v>
      </c>
      <c r="E996" s="289">
        <v>10</v>
      </c>
      <c r="F996" s="290">
        <v>26</v>
      </c>
      <c r="G996" s="289">
        <v>1100</v>
      </c>
      <c r="H996" s="289">
        <v>1760</v>
      </c>
      <c r="I996" s="289">
        <v>286</v>
      </c>
      <c r="J996" s="289">
        <v>50</v>
      </c>
      <c r="K996" s="289">
        <v>5</v>
      </c>
      <c r="L996" s="289">
        <v>3201</v>
      </c>
    </row>
    <row r="997" spans="1:12">
      <c r="A997" s="288" t="s">
        <v>1824</v>
      </c>
      <c r="B997" s="288" t="s">
        <v>1782</v>
      </c>
      <c r="C997" s="288" t="s">
        <v>814</v>
      </c>
      <c r="D997" s="288" t="s">
        <v>815</v>
      </c>
      <c r="E997" s="289">
        <v>10</v>
      </c>
      <c r="F997" s="290">
        <v>6</v>
      </c>
      <c r="G997" s="289">
        <v>1100</v>
      </c>
      <c r="H997" s="289">
        <v>0</v>
      </c>
      <c r="I997" s="289">
        <v>110</v>
      </c>
      <c r="J997" s="289">
        <v>50</v>
      </c>
      <c r="K997" s="289">
        <v>5</v>
      </c>
      <c r="L997" s="289">
        <v>1265</v>
      </c>
    </row>
    <row r="998" spans="1:12">
      <c r="A998" s="288" t="s">
        <v>1825</v>
      </c>
      <c r="B998" s="288" t="s">
        <v>1782</v>
      </c>
      <c r="C998" s="288" t="s">
        <v>814</v>
      </c>
      <c r="D998" s="288" t="s">
        <v>815</v>
      </c>
      <c r="E998" s="289">
        <v>10</v>
      </c>
      <c r="F998" s="290">
        <v>20</v>
      </c>
      <c r="G998" s="289">
        <v>1100</v>
      </c>
      <c r="H998" s="289">
        <v>1100</v>
      </c>
      <c r="I998" s="289">
        <v>220</v>
      </c>
      <c r="J998" s="289">
        <v>50</v>
      </c>
      <c r="K998" s="289">
        <v>5</v>
      </c>
      <c r="L998" s="289">
        <v>2475</v>
      </c>
    </row>
    <row r="999" spans="1:12">
      <c r="A999" s="288" t="s">
        <v>1826</v>
      </c>
      <c r="B999" s="288" t="s">
        <v>1782</v>
      </c>
      <c r="C999" s="288" t="s">
        <v>814</v>
      </c>
      <c r="D999" s="288" t="s">
        <v>815</v>
      </c>
      <c r="E999" s="289">
        <v>10</v>
      </c>
      <c r="F999" s="290">
        <v>30</v>
      </c>
      <c r="G999" s="289">
        <v>1100</v>
      </c>
      <c r="H999" s="289">
        <v>2200</v>
      </c>
      <c r="I999" s="289">
        <v>330</v>
      </c>
      <c r="J999" s="289">
        <v>50</v>
      </c>
      <c r="K999" s="289">
        <v>5</v>
      </c>
      <c r="L999" s="289">
        <v>3685</v>
      </c>
    </row>
    <row r="1000" spans="1:12">
      <c r="A1000" s="288" t="s">
        <v>1827</v>
      </c>
      <c r="B1000" s="288" t="s">
        <v>1782</v>
      </c>
      <c r="C1000" s="288" t="s">
        <v>814</v>
      </c>
      <c r="D1000" s="288" t="s">
        <v>818</v>
      </c>
      <c r="E1000" s="289">
        <v>10</v>
      </c>
      <c r="F1000" s="290">
        <v>15</v>
      </c>
      <c r="G1000" s="289">
        <v>1100</v>
      </c>
      <c r="H1000" s="289">
        <v>550</v>
      </c>
      <c r="I1000" s="289">
        <v>165</v>
      </c>
      <c r="J1000" s="289">
        <v>70</v>
      </c>
      <c r="K1000" s="289">
        <v>7</v>
      </c>
      <c r="L1000" s="289">
        <v>1892</v>
      </c>
    </row>
    <row r="1001" spans="1:12">
      <c r="A1001" s="288" t="s">
        <v>1828</v>
      </c>
      <c r="B1001" s="288" t="s">
        <v>1782</v>
      </c>
      <c r="C1001" s="288" t="s">
        <v>814</v>
      </c>
      <c r="D1001" s="288" t="s">
        <v>818</v>
      </c>
      <c r="E1001" s="289">
        <v>10</v>
      </c>
      <c r="F1001" s="290">
        <v>11</v>
      </c>
      <c r="G1001" s="289">
        <v>1100</v>
      </c>
      <c r="H1001" s="289">
        <v>110</v>
      </c>
      <c r="I1001" s="289">
        <v>121</v>
      </c>
      <c r="J1001" s="289">
        <v>70</v>
      </c>
      <c r="K1001" s="289">
        <v>7</v>
      </c>
      <c r="L1001" s="289">
        <v>1408</v>
      </c>
    </row>
    <row r="1002" spans="1:12">
      <c r="A1002" s="288" t="s">
        <v>1829</v>
      </c>
      <c r="B1002" s="288" t="s">
        <v>1782</v>
      </c>
      <c r="C1002" s="288" t="s">
        <v>814</v>
      </c>
      <c r="D1002" s="288" t="s">
        <v>818</v>
      </c>
      <c r="E1002" s="289">
        <v>10</v>
      </c>
      <c r="F1002" s="290">
        <v>21</v>
      </c>
      <c r="G1002" s="289">
        <v>1100</v>
      </c>
      <c r="H1002" s="289">
        <v>1210</v>
      </c>
      <c r="I1002" s="289">
        <v>231</v>
      </c>
      <c r="J1002" s="289">
        <v>70</v>
      </c>
      <c r="K1002" s="289">
        <v>7</v>
      </c>
      <c r="L1002" s="289">
        <v>2618</v>
      </c>
    </row>
    <row r="1003" spans="1:12">
      <c r="A1003" s="288" t="s">
        <v>1830</v>
      </c>
      <c r="B1003" s="288" t="s">
        <v>1782</v>
      </c>
      <c r="C1003" s="288" t="s">
        <v>814</v>
      </c>
      <c r="D1003" s="288" t="s">
        <v>818</v>
      </c>
      <c r="E1003" s="289">
        <v>10</v>
      </c>
      <c r="F1003" s="290">
        <v>7</v>
      </c>
      <c r="G1003" s="289">
        <v>1100</v>
      </c>
      <c r="H1003" s="289">
        <v>0</v>
      </c>
      <c r="I1003" s="289">
        <v>110</v>
      </c>
      <c r="J1003" s="289">
        <v>70</v>
      </c>
      <c r="K1003" s="289">
        <v>7</v>
      </c>
      <c r="L1003" s="289">
        <v>1287</v>
      </c>
    </row>
    <row r="1004" spans="1:12">
      <c r="A1004" s="288" t="s">
        <v>1831</v>
      </c>
      <c r="B1004" s="288" t="s">
        <v>1782</v>
      </c>
      <c r="C1004" s="288" t="s">
        <v>814</v>
      </c>
      <c r="D1004" s="288" t="s">
        <v>815</v>
      </c>
      <c r="E1004" s="289">
        <v>10</v>
      </c>
      <c r="F1004" s="290">
        <v>4</v>
      </c>
      <c r="G1004" s="289">
        <v>900</v>
      </c>
      <c r="H1004" s="289">
        <v>0</v>
      </c>
      <c r="I1004" s="289">
        <v>90</v>
      </c>
      <c r="J1004" s="289">
        <v>50</v>
      </c>
      <c r="K1004" s="289">
        <v>5</v>
      </c>
      <c r="L1004" s="289">
        <v>1045</v>
      </c>
    </row>
    <row r="1005" spans="1:12">
      <c r="A1005" s="288" t="s">
        <v>1832</v>
      </c>
      <c r="B1005" s="288" t="s">
        <v>1782</v>
      </c>
      <c r="C1005" s="288" t="s">
        <v>814</v>
      </c>
      <c r="D1005" s="288" t="s">
        <v>818</v>
      </c>
      <c r="E1005" s="289">
        <v>10</v>
      </c>
      <c r="F1005" s="290">
        <v>10</v>
      </c>
      <c r="G1005" s="289">
        <v>1100</v>
      </c>
      <c r="H1005" s="289">
        <v>0</v>
      </c>
      <c r="I1005" s="289">
        <v>110</v>
      </c>
      <c r="J1005" s="289">
        <v>70</v>
      </c>
      <c r="K1005" s="289">
        <v>7</v>
      </c>
      <c r="L1005" s="289">
        <v>1287</v>
      </c>
    </row>
    <row r="1006" spans="1:12">
      <c r="A1006" s="288" t="s">
        <v>1833</v>
      </c>
      <c r="B1006" s="288" t="s">
        <v>1782</v>
      </c>
      <c r="C1006" s="288" t="s">
        <v>814</v>
      </c>
      <c r="D1006" s="288" t="s">
        <v>815</v>
      </c>
      <c r="E1006" s="289">
        <v>10</v>
      </c>
      <c r="F1006" s="290">
        <v>6</v>
      </c>
      <c r="G1006" s="289">
        <v>1100</v>
      </c>
      <c r="H1006" s="289">
        <v>0</v>
      </c>
      <c r="I1006" s="289">
        <v>110</v>
      </c>
      <c r="J1006" s="289">
        <v>50</v>
      </c>
      <c r="K1006" s="289">
        <v>5</v>
      </c>
      <c r="L1006" s="289">
        <v>1265</v>
      </c>
    </row>
    <row r="1007" spans="1:12">
      <c r="A1007" s="288" t="s">
        <v>1834</v>
      </c>
      <c r="B1007" s="288" t="s">
        <v>1782</v>
      </c>
      <c r="C1007" s="288" t="s">
        <v>814</v>
      </c>
      <c r="D1007" s="288" t="s">
        <v>818</v>
      </c>
      <c r="E1007" s="289">
        <v>10</v>
      </c>
      <c r="F1007" s="290">
        <v>21</v>
      </c>
      <c r="G1007" s="289">
        <v>1100</v>
      </c>
      <c r="H1007" s="289">
        <v>1210</v>
      </c>
      <c r="I1007" s="289">
        <v>231</v>
      </c>
      <c r="J1007" s="289">
        <v>70</v>
      </c>
      <c r="K1007" s="289">
        <v>7</v>
      </c>
      <c r="L1007" s="289">
        <v>2618</v>
      </c>
    </row>
    <row r="1008" spans="1:12">
      <c r="A1008" s="288" t="s">
        <v>1835</v>
      </c>
      <c r="B1008" s="288" t="s">
        <v>1782</v>
      </c>
      <c r="C1008" s="288" t="s">
        <v>814</v>
      </c>
      <c r="D1008" s="288" t="s">
        <v>818</v>
      </c>
      <c r="E1008" s="289">
        <v>10</v>
      </c>
      <c r="F1008" s="290">
        <v>18</v>
      </c>
      <c r="G1008" s="289">
        <v>1100</v>
      </c>
      <c r="H1008" s="289">
        <v>880</v>
      </c>
      <c r="I1008" s="289">
        <v>198</v>
      </c>
      <c r="J1008" s="289">
        <v>70</v>
      </c>
      <c r="K1008" s="289">
        <v>7</v>
      </c>
      <c r="L1008" s="289">
        <v>2255</v>
      </c>
    </row>
    <row r="1009" spans="1:12">
      <c r="A1009" s="288" t="s">
        <v>1836</v>
      </c>
      <c r="B1009" s="288" t="s">
        <v>1782</v>
      </c>
      <c r="C1009" s="288" t="s">
        <v>814</v>
      </c>
      <c r="D1009" s="288" t="s">
        <v>818</v>
      </c>
      <c r="E1009" s="289">
        <v>10</v>
      </c>
      <c r="F1009" s="290">
        <v>21</v>
      </c>
      <c r="G1009" s="289">
        <v>1100</v>
      </c>
      <c r="H1009" s="289">
        <v>1210</v>
      </c>
      <c r="I1009" s="289">
        <v>231</v>
      </c>
      <c r="J1009" s="289">
        <v>70</v>
      </c>
      <c r="K1009" s="289">
        <v>7</v>
      </c>
      <c r="L1009" s="289">
        <v>2618</v>
      </c>
    </row>
    <row r="1010" spans="1:12">
      <c r="A1010" s="288" t="s">
        <v>1837</v>
      </c>
      <c r="B1010" s="288" t="s">
        <v>1782</v>
      </c>
      <c r="C1010" s="288" t="s">
        <v>814</v>
      </c>
      <c r="D1010" s="288" t="s">
        <v>818</v>
      </c>
      <c r="E1010" s="289">
        <v>10</v>
      </c>
      <c r="F1010" s="290">
        <v>23</v>
      </c>
      <c r="G1010" s="289">
        <v>1100</v>
      </c>
      <c r="H1010" s="289">
        <v>1430</v>
      </c>
      <c r="I1010" s="289">
        <v>253</v>
      </c>
      <c r="J1010" s="289">
        <v>70</v>
      </c>
      <c r="K1010" s="289">
        <v>7</v>
      </c>
      <c r="L1010" s="289">
        <v>2860</v>
      </c>
    </row>
    <row r="1011" spans="1:12">
      <c r="A1011" s="288" t="s">
        <v>1838</v>
      </c>
      <c r="B1011" s="288" t="s">
        <v>1782</v>
      </c>
      <c r="C1011" s="288" t="s">
        <v>814</v>
      </c>
      <c r="D1011" s="288" t="s">
        <v>815</v>
      </c>
      <c r="E1011" s="289">
        <v>10</v>
      </c>
      <c r="F1011" s="290">
        <v>24</v>
      </c>
      <c r="G1011" s="289">
        <v>1100</v>
      </c>
      <c r="H1011" s="289">
        <v>1540</v>
      </c>
      <c r="I1011" s="289">
        <v>264</v>
      </c>
      <c r="J1011" s="289">
        <v>50</v>
      </c>
      <c r="K1011" s="289">
        <v>5</v>
      </c>
      <c r="L1011" s="289">
        <v>2959</v>
      </c>
    </row>
    <row r="1012" spans="1:12">
      <c r="A1012" s="288" t="s">
        <v>1839</v>
      </c>
      <c r="B1012" s="288" t="s">
        <v>1782</v>
      </c>
      <c r="C1012" s="288" t="s">
        <v>814</v>
      </c>
      <c r="D1012" s="288" t="s">
        <v>815</v>
      </c>
      <c r="E1012" s="289">
        <v>10</v>
      </c>
      <c r="F1012" s="290">
        <v>19</v>
      </c>
      <c r="G1012" s="289">
        <v>1100</v>
      </c>
      <c r="H1012" s="289">
        <v>990</v>
      </c>
      <c r="I1012" s="289">
        <v>209</v>
      </c>
      <c r="J1012" s="289">
        <v>50</v>
      </c>
      <c r="K1012" s="289">
        <v>5</v>
      </c>
      <c r="L1012" s="289">
        <v>2354</v>
      </c>
    </row>
    <row r="1013" spans="1:12">
      <c r="A1013" s="288" t="s">
        <v>1840</v>
      </c>
      <c r="B1013" s="288" t="s">
        <v>1782</v>
      </c>
      <c r="C1013" s="288" t="s">
        <v>814</v>
      </c>
      <c r="D1013" s="288" t="s">
        <v>815</v>
      </c>
      <c r="E1013" s="289">
        <v>10</v>
      </c>
      <c r="F1013" s="290">
        <v>6</v>
      </c>
      <c r="G1013" s="289">
        <v>1100</v>
      </c>
      <c r="H1013" s="289">
        <v>0</v>
      </c>
      <c r="I1013" s="289">
        <v>110</v>
      </c>
      <c r="J1013" s="289">
        <v>50</v>
      </c>
      <c r="K1013" s="289">
        <v>5</v>
      </c>
      <c r="L1013" s="289">
        <v>1265</v>
      </c>
    </row>
    <row r="1014" spans="1:12">
      <c r="A1014" s="288" t="s">
        <v>1841</v>
      </c>
      <c r="B1014" s="288" t="s">
        <v>1782</v>
      </c>
      <c r="C1014" s="288" t="s">
        <v>814</v>
      </c>
      <c r="D1014" s="288" t="s">
        <v>818</v>
      </c>
      <c r="E1014" s="289">
        <v>10</v>
      </c>
      <c r="F1014" s="290">
        <v>10</v>
      </c>
      <c r="G1014" s="289">
        <v>1100</v>
      </c>
      <c r="H1014" s="289">
        <v>0</v>
      </c>
      <c r="I1014" s="289">
        <v>110</v>
      </c>
      <c r="J1014" s="289">
        <v>70</v>
      </c>
      <c r="K1014" s="289">
        <v>7</v>
      </c>
      <c r="L1014" s="289">
        <v>1287</v>
      </c>
    </row>
    <row r="1015" spans="1:12">
      <c r="A1015" s="288" t="s">
        <v>1842</v>
      </c>
      <c r="B1015" s="288" t="s">
        <v>1782</v>
      </c>
      <c r="C1015" s="288" t="s">
        <v>814</v>
      </c>
      <c r="D1015" s="288" t="s">
        <v>818</v>
      </c>
      <c r="E1015" s="289">
        <v>10</v>
      </c>
      <c r="F1015" s="290">
        <v>12</v>
      </c>
      <c r="G1015" s="289">
        <v>1100</v>
      </c>
      <c r="H1015" s="289">
        <v>220</v>
      </c>
      <c r="I1015" s="289">
        <v>132</v>
      </c>
      <c r="J1015" s="289">
        <v>70</v>
      </c>
      <c r="K1015" s="289">
        <v>7</v>
      </c>
      <c r="L1015" s="289">
        <v>1529</v>
      </c>
    </row>
    <row r="1016" spans="1:12">
      <c r="A1016" s="288" t="s">
        <v>1843</v>
      </c>
      <c r="B1016" s="288" t="s">
        <v>1782</v>
      </c>
      <c r="C1016" s="288" t="s">
        <v>829</v>
      </c>
      <c r="D1016" s="288" t="s">
        <v>818</v>
      </c>
      <c r="E1016" s="289">
        <v>10</v>
      </c>
      <c r="F1016" s="290">
        <v>0</v>
      </c>
      <c r="G1016" s="289">
        <v>900</v>
      </c>
      <c r="H1016" s="289">
        <v>0</v>
      </c>
      <c r="I1016" s="289">
        <v>90</v>
      </c>
      <c r="J1016" s="289">
        <v>70</v>
      </c>
      <c r="K1016" s="289">
        <v>7</v>
      </c>
      <c r="L1016" s="289">
        <v>1067</v>
      </c>
    </row>
    <row r="1017" spans="1:12">
      <c r="A1017" s="288" t="s">
        <v>1844</v>
      </c>
      <c r="B1017" s="288" t="s">
        <v>1782</v>
      </c>
      <c r="C1017" s="288" t="s">
        <v>814</v>
      </c>
      <c r="D1017" s="288" t="s">
        <v>815</v>
      </c>
      <c r="E1017" s="289">
        <v>10</v>
      </c>
      <c r="F1017" s="290">
        <v>8</v>
      </c>
      <c r="G1017" s="289">
        <v>1100</v>
      </c>
      <c r="H1017" s="289">
        <v>0</v>
      </c>
      <c r="I1017" s="289">
        <v>110</v>
      </c>
      <c r="J1017" s="289">
        <v>50</v>
      </c>
      <c r="K1017" s="289">
        <v>5</v>
      </c>
      <c r="L1017" s="289">
        <v>1265</v>
      </c>
    </row>
    <row r="1018" spans="1:12">
      <c r="A1018" s="288" t="s">
        <v>1845</v>
      </c>
      <c r="B1018" s="288" t="s">
        <v>1782</v>
      </c>
      <c r="C1018" s="288" t="s">
        <v>814</v>
      </c>
      <c r="D1018" s="288" t="s">
        <v>818</v>
      </c>
      <c r="E1018" s="289">
        <v>10</v>
      </c>
      <c r="F1018" s="290">
        <v>11</v>
      </c>
      <c r="G1018" s="289">
        <v>1100</v>
      </c>
      <c r="H1018" s="289">
        <v>110</v>
      </c>
      <c r="I1018" s="289">
        <v>121</v>
      </c>
      <c r="J1018" s="289">
        <v>70</v>
      </c>
      <c r="K1018" s="289">
        <v>7</v>
      </c>
      <c r="L1018" s="289">
        <v>1408</v>
      </c>
    </row>
    <row r="1019" spans="1:12">
      <c r="A1019" s="288" t="s">
        <v>1846</v>
      </c>
      <c r="B1019" s="288" t="s">
        <v>1782</v>
      </c>
      <c r="C1019" s="288" t="s">
        <v>814</v>
      </c>
      <c r="D1019" s="288" t="s">
        <v>815</v>
      </c>
      <c r="E1019" s="289">
        <v>10</v>
      </c>
      <c r="F1019" s="290">
        <v>39</v>
      </c>
      <c r="G1019" s="289">
        <v>1100</v>
      </c>
      <c r="H1019" s="289">
        <v>3190</v>
      </c>
      <c r="I1019" s="289">
        <v>429</v>
      </c>
      <c r="J1019" s="289">
        <v>50</v>
      </c>
      <c r="K1019" s="289">
        <v>5</v>
      </c>
      <c r="L1019" s="289">
        <v>4774</v>
      </c>
    </row>
    <row r="1020" spans="1:12">
      <c r="A1020" s="288" t="s">
        <v>1847</v>
      </c>
      <c r="B1020" s="288" t="s">
        <v>1782</v>
      </c>
      <c r="C1020" s="288" t="s">
        <v>814</v>
      </c>
      <c r="D1020" s="288" t="s">
        <v>815</v>
      </c>
      <c r="E1020" s="289">
        <v>10</v>
      </c>
      <c r="F1020" s="290">
        <v>7</v>
      </c>
      <c r="G1020" s="289">
        <v>1100</v>
      </c>
      <c r="H1020" s="289">
        <v>0</v>
      </c>
      <c r="I1020" s="289">
        <v>110</v>
      </c>
      <c r="J1020" s="289">
        <v>50</v>
      </c>
      <c r="K1020" s="289">
        <v>5</v>
      </c>
      <c r="L1020" s="289">
        <v>1265</v>
      </c>
    </row>
    <row r="1021" spans="1:12">
      <c r="A1021" s="288" t="s">
        <v>1848</v>
      </c>
      <c r="B1021" s="288" t="s">
        <v>1782</v>
      </c>
      <c r="C1021" s="288" t="s">
        <v>814</v>
      </c>
      <c r="D1021" s="288" t="s">
        <v>818</v>
      </c>
      <c r="E1021" s="289">
        <v>10</v>
      </c>
      <c r="F1021" s="290">
        <v>15</v>
      </c>
      <c r="G1021" s="289">
        <v>1100</v>
      </c>
      <c r="H1021" s="289">
        <v>550</v>
      </c>
      <c r="I1021" s="289">
        <v>165</v>
      </c>
      <c r="J1021" s="289">
        <v>70</v>
      </c>
      <c r="K1021" s="289">
        <v>7</v>
      </c>
      <c r="L1021" s="289">
        <v>1892</v>
      </c>
    </row>
    <row r="1022" spans="1:12">
      <c r="A1022" s="288" t="s">
        <v>1849</v>
      </c>
      <c r="B1022" s="288" t="s">
        <v>1782</v>
      </c>
      <c r="C1022" s="288" t="s">
        <v>814</v>
      </c>
      <c r="D1022" s="288" t="s">
        <v>818</v>
      </c>
      <c r="E1022" s="289">
        <v>10</v>
      </c>
      <c r="F1022" s="290">
        <v>7</v>
      </c>
      <c r="G1022" s="289">
        <v>1100</v>
      </c>
      <c r="H1022" s="289">
        <v>0</v>
      </c>
      <c r="I1022" s="289">
        <v>110</v>
      </c>
      <c r="J1022" s="289">
        <v>70</v>
      </c>
      <c r="K1022" s="289">
        <v>7</v>
      </c>
      <c r="L1022" s="289">
        <v>1287</v>
      </c>
    </row>
    <row r="1023" spans="1:12">
      <c r="A1023" s="288" t="s">
        <v>1850</v>
      </c>
      <c r="B1023" s="288" t="s">
        <v>1782</v>
      </c>
      <c r="C1023" s="288" t="s">
        <v>814</v>
      </c>
      <c r="D1023" s="288" t="s">
        <v>818</v>
      </c>
      <c r="E1023" s="289">
        <v>10</v>
      </c>
      <c r="F1023" s="290">
        <v>7</v>
      </c>
      <c r="G1023" s="289">
        <v>1100</v>
      </c>
      <c r="H1023" s="289">
        <v>0</v>
      </c>
      <c r="I1023" s="289">
        <v>110</v>
      </c>
      <c r="J1023" s="289">
        <v>70</v>
      </c>
      <c r="K1023" s="289">
        <v>7</v>
      </c>
      <c r="L1023" s="289">
        <v>1287</v>
      </c>
    </row>
    <row r="1024" spans="1:12">
      <c r="A1024" s="288" t="s">
        <v>1851</v>
      </c>
      <c r="B1024" s="288" t="s">
        <v>1782</v>
      </c>
      <c r="C1024" s="288" t="s">
        <v>814</v>
      </c>
      <c r="D1024" s="288" t="s">
        <v>815</v>
      </c>
      <c r="E1024" s="289">
        <v>10</v>
      </c>
      <c r="F1024" s="290">
        <v>14</v>
      </c>
      <c r="G1024" s="289">
        <v>1100</v>
      </c>
      <c r="H1024" s="289">
        <v>440</v>
      </c>
      <c r="I1024" s="289">
        <v>154</v>
      </c>
      <c r="J1024" s="289">
        <v>50</v>
      </c>
      <c r="K1024" s="289">
        <v>5</v>
      </c>
      <c r="L1024" s="289">
        <v>1749</v>
      </c>
    </row>
    <row r="1025" spans="1:12">
      <c r="A1025" s="288" t="s">
        <v>1852</v>
      </c>
      <c r="B1025" s="288" t="s">
        <v>1782</v>
      </c>
      <c r="C1025" s="288" t="s">
        <v>814</v>
      </c>
      <c r="D1025" s="288" t="s">
        <v>818</v>
      </c>
      <c r="E1025" s="289">
        <v>10</v>
      </c>
      <c r="F1025" s="290">
        <v>28</v>
      </c>
      <c r="G1025" s="289">
        <v>1100</v>
      </c>
      <c r="H1025" s="289">
        <v>1980</v>
      </c>
      <c r="I1025" s="289">
        <v>308</v>
      </c>
      <c r="J1025" s="289">
        <v>70</v>
      </c>
      <c r="K1025" s="289">
        <v>7</v>
      </c>
      <c r="L1025" s="289">
        <v>3465</v>
      </c>
    </row>
    <row r="1026" spans="1:12">
      <c r="A1026" s="288" t="s">
        <v>1853</v>
      </c>
      <c r="B1026" s="288" t="s">
        <v>1782</v>
      </c>
      <c r="C1026" s="288" t="s">
        <v>814</v>
      </c>
      <c r="D1026" s="288" t="s">
        <v>818</v>
      </c>
      <c r="E1026" s="289">
        <v>10</v>
      </c>
      <c r="F1026" s="290">
        <v>7</v>
      </c>
      <c r="G1026" s="289">
        <v>1100</v>
      </c>
      <c r="H1026" s="289">
        <v>0</v>
      </c>
      <c r="I1026" s="289">
        <v>110</v>
      </c>
      <c r="J1026" s="289">
        <v>70</v>
      </c>
      <c r="K1026" s="289">
        <v>7</v>
      </c>
      <c r="L1026" s="289">
        <v>1287</v>
      </c>
    </row>
    <row r="1027" spans="1:12">
      <c r="A1027" s="288" t="s">
        <v>1854</v>
      </c>
      <c r="B1027" s="288" t="s">
        <v>1782</v>
      </c>
      <c r="C1027" s="288" t="s">
        <v>814</v>
      </c>
      <c r="D1027" s="288" t="s">
        <v>818</v>
      </c>
      <c r="E1027" s="289">
        <v>10</v>
      </c>
      <c r="F1027" s="290">
        <v>3</v>
      </c>
      <c r="G1027" s="289">
        <v>900</v>
      </c>
      <c r="H1027" s="289">
        <v>0</v>
      </c>
      <c r="I1027" s="289">
        <v>90</v>
      </c>
      <c r="J1027" s="289">
        <v>70</v>
      </c>
      <c r="K1027" s="289">
        <v>7</v>
      </c>
      <c r="L1027" s="289">
        <v>1067</v>
      </c>
    </row>
    <row r="1028" spans="1:12">
      <c r="A1028" s="288" t="s">
        <v>1855</v>
      </c>
      <c r="B1028" s="288" t="s">
        <v>1782</v>
      </c>
      <c r="C1028" s="288" t="s">
        <v>820</v>
      </c>
      <c r="D1028" s="288" t="s">
        <v>818</v>
      </c>
      <c r="E1028" s="289">
        <v>10</v>
      </c>
      <c r="F1028" s="290">
        <v>0</v>
      </c>
      <c r="G1028" s="289">
        <v>900</v>
      </c>
      <c r="H1028" s="289">
        <v>0</v>
      </c>
      <c r="I1028" s="289">
        <v>90</v>
      </c>
      <c r="J1028" s="289">
        <v>70</v>
      </c>
      <c r="K1028" s="289">
        <v>7</v>
      </c>
      <c r="L1028" s="289">
        <v>1067</v>
      </c>
    </row>
    <row r="1029" spans="1:12">
      <c r="A1029" s="288" t="s">
        <v>1856</v>
      </c>
      <c r="B1029" s="288" t="s">
        <v>1782</v>
      </c>
      <c r="C1029" s="288" t="s">
        <v>814</v>
      </c>
      <c r="D1029" s="288" t="s">
        <v>818</v>
      </c>
      <c r="E1029" s="289">
        <v>10</v>
      </c>
      <c r="F1029" s="290">
        <v>39</v>
      </c>
      <c r="G1029" s="289">
        <v>1100</v>
      </c>
      <c r="H1029" s="289">
        <v>3190</v>
      </c>
      <c r="I1029" s="289">
        <v>429</v>
      </c>
      <c r="J1029" s="289">
        <v>70</v>
      </c>
      <c r="K1029" s="289">
        <v>7</v>
      </c>
      <c r="L1029" s="289">
        <v>4796</v>
      </c>
    </row>
    <row r="1030" spans="1:12">
      <c r="A1030" s="288" t="s">
        <v>1857</v>
      </c>
      <c r="B1030" s="288" t="s">
        <v>1782</v>
      </c>
      <c r="C1030" s="288" t="s">
        <v>829</v>
      </c>
      <c r="D1030" s="288" t="s">
        <v>826</v>
      </c>
      <c r="E1030" s="289">
        <v>10</v>
      </c>
      <c r="F1030" s="290">
        <v>7</v>
      </c>
      <c r="G1030" s="289">
        <v>1100</v>
      </c>
      <c r="H1030" s="289">
        <v>0</v>
      </c>
      <c r="I1030" s="289">
        <v>110</v>
      </c>
      <c r="J1030" s="289">
        <v>100</v>
      </c>
      <c r="K1030" s="289">
        <v>10</v>
      </c>
      <c r="L1030" s="289">
        <v>1320</v>
      </c>
    </row>
    <row r="1031" spans="1:12">
      <c r="A1031" s="288" t="s">
        <v>1858</v>
      </c>
      <c r="B1031" s="288" t="s">
        <v>1782</v>
      </c>
      <c r="C1031" s="288" t="s">
        <v>829</v>
      </c>
      <c r="D1031" s="288" t="s">
        <v>826</v>
      </c>
      <c r="E1031" s="289">
        <v>10</v>
      </c>
      <c r="F1031" s="290">
        <v>334</v>
      </c>
      <c r="G1031" s="289">
        <v>1100</v>
      </c>
      <c r="H1031" s="289">
        <v>33300</v>
      </c>
      <c r="I1031" s="289">
        <v>3440</v>
      </c>
      <c r="J1031" s="289">
        <v>100</v>
      </c>
      <c r="K1031" s="289">
        <v>10</v>
      </c>
      <c r="L1031" s="289">
        <v>37950</v>
      </c>
    </row>
    <row r="1032" spans="1:12">
      <c r="A1032" s="288" t="s">
        <v>1859</v>
      </c>
      <c r="B1032" s="288" t="s">
        <v>1782</v>
      </c>
      <c r="C1032" s="288" t="s">
        <v>814</v>
      </c>
      <c r="D1032" s="288" t="s">
        <v>818</v>
      </c>
      <c r="E1032" s="289">
        <v>10</v>
      </c>
      <c r="F1032" s="290">
        <v>14</v>
      </c>
      <c r="G1032" s="289">
        <v>1100</v>
      </c>
      <c r="H1032" s="289">
        <v>440</v>
      </c>
      <c r="I1032" s="289">
        <v>154</v>
      </c>
      <c r="J1032" s="289">
        <v>70</v>
      </c>
      <c r="K1032" s="289">
        <v>7</v>
      </c>
      <c r="L1032" s="289">
        <v>1771</v>
      </c>
    </row>
    <row r="1033" spans="1:12">
      <c r="A1033" s="288" t="s">
        <v>1860</v>
      </c>
      <c r="B1033" s="288" t="s">
        <v>1782</v>
      </c>
      <c r="C1033" s="288" t="s">
        <v>814</v>
      </c>
      <c r="D1033" s="288" t="s">
        <v>818</v>
      </c>
      <c r="E1033" s="289">
        <v>10</v>
      </c>
      <c r="F1033" s="290">
        <v>34</v>
      </c>
      <c r="G1033" s="289">
        <v>1100</v>
      </c>
      <c r="H1033" s="289">
        <v>2640</v>
      </c>
      <c r="I1033" s="289">
        <v>374</v>
      </c>
      <c r="J1033" s="289">
        <v>70</v>
      </c>
      <c r="K1033" s="289">
        <v>7</v>
      </c>
      <c r="L1033" s="289">
        <v>4191</v>
      </c>
    </row>
    <row r="1034" spans="1:12">
      <c r="A1034" s="288" t="s">
        <v>1861</v>
      </c>
      <c r="B1034" s="288" t="s">
        <v>1782</v>
      </c>
      <c r="C1034" s="288" t="s">
        <v>814</v>
      </c>
      <c r="D1034" s="288" t="s">
        <v>818</v>
      </c>
      <c r="E1034" s="289">
        <v>10</v>
      </c>
      <c r="F1034" s="290">
        <v>10</v>
      </c>
      <c r="G1034" s="289">
        <v>1100</v>
      </c>
      <c r="H1034" s="289">
        <v>0</v>
      </c>
      <c r="I1034" s="289">
        <v>110</v>
      </c>
      <c r="J1034" s="289">
        <v>70</v>
      </c>
      <c r="K1034" s="289">
        <v>7</v>
      </c>
      <c r="L1034" s="289">
        <v>1287</v>
      </c>
    </row>
    <row r="1035" spans="1:12">
      <c r="A1035" s="288" t="s">
        <v>1862</v>
      </c>
      <c r="B1035" s="288" t="s">
        <v>1782</v>
      </c>
      <c r="C1035" s="288" t="s">
        <v>814</v>
      </c>
      <c r="D1035" s="288" t="s">
        <v>818</v>
      </c>
      <c r="E1035" s="289">
        <v>10</v>
      </c>
      <c r="F1035" s="290">
        <v>19</v>
      </c>
      <c r="G1035" s="289">
        <v>1100</v>
      </c>
      <c r="H1035" s="289">
        <v>990</v>
      </c>
      <c r="I1035" s="289">
        <v>209</v>
      </c>
      <c r="J1035" s="289">
        <v>70</v>
      </c>
      <c r="K1035" s="289">
        <v>7</v>
      </c>
      <c r="L1035" s="289">
        <v>2376</v>
      </c>
    </row>
    <row r="1036" spans="1:12">
      <c r="A1036" s="288" t="s">
        <v>1863</v>
      </c>
      <c r="B1036" s="288" t="s">
        <v>1782</v>
      </c>
      <c r="C1036" s="288" t="s">
        <v>814</v>
      </c>
      <c r="D1036" s="288" t="s">
        <v>815</v>
      </c>
      <c r="E1036" s="289">
        <v>10</v>
      </c>
      <c r="F1036" s="290">
        <v>9</v>
      </c>
      <c r="G1036" s="289">
        <v>1100</v>
      </c>
      <c r="H1036" s="289">
        <v>0</v>
      </c>
      <c r="I1036" s="289">
        <v>110</v>
      </c>
      <c r="J1036" s="289">
        <v>50</v>
      </c>
      <c r="K1036" s="289">
        <v>5</v>
      </c>
      <c r="L1036" s="289">
        <v>1265</v>
      </c>
    </row>
    <row r="1037" spans="1:12">
      <c r="A1037" s="288" t="s">
        <v>1864</v>
      </c>
      <c r="B1037" s="288" t="s">
        <v>1782</v>
      </c>
      <c r="C1037" s="288" t="s">
        <v>814</v>
      </c>
      <c r="D1037" s="288" t="s">
        <v>815</v>
      </c>
      <c r="E1037" s="289">
        <v>10</v>
      </c>
      <c r="F1037" s="290">
        <v>9</v>
      </c>
      <c r="G1037" s="289">
        <v>1100</v>
      </c>
      <c r="H1037" s="289">
        <v>0</v>
      </c>
      <c r="I1037" s="289">
        <v>110</v>
      </c>
      <c r="J1037" s="289">
        <v>50</v>
      </c>
      <c r="K1037" s="289">
        <v>5</v>
      </c>
      <c r="L1037" s="289">
        <v>1265</v>
      </c>
    </row>
    <row r="1038" spans="1:12">
      <c r="A1038" s="288" t="s">
        <v>1865</v>
      </c>
      <c r="B1038" s="288" t="s">
        <v>1782</v>
      </c>
      <c r="C1038" s="288" t="s">
        <v>814</v>
      </c>
      <c r="D1038" s="288" t="s">
        <v>815</v>
      </c>
      <c r="E1038" s="289">
        <v>10</v>
      </c>
      <c r="F1038" s="290">
        <v>20</v>
      </c>
      <c r="G1038" s="289">
        <v>1100</v>
      </c>
      <c r="H1038" s="289">
        <v>1100</v>
      </c>
      <c r="I1038" s="289">
        <v>220</v>
      </c>
      <c r="J1038" s="289">
        <v>50</v>
      </c>
      <c r="K1038" s="289">
        <v>5</v>
      </c>
      <c r="L1038" s="289">
        <v>2475</v>
      </c>
    </row>
    <row r="1039" spans="1:12">
      <c r="A1039" s="288" t="s">
        <v>1866</v>
      </c>
      <c r="B1039" s="288" t="s">
        <v>1782</v>
      </c>
      <c r="C1039" s="288" t="s">
        <v>814</v>
      </c>
      <c r="D1039" s="288" t="s">
        <v>815</v>
      </c>
      <c r="E1039" s="289">
        <v>10</v>
      </c>
      <c r="F1039" s="290">
        <v>11</v>
      </c>
      <c r="G1039" s="289">
        <v>1100</v>
      </c>
      <c r="H1039" s="289">
        <v>110</v>
      </c>
      <c r="I1039" s="289">
        <v>121</v>
      </c>
      <c r="J1039" s="289">
        <v>50</v>
      </c>
      <c r="K1039" s="289">
        <v>5</v>
      </c>
      <c r="L1039" s="289">
        <v>1386</v>
      </c>
    </row>
    <row r="1040" spans="1:12">
      <c r="A1040" s="288" t="s">
        <v>1867</v>
      </c>
      <c r="B1040" s="288" t="s">
        <v>1782</v>
      </c>
      <c r="C1040" s="288" t="s">
        <v>814</v>
      </c>
      <c r="D1040" s="288" t="s">
        <v>815</v>
      </c>
      <c r="E1040" s="289">
        <v>10</v>
      </c>
      <c r="F1040" s="290">
        <v>14</v>
      </c>
      <c r="G1040" s="289">
        <v>1100</v>
      </c>
      <c r="H1040" s="289">
        <v>440</v>
      </c>
      <c r="I1040" s="289">
        <v>154</v>
      </c>
      <c r="J1040" s="289">
        <v>50</v>
      </c>
      <c r="K1040" s="289">
        <v>5</v>
      </c>
      <c r="L1040" s="289">
        <v>1749</v>
      </c>
    </row>
    <row r="1041" spans="1:12">
      <c r="A1041" s="288" t="s">
        <v>1868</v>
      </c>
      <c r="B1041" s="288" t="s">
        <v>1782</v>
      </c>
      <c r="C1041" s="288" t="s">
        <v>814</v>
      </c>
      <c r="D1041" s="288" t="s">
        <v>815</v>
      </c>
      <c r="E1041" s="289">
        <v>10</v>
      </c>
      <c r="F1041" s="290">
        <v>19</v>
      </c>
      <c r="G1041" s="289">
        <v>1100</v>
      </c>
      <c r="H1041" s="289">
        <v>990</v>
      </c>
      <c r="I1041" s="289">
        <v>209</v>
      </c>
      <c r="J1041" s="289">
        <v>50</v>
      </c>
      <c r="K1041" s="289">
        <v>5</v>
      </c>
      <c r="L1041" s="289">
        <v>2354</v>
      </c>
    </row>
    <row r="1042" spans="1:12">
      <c r="A1042" s="288" t="s">
        <v>1869</v>
      </c>
      <c r="B1042" s="288" t="s">
        <v>1782</v>
      </c>
      <c r="C1042" s="288" t="s">
        <v>814</v>
      </c>
      <c r="D1042" s="288" t="s">
        <v>815</v>
      </c>
      <c r="E1042" s="289">
        <v>10</v>
      </c>
      <c r="F1042" s="290">
        <v>10</v>
      </c>
      <c r="G1042" s="289">
        <v>1100</v>
      </c>
      <c r="H1042" s="289">
        <v>0</v>
      </c>
      <c r="I1042" s="289">
        <v>110</v>
      </c>
      <c r="J1042" s="289">
        <v>50</v>
      </c>
      <c r="K1042" s="289">
        <v>5</v>
      </c>
      <c r="L1042" s="289">
        <v>1265</v>
      </c>
    </row>
    <row r="1043" spans="1:12">
      <c r="A1043" s="288" t="s">
        <v>1870</v>
      </c>
      <c r="B1043" s="288" t="s">
        <v>1782</v>
      </c>
      <c r="C1043" s="288" t="s">
        <v>814</v>
      </c>
      <c r="D1043" s="288" t="s">
        <v>815</v>
      </c>
      <c r="E1043" s="289">
        <v>10</v>
      </c>
      <c r="F1043" s="290">
        <v>15</v>
      </c>
      <c r="G1043" s="289">
        <v>1100</v>
      </c>
      <c r="H1043" s="289">
        <v>550</v>
      </c>
      <c r="I1043" s="289">
        <v>165</v>
      </c>
      <c r="J1043" s="289">
        <v>50</v>
      </c>
      <c r="K1043" s="289">
        <v>5</v>
      </c>
      <c r="L1043" s="289">
        <v>1870</v>
      </c>
    </row>
    <row r="1044" spans="1:12">
      <c r="A1044" s="288" t="s">
        <v>1871</v>
      </c>
      <c r="B1044" s="288" t="s">
        <v>1782</v>
      </c>
      <c r="C1044" s="288" t="s">
        <v>814</v>
      </c>
      <c r="D1044" s="288" t="s">
        <v>815</v>
      </c>
      <c r="E1044" s="289">
        <v>10</v>
      </c>
      <c r="F1044" s="290">
        <v>23</v>
      </c>
      <c r="G1044" s="289">
        <v>1100</v>
      </c>
      <c r="H1044" s="289">
        <v>1430</v>
      </c>
      <c r="I1044" s="289">
        <v>253</v>
      </c>
      <c r="J1044" s="289">
        <v>50</v>
      </c>
      <c r="K1044" s="289">
        <v>5</v>
      </c>
      <c r="L1044" s="289">
        <v>2838</v>
      </c>
    </row>
    <row r="1045" spans="1:12">
      <c r="A1045" s="288" t="s">
        <v>1872</v>
      </c>
      <c r="B1045" s="288" t="s">
        <v>1782</v>
      </c>
      <c r="C1045" s="288" t="s">
        <v>814</v>
      </c>
      <c r="D1045" s="288" t="s">
        <v>815</v>
      </c>
      <c r="E1045" s="289">
        <v>10</v>
      </c>
      <c r="F1045" s="290">
        <v>16</v>
      </c>
      <c r="G1045" s="289">
        <v>1100</v>
      </c>
      <c r="H1045" s="289">
        <v>660</v>
      </c>
      <c r="I1045" s="289">
        <v>176</v>
      </c>
      <c r="J1045" s="289">
        <v>50</v>
      </c>
      <c r="K1045" s="289">
        <v>5</v>
      </c>
      <c r="L1045" s="289">
        <v>1991</v>
      </c>
    </row>
    <row r="1046" spans="1:12">
      <c r="A1046" s="288" t="s">
        <v>1873</v>
      </c>
      <c r="B1046" s="288" t="s">
        <v>1782</v>
      </c>
      <c r="C1046" s="288" t="s">
        <v>814</v>
      </c>
      <c r="D1046" s="288" t="s">
        <v>818</v>
      </c>
      <c r="E1046" s="289">
        <v>10</v>
      </c>
      <c r="F1046" s="290">
        <v>7</v>
      </c>
      <c r="G1046" s="289">
        <v>1100</v>
      </c>
      <c r="H1046" s="289">
        <v>0</v>
      </c>
      <c r="I1046" s="289">
        <v>110</v>
      </c>
      <c r="J1046" s="289">
        <v>70</v>
      </c>
      <c r="K1046" s="289">
        <v>7</v>
      </c>
      <c r="L1046" s="289">
        <v>1287</v>
      </c>
    </row>
    <row r="1047" spans="1:12">
      <c r="A1047" s="288" t="s">
        <v>1874</v>
      </c>
      <c r="B1047" s="288" t="s">
        <v>1782</v>
      </c>
      <c r="C1047" s="288" t="s">
        <v>814</v>
      </c>
      <c r="D1047" s="288" t="s">
        <v>818</v>
      </c>
      <c r="E1047" s="289">
        <v>10</v>
      </c>
      <c r="F1047" s="290">
        <v>15</v>
      </c>
      <c r="G1047" s="289">
        <v>1100</v>
      </c>
      <c r="H1047" s="289">
        <v>550</v>
      </c>
      <c r="I1047" s="289">
        <v>165</v>
      </c>
      <c r="J1047" s="289">
        <v>70</v>
      </c>
      <c r="K1047" s="289">
        <v>7</v>
      </c>
      <c r="L1047" s="289">
        <v>1892</v>
      </c>
    </row>
    <row r="1048" spans="1:12">
      <c r="A1048" s="288" t="s">
        <v>1875</v>
      </c>
      <c r="B1048" s="288" t="s">
        <v>1782</v>
      </c>
      <c r="C1048" s="288" t="s">
        <v>814</v>
      </c>
      <c r="D1048" s="288" t="s">
        <v>818</v>
      </c>
      <c r="E1048" s="289">
        <v>10</v>
      </c>
      <c r="F1048" s="290">
        <v>16</v>
      </c>
      <c r="G1048" s="289">
        <v>1100</v>
      </c>
      <c r="H1048" s="289">
        <v>660</v>
      </c>
      <c r="I1048" s="289">
        <v>176</v>
      </c>
      <c r="J1048" s="289">
        <v>70</v>
      </c>
      <c r="K1048" s="289">
        <v>7</v>
      </c>
      <c r="L1048" s="289">
        <v>2013</v>
      </c>
    </row>
    <row r="1049" spans="1:12">
      <c r="A1049" s="288" t="s">
        <v>1876</v>
      </c>
      <c r="B1049" s="288" t="s">
        <v>1782</v>
      </c>
      <c r="C1049" s="288" t="s">
        <v>814</v>
      </c>
      <c r="D1049" s="288" t="s">
        <v>818</v>
      </c>
      <c r="E1049" s="289">
        <v>10</v>
      </c>
      <c r="F1049" s="290">
        <v>16</v>
      </c>
      <c r="G1049" s="289">
        <v>1100</v>
      </c>
      <c r="H1049" s="289">
        <v>660</v>
      </c>
      <c r="I1049" s="289">
        <v>176</v>
      </c>
      <c r="J1049" s="289">
        <v>70</v>
      </c>
      <c r="K1049" s="289">
        <v>7</v>
      </c>
      <c r="L1049" s="289">
        <v>2013</v>
      </c>
    </row>
    <row r="1050" spans="1:12">
      <c r="A1050" s="288" t="s">
        <v>1877</v>
      </c>
      <c r="B1050" s="288" t="s">
        <v>1782</v>
      </c>
      <c r="C1050" s="288" t="s">
        <v>814</v>
      </c>
      <c r="D1050" s="288" t="s">
        <v>818</v>
      </c>
      <c r="E1050" s="289">
        <v>10</v>
      </c>
      <c r="F1050" s="290">
        <v>21</v>
      </c>
      <c r="G1050" s="289">
        <v>1100</v>
      </c>
      <c r="H1050" s="289">
        <v>1210</v>
      </c>
      <c r="I1050" s="289">
        <v>231</v>
      </c>
      <c r="J1050" s="289">
        <v>70</v>
      </c>
      <c r="K1050" s="289">
        <v>7</v>
      </c>
      <c r="L1050" s="289">
        <v>2618</v>
      </c>
    </row>
    <row r="1051" spans="1:12">
      <c r="A1051" s="288" t="s">
        <v>1878</v>
      </c>
      <c r="B1051" s="288" t="s">
        <v>1782</v>
      </c>
      <c r="C1051" s="288" t="s">
        <v>814</v>
      </c>
      <c r="D1051" s="288" t="s">
        <v>818</v>
      </c>
      <c r="E1051" s="289">
        <v>10</v>
      </c>
      <c r="F1051" s="290">
        <v>1</v>
      </c>
      <c r="G1051" s="289">
        <v>900</v>
      </c>
      <c r="H1051" s="289">
        <v>0</v>
      </c>
      <c r="I1051" s="289">
        <v>90</v>
      </c>
      <c r="J1051" s="289">
        <v>70</v>
      </c>
      <c r="K1051" s="289">
        <v>7</v>
      </c>
      <c r="L1051" s="289">
        <v>1067</v>
      </c>
    </row>
    <row r="1052" spans="1:12">
      <c r="A1052" s="288" t="s">
        <v>1879</v>
      </c>
      <c r="B1052" s="288" t="s">
        <v>1782</v>
      </c>
      <c r="C1052" s="288" t="s">
        <v>814</v>
      </c>
      <c r="D1052" s="288" t="s">
        <v>818</v>
      </c>
      <c r="E1052" s="289">
        <v>10</v>
      </c>
      <c r="F1052" s="290">
        <v>15</v>
      </c>
      <c r="G1052" s="289">
        <v>1100</v>
      </c>
      <c r="H1052" s="289">
        <v>550</v>
      </c>
      <c r="I1052" s="289">
        <v>165</v>
      </c>
      <c r="J1052" s="289">
        <v>70</v>
      </c>
      <c r="K1052" s="289">
        <v>7</v>
      </c>
      <c r="L1052" s="289">
        <v>1892</v>
      </c>
    </row>
    <row r="1053" spans="1:12">
      <c r="A1053" s="288" t="s">
        <v>1880</v>
      </c>
      <c r="B1053" s="288" t="s">
        <v>1782</v>
      </c>
      <c r="C1053" s="288" t="s">
        <v>814</v>
      </c>
      <c r="D1053" s="288" t="s">
        <v>818</v>
      </c>
      <c r="E1053" s="289">
        <v>10</v>
      </c>
      <c r="F1053" s="290">
        <v>13</v>
      </c>
      <c r="G1053" s="289">
        <v>1100</v>
      </c>
      <c r="H1053" s="289">
        <v>330</v>
      </c>
      <c r="I1053" s="289">
        <v>143</v>
      </c>
      <c r="J1053" s="289">
        <v>70</v>
      </c>
      <c r="K1053" s="289">
        <v>7</v>
      </c>
      <c r="L1053" s="289">
        <v>1650</v>
      </c>
    </row>
    <row r="1054" spans="1:12">
      <c r="A1054" s="288" t="s">
        <v>1881</v>
      </c>
      <c r="B1054" s="288" t="s">
        <v>1782</v>
      </c>
      <c r="C1054" s="288" t="s">
        <v>814</v>
      </c>
      <c r="D1054" s="288" t="s">
        <v>818</v>
      </c>
      <c r="E1054" s="289">
        <v>10</v>
      </c>
      <c r="F1054" s="290">
        <v>13</v>
      </c>
      <c r="G1054" s="289">
        <v>1100</v>
      </c>
      <c r="H1054" s="289">
        <v>330</v>
      </c>
      <c r="I1054" s="289">
        <v>143</v>
      </c>
      <c r="J1054" s="289">
        <v>70</v>
      </c>
      <c r="K1054" s="289">
        <v>7</v>
      </c>
      <c r="L1054" s="289">
        <v>1650</v>
      </c>
    </row>
    <row r="1055" spans="1:12">
      <c r="A1055" s="288" t="s">
        <v>1882</v>
      </c>
      <c r="B1055" s="288" t="s">
        <v>1782</v>
      </c>
      <c r="C1055" s="288" t="s">
        <v>814</v>
      </c>
      <c r="D1055" s="288" t="s">
        <v>818</v>
      </c>
      <c r="E1055" s="289">
        <v>10</v>
      </c>
      <c r="F1055" s="290">
        <v>24</v>
      </c>
      <c r="G1055" s="289">
        <v>1100</v>
      </c>
      <c r="H1055" s="289">
        <v>1540</v>
      </c>
      <c r="I1055" s="289">
        <v>264</v>
      </c>
      <c r="J1055" s="289">
        <v>70</v>
      </c>
      <c r="K1055" s="289">
        <v>7</v>
      </c>
      <c r="L1055" s="289">
        <v>2981</v>
      </c>
    </row>
    <row r="1056" spans="1:12">
      <c r="A1056" s="288" t="s">
        <v>1883</v>
      </c>
      <c r="B1056" s="288" t="s">
        <v>1782</v>
      </c>
      <c r="C1056" s="288" t="s">
        <v>814</v>
      </c>
      <c r="D1056" s="288" t="s">
        <v>818</v>
      </c>
      <c r="E1056" s="289">
        <v>10</v>
      </c>
      <c r="F1056" s="290">
        <v>9</v>
      </c>
      <c r="G1056" s="289">
        <v>1100</v>
      </c>
      <c r="H1056" s="289">
        <v>0</v>
      </c>
      <c r="I1056" s="289">
        <v>110</v>
      </c>
      <c r="J1056" s="289">
        <v>70</v>
      </c>
      <c r="K1056" s="289">
        <v>7</v>
      </c>
      <c r="L1056" s="289">
        <v>1287</v>
      </c>
    </row>
    <row r="1057" spans="1:12">
      <c r="A1057" s="288" t="s">
        <v>1884</v>
      </c>
      <c r="B1057" s="288" t="s">
        <v>1782</v>
      </c>
      <c r="C1057" s="288" t="s">
        <v>814</v>
      </c>
      <c r="D1057" s="288" t="s">
        <v>818</v>
      </c>
      <c r="E1057" s="289">
        <v>10</v>
      </c>
      <c r="F1057" s="290">
        <v>17</v>
      </c>
      <c r="G1057" s="289">
        <v>1100</v>
      </c>
      <c r="H1057" s="289">
        <v>770</v>
      </c>
      <c r="I1057" s="289">
        <v>187</v>
      </c>
      <c r="J1057" s="289">
        <v>70</v>
      </c>
      <c r="K1057" s="289">
        <v>7</v>
      </c>
      <c r="L1057" s="289">
        <v>2134</v>
      </c>
    </row>
    <row r="1058" spans="1:12">
      <c r="A1058" s="288" t="s">
        <v>1885</v>
      </c>
      <c r="B1058" s="288" t="s">
        <v>1782</v>
      </c>
      <c r="C1058" s="288" t="s">
        <v>814</v>
      </c>
      <c r="D1058" s="288" t="s">
        <v>818</v>
      </c>
      <c r="E1058" s="289">
        <v>10</v>
      </c>
      <c r="F1058" s="290">
        <v>2</v>
      </c>
      <c r="G1058" s="289">
        <v>900</v>
      </c>
      <c r="H1058" s="289">
        <v>0</v>
      </c>
      <c r="I1058" s="289">
        <v>90</v>
      </c>
      <c r="J1058" s="289">
        <v>70</v>
      </c>
      <c r="K1058" s="289">
        <v>7</v>
      </c>
      <c r="L1058" s="289">
        <v>1067</v>
      </c>
    </row>
    <row r="1059" spans="1:12">
      <c r="A1059" s="288" t="s">
        <v>1886</v>
      </c>
      <c r="B1059" s="288" t="s">
        <v>1782</v>
      </c>
      <c r="C1059" s="288" t="s">
        <v>814</v>
      </c>
      <c r="D1059" s="288" t="s">
        <v>818</v>
      </c>
      <c r="E1059" s="289">
        <v>10</v>
      </c>
      <c r="F1059" s="290">
        <v>10</v>
      </c>
      <c r="G1059" s="289">
        <v>1100</v>
      </c>
      <c r="H1059" s="289">
        <v>0</v>
      </c>
      <c r="I1059" s="289">
        <v>110</v>
      </c>
      <c r="J1059" s="289">
        <v>70</v>
      </c>
      <c r="K1059" s="289">
        <v>7</v>
      </c>
      <c r="L1059" s="289">
        <v>1287</v>
      </c>
    </row>
    <row r="1060" spans="1:12">
      <c r="A1060" s="288" t="s">
        <v>1887</v>
      </c>
      <c r="B1060" s="288" t="s">
        <v>1782</v>
      </c>
      <c r="C1060" s="288" t="s">
        <v>814</v>
      </c>
      <c r="D1060" s="288" t="s">
        <v>818</v>
      </c>
      <c r="E1060" s="289">
        <v>10</v>
      </c>
      <c r="F1060" s="290">
        <v>10</v>
      </c>
      <c r="G1060" s="289">
        <v>1100</v>
      </c>
      <c r="H1060" s="289">
        <v>0</v>
      </c>
      <c r="I1060" s="289">
        <v>110</v>
      </c>
      <c r="J1060" s="289">
        <v>70</v>
      </c>
      <c r="K1060" s="289">
        <v>7</v>
      </c>
      <c r="L1060" s="289">
        <v>1287</v>
      </c>
    </row>
    <row r="1061" spans="1:12">
      <c r="A1061" s="288" t="s">
        <v>1888</v>
      </c>
      <c r="B1061" s="288" t="s">
        <v>1782</v>
      </c>
      <c r="C1061" s="288" t="s">
        <v>814</v>
      </c>
      <c r="D1061" s="288" t="s">
        <v>818</v>
      </c>
      <c r="E1061" s="289">
        <v>10</v>
      </c>
      <c r="F1061" s="290">
        <v>26</v>
      </c>
      <c r="G1061" s="289">
        <v>1100</v>
      </c>
      <c r="H1061" s="289">
        <v>1760</v>
      </c>
      <c r="I1061" s="289">
        <v>286</v>
      </c>
      <c r="J1061" s="289">
        <v>70</v>
      </c>
      <c r="K1061" s="289">
        <v>7</v>
      </c>
      <c r="L1061" s="289">
        <v>3223</v>
      </c>
    </row>
    <row r="1062" spans="1:12">
      <c r="A1062" s="288" t="s">
        <v>1889</v>
      </c>
      <c r="B1062" s="288" t="s">
        <v>1782</v>
      </c>
      <c r="C1062" s="288" t="s">
        <v>814</v>
      </c>
      <c r="D1062" s="288" t="s">
        <v>818</v>
      </c>
      <c r="E1062" s="289">
        <v>10</v>
      </c>
      <c r="F1062" s="290">
        <v>20</v>
      </c>
      <c r="G1062" s="289">
        <v>1100</v>
      </c>
      <c r="H1062" s="289">
        <v>1100</v>
      </c>
      <c r="I1062" s="289">
        <v>220</v>
      </c>
      <c r="J1062" s="289">
        <v>70</v>
      </c>
      <c r="K1062" s="289">
        <v>7</v>
      </c>
      <c r="L1062" s="289">
        <v>2497</v>
      </c>
    </row>
    <row r="1063" spans="1:12">
      <c r="A1063" s="288" t="s">
        <v>1890</v>
      </c>
      <c r="B1063" s="288" t="s">
        <v>1782</v>
      </c>
      <c r="C1063" s="288" t="s">
        <v>814</v>
      </c>
      <c r="D1063" s="288" t="s">
        <v>818</v>
      </c>
      <c r="E1063" s="289">
        <v>10</v>
      </c>
      <c r="F1063" s="290">
        <v>19</v>
      </c>
      <c r="G1063" s="289">
        <v>1100</v>
      </c>
      <c r="H1063" s="289">
        <v>990</v>
      </c>
      <c r="I1063" s="289">
        <v>209</v>
      </c>
      <c r="J1063" s="289">
        <v>70</v>
      </c>
      <c r="K1063" s="289">
        <v>7</v>
      </c>
      <c r="L1063" s="289">
        <v>2376</v>
      </c>
    </row>
    <row r="1064" spans="1:12">
      <c r="A1064" s="288" t="s">
        <v>1891</v>
      </c>
      <c r="B1064" s="288" t="s">
        <v>1782</v>
      </c>
      <c r="C1064" s="288" t="s">
        <v>814</v>
      </c>
      <c r="D1064" s="288" t="s">
        <v>818</v>
      </c>
      <c r="E1064" s="289">
        <v>10</v>
      </c>
      <c r="F1064" s="290">
        <v>19</v>
      </c>
      <c r="G1064" s="289">
        <v>1100</v>
      </c>
      <c r="H1064" s="289">
        <v>990</v>
      </c>
      <c r="I1064" s="289">
        <v>209</v>
      </c>
      <c r="J1064" s="289">
        <v>70</v>
      </c>
      <c r="K1064" s="289">
        <v>7</v>
      </c>
      <c r="L1064" s="289">
        <v>2376</v>
      </c>
    </row>
    <row r="1065" spans="1:12">
      <c r="A1065" s="288" t="s">
        <v>1892</v>
      </c>
      <c r="B1065" s="288" t="s">
        <v>1782</v>
      </c>
      <c r="C1065" s="288" t="s">
        <v>814</v>
      </c>
      <c r="D1065" s="288" t="s">
        <v>818</v>
      </c>
      <c r="E1065" s="289">
        <v>10</v>
      </c>
      <c r="F1065" s="290">
        <v>16</v>
      </c>
      <c r="G1065" s="289">
        <v>1100</v>
      </c>
      <c r="H1065" s="289">
        <v>660</v>
      </c>
      <c r="I1065" s="289">
        <v>176</v>
      </c>
      <c r="J1065" s="289">
        <v>70</v>
      </c>
      <c r="K1065" s="289">
        <v>7</v>
      </c>
      <c r="L1065" s="289">
        <v>2013</v>
      </c>
    </row>
    <row r="1066" spans="1:12">
      <c r="A1066" s="288" t="s">
        <v>1893</v>
      </c>
      <c r="B1066" s="288" t="s">
        <v>1782</v>
      </c>
      <c r="C1066" s="288" t="s">
        <v>814</v>
      </c>
      <c r="D1066" s="288" t="s">
        <v>818</v>
      </c>
      <c r="E1066" s="289">
        <v>10</v>
      </c>
      <c r="F1066" s="290">
        <v>4</v>
      </c>
      <c r="G1066" s="289">
        <v>900</v>
      </c>
      <c r="H1066" s="289">
        <v>0</v>
      </c>
      <c r="I1066" s="289">
        <v>90</v>
      </c>
      <c r="J1066" s="289">
        <v>70</v>
      </c>
      <c r="K1066" s="289">
        <v>7</v>
      </c>
      <c r="L1066" s="289">
        <v>1067</v>
      </c>
    </row>
    <row r="1067" spans="1:12">
      <c r="A1067" s="288" t="s">
        <v>1894</v>
      </c>
      <c r="B1067" s="288" t="s">
        <v>1782</v>
      </c>
      <c r="C1067" s="288" t="s">
        <v>814</v>
      </c>
      <c r="D1067" s="288" t="s">
        <v>818</v>
      </c>
      <c r="E1067" s="289">
        <v>10</v>
      </c>
      <c r="F1067" s="290">
        <v>7</v>
      </c>
      <c r="G1067" s="289">
        <v>1100</v>
      </c>
      <c r="H1067" s="289">
        <v>0</v>
      </c>
      <c r="I1067" s="289">
        <v>110</v>
      </c>
      <c r="J1067" s="289">
        <v>70</v>
      </c>
      <c r="K1067" s="289">
        <v>7</v>
      </c>
      <c r="L1067" s="289">
        <v>1287</v>
      </c>
    </row>
    <row r="1068" spans="1:12">
      <c r="A1068" s="288" t="s">
        <v>1895</v>
      </c>
      <c r="B1068" s="288" t="s">
        <v>1782</v>
      </c>
      <c r="C1068" s="288" t="s">
        <v>814</v>
      </c>
      <c r="D1068" s="288" t="s">
        <v>818</v>
      </c>
      <c r="E1068" s="289">
        <v>10</v>
      </c>
      <c r="F1068" s="290">
        <v>26</v>
      </c>
      <c r="G1068" s="289">
        <v>1100</v>
      </c>
      <c r="H1068" s="289">
        <v>1760</v>
      </c>
      <c r="I1068" s="289">
        <v>286</v>
      </c>
      <c r="J1068" s="289">
        <v>70</v>
      </c>
      <c r="K1068" s="289">
        <v>7</v>
      </c>
      <c r="L1068" s="289">
        <v>3223</v>
      </c>
    </row>
    <row r="1069" spans="1:12">
      <c r="A1069" s="288" t="s">
        <v>1896</v>
      </c>
      <c r="B1069" s="288" t="s">
        <v>1782</v>
      </c>
      <c r="C1069" s="288" t="s">
        <v>814</v>
      </c>
      <c r="D1069" s="288" t="s">
        <v>818</v>
      </c>
      <c r="E1069" s="289">
        <v>10</v>
      </c>
      <c r="F1069" s="290">
        <v>18</v>
      </c>
      <c r="G1069" s="289">
        <v>1100</v>
      </c>
      <c r="H1069" s="289">
        <v>880</v>
      </c>
      <c r="I1069" s="289">
        <v>198</v>
      </c>
      <c r="J1069" s="289">
        <v>70</v>
      </c>
      <c r="K1069" s="289">
        <v>7</v>
      </c>
      <c r="L1069" s="289">
        <v>2255</v>
      </c>
    </row>
    <row r="1070" spans="1:12">
      <c r="A1070" s="288" t="s">
        <v>1897</v>
      </c>
      <c r="B1070" s="288" t="s">
        <v>1782</v>
      </c>
      <c r="C1070" s="288" t="s">
        <v>814</v>
      </c>
      <c r="D1070" s="288" t="s">
        <v>818</v>
      </c>
      <c r="E1070" s="289">
        <v>10</v>
      </c>
      <c r="F1070" s="290">
        <v>19</v>
      </c>
      <c r="G1070" s="289">
        <v>1100</v>
      </c>
      <c r="H1070" s="289">
        <v>990</v>
      </c>
      <c r="I1070" s="289">
        <v>209</v>
      </c>
      <c r="J1070" s="289">
        <v>70</v>
      </c>
      <c r="K1070" s="289">
        <v>7</v>
      </c>
      <c r="L1070" s="289">
        <v>2376</v>
      </c>
    </row>
    <row r="1071" spans="1:12">
      <c r="A1071" s="288" t="s">
        <v>1898</v>
      </c>
      <c r="B1071" s="288" t="s">
        <v>1782</v>
      </c>
      <c r="C1071" s="288" t="s">
        <v>814</v>
      </c>
      <c r="D1071" s="288" t="s">
        <v>818</v>
      </c>
      <c r="E1071" s="289">
        <v>10</v>
      </c>
      <c r="F1071" s="290">
        <v>27</v>
      </c>
      <c r="G1071" s="289">
        <v>1100</v>
      </c>
      <c r="H1071" s="289">
        <v>1870</v>
      </c>
      <c r="I1071" s="289">
        <v>297</v>
      </c>
      <c r="J1071" s="289">
        <v>70</v>
      </c>
      <c r="K1071" s="289">
        <v>7</v>
      </c>
      <c r="L1071" s="289">
        <v>3344</v>
      </c>
    </row>
    <row r="1072" spans="1:12">
      <c r="A1072" s="288" t="s">
        <v>1899</v>
      </c>
      <c r="B1072" s="288" t="s">
        <v>1782</v>
      </c>
      <c r="C1072" s="288" t="s">
        <v>814</v>
      </c>
      <c r="D1072" s="288" t="s">
        <v>818</v>
      </c>
      <c r="E1072" s="289">
        <v>10</v>
      </c>
      <c r="F1072" s="290">
        <v>19</v>
      </c>
      <c r="G1072" s="289">
        <v>1100</v>
      </c>
      <c r="H1072" s="289">
        <v>990</v>
      </c>
      <c r="I1072" s="289">
        <v>209</v>
      </c>
      <c r="J1072" s="289">
        <v>70</v>
      </c>
      <c r="K1072" s="289">
        <v>7</v>
      </c>
      <c r="L1072" s="289">
        <v>2376</v>
      </c>
    </row>
    <row r="1073" spans="1:12">
      <c r="A1073" s="288" t="s">
        <v>1900</v>
      </c>
      <c r="B1073" s="288" t="s">
        <v>1782</v>
      </c>
      <c r="C1073" s="288" t="s">
        <v>814</v>
      </c>
      <c r="D1073" s="288" t="s">
        <v>818</v>
      </c>
      <c r="E1073" s="289">
        <v>10</v>
      </c>
      <c r="F1073" s="290">
        <v>15</v>
      </c>
      <c r="G1073" s="289">
        <v>1100</v>
      </c>
      <c r="H1073" s="289">
        <v>550</v>
      </c>
      <c r="I1073" s="289">
        <v>165</v>
      </c>
      <c r="J1073" s="289">
        <v>70</v>
      </c>
      <c r="K1073" s="289">
        <v>7</v>
      </c>
      <c r="L1073" s="289">
        <v>1892</v>
      </c>
    </row>
    <row r="1074" spans="1:12">
      <c r="A1074" s="288" t="s">
        <v>1901</v>
      </c>
      <c r="B1074" s="288" t="s">
        <v>1782</v>
      </c>
      <c r="C1074" s="288" t="s">
        <v>833</v>
      </c>
      <c r="D1074" s="288" t="s">
        <v>822</v>
      </c>
      <c r="E1074" s="289">
        <v>10</v>
      </c>
      <c r="F1074" s="290">
        <v>0</v>
      </c>
      <c r="G1074" s="289">
        <v>900</v>
      </c>
      <c r="H1074" s="289">
        <v>0</v>
      </c>
      <c r="I1074" s="289">
        <v>90</v>
      </c>
      <c r="J1074" s="289">
        <v>200</v>
      </c>
      <c r="K1074" s="289">
        <v>20</v>
      </c>
      <c r="L1074" s="289">
        <v>1210</v>
      </c>
    </row>
    <row r="1075" spans="1:12">
      <c r="A1075" s="288" t="s">
        <v>1902</v>
      </c>
      <c r="B1075" s="288" t="s">
        <v>1782</v>
      </c>
      <c r="C1075" s="288" t="s">
        <v>829</v>
      </c>
      <c r="D1075" s="288" t="s">
        <v>837</v>
      </c>
      <c r="E1075" s="289">
        <v>10</v>
      </c>
      <c r="F1075" s="290">
        <v>356</v>
      </c>
      <c r="G1075" s="289">
        <v>1100</v>
      </c>
      <c r="H1075" s="289">
        <v>35500</v>
      </c>
      <c r="I1075" s="289">
        <v>3660</v>
      </c>
      <c r="J1075" s="289">
        <v>800</v>
      </c>
      <c r="K1075" s="289">
        <v>80</v>
      </c>
      <c r="L1075" s="289">
        <v>41140</v>
      </c>
    </row>
    <row r="1076" spans="1:12">
      <c r="A1076" s="288" t="s">
        <v>1903</v>
      </c>
      <c r="B1076" s="288" t="s">
        <v>1782</v>
      </c>
      <c r="C1076" s="288" t="s">
        <v>829</v>
      </c>
      <c r="D1076" s="288" t="s">
        <v>818</v>
      </c>
      <c r="E1076" s="289">
        <v>10</v>
      </c>
      <c r="F1076" s="290">
        <v>0</v>
      </c>
      <c r="G1076" s="289">
        <v>900</v>
      </c>
      <c r="H1076" s="289">
        <v>0</v>
      </c>
      <c r="I1076" s="289">
        <v>90</v>
      </c>
      <c r="J1076" s="289">
        <v>70</v>
      </c>
      <c r="K1076" s="289">
        <v>7</v>
      </c>
      <c r="L1076" s="289">
        <v>1067</v>
      </c>
    </row>
    <row r="1077" spans="1:12">
      <c r="A1077" s="288" t="s">
        <v>1904</v>
      </c>
      <c r="B1077" s="288" t="s">
        <v>1782</v>
      </c>
      <c r="C1077" s="288" t="s">
        <v>829</v>
      </c>
      <c r="D1077" s="288" t="s">
        <v>822</v>
      </c>
      <c r="E1077" s="289">
        <v>10</v>
      </c>
      <c r="F1077" s="290">
        <v>16</v>
      </c>
      <c r="G1077" s="289">
        <v>1100</v>
      </c>
      <c r="H1077" s="289">
        <v>660</v>
      </c>
      <c r="I1077" s="289">
        <v>176</v>
      </c>
      <c r="J1077" s="289">
        <v>200</v>
      </c>
      <c r="K1077" s="289">
        <v>20</v>
      </c>
      <c r="L1077" s="289">
        <v>2156</v>
      </c>
    </row>
    <row r="1078" spans="1:12">
      <c r="A1078" s="288" t="s">
        <v>1905</v>
      </c>
      <c r="B1078" s="288" t="s">
        <v>1782</v>
      </c>
      <c r="C1078" s="288" t="s">
        <v>814</v>
      </c>
      <c r="D1078" s="288" t="s">
        <v>818</v>
      </c>
      <c r="E1078" s="289">
        <v>10</v>
      </c>
      <c r="F1078" s="290">
        <v>13</v>
      </c>
      <c r="G1078" s="289">
        <v>1100</v>
      </c>
      <c r="H1078" s="289">
        <v>330</v>
      </c>
      <c r="I1078" s="289">
        <v>143</v>
      </c>
      <c r="J1078" s="289">
        <v>70</v>
      </c>
      <c r="K1078" s="289">
        <v>7</v>
      </c>
      <c r="L1078" s="289">
        <v>1650</v>
      </c>
    </row>
    <row r="1079" spans="1:12">
      <c r="A1079" s="288" t="s">
        <v>1906</v>
      </c>
      <c r="B1079" s="288" t="s">
        <v>1782</v>
      </c>
      <c r="C1079" s="288" t="s">
        <v>814</v>
      </c>
      <c r="D1079" s="288" t="s">
        <v>818</v>
      </c>
      <c r="E1079" s="289">
        <v>10</v>
      </c>
      <c r="F1079" s="290">
        <v>13</v>
      </c>
      <c r="G1079" s="289">
        <v>1100</v>
      </c>
      <c r="H1079" s="289">
        <v>330</v>
      </c>
      <c r="I1079" s="289">
        <v>143</v>
      </c>
      <c r="J1079" s="289">
        <v>70</v>
      </c>
      <c r="K1079" s="289">
        <v>7</v>
      </c>
      <c r="L1079" s="289">
        <v>1650</v>
      </c>
    </row>
    <row r="1080" spans="1:12">
      <c r="A1080" s="288" t="s">
        <v>1907</v>
      </c>
      <c r="B1080" s="288" t="s">
        <v>1782</v>
      </c>
      <c r="C1080" s="288" t="s">
        <v>814</v>
      </c>
      <c r="D1080" s="288" t="s">
        <v>818</v>
      </c>
      <c r="E1080" s="289">
        <v>10</v>
      </c>
      <c r="F1080" s="290">
        <v>13</v>
      </c>
      <c r="G1080" s="289">
        <v>1100</v>
      </c>
      <c r="H1080" s="289">
        <v>330</v>
      </c>
      <c r="I1080" s="289">
        <v>143</v>
      </c>
      <c r="J1080" s="289">
        <v>70</v>
      </c>
      <c r="K1080" s="289">
        <v>7</v>
      </c>
      <c r="L1080" s="289">
        <v>1650</v>
      </c>
    </row>
    <row r="1081" spans="1:12">
      <c r="A1081" s="288" t="s">
        <v>1908</v>
      </c>
      <c r="B1081" s="288" t="s">
        <v>1782</v>
      </c>
      <c r="C1081" s="288" t="s">
        <v>814</v>
      </c>
      <c r="D1081" s="288" t="s">
        <v>818</v>
      </c>
      <c r="E1081" s="289">
        <v>10</v>
      </c>
      <c r="F1081" s="290">
        <v>7</v>
      </c>
      <c r="G1081" s="289">
        <v>1100</v>
      </c>
      <c r="H1081" s="289">
        <v>0</v>
      </c>
      <c r="I1081" s="289">
        <v>110</v>
      </c>
      <c r="J1081" s="289">
        <v>70</v>
      </c>
      <c r="K1081" s="289">
        <v>7</v>
      </c>
      <c r="L1081" s="289">
        <v>1287</v>
      </c>
    </row>
    <row r="1082" spans="1:12">
      <c r="A1082" s="288" t="s">
        <v>1909</v>
      </c>
      <c r="B1082" s="288" t="s">
        <v>1910</v>
      </c>
      <c r="C1082" s="288" t="s">
        <v>814</v>
      </c>
      <c r="D1082" s="288" t="s">
        <v>815</v>
      </c>
      <c r="E1082" s="289">
        <v>10</v>
      </c>
      <c r="F1082" s="290">
        <v>0</v>
      </c>
      <c r="G1082" s="289">
        <v>900</v>
      </c>
      <c r="H1082" s="289">
        <v>0</v>
      </c>
      <c r="I1082" s="289">
        <v>90</v>
      </c>
      <c r="J1082" s="289">
        <v>50</v>
      </c>
      <c r="K1082" s="289">
        <v>5</v>
      </c>
      <c r="L1082" s="289">
        <v>1045</v>
      </c>
    </row>
    <row r="1083" spans="1:12">
      <c r="A1083" s="288" t="s">
        <v>1911</v>
      </c>
      <c r="B1083" s="288" t="s">
        <v>1910</v>
      </c>
      <c r="C1083" s="288" t="s">
        <v>814</v>
      </c>
      <c r="D1083" s="288" t="s">
        <v>815</v>
      </c>
      <c r="E1083" s="289">
        <v>10</v>
      </c>
      <c r="F1083" s="290">
        <v>17</v>
      </c>
      <c r="G1083" s="289">
        <v>1100</v>
      </c>
      <c r="H1083" s="289">
        <v>770</v>
      </c>
      <c r="I1083" s="289">
        <v>187</v>
      </c>
      <c r="J1083" s="289">
        <v>50</v>
      </c>
      <c r="K1083" s="289">
        <v>5</v>
      </c>
      <c r="L1083" s="289">
        <v>2112</v>
      </c>
    </row>
    <row r="1084" spans="1:12">
      <c r="A1084" s="288" t="s">
        <v>1912</v>
      </c>
      <c r="B1084" s="288" t="s">
        <v>1910</v>
      </c>
      <c r="C1084" s="288" t="s">
        <v>814</v>
      </c>
      <c r="D1084" s="288" t="s">
        <v>815</v>
      </c>
      <c r="E1084" s="289">
        <v>10</v>
      </c>
      <c r="F1084" s="290">
        <v>9</v>
      </c>
      <c r="G1084" s="289">
        <v>1100</v>
      </c>
      <c r="H1084" s="289">
        <v>0</v>
      </c>
      <c r="I1084" s="289">
        <v>110</v>
      </c>
      <c r="J1084" s="289">
        <v>50</v>
      </c>
      <c r="K1084" s="289">
        <v>5</v>
      </c>
      <c r="L1084" s="289">
        <v>1265</v>
      </c>
    </row>
    <row r="1085" spans="1:12">
      <c r="A1085" s="288" t="s">
        <v>1913</v>
      </c>
      <c r="B1085" s="288" t="s">
        <v>1910</v>
      </c>
      <c r="C1085" s="288" t="s">
        <v>814</v>
      </c>
      <c r="D1085" s="288" t="s">
        <v>815</v>
      </c>
      <c r="E1085" s="289">
        <v>10</v>
      </c>
      <c r="F1085" s="290">
        <v>6</v>
      </c>
      <c r="G1085" s="289">
        <v>1100</v>
      </c>
      <c r="H1085" s="289">
        <v>0</v>
      </c>
      <c r="I1085" s="289">
        <v>110</v>
      </c>
      <c r="J1085" s="289">
        <v>50</v>
      </c>
      <c r="K1085" s="289">
        <v>5</v>
      </c>
      <c r="L1085" s="289">
        <v>1265</v>
      </c>
    </row>
    <row r="1086" spans="1:12">
      <c r="A1086" s="288" t="s">
        <v>1914</v>
      </c>
      <c r="B1086" s="288" t="s">
        <v>1910</v>
      </c>
      <c r="C1086" s="288" t="s">
        <v>814</v>
      </c>
      <c r="D1086" s="288" t="s">
        <v>818</v>
      </c>
      <c r="E1086" s="289">
        <v>10</v>
      </c>
      <c r="F1086" s="290">
        <v>16</v>
      </c>
      <c r="G1086" s="289">
        <v>1100</v>
      </c>
      <c r="H1086" s="289">
        <v>660</v>
      </c>
      <c r="I1086" s="289">
        <v>176</v>
      </c>
      <c r="J1086" s="289">
        <v>70</v>
      </c>
      <c r="K1086" s="289">
        <v>7</v>
      </c>
      <c r="L1086" s="289">
        <v>2013</v>
      </c>
    </row>
    <row r="1087" spans="1:12">
      <c r="A1087" s="288" t="s">
        <v>1915</v>
      </c>
      <c r="B1087" s="288" t="s">
        <v>1910</v>
      </c>
      <c r="C1087" s="288" t="s">
        <v>814</v>
      </c>
      <c r="D1087" s="288" t="s">
        <v>815</v>
      </c>
      <c r="E1087" s="289">
        <v>10</v>
      </c>
      <c r="F1087" s="290">
        <v>33</v>
      </c>
      <c r="G1087" s="289">
        <v>1100</v>
      </c>
      <c r="H1087" s="289">
        <v>2530</v>
      </c>
      <c r="I1087" s="289">
        <v>363</v>
      </c>
      <c r="J1087" s="289">
        <v>50</v>
      </c>
      <c r="K1087" s="289">
        <v>5</v>
      </c>
      <c r="L1087" s="289">
        <v>4048</v>
      </c>
    </row>
    <row r="1088" spans="1:12">
      <c r="A1088" s="288" t="s">
        <v>1916</v>
      </c>
      <c r="B1088" s="288" t="s">
        <v>1910</v>
      </c>
      <c r="C1088" s="288" t="s">
        <v>814</v>
      </c>
      <c r="D1088" s="288" t="s">
        <v>815</v>
      </c>
      <c r="E1088" s="289">
        <v>10</v>
      </c>
      <c r="F1088" s="290">
        <v>40</v>
      </c>
      <c r="G1088" s="289">
        <v>1100</v>
      </c>
      <c r="H1088" s="289">
        <v>3300</v>
      </c>
      <c r="I1088" s="289">
        <v>440</v>
      </c>
      <c r="J1088" s="289">
        <v>50</v>
      </c>
      <c r="K1088" s="289">
        <v>5</v>
      </c>
      <c r="L1088" s="289">
        <v>4895</v>
      </c>
    </row>
    <row r="1089" spans="1:12">
      <c r="A1089" s="288" t="s">
        <v>1917</v>
      </c>
      <c r="B1089" s="288" t="s">
        <v>1910</v>
      </c>
      <c r="C1089" s="288" t="s">
        <v>814</v>
      </c>
      <c r="D1089" s="288" t="s">
        <v>815</v>
      </c>
      <c r="E1089" s="289">
        <v>10</v>
      </c>
      <c r="F1089" s="290">
        <v>28</v>
      </c>
      <c r="G1089" s="289">
        <v>1100</v>
      </c>
      <c r="H1089" s="289">
        <v>1980</v>
      </c>
      <c r="I1089" s="289">
        <v>308</v>
      </c>
      <c r="J1089" s="289">
        <v>50</v>
      </c>
      <c r="K1089" s="289">
        <v>5</v>
      </c>
      <c r="L1089" s="289">
        <v>3443</v>
      </c>
    </row>
    <row r="1090" spans="1:12">
      <c r="A1090" s="288" t="s">
        <v>1918</v>
      </c>
      <c r="B1090" s="288" t="s">
        <v>1910</v>
      </c>
      <c r="C1090" s="288" t="s">
        <v>814</v>
      </c>
      <c r="D1090" s="288" t="s">
        <v>818</v>
      </c>
      <c r="E1090" s="289">
        <v>10</v>
      </c>
      <c r="F1090" s="290">
        <v>28</v>
      </c>
      <c r="G1090" s="289">
        <v>1100</v>
      </c>
      <c r="H1090" s="289">
        <v>1980</v>
      </c>
      <c r="I1090" s="289">
        <v>308</v>
      </c>
      <c r="J1090" s="289">
        <v>70</v>
      </c>
      <c r="K1090" s="289">
        <v>7</v>
      </c>
      <c r="L1090" s="289">
        <v>3465</v>
      </c>
    </row>
    <row r="1091" spans="1:12">
      <c r="A1091" s="288" t="s">
        <v>1919</v>
      </c>
      <c r="B1091" s="288" t="s">
        <v>1910</v>
      </c>
      <c r="C1091" s="288" t="s">
        <v>814</v>
      </c>
      <c r="D1091" s="288" t="s">
        <v>815</v>
      </c>
      <c r="E1091" s="289">
        <v>10</v>
      </c>
      <c r="F1091" s="290">
        <v>13</v>
      </c>
      <c r="G1091" s="289">
        <v>1100</v>
      </c>
      <c r="H1091" s="289">
        <v>330</v>
      </c>
      <c r="I1091" s="289">
        <v>143</v>
      </c>
      <c r="J1091" s="289">
        <v>50</v>
      </c>
      <c r="K1091" s="289">
        <v>5</v>
      </c>
      <c r="L1091" s="289">
        <v>1628</v>
      </c>
    </row>
    <row r="1092" spans="1:12">
      <c r="A1092" s="288" t="s">
        <v>1920</v>
      </c>
      <c r="B1092" s="288" t="s">
        <v>1910</v>
      </c>
      <c r="C1092" s="288" t="s">
        <v>814</v>
      </c>
      <c r="D1092" s="288" t="s">
        <v>815</v>
      </c>
      <c r="E1092" s="289">
        <v>10</v>
      </c>
      <c r="F1092" s="290">
        <v>29</v>
      </c>
      <c r="G1092" s="289">
        <v>1100</v>
      </c>
      <c r="H1092" s="289">
        <v>2090</v>
      </c>
      <c r="I1092" s="289">
        <v>319</v>
      </c>
      <c r="J1092" s="289">
        <v>50</v>
      </c>
      <c r="K1092" s="289">
        <v>5</v>
      </c>
      <c r="L1092" s="289">
        <v>3564</v>
      </c>
    </row>
    <row r="1093" spans="1:12">
      <c r="A1093" s="288" t="s">
        <v>1921</v>
      </c>
      <c r="B1093" s="288" t="s">
        <v>1910</v>
      </c>
      <c r="C1093" s="288" t="s">
        <v>814</v>
      </c>
      <c r="D1093" s="288" t="s">
        <v>818</v>
      </c>
      <c r="E1093" s="289">
        <v>10</v>
      </c>
      <c r="F1093" s="290">
        <v>5</v>
      </c>
      <c r="G1093" s="289">
        <v>900</v>
      </c>
      <c r="H1093" s="289">
        <v>0</v>
      </c>
      <c r="I1093" s="289">
        <v>90</v>
      </c>
      <c r="J1093" s="289">
        <v>70</v>
      </c>
      <c r="K1093" s="289">
        <v>7</v>
      </c>
      <c r="L1093" s="289">
        <v>1067</v>
      </c>
    </row>
    <row r="1094" spans="1:12">
      <c r="A1094" s="288" t="s">
        <v>1922</v>
      </c>
      <c r="B1094" s="288" t="s">
        <v>1910</v>
      </c>
      <c r="C1094" s="288" t="s">
        <v>814</v>
      </c>
      <c r="D1094" s="288" t="s">
        <v>815</v>
      </c>
      <c r="E1094" s="289">
        <v>10</v>
      </c>
      <c r="F1094" s="290">
        <v>21</v>
      </c>
      <c r="G1094" s="289">
        <v>1100</v>
      </c>
      <c r="H1094" s="289">
        <v>1210</v>
      </c>
      <c r="I1094" s="289">
        <v>231</v>
      </c>
      <c r="J1094" s="289">
        <v>50</v>
      </c>
      <c r="K1094" s="289">
        <v>5</v>
      </c>
      <c r="L1094" s="289">
        <v>2596</v>
      </c>
    </row>
    <row r="1095" spans="1:12">
      <c r="A1095" s="288" t="s">
        <v>1923</v>
      </c>
      <c r="B1095" s="288" t="s">
        <v>1910</v>
      </c>
      <c r="C1095" s="288" t="s">
        <v>814</v>
      </c>
      <c r="D1095" s="288" t="s">
        <v>815</v>
      </c>
      <c r="E1095" s="289">
        <v>10</v>
      </c>
      <c r="F1095" s="290">
        <v>14</v>
      </c>
      <c r="G1095" s="289">
        <v>1100</v>
      </c>
      <c r="H1095" s="289">
        <v>440</v>
      </c>
      <c r="I1095" s="289">
        <v>154</v>
      </c>
      <c r="J1095" s="289">
        <v>50</v>
      </c>
      <c r="K1095" s="289">
        <v>5</v>
      </c>
      <c r="L1095" s="289">
        <v>1749</v>
      </c>
    </row>
    <row r="1096" spans="1:12">
      <c r="A1096" s="288" t="s">
        <v>1924</v>
      </c>
      <c r="B1096" s="288" t="s">
        <v>1910</v>
      </c>
      <c r="C1096" s="288" t="s">
        <v>814</v>
      </c>
      <c r="D1096" s="288" t="s">
        <v>818</v>
      </c>
      <c r="E1096" s="289">
        <v>10</v>
      </c>
      <c r="F1096" s="290">
        <v>25</v>
      </c>
      <c r="G1096" s="289">
        <v>1100</v>
      </c>
      <c r="H1096" s="289">
        <v>1650</v>
      </c>
      <c r="I1096" s="289">
        <v>275</v>
      </c>
      <c r="J1096" s="289">
        <v>70</v>
      </c>
      <c r="K1096" s="289">
        <v>7</v>
      </c>
      <c r="L1096" s="289">
        <v>3102</v>
      </c>
    </row>
    <row r="1097" spans="1:12">
      <c r="A1097" s="288" t="s">
        <v>1925</v>
      </c>
      <c r="B1097" s="288" t="s">
        <v>1910</v>
      </c>
      <c r="C1097" s="288" t="s">
        <v>814</v>
      </c>
      <c r="D1097" s="288" t="s">
        <v>818</v>
      </c>
      <c r="E1097" s="289">
        <v>10</v>
      </c>
      <c r="F1097" s="290">
        <v>17</v>
      </c>
      <c r="G1097" s="289">
        <v>1100</v>
      </c>
      <c r="H1097" s="289">
        <v>770</v>
      </c>
      <c r="I1097" s="289">
        <v>187</v>
      </c>
      <c r="J1097" s="289">
        <v>70</v>
      </c>
      <c r="K1097" s="289">
        <v>7</v>
      </c>
      <c r="L1097" s="289">
        <v>2134</v>
      </c>
    </row>
    <row r="1098" spans="1:12">
      <c r="A1098" s="288" t="s">
        <v>1926</v>
      </c>
      <c r="B1098" s="288" t="s">
        <v>1910</v>
      </c>
      <c r="C1098" s="288" t="s">
        <v>814</v>
      </c>
      <c r="D1098" s="288" t="s">
        <v>818</v>
      </c>
      <c r="E1098" s="289">
        <v>10</v>
      </c>
      <c r="F1098" s="290">
        <v>11</v>
      </c>
      <c r="G1098" s="289">
        <v>1100</v>
      </c>
      <c r="H1098" s="289">
        <v>110</v>
      </c>
      <c r="I1098" s="289">
        <v>121</v>
      </c>
      <c r="J1098" s="289">
        <v>70</v>
      </c>
      <c r="K1098" s="289">
        <v>7</v>
      </c>
      <c r="L1098" s="289">
        <v>1408</v>
      </c>
    </row>
    <row r="1099" spans="1:12">
      <c r="A1099" s="288" t="s">
        <v>1927</v>
      </c>
      <c r="B1099" s="288" t="s">
        <v>1910</v>
      </c>
      <c r="C1099" s="288" t="s">
        <v>814</v>
      </c>
      <c r="D1099" s="288" t="s">
        <v>818</v>
      </c>
      <c r="E1099" s="289">
        <v>10</v>
      </c>
      <c r="F1099" s="290">
        <v>35</v>
      </c>
      <c r="G1099" s="289">
        <v>1100</v>
      </c>
      <c r="H1099" s="289">
        <v>2750</v>
      </c>
      <c r="I1099" s="289">
        <v>385</v>
      </c>
      <c r="J1099" s="289">
        <v>70</v>
      </c>
      <c r="K1099" s="289">
        <v>7</v>
      </c>
      <c r="L1099" s="289">
        <v>4312</v>
      </c>
    </row>
    <row r="1100" spans="1:12">
      <c r="A1100" s="288" t="s">
        <v>1928</v>
      </c>
      <c r="B1100" s="288" t="s">
        <v>1910</v>
      </c>
      <c r="C1100" s="288" t="s">
        <v>814</v>
      </c>
      <c r="D1100" s="288" t="s">
        <v>818</v>
      </c>
      <c r="E1100" s="289">
        <v>10</v>
      </c>
      <c r="F1100" s="290">
        <v>0</v>
      </c>
      <c r="G1100" s="289">
        <v>900</v>
      </c>
      <c r="H1100" s="289">
        <v>0</v>
      </c>
      <c r="I1100" s="289">
        <v>90</v>
      </c>
      <c r="J1100" s="289">
        <v>70</v>
      </c>
      <c r="K1100" s="289">
        <v>7</v>
      </c>
      <c r="L1100" s="289">
        <v>1067</v>
      </c>
    </row>
    <row r="1101" spans="1:12">
      <c r="A1101" s="288" t="s">
        <v>1929</v>
      </c>
      <c r="B1101" s="288" t="s">
        <v>1910</v>
      </c>
      <c r="C1101" s="288" t="s">
        <v>814</v>
      </c>
      <c r="D1101" s="288" t="s">
        <v>818</v>
      </c>
      <c r="E1101" s="289">
        <v>10</v>
      </c>
      <c r="F1101" s="290">
        <v>43</v>
      </c>
      <c r="G1101" s="289">
        <v>1100</v>
      </c>
      <c r="H1101" s="289">
        <v>3630</v>
      </c>
      <c r="I1101" s="289">
        <v>473</v>
      </c>
      <c r="J1101" s="289">
        <v>70</v>
      </c>
      <c r="K1101" s="289">
        <v>7</v>
      </c>
      <c r="L1101" s="289">
        <v>5280</v>
      </c>
    </row>
    <row r="1102" spans="1:12">
      <c r="A1102" s="288" t="s">
        <v>1930</v>
      </c>
      <c r="B1102" s="288" t="s">
        <v>1910</v>
      </c>
      <c r="C1102" s="288" t="s">
        <v>814</v>
      </c>
      <c r="D1102" s="288" t="s">
        <v>818</v>
      </c>
      <c r="E1102" s="289">
        <v>10</v>
      </c>
      <c r="F1102" s="290">
        <v>15</v>
      </c>
      <c r="G1102" s="289">
        <v>1100</v>
      </c>
      <c r="H1102" s="289">
        <v>550</v>
      </c>
      <c r="I1102" s="289">
        <v>165</v>
      </c>
      <c r="J1102" s="289">
        <v>70</v>
      </c>
      <c r="K1102" s="289">
        <v>7</v>
      </c>
      <c r="L1102" s="289">
        <v>1892</v>
      </c>
    </row>
    <row r="1103" spans="1:12">
      <c r="A1103" s="288" t="s">
        <v>1931</v>
      </c>
      <c r="B1103" s="288" t="s">
        <v>1910</v>
      </c>
      <c r="C1103" s="288" t="s">
        <v>814</v>
      </c>
      <c r="D1103" s="288" t="s">
        <v>815</v>
      </c>
      <c r="E1103" s="289">
        <v>10</v>
      </c>
      <c r="F1103" s="290">
        <v>21</v>
      </c>
      <c r="G1103" s="289">
        <v>1100</v>
      </c>
      <c r="H1103" s="289">
        <v>1210</v>
      </c>
      <c r="I1103" s="289">
        <v>231</v>
      </c>
      <c r="J1103" s="289">
        <v>50</v>
      </c>
      <c r="K1103" s="289">
        <v>5</v>
      </c>
      <c r="L1103" s="289">
        <v>2596</v>
      </c>
    </row>
    <row r="1104" spans="1:12">
      <c r="A1104" s="288" t="s">
        <v>1932</v>
      </c>
      <c r="B1104" s="288" t="s">
        <v>1910</v>
      </c>
      <c r="C1104" s="288" t="s">
        <v>814</v>
      </c>
      <c r="D1104" s="288" t="s">
        <v>815</v>
      </c>
      <c r="E1104" s="289">
        <v>10</v>
      </c>
      <c r="F1104" s="290">
        <v>58</v>
      </c>
      <c r="G1104" s="289">
        <v>1100</v>
      </c>
      <c r="H1104" s="289">
        <v>5280</v>
      </c>
      <c r="I1104" s="289">
        <v>638</v>
      </c>
      <c r="J1104" s="289">
        <v>50</v>
      </c>
      <c r="K1104" s="289">
        <v>5</v>
      </c>
      <c r="L1104" s="289">
        <v>7073</v>
      </c>
    </row>
    <row r="1105" spans="1:12">
      <c r="A1105" s="288" t="s">
        <v>1933</v>
      </c>
      <c r="B1105" s="288" t="s">
        <v>1910</v>
      </c>
      <c r="C1105" s="288" t="s">
        <v>814</v>
      </c>
      <c r="D1105" s="288" t="s">
        <v>815</v>
      </c>
      <c r="E1105" s="289">
        <v>10</v>
      </c>
      <c r="F1105" s="290">
        <v>7</v>
      </c>
      <c r="G1105" s="289">
        <v>1100</v>
      </c>
      <c r="H1105" s="289">
        <v>0</v>
      </c>
      <c r="I1105" s="289">
        <v>110</v>
      </c>
      <c r="J1105" s="289">
        <v>50</v>
      </c>
      <c r="K1105" s="289">
        <v>5</v>
      </c>
      <c r="L1105" s="289">
        <v>1265</v>
      </c>
    </row>
    <row r="1106" spans="1:12">
      <c r="A1106" s="288" t="s">
        <v>1934</v>
      </c>
      <c r="B1106" s="288" t="s">
        <v>1910</v>
      </c>
      <c r="C1106" s="288" t="s">
        <v>814</v>
      </c>
      <c r="D1106" s="288" t="s">
        <v>815</v>
      </c>
      <c r="E1106" s="289">
        <v>10</v>
      </c>
      <c r="F1106" s="290">
        <v>22</v>
      </c>
      <c r="G1106" s="289">
        <v>1100</v>
      </c>
      <c r="H1106" s="289">
        <v>1320</v>
      </c>
      <c r="I1106" s="289">
        <v>242</v>
      </c>
      <c r="J1106" s="289">
        <v>50</v>
      </c>
      <c r="K1106" s="289">
        <v>5</v>
      </c>
      <c r="L1106" s="289">
        <v>2717</v>
      </c>
    </row>
    <row r="1107" spans="1:12">
      <c r="A1107" s="288" t="s">
        <v>1935</v>
      </c>
      <c r="B1107" s="288" t="s">
        <v>1910</v>
      </c>
      <c r="C1107" s="288" t="s">
        <v>820</v>
      </c>
      <c r="D1107" s="288" t="s">
        <v>818</v>
      </c>
      <c r="E1107" s="289">
        <v>10</v>
      </c>
      <c r="F1107" s="290">
        <v>2</v>
      </c>
      <c r="G1107" s="289">
        <v>900</v>
      </c>
      <c r="H1107" s="289">
        <v>0</v>
      </c>
      <c r="I1107" s="289">
        <v>90</v>
      </c>
      <c r="J1107" s="289">
        <v>70</v>
      </c>
      <c r="K1107" s="289">
        <v>7</v>
      </c>
      <c r="L1107" s="289">
        <v>1067</v>
      </c>
    </row>
    <row r="1108" spans="1:12">
      <c r="A1108" s="288" t="s">
        <v>1936</v>
      </c>
      <c r="B1108" s="288" t="s">
        <v>1910</v>
      </c>
      <c r="C1108" s="288" t="s">
        <v>814</v>
      </c>
      <c r="D1108" s="288" t="s">
        <v>815</v>
      </c>
      <c r="E1108" s="289">
        <v>10</v>
      </c>
      <c r="F1108" s="290">
        <v>16</v>
      </c>
      <c r="G1108" s="289">
        <v>1100</v>
      </c>
      <c r="H1108" s="289">
        <v>660</v>
      </c>
      <c r="I1108" s="289">
        <v>176</v>
      </c>
      <c r="J1108" s="289">
        <v>50</v>
      </c>
      <c r="K1108" s="289">
        <v>5</v>
      </c>
      <c r="L1108" s="289">
        <v>1991</v>
      </c>
    </row>
    <row r="1109" spans="1:12">
      <c r="A1109" s="288" t="s">
        <v>1937</v>
      </c>
      <c r="B1109" s="288" t="s">
        <v>1910</v>
      </c>
      <c r="C1109" s="288" t="s">
        <v>814</v>
      </c>
      <c r="D1109" s="288" t="s">
        <v>815</v>
      </c>
      <c r="E1109" s="289">
        <v>10</v>
      </c>
      <c r="F1109" s="290">
        <v>8</v>
      </c>
      <c r="G1109" s="289">
        <v>1100</v>
      </c>
      <c r="H1109" s="289">
        <v>0</v>
      </c>
      <c r="I1109" s="289">
        <v>110</v>
      </c>
      <c r="J1109" s="289">
        <v>50</v>
      </c>
      <c r="K1109" s="289">
        <v>5</v>
      </c>
      <c r="L1109" s="289">
        <v>1265</v>
      </c>
    </row>
    <row r="1110" spans="1:12">
      <c r="A1110" s="288" t="s">
        <v>1938</v>
      </c>
      <c r="B1110" s="288" t="s">
        <v>1910</v>
      </c>
      <c r="C1110" s="288" t="s">
        <v>814</v>
      </c>
      <c r="D1110" s="288" t="s">
        <v>815</v>
      </c>
      <c r="E1110" s="289">
        <v>10</v>
      </c>
      <c r="F1110" s="290">
        <v>8</v>
      </c>
      <c r="G1110" s="289">
        <v>1100</v>
      </c>
      <c r="H1110" s="289">
        <v>0</v>
      </c>
      <c r="I1110" s="289">
        <v>110</v>
      </c>
      <c r="J1110" s="289">
        <v>50</v>
      </c>
      <c r="K1110" s="289">
        <v>5</v>
      </c>
      <c r="L1110" s="289">
        <v>1265</v>
      </c>
    </row>
    <row r="1111" spans="1:12">
      <c r="A1111" s="288" t="s">
        <v>1939</v>
      </c>
      <c r="B1111" s="288" t="s">
        <v>1910</v>
      </c>
      <c r="C1111" s="288" t="s">
        <v>814</v>
      </c>
      <c r="D1111" s="288" t="s">
        <v>818</v>
      </c>
      <c r="E1111" s="289">
        <v>10</v>
      </c>
      <c r="F1111" s="290">
        <v>4</v>
      </c>
      <c r="G1111" s="289">
        <v>900</v>
      </c>
      <c r="H1111" s="289">
        <v>0</v>
      </c>
      <c r="I1111" s="289">
        <v>90</v>
      </c>
      <c r="J1111" s="289">
        <v>70</v>
      </c>
      <c r="K1111" s="289">
        <v>7</v>
      </c>
      <c r="L1111" s="289">
        <v>1067</v>
      </c>
    </row>
    <row r="1112" spans="1:12">
      <c r="A1112" s="288" t="s">
        <v>1940</v>
      </c>
      <c r="B1112" s="288" t="s">
        <v>1910</v>
      </c>
      <c r="C1112" s="288" t="s">
        <v>814</v>
      </c>
      <c r="D1112" s="288" t="s">
        <v>815</v>
      </c>
      <c r="E1112" s="289">
        <v>10</v>
      </c>
      <c r="F1112" s="290">
        <v>13</v>
      </c>
      <c r="G1112" s="289">
        <v>1100</v>
      </c>
      <c r="H1112" s="289">
        <v>330</v>
      </c>
      <c r="I1112" s="289">
        <v>143</v>
      </c>
      <c r="J1112" s="289">
        <v>50</v>
      </c>
      <c r="K1112" s="289">
        <v>5</v>
      </c>
      <c r="L1112" s="289">
        <v>1628</v>
      </c>
    </row>
    <row r="1113" spans="1:12">
      <c r="A1113" s="288" t="s">
        <v>1941</v>
      </c>
      <c r="B1113" s="288" t="s">
        <v>1910</v>
      </c>
      <c r="C1113" s="288" t="s">
        <v>814</v>
      </c>
      <c r="D1113" s="288" t="s">
        <v>818</v>
      </c>
      <c r="E1113" s="289">
        <v>10</v>
      </c>
      <c r="F1113" s="290">
        <v>23</v>
      </c>
      <c r="G1113" s="289">
        <v>1100</v>
      </c>
      <c r="H1113" s="289">
        <v>1430</v>
      </c>
      <c r="I1113" s="289">
        <v>253</v>
      </c>
      <c r="J1113" s="289">
        <v>70</v>
      </c>
      <c r="K1113" s="289">
        <v>7</v>
      </c>
      <c r="L1113" s="289">
        <v>2860</v>
      </c>
    </row>
    <row r="1114" spans="1:12">
      <c r="A1114" s="288" t="s">
        <v>1942</v>
      </c>
      <c r="B1114" s="288" t="s">
        <v>1910</v>
      </c>
      <c r="C1114" s="288" t="s">
        <v>814</v>
      </c>
      <c r="D1114" s="288" t="s">
        <v>815</v>
      </c>
      <c r="E1114" s="289">
        <v>10</v>
      </c>
      <c r="F1114" s="290">
        <v>1</v>
      </c>
      <c r="G1114" s="289">
        <v>900</v>
      </c>
      <c r="H1114" s="289">
        <v>0</v>
      </c>
      <c r="I1114" s="289">
        <v>90</v>
      </c>
      <c r="J1114" s="289">
        <v>50</v>
      </c>
      <c r="K1114" s="289">
        <v>5</v>
      </c>
      <c r="L1114" s="289">
        <v>1045</v>
      </c>
    </row>
    <row r="1115" spans="1:12">
      <c r="A1115" s="288" t="s">
        <v>1943</v>
      </c>
      <c r="B1115" s="288" t="s">
        <v>1910</v>
      </c>
      <c r="C1115" s="288" t="s">
        <v>814</v>
      </c>
      <c r="D1115" s="288" t="s">
        <v>818</v>
      </c>
      <c r="E1115" s="289">
        <v>10</v>
      </c>
      <c r="F1115" s="290">
        <v>5</v>
      </c>
      <c r="G1115" s="289">
        <v>900</v>
      </c>
      <c r="H1115" s="289">
        <v>0</v>
      </c>
      <c r="I1115" s="289">
        <v>90</v>
      </c>
      <c r="J1115" s="289">
        <v>70</v>
      </c>
      <c r="K1115" s="289">
        <v>7</v>
      </c>
      <c r="L1115" s="289">
        <v>1067</v>
      </c>
    </row>
    <row r="1116" spans="1:12">
      <c r="A1116" s="288" t="s">
        <v>1944</v>
      </c>
      <c r="B1116" s="288" t="s">
        <v>1910</v>
      </c>
      <c r="C1116" s="288" t="s">
        <v>814</v>
      </c>
      <c r="D1116" s="288" t="s">
        <v>815</v>
      </c>
      <c r="E1116" s="289">
        <v>10</v>
      </c>
      <c r="F1116" s="290">
        <v>14</v>
      </c>
      <c r="G1116" s="289">
        <v>1100</v>
      </c>
      <c r="H1116" s="289">
        <v>440</v>
      </c>
      <c r="I1116" s="289">
        <v>154</v>
      </c>
      <c r="J1116" s="289">
        <v>50</v>
      </c>
      <c r="K1116" s="289">
        <v>5</v>
      </c>
      <c r="L1116" s="289">
        <v>1749</v>
      </c>
    </row>
    <row r="1117" spans="1:12">
      <c r="A1117" s="288" t="s">
        <v>1945</v>
      </c>
      <c r="B1117" s="288" t="s">
        <v>1910</v>
      </c>
      <c r="C1117" s="288" t="s">
        <v>814</v>
      </c>
      <c r="D1117" s="288" t="s">
        <v>815</v>
      </c>
      <c r="E1117" s="289">
        <v>10</v>
      </c>
      <c r="F1117" s="290">
        <v>19</v>
      </c>
      <c r="G1117" s="289">
        <v>1100</v>
      </c>
      <c r="H1117" s="289">
        <v>990</v>
      </c>
      <c r="I1117" s="289">
        <v>209</v>
      </c>
      <c r="J1117" s="289">
        <v>50</v>
      </c>
      <c r="K1117" s="289">
        <v>5</v>
      </c>
      <c r="L1117" s="289">
        <v>2354</v>
      </c>
    </row>
    <row r="1118" spans="1:12">
      <c r="A1118" s="288" t="s">
        <v>1946</v>
      </c>
      <c r="B1118" s="288" t="s">
        <v>1910</v>
      </c>
      <c r="C1118" s="288" t="s">
        <v>814</v>
      </c>
      <c r="D1118" s="288" t="s">
        <v>815</v>
      </c>
      <c r="E1118" s="289">
        <v>10</v>
      </c>
      <c r="F1118" s="290">
        <v>11</v>
      </c>
      <c r="G1118" s="289">
        <v>1100</v>
      </c>
      <c r="H1118" s="289">
        <v>110</v>
      </c>
      <c r="I1118" s="289">
        <v>121</v>
      </c>
      <c r="J1118" s="289">
        <v>50</v>
      </c>
      <c r="K1118" s="289">
        <v>5</v>
      </c>
      <c r="L1118" s="289">
        <v>1386</v>
      </c>
    </row>
    <row r="1119" spans="1:12">
      <c r="A1119" s="288" t="s">
        <v>1947</v>
      </c>
      <c r="B1119" s="288" t="s">
        <v>1910</v>
      </c>
      <c r="C1119" s="288" t="s">
        <v>814</v>
      </c>
      <c r="D1119" s="288" t="s">
        <v>815</v>
      </c>
      <c r="E1119" s="289">
        <v>10</v>
      </c>
      <c r="F1119" s="290">
        <v>17</v>
      </c>
      <c r="G1119" s="289">
        <v>1100</v>
      </c>
      <c r="H1119" s="289">
        <v>770</v>
      </c>
      <c r="I1119" s="289">
        <v>187</v>
      </c>
      <c r="J1119" s="289">
        <v>50</v>
      </c>
      <c r="K1119" s="289">
        <v>5</v>
      </c>
      <c r="L1119" s="289">
        <v>2112</v>
      </c>
    </row>
    <row r="1120" spans="1:12">
      <c r="A1120" s="288" t="s">
        <v>1948</v>
      </c>
      <c r="B1120" s="288" t="s">
        <v>1910</v>
      </c>
      <c r="C1120" s="288" t="s">
        <v>814</v>
      </c>
      <c r="D1120" s="288" t="s">
        <v>815</v>
      </c>
      <c r="E1120" s="289">
        <v>10</v>
      </c>
      <c r="F1120" s="290">
        <v>35</v>
      </c>
      <c r="G1120" s="289">
        <v>1100</v>
      </c>
      <c r="H1120" s="289">
        <v>2750</v>
      </c>
      <c r="I1120" s="289">
        <v>385</v>
      </c>
      <c r="J1120" s="289">
        <v>50</v>
      </c>
      <c r="K1120" s="289">
        <v>5</v>
      </c>
      <c r="L1120" s="289">
        <v>4290</v>
      </c>
    </row>
    <row r="1121" spans="1:12">
      <c r="A1121" s="288" t="s">
        <v>1949</v>
      </c>
      <c r="B1121" s="288" t="s">
        <v>1910</v>
      </c>
      <c r="C1121" s="288" t="s">
        <v>814</v>
      </c>
      <c r="D1121" s="288" t="s">
        <v>815</v>
      </c>
      <c r="E1121" s="289">
        <v>10</v>
      </c>
      <c r="F1121" s="290">
        <v>9</v>
      </c>
      <c r="G1121" s="289">
        <v>1100</v>
      </c>
      <c r="H1121" s="289">
        <v>0</v>
      </c>
      <c r="I1121" s="289">
        <v>110</v>
      </c>
      <c r="J1121" s="289">
        <v>50</v>
      </c>
      <c r="K1121" s="289">
        <v>5</v>
      </c>
      <c r="L1121" s="289">
        <v>1265</v>
      </c>
    </row>
    <row r="1122" spans="1:12">
      <c r="A1122" s="288" t="s">
        <v>1950</v>
      </c>
      <c r="B1122" s="288" t="s">
        <v>1910</v>
      </c>
      <c r="C1122" s="288" t="s">
        <v>814</v>
      </c>
      <c r="D1122" s="288" t="s">
        <v>815</v>
      </c>
      <c r="E1122" s="289">
        <v>10</v>
      </c>
      <c r="F1122" s="290">
        <v>19</v>
      </c>
      <c r="G1122" s="289">
        <v>1100</v>
      </c>
      <c r="H1122" s="289">
        <v>990</v>
      </c>
      <c r="I1122" s="289">
        <v>209</v>
      </c>
      <c r="J1122" s="289">
        <v>50</v>
      </c>
      <c r="K1122" s="289">
        <v>5</v>
      </c>
      <c r="L1122" s="289">
        <v>2354</v>
      </c>
    </row>
    <row r="1123" spans="1:12">
      <c r="A1123" s="288" t="s">
        <v>1951</v>
      </c>
      <c r="B1123" s="288" t="s">
        <v>1910</v>
      </c>
      <c r="C1123" s="288" t="s">
        <v>814</v>
      </c>
      <c r="D1123" s="288" t="s">
        <v>815</v>
      </c>
      <c r="E1123" s="289">
        <v>10</v>
      </c>
      <c r="F1123" s="290">
        <v>14</v>
      </c>
      <c r="G1123" s="289">
        <v>1100</v>
      </c>
      <c r="H1123" s="289">
        <v>440</v>
      </c>
      <c r="I1123" s="289">
        <v>154</v>
      </c>
      <c r="J1123" s="289">
        <v>50</v>
      </c>
      <c r="K1123" s="289">
        <v>5</v>
      </c>
      <c r="L1123" s="289">
        <v>1749</v>
      </c>
    </row>
    <row r="1124" spans="1:12">
      <c r="A1124" s="288" t="s">
        <v>1952</v>
      </c>
      <c r="B1124" s="288" t="s">
        <v>1910</v>
      </c>
      <c r="C1124" s="288" t="s">
        <v>814</v>
      </c>
      <c r="D1124" s="288" t="s">
        <v>815</v>
      </c>
      <c r="E1124" s="289">
        <v>10</v>
      </c>
      <c r="F1124" s="290">
        <v>9</v>
      </c>
      <c r="G1124" s="289">
        <v>1100</v>
      </c>
      <c r="H1124" s="289">
        <v>0</v>
      </c>
      <c r="I1124" s="289">
        <v>110</v>
      </c>
      <c r="J1124" s="289">
        <v>50</v>
      </c>
      <c r="K1124" s="289">
        <v>5</v>
      </c>
      <c r="L1124" s="289">
        <v>1265</v>
      </c>
    </row>
    <row r="1125" spans="1:12">
      <c r="A1125" s="288" t="s">
        <v>1953</v>
      </c>
      <c r="B1125" s="288" t="s">
        <v>1910</v>
      </c>
      <c r="C1125" s="288" t="s">
        <v>814</v>
      </c>
      <c r="D1125" s="288" t="s">
        <v>815</v>
      </c>
      <c r="E1125" s="289">
        <v>10</v>
      </c>
      <c r="F1125" s="290">
        <v>15</v>
      </c>
      <c r="G1125" s="289">
        <v>1100</v>
      </c>
      <c r="H1125" s="289">
        <v>550</v>
      </c>
      <c r="I1125" s="289">
        <v>165</v>
      </c>
      <c r="J1125" s="289">
        <v>50</v>
      </c>
      <c r="K1125" s="289">
        <v>5</v>
      </c>
      <c r="L1125" s="289">
        <v>1870</v>
      </c>
    </row>
    <row r="1126" spans="1:12">
      <c r="A1126" s="288" t="s">
        <v>1954</v>
      </c>
      <c r="B1126" s="288" t="s">
        <v>1910</v>
      </c>
      <c r="C1126" s="288" t="s">
        <v>814</v>
      </c>
      <c r="D1126" s="288" t="s">
        <v>815</v>
      </c>
      <c r="E1126" s="289">
        <v>10</v>
      </c>
      <c r="F1126" s="290">
        <v>21</v>
      </c>
      <c r="G1126" s="289">
        <v>1100</v>
      </c>
      <c r="H1126" s="289">
        <v>1210</v>
      </c>
      <c r="I1126" s="289">
        <v>231</v>
      </c>
      <c r="J1126" s="289">
        <v>50</v>
      </c>
      <c r="K1126" s="289">
        <v>5</v>
      </c>
      <c r="L1126" s="289">
        <v>2596</v>
      </c>
    </row>
    <row r="1127" spans="1:12">
      <c r="A1127" s="288" t="s">
        <v>1955</v>
      </c>
      <c r="B1127" s="288" t="s">
        <v>1910</v>
      </c>
      <c r="C1127" s="288" t="s">
        <v>814</v>
      </c>
      <c r="D1127" s="288" t="s">
        <v>815</v>
      </c>
      <c r="E1127" s="289">
        <v>10</v>
      </c>
      <c r="F1127" s="290">
        <v>7</v>
      </c>
      <c r="G1127" s="289">
        <v>1100</v>
      </c>
      <c r="H1127" s="289">
        <v>0</v>
      </c>
      <c r="I1127" s="289">
        <v>110</v>
      </c>
      <c r="J1127" s="289">
        <v>50</v>
      </c>
      <c r="K1127" s="289">
        <v>5</v>
      </c>
      <c r="L1127" s="289">
        <v>1265</v>
      </c>
    </row>
    <row r="1128" spans="1:12">
      <c r="A1128" s="288" t="s">
        <v>1956</v>
      </c>
      <c r="B1128" s="288" t="s">
        <v>1910</v>
      </c>
      <c r="C1128" s="288" t="s">
        <v>814</v>
      </c>
      <c r="D1128" s="288" t="s">
        <v>815</v>
      </c>
      <c r="E1128" s="289">
        <v>10</v>
      </c>
      <c r="F1128" s="290">
        <v>12</v>
      </c>
      <c r="G1128" s="289">
        <v>1100</v>
      </c>
      <c r="H1128" s="289">
        <v>220</v>
      </c>
      <c r="I1128" s="289">
        <v>132</v>
      </c>
      <c r="J1128" s="289">
        <v>50</v>
      </c>
      <c r="K1128" s="289">
        <v>5</v>
      </c>
      <c r="L1128" s="289">
        <v>1507</v>
      </c>
    </row>
    <row r="1129" spans="1:12">
      <c r="A1129" s="288" t="s">
        <v>1957</v>
      </c>
      <c r="B1129" s="288" t="s">
        <v>1910</v>
      </c>
      <c r="C1129" s="288" t="s">
        <v>820</v>
      </c>
      <c r="D1129" s="288" t="s">
        <v>818</v>
      </c>
      <c r="E1129" s="289">
        <v>10</v>
      </c>
      <c r="F1129" s="290">
        <v>0</v>
      </c>
      <c r="G1129" s="289">
        <v>900</v>
      </c>
      <c r="H1129" s="289">
        <v>0</v>
      </c>
      <c r="I1129" s="289">
        <v>90</v>
      </c>
      <c r="J1129" s="289">
        <v>70</v>
      </c>
      <c r="K1129" s="289">
        <v>7</v>
      </c>
      <c r="L1129" s="289">
        <v>1067</v>
      </c>
    </row>
    <row r="1130" spans="1:12">
      <c r="A1130" s="288" t="s">
        <v>1958</v>
      </c>
      <c r="B1130" s="288" t="s">
        <v>1910</v>
      </c>
      <c r="C1130" s="288" t="s">
        <v>820</v>
      </c>
      <c r="D1130" s="288" t="s">
        <v>818</v>
      </c>
      <c r="E1130" s="289">
        <v>10</v>
      </c>
      <c r="F1130" s="290">
        <v>1</v>
      </c>
      <c r="G1130" s="289">
        <v>900</v>
      </c>
      <c r="H1130" s="289">
        <v>0</v>
      </c>
      <c r="I1130" s="289">
        <v>90</v>
      </c>
      <c r="J1130" s="289">
        <v>70</v>
      </c>
      <c r="K1130" s="289">
        <v>7</v>
      </c>
      <c r="L1130" s="289">
        <v>1067</v>
      </c>
    </row>
    <row r="1131" spans="1:12">
      <c r="A1131" s="288" t="s">
        <v>1959</v>
      </c>
      <c r="B1131" s="288" t="s">
        <v>1910</v>
      </c>
      <c r="C1131" s="288" t="s">
        <v>829</v>
      </c>
      <c r="D1131" s="288" t="s">
        <v>826</v>
      </c>
      <c r="E1131" s="289">
        <v>10</v>
      </c>
      <c r="F1131" s="290">
        <v>0</v>
      </c>
      <c r="G1131" s="289">
        <v>900</v>
      </c>
      <c r="H1131" s="289">
        <v>0</v>
      </c>
      <c r="I1131" s="289">
        <v>90</v>
      </c>
      <c r="J1131" s="289">
        <v>100</v>
      </c>
      <c r="K1131" s="289">
        <v>10</v>
      </c>
      <c r="L1131" s="289">
        <v>1100</v>
      </c>
    </row>
    <row r="1132" spans="1:12">
      <c r="A1132" s="288" t="s">
        <v>1960</v>
      </c>
      <c r="B1132" s="288" t="s">
        <v>1910</v>
      </c>
      <c r="C1132" s="288" t="s">
        <v>829</v>
      </c>
      <c r="D1132" s="288" t="s">
        <v>822</v>
      </c>
      <c r="E1132" s="289">
        <v>10</v>
      </c>
      <c r="F1132" s="290">
        <v>253</v>
      </c>
      <c r="G1132" s="289">
        <v>1100</v>
      </c>
      <c r="H1132" s="289">
        <v>25200</v>
      </c>
      <c r="I1132" s="289">
        <v>2630</v>
      </c>
      <c r="J1132" s="289">
        <v>200</v>
      </c>
      <c r="K1132" s="289">
        <v>20</v>
      </c>
      <c r="L1132" s="289">
        <v>29150</v>
      </c>
    </row>
    <row r="1133" spans="1:12">
      <c r="A1133" s="288" t="s">
        <v>1961</v>
      </c>
      <c r="B1133" s="288" t="s">
        <v>1910</v>
      </c>
      <c r="C1133" s="288" t="s">
        <v>814</v>
      </c>
      <c r="D1133" s="288" t="s">
        <v>815</v>
      </c>
      <c r="E1133" s="289">
        <v>10</v>
      </c>
      <c r="F1133" s="290">
        <v>25</v>
      </c>
      <c r="G1133" s="289">
        <v>1100</v>
      </c>
      <c r="H1133" s="289">
        <v>1650</v>
      </c>
      <c r="I1133" s="289">
        <v>275</v>
      </c>
      <c r="J1133" s="289">
        <v>50</v>
      </c>
      <c r="K1133" s="289">
        <v>5</v>
      </c>
      <c r="L1133" s="289">
        <v>3080</v>
      </c>
    </row>
    <row r="1134" spans="1:12">
      <c r="A1134" s="288" t="s">
        <v>1962</v>
      </c>
      <c r="B1134" s="288" t="s">
        <v>1910</v>
      </c>
      <c r="C1134" s="288" t="s">
        <v>814</v>
      </c>
      <c r="D1134" s="288" t="s">
        <v>815</v>
      </c>
      <c r="E1134" s="289">
        <v>10</v>
      </c>
      <c r="F1134" s="290">
        <v>2</v>
      </c>
      <c r="G1134" s="289">
        <v>900</v>
      </c>
      <c r="H1134" s="289">
        <v>0</v>
      </c>
      <c r="I1134" s="289">
        <v>90</v>
      </c>
      <c r="J1134" s="289">
        <v>50</v>
      </c>
      <c r="K1134" s="289">
        <v>5</v>
      </c>
      <c r="L1134" s="289">
        <v>1045</v>
      </c>
    </row>
    <row r="1135" spans="1:12">
      <c r="A1135" s="288" t="s">
        <v>1963</v>
      </c>
      <c r="B1135" s="288" t="s">
        <v>1910</v>
      </c>
      <c r="C1135" s="288" t="s">
        <v>814</v>
      </c>
      <c r="D1135" s="288" t="s">
        <v>815</v>
      </c>
      <c r="E1135" s="289">
        <v>10</v>
      </c>
      <c r="F1135" s="290">
        <v>0</v>
      </c>
      <c r="G1135" s="289">
        <v>900</v>
      </c>
      <c r="H1135" s="289">
        <v>0</v>
      </c>
      <c r="I1135" s="289">
        <v>90</v>
      </c>
      <c r="J1135" s="289">
        <v>50</v>
      </c>
      <c r="K1135" s="289">
        <v>5</v>
      </c>
      <c r="L1135" s="289">
        <v>1045</v>
      </c>
    </row>
    <row r="1136" spans="1:12">
      <c r="A1136" s="288" t="s">
        <v>1964</v>
      </c>
      <c r="B1136" s="288" t="s">
        <v>1910</v>
      </c>
      <c r="C1136" s="288" t="s">
        <v>814</v>
      </c>
      <c r="D1136" s="288" t="s">
        <v>815</v>
      </c>
      <c r="E1136" s="289">
        <v>10</v>
      </c>
      <c r="F1136" s="290">
        <v>0</v>
      </c>
      <c r="G1136" s="289">
        <v>900</v>
      </c>
      <c r="H1136" s="289">
        <v>0</v>
      </c>
      <c r="I1136" s="289">
        <v>90</v>
      </c>
      <c r="J1136" s="289">
        <v>50</v>
      </c>
      <c r="K1136" s="289">
        <v>5</v>
      </c>
      <c r="L1136" s="289">
        <v>1045</v>
      </c>
    </row>
    <row r="1137" spans="1:12">
      <c r="A1137" s="288" t="s">
        <v>1965</v>
      </c>
      <c r="B1137" s="288" t="s">
        <v>1910</v>
      </c>
      <c r="C1137" s="288" t="s">
        <v>814</v>
      </c>
      <c r="D1137" s="288" t="s">
        <v>815</v>
      </c>
      <c r="E1137" s="289">
        <v>10</v>
      </c>
      <c r="F1137" s="290">
        <v>8</v>
      </c>
      <c r="G1137" s="289">
        <v>1100</v>
      </c>
      <c r="H1137" s="289">
        <v>0</v>
      </c>
      <c r="I1137" s="289">
        <v>110</v>
      </c>
      <c r="J1137" s="289">
        <v>50</v>
      </c>
      <c r="K1137" s="289">
        <v>5</v>
      </c>
      <c r="L1137" s="289">
        <v>1265</v>
      </c>
    </row>
    <row r="1138" spans="1:12">
      <c r="A1138" s="288" t="s">
        <v>1966</v>
      </c>
      <c r="B1138" s="288" t="s">
        <v>1910</v>
      </c>
      <c r="C1138" s="288" t="s">
        <v>814</v>
      </c>
      <c r="D1138" s="288" t="s">
        <v>815</v>
      </c>
      <c r="E1138" s="289">
        <v>10</v>
      </c>
      <c r="F1138" s="290">
        <v>11</v>
      </c>
      <c r="G1138" s="289">
        <v>1100</v>
      </c>
      <c r="H1138" s="289">
        <v>110</v>
      </c>
      <c r="I1138" s="289">
        <v>121</v>
      </c>
      <c r="J1138" s="289">
        <v>50</v>
      </c>
      <c r="K1138" s="289">
        <v>5</v>
      </c>
      <c r="L1138" s="289">
        <v>1386</v>
      </c>
    </row>
    <row r="1139" spans="1:12">
      <c r="A1139" s="288" t="s">
        <v>1967</v>
      </c>
      <c r="B1139" s="288" t="s">
        <v>1910</v>
      </c>
      <c r="C1139" s="288" t="s">
        <v>814</v>
      </c>
      <c r="D1139" s="288" t="s">
        <v>815</v>
      </c>
      <c r="E1139" s="289">
        <v>10</v>
      </c>
      <c r="F1139" s="290">
        <v>8</v>
      </c>
      <c r="G1139" s="289">
        <v>1100</v>
      </c>
      <c r="H1139" s="289">
        <v>0</v>
      </c>
      <c r="I1139" s="289">
        <v>110</v>
      </c>
      <c r="J1139" s="289">
        <v>50</v>
      </c>
      <c r="K1139" s="289">
        <v>5</v>
      </c>
      <c r="L1139" s="289">
        <v>1265</v>
      </c>
    </row>
    <row r="1140" spans="1:12">
      <c r="A1140" s="288" t="s">
        <v>1968</v>
      </c>
      <c r="B1140" s="288" t="s">
        <v>1910</v>
      </c>
      <c r="C1140" s="288" t="s">
        <v>820</v>
      </c>
      <c r="D1140" s="288" t="s">
        <v>815</v>
      </c>
      <c r="E1140" s="289">
        <v>10</v>
      </c>
      <c r="F1140" s="290">
        <v>6</v>
      </c>
      <c r="G1140" s="289">
        <v>1100</v>
      </c>
      <c r="H1140" s="289">
        <v>0</v>
      </c>
      <c r="I1140" s="289">
        <v>110</v>
      </c>
      <c r="J1140" s="289">
        <v>50</v>
      </c>
      <c r="K1140" s="289">
        <v>5</v>
      </c>
      <c r="L1140" s="289">
        <v>1265</v>
      </c>
    </row>
    <row r="1141" spans="1:12">
      <c r="A1141" s="288" t="s">
        <v>1969</v>
      </c>
      <c r="B1141" s="288" t="s">
        <v>1910</v>
      </c>
      <c r="C1141" s="288" t="s">
        <v>814</v>
      </c>
      <c r="D1141" s="288" t="s">
        <v>815</v>
      </c>
      <c r="E1141" s="289">
        <v>10</v>
      </c>
      <c r="F1141" s="290">
        <v>5</v>
      </c>
      <c r="G1141" s="289">
        <v>900</v>
      </c>
      <c r="H1141" s="289">
        <v>0</v>
      </c>
      <c r="I1141" s="289">
        <v>90</v>
      </c>
      <c r="J1141" s="289">
        <v>50</v>
      </c>
      <c r="K1141" s="289">
        <v>5</v>
      </c>
      <c r="L1141" s="289">
        <v>1045</v>
      </c>
    </row>
    <row r="1142" spans="1:12">
      <c r="A1142" s="288" t="s">
        <v>1970</v>
      </c>
      <c r="B1142" s="288" t="s">
        <v>1910</v>
      </c>
      <c r="C1142" s="288" t="s">
        <v>814</v>
      </c>
      <c r="D1142" s="288" t="s">
        <v>818</v>
      </c>
      <c r="E1142" s="289">
        <v>10</v>
      </c>
      <c r="F1142" s="290">
        <v>20</v>
      </c>
      <c r="G1142" s="289">
        <v>1100</v>
      </c>
      <c r="H1142" s="289">
        <v>1100</v>
      </c>
      <c r="I1142" s="289">
        <v>220</v>
      </c>
      <c r="J1142" s="289">
        <v>70</v>
      </c>
      <c r="K1142" s="289">
        <v>7</v>
      </c>
      <c r="L1142" s="289">
        <v>2497</v>
      </c>
    </row>
    <row r="1143" spans="1:12">
      <c r="A1143" s="288" t="s">
        <v>1971</v>
      </c>
      <c r="B1143" s="288" t="s">
        <v>1910</v>
      </c>
      <c r="C1143" s="288" t="s">
        <v>814</v>
      </c>
      <c r="D1143" s="288" t="s">
        <v>818</v>
      </c>
      <c r="E1143" s="289">
        <v>10</v>
      </c>
      <c r="F1143" s="290">
        <v>15</v>
      </c>
      <c r="G1143" s="289">
        <v>1100</v>
      </c>
      <c r="H1143" s="289">
        <v>550</v>
      </c>
      <c r="I1143" s="289">
        <v>165</v>
      </c>
      <c r="J1143" s="289">
        <v>70</v>
      </c>
      <c r="K1143" s="289">
        <v>7</v>
      </c>
      <c r="L1143" s="289">
        <v>1892</v>
      </c>
    </row>
    <row r="1144" spans="1:12">
      <c r="A1144" s="288" t="s">
        <v>1972</v>
      </c>
      <c r="B1144" s="288" t="s">
        <v>1910</v>
      </c>
      <c r="C1144" s="288" t="s">
        <v>814</v>
      </c>
      <c r="D1144" s="288" t="s">
        <v>818</v>
      </c>
      <c r="E1144" s="289">
        <v>10</v>
      </c>
      <c r="F1144" s="290">
        <v>46</v>
      </c>
      <c r="G1144" s="289">
        <v>1100</v>
      </c>
      <c r="H1144" s="289">
        <v>3960</v>
      </c>
      <c r="I1144" s="289">
        <v>506</v>
      </c>
      <c r="J1144" s="289">
        <v>70</v>
      </c>
      <c r="K1144" s="289">
        <v>7</v>
      </c>
      <c r="L1144" s="289">
        <v>5643</v>
      </c>
    </row>
    <row r="1145" spans="1:12">
      <c r="A1145" s="288" t="s">
        <v>1973</v>
      </c>
      <c r="B1145" s="288" t="s">
        <v>1910</v>
      </c>
      <c r="C1145" s="288" t="s">
        <v>814</v>
      </c>
      <c r="D1145" s="288" t="s">
        <v>815</v>
      </c>
      <c r="E1145" s="289">
        <v>10</v>
      </c>
      <c r="F1145" s="290">
        <v>12</v>
      </c>
      <c r="G1145" s="289">
        <v>1100</v>
      </c>
      <c r="H1145" s="289">
        <v>220</v>
      </c>
      <c r="I1145" s="289">
        <v>132</v>
      </c>
      <c r="J1145" s="289">
        <v>50</v>
      </c>
      <c r="K1145" s="289">
        <v>5</v>
      </c>
      <c r="L1145" s="289">
        <v>1507</v>
      </c>
    </row>
    <row r="1146" spans="1:12">
      <c r="A1146" s="288" t="s">
        <v>1974</v>
      </c>
      <c r="B1146" s="288" t="s">
        <v>1910</v>
      </c>
      <c r="C1146" s="288" t="s">
        <v>814</v>
      </c>
      <c r="D1146" s="288" t="s">
        <v>818</v>
      </c>
      <c r="E1146" s="289">
        <v>10</v>
      </c>
      <c r="F1146" s="290">
        <v>10</v>
      </c>
      <c r="G1146" s="289">
        <v>1100</v>
      </c>
      <c r="H1146" s="289">
        <v>0</v>
      </c>
      <c r="I1146" s="289">
        <v>110</v>
      </c>
      <c r="J1146" s="289">
        <v>70</v>
      </c>
      <c r="K1146" s="289">
        <v>7</v>
      </c>
      <c r="L1146" s="289">
        <v>1287</v>
      </c>
    </row>
    <row r="1147" spans="1:12">
      <c r="A1147" s="288" t="s">
        <v>1975</v>
      </c>
      <c r="B1147" s="288" t="s">
        <v>1910</v>
      </c>
      <c r="C1147" s="288" t="s">
        <v>814</v>
      </c>
      <c r="D1147" s="288" t="s">
        <v>818</v>
      </c>
      <c r="E1147" s="289">
        <v>10</v>
      </c>
      <c r="F1147" s="290">
        <v>7</v>
      </c>
      <c r="G1147" s="289">
        <v>1100</v>
      </c>
      <c r="H1147" s="289">
        <v>0</v>
      </c>
      <c r="I1147" s="289">
        <v>110</v>
      </c>
      <c r="J1147" s="289">
        <v>70</v>
      </c>
      <c r="K1147" s="289">
        <v>7</v>
      </c>
      <c r="L1147" s="289">
        <v>1287</v>
      </c>
    </row>
    <row r="1148" spans="1:12">
      <c r="A1148" s="288" t="s">
        <v>1976</v>
      </c>
      <c r="B1148" s="288" t="s">
        <v>1910</v>
      </c>
      <c r="C1148" s="288" t="s">
        <v>814</v>
      </c>
      <c r="D1148" s="288" t="s">
        <v>818</v>
      </c>
      <c r="E1148" s="289">
        <v>10</v>
      </c>
      <c r="F1148" s="290">
        <v>6</v>
      </c>
      <c r="G1148" s="289">
        <v>1100</v>
      </c>
      <c r="H1148" s="289">
        <v>0</v>
      </c>
      <c r="I1148" s="289">
        <v>110</v>
      </c>
      <c r="J1148" s="289">
        <v>70</v>
      </c>
      <c r="K1148" s="289">
        <v>7</v>
      </c>
      <c r="L1148" s="289">
        <v>1287</v>
      </c>
    </row>
    <row r="1149" spans="1:12">
      <c r="A1149" s="288" t="s">
        <v>1977</v>
      </c>
      <c r="B1149" s="288" t="s">
        <v>1910</v>
      </c>
      <c r="C1149" s="288" t="s">
        <v>814</v>
      </c>
      <c r="D1149" s="288" t="s">
        <v>818</v>
      </c>
      <c r="E1149" s="289">
        <v>10</v>
      </c>
      <c r="F1149" s="290">
        <v>6</v>
      </c>
      <c r="G1149" s="289">
        <v>1100</v>
      </c>
      <c r="H1149" s="289">
        <v>0</v>
      </c>
      <c r="I1149" s="289">
        <v>110</v>
      </c>
      <c r="J1149" s="289">
        <v>70</v>
      </c>
      <c r="K1149" s="289">
        <v>7</v>
      </c>
      <c r="L1149" s="289">
        <v>1287</v>
      </c>
    </row>
    <row r="1150" spans="1:12">
      <c r="A1150" s="288" t="s">
        <v>1978</v>
      </c>
      <c r="B1150" s="288" t="s">
        <v>1910</v>
      </c>
      <c r="C1150" s="288" t="s">
        <v>814</v>
      </c>
      <c r="D1150" s="288" t="s">
        <v>818</v>
      </c>
      <c r="E1150" s="289">
        <v>10</v>
      </c>
      <c r="F1150" s="290">
        <v>2</v>
      </c>
      <c r="G1150" s="289">
        <v>900</v>
      </c>
      <c r="H1150" s="289">
        <v>0</v>
      </c>
      <c r="I1150" s="289">
        <v>90</v>
      </c>
      <c r="J1150" s="289">
        <v>70</v>
      </c>
      <c r="K1150" s="289">
        <v>7</v>
      </c>
      <c r="L1150" s="289">
        <v>1067</v>
      </c>
    </row>
    <row r="1151" spans="1:12">
      <c r="A1151" s="288" t="s">
        <v>1979</v>
      </c>
      <c r="B1151" s="288" t="s">
        <v>1910</v>
      </c>
      <c r="C1151" s="288" t="s">
        <v>814</v>
      </c>
      <c r="D1151" s="288" t="s">
        <v>818</v>
      </c>
      <c r="E1151" s="289">
        <v>10</v>
      </c>
      <c r="F1151" s="290">
        <v>0</v>
      </c>
      <c r="G1151" s="289">
        <v>900</v>
      </c>
      <c r="H1151" s="289">
        <v>0</v>
      </c>
      <c r="I1151" s="289">
        <v>90</v>
      </c>
      <c r="J1151" s="289">
        <v>70</v>
      </c>
      <c r="K1151" s="289">
        <v>7</v>
      </c>
      <c r="L1151" s="289">
        <v>1067</v>
      </c>
    </row>
    <row r="1152" spans="1:12">
      <c r="A1152" s="288" t="s">
        <v>1980</v>
      </c>
      <c r="B1152" s="288" t="s">
        <v>1910</v>
      </c>
      <c r="C1152" s="288" t="s">
        <v>814</v>
      </c>
      <c r="D1152" s="288" t="s">
        <v>818</v>
      </c>
      <c r="E1152" s="289">
        <v>10</v>
      </c>
      <c r="F1152" s="290">
        <v>17</v>
      </c>
      <c r="G1152" s="289">
        <v>1100</v>
      </c>
      <c r="H1152" s="289">
        <v>770</v>
      </c>
      <c r="I1152" s="289">
        <v>187</v>
      </c>
      <c r="J1152" s="289">
        <v>70</v>
      </c>
      <c r="K1152" s="289">
        <v>7</v>
      </c>
      <c r="L1152" s="289">
        <v>2134</v>
      </c>
    </row>
    <row r="1153" spans="1:12">
      <c r="A1153" s="288" t="s">
        <v>1981</v>
      </c>
      <c r="B1153" s="288" t="s">
        <v>1910</v>
      </c>
      <c r="C1153" s="288" t="s">
        <v>814</v>
      </c>
      <c r="D1153" s="288" t="s">
        <v>818</v>
      </c>
      <c r="E1153" s="289">
        <v>10</v>
      </c>
      <c r="F1153" s="290">
        <v>9</v>
      </c>
      <c r="G1153" s="289">
        <v>1100</v>
      </c>
      <c r="H1153" s="289">
        <v>0</v>
      </c>
      <c r="I1153" s="289">
        <v>110</v>
      </c>
      <c r="J1153" s="289">
        <v>70</v>
      </c>
      <c r="K1153" s="289">
        <v>7</v>
      </c>
      <c r="L1153" s="289">
        <v>1287</v>
      </c>
    </row>
    <row r="1154" spans="1:12">
      <c r="A1154" s="288" t="s">
        <v>1982</v>
      </c>
      <c r="B1154" s="288" t="s">
        <v>1910</v>
      </c>
      <c r="C1154" s="288" t="s">
        <v>814</v>
      </c>
      <c r="D1154" s="288" t="s">
        <v>818</v>
      </c>
      <c r="E1154" s="289">
        <v>10</v>
      </c>
      <c r="F1154" s="290">
        <v>3</v>
      </c>
      <c r="G1154" s="289">
        <v>900</v>
      </c>
      <c r="H1154" s="289">
        <v>0</v>
      </c>
      <c r="I1154" s="289">
        <v>90</v>
      </c>
      <c r="J1154" s="289">
        <v>70</v>
      </c>
      <c r="K1154" s="289">
        <v>7</v>
      </c>
      <c r="L1154" s="289">
        <v>1067</v>
      </c>
    </row>
    <row r="1155" spans="1:12">
      <c r="A1155" s="288" t="s">
        <v>1983</v>
      </c>
      <c r="B1155" s="288" t="s">
        <v>1910</v>
      </c>
      <c r="C1155" s="288" t="s">
        <v>814</v>
      </c>
      <c r="D1155" s="288" t="s">
        <v>818</v>
      </c>
      <c r="E1155" s="289">
        <v>10</v>
      </c>
      <c r="F1155" s="290">
        <v>13</v>
      </c>
      <c r="G1155" s="289">
        <v>1100</v>
      </c>
      <c r="H1155" s="289">
        <v>330</v>
      </c>
      <c r="I1155" s="289">
        <v>143</v>
      </c>
      <c r="J1155" s="289">
        <v>70</v>
      </c>
      <c r="K1155" s="289">
        <v>7</v>
      </c>
      <c r="L1155" s="289">
        <v>1650</v>
      </c>
    </row>
    <row r="1156" spans="1:12">
      <c r="A1156" s="288" t="s">
        <v>1984</v>
      </c>
      <c r="B1156" s="288" t="s">
        <v>1910</v>
      </c>
      <c r="C1156" s="288" t="s">
        <v>814</v>
      </c>
      <c r="D1156" s="288" t="s">
        <v>818</v>
      </c>
      <c r="E1156" s="289">
        <v>10</v>
      </c>
      <c r="F1156" s="290">
        <v>6</v>
      </c>
      <c r="G1156" s="289">
        <v>1100</v>
      </c>
      <c r="H1156" s="289">
        <v>0</v>
      </c>
      <c r="I1156" s="289">
        <v>110</v>
      </c>
      <c r="J1156" s="289">
        <v>70</v>
      </c>
      <c r="K1156" s="289">
        <v>7</v>
      </c>
      <c r="L1156" s="289">
        <v>1287</v>
      </c>
    </row>
    <row r="1157" spans="1:12">
      <c r="A1157" s="288" t="s">
        <v>1985</v>
      </c>
      <c r="B1157" s="288" t="s">
        <v>1910</v>
      </c>
      <c r="C1157" s="288" t="s">
        <v>814</v>
      </c>
      <c r="D1157" s="288" t="s">
        <v>818</v>
      </c>
      <c r="E1157" s="289">
        <v>10</v>
      </c>
      <c r="F1157" s="290">
        <v>19</v>
      </c>
      <c r="G1157" s="289">
        <v>1100</v>
      </c>
      <c r="H1157" s="289">
        <v>990</v>
      </c>
      <c r="I1157" s="289">
        <v>209</v>
      </c>
      <c r="J1157" s="289">
        <v>70</v>
      </c>
      <c r="K1157" s="289">
        <v>7</v>
      </c>
      <c r="L1157" s="289">
        <v>2376</v>
      </c>
    </row>
    <row r="1158" spans="1:12">
      <c r="A1158" s="288" t="s">
        <v>1986</v>
      </c>
      <c r="B1158" s="288" t="s">
        <v>1910</v>
      </c>
      <c r="C1158" s="288" t="s">
        <v>814</v>
      </c>
      <c r="D1158" s="288" t="s">
        <v>818</v>
      </c>
      <c r="E1158" s="289">
        <v>10</v>
      </c>
      <c r="F1158" s="290">
        <v>15</v>
      </c>
      <c r="G1158" s="289">
        <v>1100</v>
      </c>
      <c r="H1158" s="289">
        <v>550</v>
      </c>
      <c r="I1158" s="289">
        <v>165</v>
      </c>
      <c r="J1158" s="289">
        <v>70</v>
      </c>
      <c r="K1158" s="289">
        <v>7</v>
      </c>
      <c r="L1158" s="289">
        <v>1892</v>
      </c>
    </row>
    <row r="1159" spans="1:12">
      <c r="A1159" s="288" t="s">
        <v>1987</v>
      </c>
      <c r="B1159" s="288" t="s">
        <v>1910</v>
      </c>
      <c r="C1159" s="288" t="s">
        <v>814</v>
      </c>
      <c r="D1159" s="288" t="s">
        <v>818</v>
      </c>
      <c r="E1159" s="289">
        <v>10</v>
      </c>
      <c r="F1159" s="290">
        <v>9</v>
      </c>
      <c r="G1159" s="289">
        <v>1100</v>
      </c>
      <c r="H1159" s="289">
        <v>0</v>
      </c>
      <c r="I1159" s="289">
        <v>110</v>
      </c>
      <c r="J1159" s="289">
        <v>70</v>
      </c>
      <c r="K1159" s="289">
        <v>7</v>
      </c>
      <c r="L1159" s="289">
        <v>1287</v>
      </c>
    </row>
    <row r="1160" spans="1:12">
      <c r="A1160" s="288" t="s">
        <v>1988</v>
      </c>
      <c r="B1160" s="288" t="s">
        <v>1910</v>
      </c>
      <c r="C1160" s="288" t="s">
        <v>814</v>
      </c>
      <c r="D1160" s="288" t="s">
        <v>818</v>
      </c>
      <c r="E1160" s="289">
        <v>10</v>
      </c>
      <c r="F1160" s="290">
        <v>24</v>
      </c>
      <c r="G1160" s="289">
        <v>1100</v>
      </c>
      <c r="H1160" s="289">
        <v>1540</v>
      </c>
      <c r="I1160" s="289">
        <v>264</v>
      </c>
      <c r="J1160" s="289">
        <v>70</v>
      </c>
      <c r="K1160" s="289">
        <v>7</v>
      </c>
      <c r="L1160" s="289">
        <v>2981</v>
      </c>
    </row>
    <row r="1161" spans="1:12">
      <c r="A1161" s="288" t="s">
        <v>1989</v>
      </c>
      <c r="B1161" s="288" t="s">
        <v>1910</v>
      </c>
      <c r="C1161" s="288" t="s">
        <v>814</v>
      </c>
      <c r="D1161" s="288" t="s">
        <v>818</v>
      </c>
      <c r="E1161" s="289">
        <v>10</v>
      </c>
      <c r="F1161" s="290">
        <v>5</v>
      </c>
      <c r="G1161" s="289">
        <v>900</v>
      </c>
      <c r="H1161" s="289">
        <v>0</v>
      </c>
      <c r="I1161" s="289">
        <v>90</v>
      </c>
      <c r="J1161" s="289">
        <v>70</v>
      </c>
      <c r="K1161" s="289">
        <v>7</v>
      </c>
      <c r="L1161" s="289">
        <v>1067</v>
      </c>
    </row>
    <row r="1162" spans="1:12">
      <c r="A1162" s="288" t="s">
        <v>1990</v>
      </c>
      <c r="B1162" s="288" t="s">
        <v>1910</v>
      </c>
      <c r="C1162" s="288" t="s">
        <v>814</v>
      </c>
      <c r="D1162" s="288" t="s">
        <v>818</v>
      </c>
      <c r="E1162" s="289">
        <v>10</v>
      </c>
      <c r="F1162" s="290">
        <v>3</v>
      </c>
      <c r="G1162" s="289">
        <v>900</v>
      </c>
      <c r="H1162" s="289">
        <v>0</v>
      </c>
      <c r="I1162" s="289">
        <v>90</v>
      </c>
      <c r="J1162" s="289">
        <v>70</v>
      </c>
      <c r="K1162" s="289">
        <v>7</v>
      </c>
      <c r="L1162" s="289">
        <v>1067</v>
      </c>
    </row>
    <row r="1163" spans="1:12">
      <c r="A1163" s="288" t="s">
        <v>1991</v>
      </c>
      <c r="B1163" s="288" t="s">
        <v>1910</v>
      </c>
      <c r="C1163" s="288" t="s">
        <v>829</v>
      </c>
      <c r="D1163" s="288" t="s">
        <v>822</v>
      </c>
      <c r="E1163" s="289">
        <v>10</v>
      </c>
      <c r="F1163" s="290">
        <v>63</v>
      </c>
      <c r="G1163" s="289">
        <v>1100</v>
      </c>
      <c r="H1163" s="289">
        <v>5830</v>
      </c>
      <c r="I1163" s="289">
        <v>693</v>
      </c>
      <c r="J1163" s="289">
        <v>200</v>
      </c>
      <c r="K1163" s="289">
        <v>20</v>
      </c>
      <c r="L1163" s="289">
        <v>7843</v>
      </c>
    </row>
    <row r="1164" spans="1:12">
      <c r="A1164" s="288" t="s">
        <v>1992</v>
      </c>
      <c r="B1164" s="288" t="s">
        <v>1910</v>
      </c>
      <c r="C1164" s="288" t="s">
        <v>814</v>
      </c>
      <c r="D1164" s="288" t="s">
        <v>815</v>
      </c>
      <c r="E1164" s="289">
        <v>10</v>
      </c>
      <c r="F1164" s="290">
        <v>10</v>
      </c>
      <c r="G1164" s="289">
        <v>1100</v>
      </c>
      <c r="H1164" s="289">
        <v>0</v>
      </c>
      <c r="I1164" s="289">
        <v>110</v>
      </c>
      <c r="J1164" s="289">
        <v>50</v>
      </c>
      <c r="K1164" s="289">
        <v>5</v>
      </c>
      <c r="L1164" s="289">
        <v>1265</v>
      </c>
    </row>
    <row r="1165" spans="1:12">
      <c r="A1165" s="288" t="s">
        <v>1993</v>
      </c>
      <c r="B1165" s="288" t="s">
        <v>1910</v>
      </c>
      <c r="C1165" s="288" t="s">
        <v>814</v>
      </c>
      <c r="D1165" s="288" t="s">
        <v>818</v>
      </c>
      <c r="E1165" s="289">
        <v>10</v>
      </c>
      <c r="F1165" s="290">
        <v>9</v>
      </c>
      <c r="G1165" s="289">
        <v>1100</v>
      </c>
      <c r="H1165" s="289">
        <v>0</v>
      </c>
      <c r="I1165" s="289">
        <v>110</v>
      </c>
      <c r="J1165" s="289">
        <v>70</v>
      </c>
      <c r="K1165" s="289">
        <v>7</v>
      </c>
      <c r="L1165" s="289">
        <v>1287</v>
      </c>
    </row>
    <row r="1166" spans="1:12">
      <c r="A1166" s="288" t="s">
        <v>1994</v>
      </c>
      <c r="B1166" s="288" t="s">
        <v>1910</v>
      </c>
      <c r="C1166" s="288" t="s">
        <v>814</v>
      </c>
      <c r="D1166" s="288" t="s">
        <v>818</v>
      </c>
      <c r="E1166" s="289">
        <v>10</v>
      </c>
      <c r="F1166" s="290">
        <v>9</v>
      </c>
      <c r="G1166" s="289">
        <v>1100</v>
      </c>
      <c r="H1166" s="289">
        <v>0</v>
      </c>
      <c r="I1166" s="289">
        <v>110</v>
      </c>
      <c r="J1166" s="289">
        <v>70</v>
      </c>
      <c r="K1166" s="289">
        <v>7</v>
      </c>
      <c r="L1166" s="289">
        <v>1287</v>
      </c>
    </row>
    <row r="1167" spans="1:12">
      <c r="A1167" s="288" t="s">
        <v>1995</v>
      </c>
      <c r="B1167" s="288" t="s">
        <v>1910</v>
      </c>
      <c r="C1167" s="288" t="s">
        <v>814</v>
      </c>
      <c r="D1167" s="288" t="s">
        <v>818</v>
      </c>
      <c r="E1167" s="289">
        <v>10</v>
      </c>
      <c r="F1167" s="290">
        <v>19</v>
      </c>
      <c r="G1167" s="289">
        <v>1100</v>
      </c>
      <c r="H1167" s="289">
        <v>990</v>
      </c>
      <c r="I1167" s="289">
        <v>209</v>
      </c>
      <c r="J1167" s="289">
        <v>70</v>
      </c>
      <c r="K1167" s="289">
        <v>7</v>
      </c>
      <c r="L1167" s="289">
        <v>2376</v>
      </c>
    </row>
    <row r="1168" spans="1:12">
      <c r="A1168" s="288" t="s">
        <v>1996</v>
      </c>
      <c r="B1168" s="288" t="s">
        <v>1910</v>
      </c>
      <c r="C1168" s="288" t="s">
        <v>814</v>
      </c>
      <c r="D1168" s="288" t="s">
        <v>818</v>
      </c>
      <c r="E1168" s="289">
        <v>10</v>
      </c>
      <c r="F1168" s="290">
        <v>15</v>
      </c>
      <c r="G1168" s="289">
        <v>1100</v>
      </c>
      <c r="H1168" s="289">
        <v>550</v>
      </c>
      <c r="I1168" s="289">
        <v>165</v>
      </c>
      <c r="J1168" s="289">
        <v>70</v>
      </c>
      <c r="K1168" s="289">
        <v>7</v>
      </c>
      <c r="L1168" s="289">
        <v>1892</v>
      </c>
    </row>
    <row r="1169" spans="1:12">
      <c r="A1169" s="288" t="s">
        <v>1997</v>
      </c>
      <c r="B1169" s="288" t="s">
        <v>1910</v>
      </c>
      <c r="C1169" s="288" t="s">
        <v>814</v>
      </c>
      <c r="D1169" s="288" t="s">
        <v>818</v>
      </c>
      <c r="E1169" s="289">
        <v>10</v>
      </c>
      <c r="F1169" s="290">
        <v>35</v>
      </c>
      <c r="G1169" s="289">
        <v>1100</v>
      </c>
      <c r="H1169" s="289">
        <v>2750</v>
      </c>
      <c r="I1169" s="289">
        <v>385</v>
      </c>
      <c r="J1169" s="289">
        <v>70</v>
      </c>
      <c r="K1169" s="289">
        <v>7</v>
      </c>
      <c r="L1169" s="289">
        <v>4312</v>
      </c>
    </row>
    <row r="1170" spans="1:12">
      <c r="A1170" s="288" t="s">
        <v>1998</v>
      </c>
      <c r="B1170" s="288" t="s">
        <v>1910</v>
      </c>
      <c r="C1170" s="288" t="s">
        <v>814</v>
      </c>
      <c r="D1170" s="288" t="s">
        <v>815</v>
      </c>
      <c r="E1170" s="289">
        <v>10</v>
      </c>
      <c r="F1170" s="290">
        <v>13</v>
      </c>
      <c r="G1170" s="289">
        <v>1100</v>
      </c>
      <c r="H1170" s="289">
        <v>330</v>
      </c>
      <c r="I1170" s="289">
        <v>143</v>
      </c>
      <c r="J1170" s="289">
        <v>50</v>
      </c>
      <c r="K1170" s="289">
        <v>5</v>
      </c>
      <c r="L1170" s="289">
        <v>1628</v>
      </c>
    </row>
    <row r="1171" spans="1:12">
      <c r="A1171" s="288" t="s">
        <v>1999</v>
      </c>
      <c r="B1171" s="288" t="s">
        <v>1910</v>
      </c>
      <c r="C1171" s="288" t="s">
        <v>814</v>
      </c>
      <c r="D1171" s="288" t="s">
        <v>818</v>
      </c>
      <c r="E1171" s="289">
        <v>10</v>
      </c>
      <c r="F1171" s="290">
        <v>15</v>
      </c>
      <c r="G1171" s="289">
        <v>1100</v>
      </c>
      <c r="H1171" s="289">
        <v>550</v>
      </c>
      <c r="I1171" s="289">
        <v>165</v>
      </c>
      <c r="J1171" s="289">
        <v>70</v>
      </c>
      <c r="K1171" s="289">
        <v>7</v>
      </c>
      <c r="L1171" s="289">
        <v>1892</v>
      </c>
    </row>
    <row r="1172" spans="1:12">
      <c r="A1172" s="288" t="s">
        <v>2000</v>
      </c>
      <c r="B1172" s="288" t="s">
        <v>1910</v>
      </c>
      <c r="C1172" s="288" t="s">
        <v>814</v>
      </c>
      <c r="D1172" s="288" t="s">
        <v>815</v>
      </c>
      <c r="E1172" s="289">
        <v>10</v>
      </c>
      <c r="F1172" s="290">
        <v>6</v>
      </c>
      <c r="G1172" s="289">
        <v>1100</v>
      </c>
      <c r="H1172" s="289">
        <v>0</v>
      </c>
      <c r="I1172" s="289">
        <v>110</v>
      </c>
      <c r="J1172" s="289">
        <v>50</v>
      </c>
      <c r="K1172" s="289">
        <v>5</v>
      </c>
      <c r="L1172" s="289">
        <v>1265</v>
      </c>
    </row>
    <row r="1173" spans="1:12">
      <c r="A1173" s="288" t="s">
        <v>2001</v>
      </c>
      <c r="B1173" s="288" t="s">
        <v>1910</v>
      </c>
      <c r="C1173" s="288" t="s">
        <v>814</v>
      </c>
      <c r="D1173" s="288" t="s">
        <v>815</v>
      </c>
      <c r="E1173" s="289">
        <v>10</v>
      </c>
      <c r="F1173" s="290">
        <v>32</v>
      </c>
      <c r="G1173" s="289">
        <v>1100</v>
      </c>
      <c r="H1173" s="289">
        <v>2420</v>
      </c>
      <c r="I1173" s="289">
        <v>352</v>
      </c>
      <c r="J1173" s="289">
        <v>50</v>
      </c>
      <c r="K1173" s="289">
        <v>5</v>
      </c>
      <c r="L1173" s="289">
        <v>3927</v>
      </c>
    </row>
    <row r="1174" spans="1:12">
      <c r="A1174" s="288" t="s">
        <v>2002</v>
      </c>
      <c r="B1174" s="288" t="s">
        <v>1910</v>
      </c>
      <c r="C1174" s="288" t="s">
        <v>814</v>
      </c>
      <c r="D1174" s="288" t="s">
        <v>815</v>
      </c>
      <c r="E1174" s="289">
        <v>10</v>
      </c>
      <c r="F1174" s="290">
        <v>14</v>
      </c>
      <c r="G1174" s="289">
        <v>1100</v>
      </c>
      <c r="H1174" s="289">
        <v>440</v>
      </c>
      <c r="I1174" s="289">
        <v>154</v>
      </c>
      <c r="J1174" s="289">
        <v>50</v>
      </c>
      <c r="K1174" s="289">
        <v>5</v>
      </c>
      <c r="L1174" s="289">
        <v>1749</v>
      </c>
    </row>
    <row r="1175" spans="1:12">
      <c r="A1175" s="288" t="s">
        <v>2003</v>
      </c>
      <c r="B1175" s="288" t="s">
        <v>1910</v>
      </c>
      <c r="C1175" s="288" t="s">
        <v>814</v>
      </c>
      <c r="D1175" s="288" t="s">
        <v>815</v>
      </c>
      <c r="E1175" s="289">
        <v>10</v>
      </c>
      <c r="F1175" s="290">
        <v>22</v>
      </c>
      <c r="G1175" s="289">
        <v>1100</v>
      </c>
      <c r="H1175" s="289">
        <v>1320</v>
      </c>
      <c r="I1175" s="289">
        <v>242</v>
      </c>
      <c r="J1175" s="289">
        <v>50</v>
      </c>
      <c r="K1175" s="289">
        <v>5</v>
      </c>
      <c r="L1175" s="289">
        <v>2717</v>
      </c>
    </row>
    <row r="1176" spans="1:12">
      <c r="A1176" s="288" t="s">
        <v>2004</v>
      </c>
      <c r="B1176" s="288" t="s">
        <v>1910</v>
      </c>
      <c r="C1176" s="288" t="s">
        <v>829</v>
      </c>
      <c r="D1176" s="288" t="s">
        <v>822</v>
      </c>
      <c r="E1176" s="289">
        <v>10</v>
      </c>
      <c r="F1176" s="290">
        <v>135</v>
      </c>
      <c r="G1176" s="289">
        <v>1100</v>
      </c>
      <c r="H1176" s="289">
        <v>13400</v>
      </c>
      <c r="I1176" s="289">
        <v>1450</v>
      </c>
      <c r="J1176" s="289">
        <v>200</v>
      </c>
      <c r="K1176" s="289">
        <v>20</v>
      </c>
      <c r="L1176" s="289">
        <v>16170</v>
      </c>
    </row>
    <row r="1177" spans="1:12">
      <c r="A1177" s="288" t="s">
        <v>2005</v>
      </c>
      <c r="B1177" s="288" t="s">
        <v>1910</v>
      </c>
      <c r="C1177" s="288" t="s">
        <v>814</v>
      </c>
      <c r="D1177" s="288" t="s">
        <v>818</v>
      </c>
      <c r="E1177" s="289">
        <v>10</v>
      </c>
      <c r="F1177" s="290">
        <v>13</v>
      </c>
      <c r="G1177" s="289">
        <v>1100</v>
      </c>
      <c r="H1177" s="289">
        <v>330</v>
      </c>
      <c r="I1177" s="289">
        <v>143</v>
      </c>
      <c r="J1177" s="289">
        <v>70</v>
      </c>
      <c r="K1177" s="289">
        <v>7</v>
      </c>
      <c r="L1177" s="289">
        <v>1650</v>
      </c>
    </row>
    <row r="1178" spans="1:12">
      <c r="A1178" s="288" t="s">
        <v>2006</v>
      </c>
      <c r="B1178" s="288" t="s">
        <v>1910</v>
      </c>
      <c r="C1178" s="288" t="s">
        <v>814</v>
      </c>
      <c r="D1178" s="288" t="s">
        <v>818</v>
      </c>
      <c r="E1178" s="289">
        <v>10</v>
      </c>
      <c r="F1178" s="290">
        <v>29</v>
      </c>
      <c r="G1178" s="289">
        <v>1100</v>
      </c>
      <c r="H1178" s="289">
        <v>2090</v>
      </c>
      <c r="I1178" s="289">
        <v>319</v>
      </c>
      <c r="J1178" s="289">
        <v>70</v>
      </c>
      <c r="K1178" s="289">
        <v>7</v>
      </c>
      <c r="L1178" s="289">
        <v>3586</v>
      </c>
    </row>
    <row r="1179" spans="1:12">
      <c r="A1179" s="288" t="s">
        <v>2007</v>
      </c>
      <c r="B1179" s="288" t="s">
        <v>1910</v>
      </c>
      <c r="C1179" s="288" t="s">
        <v>814</v>
      </c>
      <c r="D1179" s="288" t="s">
        <v>818</v>
      </c>
      <c r="E1179" s="289">
        <v>10</v>
      </c>
      <c r="F1179" s="290">
        <v>19</v>
      </c>
      <c r="G1179" s="289">
        <v>1100</v>
      </c>
      <c r="H1179" s="289">
        <v>990</v>
      </c>
      <c r="I1179" s="289">
        <v>209</v>
      </c>
      <c r="J1179" s="289">
        <v>70</v>
      </c>
      <c r="K1179" s="289">
        <v>7</v>
      </c>
      <c r="L1179" s="289">
        <v>2376</v>
      </c>
    </row>
    <row r="1180" spans="1:12">
      <c r="A1180" s="288" t="s">
        <v>2008</v>
      </c>
      <c r="B1180" s="288" t="s">
        <v>1910</v>
      </c>
      <c r="C1180" s="288" t="s">
        <v>814</v>
      </c>
      <c r="D1180" s="288" t="s">
        <v>818</v>
      </c>
      <c r="E1180" s="289">
        <v>10</v>
      </c>
      <c r="F1180" s="290">
        <v>3</v>
      </c>
      <c r="G1180" s="289">
        <v>900</v>
      </c>
      <c r="H1180" s="289">
        <v>0</v>
      </c>
      <c r="I1180" s="289">
        <v>90</v>
      </c>
      <c r="J1180" s="289">
        <v>70</v>
      </c>
      <c r="K1180" s="289">
        <v>7</v>
      </c>
      <c r="L1180" s="289">
        <v>1067</v>
      </c>
    </row>
    <row r="1181" spans="1:12">
      <c r="A1181" s="288" t="s">
        <v>2009</v>
      </c>
      <c r="B1181" s="288" t="s">
        <v>1910</v>
      </c>
      <c r="C1181" s="288" t="s">
        <v>814</v>
      </c>
      <c r="D1181" s="288" t="s">
        <v>818</v>
      </c>
      <c r="E1181" s="289">
        <v>10</v>
      </c>
      <c r="F1181" s="290">
        <v>8</v>
      </c>
      <c r="G1181" s="289">
        <v>1100</v>
      </c>
      <c r="H1181" s="289">
        <v>0</v>
      </c>
      <c r="I1181" s="289">
        <v>110</v>
      </c>
      <c r="J1181" s="289">
        <v>70</v>
      </c>
      <c r="K1181" s="289">
        <v>7</v>
      </c>
      <c r="L1181" s="289">
        <v>1287</v>
      </c>
    </row>
    <row r="1182" spans="1:12">
      <c r="A1182" s="288" t="s">
        <v>2010</v>
      </c>
      <c r="B1182" s="288" t="s">
        <v>1910</v>
      </c>
      <c r="C1182" s="288" t="s">
        <v>814</v>
      </c>
      <c r="D1182" s="288" t="s">
        <v>818</v>
      </c>
      <c r="E1182" s="289">
        <v>10</v>
      </c>
      <c r="F1182" s="290">
        <v>11</v>
      </c>
      <c r="G1182" s="289">
        <v>1100</v>
      </c>
      <c r="H1182" s="289">
        <v>110</v>
      </c>
      <c r="I1182" s="289">
        <v>121</v>
      </c>
      <c r="J1182" s="289">
        <v>70</v>
      </c>
      <c r="K1182" s="289">
        <v>7</v>
      </c>
      <c r="L1182" s="289">
        <v>1408</v>
      </c>
    </row>
    <row r="1183" spans="1:12">
      <c r="A1183" s="288" t="s">
        <v>2011</v>
      </c>
      <c r="B1183" s="288" t="s">
        <v>1910</v>
      </c>
      <c r="C1183" s="288" t="s">
        <v>814</v>
      </c>
      <c r="D1183" s="288" t="s">
        <v>818</v>
      </c>
      <c r="E1183" s="289">
        <v>10</v>
      </c>
      <c r="F1183" s="290">
        <v>5</v>
      </c>
      <c r="G1183" s="289">
        <v>900</v>
      </c>
      <c r="H1183" s="289">
        <v>0</v>
      </c>
      <c r="I1183" s="289">
        <v>90</v>
      </c>
      <c r="J1183" s="289">
        <v>70</v>
      </c>
      <c r="K1183" s="289">
        <v>7</v>
      </c>
      <c r="L1183" s="289">
        <v>1067</v>
      </c>
    </row>
    <row r="1184" spans="1:12">
      <c r="A1184" s="288" t="s">
        <v>2012</v>
      </c>
      <c r="B1184" s="288" t="s">
        <v>1910</v>
      </c>
      <c r="C1184" s="288" t="s">
        <v>814</v>
      </c>
      <c r="D1184" s="288" t="s">
        <v>818</v>
      </c>
      <c r="E1184" s="289">
        <v>10</v>
      </c>
      <c r="F1184" s="290">
        <v>9</v>
      </c>
      <c r="G1184" s="289">
        <v>1100</v>
      </c>
      <c r="H1184" s="289">
        <v>0</v>
      </c>
      <c r="I1184" s="289">
        <v>110</v>
      </c>
      <c r="J1184" s="289">
        <v>70</v>
      </c>
      <c r="K1184" s="289">
        <v>7</v>
      </c>
      <c r="L1184" s="289">
        <v>1287</v>
      </c>
    </row>
    <row r="1185" spans="1:12">
      <c r="A1185" s="288" t="s">
        <v>2013</v>
      </c>
      <c r="B1185" s="288" t="s">
        <v>1910</v>
      </c>
      <c r="C1185" s="288" t="s">
        <v>814</v>
      </c>
      <c r="D1185" s="288" t="s">
        <v>818</v>
      </c>
      <c r="E1185" s="289">
        <v>10</v>
      </c>
      <c r="F1185" s="290">
        <v>12</v>
      </c>
      <c r="G1185" s="289">
        <v>1100</v>
      </c>
      <c r="H1185" s="289">
        <v>220</v>
      </c>
      <c r="I1185" s="289">
        <v>132</v>
      </c>
      <c r="J1185" s="289">
        <v>70</v>
      </c>
      <c r="K1185" s="289">
        <v>7</v>
      </c>
      <c r="L1185" s="289">
        <v>1529</v>
      </c>
    </row>
    <row r="1186" spans="1:12">
      <c r="A1186" s="288" t="s">
        <v>2014</v>
      </c>
      <c r="B1186" s="288" t="s">
        <v>1910</v>
      </c>
      <c r="C1186" s="288" t="s">
        <v>814</v>
      </c>
      <c r="D1186" s="288" t="s">
        <v>818</v>
      </c>
      <c r="E1186" s="289">
        <v>10</v>
      </c>
      <c r="F1186" s="290">
        <v>2</v>
      </c>
      <c r="G1186" s="289">
        <v>900</v>
      </c>
      <c r="H1186" s="289">
        <v>0</v>
      </c>
      <c r="I1186" s="289">
        <v>90</v>
      </c>
      <c r="J1186" s="289">
        <v>70</v>
      </c>
      <c r="K1186" s="289">
        <v>7</v>
      </c>
      <c r="L1186" s="289">
        <v>1067</v>
      </c>
    </row>
    <row r="1187" spans="1:12">
      <c r="A1187" s="288" t="s">
        <v>2015</v>
      </c>
      <c r="B1187" s="288" t="s">
        <v>1910</v>
      </c>
      <c r="C1187" s="288" t="s">
        <v>814</v>
      </c>
      <c r="D1187" s="288" t="s">
        <v>818</v>
      </c>
      <c r="E1187" s="289">
        <v>10</v>
      </c>
      <c r="F1187" s="290">
        <v>7</v>
      </c>
      <c r="G1187" s="289">
        <v>1100</v>
      </c>
      <c r="H1187" s="289">
        <v>0</v>
      </c>
      <c r="I1187" s="289">
        <v>110</v>
      </c>
      <c r="J1187" s="289">
        <v>70</v>
      </c>
      <c r="K1187" s="289">
        <v>7</v>
      </c>
      <c r="L1187" s="289">
        <v>1287</v>
      </c>
    </row>
    <row r="1188" spans="1:12">
      <c r="A1188" s="288" t="s">
        <v>2016</v>
      </c>
      <c r="B1188" s="288" t="s">
        <v>1910</v>
      </c>
      <c r="C1188" s="288" t="s">
        <v>814</v>
      </c>
      <c r="D1188" s="288" t="s">
        <v>818</v>
      </c>
      <c r="E1188" s="289">
        <v>10</v>
      </c>
      <c r="F1188" s="290">
        <v>6</v>
      </c>
      <c r="G1188" s="289">
        <v>1100</v>
      </c>
      <c r="H1188" s="289">
        <v>0</v>
      </c>
      <c r="I1188" s="289">
        <v>110</v>
      </c>
      <c r="J1188" s="289">
        <v>70</v>
      </c>
      <c r="K1188" s="289">
        <v>7</v>
      </c>
      <c r="L1188" s="289">
        <v>1287</v>
      </c>
    </row>
    <row r="1189" spans="1:12">
      <c r="A1189" s="288" t="s">
        <v>2017</v>
      </c>
      <c r="B1189" s="288" t="s">
        <v>1910</v>
      </c>
      <c r="C1189" s="288" t="s">
        <v>814</v>
      </c>
      <c r="D1189" s="288" t="s">
        <v>818</v>
      </c>
      <c r="E1189" s="289">
        <v>10</v>
      </c>
      <c r="F1189" s="290">
        <v>15</v>
      </c>
      <c r="G1189" s="289">
        <v>1100</v>
      </c>
      <c r="H1189" s="289">
        <v>550</v>
      </c>
      <c r="I1189" s="289">
        <v>165</v>
      </c>
      <c r="J1189" s="289">
        <v>70</v>
      </c>
      <c r="K1189" s="289">
        <v>7</v>
      </c>
      <c r="L1189" s="289">
        <v>1892</v>
      </c>
    </row>
    <row r="1190" spans="1:12">
      <c r="A1190" s="288" t="s">
        <v>2018</v>
      </c>
      <c r="B1190" s="288" t="s">
        <v>1910</v>
      </c>
      <c r="C1190" s="288" t="s">
        <v>814</v>
      </c>
      <c r="D1190" s="288" t="s">
        <v>818</v>
      </c>
      <c r="E1190" s="289">
        <v>10</v>
      </c>
      <c r="F1190" s="290">
        <v>9</v>
      </c>
      <c r="G1190" s="289">
        <v>1100</v>
      </c>
      <c r="H1190" s="289">
        <v>0</v>
      </c>
      <c r="I1190" s="289">
        <v>110</v>
      </c>
      <c r="J1190" s="289">
        <v>70</v>
      </c>
      <c r="K1190" s="289">
        <v>7</v>
      </c>
      <c r="L1190" s="289">
        <v>1287</v>
      </c>
    </row>
    <row r="1191" spans="1:12">
      <c r="A1191" s="288" t="s">
        <v>2019</v>
      </c>
      <c r="B1191" s="288" t="s">
        <v>1910</v>
      </c>
      <c r="C1191" s="288" t="s">
        <v>814</v>
      </c>
      <c r="D1191" s="288" t="s">
        <v>818</v>
      </c>
      <c r="E1191" s="289">
        <v>10</v>
      </c>
      <c r="F1191" s="290">
        <v>21</v>
      </c>
      <c r="G1191" s="289">
        <v>1100</v>
      </c>
      <c r="H1191" s="289">
        <v>1210</v>
      </c>
      <c r="I1191" s="289">
        <v>231</v>
      </c>
      <c r="J1191" s="289">
        <v>70</v>
      </c>
      <c r="K1191" s="289">
        <v>7</v>
      </c>
      <c r="L1191" s="289">
        <v>2618</v>
      </c>
    </row>
    <row r="1192" spans="1:12">
      <c r="A1192" s="288" t="s">
        <v>2020</v>
      </c>
      <c r="B1192" s="288" t="s">
        <v>1910</v>
      </c>
      <c r="C1192" s="288" t="s">
        <v>829</v>
      </c>
      <c r="D1192" s="288" t="s">
        <v>818</v>
      </c>
      <c r="E1192" s="289">
        <v>10</v>
      </c>
      <c r="F1192" s="290">
        <v>5</v>
      </c>
      <c r="G1192" s="289">
        <v>900</v>
      </c>
      <c r="H1192" s="289">
        <v>0</v>
      </c>
      <c r="I1192" s="289">
        <v>90</v>
      </c>
      <c r="J1192" s="289">
        <v>70</v>
      </c>
      <c r="K1192" s="289">
        <v>7</v>
      </c>
      <c r="L1192" s="289">
        <v>1067</v>
      </c>
    </row>
    <row r="1193" spans="1:12">
      <c r="A1193" s="288" t="s">
        <v>2021</v>
      </c>
      <c r="B1193" s="288" t="s">
        <v>1910</v>
      </c>
      <c r="C1193" s="288" t="s">
        <v>814</v>
      </c>
      <c r="D1193" s="288" t="s">
        <v>818</v>
      </c>
      <c r="E1193" s="289">
        <v>10</v>
      </c>
      <c r="F1193" s="290">
        <v>20</v>
      </c>
      <c r="G1193" s="289">
        <v>1100</v>
      </c>
      <c r="H1193" s="289">
        <v>1100</v>
      </c>
      <c r="I1193" s="289">
        <v>220</v>
      </c>
      <c r="J1193" s="289">
        <v>70</v>
      </c>
      <c r="K1193" s="289">
        <v>7</v>
      </c>
      <c r="L1193" s="289">
        <v>2497</v>
      </c>
    </row>
    <row r="1194" spans="1:12">
      <c r="A1194" s="288" t="s">
        <v>2022</v>
      </c>
      <c r="B1194" s="288" t="s">
        <v>1910</v>
      </c>
      <c r="C1194" s="288" t="s">
        <v>814</v>
      </c>
      <c r="D1194" s="288" t="s">
        <v>818</v>
      </c>
      <c r="E1194" s="289">
        <v>10</v>
      </c>
      <c r="F1194" s="290">
        <v>4</v>
      </c>
      <c r="G1194" s="289">
        <v>900</v>
      </c>
      <c r="H1194" s="289">
        <v>0</v>
      </c>
      <c r="I1194" s="289">
        <v>90</v>
      </c>
      <c r="J1194" s="289">
        <v>70</v>
      </c>
      <c r="K1194" s="289">
        <v>7</v>
      </c>
      <c r="L1194" s="289">
        <v>1067</v>
      </c>
    </row>
    <row r="1195" spans="1:12">
      <c r="A1195" s="288" t="s">
        <v>2023</v>
      </c>
      <c r="B1195" s="288" t="s">
        <v>1910</v>
      </c>
      <c r="C1195" s="288" t="s">
        <v>814</v>
      </c>
      <c r="D1195" s="288" t="s">
        <v>818</v>
      </c>
      <c r="E1195" s="289">
        <v>10</v>
      </c>
      <c r="F1195" s="290">
        <v>0</v>
      </c>
      <c r="G1195" s="289">
        <v>900</v>
      </c>
      <c r="H1195" s="289">
        <v>0</v>
      </c>
      <c r="I1195" s="289">
        <v>90</v>
      </c>
      <c r="J1195" s="289">
        <v>70</v>
      </c>
      <c r="K1195" s="289">
        <v>7</v>
      </c>
      <c r="L1195" s="289">
        <v>1067</v>
      </c>
    </row>
    <row r="1196" spans="1:12">
      <c r="A1196" s="288" t="s">
        <v>2024</v>
      </c>
      <c r="B1196" s="288" t="s">
        <v>1910</v>
      </c>
      <c r="C1196" s="288" t="s">
        <v>814</v>
      </c>
      <c r="D1196" s="288" t="s">
        <v>818</v>
      </c>
      <c r="E1196" s="289">
        <v>10</v>
      </c>
      <c r="F1196" s="290">
        <v>6</v>
      </c>
      <c r="G1196" s="289">
        <v>1100</v>
      </c>
      <c r="H1196" s="289">
        <v>0</v>
      </c>
      <c r="I1196" s="289">
        <v>110</v>
      </c>
      <c r="J1196" s="289">
        <v>70</v>
      </c>
      <c r="K1196" s="289">
        <v>7</v>
      </c>
      <c r="L1196" s="289">
        <v>1287</v>
      </c>
    </row>
    <row r="1197" spans="1:12">
      <c r="A1197" s="288" t="s">
        <v>2025</v>
      </c>
      <c r="B1197" s="288" t="s">
        <v>1910</v>
      </c>
      <c r="C1197" s="288" t="s">
        <v>814</v>
      </c>
      <c r="D1197" s="288" t="s">
        <v>818</v>
      </c>
      <c r="E1197" s="289">
        <v>10</v>
      </c>
      <c r="F1197" s="290">
        <v>7</v>
      </c>
      <c r="G1197" s="289">
        <v>1100</v>
      </c>
      <c r="H1197" s="289">
        <v>0</v>
      </c>
      <c r="I1197" s="289">
        <v>110</v>
      </c>
      <c r="J1197" s="289">
        <v>70</v>
      </c>
      <c r="K1197" s="289">
        <v>7</v>
      </c>
      <c r="L1197" s="289">
        <v>1287</v>
      </c>
    </row>
    <row r="1198" spans="1:12">
      <c r="A1198" s="288" t="s">
        <v>2026</v>
      </c>
      <c r="B1198" s="288" t="s">
        <v>1910</v>
      </c>
      <c r="C1198" s="288" t="s">
        <v>814</v>
      </c>
      <c r="D1198" s="288" t="s">
        <v>818</v>
      </c>
      <c r="E1198" s="289">
        <v>10</v>
      </c>
      <c r="F1198" s="290">
        <v>0</v>
      </c>
      <c r="G1198" s="289">
        <v>900</v>
      </c>
      <c r="H1198" s="289">
        <v>0</v>
      </c>
      <c r="I1198" s="289">
        <v>90</v>
      </c>
      <c r="J1198" s="289">
        <v>70</v>
      </c>
      <c r="K1198" s="289">
        <v>7</v>
      </c>
      <c r="L1198" s="289">
        <v>1067</v>
      </c>
    </row>
    <row r="1199" spans="1:12">
      <c r="A1199" s="288" t="s">
        <v>2027</v>
      </c>
      <c r="B1199" s="288" t="s">
        <v>1910</v>
      </c>
      <c r="C1199" s="288" t="s">
        <v>814</v>
      </c>
      <c r="D1199" s="288" t="s">
        <v>818</v>
      </c>
      <c r="E1199" s="289">
        <v>10</v>
      </c>
      <c r="F1199" s="290">
        <v>22</v>
      </c>
      <c r="G1199" s="289">
        <v>1100</v>
      </c>
      <c r="H1199" s="289">
        <v>1320</v>
      </c>
      <c r="I1199" s="289">
        <v>242</v>
      </c>
      <c r="J1199" s="289">
        <v>70</v>
      </c>
      <c r="K1199" s="289">
        <v>7</v>
      </c>
      <c r="L1199" s="289">
        <v>2739</v>
      </c>
    </row>
    <row r="1200" spans="1:12">
      <c r="A1200" s="288" t="s">
        <v>2028</v>
      </c>
      <c r="B1200" s="288" t="s">
        <v>1910</v>
      </c>
      <c r="C1200" s="288" t="s">
        <v>814</v>
      </c>
      <c r="D1200" s="288" t="s">
        <v>818</v>
      </c>
      <c r="E1200" s="289">
        <v>10</v>
      </c>
      <c r="F1200" s="290">
        <v>10</v>
      </c>
      <c r="G1200" s="289">
        <v>1100</v>
      </c>
      <c r="H1200" s="289">
        <v>0</v>
      </c>
      <c r="I1200" s="289">
        <v>110</v>
      </c>
      <c r="J1200" s="289">
        <v>70</v>
      </c>
      <c r="K1200" s="289">
        <v>7</v>
      </c>
      <c r="L1200" s="289">
        <v>1287</v>
      </c>
    </row>
    <row r="1201" spans="1:12">
      <c r="A1201" s="288" t="s">
        <v>2029</v>
      </c>
      <c r="B1201" s="288" t="s">
        <v>1910</v>
      </c>
      <c r="C1201" s="288" t="s">
        <v>814</v>
      </c>
      <c r="D1201" s="288" t="s">
        <v>818</v>
      </c>
      <c r="E1201" s="289">
        <v>10</v>
      </c>
      <c r="F1201" s="290">
        <v>5</v>
      </c>
      <c r="G1201" s="289">
        <v>900</v>
      </c>
      <c r="H1201" s="289">
        <v>0</v>
      </c>
      <c r="I1201" s="289">
        <v>90</v>
      </c>
      <c r="J1201" s="289">
        <v>70</v>
      </c>
      <c r="K1201" s="289">
        <v>7</v>
      </c>
      <c r="L1201" s="289">
        <v>1067</v>
      </c>
    </row>
    <row r="1202" spans="1:12">
      <c r="A1202" s="288" t="s">
        <v>2030</v>
      </c>
      <c r="B1202" s="288" t="s">
        <v>1910</v>
      </c>
      <c r="C1202" s="288" t="s">
        <v>814</v>
      </c>
      <c r="D1202" s="288" t="s">
        <v>818</v>
      </c>
      <c r="E1202" s="289">
        <v>10</v>
      </c>
      <c r="F1202" s="290">
        <v>8</v>
      </c>
      <c r="G1202" s="289">
        <v>1100</v>
      </c>
      <c r="H1202" s="289">
        <v>0</v>
      </c>
      <c r="I1202" s="289">
        <v>110</v>
      </c>
      <c r="J1202" s="289">
        <v>70</v>
      </c>
      <c r="K1202" s="289">
        <v>7</v>
      </c>
      <c r="L1202" s="289">
        <v>1287</v>
      </c>
    </row>
    <row r="1203" spans="1:12">
      <c r="A1203" s="288" t="s">
        <v>2031</v>
      </c>
      <c r="B1203" s="288" t="s">
        <v>1910</v>
      </c>
      <c r="C1203" s="288" t="s">
        <v>814</v>
      </c>
      <c r="D1203" s="288" t="s">
        <v>818</v>
      </c>
      <c r="E1203" s="289">
        <v>10</v>
      </c>
      <c r="F1203" s="290">
        <v>6</v>
      </c>
      <c r="G1203" s="289">
        <v>1100</v>
      </c>
      <c r="H1203" s="289">
        <v>0</v>
      </c>
      <c r="I1203" s="289">
        <v>110</v>
      </c>
      <c r="J1203" s="289">
        <v>70</v>
      </c>
      <c r="K1203" s="289">
        <v>7</v>
      </c>
      <c r="L1203" s="289">
        <v>1287</v>
      </c>
    </row>
    <row r="1204" spans="1:12">
      <c r="A1204" s="288" t="s">
        <v>2032</v>
      </c>
      <c r="B1204" s="288" t="s">
        <v>1910</v>
      </c>
      <c r="C1204" s="288" t="s">
        <v>814</v>
      </c>
      <c r="D1204" s="288" t="s">
        <v>818</v>
      </c>
      <c r="E1204" s="289">
        <v>10</v>
      </c>
      <c r="F1204" s="290">
        <v>20</v>
      </c>
      <c r="G1204" s="289">
        <v>1100</v>
      </c>
      <c r="H1204" s="289">
        <v>1100</v>
      </c>
      <c r="I1204" s="289">
        <v>220</v>
      </c>
      <c r="J1204" s="289">
        <v>70</v>
      </c>
      <c r="K1204" s="289">
        <v>7</v>
      </c>
      <c r="L1204" s="289">
        <v>2497</v>
      </c>
    </row>
    <row r="1205" spans="1:12">
      <c r="A1205" s="288" t="s">
        <v>2033</v>
      </c>
      <c r="B1205" s="288" t="s">
        <v>1910</v>
      </c>
      <c r="C1205" s="288" t="s">
        <v>814</v>
      </c>
      <c r="D1205" s="288" t="s">
        <v>818</v>
      </c>
      <c r="E1205" s="289">
        <v>10</v>
      </c>
      <c r="F1205" s="290">
        <v>22</v>
      </c>
      <c r="G1205" s="289">
        <v>1100</v>
      </c>
      <c r="H1205" s="289">
        <v>1320</v>
      </c>
      <c r="I1205" s="289">
        <v>242</v>
      </c>
      <c r="J1205" s="289">
        <v>70</v>
      </c>
      <c r="K1205" s="289">
        <v>7</v>
      </c>
      <c r="L1205" s="289">
        <v>2739</v>
      </c>
    </row>
    <row r="1206" spans="1:12">
      <c r="A1206" s="288" t="s">
        <v>2034</v>
      </c>
      <c r="B1206" s="288" t="s">
        <v>1910</v>
      </c>
      <c r="C1206" s="288" t="s">
        <v>814</v>
      </c>
      <c r="D1206" s="288" t="s">
        <v>818</v>
      </c>
      <c r="E1206" s="289">
        <v>10</v>
      </c>
      <c r="F1206" s="290">
        <v>16</v>
      </c>
      <c r="G1206" s="289">
        <v>1100</v>
      </c>
      <c r="H1206" s="289">
        <v>660</v>
      </c>
      <c r="I1206" s="289">
        <v>176</v>
      </c>
      <c r="J1206" s="289">
        <v>70</v>
      </c>
      <c r="K1206" s="289">
        <v>7</v>
      </c>
      <c r="L1206" s="289">
        <v>2013</v>
      </c>
    </row>
    <row r="1207" spans="1:12">
      <c r="A1207" s="288" t="s">
        <v>2035</v>
      </c>
      <c r="B1207" s="288" t="s">
        <v>1910</v>
      </c>
      <c r="C1207" s="288" t="s">
        <v>814</v>
      </c>
      <c r="D1207" s="288" t="s">
        <v>818</v>
      </c>
      <c r="E1207" s="289">
        <v>10</v>
      </c>
      <c r="F1207" s="290">
        <v>7</v>
      </c>
      <c r="G1207" s="289">
        <v>1100</v>
      </c>
      <c r="H1207" s="289">
        <v>0</v>
      </c>
      <c r="I1207" s="289">
        <v>110</v>
      </c>
      <c r="J1207" s="289">
        <v>70</v>
      </c>
      <c r="K1207" s="289">
        <v>7</v>
      </c>
      <c r="L1207" s="289">
        <v>1287</v>
      </c>
    </row>
    <row r="1208" spans="1:12">
      <c r="A1208" s="288" t="s">
        <v>2036</v>
      </c>
      <c r="B1208" s="288" t="s">
        <v>1910</v>
      </c>
      <c r="C1208" s="288" t="s">
        <v>814</v>
      </c>
      <c r="D1208" s="288" t="s">
        <v>818</v>
      </c>
      <c r="E1208" s="289">
        <v>10</v>
      </c>
      <c r="F1208" s="290">
        <v>14</v>
      </c>
      <c r="G1208" s="289">
        <v>1100</v>
      </c>
      <c r="H1208" s="289">
        <v>440</v>
      </c>
      <c r="I1208" s="289">
        <v>154</v>
      </c>
      <c r="J1208" s="289">
        <v>70</v>
      </c>
      <c r="K1208" s="289">
        <v>7</v>
      </c>
      <c r="L1208" s="289">
        <v>1771</v>
      </c>
    </row>
    <row r="1209" spans="1:12">
      <c r="A1209" s="288" t="s">
        <v>2037</v>
      </c>
      <c r="B1209" s="288" t="s">
        <v>1910</v>
      </c>
      <c r="C1209" s="288" t="s">
        <v>814</v>
      </c>
      <c r="D1209" s="288" t="s">
        <v>818</v>
      </c>
      <c r="E1209" s="289">
        <v>10</v>
      </c>
      <c r="F1209" s="290">
        <v>0</v>
      </c>
      <c r="G1209" s="289">
        <v>900</v>
      </c>
      <c r="H1209" s="289">
        <v>0</v>
      </c>
      <c r="I1209" s="289">
        <v>90</v>
      </c>
      <c r="J1209" s="289">
        <v>70</v>
      </c>
      <c r="K1209" s="289">
        <v>7</v>
      </c>
      <c r="L1209" s="289">
        <v>1067</v>
      </c>
    </row>
    <row r="1210" spans="1:12">
      <c r="A1210" s="288" t="s">
        <v>2038</v>
      </c>
      <c r="B1210" s="288" t="s">
        <v>1910</v>
      </c>
      <c r="C1210" s="288" t="s">
        <v>814</v>
      </c>
      <c r="D1210" s="288" t="s">
        <v>818</v>
      </c>
      <c r="E1210" s="289">
        <v>10</v>
      </c>
      <c r="F1210" s="290">
        <v>15</v>
      </c>
      <c r="G1210" s="289">
        <v>1100</v>
      </c>
      <c r="H1210" s="289">
        <v>550</v>
      </c>
      <c r="I1210" s="289">
        <v>165</v>
      </c>
      <c r="J1210" s="289">
        <v>70</v>
      </c>
      <c r="K1210" s="289">
        <v>7</v>
      </c>
      <c r="L1210" s="289">
        <v>1892</v>
      </c>
    </row>
    <row r="1211" spans="1:12">
      <c r="A1211" s="288" t="s">
        <v>2039</v>
      </c>
      <c r="B1211" s="288" t="s">
        <v>1910</v>
      </c>
      <c r="C1211" s="288" t="s">
        <v>814</v>
      </c>
      <c r="D1211" s="288" t="s">
        <v>818</v>
      </c>
      <c r="E1211" s="289">
        <v>10</v>
      </c>
      <c r="F1211" s="290">
        <v>6</v>
      </c>
      <c r="G1211" s="289">
        <v>1100</v>
      </c>
      <c r="H1211" s="289">
        <v>0</v>
      </c>
      <c r="I1211" s="289">
        <v>110</v>
      </c>
      <c r="J1211" s="289">
        <v>70</v>
      </c>
      <c r="K1211" s="289">
        <v>7</v>
      </c>
      <c r="L1211" s="289">
        <v>1287</v>
      </c>
    </row>
    <row r="1212" spans="1:12">
      <c r="A1212" s="288" t="s">
        <v>2040</v>
      </c>
      <c r="B1212" s="288" t="s">
        <v>1910</v>
      </c>
      <c r="C1212" s="288" t="s">
        <v>814</v>
      </c>
      <c r="D1212" s="288" t="s">
        <v>818</v>
      </c>
      <c r="E1212" s="289">
        <v>10</v>
      </c>
      <c r="F1212" s="290">
        <v>21</v>
      </c>
      <c r="G1212" s="289">
        <v>1100</v>
      </c>
      <c r="H1212" s="289">
        <v>1210</v>
      </c>
      <c r="I1212" s="289">
        <v>231</v>
      </c>
      <c r="J1212" s="289">
        <v>70</v>
      </c>
      <c r="K1212" s="289">
        <v>7</v>
      </c>
      <c r="L1212" s="289">
        <v>2618</v>
      </c>
    </row>
    <row r="1213" spans="1:12">
      <c r="A1213" s="288" t="s">
        <v>2041</v>
      </c>
      <c r="B1213" s="288" t="s">
        <v>1910</v>
      </c>
      <c r="C1213" s="288" t="s">
        <v>814</v>
      </c>
      <c r="D1213" s="288" t="s">
        <v>818</v>
      </c>
      <c r="E1213" s="289">
        <v>10</v>
      </c>
      <c r="F1213" s="290">
        <v>24</v>
      </c>
      <c r="G1213" s="289">
        <v>1100</v>
      </c>
      <c r="H1213" s="289">
        <v>1540</v>
      </c>
      <c r="I1213" s="289">
        <v>264</v>
      </c>
      <c r="J1213" s="289">
        <v>70</v>
      </c>
      <c r="K1213" s="289">
        <v>7</v>
      </c>
      <c r="L1213" s="289">
        <v>2981</v>
      </c>
    </row>
    <row r="1214" spans="1:12">
      <c r="A1214" s="288" t="s">
        <v>2042</v>
      </c>
      <c r="B1214" s="288" t="s">
        <v>1910</v>
      </c>
      <c r="C1214" s="288" t="s">
        <v>814</v>
      </c>
      <c r="D1214" s="288" t="s">
        <v>818</v>
      </c>
      <c r="E1214" s="289">
        <v>10</v>
      </c>
      <c r="F1214" s="290">
        <v>6</v>
      </c>
      <c r="G1214" s="289">
        <v>1100</v>
      </c>
      <c r="H1214" s="289">
        <v>0</v>
      </c>
      <c r="I1214" s="289">
        <v>110</v>
      </c>
      <c r="J1214" s="289">
        <v>70</v>
      </c>
      <c r="K1214" s="289">
        <v>7</v>
      </c>
      <c r="L1214" s="289">
        <v>1287</v>
      </c>
    </row>
    <row r="1215" spans="1:12">
      <c r="A1215" s="288" t="s">
        <v>2043</v>
      </c>
      <c r="B1215" s="288" t="s">
        <v>1910</v>
      </c>
      <c r="C1215" s="288" t="s">
        <v>814</v>
      </c>
      <c r="D1215" s="288" t="s">
        <v>818</v>
      </c>
      <c r="E1215" s="289">
        <v>10</v>
      </c>
      <c r="F1215" s="290">
        <v>14</v>
      </c>
      <c r="G1215" s="289">
        <v>1100</v>
      </c>
      <c r="H1215" s="289">
        <v>440</v>
      </c>
      <c r="I1215" s="289">
        <v>154</v>
      </c>
      <c r="J1215" s="289">
        <v>70</v>
      </c>
      <c r="K1215" s="289">
        <v>7</v>
      </c>
      <c r="L1215" s="289">
        <v>1771</v>
      </c>
    </row>
    <row r="1216" spans="1:12">
      <c r="A1216" s="288" t="s">
        <v>2044</v>
      </c>
      <c r="B1216" s="288" t="s">
        <v>1910</v>
      </c>
      <c r="C1216" s="288" t="s">
        <v>814</v>
      </c>
      <c r="D1216" s="288" t="s">
        <v>818</v>
      </c>
      <c r="E1216" s="289">
        <v>10</v>
      </c>
      <c r="F1216" s="290">
        <v>9</v>
      </c>
      <c r="G1216" s="289">
        <v>1100</v>
      </c>
      <c r="H1216" s="289">
        <v>0</v>
      </c>
      <c r="I1216" s="289">
        <v>110</v>
      </c>
      <c r="J1216" s="289">
        <v>70</v>
      </c>
      <c r="K1216" s="289">
        <v>7</v>
      </c>
      <c r="L1216" s="289">
        <v>1287</v>
      </c>
    </row>
    <row r="1217" spans="1:12">
      <c r="A1217" s="288" t="s">
        <v>2045</v>
      </c>
      <c r="B1217" s="288" t="s">
        <v>1910</v>
      </c>
      <c r="C1217" s="288" t="s">
        <v>814</v>
      </c>
      <c r="D1217" s="288" t="s">
        <v>818</v>
      </c>
      <c r="E1217" s="289">
        <v>10</v>
      </c>
      <c r="F1217" s="290">
        <v>22</v>
      </c>
      <c r="G1217" s="289">
        <v>1100</v>
      </c>
      <c r="H1217" s="289">
        <v>1320</v>
      </c>
      <c r="I1217" s="289">
        <v>242</v>
      </c>
      <c r="J1217" s="289">
        <v>70</v>
      </c>
      <c r="K1217" s="289">
        <v>7</v>
      </c>
      <c r="L1217" s="289">
        <v>2739</v>
      </c>
    </row>
    <row r="1218" spans="1:12">
      <c r="A1218" s="288" t="s">
        <v>2046</v>
      </c>
      <c r="B1218" s="288" t="s">
        <v>1910</v>
      </c>
      <c r="C1218" s="288" t="s">
        <v>814</v>
      </c>
      <c r="D1218" s="288" t="s">
        <v>818</v>
      </c>
      <c r="E1218" s="289">
        <v>10</v>
      </c>
      <c r="F1218" s="290">
        <v>13</v>
      </c>
      <c r="G1218" s="289">
        <v>1100</v>
      </c>
      <c r="H1218" s="289">
        <v>330</v>
      </c>
      <c r="I1218" s="289">
        <v>143</v>
      </c>
      <c r="J1218" s="289">
        <v>70</v>
      </c>
      <c r="K1218" s="289">
        <v>7</v>
      </c>
      <c r="L1218" s="289">
        <v>1650</v>
      </c>
    </row>
    <row r="1219" spans="1:12">
      <c r="A1219" s="288" t="s">
        <v>2047</v>
      </c>
      <c r="B1219" s="288" t="s">
        <v>1910</v>
      </c>
      <c r="C1219" s="288" t="s">
        <v>814</v>
      </c>
      <c r="D1219" s="288" t="s">
        <v>818</v>
      </c>
      <c r="E1219" s="289">
        <v>10</v>
      </c>
      <c r="F1219" s="290">
        <v>6</v>
      </c>
      <c r="G1219" s="289">
        <v>1100</v>
      </c>
      <c r="H1219" s="289">
        <v>0</v>
      </c>
      <c r="I1219" s="289">
        <v>110</v>
      </c>
      <c r="J1219" s="289">
        <v>70</v>
      </c>
      <c r="K1219" s="289">
        <v>7</v>
      </c>
      <c r="L1219" s="289">
        <v>1287</v>
      </c>
    </row>
    <row r="1220" spans="1:12">
      <c r="A1220" s="288" t="s">
        <v>2048</v>
      </c>
      <c r="B1220" s="288" t="s">
        <v>1910</v>
      </c>
      <c r="C1220" s="288" t="s">
        <v>814</v>
      </c>
      <c r="D1220" s="288" t="s">
        <v>818</v>
      </c>
      <c r="E1220" s="289">
        <v>10</v>
      </c>
      <c r="F1220" s="290">
        <v>11</v>
      </c>
      <c r="G1220" s="289">
        <v>1100</v>
      </c>
      <c r="H1220" s="289">
        <v>110</v>
      </c>
      <c r="I1220" s="289">
        <v>121</v>
      </c>
      <c r="J1220" s="289">
        <v>70</v>
      </c>
      <c r="K1220" s="289">
        <v>7</v>
      </c>
      <c r="L1220" s="289">
        <v>1408</v>
      </c>
    </row>
    <row r="1221" spans="1:12">
      <c r="A1221" s="288" t="s">
        <v>2049</v>
      </c>
      <c r="B1221" s="288" t="s">
        <v>1910</v>
      </c>
      <c r="C1221" s="288" t="s">
        <v>814</v>
      </c>
      <c r="D1221" s="288" t="s">
        <v>818</v>
      </c>
      <c r="E1221" s="289">
        <v>10</v>
      </c>
      <c r="F1221" s="290">
        <v>10</v>
      </c>
      <c r="G1221" s="289">
        <v>1100</v>
      </c>
      <c r="H1221" s="289">
        <v>0</v>
      </c>
      <c r="I1221" s="289">
        <v>110</v>
      </c>
      <c r="J1221" s="289">
        <v>70</v>
      </c>
      <c r="K1221" s="289">
        <v>7</v>
      </c>
      <c r="L1221" s="289">
        <v>1287</v>
      </c>
    </row>
    <row r="1222" spans="1:12">
      <c r="A1222" s="288" t="s">
        <v>2050</v>
      </c>
      <c r="B1222" s="288" t="s">
        <v>1910</v>
      </c>
      <c r="C1222" s="288" t="s">
        <v>814</v>
      </c>
      <c r="D1222" s="288" t="s">
        <v>818</v>
      </c>
      <c r="E1222" s="289">
        <v>10</v>
      </c>
      <c r="F1222" s="290">
        <v>19</v>
      </c>
      <c r="G1222" s="289">
        <v>1100</v>
      </c>
      <c r="H1222" s="289">
        <v>990</v>
      </c>
      <c r="I1222" s="289">
        <v>209</v>
      </c>
      <c r="J1222" s="289">
        <v>70</v>
      </c>
      <c r="K1222" s="289">
        <v>7</v>
      </c>
      <c r="L1222" s="289">
        <v>2376</v>
      </c>
    </row>
    <row r="1223" spans="1:12">
      <c r="A1223" s="288" t="s">
        <v>2051</v>
      </c>
      <c r="B1223" s="288" t="s">
        <v>1910</v>
      </c>
      <c r="C1223" s="288" t="s">
        <v>814</v>
      </c>
      <c r="D1223" s="288" t="s">
        <v>818</v>
      </c>
      <c r="E1223" s="289">
        <v>10</v>
      </c>
      <c r="F1223" s="290">
        <v>6</v>
      </c>
      <c r="G1223" s="289">
        <v>1100</v>
      </c>
      <c r="H1223" s="289">
        <v>0</v>
      </c>
      <c r="I1223" s="289">
        <v>110</v>
      </c>
      <c r="J1223" s="289">
        <v>70</v>
      </c>
      <c r="K1223" s="289">
        <v>7</v>
      </c>
      <c r="L1223" s="289">
        <v>1287</v>
      </c>
    </row>
    <row r="1224" spans="1:12">
      <c r="A1224" s="288" t="s">
        <v>2052</v>
      </c>
      <c r="B1224" s="288" t="s">
        <v>1910</v>
      </c>
      <c r="C1224" s="288" t="s">
        <v>814</v>
      </c>
      <c r="D1224" s="288" t="s">
        <v>818</v>
      </c>
      <c r="E1224" s="289">
        <v>10</v>
      </c>
      <c r="F1224" s="290">
        <v>4</v>
      </c>
      <c r="G1224" s="289">
        <v>900</v>
      </c>
      <c r="H1224" s="289">
        <v>0</v>
      </c>
      <c r="I1224" s="289">
        <v>90</v>
      </c>
      <c r="J1224" s="289">
        <v>70</v>
      </c>
      <c r="K1224" s="289">
        <v>7</v>
      </c>
      <c r="L1224" s="289">
        <v>1067</v>
      </c>
    </row>
    <row r="1225" spans="1:12">
      <c r="A1225" s="288" t="s">
        <v>2053</v>
      </c>
      <c r="B1225" s="288" t="s">
        <v>1910</v>
      </c>
      <c r="C1225" s="288" t="s">
        <v>814</v>
      </c>
      <c r="D1225" s="288" t="s">
        <v>818</v>
      </c>
      <c r="E1225" s="289">
        <v>10</v>
      </c>
      <c r="F1225" s="290">
        <v>4</v>
      </c>
      <c r="G1225" s="289">
        <v>900</v>
      </c>
      <c r="H1225" s="289">
        <v>0</v>
      </c>
      <c r="I1225" s="289">
        <v>90</v>
      </c>
      <c r="J1225" s="289">
        <v>70</v>
      </c>
      <c r="K1225" s="289">
        <v>7</v>
      </c>
      <c r="L1225" s="289">
        <v>1067</v>
      </c>
    </row>
    <row r="1226" spans="1:12">
      <c r="A1226" s="288" t="s">
        <v>2054</v>
      </c>
      <c r="B1226" s="288" t="s">
        <v>1910</v>
      </c>
      <c r="C1226" s="288" t="s">
        <v>814</v>
      </c>
      <c r="D1226" s="288" t="s">
        <v>818</v>
      </c>
      <c r="E1226" s="289">
        <v>10</v>
      </c>
      <c r="F1226" s="290">
        <v>5</v>
      </c>
      <c r="G1226" s="289">
        <v>900</v>
      </c>
      <c r="H1226" s="289">
        <v>0</v>
      </c>
      <c r="I1226" s="289">
        <v>90</v>
      </c>
      <c r="J1226" s="289">
        <v>70</v>
      </c>
      <c r="K1226" s="289">
        <v>7</v>
      </c>
      <c r="L1226" s="289">
        <v>1067</v>
      </c>
    </row>
    <row r="1227" spans="1:12">
      <c r="A1227" s="288" t="s">
        <v>2055</v>
      </c>
      <c r="B1227" s="288" t="s">
        <v>1910</v>
      </c>
      <c r="C1227" s="288" t="s">
        <v>814</v>
      </c>
      <c r="D1227" s="288" t="s">
        <v>818</v>
      </c>
      <c r="E1227" s="289">
        <v>10</v>
      </c>
      <c r="F1227" s="290">
        <v>4</v>
      </c>
      <c r="G1227" s="289">
        <v>900</v>
      </c>
      <c r="H1227" s="289">
        <v>0</v>
      </c>
      <c r="I1227" s="289">
        <v>90</v>
      </c>
      <c r="J1227" s="289">
        <v>70</v>
      </c>
      <c r="K1227" s="289">
        <v>7</v>
      </c>
      <c r="L1227" s="289">
        <v>1067</v>
      </c>
    </row>
    <row r="1228" spans="1:12">
      <c r="A1228" s="288" t="s">
        <v>2056</v>
      </c>
      <c r="B1228" s="288" t="s">
        <v>1910</v>
      </c>
      <c r="C1228" s="288" t="s">
        <v>814</v>
      </c>
      <c r="D1228" s="288" t="s">
        <v>818</v>
      </c>
      <c r="E1228" s="289">
        <v>10</v>
      </c>
      <c r="F1228" s="290">
        <v>11</v>
      </c>
      <c r="G1228" s="289">
        <v>1100</v>
      </c>
      <c r="H1228" s="289">
        <v>110</v>
      </c>
      <c r="I1228" s="289">
        <v>121</v>
      </c>
      <c r="J1228" s="289">
        <v>70</v>
      </c>
      <c r="K1228" s="289">
        <v>7</v>
      </c>
      <c r="L1228" s="289">
        <v>1408</v>
      </c>
    </row>
    <row r="1229" spans="1:12">
      <c r="A1229" s="288" t="s">
        <v>2057</v>
      </c>
      <c r="B1229" s="288" t="s">
        <v>1910</v>
      </c>
      <c r="C1229" s="288" t="s">
        <v>814</v>
      </c>
      <c r="D1229" s="288" t="s">
        <v>818</v>
      </c>
      <c r="E1229" s="289">
        <v>10</v>
      </c>
      <c r="F1229" s="290">
        <v>24</v>
      </c>
      <c r="G1229" s="289">
        <v>1100</v>
      </c>
      <c r="H1229" s="289">
        <v>1540</v>
      </c>
      <c r="I1229" s="289">
        <v>264</v>
      </c>
      <c r="J1229" s="289">
        <v>70</v>
      </c>
      <c r="K1229" s="289">
        <v>7</v>
      </c>
      <c r="L1229" s="289">
        <v>2981</v>
      </c>
    </row>
    <row r="1230" spans="1:12">
      <c r="A1230" s="288" t="s">
        <v>2058</v>
      </c>
      <c r="B1230" s="288" t="s">
        <v>1910</v>
      </c>
      <c r="C1230" s="288" t="s">
        <v>814</v>
      </c>
      <c r="D1230" s="288" t="s">
        <v>818</v>
      </c>
      <c r="E1230" s="289">
        <v>10</v>
      </c>
      <c r="F1230" s="290">
        <v>5</v>
      </c>
      <c r="G1230" s="289">
        <v>900</v>
      </c>
      <c r="H1230" s="289">
        <v>0</v>
      </c>
      <c r="I1230" s="289">
        <v>90</v>
      </c>
      <c r="J1230" s="289">
        <v>70</v>
      </c>
      <c r="K1230" s="289">
        <v>7</v>
      </c>
      <c r="L1230" s="289">
        <v>1067</v>
      </c>
    </row>
    <row r="1231" spans="1:12">
      <c r="A1231" s="288" t="s">
        <v>2059</v>
      </c>
      <c r="B1231" s="288" t="s">
        <v>1910</v>
      </c>
      <c r="C1231" s="288" t="s">
        <v>814</v>
      </c>
      <c r="D1231" s="288" t="s">
        <v>818</v>
      </c>
      <c r="E1231" s="289">
        <v>10</v>
      </c>
      <c r="F1231" s="290">
        <v>6</v>
      </c>
      <c r="G1231" s="289">
        <v>1100</v>
      </c>
      <c r="H1231" s="289">
        <v>0</v>
      </c>
      <c r="I1231" s="289">
        <v>110</v>
      </c>
      <c r="J1231" s="289">
        <v>70</v>
      </c>
      <c r="K1231" s="289">
        <v>7</v>
      </c>
      <c r="L1231" s="289">
        <v>1287</v>
      </c>
    </row>
    <row r="1232" spans="1:12">
      <c r="A1232" s="288" t="s">
        <v>2060</v>
      </c>
      <c r="B1232" s="288" t="s">
        <v>1910</v>
      </c>
      <c r="C1232" s="288" t="s">
        <v>814</v>
      </c>
      <c r="D1232" s="288" t="s">
        <v>818</v>
      </c>
      <c r="E1232" s="289">
        <v>10</v>
      </c>
      <c r="F1232" s="290">
        <v>11</v>
      </c>
      <c r="G1232" s="289">
        <v>1100</v>
      </c>
      <c r="H1232" s="289">
        <v>110</v>
      </c>
      <c r="I1232" s="289">
        <v>121</v>
      </c>
      <c r="J1232" s="289">
        <v>70</v>
      </c>
      <c r="K1232" s="289">
        <v>7</v>
      </c>
      <c r="L1232" s="289">
        <v>1408</v>
      </c>
    </row>
    <row r="1233" spans="1:12">
      <c r="A1233" s="288" t="s">
        <v>2061</v>
      </c>
      <c r="B1233" s="288" t="s">
        <v>1910</v>
      </c>
      <c r="C1233" s="288" t="s">
        <v>814</v>
      </c>
      <c r="D1233" s="288" t="s">
        <v>818</v>
      </c>
      <c r="E1233" s="289">
        <v>10</v>
      </c>
      <c r="F1233" s="290">
        <v>2</v>
      </c>
      <c r="G1233" s="289">
        <v>900</v>
      </c>
      <c r="H1233" s="289">
        <v>0</v>
      </c>
      <c r="I1233" s="289">
        <v>90</v>
      </c>
      <c r="J1233" s="289">
        <v>70</v>
      </c>
      <c r="K1233" s="289">
        <v>7</v>
      </c>
      <c r="L1233" s="289">
        <v>1067</v>
      </c>
    </row>
    <row r="1234" spans="1:12">
      <c r="A1234" s="288" t="s">
        <v>2062</v>
      </c>
      <c r="B1234" s="288" t="s">
        <v>1910</v>
      </c>
      <c r="C1234" s="288" t="s">
        <v>814</v>
      </c>
      <c r="D1234" s="288" t="s">
        <v>818</v>
      </c>
      <c r="E1234" s="289">
        <v>10</v>
      </c>
      <c r="F1234" s="290">
        <v>11</v>
      </c>
      <c r="G1234" s="289">
        <v>1100</v>
      </c>
      <c r="H1234" s="289">
        <v>110</v>
      </c>
      <c r="I1234" s="289">
        <v>121</v>
      </c>
      <c r="J1234" s="289">
        <v>70</v>
      </c>
      <c r="K1234" s="289">
        <v>7</v>
      </c>
      <c r="L1234" s="289">
        <v>1408</v>
      </c>
    </row>
    <row r="1235" spans="1:12">
      <c r="A1235" s="288" t="s">
        <v>2063</v>
      </c>
      <c r="B1235" s="288" t="s">
        <v>1910</v>
      </c>
      <c r="C1235" s="288" t="s">
        <v>814</v>
      </c>
      <c r="D1235" s="288" t="s">
        <v>818</v>
      </c>
      <c r="E1235" s="289">
        <v>10</v>
      </c>
      <c r="F1235" s="290">
        <v>9</v>
      </c>
      <c r="G1235" s="289">
        <v>1100</v>
      </c>
      <c r="H1235" s="289">
        <v>0</v>
      </c>
      <c r="I1235" s="289">
        <v>110</v>
      </c>
      <c r="J1235" s="289">
        <v>70</v>
      </c>
      <c r="K1235" s="289">
        <v>7</v>
      </c>
      <c r="L1235" s="289">
        <v>1287</v>
      </c>
    </row>
    <row r="1236" spans="1:12">
      <c r="A1236" s="288" t="s">
        <v>2064</v>
      </c>
      <c r="B1236" s="288" t="s">
        <v>1910</v>
      </c>
      <c r="C1236" s="288" t="s">
        <v>814</v>
      </c>
      <c r="D1236" s="288" t="s">
        <v>818</v>
      </c>
      <c r="E1236" s="289">
        <v>10</v>
      </c>
      <c r="F1236" s="290">
        <v>23</v>
      </c>
      <c r="G1236" s="289">
        <v>1100</v>
      </c>
      <c r="H1236" s="289">
        <v>1430</v>
      </c>
      <c r="I1236" s="289">
        <v>253</v>
      </c>
      <c r="J1236" s="289">
        <v>70</v>
      </c>
      <c r="K1236" s="289">
        <v>7</v>
      </c>
      <c r="L1236" s="289">
        <v>2860</v>
      </c>
    </row>
    <row r="1237" spans="1:12">
      <c r="A1237" s="288" t="s">
        <v>2065</v>
      </c>
      <c r="B1237" s="288" t="s">
        <v>1910</v>
      </c>
      <c r="C1237" s="288" t="s">
        <v>814</v>
      </c>
      <c r="D1237" s="288" t="s">
        <v>818</v>
      </c>
      <c r="E1237" s="289">
        <v>10</v>
      </c>
      <c r="F1237" s="290">
        <v>33</v>
      </c>
      <c r="G1237" s="289">
        <v>1100</v>
      </c>
      <c r="H1237" s="289">
        <v>2530</v>
      </c>
      <c r="I1237" s="289">
        <v>363</v>
      </c>
      <c r="J1237" s="289">
        <v>70</v>
      </c>
      <c r="K1237" s="289">
        <v>7</v>
      </c>
      <c r="L1237" s="289">
        <v>4070</v>
      </c>
    </row>
    <row r="1238" spans="1:12">
      <c r="A1238" s="288" t="s">
        <v>2066</v>
      </c>
      <c r="B1238" s="288" t="s">
        <v>1910</v>
      </c>
      <c r="C1238" s="288" t="s">
        <v>814</v>
      </c>
      <c r="D1238" s="288" t="s">
        <v>818</v>
      </c>
      <c r="E1238" s="289">
        <v>10</v>
      </c>
      <c r="F1238" s="290">
        <v>4</v>
      </c>
      <c r="G1238" s="289">
        <v>900</v>
      </c>
      <c r="H1238" s="289">
        <v>0</v>
      </c>
      <c r="I1238" s="289">
        <v>90</v>
      </c>
      <c r="J1238" s="289">
        <v>70</v>
      </c>
      <c r="K1238" s="289">
        <v>7</v>
      </c>
      <c r="L1238" s="289">
        <v>1067</v>
      </c>
    </row>
    <row r="1239" spans="1:12">
      <c r="A1239" s="288" t="s">
        <v>2067</v>
      </c>
      <c r="B1239" s="288" t="s">
        <v>1910</v>
      </c>
      <c r="C1239" s="288" t="s">
        <v>814</v>
      </c>
      <c r="D1239" s="288" t="s">
        <v>818</v>
      </c>
      <c r="E1239" s="289">
        <v>10</v>
      </c>
      <c r="F1239" s="290">
        <v>13</v>
      </c>
      <c r="G1239" s="289">
        <v>1100</v>
      </c>
      <c r="H1239" s="289">
        <v>330</v>
      </c>
      <c r="I1239" s="289">
        <v>143</v>
      </c>
      <c r="J1239" s="289">
        <v>70</v>
      </c>
      <c r="K1239" s="289">
        <v>7</v>
      </c>
      <c r="L1239" s="289">
        <v>1650</v>
      </c>
    </row>
    <row r="1240" spans="1:12">
      <c r="A1240" s="288" t="s">
        <v>2068</v>
      </c>
      <c r="B1240" s="288" t="s">
        <v>1910</v>
      </c>
      <c r="C1240" s="288" t="s">
        <v>814</v>
      </c>
      <c r="D1240" s="288" t="s">
        <v>818</v>
      </c>
      <c r="E1240" s="289">
        <v>10</v>
      </c>
      <c r="F1240" s="290">
        <v>6</v>
      </c>
      <c r="G1240" s="289">
        <v>1100</v>
      </c>
      <c r="H1240" s="289">
        <v>0</v>
      </c>
      <c r="I1240" s="289">
        <v>110</v>
      </c>
      <c r="J1240" s="289">
        <v>70</v>
      </c>
      <c r="K1240" s="289">
        <v>7</v>
      </c>
      <c r="L1240" s="289">
        <v>1287</v>
      </c>
    </row>
    <row r="1241" spans="1:12">
      <c r="A1241" s="288" t="s">
        <v>2069</v>
      </c>
      <c r="B1241" s="288" t="s">
        <v>1910</v>
      </c>
      <c r="C1241" s="288" t="s">
        <v>814</v>
      </c>
      <c r="D1241" s="288" t="s">
        <v>818</v>
      </c>
      <c r="E1241" s="289">
        <v>10</v>
      </c>
      <c r="F1241" s="290">
        <v>2</v>
      </c>
      <c r="G1241" s="289">
        <v>900</v>
      </c>
      <c r="H1241" s="289">
        <v>0</v>
      </c>
      <c r="I1241" s="289">
        <v>90</v>
      </c>
      <c r="J1241" s="289">
        <v>70</v>
      </c>
      <c r="K1241" s="289">
        <v>7</v>
      </c>
      <c r="L1241" s="289">
        <v>1067</v>
      </c>
    </row>
    <row r="1242" spans="1:12">
      <c r="A1242" s="288" t="s">
        <v>2070</v>
      </c>
      <c r="B1242" s="288" t="s">
        <v>1910</v>
      </c>
      <c r="C1242" s="288" t="s">
        <v>814</v>
      </c>
      <c r="D1242" s="288" t="s">
        <v>818</v>
      </c>
      <c r="E1242" s="289">
        <v>10</v>
      </c>
      <c r="F1242" s="290">
        <v>22</v>
      </c>
      <c r="G1242" s="289">
        <v>1100</v>
      </c>
      <c r="H1242" s="289">
        <v>1320</v>
      </c>
      <c r="I1242" s="289">
        <v>242</v>
      </c>
      <c r="J1242" s="289">
        <v>70</v>
      </c>
      <c r="K1242" s="289">
        <v>7</v>
      </c>
      <c r="L1242" s="289">
        <v>2739</v>
      </c>
    </row>
    <row r="1243" spans="1:12">
      <c r="A1243" s="288" t="s">
        <v>2071</v>
      </c>
      <c r="B1243" s="288" t="s">
        <v>1910</v>
      </c>
      <c r="C1243" s="288" t="s">
        <v>814</v>
      </c>
      <c r="D1243" s="288" t="s">
        <v>818</v>
      </c>
      <c r="E1243" s="289">
        <v>10</v>
      </c>
      <c r="F1243" s="290">
        <v>1</v>
      </c>
      <c r="G1243" s="289">
        <v>900</v>
      </c>
      <c r="H1243" s="289">
        <v>0</v>
      </c>
      <c r="I1243" s="289">
        <v>90</v>
      </c>
      <c r="J1243" s="289">
        <v>70</v>
      </c>
      <c r="K1243" s="289">
        <v>7</v>
      </c>
      <c r="L1243" s="289">
        <v>1067</v>
      </c>
    </row>
    <row r="1244" spans="1:12">
      <c r="A1244" s="288" t="s">
        <v>2072</v>
      </c>
      <c r="B1244" s="288" t="s">
        <v>1910</v>
      </c>
      <c r="C1244" s="288" t="s">
        <v>814</v>
      </c>
      <c r="D1244" s="288" t="s">
        <v>818</v>
      </c>
      <c r="E1244" s="289">
        <v>10</v>
      </c>
      <c r="F1244" s="290">
        <v>11</v>
      </c>
      <c r="G1244" s="289">
        <v>1100</v>
      </c>
      <c r="H1244" s="289">
        <v>110</v>
      </c>
      <c r="I1244" s="289">
        <v>121</v>
      </c>
      <c r="J1244" s="289">
        <v>70</v>
      </c>
      <c r="K1244" s="289">
        <v>7</v>
      </c>
      <c r="L1244" s="289">
        <v>1408</v>
      </c>
    </row>
    <row r="1245" spans="1:12">
      <c r="A1245" s="288" t="s">
        <v>2073</v>
      </c>
      <c r="B1245" s="288" t="s">
        <v>1910</v>
      </c>
      <c r="C1245" s="288" t="s">
        <v>829</v>
      </c>
      <c r="D1245" s="288" t="s">
        <v>818</v>
      </c>
      <c r="E1245" s="289">
        <v>10</v>
      </c>
      <c r="F1245" s="290">
        <v>0</v>
      </c>
      <c r="G1245" s="289">
        <v>900</v>
      </c>
      <c r="H1245" s="289">
        <v>0</v>
      </c>
      <c r="I1245" s="289">
        <v>90</v>
      </c>
      <c r="J1245" s="289">
        <v>70</v>
      </c>
      <c r="K1245" s="289">
        <v>7</v>
      </c>
      <c r="L1245" s="289">
        <v>1067</v>
      </c>
    </row>
    <row r="1246" spans="1:12">
      <c r="A1246" s="288" t="s">
        <v>2074</v>
      </c>
      <c r="B1246" s="288" t="s">
        <v>1910</v>
      </c>
      <c r="C1246" s="288" t="s">
        <v>814</v>
      </c>
      <c r="D1246" s="288" t="s">
        <v>818</v>
      </c>
      <c r="E1246" s="289">
        <v>10</v>
      </c>
      <c r="F1246" s="290">
        <v>21</v>
      </c>
      <c r="G1246" s="289">
        <v>1100</v>
      </c>
      <c r="H1246" s="289">
        <v>1210</v>
      </c>
      <c r="I1246" s="289">
        <v>231</v>
      </c>
      <c r="J1246" s="289">
        <v>70</v>
      </c>
      <c r="K1246" s="289">
        <v>7</v>
      </c>
      <c r="L1246" s="289">
        <v>2618</v>
      </c>
    </row>
    <row r="1247" spans="1:12">
      <c r="A1247" s="288" t="s">
        <v>2075</v>
      </c>
      <c r="B1247" s="288" t="s">
        <v>1910</v>
      </c>
      <c r="C1247" s="288" t="s">
        <v>814</v>
      </c>
      <c r="D1247" s="288" t="s">
        <v>818</v>
      </c>
      <c r="E1247" s="289">
        <v>10</v>
      </c>
      <c r="F1247" s="290">
        <v>26</v>
      </c>
      <c r="G1247" s="289">
        <v>1100</v>
      </c>
      <c r="H1247" s="289">
        <v>1760</v>
      </c>
      <c r="I1247" s="289">
        <v>286</v>
      </c>
      <c r="J1247" s="289">
        <v>70</v>
      </c>
      <c r="K1247" s="289">
        <v>7</v>
      </c>
      <c r="L1247" s="289">
        <v>3223</v>
      </c>
    </row>
    <row r="1248" spans="1:12">
      <c r="A1248" s="288" t="s">
        <v>2076</v>
      </c>
      <c r="B1248" s="288" t="s">
        <v>1910</v>
      </c>
      <c r="C1248" s="288" t="s">
        <v>814</v>
      </c>
      <c r="D1248" s="288" t="s">
        <v>818</v>
      </c>
      <c r="E1248" s="289">
        <v>10</v>
      </c>
      <c r="F1248" s="290">
        <v>26</v>
      </c>
      <c r="G1248" s="289">
        <v>1100</v>
      </c>
      <c r="H1248" s="289">
        <v>1760</v>
      </c>
      <c r="I1248" s="289">
        <v>286</v>
      </c>
      <c r="J1248" s="289">
        <v>70</v>
      </c>
      <c r="K1248" s="289">
        <v>7</v>
      </c>
      <c r="L1248" s="289">
        <v>3223</v>
      </c>
    </row>
    <row r="1249" spans="1:12">
      <c r="A1249" s="288" t="s">
        <v>2077</v>
      </c>
      <c r="B1249" s="288" t="s">
        <v>1641</v>
      </c>
      <c r="C1249" s="288" t="s">
        <v>814</v>
      </c>
      <c r="D1249" s="288" t="s">
        <v>818</v>
      </c>
      <c r="E1249" s="289">
        <v>10</v>
      </c>
      <c r="F1249" s="290">
        <v>20</v>
      </c>
      <c r="G1249" s="289">
        <v>1100</v>
      </c>
      <c r="H1249" s="289">
        <v>1100</v>
      </c>
      <c r="I1249" s="289">
        <v>220</v>
      </c>
      <c r="J1249" s="289">
        <v>70</v>
      </c>
      <c r="K1249" s="289">
        <v>7</v>
      </c>
      <c r="L1249" s="289">
        <v>2497</v>
      </c>
    </row>
    <row r="1250" spans="1:12">
      <c r="A1250" s="288" t="s">
        <v>2078</v>
      </c>
      <c r="B1250" s="288" t="s">
        <v>1641</v>
      </c>
      <c r="C1250" s="288" t="s">
        <v>814</v>
      </c>
      <c r="D1250" s="288" t="s">
        <v>818</v>
      </c>
      <c r="E1250" s="289">
        <v>10</v>
      </c>
      <c r="F1250" s="290">
        <v>11</v>
      </c>
      <c r="G1250" s="289">
        <v>1100</v>
      </c>
      <c r="H1250" s="289">
        <v>110</v>
      </c>
      <c r="I1250" s="289">
        <v>121</v>
      </c>
      <c r="J1250" s="289">
        <v>70</v>
      </c>
      <c r="K1250" s="289">
        <v>7</v>
      </c>
      <c r="L1250" s="289">
        <v>1408</v>
      </c>
    </row>
    <row r="1251" spans="1:12">
      <c r="A1251" s="288" t="s">
        <v>2079</v>
      </c>
      <c r="B1251" s="288" t="s">
        <v>1641</v>
      </c>
      <c r="C1251" s="288" t="s">
        <v>814</v>
      </c>
      <c r="D1251" s="288" t="s">
        <v>818</v>
      </c>
      <c r="E1251" s="289">
        <v>10</v>
      </c>
      <c r="F1251" s="290">
        <v>4</v>
      </c>
      <c r="G1251" s="289">
        <v>900</v>
      </c>
      <c r="H1251" s="289">
        <v>0</v>
      </c>
      <c r="I1251" s="289">
        <v>90</v>
      </c>
      <c r="J1251" s="289">
        <v>70</v>
      </c>
      <c r="K1251" s="289">
        <v>7</v>
      </c>
      <c r="L1251" s="289">
        <v>1067</v>
      </c>
    </row>
    <row r="1252" spans="1:12">
      <c r="A1252" s="288" t="s">
        <v>2080</v>
      </c>
      <c r="B1252" s="288" t="s">
        <v>1641</v>
      </c>
      <c r="C1252" s="288" t="s">
        <v>814</v>
      </c>
      <c r="D1252" s="288" t="s">
        <v>818</v>
      </c>
      <c r="E1252" s="289">
        <v>10</v>
      </c>
      <c r="F1252" s="290">
        <v>3</v>
      </c>
      <c r="G1252" s="289">
        <v>900</v>
      </c>
      <c r="H1252" s="289">
        <v>0</v>
      </c>
      <c r="I1252" s="289">
        <v>90</v>
      </c>
      <c r="J1252" s="289">
        <v>70</v>
      </c>
      <c r="K1252" s="289">
        <v>7</v>
      </c>
      <c r="L1252" s="289">
        <v>1067</v>
      </c>
    </row>
    <row r="1253" spans="1:12">
      <c r="A1253" s="288" t="s">
        <v>2081</v>
      </c>
      <c r="B1253" s="288" t="s">
        <v>1641</v>
      </c>
      <c r="C1253" s="288" t="s">
        <v>814</v>
      </c>
      <c r="D1253" s="288" t="s">
        <v>818</v>
      </c>
      <c r="E1253" s="289">
        <v>10</v>
      </c>
      <c r="F1253" s="290">
        <v>1</v>
      </c>
      <c r="G1253" s="289">
        <v>900</v>
      </c>
      <c r="H1253" s="289">
        <v>0</v>
      </c>
      <c r="I1253" s="289">
        <v>90</v>
      </c>
      <c r="J1253" s="289">
        <v>70</v>
      </c>
      <c r="K1253" s="289">
        <v>7</v>
      </c>
      <c r="L1253" s="289">
        <v>1067</v>
      </c>
    </row>
    <row r="1254" spans="1:12">
      <c r="A1254" s="288" t="s">
        <v>2082</v>
      </c>
      <c r="B1254" s="288" t="s">
        <v>1641</v>
      </c>
      <c r="C1254" s="288" t="s">
        <v>814</v>
      </c>
      <c r="D1254" s="288" t="s">
        <v>818</v>
      </c>
      <c r="E1254" s="289">
        <v>10</v>
      </c>
      <c r="F1254" s="290">
        <v>4</v>
      </c>
      <c r="G1254" s="289">
        <v>900</v>
      </c>
      <c r="H1254" s="289">
        <v>0</v>
      </c>
      <c r="I1254" s="289">
        <v>90</v>
      </c>
      <c r="J1254" s="289">
        <v>70</v>
      </c>
      <c r="K1254" s="289">
        <v>7</v>
      </c>
      <c r="L1254" s="289">
        <v>1067</v>
      </c>
    </row>
    <row r="1255" spans="1:12">
      <c r="A1255" s="288" t="s">
        <v>2083</v>
      </c>
      <c r="B1255" s="288" t="s">
        <v>1641</v>
      </c>
      <c r="C1255" s="288" t="s">
        <v>814</v>
      </c>
      <c r="D1255" s="288" t="s">
        <v>818</v>
      </c>
      <c r="E1255" s="289">
        <v>10</v>
      </c>
      <c r="F1255" s="290">
        <v>2</v>
      </c>
      <c r="G1255" s="289">
        <v>900</v>
      </c>
      <c r="H1255" s="289">
        <v>0</v>
      </c>
      <c r="I1255" s="289">
        <v>90</v>
      </c>
      <c r="J1255" s="289">
        <v>70</v>
      </c>
      <c r="K1255" s="289">
        <v>7</v>
      </c>
      <c r="L1255" s="289">
        <v>1067</v>
      </c>
    </row>
    <row r="1256" spans="1:12">
      <c r="A1256" s="288" t="s">
        <v>2084</v>
      </c>
      <c r="B1256" s="288" t="s">
        <v>1641</v>
      </c>
      <c r="C1256" s="288" t="s">
        <v>814</v>
      </c>
      <c r="D1256" s="288" t="s">
        <v>818</v>
      </c>
      <c r="E1256" s="289">
        <v>10</v>
      </c>
      <c r="F1256" s="290">
        <v>2</v>
      </c>
      <c r="G1256" s="289">
        <v>900</v>
      </c>
      <c r="H1256" s="289">
        <v>0</v>
      </c>
      <c r="I1256" s="289">
        <v>90</v>
      </c>
      <c r="J1256" s="289">
        <v>70</v>
      </c>
      <c r="K1256" s="289">
        <v>7</v>
      </c>
      <c r="L1256" s="289">
        <v>1067</v>
      </c>
    </row>
    <row r="1257" spans="1:12">
      <c r="A1257" s="288" t="s">
        <v>2085</v>
      </c>
      <c r="B1257" s="288" t="s">
        <v>1641</v>
      </c>
      <c r="C1257" s="288" t="s">
        <v>814</v>
      </c>
      <c r="D1257" s="288" t="s">
        <v>818</v>
      </c>
      <c r="E1257" s="289">
        <v>10</v>
      </c>
      <c r="F1257" s="290">
        <v>3</v>
      </c>
      <c r="G1257" s="289">
        <v>550</v>
      </c>
      <c r="H1257" s="289">
        <v>0</v>
      </c>
      <c r="I1257" s="289">
        <v>55</v>
      </c>
      <c r="J1257" s="289">
        <v>70</v>
      </c>
      <c r="K1257" s="289">
        <v>7</v>
      </c>
      <c r="L1257" s="289">
        <v>682</v>
      </c>
    </row>
    <row r="1258" spans="1:12">
      <c r="A1258" s="288" t="s">
        <v>2086</v>
      </c>
      <c r="B1258" s="288" t="s">
        <v>1641</v>
      </c>
      <c r="C1258" s="288" t="s">
        <v>814</v>
      </c>
      <c r="D1258" s="288" t="s">
        <v>818</v>
      </c>
      <c r="E1258" s="289">
        <v>10</v>
      </c>
      <c r="F1258" s="290">
        <v>11</v>
      </c>
      <c r="G1258" s="289">
        <v>1100</v>
      </c>
      <c r="H1258" s="289">
        <v>110</v>
      </c>
      <c r="I1258" s="289">
        <v>121</v>
      </c>
      <c r="J1258" s="289">
        <v>70</v>
      </c>
      <c r="K1258" s="289">
        <v>7</v>
      </c>
      <c r="L1258" s="289">
        <v>1408</v>
      </c>
    </row>
    <row r="1259" spans="1:12">
      <c r="A1259" s="288" t="s">
        <v>2087</v>
      </c>
      <c r="B1259" s="288" t="s">
        <v>1641</v>
      </c>
      <c r="C1259" s="288" t="s">
        <v>814</v>
      </c>
      <c r="D1259" s="288" t="s">
        <v>818</v>
      </c>
      <c r="E1259" s="289">
        <v>10</v>
      </c>
      <c r="F1259" s="290">
        <v>3</v>
      </c>
      <c r="G1259" s="289">
        <v>900</v>
      </c>
      <c r="H1259" s="289">
        <v>0</v>
      </c>
      <c r="I1259" s="289">
        <v>90</v>
      </c>
      <c r="J1259" s="289">
        <v>70</v>
      </c>
      <c r="K1259" s="289">
        <v>7</v>
      </c>
      <c r="L1259" s="289">
        <v>1067</v>
      </c>
    </row>
    <row r="1260" spans="1:12">
      <c r="A1260" s="288" t="s">
        <v>2088</v>
      </c>
      <c r="B1260" s="288" t="s">
        <v>1641</v>
      </c>
      <c r="C1260" s="288" t="s">
        <v>814</v>
      </c>
      <c r="D1260" s="288" t="s">
        <v>818</v>
      </c>
      <c r="E1260" s="289">
        <v>10</v>
      </c>
      <c r="F1260" s="290">
        <v>3</v>
      </c>
      <c r="G1260" s="289">
        <v>900</v>
      </c>
      <c r="H1260" s="289">
        <v>0</v>
      </c>
      <c r="I1260" s="289">
        <v>90</v>
      </c>
      <c r="J1260" s="289">
        <v>70</v>
      </c>
      <c r="K1260" s="289">
        <v>7</v>
      </c>
      <c r="L1260" s="289">
        <v>1067</v>
      </c>
    </row>
    <row r="1261" spans="1:12">
      <c r="A1261" s="288" t="s">
        <v>2089</v>
      </c>
      <c r="B1261" s="288" t="s">
        <v>1641</v>
      </c>
      <c r="C1261" s="288" t="s">
        <v>814</v>
      </c>
      <c r="D1261" s="288" t="s">
        <v>818</v>
      </c>
      <c r="E1261" s="289">
        <v>10</v>
      </c>
      <c r="F1261" s="290">
        <v>5</v>
      </c>
      <c r="G1261" s="289">
        <v>900</v>
      </c>
      <c r="H1261" s="289">
        <v>0</v>
      </c>
      <c r="I1261" s="289">
        <v>90</v>
      </c>
      <c r="J1261" s="289">
        <v>70</v>
      </c>
      <c r="K1261" s="289">
        <v>7</v>
      </c>
      <c r="L1261" s="289">
        <v>1067</v>
      </c>
    </row>
    <row r="1262" spans="1:12">
      <c r="A1262" s="288" t="s">
        <v>2090</v>
      </c>
      <c r="B1262" s="288" t="s">
        <v>1641</v>
      </c>
      <c r="C1262" s="288" t="s">
        <v>814</v>
      </c>
      <c r="D1262" s="288" t="s">
        <v>818</v>
      </c>
      <c r="E1262" s="289">
        <v>10</v>
      </c>
      <c r="F1262" s="290">
        <v>6</v>
      </c>
      <c r="G1262" s="289">
        <v>1100</v>
      </c>
      <c r="H1262" s="289">
        <v>0</v>
      </c>
      <c r="I1262" s="289">
        <v>110</v>
      </c>
      <c r="J1262" s="289">
        <v>70</v>
      </c>
      <c r="K1262" s="289">
        <v>7</v>
      </c>
      <c r="L1262" s="289">
        <v>1287</v>
      </c>
    </row>
    <row r="1263" spans="1:12">
      <c r="A1263" s="288" t="s">
        <v>2091</v>
      </c>
      <c r="B1263" s="288" t="s">
        <v>1641</v>
      </c>
      <c r="C1263" s="288" t="s">
        <v>814</v>
      </c>
      <c r="D1263" s="288" t="s">
        <v>818</v>
      </c>
      <c r="E1263" s="289">
        <v>10</v>
      </c>
      <c r="F1263" s="290">
        <v>1</v>
      </c>
      <c r="G1263" s="289">
        <v>900</v>
      </c>
      <c r="H1263" s="289">
        <v>0</v>
      </c>
      <c r="I1263" s="289">
        <v>90</v>
      </c>
      <c r="J1263" s="289">
        <v>70</v>
      </c>
      <c r="K1263" s="289">
        <v>7</v>
      </c>
      <c r="L1263" s="289">
        <v>1067</v>
      </c>
    </row>
    <row r="1264" spans="1:12">
      <c r="A1264" s="288" t="s">
        <v>2092</v>
      </c>
      <c r="B1264" s="288" t="s">
        <v>1641</v>
      </c>
      <c r="C1264" s="288" t="s">
        <v>814</v>
      </c>
      <c r="D1264" s="288" t="s">
        <v>818</v>
      </c>
      <c r="E1264" s="289">
        <v>10</v>
      </c>
      <c r="F1264" s="290">
        <v>3</v>
      </c>
      <c r="G1264" s="289">
        <v>900</v>
      </c>
      <c r="H1264" s="289">
        <v>0</v>
      </c>
      <c r="I1264" s="289">
        <v>90</v>
      </c>
      <c r="J1264" s="289">
        <v>70</v>
      </c>
      <c r="K1264" s="289">
        <v>7</v>
      </c>
      <c r="L1264" s="289">
        <v>1067</v>
      </c>
    </row>
    <row r="1265" spans="1:12">
      <c r="A1265" s="288" t="s">
        <v>2093</v>
      </c>
      <c r="B1265" s="288" t="s">
        <v>1641</v>
      </c>
      <c r="C1265" s="288" t="s">
        <v>820</v>
      </c>
      <c r="D1265" s="288" t="s">
        <v>815</v>
      </c>
      <c r="E1265" s="289">
        <v>10</v>
      </c>
      <c r="F1265" s="290">
        <v>2</v>
      </c>
      <c r="G1265" s="289">
        <v>900</v>
      </c>
      <c r="H1265" s="289">
        <v>0</v>
      </c>
      <c r="I1265" s="289">
        <v>90</v>
      </c>
      <c r="J1265" s="289">
        <v>50</v>
      </c>
      <c r="K1265" s="289">
        <v>5</v>
      </c>
      <c r="L1265" s="289">
        <v>1045</v>
      </c>
    </row>
    <row r="1266" spans="1:12">
      <c r="A1266" s="288" t="s">
        <v>2094</v>
      </c>
      <c r="B1266" s="288" t="s">
        <v>1910</v>
      </c>
      <c r="C1266" s="288" t="s">
        <v>814</v>
      </c>
      <c r="D1266" s="288" t="s">
        <v>818</v>
      </c>
      <c r="E1266" s="289">
        <v>10</v>
      </c>
      <c r="F1266" s="290">
        <v>2</v>
      </c>
      <c r="G1266" s="289">
        <v>900</v>
      </c>
      <c r="H1266" s="289">
        <v>0</v>
      </c>
      <c r="I1266" s="289">
        <v>90</v>
      </c>
      <c r="J1266" s="289">
        <v>70</v>
      </c>
      <c r="K1266" s="289">
        <v>7</v>
      </c>
      <c r="L1266" s="289">
        <v>1067</v>
      </c>
    </row>
    <row r="1267" spans="1:12">
      <c r="A1267" s="288" t="s">
        <v>2095</v>
      </c>
      <c r="B1267" s="288" t="s">
        <v>1910</v>
      </c>
      <c r="C1267" s="288" t="s">
        <v>820</v>
      </c>
      <c r="D1267" s="288" t="s">
        <v>818</v>
      </c>
      <c r="E1267" s="289">
        <v>10</v>
      </c>
      <c r="F1267" s="290">
        <v>2</v>
      </c>
      <c r="G1267" s="289">
        <v>900</v>
      </c>
      <c r="H1267" s="289">
        <v>0</v>
      </c>
      <c r="I1267" s="289">
        <v>90</v>
      </c>
      <c r="J1267" s="289">
        <v>70</v>
      </c>
      <c r="K1267" s="289">
        <v>7</v>
      </c>
      <c r="L1267" s="289">
        <v>1067</v>
      </c>
    </row>
    <row r="1268" spans="1:12">
      <c r="A1268" s="288" t="s">
        <v>2096</v>
      </c>
      <c r="B1268" s="288" t="s">
        <v>1910</v>
      </c>
      <c r="C1268" s="288" t="s">
        <v>814</v>
      </c>
      <c r="D1268" s="288" t="s">
        <v>818</v>
      </c>
      <c r="E1268" s="289">
        <v>10</v>
      </c>
      <c r="F1268" s="290">
        <v>16</v>
      </c>
      <c r="G1268" s="289">
        <v>1100</v>
      </c>
      <c r="H1268" s="289">
        <v>660</v>
      </c>
      <c r="I1268" s="289">
        <v>176</v>
      </c>
      <c r="J1268" s="289">
        <v>70</v>
      </c>
      <c r="K1268" s="289">
        <v>7</v>
      </c>
      <c r="L1268" s="289">
        <v>2013</v>
      </c>
    </row>
    <row r="1269" spans="1:12">
      <c r="A1269" s="288" t="s">
        <v>2097</v>
      </c>
      <c r="B1269" s="288" t="s">
        <v>1910</v>
      </c>
      <c r="C1269" s="288" t="s">
        <v>814</v>
      </c>
      <c r="D1269" s="288" t="s">
        <v>818</v>
      </c>
      <c r="E1269" s="289">
        <v>10</v>
      </c>
      <c r="F1269" s="290">
        <v>4</v>
      </c>
      <c r="G1269" s="289">
        <v>900</v>
      </c>
      <c r="H1269" s="289">
        <v>0</v>
      </c>
      <c r="I1269" s="289">
        <v>90</v>
      </c>
      <c r="J1269" s="289">
        <v>70</v>
      </c>
      <c r="K1269" s="289">
        <v>7</v>
      </c>
      <c r="L1269" s="289">
        <v>1067</v>
      </c>
    </row>
    <row r="1270" spans="1:12">
      <c r="A1270" s="288" t="s">
        <v>2098</v>
      </c>
      <c r="B1270" s="288" t="s">
        <v>1910</v>
      </c>
      <c r="C1270" s="288" t="s">
        <v>820</v>
      </c>
      <c r="D1270" s="288" t="s">
        <v>818</v>
      </c>
      <c r="E1270" s="289">
        <v>10</v>
      </c>
      <c r="F1270" s="290">
        <v>0</v>
      </c>
      <c r="G1270" s="289">
        <v>900</v>
      </c>
      <c r="H1270" s="289">
        <v>0</v>
      </c>
      <c r="I1270" s="289">
        <v>90</v>
      </c>
      <c r="J1270" s="289">
        <v>70</v>
      </c>
      <c r="K1270" s="289">
        <v>7</v>
      </c>
      <c r="L1270" s="289">
        <v>1067</v>
      </c>
    </row>
    <row r="1271" spans="1:12">
      <c r="A1271" s="288" t="s">
        <v>2099</v>
      </c>
      <c r="B1271" s="288" t="s">
        <v>1910</v>
      </c>
      <c r="C1271" s="288" t="s">
        <v>820</v>
      </c>
      <c r="D1271" s="288" t="s">
        <v>818</v>
      </c>
      <c r="E1271" s="289">
        <v>10</v>
      </c>
      <c r="F1271" s="290">
        <v>0</v>
      </c>
      <c r="G1271" s="289">
        <v>900</v>
      </c>
      <c r="H1271" s="289">
        <v>0</v>
      </c>
      <c r="I1271" s="289">
        <v>90</v>
      </c>
      <c r="J1271" s="289">
        <v>70</v>
      </c>
      <c r="K1271" s="289">
        <v>7</v>
      </c>
      <c r="L1271" s="289">
        <v>1067</v>
      </c>
    </row>
    <row r="1272" spans="1:12">
      <c r="A1272" s="288" t="s">
        <v>2100</v>
      </c>
      <c r="B1272" s="288" t="s">
        <v>1910</v>
      </c>
      <c r="C1272" s="288" t="s">
        <v>820</v>
      </c>
      <c r="D1272" s="288" t="s">
        <v>826</v>
      </c>
      <c r="E1272" s="289">
        <v>10</v>
      </c>
      <c r="F1272" s="290">
        <v>21</v>
      </c>
      <c r="G1272" s="289">
        <v>1100</v>
      </c>
      <c r="H1272" s="289">
        <v>1210</v>
      </c>
      <c r="I1272" s="289">
        <v>231</v>
      </c>
      <c r="J1272" s="289">
        <v>100</v>
      </c>
      <c r="K1272" s="289">
        <v>10</v>
      </c>
      <c r="L1272" s="289">
        <v>2651</v>
      </c>
    </row>
    <row r="1273" spans="1:12">
      <c r="A1273" s="288" t="s">
        <v>2101</v>
      </c>
      <c r="B1273" s="288" t="s">
        <v>1910</v>
      </c>
      <c r="C1273" s="288" t="s">
        <v>814</v>
      </c>
      <c r="D1273" s="288" t="s">
        <v>818</v>
      </c>
      <c r="E1273" s="289">
        <v>10</v>
      </c>
      <c r="F1273" s="290">
        <v>42</v>
      </c>
      <c r="G1273" s="289">
        <v>1100</v>
      </c>
      <c r="H1273" s="289">
        <v>3520</v>
      </c>
      <c r="I1273" s="289">
        <v>462</v>
      </c>
      <c r="J1273" s="289">
        <v>70</v>
      </c>
      <c r="K1273" s="289">
        <v>7</v>
      </c>
      <c r="L1273" s="289">
        <v>5159</v>
      </c>
    </row>
    <row r="1274" spans="1:12">
      <c r="A1274" s="288" t="s">
        <v>2102</v>
      </c>
      <c r="B1274" s="288" t="s">
        <v>1910</v>
      </c>
      <c r="C1274" s="288" t="s">
        <v>814</v>
      </c>
      <c r="D1274" s="288" t="s">
        <v>818</v>
      </c>
      <c r="E1274" s="289">
        <v>10</v>
      </c>
      <c r="F1274" s="290">
        <v>8</v>
      </c>
      <c r="G1274" s="289">
        <v>1100</v>
      </c>
      <c r="H1274" s="289">
        <v>0</v>
      </c>
      <c r="I1274" s="289">
        <v>110</v>
      </c>
      <c r="J1274" s="289">
        <v>70</v>
      </c>
      <c r="K1274" s="289">
        <v>7</v>
      </c>
      <c r="L1274" s="289">
        <v>1287</v>
      </c>
    </row>
    <row r="1275" spans="1:12">
      <c r="A1275" s="288" t="s">
        <v>2103</v>
      </c>
      <c r="B1275" s="288" t="s">
        <v>1910</v>
      </c>
      <c r="C1275" s="288" t="s">
        <v>820</v>
      </c>
      <c r="D1275" s="288" t="s">
        <v>818</v>
      </c>
      <c r="E1275" s="289">
        <v>10</v>
      </c>
      <c r="F1275" s="290">
        <v>1</v>
      </c>
      <c r="G1275" s="289">
        <v>900</v>
      </c>
      <c r="H1275" s="289">
        <v>0</v>
      </c>
      <c r="I1275" s="289">
        <v>90</v>
      </c>
      <c r="J1275" s="289">
        <v>70</v>
      </c>
      <c r="K1275" s="289">
        <v>7</v>
      </c>
      <c r="L1275" s="289">
        <v>1067</v>
      </c>
    </row>
    <row r="1276" spans="1:12">
      <c r="A1276" s="288" t="s">
        <v>2104</v>
      </c>
      <c r="B1276" s="288" t="s">
        <v>1641</v>
      </c>
      <c r="C1276" s="288" t="s">
        <v>820</v>
      </c>
      <c r="D1276" s="288" t="s">
        <v>815</v>
      </c>
      <c r="E1276" s="289">
        <v>10</v>
      </c>
      <c r="F1276" s="290">
        <v>0</v>
      </c>
      <c r="G1276" s="289">
        <v>900</v>
      </c>
      <c r="H1276" s="289">
        <v>0</v>
      </c>
      <c r="I1276" s="289">
        <v>90</v>
      </c>
      <c r="J1276" s="289">
        <v>50</v>
      </c>
      <c r="K1276" s="289">
        <v>5</v>
      </c>
      <c r="L1276" s="289">
        <v>1045</v>
      </c>
    </row>
    <row r="1277" spans="1:12">
      <c r="A1277" s="288" t="s">
        <v>2105</v>
      </c>
      <c r="B1277" s="288" t="s">
        <v>1910</v>
      </c>
      <c r="C1277" s="288" t="s">
        <v>814</v>
      </c>
      <c r="D1277" s="288" t="s">
        <v>818</v>
      </c>
      <c r="E1277" s="289">
        <v>10</v>
      </c>
      <c r="F1277" s="290">
        <v>7</v>
      </c>
      <c r="G1277" s="289">
        <v>1100</v>
      </c>
      <c r="H1277" s="289">
        <v>0</v>
      </c>
      <c r="I1277" s="289">
        <v>110</v>
      </c>
      <c r="J1277" s="289">
        <v>70</v>
      </c>
      <c r="K1277" s="289">
        <v>7</v>
      </c>
      <c r="L1277" s="289">
        <v>1287</v>
      </c>
    </row>
    <row r="1278" spans="1:12">
      <c r="A1278" s="288" t="s">
        <v>2106</v>
      </c>
      <c r="B1278" s="288" t="s">
        <v>1910</v>
      </c>
      <c r="C1278" s="288" t="s">
        <v>820</v>
      </c>
      <c r="D1278" s="288" t="s">
        <v>818</v>
      </c>
      <c r="E1278" s="289">
        <v>10</v>
      </c>
      <c r="F1278" s="290">
        <v>44</v>
      </c>
      <c r="G1278" s="289">
        <v>1100</v>
      </c>
      <c r="H1278" s="289">
        <v>3740</v>
      </c>
      <c r="I1278" s="289">
        <v>484</v>
      </c>
      <c r="J1278" s="289">
        <v>70</v>
      </c>
      <c r="K1278" s="289">
        <v>7</v>
      </c>
      <c r="L1278" s="289">
        <v>5401</v>
      </c>
    </row>
    <row r="1279" spans="1:12">
      <c r="A1279" s="288" t="s">
        <v>2107</v>
      </c>
      <c r="B1279" s="288" t="s">
        <v>1910</v>
      </c>
      <c r="C1279" s="288" t="s">
        <v>814</v>
      </c>
      <c r="D1279" s="288" t="s">
        <v>818</v>
      </c>
      <c r="E1279" s="289">
        <v>10</v>
      </c>
      <c r="F1279" s="290">
        <v>0</v>
      </c>
      <c r="G1279" s="289">
        <v>900</v>
      </c>
      <c r="H1279" s="289">
        <v>0</v>
      </c>
      <c r="I1279" s="289">
        <v>90</v>
      </c>
      <c r="J1279" s="289">
        <v>70</v>
      </c>
      <c r="K1279" s="289">
        <v>7</v>
      </c>
      <c r="L1279" s="289">
        <v>1067</v>
      </c>
    </row>
    <row r="1280" spans="1:12">
      <c r="A1280" s="288" t="s">
        <v>2108</v>
      </c>
      <c r="B1280" s="288" t="s">
        <v>1910</v>
      </c>
      <c r="C1280" s="288" t="s">
        <v>814</v>
      </c>
      <c r="D1280" s="288" t="s">
        <v>818</v>
      </c>
      <c r="E1280" s="289">
        <v>10</v>
      </c>
      <c r="F1280" s="290">
        <v>38</v>
      </c>
      <c r="G1280" s="289">
        <v>1100</v>
      </c>
      <c r="H1280" s="289">
        <v>3080</v>
      </c>
      <c r="I1280" s="289">
        <v>418</v>
      </c>
      <c r="J1280" s="289">
        <v>70</v>
      </c>
      <c r="K1280" s="289">
        <v>7</v>
      </c>
      <c r="L1280" s="289">
        <v>4675</v>
      </c>
    </row>
    <row r="1281" spans="1:12">
      <c r="A1281" s="288" t="s">
        <v>2109</v>
      </c>
      <c r="B1281" s="288" t="s">
        <v>1910</v>
      </c>
      <c r="C1281" s="288" t="s">
        <v>1095</v>
      </c>
      <c r="D1281" s="288" t="s">
        <v>815</v>
      </c>
      <c r="E1281" s="289">
        <v>10</v>
      </c>
      <c r="F1281" s="290">
        <v>0</v>
      </c>
      <c r="G1281" s="289">
        <v>900</v>
      </c>
      <c r="H1281" s="289">
        <v>0</v>
      </c>
      <c r="I1281" s="289">
        <v>90</v>
      </c>
      <c r="J1281" s="289">
        <v>50</v>
      </c>
      <c r="K1281" s="289">
        <v>5</v>
      </c>
      <c r="L1281" s="289">
        <v>1045</v>
      </c>
    </row>
    <row r="1282" spans="1:12">
      <c r="A1282" s="288" t="s">
        <v>2110</v>
      </c>
      <c r="B1282" s="288" t="s">
        <v>1910</v>
      </c>
      <c r="C1282" s="288" t="s">
        <v>829</v>
      </c>
      <c r="D1282" s="288" t="s">
        <v>815</v>
      </c>
      <c r="E1282" s="289">
        <v>10</v>
      </c>
      <c r="F1282" s="290">
        <v>1</v>
      </c>
      <c r="G1282" s="289">
        <v>900</v>
      </c>
      <c r="H1282" s="289">
        <v>0</v>
      </c>
      <c r="I1282" s="289">
        <v>90</v>
      </c>
      <c r="J1282" s="289">
        <v>50</v>
      </c>
      <c r="K1282" s="289">
        <v>5</v>
      </c>
      <c r="L1282" s="289">
        <v>1045</v>
      </c>
    </row>
    <row r="1283" spans="1:12">
      <c r="A1283" s="288" t="s">
        <v>2111</v>
      </c>
      <c r="B1283" s="288" t="s">
        <v>1910</v>
      </c>
      <c r="C1283" s="288" t="s">
        <v>820</v>
      </c>
      <c r="D1283" s="288" t="s">
        <v>818</v>
      </c>
      <c r="E1283" s="289">
        <v>10</v>
      </c>
      <c r="F1283" s="290">
        <v>60</v>
      </c>
      <c r="G1283" s="289">
        <v>1100</v>
      </c>
      <c r="H1283" s="289">
        <v>5500</v>
      </c>
      <c r="I1283" s="289">
        <v>660</v>
      </c>
      <c r="J1283" s="289">
        <v>70</v>
      </c>
      <c r="K1283" s="289">
        <v>7</v>
      </c>
      <c r="L1283" s="289">
        <v>7337</v>
      </c>
    </row>
    <row r="1284" spans="1:12">
      <c r="A1284" s="288" t="s">
        <v>2112</v>
      </c>
      <c r="B1284" s="288" t="s">
        <v>1910</v>
      </c>
      <c r="C1284" s="288" t="s">
        <v>820</v>
      </c>
      <c r="D1284" s="288" t="s">
        <v>818</v>
      </c>
      <c r="E1284" s="289">
        <v>10</v>
      </c>
      <c r="F1284" s="290">
        <v>76</v>
      </c>
      <c r="G1284" s="289">
        <v>1100</v>
      </c>
      <c r="H1284" s="289">
        <v>7260</v>
      </c>
      <c r="I1284" s="289">
        <v>836</v>
      </c>
      <c r="J1284" s="289">
        <v>70</v>
      </c>
      <c r="K1284" s="289">
        <v>7</v>
      </c>
      <c r="L1284" s="289">
        <v>9273</v>
      </c>
    </row>
    <row r="1285" spans="1:12">
      <c r="A1285" s="288" t="s">
        <v>2113</v>
      </c>
      <c r="B1285" s="288" t="s">
        <v>1910</v>
      </c>
      <c r="C1285" s="288" t="s">
        <v>829</v>
      </c>
      <c r="D1285" s="288" t="s">
        <v>818</v>
      </c>
      <c r="E1285" s="289">
        <v>10</v>
      </c>
      <c r="F1285" s="290">
        <v>0</v>
      </c>
      <c r="G1285" s="289">
        <v>900</v>
      </c>
      <c r="H1285" s="289">
        <v>0</v>
      </c>
      <c r="I1285" s="289">
        <v>90</v>
      </c>
      <c r="J1285" s="289">
        <v>70</v>
      </c>
      <c r="K1285" s="289">
        <v>7</v>
      </c>
      <c r="L1285" s="289">
        <v>1067</v>
      </c>
    </row>
    <row r="1286" spans="1:12">
      <c r="A1286" s="288" t="s">
        <v>2114</v>
      </c>
      <c r="B1286" s="288" t="s">
        <v>1910</v>
      </c>
      <c r="C1286" s="288" t="s">
        <v>814</v>
      </c>
      <c r="D1286" s="288" t="s">
        <v>818</v>
      </c>
      <c r="E1286" s="289">
        <v>10</v>
      </c>
      <c r="F1286" s="290">
        <v>2</v>
      </c>
      <c r="G1286" s="289">
        <v>900</v>
      </c>
      <c r="H1286" s="289">
        <v>0</v>
      </c>
      <c r="I1286" s="289">
        <v>90</v>
      </c>
      <c r="J1286" s="289">
        <v>70</v>
      </c>
      <c r="K1286" s="289">
        <v>7</v>
      </c>
      <c r="L1286" s="289">
        <v>1067</v>
      </c>
    </row>
    <row r="1287" spans="1:12">
      <c r="A1287" s="288" t="s">
        <v>2115</v>
      </c>
      <c r="B1287" s="288" t="s">
        <v>1910</v>
      </c>
      <c r="C1287" s="288" t="s">
        <v>829</v>
      </c>
      <c r="D1287" s="288" t="s">
        <v>815</v>
      </c>
      <c r="E1287" s="289">
        <v>10</v>
      </c>
      <c r="F1287" s="290">
        <v>0</v>
      </c>
      <c r="G1287" s="289">
        <v>900</v>
      </c>
      <c r="H1287" s="289">
        <v>0</v>
      </c>
      <c r="I1287" s="289">
        <v>90</v>
      </c>
      <c r="J1287" s="289">
        <v>50</v>
      </c>
      <c r="K1287" s="289">
        <v>5</v>
      </c>
      <c r="L1287" s="289">
        <v>1045</v>
      </c>
    </row>
    <row r="1288" spans="1:12">
      <c r="A1288" s="288" t="s">
        <v>2116</v>
      </c>
      <c r="B1288" s="288" t="s">
        <v>1910</v>
      </c>
      <c r="C1288" s="288" t="s">
        <v>814</v>
      </c>
      <c r="D1288" s="288" t="s">
        <v>818</v>
      </c>
      <c r="E1288" s="289">
        <v>10</v>
      </c>
      <c r="F1288" s="290">
        <v>23</v>
      </c>
      <c r="G1288" s="289">
        <v>1100</v>
      </c>
      <c r="H1288" s="289">
        <v>1430</v>
      </c>
      <c r="I1288" s="289">
        <v>253</v>
      </c>
      <c r="J1288" s="289">
        <v>70</v>
      </c>
      <c r="K1288" s="289">
        <v>7</v>
      </c>
      <c r="L1288" s="289">
        <v>2860</v>
      </c>
    </row>
    <row r="1289" spans="1:12">
      <c r="A1289" s="288" t="s">
        <v>2117</v>
      </c>
      <c r="B1289" s="288" t="s">
        <v>1910</v>
      </c>
      <c r="C1289" s="288" t="s">
        <v>829</v>
      </c>
      <c r="D1289" s="288" t="s">
        <v>822</v>
      </c>
      <c r="E1289" s="289">
        <v>10</v>
      </c>
      <c r="F1289" s="290">
        <v>82</v>
      </c>
      <c r="G1289" s="289">
        <v>1100</v>
      </c>
      <c r="H1289" s="289">
        <v>7920</v>
      </c>
      <c r="I1289" s="289">
        <v>902</v>
      </c>
      <c r="J1289" s="289">
        <v>200</v>
      </c>
      <c r="K1289" s="289">
        <v>20</v>
      </c>
      <c r="L1289" s="289">
        <v>10142</v>
      </c>
    </row>
    <row r="1290" spans="1:12">
      <c r="A1290" s="288" t="s">
        <v>2118</v>
      </c>
      <c r="B1290" s="288" t="s">
        <v>1910</v>
      </c>
      <c r="C1290" s="288" t="s">
        <v>814</v>
      </c>
      <c r="D1290" s="288" t="s">
        <v>818</v>
      </c>
      <c r="E1290" s="289">
        <v>10</v>
      </c>
      <c r="F1290" s="290">
        <v>4</v>
      </c>
      <c r="G1290" s="289">
        <v>900</v>
      </c>
      <c r="H1290" s="289">
        <v>0</v>
      </c>
      <c r="I1290" s="289">
        <v>90</v>
      </c>
      <c r="J1290" s="289">
        <v>70</v>
      </c>
      <c r="K1290" s="289">
        <v>7</v>
      </c>
      <c r="L1290" s="289">
        <v>1067</v>
      </c>
    </row>
    <row r="1291" spans="1:12">
      <c r="A1291" s="288" t="s">
        <v>2119</v>
      </c>
      <c r="B1291" s="288" t="s">
        <v>1782</v>
      </c>
      <c r="C1291" s="288" t="s">
        <v>814</v>
      </c>
      <c r="D1291" s="288" t="s">
        <v>818</v>
      </c>
      <c r="E1291" s="289">
        <v>10</v>
      </c>
      <c r="F1291" s="290">
        <v>16</v>
      </c>
      <c r="G1291" s="289">
        <v>1100</v>
      </c>
      <c r="H1291" s="289">
        <v>660</v>
      </c>
      <c r="I1291" s="289">
        <v>176</v>
      </c>
      <c r="J1291" s="289">
        <v>70</v>
      </c>
      <c r="K1291" s="289">
        <v>7</v>
      </c>
      <c r="L1291" s="289">
        <v>2013</v>
      </c>
    </row>
    <row r="1292" spans="1:12">
      <c r="A1292" s="288" t="s">
        <v>2120</v>
      </c>
      <c r="B1292" s="288" t="s">
        <v>1910</v>
      </c>
      <c r="C1292" s="288" t="s">
        <v>820</v>
      </c>
      <c r="D1292" s="288" t="s">
        <v>818</v>
      </c>
      <c r="E1292" s="289">
        <v>10</v>
      </c>
      <c r="F1292" s="290">
        <v>0</v>
      </c>
      <c r="G1292" s="289">
        <v>900</v>
      </c>
      <c r="H1292" s="289">
        <v>0</v>
      </c>
      <c r="I1292" s="289">
        <v>90</v>
      </c>
      <c r="J1292" s="289">
        <v>70</v>
      </c>
      <c r="K1292" s="289">
        <v>7</v>
      </c>
      <c r="L1292" s="289">
        <v>1067</v>
      </c>
    </row>
    <row r="1293" spans="1:12">
      <c r="A1293" s="288" t="s">
        <v>2121</v>
      </c>
      <c r="B1293" s="288" t="s">
        <v>1910</v>
      </c>
      <c r="C1293" s="288" t="s">
        <v>814</v>
      </c>
      <c r="D1293" s="288" t="s">
        <v>818</v>
      </c>
      <c r="E1293" s="289">
        <v>10</v>
      </c>
      <c r="F1293" s="290">
        <v>16</v>
      </c>
      <c r="G1293" s="289">
        <v>1100</v>
      </c>
      <c r="H1293" s="289">
        <v>660</v>
      </c>
      <c r="I1293" s="289">
        <v>176</v>
      </c>
      <c r="J1293" s="289">
        <v>70</v>
      </c>
      <c r="K1293" s="289">
        <v>7</v>
      </c>
      <c r="L1293" s="289">
        <v>2013</v>
      </c>
    </row>
    <row r="1294" spans="1:12">
      <c r="A1294" s="288" t="s">
        <v>2122</v>
      </c>
      <c r="B1294" s="288" t="s">
        <v>1910</v>
      </c>
      <c r="C1294" s="288" t="s">
        <v>814</v>
      </c>
      <c r="D1294" s="288" t="s">
        <v>818</v>
      </c>
      <c r="E1294" s="289">
        <v>10</v>
      </c>
      <c r="F1294" s="290">
        <v>9</v>
      </c>
      <c r="G1294" s="289">
        <v>1100</v>
      </c>
      <c r="H1294" s="289">
        <v>0</v>
      </c>
      <c r="I1294" s="289">
        <v>110</v>
      </c>
      <c r="J1294" s="289">
        <v>70</v>
      </c>
      <c r="K1294" s="289">
        <v>7</v>
      </c>
      <c r="L1294" s="289">
        <v>1287</v>
      </c>
    </row>
    <row r="1295" spans="1:12">
      <c r="A1295" s="288" t="s">
        <v>2123</v>
      </c>
      <c r="B1295" s="288" t="s">
        <v>1910</v>
      </c>
      <c r="C1295" s="288" t="s">
        <v>814</v>
      </c>
      <c r="D1295" s="288" t="s">
        <v>818</v>
      </c>
      <c r="E1295" s="289">
        <v>10</v>
      </c>
      <c r="F1295" s="290">
        <v>15</v>
      </c>
      <c r="G1295" s="289">
        <v>1100</v>
      </c>
      <c r="H1295" s="289">
        <v>550</v>
      </c>
      <c r="I1295" s="289">
        <v>165</v>
      </c>
      <c r="J1295" s="289">
        <v>70</v>
      </c>
      <c r="K1295" s="289">
        <v>7</v>
      </c>
      <c r="L1295" s="289">
        <v>1892</v>
      </c>
    </row>
    <row r="1296" spans="1:12">
      <c r="A1296" s="288" t="s">
        <v>2124</v>
      </c>
      <c r="B1296" s="288" t="s">
        <v>1910</v>
      </c>
      <c r="C1296" s="288" t="s">
        <v>814</v>
      </c>
      <c r="D1296" s="288" t="s">
        <v>818</v>
      </c>
      <c r="E1296" s="289">
        <v>10</v>
      </c>
      <c r="F1296" s="290">
        <v>24</v>
      </c>
      <c r="G1296" s="289">
        <v>1100</v>
      </c>
      <c r="H1296" s="289">
        <v>1540</v>
      </c>
      <c r="I1296" s="289">
        <v>264</v>
      </c>
      <c r="J1296" s="289">
        <v>70</v>
      </c>
      <c r="K1296" s="289">
        <v>7</v>
      </c>
      <c r="L1296" s="289">
        <v>2981</v>
      </c>
    </row>
    <row r="1297" spans="1:12">
      <c r="A1297" s="288" t="s">
        <v>2125</v>
      </c>
      <c r="B1297" s="288" t="s">
        <v>1910</v>
      </c>
      <c r="C1297" s="288" t="s">
        <v>814</v>
      </c>
      <c r="D1297" s="288" t="s">
        <v>815</v>
      </c>
      <c r="E1297" s="289">
        <v>10</v>
      </c>
      <c r="F1297" s="290">
        <v>18</v>
      </c>
      <c r="G1297" s="289">
        <v>1100</v>
      </c>
      <c r="H1297" s="289">
        <v>880</v>
      </c>
      <c r="I1297" s="289">
        <v>198</v>
      </c>
      <c r="J1297" s="289">
        <v>50</v>
      </c>
      <c r="K1297" s="289">
        <v>5</v>
      </c>
      <c r="L1297" s="289">
        <v>2233</v>
      </c>
    </row>
    <row r="1298" spans="1:12">
      <c r="A1298" s="288" t="s">
        <v>2126</v>
      </c>
      <c r="B1298" s="288" t="s">
        <v>1910</v>
      </c>
      <c r="C1298" s="288" t="s">
        <v>814</v>
      </c>
      <c r="D1298" s="288" t="s">
        <v>815</v>
      </c>
      <c r="E1298" s="289">
        <v>10</v>
      </c>
      <c r="F1298" s="290">
        <v>3</v>
      </c>
      <c r="G1298" s="289">
        <v>900</v>
      </c>
      <c r="H1298" s="289">
        <v>0</v>
      </c>
      <c r="I1298" s="289">
        <v>90</v>
      </c>
      <c r="J1298" s="289">
        <v>50</v>
      </c>
      <c r="K1298" s="289">
        <v>5</v>
      </c>
      <c r="L1298" s="289">
        <v>1045</v>
      </c>
    </row>
    <row r="1299" spans="1:12">
      <c r="A1299" s="288" t="s">
        <v>2127</v>
      </c>
      <c r="B1299" s="288" t="s">
        <v>1910</v>
      </c>
      <c r="C1299" s="288" t="s">
        <v>814</v>
      </c>
      <c r="D1299" s="288" t="s">
        <v>815</v>
      </c>
      <c r="E1299" s="289">
        <v>10</v>
      </c>
      <c r="F1299" s="290">
        <v>12</v>
      </c>
      <c r="G1299" s="289">
        <v>1100</v>
      </c>
      <c r="H1299" s="289">
        <v>220</v>
      </c>
      <c r="I1299" s="289">
        <v>132</v>
      </c>
      <c r="J1299" s="289">
        <v>50</v>
      </c>
      <c r="K1299" s="289">
        <v>5</v>
      </c>
      <c r="L1299" s="289">
        <v>1507</v>
      </c>
    </row>
    <row r="1300" spans="1:12">
      <c r="A1300" s="288" t="s">
        <v>2128</v>
      </c>
      <c r="B1300" s="288" t="s">
        <v>1910</v>
      </c>
      <c r="C1300" s="288" t="s">
        <v>814</v>
      </c>
      <c r="D1300" s="288" t="s">
        <v>815</v>
      </c>
      <c r="E1300" s="289">
        <v>10</v>
      </c>
      <c r="F1300" s="290">
        <v>4</v>
      </c>
      <c r="G1300" s="289">
        <v>900</v>
      </c>
      <c r="H1300" s="289">
        <v>0</v>
      </c>
      <c r="I1300" s="289">
        <v>90</v>
      </c>
      <c r="J1300" s="289">
        <v>50</v>
      </c>
      <c r="K1300" s="289">
        <v>5</v>
      </c>
      <c r="L1300" s="289">
        <v>1045</v>
      </c>
    </row>
    <row r="1301" spans="1:12">
      <c r="A1301" s="288" t="s">
        <v>2129</v>
      </c>
      <c r="B1301" s="288" t="s">
        <v>1910</v>
      </c>
      <c r="C1301" s="288" t="s">
        <v>814</v>
      </c>
      <c r="D1301" s="288" t="s">
        <v>815</v>
      </c>
      <c r="E1301" s="289">
        <v>10</v>
      </c>
      <c r="F1301" s="290">
        <v>5</v>
      </c>
      <c r="G1301" s="289">
        <v>900</v>
      </c>
      <c r="H1301" s="289">
        <v>0</v>
      </c>
      <c r="I1301" s="289">
        <v>90</v>
      </c>
      <c r="J1301" s="289">
        <v>50</v>
      </c>
      <c r="K1301" s="289">
        <v>5</v>
      </c>
      <c r="L1301" s="289">
        <v>1045</v>
      </c>
    </row>
    <row r="1302" spans="1:12">
      <c r="A1302" s="288" t="s">
        <v>2130</v>
      </c>
      <c r="B1302" s="288" t="s">
        <v>1910</v>
      </c>
      <c r="C1302" s="288" t="s">
        <v>814</v>
      </c>
      <c r="D1302" s="288" t="s">
        <v>815</v>
      </c>
      <c r="E1302" s="289">
        <v>10</v>
      </c>
      <c r="F1302" s="290">
        <v>5</v>
      </c>
      <c r="G1302" s="289">
        <v>900</v>
      </c>
      <c r="H1302" s="289">
        <v>0</v>
      </c>
      <c r="I1302" s="289">
        <v>90</v>
      </c>
      <c r="J1302" s="289">
        <v>50</v>
      </c>
      <c r="K1302" s="289">
        <v>5</v>
      </c>
      <c r="L1302" s="289">
        <v>1045</v>
      </c>
    </row>
    <row r="1303" spans="1:12">
      <c r="A1303" s="288" t="s">
        <v>2131</v>
      </c>
      <c r="B1303" s="288" t="s">
        <v>1910</v>
      </c>
      <c r="C1303" s="288" t="s">
        <v>814</v>
      </c>
      <c r="D1303" s="288" t="s">
        <v>815</v>
      </c>
      <c r="E1303" s="289">
        <v>10</v>
      </c>
      <c r="F1303" s="290">
        <v>2</v>
      </c>
      <c r="G1303" s="289">
        <v>900</v>
      </c>
      <c r="H1303" s="289">
        <v>0</v>
      </c>
      <c r="I1303" s="289">
        <v>90</v>
      </c>
      <c r="J1303" s="289">
        <v>50</v>
      </c>
      <c r="K1303" s="289">
        <v>5</v>
      </c>
      <c r="L1303" s="289">
        <v>1045</v>
      </c>
    </row>
    <row r="1304" spans="1:12">
      <c r="A1304" s="288" t="s">
        <v>2132</v>
      </c>
      <c r="B1304" s="288" t="s">
        <v>1910</v>
      </c>
      <c r="C1304" s="288" t="s">
        <v>820</v>
      </c>
      <c r="D1304" s="288" t="s">
        <v>818</v>
      </c>
      <c r="E1304" s="289">
        <v>10</v>
      </c>
      <c r="F1304" s="290">
        <v>28</v>
      </c>
      <c r="G1304" s="289">
        <v>1100</v>
      </c>
      <c r="H1304" s="289">
        <v>1980</v>
      </c>
      <c r="I1304" s="289">
        <v>308</v>
      </c>
      <c r="J1304" s="289">
        <v>70</v>
      </c>
      <c r="K1304" s="289">
        <v>7</v>
      </c>
      <c r="L1304" s="289">
        <v>3465</v>
      </c>
    </row>
    <row r="1305" spans="1:12">
      <c r="A1305" s="288" t="s">
        <v>2133</v>
      </c>
      <c r="B1305" s="288" t="s">
        <v>1910</v>
      </c>
      <c r="C1305" s="288" t="s">
        <v>814</v>
      </c>
      <c r="D1305" s="288" t="s">
        <v>815</v>
      </c>
      <c r="E1305" s="289">
        <v>10</v>
      </c>
      <c r="F1305" s="290">
        <v>0</v>
      </c>
      <c r="G1305" s="289">
        <v>900</v>
      </c>
      <c r="H1305" s="289">
        <v>0</v>
      </c>
      <c r="I1305" s="289">
        <v>90</v>
      </c>
      <c r="J1305" s="289">
        <v>50</v>
      </c>
      <c r="K1305" s="289">
        <v>5</v>
      </c>
      <c r="L1305" s="289">
        <v>1045</v>
      </c>
    </row>
    <row r="1306" spans="1:12">
      <c r="A1306" s="288" t="s">
        <v>2134</v>
      </c>
      <c r="B1306" s="288" t="s">
        <v>1641</v>
      </c>
      <c r="C1306" s="288" t="s">
        <v>814</v>
      </c>
      <c r="D1306" s="288" t="s">
        <v>815</v>
      </c>
      <c r="E1306" s="289">
        <v>10</v>
      </c>
      <c r="F1306" s="290">
        <v>5</v>
      </c>
      <c r="G1306" s="289">
        <v>900</v>
      </c>
      <c r="H1306" s="289">
        <v>0</v>
      </c>
      <c r="I1306" s="289">
        <v>90</v>
      </c>
      <c r="J1306" s="289">
        <v>50</v>
      </c>
      <c r="K1306" s="289">
        <v>5</v>
      </c>
      <c r="L1306" s="289">
        <v>1045</v>
      </c>
    </row>
    <row r="1307" spans="1:12">
      <c r="A1307" s="288" t="s">
        <v>2135</v>
      </c>
      <c r="B1307" s="288" t="s">
        <v>1641</v>
      </c>
      <c r="C1307" s="288" t="s">
        <v>814</v>
      </c>
      <c r="D1307" s="288" t="s">
        <v>815</v>
      </c>
      <c r="E1307" s="289">
        <v>10</v>
      </c>
      <c r="F1307" s="290">
        <v>4</v>
      </c>
      <c r="G1307" s="289">
        <v>900</v>
      </c>
      <c r="H1307" s="289">
        <v>0</v>
      </c>
      <c r="I1307" s="289">
        <v>90</v>
      </c>
      <c r="J1307" s="289">
        <v>50</v>
      </c>
      <c r="K1307" s="289">
        <v>5</v>
      </c>
      <c r="L1307" s="289">
        <v>1045</v>
      </c>
    </row>
    <row r="1308" spans="1:12">
      <c r="A1308" s="288" t="s">
        <v>2136</v>
      </c>
      <c r="B1308" s="288" t="s">
        <v>1641</v>
      </c>
      <c r="C1308" s="288" t="s">
        <v>814</v>
      </c>
      <c r="D1308" s="288" t="s">
        <v>815</v>
      </c>
      <c r="E1308" s="289">
        <v>10</v>
      </c>
      <c r="F1308" s="290">
        <v>6</v>
      </c>
      <c r="G1308" s="289">
        <v>1100</v>
      </c>
      <c r="H1308" s="289">
        <v>0</v>
      </c>
      <c r="I1308" s="289">
        <v>110</v>
      </c>
      <c r="J1308" s="289">
        <v>50</v>
      </c>
      <c r="K1308" s="289">
        <v>5</v>
      </c>
      <c r="L1308" s="289">
        <v>1265</v>
      </c>
    </row>
    <row r="1309" spans="1:12">
      <c r="A1309" s="288" t="s">
        <v>2137</v>
      </c>
      <c r="B1309" s="288" t="s">
        <v>1641</v>
      </c>
      <c r="C1309" s="288" t="s">
        <v>814</v>
      </c>
      <c r="D1309" s="288" t="s">
        <v>815</v>
      </c>
      <c r="E1309" s="289">
        <v>10</v>
      </c>
      <c r="F1309" s="290">
        <v>7</v>
      </c>
      <c r="G1309" s="289">
        <v>1100</v>
      </c>
      <c r="H1309" s="289">
        <v>0</v>
      </c>
      <c r="I1309" s="289">
        <v>110</v>
      </c>
      <c r="J1309" s="289">
        <v>50</v>
      </c>
      <c r="K1309" s="289">
        <v>5</v>
      </c>
      <c r="L1309" s="289">
        <v>1265</v>
      </c>
    </row>
    <row r="1310" spans="1:12">
      <c r="A1310" s="288" t="s">
        <v>2138</v>
      </c>
      <c r="B1310" s="288" t="s">
        <v>1910</v>
      </c>
      <c r="C1310" s="288" t="s">
        <v>814</v>
      </c>
      <c r="D1310" s="288" t="s">
        <v>818</v>
      </c>
      <c r="E1310" s="289">
        <v>10</v>
      </c>
      <c r="F1310" s="290">
        <v>27</v>
      </c>
      <c r="G1310" s="289">
        <v>1100</v>
      </c>
      <c r="H1310" s="289">
        <v>1870</v>
      </c>
      <c r="I1310" s="289">
        <v>297</v>
      </c>
      <c r="J1310" s="289">
        <v>70</v>
      </c>
      <c r="K1310" s="289">
        <v>7</v>
      </c>
      <c r="L1310" s="289">
        <v>3344</v>
      </c>
    </row>
    <row r="1311" spans="1:12">
      <c r="A1311" s="288" t="s">
        <v>2139</v>
      </c>
      <c r="B1311" s="288" t="s">
        <v>813</v>
      </c>
      <c r="C1311" s="288" t="s">
        <v>814</v>
      </c>
      <c r="D1311" s="288" t="s">
        <v>818</v>
      </c>
      <c r="E1311" s="289">
        <v>10</v>
      </c>
      <c r="F1311" s="290">
        <v>15</v>
      </c>
      <c r="G1311" s="289">
        <v>1100</v>
      </c>
      <c r="H1311" s="289">
        <v>550</v>
      </c>
      <c r="I1311" s="289">
        <v>165</v>
      </c>
      <c r="J1311" s="289">
        <v>70</v>
      </c>
      <c r="K1311" s="289">
        <v>7</v>
      </c>
      <c r="L1311" s="289">
        <v>1892</v>
      </c>
    </row>
    <row r="1312" spans="1:12">
      <c r="A1312" s="288" t="s">
        <v>2140</v>
      </c>
      <c r="B1312" s="288" t="s">
        <v>813</v>
      </c>
      <c r="C1312" s="288" t="s">
        <v>814</v>
      </c>
      <c r="D1312" s="288" t="s">
        <v>818</v>
      </c>
      <c r="E1312" s="289">
        <v>10</v>
      </c>
      <c r="F1312" s="290">
        <v>9</v>
      </c>
      <c r="G1312" s="289">
        <v>1100</v>
      </c>
      <c r="H1312" s="289">
        <v>0</v>
      </c>
      <c r="I1312" s="289">
        <v>110</v>
      </c>
      <c r="J1312" s="289">
        <v>70</v>
      </c>
      <c r="K1312" s="289">
        <v>7</v>
      </c>
      <c r="L1312" s="289">
        <v>1287</v>
      </c>
    </row>
    <row r="1313" spans="1:12">
      <c r="A1313" s="288" t="s">
        <v>2141</v>
      </c>
      <c r="B1313" s="288" t="s">
        <v>813</v>
      </c>
      <c r="C1313" s="288" t="s">
        <v>814</v>
      </c>
      <c r="D1313" s="288" t="s">
        <v>818</v>
      </c>
      <c r="E1313" s="289">
        <v>10</v>
      </c>
      <c r="F1313" s="290">
        <v>0</v>
      </c>
      <c r="G1313" s="289">
        <v>900</v>
      </c>
      <c r="H1313" s="289">
        <v>0</v>
      </c>
      <c r="I1313" s="289">
        <v>90</v>
      </c>
      <c r="J1313" s="289">
        <v>70</v>
      </c>
      <c r="K1313" s="289">
        <v>7</v>
      </c>
      <c r="L1313" s="289">
        <v>1067</v>
      </c>
    </row>
    <row r="1314" spans="1:12">
      <c r="A1314" s="288" t="s">
        <v>2142</v>
      </c>
      <c r="B1314" s="288" t="s">
        <v>813</v>
      </c>
      <c r="C1314" s="288" t="s">
        <v>814</v>
      </c>
      <c r="D1314" s="288" t="s">
        <v>815</v>
      </c>
      <c r="E1314" s="289">
        <v>10</v>
      </c>
      <c r="F1314" s="290">
        <v>12</v>
      </c>
      <c r="G1314" s="289">
        <v>1100</v>
      </c>
      <c r="H1314" s="289">
        <v>220</v>
      </c>
      <c r="I1314" s="289">
        <v>132</v>
      </c>
      <c r="J1314" s="289">
        <v>50</v>
      </c>
      <c r="K1314" s="289">
        <v>5</v>
      </c>
      <c r="L1314" s="289">
        <v>1507</v>
      </c>
    </row>
    <row r="1315" spans="1:12">
      <c r="A1315" s="288" t="s">
        <v>2143</v>
      </c>
      <c r="B1315" s="288" t="s">
        <v>813</v>
      </c>
      <c r="C1315" s="288" t="s">
        <v>814</v>
      </c>
      <c r="D1315" s="288" t="s">
        <v>815</v>
      </c>
      <c r="E1315" s="289">
        <v>10</v>
      </c>
      <c r="F1315" s="290">
        <v>8</v>
      </c>
      <c r="G1315" s="289">
        <v>1100</v>
      </c>
      <c r="H1315" s="289">
        <v>0</v>
      </c>
      <c r="I1315" s="289">
        <v>110</v>
      </c>
      <c r="J1315" s="289">
        <v>50</v>
      </c>
      <c r="K1315" s="289">
        <v>5</v>
      </c>
      <c r="L1315" s="289">
        <v>1265</v>
      </c>
    </row>
    <row r="1316" spans="1:12">
      <c r="A1316" s="288" t="s">
        <v>2144</v>
      </c>
      <c r="B1316" s="288" t="s">
        <v>813</v>
      </c>
      <c r="C1316" s="288" t="s">
        <v>814</v>
      </c>
      <c r="D1316" s="288" t="s">
        <v>818</v>
      </c>
      <c r="E1316" s="289">
        <v>10</v>
      </c>
      <c r="F1316" s="290">
        <v>0</v>
      </c>
      <c r="G1316" s="289">
        <v>900</v>
      </c>
      <c r="H1316" s="289">
        <v>0</v>
      </c>
      <c r="I1316" s="289">
        <v>90</v>
      </c>
      <c r="J1316" s="289">
        <v>70</v>
      </c>
      <c r="K1316" s="289">
        <v>7</v>
      </c>
      <c r="L1316" s="289">
        <v>1067</v>
      </c>
    </row>
    <row r="1317" spans="1:12">
      <c r="A1317" s="288" t="s">
        <v>2145</v>
      </c>
      <c r="B1317" s="288" t="s">
        <v>813</v>
      </c>
      <c r="C1317" s="288" t="s">
        <v>814</v>
      </c>
      <c r="D1317" s="288" t="s">
        <v>815</v>
      </c>
      <c r="E1317" s="289">
        <v>10</v>
      </c>
      <c r="F1317" s="290">
        <v>6</v>
      </c>
      <c r="G1317" s="289">
        <v>1100</v>
      </c>
      <c r="H1317" s="289">
        <v>0</v>
      </c>
      <c r="I1317" s="289">
        <v>110</v>
      </c>
      <c r="J1317" s="289">
        <v>50</v>
      </c>
      <c r="K1317" s="289">
        <v>5</v>
      </c>
      <c r="L1317" s="289">
        <v>1265</v>
      </c>
    </row>
    <row r="1318" spans="1:12">
      <c r="A1318" s="288" t="s">
        <v>2146</v>
      </c>
      <c r="B1318" s="288" t="s">
        <v>813</v>
      </c>
      <c r="C1318" s="288" t="s">
        <v>814</v>
      </c>
      <c r="D1318" s="288" t="s">
        <v>818</v>
      </c>
      <c r="E1318" s="289">
        <v>10</v>
      </c>
      <c r="F1318" s="290">
        <v>29</v>
      </c>
      <c r="G1318" s="289">
        <v>1100</v>
      </c>
      <c r="H1318" s="289">
        <v>2090</v>
      </c>
      <c r="I1318" s="289">
        <v>319</v>
      </c>
      <c r="J1318" s="289">
        <v>70</v>
      </c>
      <c r="K1318" s="289">
        <v>7</v>
      </c>
      <c r="L1318" s="289">
        <v>3586</v>
      </c>
    </row>
    <row r="1319" spans="1:12">
      <c r="A1319" s="288" t="s">
        <v>2147</v>
      </c>
      <c r="B1319" s="288" t="s">
        <v>813</v>
      </c>
      <c r="C1319" s="288" t="s">
        <v>814</v>
      </c>
      <c r="D1319" s="288" t="s">
        <v>818</v>
      </c>
      <c r="E1319" s="289">
        <v>10</v>
      </c>
      <c r="F1319" s="290">
        <v>28</v>
      </c>
      <c r="G1319" s="289">
        <v>1100</v>
      </c>
      <c r="H1319" s="289">
        <v>1980</v>
      </c>
      <c r="I1319" s="289">
        <v>308</v>
      </c>
      <c r="J1319" s="289">
        <v>70</v>
      </c>
      <c r="K1319" s="289">
        <v>7</v>
      </c>
      <c r="L1319" s="289">
        <v>3465</v>
      </c>
    </row>
    <row r="1320" spans="1:12">
      <c r="A1320" s="288" t="s">
        <v>2148</v>
      </c>
      <c r="B1320" s="288" t="s">
        <v>813</v>
      </c>
      <c r="C1320" s="288" t="s">
        <v>814</v>
      </c>
      <c r="D1320" s="288" t="s">
        <v>815</v>
      </c>
      <c r="E1320" s="289">
        <v>10</v>
      </c>
      <c r="F1320" s="290">
        <v>10</v>
      </c>
      <c r="G1320" s="289">
        <v>1100</v>
      </c>
      <c r="H1320" s="289">
        <v>0</v>
      </c>
      <c r="I1320" s="289">
        <v>110</v>
      </c>
      <c r="J1320" s="289">
        <v>50</v>
      </c>
      <c r="K1320" s="289">
        <v>5</v>
      </c>
      <c r="L1320" s="289">
        <v>1265</v>
      </c>
    </row>
    <row r="1321" spans="1:12">
      <c r="A1321" s="288" t="s">
        <v>2149</v>
      </c>
      <c r="B1321" s="288" t="s">
        <v>813</v>
      </c>
      <c r="C1321" s="288" t="s">
        <v>814</v>
      </c>
      <c r="D1321" s="288" t="s">
        <v>815</v>
      </c>
      <c r="E1321" s="289">
        <v>10</v>
      </c>
      <c r="F1321" s="290">
        <v>6</v>
      </c>
      <c r="G1321" s="289">
        <v>1100</v>
      </c>
      <c r="H1321" s="289">
        <v>0</v>
      </c>
      <c r="I1321" s="289">
        <v>110</v>
      </c>
      <c r="J1321" s="289">
        <v>50</v>
      </c>
      <c r="K1321" s="289">
        <v>5</v>
      </c>
      <c r="L1321" s="289">
        <v>1265</v>
      </c>
    </row>
    <row r="1322" spans="1:12">
      <c r="A1322" s="288" t="s">
        <v>2150</v>
      </c>
      <c r="B1322" s="288" t="s">
        <v>813</v>
      </c>
      <c r="C1322" s="288" t="s">
        <v>814</v>
      </c>
      <c r="D1322" s="288" t="s">
        <v>818</v>
      </c>
      <c r="E1322" s="289">
        <v>10</v>
      </c>
      <c r="F1322" s="290">
        <v>62</v>
      </c>
      <c r="G1322" s="289">
        <v>1100</v>
      </c>
      <c r="H1322" s="289">
        <v>5720</v>
      </c>
      <c r="I1322" s="289">
        <v>682</v>
      </c>
      <c r="J1322" s="289">
        <v>70</v>
      </c>
      <c r="K1322" s="289">
        <v>7</v>
      </c>
      <c r="L1322" s="289">
        <v>7579</v>
      </c>
    </row>
    <row r="1323" spans="1:12">
      <c r="A1323" s="288" t="s">
        <v>2151</v>
      </c>
      <c r="B1323" s="288" t="s">
        <v>813</v>
      </c>
      <c r="C1323" s="288" t="s">
        <v>814</v>
      </c>
      <c r="D1323" s="288" t="s">
        <v>818</v>
      </c>
      <c r="E1323" s="289">
        <v>10</v>
      </c>
      <c r="F1323" s="290">
        <v>19</v>
      </c>
      <c r="G1323" s="289">
        <v>1100</v>
      </c>
      <c r="H1323" s="289">
        <v>990</v>
      </c>
      <c r="I1323" s="289">
        <v>209</v>
      </c>
      <c r="J1323" s="289">
        <v>70</v>
      </c>
      <c r="K1323" s="289">
        <v>7</v>
      </c>
      <c r="L1323" s="289">
        <v>2376</v>
      </c>
    </row>
    <row r="1324" spans="1:12">
      <c r="A1324" s="288" t="s">
        <v>2152</v>
      </c>
      <c r="B1324" s="288" t="s">
        <v>813</v>
      </c>
      <c r="C1324" s="288" t="s">
        <v>814</v>
      </c>
      <c r="D1324" s="288" t="s">
        <v>815</v>
      </c>
      <c r="E1324" s="289">
        <v>10</v>
      </c>
      <c r="F1324" s="290">
        <v>1</v>
      </c>
      <c r="G1324" s="289">
        <v>900</v>
      </c>
      <c r="H1324" s="289">
        <v>0</v>
      </c>
      <c r="I1324" s="289">
        <v>90</v>
      </c>
      <c r="J1324" s="289">
        <v>50</v>
      </c>
      <c r="K1324" s="289">
        <v>5</v>
      </c>
      <c r="L1324" s="289">
        <v>1045</v>
      </c>
    </row>
    <row r="1325" spans="1:12">
      <c r="A1325" s="288" t="s">
        <v>2153</v>
      </c>
      <c r="B1325" s="288" t="s">
        <v>813</v>
      </c>
      <c r="C1325" s="288" t="s">
        <v>814</v>
      </c>
      <c r="D1325" s="288" t="s">
        <v>815</v>
      </c>
      <c r="E1325" s="289">
        <v>10</v>
      </c>
      <c r="F1325" s="290">
        <v>4</v>
      </c>
      <c r="G1325" s="289">
        <v>900</v>
      </c>
      <c r="H1325" s="289">
        <v>0</v>
      </c>
      <c r="I1325" s="289">
        <v>90</v>
      </c>
      <c r="J1325" s="289">
        <v>50</v>
      </c>
      <c r="K1325" s="289">
        <v>5</v>
      </c>
      <c r="L1325" s="289">
        <v>1045</v>
      </c>
    </row>
    <row r="1326" spans="1:12">
      <c r="A1326" s="288" t="s">
        <v>2154</v>
      </c>
      <c r="B1326" s="288" t="s">
        <v>813</v>
      </c>
      <c r="C1326" s="288" t="s">
        <v>814</v>
      </c>
      <c r="D1326" s="288" t="s">
        <v>815</v>
      </c>
      <c r="E1326" s="289">
        <v>10</v>
      </c>
      <c r="F1326" s="290">
        <v>13</v>
      </c>
      <c r="G1326" s="289">
        <v>1100</v>
      </c>
      <c r="H1326" s="289">
        <v>330</v>
      </c>
      <c r="I1326" s="289">
        <v>143</v>
      </c>
      <c r="J1326" s="289">
        <v>50</v>
      </c>
      <c r="K1326" s="289">
        <v>5</v>
      </c>
      <c r="L1326" s="289">
        <v>1628</v>
      </c>
    </row>
    <row r="1327" spans="1:12">
      <c r="A1327" s="288" t="s">
        <v>2155</v>
      </c>
      <c r="B1327" s="288" t="s">
        <v>813</v>
      </c>
      <c r="C1327" s="288" t="s">
        <v>814</v>
      </c>
      <c r="D1327" s="288" t="s">
        <v>815</v>
      </c>
      <c r="E1327" s="289">
        <v>10</v>
      </c>
      <c r="F1327" s="290">
        <v>7</v>
      </c>
      <c r="G1327" s="289">
        <v>1100</v>
      </c>
      <c r="H1327" s="289">
        <v>0</v>
      </c>
      <c r="I1327" s="289">
        <v>110</v>
      </c>
      <c r="J1327" s="289">
        <v>50</v>
      </c>
      <c r="K1327" s="289">
        <v>5</v>
      </c>
      <c r="L1327" s="289">
        <v>1265</v>
      </c>
    </row>
    <row r="1328" spans="1:12">
      <c r="A1328" s="288" t="s">
        <v>2156</v>
      </c>
      <c r="B1328" s="288" t="s">
        <v>813</v>
      </c>
      <c r="C1328" s="288" t="s">
        <v>814</v>
      </c>
      <c r="D1328" s="288" t="s">
        <v>815</v>
      </c>
      <c r="E1328" s="289">
        <v>10</v>
      </c>
      <c r="F1328" s="290">
        <v>12</v>
      </c>
      <c r="G1328" s="289">
        <v>1100</v>
      </c>
      <c r="H1328" s="289">
        <v>220</v>
      </c>
      <c r="I1328" s="289">
        <v>132</v>
      </c>
      <c r="J1328" s="289">
        <v>50</v>
      </c>
      <c r="K1328" s="289">
        <v>5</v>
      </c>
      <c r="L1328" s="289">
        <v>1507</v>
      </c>
    </row>
    <row r="1329" spans="1:12">
      <c r="A1329" s="288" t="s">
        <v>2157</v>
      </c>
      <c r="B1329" s="288" t="s">
        <v>813</v>
      </c>
      <c r="C1329" s="288" t="s">
        <v>814</v>
      </c>
      <c r="D1329" s="288" t="s">
        <v>815</v>
      </c>
      <c r="E1329" s="289">
        <v>10</v>
      </c>
      <c r="F1329" s="290">
        <v>26</v>
      </c>
      <c r="G1329" s="289">
        <v>1100</v>
      </c>
      <c r="H1329" s="289">
        <v>1760</v>
      </c>
      <c r="I1329" s="289">
        <v>286</v>
      </c>
      <c r="J1329" s="289">
        <v>50</v>
      </c>
      <c r="K1329" s="289">
        <v>5</v>
      </c>
      <c r="L1329" s="289">
        <v>3201</v>
      </c>
    </row>
    <row r="1330" spans="1:12">
      <c r="A1330" s="288" t="s">
        <v>2158</v>
      </c>
      <c r="B1330" s="288" t="s">
        <v>813</v>
      </c>
      <c r="C1330" s="288" t="s">
        <v>814</v>
      </c>
      <c r="D1330" s="288" t="s">
        <v>818</v>
      </c>
      <c r="E1330" s="289">
        <v>10</v>
      </c>
      <c r="F1330" s="290">
        <v>10</v>
      </c>
      <c r="G1330" s="289">
        <v>1100</v>
      </c>
      <c r="H1330" s="289">
        <v>0</v>
      </c>
      <c r="I1330" s="289">
        <v>110</v>
      </c>
      <c r="J1330" s="289">
        <v>70</v>
      </c>
      <c r="K1330" s="289">
        <v>7</v>
      </c>
      <c r="L1330" s="289">
        <v>1287</v>
      </c>
    </row>
    <row r="1331" spans="1:12">
      <c r="A1331" s="288" t="s">
        <v>2159</v>
      </c>
      <c r="B1331" s="288" t="s">
        <v>813</v>
      </c>
      <c r="C1331" s="288" t="s">
        <v>814</v>
      </c>
      <c r="D1331" s="288" t="s">
        <v>815</v>
      </c>
      <c r="E1331" s="289">
        <v>10</v>
      </c>
      <c r="F1331" s="290">
        <v>22</v>
      </c>
      <c r="G1331" s="289">
        <v>1100</v>
      </c>
      <c r="H1331" s="289">
        <v>1320</v>
      </c>
      <c r="I1331" s="289">
        <v>242</v>
      </c>
      <c r="J1331" s="289">
        <v>50</v>
      </c>
      <c r="K1331" s="289">
        <v>5</v>
      </c>
      <c r="L1331" s="289">
        <v>2717</v>
      </c>
    </row>
    <row r="1332" spans="1:12">
      <c r="A1332" s="288" t="s">
        <v>2160</v>
      </c>
      <c r="B1332" s="288" t="s">
        <v>813</v>
      </c>
      <c r="C1332" s="288" t="s">
        <v>820</v>
      </c>
      <c r="D1332" s="288" t="s">
        <v>815</v>
      </c>
      <c r="E1332" s="289">
        <v>10</v>
      </c>
      <c r="F1332" s="290">
        <v>6</v>
      </c>
      <c r="G1332" s="289">
        <v>1100</v>
      </c>
      <c r="H1332" s="289">
        <v>0</v>
      </c>
      <c r="I1332" s="289">
        <v>110</v>
      </c>
      <c r="J1332" s="289">
        <v>50</v>
      </c>
      <c r="K1332" s="289">
        <v>5</v>
      </c>
      <c r="L1332" s="289">
        <v>1265</v>
      </c>
    </row>
    <row r="1333" spans="1:12">
      <c r="A1333" s="288" t="s">
        <v>2161</v>
      </c>
      <c r="B1333" s="288" t="s">
        <v>813</v>
      </c>
      <c r="C1333" s="288" t="s">
        <v>814</v>
      </c>
      <c r="D1333" s="288" t="s">
        <v>815</v>
      </c>
      <c r="E1333" s="289">
        <v>10</v>
      </c>
      <c r="F1333" s="290">
        <v>8</v>
      </c>
      <c r="G1333" s="289">
        <v>1100</v>
      </c>
      <c r="H1333" s="289">
        <v>0</v>
      </c>
      <c r="I1333" s="289">
        <v>110</v>
      </c>
      <c r="J1333" s="289">
        <v>50</v>
      </c>
      <c r="K1333" s="289">
        <v>5</v>
      </c>
      <c r="L1333" s="289">
        <v>1265</v>
      </c>
    </row>
    <row r="1334" spans="1:12">
      <c r="A1334" s="288" t="s">
        <v>2162</v>
      </c>
      <c r="B1334" s="288" t="s">
        <v>813</v>
      </c>
      <c r="C1334" s="288" t="s">
        <v>814</v>
      </c>
      <c r="D1334" s="288" t="s">
        <v>815</v>
      </c>
      <c r="E1334" s="289">
        <v>10</v>
      </c>
      <c r="F1334" s="290">
        <v>8</v>
      </c>
      <c r="G1334" s="289">
        <v>1100</v>
      </c>
      <c r="H1334" s="289">
        <v>0</v>
      </c>
      <c r="I1334" s="289">
        <v>110</v>
      </c>
      <c r="J1334" s="289">
        <v>50</v>
      </c>
      <c r="K1334" s="289">
        <v>5</v>
      </c>
      <c r="L1334" s="289">
        <v>1265</v>
      </c>
    </row>
    <row r="1335" spans="1:12">
      <c r="A1335" s="288" t="s">
        <v>2163</v>
      </c>
      <c r="B1335" s="288" t="s">
        <v>813</v>
      </c>
      <c r="C1335" s="288" t="s">
        <v>814</v>
      </c>
      <c r="D1335" s="288" t="s">
        <v>815</v>
      </c>
      <c r="E1335" s="289">
        <v>10</v>
      </c>
      <c r="F1335" s="290">
        <v>26</v>
      </c>
      <c r="G1335" s="289">
        <v>1100</v>
      </c>
      <c r="H1335" s="289">
        <v>1760</v>
      </c>
      <c r="I1335" s="289">
        <v>286</v>
      </c>
      <c r="J1335" s="289">
        <v>50</v>
      </c>
      <c r="K1335" s="289">
        <v>5</v>
      </c>
      <c r="L1335" s="289">
        <v>3201</v>
      </c>
    </row>
    <row r="1336" spans="1:12">
      <c r="A1336" s="288" t="s">
        <v>2164</v>
      </c>
      <c r="B1336" s="288" t="s">
        <v>813</v>
      </c>
      <c r="C1336" s="288" t="s">
        <v>820</v>
      </c>
      <c r="D1336" s="288" t="s">
        <v>826</v>
      </c>
      <c r="E1336" s="289">
        <v>10</v>
      </c>
      <c r="F1336" s="290">
        <v>34</v>
      </c>
      <c r="G1336" s="289">
        <v>1100</v>
      </c>
      <c r="H1336" s="289">
        <v>2640</v>
      </c>
      <c r="I1336" s="289">
        <v>374</v>
      </c>
      <c r="J1336" s="289">
        <v>100</v>
      </c>
      <c r="K1336" s="289">
        <v>10</v>
      </c>
      <c r="L1336" s="289">
        <v>4224</v>
      </c>
    </row>
    <row r="1337" spans="1:12">
      <c r="A1337" s="288" t="s">
        <v>2165</v>
      </c>
      <c r="B1337" s="288" t="s">
        <v>813</v>
      </c>
      <c r="C1337" s="288" t="s">
        <v>814</v>
      </c>
      <c r="D1337" s="288" t="s">
        <v>815</v>
      </c>
      <c r="E1337" s="289">
        <v>10</v>
      </c>
      <c r="F1337" s="290">
        <v>9</v>
      </c>
      <c r="G1337" s="289">
        <v>1100</v>
      </c>
      <c r="H1337" s="289">
        <v>0</v>
      </c>
      <c r="I1337" s="289">
        <v>110</v>
      </c>
      <c r="J1337" s="289">
        <v>50</v>
      </c>
      <c r="K1337" s="289">
        <v>5</v>
      </c>
      <c r="L1337" s="289">
        <v>1265</v>
      </c>
    </row>
    <row r="1338" spans="1:12">
      <c r="A1338" s="288" t="s">
        <v>2166</v>
      </c>
      <c r="B1338" s="288" t="s">
        <v>813</v>
      </c>
      <c r="C1338" s="288" t="s">
        <v>814</v>
      </c>
      <c r="D1338" s="288" t="s">
        <v>815</v>
      </c>
      <c r="E1338" s="289">
        <v>10</v>
      </c>
      <c r="F1338" s="290">
        <v>12</v>
      </c>
      <c r="G1338" s="289">
        <v>1100</v>
      </c>
      <c r="H1338" s="289">
        <v>220</v>
      </c>
      <c r="I1338" s="289">
        <v>132</v>
      </c>
      <c r="J1338" s="289">
        <v>50</v>
      </c>
      <c r="K1338" s="289">
        <v>5</v>
      </c>
      <c r="L1338" s="289">
        <v>1507</v>
      </c>
    </row>
    <row r="1339" spans="1:12">
      <c r="A1339" s="288" t="s">
        <v>2167</v>
      </c>
      <c r="B1339" s="288" t="s">
        <v>813</v>
      </c>
      <c r="C1339" s="288" t="s">
        <v>814</v>
      </c>
      <c r="D1339" s="288" t="s">
        <v>815</v>
      </c>
      <c r="E1339" s="289">
        <v>10</v>
      </c>
      <c r="F1339" s="290">
        <v>19</v>
      </c>
      <c r="G1339" s="289">
        <v>1100</v>
      </c>
      <c r="H1339" s="289">
        <v>990</v>
      </c>
      <c r="I1339" s="289">
        <v>209</v>
      </c>
      <c r="J1339" s="289">
        <v>50</v>
      </c>
      <c r="K1339" s="289">
        <v>5</v>
      </c>
      <c r="L1339" s="289">
        <v>2354</v>
      </c>
    </row>
    <row r="1340" spans="1:12">
      <c r="A1340" s="288" t="s">
        <v>2168</v>
      </c>
      <c r="B1340" s="288" t="s">
        <v>813</v>
      </c>
      <c r="C1340" s="288" t="s">
        <v>814</v>
      </c>
      <c r="D1340" s="288" t="s">
        <v>815</v>
      </c>
      <c r="E1340" s="289">
        <v>10</v>
      </c>
      <c r="F1340" s="290">
        <v>9</v>
      </c>
      <c r="G1340" s="289">
        <v>1100</v>
      </c>
      <c r="H1340" s="289">
        <v>0</v>
      </c>
      <c r="I1340" s="289">
        <v>110</v>
      </c>
      <c r="J1340" s="289">
        <v>50</v>
      </c>
      <c r="K1340" s="289">
        <v>5</v>
      </c>
      <c r="L1340" s="289">
        <v>1265</v>
      </c>
    </row>
    <row r="1341" spans="1:12">
      <c r="A1341" s="288" t="s">
        <v>2169</v>
      </c>
      <c r="B1341" s="288" t="s">
        <v>813</v>
      </c>
      <c r="C1341" s="288" t="s">
        <v>814</v>
      </c>
      <c r="D1341" s="288" t="s">
        <v>815</v>
      </c>
      <c r="E1341" s="289">
        <v>10</v>
      </c>
      <c r="F1341" s="290">
        <v>5</v>
      </c>
      <c r="G1341" s="289">
        <v>900</v>
      </c>
      <c r="H1341" s="289">
        <v>0</v>
      </c>
      <c r="I1341" s="289">
        <v>90</v>
      </c>
      <c r="J1341" s="289">
        <v>50</v>
      </c>
      <c r="K1341" s="289">
        <v>5</v>
      </c>
      <c r="L1341" s="289">
        <v>1045</v>
      </c>
    </row>
    <row r="1342" spans="1:12">
      <c r="A1342" s="288" t="s">
        <v>2170</v>
      </c>
      <c r="B1342" s="288" t="s">
        <v>813</v>
      </c>
      <c r="C1342" s="288" t="s">
        <v>814</v>
      </c>
      <c r="D1342" s="288" t="s">
        <v>815</v>
      </c>
      <c r="E1342" s="289">
        <v>10</v>
      </c>
      <c r="F1342" s="290">
        <v>24</v>
      </c>
      <c r="G1342" s="289">
        <v>1100</v>
      </c>
      <c r="H1342" s="289">
        <v>1540</v>
      </c>
      <c r="I1342" s="289">
        <v>264</v>
      </c>
      <c r="J1342" s="289">
        <v>50</v>
      </c>
      <c r="K1342" s="289">
        <v>5</v>
      </c>
      <c r="L1342" s="289">
        <v>2959</v>
      </c>
    </row>
    <row r="1343" spans="1:12">
      <c r="A1343" s="288" t="s">
        <v>2171</v>
      </c>
      <c r="B1343" s="288" t="s">
        <v>813</v>
      </c>
      <c r="C1343" s="288" t="s">
        <v>814</v>
      </c>
      <c r="D1343" s="288" t="s">
        <v>815</v>
      </c>
      <c r="E1343" s="289">
        <v>10</v>
      </c>
      <c r="F1343" s="290">
        <v>8</v>
      </c>
      <c r="G1343" s="289">
        <v>1100</v>
      </c>
      <c r="H1343" s="289">
        <v>0</v>
      </c>
      <c r="I1343" s="289">
        <v>110</v>
      </c>
      <c r="J1343" s="289">
        <v>50</v>
      </c>
      <c r="K1343" s="289">
        <v>5</v>
      </c>
      <c r="L1343" s="289">
        <v>1265</v>
      </c>
    </row>
    <row r="1344" spans="1:12">
      <c r="A1344" s="288" t="s">
        <v>2172</v>
      </c>
      <c r="B1344" s="288" t="s">
        <v>813</v>
      </c>
      <c r="C1344" s="288" t="s">
        <v>814</v>
      </c>
      <c r="D1344" s="288" t="s">
        <v>815</v>
      </c>
      <c r="E1344" s="289">
        <v>10</v>
      </c>
      <c r="F1344" s="290">
        <v>8</v>
      </c>
      <c r="G1344" s="289">
        <v>1100</v>
      </c>
      <c r="H1344" s="289">
        <v>0</v>
      </c>
      <c r="I1344" s="289">
        <v>110</v>
      </c>
      <c r="J1344" s="289">
        <v>50</v>
      </c>
      <c r="K1344" s="289">
        <v>5</v>
      </c>
      <c r="L1344" s="289">
        <v>1265</v>
      </c>
    </row>
    <row r="1345" spans="1:12">
      <c r="A1345" s="288" t="s">
        <v>2173</v>
      </c>
      <c r="B1345" s="288" t="s">
        <v>813</v>
      </c>
      <c r="C1345" s="288" t="s">
        <v>814</v>
      </c>
      <c r="D1345" s="288" t="s">
        <v>815</v>
      </c>
      <c r="E1345" s="289">
        <v>10</v>
      </c>
      <c r="F1345" s="290">
        <v>5</v>
      </c>
      <c r="G1345" s="289">
        <v>900</v>
      </c>
      <c r="H1345" s="289">
        <v>0</v>
      </c>
      <c r="I1345" s="289">
        <v>90</v>
      </c>
      <c r="J1345" s="289">
        <v>50</v>
      </c>
      <c r="K1345" s="289">
        <v>5</v>
      </c>
      <c r="L1345" s="289">
        <v>1045</v>
      </c>
    </row>
    <row r="1346" spans="1:12">
      <c r="A1346" s="288" t="s">
        <v>2174</v>
      </c>
      <c r="B1346" s="288" t="s">
        <v>813</v>
      </c>
      <c r="C1346" s="288" t="s">
        <v>814</v>
      </c>
      <c r="D1346" s="288" t="s">
        <v>815</v>
      </c>
      <c r="E1346" s="289">
        <v>10</v>
      </c>
      <c r="F1346" s="290">
        <v>8</v>
      </c>
      <c r="G1346" s="289">
        <v>1100</v>
      </c>
      <c r="H1346" s="289">
        <v>0</v>
      </c>
      <c r="I1346" s="289">
        <v>110</v>
      </c>
      <c r="J1346" s="289">
        <v>50</v>
      </c>
      <c r="K1346" s="289">
        <v>5</v>
      </c>
      <c r="L1346" s="289">
        <v>1265</v>
      </c>
    </row>
    <row r="1347" spans="1:12">
      <c r="A1347" s="288" t="s">
        <v>2175</v>
      </c>
      <c r="B1347" s="288" t="s">
        <v>813</v>
      </c>
      <c r="C1347" s="288" t="s">
        <v>814</v>
      </c>
      <c r="D1347" s="288" t="s">
        <v>815</v>
      </c>
      <c r="E1347" s="289">
        <v>10</v>
      </c>
      <c r="F1347" s="290">
        <v>4</v>
      </c>
      <c r="G1347" s="289">
        <v>900</v>
      </c>
      <c r="H1347" s="289">
        <v>0</v>
      </c>
      <c r="I1347" s="289">
        <v>90</v>
      </c>
      <c r="J1347" s="289">
        <v>50</v>
      </c>
      <c r="K1347" s="289">
        <v>5</v>
      </c>
      <c r="L1347" s="289">
        <v>1045</v>
      </c>
    </row>
    <row r="1348" spans="1:12">
      <c r="A1348" s="288" t="s">
        <v>2176</v>
      </c>
      <c r="B1348" s="288" t="s">
        <v>813</v>
      </c>
      <c r="C1348" s="288" t="s">
        <v>814</v>
      </c>
      <c r="D1348" s="288" t="s">
        <v>815</v>
      </c>
      <c r="E1348" s="289">
        <v>10</v>
      </c>
      <c r="F1348" s="290">
        <v>11</v>
      </c>
      <c r="G1348" s="289">
        <v>1100</v>
      </c>
      <c r="H1348" s="289">
        <v>110</v>
      </c>
      <c r="I1348" s="289">
        <v>121</v>
      </c>
      <c r="J1348" s="289">
        <v>50</v>
      </c>
      <c r="K1348" s="289">
        <v>5</v>
      </c>
      <c r="L1348" s="289">
        <v>1386</v>
      </c>
    </row>
    <row r="1349" spans="1:12">
      <c r="A1349" s="288" t="s">
        <v>2177</v>
      </c>
      <c r="B1349" s="288" t="s">
        <v>813</v>
      </c>
      <c r="C1349" s="288" t="s">
        <v>814</v>
      </c>
      <c r="D1349" s="288" t="s">
        <v>815</v>
      </c>
      <c r="E1349" s="289">
        <v>10</v>
      </c>
      <c r="F1349" s="290">
        <v>13</v>
      </c>
      <c r="G1349" s="289">
        <v>1100</v>
      </c>
      <c r="H1349" s="289">
        <v>330</v>
      </c>
      <c r="I1349" s="289">
        <v>143</v>
      </c>
      <c r="J1349" s="289">
        <v>50</v>
      </c>
      <c r="K1349" s="289">
        <v>5</v>
      </c>
      <c r="L1349" s="289">
        <v>1628</v>
      </c>
    </row>
    <row r="1350" spans="1:12">
      <c r="A1350" s="288" t="s">
        <v>2178</v>
      </c>
      <c r="B1350" s="288" t="s">
        <v>813</v>
      </c>
      <c r="C1350" s="288" t="s">
        <v>814</v>
      </c>
      <c r="D1350" s="288" t="s">
        <v>818</v>
      </c>
      <c r="E1350" s="289">
        <v>10</v>
      </c>
      <c r="F1350" s="290">
        <v>13</v>
      </c>
      <c r="G1350" s="289">
        <v>1100</v>
      </c>
      <c r="H1350" s="289">
        <v>330</v>
      </c>
      <c r="I1350" s="289">
        <v>143</v>
      </c>
      <c r="J1350" s="289">
        <v>70</v>
      </c>
      <c r="K1350" s="289">
        <v>7</v>
      </c>
      <c r="L1350" s="289">
        <v>1650</v>
      </c>
    </row>
    <row r="1351" spans="1:12">
      <c r="A1351" s="288" t="s">
        <v>2179</v>
      </c>
      <c r="B1351" s="288" t="s">
        <v>813</v>
      </c>
      <c r="C1351" s="288" t="s">
        <v>814</v>
      </c>
      <c r="D1351" s="288" t="s">
        <v>818</v>
      </c>
      <c r="E1351" s="289">
        <v>10</v>
      </c>
      <c r="F1351" s="290">
        <v>15</v>
      </c>
      <c r="G1351" s="289">
        <v>1100</v>
      </c>
      <c r="H1351" s="289">
        <v>550</v>
      </c>
      <c r="I1351" s="289">
        <v>165</v>
      </c>
      <c r="J1351" s="289">
        <v>70</v>
      </c>
      <c r="K1351" s="289">
        <v>7</v>
      </c>
      <c r="L1351" s="289">
        <v>1892</v>
      </c>
    </row>
    <row r="1352" spans="1:12">
      <c r="A1352" s="288" t="s">
        <v>2180</v>
      </c>
      <c r="B1352" s="288" t="s">
        <v>813</v>
      </c>
      <c r="C1352" s="288" t="s">
        <v>814</v>
      </c>
      <c r="D1352" s="288" t="s">
        <v>818</v>
      </c>
      <c r="E1352" s="289">
        <v>10</v>
      </c>
      <c r="F1352" s="290">
        <v>23</v>
      </c>
      <c r="G1352" s="289">
        <v>1100</v>
      </c>
      <c r="H1352" s="289">
        <v>1430</v>
      </c>
      <c r="I1352" s="289">
        <v>253</v>
      </c>
      <c r="J1352" s="289">
        <v>70</v>
      </c>
      <c r="K1352" s="289">
        <v>7</v>
      </c>
      <c r="L1352" s="289">
        <v>2860</v>
      </c>
    </row>
    <row r="1353" spans="1:12">
      <c r="A1353" s="288" t="s">
        <v>2181</v>
      </c>
      <c r="B1353" s="288" t="s">
        <v>813</v>
      </c>
      <c r="C1353" s="288" t="s">
        <v>814</v>
      </c>
      <c r="D1353" s="288" t="s">
        <v>818</v>
      </c>
      <c r="E1353" s="289">
        <v>10</v>
      </c>
      <c r="F1353" s="290">
        <v>14</v>
      </c>
      <c r="G1353" s="289">
        <v>1100</v>
      </c>
      <c r="H1353" s="289">
        <v>440</v>
      </c>
      <c r="I1353" s="289">
        <v>154</v>
      </c>
      <c r="J1353" s="289">
        <v>70</v>
      </c>
      <c r="K1353" s="289">
        <v>7</v>
      </c>
      <c r="L1353" s="289">
        <v>1771</v>
      </c>
    </row>
    <row r="1354" spans="1:12">
      <c r="A1354" s="288" t="s">
        <v>2182</v>
      </c>
      <c r="B1354" s="288" t="s">
        <v>813</v>
      </c>
      <c r="C1354" s="288" t="s">
        <v>814</v>
      </c>
      <c r="D1354" s="288" t="s">
        <v>818</v>
      </c>
      <c r="E1354" s="289">
        <v>10</v>
      </c>
      <c r="F1354" s="290">
        <v>12</v>
      </c>
      <c r="G1354" s="289">
        <v>1100</v>
      </c>
      <c r="H1354" s="289">
        <v>220</v>
      </c>
      <c r="I1354" s="289">
        <v>132</v>
      </c>
      <c r="J1354" s="289">
        <v>70</v>
      </c>
      <c r="K1354" s="289">
        <v>7</v>
      </c>
      <c r="L1354" s="289">
        <v>1529</v>
      </c>
    </row>
    <row r="1355" spans="1:12">
      <c r="A1355" s="288" t="s">
        <v>2183</v>
      </c>
      <c r="B1355" s="288" t="s">
        <v>813</v>
      </c>
      <c r="C1355" s="288" t="s">
        <v>814</v>
      </c>
      <c r="D1355" s="288" t="s">
        <v>818</v>
      </c>
      <c r="E1355" s="289">
        <v>10</v>
      </c>
      <c r="F1355" s="290">
        <v>16</v>
      </c>
      <c r="G1355" s="289">
        <v>1100</v>
      </c>
      <c r="H1355" s="289">
        <v>660</v>
      </c>
      <c r="I1355" s="289">
        <v>176</v>
      </c>
      <c r="J1355" s="289">
        <v>70</v>
      </c>
      <c r="K1355" s="289">
        <v>7</v>
      </c>
      <c r="L1355" s="289">
        <v>2013</v>
      </c>
    </row>
    <row r="1356" spans="1:12">
      <c r="A1356" s="288" t="s">
        <v>2184</v>
      </c>
      <c r="B1356" s="288" t="s">
        <v>813</v>
      </c>
      <c r="C1356" s="288" t="s">
        <v>814</v>
      </c>
      <c r="D1356" s="288" t="s">
        <v>818</v>
      </c>
      <c r="E1356" s="289">
        <v>10</v>
      </c>
      <c r="F1356" s="290">
        <v>11</v>
      </c>
      <c r="G1356" s="289">
        <v>1100</v>
      </c>
      <c r="H1356" s="289">
        <v>110</v>
      </c>
      <c r="I1356" s="289">
        <v>121</v>
      </c>
      <c r="J1356" s="289">
        <v>70</v>
      </c>
      <c r="K1356" s="289">
        <v>7</v>
      </c>
      <c r="L1356" s="289">
        <v>1408</v>
      </c>
    </row>
    <row r="1357" spans="1:12">
      <c r="A1357" s="288" t="s">
        <v>2185</v>
      </c>
      <c r="B1357" s="288" t="s">
        <v>813</v>
      </c>
      <c r="C1357" s="288" t="s">
        <v>814</v>
      </c>
      <c r="D1357" s="288" t="s">
        <v>818</v>
      </c>
      <c r="E1357" s="289">
        <v>10</v>
      </c>
      <c r="F1357" s="290">
        <v>32</v>
      </c>
      <c r="G1357" s="289">
        <v>1100</v>
      </c>
      <c r="H1357" s="289">
        <v>2420</v>
      </c>
      <c r="I1357" s="289">
        <v>352</v>
      </c>
      <c r="J1357" s="289">
        <v>70</v>
      </c>
      <c r="K1357" s="289">
        <v>7</v>
      </c>
      <c r="L1357" s="289">
        <v>3949</v>
      </c>
    </row>
    <row r="1358" spans="1:12">
      <c r="A1358" s="288" t="s">
        <v>2186</v>
      </c>
      <c r="B1358" s="288" t="s">
        <v>813</v>
      </c>
      <c r="C1358" s="288" t="s">
        <v>814</v>
      </c>
      <c r="D1358" s="288" t="s">
        <v>818</v>
      </c>
      <c r="E1358" s="289">
        <v>10</v>
      </c>
      <c r="F1358" s="290">
        <v>8</v>
      </c>
      <c r="G1358" s="289">
        <v>1100</v>
      </c>
      <c r="H1358" s="289">
        <v>0</v>
      </c>
      <c r="I1358" s="289">
        <v>110</v>
      </c>
      <c r="J1358" s="289">
        <v>70</v>
      </c>
      <c r="K1358" s="289">
        <v>7</v>
      </c>
      <c r="L1358" s="289">
        <v>1287</v>
      </c>
    </row>
    <row r="1359" spans="1:12">
      <c r="A1359" s="288" t="s">
        <v>2187</v>
      </c>
      <c r="B1359" s="288" t="s">
        <v>813</v>
      </c>
      <c r="C1359" s="288" t="s">
        <v>814</v>
      </c>
      <c r="D1359" s="288" t="s">
        <v>818</v>
      </c>
      <c r="E1359" s="289">
        <v>10</v>
      </c>
      <c r="F1359" s="290">
        <v>17</v>
      </c>
      <c r="G1359" s="289">
        <v>1100</v>
      </c>
      <c r="H1359" s="289">
        <v>770</v>
      </c>
      <c r="I1359" s="289">
        <v>187</v>
      </c>
      <c r="J1359" s="289">
        <v>70</v>
      </c>
      <c r="K1359" s="289">
        <v>7</v>
      </c>
      <c r="L1359" s="289">
        <v>2134</v>
      </c>
    </row>
    <row r="1360" spans="1:12">
      <c r="A1360" s="288" t="s">
        <v>2188</v>
      </c>
      <c r="B1360" s="288" t="s">
        <v>813</v>
      </c>
      <c r="C1360" s="288" t="s">
        <v>814</v>
      </c>
      <c r="D1360" s="288" t="s">
        <v>818</v>
      </c>
      <c r="E1360" s="289">
        <v>10</v>
      </c>
      <c r="F1360" s="290">
        <v>16</v>
      </c>
      <c r="G1360" s="289">
        <v>1100</v>
      </c>
      <c r="H1360" s="289">
        <v>660</v>
      </c>
      <c r="I1360" s="289">
        <v>176</v>
      </c>
      <c r="J1360" s="289">
        <v>70</v>
      </c>
      <c r="K1360" s="289">
        <v>7</v>
      </c>
      <c r="L1360" s="289">
        <v>2013</v>
      </c>
    </row>
    <row r="1361" spans="1:12">
      <c r="A1361" s="288" t="s">
        <v>2189</v>
      </c>
      <c r="B1361" s="288" t="s">
        <v>813</v>
      </c>
      <c r="C1361" s="288" t="s">
        <v>814</v>
      </c>
      <c r="D1361" s="288" t="s">
        <v>818</v>
      </c>
      <c r="E1361" s="289">
        <v>10</v>
      </c>
      <c r="F1361" s="290">
        <v>15</v>
      </c>
      <c r="G1361" s="289">
        <v>1100</v>
      </c>
      <c r="H1361" s="289">
        <v>550</v>
      </c>
      <c r="I1361" s="289">
        <v>165</v>
      </c>
      <c r="J1361" s="289">
        <v>70</v>
      </c>
      <c r="K1361" s="289">
        <v>7</v>
      </c>
      <c r="L1361" s="289">
        <v>1892</v>
      </c>
    </row>
    <row r="1362" spans="1:12">
      <c r="A1362" s="288" t="s">
        <v>2190</v>
      </c>
      <c r="B1362" s="288" t="s">
        <v>813</v>
      </c>
      <c r="C1362" s="288" t="s">
        <v>814</v>
      </c>
      <c r="D1362" s="288" t="s">
        <v>818</v>
      </c>
      <c r="E1362" s="289">
        <v>10</v>
      </c>
      <c r="F1362" s="290">
        <v>2</v>
      </c>
      <c r="G1362" s="289">
        <v>900</v>
      </c>
      <c r="H1362" s="289">
        <v>0</v>
      </c>
      <c r="I1362" s="289">
        <v>90</v>
      </c>
      <c r="J1362" s="289">
        <v>70</v>
      </c>
      <c r="K1362" s="289">
        <v>7</v>
      </c>
      <c r="L1362" s="289">
        <v>1067</v>
      </c>
    </row>
    <row r="1363" spans="1:12">
      <c r="A1363" s="288" t="s">
        <v>2191</v>
      </c>
      <c r="B1363" s="288" t="s">
        <v>813</v>
      </c>
      <c r="C1363" s="288" t="s">
        <v>814</v>
      </c>
      <c r="D1363" s="288" t="s">
        <v>815</v>
      </c>
      <c r="E1363" s="289">
        <v>10</v>
      </c>
      <c r="F1363" s="290">
        <v>22</v>
      </c>
      <c r="G1363" s="289">
        <v>1100</v>
      </c>
      <c r="H1363" s="289">
        <v>1320</v>
      </c>
      <c r="I1363" s="289">
        <v>242</v>
      </c>
      <c r="J1363" s="289">
        <v>50</v>
      </c>
      <c r="K1363" s="289">
        <v>5</v>
      </c>
      <c r="L1363" s="289">
        <v>2717</v>
      </c>
    </row>
    <row r="1364" spans="1:12">
      <c r="A1364" s="288" t="s">
        <v>2192</v>
      </c>
      <c r="B1364" s="288" t="s">
        <v>813</v>
      </c>
      <c r="C1364" s="288" t="s">
        <v>814</v>
      </c>
      <c r="D1364" s="288" t="s">
        <v>818</v>
      </c>
      <c r="E1364" s="289">
        <v>10</v>
      </c>
      <c r="F1364" s="290">
        <v>14</v>
      </c>
      <c r="G1364" s="289">
        <v>1100</v>
      </c>
      <c r="H1364" s="289">
        <v>440</v>
      </c>
      <c r="I1364" s="289">
        <v>154</v>
      </c>
      <c r="J1364" s="289">
        <v>70</v>
      </c>
      <c r="K1364" s="289">
        <v>7</v>
      </c>
      <c r="L1364" s="289">
        <v>1771</v>
      </c>
    </row>
    <row r="1365" spans="1:12">
      <c r="A1365" s="288" t="s">
        <v>2193</v>
      </c>
      <c r="B1365" s="288" t="s">
        <v>813</v>
      </c>
      <c r="C1365" s="288" t="s">
        <v>814</v>
      </c>
      <c r="D1365" s="288" t="s">
        <v>815</v>
      </c>
      <c r="E1365" s="289">
        <v>10</v>
      </c>
      <c r="F1365" s="290">
        <v>6</v>
      </c>
      <c r="G1365" s="289">
        <v>1100</v>
      </c>
      <c r="H1365" s="289">
        <v>0</v>
      </c>
      <c r="I1365" s="289">
        <v>110</v>
      </c>
      <c r="J1365" s="289">
        <v>50</v>
      </c>
      <c r="K1365" s="289">
        <v>5</v>
      </c>
      <c r="L1365" s="289">
        <v>1265</v>
      </c>
    </row>
    <row r="1366" spans="1:12">
      <c r="A1366" s="288" t="s">
        <v>2194</v>
      </c>
      <c r="B1366" s="288" t="s">
        <v>813</v>
      </c>
      <c r="C1366" s="288" t="s">
        <v>814</v>
      </c>
      <c r="D1366" s="288" t="s">
        <v>815</v>
      </c>
      <c r="E1366" s="289">
        <v>10</v>
      </c>
      <c r="F1366" s="290">
        <v>16</v>
      </c>
      <c r="G1366" s="289">
        <v>1100</v>
      </c>
      <c r="H1366" s="289">
        <v>660</v>
      </c>
      <c r="I1366" s="289">
        <v>176</v>
      </c>
      <c r="J1366" s="289">
        <v>50</v>
      </c>
      <c r="K1366" s="289">
        <v>5</v>
      </c>
      <c r="L1366" s="289">
        <v>1991</v>
      </c>
    </row>
    <row r="1367" spans="1:12">
      <c r="A1367" s="288" t="s">
        <v>2195</v>
      </c>
      <c r="B1367" s="288" t="s">
        <v>813</v>
      </c>
      <c r="C1367" s="288" t="s">
        <v>814</v>
      </c>
      <c r="D1367" s="288" t="s">
        <v>815</v>
      </c>
      <c r="E1367" s="289">
        <v>10</v>
      </c>
      <c r="F1367" s="290">
        <v>33</v>
      </c>
      <c r="G1367" s="289">
        <v>1100</v>
      </c>
      <c r="H1367" s="289">
        <v>2530</v>
      </c>
      <c r="I1367" s="289">
        <v>363</v>
      </c>
      <c r="J1367" s="289">
        <v>50</v>
      </c>
      <c r="K1367" s="289">
        <v>5</v>
      </c>
      <c r="L1367" s="289">
        <v>4048</v>
      </c>
    </row>
    <row r="1368" spans="1:12">
      <c r="A1368" s="288" t="s">
        <v>2196</v>
      </c>
      <c r="B1368" s="288" t="s">
        <v>813</v>
      </c>
      <c r="C1368" s="288" t="s">
        <v>814</v>
      </c>
      <c r="D1368" s="288" t="s">
        <v>818</v>
      </c>
      <c r="E1368" s="289">
        <v>10</v>
      </c>
      <c r="F1368" s="290">
        <v>26</v>
      </c>
      <c r="G1368" s="289">
        <v>1100</v>
      </c>
      <c r="H1368" s="289">
        <v>1760</v>
      </c>
      <c r="I1368" s="289">
        <v>286</v>
      </c>
      <c r="J1368" s="289">
        <v>70</v>
      </c>
      <c r="K1368" s="289">
        <v>7</v>
      </c>
      <c r="L1368" s="289">
        <v>3223</v>
      </c>
    </row>
    <row r="1369" spans="1:12">
      <c r="A1369" s="288" t="s">
        <v>2197</v>
      </c>
      <c r="B1369" s="288" t="s">
        <v>813</v>
      </c>
      <c r="C1369" s="288" t="s">
        <v>814</v>
      </c>
      <c r="D1369" s="288" t="s">
        <v>818</v>
      </c>
      <c r="E1369" s="289">
        <v>10</v>
      </c>
      <c r="F1369" s="290">
        <v>22</v>
      </c>
      <c r="G1369" s="289">
        <v>1100</v>
      </c>
      <c r="H1369" s="289">
        <v>1320</v>
      </c>
      <c r="I1369" s="289">
        <v>242</v>
      </c>
      <c r="J1369" s="289">
        <v>70</v>
      </c>
      <c r="K1369" s="289">
        <v>7</v>
      </c>
      <c r="L1369" s="289">
        <v>2739</v>
      </c>
    </row>
    <row r="1370" spans="1:12">
      <c r="A1370" s="288" t="s">
        <v>2198</v>
      </c>
      <c r="B1370" s="288" t="s">
        <v>2199</v>
      </c>
      <c r="C1370" s="288" t="s">
        <v>820</v>
      </c>
      <c r="D1370" s="288" t="s">
        <v>818</v>
      </c>
      <c r="E1370" s="289">
        <v>10</v>
      </c>
      <c r="F1370" s="290">
        <v>0</v>
      </c>
      <c r="G1370" s="289">
        <v>900</v>
      </c>
      <c r="H1370" s="289">
        <v>0</v>
      </c>
      <c r="I1370" s="289">
        <v>90</v>
      </c>
      <c r="J1370" s="289">
        <v>70</v>
      </c>
      <c r="K1370" s="289">
        <v>7</v>
      </c>
      <c r="L1370" s="289">
        <v>1067</v>
      </c>
    </row>
    <row r="1371" spans="1:12">
      <c r="A1371" s="288" t="s">
        <v>2200</v>
      </c>
      <c r="B1371" s="288" t="s">
        <v>2199</v>
      </c>
      <c r="C1371" s="288" t="s">
        <v>820</v>
      </c>
      <c r="D1371" s="288" t="s">
        <v>818</v>
      </c>
      <c r="E1371" s="289">
        <v>10</v>
      </c>
      <c r="F1371" s="290">
        <v>0</v>
      </c>
      <c r="G1371" s="289">
        <v>900</v>
      </c>
      <c r="H1371" s="289">
        <v>0</v>
      </c>
      <c r="I1371" s="289">
        <v>90</v>
      </c>
      <c r="J1371" s="289">
        <v>70</v>
      </c>
      <c r="K1371" s="289">
        <v>7</v>
      </c>
      <c r="L1371" s="289">
        <v>1067</v>
      </c>
    </row>
    <row r="1372" spans="1:12">
      <c r="A1372" s="288" t="s">
        <v>2201</v>
      </c>
      <c r="B1372" s="288" t="s">
        <v>2199</v>
      </c>
      <c r="C1372" s="288" t="s">
        <v>833</v>
      </c>
      <c r="D1372" s="288" t="s">
        <v>2202</v>
      </c>
      <c r="E1372" s="289">
        <v>10</v>
      </c>
      <c r="F1372" s="290">
        <v>1781</v>
      </c>
      <c r="G1372" s="289">
        <v>1100</v>
      </c>
      <c r="H1372" s="289">
        <v>178000</v>
      </c>
      <c r="I1372" s="289">
        <v>17910</v>
      </c>
      <c r="J1372" s="289">
        <v>1000</v>
      </c>
      <c r="K1372" s="289">
        <v>100</v>
      </c>
      <c r="L1372" s="289">
        <v>198110</v>
      </c>
    </row>
    <row r="1373" spans="1:12">
      <c r="A1373" s="288" t="s">
        <v>2203</v>
      </c>
      <c r="B1373" s="288" t="s">
        <v>2199</v>
      </c>
      <c r="C1373" s="288" t="s">
        <v>833</v>
      </c>
      <c r="D1373" s="288" t="s">
        <v>822</v>
      </c>
      <c r="E1373" s="289">
        <v>10</v>
      </c>
      <c r="F1373" s="290">
        <v>548</v>
      </c>
      <c r="G1373" s="289">
        <v>1100</v>
      </c>
      <c r="H1373" s="289">
        <v>54700</v>
      </c>
      <c r="I1373" s="289">
        <v>5580</v>
      </c>
      <c r="J1373" s="289">
        <v>200</v>
      </c>
      <c r="K1373" s="289">
        <v>20</v>
      </c>
      <c r="L1373" s="289">
        <v>61600</v>
      </c>
    </row>
    <row r="1374" spans="1:12">
      <c r="A1374" s="288" t="s">
        <v>2204</v>
      </c>
      <c r="B1374" s="288" t="s">
        <v>2199</v>
      </c>
      <c r="C1374" s="288" t="s">
        <v>833</v>
      </c>
      <c r="D1374" s="288" t="s">
        <v>822</v>
      </c>
      <c r="E1374" s="289">
        <v>10</v>
      </c>
      <c r="F1374" s="290">
        <v>128</v>
      </c>
      <c r="G1374" s="289">
        <v>1100</v>
      </c>
      <c r="H1374" s="289">
        <v>12700</v>
      </c>
      <c r="I1374" s="289">
        <v>1380</v>
      </c>
      <c r="J1374" s="289">
        <v>200</v>
      </c>
      <c r="K1374" s="289">
        <v>20</v>
      </c>
      <c r="L1374" s="289">
        <v>15400</v>
      </c>
    </row>
    <row r="1375" spans="1:12">
      <c r="A1375" s="288" t="s">
        <v>2205</v>
      </c>
      <c r="B1375" s="288" t="s">
        <v>2199</v>
      </c>
      <c r="C1375" s="288" t="s">
        <v>820</v>
      </c>
      <c r="D1375" s="288" t="s">
        <v>818</v>
      </c>
      <c r="E1375" s="289">
        <v>10</v>
      </c>
      <c r="F1375" s="290">
        <v>0</v>
      </c>
      <c r="G1375" s="289">
        <v>900</v>
      </c>
      <c r="H1375" s="289">
        <v>0</v>
      </c>
      <c r="I1375" s="289">
        <v>90</v>
      </c>
      <c r="J1375" s="289">
        <v>70</v>
      </c>
      <c r="K1375" s="289">
        <v>7</v>
      </c>
      <c r="L1375" s="289">
        <v>1067</v>
      </c>
    </row>
    <row r="1376" spans="1:12">
      <c r="A1376" s="288" t="s">
        <v>2206</v>
      </c>
      <c r="B1376" s="288" t="s">
        <v>2199</v>
      </c>
      <c r="C1376" s="288" t="s">
        <v>820</v>
      </c>
      <c r="D1376" s="288" t="s">
        <v>818</v>
      </c>
      <c r="E1376" s="289">
        <v>10</v>
      </c>
      <c r="F1376" s="290">
        <v>0</v>
      </c>
      <c r="G1376" s="289">
        <v>900</v>
      </c>
      <c r="H1376" s="289">
        <v>0</v>
      </c>
      <c r="I1376" s="289">
        <v>90</v>
      </c>
      <c r="J1376" s="289">
        <v>70</v>
      </c>
      <c r="K1376" s="289">
        <v>7</v>
      </c>
      <c r="L1376" s="289">
        <v>1067</v>
      </c>
    </row>
    <row r="1377" spans="1:12">
      <c r="A1377" s="288" t="s">
        <v>2207</v>
      </c>
      <c r="B1377" s="288" t="s">
        <v>2199</v>
      </c>
      <c r="C1377" s="288" t="s">
        <v>833</v>
      </c>
      <c r="D1377" s="288" t="s">
        <v>826</v>
      </c>
      <c r="E1377" s="289">
        <v>10</v>
      </c>
      <c r="F1377" s="290">
        <v>3</v>
      </c>
      <c r="G1377" s="289">
        <v>900</v>
      </c>
      <c r="H1377" s="289">
        <v>0</v>
      </c>
      <c r="I1377" s="289">
        <v>90</v>
      </c>
      <c r="J1377" s="289">
        <v>100</v>
      </c>
      <c r="K1377" s="289">
        <v>10</v>
      </c>
      <c r="L1377" s="289">
        <v>1100</v>
      </c>
    </row>
    <row r="1378" spans="1:12">
      <c r="A1378" s="288" t="s">
        <v>2208</v>
      </c>
      <c r="B1378" s="288" t="s">
        <v>2199</v>
      </c>
      <c r="C1378" s="288" t="s">
        <v>833</v>
      </c>
      <c r="D1378" s="288" t="s">
        <v>826</v>
      </c>
      <c r="E1378" s="289">
        <v>10</v>
      </c>
      <c r="F1378" s="290">
        <v>21</v>
      </c>
      <c r="G1378" s="289">
        <v>1100</v>
      </c>
      <c r="H1378" s="289">
        <v>1210</v>
      </c>
      <c r="I1378" s="289">
        <v>231</v>
      </c>
      <c r="J1378" s="289">
        <v>100</v>
      </c>
      <c r="K1378" s="289">
        <v>10</v>
      </c>
      <c r="L1378" s="289">
        <v>2651</v>
      </c>
    </row>
    <row r="1379" spans="1:12">
      <c r="A1379" s="288" t="s">
        <v>2209</v>
      </c>
      <c r="B1379" s="288" t="s">
        <v>2199</v>
      </c>
      <c r="C1379" s="288" t="s">
        <v>820</v>
      </c>
      <c r="D1379" s="288" t="s">
        <v>826</v>
      </c>
      <c r="E1379" s="289">
        <v>10</v>
      </c>
      <c r="F1379" s="290">
        <v>20</v>
      </c>
      <c r="G1379" s="289">
        <v>1100</v>
      </c>
      <c r="H1379" s="289">
        <v>1100</v>
      </c>
      <c r="I1379" s="289">
        <v>220</v>
      </c>
      <c r="J1379" s="289">
        <v>100</v>
      </c>
      <c r="K1379" s="289">
        <v>10</v>
      </c>
      <c r="L1379" s="289">
        <v>2530</v>
      </c>
    </row>
    <row r="1380" spans="1:12">
      <c r="A1380" s="288" t="s">
        <v>2210</v>
      </c>
      <c r="B1380" s="288" t="s">
        <v>2199</v>
      </c>
      <c r="C1380" s="288" t="s">
        <v>833</v>
      </c>
      <c r="D1380" s="288" t="s">
        <v>822</v>
      </c>
      <c r="E1380" s="289">
        <v>10</v>
      </c>
      <c r="F1380" s="290">
        <v>6</v>
      </c>
      <c r="G1380" s="289">
        <v>1100</v>
      </c>
      <c r="H1380" s="289">
        <v>0</v>
      </c>
      <c r="I1380" s="289">
        <v>110</v>
      </c>
      <c r="J1380" s="289">
        <v>200</v>
      </c>
      <c r="K1380" s="289">
        <v>20</v>
      </c>
      <c r="L1380" s="289">
        <v>1430</v>
      </c>
    </row>
    <row r="1381" spans="1:12">
      <c r="A1381" s="288" t="s">
        <v>2211</v>
      </c>
      <c r="B1381" s="288" t="s">
        <v>2199</v>
      </c>
      <c r="C1381" s="288" t="s">
        <v>820</v>
      </c>
      <c r="D1381" s="288" t="s">
        <v>818</v>
      </c>
      <c r="E1381" s="289">
        <v>10</v>
      </c>
      <c r="F1381" s="290">
        <v>1</v>
      </c>
      <c r="G1381" s="289">
        <v>900</v>
      </c>
      <c r="H1381" s="289">
        <v>0</v>
      </c>
      <c r="I1381" s="289">
        <v>90</v>
      </c>
      <c r="J1381" s="289">
        <v>70</v>
      </c>
      <c r="K1381" s="289">
        <v>7</v>
      </c>
      <c r="L1381" s="289">
        <v>1067</v>
      </c>
    </row>
    <row r="1382" spans="1:12">
      <c r="A1382" s="288" t="s">
        <v>2212</v>
      </c>
      <c r="B1382" s="288" t="s">
        <v>2199</v>
      </c>
      <c r="C1382" s="288" t="s">
        <v>820</v>
      </c>
      <c r="D1382" s="288" t="s">
        <v>818</v>
      </c>
      <c r="E1382" s="289">
        <v>10</v>
      </c>
      <c r="F1382" s="290">
        <v>9</v>
      </c>
      <c r="G1382" s="289">
        <v>1100</v>
      </c>
      <c r="H1382" s="289">
        <v>0</v>
      </c>
      <c r="I1382" s="289">
        <v>110</v>
      </c>
      <c r="J1382" s="289">
        <v>70</v>
      </c>
      <c r="K1382" s="289">
        <v>7</v>
      </c>
      <c r="L1382" s="289">
        <v>1287</v>
      </c>
    </row>
    <row r="1383" spans="1:12">
      <c r="A1383" s="288" t="s">
        <v>2213</v>
      </c>
      <c r="B1383" s="288" t="s">
        <v>2199</v>
      </c>
      <c r="C1383" s="288" t="s">
        <v>829</v>
      </c>
      <c r="D1383" s="288" t="s">
        <v>822</v>
      </c>
      <c r="E1383" s="289">
        <v>10</v>
      </c>
      <c r="F1383" s="290">
        <v>27</v>
      </c>
      <c r="G1383" s="289">
        <v>1100</v>
      </c>
      <c r="H1383" s="289">
        <v>1870</v>
      </c>
      <c r="I1383" s="289">
        <v>297</v>
      </c>
      <c r="J1383" s="289">
        <v>200</v>
      </c>
      <c r="K1383" s="289">
        <v>20</v>
      </c>
      <c r="L1383" s="289">
        <v>3487</v>
      </c>
    </row>
    <row r="1384" spans="1:12">
      <c r="A1384" s="288" t="s">
        <v>2214</v>
      </c>
      <c r="B1384" s="288" t="s">
        <v>2215</v>
      </c>
      <c r="C1384" s="288" t="s">
        <v>820</v>
      </c>
      <c r="D1384" s="288" t="s">
        <v>818</v>
      </c>
      <c r="E1384" s="289">
        <v>10</v>
      </c>
      <c r="F1384" s="290">
        <v>4</v>
      </c>
      <c r="G1384" s="289">
        <v>900</v>
      </c>
      <c r="H1384" s="289">
        <v>0</v>
      </c>
      <c r="I1384" s="289">
        <v>90</v>
      </c>
      <c r="J1384" s="289">
        <v>70</v>
      </c>
      <c r="K1384" s="289">
        <v>7</v>
      </c>
      <c r="L1384" s="289">
        <v>1067</v>
      </c>
    </row>
    <row r="1385" spans="1:12">
      <c r="A1385" s="288" t="s">
        <v>2216</v>
      </c>
      <c r="B1385" s="288" t="s">
        <v>2215</v>
      </c>
      <c r="C1385" s="288" t="s">
        <v>833</v>
      </c>
      <c r="D1385" s="288" t="s">
        <v>826</v>
      </c>
      <c r="E1385" s="289">
        <v>10</v>
      </c>
      <c r="F1385" s="290">
        <v>70</v>
      </c>
      <c r="G1385" s="289">
        <v>1100</v>
      </c>
      <c r="H1385" s="289">
        <v>6600</v>
      </c>
      <c r="I1385" s="289">
        <v>770</v>
      </c>
      <c r="J1385" s="289">
        <v>100</v>
      </c>
      <c r="K1385" s="289">
        <v>10</v>
      </c>
      <c r="L1385" s="289">
        <v>8580</v>
      </c>
    </row>
    <row r="1386" spans="1:12">
      <c r="A1386" s="288" t="s">
        <v>2217</v>
      </c>
      <c r="B1386" s="288" t="s">
        <v>2215</v>
      </c>
      <c r="C1386" s="288" t="s">
        <v>833</v>
      </c>
      <c r="D1386" s="288" t="s">
        <v>822</v>
      </c>
      <c r="E1386" s="289">
        <v>10</v>
      </c>
      <c r="F1386" s="290">
        <v>187</v>
      </c>
      <c r="G1386" s="289">
        <v>1100</v>
      </c>
      <c r="H1386" s="289">
        <v>18600</v>
      </c>
      <c r="I1386" s="289">
        <v>1970</v>
      </c>
      <c r="J1386" s="289">
        <v>200</v>
      </c>
      <c r="K1386" s="289">
        <v>20</v>
      </c>
      <c r="L1386" s="289">
        <v>21890</v>
      </c>
    </row>
    <row r="1387" spans="1:12">
      <c r="A1387" s="288" t="s">
        <v>2218</v>
      </c>
      <c r="B1387" s="288" t="s">
        <v>2215</v>
      </c>
      <c r="C1387" s="288" t="s">
        <v>829</v>
      </c>
      <c r="D1387" s="288" t="s">
        <v>815</v>
      </c>
      <c r="E1387" s="289">
        <v>10</v>
      </c>
      <c r="F1387" s="290">
        <v>1</v>
      </c>
      <c r="G1387" s="289">
        <v>550</v>
      </c>
      <c r="H1387" s="289">
        <v>0</v>
      </c>
      <c r="I1387" s="289">
        <v>55</v>
      </c>
      <c r="J1387" s="289">
        <v>50</v>
      </c>
      <c r="K1387" s="289">
        <v>5</v>
      </c>
      <c r="L1387" s="289">
        <v>660</v>
      </c>
    </row>
    <row r="1388" spans="1:12">
      <c r="A1388" s="288" t="s">
        <v>2219</v>
      </c>
      <c r="B1388" s="288" t="s">
        <v>2215</v>
      </c>
      <c r="C1388" s="288" t="s">
        <v>833</v>
      </c>
      <c r="D1388" s="288" t="s">
        <v>822</v>
      </c>
      <c r="E1388" s="289">
        <v>10</v>
      </c>
      <c r="F1388" s="290">
        <v>12</v>
      </c>
      <c r="G1388" s="289">
        <v>1100</v>
      </c>
      <c r="H1388" s="289">
        <v>220</v>
      </c>
      <c r="I1388" s="289">
        <v>132</v>
      </c>
      <c r="J1388" s="289">
        <v>200</v>
      </c>
      <c r="K1388" s="289">
        <v>20</v>
      </c>
      <c r="L1388" s="289">
        <v>1672</v>
      </c>
    </row>
    <row r="1389" spans="1:12">
      <c r="A1389" s="288" t="s">
        <v>2220</v>
      </c>
      <c r="B1389" s="288" t="s">
        <v>2215</v>
      </c>
      <c r="C1389" s="288" t="s">
        <v>829</v>
      </c>
      <c r="D1389" s="288" t="s">
        <v>822</v>
      </c>
      <c r="E1389" s="289">
        <v>10</v>
      </c>
      <c r="F1389" s="290">
        <v>36</v>
      </c>
      <c r="G1389" s="289">
        <v>1100</v>
      </c>
      <c r="H1389" s="289">
        <v>2860</v>
      </c>
      <c r="I1389" s="289">
        <v>396</v>
      </c>
      <c r="J1389" s="289">
        <v>200</v>
      </c>
      <c r="K1389" s="289">
        <v>20</v>
      </c>
      <c r="L1389" s="289">
        <v>4576</v>
      </c>
    </row>
    <row r="1390" spans="1:12">
      <c r="A1390" s="288" t="s">
        <v>2221</v>
      </c>
      <c r="B1390" s="288" t="s">
        <v>2215</v>
      </c>
      <c r="C1390" s="288" t="s">
        <v>829</v>
      </c>
      <c r="D1390" s="288" t="s">
        <v>822</v>
      </c>
      <c r="E1390" s="289">
        <v>10</v>
      </c>
      <c r="F1390" s="290">
        <v>7</v>
      </c>
      <c r="G1390" s="289">
        <v>1100</v>
      </c>
      <c r="H1390" s="289">
        <v>0</v>
      </c>
      <c r="I1390" s="289">
        <v>110</v>
      </c>
      <c r="J1390" s="289">
        <v>200</v>
      </c>
      <c r="K1390" s="289">
        <v>20</v>
      </c>
      <c r="L1390" s="289">
        <v>1430</v>
      </c>
    </row>
    <row r="1391" spans="1:12">
      <c r="A1391" s="288" t="s">
        <v>2222</v>
      </c>
      <c r="B1391" s="288" t="s">
        <v>2215</v>
      </c>
      <c r="C1391" s="288" t="s">
        <v>833</v>
      </c>
      <c r="D1391" s="288" t="s">
        <v>822</v>
      </c>
      <c r="E1391" s="289">
        <v>10</v>
      </c>
      <c r="F1391" s="290">
        <v>333</v>
      </c>
      <c r="G1391" s="289">
        <v>1100</v>
      </c>
      <c r="H1391" s="289">
        <v>33200</v>
      </c>
      <c r="I1391" s="289">
        <v>3430</v>
      </c>
      <c r="J1391" s="289">
        <v>200</v>
      </c>
      <c r="K1391" s="289">
        <v>20</v>
      </c>
      <c r="L1391" s="289">
        <v>37950</v>
      </c>
    </row>
    <row r="1392" spans="1:12">
      <c r="A1392" s="288" t="s">
        <v>2223</v>
      </c>
      <c r="B1392" s="288" t="s">
        <v>2215</v>
      </c>
      <c r="C1392" s="288" t="s">
        <v>814</v>
      </c>
      <c r="D1392" s="288" t="s">
        <v>818</v>
      </c>
      <c r="E1392" s="289">
        <v>10</v>
      </c>
      <c r="F1392" s="290">
        <v>12</v>
      </c>
      <c r="G1392" s="289">
        <v>1100</v>
      </c>
      <c r="H1392" s="289">
        <v>220</v>
      </c>
      <c r="I1392" s="289">
        <v>132</v>
      </c>
      <c r="J1392" s="289">
        <v>70</v>
      </c>
      <c r="K1392" s="289">
        <v>7</v>
      </c>
      <c r="L1392" s="289">
        <v>1529</v>
      </c>
    </row>
    <row r="1393" spans="1:12">
      <c r="A1393" s="288" t="s">
        <v>2224</v>
      </c>
      <c r="B1393" s="288" t="s">
        <v>2215</v>
      </c>
      <c r="C1393" s="288" t="s">
        <v>814</v>
      </c>
      <c r="D1393" s="288" t="s">
        <v>818</v>
      </c>
      <c r="E1393" s="289">
        <v>10</v>
      </c>
      <c r="F1393" s="290">
        <v>11</v>
      </c>
      <c r="G1393" s="289">
        <v>1100</v>
      </c>
      <c r="H1393" s="289">
        <v>110</v>
      </c>
      <c r="I1393" s="289">
        <v>121</v>
      </c>
      <c r="J1393" s="289">
        <v>70</v>
      </c>
      <c r="K1393" s="289">
        <v>7</v>
      </c>
      <c r="L1393" s="289">
        <v>1408</v>
      </c>
    </row>
    <row r="1394" spans="1:12">
      <c r="A1394" s="288" t="s">
        <v>2225</v>
      </c>
      <c r="B1394" s="288" t="s">
        <v>2215</v>
      </c>
      <c r="C1394" s="288" t="s">
        <v>814</v>
      </c>
      <c r="D1394" s="288" t="s">
        <v>818</v>
      </c>
      <c r="E1394" s="289">
        <v>10</v>
      </c>
      <c r="F1394" s="290">
        <v>13</v>
      </c>
      <c r="G1394" s="289">
        <v>1100</v>
      </c>
      <c r="H1394" s="289">
        <v>330</v>
      </c>
      <c r="I1394" s="289">
        <v>143</v>
      </c>
      <c r="J1394" s="289">
        <v>70</v>
      </c>
      <c r="K1394" s="289">
        <v>7</v>
      </c>
      <c r="L1394" s="289">
        <v>1650</v>
      </c>
    </row>
    <row r="1395" spans="1:12">
      <c r="A1395" s="288" t="s">
        <v>2226</v>
      </c>
      <c r="B1395" s="288" t="s">
        <v>2215</v>
      </c>
      <c r="C1395" s="288" t="s">
        <v>814</v>
      </c>
      <c r="D1395" s="288" t="s">
        <v>818</v>
      </c>
      <c r="E1395" s="289">
        <v>10</v>
      </c>
      <c r="F1395" s="290">
        <v>16</v>
      </c>
      <c r="G1395" s="289">
        <v>1100</v>
      </c>
      <c r="H1395" s="289">
        <v>660</v>
      </c>
      <c r="I1395" s="289">
        <v>176</v>
      </c>
      <c r="J1395" s="289">
        <v>70</v>
      </c>
      <c r="K1395" s="289">
        <v>7</v>
      </c>
      <c r="L1395" s="289">
        <v>2013</v>
      </c>
    </row>
    <row r="1396" spans="1:12">
      <c r="A1396" s="288" t="s">
        <v>2227</v>
      </c>
      <c r="B1396" s="288" t="s">
        <v>2215</v>
      </c>
      <c r="C1396" s="288" t="s">
        <v>814</v>
      </c>
      <c r="D1396" s="288" t="s">
        <v>818</v>
      </c>
      <c r="E1396" s="289">
        <v>10</v>
      </c>
      <c r="F1396" s="290">
        <v>11</v>
      </c>
      <c r="G1396" s="289">
        <v>1100</v>
      </c>
      <c r="H1396" s="289">
        <v>110</v>
      </c>
      <c r="I1396" s="289">
        <v>121</v>
      </c>
      <c r="J1396" s="289">
        <v>70</v>
      </c>
      <c r="K1396" s="289">
        <v>7</v>
      </c>
      <c r="L1396" s="289">
        <v>1408</v>
      </c>
    </row>
    <row r="1397" spans="1:12">
      <c r="A1397" s="288" t="s">
        <v>2228</v>
      </c>
      <c r="B1397" s="288" t="s">
        <v>2215</v>
      </c>
      <c r="C1397" s="288" t="s">
        <v>814</v>
      </c>
      <c r="D1397" s="288" t="s">
        <v>818</v>
      </c>
      <c r="E1397" s="289">
        <v>10</v>
      </c>
      <c r="F1397" s="290">
        <v>3</v>
      </c>
      <c r="G1397" s="289">
        <v>900</v>
      </c>
      <c r="H1397" s="289">
        <v>0</v>
      </c>
      <c r="I1397" s="289">
        <v>90</v>
      </c>
      <c r="J1397" s="289">
        <v>70</v>
      </c>
      <c r="K1397" s="289">
        <v>7</v>
      </c>
      <c r="L1397" s="289">
        <v>1067</v>
      </c>
    </row>
    <row r="1398" spans="1:12">
      <c r="A1398" s="288" t="s">
        <v>2229</v>
      </c>
      <c r="B1398" s="288" t="s">
        <v>2215</v>
      </c>
      <c r="C1398" s="288" t="s">
        <v>814</v>
      </c>
      <c r="D1398" s="288" t="s">
        <v>818</v>
      </c>
      <c r="E1398" s="289">
        <v>10</v>
      </c>
      <c r="F1398" s="290">
        <v>12</v>
      </c>
      <c r="G1398" s="289">
        <v>1100</v>
      </c>
      <c r="H1398" s="289">
        <v>220</v>
      </c>
      <c r="I1398" s="289">
        <v>132</v>
      </c>
      <c r="J1398" s="289">
        <v>70</v>
      </c>
      <c r="K1398" s="289">
        <v>7</v>
      </c>
      <c r="L1398" s="289">
        <v>1529</v>
      </c>
    </row>
    <row r="1399" spans="1:12">
      <c r="A1399" s="288" t="s">
        <v>2230</v>
      </c>
      <c r="B1399" s="288" t="s">
        <v>2215</v>
      </c>
      <c r="C1399" s="288" t="s">
        <v>814</v>
      </c>
      <c r="D1399" s="288" t="s">
        <v>818</v>
      </c>
      <c r="E1399" s="289">
        <v>10</v>
      </c>
      <c r="F1399" s="290">
        <v>28</v>
      </c>
      <c r="G1399" s="289">
        <v>1100</v>
      </c>
      <c r="H1399" s="289">
        <v>1980</v>
      </c>
      <c r="I1399" s="289">
        <v>308</v>
      </c>
      <c r="J1399" s="289">
        <v>70</v>
      </c>
      <c r="K1399" s="289">
        <v>7</v>
      </c>
      <c r="L1399" s="289">
        <v>3465</v>
      </c>
    </row>
    <row r="1400" spans="1:12">
      <c r="A1400" s="288" t="s">
        <v>2231</v>
      </c>
      <c r="B1400" s="288" t="s">
        <v>2215</v>
      </c>
      <c r="C1400" s="288" t="s">
        <v>814</v>
      </c>
      <c r="D1400" s="288" t="s">
        <v>818</v>
      </c>
      <c r="E1400" s="289">
        <v>10</v>
      </c>
      <c r="F1400" s="290">
        <v>15</v>
      </c>
      <c r="G1400" s="289">
        <v>1100</v>
      </c>
      <c r="H1400" s="289">
        <v>550</v>
      </c>
      <c r="I1400" s="289">
        <v>165</v>
      </c>
      <c r="J1400" s="289">
        <v>70</v>
      </c>
      <c r="K1400" s="289">
        <v>7</v>
      </c>
      <c r="L1400" s="289">
        <v>1892</v>
      </c>
    </row>
    <row r="1401" spans="1:12">
      <c r="A1401" s="288" t="s">
        <v>2232</v>
      </c>
      <c r="B1401" s="288" t="s">
        <v>2215</v>
      </c>
      <c r="C1401" s="288" t="s">
        <v>814</v>
      </c>
      <c r="D1401" s="288" t="s">
        <v>818</v>
      </c>
      <c r="E1401" s="289">
        <v>10</v>
      </c>
      <c r="F1401" s="290">
        <v>13</v>
      </c>
      <c r="G1401" s="289">
        <v>1100</v>
      </c>
      <c r="H1401" s="289">
        <v>330</v>
      </c>
      <c r="I1401" s="289">
        <v>143</v>
      </c>
      <c r="J1401" s="289">
        <v>70</v>
      </c>
      <c r="K1401" s="289">
        <v>7</v>
      </c>
      <c r="L1401" s="289">
        <v>1650</v>
      </c>
    </row>
    <row r="1402" spans="1:12">
      <c r="A1402" s="288" t="s">
        <v>2233</v>
      </c>
      <c r="B1402" s="288" t="s">
        <v>2215</v>
      </c>
      <c r="C1402" s="288" t="s">
        <v>814</v>
      </c>
      <c r="D1402" s="288" t="s">
        <v>818</v>
      </c>
      <c r="E1402" s="289">
        <v>10</v>
      </c>
      <c r="F1402" s="290">
        <v>16</v>
      </c>
      <c r="G1402" s="289">
        <v>1100</v>
      </c>
      <c r="H1402" s="289">
        <v>660</v>
      </c>
      <c r="I1402" s="289">
        <v>176</v>
      </c>
      <c r="J1402" s="289">
        <v>70</v>
      </c>
      <c r="K1402" s="289">
        <v>7</v>
      </c>
      <c r="L1402" s="289">
        <v>2013</v>
      </c>
    </row>
    <row r="1403" spans="1:12">
      <c r="A1403" s="288" t="s">
        <v>2234</v>
      </c>
      <c r="B1403" s="288" t="s">
        <v>2215</v>
      </c>
      <c r="C1403" s="288" t="s">
        <v>814</v>
      </c>
      <c r="D1403" s="288" t="s">
        <v>818</v>
      </c>
      <c r="E1403" s="289">
        <v>10</v>
      </c>
      <c r="F1403" s="290">
        <v>5</v>
      </c>
      <c r="G1403" s="289">
        <v>900</v>
      </c>
      <c r="H1403" s="289">
        <v>0</v>
      </c>
      <c r="I1403" s="289">
        <v>90</v>
      </c>
      <c r="J1403" s="289">
        <v>70</v>
      </c>
      <c r="K1403" s="289">
        <v>7</v>
      </c>
      <c r="L1403" s="289">
        <v>1067</v>
      </c>
    </row>
    <row r="1404" spans="1:12">
      <c r="A1404" s="288" t="s">
        <v>2235</v>
      </c>
      <c r="B1404" s="288" t="s">
        <v>2215</v>
      </c>
      <c r="C1404" s="288" t="s">
        <v>814</v>
      </c>
      <c r="D1404" s="288" t="s">
        <v>818</v>
      </c>
      <c r="E1404" s="289">
        <v>10</v>
      </c>
      <c r="F1404" s="290">
        <v>29</v>
      </c>
      <c r="G1404" s="289">
        <v>1100</v>
      </c>
      <c r="H1404" s="289">
        <v>2090</v>
      </c>
      <c r="I1404" s="289">
        <v>319</v>
      </c>
      <c r="J1404" s="289">
        <v>70</v>
      </c>
      <c r="K1404" s="289">
        <v>7</v>
      </c>
      <c r="L1404" s="289">
        <v>3586</v>
      </c>
    </row>
    <row r="1405" spans="1:12">
      <c r="A1405" s="288" t="s">
        <v>2236</v>
      </c>
      <c r="B1405" s="288" t="s">
        <v>2215</v>
      </c>
      <c r="C1405" s="288" t="s">
        <v>814</v>
      </c>
      <c r="D1405" s="288" t="s">
        <v>818</v>
      </c>
      <c r="E1405" s="289">
        <v>10</v>
      </c>
      <c r="F1405" s="290">
        <v>31</v>
      </c>
      <c r="G1405" s="289">
        <v>1100</v>
      </c>
      <c r="H1405" s="289">
        <v>2310</v>
      </c>
      <c r="I1405" s="289">
        <v>341</v>
      </c>
      <c r="J1405" s="289">
        <v>70</v>
      </c>
      <c r="K1405" s="289">
        <v>7</v>
      </c>
      <c r="L1405" s="289">
        <v>3828</v>
      </c>
    </row>
    <row r="1406" spans="1:12">
      <c r="A1406" s="288" t="s">
        <v>2237</v>
      </c>
      <c r="B1406" s="288" t="s">
        <v>2215</v>
      </c>
      <c r="C1406" s="288" t="s">
        <v>814</v>
      </c>
      <c r="D1406" s="288" t="s">
        <v>818</v>
      </c>
      <c r="E1406" s="289">
        <v>10</v>
      </c>
      <c r="F1406" s="290">
        <v>13</v>
      </c>
      <c r="G1406" s="289">
        <v>1100</v>
      </c>
      <c r="H1406" s="289">
        <v>330</v>
      </c>
      <c r="I1406" s="289">
        <v>143</v>
      </c>
      <c r="J1406" s="289">
        <v>70</v>
      </c>
      <c r="K1406" s="289">
        <v>7</v>
      </c>
      <c r="L1406" s="289">
        <v>1650</v>
      </c>
    </row>
    <row r="1407" spans="1:12">
      <c r="A1407" s="288" t="s">
        <v>2238</v>
      </c>
      <c r="B1407" s="288" t="s">
        <v>2215</v>
      </c>
      <c r="C1407" s="288" t="s">
        <v>829</v>
      </c>
      <c r="D1407" s="288" t="s">
        <v>818</v>
      </c>
      <c r="E1407" s="289">
        <v>10</v>
      </c>
      <c r="F1407" s="290">
        <v>1</v>
      </c>
      <c r="G1407" s="289">
        <v>900</v>
      </c>
      <c r="H1407" s="289">
        <v>0</v>
      </c>
      <c r="I1407" s="289">
        <v>90</v>
      </c>
      <c r="J1407" s="289">
        <v>70</v>
      </c>
      <c r="K1407" s="289">
        <v>7</v>
      </c>
      <c r="L1407" s="289">
        <v>1067</v>
      </c>
    </row>
    <row r="1408" spans="1:12">
      <c r="A1408" s="288" t="s">
        <v>2239</v>
      </c>
      <c r="B1408" s="288" t="s">
        <v>2215</v>
      </c>
      <c r="C1408" s="288" t="s">
        <v>814</v>
      </c>
      <c r="D1408" s="288" t="s">
        <v>818</v>
      </c>
      <c r="E1408" s="289">
        <v>10</v>
      </c>
      <c r="F1408" s="290">
        <v>18</v>
      </c>
      <c r="G1408" s="289">
        <v>1100</v>
      </c>
      <c r="H1408" s="289">
        <v>880</v>
      </c>
      <c r="I1408" s="289">
        <v>198</v>
      </c>
      <c r="J1408" s="289">
        <v>70</v>
      </c>
      <c r="K1408" s="289">
        <v>7</v>
      </c>
      <c r="L1408" s="289">
        <v>2255</v>
      </c>
    </row>
    <row r="1409" spans="1:12">
      <c r="A1409" s="288" t="s">
        <v>2240</v>
      </c>
      <c r="B1409" s="288" t="s">
        <v>2215</v>
      </c>
      <c r="C1409" s="288" t="s">
        <v>829</v>
      </c>
      <c r="D1409" s="288" t="s">
        <v>818</v>
      </c>
      <c r="E1409" s="289">
        <v>10</v>
      </c>
      <c r="F1409" s="290">
        <v>1</v>
      </c>
      <c r="G1409" s="289">
        <v>900</v>
      </c>
      <c r="H1409" s="289">
        <v>0</v>
      </c>
      <c r="I1409" s="289">
        <v>90</v>
      </c>
      <c r="J1409" s="289">
        <v>70</v>
      </c>
      <c r="K1409" s="289">
        <v>7</v>
      </c>
      <c r="L1409" s="289">
        <v>1067</v>
      </c>
    </row>
    <row r="1410" spans="1:12">
      <c r="A1410" s="288" t="s">
        <v>2241</v>
      </c>
      <c r="B1410" s="288" t="s">
        <v>2215</v>
      </c>
      <c r="C1410" s="288" t="s">
        <v>814</v>
      </c>
      <c r="D1410" s="288" t="s">
        <v>818</v>
      </c>
      <c r="E1410" s="289">
        <v>10</v>
      </c>
      <c r="F1410" s="290">
        <v>0</v>
      </c>
      <c r="G1410" s="289">
        <v>900</v>
      </c>
      <c r="H1410" s="289">
        <v>0</v>
      </c>
      <c r="I1410" s="289">
        <v>90</v>
      </c>
      <c r="J1410" s="289">
        <v>70</v>
      </c>
      <c r="K1410" s="289">
        <v>7</v>
      </c>
      <c r="L1410" s="289">
        <v>1067</v>
      </c>
    </row>
    <row r="1411" spans="1:12">
      <c r="A1411" s="288" t="s">
        <v>2242</v>
      </c>
      <c r="B1411" s="288" t="s">
        <v>2215</v>
      </c>
      <c r="C1411" s="288" t="s">
        <v>820</v>
      </c>
      <c r="D1411" s="288" t="s">
        <v>815</v>
      </c>
      <c r="E1411" s="289">
        <v>10</v>
      </c>
      <c r="F1411" s="290">
        <v>0</v>
      </c>
      <c r="G1411" s="289">
        <v>900</v>
      </c>
      <c r="H1411" s="289">
        <v>0</v>
      </c>
      <c r="I1411" s="289">
        <v>90</v>
      </c>
      <c r="J1411" s="289">
        <v>50</v>
      </c>
      <c r="K1411" s="289">
        <v>5</v>
      </c>
      <c r="L1411" s="289">
        <v>1045</v>
      </c>
    </row>
    <row r="1412" spans="1:12">
      <c r="A1412" s="288" t="s">
        <v>2243</v>
      </c>
      <c r="B1412" s="288" t="s">
        <v>2215</v>
      </c>
      <c r="C1412" s="288" t="s">
        <v>1095</v>
      </c>
      <c r="D1412" s="288" t="s">
        <v>818</v>
      </c>
      <c r="E1412" s="289">
        <v>10</v>
      </c>
      <c r="F1412" s="290">
        <v>0</v>
      </c>
      <c r="G1412" s="289">
        <v>900</v>
      </c>
      <c r="H1412" s="289">
        <v>0</v>
      </c>
      <c r="I1412" s="289">
        <v>90</v>
      </c>
      <c r="J1412" s="289">
        <v>70</v>
      </c>
      <c r="K1412" s="289">
        <v>7</v>
      </c>
      <c r="L1412" s="289">
        <v>1067</v>
      </c>
    </row>
    <row r="1413" spans="1:12">
      <c r="A1413" s="288" t="s">
        <v>2244</v>
      </c>
      <c r="B1413" s="288" t="s">
        <v>2215</v>
      </c>
      <c r="C1413" s="288" t="s">
        <v>814</v>
      </c>
      <c r="D1413" s="288" t="s">
        <v>818</v>
      </c>
      <c r="E1413" s="289">
        <v>10</v>
      </c>
      <c r="F1413" s="290">
        <v>0</v>
      </c>
      <c r="G1413" s="289">
        <v>900</v>
      </c>
      <c r="H1413" s="289">
        <v>0</v>
      </c>
      <c r="I1413" s="289">
        <v>90</v>
      </c>
      <c r="J1413" s="289">
        <v>70</v>
      </c>
      <c r="K1413" s="289">
        <v>7</v>
      </c>
      <c r="L1413" s="289">
        <v>1067</v>
      </c>
    </row>
    <row r="1414" spans="1:12">
      <c r="A1414" s="288" t="s">
        <v>2245</v>
      </c>
      <c r="B1414" s="288" t="s">
        <v>2215</v>
      </c>
      <c r="C1414" s="288" t="s">
        <v>833</v>
      </c>
      <c r="D1414" s="288" t="s">
        <v>822</v>
      </c>
      <c r="E1414" s="289">
        <v>10</v>
      </c>
      <c r="F1414" s="290">
        <v>268</v>
      </c>
      <c r="G1414" s="289">
        <v>1100</v>
      </c>
      <c r="H1414" s="289">
        <v>26700</v>
      </c>
      <c r="I1414" s="289">
        <v>2780</v>
      </c>
      <c r="J1414" s="289">
        <v>200</v>
      </c>
      <c r="K1414" s="289">
        <v>20</v>
      </c>
      <c r="L1414" s="289">
        <v>30800</v>
      </c>
    </row>
    <row r="1415" spans="1:12">
      <c r="A1415" s="288" t="s">
        <v>2246</v>
      </c>
      <c r="B1415" s="288" t="s">
        <v>2247</v>
      </c>
      <c r="C1415" s="288" t="s">
        <v>2248</v>
      </c>
      <c r="D1415" s="288" t="s">
        <v>822</v>
      </c>
      <c r="E1415" s="289">
        <v>10</v>
      </c>
      <c r="F1415" s="290">
        <v>662</v>
      </c>
      <c r="G1415" s="289">
        <v>33000</v>
      </c>
      <c r="H1415" s="289">
        <v>16200</v>
      </c>
      <c r="I1415" s="289">
        <v>4920</v>
      </c>
      <c r="J1415" s="289">
        <v>200</v>
      </c>
      <c r="K1415" s="289">
        <v>20</v>
      </c>
      <c r="L1415" s="289">
        <v>54340</v>
      </c>
    </row>
    <row r="1416" spans="1:12">
      <c r="A1416" s="288" t="s">
        <v>2249</v>
      </c>
      <c r="B1416" s="288" t="s">
        <v>2247</v>
      </c>
      <c r="C1416" s="288" t="s">
        <v>829</v>
      </c>
      <c r="D1416" s="288" t="s">
        <v>818</v>
      </c>
      <c r="E1416" s="289">
        <v>10</v>
      </c>
      <c r="F1416" s="290">
        <v>2</v>
      </c>
      <c r="G1416" s="289">
        <v>900</v>
      </c>
      <c r="H1416" s="289">
        <v>0</v>
      </c>
      <c r="I1416" s="289">
        <v>90</v>
      </c>
      <c r="J1416" s="289">
        <v>70</v>
      </c>
      <c r="K1416" s="289">
        <v>7</v>
      </c>
      <c r="L1416" s="289">
        <v>1067</v>
      </c>
    </row>
    <row r="1417" spans="1:12">
      <c r="A1417" s="288" t="s">
        <v>2250</v>
      </c>
      <c r="B1417" s="288" t="s">
        <v>2247</v>
      </c>
      <c r="C1417" s="288" t="s">
        <v>829</v>
      </c>
      <c r="D1417" s="288" t="s">
        <v>818</v>
      </c>
      <c r="E1417" s="289">
        <v>10</v>
      </c>
      <c r="F1417" s="290">
        <v>0</v>
      </c>
      <c r="G1417" s="289">
        <v>900</v>
      </c>
      <c r="H1417" s="289">
        <v>0</v>
      </c>
      <c r="I1417" s="289">
        <v>90</v>
      </c>
      <c r="J1417" s="289">
        <v>70</v>
      </c>
      <c r="K1417" s="289">
        <v>7</v>
      </c>
      <c r="L1417" s="289">
        <v>1067</v>
      </c>
    </row>
    <row r="1418" spans="1:12">
      <c r="A1418" s="288" t="s">
        <v>2251</v>
      </c>
      <c r="B1418" s="288" t="s">
        <v>2247</v>
      </c>
      <c r="C1418" s="288" t="s">
        <v>820</v>
      </c>
      <c r="D1418" s="288" t="s">
        <v>826</v>
      </c>
      <c r="E1418" s="289">
        <v>10</v>
      </c>
      <c r="F1418" s="290">
        <v>329</v>
      </c>
      <c r="G1418" s="289">
        <v>1100</v>
      </c>
      <c r="H1418" s="289">
        <v>32800</v>
      </c>
      <c r="I1418" s="289">
        <v>3390</v>
      </c>
      <c r="J1418" s="289">
        <v>100</v>
      </c>
      <c r="K1418" s="289">
        <v>10</v>
      </c>
      <c r="L1418" s="289">
        <v>37400</v>
      </c>
    </row>
    <row r="1419" spans="1:12">
      <c r="A1419" s="288" t="s">
        <v>2252</v>
      </c>
      <c r="B1419" s="288" t="s">
        <v>2247</v>
      </c>
      <c r="C1419" s="288" t="s">
        <v>829</v>
      </c>
      <c r="D1419" s="288" t="s">
        <v>818</v>
      </c>
      <c r="E1419" s="289">
        <v>10</v>
      </c>
      <c r="F1419" s="290">
        <v>4</v>
      </c>
      <c r="G1419" s="289">
        <v>900</v>
      </c>
      <c r="H1419" s="289">
        <v>0</v>
      </c>
      <c r="I1419" s="289">
        <v>90</v>
      </c>
      <c r="J1419" s="289">
        <v>70</v>
      </c>
      <c r="K1419" s="289">
        <v>7</v>
      </c>
      <c r="L1419" s="289">
        <v>1067</v>
      </c>
    </row>
    <row r="1420" spans="1:12">
      <c r="A1420" s="288" t="s">
        <v>2253</v>
      </c>
      <c r="B1420" s="288" t="s">
        <v>2247</v>
      </c>
      <c r="C1420" s="288" t="s">
        <v>829</v>
      </c>
      <c r="D1420" s="288" t="s">
        <v>822</v>
      </c>
      <c r="E1420" s="289">
        <v>10</v>
      </c>
      <c r="F1420" s="290">
        <v>32</v>
      </c>
      <c r="G1420" s="289">
        <v>1100</v>
      </c>
      <c r="H1420" s="289">
        <v>2420</v>
      </c>
      <c r="I1420" s="289">
        <v>352</v>
      </c>
      <c r="J1420" s="289">
        <v>200</v>
      </c>
      <c r="K1420" s="289">
        <v>20</v>
      </c>
      <c r="L1420" s="289">
        <v>4092</v>
      </c>
    </row>
    <row r="1421" spans="1:12">
      <c r="A1421" s="288" t="s">
        <v>2254</v>
      </c>
      <c r="B1421" s="288" t="s">
        <v>2247</v>
      </c>
      <c r="C1421" s="288" t="s">
        <v>829</v>
      </c>
      <c r="D1421" s="288" t="s">
        <v>826</v>
      </c>
      <c r="E1421" s="289">
        <v>10</v>
      </c>
      <c r="F1421" s="290">
        <v>9</v>
      </c>
      <c r="G1421" s="289">
        <v>1100</v>
      </c>
      <c r="H1421" s="289">
        <v>0</v>
      </c>
      <c r="I1421" s="289">
        <v>110</v>
      </c>
      <c r="J1421" s="289">
        <v>100</v>
      </c>
      <c r="K1421" s="289">
        <v>10</v>
      </c>
      <c r="L1421" s="289">
        <v>1320</v>
      </c>
    </row>
    <row r="1422" spans="1:12">
      <c r="A1422" s="288" t="s">
        <v>2255</v>
      </c>
      <c r="B1422" s="288" t="s">
        <v>2247</v>
      </c>
      <c r="C1422" s="288" t="s">
        <v>829</v>
      </c>
      <c r="D1422" s="288" t="s">
        <v>2202</v>
      </c>
      <c r="E1422" s="289">
        <v>10</v>
      </c>
      <c r="F1422" s="290">
        <v>898</v>
      </c>
      <c r="G1422" s="289">
        <v>1100</v>
      </c>
      <c r="H1422" s="289">
        <v>89700</v>
      </c>
      <c r="I1422" s="289">
        <v>9080</v>
      </c>
      <c r="J1422" s="289">
        <v>1000</v>
      </c>
      <c r="K1422" s="289">
        <v>100</v>
      </c>
      <c r="L1422" s="289">
        <v>100980</v>
      </c>
    </row>
    <row r="1423" spans="1:12">
      <c r="A1423" s="288" t="s">
        <v>2256</v>
      </c>
      <c r="B1423" s="288" t="s">
        <v>2247</v>
      </c>
      <c r="C1423" s="288" t="s">
        <v>829</v>
      </c>
      <c r="D1423" s="288" t="s">
        <v>837</v>
      </c>
      <c r="E1423" s="289">
        <v>10</v>
      </c>
      <c r="F1423" s="290">
        <v>79</v>
      </c>
      <c r="G1423" s="289">
        <v>1100</v>
      </c>
      <c r="H1423" s="289">
        <v>7590</v>
      </c>
      <c r="I1423" s="289">
        <v>869</v>
      </c>
      <c r="J1423" s="289">
        <v>800</v>
      </c>
      <c r="K1423" s="289">
        <v>80</v>
      </c>
      <c r="L1423" s="289">
        <v>10439</v>
      </c>
    </row>
    <row r="1424" spans="1:12">
      <c r="A1424" s="288" t="s">
        <v>2257</v>
      </c>
      <c r="B1424" s="288" t="s">
        <v>2258</v>
      </c>
      <c r="C1424" s="288" t="s">
        <v>820</v>
      </c>
      <c r="D1424" s="288" t="s">
        <v>815</v>
      </c>
      <c r="E1424" s="289">
        <v>10</v>
      </c>
      <c r="F1424" s="290">
        <v>0</v>
      </c>
      <c r="G1424" s="289">
        <v>900</v>
      </c>
      <c r="H1424" s="289">
        <v>0</v>
      </c>
      <c r="I1424" s="289">
        <v>90</v>
      </c>
      <c r="J1424" s="289">
        <v>50</v>
      </c>
      <c r="K1424" s="289">
        <v>5</v>
      </c>
      <c r="L1424" s="289">
        <v>1045</v>
      </c>
    </row>
    <row r="1425" spans="1:12">
      <c r="A1425" s="288" t="s">
        <v>2259</v>
      </c>
      <c r="B1425" s="288" t="s">
        <v>2199</v>
      </c>
      <c r="C1425" s="288" t="s">
        <v>829</v>
      </c>
      <c r="D1425" s="288" t="s">
        <v>822</v>
      </c>
      <c r="E1425" s="289">
        <v>10</v>
      </c>
      <c r="F1425" s="290">
        <v>34</v>
      </c>
      <c r="G1425" s="289">
        <v>1100</v>
      </c>
      <c r="H1425" s="289">
        <v>2640</v>
      </c>
      <c r="I1425" s="289">
        <v>374</v>
      </c>
      <c r="J1425" s="289">
        <v>200</v>
      </c>
      <c r="K1425" s="289">
        <v>20</v>
      </c>
      <c r="L1425" s="289">
        <v>4334</v>
      </c>
    </row>
    <row r="1426" spans="1:12">
      <c r="A1426" s="288" t="s">
        <v>2260</v>
      </c>
      <c r="B1426" s="288" t="s">
        <v>2199</v>
      </c>
      <c r="C1426" s="288" t="s">
        <v>829</v>
      </c>
      <c r="D1426" s="288" t="s">
        <v>818</v>
      </c>
      <c r="E1426" s="289">
        <v>10</v>
      </c>
      <c r="F1426" s="290">
        <v>1</v>
      </c>
      <c r="G1426" s="289">
        <v>900</v>
      </c>
      <c r="H1426" s="289">
        <v>0</v>
      </c>
      <c r="I1426" s="289">
        <v>90</v>
      </c>
      <c r="J1426" s="289">
        <v>70</v>
      </c>
      <c r="K1426" s="289">
        <v>7</v>
      </c>
      <c r="L1426" s="289">
        <v>1067</v>
      </c>
    </row>
    <row r="1427" spans="1:12">
      <c r="A1427" s="288" t="s">
        <v>2261</v>
      </c>
      <c r="B1427" s="288" t="s">
        <v>2199</v>
      </c>
      <c r="C1427" s="288" t="s">
        <v>2248</v>
      </c>
      <c r="D1427" s="288" t="s">
        <v>818</v>
      </c>
      <c r="E1427" s="289">
        <v>10</v>
      </c>
      <c r="F1427" s="290">
        <v>0</v>
      </c>
      <c r="G1427" s="289">
        <v>900</v>
      </c>
      <c r="H1427" s="289">
        <v>0</v>
      </c>
      <c r="I1427" s="289">
        <v>90</v>
      </c>
      <c r="J1427" s="289">
        <v>70</v>
      </c>
      <c r="K1427" s="289">
        <v>7</v>
      </c>
      <c r="L1427" s="289">
        <v>1067</v>
      </c>
    </row>
    <row r="1428" spans="1:12">
      <c r="A1428" s="288" t="s">
        <v>2262</v>
      </c>
      <c r="B1428" s="288" t="s">
        <v>2199</v>
      </c>
      <c r="C1428" s="288" t="s">
        <v>829</v>
      </c>
      <c r="D1428" s="288" t="s">
        <v>837</v>
      </c>
      <c r="E1428" s="289">
        <v>10</v>
      </c>
      <c r="F1428" s="290">
        <v>93</v>
      </c>
      <c r="G1428" s="289">
        <v>1100</v>
      </c>
      <c r="H1428" s="289">
        <v>9130</v>
      </c>
      <c r="I1428" s="289">
        <v>1023</v>
      </c>
      <c r="J1428" s="289">
        <v>800</v>
      </c>
      <c r="K1428" s="289">
        <v>80</v>
      </c>
      <c r="L1428" s="289">
        <v>12133</v>
      </c>
    </row>
    <row r="1429" spans="1:12">
      <c r="A1429" s="288" t="s">
        <v>2263</v>
      </c>
      <c r="B1429" s="288" t="s">
        <v>2199</v>
      </c>
      <c r="C1429" s="288" t="s">
        <v>820</v>
      </c>
      <c r="D1429" s="288" t="s">
        <v>826</v>
      </c>
      <c r="E1429" s="289">
        <v>10</v>
      </c>
      <c r="F1429" s="290">
        <v>3</v>
      </c>
      <c r="G1429" s="289">
        <v>900</v>
      </c>
      <c r="H1429" s="289">
        <v>0</v>
      </c>
      <c r="I1429" s="289">
        <v>90</v>
      </c>
      <c r="J1429" s="289">
        <v>100</v>
      </c>
      <c r="K1429" s="289">
        <v>10</v>
      </c>
      <c r="L1429" s="289">
        <v>1100</v>
      </c>
    </row>
    <row r="1430" spans="1:12">
      <c r="A1430" s="288" t="s">
        <v>2264</v>
      </c>
      <c r="B1430" s="288" t="s">
        <v>2199</v>
      </c>
      <c r="C1430" s="288" t="s">
        <v>820</v>
      </c>
      <c r="D1430" s="288" t="s">
        <v>818</v>
      </c>
      <c r="E1430" s="289">
        <v>10</v>
      </c>
      <c r="F1430" s="290">
        <v>2</v>
      </c>
      <c r="G1430" s="289">
        <v>900</v>
      </c>
      <c r="H1430" s="289">
        <v>0</v>
      </c>
      <c r="I1430" s="289">
        <v>90</v>
      </c>
      <c r="J1430" s="289">
        <v>70</v>
      </c>
      <c r="K1430" s="289">
        <v>7</v>
      </c>
      <c r="L1430" s="289">
        <v>1067</v>
      </c>
    </row>
    <row r="1431" spans="1:12">
      <c r="A1431" s="288" t="s">
        <v>2265</v>
      </c>
      <c r="B1431" s="288" t="s">
        <v>2199</v>
      </c>
      <c r="C1431" s="288" t="s">
        <v>829</v>
      </c>
      <c r="D1431" s="288" t="s">
        <v>818</v>
      </c>
      <c r="E1431" s="289">
        <v>10</v>
      </c>
      <c r="F1431" s="290">
        <v>7</v>
      </c>
      <c r="G1431" s="289">
        <v>1100</v>
      </c>
      <c r="H1431" s="289">
        <v>0</v>
      </c>
      <c r="I1431" s="289">
        <v>110</v>
      </c>
      <c r="J1431" s="289">
        <v>70</v>
      </c>
      <c r="K1431" s="289">
        <v>7</v>
      </c>
      <c r="L1431" s="289">
        <v>1287</v>
      </c>
    </row>
    <row r="1432" spans="1:12">
      <c r="A1432" s="288" t="s">
        <v>2266</v>
      </c>
      <c r="B1432" s="288" t="s">
        <v>2199</v>
      </c>
      <c r="C1432" s="288" t="s">
        <v>829</v>
      </c>
      <c r="D1432" s="288" t="s">
        <v>818</v>
      </c>
      <c r="E1432" s="289">
        <v>10</v>
      </c>
      <c r="F1432" s="290">
        <v>1</v>
      </c>
      <c r="G1432" s="289">
        <v>900</v>
      </c>
      <c r="H1432" s="289">
        <v>0</v>
      </c>
      <c r="I1432" s="289">
        <v>90</v>
      </c>
      <c r="J1432" s="289">
        <v>70</v>
      </c>
      <c r="K1432" s="289">
        <v>7</v>
      </c>
      <c r="L1432" s="289">
        <v>1067</v>
      </c>
    </row>
    <row r="1433" spans="1:12">
      <c r="A1433" s="288" t="s">
        <v>2267</v>
      </c>
      <c r="B1433" s="288" t="s">
        <v>2268</v>
      </c>
      <c r="C1433" s="288" t="s">
        <v>814</v>
      </c>
      <c r="D1433" s="288" t="s">
        <v>818</v>
      </c>
      <c r="E1433" s="289">
        <v>10</v>
      </c>
      <c r="F1433" s="290">
        <v>9</v>
      </c>
      <c r="G1433" s="289">
        <v>1100</v>
      </c>
      <c r="H1433" s="289">
        <v>0</v>
      </c>
      <c r="I1433" s="289">
        <v>110</v>
      </c>
      <c r="J1433" s="289">
        <v>70</v>
      </c>
      <c r="K1433" s="289">
        <v>7</v>
      </c>
      <c r="L1433" s="289">
        <v>1287</v>
      </c>
    </row>
    <row r="1434" spans="1:12">
      <c r="A1434" s="288" t="s">
        <v>2269</v>
      </c>
      <c r="B1434" s="288" t="s">
        <v>2268</v>
      </c>
      <c r="C1434" s="288" t="s">
        <v>814</v>
      </c>
      <c r="D1434" s="288" t="s">
        <v>818</v>
      </c>
      <c r="E1434" s="289">
        <v>10</v>
      </c>
      <c r="F1434" s="290">
        <v>10</v>
      </c>
      <c r="G1434" s="289">
        <v>1100</v>
      </c>
      <c r="H1434" s="289">
        <v>0</v>
      </c>
      <c r="I1434" s="289">
        <v>110</v>
      </c>
      <c r="J1434" s="289">
        <v>70</v>
      </c>
      <c r="K1434" s="289">
        <v>7</v>
      </c>
      <c r="L1434" s="289">
        <v>1287</v>
      </c>
    </row>
    <row r="1435" spans="1:12">
      <c r="A1435" s="288" t="s">
        <v>2270</v>
      </c>
      <c r="B1435" s="288" t="s">
        <v>2268</v>
      </c>
      <c r="C1435" s="288" t="s">
        <v>814</v>
      </c>
      <c r="D1435" s="288" t="s">
        <v>818</v>
      </c>
      <c r="E1435" s="289">
        <v>10</v>
      </c>
      <c r="F1435" s="290">
        <v>6</v>
      </c>
      <c r="G1435" s="289">
        <v>1100</v>
      </c>
      <c r="H1435" s="289">
        <v>0</v>
      </c>
      <c r="I1435" s="289">
        <v>110</v>
      </c>
      <c r="J1435" s="289">
        <v>70</v>
      </c>
      <c r="K1435" s="289">
        <v>7</v>
      </c>
      <c r="L1435" s="289">
        <v>1287</v>
      </c>
    </row>
    <row r="1436" spans="1:12">
      <c r="A1436" s="288" t="s">
        <v>2271</v>
      </c>
      <c r="B1436" s="288" t="s">
        <v>2268</v>
      </c>
      <c r="C1436" s="288" t="s">
        <v>814</v>
      </c>
      <c r="D1436" s="288" t="s">
        <v>818</v>
      </c>
      <c r="E1436" s="289">
        <v>10</v>
      </c>
      <c r="F1436" s="290">
        <v>8</v>
      </c>
      <c r="G1436" s="289">
        <v>1100</v>
      </c>
      <c r="H1436" s="289">
        <v>0</v>
      </c>
      <c r="I1436" s="289">
        <v>110</v>
      </c>
      <c r="J1436" s="289">
        <v>70</v>
      </c>
      <c r="K1436" s="289">
        <v>7</v>
      </c>
      <c r="L1436" s="289">
        <v>1287</v>
      </c>
    </row>
    <row r="1437" spans="1:12">
      <c r="A1437" s="288" t="s">
        <v>2272</v>
      </c>
      <c r="B1437" s="288" t="s">
        <v>2268</v>
      </c>
      <c r="C1437" s="288" t="s">
        <v>814</v>
      </c>
      <c r="D1437" s="288" t="s">
        <v>818</v>
      </c>
      <c r="E1437" s="289">
        <v>10</v>
      </c>
      <c r="F1437" s="290">
        <v>24</v>
      </c>
      <c r="G1437" s="289">
        <v>1100</v>
      </c>
      <c r="H1437" s="289">
        <v>1540</v>
      </c>
      <c r="I1437" s="289">
        <v>264</v>
      </c>
      <c r="J1437" s="289">
        <v>70</v>
      </c>
      <c r="K1437" s="289">
        <v>7</v>
      </c>
      <c r="L1437" s="289">
        <v>2981</v>
      </c>
    </row>
    <row r="1438" spans="1:12">
      <c r="A1438" s="288" t="s">
        <v>2273</v>
      </c>
      <c r="B1438" s="288" t="s">
        <v>2268</v>
      </c>
      <c r="C1438" s="288" t="s">
        <v>814</v>
      </c>
      <c r="D1438" s="288" t="s">
        <v>818</v>
      </c>
      <c r="E1438" s="289">
        <v>10</v>
      </c>
      <c r="F1438" s="290">
        <v>15</v>
      </c>
      <c r="G1438" s="289">
        <v>1100</v>
      </c>
      <c r="H1438" s="289">
        <v>550</v>
      </c>
      <c r="I1438" s="289">
        <v>165</v>
      </c>
      <c r="J1438" s="289">
        <v>70</v>
      </c>
      <c r="K1438" s="289">
        <v>7</v>
      </c>
      <c r="L1438" s="289">
        <v>1892</v>
      </c>
    </row>
    <row r="1439" spans="1:12">
      <c r="A1439" s="288" t="s">
        <v>2274</v>
      </c>
      <c r="B1439" s="288" t="s">
        <v>2268</v>
      </c>
      <c r="C1439" s="288" t="s">
        <v>814</v>
      </c>
      <c r="D1439" s="288" t="s">
        <v>818</v>
      </c>
      <c r="E1439" s="289">
        <v>10</v>
      </c>
      <c r="F1439" s="290">
        <v>6</v>
      </c>
      <c r="G1439" s="289">
        <v>1100</v>
      </c>
      <c r="H1439" s="289">
        <v>0</v>
      </c>
      <c r="I1439" s="289">
        <v>110</v>
      </c>
      <c r="J1439" s="289">
        <v>70</v>
      </c>
      <c r="K1439" s="289">
        <v>7</v>
      </c>
      <c r="L1439" s="289">
        <v>1287</v>
      </c>
    </row>
    <row r="1440" spans="1:12">
      <c r="A1440" s="288" t="s">
        <v>2275</v>
      </c>
      <c r="B1440" s="288" t="s">
        <v>2268</v>
      </c>
      <c r="C1440" s="288" t="s">
        <v>814</v>
      </c>
      <c r="D1440" s="288" t="s">
        <v>818</v>
      </c>
      <c r="E1440" s="289">
        <v>10</v>
      </c>
      <c r="F1440" s="290">
        <v>9</v>
      </c>
      <c r="G1440" s="289">
        <v>1100</v>
      </c>
      <c r="H1440" s="289">
        <v>0</v>
      </c>
      <c r="I1440" s="289">
        <v>110</v>
      </c>
      <c r="J1440" s="289">
        <v>70</v>
      </c>
      <c r="K1440" s="289">
        <v>7</v>
      </c>
      <c r="L1440" s="289">
        <v>1287</v>
      </c>
    </row>
    <row r="1441" spans="1:12">
      <c r="A1441" s="288" t="s">
        <v>2276</v>
      </c>
      <c r="B1441" s="288" t="s">
        <v>2268</v>
      </c>
      <c r="C1441" s="288" t="s">
        <v>814</v>
      </c>
      <c r="D1441" s="288" t="s">
        <v>818</v>
      </c>
      <c r="E1441" s="289">
        <v>10</v>
      </c>
      <c r="F1441" s="290">
        <v>6</v>
      </c>
      <c r="G1441" s="289">
        <v>1100</v>
      </c>
      <c r="H1441" s="289">
        <v>0</v>
      </c>
      <c r="I1441" s="289">
        <v>110</v>
      </c>
      <c r="J1441" s="289">
        <v>70</v>
      </c>
      <c r="K1441" s="289">
        <v>7</v>
      </c>
      <c r="L1441" s="289">
        <v>1287</v>
      </c>
    </row>
    <row r="1442" spans="1:12">
      <c r="A1442" s="288" t="s">
        <v>2277</v>
      </c>
      <c r="B1442" s="288" t="s">
        <v>2268</v>
      </c>
      <c r="C1442" s="288" t="s">
        <v>814</v>
      </c>
      <c r="D1442" s="288" t="s">
        <v>818</v>
      </c>
      <c r="E1442" s="289">
        <v>10</v>
      </c>
      <c r="F1442" s="290">
        <v>8</v>
      </c>
      <c r="G1442" s="289">
        <v>1100</v>
      </c>
      <c r="H1442" s="289">
        <v>0</v>
      </c>
      <c r="I1442" s="289">
        <v>110</v>
      </c>
      <c r="J1442" s="289">
        <v>70</v>
      </c>
      <c r="K1442" s="289">
        <v>7</v>
      </c>
      <c r="L1442" s="289">
        <v>1287</v>
      </c>
    </row>
    <row r="1443" spans="1:12">
      <c r="A1443" s="288" t="s">
        <v>2278</v>
      </c>
      <c r="B1443" s="288" t="s">
        <v>2268</v>
      </c>
      <c r="C1443" s="288" t="s">
        <v>814</v>
      </c>
      <c r="D1443" s="288" t="s">
        <v>818</v>
      </c>
      <c r="E1443" s="289">
        <v>10</v>
      </c>
      <c r="F1443" s="290">
        <v>5</v>
      </c>
      <c r="G1443" s="289">
        <v>900</v>
      </c>
      <c r="H1443" s="289">
        <v>0</v>
      </c>
      <c r="I1443" s="289">
        <v>90</v>
      </c>
      <c r="J1443" s="289">
        <v>70</v>
      </c>
      <c r="K1443" s="289">
        <v>7</v>
      </c>
      <c r="L1443" s="289">
        <v>1067</v>
      </c>
    </row>
    <row r="1444" spans="1:12">
      <c r="A1444" s="288" t="s">
        <v>2279</v>
      </c>
      <c r="B1444" s="288" t="s">
        <v>2268</v>
      </c>
      <c r="C1444" s="288" t="s">
        <v>814</v>
      </c>
      <c r="D1444" s="288" t="s">
        <v>818</v>
      </c>
      <c r="E1444" s="289">
        <v>10</v>
      </c>
      <c r="F1444" s="290">
        <v>18</v>
      </c>
      <c r="G1444" s="289">
        <v>1100</v>
      </c>
      <c r="H1444" s="289">
        <v>880</v>
      </c>
      <c r="I1444" s="289">
        <v>198</v>
      </c>
      <c r="J1444" s="289">
        <v>70</v>
      </c>
      <c r="K1444" s="289">
        <v>7</v>
      </c>
      <c r="L1444" s="289">
        <v>2255</v>
      </c>
    </row>
    <row r="1445" spans="1:12">
      <c r="A1445" s="288" t="s">
        <v>2280</v>
      </c>
      <c r="B1445" s="288" t="s">
        <v>2268</v>
      </c>
      <c r="C1445" s="288" t="s">
        <v>814</v>
      </c>
      <c r="D1445" s="288" t="s">
        <v>818</v>
      </c>
      <c r="E1445" s="289">
        <v>10</v>
      </c>
      <c r="F1445" s="290">
        <v>10</v>
      </c>
      <c r="G1445" s="289">
        <v>1100</v>
      </c>
      <c r="H1445" s="289">
        <v>0</v>
      </c>
      <c r="I1445" s="289">
        <v>110</v>
      </c>
      <c r="J1445" s="289">
        <v>70</v>
      </c>
      <c r="K1445" s="289">
        <v>7</v>
      </c>
      <c r="L1445" s="289">
        <v>1287</v>
      </c>
    </row>
    <row r="1446" spans="1:12">
      <c r="A1446" s="288" t="s">
        <v>2281</v>
      </c>
      <c r="B1446" s="288" t="s">
        <v>2268</v>
      </c>
      <c r="C1446" s="288" t="s">
        <v>814</v>
      </c>
      <c r="D1446" s="288" t="s">
        <v>818</v>
      </c>
      <c r="E1446" s="289">
        <v>10</v>
      </c>
      <c r="F1446" s="290">
        <v>22</v>
      </c>
      <c r="G1446" s="289">
        <v>1100</v>
      </c>
      <c r="H1446" s="289">
        <v>1320</v>
      </c>
      <c r="I1446" s="289">
        <v>242</v>
      </c>
      <c r="J1446" s="289">
        <v>70</v>
      </c>
      <c r="K1446" s="289">
        <v>7</v>
      </c>
      <c r="L1446" s="289">
        <v>2739</v>
      </c>
    </row>
    <row r="1447" spans="1:12">
      <c r="A1447" s="288" t="s">
        <v>2282</v>
      </c>
      <c r="B1447" s="288" t="s">
        <v>2268</v>
      </c>
      <c r="C1447" s="288" t="s">
        <v>814</v>
      </c>
      <c r="D1447" s="288" t="s">
        <v>818</v>
      </c>
      <c r="E1447" s="289">
        <v>10</v>
      </c>
      <c r="F1447" s="290">
        <v>8</v>
      </c>
      <c r="G1447" s="289">
        <v>1100</v>
      </c>
      <c r="H1447" s="289">
        <v>0</v>
      </c>
      <c r="I1447" s="289">
        <v>110</v>
      </c>
      <c r="J1447" s="289">
        <v>70</v>
      </c>
      <c r="K1447" s="289">
        <v>7</v>
      </c>
      <c r="L1447" s="289">
        <v>1287</v>
      </c>
    </row>
    <row r="1448" spans="1:12">
      <c r="A1448" s="288" t="s">
        <v>2283</v>
      </c>
      <c r="B1448" s="288" t="s">
        <v>2268</v>
      </c>
      <c r="C1448" s="288" t="s">
        <v>814</v>
      </c>
      <c r="D1448" s="288" t="s">
        <v>818</v>
      </c>
      <c r="E1448" s="289">
        <v>10</v>
      </c>
      <c r="F1448" s="290">
        <v>3</v>
      </c>
      <c r="G1448" s="289">
        <v>900</v>
      </c>
      <c r="H1448" s="289">
        <v>0</v>
      </c>
      <c r="I1448" s="289">
        <v>90</v>
      </c>
      <c r="J1448" s="289">
        <v>70</v>
      </c>
      <c r="K1448" s="289">
        <v>7</v>
      </c>
      <c r="L1448" s="289">
        <v>1067</v>
      </c>
    </row>
    <row r="1449" spans="1:12">
      <c r="A1449" s="288" t="s">
        <v>2284</v>
      </c>
      <c r="B1449" s="288" t="s">
        <v>2268</v>
      </c>
      <c r="C1449" s="288" t="s">
        <v>814</v>
      </c>
      <c r="D1449" s="288" t="s">
        <v>818</v>
      </c>
      <c r="E1449" s="289">
        <v>10</v>
      </c>
      <c r="F1449" s="290">
        <v>14</v>
      </c>
      <c r="G1449" s="289">
        <v>1100</v>
      </c>
      <c r="H1449" s="289">
        <v>440</v>
      </c>
      <c r="I1449" s="289">
        <v>154</v>
      </c>
      <c r="J1449" s="289">
        <v>70</v>
      </c>
      <c r="K1449" s="289">
        <v>7</v>
      </c>
      <c r="L1449" s="289">
        <v>1771</v>
      </c>
    </row>
    <row r="1450" spans="1:12">
      <c r="A1450" s="288" t="s">
        <v>2285</v>
      </c>
      <c r="B1450" s="288" t="s">
        <v>2268</v>
      </c>
      <c r="C1450" s="288" t="s">
        <v>814</v>
      </c>
      <c r="D1450" s="288" t="s">
        <v>818</v>
      </c>
      <c r="E1450" s="289">
        <v>10</v>
      </c>
      <c r="F1450" s="290">
        <v>16</v>
      </c>
      <c r="G1450" s="289">
        <v>1100</v>
      </c>
      <c r="H1450" s="289">
        <v>660</v>
      </c>
      <c r="I1450" s="289">
        <v>176</v>
      </c>
      <c r="J1450" s="289">
        <v>70</v>
      </c>
      <c r="K1450" s="289">
        <v>7</v>
      </c>
      <c r="L1450" s="289">
        <v>2013</v>
      </c>
    </row>
    <row r="1451" spans="1:12">
      <c r="A1451" s="288" t="s">
        <v>2286</v>
      </c>
      <c r="B1451" s="288" t="s">
        <v>2268</v>
      </c>
      <c r="C1451" s="288" t="s">
        <v>814</v>
      </c>
      <c r="D1451" s="288" t="s">
        <v>818</v>
      </c>
      <c r="E1451" s="289">
        <v>10</v>
      </c>
      <c r="F1451" s="290">
        <v>20</v>
      </c>
      <c r="G1451" s="289">
        <v>1100</v>
      </c>
      <c r="H1451" s="289">
        <v>1100</v>
      </c>
      <c r="I1451" s="289">
        <v>220</v>
      </c>
      <c r="J1451" s="289">
        <v>70</v>
      </c>
      <c r="K1451" s="289">
        <v>7</v>
      </c>
      <c r="L1451" s="289">
        <v>2497</v>
      </c>
    </row>
    <row r="1452" spans="1:12">
      <c r="A1452" s="288" t="s">
        <v>2287</v>
      </c>
      <c r="B1452" s="288" t="s">
        <v>2268</v>
      </c>
      <c r="C1452" s="288" t="s">
        <v>814</v>
      </c>
      <c r="D1452" s="288" t="s">
        <v>818</v>
      </c>
      <c r="E1452" s="289">
        <v>10</v>
      </c>
      <c r="F1452" s="290">
        <v>5</v>
      </c>
      <c r="G1452" s="289">
        <v>900</v>
      </c>
      <c r="H1452" s="289">
        <v>0</v>
      </c>
      <c r="I1452" s="289">
        <v>90</v>
      </c>
      <c r="J1452" s="289">
        <v>70</v>
      </c>
      <c r="K1452" s="289">
        <v>7</v>
      </c>
      <c r="L1452" s="289">
        <v>1067</v>
      </c>
    </row>
    <row r="1453" spans="1:12">
      <c r="A1453" s="288" t="s">
        <v>2288</v>
      </c>
      <c r="B1453" s="288" t="s">
        <v>2268</v>
      </c>
      <c r="C1453" s="288" t="s">
        <v>814</v>
      </c>
      <c r="D1453" s="288" t="s">
        <v>818</v>
      </c>
      <c r="E1453" s="289">
        <v>10</v>
      </c>
      <c r="F1453" s="290">
        <v>9</v>
      </c>
      <c r="G1453" s="289">
        <v>1100</v>
      </c>
      <c r="H1453" s="289">
        <v>0</v>
      </c>
      <c r="I1453" s="289">
        <v>110</v>
      </c>
      <c r="J1453" s="289">
        <v>70</v>
      </c>
      <c r="K1453" s="289">
        <v>7</v>
      </c>
      <c r="L1453" s="289">
        <v>1287</v>
      </c>
    </row>
    <row r="1454" spans="1:12">
      <c r="A1454" s="288" t="s">
        <v>2289</v>
      </c>
      <c r="B1454" s="288" t="s">
        <v>2268</v>
      </c>
      <c r="C1454" s="288" t="s">
        <v>814</v>
      </c>
      <c r="D1454" s="288" t="s">
        <v>818</v>
      </c>
      <c r="E1454" s="289">
        <v>10</v>
      </c>
      <c r="F1454" s="290">
        <v>4</v>
      </c>
      <c r="G1454" s="289">
        <v>900</v>
      </c>
      <c r="H1454" s="289">
        <v>0</v>
      </c>
      <c r="I1454" s="289">
        <v>90</v>
      </c>
      <c r="J1454" s="289">
        <v>70</v>
      </c>
      <c r="K1454" s="289">
        <v>7</v>
      </c>
      <c r="L1454" s="289">
        <v>1067</v>
      </c>
    </row>
    <row r="1455" spans="1:12">
      <c r="A1455" s="288" t="s">
        <v>2290</v>
      </c>
      <c r="B1455" s="288" t="s">
        <v>2268</v>
      </c>
      <c r="C1455" s="288" t="s">
        <v>814</v>
      </c>
      <c r="D1455" s="288" t="s">
        <v>818</v>
      </c>
      <c r="E1455" s="289">
        <v>10</v>
      </c>
      <c r="F1455" s="290">
        <v>8</v>
      </c>
      <c r="G1455" s="289">
        <v>1100</v>
      </c>
      <c r="H1455" s="289">
        <v>0</v>
      </c>
      <c r="I1455" s="289">
        <v>110</v>
      </c>
      <c r="J1455" s="289">
        <v>70</v>
      </c>
      <c r="K1455" s="289">
        <v>7</v>
      </c>
      <c r="L1455" s="289">
        <v>1287</v>
      </c>
    </row>
    <row r="1456" spans="1:12">
      <c r="A1456" s="288" t="s">
        <v>2291</v>
      </c>
      <c r="B1456" s="288" t="s">
        <v>2268</v>
      </c>
      <c r="C1456" s="288" t="s">
        <v>814</v>
      </c>
      <c r="D1456" s="288" t="s">
        <v>818</v>
      </c>
      <c r="E1456" s="289">
        <v>10</v>
      </c>
      <c r="F1456" s="290">
        <v>8</v>
      </c>
      <c r="G1456" s="289">
        <v>1100</v>
      </c>
      <c r="H1456" s="289">
        <v>0</v>
      </c>
      <c r="I1456" s="289">
        <v>110</v>
      </c>
      <c r="J1456" s="289">
        <v>70</v>
      </c>
      <c r="K1456" s="289">
        <v>7</v>
      </c>
      <c r="L1456" s="289">
        <v>1287</v>
      </c>
    </row>
    <row r="1457" spans="1:12">
      <c r="A1457" s="288" t="s">
        <v>2292</v>
      </c>
      <c r="B1457" s="288" t="s">
        <v>2268</v>
      </c>
      <c r="C1457" s="288" t="s">
        <v>814</v>
      </c>
      <c r="D1457" s="288" t="s">
        <v>818</v>
      </c>
      <c r="E1457" s="289">
        <v>10</v>
      </c>
      <c r="F1457" s="290">
        <v>16</v>
      </c>
      <c r="G1457" s="289">
        <v>1100</v>
      </c>
      <c r="H1457" s="289">
        <v>660</v>
      </c>
      <c r="I1457" s="289">
        <v>176</v>
      </c>
      <c r="J1457" s="289">
        <v>70</v>
      </c>
      <c r="K1457" s="289">
        <v>7</v>
      </c>
      <c r="L1457" s="289">
        <v>2013</v>
      </c>
    </row>
    <row r="1458" spans="1:12">
      <c r="A1458" s="288" t="s">
        <v>2293</v>
      </c>
      <c r="B1458" s="288" t="s">
        <v>2268</v>
      </c>
      <c r="C1458" s="288" t="s">
        <v>814</v>
      </c>
      <c r="D1458" s="288" t="s">
        <v>818</v>
      </c>
      <c r="E1458" s="289">
        <v>10</v>
      </c>
      <c r="F1458" s="290">
        <v>23</v>
      </c>
      <c r="G1458" s="289">
        <v>1100</v>
      </c>
      <c r="H1458" s="289">
        <v>1430</v>
      </c>
      <c r="I1458" s="289">
        <v>253</v>
      </c>
      <c r="J1458" s="289">
        <v>70</v>
      </c>
      <c r="K1458" s="289">
        <v>7</v>
      </c>
      <c r="L1458" s="289">
        <v>2860</v>
      </c>
    </row>
    <row r="1459" spans="1:12">
      <c r="A1459" s="288" t="s">
        <v>2294</v>
      </c>
      <c r="B1459" s="288" t="s">
        <v>2268</v>
      </c>
      <c r="C1459" s="288" t="s">
        <v>814</v>
      </c>
      <c r="D1459" s="288" t="s">
        <v>818</v>
      </c>
      <c r="E1459" s="289">
        <v>10</v>
      </c>
      <c r="F1459" s="290">
        <v>8</v>
      </c>
      <c r="G1459" s="289">
        <v>1100</v>
      </c>
      <c r="H1459" s="289">
        <v>0</v>
      </c>
      <c r="I1459" s="289">
        <v>110</v>
      </c>
      <c r="J1459" s="289">
        <v>70</v>
      </c>
      <c r="K1459" s="289">
        <v>7</v>
      </c>
      <c r="L1459" s="289">
        <v>1287</v>
      </c>
    </row>
    <row r="1460" spans="1:12">
      <c r="A1460" s="288" t="s">
        <v>2295</v>
      </c>
      <c r="B1460" s="288" t="s">
        <v>2268</v>
      </c>
      <c r="C1460" s="288" t="s">
        <v>814</v>
      </c>
      <c r="D1460" s="288" t="s">
        <v>818</v>
      </c>
      <c r="E1460" s="289">
        <v>10</v>
      </c>
      <c r="F1460" s="290">
        <v>11</v>
      </c>
      <c r="G1460" s="289">
        <v>1100</v>
      </c>
      <c r="H1460" s="289">
        <v>110</v>
      </c>
      <c r="I1460" s="289">
        <v>121</v>
      </c>
      <c r="J1460" s="289">
        <v>70</v>
      </c>
      <c r="K1460" s="289">
        <v>7</v>
      </c>
      <c r="L1460" s="289">
        <v>1408</v>
      </c>
    </row>
    <row r="1461" spans="1:12">
      <c r="A1461" s="288" t="s">
        <v>2296</v>
      </c>
      <c r="B1461" s="288" t="s">
        <v>2268</v>
      </c>
      <c r="C1461" s="288" t="s">
        <v>814</v>
      </c>
      <c r="D1461" s="288" t="s">
        <v>818</v>
      </c>
      <c r="E1461" s="289">
        <v>10</v>
      </c>
      <c r="F1461" s="290">
        <v>1</v>
      </c>
      <c r="G1461" s="289">
        <v>900</v>
      </c>
      <c r="H1461" s="289">
        <v>0</v>
      </c>
      <c r="I1461" s="289">
        <v>90</v>
      </c>
      <c r="J1461" s="289">
        <v>70</v>
      </c>
      <c r="K1461" s="289">
        <v>7</v>
      </c>
      <c r="L1461" s="289">
        <v>1067</v>
      </c>
    </row>
    <row r="1462" spans="1:12">
      <c r="A1462" s="288" t="s">
        <v>2297</v>
      </c>
      <c r="B1462" s="288" t="s">
        <v>2268</v>
      </c>
      <c r="C1462" s="288" t="s">
        <v>814</v>
      </c>
      <c r="D1462" s="288" t="s">
        <v>818</v>
      </c>
      <c r="E1462" s="289">
        <v>10</v>
      </c>
      <c r="F1462" s="290">
        <v>10</v>
      </c>
      <c r="G1462" s="289">
        <v>1100</v>
      </c>
      <c r="H1462" s="289">
        <v>0</v>
      </c>
      <c r="I1462" s="289">
        <v>110</v>
      </c>
      <c r="J1462" s="289">
        <v>70</v>
      </c>
      <c r="K1462" s="289">
        <v>7</v>
      </c>
      <c r="L1462" s="289">
        <v>1287</v>
      </c>
    </row>
    <row r="1463" spans="1:12">
      <c r="A1463" s="288" t="s">
        <v>2298</v>
      </c>
      <c r="B1463" s="288" t="s">
        <v>2268</v>
      </c>
      <c r="C1463" s="288" t="s">
        <v>814</v>
      </c>
      <c r="D1463" s="288" t="s">
        <v>818</v>
      </c>
      <c r="E1463" s="289">
        <v>10</v>
      </c>
      <c r="F1463" s="290">
        <v>4</v>
      </c>
      <c r="G1463" s="289">
        <v>900</v>
      </c>
      <c r="H1463" s="289">
        <v>0</v>
      </c>
      <c r="I1463" s="289">
        <v>90</v>
      </c>
      <c r="J1463" s="289">
        <v>70</v>
      </c>
      <c r="K1463" s="289">
        <v>7</v>
      </c>
      <c r="L1463" s="289">
        <v>1067</v>
      </c>
    </row>
    <row r="1464" spans="1:12">
      <c r="A1464" s="288" t="s">
        <v>2299</v>
      </c>
      <c r="B1464" s="288" t="s">
        <v>2268</v>
      </c>
      <c r="C1464" s="288" t="s">
        <v>814</v>
      </c>
      <c r="D1464" s="288" t="s">
        <v>818</v>
      </c>
      <c r="E1464" s="289">
        <v>10</v>
      </c>
      <c r="F1464" s="290">
        <v>11</v>
      </c>
      <c r="G1464" s="289">
        <v>1100</v>
      </c>
      <c r="H1464" s="289">
        <v>110</v>
      </c>
      <c r="I1464" s="289">
        <v>121</v>
      </c>
      <c r="J1464" s="289">
        <v>70</v>
      </c>
      <c r="K1464" s="289">
        <v>7</v>
      </c>
      <c r="L1464" s="289">
        <v>1408</v>
      </c>
    </row>
    <row r="1465" spans="1:12">
      <c r="A1465" s="288" t="s">
        <v>2300</v>
      </c>
      <c r="B1465" s="288" t="s">
        <v>2268</v>
      </c>
      <c r="C1465" s="288" t="s">
        <v>814</v>
      </c>
      <c r="D1465" s="288" t="s">
        <v>818</v>
      </c>
      <c r="E1465" s="289">
        <v>10</v>
      </c>
      <c r="F1465" s="290">
        <v>6</v>
      </c>
      <c r="G1465" s="289">
        <v>1100</v>
      </c>
      <c r="H1465" s="289">
        <v>0</v>
      </c>
      <c r="I1465" s="289">
        <v>110</v>
      </c>
      <c r="J1465" s="289">
        <v>70</v>
      </c>
      <c r="K1465" s="289">
        <v>7</v>
      </c>
      <c r="L1465" s="289">
        <v>1287</v>
      </c>
    </row>
    <row r="1466" spans="1:12">
      <c r="A1466" s="288" t="s">
        <v>2301</v>
      </c>
      <c r="B1466" s="288" t="s">
        <v>2268</v>
      </c>
      <c r="C1466" s="288" t="s">
        <v>814</v>
      </c>
      <c r="D1466" s="288" t="s">
        <v>818</v>
      </c>
      <c r="E1466" s="289">
        <v>10</v>
      </c>
      <c r="F1466" s="290">
        <v>0</v>
      </c>
      <c r="G1466" s="289">
        <v>900</v>
      </c>
      <c r="H1466" s="289">
        <v>0</v>
      </c>
      <c r="I1466" s="289">
        <v>90</v>
      </c>
      <c r="J1466" s="289">
        <v>70</v>
      </c>
      <c r="K1466" s="289">
        <v>7</v>
      </c>
      <c r="L1466" s="289">
        <v>1067</v>
      </c>
    </row>
    <row r="1467" spans="1:12">
      <c r="A1467" s="288" t="s">
        <v>2302</v>
      </c>
      <c r="B1467" s="288" t="s">
        <v>2268</v>
      </c>
      <c r="C1467" s="288" t="s">
        <v>814</v>
      </c>
      <c r="D1467" s="288" t="s">
        <v>818</v>
      </c>
      <c r="E1467" s="289">
        <v>10</v>
      </c>
      <c r="F1467" s="290">
        <v>4</v>
      </c>
      <c r="G1467" s="289">
        <v>900</v>
      </c>
      <c r="H1467" s="289">
        <v>0</v>
      </c>
      <c r="I1467" s="289">
        <v>90</v>
      </c>
      <c r="J1467" s="289">
        <v>70</v>
      </c>
      <c r="K1467" s="289">
        <v>7</v>
      </c>
      <c r="L1467" s="289">
        <v>1067</v>
      </c>
    </row>
    <row r="1468" spans="1:12">
      <c r="A1468" s="288" t="s">
        <v>2303</v>
      </c>
      <c r="B1468" s="288" t="s">
        <v>2268</v>
      </c>
      <c r="C1468" s="288" t="s">
        <v>814</v>
      </c>
      <c r="D1468" s="288" t="s">
        <v>818</v>
      </c>
      <c r="E1468" s="289">
        <v>10</v>
      </c>
      <c r="F1468" s="290">
        <v>13</v>
      </c>
      <c r="G1468" s="289">
        <v>1100</v>
      </c>
      <c r="H1468" s="289">
        <v>330</v>
      </c>
      <c r="I1468" s="289">
        <v>143</v>
      </c>
      <c r="J1468" s="289">
        <v>70</v>
      </c>
      <c r="K1468" s="289">
        <v>7</v>
      </c>
      <c r="L1468" s="289">
        <v>1650</v>
      </c>
    </row>
    <row r="1469" spans="1:12">
      <c r="A1469" s="288" t="s">
        <v>2304</v>
      </c>
      <c r="B1469" s="288" t="s">
        <v>2268</v>
      </c>
      <c r="C1469" s="288" t="s">
        <v>814</v>
      </c>
      <c r="D1469" s="288" t="s">
        <v>818</v>
      </c>
      <c r="E1469" s="289">
        <v>10</v>
      </c>
      <c r="F1469" s="290">
        <v>12</v>
      </c>
      <c r="G1469" s="289">
        <v>1100</v>
      </c>
      <c r="H1469" s="289">
        <v>220</v>
      </c>
      <c r="I1469" s="289">
        <v>132</v>
      </c>
      <c r="J1469" s="289">
        <v>70</v>
      </c>
      <c r="K1469" s="289">
        <v>7</v>
      </c>
      <c r="L1469" s="289">
        <v>1529</v>
      </c>
    </row>
    <row r="1470" spans="1:12">
      <c r="A1470" s="288" t="s">
        <v>2305</v>
      </c>
      <c r="B1470" s="288" t="s">
        <v>2268</v>
      </c>
      <c r="C1470" s="288" t="s">
        <v>814</v>
      </c>
      <c r="D1470" s="288" t="s">
        <v>818</v>
      </c>
      <c r="E1470" s="289">
        <v>10</v>
      </c>
      <c r="F1470" s="290">
        <v>7</v>
      </c>
      <c r="G1470" s="289">
        <v>1100</v>
      </c>
      <c r="H1470" s="289">
        <v>0</v>
      </c>
      <c r="I1470" s="289">
        <v>110</v>
      </c>
      <c r="J1470" s="289">
        <v>70</v>
      </c>
      <c r="K1470" s="289">
        <v>7</v>
      </c>
      <c r="L1470" s="289">
        <v>1287</v>
      </c>
    </row>
    <row r="1471" spans="1:12">
      <c r="A1471" s="288" t="s">
        <v>2306</v>
      </c>
      <c r="B1471" s="288" t="s">
        <v>2268</v>
      </c>
      <c r="C1471" s="288" t="s">
        <v>814</v>
      </c>
      <c r="D1471" s="288" t="s">
        <v>818</v>
      </c>
      <c r="E1471" s="289">
        <v>10</v>
      </c>
      <c r="F1471" s="290">
        <v>5</v>
      </c>
      <c r="G1471" s="289">
        <v>900</v>
      </c>
      <c r="H1471" s="289">
        <v>0</v>
      </c>
      <c r="I1471" s="289">
        <v>90</v>
      </c>
      <c r="J1471" s="289">
        <v>70</v>
      </c>
      <c r="K1471" s="289">
        <v>7</v>
      </c>
      <c r="L1471" s="289">
        <v>1067</v>
      </c>
    </row>
    <row r="1472" spans="1:12">
      <c r="A1472" s="288" t="s">
        <v>2307</v>
      </c>
      <c r="B1472" s="288" t="s">
        <v>2268</v>
      </c>
      <c r="C1472" s="288" t="s">
        <v>814</v>
      </c>
      <c r="D1472" s="288" t="s">
        <v>818</v>
      </c>
      <c r="E1472" s="289">
        <v>10</v>
      </c>
      <c r="F1472" s="290">
        <v>6</v>
      </c>
      <c r="G1472" s="289">
        <v>1100</v>
      </c>
      <c r="H1472" s="289">
        <v>0</v>
      </c>
      <c r="I1472" s="289">
        <v>110</v>
      </c>
      <c r="J1472" s="289">
        <v>70</v>
      </c>
      <c r="K1472" s="289">
        <v>7</v>
      </c>
      <c r="L1472" s="289">
        <v>1287</v>
      </c>
    </row>
    <row r="1473" spans="1:12">
      <c r="A1473" s="288" t="s">
        <v>2308</v>
      </c>
      <c r="B1473" s="288" t="s">
        <v>2268</v>
      </c>
      <c r="C1473" s="288" t="s">
        <v>814</v>
      </c>
      <c r="D1473" s="288" t="s">
        <v>818</v>
      </c>
      <c r="E1473" s="289">
        <v>10</v>
      </c>
      <c r="F1473" s="290">
        <v>8</v>
      </c>
      <c r="G1473" s="289">
        <v>1100</v>
      </c>
      <c r="H1473" s="289">
        <v>0</v>
      </c>
      <c r="I1473" s="289">
        <v>110</v>
      </c>
      <c r="J1473" s="289">
        <v>70</v>
      </c>
      <c r="K1473" s="289">
        <v>7</v>
      </c>
      <c r="L1473" s="289">
        <v>1287</v>
      </c>
    </row>
    <row r="1474" spans="1:12">
      <c r="A1474" s="288" t="s">
        <v>2309</v>
      </c>
      <c r="B1474" s="288" t="s">
        <v>2268</v>
      </c>
      <c r="C1474" s="288" t="s">
        <v>814</v>
      </c>
      <c r="D1474" s="288" t="s">
        <v>818</v>
      </c>
      <c r="E1474" s="289">
        <v>10</v>
      </c>
      <c r="F1474" s="290">
        <v>27</v>
      </c>
      <c r="G1474" s="289">
        <v>1100</v>
      </c>
      <c r="H1474" s="289">
        <v>1870</v>
      </c>
      <c r="I1474" s="289">
        <v>297</v>
      </c>
      <c r="J1474" s="289">
        <v>70</v>
      </c>
      <c r="K1474" s="289">
        <v>7</v>
      </c>
      <c r="L1474" s="289">
        <v>3344</v>
      </c>
    </row>
    <row r="1475" spans="1:12">
      <c r="A1475" s="288" t="s">
        <v>2310</v>
      </c>
      <c r="B1475" s="288" t="s">
        <v>2268</v>
      </c>
      <c r="C1475" s="288" t="s">
        <v>814</v>
      </c>
      <c r="D1475" s="288" t="s">
        <v>818</v>
      </c>
      <c r="E1475" s="289">
        <v>10</v>
      </c>
      <c r="F1475" s="290">
        <v>6</v>
      </c>
      <c r="G1475" s="289">
        <v>1100</v>
      </c>
      <c r="H1475" s="289">
        <v>0</v>
      </c>
      <c r="I1475" s="289">
        <v>110</v>
      </c>
      <c r="J1475" s="289">
        <v>70</v>
      </c>
      <c r="K1475" s="289">
        <v>7</v>
      </c>
      <c r="L1475" s="289">
        <v>1287</v>
      </c>
    </row>
    <row r="1476" spans="1:12">
      <c r="A1476" s="288" t="s">
        <v>2311</v>
      </c>
      <c r="B1476" s="288" t="s">
        <v>2268</v>
      </c>
      <c r="C1476" s="288" t="s">
        <v>814</v>
      </c>
      <c r="D1476" s="288" t="s">
        <v>818</v>
      </c>
      <c r="E1476" s="289">
        <v>10</v>
      </c>
      <c r="F1476" s="290">
        <v>24</v>
      </c>
      <c r="G1476" s="289">
        <v>1100</v>
      </c>
      <c r="H1476" s="289">
        <v>1540</v>
      </c>
      <c r="I1476" s="289">
        <v>264</v>
      </c>
      <c r="J1476" s="289">
        <v>70</v>
      </c>
      <c r="K1476" s="289">
        <v>7</v>
      </c>
      <c r="L1476" s="289">
        <v>2981</v>
      </c>
    </row>
    <row r="1477" spans="1:12">
      <c r="A1477" s="288" t="s">
        <v>2312</v>
      </c>
      <c r="B1477" s="288" t="s">
        <v>2268</v>
      </c>
      <c r="C1477" s="288" t="s">
        <v>814</v>
      </c>
      <c r="D1477" s="288" t="s">
        <v>818</v>
      </c>
      <c r="E1477" s="289">
        <v>10</v>
      </c>
      <c r="F1477" s="290">
        <v>13</v>
      </c>
      <c r="G1477" s="289">
        <v>1100</v>
      </c>
      <c r="H1477" s="289">
        <v>330</v>
      </c>
      <c r="I1477" s="289">
        <v>143</v>
      </c>
      <c r="J1477" s="289">
        <v>70</v>
      </c>
      <c r="K1477" s="289">
        <v>7</v>
      </c>
      <c r="L1477" s="289">
        <v>1650</v>
      </c>
    </row>
    <row r="1478" spans="1:12">
      <c r="A1478" s="288" t="s">
        <v>2313</v>
      </c>
      <c r="B1478" s="288" t="s">
        <v>2268</v>
      </c>
      <c r="C1478" s="288" t="s">
        <v>814</v>
      </c>
      <c r="D1478" s="288" t="s">
        <v>818</v>
      </c>
      <c r="E1478" s="289">
        <v>10</v>
      </c>
      <c r="F1478" s="290">
        <v>10</v>
      </c>
      <c r="G1478" s="289">
        <v>1100</v>
      </c>
      <c r="H1478" s="289">
        <v>0</v>
      </c>
      <c r="I1478" s="289">
        <v>110</v>
      </c>
      <c r="J1478" s="289">
        <v>70</v>
      </c>
      <c r="K1478" s="289">
        <v>7</v>
      </c>
      <c r="L1478" s="289">
        <v>1287</v>
      </c>
    </row>
    <row r="1479" spans="1:12">
      <c r="A1479" s="288" t="s">
        <v>2314</v>
      </c>
      <c r="B1479" s="288" t="s">
        <v>2268</v>
      </c>
      <c r="C1479" s="288" t="s">
        <v>814</v>
      </c>
      <c r="D1479" s="288" t="s">
        <v>818</v>
      </c>
      <c r="E1479" s="289">
        <v>10</v>
      </c>
      <c r="F1479" s="290">
        <v>5</v>
      </c>
      <c r="G1479" s="289">
        <v>900</v>
      </c>
      <c r="H1479" s="289">
        <v>0</v>
      </c>
      <c r="I1479" s="289">
        <v>90</v>
      </c>
      <c r="J1479" s="289">
        <v>70</v>
      </c>
      <c r="K1479" s="289">
        <v>7</v>
      </c>
      <c r="L1479" s="289">
        <v>1067</v>
      </c>
    </row>
    <row r="1480" spans="1:12">
      <c r="A1480" s="288" t="s">
        <v>2315</v>
      </c>
      <c r="B1480" s="288" t="s">
        <v>2268</v>
      </c>
      <c r="C1480" s="288" t="s">
        <v>814</v>
      </c>
      <c r="D1480" s="288" t="s">
        <v>818</v>
      </c>
      <c r="E1480" s="289">
        <v>10</v>
      </c>
      <c r="F1480" s="290">
        <v>18</v>
      </c>
      <c r="G1480" s="289">
        <v>1100</v>
      </c>
      <c r="H1480" s="289">
        <v>880</v>
      </c>
      <c r="I1480" s="289">
        <v>198</v>
      </c>
      <c r="J1480" s="289">
        <v>70</v>
      </c>
      <c r="K1480" s="289">
        <v>7</v>
      </c>
      <c r="L1480" s="289">
        <v>2255</v>
      </c>
    </row>
    <row r="1481" spans="1:12">
      <c r="A1481" s="288" t="s">
        <v>2316</v>
      </c>
      <c r="B1481" s="288" t="s">
        <v>2268</v>
      </c>
      <c r="C1481" s="288" t="s">
        <v>814</v>
      </c>
      <c r="D1481" s="288" t="s">
        <v>818</v>
      </c>
      <c r="E1481" s="289">
        <v>10</v>
      </c>
      <c r="F1481" s="290">
        <v>19</v>
      </c>
      <c r="G1481" s="289">
        <v>1100</v>
      </c>
      <c r="H1481" s="289">
        <v>990</v>
      </c>
      <c r="I1481" s="289">
        <v>209</v>
      </c>
      <c r="J1481" s="289">
        <v>70</v>
      </c>
      <c r="K1481" s="289">
        <v>7</v>
      </c>
      <c r="L1481" s="289">
        <v>2376</v>
      </c>
    </row>
    <row r="1482" spans="1:12">
      <c r="A1482" s="288" t="s">
        <v>2317</v>
      </c>
      <c r="B1482" s="288" t="s">
        <v>2268</v>
      </c>
      <c r="C1482" s="288" t="s">
        <v>814</v>
      </c>
      <c r="D1482" s="288" t="s">
        <v>818</v>
      </c>
      <c r="E1482" s="289">
        <v>10</v>
      </c>
      <c r="F1482" s="290">
        <v>10</v>
      </c>
      <c r="G1482" s="289">
        <v>1100</v>
      </c>
      <c r="H1482" s="289">
        <v>0</v>
      </c>
      <c r="I1482" s="289">
        <v>110</v>
      </c>
      <c r="J1482" s="289">
        <v>70</v>
      </c>
      <c r="K1482" s="289">
        <v>7</v>
      </c>
      <c r="L1482" s="289">
        <v>1287</v>
      </c>
    </row>
    <row r="1483" spans="1:12">
      <c r="A1483" s="288" t="s">
        <v>2318</v>
      </c>
      <c r="B1483" s="288" t="s">
        <v>2268</v>
      </c>
      <c r="C1483" s="288" t="s">
        <v>814</v>
      </c>
      <c r="D1483" s="288" t="s">
        <v>818</v>
      </c>
      <c r="E1483" s="289">
        <v>10</v>
      </c>
      <c r="F1483" s="290">
        <v>0</v>
      </c>
      <c r="G1483" s="289">
        <v>900</v>
      </c>
      <c r="H1483" s="289">
        <v>0</v>
      </c>
      <c r="I1483" s="289">
        <v>90</v>
      </c>
      <c r="J1483" s="289">
        <v>70</v>
      </c>
      <c r="K1483" s="289">
        <v>7</v>
      </c>
      <c r="L1483" s="289">
        <v>1067</v>
      </c>
    </row>
    <row r="1484" spans="1:12">
      <c r="A1484" s="288" t="s">
        <v>2319</v>
      </c>
      <c r="B1484" s="288" t="s">
        <v>2268</v>
      </c>
      <c r="C1484" s="288" t="s">
        <v>814</v>
      </c>
      <c r="D1484" s="288" t="s">
        <v>818</v>
      </c>
      <c r="E1484" s="289">
        <v>10</v>
      </c>
      <c r="F1484" s="290">
        <v>9</v>
      </c>
      <c r="G1484" s="289">
        <v>1100</v>
      </c>
      <c r="H1484" s="289">
        <v>0</v>
      </c>
      <c r="I1484" s="289">
        <v>110</v>
      </c>
      <c r="J1484" s="289">
        <v>70</v>
      </c>
      <c r="K1484" s="289">
        <v>7</v>
      </c>
      <c r="L1484" s="289">
        <v>1287</v>
      </c>
    </row>
    <row r="1485" spans="1:12">
      <c r="A1485" s="288" t="s">
        <v>2320</v>
      </c>
      <c r="B1485" s="288" t="s">
        <v>2268</v>
      </c>
      <c r="C1485" s="288" t="s">
        <v>814</v>
      </c>
      <c r="D1485" s="288" t="s">
        <v>818</v>
      </c>
      <c r="E1485" s="289">
        <v>10</v>
      </c>
      <c r="F1485" s="290">
        <v>13</v>
      </c>
      <c r="G1485" s="289">
        <v>1100</v>
      </c>
      <c r="H1485" s="289">
        <v>330</v>
      </c>
      <c r="I1485" s="289">
        <v>143</v>
      </c>
      <c r="J1485" s="289">
        <v>70</v>
      </c>
      <c r="K1485" s="289">
        <v>7</v>
      </c>
      <c r="L1485" s="289">
        <v>1650</v>
      </c>
    </row>
    <row r="1486" spans="1:12">
      <c r="A1486" s="288" t="s">
        <v>2321</v>
      </c>
      <c r="B1486" s="288" t="s">
        <v>2268</v>
      </c>
      <c r="C1486" s="288" t="s">
        <v>814</v>
      </c>
      <c r="D1486" s="288" t="s">
        <v>818</v>
      </c>
      <c r="E1486" s="289">
        <v>10</v>
      </c>
      <c r="F1486" s="290">
        <v>18</v>
      </c>
      <c r="G1486" s="289">
        <v>1100</v>
      </c>
      <c r="H1486" s="289">
        <v>880</v>
      </c>
      <c r="I1486" s="289">
        <v>198</v>
      </c>
      <c r="J1486" s="289">
        <v>70</v>
      </c>
      <c r="K1486" s="289">
        <v>7</v>
      </c>
      <c r="L1486" s="289">
        <v>2255</v>
      </c>
    </row>
    <row r="1487" spans="1:12">
      <c r="A1487" s="288" t="s">
        <v>2322</v>
      </c>
      <c r="B1487" s="288" t="s">
        <v>2268</v>
      </c>
      <c r="C1487" s="288" t="s">
        <v>814</v>
      </c>
      <c r="D1487" s="288" t="s">
        <v>818</v>
      </c>
      <c r="E1487" s="289">
        <v>10</v>
      </c>
      <c r="F1487" s="290">
        <v>16</v>
      </c>
      <c r="G1487" s="289">
        <v>1100</v>
      </c>
      <c r="H1487" s="289">
        <v>660</v>
      </c>
      <c r="I1487" s="289">
        <v>176</v>
      </c>
      <c r="J1487" s="289">
        <v>70</v>
      </c>
      <c r="K1487" s="289">
        <v>7</v>
      </c>
      <c r="L1487" s="289">
        <v>2013</v>
      </c>
    </row>
    <row r="1488" spans="1:12">
      <c r="A1488" s="288" t="s">
        <v>2323</v>
      </c>
      <c r="B1488" s="288" t="s">
        <v>2268</v>
      </c>
      <c r="C1488" s="288" t="s">
        <v>814</v>
      </c>
      <c r="D1488" s="288" t="s">
        <v>818</v>
      </c>
      <c r="E1488" s="289">
        <v>10</v>
      </c>
      <c r="F1488" s="290">
        <v>6</v>
      </c>
      <c r="G1488" s="289">
        <v>1100</v>
      </c>
      <c r="H1488" s="289">
        <v>0</v>
      </c>
      <c r="I1488" s="289">
        <v>110</v>
      </c>
      <c r="J1488" s="289">
        <v>70</v>
      </c>
      <c r="K1488" s="289">
        <v>7</v>
      </c>
      <c r="L1488" s="289">
        <v>1287</v>
      </c>
    </row>
    <row r="1489" spans="1:12">
      <c r="A1489" s="288" t="s">
        <v>2324</v>
      </c>
      <c r="B1489" s="288" t="s">
        <v>2268</v>
      </c>
      <c r="C1489" s="288" t="s">
        <v>814</v>
      </c>
      <c r="D1489" s="288" t="s">
        <v>818</v>
      </c>
      <c r="E1489" s="289">
        <v>10</v>
      </c>
      <c r="F1489" s="290">
        <v>6</v>
      </c>
      <c r="G1489" s="289">
        <v>1100</v>
      </c>
      <c r="H1489" s="289">
        <v>0</v>
      </c>
      <c r="I1489" s="289">
        <v>110</v>
      </c>
      <c r="J1489" s="289">
        <v>70</v>
      </c>
      <c r="K1489" s="289">
        <v>7</v>
      </c>
      <c r="L1489" s="289">
        <v>1287</v>
      </c>
    </row>
    <row r="1490" spans="1:12">
      <c r="A1490" s="288" t="s">
        <v>2325</v>
      </c>
      <c r="B1490" s="288" t="s">
        <v>2268</v>
      </c>
      <c r="C1490" s="288" t="s">
        <v>814</v>
      </c>
      <c r="D1490" s="288" t="s">
        <v>818</v>
      </c>
      <c r="E1490" s="289">
        <v>10</v>
      </c>
      <c r="F1490" s="290">
        <v>5</v>
      </c>
      <c r="G1490" s="289">
        <v>900</v>
      </c>
      <c r="H1490" s="289">
        <v>0</v>
      </c>
      <c r="I1490" s="289">
        <v>90</v>
      </c>
      <c r="J1490" s="289">
        <v>70</v>
      </c>
      <c r="K1490" s="289">
        <v>7</v>
      </c>
      <c r="L1490" s="289">
        <v>1067</v>
      </c>
    </row>
    <row r="1491" spans="1:12">
      <c r="A1491" s="288" t="s">
        <v>2326</v>
      </c>
      <c r="B1491" s="288" t="s">
        <v>2268</v>
      </c>
      <c r="C1491" s="288" t="s">
        <v>814</v>
      </c>
      <c r="D1491" s="288" t="s">
        <v>818</v>
      </c>
      <c r="E1491" s="289">
        <v>10</v>
      </c>
      <c r="F1491" s="290">
        <v>13</v>
      </c>
      <c r="G1491" s="289">
        <v>1100</v>
      </c>
      <c r="H1491" s="289">
        <v>330</v>
      </c>
      <c r="I1491" s="289">
        <v>143</v>
      </c>
      <c r="J1491" s="289">
        <v>70</v>
      </c>
      <c r="K1491" s="289">
        <v>7</v>
      </c>
      <c r="L1491" s="289">
        <v>1650</v>
      </c>
    </row>
    <row r="1492" spans="1:12">
      <c r="A1492" s="288" t="s">
        <v>2327</v>
      </c>
      <c r="B1492" s="288" t="s">
        <v>2268</v>
      </c>
      <c r="C1492" s="288" t="s">
        <v>814</v>
      </c>
      <c r="D1492" s="288" t="s">
        <v>818</v>
      </c>
      <c r="E1492" s="289">
        <v>10</v>
      </c>
      <c r="F1492" s="290">
        <v>3</v>
      </c>
      <c r="G1492" s="289">
        <v>900</v>
      </c>
      <c r="H1492" s="289">
        <v>0</v>
      </c>
      <c r="I1492" s="289">
        <v>90</v>
      </c>
      <c r="J1492" s="289">
        <v>70</v>
      </c>
      <c r="K1492" s="289">
        <v>7</v>
      </c>
      <c r="L1492" s="289">
        <v>1067</v>
      </c>
    </row>
    <row r="1493" spans="1:12">
      <c r="A1493" s="288" t="s">
        <v>2328</v>
      </c>
      <c r="B1493" s="288" t="s">
        <v>2268</v>
      </c>
      <c r="C1493" s="288" t="s">
        <v>814</v>
      </c>
      <c r="D1493" s="288" t="s">
        <v>818</v>
      </c>
      <c r="E1493" s="289">
        <v>10</v>
      </c>
      <c r="F1493" s="290">
        <v>16</v>
      </c>
      <c r="G1493" s="289">
        <v>1100</v>
      </c>
      <c r="H1493" s="289">
        <v>660</v>
      </c>
      <c r="I1493" s="289">
        <v>176</v>
      </c>
      <c r="J1493" s="289">
        <v>70</v>
      </c>
      <c r="K1493" s="289">
        <v>7</v>
      </c>
      <c r="L1493" s="289">
        <v>2013</v>
      </c>
    </row>
    <row r="1494" spans="1:12">
      <c r="A1494" s="288" t="s">
        <v>2329</v>
      </c>
      <c r="B1494" s="288" t="s">
        <v>2268</v>
      </c>
      <c r="C1494" s="288" t="s">
        <v>814</v>
      </c>
      <c r="D1494" s="288" t="s">
        <v>818</v>
      </c>
      <c r="E1494" s="289">
        <v>10</v>
      </c>
      <c r="F1494" s="290">
        <v>9</v>
      </c>
      <c r="G1494" s="289">
        <v>1100</v>
      </c>
      <c r="H1494" s="289">
        <v>0</v>
      </c>
      <c r="I1494" s="289">
        <v>110</v>
      </c>
      <c r="J1494" s="289">
        <v>70</v>
      </c>
      <c r="K1494" s="289">
        <v>7</v>
      </c>
      <c r="L1494" s="289">
        <v>1287</v>
      </c>
    </row>
    <row r="1495" spans="1:12">
      <c r="A1495" s="288" t="s">
        <v>2330</v>
      </c>
      <c r="B1495" s="288" t="s">
        <v>2268</v>
      </c>
      <c r="C1495" s="288" t="s">
        <v>814</v>
      </c>
      <c r="D1495" s="288" t="s">
        <v>818</v>
      </c>
      <c r="E1495" s="289">
        <v>10</v>
      </c>
      <c r="F1495" s="290">
        <v>5</v>
      </c>
      <c r="G1495" s="289">
        <v>900</v>
      </c>
      <c r="H1495" s="289">
        <v>0</v>
      </c>
      <c r="I1495" s="289">
        <v>90</v>
      </c>
      <c r="J1495" s="289">
        <v>70</v>
      </c>
      <c r="K1495" s="289">
        <v>7</v>
      </c>
      <c r="L1495" s="289">
        <v>1067</v>
      </c>
    </row>
    <row r="1496" spans="1:12">
      <c r="A1496" s="288" t="s">
        <v>2331</v>
      </c>
      <c r="B1496" s="288" t="s">
        <v>2268</v>
      </c>
      <c r="C1496" s="288" t="s">
        <v>814</v>
      </c>
      <c r="D1496" s="288" t="s">
        <v>818</v>
      </c>
      <c r="E1496" s="289">
        <v>10</v>
      </c>
      <c r="F1496" s="290">
        <v>0</v>
      </c>
      <c r="G1496" s="289">
        <v>900</v>
      </c>
      <c r="H1496" s="289">
        <v>0</v>
      </c>
      <c r="I1496" s="289">
        <v>90</v>
      </c>
      <c r="J1496" s="289">
        <v>70</v>
      </c>
      <c r="K1496" s="289">
        <v>7</v>
      </c>
      <c r="L1496" s="289">
        <v>1067</v>
      </c>
    </row>
    <row r="1497" spans="1:12">
      <c r="A1497" s="288" t="s">
        <v>2332</v>
      </c>
      <c r="B1497" s="288" t="s">
        <v>2268</v>
      </c>
      <c r="C1497" s="288" t="s">
        <v>814</v>
      </c>
      <c r="D1497" s="288" t="s">
        <v>818</v>
      </c>
      <c r="E1497" s="289">
        <v>10</v>
      </c>
      <c r="F1497" s="290">
        <v>10</v>
      </c>
      <c r="G1497" s="289">
        <v>1100</v>
      </c>
      <c r="H1497" s="289">
        <v>0</v>
      </c>
      <c r="I1497" s="289">
        <v>110</v>
      </c>
      <c r="J1497" s="289">
        <v>70</v>
      </c>
      <c r="K1497" s="289">
        <v>7</v>
      </c>
      <c r="L1497" s="289">
        <v>1287</v>
      </c>
    </row>
    <row r="1498" spans="1:12">
      <c r="A1498" s="288" t="s">
        <v>2333</v>
      </c>
      <c r="B1498" s="288" t="s">
        <v>2268</v>
      </c>
      <c r="C1498" s="288" t="s">
        <v>814</v>
      </c>
      <c r="D1498" s="288" t="s">
        <v>818</v>
      </c>
      <c r="E1498" s="289">
        <v>10</v>
      </c>
      <c r="F1498" s="290">
        <v>6</v>
      </c>
      <c r="G1498" s="289">
        <v>1100</v>
      </c>
      <c r="H1498" s="289">
        <v>0</v>
      </c>
      <c r="I1498" s="289">
        <v>110</v>
      </c>
      <c r="J1498" s="289">
        <v>70</v>
      </c>
      <c r="K1498" s="289">
        <v>7</v>
      </c>
      <c r="L1498" s="289">
        <v>1287</v>
      </c>
    </row>
    <row r="1499" spans="1:12">
      <c r="A1499" s="288" t="s">
        <v>2334</v>
      </c>
      <c r="B1499" s="288" t="s">
        <v>2268</v>
      </c>
      <c r="C1499" s="288" t="s">
        <v>814</v>
      </c>
      <c r="D1499" s="288" t="s">
        <v>818</v>
      </c>
      <c r="E1499" s="289">
        <v>10</v>
      </c>
      <c r="F1499" s="290">
        <v>12</v>
      </c>
      <c r="G1499" s="289">
        <v>1100</v>
      </c>
      <c r="H1499" s="289">
        <v>220</v>
      </c>
      <c r="I1499" s="289">
        <v>132</v>
      </c>
      <c r="J1499" s="289">
        <v>70</v>
      </c>
      <c r="K1499" s="289">
        <v>7</v>
      </c>
      <c r="L1499" s="289">
        <v>1529</v>
      </c>
    </row>
    <row r="1500" spans="1:12">
      <c r="A1500" s="288" t="s">
        <v>2335</v>
      </c>
      <c r="B1500" s="288" t="s">
        <v>2268</v>
      </c>
      <c r="C1500" s="288" t="s">
        <v>814</v>
      </c>
      <c r="D1500" s="288" t="s">
        <v>818</v>
      </c>
      <c r="E1500" s="289">
        <v>10</v>
      </c>
      <c r="F1500" s="290">
        <v>6</v>
      </c>
      <c r="G1500" s="289">
        <v>1100</v>
      </c>
      <c r="H1500" s="289">
        <v>0</v>
      </c>
      <c r="I1500" s="289">
        <v>110</v>
      </c>
      <c r="J1500" s="289">
        <v>70</v>
      </c>
      <c r="K1500" s="289">
        <v>7</v>
      </c>
      <c r="L1500" s="289">
        <v>1287</v>
      </c>
    </row>
    <row r="1501" spans="1:12">
      <c r="A1501" s="288" t="s">
        <v>2336</v>
      </c>
      <c r="B1501" s="288" t="s">
        <v>2268</v>
      </c>
      <c r="C1501" s="288" t="s">
        <v>814</v>
      </c>
      <c r="D1501" s="288" t="s">
        <v>818</v>
      </c>
      <c r="E1501" s="289">
        <v>10</v>
      </c>
      <c r="F1501" s="290">
        <v>3</v>
      </c>
      <c r="G1501" s="289">
        <v>900</v>
      </c>
      <c r="H1501" s="289">
        <v>0</v>
      </c>
      <c r="I1501" s="289">
        <v>90</v>
      </c>
      <c r="J1501" s="289">
        <v>70</v>
      </c>
      <c r="K1501" s="289">
        <v>7</v>
      </c>
      <c r="L1501" s="289">
        <v>1067</v>
      </c>
    </row>
    <row r="1502" spans="1:12">
      <c r="A1502" s="288" t="s">
        <v>2337</v>
      </c>
      <c r="B1502" s="288" t="s">
        <v>2268</v>
      </c>
      <c r="C1502" s="288" t="s">
        <v>814</v>
      </c>
      <c r="D1502" s="288" t="s">
        <v>818</v>
      </c>
      <c r="E1502" s="289">
        <v>10</v>
      </c>
      <c r="F1502" s="290">
        <v>17</v>
      </c>
      <c r="G1502" s="289">
        <v>1100</v>
      </c>
      <c r="H1502" s="289">
        <v>770</v>
      </c>
      <c r="I1502" s="289">
        <v>187</v>
      </c>
      <c r="J1502" s="289">
        <v>70</v>
      </c>
      <c r="K1502" s="289">
        <v>7</v>
      </c>
      <c r="L1502" s="289">
        <v>2134</v>
      </c>
    </row>
    <row r="1503" spans="1:12">
      <c r="A1503" s="288" t="s">
        <v>2338</v>
      </c>
      <c r="B1503" s="288" t="s">
        <v>2268</v>
      </c>
      <c r="C1503" s="288" t="s">
        <v>814</v>
      </c>
      <c r="D1503" s="288" t="s">
        <v>818</v>
      </c>
      <c r="E1503" s="289">
        <v>10</v>
      </c>
      <c r="F1503" s="290">
        <v>0</v>
      </c>
      <c r="G1503" s="289">
        <v>900</v>
      </c>
      <c r="H1503" s="289">
        <v>0</v>
      </c>
      <c r="I1503" s="289">
        <v>90</v>
      </c>
      <c r="J1503" s="289">
        <v>70</v>
      </c>
      <c r="K1503" s="289">
        <v>7</v>
      </c>
      <c r="L1503" s="289">
        <v>1067</v>
      </c>
    </row>
    <row r="1504" spans="1:12">
      <c r="A1504" s="288" t="s">
        <v>2339</v>
      </c>
      <c r="B1504" s="288" t="s">
        <v>2268</v>
      </c>
      <c r="C1504" s="288" t="s">
        <v>814</v>
      </c>
      <c r="D1504" s="288" t="s">
        <v>818</v>
      </c>
      <c r="E1504" s="289">
        <v>10</v>
      </c>
      <c r="F1504" s="290">
        <v>19</v>
      </c>
      <c r="G1504" s="289">
        <v>1100</v>
      </c>
      <c r="H1504" s="289">
        <v>990</v>
      </c>
      <c r="I1504" s="289">
        <v>209</v>
      </c>
      <c r="J1504" s="289">
        <v>70</v>
      </c>
      <c r="K1504" s="289">
        <v>7</v>
      </c>
      <c r="L1504" s="289">
        <v>2376</v>
      </c>
    </row>
    <row r="1505" spans="1:12">
      <c r="A1505" s="288" t="s">
        <v>2340</v>
      </c>
      <c r="B1505" s="288" t="s">
        <v>2268</v>
      </c>
      <c r="C1505" s="288" t="s">
        <v>814</v>
      </c>
      <c r="D1505" s="288" t="s">
        <v>818</v>
      </c>
      <c r="E1505" s="289">
        <v>10</v>
      </c>
      <c r="F1505" s="290">
        <v>2</v>
      </c>
      <c r="G1505" s="289">
        <v>900</v>
      </c>
      <c r="H1505" s="289">
        <v>0</v>
      </c>
      <c r="I1505" s="289">
        <v>90</v>
      </c>
      <c r="J1505" s="289">
        <v>70</v>
      </c>
      <c r="K1505" s="289">
        <v>7</v>
      </c>
      <c r="L1505" s="289">
        <v>1067</v>
      </c>
    </row>
    <row r="1506" spans="1:12">
      <c r="A1506" s="288" t="s">
        <v>2341</v>
      </c>
      <c r="B1506" s="288" t="s">
        <v>2268</v>
      </c>
      <c r="C1506" s="288" t="s">
        <v>814</v>
      </c>
      <c r="D1506" s="288" t="s">
        <v>818</v>
      </c>
      <c r="E1506" s="289">
        <v>10</v>
      </c>
      <c r="F1506" s="290">
        <v>17</v>
      </c>
      <c r="G1506" s="289">
        <v>1100</v>
      </c>
      <c r="H1506" s="289">
        <v>770</v>
      </c>
      <c r="I1506" s="289">
        <v>187</v>
      </c>
      <c r="J1506" s="289">
        <v>70</v>
      </c>
      <c r="K1506" s="289">
        <v>7</v>
      </c>
      <c r="L1506" s="289">
        <v>2134</v>
      </c>
    </row>
    <row r="1507" spans="1:12">
      <c r="A1507" s="288" t="s">
        <v>2342</v>
      </c>
      <c r="B1507" s="288" t="s">
        <v>2268</v>
      </c>
      <c r="C1507" s="288" t="s">
        <v>814</v>
      </c>
      <c r="D1507" s="288" t="s">
        <v>818</v>
      </c>
      <c r="E1507" s="289">
        <v>10</v>
      </c>
      <c r="F1507" s="290">
        <v>17</v>
      </c>
      <c r="G1507" s="289">
        <v>1100</v>
      </c>
      <c r="H1507" s="289">
        <v>770</v>
      </c>
      <c r="I1507" s="289">
        <v>187</v>
      </c>
      <c r="J1507" s="289">
        <v>70</v>
      </c>
      <c r="K1507" s="289">
        <v>7</v>
      </c>
      <c r="L1507" s="289">
        <v>2134</v>
      </c>
    </row>
    <row r="1508" spans="1:12">
      <c r="A1508" s="288" t="s">
        <v>2343</v>
      </c>
      <c r="B1508" s="288" t="s">
        <v>2268</v>
      </c>
      <c r="C1508" s="288" t="s">
        <v>814</v>
      </c>
      <c r="D1508" s="288" t="s">
        <v>818</v>
      </c>
      <c r="E1508" s="289">
        <v>10</v>
      </c>
      <c r="F1508" s="290">
        <v>9</v>
      </c>
      <c r="G1508" s="289">
        <v>1100</v>
      </c>
      <c r="H1508" s="289">
        <v>0</v>
      </c>
      <c r="I1508" s="289">
        <v>110</v>
      </c>
      <c r="J1508" s="289">
        <v>70</v>
      </c>
      <c r="K1508" s="289">
        <v>7</v>
      </c>
      <c r="L1508" s="289">
        <v>1287</v>
      </c>
    </row>
    <row r="1509" spans="1:12">
      <c r="A1509" s="288" t="s">
        <v>2344</v>
      </c>
      <c r="B1509" s="288" t="s">
        <v>2268</v>
      </c>
      <c r="C1509" s="288" t="s">
        <v>814</v>
      </c>
      <c r="D1509" s="288" t="s">
        <v>818</v>
      </c>
      <c r="E1509" s="289">
        <v>10</v>
      </c>
      <c r="F1509" s="290">
        <v>7</v>
      </c>
      <c r="G1509" s="289">
        <v>1100</v>
      </c>
      <c r="H1509" s="289">
        <v>0</v>
      </c>
      <c r="I1509" s="289">
        <v>110</v>
      </c>
      <c r="J1509" s="289">
        <v>70</v>
      </c>
      <c r="K1509" s="289">
        <v>7</v>
      </c>
      <c r="L1509" s="289">
        <v>1287</v>
      </c>
    </row>
    <row r="1510" spans="1:12">
      <c r="A1510" s="288" t="s">
        <v>2345</v>
      </c>
      <c r="B1510" s="288" t="s">
        <v>2268</v>
      </c>
      <c r="C1510" s="288" t="s">
        <v>814</v>
      </c>
      <c r="D1510" s="288" t="s">
        <v>818</v>
      </c>
      <c r="E1510" s="289">
        <v>10</v>
      </c>
      <c r="F1510" s="290">
        <v>9</v>
      </c>
      <c r="G1510" s="289">
        <v>1100</v>
      </c>
      <c r="H1510" s="289">
        <v>0</v>
      </c>
      <c r="I1510" s="289">
        <v>110</v>
      </c>
      <c r="J1510" s="289">
        <v>70</v>
      </c>
      <c r="K1510" s="289">
        <v>7</v>
      </c>
      <c r="L1510" s="289">
        <v>1287</v>
      </c>
    </row>
    <row r="1511" spans="1:12">
      <c r="A1511" s="288" t="s">
        <v>2346</v>
      </c>
      <c r="B1511" s="288" t="s">
        <v>2268</v>
      </c>
      <c r="C1511" s="288" t="s">
        <v>814</v>
      </c>
      <c r="D1511" s="288" t="s">
        <v>818</v>
      </c>
      <c r="E1511" s="289">
        <v>10</v>
      </c>
      <c r="F1511" s="290">
        <v>28</v>
      </c>
      <c r="G1511" s="289">
        <v>1100</v>
      </c>
      <c r="H1511" s="289">
        <v>1980</v>
      </c>
      <c r="I1511" s="289">
        <v>308</v>
      </c>
      <c r="J1511" s="289">
        <v>70</v>
      </c>
      <c r="K1511" s="289">
        <v>7</v>
      </c>
      <c r="L1511" s="289">
        <v>3465</v>
      </c>
    </row>
    <row r="1512" spans="1:12">
      <c r="A1512" s="288" t="s">
        <v>2347</v>
      </c>
      <c r="B1512" s="288" t="s">
        <v>2268</v>
      </c>
      <c r="C1512" s="288" t="s">
        <v>814</v>
      </c>
      <c r="D1512" s="288" t="s">
        <v>818</v>
      </c>
      <c r="E1512" s="289">
        <v>10</v>
      </c>
      <c r="F1512" s="290">
        <v>11</v>
      </c>
      <c r="G1512" s="289">
        <v>1100</v>
      </c>
      <c r="H1512" s="289">
        <v>110</v>
      </c>
      <c r="I1512" s="289">
        <v>121</v>
      </c>
      <c r="J1512" s="289">
        <v>70</v>
      </c>
      <c r="K1512" s="289">
        <v>7</v>
      </c>
      <c r="L1512" s="289">
        <v>1408</v>
      </c>
    </row>
    <row r="1513" spans="1:12">
      <c r="A1513" s="288" t="s">
        <v>2348</v>
      </c>
      <c r="B1513" s="288" t="s">
        <v>2268</v>
      </c>
      <c r="C1513" s="288" t="s">
        <v>814</v>
      </c>
      <c r="D1513" s="288" t="s">
        <v>818</v>
      </c>
      <c r="E1513" s="289">
        <v>10</v>
      </c>
      <c r="F1513" s="290">
        <v>7</v>
      </c>
      <c r="G1513" s="289">
        <v>1100</v>
      </c>
      <c r="H1513" s="289">
        <v>0</v>
      </c>
      <c r="I1513" s="289">
        <v>110</v>
      </c>
      <c r="J1513" s="289">
        <v>70</v>
      </c>
      <c r="K1513" s="289">
        <v>7</v>
      </c>
      <c r="L1513" s="289">
        <v>1287</v>
      </c>
    </row>
    <row r="1514" spans="1:12">
      <c r="A1514" s="288" t="s">
        <v>2349</v>
      </c>
      <c r="B1514" s="288" t="s">
        <v>2268</v>
      </c>
      <c r="C1514" s="288" t="s">
        <v>814</v>
      </c>
      <c r="D1514" s="288" t="s">
        <v>818</v>
      </c>
      <c r="E1514" s="289">
        <v>10</v>
      </c>
      <c r="F1514" s="290">
        <v>19</v>
      </c>
      <c r="G1514" s="289">
        <v>1100</v>
      </c>
      <c r="H1514" s="289">
        <v>990</v>
      </c>
      <c r="I1514" s="289">
        <v>209</v>
      </c>
      <c r="J1514" s="289">
        <v>70</v>
      </c>
      <c r="K1514" s="289">
        <v>7</v>
      </c>
      <c r="L1514" s="289">
        <v>2376</v>
      </c>
    </row>
    <row r="1515" spans="1:12">
      <c r="A1515" s="288" t="s">
        <v>2350</v>
      </c>
      <c r="B1515" s="288" t="s">
        <v>2268</v>
      </c>
      <c r="C1515" s="288" t="s">
        <v>814</v>
      </c>
      <c r="D1515" s="288" t="s">
        <v>818</v>
      </c>
      <c r="E1515" s="289">
        <v>10</v>
      </c>
      <c r="F1515" s="290">
        <v>9</v>
      </c>
      <c r="G1515" s="289">
        <v>1100</v>
      </c>
      <c r="H1515" s="289">
        <v>0</v>
      </c>
      <c r="I1515" s="289">
        <v>110</v>
      </c>
      <c r="J1515" s="289">
        <v>70</v>
      </c>
      <c r="K1515" s="289">
        <v>7</v>
      </c>
      <c r="L1515" s="289">
        <v>1287</v>
      </c>
    </row>
    <row r="1516" spans="1:12">
      <c r="A1516" s="288" t="s">
        <v>2351</v>
      </c>
      <c r="B1516" s="288" t="s">
        <v>2268</v>
      </c>
      <c r="C1516" s="288" t="s">
        <v>814</v>
      </c>
      <c r="D1516" s="288" t="s">
        <v>818</v>
      </c>
      <c r="E1516" s="289">
        <v>10</v>
      </c>
      <c r="F1516" s="290">
        <v>7</v>
      </c>
      <c r="G1516" s="289">
        <v>1100</v>
      </c>
      <c r="H1516" s="289">
        <v>0</v>
      </c>
      <c r="I1516" s="289">
        <v>110</v>
      </c>
      <c r="J1516" s="289">
        <v>70</v>
      </c>
      <c r="K1516" s="289">
        <v>7</v>
      </c>
      <c r="L1516" s="289">
        <v>1287</v>
      </c>
    </row>
    <row r="1517" spans="1:12">
      <c r="A1517" s="288" t="s">
        <v>2352</v>
      </c>
      <c r="B1517" s="288" t="s">
        <v>2268</v>
      </c>
      <c r="C1517" s="288" t="s">
        <v>814</v>
      </c>
      <c r="D1517" s="288" t="s">
        <v>818</v>
      </c>
      <c r="E1517" s="289">
        <v>10</v>
      </c>
      <c r="F1517" s="290">
        <v>12</v>
      </c>
      <c r="G1517" s="289">
        <v>1100</v>
      </c>
      <c r="H1517" s="289">
        <v>220</v>
      </c>
      <c r="I1517" s="289">
        <v>132</v>
      </c>
      <c r="J1517" s="289">
        <v>70</v>
      </c>
      <c r="K1517" s="289">
        <v>7</v>
      </c>
      <c r="L1517" s="289">
        <v>1529</v>
      </c>
    </row>
    <row r="1518" spans="1:12">
      <c r="A1518" s="288" t="s">
        <v>2353</v>
      </c>
      <c r="B1518" s="288" t="s">
        <v>2268</v>
      </c>
      <c r="C1518" s="288" t="s">
        <v>814</v>
      </c>
      <c r="D1518" s="288" t="s">
        <v>818</v>
      </c>
      <c r="E1518" s="289">
        <v>10</v>
      </c>
      <c r="F1518" s="290">
        <v>8</v>
      </c>
      <c r="G1518" s="289">
        <v>1100</v>
      </c>
      <c r="H1518" s="289">
        <v>0</v>
      </c>
      <c r="I1518" s="289">
        <v>110</v>
      </c>
      <c r="J1518" s="289">
        <v>70</v>
      </c>
      <c r="K1518" s="289">
        <v>7</v>
      </c>
      <c r="L1518" s="289">
        <v>1287</v>
      </c>
    </row>
    <row r="1519" spans="1:12">
      <c r="A1519" s="288" t="s">
        <v>2354</v>
      </c>
      <c r="B1519" s="288" t="s">
        <v>2268</v>
      </c>
      <c r="C1519" s="288" t="s">
        <v>814</v>
      </c>
      <c r="D1519" s="288" t="s">
        <v>818</v>
      </c>
      <c r="E1519" s="289">
        <v>10</v>
      </c>
      <c r="F1519" s="290">
        <v>0</v>
      </c>
      <c r="G1519" s="289">
        <v>900</v>
      </c>
      <c r="H1519" s="289">
        <v>0</v>
      </c>
      <c r="I1519" s="289">
        <v>90</v>
      </c>
      <c r="J1519" s="289">
        <v>70</v>
      </c>
      <c r="K1519" s="289">
        <v>7</v>
      </c>
      <c r="L1519" s="289">
        <v>1067</v>
      </c>
    </row>
    <row r="1520" spans="1:12">
      <c r="A1520" s="288" t="s">
        <v>2355</v>
      </c>
      <c r="B1520" s="288" t="s">
        <v>2268</v>
      </c>
      <c r="C1520" s="288" t="s">
        <v>814</v>
      </c>
      <c r="D1520" s="288" t="s">
        <v>818</v>
      </c>
      <c r="E1520" s="289">
        <v>10</v>
      </c>
      <c r="F1520" s="290">
        <v>9</v>
      </c>
      <c r="G1520" s="289">
        <v>1100</v>
      </c>
      <c r="H1520" s="289">
        <v>0</v>
      </c>
      <c r="I1520" s="289">
        <v>110</v>
      </c>
      <c r="J1520" s="289">
        <v>70</v>
      </c>
      <c r="K1520" s="289">
        <v>7</v>
      </c>
      <c r="L1520" s="289">
        <v>1287</v>
      </c>
    </row>
    <row r="1521" spans="1:12">
      <c r="A1521" s="288" t="s">
        <v>2356</v>
      </c>
      <c r="B1521" s="288" t="s">
        <v>2268</v>
      </c>
      <c r="C1521" s="288" t="s">
        <v>814</v>
      </c>
      <c r="D1521" s="288" t="s">
        <v>818</v>
      </c>
      <c r="E1521" s="289">
        <v>10</v>
      </c>
      <c r="F1521" s="290">
        <v>8</v>
      </c>
      <c r="G1521" s="289">
        <v>1100</v>
      </c>
      <c r="H1521" s="289">
        <v>0</v>
      </c>
      <c r="I1521" s="289">
        <v>110</v>
      </c>
      <c r="J1521" s="289">
        <v>70</v>
      </c>
      <c r="K1521" s="289">
        <v>7</v>
      </c>
      <c r="L1521" s="289">
        <v>1287</v>
      </c>
    </row>
    <row r="1522" spans="1:12">
      <c r="A1522" s="288" t="s">
        <v>2357</v>
      </c>
      <c r="B1522" s="288" t="s">
        <v>2268</v>
      </c>
      <c r="C1522" s="288" t="s">
        <v>814</v>
      </c>
      <c r="D1522" s="288" t="s">
        <v>818</v>
      </c>
      <c r="E1522" s="289">
        <v>10</v>
      </c>
      <c r="F1522" s="290">
        <v>9</v>
      </c>
      <c r="G1522" s="289">
        <v>1100</v>
      </c>
      <c r="H1522" s="289">
        <v>0</v>
      </c>
      <c r="I1522" s="289">
        <v>110</v>
      </c>
      <c r="J1522" s="289">
        <v>70</v>
      </c>
      <c r="K1522" s="289">
        <v>7</v>
      </c>
      <c r="L1522" s="289">
        <v>1287</v>
      </c>
    </row>
    <row r="1523" spans="1:12">
      <c r="A1523" s="288" t="s">
        <v>2358</v>
      </c>
      <c r="B1523" s="288" t="s">
        <v>2268</v>
      </c>
      <c r="C1523" s="288" t="s">
        <v>814</v>
      </c>
      <c r="D1523" s="288" t="s">
        <v>818</v>
      </c>
      <c r="E1523" s="289">
        <v>10</v>
      </c>
      <c r="F1523" s="290">
        <v>22</v>
      </c>
      <c r="G1523" s="289">
        <v>1100</v>
      </c>
      <c r="H1523" s="289">
        <v>1320</v>
      </c>
      <c r="I1523" s="289">
        <v>242</v>
      </c>
      <c r="J1523" s="289">
        <v>70</v>
      </c>
      <c r="K1523" s="289">
        <v>7</v>
      </c>
      <c r="L1523" s="289">
        <v>2739</v>
      </c>
    </row>
    <row r="1524" spans="1:12">
      <c r="A1524" s="288" t="s">
        <v>2359</v>
      </c>
      <c r="B1524" s="288" t="s">
        <v>2268</v>
      </c>
      <c r="C1524" s="288" t="s">
        <v>814</v>
      </c>
      <c r="D1524" s="288" t="s">
        <v>818</v>
      </c>
      <c r="E1524" s="289">
        <v>10</v>
      </c>
      <c r="F1524" s="290">
        <v>3</v>
      </c>
      <c r="G1524" s="289">
        <v>900</v>
      </c>
      <c r="H1524" s="289">
        <v>0</v>
      </c>
      <c r="I1524" s="289">
        <v>90</v>
      </c>
      <c r="J1524" s="289">
        <v>70</v>
      </c>
      <c r="K1524" s="289">
        <v>7</v>
      </c>
      <c r="L1524" s="289">
        <v>1067</v>
      </c>
    </row>
    <row r="1525" spans="1:12">
      <c r="A1525" s="288" t="s">
        <v>2360</v>
      </c>
      <c r="B1525" s="288" t="s">
        <v>2268</v>
      </c>
      <c r="C1525" s="288" t="s">
        <v>814</v>
      </c>
      <c r="D1525" s="288" t="s">
        <v>818</v>
      </c>
      <c r="E1525" s="289">
        <v>10</v>
      </c>
      <c r="F1525" s="290">
        <v>9</v>
      </c>
      <c r="G1525" s="289">
        <v>1100</v>
      </c>
      <c r="H1525" s="289">
        <v>0</v>
      </c>
      <c r="I1525" s="289">
        <v>110</v>
      </c>
      <c r="J1525" s="289">
        <v>70</v>
      </c>
      <c r="K1525" s="289">
        <v>7</v>
      </c>
      <c r="L1525" s="289">
        <v>1287</v>
      </c>
    </row>
    <row r="1526" spans="1:12">
      <c r="A1526" s="288" t="s">
        <v>2361</v>
      </c>
      <c r="B1526" s="288" t="s">
        <v>2268</v>
      </c>
      <c r="C1526" s="288" t="s">
        <v>814</v>
      </c>
      <c r="D1526" s="288" t="s">
        <v>818</v>
      </c>
      <c r="E1526" s="289">
        <v>10</v>
      </c>
      <c r="F1526" s="290">
        <v>5</v>
      </c>
      <c r="G1526" s="289">
        <v>900</v>
      </c>
      <c r="H1526" s="289">
        <v>0</v>
      </c>
      <c r="I1526" s="289">
        <v>90</v>
      </c>
      <c r="J1526" s="289">
        <v>70</v>
      </c>
      <c r="K1526" s="289">
        <v>7</v>
      </c>
      <c r="L1526" s="289">
        <v>1067</v>
      </c>
    </row>
    <row r="1527" spans="1:12">
      <c r="A1527" s="288" t="s">
        <v>2362</v>
      </c>
      <c r="B1527" s="288" t="s">
        <v>2268</v>
      </c>
      <c r="C1527" s="288" t="s">
        <v>829</v>
      </c>
      <c r="D1527" s="288" t="s">
        <v>818</v>
      </c>
      <c r="E1527" s="289">
        <v>10</v>
      </c>
      <c r="F1527" s="290">
        <v>1</v>
      </c>
      <c r="G1527" s="289">
        <v>900</v>
      </c>
      <c r="H1527" s="289">
        <v>0</v>
      </c>
      <c r="I1527" s="289">
        <v>90</v>
      </c>
      <c r="J1527" s="289">
        <v>70</v>
      </c>
      <c r="K1527" s="289">
        <v>7</v>
      </c>
      <c r="L1527" s="289">
        <v>1067</v>
      </c>
    </row>
    <row r="1528" spans="1:12">
      <c r="A1528" s="288" t="s">
        <v>2363</v>
      </c>
      <c r="B1528" s="288" t="s">
        <v>2268</v>
      </c>
      <c r="C1528" s="288" t="s">
        <v>814</v>
      </c>
      <c r="D1528" s="288" t="s">
        <v>818</v>
      </c>
      <c r="E1528" s="289">
        <v>10</v>
      </c>
      <c r="F1528" s="290">
        <v>4</v>
      </c>
      <c r="G1528" s="289">
        <v>900</v>
      </c>
      <c r="H1528" s="289">
        <v>0</v>
      </c>
      <c r="I1528" s="289">
        <v>90</v>
      </c>
      <c r="J1528" s="289">
        <v>70</v>
      </c>
      <c r="K1528" s="289">
        <v>7</v>
      </c>
      <c r="L1528" s="289">
        <v>1067</v>
      </c>
    </row>
    <row r="1529" spans="1:12">
      <c r="A1529" s="288" t="s">
        <v>2364</v>
      </c>
      <c r="B1529" s="288" t="s">
        <v>2268</v>
      </c>
      <c r="C1529" s="288" t="s">
        <v>814</v>
      </c>
      <c r="D1529" s="288" t="s">
        <v>818</v>
      </c>
      <c r="E1529" s="289">
        <v>10</v>
      </c>
      <c r="F1529" s="290">
        <v>20</v>
      </c>
      <c r="G1529" s="289">
        <v>1100</v>
      </c>
      <c r="H1529" s="289">
        <v>1100</v>
      </c>
      <c r="I1529" s="289">
        <v>220</v>
      </c>
      <c r="J1529" s="289">
        <v>70</v>
      </c>
      <c r="K1529" s="289">
        <v>7</v>
      </c>
      <c r="L1529" s="289">
        <v>2497</v>
      </c>
    </row>
    <row r="1530" spans="1:12">
      <c r="A1530" s="288" t="s">
        <v>2365</v>
      </c>
      <c r="B1530" s="288" t="s">
        <v>2268</v>
      </c>
      <c r="C1530" s="288" t="s">
        <v>814</v>
      </c>
      <c r="D1530" s="288" t="s">
        <v>818</v>
      </c>
      <c r="E1530" s="289">
        <v>10</v>
      </c>
      <c r="F1530" s="290">
        <v>7</v>
      </c>
      <c r="G1530" s="289">
        <v>1100</v>
      </c>
      <c r="H1530" s="289">
        <v>0</v>
      </c>
      <c r="I1530" s="289">
        <v>110</v>
      </c>
      <c r="J1530" s="289">
        <v>70</v>
      </c>
      <c r="K1530" s="289">
        <v>7</v>
      </c>
      <c r="L1530" s="289">
        <v>1287</v>
      </c>
    </row>
    <row r="1531" spans="1:12">
      <c r="A1531" s="288" t="s">
        <v>2366</v>
      </c>
      <c r="B1531" s="288" t="s">
        <v>2268</v>
      </c>
      <c r="C1531" s="288" t="s">
        <v>814</v>
      </c>
      <c r="D1531" s="288" t="s">
        <v>818</v>
      </c>
      <c r="E1531" s="289">
        <v>10</v>
      </c>
      <c r="F1531" s="290">
        <v>6</v>
      </c>
      <c r="G1531" s="289">
        <v>1100</v>
      </c>
      <c r="H1531" s="289">
        <v>0</v>
      </c>
      <c r="I1531" s="289">
        <v>110</v>
      </c>
      <c r="J1531" s="289">
        <v>70</v>
      </c>
      <c r="K1531" s="289">
        <v>7</v>
      </c>
      <c r="L1531" s="289">
        <v>1287</v>
      </c>
    </row>
    <row r="1532" spans="1:12">
      <c r="A1532" s="288" t="s">
        <v>2367</v>
      </c>
      <c r="B1532" s="288" t="s">
        <v>2268</v>
      </c>
      <c r="C1532" s="288" t="s">
        <v>814</v>
      </c>
      <c r="D1532" s="288" t="s">
        <v>818</v>
      </c>
      <c r="E1532" s="289">
        <v>10</v>
      </c>
      <c r="F1532" s="290">
        <v>6</v>
      </c>
      <c r="G1532" s="289">
        <v>1100</v>
      </c>
      <c r="H1532" s="289">
        <v>0</v>
      </c>
      <c r="I1532" s="289">
        <v>110</v>
      </c>
      <c r="J1532" s="289">
        <v>70</v>
      </c>
      <c r="K1532" s="289">
        <v>7</v>
      </c>
      <c r="L1532" s="289">
        <v>1287</v>
      </c>
    </row>
    <row r="1533" spans="1:12">
      <c r="A1533" s="288" t="s">
        <v>2368</v>
      </c>
      <c r="B1533" s="288" t="s">
        <v>2268</v>
      </c>
      <c r="C1533" s="288" t="s">
        <v>814</v>
      </c>
      <c r="D1533" s="288" t="s">
        <v>818</v>
      </c>
      <c r="E1533" s="289">
        <v>10</v>
      </c>
      <c r="F1533" s="290">
        <v>19</v>
      </c>
      <c r="G1533" s="289">
        <v>1100</v>
      </c>
      <c r="H1533" s="289">
        <v>990</v>
      </c>
      <c r="I1533" s="289">
        <v>209</v>
      </c>
      <c r="J1533" s="289">
        <v>70</v>
      </c>
      <c r="K1533" s="289">
        <v>7</v>
      </c>
      <c r="L1533" s="289">
        <v>2376</v>
      </c>
    </row>
    <row r="1534" spans="1:12">
      <c r="A1534" s="288" t="s">
        <v>2369</v>
      </c>
      <c r="B1534" s="288" t="s">
        <v>2268</v>
      </c>
      <c r="C1534" s="288" t="s">
        <v>814</v>
      </c>
      <c r="D1534" s="288" t="s">
        <v>818</v>
      </c>
      <c r="E1534" s="289">
        <v>10</v>
      </c>
      <c r="F1534" s="290">
        <v>5</v>
      </c>
      <c r="G1534" s="289">
        <v>900</v>
      </c>
      <c r="H1534" s="289">
        <v>0</v>
      </c>
      <c r="I1534" s="289">
        <v>90</v>
      </c>
      <c r="J1534" s="289">
        <v>70</v>
      </c>
      <c r="K1534" s="289">
        <v>7</v>
      </c>
      <c r="L1534" s="289">
        <v>1067</v>
      </c>
    </row>
    <row r="1535" spans="1:12">
      <c r="A1535" s="288" t="s">
        <v>2370</v>
      </c>
      <c r="B1535" s="288" t="s">
        <v>2268</v>
      </c>
      <c r="C1535" s="288" t="s">
        <v>814</v>
      </c>
      <c r="D1535" s="288" t="s">
        <v>818</v>
      </c>
      <c r="E1535" s="289">
        <v>10</v>
      </c>
      <c r="F1535" s="290">
        <v>5</v>
      </c>
      <c r="G1535" s="289">
        <v>900</v>
      </c>
      <c r="H1535" s="289">
        <v>0</v>
      </c>
      <c r="I1535" s="289">
        <v>90</v>
      </c>
      <c r="J1535" s="289">
        <v>70</v>
      </c>
      <c r="K1535" s="289">
        <v>7</v>
      </c>
      <c r="L1535" s="289">
        <v>1067</v>
      </c>
    </row>
    <row r="1536" spans="1:12">
      <c r="A1536" s="288" t="s">
        <v>2371</v>
      </c>
      <c r="B1536" s="288" t="s">
        <v>2268</v>
      </c>
      <c r="C1536" s="288" t="s">
        <v>814</v>
      </c>
      <c r="D1536" s="288" t="s">
        <v>818</v>
      </c>
      <c r="E1536" s="289">
        <v>10</v>
      </c>
      <c r="F1536" s="290">
        <v>12</v>
      </c>
      <c r="G1536" s="289">
        <v>1100</v>
      </c>
      <c r="H1536" s="289">
        <v>220</v>
      </c>
      <c r="I1536" s="289">
        <v>132</v>
      </c>
      <c r="J1536" s="289">
        <v>70</v>
      </c>
      <c r="K1536" s="289">
        <v>7</v>
      </c>
      <c r="L1536" s="289">
        <v>1529</v>
      </c>
    </row>
    <row r="1537" spans="1:12">
      <c r="A1537" s="288" t="s">
        <v>2372</v>
      </c>
      <c r="B1537" s="288" t="s">
        <v>2268</v>
      </c>
      <c r="C1537" s="288" t="s">
        <v>814</v>
      </c>
      <c r="D1537" s="288" t="s">
        <v>818</v>
      </c>
      <c r="E1537" s="289">
        <v>10</v>
      </c>
      <c r="F1537" s="290">
        <v>7</v>
      </c>
      <c r="G1537" s="289">
        <v>1100</v>
      </c>
      <c r="H1537" s="289">
        <v>0</v>
      </c>
      <c r="I1537" s="289">
        <v>110</v>
      </c>
      <c r="J1537" s="289">
        <v>70</v>
      </c>
      <c r="K1537" s="289">
        <v>7</v>
      </c>
      <c r="L1537" s="289">
        <v>1287</v>
      </c>
    </row>
    <row r="1538" spans="1:12">
      <c r="A1538" s="288" t="s">
        <v>2373</v>
      </c>
      <c r="B1538" s="288" t="s">
        <v>2268</v>
      </c>
      <c r="C1538" s="288" t="s">
        <v>814</v>
      </c>
      <c r="D1538" s="288" t="s">
        <v>818</v>
      </c>
      <c r="E1538" s="289">
        <v>10</v>
      </c>
      <c r="F1538" s="290">
        <v>13</v>
      </c>
      <c r="G1538" s="289">
        <v>1100</v>
      </c>
      <c r="H1538" s="289">
        <v>330</v>
      </c>
      <c r="I1538" s="289">
        <v>143</v>
      </c>
      <c r="J1538" s="289">
        <v>70</v>
      </c>
      <c r="K1538" s="289">
        <v>7</v>
      </c>
      <c r="L1538" s="289">
        <v>1650</v>
      </c>
    </row>
    <row r="1539" spans="1:12">
      <c r="A1539" s="288" t="s">
        <v>2374</v>
      </c>
      <c r="B1539" s="288" t="s">
        <v>2268</v>
      </c>
      <c r="C1539" s="288" t="s">
        <v>814</v>
      </c>
      <c r="D1539" s="288" t="s">
        <v>818</v>
      </c>
      <c r="E1539" s="289">
        <v>10</v>
      </c>
      <c r="F1539" s="290">
        <v>21</v>
      </c>
      <c r="G1539" s="289">
        <v>1100</v>
      </c>
      <c r="H1539" s="289">
        <v>1210</v>
      </c>
      <c r="I1539" s="289">
        <v>231</v>
      </c>
      <c r="J1539" s="289">
        <v>70</v>
      </c>
      <c r="K1539" s="289">
        <v>7</v>
      </c>
      <c r="L1539" s="289">
        <v>2618</v>
      </c>
    </row>
    <row r="1540" spans="1:12">
      <c r="A1540" s="288" t="s">
        <v>2375</v>
      </c>
      <c r="B1540" s="288" t="s">
        <v>2268</v>
      </c>
      <c r="C1540" s="288" t="s">
        <v>814</v>
      </c>
      <c r="D1540" s="288" t="s">
        <v>818</v>
      </c>
      <c r="E1540" s="289">
        <v>10</v>
      </c>
      <c r="F1540" s="290">
        <v>16</v>
      </c>
      <c r="G1540" s="289">
        <v>1100</v>
      </c>
      <c r="H1540" s="289">
        <v>660</v>
      </c>
      <c r="I1540" s="289">
        <v>176</v>
      </c>
      <c r="J1540" s="289">
        <v>70</v>
      </c>
      <c r="K1540" s="289">
        <v>7</v>
      </c>
      <c r="L1540" s="289">
        <v>2013</v>
      </c>
    </row>
    <row r="1541" spans="1:12">
      <c r="A1541" s="288" t="s">
        <v>2376</v>
      </c>
      <c r="B1541" s="288" t="s">
        <v>2268</v>
      </c>
      <c r="C1541" s="288" t="s">
        <v>814</v>
      </c>
      <c r="D1541" s="288" t="s">
        <v>818</v>
      </c>
      <c r="E1541" s="289">
        <v>10</v>
      </c>
      <c r="F1541" s="290">
        <v>13</v>
      </c>
      <c r="G1541" s="289">
        <v>1100</v>
      </c>
      <c r="H1541" s="289">
        <v>330</v>
      </c>
      <c r="I1541" s="289">
        <v>143</v>
      </c>
      <c r="J1541" s="289">
        <v>70</v>
      </c>
      <c r="K1541" s="289">
        <v>7</v>
      </c>
      <c r="L1541" s="289">
        <v>1650</v>
      </c>
    </row>
    <row r="1542" spans="1:12">
      <c r="A1542" s="288" t="s">
        <v>2377</v>
      </c>
      <c r="B1542" s="288" t="s">
        <v>2268</v>
      </c>
      <c r="C1542" s="288" t="s">
        <v>814</v>
      </c>
      <c r="D1542" s="288" t="s">
        <v>818</v>
      </c>
      <c r="E1542" s="289">
        <v>10</v>
      </c>
      <c r="F1542" s="290">
        <v>13</v>
      </c>
      <c r="G1542" s="289">
        <v>1100</v>
      </c>
      <c r="H1542" s="289">
        <v>330</v>
      </c>
      <c r="I1542" s="289">
        <v>143</v>
      </c>
      <c r="J1542" s="289">
        <v>70</v>
      </c>
      <c r="K1542" s="289">
        <v>7</v>
      </c>
      <c r="L1542" s="289">
        <v>1650</v>
      </c>
    </row>
    <row r="1543" spans="1:12">
      <c r="A1543" s="288" t="s">
        <v>2378</v>
      </c>
      <c r="B1543" s="288" t="s">
        <v>2268</v>
      </c>
      <c r="C1543" s="288" t="s">
        <v>814</v>
      </c>
      <c r="D1543" s="288" t="s">
        <v>818</v>
      </c>
      <c r="E1543" s="289">
        <v>10</v>
      </c>
      <c r="F1543" s="290">
        <v>12</v>
      </c>
      <c r="G1543" s="289">
        <v>1100</v>
      </c>
      <c r="H1543" s="289">
        <v>220</v>
      </c>
      <c r="I1543" s="289">
        <v>132</v>
      </c>
      <c r="J1543" s="289">
        <v>70</v>
      </c>
      <c r="K1543" s="289">
        <v>7</v>
      </c>
      <c r="L1543" s="289">
        <v>1529</v>
      </c>
    </row>
    <row r="1544" spans="1:12">
      <c r="A1544" s="288" t="s">
        <v>2379</v>
      </c>
      <c r="B1544" s="288" t="s">
        <v>2268</v>
      </c>
      <c r="C1544" s="288" t="s">
        <v>814</v>
      </c>
      <c r="D1544" s="288" t="s">
        <v>818</v>
      </c>
      <c r="E1544" s="289">
        <v>10</v>
      </c>
      <c r="F1544" s="290">
        <v>15</v>
      </c>
      <c r="G1544" s="289">
        <v>1100</v>
      </c>
      <c r="H1544" s="289">
        <v>550</v>
      </c>
      <c r="I1544" s="289">
        <v>165</v>
      </c>
      <c r="J1544" s="289">
        <v>70</v>
      </c>
      <c r="K1544" s="289">
        <v>7</v>
      </c>
      <c r="L1544" s="289">
        <v>1892</v>
      </c>
    </row>
    <row r="1545" spans="1:12">
      <c r="A1545" s="288" t="s">
        <v>2380</v>
      </c>
      <c r="B1545" s="288" t="s">
        <v>2268</v>
      </c>
      <c r="C1545" s="288" t="s">
        <v>814</v>
      </c>
      <c r="D1545" s="288" t="s">
        <v>818</v>
      </c>
      <c r="E1545" s="289">
        <v>10</v>
      </c>
      <c r="F1545" s="290">
        <v>4</v>
      </c>
      <c r="G1545" s="289">
        <v>900</v>
      </c>
      <c r="H1545" s="289">
        <v>0</v>
      </c>
      <c r="I1545" s="289">
        <v>90</v>
      </c>
      <c r="J1545" s="289">
        <v>70</v>
      </c>
      <c r="K1545" s="289">
        <v>7</v>
      </c>
      <c r="L1545" s="289">
        <v>1067</v>
      </c>
    </row>
    <row r="1546" spans="1:12">
      <c r="A1546" s="288" t="s">
        <v>2381</v>
      </c>
      <c r="B1546" s="288" t="s">
        <v>2268</v>
      </c>
      <c r="C1546" s="288" t="s">
        <v>814</v>
      </c>
      <c r="D1546" s="288" t="s">
        <v>818</v>
      </c>
      <c r="E1546" s="289">
        <v>10</v>
      </c>
      <c r="F1546" s="290">
        <v>0</v>
      </c>
      <c r="G1546" s="289">
        <v>900</v>
      </c>
      <c r="H1546" s="289">
        <v>0</v>
      </c>
      <c r="I1546" s="289">
        <v>90</v>
      </c>
      <c r="J1546" s="289">
        <v>70</v>
      </c>
      <c r="K1546" s="289">
        <v>7</v>
      </c>
      <c r="L1546" s="289">
        <v>1067</v>
      </c>
    </row>
    <row r="1547" spans="1:12">
      <c r="A1547" s="288" t="s">
        <v>2382</v>
      </c>
      <c r="B1547" s="288" t="s">
        <v>2268</v>
      </c>
      <c r="C1547" s="288" t="s">
        <v>814</v>
      </c>
      <c r="D1547" s="288" t="s">
        <v>818</v>
      </c>
      <c r="E1547" s="289">
        <v>10</v>
      </c>
      <c r="F1547" s="290">
        <v>10</v>
      </c>
      <c r="G1547" s="289">
        <v>1100</v>
      </c>
      <c r="H1547" s="289">
        <v>0</v>
      </c>
      <c r="I1547" s="289">
        <v>110</v>
      </c>
      <c r="J1547" s="289">
        <v>70</v>
      </c>
      <c r="K1547" s="289">
        <v>7</v>
      </c>
      <c r="L1547" s="289">
        <v>1287</v>
      </c>
    </row>
    <row r="1548" spans="1:12">
      <c r="A1548" s="288" t="s">
        <v>2383</v>
      </c>
      <c r="B1548" s="288" t="s">
        <v>2268</v>
      </c>
      <c r="C1548" s="288" t="s">
        <v>814</v>
      </c>
      <c r="D1548" s="288" t="s">
        <v>818</v>
      </c>
      <c r="E1548" s="289">
        <v>10</v>
      </c>
      <c r="F1548" s="290">
        <v>29</v>
      </c>
      <c r="G1548" s="289">
        <v>1100</v>
      </c>
      <c r="H1548" s="289">
        <v>2090</v>
      </c>
      <c r="I1548" s="289">
        <v>319</v>
      </c>
      <c r="J1548" s="289">
        <v>70</v>
      </c>
      <c r="K1548" s="289">
        <v>7</v>
      </c>
      <c r="L1548" s="289">
        <v>3586</v>
      </c>
    </row>
    <row r="1549" spans="1:12">
      <c r="A1549" s="288" t="s">
        <v>2384</v>
      </c>
      <c r="B1549" s="288" t="s">
        <v>2268</v>
      </c>
      <c r="C1549" s="288" t="s">
        <v>814</v>
      </c>
      <c r="D1549" s="288" t="s">
        <v>818</v>
      </c>
      <c r="E1549" s="289">
        <v>10</v>
      </c>
      <c r="F1549" s="290">
        <v>5</v>
      </c>
      <c r="G1549" s="289">
        <v>900</v>
      </c>
      <c r="H1549" s="289">
        <v>0</v>
      </c>
      <c r="I1549" s="289">
        <v>90</v>
      </c>
      <c r="J1549" s="289">
        <v>70</v>
      </c>
      <c r="K1549" s="289">
        <v>7</v>
      </c>
      <c r="L1549" s="289">
        <v>1067</v>
      </c>
    </row>
    <row r="1550" spans="1:12">
      <c r="A1550" s="288" t="s">
        <v>2385</v>
      </c>
      <c r="B1550" s="288" t="s">
        <v>2268</v>
      </c>
      <c r="C1550" s="288" t="s">
        <v>814</v>
      </c>
      <c r="D1550" s="288" t="s">
        <v>818</v>
      </c>
      <c r="E1550" s="289">
        <v>10</v>
      </c>
      <c r="F1550" s="290">
        <v>18</v>
      </c>
      <c r="G1550" s="289">
        <v>1100</v>
      </c>
      <c r="H1550" s="289">
        <v>880</v>
      </c>
      <c r="I1550" s="289">
        <v>198</v>
      </c>
      <c r="J1550" s="289">
        <v>70</v>
      </c>
      <c r="K1550" s="289">
        <v>7</v>
      </c>
      <c r="L1550" s="289">
        <v>2255</v>
      </c>
    </row>
    <row r="1551" spans="1:12">
      <c r="A1551" s="288" t="s">
        <v>2386</v>
      </c>
      <c r="B1551" s="288" t="s">
        <v>2268</v>
      </c>
      <c r="C1551" s="288" t="s">
        <v>814</v>
      </c>
      <c r="D1551" s="288" t="s">
        <v>818</v>
      </c>
      <c r="E1551" s="289">
        <v>10</v>
      </c>
      <c r="F1551" s="290">
        <v>7</v>
      </c>
      <c r="G1551" s="289">
        <v>1100</v>
      </c>
      <c r="H1551" s="289">
        <v>0</v>
      </c>
      <c r="I1551" s="289">
        <v>110</v>
      </c>
      <c r="J1551" s="289">
        <v>70</v>
      </c>
      <c r="K1551" s="289">
        <v>7</v>
      </c>
      <c r="L1551" s="289">
        <v>1287</v>
      </c>
    </row>
    <row r="1552" spans="1:12">
      <c r="A1552" s="288" t="s">
        <v>2387</v>
      </c>
      <c r="B1552" s="288" t="s">
        <v>2268</v>
      </c>
      <c r="C1552" s="288" t="s">
        <v>814</v>
      </c>
      <c r="D1552" s="288" t="s">
        <v>818</v>
      </c>
      <c r="E1552" s="289">
        <v>10</v>
      </c>
      <c r="F1552" s="290">
        <v>12</v>
      </c>
      <c r="G1552" s="289">
        <v>1100</v>
      </c>
      <c r="H1552" s="289">
        <v>220</v>
      </c>
      <c r="I1552" s="289">
        <v>132</v>
      </c>
      <c r="J1552" s="289">
        <v>70</v>
      </c>
      <c r="K1552" s="289">
        <v>7</v>
      </c>
      <c r="L1552" s="289">
        <v>1529</v>
      </c>
    </row>
    <row r="1553" spans="1:12">
      <c r="A1553" s="288" t="s">
        <v>2388</v>
      </c>
      <c r="B1553" s="288" t="s">
        <v>2268</v>
      </c>
      <c r="C1553" s="288" t="s">
        <v>814</v>
      </c>
      <c r="D1553" s="288" t="s">
        <v>818</v>
      </c>
      <c r="E1553" s="289">
        <v>10</v>
      </c>
      <c r="F1553" s="290">
        <v>13</v>
      </c>
      <c r="G1553" s="289">
        <v>1100</v>
      </c>
      <c r="H1553" s="289">
        <v>330</v>
      </c>
      <c r="I1553" s="289">
        <v>143</v>
      </c>
      <c r="J1553" s="289">
        <v>70</v>
      </c>
      <c r="K1553" s="289">
        <v>7</v>
      </c>
      <c r="L1553" s="289">
        <v>1650</v>
      </c>
    </row>
    <row r="1554" spans="1:12">
      <c r="A1554" s="288" t="s">
        <v>2389</v>
      </c>
      <c r="B1554" s="288" t="s">
        <v>2268</v>
      </c>
      <c r="C1554" s="288" t="s">
        <v>814</v>
      </c>
      <c r="D1554" s="288" t="s">
        <v>818</v>
      </c>
      <c r="E1554" s="289">
        <v>10</v>
      </c>
      <c r="F1554" s="290">
        <v>14</v>
      </c>
      <c r="G1554" s="289">
        <v>1100</v>
      </c>
      <c r="H1554" s="289">
        <v>440</v>
      </c>
      <c r="I1554" s="289">
        <v>154</v>
      </c>
      <c r="J1554" s="289">
        <v>70</v>
      </c>
      <c r="K1554" s="289">
        <v>7</v>
      </c>
      <c r="L1554" s="289">
        <v>1771</v>
      </c>
    </row>
    <row r="1555" spans="1:12">
      <c r="A1555" s="288" t="s">
        <v>2390</v>
      </c>
      <c r="B1555" s="288" t="s">
        <v>2268</v>
      </c>
      <c r="C1555" s="288" t="s">
        <v>814</v>
      </c>
      <c r="D1555" s="288" t="s">
        <v>818</v>
      </c>
      <c r="E1555" s="289">
        <v>10</v>
      </c>
      <c r="F1555" s="290">
        <v>10</v>
      </c>
      <c r="G1555" s="289">
        <v>1100</v>
      </c>
      <c r="H1555" s="289">
        <v>0</v>
      </c>
      <c r="I1555" s="289">
        <v>110</v>
      </c>
      <c r="J1555" s="289">
        <v>70</v>
      </c>
      <c r="K1555" s="289">
        <v>7</v>
      </c>
      <c r="L1555" s="289">
        <v>1287</v>
      </c>
    </row>
    <row r="1556" spans="1:12">
      <c r="A1556" s="288" t="s">
        <v>2391</v>
      </c>
      <c r="B1556" s="288" t="s">
        <v>2268</v>
      </c>
      <c r="C1556" s="288" t="s">
        <v>814</v>
      </c>
      <c r="D1556" s="288" t="s">
        <v>818</v>
      </c>
      <c r="E1556" s="289">
        <v>10</v>
      </c>
      <c r="F1556" s="290">
        <v>4</v>
      </c>
      <c r="G1556" s="289">
        <v>900</v>
      </c>
      <c r="H1556" s="289">
        <v>0</v>
      </c>
      <c r="I1556" s="289">
        <v>90</v>
      </c>
      <c r="J1556" s="289">
        <v>70</v>
      </c>
      <c r="K1556" s="289">
        <v>7</v>
      </c>
      <c r="L1556" s="289">
        <v>1067</v>
      </c>
    </row>
    <row r="1557" spans="1:12">
      <c r="A1557" s="288" t="s">
        <v>2392</v>
      </c>
      <c r="B1557" s="288" t="s">
        <v>2268</v>
      </c>
      <c r="C1557" s="288" t="s">
        <v>814</v>
      </c>
      <c r="D1557" s="288" t="s">
        <v>818</v>
      </c>
      <c r="E1557" s="289">
        <v>10</v>
      </c>
      <c r="F1557" s="290">
        <v>20</v>
      </c>
      <c r="G1557" s="289">
        <v>1100</v>
      </c>
      <c r="H1557" s="289">
        <v>1100</v>
      </c>
      <c r="I1557" s="289">
        <v>220</v>
      </c>
      <c r="J1557" s="289">
        <v>70</v>
      </c>
      <c r="K1557" s="289">
        <v>7</v>
      </c>
      <c r="L1557" s="289">
        <v>2497</v>
      </c>
    </row>
    <row r="1558" spans="1:12">
      <c r="A1558" s="288" t="s">
        <v>2393</v>
      </c>
      <c r="B1558" s="288" t="s">
        <v>2268</v>
      </c>
      <c r="C1558" s="288" t="s">
        <v>814</v>
      </c>
      <c r="D1558" s="288" t="s">
        <v>818</v>
      </c>
      <c r="E1558" s="289">
        <v>10</v>
      </c>
      <c r="F1558" s="290">
        <v>6</v>
      </c>
      <c r="G1558" s="289">
        <v>1100</v>
      </c>
      <c r="H1558" s="289">
        <v>0</v>
      </c>
      <c r="I1558" s="289">
        <v>110</v>
      </c>
      <c r="J1558" s="289">
        <v>70</v>
      </c>
      <c r="K1558" s="289">
        <v>7</v>
      </c>
      <c r="L1558" s="289">
        <v>1287</v>
      </c>
    </row>
    <row r="1559" spans="1:12">
      <c r="A1559" s="288" t="s">
        <v>2394</v>
      </c>
      <c r="B1559" s="288" t="s">
        <v>2268</v>
      </c>
      <c r="C1559" s="288" t="s">
        <v>829</v>
      </c>
      <c r="D1559" s="288" t="s">
        <v>818</v>
      </c>
      <c r="E1559" s="289">
        <v>10</v>
      </c>
      <c r="F1559" s="290">
        <v>2</v>
      </c>
      <c r="G1559" s="289">
        <v>900</v>
      </c>
      <c r="H1559" s="289">
        <v>0</v>
      </c>
      <c r="I1559" s="289">
        <v>90</v>
      </c>
      <c r="J1559" s="289">
        <v>70</v>
      </c>
      <c r="K1559" s="289">
        <v>7</v>
      </c>
      <c r="L1559" s="289">
        <v>1067</v>
      </c>
    </row>
    <row r="1560" spans="1:12">
      <c r="A1560" s="288" t="s">
        <v>2395</v>
      </c>
      <c r="B1560" s="288" t="s">
        <v>2268</v>
      </c>
      <c r="C1560" s="288" t="s">
        <v>814</v>
      </c>
      <c r="D1560" s="288" t="s">
        <v>818</v>
      </c>
      <c r="E1560" s="289">
        <v>10</v>
      </c>
      <c r="F1560" s="290">
        <v>10</v>
      </c>
      <c r="G1560" s="289">
        <v>1100</v>
      </c>
      <c r="H1560" s="289">
        <v>0</v>
      </c>
      <c r="I1560" s="289">
        <v>110</v>
      </c>
      <c r="J1560" s="289">
        <v>70</v>
      </c>
      <c r="K1560" s="289">
        <v>7</v>
      </c>
      <c r="L1560" s="289">
        <v>1287</v>
      </c>
    </row>
    <row r="1561" spans="1:12">
      <c r="A1561" s="288" t="s">
        <v>2396</v>
      </c>
      <c r="B1561" s="288" t="s">
        <v>2268</v>
      </c>
      <c r="C1561" s="288" t="s">
        <v>814</v>
      </c>
      <c r="D1561" s="288" t="s">
        <v>818</v>
      </c>
      <c r="E1561" s="289">
        <v>10</v>
      </c>
      <c r="F1561" s="290">
        <v>9</v>
      </c>
      <c r="G1561" s="289">
        <v>1100</v>
      </c>
      <c r="H1561" s="289">
        <v>0</v>
      </c>
      <c r="I1561" s="289">
        <v>110</v>
      </c>
      <c r="J1561" s="289">
        <v>70</v>
      </c>
      <c r="K1561" s="289">
        <v>7</v>
      </c>
      <c r="L1561" s="289">
        <v>1287</v>
      </c>
    </row>
    <row r="1562" spans="1:12">
      <c r="A1562" s="288" t="s">
        <v>2397</v>
      </c>
      <c r="B1562" s="288" t="s">
        <v>2268</v>
      </c>
      <c r="C1562" s="288" t="s">
        <v>814</v>
      </c>
      <c r="D1562" s="288" t="s">
        <v>818</v>
      </c>
      <c r="E1562" s="289">
        <v>10</v>
      </c>
      <c r="F1562" s="290">
        <v>7</v>
      </c>
      <c r="G1562" s="289">
        <v>1100</v>
      </c>
      <c r="H1562" s="289">
        <v>0</v>
      </c>
      <c r="I1562" s="289">
        <v>110</v>
      </c>
      <c r="J1562" s="289">
        <v>70</v>
      </c>
      <c r="K1562" s="289">
        <v>7</v>
      </c>
      <c r="L1562" s="289">
        <v>1287</v>
      </c>
    </row>
    <row r="1563" spans="1:12">
      <c r="A1563" s="288" t="s">
        <v>2398</v>
      </c>
      <c r="B1563" s="288" t="s">
        <v>2268</v>
      </c>
      <c r="C1563" s="288" t="s">
        <v>814</v>
      </c>
      <c r="D1563" s="288" t="s">
        <v>818</v>
      </c>
      <c r="E1563" s="289">
        <v>10</v>
      </c>
      <c r="F1563" s="290">
        <v>11</v>
      </c>
      <c r="G1563" s="289">
        <v>1100</v>
      </c>
      <c r="H1563" s="289">
        <v>110</v>
      </c>
      <c r="I1563" s="289">
        <v>121</v>
      </c>
      <c r="J1563" s="289">
        <v>70</v>
      </c>
      <c r="K1563" s="289">
        <v>7</v>
      </c>
      <c r="L1563" s="289">
        <v>1408</v>
      </c>
    </row>
    <row r="1564" spans="1:12">
      <c r="A1564" s="288" t="s">
        <v>2399</v>
      </c>
      <c r="B1564" s="288" t="s">
        <v>2268</v>
      </c>
      <c r="C1564" s="288" t="s">
        <v>814</v>
      </c>
      <c r="D1564" s="288" t="s">
        <v>818</v>
      </c>
      <c r="E1564" s="289">
        <v>10</v>
      </c>
      <c r="F1564" s="290">
        <v>11</v>
      </c>
      <c r="G1564" s="289">
        <v>1100</v>
      </c>
      <c r="H1564" s="289">
        <v>110</v>
      </c>
      <c r="I1564" s="289">
        <v>121</v>
      </c>
      <c r="J1564" s="289">
        <v>70</v>
      </c>
      <c r="K1564" s="289">
        <v>7</v>
      </c>
      <c r="L1564" s="289">
        <v>1408</v>
      </c>
    </row>
    <row r="1565" spans="1:12">
      <c r="A1565" s="288" t="s">
        <v>2400</v>
      </c>
      <c r="B1565" s="288" t="s">
        <v>2268</v>
      </c>
      <c r="C1565" s="288" t="s">
        <v>814</v>
      </c>
      <c r="D1565" s="288" t="s">
        <v>818</v>
      </c>
      <c r="E1565" s="289">
        <v>10</v>
      </c>
      <c r="F1565" s="290">
        <v>8</v>
      </c>
      <c r="G1565" s="289">
        <v>1100</v>
      </c>
      <c r="H1565" s="289">
        <v>0</v>
      </c>
      <c r="I1565" s="289">
        <v>110</v>
      </c>
      <c r="J1565" s="289">
        <v>70</v>
      </c>
      <c r="K1565" s="289">
        <v>7</v>
      </c>
      <c r="L1565" s="289">
        <v>1287</v>
      </c>
    </row>
    <row r="1566" spans="1:12">
      <c r="A1566" s="288" t="s">
        <v>2401</v>
      </c>
      <c r="B1566" s="288" t="s">
        <v>2268</v>
      </c>
      <c r="C1566" s="288" t="s">
        <v>814</v>
      </c>
      <c r="D1566" s="288" t="s">
        <v>818</v>
      </c>
      <c r="E1566" s="289">
        <v>10</v>
      </c>
      <c r="F1566" s="290">
        <v>16</v>
      </c>
      <c r="G1566" s="289">
        <v>1100</v>
      </c>
      <c r="H1566" s="289">
        <v>660</v>
      </c>
      <c r="I1566" s="289">
        <v>176</v>
      </c>
      <c r="J1566" s="289">
        <v>70</v>
      </c>
      <c r="K1566" s="289">
        <v>7</v>
      </c>
      <c r="L1566" s="289">
        <v>2013</v>
      </c>
    </row>
    <row r="1567" spans="1:12">
      <c r="A1567" s="288" t="s">
        <v>2402</v>
      </c>
      <c r="B1567" s="288" t="s">
        <v>2268</v>
      </c>
      <c r="C1567" s="288" t="s">
        <v>814</v>
      </c>
      <c r="D1567" s="288" t="s">
        <v>818</v>
      </c>
      <c r="E1567" s="289">
        <v>10</v>
      </c>
      <c r="F1567" s="290">
        <v>0</v>
      </c>
      <c r="G1567" s="289">
        <v>900</v>
      </c>
      <c r="H1567" s="289">
        <v>0</v>
      </c>
      <c r="I1567" s="289">
        <v>90</v>
      </c>
      <c r="J1567" s="289">
        <v>70</v>
      </c>
      <c r="K1567" s="289">
        <v>7</v>
      </c>
      <c r="L1567" s="289">
        <v>1067</v>
      </c>
    </row>
    <row r="1568" spans="1:12">
      <c r="A1568" s="288" t="s">
        <v>2403</v>
      </c>
      <c r="B1568" s="288" t="s">
        <v>2268</v>
      </c>
      <c r="C1568" s="288" t="s">
        <v>814</v>
      </c>
      <c r="D1568" s="288" t="s">
        <v>818</v>
      </c>
      <c r="E1568" s="289">
        <v>10</v>
      </c>
      <c r="F1568" s="290">
        <v>11</v>
      </c>
      <c r="G1568" s="289">
        <v>1100</v>
      </c>
      <c r="H1568" s="289">
        <v>110</v>
      </c>
      <c r="I1568" s="289">
        <v>121</v>
      </c>
      <c r="J1568" s="289">
        <v>70</v>
      </c>
      <c r="K1568" s="289">
        <v>7</v>
      </c>
      <c r="L1568" s="289">
        <v>1408</v>
      </c>
    </row>
    <row r="1569" spans="1:12">
      <c r="A1569" s="288" t="s">
        <v>2404</v>
      </c>
      <c r="B1569" s="288" t="s">
        <v>2268</v>
      </c>
      <c r="C1569" s="288" t="s">
        <v>814</v>
      </c>
      <c r="D1569" s="288" t="s">
        <v>818</v>
      </c>
      <c r="E1569" s="289">
        <v>10</v>
      </c>
      <c r="F1569" s="290">
        <v>36</v>
      </c>
      <c r="G1569" s="289">
        <v>1100</v>
      </c>
      <c r="H1569" s="289">
        <v>2860</v>
      </c>
      <c r="I1569" s="289">
        <v>396</v>
      </c>
      <c r="J1569" s="289">
        <v>70</v>
      </c>
      <c r="K1569" s="289">
        <v>7</v>
      </c>
      <c r="L1569" s="289">
        <v>4433</v>
      </c>
    </row>
    <row r="1570" spans="1:12">
      <c r="A1570" s="288" t="s">
        <v>2405</v>
      </c>
      <c r="B1570" s="288" t="s">
        <v>2268</v>
      </c>
      <c r="C1570" s="288" t="s">
        <v>814</v>
      </c>
      <c r="D1570" s="288" t="s">
        <v>818</v>
      </c>
      <c r="E1570" s="289">
        <v>10</v>
      </c>
      <c r="F1570" s="290">
        <v>4</v>
      </c>
      <c r="G1570" s="289">
        <v>900</v>
      </c>
      <c r="H1570" s="289">
        <v>0</v>
      </c>
      <c r="I1570" s="289">
        <v>90</v>
      </c>
      <c r="J1570" s="289">
        <v>70</v>
      </c>
      <c r="K1570" s="289">
        <v>7</v>
      </c>
      <c r="L1570" s="289">
        <v>1067</v>
      </c>
    </row>
    <row r="1571" spans="1:12">
      <c r="A1571" s="288" t="s">
        <v>2406</v>
      </c>
      <c r="B1571" s="288" t="s">
        <v>2268</v>
      </c>
      <c r="C1571" s="288" t="s">
        <v>814</v>
      </c>
      <c r="D1571" s="288" t="s">
        <v>818</v>
      </c>
      <c r="E1571" s="289">
        <v>10</v>
      </c>
      <c r="F1571" s="290">
        <v>8</v>
      </c>
      <c r="G1571" s="289">
        <v>1100</v>
      </c>
      <c r="H1571" s="289">
        <v>0</v>
      </c>
      <c r="I1571" s="289">
        <v>110</v>
      </c>
      <c r="J1571" s="289">
        <v>70</v>
      </c>
      <c r="K1571" s="289">
        <v>7</v>
      </c>
      <c r="L1571" s="289">
        <v>1287</v>
      </c>
    </row>
    <row r="1572" spans="1:12">
      <c r="A1572" s="288" t="s">
        <v>2407</v>
      </c>
      <c r="B1572" s="288" t="s">
        <v>2268</v>
      </c>
      <c r="C1572" s="288" t="s">
        <v>814</v>
      </c>
      <c r="D1572" s="288" t="s">
        <v>818</v>
      </c>
      <c r="E1572" s="289">
        <v>10</v>
      </c>
      <c r="F1572" s="290">
        <v>7</v>
      </c>
      <c r="G1572" s="289">
        <v>1100</v>
      </c>
      <c r="H1572" s="289">
        <v>0</v>
      </c>
      <c r="I1572" s="289">
        <v>110</v>
      </c>
      <c r="J1572" s="289">
        <v>70</v>
      </c>
      <c r="K1572" s="289">
        <v>7</v>
      </c>
      <c r="L1572" s="289">
        <v>1287</v>
      </c>
    </row>
    <row r="1573" spans="1:12">
      <c r="A1573" s="288" t="s">
        <v>2408</v>
      </c>
      <c r="B1573" s="288" t="s">
        <v>2268</v>
      </c>
      <c r="C1573" s="288" t="s">
        <v>814</v>
      </c>
      <c r="D1573" s="288" t="s">
        <v>818</v>
      </c>
      <c r="E1573" s="289">
        <v>10</v>
      </c>
      <c r="F1573" s="290">
        <v>12</v>
      </c>
      <c r="G1573" s="289">
        <v>1100</v>
      </c>
      <c r="H1573" s="289">
        <v>220</v>
      </c>
      <c r="I1573" s="289">
        <v>132</v>
      </c>
      <c r="J1573" s="289">
        <v>70</v>
      </c>
      <c r="K1573" s="289">
        <v>7</v>
      </c>
      <c r="L1573" s="289">
        <v>1529</v>
      </c>
    </row>
    <row r="1574" spans="1:12">
      <c r="A1574" s="288" t="s">
        <v>2409</v>
      </c>
      <c r="B1574" s="288" t="s">
        <v>2268</v>
      </c>
      <c r="C1574" s="288" t="s">
        <v>814</v>
      </c>
      <c r="D1574" s="288" t="s">
        <v>818</v>
      </c>
      <c r="E1574" s="289">
        <v>10</v>
      </c>
      <c r="F1574" s="290">
        <v>5</v>
      </c>
      <c r="G1574" s="289">
        <v>900</v>
      </c>
      <c r="H1574" s="289">
        <v>0</v>
      </c>
      <c r="I1574" s="289">
        <v>90</v>
      </c>
      <c r="J1574" s="289">
        <v>70</v>
      </c>
      <c r="K1574" s="289">
        <v>7</v>
      </c>
      <c r="L1574" s="289">
        <v>1067</v>
      </c>
    </row>
    <row r="1575" spans="1:12">
      <c r="A1575" s="288" t="s">
        <v>2410</v>
      </c>
      <c r="B1575" s="288" t="s">
        <v>2268</v>
      </c>
      <c r="C1575" s="288" t="s">
        <v>814</v>
      </c>
      <c r="D1575" s="288" t="s">
        <v>818</v>
      </c>
      <c r="E1575" s="289">
        <v>10</v>
      </c>
      <c r="F1575" s="290">
        <v>10</v>
      </c>
      <c r="G1575" s="289">
        <v>1100</v>
      </c>
      <c r="H1575" s="289">
        <v>0</v>
      </c>
      <c r="I1575" s="289">
        <v>110</v>
      </c>
      <c r="J1575" s="289">
        <v>70</v>
      </c>
      <c r="K1575" s="289">
        <v>7</v>
      </c>
      <c r="L1575" s="289">
        <v>1287</v>
      </c>
    </row>
    <row r="1576" spans="1:12">
      <c r="A1576" s="288" t="s">
        <v>2411</v>
      </c>
      <c r="B1576" s="288" t="s">
        <v>2268</v>
      </c>
      <c r="C1576" s="288" t="s">
        <v>814</v>
      </c>
      <c r="D1576" s="288" t="s">
        <v>818</v>
      </c>
      <c r="E1576" s="289">
        <v>10</v>
      </c>
      <c r="F1576" s="290">
        <v>9</v>
      </c>
      <c r="G1576" s="289">
        <v>1100</v>
      </c>
      <c r="H1576" s="289">
        <v>0</v>
      </c>
      <c r="I1576" s="289">
        <v>110</v>
      </c>
      <c r="J1576" s="289">
        <v>70</v>
      </c>
      <c r="K1576" s="289">
        <v>7</v>
      </c>
      <c r="L1576" s="289">
        <v>1287</v>
      </c>
    </row>
    <row r="1577" spans="1:12">
      <c r="A1577" s="288" t="s">
        <v>2412</v>
      </c>
      <c r="B1577" s="288" t="s">
        <v>2268</v>
      </c>
      <c r="C1577" s="288" t="s">
        <v>814</v>
      </c>
      <c r="D1577" s="288" t="s">
        <v>818</v>
      </c>
      <c r="E1577" s="289">
        <v>10</v>
      </c>
      <c r="F1577" s="290">
        <v>7</v>
      </c>
      <c r="G1577" s="289">
        <v>1100</v>
      </c>
      <c r="H1577" s="289">
        <v>0</v>
      </c>
      <c r="I1577" s="289">
        <v>110</v>
      </c>
      <c r="J1577" s="289">
        <v>70</v>
      </c>
      <c r="K1577" s="289">
        <v>7</v>
      </c>
      <c r="L1577" s="289">
        <v>1287</v>
      </c>
    </row>
    <row r="1578" spans="1:12">
      <c r="A1578" s="288" t="s">
        <v>2413</v>
      </c>
      <c r="B1578" s="288" t="s">
        <v>2268</v>
      </c>
      <c r="C1578" s="288" t="s">
        <v>814</v>
      </c>
      <c r="D1578" s="288" t="s">
        <v>818</v>
      </c>
      <c r="E1578" s="289">
        <v>10</v>
      </c>
      <c r="F1578" s="290">
        <v>4</v>
      </c>
      <c r="G1578" s="289">
        <v>900</v>
      </c>
      <c r="H1578" s="289">
        <v>0</v>
      </c>
      <c r="I1578" s="289">
        <v>90</v>
      </c>
      <c r="J1578" s="289">
        <v>70</v>
      </c>
      <c r="K1578" s="289">
        <v>7</v>
      </c>
      <c r="L1578" s="289">
        <v>1067</v>
      </c>
    </row>
    <row r="1579" spans="1:12">
      <c r="A1579" s="288" t="s">
        <v>2414</v>
      </c>
      <c r="B1579" s="288" t="s">
        <v>2268</v>
      </c>
      <c r="C1579" s="288" t="s">
        <v>814</v>
      </c>
      <c r="D1579" s="288" t="s">
        <v>818</v>
      </c>
      <c r="E1579" s="289">
        <v>10</v>
      </c>
      <c r="F1579" s="290">
        <v>3</v>
      </c>
      <c r="G1579" s="289">
        <v>900</v>
      </c>
      <c r="H1579" s="289">
        <v>0</v>
      </c>
      <c r="I1579" s="289">
        <v>90</v>
      </c>
      <c r="J1579" s="289">
        <v>70</v>
      </c>
      <c r="K1579" s="289">
        <v>7</v>
      </c>
      <c r="L1579" s="289">
        <v>1067</v>
      </c>
    </row>
    <row r="1580" spans="1:12">
      <c r="A1580" s="288" t="s">
        <v>2415</v>
      </c>
      <c r="B1580" s="288" t="s">
        <v>2268</v>
      </c>
      <c r="C1580" s="288" t="s">
        <v>814</v>
      </c>
      <c r="D1580" s="288" t="s">
        <v>818</v>
      </c>
      <c r="E1580" s="289">
        <v>10</v>
      </c>
      <c r="F1580" s="290">
        <v>29</v>
      </c>
      <c r="G1580" s="289">
        <v>1100</v>
      </c>
      <c r="H1580" s="289">
        <v>2090</v>
      </c>
      <c r="I1580" s="289">
        <v>319</v>
      </c>
      <c r="J1580" s="289">
        <v>70</v>
      </c>
      <c r="K1580" s="289">
        <v>7</v>
      </c>
      <c r="L1580" s="289">
        <v>3586</v>
      </c>
    </row>
    <row r="1581" spans="1:12">
      <c r="A1581" s="288" t="s">
        <v>2416</v>
      </c>
      <c r="B1581" s="288" t="s">
        <v>2268</v>
      </c>
      <c r="C1581" s="288" t="s">
        <v>814</v>
      </c>
      <c r="D1581" s="288" t="s">
        <v>818</v>
      </c>
      <c r="E1581" s="289">
        <v>10</v>
      </c>
      <c r="F1581" s="290">
        <v>18</v>
      </c>
      <c r="G1581" s="289">
        <v>1100</v>
      </c>
      <c r="H1581" s="289">
        <v>880</v>
      </c>
      <c r="I1581" s="289">
        <v>198</v>
      </c>
      <c r="J1581" s="289">
        <v>70</v>
      </c>
      <c r="K1581" s="289">
        <v>7</v>
      </c>
      <c r="L1581" s="289">
        <v>2255</v>
      </c>
    </row>
    <row r="1582" spans="1:12">
      <c r="A1582" s="288" t="s">
        <v>2417</v>
      </c>
      <c r="B1582" s="288" t="s">
        <v>2268</v>
      </c>
      <c r="C1582" s="288" t="s">
        <v>814</v>
      </c>
      <c r="D1582" s="288" t="s">
        <v>818</v>
      </c>
      <c r="E1582" s="289">
        <v>10</v>
      </c>
      <c r="F1582" s="290">
        <v>25</v>
      </c>
      <c r="G1582" s="289">
        <v>1100</v>
      </c>
      <c r="H1582" s="289">
        <v>1650</v>
      </c>
      <c r="I1582" s="289">
        <v>275</v>
      </c>
      <c r="J1582" s="289">
        <v>70</v>
      </c>
      <c r="K1582" s="289">
        <v>7</v>
      </c>
      <c r="L1582" s="289">
        <v>3102</v>
      </c>
    </row>
    <row r="1583" spans="1:12">
      <c r="A1583" s="288" t="s">
        <v>2418</v>
      </c>
      <c r="B1583" s="288" t="s">
        <v>2268</v>
      </c>
      <c r="C1583" s="288" t="s">
        <v>814</v>
      </c>
      <c r="D1583" s="288" t="s">
        <v>818</v>
      </c>
      <c r="E1583" s="289">
        <v>10</v>
      </c>
      <c r="F1583" s="290">
        <v>6</v>
      </c>
      <c r="G1583" s="289">
        <v>1100</v>
      </c>
      <c r="H1583" s="289">
        <v>0</v>
      </c>
      <c r="I1583" s="289">
        <v>110</v>
      </c>
      <c r="J1583" s="289">
        <v>70</v>
      </c>
      <c r="K1583" s="289">
        <v>7</v>
      </c>
      <c r="L1583" s="289">
        <v>1287</v>
      </c>
    </row>
    <row r="1584" spans="1:12">
      <c r="A1584" s="288" t="s">
        <v>2419</v>
      </c>
      <c r="B1584" s="288" t="s">
        <v>2268</v>
      </c>
      <c r="C1584" s="288" t="s">
        <v>814</v>
      </c>
      <c r="D1584" s="288" t="s">
        <v>818</v>
      </c>
      <c r="E1584" s="289">
        <v>10</v>
      </c>
      <c r="F1584" s="290">
        <v>1</v>
      </c>
      <c r="G1584" s="289">
        <v>900</v>
      </c>
      <c r="H1584" s="289">
        <v>0</v>
      </c>
      <c r="I1584" s="289">
        <v>90</v>
      </c>
      <c r="J1584" s="289">
        <v>70</v>
      </c>
      <c r="K1584" s="289">
        <v>7</v>
      </c>
      <c r="L1584" s="289">
        <v>1067</v>
      </c>
    </row>
    <row r="1585" spans="1:12">
      <c r="A1585" s="288" t="s">
        <v>2420</v>
      </c>
      <c r="B1585" s="288" t="s">
        <v>2268</v>
      </c>
      <c r="C1585" s="288" t="s">
        <v>814</v>
      </c>
      <c r="D1585" s="288" t="s">
        <v>818</v>
      </c>
      <c r="E1585" s="289">
        <v>10</v>
      </c>
      <c r="F1585" s="290">
        <v>7</v>
      </c>
      <c r="G1585" s="289">
        <v>1100</v>
      </c>
      <c r="H1585" s="289">
        <v>0</v>
      </c>
      <c r="I1585" s="289">
        <v>110</v>
      </c>
      <c r="J1585" s="289">
        <v>70</v>
      </c>
      <c r="K1585" s="289">
        <v>7</v>
      </c>
      <c r="L1585" s="289">
        <v>1287</v>
      </c>
    </row>
    <row r="1586" spans="1:12">
      <c r="A1586" s="288" t="s">
        <v>2421</v>
      </c>
      <c r="B1586" s="288" t="s">
        <v>2268</v>
      </c>
      <c r="C1586" s="288" t="s">
        <v>814</v>
      </c>
      <c r="D1586" s="288" t="s">
        <v>818</v>
      </c>
      <c r="E1586" s="289">
        <v>10</v>
      </c>
      <c r="F1586" s="290">
        <v>9</v>
      </c>
      <c r="G1586" s="289">
        <v>1100</v>
      </c>
      <c r="H1586" s="289">
        <v>0</v>
      </c>
      <c r="I1586" s="289">
        <v>110</v>
      </c>
      <c r="J1586" s="289">
        <v>70</v>
      </c>
      <c r="K1586" s="289">
        <v>7</v>
      </c>
      <c r="L1586" s="289">
        <v>1287</v>
      </c>
    </row>
    <row r="1587" spans="1:12">
      <c r="A1587" s="288" t="s">
        <v>2422</v>
      </c>
      <c r="B1587" s="288" t="s">
        <v>2268</v>
      </c>
      <c r="C1587" s="288" t="s">
        <v>814</v>
      </c>
      <c r="D1587" s="288" t="s">
        <v>818</v>
      </c>
      <c r="E1587" s="289">
        <v>10</v>
      </c>
      <c r="F1587" s="290">
        <v>0</v>
      </c>
      <c r="G1587" s="289">
        <v>900</v>
      </c>
      <c r="H1587" s="289">
        <v>0</v>
      </c>
      <c r="I1587" s="289">
        <v>90</v>
      </c>
      <c r="J1587" s="289">
        <v>70</v>
      </c>
      <c r="K1587" s="289">
        <v>7</v>
      </c>
      <c r="L1587" s="289">
        <v>1067</v>
      </c>
    </row>
    <row r="1588" spans="1:12">
      <c r="A1588" s="288" t="s">
        <v>2423</v>
      </c>
      <c r="B1588" s="288" t="s">
        <v>2268</v>
      </c>
      <c r="C1588" s="288" t="s">
        <v>814</v>
      </c>
      <c r="D1588" s="288" t="s">
        <v>818</v>
      </c>
      <c r="E1588" s="289">
        <v>10</v>
      </c>
      <c r="F1588" s="290">
        <v>0</v>
      </c>
      <c r="G1588" s="289">
        <v>900</v>
      </c>
      <c r="H1588" s="289">
        <v>0</v>
      </c>
      <c r="I1588" s="289">
        <v>90</v>
      </c>
      <c r="J1588" s="289">
        <v>70</v>
      </c>
      <c r="K1588" s="289">
        <v>7</v>
      </c>
      <c r="L1588" s="289">
        <v>1067</v>
      </c>
    </row>
    <row r="1589" spans="1:12">
      <c r="A1589" s="288" t="s">
        <v>2424</v>
      </c>
      <c r="B1589" s="288" t="s">
        <v>2268</v>
      </c>
      <c r="C1589" s="288" t="s">
        <v>814</v>
      </c>
      <c r="D1589" s="288" t="s">
        <v>818</v>
      </c>
      <c r="E1589" s="289">
        <v>10</v>
      </c>
      <c r="F1589" s="290">
        <v>3</v>
      </c>
      <c r="G1589" s="289">
        <v>900</v>
      </c>
      <c r="H1589" s="289">
        <v>0</v>
      </c>
      <c r="I1589" s="289">
        <v>90</v>
      </c>
      <c r="J1589" s="289">
        <v>70</v>
      </c>
      <c r="K1589" s="289">
        <v>7</v>
      </c>
      <c r="L1589" s="289">
        <v>1067</v>
      </c>
    </row>
    <row r="1590" spans="1:12">
      <c r="A1590" s="288" t="s">
        <v>2425</v>
      </c>
      <c r="B1590" s="288" t="s">
        <v>2268</v>
      </c>
      <c r="C1590" s="288" t="s">
        <v>814</v>
      </c>
      <c r="D1590" s="288" t="s">
        <v>818</v>
      </c>
      <c r="E1590" s="289">
        <v>10</v>
      </c>
      <c r="F1590" s="290">
        <v>6</v>
      </c>
      <c r="G1590" s="289">
        <v>1100</v>
      </c>
      <c r="H1590" s="289">
        <v>0</v>
      </c>
      <c r="I1590" s="289">
        <v>110</v>
      </c>
      <c r="J1590" s="289">
        <v>70</v>
      </c>
      <c r="K1590" s="289">
        <v>7</v>
      </c>
      <c r="L1590" s="289">
        <v>1287</v>
      </c>
    </row>
    <row r="1591" spans="1:12">
      <c r="A1591" s="288" t="s">
        <v>2426</v>
      </c>
      <c r="B1591" s="288" t="s">
        <v>2268</v>
      </c>
      <c r="C1591" s="288" t="s">
        <v>814</v>
      </c>
      <c r="D1591" s="288" t="s">
        <v>818</v>
      </c>
      <c r="E1591" s="289">
        <v>10</v>
      </c>
      <c r="F1591" s="290">
        <v>11</v>
      </c>
      <c r="G1591" s="289">
        <v>1100</v>
      </c>
      <c r="H1591" s="289">
        <v>110</v>
      </c>
      <c r="I1591" s="289">
        <v>121</v>
      </c>
      <c r="J1591" s="289">
        <v>70</v>
      </c>
      <c r="K1591" s="289">
        <v>7</v>
      </c>
      <c r="L1591" s="289">
        <v>1408</v>
      </c>
    </row>
    <row r="1592" spans="1:12">
      <c r="A1592" s="288" t="s">
        <v>2427</v>
      </c>
      <c r="B1592" s="288" t="s">
        <v>2268</v>
      </c>
      <c r="C1592" s="288" t="s">
        <v>814</v>
      </c>
      <c r="D1592" s="288" t="s">
        <v>818</v>
      </c>
      <c r="E1592" s="289">
        <v>10</v>
      </c>
      <c r="F1592" s="290">
        <v>33</v>
      </c>
      <c r="G1592" s="289">
        <v>1100</v>
      </c>
      <c r="H1592" s="289">
        <v>2530</v>
      </c>
      <c r="I1592" s="289">
        <v>363</v>
      </c>
      <c r="J1592" s="289">
        <v>70</v>
      </c>
      <c r="K1592" s="289">
        <v>7</v>
      </c>
      <c r="L1592" s="289">
        <v>4070</v>
      </c>
    </row>
    <row r="1593" spans="1:12">
      <c r="A1593" s="288" t="s">
        <v>2428</v>
      </c>
      <c r="B1593" s="288" t="s">
        <v>2268</v>
      </c>
      <c r="C1593" s="288" t="s">
        <v>814</v>
      </c>
      <c r="D1593" s="288" t="s">
        <v>818</v>
      </c>
      <c r="E1593" s="289">
        <v>10</v>
      </c>
      <c r="F1593" s="290">
        <v>6</v>
      </c>
      <c r="G1593" s="289">
        <v>1100</v>
      </c>
      <c r="H1593" s="289">
        <v>0</v>
      </c>
      <c r="I1593" s="289">
        <v>110</v>
      </c>
      <c r="J1593" s="289">
        <v>70</v>
      </c>
      <c r="K1593" s="289">
        <v>7</v>
      </c>
      <c r="L1593" s="289">
        <v>1287</v>
      </c>
    </row>
    <row r="1594" spans="1:12">
      <c r="A1594" s="288" t="s">
        <v>2429</v>
      </c>
      <c r="B1594" s="288" t="s">
        <v>2268</v>
      </c>
      <c r="C1594" s="288" t="s">
        <v>814</v>
      </c>
      <c r="D1594" s="288" t="s">
        <v>818</v>
      </c>
      <c r="E1594" s="289">
        <v>10</v>
      </c>
      <c r="F1594" s="290">
        <v>0</v>
      </c>
      <c r="G1594" s="289">
        <v>900</v>
      </c>
      <c r="H1594" s="289">
        <v>0</v>
      </c>
      <c r="I1594" s="289">
        <v>90</v>
      </c>
      <c r="J1594" s="289">
        <v>70</v>
      </c>
      <c r="K1594" s="289">
        <v>7</v>
      </c>
      <c r="L1594" s="289">
        <v>1067</v>
      </c>
    </row>
    <row r="1595" spans="1:12">
      <c r="A1595" s="288" t="s">
        <v>2430</v>
      </c>
      <c r="B1595" s="288" t="s">
        <v>2268</v>
      </c>
      <c r="C1595" s="288" t="s">
        <v>814</v>
      </c>
      <c r="D1595" s="288" t="s">
        <v>818</v>
      </c>
      <c r="E1595" s="289">
        <v>10</v>
      </c>
      <c r="F1595" s="290">
        <v>8</v>
      </c>
      <c r="G1595" s="289">
        <v>1100</v>
      </c>
      <c r="H1595" s="289">
        <v>0</v>
      </c>
      <c r="I1595" s="289">
        <v>110</v>
      </c>
      <c r="J1595" s="289">
        <v>70</v>
      </c>
      <c r="K1595" s="289">
        <v>7</v>
      </c>
      <c r="L1595" s="289">
        <v>1287</v>
      </c>
    </row>
    <row r="1596" spans="1:12">
      <c r="A1596" s="288" t="s">
        <v>2431</v>
      </c>
      <c r="B1596" s="288" t="s">
        <v>2268</v>
      </c>
      <c r="C1596" s="288" t="s">
        <v>814</v>
      </c>
      <c r="D1596" s="288" t="s">
        <v>818</v>
      </c>
      <c r="E1596" s="289">
        <v>10</v>
      </c>
      <c r="F1596" s="290">
        <v>4</v>
      </c>
      <c r="G1596" s="289">
        <v>900</v>
      </c>
      <c r="H1596" s="289">
        <v>0</v>
      </c>
      <c r="I1596" s="289">
        <v>90</v>
      </c>
      <c r="J1596" s="289">
        <v>70</v>
      </c>
      <c r="K1596" s="289">
        <v>7</v>
      </c>
      <c r="L1596" s="289">
        <v>1067</v>
      </c>
    </row>
    <row r="1597" spans="1:12">
      <c r="A1597" s="288" t="s">
        <v>2432</v>
      </c>
      <c r="B1597" s="288" t="s">
        <v>2268</v>
      </c>
      <c r="C1597" s="288" t="s">
        <v>814</v>
      </c>
      <c r="D1597" s="288" t="s">
        <v>818</v>
      </c>
      <c r="E1597" s="289">
        <v>10</v>
      </c>
      <c r="F1597" s="290">
        <v>14</v>
      </c>
      <c r="G1597" s="289">
        <v>1100</v>
      </c>
      <c r="H1597" s="289">
        <v>440</v>
      </c>
      <c r="I1597" s="289">
        <v>154</v>
      </c>
      <c r="J1597" s="289">
        <v>70</v>
      </c>
      <c r="K1597" s="289">
        <v>7</v>
      </c>
      <c r="L1597" s="289">
        <v>1771</v>
      </c>
    </row>
    <row r="1598" spans="1:12">
      <c r="A1598" s="288" t="s">
        <v>2433</v>
      </c>
      <c r="B1598" s="288" t="s">
        <v>2268</v>
      </c>
      <c r="C1598" s="288" t="s">
        <v>814</v>
      </c>
      <c r="D1598" s="288" t="s">
        <v>818</v>
      </c>
      <c r="E1598" s="289">
        <v>10</v>
      </c>
      <c r="F1598" s="290">
        <v>5</v>
      </c>
      <c r="G1598" s="289">
        <v>900</v>
      </c>
      <c r="H1598" s="289">
        <v>0</v>
      </c>
      <c r="I1598" s="289">
        <v>90</v>
      </c>
      <c r="J1598" s="289">
        <v>70</v>
      </c>
      <c r="K1598" s="289">
        <v>7</v>
      </c>
      <c r="L1598" s="289">
        <v>1067</v>
      </c>
    </row>
    <row r="1599" spans="1:12">
      <c r="A1599" s="288" t="s">
        <v>2434</v>
      </c>
      <c r="B1599" s="288" t="s">
        <v>2268</v>
      </c>
      <c r="C1599" s="288" t="s">
        <v>814</v>
      </c>
      <c r="D1599" s="288" t="s">
        <v>818</v>
      </c>
      <c r="E1599" s="289">
        <v>10</v>
      </c>
      <c r="F1599" s="290">
        <v>2</v>
      </c>
      <c r="G1599" s="289">
        <v>900</v>
      </c>
      <c r="H1599" s="289">
        <v>0</v>
      </c>
      <c r="I1599" s="289">
        <v>90</v>
      </c>
      <c r="J1599" s="289">
        <v>70</v>
      </c>
      <c r="K1599" s="289">
        <v>7</v>
      </c>
      <c r="L1599" s="289">
        <v>1067</v>
      </c>
    </row>
    <row r="1600" spans="1:12">
      <c r="A1600" s="288" t="s">
        <v>2435</v>
      </c>
      <c r="B1600" s="288" t="s">
        <v>2268</v>
      </c>
      <c r="C1600" s="288" t="s">
        <v>814</v>
      </c>
      <c r="D1600" s="288" t="s">
        <v>818</v>
      </c>
      <c r="E1600" s="289">
        <v>10</v>
      </c>
      <c r="F1600" s="290">
        <v>3</v>
      </c>
      <c r="G1600" s="289">
        <v>900</v>
      </c>
      <c r="H1600" s="289">
        <v>0</v>
      </c>
      <c r="I1600" s="289">
        <v>90</v>
      </c>
      <c r="J1600" s="289">
        <v>70</v>
      </c>
      <c r="K1600" s="289">
        <v>7</v>
      </c>
      <c r="L1600" s="289">
        <v>1067</v>
      </c>
    </row>
    <row r="1601" spans="1:12">
      <c r="A1601" s="288" t="s">
        <v>2436</v>
      </c>
      <c r="B1601" s="288" t="s">
        <v>2268</v>
      </c>
      <c r="C1601" s="288" t="s">
        <v>814</v>
      </c>
      <c r="D1601" s="288" t="s">
        <v>818</v>
      </c>
      <c r="E1601" s="289">
        <v>10</v>
      </c>
      <c r="F1601" s="290">
        <v>11</v>
      </c>
      <c r="G1601" s="289">
        <v>1100</v>
      </c>
      <c r="H1601" s="289">
        <v>110</v>
      </c>
      <c r="I1601" s="289">
        <v>121</v>
      </c>
      <c r="J1601" s="289">
        <v>70</v>
      </c>
      <c r="K1601" s="289">
        <v>7</v>
      </c>
      <c r="L1601" s="289">
        <v>1408</v>
      </c>
    </row>
    <row r="1602" spans="1:12">
      <c r="A1602" s="288" t="s">
        <v>2437</v>
      </c>
      <c r="B1602" s="288" t="s">
        <v>2268</v>
      </c>
      <c r="C1602" s="288" t="s">
        <v>814</v>
      </c>
      <c r="D1602" s="288" t="s">
        <v>818</v>
      </c>
      <c r="E1602" s="289">
        <v>10</v>
      </c>
      <c r="F1602" s="290">
        <v>9</v>
      </c>
      <c r="G1602" s="289">
        <v>1100</v>
      </c>
      <c r="H1602" s="289">
        <v>0</v>
      </c>
      <c r="I1602" s="289">
        <v>110</v>
      </c>
      <c r="J1602" s="289">
        <v>70</v>
      </c>
      <c r="K1602" s="289">
        <v>7</v>
      </c>
      <c r="L1602" s="289">
        <v>1287</v>
      </c>
    </row>
    <row r="1603" spans="1:12">
      <c r="A1603" s="288" t="s">
        <v>2438</v>
      </c>
      <c r="B1603" s="288" t="s">
        <v>2268</v>
      </c>
      <c r="C1603" s="288" t="s">
        <v>814</v>
      </c>
      <c r="D1603" s="288" t="s">
        <v>818</v>
      </c>
      <c r="E1603" s="289">
        <v>10</v>
      </c>
      <c r="F1603" s="290">
        <v>0</v>
      </c>
      <c r="G1603" s="289">
        <v>900</v>
      </c>
      <c r="H1603" s="289">
        <v>0</v>
      </c>
      <c r="I1603" s="289">
        <v>90</v>
      </c>
      <c r="J1603" s="289">
        <v>70</v>
      </c>
      <c r="K1603" s="289">
        <v>7</v>
      </c>
      <c r="L1603" s="289">
        <v>1067</v>
      </c>
    </row>
    <row r="1604" spans="1:12">
      <c r="A1604" s="288" t="s">
        <v>2439</v>
      </c>
      <c r="B1604" s="288" t="s">
        <v>2268</v>
      </c>
      <c r="C1604" s="288" t="s">
        <v>814</v>
      </c>
      <c r="D1604" s="288" t="s">
        <v>818</v>
      </c>
      <c r="E1604" s="289">
        <v>10</v>
      </c>
      <c r="F1604" s="290">
        <v>5</v>
      </c>
      <c r="G1604" s="289">
        <v>900</v>
      </c>
      <c r="H1604" s="289">
        <v>0</v>
      </c>
      <c r="I1604" s="289">
        <v>90</v>
      </c>
      <c r="J1604" s="289">
        <v>70</v>
      </c>
      <c r="K1604" s="289">
        <v>7</v>
      </c>
      <c r="L1604" s="289">
        <v>1067</v>
      </c>
    </row>
    <row r="1605" spans="1:12">
      <c r="A1605" s="288" t="s">
        <v>2440</v>
      </c>
      <c r="B1605" s="288" t="s">
        <v>2268</v>
      </c>
      <c r="C1605" s="288" t="s">
        <v>814</v>
      </c>
      <c r="D1605" s="288" t="s">
        <v>818</v>
      </c>
      <c r="E1605" s="289">
        <v>10</v>
      </c>
      <c r="F1605" s="290">
        <v>38</v>
      </c>
      <c r="G1605" s="289">
        <v>1100</v>
      </c>
      <c r="H1605" s="289">
        <v>3080</v>
      </c>
      <c r="I1605" s="289">
        <v>418</v>
      </c>
      <c r="J1605" s="289">
        <v>70</v>
      </c>
      <c r="K1605" s="289">
        <v>7</v>
      </c>
      <c r="L1605" s="289">
        <v>4675</v>
      </c>
    </row>
    <row r="1606" spans="1:12">
      <c r="A1606" s="288" t="s">
        <v>2441</v>
      </c>
      <c r="B1606" s="288" t="s">
        <v>2268</v>
      </c>
      <c r="C1606" s="288" t="s">
        <v>814</v>
      </c>
      <c r="D1606" s="288" t="s">
        <v>818</v>
      </c>
      <c r="E1606" s="289">
        <v>10</v>
      </c>
      <c r="F1606" s="290">
        <v>10</v>
      </c>
      <c r="G1606" s="289">
        <v>1100</v>
      </c>
      <c r="H1606" s="289">
        <v>0</v>
      </c>
      <c r="I1606" s="289">
        <v>110</v>
      </c>
      <c r="J1606" s="289">
        <v>70</v>
      </c>
      <c r="K1606" s="289">
        <v>7</v>
      </c>
      <c r="L1606" s="289">
        <v>1287</v>
      </c>
    </row>
    <row r="1607" spans="1:12">
      <c r="A1607" s="288" t="s">
        <v>2442</v>
      </c>
      <c r="B1607" s="288" t="s">
        <v>2268</v>
      </c>
      <c r="C1607" s="288" t="s">
        <v>814</v>
      </c>
      <c r="D1607" s="288" t="s">
        <v>818</v>
      </c>
      <c r="E1607" s="289">
        <v>10</v>
      </c>
      <c r="F1607" s="290">
        <v>14</v>
      </c>
      <c r="G1607" s="289">
        <v>1100</v>
      </c>
      <c r="H1607" s="289">
        <v>440</v>
      </c>
      <c r="I1607" s="289">
        <v>154</v>
      </c>
      <c r="J1607" s="289">
        <v>70</v>
      </c>
      <c r="K1607" s="289">
        <v>7</v>
      </c>
      <c r="L1607" s="289">
        <v>1771</v>
      </c>
    </row>
    <row r="1608" spans="1:12">
      <c r="A1608" s="288" t="s">
        <v>2443</v>
      </c>
      <c r="B1608" s="288" t="s">
        <v>2268</v>
      </c>
      <c r="C1608" s="288" t="s">
        <v>814</v>
      </c>
      <c r="D1608" s="288" t="s">
        <v>818</v>
      </c>
      <c r="E1608" s="289">
        <v>10</v>
      </c>
      <c r="F1608" s="290">
        <v>7</v>
      </c>
      <c r="G1608" s="289">
        <v>1100</v>
      </c>
      <c r="H1608" s="289">
        <v>0</v>
      </c>
      <c r="I1608" s="289">
        <v>110</v>
      </c>
      <c r="J1608" s="289">
        <v>70</v>
      </c>
      <c r="K1608" s="289">
        <v>7</v>
      </c>
      <c r="L1608" s="289">
        <v>1287</v>
      </c>
    </row>
    <row r="1609" spans="1:12">
      <c r="A1609" s="288" t="s">
        <v>2444</v>
      </c>
      <c r="B1609" s="288" t="s">
        <v>2268</v>
      </c>
      <c r="C1609" s="288" t="s">
        <v>814</v>
      </c>
      <c r="D1609" s="288" t="s">
        <v>818</v>
      </c>
      <c r="E1609" s="289">
        <v>10</v>
      </c>
      <c r="F1609" s="290">
        <v>29</v>
      </c>
      <c r="G1609" s="289">
        <v>1100</v>
      </c>
      <c r="H1609" s="289">
        <v>2090</v>
      </c>
      <c r="I1609" s="289">
        <v>319</v>
      </c>
      <c r="J1609" s="289">
        <v>70</v>
      </c>
      <c r="K1609" s="289">
        <v>7</v>
      </c>
      <c r="L1609" s="289">
        <v>3586</v>
      </c>
    </row>
    <row r="1610" spans="1:12">
      <c r="A1610" s="288" t="s">
        <v>2445</v>
      </c>
      <c r="B1610" s="288" t="s">
        <v>2268</v>
      </c>
      <c r="C1610" s="288" t="s">
        <v>829</v>
      </c>
      <c r="D1610" s="288" t="s">
        <v>818</v>
      </c>
      <c r="E1610" s="289">
        <v>10</v>
      </c>
      <c r="F1610" s="290">
        <v>1</v>
      </c>
      <c r="G1610" s="289">
        <v>900</v>
      </c>
      <c r="H1610" s="289">
        <v>0</v>
      </c>
      <c r="I1610" s="289">
        <v>90</v>
      </c>
      <c r="J1610" s="289">
        <v>70</v>
      </c>
      <c r="K1610" s="289">
        <v>7</v>
      </c>
      <c r="L1610" s="289">
        <v>1067</v>
      </c>
    </row>
    <row r="1611" spans="1:12">
      <c r="A1611" s="288" t="s">
        <v>2446</v>
      </c>
      <c r="B1611" s="288" t="s">
        <v>2268</v>
      </c>
      <c r="C1611" s="288" t="s">
        <v>829</v>
      </c>
      <c r="D1611" s="288" t="s">
        <v>818</v>
      </c>
      <c r="E1611" s="289">
        <v>10</v>
      </c>
      <c r="F1611" s="290">
        <v>1</v>
      </c>
      <c r="G1611" s="289">
        <v>900</v>
      </c>
      <c r="H1611" s="289">
        <v>0</v>
      </c>
      <c r="I1611" s="289">
        <v>90</v>
      </c>
      <c r="J1611" s="289">
        <v>70</v>
      </c>
      <c r="K1611" s="289">
        <v>7</v>
      </c>
      <c r="L1611" s="289">
        <v>1067</v>
      </c>
    </row>
    <row r="1612" spans="1:12">
      <c r="A1612" s="288" t="s">
        <v>2447</v>
      </c>
      <c r="B1612" s="288" t="s">
        <v>2268</v>
      </c>
      <c r="C1612" s="288" t="s">
        <v>829</v>
      </c>
      <c r="D1612" s="288" t="s">
        <v>818</v>
      </c>
      <c r="E1612" s="289">
        <v>10</v>
      </c>
      <c r="F1612" s="290">
        <v>0</v>
      </c>
      <c r="G1612" s="289">
        <v>900</v>
      </c>
      <c r="H1612" s="289">
        <v>0</v>
      </c>
      <c r="I1612" s="289">
        <v>90</v>
      </c>
      <c r="J1612" s="289">
        <v>70</v>
      </c>
      <c r="K1612" s="289">
        <v>7</v>
      </c>
      <c r="L1612" s="289">
        <v>1067</v>
      </c>
    </row>
    <row r="1613" spans="1:12">
      <c r="A1613" s="288" t="s">
        <v>2448</v>
      </c>
      <c r="B1613" s="288" t="s">
        <v>2268</v>
      </c>
      <c r="C1613" s="288" t="s">
        <v>829</v>
      </c>
      <c r="D1613" s="288" t="s">
        <v>818</v>
      </c>
      <c r="E1613" s="289">
        <v>10</v>
      </c>
      <c r="F1613" s="290">
        <v>0</v>
      </c>
      <c r="G1613" s="289">
        <v>900</v>
      </c>
      <c r="H1613" s="289">
        <v>0</v>
      </c>
      <c r="I1613" s="289">
        <v>90</v>
      </c>
      <c r="J1613" s="289">
        <v>70</v>
      </c>
      <c r="K1613" s="289">
        <v>7</v>
      </c>
      <c r="L1613" s="289">
        <v>1067</v>
      </c>
    </row>
    <row r="1614" spans="1:12">
      <c r="A1614" s="288" t="s">
        <v>2449</v>
      </c>
      <c r="B1614" s="288" t="s">
        <v>2268</v>
      </c>
      <c r="C1614" s="288" t="s">
        <v>829</v>
      </c>
      <c r="D1614" s="288" t="s">
        <v>818</v>
      </c>
      <c r="E1614" s="289">
        <v>10</v>
      </c>
      <c r="F1614" s="290">
        <v>0</v>
      </c>
      <c r="G1614" s="289">
        <v>900</v>
      </c>
      <c r="H1614" s="289">
        <v>0</v>
      </c>
      <c r="I1614" s="289">
        <v>90</v>
      </c>
      <c r="J1614" s="289">
        <v>70</v>
      </c>
      <c r="K1614" s="289">
        <v>7</v>
      </c>
      <c r="L1614" s="289">
        <v>1067</v>
      </c>
    </row>
    <row r="1615" spans="1:12">
      <c r="A1615" s="288" t="s">
        <v>2450</v>
      </c>
      <c r="B1615" s="288" t="s">
        <v>2268</v>
      </c>
      <c r="C1615" s="288" t="s">
        <v>829</v>
      </c>
      <c r="D1615" s="288" t="s">
        <v>818</v>
      </c>
      <c r="E1615" s="289">
        <v>10</v>
      </c>
      <c r="F1615" s="290">
        <v>1</v>
      </c>
      <c r="G1615" s="289">
        <v>900</v>
      </c>
      <c r="H1615" s="289">
        <v>0</v>
      </c>
      <c r="I1615" s="289">
        <v>90</v>
      </c>
      <c r="J1615" s="289">
        <v>70</v>
      </c>
      <c r="K1615" s="289">
        <v>7</v>
      </c>
      <c r="L1615" s="289">
        <v>1067</v>
      </c>
    </row>
    <row r="1616" spans="1:12">
      <c r="A1616" s="288" t="s">
        <v>2451</v>
      </c>
      <c r="B1616" s="288" t="s">
        <v>2268</v>
      </c>
      <c r="C1616" s="288" t="s">
        <v>829</v>
      </c>
      <c r="D1616" s="288" t="s">
        <v>818</v>
      </c>
      <c r="E1616" s="289">
        <v>10</v>
      </c>
      <c r="F1616" s="290">
        <v>0</v>
      </c>
      <c r="G1616" s="289">
        <v>900</v>
      </c>
      <c r="H1616" s="289">
        <v>0</v>
      </c>
      <c r="I1616" s="289">
        <v>90</v>
      </c>
      <c r="J1616" s="289">
        <v>70</v>
      </c>
      <c r="K1616" s="289">
        <v>7</v>
      </c>
      <c r="L1616" s="289">
        <v>1067</v>
      </c>
    </row>
    <row r="1617" spans="1:12">
      <c r="A1617" s="288" t="s">
        <v>2452</v>
      </c>
      <c r="B1617" s="288" t="s">
        <v>2268</v>
      </c>
      <c r="C1617" s="288" t="s">
        <v>829</v>
      </c>
      <c r="D1617" s="288" t="s">
        <v>822</v>
      </c>
      <c r="E1617" s="289">
        <v>10</v>
      </c>
      <c r="F1617" s="290">
        <v>2</v>
      </c>
      <c r="G1617" s="289">
        <v>900</v>
      </c>
      <c r="H1617" s="289">
        <v>0</v>
      </c>
      <c r="I1617" s="289">
        <v>90</v>
      </c>
      <c r="J1617" s="289">
        <v>200</v>
      </c>
      <c r="K1617" s="289">
        <v>20</v>
      </c>
      <c r="L1617" s="289">
        <v>1210</v>
      </c>
    </row>
    <row r="1618" spans="1:12">
      <c r="A1618" s="288" t="s">
        <v>2453</v>
      </c>
      <c r="B1618" s="288" t="s">
        <v>2268</v>
      </c>
      <c r="C1618" s="288" t="s">
        <v>829</v>
      </c>
      <c r="D1618" s="288" t="s">
        <v>822</v>
      </c>
      <c r="E1618" s="289">
        <v>10</v>
      </c>
      <c r="F1618" s="290">
        <v>3</v>
      </c>
      <c r="G1618" s="289">
        <v>900</v>
      </c>
      <c r="H1618" s="289">
        <v>0</v>
      </c>
      <c r="I1618" s="289">
        <v>90</v>
      </c>
      <c r="J1618" s="289">
        <v>200</v>
      </c>
      <c r="K1618" s="289">
        <v>20</v>
      </c>
      <c r="L1618" s="289">
        <v>1210</v>
      </c>
    </row>
    <row r="1619" spans="1:12">
      <c r="A1619" s="288" t="s">
        <v>2454</v>
      </c>
      <c r="B1619" s="288" t="s">
        <v>2199</v>
      </c>
      <c r="C1619" s="288" t="s">
        <v>820</v>
      </c>
      <c r="D1619" s="288" t="s">
        <v>822</v>
      </c>
      <c r="E1619" s="289">
        <v>10</v>
      </c>
      <c r="F1619" s="290">
        <v>24</v>
      </c>
      <c r="G1619" s="289">
        <v>1100</v>
      </c>
      <c r="H1619" s="289">
        <v>1540</v>
      </c>
      <c r="I1619" s="289">
        <v>264</v>
      </c>
      <c r="J1619" s="289">
        <v>200</v>
      </c>
      <c r="K1619" s="289">
        <v>20</v>
      </c>
      <c r="L1619" s="289">
        <v>3124</v>
      </c>
    </row>
    <row r="1620" spans="1:12">
      <c r="A1620" s="288" t="s">
        <v>2455</v>
      </c>
      <c r="B1620" s="288" t="s">
        <v>2199</v>
      </c>
      <c r="C1620" s="288" t="s">
        <v>820</v>
      </c>
      <c r="D1620" s="288" t="s">
        <v>815</v>
      </c>
      <c r="E1620" s="289">
        <v>10</v>
      </c>
      <c r="F1620" s="290">
        <v>7</v>
      </c>
      <c r="G1620" s="289">
        <v>1100</v>
      </c>
      <c r="H1620" s="289">
        <v>0</v>
      </c>
      <c r="I1620" s="289">
        <v>110</v>
      </c>
      <c r="J1620" s="289">
        <v>50</v>
      </c>
      <c r="K1620" s="289">
        <v>5</v>
      </c>
      <c r="L1620" s="289">
        <v>1265</v>
      </c>
    </row>
    <row r="1621" spans="1:12">
      <c r="A1621" s="288" t="s">
        <v>2456</v>
      </c>
      <c r="B1621" s="288" t="s">
        <v>2199</v>
      </c>
      <c r="C1621" s="288" t="s">
        <v>820</v>
      </c>
      <c r="D1621" s="288" t="s">
        <v>815</v>
      </c>
      <c r="E1621" s="289">
        <v>10</v>
      </c>
      <c r="F1621" s="290">
        <v>45</v>
      </c>
      <c r="G1621" s="289">
        <v>1100</v>
      </c>
      <c r="H1621" s="289">
        <v>3850</v>
      </c>
      <c r="I1621" s="289">
        <v>495</v>
      </c>
      <c r="J1621" s="289">
        <v>50</v>
      </c>
      <c r="K1621" s="289">
        <v>5</v>
      </c>
      <c r="L1621" s="289">
        <v>5500</v>
      </c>
    </row>
    <row r="1622" spans="1:12">
      <c r="A1622" s="288" t="s">
        <v>2457</v>
      </c>
      <c r="B1622" s="288" t="s">
        <v>2199</v>
      </c>
      <c r="C1622" s="288" t="s">
        <v>820</v>
      </c>
      <c r="D1622" s="288" t="s">
        <v>815</v>
      </c>
      <c r="E1622" s="289">
        <v>10</v>
      </c>
      <c r="F1622" s="290">
        <v>1</v>
      </c>
      <c r="G1622" s="289">
        <v>900</v>
      </c>
      <c r="H1622" s="289">
        <v>0</v>
      </c>
      <c r="I1622" s="289">
        <v>90</v>
      </c>
      <c r="J1622" s="289">
        <v>50</v>
      </c>
      <c r="K1622" s="289">
        <v>5</v>
      </c>
      <c r="L1622" s="289">
        <v>1045</v>
      </c>
    </row>
    <row r="1623" spans="1:12">
      <c r="A1623" s="288" t="s">
        <v>2458</v>
      </c>
      <c r="B1623" s="288" t="s">
        <v>2199</v>
      </c>
      <c r="C1623" s="288" t="s">
        <v>820</v>
      </c>
      <c r="D1623" s="288" t="s">
        <v>826</v>
      </c>
      <c r="E1623" s="289">
        <v>10</v>
      </c>
      <c r="F1623" s="290">
        <v>15</v>
      </c>
      <c r="G1623" s="289">
        <v>1100</v>
      </c>
      <c r="H1623" s="289">
        <v>550</v>
      </c>
      <c r="I1623" s="289">
        <v>165</v>
      </c>
      <c r="J1623" s="289">
        <v>100</v>
      </c>
      <c r="K1623" s="289">
        <v>10</v>
      </c>
      <c r="L1623" s="289">
        <v>1925</v>
      </c>
    </row>
    <row r="1624" spans="1:12">
      <c r="A1624" s="288" t="s">
        <v>2459</v>
      </c>
      <c r="B1624" s="288" t="s">
        <v>2199</v>
      </c>
      <c r="C1624" s="288" t="s">
        <v>820</v>
      </c>
      <c r="D1624" s="288" t="s">
        <v>826</v>
      </c>
      <c r="E1624" s="289">
        <v>10</v>
      </c>
      <c r="F1624" s="290">
        <v>18</v>
      </c>
      <c r="G1624" s="289">
        <v>1100</v>
      </c>
      <c r="H1624" s="289">
        <v>880</v>
      </c>
      <c r="I1624" s="289">
        <v>198</v>
      </c>
      <c r="J1624" s="289">
        <v>100</v>
      </c>
      <c r="K1624" s="289">
        <v>10</v>
      </c>
      <c r="L1624" s="289">
        <v>2288</v>
      </c>
    </row>
    <row r="1625" spans="1:12">
      <c r="A1625" s="288" t="s">
        <v>2460</v>
      </c>
      <c r="B1625" s="288" t="s">
        <v>2199</v>
      </c>
      <c r="C1625" s="288" t="s">
        <v>820</v>
      </c>
      <c r="D1625" s="288" t="s">
        <v>826</v>
      </c>
      <c r="E1625" s="289">
        <v>10</v>
      </c>
      <c r="F1625" s="290">
        <v>15</v>
      </c>
      <c r="G1625" s="289">
        <v>1100</v>
      </c>
      <c r="H1625" s="289">
        <v>550</v>
      </c>
      <c r="I1625" s="289">
        <v>165</v>
      </c>
      <c r="J1625" s="289">
        <v>100</v>
      </c>
      <c r="K1625" s="289">
        <v>10</v>
      </c>
      <c r="L1625" s="289">
        <v>1925</v>
      </c>
    </row>
    <row r="1626" spans="1:12">
      <c r="A1626" s="288" t="s">
        <v>2461</v>
      </c>
      <c r="B1626" s="288" t="s">
        <v>2199</v>
      </c>
      <c r="C1626" s="288" t="s">
        <v>820</v>
      </c>
      <c r="D1626" s="288" t="s">
        <v>826</v>
      </c>
      <c r="E1626" s="289">
        <v>10</v>
      </c>
      <c r="F1626" s="290">
        <v>21</v>
      </c>
      <c r="G1626" s="289">
        <v>1100</v>
      </c>
      <c r="H1626" s="289">
        <v>1210</v>
      </c>
      <c r="I1626" s="289">
        <v>231</v>
      </c>
      <c r="J1626" s="289">
        <v>100</v>
      </c>
      <c r="K1626" s="289">
        <v>10</v>
      </c>
      <c r="L1626" s="289">
        <v>2651</v>
      </c>
    </row>
    <row r="1627" spans="1:12">
      <c r="A1627" s="288" t="s">
        <v>2462</v>
      </c>
      <c r="B1627" s="288" t="s">
        <v>2199</v>
      </c>
      <c r="C1627" s="288" t="s">
        <v>820</v>
      </c>
      <c r="D1627" s="288" t="s">
        <v>826</v>
      </c>
      <c r="E1627" s="289">
        <v>10</v>
      </c>
      <c r="F1627" s="290">
        <v>3</v>
      </c>
      <c r="G1627" s="289">
        <v>900</v>
      </c>
      <c r="H1627" s="289">
        <v>0</v>
      </c>
      <c r="I1627" s="289">
        <v>90</v>
      </c>
      <c r="J1627" s="289">
        <v>100</v>
      </c>
      <c r="K1627" s="289">
        <v>10</v>
      </c>
      <c r="L1627" s="289">
        <v>1100</v>
      </c>
    </row>
    <row r="1628" spans="1:12">
      <c r="A1628" s="288" t="s">
        <v>2463</v>
      </c>
      <c r="B1628" s="288" t="s">
        <v>2199</v>
      </c>
      <c r="C1628" s="288" t="s">
        <v>820</v>
      </c>
      <c r="D1628" s="288" t="s">
        <v>815</v>
      </c>
      <c r="E1628" s="289">
        <v>10</v>
      </c>
      <c r="F1628" s="290">
        <v>1</v>
      </c>
      <c r="G1628" s="289">
        <v>900</v>
      </c>
      <c r="H1628" s="289">
        <v>0</v>
      </c>
      <c r="I1628" s="289">
        <v>90</v>
      </c>
      <c r="J1628" s="289">
        <v>50</v>
      </c>
      <c r="K1628" s="289">
        <v>5</v>
      </c>
      <c r="L1628" s="289">
        <v>1045</v>
      </c>
    </row>
    <row r="1629" spans="1:12">
      <c r="A1629" s="288" t="s">
        <v>2464</v>
      </c>
      <c r="B1629" s="288" t="s">
        <v>2199</v>
      </c>
      <c r="C1629" s="288" t="s">
        <v>820</v>
      </c>
      <c r="D1629" s="288" t="s">
        <v>826</v>
      </c>
      <c r="E1629" s="289">
        <v>10</v>
      </c>
      <c r="F1629" s="290">
        <v>17</v>
      </c>
      <c r="G1629" s="289">
        <v>1100</v>
      </c>
      <c r="H1629" s="289">
        <v>770</v>
      </c>
      <c r="I1629" s="289">
        <v>187</v>
      </c>
      <c r="J1629" s="289">
        <v>100</v>
      </c>
      <c r="K1629" s="289">
        <v>10</v>
      </c>
      <c r="L1629" s="289">
        <v>2167</v>
      </c>
    </row>
    <row r="1630" spans="1:12">
      <c r="A1630" s="288" t="s">
        <v>2465</v>
      </c>
      <c r="B1630" s="288" t="s">
        <v>2199</v>
      </c>
      <c r="C1630" s="288" t="s">
        <v>820</v>
      </c>
      <c r="D1630" s="288" t="s">
        <v>826</v>
      </c>
      <c r="E1630" s="289">
        <v>10</v>
      </c>
      <c r="F1630" s="290">
        <v>105</v>
      </c>
      <c r="G1630" s="289">
        <v>1100</v>
      </c>
      <c r="H1630" s="289">
        <v>10400</v>
      </c>
      <c r="I1630" s="289">
        <v>1150</v>
      </c>
      <c r="J1630" s="289">
        <v>100</v>
      </c>
      <c r="K1630" s="289">
        <v>10</v>
      </c>
      <c r="L1630" s="289">
        <v>12760</v>
      </c>
    </row>
    <row r="1631" spans="1:12">
      <c r="A1631" s="288" t="s">
        <v>2466</v>
      </c>
      <c r="B1631" s="288" t="s">
        <v>2199</v>
      </c>
      <c r="C1631" s="288" t="s">
        <v>820</v>
      </c>
      <c r="D1631" s="288" t="s">
        <v>826</v>
      </c>
      <c r="E1631" s="289">
        <v>10</v>
      </c>
      <c r="F1631" s="290">
        <v>16</v>
      </c>
      <c r="G1631" s="289">
        <v>1100</v>
      </c>
      <c r="H1631" s="289">
        <v>660</v>
      </c>
      <c r="I1631" s="289">
        <v>176</v>
      </c>
      <c r="J1631" s="289">
        <v>100</v>
      </c>
      <c r="K1631" s="289">
        <v>10</v>
      </c>
      <c r="L1631" s="289">
        <v>2046</v>
      </c>
    </row>
    <row r="1632" spans="1:12">
      <c r="A1632" s="288" t="s">
        <v>2467</v>
      </c>
      <c r="B1632" s="288" t="s">
        <v>2199</v>
      </c>
      <c r="C1632" s="288" t="s">
        <v>820</v>
      </c>
      <c r="D1632" s="288" t="s">
        <v>815</v>
      </c>
      <c r="E1632" s="289">
        <v>10</v>
      </c>
      <c r="F1632" s="290">
        <v>0</v>
      </c>
      <c r="G1632" s="289">
        <v>900</v>
      </c>
      <c r="H1632" s="289">
        <v>0</v>
      </c>
      <c r="I1632" s="289">
        <v>90</v>
      </c>
      <c r="J1632" s="289">
        <v>50</v>
      </c>
      <c r="K1632" s="289">
        <v>5</v>
      </c>
      <c r="L1632" s="289">
        <v>1045</v>
      </c>
    </row>
    <row r="1633" spans="1:12">
      <c r="A1633" s="288" t="s">
        <v>2468</v>
      </c>
      <c r="B1633" s="288" t="s">
        <v>2199</v>
      </c>
      <c r="C1633" s="288" t="s">
        <v>820</v>
      </c>
      <c r="D1633" s="288" t="s">
        <v>826</v>
      </c>
      <c r="E1633" s="289">
        <v>10</v>
      </c>
      <c r="F1633" s="290">
        <v>6</v>
      </c>
      <c r="G1633" s="289">
        <v>1100</v>
      </c>
      <c r="H1633" s="289">
        <v>0</v>
      </c>
      <c r="I1633" s="289">
        <v>110</v>
      </c>
      <c r="J1633" s="289">
        <v>100</v>
      </c>
      <c r="K1633" s="289">
        <v>10</v>
      </c>
      <c r="L1633" s="289">
        <v>1320</v>
      </c>
    </row>
    <row r="1634" spans="1:12">
      <c r="A1634" s="288" t="s">
        <v>2469</v>
      </c>
      <c r="B1634" s="288" t="s">
        <v>2199</v>
      </c>
      <c r="C1634" s="288" t="s">
        <v>820</v>
      </c>
      <c r="D1634" s="288" t="s">
        <v>815</v>
      </c>
      <c r="E1634" s="289">
        <v>10</v>
      </c>
      <c r="F1634" s="290">
        <v>0</v>
      </c>
      <c r="G1634" s="289">
        <v>900</v>
      </c>
      <c r="H1634" s="289">
        <v>0</v>
      </c>
      <c r="I1634" s="289">
        <v>90</v>
      </c>
      <c r="J1634" s="289">
        <v>50</v>
      </c>
      <c r="K1634" s="289">
        <v>5</v>
      </c>
      <c r="L1634" s="289">
        <v>1045</v>
      </c>
    </row>
    <row r="1635" spans="1:12">
      <c r="A1635" s="288" t="s">
        <v>2470</v>
      </c>
      <c r="B1635" s="288" t="s">
        <v>2199</v>
      </c>
      <c r="C1635" s="288" t="s">
        <v>820</v>
      </c>
      <c r="D1635" s="288" t="s">
        <v>818</v>
      </c>
      <c r="E1635" s="289">
        <v>10</v>
      </c>
      <c r="F1635" s="290">
        <v>5</v>
      </c>
      <c r="G1635" s="289">
        <v>900</v>
      </c>
      <c r="H1635" s="289">
        <v>0</v>
      </c>
      <c r="I1635" s="289">
        <v>90</v>
      </c>
      <c r="J1635" s="289">
        <v>70</v>
      </c>
      <c r="K1635" s="289">
        <v>7</v>
      </c>
      <c r="L1635" s="289">
        <v>1067</v>
      </c>
    </row>
    <row r="1636" spans="1:12">
      <c r="A1636" s="288" t="s">
        <v>2471</v>
      </c>
      <c r="B1636" s="288" t="s">
        <v>2199</v>
      </c>
      <c r="C1636" s="288" t="s">
        <v>820</v>
      </c>
      <c r="D1636" s="288" t="s">
        <v>815</v>
      </c>
      <c r="E1636" s="289">
        <v>10</v>
      </c>
      <c r="F1636" s="290">
        <v>0</v>
      </c>
      <c r="G1636" s="289">
        <v>900</v>
      </c>
      <c r="H1636" s="289">
        <v>0</v>
      </c>
      <c r="I1636" s="289">
        <v>90</v>
      </c>
      <c r="J1636" s="289">
        <v>50</v>
      </c>
      <c r="K1636" s="289">
        <v>5</v>
      </c>
      <c r="L1636" s="289">
        <v>1045</v>
      </c>
    </row>
    <row r="1637" spans="1:12">
      <c r="A1637" s="288" t="s">
        <v>2472</v>
      </c>
      <c r="B1637" s="288" t="s">
        <v>2199</v>
      </c>
      <c r="C1637" s="288" t="s">
        <v>820</v>
      </c>
      <c r="D1637" s="288" t="s">
        <v>818</v>
      </c>
      <c r="E1637" s="289">
        <v>10</v>
      </c>
      <c r="F1637" s="290">
        <v>9</v>
      </c>
      <c r="G1637" s="289">
        <v>1100</v>
      </c>
      <c r="H1637" s="289">
        <v>0</v>
      </c>
      <c r="I1637" s="289">
        <v>110</v>
      </c>
      <c r="J1637" s="289">
        <v>70</v>
      </c>
      <c r="K1637" s="289">
        <v>7</v>
      </c>
      <c r="L1637" s="289">
        <v>1287</v>
      </c>
    </row>
    <row r="1638" spans="1:12">
      <c r="A1638" s="288" t="s">
        <v>2473</v>
      </c>
      <c r="B1638" s="288" t="s">
        <v>2199</v>
      </c>
      <c r="C1638" s="288" t="s">
        <v>820</v>
      </c>
      <c r="D1638" s="288" t="s">
        <v>815</v>
      </c>
      <c r="E1638" s="289">
        <v>10</v>
      </c>
      <c r="F1638" s="290">
        <v>0</v>
      </c>
      <c r="G1638" s="289">
        <v>900</v>
      </c>
      <c r="H1638" s="289">
        <v>0</v>
      </c>
      <c r="I1638" s="289">
        <v>90</v>
      </c>
      <c r="J1638" s="289">
        <v>50</v>
      </c>
      <c r="K1638" s="289">
        <v>5</v>
      </c>
      <c r="L1638" s="289">
        <v>1045</v>
      </c>
    </row>
    <row r="1639" spans="1:12">
      <c r="A1639" s="288" t="s">
        <v>2474</v>
      </c>
      <c r="B1639" s="288" t="s">
        <v>2199</v>
      </c>
      <c r="C1639" s="288" t="s">
        <v>820</v>
      </c>
      <c r="D1639" s="288" t="s">
        <v>826</v>
      </c>
      <c r="E1639" s="289">
        <v>10</v>
      </c>
      <c r="F1639" s="290">
        <v>5</v>
      </c>
      <c r="G1639" s="289">
        <v>900</v>
      </c>
      <c r="H1639" s="289">
        <v>0</v>
      </c>
      <c r="I1639" s="289">
        <v>90</v>
      </c>
      <c r="J1639" s="289">
        <v>100</v>
      </c>
      <c r="K1639" s="289">
        <v>10</v>
      </c>
      <c r="L1639" s="289">
        <v>1100</v>
      </c>
    </row>
    <row r="1640" spans="1:12">
      <c r="A1640" s="288" t="s">
        <v>2475</v>
      </c>
      <c r="B1640" s="288" t="s">
        <v>2199</v>
      </c>
      <c r="C1640" s="288" t="s">
        <v>820</v>
      </c>
      <c r="D1640" s="288" t="s">
        <v>815</v>
      </c>
      <c r="E1640" s="289">
        <v>10</v>
      </c>
      <c r="F1640" s="290">
        <v>1</v>
      </c>
      <c r="G1640" s="289">
        <v>900</v>
      </c>
      <c r="H1640" s="289">
        <v>0</v>
      </c>
      <c r="I1640" s="289">
        <v>90</v>
      </c>
      <c r="J1640" s="289">
        <v>50</v>
      </c>
      <c r="K1640" s="289">
        <v>5</v>
      </c>
      <c r="L1640" s="289">
        <v>1045</v>
      </c>
    </row>
    <row r="1641" spans="1:12">
      <c r="A1641" s="288" t="s">
        <v>2476</v>
      </c>
      <c r="B1641" s="288" t="s">
        <v>2199</v>
      </c>
      <c r="C1641" s="288" t="s">
        <v>820</v>
      </c>
      <c r="D1641" s="288" t="s">
        <v>815</v>
      </c>
      <c r="E1641" s="289">
        <v>10</v>
      </c>
      <c r="F1641" s="290">
        <v>0</v>
      </c>
      <c r="G1641" s="289">
        <v>900</v>
      </c>
      <c r="H1641" s="289">
        <v>0</v>
      </c>
      <c r="I1641" s="289">
        <v>90</v>
      </c>
      <c r="J1641" s="289">
        <v>50</v>
      </c>
      <c r="K1641" s="289">
        <v>5</v>
      </c>
      <c r="L1641" s="289">
        <v>1045</v>
      </c>
    </row>
    <row r="1642" spans="1:12">
      <c r="A1642" s="288" t="s">
        <v>2477</v>
      </c>
      <c r="B1642" s="288" t="s">
        <v>2199</v>
      </c>
      <c r="C1642" s="288" t="s">
        <v>820</v>
      </c>
      <c r="D1642" s="288" t="s">
        <v>815</v>
      </c>
      <c r="E1642" s="289">
        <v>10</v>
      </c>
      <c r="F1642" s="290">
        <v>1</v>
      </c>
      <c r="G1642" s="289">
        <v>900</v>
      </c>
      <c r="H1642" s="289">
        <v>0</v>
      </c>
      <c r="I1642" s="289">
        <v>90</v>
      </c>
      <c r="J1642" s="289">
        <v>50</v>
      </c>
      <c r="K1642" s="289">
        <v>5</v>
      </c>
      <c r="L1642" s="289">
        <v>1045</v>
      </c>
    </row>
    <row r="1643" spans="1:12">
      <c r="A1643" s="288" t="s">
        <v>2478</v>
      </c>
      <c r="B1643" s="288" t="s">
        <v>2199</v>
      </c>
      <c r="C1643" s="288" t="s">
        <v>820</v>
      </c>
      <c r="D1643" s="288" t="s">
        <v>815</v>
      </c>
      <c r="E1643" s="289">
        <v>10</v>
      </c>
      <c r="F1643" s="290">
        <v>0</v>
      </c>
      <c r="G1643" s="289">
        <v>900</v>
      </c>
      <c r="H1643" s="289">
        <v>0</v>
      </c>
      <c r="I1643" s="289">
        <v>90</v>
      </c>
      <c r="J1643" s="289">
        <v>50</v>
      </c>
      <c r="K1643" s="289">
        <v>5</v>
      </c>
      <c r="L1643" s="289">
        <v>1045</v>
      </c>
    </row>
    <row r="1644" spans="1:12">
      <c r="A1644" s="288" t="s">
        <v>2479</v>
      </c>
      <c r="B1644" s="288" t="s">
        <v>2199</v>
      </c>
      <c r="C1644" s="288" t="s">
        <v>820</v>
      </c>
      <c r="D1644" s="288" t="s">
        <v>822</v>
      </c>
      <c r="E1644" s="289">
        <v>10</v>
      </c>
      <c r="F1644" s="290">
        <v>43</v>
      </c>
      <c r="G1644" s="289">
        <v>1100</v>
      </c>
      <c r="H1644" s="289">
        <v>3630</v>
      </c>
      <c r="I1644" s="289">
        <v>473</v>
      </c>
      <c r="J1644" s="289">
        <v>200</v>
      </c>
      <c r="K1644" s="289">
        <v>20</v>
      </c>
      <c r="L1644" s="289">
        <v>5423</v>
      </c>
    </row>
    <row r="1645" spans="1:12">
      <c r="A1645" s="288" t="s">
        <v>2480</v>
      </c>
      <c r="B1645" s="288" t="s">
        <v>2199</v>
      </c>
      <c r="C1645" s="288" t="s">
        <v>820</v>
      </c>
      <c r="D1645" s="288" t="s">
        <v>815</v>
      </c>
      <c r="E1645" s="289">
        <v>10</v>
      </c>
      <c r="F1645" s="290">
        <v>8</v>
      </c>
      <c r="G1645" s="289">
        <v>1100</v>
      </c>
      <c r="H1645" s="289">
        <v>0</v>
      </c>
      <c r="I1645" s="289">
        <v>110</v>
      </c>
      <c r="J1645" s="289">
        <v>50</v>
      </c>
      <c r="K1645" s="289">
        <v>5</v>
      </c>
      <c r="L1645" s="289">
        <v>1265</v>
      </c>
    </row>
    <row r="1646" spans="1:12">
      <c r="A1646" s="288" t="s">
        <v>2481</v>
      </c>
      <c r="B1646" s="288" t="s">
        <v>2199</v>
      </c>
      <c r="C1646" s="288" t="s">
        <v>820</v>
      </c>
      <c r="D1646" s="288" t="s">
        <v>815</v>
      </c>
      <c r="E1646" s="289">
        <v>10</v>
      </c>
      <c r="F1646" s="290">
        <v>4</v>
      </c>
      <c r="G1646" s="289">
        <v>900</v>
      </c>
      <c r="H1646" s="289">
        <v>0</v>
      </c>
      <c r="I1646" s="289">
        <v>90</v>
      </c>
      <c r="J1646" s="289">
        <v>50</v>
      </c>
      <c r="K1646" s="289">
        <v>5</v>
      </c>
      <c r="L1646" s="289">
        <v>1045</v>
      </c>
    </row>
    <row r="1647" spans="1:12">
      <c r="A1647" s="288" t="s">
        <v>2482</v>
      </c>
      <c r="B1647" s="288" t="s">
        <v>2199</v>
      </c>
      <c r="C1647" s="288" t="s">
        <v>820</v>
      </c>
      <c r="D1647" s="288" t="s">
        <v>815</v>
      </c>
      <c r="E1647" s="289">
        <v>10</v>
      </c>
      <c r="F1647" s="290">
        <v>24</v>
      </c>
      <c r="G1647" s="289">
        <v>1100</v>
      </c>
      <c r="H1647" s="289">
        <v>1540</v>
      </c>
      <c r="I1647" s="289">
        <v>264</v>
      </c>
      <c r="J1647" s="289">
        <v>50</v>
      </c>
      <c r="K1647" s="289">
        <v>5</v>
      </c>
      <c r="L1647" s="289">
        <v>2959</v>
      </c>
    </row>
    <row r="1648" spans="1:12">
      <c r="A1648" s="288" t="s">
        <v>2483</v>
      </c>
      <c r="B1648" s="288" t="s">
        <v>2199</v>
      </c>
      <c r="C1648" s="288" t="s">
        <v>829</v>
      </c>
      <c r="D1648" s="288" t="s">
        <v>815</v>
      </c>
      <c r="E1648" s="289">
        <v>10</v>
      </c>
      <c r="F1648" s="290">
        <v>1</v>
      </c>
      <c r="G1648" s="289">
        <v>900</v>
      </c>
      <c r="H1648" s="289">
        <v>0</v>
      </c>
      <c r="I1648" s="289">
        <v>90</v>
      </c>
      <c r="J1648" s="289">
        <v>50</v>
      </c>
      <c r="K1648" s="289">
        <v>5</v>
      </c>
      <c r="L1648" s="289">
        <v>1045</v>
      </c>
    </row>
    <row r="1649" spans="1:12">
      <c r="A1649" s="288" t="s">
        <v>2484</v>
      </c>
      <c r="B1649" s="288" t="s">
        <v>2199</v>
      </c>
      <c r="C1649" s="288" t="s">
        <v>820</v>
      </c>
      <c r="D1649" s="288" t="s">
        <v>815</v>
      </c>
      <c r="E1649" s="289">
        <v>10</v>
      </c>
      <c r="F1649" s="290">
        <v>3</v>
      </c>
      <c r="G1649" s="289">
        <v>900</v>
      </c>
      <c r="H1649" s="289">
        <v>0</v>
      </c>
      <c r="I1649" s="289">
        <v>90</v>
      </c>
      <c r="J1649" s="289">
        <v>50</v>
      </c>
      <c r="K1649" s="289">
        <v>5</v>
      </c>
      <c r="L1649" s="289">
        <v>1045</v>
      </c>
    </row>
    <row r="1650" spans="1:12">
      <c r="A1650" s="288" t="s">
        <v>2485</v>
      </c>
      <c r="B1650" s="288" t="s">
        <v>2199</v>
      </c>
      <c r="C1650" s="288" t="s">
        <v>820</v>
      </c>
      <c r="D1650" s="288" t="s">
        <v>815</v>
      </c>
      <c r="E1650" s="289">
        <v>10</v>
      </c>
      <c r="F1650" s="290">
        <v>0</v>
      </c>
      <c r="G1650" s="289">
        <v>900</v>
      </c>
      <c r="H1650" s="289">
        <v>0</v>
      </c>
      <c r="I1650" s="289">
        <v>90</v>
      </c>
      <c r="J1650" s="289">
        <v>50</v>
      </c>
      <c r="K1650" s="289">
        <v>5</v>
      </c>
      <c r="L1650" s="289">
        <v>1045</v>
      </c>
    </row>
    <row r="1651" spans="1:12">
      <c r="A1651" s="288" t="s">
        <v>2486</v>
      </c>
      <c r="B1651" s="288" t="s">
        <v>2199</v>
      </c>
      <c r="C1651" s="288" t="s">
        <v>820</v>
      </c>
      <c r="D1651" s="288" t="s">
        <v>826</v>
      </c>
      <c r="E1651" s="289">
        <v>10</v>
      </c>
      <c r="F1651" s="290">
        <v>25</v>
      </c>
      <c r="G1651" s="289">
        <v>1100</v>
      </c>
      <c r="H1651" s="289">
        <v>1650</v>
      </c>
      <c r="I1651" s="289">
        <v>275</v>
      </c>
      <c r="J1651" s="289">
        <v>100</v>
      </c>
      <c r="K1651" s="289">
        <v>10</v>
      </c>
      <c r="L1651" s="289">
        <v>3135</v>
      </c>
    </row>
    <row r="1652" spans="1:12">
      <c r="A1652" s="288" t="s">
        <v>2487</v>
      </c>
      <c r="B1652" s="288" t="s">
        <v>2199</v>
      </c>
      <c r="C1652" s="288" t="s">
        <v>820</v>
      </c>
      <c r="D1652" s="288" t="s">
        <v>822</v>
      </c>
      <c r="E1652" s="289">
        <v>10</v>
      </c>
      <c r="F1652" s="290">
        <v>139</v>
      </c>
      <c r="G1652" s="289">
        <v>1100</v>
      </c>
      <c r="H1652" s="289">
        <v>13800</v>
      </c>
      <c r="I1652" s="289">
        <v>1490</v>
      </c>
      <c r="J1652" s="289">
        <v>200</v>
      </c>
      <c r="K1652" s="289">
        <v>20</v>
      </c>
      <c r="L1652" s="289">
        <v>16610</v>
      </c>
    </row>
    <row r="1653" spans="1:12">
      <c r="A1653" s="288" t="s">
        <v>2488</v>
      </c>
      <c r="B1653" s="288" t="s">
        <v>2199</v>
      </c>
      <c r="C1653" s="288" t="s">
        <v>820</v>
      </c>
      <c r="D1653" s="288" t="s">
        <v>826</v>
      </c>
      <c r="E1653" s="289">
        <v>10</v>
      </c>
      <c r="F1653" s="290">
        <v>15</v>
      </c>
      <c r="G1653" s="289">
        <v>1100</v>
      </c>
      <c r="H1653" s="289">
        <v>550</v>
      </c>
      <c r="I1653" s="289">
        <v>165</v>
      </c>
      <c r="J1653" s="289">
        <v>100</v>
      </c>
      <c r="K1653" s="289">
        <v>10</v>
      </c>
      <c r="L1653" s="289">
        <v>1925</v>
      </c>
    </row>
    <row r="1654" spans="1:12">
      <c r="A1654" s="288" t="s">
        <v>2489</v>
      </c>
      <c r="B1654" s="288" t="s">
        <v>2199</v>
      </c>
      <c r="C1654" s="288" t="s">
        <v>820</v>
      </c>
      <c r="D1654" s="288" t="s">
        <v>826</v>
      </c>
      <c r="E1654" s="289">
        <v>10</v>
      </c>
      <c r="F1654" s="290">
        <v>1</v>
      </c>
      <c r="G1654" s="289">
        <v>900</v>
      </c>
      <c r="H1654" s="289">
        <v>0</v>
      </c>
      <c r="I1654" s="289">
        <v>90</v>
      </c>
      <c r="J1654" s="289">
        <v>100</v>
      </c>
      <c r="K1654" s="289">
        <v>10</v>
      </c>
      <c r="L1654" s="289">
        <v>1100</v>
      </c>
    </row>
    <row r="1655" spans="1:12">
      <c r="A1655" s="288" t="s">
        <v>2490</v>
      </c>
      <c r="B1655" s="288" t="s">
        <v>2199</v>
      </c>
      <c r="C1655" s="288" t="s">
        <v>820</v>
      </c>
      <c r="D1655" s="288" t="s">
        <v>826</v>
      </c>
      <c r="E1655" s="289">
        <v>10</v>
      </c>
      <c r="F1655" s="290">
        <v>4</v>
      </c>
      <c r="G1655" s="289">
        <v>900</v>
      </c>
      <c r="H1655" s="289">
        <v>0</v>
      </c>
      <c r="I1655" s="289">
        <v>90</v>
      </c>
      <c r="J1655" s="289">
        <v>100</v>
      </c>
      <c r="K1655" s="289">
        <v>10</v>
      </c>
      <c r="L1655" s="289">
        <v>1100</v>
      </c>
    </row>
    <row r="1656" spans="1:12">
      <c r="A1656" s="288" t="s">
        <v>2491</v>
      </c>
      <c r="B1656" s="288" t="s">
        <v>2199</v>
      </c>
      <c r="C1656" s="288" t="s">
        <v>820</v>
      </c>
      <c r="D1656" s="288" t="s">
        <v>826</v>
      </c>
      <c r="E1656" s="289">
        <v>10</v>
      </c>
      <c r="F1656" s="290">
        <v>0</v>
      </c>
      <c r="G1656" s="289">
        <v>900</v>
      </c>
      <c r="H1656" s="289">
        <v>0</v>
      </c>
      <c r="I1656" s="289">
        <v>90</v>
      </c>
      <c r="J1656" s="289">
        <v>100</v>
      </c>
      <c r="K1656" s="289">
        <v>10</v>
      </c>
      <c r="L1656" s="289">
        <v>1100</v>
      </c>
    </row>
    <row r="1657" spans="1:12">
      <c r="A1657" s="288" t="s">
        <v>2492</v>
      </c>
      <c r="B1657" s="288" t="s">
        <v>2199</v>
      </c>
      <c r="C1657" s="288" t="s">
        <v>820</v>
      </c>
      <c r="D1657" s="288" t="s">
        <v>826</v>
      </c>
      <c r="E1657" s="289">
        <v>10</v>
      </c>
      <c r="F1657" s="290">
        <v>12</v>
      </c>
      <c r="G1657" s="289">
        <v>1100</v>
      </c>
      <c r="H1657" s="289">
        <v>220</v>
      </c>
      <c r="I1657" s="289">
        <v>132</v>
      </c>
      <c r="J1657" s="289">
        <v>100</v>
      </c>
      <c r="K1657" s="289">
        <v>10</v>
      </c>
      <c r="L1657" s="289">
        <v>1562</v>
      </c>
    </row>
    <row r="1658" spans="1:12">
      <c r="A1658" s="288" t="s">
        <v>2493</v>
      </c>
      <c r="B1658" s="288" t="s">
        <v>2199</v>
      </c>
      <c r="C1658" s="288" t="s">
        <v>820</v>
      </c>
      <c r="D1658" s="288" t="s">
        <v>822</v>
      </c>
      <c r="E1658" s="289">
        <v>10</v>
      </c>
      <c r="F1658" s="290">
        <v>118</v>
      </c>
      <c r="G1658" s="289">
        <v>1100</v>
      </c>
      <c r="H1658" s="289">
        <v>11700</v>
      </c>
      <c r="I1658" s="289">
        <v>1280</v>
      </c>
      <c r="J1658" s="289">
        <v>200</v>
      </c>
      <c r="K1658" s="289">
        <v>20</v>
      </c>
      <c r="L1658" s="289">
        <v>14300</v>
      </c>
    </row>
    <row r="1659" spans="1:12">
      <c r="A1659" s="288" t="s">
        <v>2494</v>
      </c>
      <c r="B1659" s="288" t="s">
        <v>2199</v>
      </c>
      <c r="C1659" s="288" t="s">
        <v>820</v>
      </c>
      <c r="D1659" s="288" t="s">
        <v>826</v>
      </c>
      <c r="E1659" s="289">
        <v>10</v>
      </c>
      <c r="F1659" s="290">
        <v>18</v>
      </c>
      <c r="G1659" s="289">
        <v>1100</v>
      </c>
      <c r="H1659" s="289">
        <v>880</v>
      </c>
      <c r="I1659" s="289">
        <v>198</v>
      </c>
      <c r="J1659" s="289">
        <v>100</v>
      </c>
      <c r="K1659" s="289">
        <v>10</v>
      </c>
      <c r="L1659" s="289">
        <v>2288</v>
      </c>
    </row>
    <row r="1660" spans="1:12">
      <c r="A1660" s="288" t="s">
        <v>2495</v>
      </c>
      <c r="B1660" s="288" t="s">
        <v>2199</v>
      </c>
      <c r="C1660" s="288" t="s">
        <v>820</v>
      </c>
      <c r="D1660" s="288" t="s">
        <v>826</v>
      </c>
      <c r="E1660" s="289">
        <v>10</v>
      </c>
      <c r="F1660" s="290">
        <v>30</v>
      </c>
      <c r="G1660" s="289">
        <v>1100</v>
      </c>
      <c r="H1660" s="289">
        <v>2200</v>
      </c>
      <c r="I1660" s="289">
        <v>330</v>
      </c>
      <c r="J1660" s="289">
        <v>100</v>
      </c>
      <c r="K1660" s="289">
        <v>10</v>
      </c>
      <c r="L1660" s="289">
        <v>3740</v>
      </c>
    </row>
    <row r="1661" spans="1:12">
      <c r="A1661" s="288" t="s">
        <v>2496</v>
      </c>
      <c r="B1661" s="288" t="s">
        <v>2199</v>
      </c>
      <c r="C1661" s="288" t="s">
        <v>833</v>
      </c>
      <c r="D1661" s="288" t="s">
        <v>2202</v>
      </c>
      <c r="E1661" s="289">
        <v>10</v>
      </c>
      <c r="F1661" s="290">
        <v>4450</v>
      </c>
      <c r="G1661" s="289">
        <v>1100</v>
      </c>
      <c r="H1661" s="289">
        <v>444900</v>
      </c>
      <c r="I1661" s="289">
        <v>44600</v>
      </c>
      <c r="J1661" s="289">
        <v>1000</v>
      </c>
      <c r="K1661" s="289">
        <v>100</v>
      </c>
      <c r="L1661" s="289">
        <v>491700</v>
      </c>
    </row>
    <row r="1662" spans="1:12">
      <c r="A1662" s="288" t="s">
        <v>2497</v>
      </c>
      <c r="B1662" s="288" t="s">
        <v>2199</v>
      </c>
      <c r="C1662" s="288" t="s">
        <v>833</v>
      </c>
      <c r="D1662" s="288" t="s">
        <v>822</v>
      </c>
      <c r="E1662" s="289">
        <v>10</v>
      </c>
      <c r="F1662" s="290">
        <v>48</v>
      </c>
      <c r="G1662" s="289">
        <v>1100</v>
      </c>
      <c r="H1662" s="289">
        <v>4180</v>
      </c>
      <c r="I1662" s="289">
        <v>528</v>
      </c>
      <c r="J1662" s="289">
        <v>200</v>
      </c>
      <c r="K1662" s="289">
        <v>20</v>
      </c>
      <c r="L1662" s="289">
        <v>6028</v>
      </c>
    </row>
    <row r="1663" spans="1:12">
      <c r="A1663" s="288" t="s">
        <v>2498</v>
      </c>
      <c r="B1663" s="288" t="s">
        <v>2199</v>
      </c>
      <c r="C1663" s="288" t="s">
        <v>820</v>
      </c>
      <c r="D1663" s="288" t="s">
        <v>837</v>
      </c>
      <c r="E1663" s="289">
        <v>10</v>
      </c>
      <c r="F1663" s="290">
        <v>5</v>
      </c>
      <c r="G1663" s="289">
        <v>900</v>
      </c>
      <c r="H1663" s="289">
        <v>0</v>
      </c>
      <c r="I1663" s="289">
        <v>90</v>
      </c>
      <c r="J1663" s="289">
        <v>800</v>
      </c>
      <c r="K1663" s="289">
        <v>80</v>
      </c>
      <c r="L1663" s="289">
        <v>1870</v>
      </c>
    </row>
    <row r="1664" spans="1:12">
      <c r="A1664" s="288" t="s">
        <v>2499</v>
      </c>
      <c r="B1664" s="288" t="s">
        <v>2199</v>
      </c>
      <c r="C1664" s="288" t="s">
        <v>820</v>
      </c>
      <c r="D1664" s="288" t="s">
        <v>826</v>
      </c>
      <c r="E1664" s="289">
        <v>10</v>
      </c>
      <c r="F1664" s="290">
        <v>3</v>
      </c>
      <c r="G1664" s="289">
        <v>900</v>
      </c>
      <c r="H1664" s="289">
        <v>0</v>
      </c>
      <c r="I1664" s="289">
        <v>90</v>
      </c>
      <c r="J1664" s="289">
        <v>100</v>
      </c>
      <c r="K1664" s="289">
        <v>10</v>
      </c>
      <c r="L1664" s="289">
        <v>1100</v>
      </c>
    </row>
    <row r="1665" spans="1:12">
      <c r="A1665" s="288" t="s">
        <v>2500</v>
      </c>
      <c r="B1665" s="288" t="s">
        <v>2199</v>
      </c>
      <c r="C1665" s="288" t="s">
        <v>820</v>
      </c>
      <c r="D1665" s="288" t="s">
        <v>818</v>
      </c>
      <c r="E1665" s="289">
        <v>10</v>
      </c>
      <c r="F1665" s="290">
        <v>1</v>
      </c>
      <c r="G1665" s="289">
        <v>900</v>
      </c>
      <c r="H1665" s="289">
        <v>0</v>
      </c>
      <c r="I1665" s="289">
        <v>90</v>
      </c>
      <c r="J1665" s="289">
        <v>70</v>
      </c>
      <c r="K1665" s="289">
        <v>7</v>
      </c>
      <c r="L1665" s="289">
        <v>1067</v>
      </c>
    </row>
    <row r="1666" spans="1:12">
      <c r="A1666" s="288" t="s">
        <v>2501</v>
      </c>
      <c r="B1666" s="288" t="s">
        <v>2199</v>
      </c>
      <c r="C1666" s="288" t="s">
        <v>820</v>
      </c>
      <c r="D1666" s="288" t="s">
        <v>818</v>
      </c>
      <c r="E1666" s="289">
        <v>10</v>
      </c>
      <c r="F1666" s="290">
        <v>3</v>
      </c>
      <c r="G1666" s="289">
        <v>900</v>
      </c>
      <c r="H1666" s="289">
        <v>0</v>
      </c>
      <c r="I1666" s="289">
        <v>90</v>
      </c>
      <c r="J1666" s="289">
        <v>70</v>
      </c>
      <c r="K1666" s="289">
        <v>7</v>
      </c>
      <c r="L1666" s="289">
        <v>1067</v>
      </c>
    </row>
    <row r="1667" spans="1:12">
      <c r="A1667" s="288" t="s">
        <v>2502</v>
      </c>
      <c r="B1667" s="288" t="s">
        <v>2199</v>
      </c>
      <c r="C1667" s="288" t="s">
        <v>820</v>
      </c>
      <c r="D1667" s="288" t="s">
        <v>818</v>
      </c>
      <c r="E1667" s="289">
        <v>10</v>
      </c>
      <c r="F1667" s="290">
        <v>1</v>
      </c>
      <c r="G1667" s="289">
        <v>900</v>
      </c>
      <c r="H1667" s="289">
        <v>0</v>
      </c>
      <c r="I1667" s="289">
        <v>90</v>
      </c>
      <c r="J1667" s="289">
        <v>70</v>
      </c>
      <c r="K1667" s="289">
        <v>7</v>
      </c>
      <c r="L1667" s="289">
        <v>1067</v>
      </c>
    </row>
    <row r="1668" spans="1:12">
      <c r="A1668" s="288" t="s">
        <v>2503</v>
      </c>
      <c r="B1668" s="288" t="s">
        <v>2199</v>
      </c>
      <c r="C1668" s="288" t="s">
        <v>820</v>
      </c>
      <c r="D1668" s="288" t="s">
        <v>818</v>
      </c>
      <c r="E1668" s="289">
        <v>10</v>
      </c>
      <c r="F1668" s="290">
        <v>6</v>
      </c>
      <c r="G1668" s="289">
        <v>1100</v>
      </c>
      <c r="H1668" s="289">
        <v>0</v>
      </c>
      <c r="I1668" s="289">
        <v>110</v>
      </c>
      <c r="J1668" s="289">
        <v>70</v>
      </c>
      <c r="K1668" s="289">
        <v>7</v>
      </c>
      <c r="L1668" s="289">
        <v>1287</v>
      </c>
    </row>
    <row r="1669" spans="1:12">
      <c r="A1669" s="288" t="s">
        <v>2504</v>
      </c>
      <c r="B1669" s="288" t="s">
        <v>2199</v>
      </c>
      <c r="C1669" s="288" t="s">
        <v>820</v>
      </c>
      <c r="D1669" s="288" t="s">
        <v>822</v>
      </c>
      <c r="E1669" s="289">
        <v>10</v>
      </c>
      <c r="F1669" s="290">
        <v>129</v>
      </c>
      <c r="G1669" s="289">
        <v>1100</v>
      </c>
      <c r="H1669" s="289">
        <v>12800</v>
      </c>
      <c r="I1669" s="289">
        <v>1390</v>
      </c>
      <c r="J1669" s="289">
        <v>200</v>
      </c>
      <c r="K1669" s="289">
        <v>20</v>
      </c>
      <c r="L1669" s="289">
        <v>15510</v>
      </c>
    </row>
    <row r="1670" spans="1:12">
      <c r="A1670" s="288" t="s">
        <v>2505</v>
      </c>
      <c r="B1670" s="288" t="s">
        <v>2199</v>
      </c>
      <c r="C1670" s="288" t="s">
        <v>820</v>
      </c>
      <c r="D1670" s="288" t="s">
        <v>818</v>
      </c>
      <c r="E1670" s="289">
        <v>10</v>
      </c>
      <c r="F1670" s="290">
        <v>39</v>
      </c>
      <c r="G1670" s="289">
        <v>1100</v>
      </c>
      <c r="H1670" s="289">
        <v>3190</v>
      </c>
      <c r="I1670" s="289">
        <v>429</v>
      </c>
      <c r="J1670" s="289">
        <v>70</v>
      </c>
      <c r="K1670" s="289">
        <v>7</v>
      </c>
      <c r="L1670" s="289">
        <v>4796</v>
      </c>
    </row>
    <row r="1671" spans="1:12">
      <c r="A1671" s="288" t="s">
        <v>2506</v>
      </c>
      <c r="B1671" s="288" t="s">
        <v>2199</v>
      </c>
      <c r="C1671" s="288" t="s">
        <v>820</v>
      </c>
      <c r="D1671" s="288" t="s">
        <v>822</v>
      </c>
      <c r="E1671" s="289">
        <v>10</v>
      </c>
      <c r="F1671" s="290">
        <v>84</v>
      </c>
      <c r="G1671" s="289">
        <v>1100</v>
      </c>
      <c r="H1671" s="289">
        <v>8140</v>
      </c>
      <c r="I1671" s="289">
        <v>924</v>
      </c>
      <c r="J1671" s="289">
        <v>200</v>
      </c>
      <c r="K1671" s="289">
        <v>20</v>
      </c>
      <c r="L1671" s="289">
        <v>10384</v>
      </c>
    </row>
    <row r="1672" spans="1:12">
      <c r="A1672" s="288" t="s">
        <v>2507</v>
      </c>
      <c r="B1672" s="288" t="s">
        <v>2199</v>
      </c>
      <c r="C1672" s="288" t="s">
        <v>820</v>
      </c>
      <c r="D1672" s="288" t="s">
        <v>822</v>
      </c>
      <c r="E1672" s="289">
        <v>10</v>
      </c>
      <c r="F1672" s="290">
        <v>15</v>
      </c>
      <c r="G1672" s="289">
        <v>1100</v>
      </c>
      <c r="H1672" s="289">
        <v>550</v>
      </c>
      <c r="I1672" s="289">
        <v>165</v>
      </c>
      <c r="J1672" s="289">
        <v>200</v>
      </c>
      <c r="K1672" s="289">
        <v>20</v>
      </c>
      <c r="L1672" s="289">
        <v>2035</v>
      </c>
    </row>
    <row r="1673" spans="1:12">
      <c r="A1673" s="288" t="s">
        <v>2508</v>
      </c>
      <c r="B1673" s="288" t="s">
        <v>2199</v>
      </c>
      <c r="C1673" s="288" t="s">
        <v>820</v>
      </c>
      <c r="D1673" s="288" t="s">
        <v>818</v>
      </c>
      <c r="E1673" s="289">
        <v>10</v>
      </c>
      <c r="F1673" s="290">
        <v>2</v>
      </c>
      <c r="G1673" s="289">
        <v>900</v>
      </c>
      <c r="H1673" s="289">
        <v>0</v>
      </c>
      <c r="I1673" s="289">
        <v>90</v>
      </c>
      <c r="J1673" s="289">
        <v>70</v>
      </c>
      <c r="K1673" s="289">
        <v>7</v>
      </c>
      <c r="L1673" s="289">
        <v>1067</v>
      </c>
    </row>
    <row r="1674" spans="1:12">
      <c r="A1674" s="288" t="s">
        <v>2509</v>
      </c>
      <c r="B1674" s="288" t="s">
        <v>2199</v>
      </c>
      <c r="C1674" s="288" t="s">
        <v>820</v>
      </c>
      <c r="D1674" s="288" t="s">
        <v>826</v>
      </c>
      <c r="E1674" s="289">
        <v>10</v>
      </c>
      <c r="F1674" s="290">
        <v>8</v>
      </c>
      <c r="G1674" s="289">
        <v>1100</v>
      </c>
      <c r="H1674" s="289">
        <v>0</v>
      </c>
      <c r="I1674" s="289">
        <v>110</v>
      </c>
      <c r="J1674" s="289">
        <v>100</v>
      </c>
      <c r="K1674" s="289">
        <v>10</v>
      </c>
      <c r="L1674" s="289">
        <v>1320</v>
      </c>
    </row>
    <row r="1675" spans="1:12">
      <c r="A1675" s="288" t="s">
        <v>2510</v>
      </c>
      <c r="B1675" s="288" t="s">
        <v>2199</v>
      </c>
      <c r="C1675" s="288" t="s">
        <v>820</v>
      </c>
      <c r="D1675" s="288" t="s">
        <v>818</v>
      </c>
      <c r="E1675" s="289">
        <v>10</v>
      </c>
      <c r="F1675" s="290">
        <v>6</v>
      </c>
      <c r="G1675" s="289">
        <v>1100</v>
      </c>
      <c r="H1675" s="289">
        <v>0</v>
      </c>
      <c r="I1675" s="289">
        <v>110</v>
      </c>
      <c r="J1675" s="289">
        <v>70</v>
      </c>
      <c r="K1675" s="289">
        <v>7</v>
      </c>
      <c r="L1675" s="289">
        <v>1287</v>
      </c>
    </row>
    <row r="1676" spans="1:12">
      <c r="A1676" s="288" t="s">
        <v>2511</v>
      </c>
      <c r="B1676" s="288" t="s">
        <v>2199</v>
      </c>
      <c r="C1676" s="288" t="s">
        <v>820</v>
      </c>
      <c r="D1676" s="288" t="s">
        <v>822</v>
      </c>
      <c r="E1676" s="289">
        <v>10</v>
      </c>
      <c r="F1676" s="290">
        <v>6</v>
      </c>
      <c r="G1676" s="289">
        <v>1100</v>
      </c>
      <c r="H1676" s="289">
        <v>0</v>
      </c>
      <c r="I1676" s="289">
        <v>110</v>
      </c>
      <c r="J1676" s="289">
        <v>200</v>
      </c>
      <c r="K1676" s="289">
        <v>20</v>
      </c>
      <c r="L1676" s="289">
        <v>1430</v>
      </c>
    </row>
    <row r="1677" spans="1:12">
      <c r="A1677" s="288" t="s">
        <v>2512</v>
      </c>
      <c r="B1677" s="288" t="s">
        <v>2199</v>
      </c>
      <c r="C1677" s="288" t="s">
        <v>820</v>
      </c>
      <c r="D1677" s="288" t="s">
        <v>826</v>
      </c>
      <c r="E1677" s="289">
        <v>10</v>
      </c>
      <c r="F1677" s="290">
        <v>31</v>
      </c>
      <c r="G1677" s="289">
        <v>1100</v>
      </c>
      <c r="H1677" s="289">
        <v>2310</v>
      </c>
      <c r="I1677" s="289">
        <v>341</v>
      </c>
      <c r="J1677" s="289">
        <v>100</v>
      </c>
      <c r="K1677" s="289">
        <v>10</v>
      </c>
      <c r="L1677" s="289">
        <v>3861</v>
      </c>
    </row>
    <row r="1678" spans="1:12">
      <c r="A1678" s="288" t="s">
        <v>2513</v>
      </c>
      <c r="B1678" s="288" t="s">
        <v>2199</v>
      </c>
      <c r="C1678" s="288" t="s">
        <v>820</v>
      </c>
      <c r="D1678" s="288" t="s">
        <v>818</v>
      </c>
      <c r="E1678" s="289">
        <v>10</v>
      </c>
      <c r="F1678" s="290">
        <v>1</v>
      </c>
      <c r="G1678" s="289">
        <v>900</v>
      </c>
      <c r="H1678" s="289">
        <v>0</v>
      </c>
      <c r="I1678" s="289">
        <v>90</v>
      </c>
      <c r="J1678" s="289">
        <v>70</v>
      </c>
      <c r="K1678" s="289">
        <v>7</v>
      </c>
      <c r="L1678" s="289">
        <v>1067</v>
      </c>
    </row>
    <row r="1679" spans="1:12">
      <c r="A1679" s="288" t="s">
        <v>2514</v>
      </c>
      <c r="B1679" s="288" t="s">
        <v>2199</v>
      </c>
      <c r="C1679" s="288" t="s">
        <v>820</v>
      </c>
      <c r="D1679" s="288" t="s">
        <v>818</v>
      </c>
      <c r="E1679" s="289">
        <v>10</v>
      </c>
      <c r="F1679" s="290">
        <v>1</v>
      </c>
      <c r="G1679" s="289">
        <v>900</v>
      </c>
      <c r="H1679" s="289">
        <v>0</v>
      </c>
      <c r="I1679" s="289">
        <v>90</v>
      </c>
      <c r="J1679" s="289">
        <v>70</v>
      </c>
      <c r="K1679" s="289">
        <v>7</v>
      </c>
      <c r="L1679" s="289">
        <v>1067</v>
      </c>
    </row>
    <row r="1680" spans="1:12">
      <c r="A1680" s="288" t="s">
        <v>2515</v>
      </c>
      <c r="B1680" s="288" t="s">
        <v>2199</v>
      </c>
      <c r="C1680" s="288" t="s">
        <v>820</v>
      </c>
      <c r="D1680" s="288" t="s">
        <v>818</v>
      </c>
      <c r="E1680" s="289">
        <v>10</v>
      </c>
      <c r="F1680" s="290">
        <v>0</v>
      </c>
      <c r="G1680" s="289">
        <v>900</v>
      </c>
      <c r="H1680" s="289">
        <v>0</v>
      </c>
      <c r="I1680" s="289">
        <v>90</v>
      </c>
      <c r="J1680" s="289">
        <v>70</v>
      </c>
      <c r="K1680" s="289">
        <v>7</v>
      </c>
      <c r="L1680" s="289">
        <v>1067</v>
      </c>
    </row>
    <row r="1681" spans="1:12">
      <c r="A1681" s="288" t="s">
        <v>2516</v>
      </c>
      <c r="B1681" s="288" t="s">
        <v>2199</v>
      </c>
      <c r="C1681" s="288" t="s">
        <v>820</v>
      </c>
      <c r="D1681" s="288" t="s">
        <v>818</v>
      </c>
      <c r="E1681" s="289">
        <v>10</v>
      </c>
      <c r="F1681" s="290">
        <v>1</v>
      </c>
      <c r="G1681" s="289">
        <v>900</v>
      </c>
      <c r="H1681" s="289">
        <v>0</v>
      </c>
      <c r="I1681" s="289">
        <v>90</v>
      </c>
      <c r="J1681" s="289">
        <v>70</v>
      </c>
      <c r="K1681" s="289">
        <v>7</v>
      </c>
      <c r="L1681" s="289">
        <v>1067</v>
      </c>
    </row>
    <row r="1682" spans="1:12">
      <c r="A1682" s="288" t="s">
        <v>2517</v>
      </c>
      <c r="B1682" s="288" t="s">
        <v>2199</v>
      </c>
      <c r="C1682" s="288" t="s">
        <v>820</v>
      </c>
      <c r="D1682" s="288" t="s">
        <v>818</v>
      </c>
      <c r="E1682" s="289">
        <v>10</v>
      </c>
      <c r="F1682" s="290">
        <v>42</v>
      </c>
      <c r="G1682" s="289">
        <v>1100</v>
      </c>
      <c r="H1682" s="289">
        <v>3520</v>
      </c>
      <c r="I1682" s="289">
        <v>462</v>
      </c>
      <c r="J1682" s="289">
        <v>70</v>
      </c>
      <c r="K1682" s="289">
        <v>7</v>
      </c>
      <c r="L1682" s="289">
        <v>5159</v>
      </c>
    </row>
    <row r="1683" spans="1:12">
      <c r="A1683" s="288" t="s">
        <v>2518</v>
      </c>
      <c r="B1683" s="288" t="s">
        <v>2199</v>
      </c>
      <c r="C1683" s="288" t="s">
        <v>820</v>
      </c>
      <c r="D1683" s="288" t="s">
        <v>818</v>
      </c>
      <c r="E1683" s="289">
        <v>10</v>
      </c>
      <c r="F1683" s="290">
        <v>3</v>
      </c>
      <c r="G1683" s="289">
        <v>900</v>
      </c>
      <c r="H1683" s="289">
        <v>0</v>
      </c>
      <c r="I1683" s="289">
        <v>90</v>
      </c>
      <c r="J1683" s="289">
        <v>70</v>
      </c>
      <c r="K1683" s="289">
        <v>7</v>
      </c>
      <c r="L1683" s="289">
        <v>1067</v>
      </c>
    </row>
    <row r="1684" spans="1:12">
      <c r="A1684" s="288" t="s">
        <v>2519</v>
      </c>
      <c r="B1684" s="288" t="s">
        <v>2199</v>
      </c>
      <c r="C1684" s="288" t="s">
        <v>820</v>
      </c>
      <c r="D1684" s="288" t="s">
        <v>826</v>
      </c>
      <c r="E1684" s="289">
        <v>10</v>
      </c>
      <c r="F1684" s="290">
        <v>19</v>
      </c>
      <c r="G1684" s="289">
        <v>1100</v>
      </c>
      <c r="H1684" s="289">
        <v>990</v>
      </c>
      <c r="I1684" s="289">
        <v>209</v>
      </c>
      <c r="J1684" s="289">
        <v>100</v>
      </c>
      <c r="K1684" s="289">
        <v>10</v>
      </c>
      <c r="L1684" s="289">
        <v>2409</v>
      </c>
    </row>
    <row r="1685" spans="1:12">
      <c r="A1685" s="288" t="s">
        <v>2520</v>
      </c>
      <c r="B1685" s="288" t="s">
        <v>2199</v>
      </c>
      <c r="C1685" s="288" t="s">
        <v>820</v>
      </c>
      <c r="D1685" s="288" t="s">
        <v>826</v>
      </c>
      <c r="E1685" s="289">
        <v>10</v>
      </c>
      <c r="F1685" s="290">
        <v>44</v>
      </c>
      <c r="G1685" s="289">
        <v>1100</v>
      </c>
      <c r="H1685" s="289">
        <v>3740</v>
      </c>
      <c r="I1685" s="289">
        <v>484</v>
      </c>
      <c r="J1685" s="289">
        <v>100</v>
      </c>
      <c r="K1685" s="289">
        <v>10</v>
      </c>
      <c r="L1685" s="289">
        <v>5434</v>
      </c>
    </row>
    <row r="1686" spans="1:12">
      <c r="A1686" s="288" t="s">
        <v>2521</v>
      </c>
      <c r="B1686" s="288" t="s">
        <v>2199</v>
      </c>
      <c r="C1686" s="288" t="s">
        <v>820</v>
      </c>
      <c r="D1686" s="288" t="s">
        <v>818</v>
      </c>
      <c r="E1686" s="289">
        <v>10</v>
      </c>
      <c r="F1686" s="290">
        <v>3</v>
      </c>
      <c r="G1686" s="289">
        <v>900</v>
      </c>
      <c r="H1686" s="289">
        <v>0</v>
      </c>
      <c r="I1686" s="289">
        <v>90</v>
      </c>
      <c r="J1686" s="289">
        <v>70</v>
      </c>
      <c r="K1686" s="289">
        <v>7</v>
      </c>
      <c r="L1686" s="289">
        <v>1067</v>
      </c>
    </row>
    <row r="1687" spans="1:12">
      <c r="A1687" s="288" t="s">
        <v>2522</v>
      </c>
      <c r="B1687" s="288" t="s">
        <v>2199</v>
      </c>
      <c r="C1687" s="288" t="s">
        <v>829</v>
      </c>
      <c r="D1687" s="288" t="s">
        <v>818</v>
      </c>
      <c r="E1687" s="289">
        <v>10</v>
      </c>
      <c r="F1687" s="290">
        <v>9</v>
      </c>
      <c r="G1687" s="289">
        <v>1100</v>
      </c>
      <c r="H1687" s="289">
        <v>0</v>
      </c>
      <c r="I1687" s="289">
        <v>110</v>
      </c>
      <c r="J1687" s="289">
        <v>70</v>
      </c>
      <c r="K1687" s="289">
        <v>7</v>
      </c>
      <c r="L1687" s="289">
        <v>1287</v>
      </c>
    </row>
    <row r="1688" spans="1:12">
      <c r="A1688" s="288" t="s">
        <v>2523</v>
      </c>
      <c r="B1688" s="288" t="s">
        <v>2199</v>
      </c>
      <c r="C1688" s="288" t="s">
        <v>829</v>
      </c>
      <c r="D1688" s="288" t="s">
        <v>826</v>
      </c>
      <c r="E1688" s="289">
        <v>10</v>
      </c>
      <c r="F1688" s="290">
        <v>17</v>
      </c>
      <c r="G1688" s="289">
        <v>1100</v>
      </c>
      <c r="H1688" s="289">
        <v>770</v>
      </c>
      <c r="I1688" s="289">
        <v>187</v>
      </c>
      <c r="J1688" s="289">
        <v>100</v>
      </c>
      <c r="K1688" s="289">
        <v>10</v>
      </c>
      <c r="L1688" s="289">
        <v>2167</v>
      </c>
    </row>
    <row r="1689" spans="1:12">
      <c r="A1689" s="288" t="s">
        <v>2524</v>
      </c>
      <c r="B1689" s="288" t="s">
        <v>2199</v>
      </c>
      <c r="C1689" s="288" t="s">
        <v>829</v>
      </c>
      <c r="D1689" s="288" t="s">
        <v>837</v>
      </c>
      <c r="E1689" s="289">
        <v>10</v>
      </c>
      <c r="F1689" s="290">
        <v>199</v>
      </c>
      <c r="G1689" s="289">
        <v>1100</v>
      </c>
      <c r="H1689" s="289">
        <v>19800</v>
      </c>
      <c r="I1689" s="289">
        <v>2090</v>
      </c>
      <c r="J1689" s="289">
        <v>800</v>
      </c>
      <c r="K1689" s="289">
        <v>80</v>
      </c>
      <c r="L1689" s="289">
        <v>23870</v>
      </c>
    </row>
    <row r="1690" spans="1:12">
      <c r="A1690" s="288" t="s">
        <v>2525</v>
      </c>
      <c r="B1690" s="288" t="s">
        <v>2199</v>
      </c>
      <c r="C1690" s="288" t="s">
        <v>829</v>
      </c>
      <c r="D1690" s="288" t="s">
        <v>837</v>
      </c>
      <c r="E1690" s="289">
        <v>10</v>
      </c>
      <c r="F1690" s="290">
        <v>480</v>
      </c>
      <c r="G1690" s="289">
        <v>1100</v>
      </c>
      <c r="H1690" s="289">
        <v>47900</v>
      </c>
      <c r="I1690" s="289">
        <v>4900</v>
      </c>
      <c r="J1690" s="289">
        <v>800</v>
      </c>
      <c r="K1690" s="289">
        <v>80</v>
      </c>
      <c r="L1690" s="289">
        <v>54780</v>
      </c>
    </row>
    <row r="1691" spans="1:12">
      <c r="A1691" s="288" t="s">
        <v>2526</v>
      </c>
      <c r="B1691" s="288" t="s">
        <v>2199</v>
      </c>
      <c r="C1691" s="288" t="s">
        <v>820</v>
      </c>
      <c r="D1691" s="288" t="s">
        <v>818</v>
      </c>
      <c r="E1691" s="289">
        <v>10</v>
      </c>
      <c r="F1691" s="290">
        <v>1</v>
      </c>
      <c r="G1691" s="289">
        <v>900</v>
      </c>
      <c r="H1691" s="289">
        <v>0</v>
      </c>
      <c r="I1691" s="289">
        <v>90</v>
      </c>
      <c r="J1691" s="289">
        <v>70</v>
      </c>
      <c r="K1691" s="289">
        <v>7</v>
      </c>
      <c r="L1691" s="289">
        <v>1067</v>
      </c>
    </row>
    <row r="1692" spans="1:12">
      <c r="A1692" s="288" t="s">
        <v>2527</v>
      </c>
      <c r="B1692" s="288" t="s">
        <v>2199</v>
      </c>
      <c r="C1692" s="288" t="s">
        <v>820</v>
      </c>
      <c r="D1692" s="288" t="s">
        <v>818</v>
      </c>
      <c r="E1692" s="289">
        <v>10</v>
      </c>
      <c r="F1692" s="290">
        <v>4</v>
      </c>
      <c r="G1692" s="289">
        <v>900</v>
      </c>
      <c r="H1692" s="289">
        <v>0</v>
      </c>
      <c r="I1692" s="289">
        <v>90</v>
      </c>
      <c r="J1692" s="289">
        <v>70</v>
      </c>
      <c r="K1692" s="289">
        <v>7</v>
      </c>
      <c r="L1692" s="289">
        <v>1067</v>
      </c>
    </row>
    <row r="1693" spans="1:12">
      <c r="A1693" s="288" t="s">
        <v>2528</v>
      </c>
      <c r="B1693" s="288" t="s">
        <v>2199</v>
      </c>
      <c r="C1693" s="288" t="s">
        <v>820</v>
      </c>
      <c r="D1693" s="288" t="s">
        <v>818</v>
      </c>
      <c r="E1693" s="289">
        <v>10</v>
      </c>
      <c r="F1693" s="290">
        <v>4</v>
      </c>
      <c r="G1693" s="289">
        <v>900</v>
      </c>
      <c r="H1693" s="289">
        <v>0</v>
      </c>
      <c r="I1693" s="289">
        <v>90</v>
      </c>
      <c r="J1693" s="289">
        <v>70</v>
      </c>
      <c r="K1693" s="289">
        <v>7</v>
      </c>
      <c r="L1693" s="289">
        <v>1067</v>
      </c>
    </row>
    <row r="1694" spans="1:12">
      <c r="A1694" s="288" t="s">
        <v>2529</v>
      </c>
      <c r="B1694" s="288" t="s">
        <v>2199</v>
      </c>
      <c r="C1694" s="288" t="s">
        <v>820</v>
      </c>
      <c r="D1694" s="288" t="s">
        <v>818</v>
      </c>
      <c r="E1694" s="289">
        <v>10</v>
      </c>
      <c r="F1694" s="290">
        <v>2</v>
      </c>
      <c r="G1694" s="289">
        <v>900</v>
      </c>
      <c r="H1694" s="289">
        <v>0</v>
      </c>
      <c r="I1694" s="289">
        <v>90</v>
      </c>
      <c r="J1694" s="289">
        <v>70</v>
      </c>
      <c r="K1694" s="289">
        <v>7</v>
      </c>
      <c r="L1694" s="289">
        <v>1067</v>
      </c>
    </row>
    <row r="1695" spans="1:12">
      <c r="A1695" s="288" t="s">
        <v>2530</v>
      </c>
      <c r="B1695" s="288" t="s">
        <v>2199</v>
      </c>
      <c r="C1695" s="288" t="s">
        <v>820</v>
      </c>
      <c r="D1695" s="288" t="s">
        <v>818</v>
      </c>
      <c r="E1695" s="289">
        <v>10</v>
      </c>
      <c r="F1695" s="290">
        <v>22</v>
      </c>
      <c r="G1695" s="289">
        <v>1100</v>
      </c>
      <c r="H1695" s="289">
        <v>1320</v>
      </c>
      <c r="I1695" s="289">
        <v>242</v>
      </c>
      <c r="J1695" s="289">
        <v>70</v>
      </c>
      <c r="K1695" s="289">
        <v>7</v>
      </c>
      <c r="L1695" s="289">
        <v>2739</v>
      </c>
    </row>
    <row r="1696" spans="1:12">
      <c r="A1696" s="288" t="s">
        <v>2531</v>
      </c>
      <c r="B1696" s="288" t="s">
        <v>2199</v>
      </c>
      <c r="C1696" s="288" t="s">
        <v>1095</v>
      </c>
      <c r="D1696" s="288" t="s">
        <v>818</v>
      </c>
      <c r="E1696" s="289">
        <v>10</v>
      </c>
      <c r="F1696" s="290">
        <v>0</v>
      </c>
      <c r="G1696" s="289">
        <v>900</v>
      </c>
      <c r="H1696" s="289">
        <v>0</v>
      </c>
      <c r="I1696" s="289">
        <v>90</v>
      </c>
      <c r="J1696" s="289">
        <v>70</v>
      </c>
      <c r="K1696" s="289">
        <v>7</v>
      </c>
      <c r="L1696" s="289">
        <v>1067</v>
      </c>
    </row>
    <row r="1697" spans="1:12">
      <c r="A1697" s="288" t="s">
        <v>2532</v>
      </c>
      <c r="B1697" s="288" t="s">
        <v>2199</v>
      </c>
      <c r="C1697" s="288" t="s">
        <v>820</v>
      </c>
      <c r="D1697" s="288" t="s">
        <v>818</v>
      </c>
      <c r="E1697" s="289">
        <v>10</v>
      </c>
      <c r="F1697" s="290">
        <v>2</v>
      </c>
      <c r="G1697" s="289">
        <v>900</v>
      </c>
      <c r="H1697" s="289">
        <v>0</v>
      </c>
      <c r="I1697" s="289">
        <v>90</v>
      </c>
      <c r="J1697" s="289">
        <v>70</v>
      </c>
      <c r="K1697" s="289">
        <v>7</v>
      </c>
      <c r="L1697" s="289">
        <v>1067</v>
      </c>
    </row>
    <row r="1698" spans="1:12">
      <c r="A1698" s="288" t="s">
        <v>2533</v>
      </c>
      <c r="B1698" s="288" t="s">
        <v>2199</v>
      </c>
      <c r="C1698" s="288" t="s">
        <v>820</v>
      </c>
      <c r="D1698" s="288" t="s">
        <v>818</v>
      </c>
      <c r="E1698" s="289">
        <v>10</v>
      </c>
      <c r="F1698" s="290">
        <v>3</v>
      </c>
      <c r="G1698" s="289">
        <v>900</v>
      </c>
      <c r="H1698" s="289">
        <v>0</v>
      </c>
      <c r="I1698" s="289">
        <v>90</v>
      </c>
      <c r="J1698" s="289">
        <v>70</v>
      </c>
      <c r="K1698" s="289">
        <v>7</v>
      </c>
      <c r="L1698" s="289">
        <v>1067</v>
      </c>
    </row>
    <row r="1699" spans="1:12">
      <c r="A1699" s="288" t="s">
        <v>2534</v>
      </c>
      <c r="B1699" s="288" t="s">
        <v>2199</v>
      </c>
      <c r="C1699" s="288" t="s">
        <v>820</v>
      </c>
      <c r="D1699" s="288" t="s">
        <v>826</v>
      </c>
      <c r="E1699" s="289">
        <v>10</v>
      </c>
      <c r="F1699" s="290">
        <v>5</v>
      </c>
      <c r="G1699" s="289">
        <v>900</v>
      </c>
      <c r="H1699" s="289">
        <v>0</v>
      </c>
      <c r="I1699" s="289">
        <v>90</v>
      </c>
      <c r="J1699" s="289">
        <v>100</v>
      </c>
      <c r="K1699" s="289">
        <v>10</v>
      </c>
      <c r="L1699" s="289">
        <v>1100</v>
      </c>
    </row>
    <row r="1700" spans="1:12">
      <c r="A1700" s="288" t="s">
        <v>2535</v>
      </c>
      <c r="B1700" s="288" t="s">
        <v>2199</v>
      </c>
      <c r="C1700" s="288" t="s">
        <v>820</v>
      </c>
      <c r="D1700" s="288" t="s">
        <v>818</v>
      </c>
      <c r="E1700" s="289">
        <v>10</v>
      </c>
      <c r="F1700" s="290">
        <v>7</v>
      </c>
      <c r="G1700" s="289">
        <v>1100</v>
      </c>
      <c r="H1700" s="289">
        <v>0</v>
      </c>
      <c r="I1700" s="289">
        <v>110</v>
      </c>
      <c r="J1700" s="289">
        <v>70</v>
      </c>
      <c r="K1700" s="289">
        <v>7</v>
      </c>
      <c r="L1700" s="289">
        <v>1287</v>
      </c>
    </row>
    <row r="1701" spans="1:12">
      <c r="A1701" s="288" t="s">
        <v>2536</v>
      </c>
      <c r="B1701" s="288" t="s">
        <v>2199</v>
      </c>
      <c r="C1701" s="288" t="s">
        <v>820</v>
      </c>
      <c r="D1701" s="288" t="s">
        <v>815</v>
      </c>
      <c r="E1701" s="289">
        <v>10</v>
      </c>
      <c r="F1701" s="290">
        <v>0</v>
      </c>
      <c r="G1701" s="289">
        <v>900</v>
      </c>
      <c r="H1701" s="289">
        <v>0</v>
      </c>
      <c r="I1701" s="289">
        <v>90</v>
      </c>
      <c r="J1701" s="289">
        <v>50</v>
      </c>
      <c r="K1701" s="289">
        <v>5</v>
      </c>
      <c r="L1701" s="289">
        <v>1045</v>
      </c>
    </row>
    <row r="1702" spans="1:12">
      <c r="A1702" s="288" t="s">
        <v>2537</v>
      </c>
      <c r="B1702" s="288" t="s">
        <v>2199</v>
      </c>
      <c r="C1702" s="288" t="s">
        <v>829</v>
      </c>
      <c r="D1702" s="288" t="s">
        <v>818</v>
      </c>
      <c r="E1702" s="289">
        <v>10</v>
      </c>
      <c r="F1702" s="290">
        <v>10</v>
      </c>
      <c r="G1702" s="289">
        <v>1100</v>
      </c>
      <c r="H1702" s="289">
        <v>0</v>
      </c>
      <c r="I1702" s="289">
        <v>110</v>
      </c>
      <c r="J1702" s="289">
        <v>70</v>
      </c>
      <c r="K1702" s="289">
        <v>7</v>
      </c>
      <c r="L1702" s="289">
        <v>1287</v>
      </c>
    </row>
    <row r="1703" spans="1:12">
      <c r="A1703" s="288" t="s">
        <v>2538</v>
      </c>
      <c r="B1703" s="288" t="s">
        <v>2199</v>
      </c>
      <c r="C1703" s="288" t="s">
        <v>820</v>
      </c>
      <c r="D1703" s="288" t="s">
        <v>822</v>
      </c>
      <c r="E1703" s="289">
        <v>10</v>
      </c>
      <c r="F1703" s="290">
        <v>37</v>
      </c>
      <c r="G1703" s="289">
        <v>1100</v>
      </c>
      <c r="H1703" s="289">
        <v>2970</v>
      </c>
      <c r="I1703" s="289">
        <v>407</v>
      </c>
      <c r="J1703" s="289">
        <v>200</v>
      </c>
      <c r="K1703" s="289">
        <v>20</v>
      </c>
      <c r="L1703" s="289">
        <v>4697</v>
      </c>
    </row>
    <row r="1704" spans="1:12">
      <c r="A1704" s="288" t="s">
        <v>2539</v>
      </c>
      <c r="B1704" s="288" t="s">
        <v>2199</v>
      </c>
      <c r="C1704" s="288" t="s">
        <v>820</v>
      </c>
      <c r="D1704" s="288" t="s">
        <v>818</v>
      </c>
      <c r="E1704" s="289">
        <v>10</v>
      </c>
      <c r="F1704" s="290">
        <v>4</v>
      </c>
      <c r="G1704" s="289">
        <v>900</v>
      </c>
      <c r="H1704" s="289">
        <v>0</v>
      </c>
      <c r="I1704" s="289">
        <v>90</v>
      </c>
      <c r="J1704" s="289">
        <v>70</v>
      </c>
      <c r="K1704" s="289">
        <v>7</v>
      </c>
      <c r="L1704" s="289">
        <v>1067</v>
      </c>
    </row>
    <row r="1705" spans="1:12">
      <c r="A1705" s="288" t="s">
        <v>2540</v>
      </c>
      <c r="B1705" s="288" t="s">
        <v>2199</v>
      </c>
      <c r="C1705" s="288" t="s">
        <v>820</v>
      </c>
      <c r="D1705" s="288" t="s">
        <v>818</v>
      </c>
      <c r="E1705" s="289">
        <v>10</v>
      </c>
      <c r="F1705" s="290">
        <v>7</v>
      </c>
      <c r="G1705" s="289">
        <v>1100</v>
      </c>
      <c r="H1705" s="289">
        <v>0</v>
      </c>
      <c r="I1705" s="289">
        <v>110</v>
      </c>
      <c r="J1705" s="289">
        <v>70</v>
      </c>
      <c r="K1705" s="289">
        <v>7</v>
      </c>
      <c r="L1705" s="289">
        <v>1287</v>
      </c>
    </row>
    <row r="1706" spans="1:12">
      <c r="A1706" s="288" t="s">
        <v>2541</v>
      </c>
      <c r="B1706" s="288" t="s">
        <v>2199</v>
      </c>
      <c r="C1706" s="288" t="s">
        <v>820</v>
      </c>
      <c r="D1706" s="288" t="s">
        <v>818</v>
      </c>
      <c r="E1706" s="289">
        <v>10</v>
      </c>
      <c r="F1706" s="290">
        <v>2</v>
      </c>
      <c r="G1706" s="289">
        <v>900</v>
      </c>
      <c r="H1706" s="289">
        <v>0</v>
      </c>
      <c r="I1706" s="289">
        <v>90</v>
      </c>
      <c r="J1706" s="289">
        <v>70</v>
      </c>
      <c r="K1706" s="289">
        <v>7</v>
      </c>
      <c r="L1706" s="289">
        <v>1067</v>
      </c>
    </row>
    <row r="1707" spans="1:12">
      <c r="A1707" s="288" t="s">
        <v>2542</v>
      </c>
      <c r="B1707" s="288" t="s">
        <v>2199</v>
      </c>
      <c r="C1707" s="288" t="s">
        <v>820</v>
      </c>
      <c r="D1707" s="288" t="s">
        <v>818</v>
      </c>
      <c r="E1707" s="289">
        <v>10</v>
      </c>
      <c r="F1707" s="290">
        <v>3</v>
      </c>
      <c r="G1707" s="289">
        <v>900</v>
      </c>
      <c r="H1707" s="289">
        <v>0</v>
      </c>
      <c r="I1707" s="289">
        <v>90</v>
      </c>
      <c r="J1707" s="289">
        <v>70</v>
      </c>
      <c r="K1707" s="289">
        <v>7</v>
      </c>
      <c r="L1707" s="289">
        <v>1067</v>
      </c>
    </row>
    <row r="1708" spans="1:12">
      <c r="A1708" s="288" t="s">
        <v>2543</v>
      </c>
      <c r="B1708" s="288" t="s">
        <v>2199</v>
      </c>
      <c r="C1708" s="288" t="s">
        <v>820</v>
      </c>
      <c r="D1708" s="288" t="s">
        <v>818</v>
      </c>
      <c r="E1708" s="289">
        <v>10</v>
      </c>
      <c r="F1708" s="290">
        <v>5</v>
      </c>
      <c r="G1708" s="289">
        <v>900</v>
      </c>
      <c r="H1708" s="289">
        <v>0</v>
      </c>
      <c r="I1708" s="289">
        <v>90</v>
      </c>
      <c r="J1708" s="289">
        <v>70</v>
      </c>
      <c r="K1708" s="289">
        <v>7</v>
      </c>
      <c r="L1708" s="289">
        <v>1067</v>
      </c>
    </row>
    <row r="1709" spans="1:12">
      <c r="A1709" s="288" t="s">
        <v>2544</v>
      </c>
      <c r="B1709" s="288" t="s">
        <v>2199</v>
      </c>
      <c r="C1709" s="288" t="s">
        <v>820</v>
      </c>
      <c r="D1709" s="288" t="s">
        <v>822</v>
      </c>
      <c r="E1709" s="289">
        <v>10</v>
      </c>
      <c r="F1709" s="290">
        <v>569</v>
      </c>
      <c r="G1709" s="289">
        <v>1100</v>
      </c>
      <c r="H1709" s="289">
        <v>56800</v>
      </c>
      <c r="I1709" s="289">
        <v>5790</v>
      </c>
      <c r="J1709" s="289">
        <v>200</v>
      </c>
      <c r="K1709" s="289">
        <v>20</v>
      </c>
      <c r="L1709" s="289">
        <v>63910</v>
      </c>
    </row>
    <row r="1710" spans="1:12">
      <c r="A1710" s="288" t="s">
        <v>2545</v>
      </c>
      <c r="B1710" s="288" t="s">
        <v>2199</v>
      </c>
      <c r="C1710" s="288" t="s">
        <v>820</v>
      </c>
      <c r="D1710" s="288" t="s">
        <v>822</v>
      </c>
      <c r="E1710" s="289">
        <v>10</v>
      </c>
      <c r="F1710" s="290">
        <v>161</v>
      </c>
      <c r="G1710" s="289">
        <v>1100</v>
      </c>
      <c r="H1710" s="289">
        <v>16000</v>
      </c>
      <c r="I1710" s="289">
        <v>1710</v>
      </c>
      <c r="J1710" s="289">
        <v>200</v>
      </c>
      <c r="K1710" s="289">
        <v>20</v>
      </c>
      <c r="L1710" s="289">
        <v>19030</v>
      </c>
    </row>
    <row r="1711" spans="1:12">
      <c r="A1711" s="288" t="s">
        <v>2546</v>
      </c>
      <c r="B1711" s="288" t="s">
        <v>2199</v>
      </c>
      <c r="C1711" s="288" t="s">
        <v>820</v>
      </c>
      <c r="D1711" s="288" t="s">
        <v>822</v>
      </c>
      <c r="E1711" s="289">
        <v>10</v>
      </c>
      <c r="F1711" s="290">
        <v>86</v>
      </c>
      <c r="G1711" s="289">
        <v>1100</v>
      </c>
      <c r="H1711" s="289">
        <v>8360</v>
      </c>
      <c r="I1711" s="289">
        <v>946</v>
      </c>
      <c r="J1711" s="289">
        <v>200</v>
      </c>
      <c r="K1711" s="289">
        <v>20</v>
      </c>
      <c r="L1711" s="289">
        <v>10626</v>
      </c>
    </row>
    <row r="1712" spans="1:12">
      <c r="A1712" s="288" t="s">
        <v>2547</v>
      </c>
      <c r="B1712" s="288" t="s">
        <v>2199</v>
      </c>
      <c r="C1712" s="288" t="s">
        <v>820</v>
      </c>
      <c r="D1712" s="288" t="s">
        <v>818</v>
      </c>
      <c r="E1712" s="289">
        <v>10</v>
      </c>
      <c r="F1712" s="290">
        <v>37</v>
      </c>
      <c r="G1712" s="289">
        <v>1100</v>
      </c>
      <c r="H1712" s="289">
        <v>2970</v>
      </c>
      <c r="I1712" s="289">
        <v>407</v>
      </c>
      <c r="J1712" s="289">
        <v>70</v>
      </c>
      <c r="K1712" s="289">
        <v>7</v>
      </c>
      <c r="L1712" s="289">
        <v>4554</v>
      </c>
    </row>
    <row r="1713" spans="1:12">
      <c r="A1713" s="288" t="s">
        <v>2548</v>
      </c>
      <c r="B1713" s="288" t="s">
        <v>2199</v>
      </c>
      <c r="C1713" s="288" t="s">
        <v>829</v>
      </c>
      <c r="D1713" s="288" t="s">
        <v>818</v>
      </c>
      <c r="E1713" s="289">
        <v>10</v>
      </c>
      <c r="F1713" s="290">
        <v>2</v>
      </c>
      <c r="G1713" s="289">
        <v>900</v>
      </c>
      <c r="H1713" s="289">
        <v>0</v>
      </c>
      <c r="I1713" s="289">
        <v>90</v>
      </c>
      <c r="J1713" s="289">
        <v>70</v>
      </c>
      <c r="K1713" s="289">
        <v>7</v>
      </c>
      <c r="L1713" s="289">
        <v>1067</v>
      </c>
    </row>
    <row r="1714" spans="1:12">
      <c r="A1714" s="288" t="s">
        <v>2549</v>
      </c>
      <c r="B1714" s="288" t="s">
        <v>2199</v>
      </c>
      <c r="C1714" s="288" t="s">
        <v>829</v>
      </c>
      <c r="D1714" s="288" t="s">
        <v>818</v>
      </c>
      <c r="E1714" s="289">
        <v>10</v>
      </c>
      <c r="F1714" s="290">
        <v>1</v>
      </c>
      <c r="G1714" s="289">
        <v>900</v>
      </c>
      <c r="H1714" s="289">
        <v>0</v>
      </c>
      <c r="I1714" s="289">
        <v>90</v>
      </c>
      <c r="J1714" s="289">
        <v>70</v>
      </c>
      <c r="K1714" s="289">
        <v>7</v>
      </c>
      <c r="L1714" s="289">
        <v>1067</v>
      </c>
    </row>
    <row r="1715" spans="1:12">
      <c r="A1715" s="288" t="s">
        <v>2550</v>
      </c>
      <c r="B1715" s="288" t="s">
        <v>2199</v>
      </c>
      <c r="C1715" s="288" t="s">
        <v>829</v>
      </c>
      <c r="D1715" s="288" t="s">
        <v>822</v>
      </c>
      <c r="E1715" s="289">
        <v>10</v>
      </c>
      <c r="F1715" s="290">
        <v>41</v>
      </c>
      <c r="G1715" s="289">
        <v>1100</v>
      </c>
      <c r="H1715" s="289">
        <v>3410</v>
      </c>
      <c r="I1715" s="289">
        <v>451</v>
      </c>
      <c r="J1715" s="289">
        <v>200</v>
      </c>
      <c r="K1715" s="289">
        <v>20</v>
      </c>
      <c r="L1715" s="289">
        <v>5181</v>
      </c>
    </row>
    <row r="1716" spans="1:12">
      <c r="A1716" s="288" t="s">
        <v>2551</v>
      </c>
      <c r="B1716" s="288" t="s">
        <v>2199</v>
      </c>
      <c r="C1716" s="288" t="s">
        <v>829</v>
      </c>
      <c r="D1716" s="288" t="s">
        <v>826</v>
      </c>
      <c r="E1716" s="289">
        <v>10</v>
      </c>
      <c r="F1716" s="290">
        <v>2</v>
      </c>
      <c r="G1716" s="289">
        <v>900</v>
      </c>
      <c r="H1716" s="289">
        <v>0</v>
      </c>
      <c r="I1716" s="289">
        <v>90</v>
      </c>
      <c r="J1716" s="289">
        <v>100</v>
      </c>
      <c r="K1716" s="289">
        <v>10</v>
      </c>
      <c r="L1716" s="289">
        <v>1100</v>
      </c>
    </row>
    <row r="1717" spans="1:12">
      <c r="A1717" s="288" t="s">
        <v>2552</v>
      </c>
      <c r="B1717" s="288" t="s">
        <v>2199</v>
      </c>
      <c r="C1717" s="288" t="s">
        <v>820</v>
      </c>
      <c r="D1717" s="288" t="s">
        <v>818</v>
      </c>
      <c r="E1717" s="289">
        <v>10</v>
      </c>
      <c r="F1717" s="290">
        <v>15</v>
      </c>
      <c r="G1717" s="289">
        <v>1100</v>
      </c>
      <c r="H1717" s="289">
        <v>550</v>
      </c>
      <c r="I1717" s="289">
        <v>165</v>
      </c>
      <c r="J1717" s="289">
        <v>70</v>
      </c>
      <c r="K1717" s="289">
        <v>7</v>
      </c>
      <c r="L1717" s="289">
        <v>1892</v>
      </c>
    </row>
    <row r="1718" spans="1:12">
      <c r="A1718" s="288" t="s">
        <v>2553</v>
      </c>
      <c r="B1718" s="288" t="s">
        <v>2199</v>
      </c>
      <c r="C1718" s="288" t="s">
        <v>820</v>
      </c>
      <c r="D1718" s="288" t="s">
        <v>826</v>
      </c>
      <c r="E1718" s="289">
        <v>10</v>
      </c>
      <c r="F1718" s="290">
        <v>49</v>
      </c>
      <c r="G1718" s="289">
        <v>1100</v>
      </c>
      <c r="H1718" s="289">
        <v>4290</v>
      </c>
      <c r="I1718" s="289">
        <v>539</v>
      </c>
      <c r="J1718" s="289">
        <v>100</v>
      </c>
      <c r="K1718" s="289">
        <v>10</v>
      </c>
      <c r="L1718" s="289">
        <v>6039</v>
      </c>
    </row>
    <row r="1719" spans="1:12">
      <c r="A1719" s="288" t="s">
        <v>2554</v>
      </c>
      <c r="B1719" s="288" t="s">
        <v>2199</v>
      </c>
      <c r="C1719" s="288" t="s">
        <v>820</v>
      </c>
      <c r="D1719" s="288" t="s">
        <v>818</v>
      </c>
      <c r="E1719" s="289">
        <v>10</v>
      </c>
      <c r="F1719" s="290">
        <v>2</v>
      </c>
      <c r="G1719" s="289">
        <v>900</v>
      </c>
      <c r="H1719" s="289">
        <v>0</v>
      </c>
      <c r="I1719" s="289">
        <v>90</v>
      </c>
      <c r="J1719" s="289">
        <v>70</v>
      </c>
      <c r="K1719" s="289">
        <v>7</v>
      </c>
      <c r="L1719" s="289">
        <v>1067</v>
      </c>
    </row>
    <row r="1720" spans="1:12">
      <c r="A1720" s="288" t="s">
        <v>2555</v>
      </c>
      <c r="B1720" s="288" t="s">
        <v>2199</v>
      </c>
      <c r="C1720" s="288" t="s">
        <v>820</v>
      </c>
      <c r="D1720" s="288" t="s">
        <v>818</v>
      </c>
      <c r="E1720" s="289">
        <v>10</v>
      </c>
      <c r="F1720" s="290">
        <v>0</v>
      </c>
      <c r="G1720" s="289">
        <v>900</v>
      </c>
      <c r="H1720" s="289">
        <v>0</v>
      </c>
      <c r="I1720" s="289">
        <v>90</v>
      </c>
      <c r="J1720" s="289">
        <v>70</v>
      </c>
      <c r="K1720" s="289">
        <v>7</v>
      </c>
      <c r="L1720" s="289">
        <v>1067</v>
      </c>
    </row>
    <row r="1721" spans="1:12">
      <c r="A1721" s="288" t="s">
        <v>2556</v>
      </c>
      <c r="B1721" s="288" t="s">
        <v>2199</v>
      </c>
      <c r="C1721" s="288" t="s">
        <v>829</v>
      </c>
      <c r="D1721" s="288" t="s">
        <v>815</v>
      </c>
      <c r="E1721" s="289">
        <v>10</v>
      </c>
      <c r="F1721" s="290">
        <v>3</v>
      </c>
      <c r="G1721" s="289">
        <v>900</v>
      </c>
      <c r="H1721" s="289">
        <v>0</v>
      </c>
      <c r="I1721" s="289">
        <v>90</v>
      </c>
      <c r="J1721" s="289">
        <v>50</v>
      </c>
      <c r="K1721" s="289">
        <v>5</v>
      </c>
      <c r="L1721" s="289">
        <v>1045</v>
      </c>
    </row>
    <row r="1722" spans="1:12">
      <c r="A1722" s="288" t="s">
        <v>2557</v>
      </c>
      <c r="B1722" s="288" t="s">
        <v>2199</v>
      </c>
      <c r="C1722" s="288" t="s">
        <v>820</v>
      </c>
      <c r="D1722" s="288" t="s">
        <v>818</v>
      </c>
      <c r="E1722" s="289">
        <v>10</v>
      </c>
      <c r="F1722" s="290">
        <v>1</v>
      </c>
      <c r="G1722" s="289">
        <v>900</v>
      </c>
      <c r="H1722" s="289">
        <v>0</v>
      </c>
      <c r="I1722" s="289">
        <v>90</v>
      </c>
      <c r="J1722" s="289">
        <v>70</v>
      </c>
      <c r="K1722" s="289">
        <v>7</v>
      </c>
      <c r="L1722" s="289">
        <v>1067</v>
      </c>
    </row>
    <row r="1723" spans="1:12">
      <c r="A1723" s="288" t="s">
        <v>2558</v>
      </c>
      <c r="B1723" s="288" t="s">
        <v>2199</v>
      </c>
      <c r="C1723" s="288" t="s">
        <v>833</v>
      </c>
      <c r="D1723" s="288" t="s">
        <v>818</v>
      </c>
      <c r="E1723" s="289">
        <v>10</v>
      </c>
      <c r="F1723" s="290">
        <v>2</v>
      </c>
      <c r="G1723" s="289">
        <v>900</v>
      </c>
      <c r="H1723" s="289">
        <v>0</v>
      </c>
      <c r="I1723" s="289">
        <v>90</v>
      </c>
      <c r="J1723" s="289">
        <v>70</v>
      </c>
      <c r="K1723" s="289">
        <v>7</v>
      </c>
      <c r="L1723" s="289">
        <v>1067</v>
      </c>
    </row>
    <row r="1724" spans="1:12">
      <c r="A1724" s="288" t="s">
        <v>2559</v>
      </c>
      <c r="B1724" s="288" t="s">
        <v>2199</v>
      </c>
      <c r="C1724" s="288" t="s">
        <v>820</v>
      </c>
      <c r="D1724" s="288" t="s">
        <v>818</v>
      </c>
      <c r="E1724" s="289">
        <v>10</v>
      </c>
      <c r="F1724" s="290">
        <v>1</v>
      </c>
      <c r="G1724" s="289">
        <v>900</v>
      </c>
      <c r="H1724" s="289">
        <v>0</v>
      </c>
      <c r="I1724" s="289">
        <v>90</v>
      </c>
      <c r="J1724" s="289">
        <v>70</v>
      </c>
      <c r="K1724" s="289">
        <v>7</v>
      </c>
      <c r="L1724" s="289">
        <v>1067</v>
      </c>
    </row>
    <row r="1725" spans="1:12">
      <c r="A1725" s="288" t="s">
        <v>2560</v>
      </c>
      <c r="B1725" s="288" t="s">
        <v>2561</v>
      </c>
      <c r="C1725" s="288" t="s">
        <v>829</v>
      </c>
      <c r="D1725" s="288" t="s">
        <v>2202</v>
      </c>
      <c r="E1725" s="289">
        <v>10</v>
      </c>
      <c r="F1725" s="290">
        <v>46</v>
      </c>
      <c r="G1725" s="289">
        <v>1100</v>
      </c>
      <c r="H1725" s="289">
        <v>3960</v>
      </c>
      <c r="I1725" s="289">
        <v>506</v>
      </c>
      <c r="J1725" s="289">
        <v>1000</v>
      </c>
      <c r="K1725" s="289">
        <v>100</v>
      </c>
      <c r="L1725" s="289">
        <v>6666</v>
      </c>
    </row>
    <row r="1726" spans="1:12">
      <c r="A1726" s="288" t="s">
        <v>2562</v>
      </c>
      <c r="B1726" s="288" t="s">
        <v>2199</v>
      </c>
      <c r="C1726" s="288" t="s">
        <v>829</v>
      </c>
      <c r="D1726" s="288" t="s">
        <v>822</v>
      </c>
      <c r="E1726" s="289">
        <v>10</v>
      </c>
      <c r="F1726" s="290">
        <v>0</v>
      </c>
      <c r="G1726" s="289">
        <v>900</v>
      </c>
      <c r="H1726" s="289">
        <v>0</v>
      </c>
      <c r="I1726" s="289">
        <v>90</v>
      </c>
      <c r="J1726" s="289">
        <v>200</v>
      </c>
      <c r="K1726" s="289">
        <v>20</v>
      </c>
      <c r="L1726" s="289">
        <v>1210</v>
      </c>
    </row>
    <row r="1727" spans="1:12">
      <c r="A1727" s="288" t="s">
        <v>2563</v>
      </c>
      <c r="B1727" s="288" t="s">
        <v>2561</v>
      </c>
      <c r="C1727" s="288" t="s">
        <v>814</v>
      </c>
      <c r="D1727" s="288" t="s">
        <v>818</v>
      </c>
      <c r="E1727" s="289">
        <v>10</v>
      </c>
      <c r="F1727" s="290">
        <v>15</v>
      </c>
      <c r="G1727" s="289">
        <v>1100</v>
      </c>
      <c r="H1727" s="289">
        <v>550</v>
      </c>
      <c r="I1727" s="289">
        <v>165</v>
      </c>
      <c r="J1727" s="289">
        <v>70</v>
      </c>
      <c r="K1727" s="289">
        <v>7</v>
      </c>
      <c r="L1727" s="289">
        <v>1892</v>
      </c>
    </row>
    <row r="1728" spans="1:12">
      <c r="A1728" s="288" t="s">
        <v>2564</v>
      </c>
      <c r="B1728" s="288" t="s">
        <v>2561</v>
      </c>
      <c r="C1728" s="288" t="s">
        <v>814</v>
      </c>
      <c r="D1728" s="288" t="s">
        <v>818</v>
      </c>
      <c r="E1728" s="289">
        <v>10</v>
      </c>
      <c r="F1728" s="290">
        <v>1</v>
      </c>
      <c r="G1728" s="289">
        <v>900</v>
      </c>
      <c r="H1728" s="289">
        <v>0</v>
      </c>
      <c r="I1728" s="289">
        <v>90</v>
      </c>
      <c r="J1728" s="289">
        <v>70</v>
      </c>
      <c r="K1728" s="289">
        <v>7</v>
      </c>
      <c r="L1728" s="289">
        <v>1067</v>
      </c>
    </row>
    <row r="1729" spans="1:12">
      <c r="A1729" s="288" t="s">
        <v>2565</v>
      </c>
      <c r="B1729" s="288" t="s">
        <v>2561</v>
      </c>
      <c r="C1729" s="288" t="s">
        <v>814</v>
      </c>
      <c r="D1729" s="288" t="s">
        <v>818</v>
      </c>
      <c r="E1729" s="289">
        <v>10</v>
      </c>
      <c r="F1729" s="290">
        <v>7</v>
      </c>
      <c r="G1729" s="289">
        <v>1100</v>
      </c>
      <c r="H1729" s="289">
        <v>0</v>
      </c>
      <c r="I1729" s="289">
        <v>110</v>
      </c>
      <c r="J1729" s="289">
        <v>70</v>
      </c>
      <c r="K1729" s="289">
        <v>7</v>
      </c>
      <c r="L1729" s="289">
        <v>1287</v>
      </c>
    </row>
    <row r="1730" spans="1:12">
      <c r="A1730" s="288" t="s">
        <v>2566</v>
      </c>
      <c r="B1730" s="288" t="s">
        <v>2561</v>
      </c>
      <c r="C1730" s="288" t="s">
        <v>814</v>
      </c>
      <c r="D1730" s="288" t="s">
        <v>818</v>
      </c>
      <c r="E1730" s="289">
        <v>10</v>
      </c>
      <c r="F1730" s="290">
        <v>4</v>
      </c>
      <c r="G1730" s="289">
        <v>900</v>
      </c>
      <c r="H1730" s="289">
        <v>0</v>
      </c>
      <c r="I1730" s="289">
        <v>90</v>
      </c>
      <c r="J1730" s="289">
        <v>70</v>
      </c>
      <c r="K1730" s="289">
        <v>7</v>
      </c>
      <c r="L1730" s="289">
        <v>1067</v>
      </c>
    </row>
    <row r="1731" spans="1:12">
      <c r="A1731" s="288" t="s">
        <v>2567</v>
      </c>
      <c r="B1731" s="288" t="s">
        <v>2561</v>
      </c>
      <c r="C1731" s="288" t="s">
        <v>820</v>
      </c>
      <c r="D1731" s="288" t="s">
        <v>826</v>
      </c>
      <c r="E1731" s="289">
        <v>10</v>
      </c>
      <c r="F1731" s="290">
        <v>70</v>
      </c>
      <c r="G1731" s="289">
        <v>1100</v>
      </c>
      <c r="H1731" s="289">
        <v>6600</v>
      </c>
      <c r="I1731" s="289">
        <v>770</v>
      </c>
      <c r="J1731" s="289">
        <v>100</v>
      </c>
      <c r="K1731" s="289">
        <v>10</v>
      </c>
      <c r="L1731" s="289">
        <v>8580</v>
      </c>
    </row>
    <row r="1732" spans="1:12">
      <c r="A1732" s="288" t="s">
        <v>2568</v>
      </c>
      <c r="B1732" s="288" t="s">
        <v>2561</v>
      </c>
      <c r="C1732" s="288" t="s">
        <v>814</v>
      </c>
      <c r="D1732" s="288" t="s">
        <v>815</v>
      </c>
      <c r="E1732" s="289">
        <v>10</v>
      </c>
      <c r="F1732" s="290">
        <v>59</v>
      </c>
      <c r="G1732" s="289">
        <v>1100</v>
      </c>
      <c r="H1732" s="289">
        <v>5390</v>
      </c>
      <c r="I1732" s="289">
        <v>649</v>
      </c>
      <c r="J1732" s="289">
        <v>50</v>
      </c>
      <c r="K1732" s="289">
        <v>5</v>
      </c>
      <c r="L1732" s="289">
        <v>7194</v>
      </c>
    </row>
    <row r="1733" spans="1:12">
      <c r="A1733" s="288" t="s">
        <v>2569</v>
      </c>
      <c r="B1733" s="288" t="s">
        <v>2561</v>
      </c>
      <c r="C1733" s="288" t="s">
        <v>814</v>
      </c>
      <c r="D1733" s="288" t="s">
        <v>815</v>
      </c>
      <c r="E1733" s="289">
        <v>10</v>
      </c>
      <c r="F1733" s="290">
        <v>9</v>
      </c>
      <c r="G1733" s="289">
        <v>1100</v>
      </c>
      <c r="H1733" s="289">
        <v>0</v>
      </c>
      <c r="I1733" s="289">
        <v>110</v>
      </c>
      <c r="J1733" s="289">
        <v>50</v>
      </c>
      <c r="K1733" s="289">
        <v>5</v>
      </c>
      <c r="L1733" s="289">
        <v>1265</v>
      </c>
    </row>
    <row r="1734" spans="1:12">
      <c r="A1734" s="288" t="s">
        <v>2570</v>
      </c>
      <c r="B1734" s="288" t="s">
        <v>2561</v>
      </c>
      <c r="C1734" s="288" t="s">
        <v>814</v>
      </c>
      <c r="D1734" s="288" t="s">
        <v>818</v>
      </c>
      <c r="E1734" s="289">
        <v>10</v>
      </c>
      <c r="F1734" s="290">
        <v>12</v>
      </c>
      <c r="G1734" s="289">
        <v>1100</v>
      </c>
      <c r="H1734" s="289">
        <v>220</v>
      </c>
      <c r="I1734" s="289">
        <v>132</v>
      </c>
      <c r="J1734" s="289">
        <v>70</v>
      </c>
      <c r="K1734" s="289">
        <v>7</v>
      </c>
      <c r="L1734" s="289">
        <v>1529</v>
      </c>
    </row>
    <row r="1735" spans="1:12">
      <c r="A1735" s="288" t="s">
        <v>2571</v>
      </c>
      <c r="B1735" s="288" t="s">
        <v>2561</v>
      </c>
      <c r="C1735" s="288" t="s">
        <v>814</v>
      </c>
      <c r="D1735" s="288" t="s">
        <v>818</v>
      </c>
      <c r="E1735" s="289">
        <v>10</v>
      </c>
      <c r="F1735" s="290">
        <v>5</v>
      </c>
      <c r="G1735" s="289">
        <v>900</v>
      </c>
      <c r="H1735" s="289">
        <v>0</v>
      </c>
      <c r="I1735" s="289">
        <v>90</v>
      </c>
      <c r="J1735" s="289">
        <v>70</v>
      </c>
      <c r="K1735" s="289">
        <v>7</v>
      </c>
      <c r="L1735" s="289">
        <v>1067</v>
      </c>
    </row>
    <row r="1736" spans="1:12">
      <c r="A1736" s="288" t="s">
        <v>2572</v>
      </c>
      <c r="B1736" s="288" t="s">
        <v>2561</v>
      </c>
      <c r="C1736" s="288" t="s">
        <v>814</v>
      </c>
      <c r="D1736" s="288" t="s">
        <v>818</v>
      </c>
      <c r="E1736" s="289">
        <v>10</v>
      </c>
      <c r="F1736" s="290">
        <v>0</v>
      </c>
      <c r="G1736" s="289">
        <v>550</v>
      </c>
      <c r="H1736" s="289">
        <v>0</v>
      </c>
      <c r="I1736" s="289">
        <v>55</v>
      </c>
      <c r="J1736" s="289">
        <v>70</v>
      </c>
      <c r="K1736" s="289">
        <v>7</v>
      </c>
      <c r="L1736" s="289">
        <v>682</v>
      </c>
    </row>
    <row r="1737" spans="1:12">
      <c r="A1737" s="288" t="s">
        <v>2573</v>
      </c>
      <c r="B1737" s="288" t="s">
        <v>2561</v>
      </c>
      <c r="C1737" s="288" t="s">
        <v>814</v>
      </c>
      <c r="D1737" s="288" t="s">
        <v>818</v>
      </c>
      <c r="E1737" s="289">
        <v>10</v>
      </c>
      <c r="F1737" s="290">
        <v>10</v>
      </c>
      <c r="G1737" s="289">
        <v>1100</v>
      </c>
      <c r="H1737" s="289">
        <v>0</v>
      </c>
      <c r="I1737" s="289">
        <v>110</v>
      </c>
      <c r="J1737" s="289">
        <v>70</v>
      </c>
      <c r="K1737" s="289">
        <v>7</v>
      </c>
      <c r="L1737" s="289">
        <v>1287</v>
      </c>
    </row>
    <row r="1738" spans="1:12">
      <c r="A1738" s="288" t="s">
        <v>2574</v>
      </c>
      <c r="B1738" s="288" t="s">
        <v>2561</v>
      </c>
      <c r="C1738" s="288" t="s">
        <v>814</v>
      </c>
      <c r="D1738" s="288" t="s">
        <v>818</v>
      </c>
      <c r="E1738" s="289">
        <v>10</v>
      </c>
      <c r="F1738" s="290">
        <v>17</v>
      </c>
      <c r="G1738" s="289">
        <v>1100</v>
      </c>
      <c r="H1738" s="289">
        <v>770</v>
      </c>
      <c r="I1738" s="289">
        <v>187</v>
      </c>
      <c r="J1738" s="289">
        <v>70</v>
      </c>
      <c r="K1738" s="289">
        <v>7</v>
      </c>
      <c r="L1738" s="289">
        <v>2134</v>
      </c>
    </row>
    <row r="1739" spans="1:12">
      <c r="A1739" s="288" t="s">
        <v>2575</v>
      </c>
      <c r="B1739" s="288" t="s">
        <v>2561</v>
      </c>
      <c r="C1739" s="288" t="s">
        <v>814</v>
      </c>
      <c r="D1739" s="288" t="s">
        <v>818</v>
      </c>
      <c r="E1739" s="289">
        <v>10</v>
      </c>
      <c r="F1739" s="290">
        <v>40</v>
      </c>
      <c r="G1739" s="289">
        <v>1100</v>
      </c>
      <c r="H1739" s="289">
        <v>3300</v>
      </c>
      <c r="I1739" s="289">
        <v>440</v>
      </c>
      <c r="J1739" s="289">
        <v>70</v>
      </c>
      <c r="K1739" s="289">
        <v>7</v>
      </c>
      <c r="L1739" s="289">
        <v>4917</v>
      </c>
    </row>
    <row r="1740" spans="1:12">
      <c r="A1740" s="288" t="s">
        <v>2576</v>
      </c>
      <c r="B1740" s="288" t="s">
        <v>2561</v>
      </c>
      <c r="C1740" s="288" t="s">
        <v>814</v>
      </c>
      <c r="D1740" s="288" t="s">
        <v>818</v>
      </c>
      <c r="E1740" s="289">
        <v>10</v>
      </c>
      <c r="F1740" s="290">
        <v>20</v>
      </c>
      <c r="G1740" s="289">
        <v>1100</v>
      </c>
      <c r="H1740" s="289">
        <v>1100</v>
      </c>
      <c r="I1740" s="289">
        <v>220</v>
      </c>
      <c r="J1740" s="289">
        <v>70</v>
      </c>
      <c r="K1740" s="289">
        <v>7</v>
      </c>
      <c r="L1740" s="289">
        <v>2497</v>
      </c>
    </row>
    <row r="1741" spans="1:12">
      <c r="A1741" s="288" t="s">
        <v>2577</v>
      </c>
      <c r="B1741" s="288" t="s">
        <v>2561</v>
      </c>
      <c r="C1741" s="288" t="s">
        <v>814</v>
      </c>
      <c r="D1741" s="288" t="s">
        <v>818</v>
      </c>
      <c r="E1741" s="289">
        <v>10</v>
      </c>
      <c r="F1741" s="290">
        <v>19</v>
      </c>
      <c r="G1741" s="289">
        <v>1100</v>
      </c>
      <c r="H1741" s="289">
        <v>990</v>
      </c>
      <c r="I1741" s="289">
        <v>209</v>
      </c>
      <c r="J1741" s="289">
        <v>70</v>
      </c>
      <c r="K1741" s="289">
        <v>7</v>
      </c>
      <c r="L1741" s="289">
        <v>2376</v>
      </c>
    </row>
    <row r="1742" spans="1:12">
      <c r="A1742" s="288" t="s">
        <v>2578</v>
      </c>
      <c r="B1742" s="288" t="s">
        <v>2561</v>
      </c>
      <c r="C1742" s="288" t="s">
        <v>814</v>
      </c>
      <c r="D1742" s="288" t="s">
        <v>815</v>
      </c>
      <c r="E1742" s="289">
        <v>10</v>
      </c>
      <c r="F1742" s="290">
        <v>16</v>
      </c>
      <c r="G1742" s="289">
        <v>1100</v>
      </c>
      <c r="H1742" s="289">
        <v>660</v>
      </c>
      <c r="I1742" s="289">
        <v>176</v>
      </c>
      <c r="J1742" s="289">
        <v>50</v>
      </c>
      <c r="K1742" s="289">
        <v>5</v>
      </c>
      <c r="L1742" s="289">
        <v>1991</v>
      </c>
    </row>
    <row r="1743" spans="1:12">
      <c r="A1743" s="288" t="s">
        <v>2579</v>
      </c>
      <c r="B1743" s="288" t="s">
        <v>2561</v>
      </c>
      <c r="C1743" s="288" t="s">
        <v>814</v>
      </c>
      <c r="D1743" s="288" t="s">
        <v>818</v>
      </c>
      <c r="E1743" s="289">
        <v>10</v>
      </c>
      <c r="F1743" s="290">
        <v>5</v>
      </c>
      <c r="G1743" s="289">
        <v>900</v>
      </c>
      <c r="H1743" s="289">
        <v>0</v>
      </c>
      <c r="I1743" s="289">
        <v>90</v>
      </c>
      <c r="J1743" s="289">
        <v>70</v>
      </c>
      <c r="K1743" s="289">
        <v>7</v>
      </c>
      <c r="L1743" s="289">
        <v>1067</v>
      </c>
    </row>
    <row r="1744" spans="1:12">
      <c r="A1744" s="288" t="s">
        <v>2580</v>
      </c>
      <c r="B1744" s="288" t="s">
        <v>2561</v>
      </c>
      <c r="C1744" s="288" t="s">
        <v>814</v>
      </c>
      <c r="D1744" s="288" t="s">
        <v>815</v>
      </c>
      <c r="E1744" s="289">
        <v>10</v>
      </c>
      <c r="F1744" s="290">
        <v>14</v>
      </c>
      <c r="G1744" s="289">
        <v>1100</v>
      </c>
      <c r="H1744" s="289">
        <v>440</v>
      </c>
      <c r="I1744" s="289">
        <v>154</v>
      </c>
      <c r="J1744" s="289">
        <v>50</v>
      </c>
      <c r="K1744" s="289">
        <v>5</v>
      </c>
      <c r="L1744" s="289">
        <v>1749</v>
      </c>
    </row>
    <row r="1745" spans="1:12">
      <c r="A1745" s="288" t="s">
        <v>2581</v>
      </c>
      <c r="B1745" s="288" t="s">
        <v>2561</v>
      </c>
      <c r="C1745" s="288" t="s">
        <v>814</v>
      </c>
      <c r="D1745" s="288" t="s">
        <v>815</v>
      </c>
      <c r="E1745" s="289">
        <v>10</v>
      </c>
      <c r="F1745" s="290">
        <v>0</v>
      </c>
      <c r="G1745" s="289">
        <v>900</v>
      </c>
      <c r="H1745" s="289">
        <v>0</v>
      </c>
      <c r="I1745" s="289">
        <v>90</v>
      </c>
      <c r="J1745" s="289">
        <v>50</v>
      </c>
      <c r="K1745" s="289">
        <v>5</v>
      </c>
      <c r="L1745" s="289">
        <v>1045</v>
      </c>
    </row>
    <row r="1746" spans="1:12">
      <c r="A1746" s="288" t="s">
        <v>2582</v>
      </c>
      <c r="B1746" s="288" t="s">
        <v>2561</v>
      </c>
      <c r="C1746" s="288" t="s">
        <v>814</v>
      </c>
      <c r="D1746" s="288" t="s">
        <v>815</v>
      </c>
      <c r="E1746" s="289">
        <v>10</v>
      </c>
      <c r="F1746" s="290">
        <v>7</v>
      </c>
      <c r="G1746" s="289">
        <v>1100</v>
      </c>
      <c r="H1746" s="289">
        <v>0</v>
      </c>
      <c r="I1746" s="289">
        <v>110</v>
      </c>
      <c r="J1746" s="289">
        <v>50</v>
      </c>
      <c r="K1746" s="289">
        <v>5</v>
      </c>
      <c r="L1746" s="289">
        <v>1265</v>
      </c>
    </row>
    <row r="1747" spans="1:12">
      <c r="A1747" s="288" t="s">
        <v>2583</v>
      </c>
      <c r="B1747" s="288" t="s">
        <v>2561</v>
      </c>
      <c r="C1747" s="288" t="s">
        <v>814</v>
      </c>
      <c r="D1747" s="288" t="s">
        <v>818</v>
      </c>
      <c r="E1747" s="289">
        <v>10</v>
      </c>
      <c r="F1747" s="290">
        <v>21</v>
      </c>
      <c r="G1747" s="289">
        <v>1100</v>
      </c>
      <c r="H1747" s="289">
        <v>1210</v>
      </c>
      <c r="I1747" s="289">
        <v>231</v>
      </c>
      <c r="J1747" s="289">
        <v>70</v>
      </c>
      <c r="K1747" s="289">
        <v>7</v>
      </c>
      <c r="L1747" s="289">
        <v>2618</v>
      </c>
    </row>
    <row r="1748" spans="1:12">
      <c r="A1748" s="288" t="s">
        <v>2584</v>
      </c>
      <c r="B1748" s="288" t="s">
        <v>2561</v>
      </c>
      <c r="C1748" s="288" t="s">
        <v>814</v>
      </c>
      <c r="D1748" s="288" t="s">
        <v>818</v>
      </c>
      <c r="E1748" s="289">
        <v>10</v>
      </c>
      <c r="F1748" s="290">
        <v>44</v>
      </c>
      <c r="G1748" s="289">
        <v>1100</v>
      </c>
      <c r="H1748" s="289">
        <v>3740</v>
      </c>
      <c r="I1748" s="289">
        <v>484</v>
      </c>
      <c r="J1748" s="289">
        <v>70</v>
      </c>
      <c r="K1748" s="289">
        <v>7</v>
      </c>
      <c r="L1748" s="289">
        <v>5401</v>
      </c>
    </row>
    <row r="1749" spans="1:12">
      <c r="A1749" s="288" t="s">
        <v>2585</v>
      </c>
      <c r="B1749" s="288" t="s">
        <v>2561</v>
      </c>
      <c r="C1749" s="288" t="s">
        <v>814</v>
      </c>
      <c r="D1749" s="288" t="s">
        <v>815</v>
      </c>
      <c r="E1749" s="289">
        <v>10</v>
      </c>
      <c r="F1749" s="290">
        <v>10</v>
      </c>
      <c r="G1749" s="289">
        <v>1100</v>
      </c>
      <c r="H1749" s="289">
        <v>0</v>
      </c>
      <c r="I1749" s="289">
        <v>110</v>
      </c>
      <c r="J1749" s="289">
        <v>50</v>
      </c>
      <c r="K1749" s="289">
        <v>5</v>
      </c>
      <c r="L1749" s="289">
        <v>1265</v>
      </c>
    </row>
    <row r="1750" spans="1:12">
      <c r="A1750" s="288" t="s">
        <v>2586</v>
      </c>
      <c r="B1750" s="288" t="s">
        <v>2561</v>
      </c>
      <c r="C1750" s="288" t="s">
        <v>814</v>
      </c>
      <c r="D1750" s="288" t="s">
        <v>815</v>
      </c>
      <c r="E1750" s="289">
        <v>10</v>
      </c>
      <c r="F1750" s="290">
        <v>3</v>
      </c>
      <c r="G1750" s="289">
        <v>900</v>
      </c>
      <c r="H1750" s="289">
        <v>0</v>
      </c>
      <c r="I1750" s="289">
        <v>90</v>
      </c>
      <c r="J1750" s="289">
        <v>50</v>
      </c>
      <c r="K1750" s="289">
        <v>5</v>
      </c>
      <c r="L1750" s="289">
        <v>1045</v>
      </c>
    </row>
    <row r="1751" spans="1:12">
      <c r="A1751" s="288" t="s">
        <v>2587</v>
      </c>
      <c r="B1751" s="288" t="s">
        <v>2561</v>
      </c>
      <c r="C1751" s="288" t="s">
        <v>814</v>
      </c>
      <c r="D1751" s="288" t="s">
        <v>818</v>
      </c>
      <c r="E1751" s="289">
        <v>10</v>
      </c>
      <c r="F1751" s="290">
        <v>31</v>
      </c>
      <c r="G1751" s="289">
        <v>1100</v>
      </c>
      <c r="H1751" s="289">
        <v>2310</v>
      </c>
      <c r="I1751" s="289">
        <v>341</v>
      </c>
      <c r="J1751" s="289">
        <v>70</v>
      </c>
      <c r="K1751" s="289">
        <v>7</v>
      </c>
      <c r="L1751" s="289">
        <v>3828</v>
      </c>
    </row>
    <row r="1752" spans="1:12">
      <c r="A1752" s="288" t="s">
        <v>2588</v>
      </c>
      <c r="B1752" s="288" t="s">
        <v>2561</v>
      </c>
      <c r="C1752" s="288" t="s">
        <v>814</v>
      </c>
      <c r="D1752" s="288" t="s">
        <v>815</v>
      </c>
      <c r="E1752" s="289">
        <v>10</v>
      </c>
      <c r="F1752" s="290">
        <v>20</v>
      </c>
      <c r="G1752" s="289">
        <v>1100</v>
      </c>
      <c r="H1752" s="289">
        <v>1100</v>
      </c>
      <c r="I1752" s="289">
        <v>220</v>
      </c>
      <c r="J1752" s="289">
        <v>50</v>
      </c>
      <c r="K1752" s="289">
        <v>5</v>
      </c>
      <c r="L1752" s="289">
        <v>2475</v>
      </c>
    </row>
    <row r="1753" spans="1:12">
      <c r="A1753" s="288" t="s">
        <v>2589</v>
      </c>
      <c r="B1753" s="288" t="s">
        <v>2561</v>
      </c>
      <c r="C1753" s="288" t="s">
        <v>814</v>
      </c>
      <c r="D1753" s="288" t="s">
        <v>818</v>
      </c>
      <c r="E1753" s="289">
        <v>10</v>
      </c>
      <c r="F1753" s="290">
        <v>12</v>
      </c>
      <c r="G1753" s="289">
        <v>1100</v>
      </c>
      <c r="H1753" s="289">
        <v>220</v>
      </c>
      <c r="I1753" s="289">
        <v>132</v>
      </c>
      <c r="J1753" s="289">
        <v>70</v>
      </c>
      <c r="K1753" s="289">
        <v>7</v>
      </c>
      <c r="L1753" s="289">
        <v>1529</v>
      </c>
    </row>
    <row r="1754" spans="1:12">
      <c r="A1754" s="288" t="s">
        <v>2590</v>
      </c>
      <c r="B1754" s="288" t="s">
        <v>2591</v>
      </c>
      <c r="C1754" s="288" t="s">
        <v>814</v>
      </c>
      <c r="D1754" s="288" t="s">
        <v>815</v>
      </c>
      <c r="E1754" s="289">
        <v>10</v>
      </c>
      <c r="F1754" s="290">
        <v>14</v>
      </c>
      <c r="G1754" s="289">
        <v>1100</v>
      </c>
      <c r="H1754" s="289">
        <v>440</v>
      </c>
      <c r="I1754" s="289">
        <v>154</v>
      </c>
      <c r="J1754" s="289">
        <v>50</v>
      </c>
      <c r="K1754" s="289">
        <v>5</v>
      </c>
      <c r="L1754" s="289">
        <v>1749</v>
      </c>
    </row>
    <row r="1755" spans="1:12">
      <c r="A1755" s="288" t="s">
        <v>2592</v>
      </c>
      <c r="B1755" s="288" t="s">
        <v>2591</v>
      </c>
      <c r="C1755" s="288" t="s">
        <v>814</v>
      </c>
      <c r="D1755" s="288" t="s">
        <v>815</v>
      </c>
      <c r="E1755" s="289">
        <v>10</v>
      </c>
      <c r="F1755" s="290">
        <v>18</v>
      </c>
      <c r="G1755" s="289">
        <v>1100</v>
      </c>
      <c r="H1755" s="289">
        <v>880</v>
      </c>
      <c r="I1755" s="289">
        <v>198</v>
      </c>
      <c r="J1755" s="289">
        <v>50</v>
      </c>
      <c r="K1755" s="289">
        <v>5</v>
      </c>
      <c r="L1755" s="289">
        <v>2233</v>
      </c>
    </row>
    <row r="1756" spans="1:12">
      <c r="A1756" s="288" t="s">
        <v>2593</v>
      </c>
      <c r="B1756" s="288" t="s">
        <v>2591</v>
      </c>
      <c r="C1756" s="288" t="s">
        <v>814</v>
      </c>
      <c r="D1756" s="288" t="s">
        <v>818</v>
      </c>
      <c r="E1756" s="289">
        <v>10</v>
      </c>
      <c r="F1756" s="290">
        <v>31</v>
      </c>
      <c r="G1756" s="289">
        <v>1100</v>
      </c>
      <c r="H1756" s="289">
        <v>2310</v>
      </c>
      <c r="I1756" s="289">
        <v>341</v>
      </c>
      <c r="J1756" s="289">
        <v>70</v>
      </c>
      <c r="K1756" s="289">
        <v>7</v>
      </c>
      <c r="L1756" s="289">
        <v>3828</v>
      </c>
    </row>
    <row r="1757" spans="1:12">
      <c r="A1757" s="288" t="s">
        <v>2594</v>
      </c>
      <c r="B1757" s="288" t="s">
        <v>2591</v>
      </c>
      <c r="C1757" s="288" t="s">
        <v>814</v>
      </c>
      <c r="D1757" s="288" t="s">
        <v>815</v>
      </c>
      <c r="E1757" s="289">
        <v>10</v>
      </c>
      <c r="F1757" s="290">
        <v>7</v>
      </c>
      <c r="G1757" s="289">
        <v>1100</v>
      </c>
      <c r="H1757" s="289">
        <v>0</v>
      </c>
      <c r="I1757" s="289">
        <v>110</v>
      </c>
      <c r="J1757" s="289">
        <v>50</v>
      </c>
      <c r="K1757" s="289">
        <v>5</v>
      </c>
      <c r="L1757" s="289">
        <v>1265</v>
      </c>
    </row>
    <row r="1758" spans="1:12">
      <c r="A1758" s="288" t="s">
        <v>2595</v>
      </c>
      <c r="B1758" s="288" t="s">
        <v>2591</v>
      </c>
      <c r="C1758" s="288" t="s">
        <v>814</v>
      </c>
      <c r="D1758" s="288" t="s">
        <v>815</v>
      </c>
      <c r="E1758" s="289">
        <v>10</v>
      </c>
      <c r="F1758" s="290">
        <v>9</v>
      </c>
      <c r="G1758" s="289">
        <v>1100</v>
      </c>
      <c r="H1758" s="289">
        <v>0</v>
      </c>
      <c r="I1758" s="289">
        <v>110</v>
      </c>
      <c r="J1758" s="289">
        <v>50</v>
      </c>
      <c r="K1758" s="289">
        <v>5</v>
      </c>
      <c r="L1758" s="289">
        <v>1265</v>
      </c>
    </row>
    <row r="1759" spans="1:12">
      <c r="A1759" s="288" t="s">
        <v>2596</v>
      </c>
      <c r="B1759" s="288" t="s">
        <v>2591</v>
      </c>
      <c r="C1759" s="288" t="s">
        <v>814</v>
      </c>
      <c r="D1759" s="288" t="s">
        <v>815</v>
      </c>
      <c r="E1759" s="289">
        <v>10</v>
      </c>
      <c r="F1759" s="290">
        <v>13</v>
      </c>
      <c r="G1759" s="289">
        <v>1100</v>
      </c>
      <c r="H1759" s="289">
        <v>330</v>
      </c>
      <c r="I1759" s="289">
        <v>143</v>
      </c>
      <c r="J1759" s="289">
        <v>50</v>
      </c>
      <c r="K1759" s="289">
        <v>5</v>
      </c>
      <c r="L1759" s="289">
        <v>1628</v>
      </c>
    </row>
    <row r="1760" spans="1:12">
      <c r="A1760" s="288" t="s">
        <v>2597</v>
      </c>
      <c r="B1760" s="288" t="s">
        <v>2591</v>
      </c>
      <c r="C1760" s="288" t="s">
        <v>814</v>
      </c>
      <c r="D1760" s="288" t="s">
        <v>815</v>
      </c>
      <c r="E1760" s="289">
        <v>10</v>
      </c>
      <c r="F1760" s="290">
        <v>4</v>
      </c>
      <c r="G1760" s="289">
        <v>900</v>
      </c>
      <c r="H1760" s="289">
        <v>0</v>
      </c>
      <c r="I1760" s="289">
        <v>90</v>
      </c>
      <c r="J1760" s="289">
        <v>50</v>
      </c>
      <c r="K1760" s="289">
        <v>5</v>
      </c>
      <c r="L1760" s="289">
        <v>1045</v>
      </c>
    </row>
    <row r="1761" spans="1:12">
      <c r="A1761" s="288" t="s">
        <v>2598</v>
      </c>
      <c r="B1761" s="288" t="s">
        <v>2591</v>
      </c>
      <c r="C1761" s="288" t="s">
        <v>814</v>
      </c>
      <c r="D1761" s="288" t="s">
        <v>815</v>
      </c>
      <c r="E1761" s="289">
        <v>10</v>
      </c>
      <c r="F1761" s="290">
        <v>32</v>
      </c>
      <c r="G1761" s="289">
        <v>1100</v>
      </c>
      <c r="H1761" s="289">
        <v>2420</v>
      </c>
      <c r="I1761" s="289">
        <v>352</v>
      </c>
      <c r="J1761" s="289">
        <v>50</v>
      </c>
      <c r="K1761" s="289">
        <v>5</v>
      </c>
      <c r="L1761" s="289">
        <v>3927</v>
      </c>
    </row>
    <row r="1762" spans="1:12">
      <c r="A1762" s="288" t="s">
        <v>2599</v>
      </c>
      <c r="B1762" s="288" t="s">
        <v>2591</v>
      </c>
      <c r="C1762" s="288" t="s">
        <v>833</v>
      </c>
      <c r="D1762" s="288" t="s">
        <v>822</v>
      </c>
      <c r="E1762" s="289">
        <v>10</v>
      </c>
      <c r="F1762" s="290">
        <v>591</v>
      </c>
      <c r="G1762" s="289">
        <v>1100</v>
      </c>
      <c r="H1762" s="289">
        <v>59000</v>
      </c>
      <c r="I1762" s="289">
        <v>6010</v>
      </c>
      <c r="J1762" s="289">
        <v>200</v>
      </c>
      <c r="K1762" s="289">
        <v>20</v>
      </c>
      <c r="L1762" s="289">
        <v>66330</v>
      </c>
    </row>
    <row r="1763" spans="1:12">
      <c r="A1763" s="288" t="s">
        <v>2600</v>
      </c>
      <c r="B1763" s="288" t="s">
        <v>2591</v>
      </c>
      <c r="C1763" s="288" t="s">
        <v>829</v>
      </c>
      <c r="D1763" s="288" t="s">
        <v>826</v>
      </c>
      <c r="E1763" s="289">
        <v>10</v>
      </c>
      <c r="F1763" s="290">
        <v>202</v>
      </c>
      <c r="G1763" s="289">
        <v>1100</v>
      </c>
      <c r="H1763" s="289">
        <v>20100</v>
      </c>
      <c r="I1763" s="289">
        <v>2120</v>
      </c>
      <c r="J1763" s="289">
        <v>100</v>
      </c>
      <c r="K1763" s="289">
        <v>10</v>
      </c>
      <c r="L1763" s="289">
        <v>23430</v>
      </c>
    </row>
    <row r="1764" spans="1:12">
      <c r="A1764" s="288" t="s">
        <v>2601</v>
      </c>
      <c r="B1764" s="288" t="s">
        <v>2591</v>
      </c>
      <c r="C1764" s="288" t="s">
        <v>829</v>
      </c>
      <c r="D1764" s="288" t="s">
        <v>818</v>
      </c>
      <c r="E1764" s="289">
        <v>10</v>
      </c>
      <c r="F1764" s="290">
        <v>1</v>
      </c>
      <c r="G1764" s="289">
        <v>900</v>
      </c>
      <c r="H1764" s="289">
        <v>0</v>
      </c>
      <c r="I1764" s="289">
        <v>90</v>
      </c>
      <c r="J1764" s="289">
        <v>70</v>
      </c>
      <c r="K1764" s="289">
        <v>7</v>
      </c>
      <c r="L1764" s="289">
        <v>1067</v>
      </c>
    </row>
    <row r="1765" spans="1:12">
      <c r="A1765" s="288" t="s">
        <v>2602</v>
      </c>
      <c r="B1765" s="288" t="s">
        <v>2591</v>
      </c>
      <c r="C1765" s="288" t="s">
        <v>814</v>
      </c>
      <c r="D1765" s="288" t="s">
        <v>818</v>
      </c>
      <c r="E1765" s="289">
        <v>10</v>
      </c>
      <c r="F1765" s="290">
        <v>40</v>
      </c>
      <c r="G1765" s="289">
        <v>1100</v>
      </c>
      <c r="H1765" s="289">
        <v>3300</v>
      </c>
      <c r="I1765" s="289">
        <v>440</v>
      </c>
      <c r="J1765" s="289">
        <v>70</v>
      </c>
      <c r="K1765" s="289">
        <v>7</v>
      </c>
      <c r="L1765" s="289">
        <v>4917</v>
      </c>
    </row>
    <row r="1766" spans="1:12">
      <c r="A1766" s="288" t="s">
        <v>2603</v>
      </c>
      <c r="B1766" s="288" t="s">
        <v>2591</v>
      </c>
      <c r="C1766" s="288" t="s">
        <v>829</v>
      </c>
      <c r="D1766" s="288" t="s">
        <v>822</v>
      </c>
      <c r="E1766" s="289">
        <v>10</v>
      </c>
      <c r="F1766" s="290">
        <v>116</v>
      </c>
      <c r="G1766" s="289">
        <v>1100</v>
      </c>
      <c r="H1766" s="289">
        <v>11500</v>
      </c>
      <c r="I1766" s="289">
        <v>1260</v>
      </c>
      <c r="J1766" s="289">
        <v>200</v>
      </c>
      <c r="K1766" s="289">
        <v>20</v>
      </c>
      <c r="L1766" s="289">
        <v>14080</v>
      </c>
    </row>
    <row r="1767" spans="1:12">
      <c r="A1767" s="288" t="s">
        <v>2604</v>
      </c>
      <c r="B1767" s="288" t="s">
        <v>2591</v>
      </c>
      <c r="C1767" s="288" t="s">
        <v>829</v>
      </c>
      <c r="D1767" s="288" t="s">
        <v>826</v>
      </c>
      <c r="E1767" s="289">
        <v>10</v>
      </c>
      <c r="F1767" s="290">
        <v>120</v>
      </c>
      <c r="G1767" s="289">
        <v>1100</v>
      </c>
      <c r="H1767" s="289">
        <v>11900</v>
      </c>
      <c r="I1767" s="289">
        <v>1300</v>
      </c>
      <c r="J1767" s="289">
        <v>100</v>
      </c>
      <c r="K1767" s="289">
        <v>10</v>
      </c>
      <c r="L1767" s="289">
        <v>14410</v>
      </c>
    </row>
    <row r="1768" spans="1:12">
      <c r="A1768" s="288" t="s">
        <v>2605</v>
      </c>
      <c r="B1768" s="288" t="s">
        <v>2591</v>
      </c>
      <c r="C1768" s="288" t="s">
        <v>814</v>
      </c>
      <c r="D1768" s="288" t="s">
        <v>815</v>
      </c>
      <c r="E1768" s="289">
        <v>10</v>
      </c>
      <c r="F1768" s="290">
        <v>18</v>
      </c>
      <c r="G1768" s="289">
        <v>1100</v>
      </c>
      <c r="H1768" s="289">
        <v>880</v>
      </c>
      <c r="I1768" s="289">
        <v>198</v>
      </c>
      <c r="J1768" s="289">
        <v>50</v>
      </c>
      <c r="K1768" s="289">
        <v>5</v>
      </c>
      <c r="L1768" s="289">
        <v>2233</v>
      </c>
    </row>
    <row r="1769" spans="1:12">
      <c r="A1769" s="288" t="s">
        <v>2606</v>
      </c>
      <c r="B1769" s="288" t="s">
        <v>2591</v>
      </c>
      <c r="C1769" s="288" t="s">
        <v>814</v>
      </c>
      <c r="D1769" s="288" t="s">
        <v>815</v>
      </c>
      <c r="E1769" s="289">
        <v>10</v>
      </c>
      <c r="F1769" s="290">
        <v>5</v>
      </c>
      <c r="G1769" s="289">
        <v>900</v>
      </c>
      <c r="H1769" s="289">
        <v>0</v>
      </c>
      <c r="I1769" s="289">
        <v>90</v>
      </c>
      <c r="J1769" s="289">
        <v>50</v>
      </c>
      <c r="K1769" s="289">
        <v>5</v>
      </c>
      <c r="L1769" s="289">
        <v>1045</v>
      </c>
    </row>
    <row r="1770" spans="1:12">
      <c r="A1770" s="288" t="s">
        <v>2607</v>
      </c>
      <c r="B1770" s="288" t="s">
        <v>2591</v>
      </c>
      <c r="C1770" s="288" t="s">
        <v>814</v>
      </c>
      <c r="D1770" s="288" t="s">
        <v>815</v>
      </c>
      <c r="E1770" s="289">
        <v>10</v>
      </c>
      <c r="F1770" s="290">
        <v>37</v>
      </c>
      <c r="G1770" s="289">
        <v>1100</v>
      </c>
      <c r="H1770" s="289">
        <v>2970</v>
      </c>
      <c r="I1770" s="289">
        <v>407</v>
      </c>
      <c r="J1770" s="289">
        <v>50</v>
      </c>
      <c r="K1770" s="289">
        <v>5</v>
      </c>
      <c r="L1770" s="289">
        <v>4532</v>
      </c>
    </row>
    <row r="1771" spans="1:12">
      <c r="A1771" s="288" t="s">
        <v>2608</v>
      </c>
      <c r="B1771" s="288" t="s">
        <v>2591</v>
      </c>
      <c r="C1771" s="288" t="s">
        <v>814</v>
      </c>
      <c r="D1771" s="288" t="s">
        <v>815</v>
      </c>
      <c r="E1771" s="289">
        <v>10</v>
      </c>
      <c r="F1771" s="290">
        <v>23</v>
      </c>
      <c r="G1771" s="289">
        <v>1100</v>
      </c>
      <c r="H1771" s="289">
        <v>1430</v>
      </c>
      <c r="I1771" s="289">
        <v>253</v>
      </c>
      <c r="J1771" s="289">
        <v>50</v>
      </c>
      <c r="K1771" s="289">
        <v>5</v>
      </c>
      <c r="L1771" s="289">
        <v>2838</v>
      </c>
    </row>
    <row r="1772" spans="1:12">
      <c r="A1772" s="288" t="s">
        <v>2609</v>
      </c>
      <c r="B1772" s="288" t="s">
        <v>2591</v>
      </c>
      <c r="C1772" s="288" t="s">
        <v>814</v>
      </c>
      <c r="D1772" s="288" t="s">
        <v>818</v>
      </c>
      <c r="E1772" s="289">
        <v>10</v>
      </c>
      <c r="F1772" s="290">
        <v>35</v>
      </c>
      <c r="G1772" s="289">
        <v>1100</v>
      </c>
      <c r="H1772" s="289">
        <v>2750</v>
      </c>
      <c r="I1772" s="289">
        <v>385</v>
      </c>
      <c r="J1772" s="289">
        <v>70</v>
      </c>
      <c r="K1772" s="289">
        <v>7</v>
      </c>
      <c r="L1772" s="289">
        <v>4312</v>
      </c>
    </row>
    <row r="1773" spans="1:12">
      <c r="A1773" s="288" t="s">
        <v>2610</v>
      </c>
      <c r="B1773" s="288" t="s">
        <v>2591</v>
      </c>
      <c r="C1773" s="288" t="s">
        <v>814</v>
      </c>
      <c r="D1773" s="288" t="s">
        <v>815</v>
      </c>
      <c r="E1773" s="289">
        <v>10</v>
      </c>
      <c r="F1773" s="290">
        <v>3</v>
      </c>
      <c r="G1773" s="289">
        <v>900</v>
      </c>
      <c r="H1773" s="289">
        <v>0</v>
      </c>
      <c r="I1773" s="289">
        <v>90</v>
      </c>
      <c r="J1773" s="289">
        <v>50</v>
      </c>
      <c r="K1773" s="289">
        <v>5</v>
      </c>
      <c r="L1773" s="289">
        <v>1045</v>
      </c>
    </row>
    <row r="1774" spans="1:12">
      <c r="A1774" s="288" t="s">
        <v>2611</v>
      </c>
      <c r="B1774" s="288" t="s">
        <v>2591</v>
      </c>
      <c r="C1774" s="288" t="s">
        <v>814</v>
      </c>
      <c r="D1774" s="288" t="s">
        <v>815</v>
      </c>
      <c r="E1774" s="289">
        <v>10</v>
      </c>
      <c r="F1774" s="290">
        <v>8</v>
      </c>
      <c r="G1774" s="289">
        <v>1100</v>
      </c>
      <c r="H1774" s="289">
        <v>0</v>
      </c>
      <c r="I1774" s="289">
        <v>110</v>
      </c>
      <c r="J1774" s="289">
        <v>50</v>
      </c>
      <c r="K1774" s="289">
        <v>5</v>
      </c>
      <c r="L1774" s="289">
        <v>1265</v>
      </c>
    </row>
    <row r="1775" spans="1:12">
      <c r="A1775" s="288" t="s">
        <v>2612</v>
      </c>
      <c r="B1775" s="288" t="s">
        <v>2591</v>
      </c>
      <c r="C1775" s="288" t="s">
        <v>814</v>
      </c>
      <c r="D1775" s="288" t="s">
        <v>815</v>
      </c>
      <c r="E1775" s="289">
        <v>10</v>
      </c>
      <c r="F1775" s="290">
        <v>4</v>
      </c>
      <c r="G1775" s="289">
        <v>900</v>
      </c>
      <c r="H1775" s="289">
        <v>0</v>
      </c>
      <c r="I1775" s="289">
        <v>90</v>
      </c>
      <c r="J1775" s="289">
        <v>50</v>
      </c>
      <c r="K1775" s="289">
        <v>5</v>
      </c>
      <c r="L1775" s="289">
        <v>1045</v>
      </c>
    </row>
    <row r="1776" spans="1:12">
      <c r="A1776" s="288" t="s">
        <v>2613</v>
      </c>
      <c r="B1776" s="288" t="s">
        <v>2591</v>
      </c>
      <c r="C1776" s="288" t="s">
        <v>814</v>
      </c>
      <c r="D1776" s="288" t="s">
        <v>815</v>
      </c>
      <c r="E1776" s="289">
        <v>10</v>
      </c>
      <c r="F1776" s="290">
        <v>11</v>
      </c>
      <c r="G1776" s="289">
        <v>1100</v>
      </c>
      <c r="H1776" s="289">
        <v>110</v>
      </c>
      <c r="I1776" s="289">
        <v>121</v>
      </c>
      <c r="J1776" s="289">
        <v>50</v>
      </c>
      <c r="K1776" s="289">
        <v>5</v>
      </c>
      <c r="L1776" s="289">
        <v>1386</v>
      </c>
    </row>
    <row r="1777" spans="1:12">
      <c r="A1777" s="288" t="s">
        <v>2614</v>
      </c>
      <c r="B1777" s="288" t="s">
        <v>2591</v>
      </c>
      <c r="C1777" s="288" t="s">
        <v>814</v>
      </c>
      <c r="D1777" s="288" t="s">
        <v>818</v>
      </c>
      <c r="E1777" s="289">
        <v>10</v>
      </c>
      <c r="F1777" s="290">
        <v>32</v>
      </c>
      <c r="G1777" s="289">
        <v>1100</v>
      </c>
      <c r="H1777" s="289">
        <v>2420</v>
      </c>
      <c r="I1777" s="289">
        <v>352</v>
      </c>
      <c r="J1777" s="289">
        <v>70</v>
      </c>
      <c r="K1777" s="289">
        <v>7</v>
      </c>
      <c r="L1777" s="289">
        <v>3949</v>
      </c>
    </row>
    <row r="1778" spans="1:12">
      <c r="A1778" s="288" t="s">
        <v>2615</v>
      </c>
      <c r="B1778" s="288" t="s">
        <v>2591</v>
      </c>
      <c r="C1778" s="288" t="s">
        <v>814</v>
      </c>
      <c r="D1778" s="288" t="s">
        <v>815</v>
      </c>
      <c r="E1778" s="289">
        <v>10</v>
      </c>
      <c r="F1778" s="290">
        <v>3</v>
      </c>
      <c r="G1778" s="289">
        <v>900</v>
      </c>
      <c r="H1778" s="289">
        <v>0</v>
      </c>
      <c r="I1778" s="289">
        <v>90</v>
      </c>
      <c r="J1778" s="289">
        <v>50</v>
      </c>
      <c r="K1778" s="289">
        <v>5</v>
      </c>
      <c r="L1778" s="289">
        <v>1045</v>
      </c>
    </row>
    <row r="1779" spans="1:12">
      <c r="A1779" s="288" t="s">
        <v>2616</v>
      </c>
      <c r="B1779" s="288" t="s">
        <v>2591</v>
      </c>
      <c r="C1779" s="288" t="s">
        <v>829</v>
      </c>
      <c r="D1779" s="288" t="s">
        <v>818</v>
      </c>
      <c r="E1779" s="289">
        <v>10</v>
      </c>
      <c r="F1779" s="290">
        <v>76</v>
      </c>
      <c r="G1779" s="289">
        <v>1100</v>
      </c>
      <c r="H1779" s="289">
        <v>7260</v>
      </c>
      <c r="I1779" s="289">
        <v>836</v>
      </c>
      <c r="J1779" s="289">
        <v>70</v>
      </c>
      <c r="K1779" s="289">
        <v>7</v>
      </c>
      <c r="L1779" s="289">
        <v>9273</v>
      </c>
    </row>
    <row r="1780" spans="1:12">
      <c r="A1780" s="288" t="s">
        <v>2617</v>
      </c>
      <c r="B1780" s="288" t="s">
        <v>2591</v>
      </c>
      <c r="C1780" s="288" t="s">
        <v>814</v>
      </c>
      <c r="D1780" s="288" t="s">
        <v>815</v>
      </c>
      <c r="E1780" s="289">
        <v>10</v>
      </c>
      <c r="F1780" s="290">
        <v>9</v>
      </c>
      <c r="G1780" s="289">
        <v>1100</v>
      </c>
      <c r="H1780" s="289">
        <v>0</v>
      </c>
      <c r="I1780" s="289">
        <v>110</v>
      </c>
      <c r="J1780" s="289">
        <v>50</v>
      </c>
      <c r="K1780" s="289">
        <v>5</v>
      </c>
      <c r="L1780" s="289">
        <v>1265</v>
      </c>
    </row>
    <row r="1781" spans="1:12">
      <c r="A1781" s="288" t="s">
        <v>2618</v>
      </c>
      <c r="B1781" s="288" t="s">
        <v>2591</v>
      </c>
      <c r="C1781" s="288" t="s">
        <v>814</v>
      </c>
      <c r="D1781" s="288" t="s">
        <v>815</v>
      </c>
      <c r="E1781" s="289">
        <v>10</v>
      </c>
      <c r="F1781" s="290">
        <v>34</v>
      </c>
      <c r="G1781" s="289">
        <v>1100</v>
      </c>
      <c r="H1781" s="289">
        <v>2640</v>
      </c>
      <c r="I1781" s="289">
        <v>374</v>
      </c>
      <c r="J1781" s="289">
        <v>50</v>
      </c>
      <c r="K1781" s="289">
        <v>5</v>
      </c>
      <c r="L1781" s="289">
        <v>4169</v>
      </c>
    </row>
    <row r="1782" spans="1:12">
      <c r="A1782" s="288" t="s">
        <v>2619</v>
      </c>
      <c r="B1782" s="288" t="s">
        <v>2591</v>
      </c>
      <c r="C1782" s="288" t="s">
        <v>814</v>
      </c>
      <c r="D1782" s="288" t="s">
        <v>818</v>
      </c>
      <c r="E1782" s="289">
        <v>10</v>
      </c>
      <c r="F1782" s="290">
        <v>15</v>
      </c>
      <c r="G1782" s="289">
        <v>1100</v>
      </c>
      <c r="H1782" s="289">
        <v>550</v>
      </c>
      <c r="I1782" s="289">
        <v>165</v>
      </c>
      <c r="J1782" s="289">
        <v>70</v>
      </c>
      <c r="K1782" s="289">
        <v>7</v>
      </c>
      <c r="L1782" s="289">
        <v>1892</v>
      </c>
    </row>
    <row r="1783" spans="1:12">
      <c r="A1783" s="288" t="s">
        <v>2620</v>
      </c>
      <c r="B1783" s="288" t="s">
        <v>2591</v>
      </c>
      <c r="C1783" s="288" t="s">
        <v>814</v>
      </c>
      <c r="D1783" s="288" t="s">
        <v>818</v>
      </c>
      <c r="E1783" s="289">
        <v>10</v>
      </c>
      <c r="F1783" s="290">
        <v>10</v>
      </c>
      <c r="G1783" s="289">
        <v>1100</v>
      </c>
      <c r="H1783" s="289">
        <v>0</v>
      </c>
      <c r="I1783" s="289">
        <v>110</v>
      </c>
      <c r="J1783" s="289">
        <v>70</v>
      </c>
      <c r="K1783" s="289">
        <v>7</v>
      </c>
      <c r="L1783" s="289">
        <v>1287</v>
      </c>
    </row>
    <row r="1784" spans="1:12">
      <c r="A1784" s="288" t="s">
        <v>2621</v>
      </c>
      <c r="B1784" s="288" t="s">
        <v>2591</v>
      </c>
      <c r="C1784" s="288" t="s">
        <v>814</v>
      </c>
      <c r="D1784" s="288" t="s">
        <v>818</v>
      </c>
      <c r="E1784" s="289">
        <v>10</v>
      </c>
      <c r="F1784" s="290">
        <v>7</v>
      </c>
      <c r="G1784" s="289">
        <v>1100</v>
      </c>
      <c r="H1784" s="289">
        <v>0</v>
      </c>
      <c r="I1784" s="289">
        <v>110</v>
      </c>
      <c r="J1784" s="289">
        <v>70</v>
      </c>
      <c r="K1784" s="289">
        <v>7</v>
      </c>
      <c r="L1784" s="289">
        <v>1287</v>
      </c>
    </row>
    <row r="1785" spans="1:12">
      <c r="A1785" s="288" t="s">
        <v>2622</v>
      </c>
      <c r="B1785" s="288" t="s">
        <v>2591</v>
      </c>
      <c r="C1785" s="288" t="s">
        <v>814</v>
      </c>
      <c r="D1785" s="288" t="s">
        <v>818</v>
      </c>
      <c r="E1785" s="289">
        <v>10</v>
      </c>
      <c r="F1785" s="290">
        <v>12</v>
      </c>
      <c r="G1785" s="289">
        <v>1100</v>
      </c>
      <c r="H1785" s="289">
        <v>220</v>
      </c>
      <c r="I1785" s="289">
        <v>132</v>
      </c>
      <c r="J1785" s="289">
        <v>70</v>
      </c>
      <c r="K1785" s="289">
        <v>7</v>
      </c>
      <c r="L1785" s="289">
        <v>1529</v>
      </c>
    </row>
    <row r="1786" spans="1:12">
      <c r="A1786" s="288" t="s">
        <v>2623</v>
      </c>
      <c r="B1786" s="288" t="s">
        <v>2591</v>
      </c>
      <c r="C1786" s="288" t="s">
        <v>814</v>
      </c>
      <c r="D1786" s="288" t="s">
        <v>818</v>
      </c>
      <c r="E1786" s="289">
        <v>10</v>
      </c>
      <c r="F1786" s="290">
        <v>94</v>
      </c>
      <c r="G1786" s="289">
        <v>1100</v>
      </c>
      <c r="H1786" s="289">
        <v>9240</v>
      </c>
      <c r="I1786" s="289">
        <v>1034</v>
      </c>
      <c r="J1786" s="289">
        <v>70</v>
      </c>
      <c r="K1786" s="289">
        <v>7</v>
      </c>
      <c r="L1786" s="289">
        <v>11451</v>
      </c>
    </row>
    <row r="1787" spans="1:12">
      <c r="A1787" s="288" t="s">
        <v>2624</v>
      </c>
      <c r="B1787" s="288" t="s">
        <v>2591</v>
      </c>
      <c r="C1787" s="288" t="s">
        <v>814</v>
      </c>
      <c r="D1787" s="288" t="s">
        <v>818</v>
      </c>
      <c r="E1787" s="289">
        <v>10</v>
      </c>
      <c r="F1787" s="290">
        <v>79</v>
      </c>
      <c r="G1787" s="289">
        <v>1100</v>
      </c>
      <c r="H1787" s="289">
        <v>7590</v>
      </c>
      <c r="I1787" s="289">
        <v>869</v>
      </c>
      <c r="J1787" s="289">
        <v>70</v>
      </c>
      <c r="K1787" s="289">
        <v>7</v>
      </c>
      <c r="L1787" s="289">
        <v>9636</v>
      </c>
    </row>
    <row r="1788" spans="1:12">
      <c r="A1788" s="288" t="s">
        <v>2625</v>
      </c>
      <c r="B1788" s="288" t="s">
        <v>2591</v>
      </c>
      <c r="C1788" s="288" t="s">
        <v>814</v>
      </c>
      <c r="D1788" s="288" t="s">
        <v>815</v>
      </c>
      <c r="E1788" s="289">
        <v>10</v>
      </c>
      <c r="F1788" s="290">
        <v>14</v>
      </c>
      <c r="G1788" s="289">
        <v>1100</v>
      </c>
      <c r="H1788" s="289">
        <v>440</v>
      </c>
      <c r="I1788" s="289">
        <v>154</v>
      </c>
      <c r="J1788" s="289">
        <v>50</v>
      </c>
      <c r="K1788" s="289">
        <v>5</v>
      </c>
      <c r="L1788" s="289">
        <v>1749</v>
      </c>
    </row>
    <row r="1789" spans="1:12">
      <c r="A1789" s="288" t="s">
        <v>2626</v>
      </c>
      <c r="B1789" s="288" t="s">
        <v>2591</v>
      </c>
      <c r="C1789" s="288" t="s">
        <v>814</v>
      </c>
      <c r="D1789" s="288" t="s">
        <v>815</v>
      </c>
      <c r="E1789" s="289">
        <v>10</v>
      </c>
      <c r="F1789" s="290">
        <v>7</v>
      </c>
      <c r="G1789" s="289">
        <v>1100</v>
      </c>
      <c r="H1789" s="289">
        <v>0</v>
      </c>
      <c r="I1789" s="289">
        <v>110</v>
      </c>
      <c r="J1789" s="289">
        <v>50</v>
      </c>
      <c r="K1789" s="289">
        <v>5</v>
      </c>
      <c r="L1789" s="289">
        <v>1265</v>
      </c>
    </row>
    <row r="1790" spans="1:12">
      <c r="A1790" s="288" t="s">
        <v>2627</v>
      </c>
      <c r="B1790" s="288" t="s">
        <v>2591</v>
      </c>
      <c r="C1790" s="288" t="s">
        <v>814</v>
      </c>
      <c r="D1790" s="288" t="s">
        <v>815</v>
      </c>
      <c r="E1790" s="289">
        <v>10</v>
      </c>
      <c r="F1790" s="290">
        <v>11</v>
      </c>
      <c r="G1790" s="289">
        <v>1100</v>
      </c>
      <c r="H1790" s="289">
        <v>110</v>
      </c>
      <c r="I1790" s="289">
        <v>121</v>
      </c>
      <c r="J1790" s="289">
        <v>50</v>
      </c>
      <c r="K1790" s="289">
        <v>5</v>
      </c>
      <c r="L1790" s="289">
        <v>1386</v>
      </c>
    </row>
    <row r="1791" spans="1:12">
      <c r="A1791" s="288" t="s">
        <v>2628</v>
      </c>
      <c r="B1791" s="288" t="s">
        <v>2591</v>
      </c>
      <c r="C1791" s="288" t="s">
        <v>814</v>
      </c>
      <c r="D1791" s="288" t="s">
        <v>818</v>
      </c>
      <c r="E1791" s="289">
        <v>10</v>
      </c>
      <c r="F1791" s="290">
        <v>20</v>
      </c>
      <c r="G1791" s="289">
        <v>1100</v>
      </c>
      <c r="H1791" s="289">
        <v>1100</v>
      </c>
      <c r="I1791" s="289">
        <v>220</v>
      </c>
      <c r="J1791" s="289">
        <v>70</v>
      </c>
      <c r="K1791" s="289">
        <v>7</v>
      </c>
      <c r="L1791" s="289">
        <v>2497</v>
      </c>
    </row>
    <row r="1792" spans="1:12">
      <c r="A1792" s="288" t="s">
        <v>2629</v>
      </c>
      <c r="B1792" s="288" t="s">
        <v>2591</v>
      </c>
      <c r="C1792" s="288" t="s">
        <v>814</v>
      </c>
      <c r="D1792" s="288" t="s">
        <v>815</v>
      </c>
      <c r="E1792" s="289">
        <v>10</v>
      </c>
      <c r="F1792" s="290">
        <v>3</v>
      </c>
      <c r="G1792" s="289">
        <v>900</v>
      </c>
      <c r="H1792" s="289">
        <v>0</v>
      </c>
      <c r="I1792" s="289">
        <v>90</v>
      </c>
      <c r="J1792" s="289">
        <v>50</v>
      </c>
      <c r="K1792" s="289">
        <v>5</v>
      </c>
      <c r="L1792" s="289">
        <v>1045</v>
      </c>
    </row>
    <row r="1793" spans="1:12">
      <c r="A1793" s="288" t="s">
        <v>2630</v>
      </c>
      <c r="B1793" s="288" t="s">
        <v>2591</v>
      </c>
      <c r="C1793" s="288" t="s">
        <v>814</v>
      </c>
      <c r="D1793" s="288" t="s">
        <v>818</v>
      </c>
      <c r="E1793" s="289">
        <v>10</v>
      </c>
      <c r="F1793" s="290">
        <v>28</v>
      </c>
      <c r="G1793" s="289">
        <v>1100</v>
      </c>
      <c r="H1793" s="289">
        <v>1980</v>
      </c>
      <c r="I1793" s="289">
        <v>308</v>
      </c>
      <c r="J1793" s="289">
        <v>70</v>
      </c>
      <c r="K1793" s="289">
        <v>7</v>
      </c>
      <c r="L1793" s="289">
        <v>3465</v>
      </c>
    </row>
    <row r="1794" spans="1:12">
      <c r="A1794" s="288" t="s">
        <v>2631</v>
      </c>
      <c r="B1794" s="288" t="s">
        <v>2591</v>
      </c>
      <c r="C1794" s="288" t="s">
        <v>814</v>
      </c>
      <c r="D1794" s="288" t="s">
        <v>818</v>
      </c>
      <c r="E1794" s="289">
        <v>10</v>
      </c>
      <c r="F1794" s="290">
        <v>47</v>
      </c>
      <c r="G1794" s="289">
        <v>1100</v>
      </c>
      <c r="H1794" s="289">
        <v>4070</v>
      </c>
      <c r="I1794" s="289">
        <v>517</v>
      </c>
      <c r="J1794" s="289">
        <v>70</v>
      </c>
      <c r="K1794" s="289">
        <v>7</v>
      </c>
      <c r="L1794" s="289">
        <v>5764</v>
      </c>
    </row>
    <row r="1795" spans="1:12">
      <c r="A1795" s="288" t="s">
        <v>2632</v>
      </c>
      <c r="B1795" s="288" t="s">
        <v>2591</v>
      </c>
      <c r="C1795" s="288" t="s">
        <v>820</v>
      </c>
      <c r="D1795" s="288" t="s">
        <v>818</v>
      </c>
      <c r="E1795" s="289">
        <v>10</v>
      </c>
      <c r="F1795" s="290">
        <v>118</v>
      </c>
      <c r="G1795" s="289">
        <v>1100</v>
      </c>
      <c r="H1795" s="289">
        <v>11700</v>
      </c>
      <c r="I1795" s="289">
        <v>1280</v>
      </c>
      <c r="J1795" s="289">
        <v>70</v>
      </c>
      <c r="K1795" s="289">
        <v>7</v>
      </c>
      <c r="L1795" s="289">
        <v>14157</v>
      </c>
    </row>
    <row r="1796" spans="1:12">
      <c r="A1796" s="288" t="s">
        <v>2633</v>
      </c>
      <c r="B1796" s="288" t="s">
        <v>2591</v>
      </c>
      <c r="C1796" s="288" t="s">
        <v>814</v>
      </c>
      <c r="D1796" s="288" t="s">
        <v>818</v>
      </c>
      <c r="E1796" s="289">
        <v>10</v>
      </c>
      <c r="F1796" s="290">
        <v>15</v>
      </c>
      <c r="G1796" s="289">
        <v>1100</v>
      </c>
      <c r="H1796" s="289">
        <v>550</v>
      </c>
      <c r="I1796" s="289">
        <v>165</v>
      </c>
      <c r="J1796" s="289">
        <v>70</v>
      </c>
      <c r="K1796" s="289">
        <v>7</v>
      </c>
      <c r="L1796" s="289">
        <v>1892</v>
      </c>
    </row>
    <row r="1797" spans="1:12">
      <c r="A1797" s="288" t="s">
        <v>2634</v>
      </c>
      <c r="B1797" s="288" t="s">
        <v>2591</v>
      </c>
      <c r="C1797" s="288" t="s">
        <v>833</v>
      </c>
      <c r="D1797" s="288" t="s">
        <v>837</v>
      </c>
      <c r="E1797" s="289">
        <v>10</v>
      </c>
      <c r="F1797" s="290">
        <v>422</v>
      </c>
      <c r="G1797" s="289">
        <v>1100</v>
      </c>
      <c r="H1797" s="289">
        <v>42100</v>
      </c>
      <c r="I1797" s="289">
        <v>4320</v>
      </c>
      <c r="J1797" s="289">
        <v>800</v>
      </c>
      <c r="K1797" s="289">
        <v>80</v>
      </c>
      <c r="L1797" s="289">
        <v>48400</v>
      </c>
    </row>
    <row r="1798" spans="1:12">
      <c r="A1798" s="288" t="s">
        <v>2635</v>
      </c>
      <c r="B1798" s="288" t="s">
        <v>2636</v>
      </c>
      <c r="C1798" s="288" t="s">
        <v>833</v>
      </c>
      <c r="D1798" s="288" t="s">
        <v>2202</v>
      </c>
      <c r="E1798" s="289">
        <v>10</v>
      </c>
      <c r="F1798" s="290">
        <v>2272</v>
      </c>
      <c r="G1798" s="289">
        <v>1100</v>
      </c>
      <c r="H1798" s="289">
        <v>227100</v>
      </c>
      <c r="I1798" s="289">
        <v>22820</v>
      </c>
      <c r="J1798" s="289">
        <v>1000</v>
      </c>
      <c r="K1798" s="289">
        <v>100</v>
      </c>
      <c r="L1798" s="289">
        <v>252120</v>
      </c>
    </row>
    <row r="1799" spans="1:12">
      <c r="A1799" s="288" t="s">
        <v>2637</v>
      </c>
      <c r="B1799" s="288" t="s">
        <v>2636</v>
      </c>
      <c r="C1799" s="288" t="s">
        <v>833</v>
      </c>
      <c r="D1799" s="288" t="s">
        <v>837</v>
      </c>
      <c r="E1799" s="289">
        <v>10</v>
      </c>
      <c r="F1799" s="290">
        <v>1115</v>
      </c>
      <c r="G1799" s="289">
        <v>1100</v>
      </c>
      <c r="H1799" s="289">
        <v>111400</v>
      </c>
      <c r="I1799" s="289">
        <v>11250</v>
      </c>
      <c r="J1799" s="289">
        <v>800</v>
      </c>
      <c r="K1799" s="289">
        <v>80</v>
      </c>
      <c r="L1799" s="289">
        <v>124630</v>
      </c>
    </row>
    <row r="1800" spans="1:12">
      <c r="A1800" s="288" t="s">
        <v>2638</v>
      </c>
      <c r="B1800" s="288" t="s">
        <v>2636</v>
      </c>
      <c r="C1800" s="288" t="s">
        <v>833</v>
      </c>
      <c r="D1800" s="288" t="s">
        <v>837</v>
      </c>
      <c r="E1800" s="289">
        <v>10</v>
      </c>
      <c r="F1800" s="290">
        <v>326</v>
      </c>
      <c r="G1800" s="289">
        <v>1100</v>
      </c>
      <c r="H1800" s="289">
        <v>32500</v>
      </c>
      <c r="I1800" s="289">
        <v>3360</v>
      </c>
      <c r="J1800" s="289">
        <v>800</v>
      </c>
      <c r="K1800" s="289">
        <v>80</v>
      </c>
      <c r="L1800" s="289">
        <v>37840</v>
      </c>
    </row>
    <row r="1801" spans="1:12">
      <c r="A1801" s="288" t="s">
        <v>2639</v>
      </c>
      <c r="B1801" s="288" t="s">
        <v>2591</v>
      </c>
      <c r="C1801" s="288" t="s">
        <v>833</v>
      </c>
      <c r="D1801" s="288" t="s">
        <v>822</v>
      </c>
      <c r="E1801" s="289">
        <v>10</v>
      </c>
      <c r="F1801" s="290">
        <v>191</v>
      </c>
      <c r="G1801" s="289">
        <v>1100</v>
      </c>
      <c r="H1801" s="289">
        <v>19000</v>
      </c>
      <c r="I1801" s="289">
        <v>2010</v>
      </c>
      <c r="J1801" s="289">
        <v>200</v>
      </c>
      <c r="K1801" s="289">
        <v>20</v>
      </c>
      <c r="L1801" s="289">
        <v>22330</v>
      </c>
    </row>
    <row r="1802" spans="1:12">
      <c r="A1802" s="288" t="s">
        <v>2640</v>
      </c>
      <c r="B1802" s="288" t="s">
        <v>2591</v>
      </c>
      <c r="C1802" s="288" t="s">
        <v>833</v>
      </c>
      <c r="D1802" s="288" t="s">
        <v>822</v>
      </c>
      <c r="E1802" s="289">
        <v>10</v>
      </c>
      <c r="F1802" s="290">
        <v>16</v>
      </c>
      <c r="G1802" s="289">
        <v>1100</v>
      </c>
      <c r="H1802" s="289">
        <v>660</v>
      </c>
      <c r="I1802" s="289">
        <v>176</v>
      </c>
      <c r="J1802" s="289">
        <v>200</v>
      </c>
      <c r="K1802" s="289">
        <v>20</v>
      </c>
      <c r="L1802" s="289">
        <v>2156</v>
      </c>
    </row>
    <row r="1803" spans="1:12">
      <c r="A1803" s="288" t="s">
        <v>2641</v>
      </c>
      <c r="B1803" s="288" t="s">
        <v>2591</v>
      </c>
      <c r="C1803" s="288" t="s">
        <v>833</v>
      </c>
      <c r="D1803" s="288" t="s">
        <v>2202</v>
      </c>
      <c r="E1803" s="289">
        <v>10</v>
      </c>
      <c r="F1803" s="290">
        <v>200</v>
      </c>
      <c r="G1803" s="289">
        <v>1100</v>
      </c>
      <c r="H1803" s="289">
        <v>19900</v>
      </c>
      <c r="I1803" s="289">
        <v>2100</v>
      </c>
      <c r="J1803" s="289">
        <v>1000</v>
      </c>
      <c r="K1803" s="289">
        <v>100</v>
      </c>
      <c r="L1803" s="289">
        <v>24200</v>
      </c>
    </row>
    <row r="1804" spans="1:12">
      <c r="A1804" s="288" t="s">
        <v>2642</v>
      </c>
      <c r="B1804" s="288" t="s">
        <v>2591</v>
      </c>
      <c r="C1804" s="288" t="s">
        <v>833</v>
      </c>
      <c r="D1804" s="288" t="s">
        <v>2643</v>
      </c>
      <c r="E1804" s="289">
        <v>10</v>
      </c>
      <c r="F1804" s="290">
        <v>843</v>
      </c>
      <c r="G1804" s="289">
        <v>1100</v>
      </c>
      <c r="H1804" s="289">
        <v>84200</v>
      </c>
      <c r="I1804" s="289">
        <v>8530</v>
      </c>
      <c r="J1804" s="289">
        <v>1200</v>
      </c>
      <c r="K1804" s="289">
        <v>120</v>
      </c>
      <c r="L1804" s="289">
        <v>95150</v>
      </c>
    </row>
    <row r="1805" spans="1:12">
      <c r="A1805" s="288" t="s">
        <v>2644</v>
      </c>
      <c r="B1805" s="288" t="s">
        <v>2591</v>
      </c>
      <c r="C1805" s="288" t="s">
        <v>833</v>
      </c>
      <c r="D1805" s="288" t="s">
        <v>2643</v>
      </c>
      <c r="E1805" s="289">
        <v>10</v>
      </c>
      <c r="F1805" s="290">
        <v>115</v>
      </c>
      <c r="G1805" s="289">
        <v>1100</v>
      </c>
      <c r="H1805" s="289">
        <v>11400</v>
      </c>
      <c r="I1805" s="289">
        <v>1250</v>
      </c>
      <c r="J1805" s="289">
        <v>1200</v>
      </c>
      <c r="K1805" s="289">
        <v>120</v>
      </c>
      <c r="L1805" s="289">
        <v>15070</v>
      </c>
    </row>
    <row r="1806" spans="1:12">
      <c r="A1806" s="288" t="s">
        <v>2645</v>
      </c>
      <c r="B1806" s="288" t="s">
        <v>2591</v>
      </c>
      <c r="C1806" s="288" t="s">
        <v>833</v>
      </c>
      <c r="D1806" s="288" t="s">
        <v>822</v>
      </c>
      <c r="E1806" s="289">
        <v>10</v>
      </c>
      <c r="F1806" s="290">
        <v>0</v>
      </c>
      <c r="G1806" s="289">
        <v>900</v>
      </c>
      <c r="H1806" s="289">
        <v>0</v>
      </c>
      <c r="I1806" s="289">
        <v>90</v>
      </c>
      <c r="J1806" s="289">
        <v>200</v>
      </c>
      <c r="K1806" s="289">
        <v>20</v>
      </c>
      <c r="L1806" s="289">
        <v>1210</v>
      </c>
    </row>
    <row r="1807" spans="1:12">
      <c r="A1807" s="288" t="s">
        <v>2646</v>
      </c>
      <c r="B1807" s="288" t="s">
        <v>2591</v>
      </c>
      <c r="C1807" s="288" t="s">
        <v>833</v>
      </c>
      <c r="D1807" s="288" t="s">
        <v>822</v>
      </c>
      <c r="E1807" s="289">
        <v>10</v>
      </c>
      <c r="F1807" s="290">
        <v>1095</v>
      </c>
      <c r="G1807" s="289">
        <v>1100</v>
      </c>
      <c r="H1807" s="289">
        <v>109400</v>
      </c>
      <c r="I1807" s="289">
        <v>11050</v>
      </c>
      <c r="J1807" s="289">
        <v>200</v>
      </c>
      <c r="K1807" s="289">
        <v>20</v>
      </c>
      <c r="L1807" s="289">
        <v>121770</v>
      </c>
    </row>
    <row r="1808" spans="1:12">
      <c r="A1808" s="288" t="s">
        <v>2647</v>
      </c>
      <c r="B1808" s="288" t="s">
        <v>2591</v>
      </c>
      <c r="C1808" s="288" t="s">
        <v>833</v>
      </c>
      <c r="D1808" s="288" t="s">
        <v>818</v>
      </c>
      <c r="E1808" s="289">
        <v>10</v>
      </c>
      <c r="F1808" s="290">
        <v>0</v>
      </c>
      <c r="G1808" s="289">
        <v>900</v>
      </c>
      <c r="H1808" s="289">
        <v>0</v>
      </c>
      <c r="I1808" s="289">
        <v>90</v>
      </c>
      <c r="J1808" s="289">
        <v>70</v>
      </c>
      <c r="K1808" s="289">
        <v>7</v>
      </c>
      <c r="L1808" s="289">
        <v>1067</v>
      </c>
    </row>
    <row r="1809" spans="1:12">
      <c r="A1809" s="288" t="s">
        <v>2648</v>
      </c>
      <c r="B1809" s="288" t="s">
        <v>2591</v>
      </c>
      <c r="C1809" s="288" t="s">
        <v>820</v>
      </c>
      <c r="D1809" s="288" t="s">
        <v>818</v>
      </c>
      <c r="E1809" s="289">
        <v>10</v>
      </c>
      <c r="F1809" s="290">
        <v>0</v>
      </c>
      <c r="G1809" s="289">
        <v>900</v>
      </c>
      <c r="H1809" s="289">
        <v>0</v>
      </c>
      <c r="I1809" s="289">
        <v>90</v>
      </c>
      <c r="J1809" s="289">
        <v>70</v>
      </c>
      <c r="K1809" s="289">
        <v>7</v>
      </c>
      <c r="L1809" s="289">
        <v>1067</v>
      </c>
    </row>
    <row r="1810" spans="1:12">
      <c r="A1810" s="288" t="s">
        <v>2649</v>
      </c>
      <c r="B1810" s="288" t="s">
        <v>2591</v>
      </c>
      <c r="C1810" s="288" t="s">
        <v>814</v>
      </c>
      <c r="D1810" s="288" t="s">
        <v>818</v>
      </c>
      <c r="E1810" s="289">
        <v>10</v>
      </c>
      <c r="F1810" s="290">
        <v>27</v>
      </c>
      <c r="G1810" s="289">
        <v>1100</v>
      </c>
      <c r="H1810" s="289">
        <v>1870</v>
      </c>
      <c r="I1810" s="289">
        <v>297</v>
      </c>
      <c r="J1810" s="289">
        <v>70</v>
      </c>
      <c r="K1810" s="289">
        <v>7</v>
      </c>
      <c r="L1810" s="289">
        <v>3344</v>
      </c>
    </row>
    <row r="1811" spans="1:12">
      <c r="A1811" s="288" t="s">
        <v>2650</v>
      </c>
      <c r="B1811" s="288" t="s">
        <v>2591</v>
      </c>
      <c r="C1811" s="288" t="s">
        <v>814</v>
      </c>
      <c r="D1811" s="288" t="s">
        <v>818</v>
      </c>
      <c r="E1811" s="289">
        <v>10</v>
      </c>
      <c r="F1811" s="290">
        <v>25</v>
      </c>
      <c r="G1811" s="289">
        <v>1100</v>
      </c>
      <c r="H1811" s="289">
        <v>1650</v>
      </c>
      <c r="I1811" s="289">
        <v>275</v>
      </c>
      <c r="J1811" s="289">
        <v>70</v>
      </c>
      <c r="K1811" s="289">
        <v>7</v>
      </c>
      <c r="L1811" s="289">
        <v>3102</v>
      </c>
    </row>
    <row r="1812" spans="1:12">
      <c r="A1812" s="288" t="s">
        <v>2651</v>
      </c>
      <c r="B1812" s="288" t="s">
        <v>2591</v>
      </c>
      <c r="C1812" s="288" t="s">
        <v>814</v>
      </c>
      <c r="D1812" s="288" t="s">
        <v>818</v>
      </c>
      <c r="E1812" s="289">
        <v>10</v>
      </c>
      <c r="F1812" s="290">
        <v>9</v>
      </c>
      <c r="G1812" s="289">
        <v>1100</v>
      </c>
      <c r="H1812" s="289">
        <v>0</v>
      </c>
      <c r="I1812" s="289">
        <v>110</v>
      </c>
      <c r="J1812" s="289">
        <v>70</v>
      </c>
      <c r="K1812" s="289">
        <v>7</v>
      </c>
      <c r="L1812" s="289">
        <v>1287</v>
      </c>
    </row>
    <row r="1813" spans="1:12">
      <c r="A1813" s="288" t="s">
        <v>2652</v>
      </c>
      <c r="B1813" s="288" t="s">
        <v>2591</v>
      </c>
      <c r="C1813" s="288" t="s">
        <v>814</v>
      </c>
      <c r="D1813" s="288" t="s">
        <v>818</v>
      </c>
      <c r="E1813" s="289">
        <v>10</v>
      </c>
      <c r="F1813" s="290">
        <v>0</v>
      </c>
      <c r="G1813" s="289">
        <v>900</v>
      </c>
      <c r="H1813" s="289">
        <v>0</v>
      </c>
      <c r="I1813" s="289">
        <v>90</v>
      </c>
      <c r="J1813" s="289">
        <v>70</v>
      </c>
      <c r="K1813" s="289">
        <v>7</v>
      </c>
      <c r="L1813" s="289">
        <v>1067</v>
      </c>
    </row>
    <row r="1814" spans="1:12">
      <c r="A1814" s="288" t="s">
        <v>2653</v>
      </c>
      <c r="B1814" s="288" t="s">
        <v>2591</v>
      </c>
      <c r="C1814" s="288" t="s">
        <v>814</v>
      </c>
      <c r="D1814" s="288" t="s">
        <v>818</v>
      </c>
      <c r="E1814" s="289">
        <v>10</v>
      </c>
      <c r="F1814" s="290">
        <v>21</v>
      </c>
      <c r="G1814" s="289">
        <v>1100</v>
      </c>
      <c r="H1814" s="289">
        <v>1210</v>
      </c>
      <c r="I1814" s="289">
        <v>231</v>
      </c>
      <c r="J1814" s="289">
        <v>70</v>
      </c>
      <c r="K1814" s="289">
        <v>7</v>
      </c>
      <c r="L1814" s="289">
        <v>2618</v>
      </c>
    </row>
    <row r="1815" spans="1:12">
      <c r="A1815" s="288" t="s">
        <v>2654</v>
      </c>
      <c r="B1815" s="288" t="s">
        <v>2591</v>
      </c>
      <c r="C1815" s="288" t="s">
        <v>814</v>
      </c>
      <c r="D1815" s="288" t="s">
        <v>818</v>
      </c>
      <c r="E1815" s="289">
        <v>10</v>
      </c>
      <c r="F1815" s="290">
        <v>27</v>
      </c>
      <c r="G1815" s="289">
        <v>1100</v>
      </c>
      <c r="H1815" s="289">
        <v>1870</v>
      </c>
      <c r="I1815" s="289">
        <v>297</v>
      </c>
      <c r="J1815" s="289">
        <v>70</v>
      </c>
      <c r="K1815" s="289">
        <v>7</v>
      </c>
      <c r="L1815" s="289">
        <v>3344</v>
      </c>
    </row>
    <row r="1816" spans="1:12">
      <c r="A1816" s="288" t="s">
        <v>2655</v>
      </c>
      <c r="B1816" s="288" t="s">
        <v>2591</v>
      </c>
      <c r="C1816" s="288" t="s">
        <v>814</v>
      </c>
      <c r="D1816" s="288" t="s">
        <v>818</v>
      </c>
      <c r="E1816" s="289">
        <v>10</v>
      </c>
      <c r="F1816" s="290">
        <v>24</v>
      </c>
      <c r="G1816" s="289">
        <v>1100</v>
      </c>
      <c r="H1816" s="289">
        <v>1540</v>
      </c>
      <c r="I1816" s="289">
        <v>264</v>
      </c>
      <c r="J1816" s="289">
        <v>70</v>
      </c>
      <c r="K1816" s="289">
        <v>7</v>
      </c>
      <c r="L1816" s="289">
        <v>2981</v>
      </c>
    </row>
    <row r="1817" spans="1:12">
      <c r="A1817" s="288" t="s">
        <v>2656</v>
      </c>
      <c r="B1817" s="288" t="s">
        <v>2591</v>
      </c>
      <c r="C1817" s="288" t="s">
        <v>814</v>
      </c>
      <c r="D1817" s="288" t="s">
        <v>818</v>
      </c>
      <c r="E1817" s="289">
        <v>10</v>
      </c>
      <c r="F1817" s="290">
        <v>25</v>
      </c>
      <c r="G1817" s="289">
        <v>1100</v>
      </c>
      <c r="H1817" s="289">
        <v>1650</v>
      </c>
      <c r="I1817" s="289">
        <v>275</v>
      </c>
      <c r="J1817" s="289">
        <v>70</v>
      </c>
      <c r="K1817" s="289">
        <v>7</v>
      </c>
      <c r="L1817" s="289">
        <v>3102</v>
      </c>
    </row>
    <row r="1818" spans="1:12">
      <c r="A1818" s="288" t="s">
        <v>2657</v>
      </c>
      <c r="B1818" s="288" t="s">
        <v>2591</v>
      </c>
      <c r="C1818" s="288" t="s">
        <v>814</v>
      </c>
      <c r="D1818" s="288" t="s">
        <v>818</v>
      </c>
      <c r="E1818" s="289">
        <v>10</v>
      </c>
      <c r="F1818" s="290">
        <v>2</v>
      </c>
      <c r="G1818" s="289">
        <v>900</v>
      </c>
      <c r="H1818" s="289">
        <v>0</v>
      </c>
      <c r="I1818" s="289">
        <v>90</v>
      </c>
      <c r="J1818" s="289">
        <v>70</v>
      </c>
      <c r="K1818" s="289">
        <v>7</v>
      </c>
      <c r="L1818" s="289">
        <v>1067</v>
      </c>
    </row>
    <row r="1819" spans="1:12">
      <c r="A1819" s="288" t="s">
        <v>2658</v>
      </c>
      <c r="B1819" s="288" t="s">
        <v>2591</v>
      </c>
      <c r="C1819" s="288" t="s">
        <v>814</v>
      </c>
      <c r="D1819" s="288" t="s">
        <v>818</v>
      </c>
      <c r="E1819" s="289">
        <v>10</v>
      </c>
      <c r="F1819" s="290">
        <v>10</v>
      </c>
      <c r="G1819" s="289">
        <v>1100</v>
      </c>
      <c r="H1819" s="289">
        <v>0</v>
      </c>
      <c r="I1819" s="289">
        <v>110</v>
      </c>
      <c r="J1819" s="289">
        <v>70</v>
      </c>
      <c r="K1819" s="289">
        <v>7</v>
      </c>
      <c r="L1819" s="289">
        <v>1287</v>
      </c>
    </row>
    <row r="1820" spans="1:12">
      <c r="A1820" s="288" t="s">
        <v>2659</v>
      </c>
      <c r="B1820" s="288" t="s">
        <v>2591</v>
      </c>
      <c r="C1820" s="288" t="s">
        <v>814</v>
      </c>
      <c r="D1820" s="288" t="s">
        <v>818</v>
      </c>
      <c r="E1820" s="289">
        <v>10</v>
      </c>
      <c r="F1820" s="290">
        <v>0</v>
      </c>
      <c r="G1820" s="289">
        <v>900</v>
      </c>
      <c r="H1820" s="289">
        <v>0</v>
      </c>
      <c r="I1820" s="289">
        <v>90</v>
      </c>
      <c r="J1820" s="289">
        <v>70</v>
      </c>
      <c r="K1820" s="289">
        <v>7</v>
      </c>
      <c r="L1820" s="289">
        <v>1067</v>
      </c>
    </row>
    <row r="1821" spans="1:12">
      <c r="A1821" s="288" t="s">
        <v>2660</v>
      </c>
      <c r="B1821" s="288" t="s">
        <v>2591</v>
      </c>
      <c r="C1821" s="288" t="s">
        <v>814</v>
      </c>
      <c r="D1821" s="288" t="s">
        <v>818</v>
      </c>
      <c r="E1821" s="289">
        <v>10</v>
      </c>
      <c r="F1821" s="290">
        <v>13</v>
      </c>
      <c r="G1821" s="289">
        <v>1100</v>
      </c>
      <c r="H1821" s="289">
        <v>330</v>
      </c>
      <c r="I1821" s="289">
        <v>143</v>
      </c>
      <c r="J1821" s="289">
        <v>70</v>
      </c>
      <c r="K1821" s="289">
        <v>7</v>
      </c>
      <c r="L1821" s="289">
        <v>1650</v>
      </c>
    </row>
    <row r="1822" spans="1:12">
      <c r="A1822" s="288" t="s">
        <v>2661</v>
      </c>
      <c r="B1822" s="288" t="s">
        <v>2591</v>
      </c>
      <c r="C1822" s="288" t="s">
        <v>814</v>
      </c>
      <c r="D1822" s="288" t="s">
        <v>818</v>
      </c>
      <c r="E1822" s="289">
        <v>10</v>
      </c>
      <c r="F1822" s="290">
        <v>8</v>
      </c>
      <c r="G1822" s="289">
        <v>1100</v>
      </c>
      <c r="H1822" s="289">
        <v>0</v>
      </c>
      <c r="I1822" s="289">
        <v>110</v>
      </c>
      <c r="J1822" s="289">
        <v>70</v>
      </c>
      <c r="K1822" s="289">
        <v>7</v>
      </c>
      <c r="L1822" s="289">
        <v>1287</v>
      </c>
    </row>
    <row r="1823" spans="1:12">
      <c r="A1823" s="288" t="s">
        <v>2662</v>
      </c>
      <c r="B1823" s="288" t="s">
        <v>2591</v>
      </c>
      <c r="C1823" s="288" t="s">
        <v>814</v>
      </c>
      <c r="D1823" s="288" t="s">
        <v>818</v>
      </c>
      <c r="E1823" s="289">
        <v>10</v>
      </c>
      <c r="F1823" s="290">
        <v>10</v>
      </c>
      <c r="G1823" s="289">
        <v>1100</v>
      </c>
      <c r="H1823" s="289">
        <v>0</v>
      </c>
      <c r="I1823" s="289">
        <v>110</v>
      </c>
      <c r="J1823" s="289">
        <v>70</v>
      </c>
      <c r="K1823" s="289">
        <v>7</v>
      </c>
      <c r="L1823" s="289">
        <v>1287</v>
      </c>
    </row>
    <row r="1824" spans="1:12">
      <c r="A1824" s="288" t="s">
        <v>2663</v>
      </c>
      <c r="B1824" s="288" t="s">
        <v>2591</v>
      </c>
      <c r="C1824" s="288" t="s">
        <v>829</v>
      </c>
      <c r="D1824" s="288" t="s">
        <v>815</v>
      </c>
      <c r="E1824" s="289">
        <v>10</v>
      </c>
      <c r="F1824" s="290">
        <v>1</v>
      </c>
      <c r="G1824" s="289">
        <v>900</v>
      </c>
      <c r="H1824" s="289">
        <v>0</v>
      </c>
      <c r="I1824" s="289">
        <v>90</v>
      </c>
      <c r="J1824" s="289">
        <v>50</v>
      </c>
      <c r="K1824" s="289">
        <v>5</v>
      </c>
      <c r="L1824" s="289">
        <v>1045</v>
      </c>
    </row>
    <row r="1825" spans="1:12">
      <c r="A1825" s="288" t="s">
        <v>2664</v>
      </c>
      <c r="B1825" s="288" t="s">
        <v>2591</v>
      </c>
      <c r="C1825" s="288" t="s">
        <v>814</v>
      </c>
      <c r="D1825" s="288" t="s">
        <v>818</v>
      </c>
      <c r="E1825" s="289">
        <v>10</v>
      </c>
      <c r="F1825" s="290">
        <v>34</v>
      </c>
      <c r="G1825" s="289">
        <v>1100</v>
      </c>
      <c r="H1825" s="289">
        <v>2640</v>
      </c>
      <c r="I1825" s="289">
        <v>374</v>
      </c>
      <c r="J1825" s="289">
        <v>70</v>
      </c>
      <c r="K1825" s="289">
        <v>7</v>
      </c>
      <c r="L1825" s="289">
        <v>4191</v>
      </c>
    </row>
    <row r="1826" spans="1:12">
      <c r="A1826" s="288" t="s">
        <v>2665</v>
      </c>
      <c r="B1826" s="288" t="s">
        <v>2591</v>
      </c>
      <c r="C1826" s="288" t="s">
        <v>814</v>
      </c>
      <c r="D1826" s="288" t="s">
        <v>818</v>
      </c>
      <c r="E1826" s="289">
        <v>10</v>
      </c>
      <c r="F1826" s="290">
        <v>1</v>
      </c>
      <c r="G1826" s="289">
        <v>900</v>
      </c>
      <c r="H1826" s="289">
        <v>0</v>
      </c>
      <c r="I1826" s="289">
        <v>90</v>
      </c>
      <c r="J1826" s="289">
        <v>70</v>
      </c>
      <c r="K1826" s="289">
        <v>7</v>
      </c>
      <c r="L1826" s="289">
        <v>1067</v>
      </c>
    </row>
    <row r="1827" spans="1:12">
      <c r="A1827" s="288" t="s">
        <v>2666</v>
      </c>
      <c r="B1827" s="288" t="s">
        <v>2591</v>
      </c>
      <c r="C1827" s="288" t="s">
        <v>814</v>
      </c>
      <c r="D1827" s="288" t="s">
        <v>818</v>
      </c>
      <c r="E1827" s="289">
        <v>10</v>
      </c>
      <c r="F1827" s="290">
        <v>10</v>
      </c>
      <c r="G1827" s="289">
        <v>1100</v>
      </c>
      <c r="H1827" s="289">
        <v>0</v>
      </c>
      <c r="I1827" s="289">
        <v>110</v>
      </c>
      <c r="J1827" s="289">
        <v>70</v>
      </c>
      <c r="K1827" s="289">
        <v>7</v>
      </c>
      <c r="L1827" s="289">
        <v>1287</v>
      </c>
    </row>
    <row r="1828" spans="1:12">
      <c r="A1828" s="288" t="s">
        <v>2667</v>
      </c>
      <c r="B1828" s="288" t="s">
        <v>2591</v>
      </c>
      <c r="C1828" s="288" t="s">
        <v>814</v>
      </c>
      <c r="D1828" s="288" t="s">
        <v>818</v>
      </c>
      <c r="E1828" s="289">
        <v>10</v>
      </c>
      <c r="F1828" s="290">
        <v>22</v>
      </c>
      <c r="G1828" s="289">
        <v>1100</v>
      </c>
      <c r="H1828" s="289">
        <v>1320</v>
      </c>
      <c r="I1828" s="289">
        <v>242</v>
      </c>
      <c r="J1828" s="289">
        <v>70</v>
      </c>
      <c r="K1828" s="289">
        <v>7</v>
      </c>
      <c r="L1828" s="289">
        <v>2739</v>
      </c>
    </row>
    <row r="1829" spans="1:12">
      <c r="A1829" s="288" t="s">
        <v>2668</v>
      </c>
      <c r="B1829" s="288" t="s">
        <v>2591</v>
      </c>
      <c r="C1829" s="288" t="s">
        <v>814</v>
      </c>
      <c r="D1829" s="288" t="s">
        <v>818</v>
      </c>
      <c r="E1829" s="289">
        <v>10</v>
      </c>
      <c r="F1829" s="290">
        <v>22</v>
      </c>
      <c r="G1829" s="289">
        <v>1100</v>
      </c>
      <c r="H1829" s="289">
        <v>1320</v>
      </c>
      <c r="I1829" s="289">
        <v>242</v>
      </c>
      <c r="J1829" s="289">
        <v>70</v>
      </c>
      <c r="K1829" s="289">
        <v>7</v>
      </c>
      <c r="L1829" s="289">
        <v>2739</v>
      </c>
    </row>
    <row r="1830" spans="1:12">
      <c r="A1830" s="288" t="s">
        <v>2669</v>
      </c>
      <c r="B1830" s="288" t="s">
        <v>2591</v>
      </c>
      <c r="C1830" s="288" t="s">
        <v>814</v>
      </c>
      <c r="D1830" s="288" t="s">
        <v>818</v>
      </c>
      <c r="E1830" s="289">
        <v>10</v>
      </c>
      <c r="F1830" s="290">
        <v>20</v>
      </c>
      <c r="G1830" s="289">
        <v>1100</v>
      </c>
      <c r="H1830" s="289">
        <v>1100</v>
      </c>
      <c r="I1830" s="289">
        <v>220</v>
      </c>
      <c r="J1830" s="289">
        <v>70</v>
      </c>
      <c r="K1830" s="289">
        <v>7</v>
      </c>
      <c r="L1830" s="289">
        <v>2497</v>
      </c>
    </row>
    <row r="1831" spans="1:12">
      <c r="A1831" s="288" t="s">
        <v>2670</v>
      </c>
      <c r="B1831" s="288" t="s">
        <v>2591</v>
      </c>
      <c r="C1831" s="288" t="s">
        <v>814</v>
      </c>
      <c r="D1831" s="288" t="s">
        <v>818</v>
      </c>
      <c r="E1831" s="289">
        <v>10</v>
      </c>
      <c r="F1831" s="290">
        <v>12</v>
      </c>
      <c r="G1831" s="289">
        <v>1100</v>
      </c>
      <c r="H1831" s="289">
        <v>220</v>
      </c>
      <c r="I1831" s="289">
        <v>132</v>
      </c>
      <c r="J1831" s="289">
        <v>70</v>
      </c>
      <c r="K1831" s="289">
        <v>7</v>
      </c>
      <c r="L1831" s="289">
        <v>1529</v>
      </c>
    </row>
    <row r="1832" spans="1:12">
      <c r="A1832" s="288" t="s">
        <v>2671</v>
      </c>
      <c r="B1832" s="288" t="s">
        <v>2591</v>
      </c>
      <c r="C1832" s="288" t="s">
        <v>814</v>
      </c>
      <c r="D1832" s="288" t="s">
        <v>818</v>
      </c>
      <c r="E1832" s="289">
        <v>10</v>
      </c>
      <c r="F1832" s="290">
        <v>7</v>
      </c>
      <c r="G1832" s="289">
        <v>1100</v>
      </c>
      <c r="H1832" s="289">
        <v>0</v>
      </c>
      <c r="I1832" s="289">
        <v>110</v>
      </c>
      <c r="J1832" s="289">
        <v>70</v>
      </c>
      <c r="K1832" s="289">
        <v>7</v>
      </c>
      <c r="L1832" s="289">
        <v>1287</v>
      </c>
    </row>
    <row r="1833" spans="1:12">
      <c r="A1833" s="288" t="s">
        <v>2672</v>
      </c>
      <c r="B1833" s="288" t="s">
        <v>2591</v>
      </c>
      <c r="C1833" s="288" t="s">
        <v>814</v>
      </c>
      <c r="D1833" s="288" t="s">
        <v>818</v>
      </c>
      <c r="E1833" s="289">
        <v>10</v>
      </c>
      <c r="F1833" s="290">
        <v>9</v>
      </c>
      <c r="G1833" s="289">
        <v>1100</v>
      </c>
      <c r="H1833" s="289">
        <v>0</v>
      </c>
      <c r="I1833" s="289">
        <v>110</v>
      </c>
      <c r="J1833" s="289">
        <v>70</v>
      </c>
      <c r="K1833" s="289">
        <v>7</v>
      </c>
      <c r="L1833" s="289">
        <v>1287</v>
      </c>
    </row>
    <row r="1834" spans="1:12">
      <c r="A1834" s="288" t="s">
        <v>2673</v>
      </c>
      <c r="B1834" s="288" t="s">
        <v>2591</v>
      </c>
      <c r="C1834" s="288" t="s">
        <v>814</v>
      </c>
      <c r="D1834" s="288" t="s">
        <v>818</v>
      </c>
      <c r="E1834" s="289">
        <v>10</v>
      </c>
      <c r="F1834" s="290">
        <v>11</v>
      </c>
      <c r="G1834" s="289">
        <v>1100</v>
      </c>
      <c r="H1834" s="289">
        <v>110</v>
      </c>
      <c r="I1834" s="289">
        <v>121</v>
      </c>
      <c r="J1834" s="289">
        <v>70</v>
      </c>
      <c r="K1834" s="289">
        <v>7</v>
      </c>
      <c r="L1834" s="289">
        <v>1408</v>
      </c>
    </row>
    <row r="1835" spans="1:12">
      <c r="A1835" s="288" t="s">
        <v>2674</v>
      </c>
      <c r="B1835" s="288" t="s">
        <v>2591</v>
      </c>
      <c r="C1835" s="288" t="s">
        <v>814</v>
      </c>
      <c r="D1835" s="288" t="s">
        <v>818</v>
      </c>
      <c r="E1835" s="289">
        <v>10</v>
      </c>
      <c r="F1835" s="290">
        <v>32</v>
      </c>
      <c r="G1835" s="289">
        <v>1100</v>
      </c>
      <c r="H1835" s="289">
        <v>2420</v>
      </c>
      <c r="I1835" s="289">
        <v>352</v>
      </c>
      <c r="J1835" s="289">
        <v>70</v>
      </c>
      <c r="K1835" s="289">
        <v>7</v>
      </c>
      <c r="L1835" s="289">
        <v>3949</v>
      </c>
    </row>
    <row r="1836" spans="1:12">
      <c r="A1836" s="288" t="s">
        <v>2675</v>
      </c>
      <c r="B1836" s="288" t="s">
        <v>2591</v>
      </c>
      <c r="C1836" s="288" t="s">
        <v>814</v>
      </c>
      <c r="D1836" s="288" t="s">
        <v>818</v>
      </c>
      <c r="E1836" s="289">
        <v>10</v>
      </c>
      <c r="F1836" s="290">
        <v>13</v>
      </c>
      <c r="G1836" s="289">
        <v>1100</v>
      </c>
      <c r="H1836" s="289">
        <v>330</v>
      </c>
      <c r="I1836" s="289">
        <v>143</v>
      </c>
      <c r="J1836" s="289">
        <v>70</v>
      </c>
      <c r="K1836" s="289">
        <v>7</v>
      </c>
      <c r="L1836" s="289">
        <v>1650</v>
      </c>
    </row>
    <row r="1837" spans="1:12">
      <c r="A1837" s="288" t="s">
        <v>2676</v>
      </c>
      <c r="B1837" s="288" t="s">
        <v>2591</v>
      </c>
      <c r="C1837" s="288" t="s">
        <v>814</v>
      </c>
      <c r="D1837" s="288" t="s">
        <v>818</v>
      </c>
      <c r="E1837" s="289">
        <v>10</v>
      </c>
      <c r="F1837" s="290">
        <v>5</v>
      </c>
      <c r="G1837" s="289">
        <v>900</v>
      </c>
      <c r="H1837" s="289">
        <v>0</v>
      </c>
      <c r="I1837" s="289">
        <v>90</v>
      </c>
      <c r="J1837" s="289">
        <v>70</v>
      </c>
      <c r="K1837" s="289">
        <v>7</v>
      </c>
      <c r="L1837" s="289">
        <v>1067</v>
      </c>
    </row>
    <row r="1838" spans="1:12">
      <c r="A1838" s="288" t="s">
        <v>2677</v>
      </c>
      <c r="B1838" s="288" t="s">
        <v>2591</v>
      </c>
      <c r="C1838" s="288" t="s">
        <v>814</v>
      </c>
      <c r="D1838" s="288" t="s">
        <v>818</v>
      </c>
      <c r="E1838" s="289">
        <v>10</v>
      </c>
      <c r="F1838" s="290">
        <v>16</v>
      </c>
      <c r="G1838" s="289">
        <v>1100</v>
      </c>
      <c r="H1838" s="289">
        <v>660</v>
      </c>
      <c r="I1838" s="289">
        <v>176</v>
      </c>
      <c r="J1838" s="289">
        <v>70</v>
      </c>
      <c r="K1838" s="289">
        <v>7</v>
      </c>
      <c r="L1838" s="289">
        <v>2013</v>
      </c>
    </row>
    <row r="1839" spans="1:12">
      <c r="A1839" s="288" t="s">
        <v>2678</v>
      </c>
      <c r="B1839" s="288" t="s">
        <v>2591</v>
      </c>
      <c r="C1839" s="288" t="s">
        <v>814</v>
      </c>
      <c r="D1839" s="288" t="s">
        <v>818</v>
      </c>
      <c r="E1839" s="289">
        <v>10</v>
      </c>
      <c r="F1839" s="290">
        <v>26</v>
      </c>
      <c r="G1839" s="289">
        <v>1100</v>
      </c>
      <c r="H1839" s="289">
        <v>1760</v>
      </c>
      <c r="I1839" s="289">
        <v>286</v>
      </c>
      <c r="J1839" s="289">
        <v>70</v>
      </c>
      <c r="K1839" s="289">
        <v>7</v>
      </c>
      <c r="L1839" s="289">
        <v>3223</v>
      </c>
    </row>
    <row r="1840" spans="1:12">
      <c r="A1840" s="288" t="s">
        <v>2679</v>
      </c>
      <c r="B1840" s="288" t="s">
        <v>2591</v>
      </c>
      <c r="C1840" s="288" t="s">
        <v>814</v>
      </c>
      <c r="D1840" s="288" t="s">
        <v>818</v>
      </c>
      <c r="E1840" s="289">
        <v>10</v>
      </c>
      <c r="F1840" s="290">
        <v>13</v>
      </c>
      <c r="G1840" s="289">
        <v>1100</v>
      </c>
      <c r="H1840" s="289">
        <v>330</v>
      </c>
      <c r="I1840" s="289">
        <v>143</v>
      </c>
      <c r="J1840" s="289">
        <v>70</v>
      </c>
      <c r="K1840" s="289">
        <v>7</v>
      </c>
      <c r="L1840" s="289">
        <v>1650</v>
      </c>
    </row>
    <row r="1841" spans="1:12">
      <c r="A1841" s="288" t="s">
        <v>2680</v>
      </c>
      <c r="B1841" s="288" t="s">
        <v>2591</v>
      </c>
      <c r="C1841" s="288" t="s">
        <v>814</v>
      </c>
      <c r="D1841" s="288" t="s">
        <v>818</v>
      </c>
      <c r="E1841" s="289">
        <v>10</v>
      </c>
      <c r="F1841" s="290">
        <v>26</v>
      </c>
      <c r="G1841" s="289">
        <v>1100</v>
      </c>
      <c r="H1841" s="289">
        <v>1760</v>
      </c>
      <c r="I1841" s="289">
        <v>286</v>
      </c>
      <c r="J1841" s="289">
        <v>70</v>
      </c>
      <c r="K1841" s="289">
        <v>7</v>
      </c>
      <c r="L1841" s="289">
        <v>3223</v>
      </c>
    </row>
    <row r="1842" spans="1:12">
      <c r="A1842" s="288" t="s">
        <v>2681</v>
      </c>
      <c r="B1842" s="288" t="s">
        <v>2591</v>
      </c>
      <c r="C1842" s="288" t="s">
        <v>814</v>
      </c>
      <c r="D1842" s="288" t="s">
        <v>818</v>
      </c>
      <c r="E1842" s="289">
        <v>10</v>
      </c>
      <c r="F1842" s="290">
        <v>8</v>
      </c>
      <c r="G1842" s="289">
        <v>1100</v>
      </c>
      <c r="H1842" s="289">
        <v>0</v>
      </c>
      <c r="I1842" s="289">
        <v>110</v>
      </c>
      <c r="J1842" s="289">
        <v>70</v>
      </c>
      <c r="K1842" s="289">
        <v>7</v>
      </c>
      <c r="L1842" s="289">
        <v>1287</v>
      </c>
    </row>
    <row r="1843" spans="1:12">
      <c r="A1843" s="288" t="s">
        <v>2682</v>
      </c>
      <c r="B1843" s="288" t="s">
        <v>2591</v>
      </c>
      <c r="C1843" s="288" t="s">
        <v>814</v>
      </c>
      <c r="D1843" s="288" t="s">
        <v>818</v>
      </c>
      <c r="E1843" s="289">
        <v>10</v>
      </c>
      <c r="F1843" s="290">
        <v>18</v>
      </c>
      <c r="G1843" s="289">
        <v>1100</v>
      </c>
      <c r="H1843" s="289">
        <v>880</v>
      </c>
      <c r="I1843" s="289">
        <v>198</v>
      </c>
      <c r="J1843" s="289">
        <v>70</v>
      </c>
      <c r="K1843" s="289">
        <v>7</v>
      </c>
      <c r="L1843" s="289">
        <v>2255</v>
      </c>
    </row>
    <row r="1844" spans="1:12">
      <c r="A1844" s="288" t="s">
        <v>2683</v>
      </c>
      <c r="B1844" s="288" t="s">
        <v>2591</v>
      </c>
      <c r="C1844" s="288" t="s">
        <v>814</v>
      </c>
      <c r="D1844" s="288" t="s">
        <v>818</v>
      </c>
      <c r="E1844" s="289">
        <v>10</v>
      </c>
      <c r="F1844" s="290">
        <v>4</v>
      </c>
      <c r="G1844" s="289">
        <v>900</v>
      </c>
      <c r="H1844" s="289">
        <v>0</v>
      </c>
      <c r="I1844" s="289">
        <v>90</v>
      </c>
      <c r="J1844" s="289">
        <v>70</v>
      </c>
      <c r="K1844" s="289">
        <v>7</v>
      </c>
      <c r="L1844" s="289">
        <v>1067</v>
      </c>
    </row>
    <row r="1845" spans="1:12">
      <c r="A1845" s="288" t="s">
        <v>2684</v>
      </c>
      <c r="B1845" s="288" t="s">
        <v>2591</v>
      </c>
      <c r="C1845" s="288" t="s">
        <v>814</v>
      </c>
      <c r="D1845" s="288" t="s">
        <v>818</v>
      </c>
      <c r="E1845" s="289">
        <v>10</v>
      </c>
      <c r="F1845" s="290">
        <v>8</v>
      </c>
      <c r="G1845" s="289">
        <v>1100</v>
      </c>
      <c r="H1845" s="289">
        <v>0</v>
      </c>
      <c r="I1845" s="289">
        <v>110</v>
      </c>
      <c r="J1845" s="289">
        <v>70</v>
      </c>
      <c r="K1845" s="289">
        <v>7</v>
      </c>
      <c r="L1845" s="289">
        <v>1287</v>
      </c>
    </row>
    <row r="1846" spans="1:12">
      <c r="A1846" s="288" t="s">
        <v>2685</v>
      </c>
      <c r="B1846" s="288" t="s">
        <v>2591</v>
      </c>
      <c r="C1846" s="288" t="s">
        <v>814</v>
      </c>
      <c r="D1846" s="288" t="s">
        <v>818</v>
      </c>
      <c r="E1846" s="289">
        <v>10</v>
      </c>
      <c r="F1846" s="290">
        <v>9</v>
      </c>
      <c r="G1846" s="289">
        <v>1100</v>
      </c>
      <c r="H1846" s="289">
        <v>0</v>
      </c>
      <c r="I1846" s="289">
        <v>110</v>
      </c>
      <c r="J1846" s="289">
        <v>70</v>
      </c>
      <c r="K1846" s="289">
        <v>7</v>
      </c>
      <c r="L1846" s="289">
        <v>1287</v>
      </c>
    </row>
    <row r="1847" spans="1:12">
      <c r="A1847" s="288" t="s">
        <v>2686</v>
      </c>
      <c r="B1847" s="288" t="s">
        <v>2591</v>
      </c>
      <c r="C1847" s="288" t="s">
        <v>814</v>
      </c>
      <c r="D1847" s="288" t="s">
        <v>818</v>
      </c>
      <c r="E1847" s="289">
        <v>10</v>
      </c>
      <c r="F1847" s="290">
        <v>8</v>
      </c>
      <c r="G1847" s="289">
        <v>1100</v>
      </c>
      <c r="H1847" s="289">
        <v>0</v>
      </c>
      <c r="I1847" s="289">
        <v>110</v>
      </c>
      <c r="J1847" s="289">
        <v>70</v>
      </c>
      <c r="K1847" s="289">
        <v>7</v>
      </c>
      <c r="L1847" s="289">
        <v>1287</v>
      </c>
    </row>
    <row r="1848" spans="1:12">
      <c r="A1848" s="288" t="s">
        <v>2687</v>
      </c>
      <c r="B1848" s="288" t="s">
        <v>2591</v>
      </c>
      <c r="C1848" s="288" t="s">
        <v>814</v>
      </c>
      <c r="D1848" s="288" t="s">
        <v>818</v>
      </c>
      <c r="E1848" s="289">
        <v>10</v>
      </c>
      <c r="F1848" s="290">
        <v>4</v>
      </c>
      <c r="G1848" s="289">
        <v>900</v>
      </c>
      <c r="H1848" s="289">
        <v>0</v>
      </c>
      <c r="I1848" s="289">
        <v>90</v>
      </c>
      <c r="J1848" s="289">
        <v>70</v>
      </c>
      <c r="K1848" s="289">
        <v>7</v>
      </c>
      <c r="L1848" s="289">
        <v>1067</v>
      </c>
    </row>
    <row r="1849" spans="1:12">
      <c r="A1849" s="288" t="s">
        <v>2688</v>
      </c>
      <c r="B1849" s="288" t="s">
        <v>2591</v>
      </c>
      <c r="C1849" s="288" t="s">
        <v>814</v>
      </c>
      <c r="D1849" s="288" t="s">
        <v>818</v>
      </c>
      <c r="E1849" s="289">
        <v>10</v>
      </c>
      <c r="F1849" s="290">
        <v>8</v>
      </c>
      <c r="G1849" s="289">
        <v>1100</v>
      </c>
      <c r="H1849" s="289">
        <v>0</v>
      </c>
      <c r="I1849" s="289">
        <v>110</v>
      </c>
      <c r="J1849" s="289">
        <v>70</v>
      </c>
      <c r="K1849" s="289">
        <v>7</v>
      </c>
      <c r="L1849" s="289">
        <v>1287</v>
      </c>
    </row>
    <row r="1850" spans="1:12">
      <c r="A1850" s="288" t="s">
        <v>2689</v>
      </c>
      <c r="B1850" s="288" t="s">
        <v>2591</v>
      </c>
      <c r="C1850" s="288" t="s">
        <v>814</v>
      </c>
      <c r="D1850" s="288" t="s">
        <v>818</v>
      </c>
      <c r="E1850" s="289">
        <v>10</v>
      </c>
      <c r="F1850" s="290">
        <v>15</v>
      </c>
      <c r="G1850" s="289">
        <v>1100</v>
      </c>
      <c r="H1850" s="289">
        <v>550</v>
      </c>
      <c r="I1850" s="289">
        <v>165</v>
      </c>
      <c r="J1850" s="289">
        <v>70</v>
      </c>
      <c r="K1850" s="289">
        <v>7</v>
      </c>
      <c r="L1850" s="289">
        <v>1892</v>
      </c>
    </row>
    <row r="1851" spans="1:12">
      <c r="A1851" s="288" t="s">
        <v>2690</v>
      </c>
      <c r="B1851" s="288" t="s">
        <v>2591</v>
      </c>
      <c r="C1851" s="288" t="s">
        <v>814</v>
      </c>
      <c r="D1851" s="288" t="s">
        <v>818</v>
      </c>
      <c r="E1851" s="289">
        <v>10</v>
      </c>
      <c r="F1851" s="290">
        <v>1</v>
      </c>
      <c r="G1851" s="289">
        <v>900</v>
      </c>
      <c r="H1851" s="289">
        <v>0</v>
      </c>
      <c r="I1851" s="289">
        <v>90</v>
      </c>
      <c r="J1851" s="289">
        <v>70</v>
      </c>
      <c r="K1851" s="289">
        <v>7</v>
      </c>
      <c r="L1851" s="289">
        <v>1067</v>
      </c>
    </row>
    <row r="1852" spans="1:12">
      <c r="A1852" s="288" t="s">
        <v>2691</v>
      </c>
      <c r="B1852" s="288" t="s">
        <v>2591</v>
      </c>
      <c r="C1852" s="288" t="s">
        <v>814</v>
      </c>
      <c r="D1852" s="288" t="s">
        <v>818</v>
      </c>
      <c r="E1852" s="289">
        <v>10</v>
      </c>
      <c r="F1852" s="290">
        <v>14</v>
      </c>
      <c r="G1852" s="289">
        <v>1100</v>
      </c>
      <c r="H1852" s="289">
        <v>440</v>
      </c>
      <c r="I1852" s="289">
        <v>154</v>
      </c>
      <c r="J1852" s="289">
        <v>70</v>
      </c>
      <c r="K1852" s="289">
        <v>7</v>
      </c>
      <c r="L1852" s="289">
        <v>1771</v>
      </c>
    </row>
    <row r="1853" spans="1:12">
      <c r="A1853" s="288" t="s">
        <v>2692</v>
      </c>
      <c r="B1853" s="288" t="s">
        <v>2591</v>
      </c>
      <c r="C1853" s="288" t="s">
        <v>814</v>
      </c>
      <c r="D1853" s="288" t="s">
        <v>818</v>
      </c>
      <c r="E1853" s="289">
        <v>10</v>
      </c>
      <c r="F1853" s="290">
        <v>8</v>
      </c>
      <c r="G1853" s="289">
        <v>1100</v>
      </c>
      <c r="H1853" s="289">
        <v>0</v>
      </c>
      <c r="I1853" s="289">
        <v>110</v>
      </c>
      <c r="J1853" s="289">
        <v>70</v>
      </c>
      <c r="K1853" s="289">
        <v>7</v>
      </c>
      <c r="L1853" s="289">
        <v>1287</v>
      </c>
    </row>
    <row r="1854" spans="1:12">
      <c r="A1854" s="288" t="s">
        <v>2693</v>
      </c>
      <c r="B1854" s="288" t="s">
        <v>2591</v>
      </c>
      <c r="C1854" s="288" t="s">
        <v>814</v>
      </c>
      <c r="D1854" s="288" t="s">
        <v>818</v>
      </c>
      <c r="E1854" s="289">
        <v>10</v>
      </c>
      <c r="F1854" s="290">
        <v>20</v>
      </c>
      <c r="G1854" s="289">
        <v>1100</v>
      </c>
      <c r="H1854" s="289">
        <v>1100</v>
      </c>
      <c r="I1854" s="289">
        <v>220</v>
      </c>
      <c r="J1854" s="289">
        <v>70</v>
      </c>
      <c r="K1854" s="289">
        <v>7</v>
      </c>
      <c r="L1854" s="289">
        <v>2497</v>
      </c>
    </row>
    <row r="1855" spans="1:12">
      <c r="A1855" s="288" t="s">
        <v>2694</v>
      </c>
      <c r="B1855" s="288" t="s">
        <v>2591</v>
      </c>
      <c r="C1855" s="288" t="s">
        <v>814</v>
      </c>
      <c r="D1855" s="288" t="s">
        <v>818</v>
      </c>
      <c r="E1855" s="289">
        <v>10</v>
      </c>
      <c r="F1855" s="290">
        <v>42</v>
      </c>
      <c r="G1855" s="289">
        <v>1100</v>
      </c>
      <c r="H1855" s="289">
        <v>3520</v>
      </c>
      <c r="I1855" s="289">
        <v>462</v>
      </c>
      <c r="J1855" s="289">
        <v>70</v>
      </c>
      <c r="K1855" s="289">
        <v>7</v>
      </c>
      <c r="L1855" s="289">
        <v>5159</v>
      </c>
    </row>
    <row r="1856" spans="1:12">
      <c r="A1856" s="288" t="s">
        <v>2695</v>
      </c>
      <c r="B1856" s="288" t="s">
        <v>2591</v>
      </c>
      <c r="C1856" s="288" t="s">
        <v>814</v>
      </c>
      <c r="D1856" s="288" t="s">
        <v>818</v>
      </c>
      <c r="E1856" s="289">
        <v>10</v>
      </c>
      <c r="F1856" s="290">
        <v>6</v>
      </c>
      <c r="G1856" s="289">
        <v>1100</v>
      </c>
      <c r="H1856" s="289">
        <v>0</v>
      </c>
      <c r="I1856" s="289">
        <v>110</v>
      </c>
      <c r="J1856" s="289">
        <v>70</v>
      </c>
      <c r="K1856" s="289">
        <v>7</v>
      </c>
      <c r="L1856" s="289">
        <v>1287</v>
      </c>
    </row>
    <row r="1857" spans="1:12">
      <c r="A1857" s="288" t="s">
        <v>2696</v>
      </c>
      <c r="B1857" s="288" t="s">
        <v>2591</v>
      </c>
      <c r="C1857" s="288" t="s">
        <v>814</v>
      </c>
      <c r="D1857" s="288" t="s">
        <v>818</v>
      </c>
      <c r="E1857" s="289">
        <v>10</v>
      </c>
      <c r="F1857" s="290">
        <v>11</v>
      </c>
      <c r="G1857" s="289">
        <v>1100</v>
      </c>
      <c r="H1857" s="289">
        <v>110</v>
      </c>
      <c r="I1857" s="289">
        <v>121</v>
      </c>
      <c r="J1857" s="289">
        <v>70</v>
      </c>
      <c r="K1857" s="289">
        <v>7</v>
      </c>
      <c r="L1857" s="289">
        <v>1408</v>
      </c>
    </row>
    <row r="1858" spans="1:12">
      <c r="A1858" s="288" t="s">
        <v>2697</v>
      </c>
      <c r="B1858" s="288" t="s">
        <v>2591</v>
      </c>
      <c r="C1858" s="288" t="s">
        <v>814</v>
      </c>
      <c r="D1858" s="288" t="s">
        <v>818</v>
      </c>
      <c r="E1858" s="289">
        <v>10</v>
      </c>
      <c r="F1858" s="290">
        <v>20</v>
      </c>
      <c r="G1858" s="289">
        <v>1100</v>
      </c>
      <c r="H1858" s="289">
        <v>1100</v>
      </c>
      <c r="I1858" s="289">
        <v>220</v>
      </c>
      <c r="J1858" s="289">
        <v>70</v>
      </c>
      <c r="K1858" s="289">
        <v>7</v>
      </c>
      <c r="L1858" s="289">
        <v>2497</v>
      </c>
    </row>
    <row r="1859" spans="1:12">
      <c r="A1859" s="288" t="s">
        <v>2698</v>
      </c>
      <c r="B1859" s="288" t="s">
        <v>2591</v>
      </c>
      <c r="C1859" s="288" t="s">
        <v>814</v>
      </c>
      <c r="D1859" s="288" t="s">
        <v>818</v>
      </c>
      <c r="E1859" s="289">
        <v>10</v>
      </c>
      <c r="F1859" s="290">
        <v>39</v>
      </c>
      <c r="G1859" s="289">
        <v>1100</v>
      </c>
      <c r="H1859" s="289">
        <v>3190</v>
      </c>
      <c r="I1859" s="289">
        <v>429</v>
      </c>
      <c r="J1859" s="289">
        <v>70</v>
      </c>
      <c r="K1859" s="289">
        <v>7</v>
      </c>
      <c r="L1859" s="289">
        <v>4796</v>
      </c>
    </row>
    <row r="1860" spans="1:12">
      <c r="A1860" s="288" t="s">
        <v>2699</v>
      </c>
      <c r="B1860" s="288" t="s">
        <v>2591</v>
      </c>
      <c r="C1860" s="288" t="s">
        <v>814</v>
      </c>
      <c r="D1860" s="288" t="s">
        <v>818</v>
      </c>
      <c r="E1860" s="289">
        <v>10</v>
      </c>
      <c r="F1860" s="290">
        <v>15</v>
      </c>
      <c r="G1860" s="289">
        <v>1100</v>
      </c>
      <c r="H1860" s="289">
        <v>550</v>
      </c>
      <c r="I1860" s="289">
        <v>165</v>
      </c>
      <c r="J1860" s="289">
        <v>70</v>
      </c>
      <c r="K1860" s="289">
        <v>7</v>
      </c>
      <c r="L1860" s="289">
        <v>1892</v>
      </c>
    </row>
    <row r="1861" spans="1:12">
      <c r="A1861" s="288" t="s">
        <v>2700</v>
      </c>
      <c r="B1861" s="288" t="s">
        <v>2591</v>
      </c>
      <c r="C1861" s="288" t="s">
        <v>814</v>
      </c>
      <c r="D1861" s="288" t="s">
        <v>818</v>
      </c>
      <c r="E1861" s="289">
        <v>10</v>
      </c>
      <c r="F1861" s="290">
        <v>3</v>
      </c>
      <c r="G1861" s="289">
        <v>900</v>
      </c>
      <c r="H1861" s="289">
        <v>0</v>
      </c>
      <c r="I1861" s="289">
        <v>90</v>
      </c>
      <c r="J1861" s="289">
        <v>70</v>
      </c>
      <c r="K1861" s="289">
        <v>7</v>
      </c>
      <c r="L1861" s="289">
        <v>1067</v>
      </c>
    </row>
    <row r="1862" spans="1:12">
      <c r="A1862" s="288" t="s">
        <v>2701</v>
      </c>
      <c r="B1862" s="288" t="s">
        <v>2591</v>
      </c>
      <c r="C1862" s="288" t="s">
        <v>814</v>
      </c>
      <c r="D1862" s="288" t="s">
        <v>818</v>
      </c>
      <c r="E1862" s="289">
        <v>10</v>
      </c>
      <c r="F1862" s="290">
        <v>29</v>
      </c>
      <c r="G1862" s="289">
        <v>1100</v>
      </c>
      <c r="H1862" s="289">
        <v>2090</v>
      </c>
      <c r="I1862" s="289">
        <v>319</v>
      </c>
      <c r="J1862" s="289">
        <v>70</v>
      </c>
      <c r="K1862" s="289">
        <v>7</v>
      </c>
      <c r="L1862" s="289">
        <v>3586</v>
      </c>
    </row>
    <row r="1863" spans="1:12">
      <c r="A1863" s="288" t="s">
        <v>2702</v>
      </c>
      <c r="B1863" s="288" t="s">
        <v>2591</v>
      </c>
      <c r="C1863" s="288" t="s">
        <v>814</v>
      </c>
      <c r="D1863" s="288" t="s">
        <v>818</v>
      </c>
      <c r="E1863" s="289">
        <v>10</v>
      </c>
      <c r="F1863" s="290">
        <v>12</v>
      </c>
      <c r="G1863" s="289">
        <v>1100</v>
      </c>
      <c r="H1863" s="289">
        <v>220</v>
      </c>
      <c r="I1863" s="289">
        <v>132</v>
      </c>
      <c r="J1863" s="289">
        <v>70</v>
      </c>
      <c r="K1863" s="289">
        <v>7</v>
      </c>
      <c r="L1863" s="289">
        <v>1529</v>
      </c>
    </row>
    <row r="1864" spans="1:12">
      <c r="A1864" s="288" t="s">
        <v>2703</v>
      </c>
      <c r="B1864" s="288" t="s">
        <v>2591</v>
      </c>
      <c r="C1864" s="288" t="s">
        <v>814</v>
      </c>
      <c r="D1864" s="288" t="s">
        <v>818</v>
      </c>
      <c r="E1864" s="289">
        <v>10</v>
      </c>
      <c r="F1864" s="290">
        <v>14</v>
      </c>
      <c r="G1864" s="289">
        <v>1100</v>
      </c>
      <c r="H1864" s="289">
        <v>440</v>
      </c>
      <c r="I1864" s="289">
        <v>154</v>
      </c>
      <c r="J1864" s="289">
        <v>70</v>
      </c>
      <c r="K1864" s="289">
        <v>7</v>
      </c>
      <c r="L1864" s="289">
        <v>1771</v>
      </c>
    </row>
    <row r="1865" spans="1:12">
      <c r="A1865" s="288" t="s">
        <v>2704</v>
      </c>
      <c r="B1865" s="288" t="s">
        <v>2591</v>
      </c>
      <c r="C1865" s="288" t="s">
        <v>814</v>
      </c>
      <c r="D1865" s="288" t="s">
        <v>818</v>
      </c>
      <c r="E1865" s="289">
        <v>10</v>
      </c>
      <c r="F1865" s="290">
        <v>11</v>
      </c>
      <c r="G1865" s="289">
        <v>1100</v>
      </c>
      <c r="H1865" s="289">
        <v>110</v>
      </c>
      <c r="I1865" s="289">
        <v>121</v>
      </c>
      <c r="J1865" s="289">
        <v>70</v>
      </c>
      <c r="K1865" s="289">
        <v>7</v>
      </c>
      <c r="L1865" s="289">
        <v>1408</v>
      </c>
    </row>
    <row r="1866" spans="1:12">
      <c r="A1866" s="288" t="s">
        <v>2705</v>
      </c>
      <c r="B1866" s="288" t="s">
        <v>2591</v>
      </c>
      <c r="C1866" s="288" t="s">
        <v>814</v>
      </c>
      <c r="D1866" s="288" t="s">
        <v>818</v>
      </c>
      <c r="E1866" s="289">
        <v>10</v>
      </c>
      <c r="F1866" s="290">
        <v>0</v>
      </c>
      <c r="G1866" s="289">
        <v>900</v>
      </c>
      <c r="H1866" s="289">
        <v>0</v>
      </c>
      <c r="I1866" s="289">
        <v>90</v>
      </c>
      <c r="J1866" s="289">
        <v>70</v>
      </c>
      <c r="K1866" s="289">
        <v>7</v>
      </c>
      <c r="L1866" s="289">
        <v>1067</v>
      </c>
    </row>
    <row r="1867" spans="1:12">
      <c r="A1867" s="288" t="s">
        <v>2706</v>
      </c>
      <c r="B1867" s="288" t="s">
        <v>2591</v>
      </c>
      <c r="C1867" s="288" t="s">
        <v>814</v>
      </c>
      <c r="D1867" s="288" t="s">
        <v>818</v>
      </c>
      <c r="E1867" s="289">
        <v>10</v>
      </c>
      <c r="F1867" s="290">
        <v>10</v>
      </c>
      <c r="G1867" s="289">
        <v>1100</v>
      </c>
      <c r="H1867" s="289">
        <v>0</v>
      </c>
      <c r="I1867" s="289">
        <v>110</v>
      </c>
      <c r="J1867" s="289">
        <v>70</v>
      </c>
      <c r="K1867" s="289">
        <v>7</v>
      </c>
      <c r="L1867" s="289">
        <v>1287</v>
      </c>
    </row>
    <row r="1868" spans="1:12">
      <c r="A1868" s="288" t="s">
        <v>2707</v>
      </c>
      <c r="B1868" s="288" t="s">
        <v>2591</v>
      </c>
      <c r="C1868" s="288" t="s">
        <v>814</v>
      </c>
      <c r="D1868" s="288" t="s">
        <v>818</v>
      </c>
      <c r="E1868" s="289">
        <v>10</v>
      </c>
      <c r="F1868" s="290">
        <v>19</v>
      </c>
      <c r="G1868" s="289">
        <v>1100</v>
      </c>
      <c r="H1868" s="289">
        <v>990</v>
      </c>
      <c r="I1868" s="289">
        <v>209</v>
      </c>
      <c r="J1868" s="289">
        <v>70</v>
      </c>
      <c r="K1868" s="289">
        <v>7</v>
      </c>
      <c r="L1868" s="289">
        <v>2376</v>
      </c>
    </row>
    <row r="1869" spans="1:12">
      <c r="A1869" s="288" t="s">
        <v>2708</v>
      </c>
      <c r="B1869" s="288" t="s">
        <v>2591</v>
      </c>
      <c r="C1869" s="288" t="s">
        <v>829</v>
      </c>
      <c r="D1869" s="288" t="s">
        <v>818</v>
      </c>
      <c r="E1869" s="289">
        <v>10</v>
      </c>
      <c r="F1869" s="290">
        <v>0</v>
      </c>
      <c r="G1869" s="289">
        <v>900</v>
      </c>
      <c r="H1869" s="289">
        <v>0</v>
      </c>
      <c r="I1869" s="289">
        <v>90</v>
      </c>
      <c r="J1869" s="289">
        <v>70</v>
      </c>
      <c r="K1869" s="289">
        <v>7</v>
      </c>
      <c r="L1869" s="289">
        <v>1067</v>
      </c>
    </row>
    <row r="1870" spans="1:12">
      <c r="A1870" s="288" t="s">
        <v>2709</v>
      </c>
      <c r="B1870" s="288" t="s">
        <v>2591</v>
      </c>
      <c r="C1870" s="288" t="s">
        <v>829</v>
      </c>
      <c r="D1870" s="288" t="s">
        <v>815</v>
      </c>
      <c r="E1870" s="289">
        <v>10</v>
      </c>
      <c r="F1870" s="290">
        <v>0</v>
      </c>
      <c r="G1870" s="289">
        <v>900</v>
      </c>
      <c r="H1870" s="289">
        <v>0</v>
      </c>
      <c r="I1870" s="289">
        <v>90</v>
      </c>
      <c r="J1870" s="289">
        <v>50</v>
      </c>
      <c r="K1870" s="289">
        <v>5</v>
      </c>
      <c r="L1870" s="289">
        <v>1045</v>
      </c>
    </row>
    <row r="1871" spans="1:12">
      <c r="A1871" s="288" t="s">
        <v>2710</v>
      </c>
      <c r="B1871" s="288" t="s">
        <v>2591</v>
      </c>
      <c r="C1871" s="288" t="s">
        <v>814</v>
      </c>
      <c r="D1871" s="288" t="s">
        <v>818</v>
      </c>
      <c r="E1871" s="289">
        <v>10</v>
      </c>
      <c r="F1871" s="290">
        <v>11</v>
      </c>
      <c r="G1871" s="289">
        <v>1100</v>
      </c>
      <c r="H1871" s="289">
        <v>110</v>
      </c>
      <c r="I1871" s="289">
        <v>121</v>
      </c>
      <c r="J1871" s="289">
        <v>70</v>
      </c>
      <c r="K1871" s="289">
        <v>7</v>
      </c>
      <c r="L1871" s="289">
        <v>1408</v>
      </c>
    </row>
    <row r="1872" spans="1:12">
      <c r="A1872" s="288" t="s">
        <v>2711</v>
      </c>
      <c r="B1872" s="288" t="s">
        <v>2591</v>
      </c>
      <c r="C1872" s="288" t="s">
        <v>814</v>
      </c>
      <c r="D1872" s="288" t="s">
        <v>818</v>
      </c>
      <c r="E1872" s="289">
        <v>10</v>
      </c>
      <c r="F1872" s="290">
        <v>3</v>
      </c>
      <c r="G1872" s="289">
        <v>900</v>
      </c>
      <c r="H1872" s="289">
        <v>0</v>
      </c>
      <c r="I1872" s="289">
        <v>90</v>
      </c>
      <c r="J1872" s="289">
        <v>70</v>
      </c>
      <c r="K1872" s="289">
        <v>7</v>
      </c>
      <c r="L1872" s="289">
        <v>1067</v>
      </c>
    </row>
    <row r="1873" spans="1:12">
      <c r="A1873" s="288" t="s">
        <v>2712</v>
      </c>
      <c r="B1873" s="288" t="s">
        <v>2591</v>
      </c>
      <c r="C1873" s="288" t="s">
        <v>814</v>
      </c>
      <c r="D1873" s="288" t="s">
        <v>818</v>
      </c>
      <c r="E1873" s="289">
        <v>10</v>
      </c>
      <c r="F1873" s="290">
        <v>5</v>
      </c>
      <c r="G1873" s="289">
        <v>900</v>
      </c>
      <c r="H1873" s="289">
        <v>0</v>
      </c>
      <c r="I1873" s="289">
        <v>90</v>
      </c>
      <c r="J1873" s="289">
        <v>70</v>
      </c>
      <c r="K1873" s="289">
        <v>7</v>
      </c>
      <c r="L1873" s="289">
        <v>1067</v>
      </c>
    </row>
    <row r="1874" spans="1:12">
      <c r="A1874" s="288" t="s">
        <v>2713</v>
      </c>
      <c r="B1874" s="288" t="s">
        <v>2591</v>
      </c>
      <c r="C1874" s="288" t="s">
        <v>814</v>
      </c>
      <c r="D1874" s="288" t="s">
        <v>818</v>
      </c>
      <c r="E1874" s="289">
        <v>10</v>
      </c>
      <c r="F1874" s="290">
        <v>7</v>
      </c>
      <c r="G1874" s="289">
        <v>1100</v>
      </c>
      <c r="H1874" s="289">
        <v>0</v>
      </c>
      <c r="I1874" s="289">
        <v>110</v>
      </c>
      <c r="J1874" s="289">
        <v>70</v>
      </c>
      <c r="K1874" s="289">
        <v>7</v>
      </c>
      <c r="L1874" s="289">
        <v>1287</v>
      </c>
    </row>
    <row r="1875" spans="1:12">
      <c r="A1875" s="288" t="s">
        <v>2714</v>
      </c>
      <c r="B1875" s="288" t="s">
        <v>2591</v>
      </c>
      <c r="C1875" s="288" t="s">
        <v>814</v>
      </c>
      <c r="D1875" s="288" t="s">
        <v>818</v>
      </c>
      <c r="E1875" s="289">
        <v>10</v>
      </c>
      <c r="F1875" s="290">
        <v>19</v>
      </c>
      <c r="G1875" s="289">
        <v>1100</v>
      </c>
      <c r="H1875" s="289">
        <v>990</v>
      </c>
      <c r="I1875" s="289">
        <v>209</v>
      </c>
      <c r="J1875" s="289">
        <v>70</v>
      </c>
      <c r="K1875" s="289">
        <v>7</v>
      </c>
      <c r="L1875" s="289">
        <v>2376</v>
      </c>
    </row>
    <row r="1876" spans="1:12">
      <c r="A1876" s="288" t="s">
        <v>2715</v>
      </c>
      <c r="B1876" s="288" t="s">
        <v>2591</v>
      </c>
      <c r="C1876" s="288" t="s">
        <v>814</v>
      </c>
      <c r="D1876" s="288" t="s">
        <v>818</v>
      </c>
      <c r="E1876" s="289">
        <v>10</v>
      </c>
      <c r="F1876" s="290">
        <v>4</v>
      </c>
      <c r="G1876" s="289">
        <v>900</v>
      </c>
      <c r="H1876" s="289">
        <v>0</v>
      </c>
      <c r="I1876" s="289">
        <v>90</v>
      </c>
      <c r="J1876" s="289">
        <v>70</v>
      </c>
      <c r="K1876" s="289">
        <v>7</v>
      </c>
      <c r="L1876" s="289">
        <v>1067</v>
      </c>
    </row>
    <row r="1877" spans="1:12">
      <c r="A1877" s="288" t="s">
        <v>2716</v>
      </c>
      <c r="B1877" s="288" t="s">
        <v>2591</v>
      </c>
      <c r="C1877" s="288" t="s">
        <v>814</v>
      </c>
      <c r="D1877" s="288" t="s">
        <v>818</v>
      </c>
      <c r="E1877" s="289">
        <v>10</v>
      </c>
      <c r="F1877" s="290">
        <v>23</v>
      </c>
      <c r="G1877" s="289">
        <v>1100</v>
      </c>
      <c r="H1877" s="289">
        <v>1430</v>
      </c>
      <c r="I1877" s="289">
        <v>253</v>
      </c>
      <c r="J1877" s="289">
        <v>70</v>
      </c>
      <c r="K1877" s="289">
        <v>7</v>
      </c>
      <c r="L1877" s="289">
        <v>2860</v>
      </c>
    </row>
    <row r="1878" spans="1:12">
      <c r="A1878" s="288" t="s">
        <v>2717</v>
      </c>
      <c r="B1878" s="288" t="s">
        <v>2591</v>
      </c>
      <c r="C1878" s="288" t="s">
        <v>814</v>
      </c>
      <c r="D1878" s="288" t="s">
        <v>818</v>
      </c>
      <c r="E1878" s="289">
        <v>10</v>
      </c>
      <c r="F1878" s="290">
        <v>19</v>
      </c>
      <c r="G1878" s="289">
        <v>1100</v>
      </c>
      <c r="H1878" s="289">
        <v>990</v>
      </c>
      <c r="I1878" s="289">
        <v>209</v>
      </c>
      <c r="J1878" s="289">
        <v>70</v>
      </c>
      <c r="K1878" s="289">
        <v>7</v>
      </c>
      <c r="L1878" s="289">
        <v>2376</v>
      </c>
    </row>
    <row r="1879" spans="1:12">
      <c r="A1879" s="288" t="s">
        <v>2718</v>
      </c>
      <c r="B1879" s="288" t="s">
        <v>2591</v>
      </c>
      <c r="C1879" s="288" t="s">
        <v>814</v>
      </c>
      <c r="D1879" s="288" t="s">
        <v>818</v>
      </c>
      <c r="E1879" s="289">
        <v>10</v>
      </c>
      <c r="F1879" s="290">
        <v>15</v>
      </c>
      <c r="G1879" s="289">
        <v>1100</v>
      </c>
      <c r="H1879" s="289">
        <v>550</v>
      </c>
      <c r="I1879" s="289">
        <v>165</v>
      </c>
      <c r="J1879" s="289">
        <v>70</v>
      </c>
      <c r="K1879" s="289">
        <v>7</v>
      </c>
      <c r="L1879" s="289">
        <v>1892</v>
      </c>
    </row>
    <row r="1880" spans="1:12">
      <c r="A1880" s="288" t="s">
        <v>2719</v>
      </c>
      <c r="B1880" s="288" t="s">
        <v>2591</v>
      </c>
      <c r="C1880" s="288" t="s">
        <v>814</v>
      </c>
      <c r="D1880" s="288" t="s">
        <v>818</v>
      </c>
      <c r="E1880" s="289">
        <v>10</v>
      </c>
      <c r="F1880" s="290">
        <v>4</v>
      </c>
      <c r="G1880" s="289">
        <v>900</v>
      </c>
      <c r="H1880" s="289">
        <v>0</v>
      </c>
      <c r="I1880" s="289">
        <v>90</v>
      </c>
      <c r="J1880" s="289">
        <v>70</v>
      </c>
      <c r="K1880" s="289">
        <v>7</v>
      </c>
      <c r="L1880" s="289">
        <v>1067</v>
      </c>
    </row>
    <row r="1881" spans="1:12">
      <c r="A1881" s="288" t="s">
        <v>2720</v>
      </c>
      <c r="B1881" s="288" t="s">
        <v>2591</v>
      </c>
      <c r="C1881" s="288" t="s">
        <v>814</v>
      </c>
      <c r="D1881" s="288" t="s">
        <v>818</v>
      </c>
      <c r="E1881" s="289">
        <v>10</v>
      </c>
      <c r="F1881" s="290">
        <v>25</v>
      </c>
      <c r="G1881" s="289">
        <v>1100</v>
      </c>
      <c r="H1881" s="289">
        <v>1650</v>
      </c>
      <c r="I1881" s="289">
        <v>275</v>
      </c>
      <c r="J1881" s="289">
        <v>70</v>
      </c>
      <c r="K1881" s="289">
        <v>7</v>
      </c>
      <c r="L1881" s="289">
        <v>3102</v>
      </c>
    </row>
    <row r="1882" spans="1:12">
      <c r="A1882" s="288" t="s">
        <v>2721</v>
      </c>
      <c r="B1882" s="288" t="s">
        <v>2591</v>
      </c>
      <c r="C1882" s="288" t="s">
        <v>814</v>
      </c>
      <c r="D1882" s="288" t="s">
        <v>818</v>
      </c>
      <c r="E1882" s="289">
        <v>10</v>
      </c>
      <c r="F1882" s="290">
        <v>6</v>
      </c>
      <c r="G1882" s="289">
        <v>1100</v>
      </c>
      <c r="H1882" s="289">
        <v>0</v>
      </c>
      <c r="I1882" s="289">
        <v>110</v>
      </c>
      <c r="J1882" s="289">
        <v>70</v>
      </c>
      <c r="K1882" s="289">
        <v>7</v>
      </c>
      <c r="L1882" s="289">
        <v>1287</v>
      </c>
    </row>
    <row r="1883" spans="1:12">
      <c r="A1883" s="288" t="s">
        <v>2722</v>
      </c>
      <c r="B1883" s="288" t="s">
        <v>2591</v>
      </c>
      <c r="C1883" s="288" t="s">
        <v>814</v>
      </c>
      <c r="D1883" s="288" t="s">
        <v>818</v>
      </c>
      <c r="E1883" s="289">
        <v>10</v>
      </c>
      <c r="F1883" s="290">
        <v>10</v>
      </c>
      <c r="G1883" s="289">
        <v>1100</v>
      </c>
      <c r="H1883" s="289">
        <v>0</v>
      </c>
      <c r="I1883" s="289">
        <v>110</v>
      </c>
      <c r="J1883" s="289">
        <v>70</v>
      </c>
      <c r="K1883" s="289">
        <v>7</v>
      </c>
      <c r="L1883" s="289">
        <v>1287</v>
      </c>
    </row>
    <row r="1884" spans="1:12">
      <c r="A1884" s="288" t="s">
        <v>2723</v>
      </c>
      <c r="B1884" s="288" t="s">
        <v>2591</v>
      </c>
      <c r="C1884" s="288" t="s">
        <v>814</v>
      </c>
      <c r="D1884" s="288" t="s">
        <v>818</v>
      </c>
      <c r="E1884" s="289">
        <v>10</v>
      </c>
      <c r="F1884" s="290">
        <v>6</v>
      </c>
      <c r="G1884" s="289">
        <v>1100</v>
      </c>
      <c r="H1884" s="289">
        <v>0</v>
      </c>
      <c r="I1884" s="289">
        <v>110</v>
      </c>
      <c r="J1884" s="289">
        <v>70</v>
      </c>
      <c r="K1884" s="289">
        <v>7</v>
      </c>
      <c r="L1884" s="289">
        <v>1287</v>
      </c>
    </row>
    <row r="1885" spans="1:12">
      <c r="A1885" s="288" t="s">
        <v>2724</v>
      </c>
      <c r="B1885" s="288" t="s">
        <v>2591</v>
      </c>
      <c r="C1885" s="288" t="s">
        <v>814</v>
      </c>
      <c r="D1885" s="288" t="s">
        <v>818</v>
      </c>
      <c r="E1885" s="289">
        <v>10</v>
      </c>
      <c r="F1885" s="290">
        <v>1</v>
      </c>
      <c r="G1885" s="289">
        <v>900</v>
      </c>
      <c r="H1885" s="289">
        <v>0</v>
      </c>
      <c r="I1885" s="289">
        <v>90</v>
      </c>
      <c r="J1885" s="289">
        <v>70</v>
      </c>
      <c r="K1885" s="289">
        <v>7</v>
      </c>
      <c r="L1885" s="289">
        <v>1067</v>
      </c>
    </row>
    <row r="1886" spans="1:12">
      <c r="A1886" s="288" t="s">
        <v>2725</v>
      </c>
      <c r="B1886" s="288" t="s">
        <v>2591</v>
      </c>
      <c r="C1886" s="288" t="s">
        <v>814</v>
      </c>
      <c r="D1886" s="288" t="s">
        <v>818</v>
      </c>
      <c r="E1886" s="289">
        <v>10</v>
      </c>
      <c r="F1886" s="290">
        <v>8</v>
      </c>
      <c r="G1886" s="289">
        <v>1100</v>
      </c>
      <c r="H1886" s="289">
        <v>0</v>
      </c>
      <c r="I1886" s="289">
        <v>110</v>
      </c>
      <c r="J1886" s="289">
        <v>70</v>
      </c>
      <c r="K1886" s="289">
        <v>7</v>
      </c>
      <c r="L1886" s="289">
        <v>1287</v>
      </c>
    </row>
    <row r="1887" spans="1:12">
      <c r="A1887" s="288" t="s">
        <v>2726</v>
      </c>
      <c r="B1887" s="288" t="s">
        <v>2591</v>
      </c>
      <c r="C1887" s="288" t="s">
        <v>814</v>
      </c>
      <c r="D1887" s="288" t="s">
        <v>818</v>
      </c>
      <c r="E1887" s="289">
        <v>10</v>
      </c>
      <c r="F1887" s="290">
        <v>21</v>
      </c>
      <c r="G1887" s="289">
        <v>1100</v>
      </c>
      <c r="H1887" s="289">
        <v>1210</v>
      </c>
      <c r="I1887" s="289">
        <v>231</v>
      </c>
      <c r="J1887" s="289">
        <v>70</v>
      </c>
      <c r="K1887" s="289">
        <v>7</v>
      </c>
      <c r="L1887" s="289">
        <v>2618</v>
      </c>
    </row>
    <row r="1888" spans="1:12">
      <c r="A1888" s="288" t="s">
        <v>2727</v>
      </c>
      <c r="B1888" s="288" t="s">
        <v>2591</v>
      </c>
      <c r="C1888" s="288" t="s">
        <v>1095</v>
      </c>
      <c r="D1888" s="288" t="s">
        <v>818</v>
      </c>
      <c r="E1888" s="289">
        <v>10</v>
      </c>
      <c r="F1888" s="290">
        <v>0</v>
      </c>
      <c r="G1888" s="289">
        <v>900</v>
      </c>
      <c r="H1888" s="289">
        <v>0</v>
      </c>
      <c r="I1888" s="289">
        <v>90</v>
      </c>
      <c r="J1888" s="289">
        <v>70</v>
      </c>
      <c r="K1888" s="289">
        <v>7</v>
      </c>
      <c r="L1888" s="289">
        <v>1067</v>
      </c>
    </row>
    <row r="1889" spans="1:12">
      <c r="A1889" s="288" t="s">
        <v>2728</v>
      </c>
      <c r="B1889" s="288" t="s">
        <v>2591</v>
      </c>
      <c r="C1889" s="288" t="s">
        <v>814</v>
      </c>
      <c r="D1889" s="288" t="s">
        <v>818</v>
      </c>
      <c r="E1889" s="289">
        <v>10</v>
      </c>
      <c r="F1889" s="290">
        <v>25</v>
      </c>
      <c r="G1889" s="289">
        <v>1100</v>
      </c>
      <c r="H1889" s="289">
        <v>1650</v>
      </c>
      <c r="I1889" s="289">
        <v>275</v>
      </c>
      <c r="J1889" s="289">
        <v>70</v>
      </c>
      <c r="K1889" s="289">
        <v>7</v>
      </c>
      <c r="L1889" s="289">
        <v>3102</v>
      </c>
    </row>
    <row r="1890" spans="1:12">
      <c r="A1890" s="288" t="s">
        <v>2729</v>
      </c>
      <c r="B1890" s="288" t="s">
        <v>2591</v>
      </c>
      <c r="C1890" s="288" t="s">
        <v>814</v>
      </c>
      <c r="D1890" s="288" t="s">
        <v>818</v>
      </c>
      <c r="E1890" s="289">
        <v>10</v>
      </c>
      <c r="F1890" s="290">
        <v>10</v>
      </c>
      <c r="G1890" s="289">
        <v>1100</v>
      </c>
      <c r="H1890" s="289">
        <v>0</v>
      </c>
      <c r="I1890" s="289">
        <v>110</v>
      </c>
      <c r="J1890" s="289">
        <v>70</v>
      </c>
      <c r="K1890" s="289">
        <v>7</v>
      </c>
      <c r="L1890" s="289">
        <v>1287</v>
      </c>
    </row>
    <row r="1891" spans="1:12">
      <c r="A1891" s="288" t="s">
        <v>2730</v>
      </c>
      <c r="B1891" s="288" t="s">
        <v>2591</v>
      </c>
      <c r="C1891" s="288" t="s">
        <v>814</v>
      </c>
      <c r="D1891" s="288" t="s">
        <v>818</v>
      </c>
      <c r="E1891" s="289">
        <v>10</v>
      </c>
      <c r="F1891" s="290">
        <v>17</v>
      </c>
      <c r="G1891" s="289">
        <v>1100</v>
      </c>
      <c r="H1891" s="289">
        <v>770</v>
      </c>
      <c r="I1891" s="289">
        <v>187</v>
      </c>
      <c r="J1891" s="289">
        <v>70</v>
      </c>
      <c r="K1891" s="289">
        <v>7</v>
      </c>
      <c r="L1891" s="289">
        <v>2134</v>
      </c>
    </row>
    <row r="1892" spans="1:12">
      <c r="A1892" s="288" t="s">
        <v>2731</v>
      </c>
      <c r="B1892" s="288" t="s">
        <v>2591</v>
      </c>
      <c r="C1892" s="288" t="s">
        <v>814</v>
      </c>
      <c r="D1892" s="288" t="s">
        <v>818</v>
      </c>
      <c r="E1892" s="289">
        <v>10</v>
      </c>
      <c r="F1892" s="290">
        <v>17</v>
      </c>
      <c r="G1892" s="289">
        <v>1100</v>
      </c>
      <c r="H1892" s="289">
        <v>770</v>
      </c>
      <c r="I1892" s="289">
        <v>187</v>
      </c>
      <c r="J1892" s="289">
        <v>70</v>
      </c>
      <c r="K1892" s="289">
        <v>7</v>
      </c>
      <c r="L1892" s="289">
        <v>2134</v>
      </c>
    </row>
    <row r="1893" spans="1:12">
      <c r="A1893" s="288" t="s">
        <v>2732</v>
      </c>
      <c r="B1893" s="288" t="s">
        <v>2591</v>
      </c>
      <c r="C1893" s="288" t="s">
        <v>814</v>
      </c>
      <c r="D1893" s="288" t="s">
        <v>818</v>
      </c>
      <c r="E1893" s="289">
        <v>10</v>
      </c>
      <c r="F1893" s="290">
        <v>16</v>
      </c>
      <c r="G1893" s="289">
        <v>1100</v>
      </c>
      <c r="H1893" s="289">
        <v>660</v>
      </c>
      <c r="I1893" s="289">
        <v>176</v>
      </c>
      <c r="J1893" s="289">
        <v>70</v>
      </c>
      <c r="K1893" s="289">
        <v>7</v>
      </c>
      <c r="L1893" s="289">
        <v>2013</v>
      </c>
    </row>
    <row r="1894" spans="1:12">
      <c r="A1894" s="288" t="s">
        <v>2733</v>
      </c>
      <c r="B1894" s="288" t="s">
        <v>2591</v>
      </c>
      <c r="C1894" s="288" t="s">
        <v>814</v>
      </c>
      <c r="D1894" s="288" t="s">
        <v>818</v>
      </c>
      <c r="E1894" s="289">
        <v>10</v>
      </c>
      <c r="F1894" s="290">
        <v>3</v>
      </c>
      <c r="G1894" s="289">
        <v>900</v>
      </c>
      <c r="H1894" s="289">
        <v>0</v>
      </c>
      <c r="I1894" s="289">
        <v>90</v>
      </c>
      <c r="J1894" s="289">
        <v>70</v>
      </c>
      <c r="K1894" s="289">
        <v>7</v>
      </c>
      <c r="L1894" s="289">
        <v>1067</v>
      </c>
    </row>
    <row r="1895" spans="1:12">
      <c r="A1895" s="288" t="s">
        <v>2734</v>
      </c>
      <c r="B1895" s="288" t="s">
        <v>2591</v>
      </c>
      <c r="C1895" s="288" t="s">
        <v>814</v>
      </c>
      <c r="D1895" s="288" t="s">
        <v>818</v>
      </c>
      <c r="E1895" s="289">
        <v>10</v>
      </c>
      <c r="F1895" s="290">
        <v>5</v>
      </c>
      <c r="G1895" s="289">
        <v>900</v>
      </c>
      <c r="H1895" s="289">
        <v>0</v>
      </c>
      <c r="I1895" s="289">
        <v>90</v>
      </c>
      <c r="J1895" s="289">
        <v>70</v>
      </c>
      <c r="K1895" s="289">
        <v>7</v>
      </c>
      <c r="L1895" s="289">
        <v>1067</v>
      </c>
    </row>
    <row r="1896" spans="1:12">
      <c r="A1896" s="288" t="s">
        <v>2735</v>
      </c>
      <c r="B1896" s="288" t="s">
        <v>2591</v>
      </c>
      <c r="C1896" s="288" t="s">
        <v>820</v>
      </c>
      <c r="D1896" s="288" t="s">
        <v>818</v>
      </c>
      <c r="E1896" s="289">
        <v>10</v>
      </c>
      <c r="F1896" s="290">
        <v>2</v>
      </c>
      <c r="G1896" s="289">
        <v>900</v>
      </c>
      <c r="H1896" s="289">
        <v>0</v>
      </c>
      <c r="I1896" s="289">
        <v>90</v>
      </c>
      <c r="J1896" s="289">
        <v>70</v>
      </c>
      <c r="K1896" s="289">
        <v>7</v>
      </c>
      <c r="L1896" s="289">
        <v>1067</v>
      </c>
    </row>
    <row r="1897" spans="1:12">
      <c r="A1897" s="288" t="s">
        <v>2736</v>
      </c>
      <c r="B1897" s="288" t="s">
        <v>2591</v>
      </c>
      <c r="C1897" s="288" t="s">
        <v>820</v>
      </c>
      <c r="D1897" s="288" t="s">
        <v>818</v>
      </c>
      <c r="E1897" s="289">
        <v>10</v>
      </c>
      <c r="F1897" s="290">
        <v>19</v>
      </c>
      <c r="G1897" s="289">
        <v>1100</v>
      </c>
      <c r="H1897" s="289">
        <v>990</v>
      </c>
      <c r="I1897" s="289">
        <v>209</v>
      </c>
      <c r="J1897" s="289">
        <v>70</v>
      </c>
      <c r="K1897" s="289">
        <v>7</v>
      </c>
      <c r="L1897" s="289">
        <v>2376</v>
      </c>
    </row>
    <row r="1898" spans="1:12">
      <c r="A1898" s="288" t="s">
        <v>2737</v>
      </c>
      <c r="B1898" s="288" t="s">
        <v>2591</v>
      </c>
      <c r="C1898" s="288" t="s">
        <v>820</v>
      </c>
      <c r="D1898" s="288" t="s">
        <v>818</v>
      </c>
      <c r="E1898" s="289">
        <v>10</v>
      </c>
      <c r="F1898" s="290">
        <v>1</v>
      </c>
      <c r="G1898" s="289">
        <v>900</v>
      </c>
      <c r="H1898" s="289">
        <v>0</v>
      </c>
      <c r="I1898" s="289">
        <v>90</v>
      </c>
      <c r="J1898" s="289">
        <v>70</v>
      </c>
      <c r="K1898" s="289">
        <v>7</v>
      </c>
      <c r="L1898" s="289">
        <v>1067</v>
      </c>
    </row>
    <row r="1899" spans="1:12">
      <c r="A1899" s="288" t="s">
        <v>2738</v>
      </c>
      <c r="B1899" s="288" t="s">
        <v>2591</v>
      </c>
      <c r="C1899" s="288" t="s">
        <v>820</v>
      </c>
      <c r="D1899" s="288" t="s">
        <v>818</v>
      </c>
      <c r="E1899" s="289">
        <v>10</v>
      </c>
      <c r="F1899" s="290">
        <v>5</v>
      </c>
      <c r="G1899" s="289">
        <v>900</v>
      </c>
      <c r="H1899" s="289">
        <v>0</v>
      </c>
      <c r="I1899" s="289">
        <v>90</v>
      </c>
      <c r="J1899" s="289">
        <v>70</v>
      </c>
      <c r="K1899" s="289">
        <v>7</v>
      </c>
      <c r="L1899" s="289">
        <v>1067</v>
      </c>
    </row>
    <row r="1900" spans="1:12">
      <c r="A1900" s="288" t="s">
        <v>2739</v>
      </c>
      <c r="B1900" s="288" t="s">
        <v>2591</v>
      </c>
      <c r="C1900" s="288" t="s">
        <v>814</v>
      </c>
      <c r="D1900" s="288" t="s">
        <v>818</v>
      </c>
      <c r="E1900" s="289">
        <v>10</v>
      </c>
      <c r="F1900" s="290">
        <v>14</v>
      </c>
      <c r="G1900" s="289">
        <v>1100</v>
      </c>
      <c r="H1900" s="289">
        <v>440</v>
      </c>
      <c r="I1900" s="289">
        <v>154</v>
      </c>
      <c r="J1900" s="289">
        <v>70</v>
      </c>
      <c r="K1900" s="289">
        <v>7</v>
      </c>
      <c r="L1900" s="289">
        <v>1771</v>
      </c>
    </row>
    <row r="1901" spans="1:12">
      <c r="A1901" s="288" t="s">
        <v>2740</v>
      </c>
      <c r="B1901" s="288" t="s">
        <v>2591</v>
      </c>
      <c r="C1901" s="288" t="s">
        <v>820</v>
      </c>
      <c r="D1901" s="288" t="s">
        <v>818</v>
      </c>
      <c r="E1901" s="289">
        <v>10</v>
      </c>
      <c r="F1901" s="290">
        <v>2</v>
      </c>
      <c r="G1901" s="289">
        <v>900</v>
      </c>
      <c r="H1901" s="289">
        <v>0</v>
      </c>
      <c r="I1901" s="289">
        <v>90</v>
      </c>
      <c r="J1901" s="289">
        <v>70</v>
      </c>
      <c r="K1901" s="289">
        <v>7</v>
      </c>
      <c r="L1901" s="289">
        <v>1067</v>
      </c>
    </row>
    <row r="1902" spans="1:12">
      <c r="A1902" s="288" t="s">
        <v>2741</v>
      </c>
      <c r="B1902" s="288" t="s">
        <v>2591</v>
      </c>
      <c r="C1902" s="288" t="s">
        <v>814</v>
      </c>
      <c r="D1902" s="288" t="s">
        <v>818</v>
      </c>
      <c r="E1902" s="289">
        <v>10</v>
      </c>
      <c r="F1902" s="290">
        <v>4</v>
      </c>
      <c r="G1902" s="289">
        <v>900</v>
      </c>
      <c r="H1902" s="289">
        <v>0</v>
      </c>
      <c r="I1902" s="289">
        <v>90</v>
      </c>
      <c r="J1902" s="289">
        <v>70</v>
      </c>
      <c r="K1902" s="289">
        <v>7</v>
      </c>
      <c r="L1902" s="289">
        <v>1067</v>
      </c>
    </row>
    <row r="1903" spans="1:12">
      <c r="A1903" s="288" t="s">
        <v>2742</v>
      </c>
      <c r="B1903" s="288" t="s">
        <v>2591</v>
      </c>
      <c r="C1903" s="288" t="s">
        <v>814</v>
      </c>
      <c r="D1903" s="288" t="s">
        <v>818</v>
      </c>
      <c r="E1903" s="289">
        <v>10</v>
      </c>
      <c r="F1903" s="290">
        <v>14</v>
      </c>
      <c r="G1903" s="289">
        <v>1100</v>
      </c>
      <c r="H1903" s="289">
        <v>440</v>
      </c>
      <c r="I1903" s="289">
        <v>154</v>
      </c>
      <c r="J1903" s="289">
        <v>70</v>
      </c>
      <c r="K1903" s="289">
        <v>7</v>
      </c>
      <c r="L1903" s="289">
        <v>1771</v>
      </c>
    </row>
    <row r="1904" spans="1:12">
      <c r="A1904" s="288" t="s">
        <v>2743</v>
      </c>
      <c r="B1904" s="288" t="s">
        <v>2591</v>
      </c>
      <c r="C1904" s="288" t="s">
        <v>814</v>
      </c>
      <c r="D1904" s="288" t="s">
        <v>818</v>
      </c>
      <c r="E1904" s="289">
        <v>10</v>
      </c>
      <c r="F1904" s="290">
        <v>10</v>
      </c>
      <c r="G1904" s="289">
        <v>1100</v>
      </c>
      <c r="H1904" s="289">
        <v>0</v>
      </c>
      <c r="I1904" s="289">
        <v>110</v>
      </c>
      <c r="J1904" s="289">
        <v>70</v>
      </c>
      <c r="K1904" s="289">
        <v>7</v>
      </c>
      <c r="L1904" s="289">
        <v>1287</v>
      </c>
    </row>
    <row r="1905" spans="1:12">
      <c r="A1905" s="288" t="s">
        <v>2744</v>
      </c>
      <c r="B1905" s="288" t="s">
        <v>2591</v>
      </c>
      <c r="C1905" s="288" t="s">
        <v>833</v>
      </c>
      <c r="D1905" s="288" t="s">
        <v>822</v>
      </c>
      <c r="E1905" s="289">
        <v>10</v>
      </c>
      <c r="F1905" s="290">
        <v>3</v>
      </c>
      <c r="G1905" s="289">
        <v>900</v>
      </c>
      <c r="H1905" s="289">
        <v>0</v>
      </c>
      <c r="I1905" s="289">
        <v>90</v>
      </c>
      <c r="J1905" s="289">
        <v>200</v>
      </c>
      <c r="K1905" s="289">
        <v>20</v>
      </c>
      <c r="L1905" s="289">
        <v>1210</v>
      </c>
    </row>
    <row r="1906" spans="1:12">
      <c r="A1906" s="288" t="s">
        <v>2745</v>
      </c>
      <c r="B1906" s="288" t="s">
        <v>2591</v>
      </c>
      <c r="C1906" s="288" t="s">
        <v>833</v>
      </c>
      <c r="D1906" s="288" t="s">
        <v>822</v>
      </c>
      <c r="E1906" s="289">
        <v>10</v>
      </c>
      <c r="F1906" s="290">
        <v>178</v>
      </c>
      <c r="G1906" s="289">
        <v>1100</v>
      </c>
      <c r="H1906" s="289">
        <v>17700</v>
      </c>
      <c r="I1906" s="289">
        <v>1880</v>
      </c>
      <c r="J1906" s="289">
        <v>200</v>
      </c>
      <c r="K1906" s="289">
        <v>20</v>
      </c>
      <c r="L1906" s="289">
        <v>20900</v>
      </c>
    </row>
    <row r="1907" spans="1:12">
      <c r="A1907" s="288" t="s">
        <v>2746</v>
      </c>
      <c r="B1907" s="288" t="s">
        <v>2591</v>
      </c>
      <c r="C1907" s="288" t="s">
        <v>833</v>
      </c>
      <c r="D1907" s="288" t="s">
        <v>822</v>
      </c>
      <c r="E1907" s="289">
        <v>10</v>
      </c>
      <c r="F1907" s="290">
        <v>713</v>
      </c>
      <c r="G1907" s="289">
        <v>1100</v>
      </c>
      <c r="H1907" s="289">
        <v>71200</v>
      </c>
      <c r="I1907" s="289">
        <v>7230</v>
      </c>
      <c r="J1907" s="289">
        <v>200</v>
      </c>
      <c r="K1907" s="289">
        <v>20</v>
      </c>
      <c r="L1907" s="289">
        <v>79750</v>
      </c>
    </row>
    <row r="1908" spans="1:12">
      <c r="A1908" s="288" t="s">
        <v>2747</v>
      </c>
      <c r="B1908" s="288" t="s">
        <v>2591</v>
      </c>
      <c r="C1908" s="288" t="s">
        <v>833</v>
      </c>
      <c r="D1908" s="288" t="s">
        <v>837</v>
      </c>
      <c r="E1908" s="289">
        <v>10</v>
      </c>
      <c r="F1908" s="290">
        <v>129</v>
      </c>
      <c r="G1908" s="289">
        <v>1100</v>
      </c>
      <c r="H1908" s="289">
        <v>12800</v>
      </c>
      <c r="I1908" s="289">
        <v>1390</v>
      </c>
      <c r="J1908" s="289">
        <v>800</v>
      </c>
      <c r="K1908" s="289">
        <v>80</v>
      </c>
      <c r="L1908" s="289">
        <v>16170</v>
      </c>
    </row>
    <row r="1909" spans="1:12">
      <c r="A1909" s="288" t="s">
        <v>2748</v>
      </c>
      <c r="B1909" s="288" t="s">
        <v>2591</v>
      </c>
      <c r="C1909" s="288" t="s">
        <v>820</v>
      </c>
      <c r="D1909" s="288" t="s">
        <v>826</v>
      </c>
      <c r="E1909" s="289">
        <v>10</v>
      </c>
      <c r="F1909" s="290">
        <v>3</v>
      </c>
      <c r="G1909" s="289">
        <v>900</v>
      </c>
      <c r="H1909" s="289">
        <v>0</v>
      </c>
      <c r="I1909" s="289">
        <v>90</v>
      </c>
      <c r="J1909" s="289">
        <v>100</v>
      </c>
      <c r="K1909" s="289">
        <v>10</v>
      </c>
      <c r="L1909" s="289">
        <v>1100</v>
      </c>
    </row>
    <row r="1910" spans="1:12">
      <c r="A1910" s="288" t="s">
        <v>2749</v>
      </c>
      <c r="B1910" s="288" t="s">
        <v>2636</v>
      </c>
      <c r="C1910" s="288" t="s">
        <v>833</v>
      </c>
      <c r="D1910" s="288" t="s">
        <v>837</v>
      </c>
      <c r="E1910" s="289">
        <v>10</v>
      </c>
      <c r="F1910" s="290">
        <v>11</v>
      </c>
      <c r="G1910" s="289">
        <v>1100</v>
      </c>
      <c r="H1910" s="289">
        <v>110</v>
      </c>
      <c r="I1910" s="289">
        <v>121</v>
      </c>
      <c r="J1910" s="289">
        <v>800</v>
      </c>
      <c r="K1910" s="289">
        <v>80</v>
      </c>
      <c r="L1910" s="289">
        <v>2211</v>
      </c>
    </row>
    <row r="1911" spans="1:12">
      <c r="A1911" s="288" t="s">
        <v>2750</v>
      </c>
      <c r="B1911" s="288" t="s">
        <v>2636</v>
      </c>
      <c r="C1911" s="288" t="s">
        <v>833</v>
      </c>
      <c r="D1911" s="288" t="s">
        <v>818</v>
      </c>
      <c r="E1911" s="289">
        <v>10</v>
      </c>
      <c r="F1911" s="290">
        <v>3</v>
      </c>
      <c r="G1911" s="289">
        <v>900</v>
      </c>
      <c r="H1911" s="289">
        <v>0</v>
      </c>
      <c r="I1911" s="289">
        <v>90</v>
      </c>
      <c r="J1911" s="289">
        <v>70</v>
      </c>
      <c r="K1911" s="289">
        <v>7</v>
      </c>
      <c r="L1911" s="289">
        <v>1067</v>
      </c>
    </row>
    <row r="1912" spans="1:12">
      <c r="A1912" s="288" t="s">
        <v>2751</v>
      </c>
      <c r="B1912" s="288" t="s">
        <v>2636</v>
      </c>
      <c r="C1912" s="288" t="s">
        <v>833</v>
      </c>
      <c r="D1912" s="288" t="s">
        <v>837</v>
      </c>
      <c r="E1912" s="289">
        <v>10</v>
      </c>
      <c r="F1912" s="290">
        <v>769</v>
      </c>
      <c r="G1912" s="289">
        <v>1100</v>
      </c>
      <c r="H1912" s="289">
        <v>76800</v>
      </c>
      <c r="I1912" s="289">
        <v>7790</v>
      </c>
      <c r="J1912" s="289">
        <v>800</v>
      </c>
      <c r="K1912" s="289">
        <v>80</v>
      </c>
      <c r="L1912" s="289">
        <v>86570</v>
      </c>
    </row>
    <row r="1913" spans="1:12">
      <c r="A1913" s="288" t="s">
        <v>2752</v>
      </c>
      <c r="B1913" s="288" t="s">
        <v>2636</v>
      </c>
      <c r="C1913" s="288" t="s">
        <v>833</v>
      </c>
      <c r="D1913" s="288" t="s">
        <v>822</v>
      </c>
      <c r="E1913" s="289">
        <v>10</v>
      </c>
      <c r="F1913" s="290">
        <v>76</v>
      </c>
      <c r="G1913" s="289">
        <v>1100</v>
      </c>
      <c r="H1913" s="289">
        <v>7260</v>
      </c>
      <c r="I1913" s="289">
        <v>836</v>
      </c>
      <c r="J1913" s="289">
        <v>200</v>
      </c>
      <c r="K1913" s="289">
        <v>20</v>
      </c>
      <c r="L1913" s="289">
        <v>9416</v>
      </c>
    </row>
    <row r="1914" spans="1:12">
      <c r="A1914" s="288" t="s">
        <v>2753</v>
      </c>
      <c r="B1914" s="288" t="s">
        <v>2636</v>
      </c>
      <c r="C1914" s="288" t="s">
        <v>814</v>
      </c>
      <c r="D1914" s="288" t="s">
        <v>815</v>
      </c>
      <c r="E1914" s="289">
        <v>10</v>
      </c>
      <c r="F1914" s="290">
        <v>20</v>
      </c>
      <c r="G1914" s="289">
        <v>1100</v>
      </c>
      <c r="H1914" s="289">
        <v>1100</v>
      </c>
      <c r="I1914" s="289">
        <v>220</v>
      </c>
      <c r="J1914" s="289">
        <v>50</v>
      </c>
      <c r="K1914" s="289">
        <v>5</v>
      </c>
      <c r="L1914" s="289">
        <v>2475</v>
      </c>
    </row>
    <row r="1915" spans="1:12">
      <c r="A1915" s="288" t="s">
        <v>2754</v>
      </c>
      <c r="B1915" s="288" t="s">
        <v>2636</v>
      </c>
      <c r="C1915" s="288" t="s">
        <v>829</v>
      </c>
      <c r="D1915" s="288" t="s">
        <v>815</v>
      </c>
      <c r="E1915" s="289">
        <v>10</v>
      </c>
      <c r="F1915" s="290">
        <v>1</v>
      </c>
      <c r="G1915" s="289">
        <v>550</v>
      </c>
      <c r="H1915" s="289">
        <v>0</v>
      </c>
      <c r="I1915" s="289">
        <v>55</v>
      </c>
      <c r="J1915" s="289">
        <v>50</v>
      </c>
      <c r="K1915" s="289">
        <v>5</v>
      </c>
      <c r="L1915" s="289">
        <v>660</v>
      </c>
    </row>
    <row r="1916" spans="1:12">
      <c r="A1916" s="288" t="s">
        <v>2755</v>
      </c>
      <c r="B1916" s="288" t="s">
        <v>2636</v>
      </c>
      <c r="C1916" s="288" t="s">
        <v>833</v>
      </c>
      <c r="D1916" s="288" t="s">
        <v>2202</v>
      </c>
      <c r="E1916" s="289">
        <v>10</v>
      </c>
      <c r="F1916" s="290">
        <v>72</v>
      </c>
      <c r="G1916" s="289">
        <v>1100</v>
      </c>
      <c r="H1916" s="289">
        <v>6820</v>
      </c>
      <c r="I1916" s="289">
        <v>792</v>
      </c>
      <c r="J1916" s="289">
        <v>1000</v>
      </c>
      <c r="K1916" s="289">
        <v>100</v>
      </c>
      <c r="L1916" s="289">
        <v>9812</v>
      </c>
    </row>
    <row r="1917" spans="1:12">
      <c r="A1917" s="288" t="s">
        <v>2756</v>
      </c>
      <c r="B1917" s="288" t="s">
        <v>2636</v>
      </c>
      <c r="C1917" s="288" t="s">
        <v>833</v>
      </c>
      <c r="D1917" s="288" t="s">
        <v>2202</v>
      </c>
      <c r="E1917" s="289">
        <v>10</v>
      </c>
      <c r="F1917" s="290">
        <v>124</v>
      </c>
      <c r="G1917" s="289">
        <v>1100</v>
      </c>
      <c r="H1917" s="289">
        <v>12300</v>
      </c>
      <c r="I1917" s="289">
        <v>1340</v>
      </c>
      <c r="J1917" s="289">
        <v>1000</v>
      </c>
      <c r="K1917" s="289">
        <v>100</v>
      </c>
      <c r="L1917" s="289">
        <v>15840</v>
      </c>
    </row>
    <row r="1918" spans="1:12">
      <c r="A1918" s="288" t="s">
        <v>2757</v>
      </c>
      <c r="B1918" s="288" t="s">
        <v>2636</v>
      </c>
      <c r="C1918" s="288" t="s">
        <v>820</v>
      </c>
      <c r="D1918" s="288" t="s">
        <v>822</v>
      </c>
      <c r="E1918" s="289">
        <v>10</v>
      </c>
      <c r="F1918" s="290">
        <v>9</v>
      </c>
      <c r="G1918" s="289">
        <v>1100</v>
      </c>
      <c r="H1918" s="289">
        <v>0</v>
      </c>
      <c r="I1918" s="289">
        <v>110</v>
      </c>
      <c r="J1918" s="289">
        <v>200</v>
      </c>
      <c r="K1918" s="289">
        <v>20</v>
      </c>
      <c r="L1918" s="289">
        <v>1430</v>
      </c>
    </row>
    <row r="1919" spans="1:12">
      <c r="A1919" s="288" t="s">
        <v>2758</v>
      </c>
      <c r="B1919" s="288" t="s">
        <v>2636</v>
      </c>
      <c r="C1919" s="288" t="s">
        <v>1095</v>
      </c>
      <c r="D1919" s="288" t="s">
        <v>826</v>
      </c>
      <c r="E1919" s="289">
        <v>10</v>
      </c>
      <c r="F1919" s="290">
        <v>8</v>
      </c>
      <c r="G1919" s="289">
        <v>1100</v>
      </c>
      <c r="H1919" s="289">
        <v>0</v>
      </c>
      <c r="I1919" s="289">
        <v>110</v>
      </c>
      <c r="J1919" s="289">
        <v>100</v>
      </c>
      <c r="K1919" s="289">
        <v>10</v>
      </c>
      <c r="L1919" s="289">
        <v>1320</v>
      </c>
    </row>
    <row r="1920" spans="1:12">
      <c r="A1920" s="288" t="s">
        <v>2759</v>
      </c>
      <c r="B1920" s="288" t="s">
        <v>2636</v>
      </c>
      <c r="C1920" s="288" t="s">
        <v>814</v>
      </c>
      <c r="D1920" s="288" t="s">
        <v>818</v>
      </c>
      <c r="E1920" s="289">
        <v>10</v>
      </c>
      <c r="F1920" s="290">
        <v>9</v>
      </c>
      <c r="G1920" s="289">
        <v>1100</v>
      </c>
      <c r="H1920" s="289">
        <v>0</v>
      </c>
      <c r="I1920" s="289">
        <v>110</v>
      </c>
      <c r="J1920" s="289">
        <v>70</v>
      </c>
      <c r="K1920" s="289">
        <v>7</v>
      </c>
      <c r="L1920" s="289">
        <v>1287</v>
      </c>
    </row>
    <row r="1921" spans="1:12">
      <c r="A1921" s="288" t="s">
        <v>2760</v>
      </c>
      <c r="B1921" s="288" t="s">
        <v>2636</v>
      </c>
      <c r="C1921" s="288" t="s">
        <v>814</v>
      </c>
      <c r="D1921" s="288" t="s">
        <v>818</v>
      </c>
      <c r="E1921" s="289">
        <v>10</v>
      </c>
      <c r="F1921" s="290">
        <v>13</v>
      </c>
      <c r="G1921" s="289">
        <v>1100</v>
      </c>
      <c r="H1921" s="289">
        <v>330</v>
      </c>
      <c r="I1921" s="289">
        <v>143</v>
      </c>
      <c r="J1921" s="289">
        <v>70</v>
      </c>
      <c r="K1921" s="289">
        <v>7</v>
      </c>
      <c r="L1921" s="289">
        <v>1650</v>
      </c>
    </row>
    <row r="1922" spans="1:12">
      <c r="A1922" s="288" t="s">
        <v>2761</v>
      </c>
      <c r="B1922" s="288" t="s">
        <v>2636</v>
      </c>
      <c r="C1922" s="288" t="s">
        <v>814</v>
      </c>
      <c r="D1922" s="288" t="s">
        <v>818</v>
      </c>
      <c r="E1922" s="289">
        <v>10</v>
      </c>
      <c r="F1922" s="290">
        <v>6</v>
      </c>
      <c r="G1922" s="289">
        <v>1100</v>
      </c>
      <c r="H1922" s="289">
        <v>0</v>
      </c>
      <c r="I1922" s="289">
        <v>110</v>
      </c>
      <c r="J1922" s="289">
        <v>70</v>
      </c>
      <c r="K1922" s="289">
        <v>7</v>
      </c>
      <c r="L1922" s="289">
        <v>1287</v>
      </c>
    </row>
    <row r="1923" spans="1:12">
      <c r="A1923" s="288" t="s">
        <v>2762</v>
      </c>
      <c r="B1923" s="288" t="s">
        <v>2636</v>
      </c>
      <c r="C1923" s="288" t="s">
        <v>814</v>
      </c>
      <c r="D1923" s="288" t="s">
        <v>818</v>
      </c>
      <c r="E1923" s="289">
        <v>10</v>
      </c>
      <c r="F1923" s="290">
        <v>5</v>
      </c>
      <c r="G1923" s="289">
        <v>900</v>
      </c>
      <c r="H1923" s="289">
        <v>0</v>
      </c>
      <c r="I1923" s="289">
        <v>90</v>
      </c>
      <c r="J1923" s="289">
        <v>70</v>
      </c>
      <c r="K1923" s="289">
        <v>7</v>
      </c>
      <c r="L1923" s="289">
        <v>1067</v>
      </c>
    </row>
    <row r="1924" spans="1:12">
      <c r="A1924" s="288" t="s">
        <v>2763</v>
      </c>
      <c r="B1924" s="288" t="s">
        <v>2636</v>
      </c>
      <c r="C1924" s="288" t="s">
        <v>814</v>
      </c>
      <c r="D1924" s="288" t="s">
        <v>818</v>
      </c>
      <c r="E1924" s="289">
        <v>10</v>
      </c>
      <c r="F1924" s="290">
        <v>8</v>
      </c>
      <c r="G1924" s="289">
        <v>1100</v>
      </c>
      <c r="H1924" s="289">
        <v>0</v>
      </c>
      <c r="I1924" s="289">
        <v>110</v>
      </c>
      <c r="J1924" s="289">
        <v>70</v>
      </c>
      <c r="K1924" s="289">
        <v>7</v>
      </c>
      <c r="L1924" s="289">
        <v>1287</v>
      </c>
    </row>
    <row r="1925" spans="1:12">
      <c r="A1925" s="288" t="s">
        <v>2764</v>
      </c>
      <c r="B1925" s="288" t="s">
        <v>2636</v>
      </c>
      <c r="C1925" s="288" t="s">
        <v>814</v>
      </c>
      <c r="D1925" s="288" t="s">
        <v>818</v>
      </c>
      <c r="E1925" s="289">
        <v>10</v>
      </c>
      <c r="F1925" s="290">
        <v>20</v>
      </c>
      <c r="G1925" s="289">
        <v>1100</v>
      </c>
      <c r="H1925" s="289">
        <v>1100</v>
      </c>
      <c r="I1925" s="289">
        <v>220</v>
      </c>
      <c r="J1925" s="289">
        <v>70</v>
      </c>
      <c r="K1925" s="289">
        <v>7</v>
      </c>
      <c r="L1925" s="289">
        <v>2497</v>
      </c>
    </row>
    <row r="1926" spans="1:12">
      <c r="A1926" s="288" t="s">
        <v>2765</v>
      </c>
      <c r="B1926" s="288" t="s">
        <v>2636</v>
      </c>
      <c r="C1926" s="288" t="s">
        <v>814</v>
      </c>
      <c r="D1926" s="288" t="s">
        <v>818</v>
      </c>
      <c r="E1926" s="289">
        <v>10</v>
      </c>
      <c r="F1926" s="290">
        <v>13</v>
      </c>
      <c r="G1926" s="289">
        <v>1100</v>
      </c>
      <c r="H1926" s="289">
        <v>330</v>
      </c>
      <c r="I1926" s="289">
        <v>143</v>
      </c>
      <c r="J1926" s="289">
        <v>70</v>
      </c>
      <c r="K1926" s="289">
        <v>7</v>
      </c>
      <c r="L1926" s="289">
        <v>1650</v>
      </c>
    </row>
    <row r="1927" spans="1:12">
      <c r="A1927" s="288" t="s">
        <v>2766</v>
      </c>
      <c r="B1927" s="288" t="s">
        <v>2636</v>
      </c>
      <c r="C1927" s="288" t="s">
        <v>814</v>
      </c>
      <c r="D1927" s="288" t="s">
        <v>818</v>
      </c>
      <c r="E1927" s="289">
        <v>10</v>
      </c>
      <c r="F1927" s="290">
        <v>13</v>
      </c>
      <c r="G1927" s="289">
        <v>1100</v>
      </c>
      <c r="H1927" s="289">
        <v>330</v>
      </c>
      <c r="I1927" s="289">
        <v>143</v>
      </c>
      <c r="J1927" s="289">
        <v>70</v>
      </c>
      <c r="K1927" s="289">
        <v>7</v>
      </c>
      <c r="L1927" s="289">
        <v>1650</v>
      </c>
    </row>
    <row r="1928" spans="1:12">
      <c r="A1928" s="288" t="s">
        <v>2767</v>
      </c>
      <c r="B1928" s="288" t="s">
        <v>2636</v>
      </c>
      <c r="C1928" s="288" t="s">
        <v>814</v>
      </c>
      <c r="D1928" s="288" t="s">
        <v>818</v>
      </c>
      <c r="E1928" s="289">
        <v>10</v>
      </c>
      <c r="F1928" s="290">
        <v>6</v>
      </c>
      <c r="G1928" s="289">
        <v>1100</v>
      </c>
      <c r="H1928" s="289">
        <v>0</v>
      </c>
      <c r="I1928" s="289">
        <v>110</v>
      </c>
      <c r="J1928" s="289">
        <v>70</v>
      </c>
      <c r="K1928" s="289">
        <v>7</v>
      </c>
      <c r="L1928" s="289">
        <v>1287</v>
      </c>
    </row>
    <row r="1929" spans="1:12">
      <c r="A1929" s="288" t="s">
        <v>2768</v>
      </c>
      <c r="B1929" s="288" t="s">
        <v>2636</v>
      </c>
      <c r="C1929" s="288" t="s">
        <v>814</v>
      </c>
      <c r="D1929" s="288" t="s">
        <v>818</v>
      </c>
      <c r="E1929" s="289">
        <v>10</v>
      </c>
      <c r="F1929" s="290">
        <v>3</v>
      </c>
      <c r="G1929" s="289">
        <v>900</v>
      </c>
      <c r="H1929" s="289">
        <v>0</v>
      </c>
      <c r="I1929" s="289">
        <v>90</v>
      </c>
      <c r="J1929" s="289">
        <v>70</v>
      </c>
      <c r="K1929" s="289">
        <v>7</v>
      </c>
      <c r="L1929" s="289">
        <v>1067</v>
      </c>
    </row>
    <row r="1930" spans="1:12">
      <c r="A1930" s="288" t="s">
        <v>2769</v>
      </c>
      <c r="B1930" s="288" t="s">
        <v>2636</v>
      </c>
      <c r="C1930" s="288" t="s">
        <v>814</v>
      </c>
      <c r="D1930" s="288" t="s">
        <v>818</v>
      </c>
      <c r="E1930" s="289">
        <v>10</v>
      </c>
      <c r="F1930" s="290">
        <v>2</v>
      </c>
      <c r="G1930" s="289">
        <v>900</v>
      </c>
      <c r="H1930" s="289">
        <v>0</v>
      </c>
      <c r="I1930" s="289">
        <v>90</v>
      </c>
      <c r="J1930" s="289">
        <v>70</v>
      </c>
      <c r="K1930" s="289">
        <v>7</v>
      </c>
      <c r="L1930" s="289">
        <v>1067</v>
      </c>
    </row>
    <row r="1931" spans="1:12">
      <c r="A1931" s="288" t="s">
        <v>2770</v>
      </c>
      <c r="B1931" s="288" t="s">
        <v>2636</v>
      </c>
      <c r="C1931" s="288" t="s">
        <v>814</v>
      </c>
      <c r="D1931" s="288" t="s">
        <v>818</v>
      </c>
      <c r="E1931" s="289">
        <v>10</v>
      </c>
      <c r="F1931" s="290">
        <v>7</v>
      </c>
      <c r="G1931" s="289">
        <v>1100</v>
      </c>
      <c r="H1931" s="289">
        <v>0</v>
      </c>
      <c r="I1931" s="289">
        <v>110</v>
      </c>
      <c r="J1931" s="289">
        <v>70</v>
      </c>
      <c r="K1931" s="289">
        <v>7</v>
      </c>
      <c r="L1931" s="289">
        <v>1287</v>
      </c>
    </row>
    <row r="1932" spans="1:12">
      <c r="A1932" s="288" t="s">
        <v>2771</v>
      </c>
      <c r="B1932" s="288" t="s">
        <v>2636</v>
      </c>
      <c r="C1932" s="288" t="s">
        <v>814</v>
      </c>
      <c r="D1932" s="288" t="s">
        <v>818</v>
      </c>
      <c r="E1932" s="289">
        <v>10</v>
      </c>
      <c r="F1932" s="290">
        <v>16</v>
      </c>
      <c r="G1932" s="289">
        <v>1100</v>
      </c>
      <c r="H1932" s="289">
        <v>660</v>
      </c>
      <c r="I1932" s="289">
        <v>176</v>
      </c>
      <c r="J1932" s="289">
        <v>70</v>
      </c>
      <c r="K1932" s="289">
        <v>7</v>
      </c>
      <c r="L1932" s="289">
        <v>2013</v>
      </c>
    </row>
    <row r="1933" spans="1:12">
      <c r="A1933" s="288" t="s">
        <v>2772</v>
      </c>
      <c r="B1933" s="288" t="s">
        <v>2636</v>
      </c>
      <c r="C1933" s="288" t="s">
        <v>814</v>
      </c>
      <c r="D1933" s="288" t="s">
        <v>818</v>
      </c>
      <c r="E1933" s="289">
        <v>10</v>
      </c>
      <c r="F1933" s="290">
        <v>6</v>
      </c>
      <c r="G1933" s="289">
        <v>1100</v>
      </c>
      <c r="H1933" s="289">
        <v>0</v>
      </c>
      <c r="I1933" s="289">
        <v>110</v>
      </c>
      <c r="J1933" s="289">
        <v>70</v>
      </c>
      <c r="K1933" s="289">
        <v>7</v>
      </c>
      <c r="L1933" s="289">
        <v>1287</v>
      </c>
    </row>
    <row r="1934" spans="1:12">
      <c r="A1934" s="288" t="s">
        <v>2773</v>
      </c>
      <c r="B1934" s="288" t="s">
        <v>2636</v>
      </c>
      <c r="C1934" s="288" t="s">
        <v>814</v>
      </c>
      <c r="D1934" s="288" t="s">
        <v>818</v>
      </c>
      <c r="E1934" s="289">
        <v>10</v>
      </c>
      <c r="F1934" s="290">
        <v>5</v>
      </c>
      <c r="G1934" s="289">
        <v>900</v>
      </c>
      <c r="H1934" s="289">
        <v>0</v>
      </c>
      <c r="I1934" s="289">
        <v>90</v>
      </c>
      <c r="J1934" s="289">
        <v>70</v>
      </c>
      <c r="K1934" s="289">
        <v>7</v>
      </c>
      <c r="L1934" s="289">
        <v>1067</v>
      </c>
    </row>
    <row r="1935" spans="1:12">
      <c r="A1935" s="288" t="s">
        <v>2774</v>
      </c>
      <c r="B1935" s="288" t="s">
        <v>2636</v>
      </c>
      <c r="C1935" s="288" t="s">
        <v>814</v>
      </c>
      <c r="D1935" s="288" t="s">
        <v>818</v>
      </c>
      <c r="E1935" s="289">
        <v>10</v>
      </c>
      <c r="F1935" s="290">
        <v>3</v>
      </c>
      <c r="G1935" s="289">
        <v>900</v>
      </c>
      <c r="H1935" s="289">
        <v>0</v>
      </c>
      <c r="I1935" s="289">
        <v>90</v>
      </c>
      <c r="J1935" s="289">
        <v>70</v>
      </c>
      <c r="K1935" s="289">
        <v>7</v>
      </c>
      <c r="L1935" s="289">
        <v>1067</v>
      </c>
    </row>
    <row r="1936" spans="1:12">
      <c r="A1936" s="288" t="s">
        <v>2775</v>
      </c>
      <c r="B1936" s="288" t="s">
        <v>2636</v>
      </c>
      <c r="C1936" s="288" t="s">
        <v>814</v>
      </c>
      <c r="D1936" s="288" t="s">
        <v>818</v>
      </c>
      <c r="E1936" s="289">
        <v>10</v>
      </c>
      <c r="F1936" s="290">
        <v>5</v>
      </c>
      <c r="G1936" s="289">
        <v>900</v>
      </c>
      <c r="H1936" s="289">
        <v>0</v>
      </c>
      <c r="I1936" s="289">
        <v>90</v>
      </c>
      <c r="J1936" s="289">
        <v>70</v>
      </c>
      <c r="K1936" s="289">
        <v>7</v>
      </c>
      <c r="L1936" s="289">
        <v>1067</v>
      </c>
    </row>
    <row r="1937" spans="1:12">
      <c r="A1937" s="288" t="s">
        <v>2776</v>
      </c>
      <c r="B1937" s="288" t="s">
        <v>2636</v>
      </c>
      <c r="C1937" s="288" t="s">
        <v>814</v>
      </c>
      <c r="D1937" s="288" t="s">
        <v>818</v>
      </c>
      <c r="E1937" s="289">
        <v>10</v>
      </c>
      <c r="F1937" s="290">
        <v>24</v>
      </c>
      <c r="G1937" s="289">
        <v>1100</v>
      </c>
      <c r="H1937" s="289">
        <v>1540</v>
      </c>
      <c r="I1937" s="289">
        <v>264</v>
      </c>
      <c r="J1937" s="289">
        <v>70</v>
      </c>
      <c r="K1937" s="289">
        <v>7</v>
      </c>
      <c r="L1937" s="289">
        <v>2981</v>
      </c>
    </row>
    <row r="1938" spans="1:12">
      <c r="A1938" s="288" t="s">
        <v>2777</v>
      </c>
      <c r="B1938" s="288" t="s">
        <v>2636</v>
      </c>
      <c r="C1938" s="288" t="s">
        <v>814</v>
      </c>
      <c r="D1938" s="288" t="s">
        <v>818</v>
      </c>
      <c r="E1938" s="289">
        <v>10</v>
      </c>
      <c r="F1938" s="290">
        <v>16</v>
      </c>
      <c r="G1938" s="289">
        <v>1100</v>
      </c>
      <c r="H1938" s="289">
        <v>660</v>
      </c>
      <c r="I1938" s="289">
        <v>176</v>
      </c>
      <c r="J1938" s="289">
        <v>70</v>
      </c>
      <c r="K1938" s="289">
        <v>7</v>
      </c>
      <c r="L1938" s="289">
        <v>2013</v>
      </c>
    </row>
    <row r="1939" spans="1:12">
      <c r="A1939" s="288" t="s">
        <v>2778</v>
      </c>
      <c r="B1939" s="288" t="s">
        <v>2636</v>
      </c>
      <c r="C1939" s="288" t="s">
        <v>814</v>
      </c>
      <c r="D1939" s="288" t="s">
        <v>818</v>
      </c>
      <c r="E1939" s="289">
        <v>10</v>
      </c>
      <c r="F1939" s="290">
        <v>18</v>
      </c>
      <c r="G1939" s="289">
        <v>1100</v>
      </c>
      <c r="H1939" s="289">
        <v>880</v>
      </c>
      <c r="I1939" s="289">
        <v>198</v>
      </c>
      <c r="J1939" s="289">
        <v>70</v>
      </c>
      <c r="K1939" s="289">
        <v>7</v>
      </c>
      <c r="L1939" s="289">
        <v>2255</v>
      </c>
    </row>
    <row r="1940" spans="1:12">
      <c r="A1940" s="288" t="s">
        <v>2779</v>
      </c>
      <c r="B1940" s="288" t="s">
        <v>2636</v>
      </c>
      <c r="C1940" s="288" t="s">
        <v>814</v>
      </c>
      <c r="D1940" s="288" t="s">
        <v>818</v>
      </c>
      <c r="E1940" s="289">
        <v>10</v>
      </c>
      <c r="F1940" s="290">
        <v>19</v>
      </c>
      <c r="G1940" s="289">
        <v>1100</v>
      </c>
      <c r="H1940" s="289">
        <v>990</v>
      </c>
      <c r="I1940" s="289">
        <v>209</v>
      </c>
      <c r="J1940" s="289">
        <v>70</v>
      </c>
      <c r="K1940" s="289">
        <v>7</v>
      </c>
      <c r="L1940" s="289">
        <v>2376</v>
      </c>
    </row>
    <row r="1941" spans="1:12">
      <c r="A1941" s="288" t="s">
        <v>2780</v>
      </c>
      <c r="B1941" s="288" t="s">
        <v>2636</v>
      </c>
      <c r="C1941" s="288" t="s">
        <v>820</v>
      </c>
      <c r="D1941" s="288" t="s">
        <v>818</v>
      </c>
      <c r="E1941" s="289">
        <v>10</v>
      </c>
      <c r="F1941" s="290">
        <v>5</v>
      </c>
      <c r="G1941" s="289">
        <v>900</v>
      </c>
      <c r="H1941" s="289">
        <v>0</v>
      </c>
      <c r="I1941" s="289">
        <v>90</v>
      </c>
      <c r="J1941" s="289">
        <v>70</v>
      </c>
      <c r="K1941" s="289">
        <v>7</v>
      </c>
      <c r="L1941" s="289">
        <v>1067</v>
      </c>
    </row>
    <row r="1942" spans="1:12">
      <c r="A1942" s="288" t="s">
        <v>2781</v>
      </c>
      <c r="B1942" s="288" t="s">
        <v>2636</v>
      </c>
      <c r="C1942" s="288" t="s">
        <v>814</v>
      </c>
      <c r="D1942" s="288" t="s">
        <v>818</v>
      </c>
      <c r="E1942" s="289">
        <v>10</v>
      </c>
      <c r="F1942" s="290">
        <v>20</v>
      </c>
      <c r="G1942" s="289">
        <v>1100</v>
      </c>
      <c r="H1942" s="289">
        <v>1100</v>
      </c>
      <c r="I1942" s="289">
        <v>220</v>
      </c>
      <c r="J1942" s="289">
        <v>70</v>
      </c>
      <c r="K1942" s="289">
        <v>7</v>
      </c>
      <c r="L1942" s="289">
        <v>2497</v>
      </c>
    </row>
    <row r="1943" spans="1:12">
      <c r="A1943" s="288" t="s">
        <v>2782</v>
      </c>
      <c r="B1943" s="288" t="s">
        <v>2636</v>
      </c>
      <c r="C1943" s="288" t="s">
        <v>833</v>
      </c>
      <c r="D1943" s="288" t="s">
        <v>818</v>
      </c>
      <c r="E1943" s="289">
        <v>10</v>
      </c>
      <c r="F1943" s="290">
        <v>29</v>
      </c>
      <c r="G1943" s="289">
        <v>1100</v>
      </c>
      <c r="H1943" s="289">
        <v>2090</v>
      </c>
      <c r="I1943" s="289">
        <v>319</v>
      </c>
      <c r="J1943" s="289">
        <v>70</v>
      </c>
      <c r="K1943" s="289">
        <v>7</v>
      </c>
      <c r="L1943" s="289">
        <v>3586</v>
      </c>
    </row>
    <row r="1944" spans="1:12">
      <c r="A1944" s="288" t="s">
        <v>2783</v>
      </c>
      <c r="B1944" s="288" t="s">
        <v>2636</v>
      </c>
      <c r="C1944" s="288" t="s">
        <v>833</v>
      </c>
      <c r="D1944" s="288" t="s">
        <v>818</v>
      </c>
      <c r="E1944" s="289">
        <v>10</v>
      </c>
      <c r="F1944" s="290">
        <v>20</v>
      </c>
      <c r="G1944" s="289">
        <v>1100</v>
      </c>
      <c r="H1944" s="289">
        <v>1100</v>
      </c>
      <c r="I1944" s="289">
        <v>220</v>
      </c>
      <c r="J1944" s="289">
        <v>70</v>
      </c>
      <c r="K1944" s="289">
        <v>7</v>
      </c>
      <c r="L1944" s="289">
        <v>2497</v>
      </c>
    </row>
    <row r="1945" spans="1:12">
      <c r="A1945" s="288" t="s">
        <v>2784</v>
      </c>
      <c r="B1945" s="288" t="s">
        <v>2636</v>
      </c>
      <c r="C1945" s="288" t="s">
        <v>814</v>
      </c>
      <c r="D1945" s="288" t="s">
        <v>818</v>
      </c>
      <c r="E1945" s="289">
        <v>10</v>
      </c>
      <c r="F1945" s="290">
        <v>8</v>
      </c>
      <c r="G1945" s="289">
        <v>1100</v>
      </c>
      <c r="H1945" s="289">
        <v>0</v>
      </c>
      <c r="I1945" s="289">
        <v>110</v>
      </c>
      <c r="J1945" s="289">
        <v>70</v>
      </c>
      <c r="K1945" s="289">
        <v>7</v>
      </c>
      <c r="L1945" s="289">
        <v>1287</v>
      </c>
    </row>
    <row r="1946" spans="1:12">
      <c r="A1946" s="288" t="s">
        <v>2785</v>
      </c>
      <c r="B1946" s="288" t="s">
        <v>2636</v>
      </c>
      <c r="C1946" s="288" t="s">
        <v>814</v>
      </c>
      <c r="D1946" s="288" t="s">
        <v>818</v>
      </c>
      <c r="E1946" s="289">
        <v>10</v>
      </c>
      <c r="F1946" s="290">
        <v>8</v>
      </c>
      <c r="G1946" s="289">
        <v>1100</v>
      </c>
      <c r="H1946" s="289">
        <v>0</v>
      </c>
      <c r="I1946" s="289">
        <v>110</v>
      </c>
      <c r="J1946" s="289">
        <v>70</v>
      </c>
      <c r="K1946" s="289">
        <v>7</v>
      </c>
      <c r="L1946" s="289">
        <v>1287</v>
      </c>
    </row>
    <row r="1947" spans="1:12">
      <c r="A1947" s="288" t="s">
        <v>2786</v>
      </c>
      <c r="B1947" s="288" t="s">
        <v>2636</v>
      </c>
      <c r="C1947" s="288" t="s">
        <v>814</v>
      </c>
      <c r="D1947" s="288" t="s">
        <v>818</v>
      </c>
      <c r="E1947" s="289">
        <v>10</v>
      </c>
      <c r="F1947" s="290">
        <v>26</v>
      </c>
      <c r="G1947" s="289">
        <v>1100</v>
      </c>
      <c r="H1947" s="289">
        <v>1760</v>
      </c>
      <c r="I1947" s="289">
        <v>286</v>
      </c>
      <c r="J1947" s="289">
        <v>70</v>
      </c>
      <c r="K1947" s="289">
        <v>7</v>
      </c>
      <c r="L1947" s="289">
        <v>3223</v>
      </c>
    </row>
    <row r="1948" spans="1:12">
      <c r="A1948" s="288" t="s">
        <v>2787</v>
      </c>
      <c r="B1948" s="288" t="s">
        <v>2636</v>
      </c>
      <c r="C1948" s="288" t="s">
        <v>814</v>
      </c>
      <c r="D1948" s="288" t="s">
        <v>818</v>
      </c>
      <c r="E1948" s="289">
        <v>10</v>
      </c>
      <c r="F1948" s="290">
        <v>13</v>
      </c>
      <c r="G1948" s="289">
        <v>1100</v>
      </c>
      <c r="H1948" s="289">
        <v>330</v>
      </c>
      <c r="I1948" s="289">
        <v>143</v>
      </c>
      <c r="J1948" s="289">
        <v>70</v>
      </c>
      <c r="K1948" s="289">
        <v>7</v>
      </c>
      <c r="L1948" s="289">
        <v>1650</v>
      </c>
    </row>
    <row r="1949" spans="1:12">
      <c r="A1949" s="288" t="s">
        <v>2788</v>
      </c>
      <c r="B1949" s="288" t="s">
        <v>2636</v>
      </c>
      <c r="C1949" s="288" t="s">
        <v>814</v>
      </c>
      <c r="D1949" s="288" t="s">
        <v>818</v>
      </c>
      <c r="E1949" s="289">
        <v>10</v>
      </c>
      <c r="F1949" s="290">
        <v>8</v>
      </c>
      <c r="G1949" s="289">
        <v>1100</v>
      </c>
      <c r="H1949" s="289">
        <v>0</v>
      </c>
      <c r="I1949" s="289">
        <v>110</v>
      </c>
      <c r="J1949" s="289">
        <v>70</v>
      </c>
      <c r="K1949" s="289">
        <v>7</v>
      </c>
      <c r="L1949" s="289">
        <v>1287</v>
      </c>
    </row>
    <row r="1950" spans="1:12">
      <c r="A1950" s="288" t="s">
        <v>2789</v>
      </c>
      <c r="B1950" s="288" t="s">
        <v>2636</v>
      </c>
      <c r="C1950" s="288" t="s">
        <v>814</v>
      </c>
      <c r="D1950" s="288" t="s">
        <v>818</v>
      </c>
      <c r="E1950" s="289">
        <v>10</v>
      </c>
      <c r="F1950" s="290">
        <v>5</v>
      </c>
      <c r="G1950" s="289">
        <v>900</v>
      </c>
      <c r="H1950" s="289">
        <v>0</v>
      </c>
      <c r="I1950" s="289">
        <v>90</v>
      </c>
      <c r="J1950" s="289">
        <v>70</v>
      </c>
      <c r="K1950" s="289">
        <v>7</v>
      </c>
      <c r="L1950" s="289">
        <v>1067</v>
      </c>
    </row>
    <row r="1951" spans="1:12">
      <c r="A1951" s="288" t="s">
        <v>2790</v>
      </c>
      <c r="B1951" s="288" t="s">
        <v>2636</v>
      </c>
      <c r="C1951" s="288" t="s">
        <v>814</v>
      </c>
      <c r="D1951" s="288" t="s">
        <v>818</v>
      </c>
      <c r="E1951" s="289">
        <v>10</v>
      </c>
      <c r="F1951" s="290">
        <v>12</v>
      </c>
      <c r="G1951" s="289">
        <v>1100</v>
      </c>
      <c r="H1951" s="289">
        <v>220</v>
      </c>
      <c r="I1951" s="289">
        <v>132</v>
      </c>
      <c r="J1951" s="289">
        <v>70</v>
      </c>
      <c r="K1951" s="289">
        <v>7</v>
      </c>
      <c r="L1951" s="289">
        <v>1529</v>
      </c>
    </row>
    <row r="1952" spans="1:12">
      <c r="A1952" s="288" t="s">
        <v>2791</v>
      </c>
      <c r="B1952" s="288" t="s">
        <v>2636</v>
      </c>
      <c r="C1952" s="288" t="s">
        <v>814</v>
      </c>
      <c r="D1952" s="288" t="s">
        <v>818</v>
      </c>
      <c r="E1952" s="289">
        <v>10</v>
      </c>
      <c r="F1952" s="290">
        <v>1</v>
      </c>
      <c r="G1952" s="289">
        <v>900</v>
      </c>
      <c r="H1952" s="289">
        <v>0</v>
      </c>
      <c r="I1952" s="289">
        <v>90</v>
      </c>
      <c r="J1952" s="289">
        <v>70</v>
      </c>
      <c r="K1952" s="289">
        <v>7</v>
      </c>
      <c r="L1952" s="289">
        <v>1067</v>
      </c>
    </row>
    <row r="1953" spans="1:12">
      <c r="A1953" s="288" t="s">
        <v>2792</v>
      </c>
      <c r="B1953" s="288" t="s">
        <v>2636</v>
      </c>
      <c r="C1953" s="288" t="s">
        <v>814</v>
      </c>
      <c r="D1953" s="288" t="s">
        <v>818</v>
      </c>
      <c r="E1953" s="289">
        <v>10</v>
      </c>
      <c r="F1953" s="290">
        <v>19</v>
      </c>
      <c r="G1953" s="289">
        <v>1100</v>
      </c>
      <c r="H1953" s="289">
        <v>990</v>
      </c>
      <c r="I1953" s="289">
        <v>209</v>
      </c>
      <c r="J1953" s="289">
        <v>70</v>
      </c>
      <c r="K1953" s="289">
        <v>7</v>
      </c>
      <c r="L1953" s="289">
        <v>2376</v>
      </c>
    </row>
    <row r="1954" spans="1:12">
      <c r="A1954" s="288" t="s">
        <v>2793</v>
      </c>
      <c r="B1954" s="288" t="s">
        <v>2636</v>
      </c>
      <c r="C1954" s="288" t="s">
        <v>814</v>
      </c>
      <c r="D1954" s="288" t="s">
        <v>818</v>
      </c>
      <c r="E1954" s="289">
        <v>10</v>
      </c>
      <c r="F1954" s="290">
        <v>15</v>
      </c>
      <c r="G1954" s="289">
        <v>1100</v>
      </c>
      <c r="H1954" s="289">
        <v>550</v>
      </c>
      <c r="I1954" s="289">
        <v>165</v>
      </c>
      <c r="J1954" s="289">
        <v>70</v>
      </c>
      <c r="K1954" s="289">
        <v>7</v>
      </c>
      <c r="L1954" s="289">
        <v>1892</v>
      </c>
    </row>
    <row r="1955" spans="1:12">
      <c r="A1955" s="288" t="s">
        <v>2794</v>
      </c>
      <c r="B1955" s="288" t="s">
        <v>2636</v>
      </c>
      <c r="C1955" s="288" t="s">
        <v>833</v>
      </c>
      <c r="D1955" s="288" t="s">
        <v>822</v>
      </c>
      <c r="E1955" s="289">
        <v>10</v>
      </c>
      <c r="F1955" s="290">
        <v>86</v>
      </c>
      <c r="G1955" s="289">
        <v>1100</v>
      </c>
      <c r="H1955" s="289">
        <v>8360</v>
      </c>
      <c r="I1955" s="289">
        <v>946</v>
      </c>
      <c r="J1955" s="289">
        <v>200</v>
      </c>
      <c r="K1955" s="289">
        <v>20</v>
      </c>
      <c r="L1955" s="289">
        <v>10626</v>
      </c>
    </row>
    <row r="1956" spans="1:12">
      <c r="A1956" s="288" t="s">
        <v>2795</v>
      </c>
      <c r="B1956" s="288" t="s">
        <v>2636</v>
      </c>
      <c r="C1956" s="288" t="s">
        <v>814</v>
      </c>
      <c r="D1956" s="288" t="s">
        <v>818</v>
      </c>
      <c r="E1956" s="289">
        <v>10</v>
      </c>
      <c r="F1956" s="290">
        <v>32</v>
      </c>
      <c r="G1956" s="289">
        <v>1100</v>
      </c>
      <c r="H1956" s="289">
        <v>2420</v>
      </c>
      <c r="I1956" s="289">
        <v>352</v>
      </c>
      <c r="J1956" s="289">
        <v>70</v>
      </c>
      <c r="K1956" s="289">
        <v>7</v>
      </c>
      <c r="L1956" s="289">
        <v>3949</v>
      </c>
    </row>
    <row r="1957" spans="1:12">
      <c r="A1957" s="288" t="s">
        <v>2796</v>
      </c>
      <c r="B1957" s="288" t="s">
        <v>2636</v>
      </c>
      <c r="C1957" s="288" t="s">
        <v>814</v>
      </c>
      <c r="D1957" s="288" t="s">
        <v>818</v>
      </c>
      <c r="E1957" s="289">
        <v>10</v>
      </c>
      <c r="F1957" s="290">
        <v>23</v>
      </c>
      <c r="G1957" s="289">
        <v>1100</v>
      </c>
      <c r="H1957" s="289">
        <v>1430</v>
      </c>
      <c r="I1957" s="289">
        <v>253</v>
      </c>
      <c r="J1957" s="289">
        <v>70</v>
      </c>
      <c r="K1957" s="289">
        <v>7</v>
      </c>
      <c r="L1957" s="289">
        <v>2860</v>
      </c>
    </row>
    <row r="1958" spans="1:12">
      <c r="A1958" s="288" t="s">
        <v>2797</v>
      </c>
      <c r="B1958" s="288" t="s">
        <v>2636</v>
      </c>
      <c r="C1958" s="288" t="s">
        <v>814</v>
      </c>
      <c r="D1958" s="288" t="s">
        <v>818</v>
      </c>
      <c r="E1958" s="289">
        <v>10</v>
      </c>
      <c r="F1958" s="290">
        <v>13</v>
      </c>
      <c r="G1958" s="289">
        <v>1100</v>
      </c>
      <c r="H1958" s="289">
        <v>330</v>
      </c>
      <c r="I1958" s="289">
        <v>143</v>
      </c>
      <c r="J1958" s="289">
        <v>70</v>
      </c>
      <c r="K1958" s="289">
        <v>7</v>
      </c>
      <c r="L1958" s="289">
        <v>1650</v>
      </c>
    </row>
    <row r="1959" spans="1:12">
      <c r="A1959" s="288" t="s">
        <v>2798</v>
      </c>
      <c r="B1959" s="288" t="s">
        <v>2636</v>
      </c>
      <c r="C1959" s="288" t="s">
        <v>829</v>
      </c>
      <c r="D1959" s="288" t="s">
        <v>818</v>
      </c>
      <c r="E1959" s="289">
        <v>10</v>
      </c>
      <c r="F1959" s="290">
        <v>60</v>
      </c>
      <c r="G1959" s="289">
        <v>1100</v>
      </c>
      <c r="H1959" s="289">
        <v>5500</v>
      </c>
      <c r="I1959" s="289">
        <v>660</v>
      </c>
      <c r="J1959" s="289">
        <v>70</v>
      </c>
      <c r="K1959" s="289">
        <v>7</v>
      </c>
      <c r="L1959" s="289">
        <v>7337</v>
      </c>
    </row>
    <row r="1960" spans="1:12">
      <c r="A1960" s="288" t="s">
        <v>2799</v>
      </c>
      <c r="B1960" s="288" t="s">
        <v>2636</v>
      </c>
      <c r="C1960" s="288" t="s">
        <v>829</v>
      </c>
      <c r="D1960" s="288" t="s">
        <v>818</v>
      </c>
      <c r="E1960" s="289">
        <v>10</v>
      </c>
      <c r="F1960" s="290">
        <v>20</v>
      </c>
      <c r="G1960" s="289">
        <v>1100</v>
      </c>
      <c r="H1960" s="289">
        <v>1100</v>
      </c>
      <c r="I1960" s="289">
        <v>220</v>
      </c>
      <c r="J1960" s="289">
        <v>70</v>
      </c>
      <c r="K1960" s="289">
        <v>7</v>
      </c>
      <c r="L1960" s="289">
        <v>2497</v>
      </c>
    </row>
    <row r="1961" spans="1:12">
      <c r="A1961" s="288" t="s">
        <v>2800</v>
      </c>
      <c r="B1961" s="288" t="s">
        <v>2636</v>
      </c>
      <c r="C1961" s="288" t="s">
        <v>829</v>
      </c>
      <c r="D1961" s="288" t="s">
        <v>818</v>
      </c>
      <c r="E1961" s="289">
        <v>10</v>
      </c>
      <c r="F1961" s="290">
        <v>0</v>
      </c>
      <c r="G1961" s="289">
        <v>900</v>
      </c>
      <c r="H1961" s="289">
        <v>0</v>
      </c>
      <c r="I1961" s="289">
        <v>90</v>
      </c>
      <c r="J1961" s="289">
        <v>70</v>
      </c>
      <c r="K1961" s="289">
        <v>7</v>
      </c>
      <c r="L1961" s="289">
        <v>1067</v>
      </c>
    </row>
    <row r="1962" spans="1:12">
      <c r="A1962" s="288" t="s">
        <v>2801</v>
      </c>
      <c r="B1962" s="288" t="s">
        <v>2636</v>
      </c>
      <c r="C1962" s="288" t="s">
        <v>814</v>
      </c>
      <c r="D1962" s="288" t="s">
        <v>818</v>
      </c>
      <c r="E1962" s="289">
        <v>10</v>
      </c>
      <c r="F1962" s="290">
        <v>62</v>
      </c>
      <c r="G1962" s="289">
        <v>1100</v>
      </c>
      <c r="H1962" s="289">
        <v>5720</v>
      </c>
      <c r="I1962" s="289">
        <v>682</v>
      </c>
      <c r="J1962" s="289">
        <v>70</v>
      </c>
      <c r="K1962" s="289">
        <v>7</v>
      </c>
      <c r="L1962" s="289">
        <v>7579</v>
      </c>
    </row>
    <row r="1963" spans="1:12">
      <c r="A1963" s="288" t="s">
        <v>2802</v>
      </c>
      <c r="B1963" s="288" t="s">
        <v>2636</v>
      </c>
      <c r="C1963" s="288" t="s">
        <v>814</v>
      </c>
      <c r="D1963" s="288" t="s">
        <v>818</v>
      </c>
      <c r="E1963" s="289">
        <v>10</v>
      </c>
      <c r="F1963" s="290">
        <v>11</v>
      </c>
      <c r="G1963" s="289">
        <v>1100</v>
      </c>
      <c r="H1963" s="289">
        <v>110</v>
      </c>
      <c r="I1963" s="289">
        <v>121</v>
      </c>
      <c r="J1963" s="289">
        <v>70</v>
      </c>
      <c r="K1963" s="289">
        <v>7</v>
      </c>
      <c r="L1963" s="289">
        <v>1408</v>
      </c>
    </row>
    <row r="1964" spans="1:12">
      <c r="A1964" s="288" t="s">
        <v>2803</v>
      </c>
      <c r="B1964" s="288" t="s">
        <v>2636</v>
      </c>
      <c r="C1964" s="288" t="s">
        <v>1095</v>
      </c>
      <c r="D1964" s="288" t="s">
        <v>818</v>
      </c>
      <c r="E1964" s="289">
        <v>10</v>
      </c>
      <c r="F1964" s="290">
        <v>3</v>
      </c>
      <c r="G1964" s="289">
        <v>0</v>
      </c>
      <c r="H1964" s="289">
        <v>600</v>
      </c>
      <c r="I1964" s="289">
        <v>60</v>
      </c>
      <c r="J1964" s="289">
        <v>70</v>
      </c>
      <c r="K1964" s="289">
        <v>7</v>
      </c>
      <c r="L1964" s="289">
        <v>737</v>
      </c>
    </row>
    <row r="1965" spans="1:12">
      <c r="A1965" s="288" t="s">
        <v>2804</v>
      </c>
      <c r="B1965" s="288" t="s">
        <v>2636</v>
      </c>
      <c r="C1965" s="288" t="s">
        <v>829</v>
      </c>
      <c r="D1965" s="288" t="s">
        <v>815</v>
      </c>
      <c r="E1965" s="289">
        <v>10</v>
      </c>
      <c r="F1965" s="290">
        <v>0</v>
      </c>
      <c r="G1965" s="289">
        <v>900</v>
      </c>
      <c r="H1965" s="289">
        <v>0</v>
      </c>
      <c r="I1965" s="289">
        <v>90</v>
      </c>
      <c r="J1965" s="289">
        <v>50</v>
      </c>
      <c r="K1965" s="289">
        <v>5</v>
      </c>
      <c r="L1965" s="289">
        <v>1045</v>
      </c>
    </row>
    <row r="1966" spans="1:12">
      <c r="A1966" s="288" t="s">
        <v>2805</v>
      </c>
      <c r="B1966" s="288" t="s">
        <v>2636</v>
      </c>
      <c r="C1966" s="288" t="s">
        <v>814</v>
      </c>
      <c r="D1966" s="288" t="s">
        <v>815</v>
      </c>
      <c r="E1966" s="289">
        <v>10</v>
      </c>
      <c r="F1966" s="290">
        <v>3</v>
      </c>
      <c r="G1966" s="289">
        <v>900</v>
      </c>
      <c r="H1966" s="289">
        <v>0</v>
      </c>
      <c r="I1966" s="289">
        <v>90</v>
      </c>
      <c r="J1966" s="289">
        <v>50</v>
      </c>
      <c r="K1966" s="289">
        <v>5</v>
      </c>
      <c r="L1966" s="289">
        <v>1045</v>
      </c>
    </row>
    <row r="1967" spans="1:12">
      <c r="A1967" s="288" t="s">
        <v>2806</v>
      </c>
      <c r="B1967" s="288" t="s">
        <v>2636</v>
      </c>
      <c r="C1967" s="288" t="s">
        <v>814</v>
      </c>
      <c r="D1967" s="288" t="s">
        <v>815</v>
      </c>
      <c r="E1967" s="289">
        <v>10</v>
      </c>
      <c r="F1967" s="290">
        <v>0</v>
      </c>
      <c r="G1967" s="289">
        <v>550</v>
      </c>
      <c r="H1967" s="289">
        <v>0</v>
      </c>
      <c r="I1967" s="289">
        <v>55</v>
      </c>
      <c r="J1967" s="289">
        <v>50</v>
      </c>
      <c r="K1967" s="289">
        <v>5</v>
      </c>
      <c r="L1967" s="289">
        <v>660</v>
      </c>
    </row>
    <row r="1968" spans="1:12">
      <c r="A1968" s="288" t="s">
        <v>2807</v>
      </c>
      <c r="B1968" s="288" t="s">
        <v>2808</v>
      </c>
      <c r="C1968" s="288" t="s">
        <v>814</v>
      </c>
      <c r="D1968" s="288" t="s">
        <v>818</v>
      </c>
      <c r="E1968" s="289">
        <v>10</v>
      </c>
      <c r="F1968" s="290">
        <v>31</v>
      </c>
      <c r="G1968" s="289">
        <v>1100</v>
      </c>
      <c r="H1968" s="289">
        <v>2310</v>
      </c>
      <c r="I1968" s="289">
        <v>341</v>
      </c>
      <c r="J1968" s="289">
        <v>70</v>
      </c>
      <c r="K1968" s="289">
        <v>7</v>
      </c>
      <c r="L1968" s="289">
        <v>3828</v>
      </c>
    </row>
    <row r="1969" spans="1:12">
      <c r="A1969" s="288" t="s">
        <v>2809</v>
      </c>
      <c r="B1969" s="288" t="s">
        <v>2808</v>
      </c>
      <c r="C1969" s="288" t="s">
        <v>814</v>
      </c>
      <c r="D1969" s="288" t="s">
        <v>818</v>
      </c>
      <c r="E1969" s="289">
        <v>10</v>
      </c>
      <c r="F1969" s="290">
        <v>28</v>
      </c>
      <c r="G1969" s="289">
        <v>1100</v>
      </c>
      <c r="H1969" s="289">
        <v>1980</v>
      </c>
      <c r="I1969" s="289">
        <v>308</v>
      </c>
      <c r="J1969" s="289">
        <v>70</v>
      </c>
      <c r="K1969" s="289">
        <v>7</v>
      </c>
      <c r="L1969" s="289">
        <v>3465</v>
      </c>
    </row>
    <row r="1970" spans="1:12">
      <c r="A1970" s="288" t="s">
        <v>2810</v>
      </c>
      <c r="B1970" s="288" t="s">
        <v>2808</v>
      </c>
      <c r="C1970" s="288" t="s">
        <v>814</v>
      </c>
      <c r="D1970" s="288" t="s">
        <v>818</v>
      </c>
      <c r="E1970" s="289">
        <v>10</v>
      </c>
      <c r="F1970" s="290">
        <v>18</v>
      </c>
      <c r="G1970" s="289">
        <v>1100</v>
      </c>
      <c r="H1970" s="289">
        <v>880</v>
      </c>
      <c r="I1970" s="289">
        <v>198</v>
      </c>
      <c r="J1970" s="289">
        <v>70</v>
      </c>
      <c r="K1970" s="289">
        <v>7</v>
      </c>
      <c r="L1970" s="289">
        <v>2255</v>
      </c>
    </row>
    <row r="1971" spans="1:12">
      <c r="A1971" s="288" t="s">
        <v>2811</v>
      </c>
      <c r="B1971" s="288" t="s">
        <v>2808</v>
      </c>
      <c r="C1971" s="288" t="s">
        <v>814</v>
      </c>
      <c r="D1971" s="288" t="s">
        <v>818</v>
      </c>
      <c r="E1971" s="289">
        <v>10</v>
      </c>
      <c r="F1971" s="290">
        <v>22</v>
      </c>
      <c r="G1971" s="289">
        <v>1100</v>
      </c>
      <c r="H1971" s="289">
        <v>1320</v>
      </c>
      <c r="I1971" s="289">
        <v>242</v>
      </c>
      <c r="J1971" s="289">
        <v>70</v>
      </c>
      <c r="K1971" s="289">
        <v>7</v>
      </c>
      <c r="L1971" s="289">
        <v>2739</v>
      </c>
    </row>
    <row r="1972" spans="1:12">
      <c r="A1972" s="288" t="s">
        <v>2812</v>
      </c>
      <c r="B1972" s="288" t="s">
        <v>2808</v>
      </c>
      <c r="C1972" s="288" t="s">
        <v>814</v>
      </c>
      <c r="D1972" s="288" t="s">
        <v>818</v>
      </c>
      <c r="E1972" s="289">
        <v>10</v>
      </c>
      <c r="F1972" s="290">
        <v>33</v>
      </c>
      <c r="G1972" s="289">
        <v>1100</v>
      </c>
      <c r="H1972" s="289">
        <v>2530</v>
      </c>
      <c r="I1972" s="289">
        <v>363</v>
      </c>
      <c r="J1972" s="289">
        <v>70</v>
      </c>
      <c r="K1972" s="289">
        <v>7</v>
      </c>
      <c r="L1972" s="289">
        <v>4070</v>
      </c>
    </row>
    <row r="1973" spans="1:12">
      <c r="A1973" s="288" t="s">
        <v>2813</v>
      </c>
      <c r="B1973" s="288" t="s">
        <v>2808</v>
      </c>
      <c r="C1973" s="288" t="s">
        <v>814</v>
      </c>
      <c r="D1973" s="288" t="s">
        <v>818</v>
      </c>
      <c r="E1973" s="289">
        <v>10</v>
      </c>
      <c r="F1973" s="290">
        <v>13</v>
      </c>
      <c r="G1973" s="289">
        <v>1100</v>
      </c>
      <c r="H1973" s="289">
        <v>330</v>
      </c>
      <c r="I1973" s="289">
        <v>143</v>
      </c>
      <c r="J1973" s="289">
        <v>70</v>
      </c>
      <c r="K1973" s="289">
        <v>7</v>
      </c>
      <c r="L1973" s="289">
        <v>1650</v>
      </c>
    </row>
    <row r="1974" spans="1:12">
      <c r="A1974" s="288" t="s">
        <v>2814</v>
      </c>
      <c r="B1974" s="288" t="s">
        <v>2808</v>
      </c>
      <c r="C1974" s="288" t="s">
        <v>814</v>
      </c>
      <c r="D1974" s="288" t="s">
        <v>818</v>
      </c>
      <c r="E1974" s="289">
        <v>10</v>
      </c>
      <c r="F1974" s="290">
        <v>25</v>
      </c>
      <c r="G1974" s="289">
        <v>1100</v>
      </c>
      <c r="H1974" s="289">
        <v>1650</v>
      </c>
      <c r="I1974" s="289">
        <v>275</v>
      </c>
      <c r="J1974" s="289">
        <v>70</v>
      </c>
      <c r="K1974" s="289">
        <v>7</v>
      </c>
      <c r="L1974" s="289">
        <v>3102</v>
      </c>
    </row>
    <row r="1975" spans="1:12">
      <c r="A1975" s="288" t="s">
        <v>2815</v>
      </c>
      <c r="B1975" s="288" t="s">
        <v>2808</v>
      </c>
      <c r="C1975" s="288" t="s">
        <v>814</v>
      </c>
      <c r="D1975" s="288" t="s">
        <v>818</v>
      </c>
      <c r="E1975" s="289">
        <v>10</v>
      </c>
      <c r="F1975" s="290">
        <v>7</v>
      </c>
      <c r="G1975" s="289">
        <v>1100</v>
      </c>
      <c r="H1975" s="289">
        <v>0</v>
      </c>
      <c r="I1975" s="289">
        <v>110</v>
      </c>
      <c r="J1975" s="289">
        <v>70</v>
      </c>
      <c r="K1975" s="289">
        <v>7</v>
      </c>
      <c r="L1975" s="289">
        <v>1287</v>
      </c>
    </row>
    <row r="1976" spans="1:12">
      <c r="A1976" s="288" t="s">
        <v>2816</v>
      </c>
      <c r="B1976" s="288" t="s">
        <v>2808</v>
      </c>
      <c r="C1976" s="288" t="s">
        <v>814</v>
      </c>
      <c r="D1976" s="288" t="s">
        <v>818</v>
      </c>
      <c r="E1976" s="289">
        <v>10</v>
      </c>
      <c r="F1976" s="290">
        <v>28</v>
      </c>
      <c r="G1976" s="289">
        <v>1100</v>
      </c>
      <c r="H1976" s="289">
        <v>1980</v>
      </c>
      <c r="I1976" s="289">
        <v>308</v>
      </c>
      <c r="J1976" s="289">
        <v>70</v>
      </c>
      <c r="K1976" s="289">
        <v>7</v>
      </c>
      <c r="L1976" s="289">
        <v>3465</v>
      </c>
    </row>
    <row r="1977" spans="1:12">
      <c r="A1977" s="288" t="s">
        <v>2817</v>
      </c>
      <c r="B1977" s="288" t="s">
        <v>2808</v>
      </c>
      <c r="C1977" s="288" t="s">
        <v>814</v>
      </c>
      <c r="D1977" s="288" t="s">
        <v>818</v>
      </c>
      <c r="E1977" s="289">
        <v>10</v>
      </c>
      <c r="F1977" s="290">
        <v>10</v>
      </c>
      <c r="G1977" s="289">
        <v>1100</v>
      </c>
      <c r="H1977" s="289">
        <v>0</v>
      </c>
      <c r="I1977" s="289">
        <v>110</v>
      </c>
      <c r="J1977" s="289">
        <v>70</v>
      </c>
      <c r="K1977" s="289">
        <v>7</v>
      </c>
      <c r="L1977" s="289">
        <v>1287</v>
      </c>
    </row>
    <row r="1978" spans="1:12">
      <c r="A1978" s="288" t="s">
        <v>2818</v>
      </c>
      <c r="B1978" s="288" t="s">
        <v>2808</v>
      </c>
      <c r="C1978" s="288" t="s">
        <v>814</v>
      </c>
      <c r="D1978" s="288" t="s">
        <v>818</v>
      </c>
      <c r="E1978" s="289">
        <v>10</v>
      </c>
      <c r="F1978" s="290">
        <v>24</v>
      </c>
      <c r="G1978" s="289">
        <v>1100</v>
      </c>
      <c r="H1978" s="289">
        <v>1540</v>
      </c>
      <c r="I1978" s="289">
        <v>264</v>
      </c>
      <c r="J1978" s="289">
        <v>70</v>
      </c>
      <c r="K1978" s="289">
        <v>7</v>
      </c>
      <c r="L1978" s="289">
        <v>2981</v>
      </c>
    </row>
    <row r="1979" spans="1:12">
      <c r="A1979" s="288" t="s">
        <v>2819</v>
      </c>
      <c r="B1979" s="288" t="s">
        <v>2808</v>
      </c>
      <c r="C1979" s="288" t="s">
        <v>814</v>
      </c>
      <c r="D1979" s="288" t="s">
        <v>818</v>
      </c>
      <c r="E1979" s="289">
        <v>10</v>
      </c>
      <c r="F1979" s="290">
        <v>17</v>
      </c>
      <c r="G1979" s="289">
        <v>1100</v>
      </c>
      <c r="H1979" s="289">
        <v>770</v>
      </c>
      <c r="I1979" s="289">
        <v>187</v>
      </c>
      <c r="J1979" s="289">
        <v>70</v>
      </c>
      <c r="K1979" s="289">
        <v>7</v>
      </c>
      <c r="L1979" s="289">
        <v>2134</v>
      </c>
    </row>
    <row r="1980" spans="1:12">
      <c r="A1980" s="288" t="s">
        <v>2820</v>
      </c>
      <c r="B1980" s="288" t="s">
        <v>2808</v>
      </c>
      <c r="C1980" s="288" t="s">
        <v>814</v>
      </c>
      <c r="D1980" s="288" t="s">
        <v>818</v>
      </c>
      <c r="E1980" s="289">
        <v>10</v>
      </c>
      <c r="F1980" s="290">
        <v>27</v>
      </c>
      <c r="G1980" s="289">
        <v>1100</v>
      </c>
      <c r="H1980" s="289">
        <v>1870</v>
      </c>
      <c r="I1980" s="289">
        <v>297</v>
      </c>
      <c r="J1980" s="289">
        <v>70</v>
      </c>
      <c r="K1980" s="289">
        <v>7</v>
      </c>
      <c r="L1980" s="289">
        <v>3344</v>
      </c>
    </row>
    <row r="1981" spans="1:12">
      <c r="A1981" s="288" t="s">
        <v>2821</v>
      </c>
      <c r="B1981" s="288" t="s">
        <v>2808</v>
      </c>
      <c r="C1981" s="288" t="s">
        <v>814</v>
      </c>
      <c r="D1981" s="288" t="s">
        <v>818</v>
      </c>
      <c r="E1981" s="289">
        <v>10</v>
      </c>
      <c r="F1981" s="290">
        <v>12</v>
      </c>
      <c r="G1981" s="289">
        <v>1100</v>
      </c>
      <c r="H1981" s="289">
        <v>220</v>
      </c>
      <c r="I1981" s="289">
        <v>132</v>
      </c>
      <c r="J1981" s="289">
        <v>70</v>
      </c>
      <c r="K1981" s="289">
        <v>7</v>
      </c>
      <c r="L1981" s="289">
        <v>1529</v>
      </c>
    </row>
    <row r="1982" spans="1:12">
      <c r="A1982" s="288" t="s">
        <v>2822</v>
      </c>
      <c r="B1982" s="288" t="s">
        <v>2808</v>
      </c>
      <c r="C1982" s="288" t="s">
        <v>814</v>
      </c>
      <c r="D1982" s="288" t="s">
        <v>818</v>
      </c>
      <c r="E1982" s="289">
        <v>10</v>
      </c>
      <c r="F1982" s="290">
        <v>7</v>
      </c>
      <c r="G1982" s="289">
        <v>1100</v>
      </c>
      <c r="H1982" s="289">
        <v>0</v>
      </c>
      <c r="I1982" s="289">
        <v>110</v>
      </c>
      <c r="J1982" s="289">
        <v>70</v>
      </c>
      <c r="K1982" s="289">
        <v>7</v>
      </c>
      <c r="L1982" s="289">
        <v>1287</v>
      </c>
    </row>
    <row r="1983" spans="1:12">
      <c r="A1983" s="288" t="s">
        <v>2823</v>
      </c>
      <c r="B1983" s="288" t="s">
        <v>2808</v>
      </c>
      <c r="C1983" s="288" t="s">
        <v>814</v>
      </c>
      <c r="D1983" s="288" t="s">
        <v>818</v>
      </c>
      <c r="E1983" s="289">
        <v>10</v>
      </c>
      <c r="F1983" s="290">
        <v>9</v>
      </c>
      <c r="G1983" s="289">
        <v>1100</v>
      </c>
      <c r="H1983" s="289">
        <v>0</v>
      </c>
      <c r="I1983" s="289">
        <v>110</v>
      </c>
      <c r="J1983" s="289">
        <v>70</v>
      </c>
      <c r="K1983" s="289">
        <v>7</v>
      </c>
      <c r="L1983" s="289">
        <v>1287</v>
      </c>
    </row>
    <row r="1984" spans="1:12">
      <c r="A1984" s="288" t="s">
        <v>2824</v>
      </c>
      <c r="B1984" s="288" t="s">
        <v>2808</v>
      </c>
      <c r="C1984" s="288" t="s">
        <v>814</v>
      </c>
      <c r="D1984" s="288" t="s">
        <v>818</v>
      </c>
      <c r="E1984" s="289">
        <v>10</v>
      </c>
      <c r="F1984" s="290">
        <v>28</v>
      </c>
      <c r="G1984" s="289">
        <v>1100</v>
      </c>
      <c r="H1984" s="289">
        <v>1980</v>
      </c>
      <c r="I1984" s="289">
        <v>308</v>
      </c>
      <c r="J1984" s="289">
        <v>70</v>
      </c>
      <c r="K1984" s="289">
        <v>7</v>
      </c>
      <c r="L1984" s="289">
        <v>3465</v>
      </c>
    </row>
    <row r="1985" spans="1:12">
      <c r="A1985" s="288" t="s">
        <v>2825</v>
      </c>
      <c r="B1985" s="288" t="s">
        <v>2808</v>
      </c>
      <c r="C1985" s="288" t="s">
        <v>814</v>
      </c>
      <c r="D1985" s="288" t="s">
        <v>818</v>
      </c>
      <c r="E1985" s="289">
        <v>10</v>
      </c>
      <c r="F1985" s="290">
        <v>29</v>
      </c>
      <c r="G1985" s="289">
        <v>1100</v>
      </c>
      <c r="H1985" s="289">
        <v>2090</v>
      </c>
      <c r="I1985" s="289">
        <v>319</v>
      </c>
      <c r="J1985" s="289">
        <v>70</v>
      </c>
      <c r="K1985" s="289">
        <v>7</v>
      </c>
      <c r="L1985" s="289">
        <v>3586</v>
      </c>
    </row>
    <row r="1986" spans="1:12">
      <c r="A1986" s="288" t="s">
        <v>2826</v>
      </c>
      <c r="B1986" s="288" t="s">
        <v>2808</v>
      </c>
      <c r="C1986" s="288" t="s">
        <v>814</v>
      </c>
      <c r="D1986" s="288" t="s">
        <v>818</v>
      </c>
      <c r="E1986" s="289">
        <v>10</v>
      </c>
      <c r="F1986" s="290">
        <v>27</v>
      </c>
      <c r="G1986" s="289">
        <v>1100</v>
      </c>
      <c r="H1986" s="289">
        <v>1870</v>
      </c>
      <c r="I1986" s="289">
        <v>297</v>
      </c>
      <c r="J1986" s="289">
        <v>70</v>
      </c>
      <c r="K1986" s="289">
        <v>7</v>
      </c>
      <c r="L1986" s="289">
        <v>3344</v>
      </c>
    </row>
    <row r="1987" spans="1:12">
      <c r="A1987" s="288" t="s">
        <v>2827</v>
      </c>
      <c r="B1987" s="288" t="s">
        <v>2808</v>
      </c>
      <c r="C1987" s="288" t="s">
        <v>814</v>
      </c>
      <c r="D1987" s="288" t="s">
        <v>818</v>
      </c>
      <c r="E1987" s="289">
        <v>10</v>
      </c>
      <c r="F1987" s="290">
        <v>16</v>
      </c>
      <c r="G1987" s="289">
        <v>1100</v>
      </c>
      <c r="H1987" s="289">
        <v>660</v>
      </c>
      <c r="I1987" s="289">
        <v>176</v>
      </c>
      <c r="J1987" s="289">
        <v>70</v>
      </c>
      <c r="K1987" s="289">
        <v>7</v>
      </c>
      <c r="L1987" s="289">
        <v>2013</v>
      </c>
    </row>
    <row r="1988" spans="1:12">
      <c r="A1988" s="288" t="s">
        <v>2828</v>
      </c>
      <c r="B1988" s="288" t="s">
        <v>2808</v>
      </c>
      <c r="C1988" s="288" t="s">
        <v>814</v>
      </c>
      <c r="D1988" s="288" t="s">
        <v>818</v>
      </c>
      <c r="E1988" s="289">
        <v>10</v>
      </c>
      <c r="F1988" s="290">
        <v>27</v>
      </c>
      <c r="G1988" s="289">
        <v>1100</v>
      </c>
      <c r="H1988" s="289">
        <v>1870</v>
      </c>
      <c r="I1988" s="289">
        <v>297</v>
      </c>
      <c r="J1988" s="289">
        <v>70</v>
      </c>
      <c r="K1988" s="289">
        <v>7</v>
      </c>
      <c r="L1988" s="289">
        <v>3344</v>
      </c>
    </row>
    <row r="1989" spans="1:12">
      <c r="A1989" s="288" t="s">
        <v>2829</v>
      </c>
      <c r="B1989" s="288" t="s">
        <v>2808</v>
      </c>
      <c r="C1989" s="288" t="s">
        <v>814</v>
      </c>
      <c r="D1989" s="288" t="s">
        <v>818</v>
      </c>
      <c r="E1989" s="289">
        <v>10</v>
      </c>
      <c r="F1989" s="290">
        <v>0</v>
      </c>
      <c r="G1989" s="289">
        <v>900</v>
      </c>
      <c r="H1989" s="289">
        <v>0</v>
      </c>
      <c r="I1989" s="289">
        <v>90</v>
      </c>
      <c r="J1989" s="289">
        <v>70</v>
      </c>
      <c r="K1989" s="289">
        <v>7</v>
      </c>
      <c r="L1989" s="289">
        <v>1067</v>
      </c>
    </row>
    <row r="1990" spans="1:12">
      <c r="A1990" s="288" t="s">
        <v>2830</v>
      </c>
      <c r="B1990" s="288" t="s">
        <v>2808</v>
      </c>
      <c r="C1990" s="288" t="s">
        <v>814</v>
      </c>
      <c r="D1990" s="288" t="s">
        <v>818</v>
      </c>
      <c r="E1990" s="289">
        <v>10</v>
      </c>
      <c r="F1990" s="290">
        <v>28</v>
      </c>
      <c r="G1990" s="289">
        <v>1100</v>
      </c>
      <c r="H1990" s="289">
        <v>1980</v>
      </c>
      <c r="I1990" s="289">
        <v>308</v>
      </c>
      <c r="J1990" s="289">
        <v>70</v>
      </c>
      <c r="K1990" s="289">
        <v>7</v>
      </c>
      <c r="L1990" s="289">
        <v>3465</v>
      </c>
    </row>
    <row r="1991" spans="1:12">
      <c r="A1991" s="288" t="s">
        <v>2831</v>
      </c>
      <c r="B1991" s="288" t="s">
        <v>2808</v>
      </c>
      <c r="C1991" s="288" t="s">
        <v>814</v>
      </c>
      <c r="D1991" s="288" t="s">
        <v>818</v>
      </c>
      <c r="E1991" s="289">
        <v>10</v>
      </c>
      <c r="F1991" s="290">
        <v>25</v>
      </c>
      <c r="G1991" s="289">
        <v>1100</v>
      </c>
      <c r="H1991" s="289">
        <v>1650</v>
      </c>
      <c r="I1991" s="289">
        <v>275</v>
      </c>
      <c r="J1991" s="289">
        <v>70</v>
      </c>
      <c r="K1991" s="289">
        <v>7</v>
      </c>
      <c r="L1991" s="289">
        <v>3102</v>
      </c>
    </row>
    <row r="1992" spans="1:12">
      <c r="A1992" s="288" t="s">
        <v>2832</v>
      </c>
      <c r="B1992" s="288" t="s">
        <v>2808</v>
      </c>
      <c r="C1992" s="288" t="s">
        <v>814</v>
      </c>
      <c r="D1992" s="288" t="s">
        <v>818</v>
      </c>
      <c r="E1992" s="289">
        <v>10</v>
      </c>
      <c r="F1992" s="290">
        <v>34</v>
      </c>
      <c r="G1992" s="289">
        <v>1100</v>
      </c>
      <c r="H1992" s="289">
        <v>2640</v>
      </c>
      <c r="I1992" s="289">
        <v>374</v>
      </c>
      <c r="J1992" s="289">
        <v>70</v>
      </c>
      <c r="K1992" s="289">
        <v>7</v>
      </c>
      <c r="L1992" s="289">
        <v>4191</v>
      </c>
    </row>
    <row r="1993" spans="1:12">
      <c r="A1993" s="288" t="s">
        <v>2833</v>
      </c>
      <c r="B1993" s="288" t="s">
        <v>2808</v>
      </c>
      <c r="C1993" s="288" t="s">
        <v>814</v>
      </c>
      <c r="D1993" s="288" t="s">
        <v>818</v>
      </c>
      <c r="E1993" s="289">
        <v>10</v>
      </c>
      <c r="F1993" s="290">
        <v>11</v>
      </c>
      <c r="G1993" s="289">
        <v>1100</v>
      </c>
      <c r="H1993" s="289">
        <v>110</v>
      </c>
      <c r="I1993" s="289">
        <v>121</v>
      </c>
      <c r="J1993" s="289">
        <v>70</v>
      </c>
      <c r="K1993" s="289">
        <v>7</v>
      </c>
      <c r="L1993" s="289">
        <v>1408</v>
      </c>
    </row>
    <row r="1994" spans="1:12">
      <c r="A1994" s="288" t="s">
        <v>2834</v>
      </c>
      <c r="B1994" s="288" t="s">
        <v>2808</v>
      </c>
      <c r="C1994" s="288" t="s">
        <v>814</v>
      </c>
      <c r="D1994" s="288" t="s">
        <v>818</v>
      </c>
      <c r="E1994" s="289">
        <v>10</v>
      </c>
      <c r="F1994" s="290">
        <v>32</v>
      </c>
      <c r="G1994" s="289">
        <v>1100</v>
      </c>
      <c r="H1994" s="289">
        <v>2420</v>
      </c>
      <c r="I1994" s="289">
        <v>352</v>
      </c>
      <c r="J1994" s="289">
        <v>70</v>
      </c>
      <c r="K1994" s="289">
        <v>7</v>
      </c>
      <c r="L1994" s="289">
        <v>3949</v>
      </c>
    </row>
    <row r="1995" spans="1:12">
      <c r="A1995" s="288" t="s">
        <v>2835</v>
      </c>
      <c r="B1995" s="288" t="s">
        <v>2808</v>
      </c>
      <c r="C1995" s="288" t="s">
        <v>814</v>
      </c>
      <c r="D1995" s="288" t="s">
        <v>818</v>
      </c>
      <c r="E1995" s="289">
        <v>10</v>
      </c>
      <c r="F1995" s="290">
        <v>17</v>
      </c>
      <c r="G1995" s="289">
        <v>1100</v>
      </c>
      <c r="H1995" s="289">
        <v>770</v>
      </c>
      <c r="I1995" s="289">
        <v>187</v>
      </c>
      <c r="J1995" s="289">
        <v>70</v>
      </c>
      <c r="K1995" s="289">
        <v>7</v>
      </c>
      <c r="L1995" s="289">
        <v>2134</v>
      </c>
    </row>
    <row r="1996" spans="1:12">
      <c r="A1996" s="288" t="s">
        <v>2836</v>
      </c>
      <c r="B1996" s="288" t="s">
        <v>2808</v>
      </c>
      <c r="C1996" s="288" t="s">
        <v>814</v>
      </c>
      <c r="D1996" s="288" t="s">
        <v>818</v>
      </c>
      <c r="E1996" s="289">
        <v>10</v>
      </c>
      <c r="F1996" s="290">
        <v>28</v>
      </c>
      <c r="G1996" s="289">
        <v>1100</v>
      </c>
      <c r="H1996" s="289">
        <v>1980</v>
      </c>
      <c r="I1996" s="289">
        <v>308</v>
      </c>
      <c r="J1996" s="289">
        <v>70</v>
      </c>
      <c r="K1996" s="289">
        <v>7</v>
      </c>
      <c r="L1996" s="289">
        <v>3465</v>
      </c>
    </row>
    <row r="1997" spans="1:12">
      <c r="A1997" s="288" t="s">
        <v>2837</v>
      </c>
      <c r="B1997" s="288" t="s">
        <v>2808</v>
      </c>
      <c r="C1997" s="288" t="s">
        <v>814</v>
      </c>
      <c r="D1997" s="288" t="s">
        <v>818</v>
      </c>
      <c r="E1997" s="289">
        <v>10</v>
      </c>
      <c r="F1997" s="290">
        <v>25</v>
      </c>
      <c r="G1997" s="289">
        <v>1100</v>
      </c>
      <c r="H1997" s="289">
        <v>1650</v>
      </c>
      <c r="I1997" s="289">
        <v>275</v>
      </c>
      <c r="J1997" s="289">
        <v>70</v>
      </c>
      <c r="K1997" s="289">
        <v>7</v>
      </c>
      <c r="L1997" s="289">
        <v>3102</v>
      </c>
    </row>
    <row r="1998" spans="1:12">
      <c r="A1998" s="288" t="s">
        <v>2838</v>
      </c>
      <c r="B1998" s="288" t="s">
        <v>2808</v>
      </c>
      <c r="C1998" s="288" t="s">
        <v>814</v>
      </c>
      <c r="D1998" s="288" t="s">
        <v>818</v>
      </c>
      <c r="E1998" s="289">
        <v>10</v>
      </c>
      <c r="F1998" s="290">
        <v>9</v>
      </c>
      <c r="G1998" s="289">
        <v>1100</v>
      </c>
      <c r="H1998" s="289">
        <v>0</v>
      </c>
      <c r="I1998" s="289">
        <v>110</v>
      </c>
      <c r="J1998" s="289">
        <v>70</v>
      </c>
      <c r="K1998" s="289">
        <v>7</v>
      </c>
      <c r="L1998" s="289">
        <v>1287</v>
      </c>
    </row>
    <row r="1999" spans="1:12">
      <c r="A1999" s="288" t="s">
        <v>2839</v>
      </c>
      <c r="B1999" s="288" t="s">
        <v>2808</v>
      </c>
      <c r="C1999" s="288" t="s">
        <v>814</v>
      </c>
      <c r="D1999" s="288" t="s">
        <v>818</v>
      </c>
      <c r="E1999" s="289">
        <v>10</v>
      </c>
      <c r="F1999" s="290">
        <v>14</v>
      </c>
      <c r="G1999" s="289">
        <v>1100</v>
      </c>
      <c r="H1999" s="289">
        <v>440</v>
      </c>
      <c r="I1999" s="289">
        <v>154</v>
      </c>
      <c r="J1999" s="289">
        <v>70</v>
      </c>
      <c r="K1999" s="289">
        <v>7</v>
      </c>
      <c r="L1999" s="289">
        <v>1771</v>
      </c>
    </row>
    <row r="2000" spans="1:12">
      <c r="A2000" s="288" t="s">
        <v>2840</v>
      </c>
      <c r="B2000" s="288" t="s">
        <v>2808</v>
      </c>
      <c r="C2000" s="288" t="s">
        <v>814</v>
      </c>
      <c r="D2000" s="288" t="s">
        <v>818</v>
      </c>
      <c r="E2000" s="289">
        <v>10</v>
      </c>
      <c r="F2000" s="290">
        <v>18</v>
      </c>
      <c r="G2000" s="289">
        <v>1100</v>
      </c>
      <c r="H2000" s="289">
        <v>880</v>
      </c>
      <c r="I2000" s="289">
        <v>198</v>
      </c>
      <c r="J2000" s="289">
        <v>70</v>
      </c>
      <c r="K2000" s="289">
        <v>7</v>
      </c>
      <c r="L2000" s="289">
        <v>2255</v>
      </c>
    </row>
    <row r="2001" spans="1:12">
      <c r="A2001" s="288" t="s">
        <v>2841</v>
      </c>
      <c r="B2001" s="288" t="s">
        <v>2808</v>
      </c>
      <c r="C2001" s="288" t="s">
        <v>829</v>
      </c>
      <c r="D2001" s="288" t="s">
        <v>818</v>
      </c>
      <c r="E2001" s="289">
        <v>10</v>
      </c>
      <c r="F2001" s="290">
        <v>2</v>
      </c>
      <c r="G2001" s="289">
        <v>900</v>
      </c>
      <c r="H2001" s="289">
        <v>0</v>
      </c>
      <c r="I2001" s="289">
        <v>90</v>
      </c>
      <c r="J2001" s="289">
        <v>70</v>
      </c>
      <c r="K2001" s="289">
        <v>7</v>
      </c>
      <c r="L2001" s="289">
        <v>1067</v>
      </c>
    </row>
    <row r="2002" spans="1:12">
      <c r="A2002" s="288" t="s">
        <v>2842</v>
      </c>
      <c r="B2002" s="288" t="s">
        <v>2808</v>
      </c>
      <c r="C2002" s="288" t="s">
        <v>829</v>
      </c>
      <c r="D2002" s="288" t="s">
        <v>815</v>
      </c>
      <c r="E2002" s="289">
        <v>10</v>
      </c>
      <c r="F2002" s="290">
        <v>0</v>
      </c>
      <c r="G2002" s="289">
        <v>900</v>
      </c>
      <c r="H2002" s="289">
        <v>0</v>
      </c>
      <c r="I2002" s="289">
        <v>90</v>
      </c>
      <c r="J2002" s="289">
        <v>50</v>
      </c>
      <c r="K2002" s="289">
        <v>5</v>
      </c>
      <c r="L2002" s="289">
        <v>1045</v>
      </c>
    </row>
    <row r="2003" spans="1:12">
      <c r="A2003" s="288" t="s">
        <v>2843</v>
      </c>
      <c r="B2003" s="288" t="s">
        <v>2808</v>
      </c>
      <c r="C2003" s="288" t="s">
        <v>814</v>
      </c>
      <c r="D2003" s="288" t="s">
        <v>818</v>
      </c>
      <c r="E2003" s="289">
        <v>10</v>
      </c>
      <c r="F2003" s="290">
        <v>31</v>
      </c>
      <c r="G2003" s="289">
        <v>1100</v>
      </c>
      <c r="H2003" s="289">
        <v>2310</v>
      </c>
      <c r="I2003" s="289">
        <v>341</v>
      </c>
      <c r="J2003" s="289">
        <v>70</v>
      </c>
      <c r="K2003" s="289">
        <v>7</v>
      </c>
      <c r="L2003" s="289">
        <v>3828</v>
      </c>
    </row>
    <row r="2004" spans="1:12">
      <c r="A2004" s="288" t="s">
        <v>2844</v>
      </c>
      <c r="B2004" s="288" t="s">
        <v>2808</v>
      </c>
      <c r="C2004" s="288" t="s">
        <v>814</v>
      </c>
      <c r="D2004" s="288" t="s">
        <v>818</v>
      </c>
      <c r="E2004" s="289">
        <v>10</v>
      </c>
      <c r="F2004" s="290">
        <v>27</v>
      </c>
      <c r="G2004" s="289">
        <v>1100</v>
      </c>
      <c r="H2004" s="289">
        <v>1870</v>
      </c>
      <c r="I2004" s="289">
        <v>297</v>
      </c>
      <c r="J2004" s="289">
        <v>70</v>
      </c>
      <c r="K2004" s="289">
        <v>7</v>
      </c>
      <c r="L2004" s="289">
        <v>3344</v>
      </c>
    </row>
    <row r="2005" spans="1:12">
      <c r="A2005" s="288" t="s">
        <v>2845</v>
      </c>
      <c r="B2005" s="288" t="s">
        <v>2808</v>
      </c>
      <c r="C2005" s="288" t="s">
        <v>814</v>
      </c>
      <c r="D2005" s="288" t="s">
        <v>818</v>
      </c>
      <c r="E2005" s="289">
        <v>10</v>
      </c>
      <c r="F2005" s="290">
        <v>12</v>
      </c>
      <c r="G2005" s="289">
        <v>1100</v>
      </c>
      <c r="H2005" s="289">
        <v>220</v>
      </c>
      <c r="I2005" s="289">
        <v>132</v>
      </c>
      <c r="J2005" s="289">
        <v>70</v>
      </c>
      <c r="K2005" s="289">
        <v>7</v>
      </c>
      <c r="L2005" s="289">
        <v>1529</v>
      </c>
    </row>
    <row r="2006" spans="1:12">
      <c r="A2006" s="288" t="s">
        <v>2846</v>
      </c>
      <c r="B2006" s="288" t="s">
        <v>2808</v>
      </c>
      <c r="C2006" s="288" t="s">
        <v>814</v>
      </c>
      <c r="D2006" s="288" t="s">
        <v>818</v>
      </c>
      <c r="E2006" s="289">
        <v>10</v>
      </c>
      <c r="F2006" s="290">
        <v>10</v>
      </c>
      <c r="G2006" s="289">
        <v>1100</v>
      </c>
      <c r="H2006" s="289">
        <v>0</v>
      </c>
      <c r="I2006" s="289">
        <v>110</v>
      </c>
      <c r="J2006" s="289">
        <v>70</v>
      </c>
      <c r="K2006" s="289">
        <v>7</v>
      </c>
      <c r="L2006" s="289">
        <v>1287</v>
      </c>
    </row>
    <row r="2007" spans="1:12">
      <c r="A2007" s="288" t="s">
        <v>2847</v>
      </c>
      <c r="B2007" s="288" t="s">
        <v>2808</v>
      </c>
      <c r="C2007" s="288" t="s">
        <v>814</v>
      </c>
      <c r="D2007" s="288" t="s">
        <v>818</v>
      </c>
      <c r="E2007" s="289">
        <v>10</v>
      </c>
      <c r="F2007" s="290">
        <v>24</v>
      </c>
      <c r="G2007" s="289">
        <v>1100</v>
      </c>
      <c r="H2007" s="289">
        <v>1540</v>
      </c>
      <c r="I2007" s="289">
        <v>264</v>
      </c>
      <c r="J2007" s="289">
        <v>70</v>
      </c>
      <c r="K2007" s="289">
        <v>7</v>
      </c>
      <c r="L2007" s="289">
        <v>2981</v>
      </c>
    </row>
    <row r="2008" spans="1:12">
      <c r="A2008" s="288" t="s">
        <v>2848</v>
      </c>
      <c r="B2008" s="288" t="s">
        <v>2808</v>
      </c>
      <c r="C2008" s="288" t="s">
        <v>814</v>
      </c>
      <c r="D2008" s="288" t="s">
        <v>818</v>
      </c>
      <c r="E2008" s="289">
        <v>10</v>
      </c>
      <c r="F2008" s="290">
        <v>22</v>
      </c>
      <c r="G2008" s="289">
        <v>1100</v>
      </c>
      <c r="H2008" s="289">
        <v>1320</v>
      </c>
      <c r="I2008" s="289">
        <v>242</v>
      </c>
      <c r="J2008" s="289">
        <v>70</v>
      </c>
      <c r="K2008" s="289">
        <v>7</v>
      </c>
      <c r="L2008" s="289">
        <v>2739</v>
      </c>
    </row>
    <row r="2009" spans="1:12">
      <c r="A2009" s="288" t="s">
        <v>2849</v>
      </c>
      <c r="B2009" s="288" t="s">
        <v>2808</v>
      </c>
      <c r="C2009" s="288" t="s">
        <v>814</v>
      </c>
      <c r="D2009" s="288" t="s">
        <v>818</v>
      </c>
      <c r="E2009" s="289">
        <v>10</v>
      </c>
      <c r="F2009" s="290">
        <v>32</v>
      </c>
      <c r="G2009" s="289">
        <v>1100</v>
      </c>
      <c r="H2009" s="289">
        <v>2420</v>
      </c>
      <c r="I2009" s="289">
        <v>352</v>
      </c>
      <c r="J2009" s="289">
        <v>70</v>
      </c>
      <c r="K2009" s="289">
        <v>7</v>
      </c>
      <c r="L2009" s="289">
        <v>3949</v>
      </c>
    </row>
    <row r="2010" spans="1:12">
      <c r="A2010" s="288" t="s">
        <v>2850</v>
      </c>
      <c r="B2010" s="288" t="s">
        <v>2808</v>
      </c>
      <c r="C2010" s="288" t="s">
        <v>814</v>
      </c>
      <c r="D2010" s="288" t="s">
        <v>818</v>
      </c>
      <c r="E2010" s="289">
        <v>10</v>
      </c>
      <c r="F2010" s="290">
        <v>15</v>
      </c>
      <c r="G2010" s="289">
        <v>1100</v>
      </c>
      <c r="H2010" s="289">
        <v>550</v>
      </c>
      <c r="I2010" s="289">
        <v>165</v>
      </c>
      <c r="J2010" s="289">
        <v>70</v>
      </c>
      <c r="K2010" s="289">
        <v>7</v>
      </c>
      <c r="L2010" s="289">
        <v>1892</v>
      </c>
    </row>
    <row r="2011" spans="1:12">
      <c r="A2011" s="288" t="s">
        <v>2851</v>
      </c>
      <c r="B2011" s="288" t="s">
        <v>2808</v>
      </c>
      <c r="C2011" s="288" t="s">
        <v>814</v>
      </c>
      <c r="D2011" s="288" t="s">
        <v>818</v>
      </c>
      <c r="E2011" s="289">
        <v>10</v>
      </c>
      <c r="F2011" s="290">
        <v>23</v>
      </c>
      <c r="G2011" s="289">
        <v>1100</v>
      </c>
      <c r="H2011" s="289">
        <v>1430</v>
      </c>
      <c r="I2011" s="289">
        <v>253</v>
      </c>
      <c r="J2011" s="289">
        <v>70</v>
      </c>
      <c r="K2011" s="289">
        <v>7</v>
      </c>
      <c r="L2011" s="289">
        <v>2860</v>
      </c>
    </row>
    <row r="2012" spans="1:12">
      <c r="A2012" s="288" t="s">
        <v>2852</v>
      </c>
      <c r="B2012" s="288" t="s">
        <v>2808</v>
      </c>
      <c r="C2012" s="288" t="s">
        <v>814</v>
      </c>
      <c r="D2012" s="288" t="s">
        <v>818</v>
      </c>
      <c r="E2012" s="289">
        <v>10</v>
      </c>
      <c r="F2012" s="290">
        <v>32</v>
      </c>
      <c r="G2012" s="289">
        <v>1100</v>
      </c>
      <c r="H2012" s="289">
        <v>2420</v>
      </c>
      <c r="I2012" s="289">
        <v>352</v>
      </c>
      <c r="J2012" s="289">
        <v>70</v>
      </c>
      <c r="K2012" s="289">
        <v>7</v>
      </c>
      <c r="L2012" s="289">
        <v>3949</v>
      </c>
    </row>
    <row r="2013" spans="1:12">
      <c r="A2013" s="288" t="s">
        <v>2853</v>
      </c>
      <c r="B2013" s="288" t="s">
        <v>2808</v>
      </c>
      <c r="C2013" s="288" t="s">
        <v>814</v>
      </c>
      <c r="D2013" s="288" t="s">
        <v>818</v>
      </c>
      <c r="E2013" s="289">
        <v>10</v>
      </c>
      <c r="F2013" s="290">
        <v>21</v>
      </c>
      <c r="G2013" s="289">
        <v>1100</v>
      </c>
      <c r="H2013" s="289">
        <v>1210</v>
      </c>
      <c r="I2013" s="289">
        <v>231</v>
      </c>
      <c r="J2013" s="289">
        <v>70</v>
      </c>
      <c r="K2013" s="289">
        <v>7</v>
      </c>
      <c r="L2013" s="289">
        <v>2618</v>
      </c>
    </row>
    <row r="2014" spans="1:12">
      <c r="A2014" s="288" t="s">
        <v>2854</v>
      </c>
      <c r="B2014" s="288" t="s">
        <v>2808</v>
      </c>
      <c r="C2014" s="288" t="s">
        <v>814</v>
      </c>
      <c r="D2014" s="288" t="s">
        <v>818</v>
      </c>
      <c r="E2014" s="289">
        <v>10</v>
      </c>
      <c r="F2014" s="290">
        <v>12</v>
      </c>
      <c r="G2014" s="289">
        <v>1100</v>
      </c>
      <c r="H2014" s="289">
        <v>220</v>
      </c>
      <c r="I2014" s="289">
        <v>132</v>
      </c>
      <c r="J2014" s="289">
        <v>70</v>
      </c>
      <c r="K2014" s="289">
        <v>7</v>
      </c>
      <c r="L2014" s="289">
        <v>1529</v>
      </c>
    </row>
    <row r="2015" spans="1:12">
      <c r="A2015" s="288" t="s">
        <v>2855</v>
      </c>
      <c r="B2015" s="288" t="s">
        <v>2808</v>
      </c>
      <c r="C2015" s="288" t="s">
        <v>814</v>
      </c>
      <c r="D2015" s="288" t="s">
        <v>818</v>
      </c>
      <c r="E2015" s="289">
        <v>10</v>
      </c>
      <c r="F2015" s="290">
        <v>13</v>
      </c>
      <c r="G2015" s="289">
        <v>1100</v>
      </c>
      <c r="H2015" s="289">
        <v>330</v>
      </c>
      <c r="I2015" s="289">
        <v>143</v>
      </c>
      <c r="J2015" s="289">
        <v>70</v>
      </c>
      <c r="K2015" s="289">
        <v>7</v>
      </c>
      <c r="L2015" s="289">
        <v>1650</v>
      </c>
    </row>
    <row r="2016" spans="1:12">
      <c r="A2016" s="288" t="s">
        <v>2856</v>
      </c>
      <c r="B2016" s="288" t="s">
        <v>2808</v>
      </c>
      <c r="C2016" s="288" t="s">
        <v>814</v>
      </c>
      <c r="D2016" s="288" t="s">
        <v>818</v>
      </c>
      <c r="E2016" s="289">
        <v>10</v>
      </c>
      <c r="F2016" s="290">
        <v>17</v>
      </c>
      <c r="G2016" s="289">
        <v>1100</v>
      </c>
      <c r="H2016" s="289">
        <v>770</v>
      </c>
      <c r="I2016" s="289">
        <v>187</v>
      </c>
      <c r="J2016" s="289">
        <v>70</v>
      </c>
      <c r="K2016" s="289">
        <v>7</v>
      </c>
      <c r="L2016" s="289">
        <v>2134</v>
      </c>
    </row>
    <row r="2017" spans="1:12">
      <c r="A2017" s="288" t="s">
        <v>2857</v>
      </c>
      <c r="B2017" s="288" t="s">
        <v>2808</v>
      </c>
      <c r="C2017" s="288" t="s">
        <v>814</v>
      </c>
      <c r="D2017" s="288" t="s">
        <v>818</v>
      </c>
      <c r="E2017" s="289">
        <v>10</v>
      </c>
      <c r="F2017" s="290">
        <v>19</v>
      </c>
      <c r="G2017" s="289">
        <v>1100</v>
      </c>
      <c r="H2017" s="289">
        <v>990</v>
      </c>
      <c r="I2017" s="289">
        <v>209</v>
      </c>
      <c r="J2017" s="289">
        <v>70</v>
      </c>
      <c r="K2017" s="289">
        <v>7</v>
      </c>
      <c r="L2017" s="289">
        <v>2376</v>
      </c>
    </row>
    <row r="2018" spans="1:12">
      <c r="A2018" s="288" t="s">
        <v>2858</v>
      </c>
      <c r="B2018" s="288" t="s">
        <v>2808</v>
      </c>
      <c r="C2018" s="288" t="s">
        <v>814</v>
      </c>
      <c r="D2018" s="288" t="s">
        <v>818</v>
      </c>
      <c r="E2018" s="289">
        <v>10</v>
      </c>
      <c r="F2018" s="290">
        <v>19</v>
      </c>
      <c r="G2018" s="289">
        <v>1100</v>
      </c>
      <c r="H2018" s="289">
        <v>990</v>
      </c>
      <c r="I2018" s="289">
        <v>209</v>
      </c>
      <c r="J2018" s="289">
        <v>70</v>
      </c>
      <c r="K2018" s="289">
        <v>7</v>
      </c>
      <c r="L2018" s="289">
        <v>2376</v>
      </c>
    </row>
    <row r="2019" spans="1:12">
      <c r="A2019" s="288" t="s">
        <v>2859</v>
      </c>
      <c r="B2019" s="288" t="s">
        <v>2808</v>
      </c>
      <c r="C2019" s="288" t="s">
        <v>814</v>
      </c>
      <c r="D2019" s="288" t="s">
        <v>818</v>
      </c>
      <c r="E2019" s="289">
        <v>10</v>
      </c>
      <c r="F2019" s="290">
        <v>32</v>
      </c>
      <c r="G2019" s="289">
        <v>1100</v>
      </c>
      <c r="H2019" s="289">
        <v>2420</v>
      </c>
      <c r="I2019" s="289">
        <v>352</v>
      </c>
      <c r="J2019" s="289">
        <v>70</v>
      </c>
      <c r="K2019" s="289">
        <v>7</v>
      </c>
      <c r="L2019" s="289">
        <v>3949</v>
      </c>
    </row>
    <row r="2020" spans="1:12">
      <c r="A2020" s="288" t="s">
        <v>2860</v>
      </c>
      <c r="B2020" s="288" t="s">
        <v>2808</v>
      </c>
      <c r="C2020" s="288" t="s">
        <v>814</v>
      </c>
      <c r="D2020" s="288" t="s">
        <v>818</v>
      </c>
      <c r="E2020" s="289">
        <v>10</v>
      </c>
      <c r="F2020" s="290">
        <v>12</v>
      </c>
      <c r="G2020" s="289">
        <v>1100</v>
      </c>
      <c r="H2020" s="289">
        <v>220</v>
      </c>
      <c r="I2020" s="289">
        <v>132</v>
      </c>
      <c r="J2020" s="289">
        <v>70</v>
      </c>
      <c r="K2020" s="289">
        <v>7</v>
      </c>
      <c r="L2020" s="289">
        <v>1529</v>
      </c>
    </row>
    <row r="2021" spans="1:12">
      <c r="A2021" s="288" t="s">
        <v>2861</v>
      </c>
      <c r="B2021" s="288" t="s">
        <v>2808</v>
      </c>
      <c r="C2021" s="288" t="s">
        <v>814</v>
      </c>
      <c r="D2021" s="288" t="s">
        <v>818</v>
      </c>
      <c r="E2021" s="289">
        <v>10</v>
      </c>
      <c r="F2021" s="290">
        <v>7</v>
      </c>
      <c r="G2021" s="289">
        <v>1100</v>
      </c>
      <c r="H2021" s="289">
        <v>0</v>
      </c>
      <c r="I2021" s="289">
        <v>110</v>
      </c>
      <c r="J2021" s="289">
        <v>70</v>
      </c>
      <c r="K2021" s="289">
        <v>7</v>
      </c>
      <c r="L2021" s="289">
        <v>1287</v>
      </c>
    </row>
    <row r="2022" spans="1:12">
      <c r="A2022" s="288" t="s">
        <v>2862</v>
      </c>
      <c r="B2022" s="288" t="s">
        <v>2808</v>
      </c>
      <c r="C2022" s="288" t="s">
        <v>814</v>
      </c>
      <c r="D2022" s="288" t="s">
        <v>818</v>
      </c>
      <c r="E2022" s="289">
        <v>10</v>
      </c>
      <c r="F2022" s="290">
        <v>25</v>
      </c>
      <c r="G2022" s="289">
        <v>1100</v>
      </c>
      <c r="H2022" s="289">
        <v>1650</v>
      </c>
      <c r="I2022" s="289">
        <v>275</v>
      </c>
      <c r="J2022" s="289">
        <v>70</v>
      </c>
      <c r="K2022" s="289">
        <v>7</v>
      </c>
      <c r="L2022" s="289">
        <v>3102</v>
      </c>
    </row>
    <row r="2023" spans="1:12">
      <c r="A2023" s="288" t="s">
        <v>2863</v>
      </c>
      <c r="B2023" s="288" t="s">
        <v>2808</v>
      </c>
      <c r="C2023" s="288" t="s">
        <v>814</v>
      </c>
      <c r="D2023" s="288" t="s">
        <v>818</v>
      </c>
      <c r="E2023" s="289">
        <v>10</v>
      </c>
      <c r="F2023" s="290">
        <v>19</v>
      </c>
      <c r="G2023" s="289">
        <v>1100</v>
      </c>
      <c r="H2023" s="289">
        <v>990</v>
      </c>
      <c r="I2023" s="289">
        <v>209</v>
      </c>
      <c r="J2023" s="289">
        <v>70</v>
      </c>
      <c r="K2023" s="289">
        <v>7</v>
      </c>
      <c r="L2023" s="289">
        <v>2376</v>
      </c>
    </row>
    <row r="2024" spans="1:12">
      <c r="A2024" s="288" t="s">
        <v>2864</v>
      </c>
      <c r="B2024" s="288" t="s">
        <v>2808</v>
      </c>
      <c r="C2024" s="288" t="s">
        <v>829</v>
      </c>
      <c r="D2024" s="288" t="s">
        <v>818</v>
      </c>
      <c r="E2024" s="289">
        <v>10</v>
      </c>
      <c r="F2024" s="290">
        <v>0</v>
      </c>
      <c r="G2024" s="289">
        <v>900</v>
      </c>
      <c r="H2024" s="289">
        <v>0</v>
      </c>
      <c r="I2024" s="289">
        <v>90</v>
      </c>
      <c r="J2024" s="289">
        <v>70</v>
      </c>
      <c r="K2024" s="289">
        <v>7</v>
      </c>
      <c r="L2024" s="289">
        <v>1067</v>
      </c>
    </row>
    <row r="2025" spans="1:12">
      <c r="A2025" s="288" t="s">
        <v>2865</v>
      </c>
      <c r="B2025" s="288" t="s">
        <v>2247</v>
      </c>
      <c r="C2025" s="288" t="s">
        <v>814</v>
      </c>
      <c r="D2025" s="288" t="s">
        <v>818</v>
      </c>
      <c r="E2025" s="289">
        <v>10</v>
      </c>
      <c r="F2025" s="290">
        <v>32</v>
      </c>
      <c r="G2025" s="289">
        <v>1100</v>
      </c>
      <c r="H2025" s="289">
        <v>2420</v>
      </c>
      <c r="I2025" s="289">
        <v>352</v>
      </c>
      <c r="J2025" s="289">
        <v>70</v>
      </c>
      <c r="K2025" s="289">
        <v>7</v>
      </c>
      <c r="L2025" s="289">
        <v>3949</v>
      </c>
    </row>
    <row r="2026" spans="1:12">
      <c r="A2026" s="288" t="s">
        <v>2866</v>
      </c>
      <c r="B2026" s="288" t="s">
        <v>2247</v>
      </c>
      <c r="C2026" s="288" t="s">
        <v>814</v>
      </c>
      <c r="D2026" s="288" t="s">
        <v>818</v>
      </c>
      <c r="E2026" s="289">
        <v>10</v>
      </c>
      <c r="F2026" s="290">
        <v>37</v>
      </c>
      <c r="G2026" s="289">
        <v>1100</v>
      </c>
      <c r="H2026" s="289">
        <v>2970</v>
      </c>
      <c r="I2026" s="289">
        <v>407</v>
      </c>
      <c r="J2026" s="289">
        <v>70</v>
      </c>
      <c r="K2026" s="289">
        <v>7</v>
      </c>
      <c r="L2026" s="289">
        <v>4554</v>
      </c>
    </row>
    <row r="2027" spans="1:12">
      <c r="A2027" s="288" t="s">
        <v>2867</v>
      </c>
      <c r="B2027" s="288" t="s">
        <v>2247</v>
      </c>
      <c r="C2027" s="288" t="s">
        <v>814</v>
      </c>
      <c r="D2027" s="288" t="s">
        <v>818</v>
      </c>
      <c r="E2027" s="289">
        <v>10</v>
      </c>
      <c r="F2027" s="290">
        <v>27</v>
      </c>
      <c r="G2027" s="289">
        <v>1100</v>
      </c>
      <c r="H2027" s="289">
        <v>1870</v>
      </c>
      <c r="I2027" s="289">
        <v>297</v>
      </c>
      <c r="J2027" s="289">
        <v>70</v>
      </c>
      <c r="K2027" s="289">
        <v>7</v>
      </c>
      <c r="L2027" s="289">
        <v>3344</v>
      </c>
    </row>
    <row r="2028" spans="1:12">
      <c r="A2028" s="288" t="s">
        <v>2868</v>
      </c>
      <c r="B2028" s="288" t="s">
        <v>2247</v>
      </c>
      <c r="C2028" s="288" t="s">
        <v>814</v>
      </c>
      <c r="D2028" s="288" t="s">
        <v>818</v>
      </c>
      <c r="E2028" s="289">
        <v>10</v>
      </c>
      <c r="F2028" s="290">
        <v>17</v>
      </c>
      <c r="G2028" s="289">
        <v>1100</v>
      </c>
      <c r="H2028" s="289">
        <v>770</v>
      </c>
      <c r="I2028" s="289">
        <v>187</v>
      </c>
      <c r="J2028" s="289">
        <v>70</v>
      </c>
      <c r="K2028" s="289">
        <v>7</v>
      </c>
      <c r="L2028" s="289">
        <v>2134</v>
      </c>
    </row>
    <row r="2029" spans="1:12">
      <c r="A2029" s="288" t="s">
        <v>2869</v>
      </c>
      <c r="B2029" s="288" t="s">
        <v>2247</v>
      </c>
      <c r="C2029" s="288" t="s">
        <v>814</v>
      </c>
      <c r="D2029" s="288" t="s">
        <v>818</v>
      </c>
      <c r="E2029" s="289">
        <v>10</v>
      </c>
      <c r="F2029" s="290">
        <v>16</v>
      </c>
      <c r="G2029" s="289">
        <v>1100</v>
      </c>
      <c r="H2029" s="289">
        <v>660</v>
      </c>
      <c r="I2029" s="289">
        <v>176</v>
      </c>
      <c r="J2029" s="289">
        <v>70</v>
      </c>
      <c r="K2029" s="289">
        <v>7</v>
      </c>
      <c r="L2029" s="289">
        <v>2013</v>
      </c>
    </row>
    <row r="2030" spans="1:12">
      <c r="A2030" s="288" t="s">
        <v>2870</v>
      </c>
      <c r="B2030" s="288" t="s">
        <v>2247</v>
      </c>
      <c r="C2030" s="288" t="s">
        <v>814</v>
      </c>
      <c r="D2030" s="288" t="s">
        <v>818</v>
      </c>
      <c r="E2030" s="289">
        <v>10</v>
      </c>
      <c r="F2030" s="290">
        <v>15</v>
      </c>
      <c r="G2030" s="289">
        <v>1100</v>
      </c>
      <c r="H2030" s="289">
        <v>550</v>
      </c>
      <c r="I2030" s="289">
        <v>165</v>
      </c>
      <c r="J2030" s="289">
        <v>70</v>
      </c>
      <c r="K2030" s="289">
        <v>7</v>
      </c>
      <c r="L2030" s="289">
        <v>1892</v>
      </c>
    </row>
    <row r="2031" spans="1:12">
      <c r="A2031" s="288" t="s">
        <v>2871</v>
      </c>
      <c r="B2031" s="288" t="s">
        <v>2247</v>
      </c>
      <c r="C2031" s="288" t="s">
        <v>814</v>
      </c>
      <c r="D2031" s="288" t="s">
        <v>818</v>
      </c>
      <c r="E2031" s="289">
        <v>10</v>
      </c>
      <c r="F2031" s="290">
        <v>35</v>
      </c>
      <c r="G2031" s="289">
        <v>1100</v>
      </c>
      <c r="H2031" s="289">
        <v>2750</v>
      </c>
      <c r="I2031" s="289">
        <v>385</v>
      </c>
      <c r="J2031" s="289">
        <v>70</v>
      </c>
      <c r="K2031" s="289">
        <v>7</v>
      </c>
      <c r="L2031" s="289">
        <v>4312</v>
      </c>
    </row>
    <row r="2032" spans="1:12">
      <c r="A2032" s="288" t="s">
        <v>2872</v>
      </c>
      <c r="B2032" s="288" t="s">
        <v>2247</v>
      </c>
      <c r="C2032" s="288" t="s">
        <v>814</v>
      </c>
      <c r="D2032" s="288" t="s">
        <v>818</v>
      </c>
      <c r="E2032" s="289">
        <v>10</v>
      </c>
      <c r="F2032" s="290">
        <v>15</v>
      </c>
      <c r="G2032" s="289">
        <v>1100</v>
      </c>
      <c r="H2032" s="289">
        <v>550</v>
      </c>
      <c r="I2032" s="289">
        <v>165</v>
      </c>
      <c r="J2032" s="289">
        <v>70</v>
      </c>
      <c r="K2032" s="289">
        <v>7</v>
      </c>
      <c r="L2032" s="289">
        <v>1892</v>
      </c>
    </row>
    <row r="2033" spans="1:12">
      <c r="A2033" s="288" t="s">
        <v>2873</v>
      </c>
      <c r="B2033" s="288" t="s">
        <v>2247</v>
      </c>
      <c r="C2033" s="288" t="s">
        <v>814</v>
      </c>
      <c r="D2033" s="288" t="s">
        <v>818</v>
      </c>
      <c r="E2033" s="289">
        <v>10</v>
      </c>
      <c r="F2033" s="290">
        <v>27</v>
      </c>
      <c r="G2033" s="289">
        <v>1100</v>
      </c>
      <c r="H2033" s="289">
        <v>1870</v>
      </c>
      <c r="I2033" s="289">
        <v>297</v>
      </c>
      <c r="J2033" s="289">
        <v>70</v>
      </c>
      <c r="K2033" s="289">
        <v>7</v>
      </c>
      <c r="L2033" s="289">
        <v>3344</v>
      </c>
    </row>
    <row r="2034" spans="1:12">
      <c r="A2034" s="288" t="s">
        <v>2874</v>
      </c>
      <c r="B2034" s="288" t="s">
        <v>2247</v>
      </c>
      <c r="C2034" s="288" t="s">
        <v>814</v>
      </c>
      <c r="D2034" s="288" t="s">
        <v>818</v>
      </c>
      <c r="E2034" s="289">
        <v>10</v>
      </c>
      <c r="F2034" s="290">
        <v>22</v>
      </c>
      <c r="G2034" s="289">
        <v>1100</v>
      </c>
      <c r="H2034" s="289">
        <v>1320</v>
      </c>
      <c r="I2034" s="289">
        <v>242</v>
      </c>
      <c r="J2034" s="289">
        <v>70</v>
      </c>
      <c r="K2034" s="289">
        <v>7</v>
      </c>
      <c r="L2034" s="289">
        <v>2739</v>
      </c>
    </row>
    <row r="2035" spans="1:12">
      <c r="A2035" s="288" t="s">
        <v>2875</v>
      </c>
      <c r="B2035" s="288" t="s">
        <v>2247</v>
      </c>
      <c r="C2035" s="288" t="s">
        <v>814</v>
      </c>
      <c r="D2035" s="288" t="s">
        <v>818</v>
      </c>
      <c r="E2035" s="289">
        <v>10</v>
      </c>
      <c r="F2035" s="290">
        <v>14</v>
      </c>
      <c r="G2035" s="289">
        <v>1100</v>
      </c>
      <c r="H2035" s="289">
        <v>440</v>
      </c>
      <c r="I2035" s="289">
        <v>154</v>
      </c>
      <c r="J2035" s="289">
        <v>70</v>
      </c>
      <c r="K2035" s="289">
        <v>7</v>
      </c>
      <c r="L2035" s="289">
        <v>1771</v>
      </c>
    </row>
    <row r="2036" spans="1:12">
      <c r="A2036" s="288" t="s">
        <v>2876</v>
      </c>
      <c r="B2036" s="288" t="s">
        <v>2247</v>
      </c>
      <c r="C2036" s="288" t="s">
        <v>814</v>
      </c>
      <c r="D2036" s="288" t="s">
        <v>818</v>
      </c>
      <c r="E2036" s="289">
        <v>10</v>
      </c>
      <c r="F2036" s="290">
        <v>14</v>
      </c>
      <c r="G2036" s="289">
        <v>1100</v>
      </c>
      <c r="H2036" s="289">
        <v>440</v>
      </c>
      <c r="I2036" s="289">
        <v>154</v>
      </c>
      <c r="J2036" s="289">
        <v>70</v>
      </c>
      <c r="K2036" s="289">
        <v>7</v>
      </c>
      <c r="L2036" s="289">
        <v>1771</v>
      </c>
    </row>
    <row r="2037" spans="1:12">
      <c r="A2037" s="288" t="s">
        <v>2877</v>
      </c>
      <c r="B2037" s="288" t="s">
        <v>2247</v>
      </c>
      <c r="C2037" s="288" t="s">
        <v>814</v>
      </c>
      <c r="D2037" s="288" t="s">
        <v>818</v>
      </c>
      <c r="E2037" s="289">
        <v>10</v>
      </c>
      <c r="F2037" s="290">
        <v>9</v>
      </c>
      <c r="G2037" s="289">
        <v>1100</v>
      </c>
      <c r="H2037" s="289">
        <v>0</v>
      </c>
      <c r="I2037" s="289">
        <v>110</v>
      </c>
      <c r="J2037" s="289">
        <v>70</v>
      </c>
      <c r="K2037" s="289">
        <v>7</v>
      </c>
      <c r="L2037" s="289">
        <v>1287</v>
      </c>
    </row>
    <row r="2038" spans="1:12">
      <c r="A2038" s="288" t="s">
        <v>2878</v>
      </c>
      <c r="B2038" s="288" t="s">
        <v>2247</v>
      </c>
      <c r="C2038" s="288" t="s">
        <v>814</v>
      </c>
      <c r="D2038" s="288" t="s">
        <v>818</v>
      </c>
      <c r="E2038" s="289">
        <v>10</v>
      </c>
      <c r="F2038" s="290">
        <v>11</v>
      </c>
      <c r="G2038" s="289">
        <v>1100</v>
      </c>
      <c r="H2038" s="289">
        <v>110</v>
      </c>
      <c r="I2038" s="289">
        <v>121</v>
      </c>
      <c r="J2038" s="289">
        <v>70</v>
      </c>
      <c r="K2038" s="289">
        <v>7</v>
      </c>
      <c r="L2038" s="289">
        <v>1408</v>
      </c>
    </row>
    <row r="2039" spans="1:12">
      <c r="A2039" s="288" t="s">
        <v>2879</v>
      </c>
      <c r="B2039" s="288" t="s">
        <v>2247</v>
      </c>
      <c r="C2039" s="288" t="s">
        <v>814</v>
      </c>
      <c r="D2039" s="288" t="s">
        <v>818</v>
      </c>
      <c r="E2039" s="289">
        <v>10</v>
      </c>
      <c r="F2039" s="290">
        <v>29</v>
      </c>
      <c r="G2039" s="289">
        <v>1100</v>
      </c>
      <c r="H2039" s="289">
        <v>2090</v>
      </c>
      <c r="I2039" s="289">
        <v>319</v>
      </c>
      <c r="J2039" s="289">
        <v>70</v>
      </c>
      <c r="K2039" s="289">
        <v>7</v>
      </c>
      <c r="L2039" s="289">
        <v>3586</v>
      </c>
    </row>
    <row r="2040" spans="1:12">
      <c r="A2040" s="288" t="s">
        <v>2880</v>
      </c>
      <c r="B2040" s="288" t="s">
        <v>2247</v>
      </c>
      <c r="C2040" s="288" t="s">
        <v>814</v>
      </c>
      <c r="D2040" s="288" t="s">
        <v>818</v>
      </c>
      <c r="E2040" s="289">
        <v>10</v>
      </c>
      <c r="F2040" s="290">
        <v>14</v>
      </c>
      <c r="G2040" s="289">
        <v>1100</v>
      </c>
      <c r="H2040" s="289">
        <v>440</v>
      </c>
      <c r="I2040" s="289">
        <v>154</v>
      </c>
      <c r="J2040" s="289">
        <v>70</v>
      </c>
      <c r="K2040" s="289">
        <v>7</v>
      </c>
      <c r="L2040" s="289">
        <v>1771</v>
      </c>
    </row>
    <row r="2041" spans="1:12">
      <c r="A2041" s="288" t="s">
        <v>2881</v>
      </c>
      <c r="B2041" s="288" t="s">
        <v>2247</v>
      </c>
      <c r="C2041" s="288" t="s">
        <v>814</v>
      </c>
      <c r="D2041" s="288" t="s">
        <v>818</v>
      </c>
      <c r="E2041" s="289">
        <v>10</v>
      </c>
      <c r="F2041" s="290">
        <v>10</v>
      </c>
      <c r="G2041" s="289">
        <v>1100</v>
      </c>
      <c r="H2041" s="289">
        <v>0</v>
      </c>
      <c r="I2041" s="289">
        <v>110</v>
      </c>
      <c r="J2041" s="289">
        <v>70</v>
      </c>
      <c r="K2041" s="289">
        <v>7</v>
      </c>
      <c r="L2041" s="289">
        <v>1287</v>
      </c>
    </row>
    <row r="2042" spans="1:12">
      <c r="A2042" s="288" t="s">
        <v>2882</v>
      </c>
      <c r="B2042" s="288" t="s">
        <v>2247</v>
      </c>
      <c r="C2042" s="288" t="s">
        <v>814</v>
      </c>
      <c r="D2042" s="288" t="s">
        <v>818</v>
      </c>
      <c r="E2042" s="289">
        <v>10</v>
      </c>
      <c r="F2042" s="290">
        <v>10</v>
      </c>
      <c r="G2042" s="289">
        <v>1100</v>
      </c>
      <c r="H2042" s="289">
        <v>0</v>
      </c>
      <c r="I2042" s="289">
        <v>110</v>
      </c>
      <c r="J2042" s="289">
        <v>70</v>
      </c>
      <c r="K2042" s="289">
        <v>7</v>
      </c>
      <c r="L2042" s="289">
        <v>1287</v>
      </c>
    </row>
    <row r="2043" spans="1:12">
      <c r="A2043" s="288" t="s">
        <v>2883</v>
      </c>
      <c r="B2043" s="288" t="s">
        <v>2247</v>
      </c>
      <c r="C2043" s="288" t="s">
        <v>814</v>
      </c>
      <c r="D2043" s="288" t="s">
        <v>818</v>
      </c>
      <c r="E2043" s="289">
        <v>10</v>
      </c>
      <c r="F2043" s="290">
        <v>21</v>
      </c>
      <c r="G2043" s="289">
        <v>1100</v>
      </c>
      <c r="H2043" s="289">
        <v>1210</v>
      </c>
      <c r="I2043" s="289">
        <v>231</v>
      </c>
      <c r="J2043" s="289">
        <v>70</v>
      </c>
      <c r="K2043" s="289">
        <v>7</v>
      </c>
      <c r="L2043" s="289">
        <v>2618</v>
      </c>
    </row>
    <row r="2044" spans="1:12">
      <c r="A2044" s="288" t="s">
        <v>2884</v>
      </c>
      <c r="B2044" s="288" t="s">
        <v>2247</v>
      </c>
      <c r="C2044" s="288" t="s">
        <v>814</v>
      </c>
      <c r="D2044" s="288" t="s">
        <v>818</v>
      </c>
      <c r="E2044" s="289">
        <v>10</v>
      </c>
      <c r="F2044" s="290">
        <v>14</v>
      </c>
      <c r="G2044" s="289">
        <v>1100</v>
      </c>
      <c r="H2044" s="289">
        <v>440</v>
      </c>
      <c r="I2044" s="289">
        <v>154</v>
      </c>
      <c r="J2044" s="289">
        <v>70</v>
      </c>
      <c r="K2044" s="289">
        <v>7</v>
      </c>
      <c r="L2044" s="289">
        <v>1771</v>
      </c>
    </row>
    <row r="2045" spans="1:12">
      <c r="A2045" s="288" t="s">
        <v>2885</v>
      </c>
      <c r="B2045" s="288" t="s">
        <v>2247</v>
      </c>
      <c r="C2045" s="288" t="s">
        <v>814</v>
      </c>
      <c r="D2045" s="288" t="s">
        <v>818</v>
      </c>
      <c r="E2045" s="289">
        <v>10</v>
      </c>
      <c r="F2045" s="290">
        <v>21</v>
      </c>
      <c r="G2045" s="289">
        <v>1100</v>
      </c>
      <c r="H2045" s="289">
        <v>1210</v>
      </c>
      <c r="I2045" s="289">
        <v>231</v>
      </c>
      <c r="J2045" s="289">
        <v>70</v>
      </c>
      <c r="K2045" s="289">
        <v>7</v>
      </c>
      <c r="L2045" s="289">
        <v>2618</v>
      </c>
    </row>
    <row r="2046" spans="1:12">
      <c r="A2046" s="288" t="s">
        <v>2886</v>
      </c>
      <c r="B2046" s="288" t="s">
        <v>2247</v>
      </c>
      <c r="C2046" s="288" t="s">
        <v>814</v>
      </c>
      <c r="D2046" s="288" t="s">
        <v>818</v>
      </c>
      <c r="E2046" s="289">
        <v>10</v>
      </c>
      <c r="F2046" s="290">
        <v>23</v>
      </c>
      <c r="G2046" s="289">
        <v>1100</v>
      </c>
      <c r="H2046" s="289">
        <v>1430</v>
      </c>
      <c r="I2046" s="289">
        <v>253</v>
      </c>
      <c r="J2046" s="289">
        <v>70</v>
      </c>
      <c r="K2046" s="289">
        <v>7</v>
      </c>
      <c r="L2046" s="289">
        <v>2860</v>
      </c>
    </row>
    <row r="2047" spans="1:12">
      <c r="A2047" s="288" t="s">
        <v>2887</v>
      </c>
      <c r="B2047" s="288" t="s">
        <v>2247</v>
      </c>
      <c r="C2047" s="288" t="s">
        <v>814</v>
      </c>
      <c r="D2047" s="288" t="s">
        <v>818</v>
      </c>
      <c r="E2047" s="289">
        <v>10</v>
      </c>
      <c r="F2047" s="290">
        <v>18</v>
      </c>
      <c r="G2047" s="289">
        <v>1100</v>
      </c>
      <c r="H2047" s="289">
        <v>880</v>
      </c>
      <c r="I2047" s="289">
        <v>198</v>
      </c>
      <c r="J2047" s="289">
        <v>70</v>
      </c>
      <c r="K2047" s="289">
        <v>7</v>
      </c>
      <c r="L2047" s="289">
        <v>2255</v>
      </c>
    </row>
    <row r="2048" spans="1:12">
      <c r="A2048" s="288" t="s">
        <v>2888</v>
      </c>
      <c r="B2048" s="288" t="s">
        <v>2247</v>
      </c>
      <c r="C2048" s="288" t="s">
        <v>814</v>
      </c>
      <c r="D2048" s="288" t="s">
        <v>818</v>
      </c>
      <c r="E2048" s="289">
        <v>10</v>
      </c>
      <c r="F2048" s="290">
        <v>12</v>
      </c>
      <c r="G2048" s="289">
        <v>1100</v>
      </c>
      <c r="H2048" s="289">
        <v>220</v>
      </c>
      <c r="I2048" s="289">
        <v>132</v>
      </c>
      <c r="J2048" s="289">
        <v>70</v>
      </c>
      <c r="K2048" s="289">
        <v>7</v>
      </c>
      <c r="L2048" s="289">
        <v>1529</v>
      </c>
    </row>
    <row r="2049" spans="1:12">
      <c r="A2049" s="288" t="s">
        <v>2889</v>
      </c>
      <c r="B2049" s="288" t="s">
        <v>2247</v>
      </c>
      <c r="C2049" s="288" t="s">
        <v>814</v>
      </c>
      <c r="D2049" s="288" t="s">
        <v>818</v>
      </c>
      <c r="E2049" s="289">
        <v>10</v>
      </c>
      <c r="F2049" s="290">
        <v>23</v>
      </c>
      <c r="G2049" s="289">
        <v>1100</v>
      </c>
      <c r="H2049" s="289">
        <v>1430</v>
      </c>
      <c r="I2049" s="289">
        <v>253</v>
      </c>
      <c r="J2049" s="289">
        <v>70</v>
      </c>
      <c r="K2049" s="289">
        <v>7</v>
      </c>
      <c r="L2049" s="289">
        <v>2860</v>
      </c>
    </row>
    <row r="2050" spans="1:12">
      <c r="A2050" s="288" t="s">
        <v>2890</v>
      </c>
      <c r="B2050" s="288" t="s">
        <v>2247</v>
      </c>
      <c r="C2050" s="288" t="s">
        <v>814</v>
      </c>
      <c r="D2050" s="288" t="s">
        <v>818</v>
      </c>
      <c r="E2050" s="289">
        <v>10</v>
      </c>
      <c r="F2050" s="290">
        <v>31</v>
      </c>
      <c r="G2050" s="289">
        <v>1100</v>
      </c>
      <c r="H2050" s="289">
        <v>2310</v>
      </c>
      <c r="I2050" s="289">
        <v>341</v>
      </c>
      <c r="J2050" s="289">
        <v>70</v>
      </c>
      <c r="K2050" s="289">
        <v>7</v>
      </c>
      <c r="L2050" s="289">
        <v>3828</v>
      </c>
    </row>
    <row r="2051" spans="1:12">
      <c r="A2051" s="288" t="s">
        <v>2891</v>
      </c>
      <c r="B2051" s="288" t="s">
        <v>2247</v>
      </c>
      <c r="C2051" s="288" t="s">
        <v>814</v>
      </c>
      <c r="D2051" s="288" t="s">
        <v>818</v>
      </c>
      <c r="E2051" s="289">
        <v>10</v>
      </c>
      <c r="F2051" s="290">
        <v>10</v>
      </c>
      <c r="G2051" s="289">
        <v>1100</v>
      </c>
      <c r="H2051" s="289">
        <v>0</v>
      </c>
      <c r="I2051" s="289">
        <v>110</v>
      </c>
      <c r="J2051" s="289">
        <v>70</v>
      </c>
      <c r="K2051" s="289">
        <v>7</v>
      </c>
      <c r="L2051" s="289">
        <v>1287</v>
      </c>
    </row>
    <row r="2052" spans="1:12">
      <c r="A2052" s="288" t="s">
        <v>2892</v>
      </c>
      <c r="B2052" s="288" t="s">
        <v>2247</v>
      </c>
      <c r="C2052" s="288" t="s">
        <v>814</v>
      </c>
      <c r="D2052" s="288" t="s">
        <v>818</v>
      </c>
      <c r="E2052" s="289">
        <v>10</v>
      </c>
      <c r="F2052" s="290">
        <v>13</v>
      </c>
      <c r="G2052" s="289">
        <v>1100</v>
      </c>
      <c r="H2052" s="289">
        <v>330</v>
      </c>
      <c r="I2052" s="289">
        <v>143</v>
      </c>
      <c r="J2052" s="289">
        <v>70</v>
      </c>
      <c r="K2052" s="289">
        <v>7</v>
      </c>
      <c r="L2052" s="289">
        <v>1650</v>
      </c>
    </row>
    <row r="2053" spans="1:12">
      <c r="A2053" s="288" t="s">
        <v>2893</v>
      </c>
      <c r="B2053" s="288" t="s">
        <v>2247</v>
      </c>
      <c r="C2053" s="288" t="s">
        <v>814</v>
      </c>
      <c r="D2053" s="288" t="s">
        <v>818</v>
      </c>
      <c r="E2053" s="289">
        <v>10</v>
      </c>
      <c r="F2053" s="290">
        <v>19</v>
      </c>
      <c r="G2053" s="289">
        <v>1100</v>
      </c>
      <c r="H2053" s="289">
        <v>990</v>
      </c>
      <c r="I2053" s="289">
        <v>209</v>
      </c>
      <c r="J2053" s="289">
        <v>70</v>
      </c>
      <c r="K2053" s="289">
        <v>7</v>
      </c>
      <c r="L2053" s="289">
        <v>2376</v>
      </c>
    </row>
    <row r="2054" spans="1:12">
      <c r="A2054" s="288" t="s">
        <v>2894</v>
      </c>
      <c r="B2054" s="288" t="s">
        <v>2247</v>
      </c>
      <c r="C2054" s="288" t="s">
        <v>814</v>
      </c>
      <c r="D2054" s="288" t="s">
        <v>818</v>
      </c>
      <c r="E2054" s="289">
        <v>10</v>
      </c>
      <c r="F2054" s="290">
        <v>26</v>
      </c>
      <c r="G2054" s="289">
        <v>1100</v>
      </c>
      <c r="H2054" s="289">
        <v>1760</v>
      </c>
      <c r="I2054" s="289">
        <v>286</v>
      </c>
      <c r="J2054" s="289">
        <v>70</v>
      </c>
      <c r="K2054" s="289">
        <v>7</v>
      </c>
      <c r="L2054" s="289">
        <v>3223</v>
      </c>
    </row>
    <row r="2055" spans="1:12">
      <c r="A2055" s="288" t="s">
        <v>2895</v>
      </c>
      <c r="B2055" s="288" t="s">
        <v>2247</v>
      </c>
      <c r="C2055" s="288" t="s">
        <v>814</v>
      </c>
      <c r="D2055" s="288" t="s">
        <v>818</v>
      </c>
      <c r="E2055" s="289">
        <v>10</v>
      </c>
      <c r="F2055" s="290">
        <v>1</v>
      </c>
      <c r="G2055" s="289">
        <v>900</v>
      </c>
      <c r="H2055" s="289">
        <v>0</v>
      </c>
      <c r="I2055" s="289">
        <v>90</v>
      </c>
      <c r="J2055" s="289">
        <v>70</v>
      </c>
      <c r="K2055" s="289">
        <v>7</v>
      </c>
      <c r="L2055" s="289">
        <v>1067</v>
      </c>
    </row>
    <row r="2056" spans="1:12">
      <c r="A2056" s="288" t="s">
        <v>2896</v>
      </c>
      <c r="B2056" s="288" t="s">
        <v>2247</v>
      </c>
      <c r="C2056" s="288" t="s">
        <v>814</v>
      </c>
      <c r="D2056" s="288" t="s">
        <v>818</v>
      </c>
      <c r="E2056" s="289">
        <v>10</v>
      </c>
      <c r="F2056" s="290">
        <v>41</v>
      </c>
      <c r="G2056" s="289">
        <v>1100</v>
      </c>
      <c r="H2056" s="289">
        <v>3410</v>
      </c>
      <c r="I2056" s="289">
        <v>451</v>
      </c>
      <c r="J2056" s="289">
        <v>70</v>
      </c>
      <c r="K2056" s="289">
        <v>7</v>
      </c>
      <c r="L2056" s="289">
        <v>5038</v>
      </c>
    </row>
    <row r="2057" spans="1:12">
      <c r="A2057" s="288" t="s">
        <v>2897</v>
      </c>
      <c r="B2057" s="288" t="s">
        <v>2247</v>
      </c>
      <c r="C2057" s="288" t="s">
        <v>814</v>
      </c>
      <c r="D2057" s="288" t="s">
        <v>818</v>
      </c>
      <c r="E2057" s="289">
        <v>10</v>
      </c>
      <c r="F2057" s="290">
        <v>25</v>
      </c>
      <c r="G2057" s="289">
        <v>1100</v>
      </c>
      <c r="H2057" s="289">
        <v>1650</v>
      </c>
      <c r="I2057" s="289">
        <v>275</v>
      </c>
      <c r="J2057" s="289">
        <v>70</v>
      </c>
      <c r="K2057" s="289">
        <v>7</v>
      </c>
      <c r="L2057" s="289">
        <v>3102</v>
      </c>
    </row>
    <row r="2058" spans="1:12">
      <c r="A2058" s="288" t="s">
        <v>2898</v>
      </c>
      <c r="B2058" s="288" t="s">
        <v>2247</v>
      </c>
      <c r="C2058" s="288" t="s">
        <v>814</v>
      </c>
      <c r="D2058" s="288" t="s">
        <v>818</v>
      </c>
      <c r="E2058" s="289">
        <v>10</v>
      </c>
      <c r="F2058" s="290">
        <v>16</v>
      </c>
      <c r="G2058" s="289">
        <v>1100</v>
      </c>
      <c r="H2058" s="289">
        <v>660</v>
      </c>
      <c r="I2058" s="289">
        <v>176</v>
      </c>
      <c r="J2058" s="289">
        <v>70</v>
      </c>
      <c r="K2058" s="289">
        <v>7</v>
      </c>
      <c r="L2058" s="289">
        <v>2013</v>
      </c>
    </row>
    <row r="2059" spans="1:12">
      <c r="A2059" s="288" t="s">
        <v>2899</v>
      </c>
      <c r="B2059" s="288" t="s">
        <v>2247</v>
      </c>
      <c r="C2059" s="288" t="s">
        <v>814</v>
      </c>
      <c r="D2059" s="288" t="s">
        <v>818</v>
      </c>
      <c r="E2059" s="289">
        <v>10</v>
      </c>
      <c r="F2059" s="290">
        <v>16</v>
      </c>
      <c r="G2059" s="289">
        <v>1100</v>
      </c>
      <c r="H2059" s="289">
        <v>660</v>
      </c>
      <c r="I2059" s="289">
        <v>176</v>
      </c>
      <c r="J2059" s="289">
        <v>70</v>
      </c>
      <c r="K2059" s="289">
        <v>7</v>
      </c>
      <c r="L2059" s="289">
        <v>2013</v>
      </c>
    </row>
    <row r="2060" spans="1:12">
      <c r="A2060" s="288" t="s">
        <v>2900</v>
      </c>
      <c r="B2060" s="288" t="s">
        <v>2247</v>
      </c>
      <c r="C2060" s="288" t="s">
        <v>814</v>
      </c>
      <c r="D2060" s="288" t="s">
        <v>818</v>
      </c>
      <c r="E2060" s="289">
        <v>10</v>
      </c>
      <c r="F2060" s="290">
        <v>0</v>
      </c>
      <c r="G2060" s="289">
        <v>900</v>
      </c>
      <c r="H2060" s="289">
        <v>0</v>
      </c>
      <c r="I2060" s="289">
        <v>90</v>
      </c>
      <c r="J2060" s="289">
        <v>70</v>
      </c>
      <c r="K2060" s="289">
        <v>7</v>
      </c>
      <c r="L2060" s="289">
        <v>1067</v>
      </c>
    </row>
    <row r="2061" spans="1:12">
      <c r="A2061" s="288" t="s">
        <v>2901</v>
      </c>
      <c r="B2061" s="288" t="s">
        <v>2247</v>
      </c>
      <c r="C2061" s="288" t="s">
        <v>814</v>
      </c>
      <c r="D2061" s="288" t="s">
        <v>818</v>
      </c>
      <c r="E2061" s="289">
        <v>10</v>
      </c>
      <c r="F2061" s="290">
        <v>6</v>
      </c>
      <c r="G2061" s="289">
        <v>1100</v>
      </c>
      <c r="H2061" s="289">
        <v>0</v>
      </c>
      <c r="I2061" s="289">
        <v>110</v>
      </c>
      <c r="J2061" s="289">
        <v>70</v>
      </c>
      <c r="K2061" s="289">
        <v>7</v>
      </c>
      <c r="L2061" s="289">
        <v>1287</v>
      </c>
    </row>
    <row r="2062" spans="1:12">
      <c r="A2062" s="288" t="s">
        <v>2902</v>
      </c>
      <c r="B2062" s="288" t="s">
        <v>2247</v>
      </c>
      <c r="C2062" s="288" t="s">
        <v>814</v>
      </c>
      <c r="D2062" s="288" t="s">
        <v>818</v>
      </c>
      <c r="E2062" s="289">
        <v>10</v>
      </c>
      <c r="F2062" s="290">
        <v>17</v>
      </c>
      <c r="G2062" s="289">
        <v>1100</v>
      </c>
      <c r="H2062" s="289">
        <v>770</v>
      </c>
      <c r="I2062" s="289">
        <v>187</v>
      </c>
      <c r="J2062" s="289">
        <v>70</v>
      </c>
      <c r="K2062" s="289">
        <v>7</v>
      </c>
      <c r="L2062" s="289">
        <v>2134</v>
      </c>
    </row>
    <row r="2063" spans="1:12">
      <c r="A2063" s="288" t="s">
        <v>2903</v>
      </c>
      <c r="B2063" s="288" t="s">
        <v>2247</v>
      </c>
      <c r="C2063" s="288" t="s">
        <v>814</v>
      </c>
      <c r="D2063" s="288" t="s">
        <v>818</v>
      </c>
      <c r="E2063" s="289">
        <v>10</v>
      </c>
      <c r="F2063" s="290">
        <v>36</v>
      </c>
      <c r="G2063" s="289">
        <v>1100</v>
      </c>
      <c r="H2063" s="289">
        <v>2860</v>
      </c>
      <c r="I2063" s="289">
        <v>396</v>
      </c>
      <c r="J2063" s="289">
        <v>70</v>
      </c>
      <c r="K2063" s="289">
        <v>7</v>
      </c>
      <c r="L2063" s="289">
        <v>4433</v>
      </c>
    </row>
    <row r="2064" spans="1:12">
      <c r="A2064" s="288" t="s">
        <v>2904</v>
      </c>
      <c r="B2064" s="288" t="s">
        <v>2247</v>
      </c>
      <c r="C2064" s="288" t="s">
        <v>814</v>
      </c>
      <c r="D2064" s="288" t="s">
        <v>818</v>
      </c>
      <c r="E2064" s="289">
        <v>10</v>
      </c>
      <c r="F2064" s="290">
        <v>0</v>
      </c>
      <c r="G2064" s="289">
        <v>900</v>
      </c>
      <c r="H2064" s="289">
        <v>0</v>
      </c>
      <c r="I2064" s="289">
        <v>90</v>
      </c>
      <c r="J2064" s="289">
        <v>70</v>
      </c>
      <c r="K2064" s="289">
        <v>7</v>
      </c>
      <c r="L2064" s="289">
        <v>1067</v>
      </c>
    </row>
    <row r="2065" spans="1:12">
      <c r="A2065" s="288" t="s">
        <v>2905</v>
      </c>
      <c r="B2065" s="288" t="s">
        <v>2247</v>
      </c>
      <c r="C2065" s="288" t="s">
        <v>814</v>
      </c>
      <c r="D2065" s="288" t="s">
        <v>818</v>
      </c>
      <c r="E2065" s="289">
        <v>10</v>
      </c>
      <c r="F2065" s="290">
        <v>3</v>
      </c>
      <c r="G2065" s="289">
        <v>900</v>
      </c>
      <c r="H2065" s="289">
        <v>0</v>
      </c>
      <c r="I2065" s="289">
        <v>90</v>
      </c>
      <c r="J2065" s="289">
        <v>70</v>
      </c>
      <c r="K2065" s="289">
        <v>7</v>
      </c>
      <c r="L2065" s="289">
        <v>1067</v>
      </c>
    </row>
    <row r="2066" spans="1:12">
      <c r="A2066" s="288" t="s">
        <v>2906</v>
      </c>
      <c r="B2066" s="288" t="s">
        <v>2247</v>
      </c>
      <c r="C2066" s="288" t="s">
        <v>814</v>
      </c>
      <c r="D2066" s="288" t="s">
        <v>818</v>
      </c>
      <c r="E2066" s="289">
        <v>10</v>
      </c>
      <c r="F2066" s="290">
        <v>12</v>
      </c>
      <c r="G2066" s="289">
        <v>1100</v>
      </c>
      <c r="H2066" s="289">
        <v>220</v>
      </c>
      <c r="I2066" s="289">
        <v>132</v>
      </c>
      <c r="J2066" s="289">
        <v>70</v>
      </c>
      <c r="K2066" s="289">
        <v>7</v>
      </c>
      <c r="L2066" s="289">
        <v>1529</v>
      </c>
    </row>
    <row r="2067" spans="1:12">
      <c r="A2067" s="288" t="s">
        <v>2907</v>
      </c>
      <c r="B2067" s="288" t="s">
        <v>2247</v>
      </c>
      <c r="C2067" s="288" t="s">
        <v>814</v>
      </c>
      <c r="D2067" s="288" t="s">
        <v>818</v>
      </c>
      <c r="E2067" s="289">
        <v>10</v>
      </c>
      <c r="F2067" s="290">
        <v>52</v>
      </c>
      <c r="G2067" s="289">
        <v>1100</v>
      </c>
      <c r="H2067" s="289">
        <v>4620</v>
      </c>
      <c r="I2067" s="289">
        <v>572</v>
      </c>
      <c r="J2067" s="289">
        <v>70</v>
      </c>
      <c r="K2067" s="289">
        <v>7</v>
      </c>
      <c r="L2067" s="289">
        <v>6369</v>
      </c>
    </row>
    <row r="2068" spans="1:12">
      <c r="A2068" s="288" t="s">
        <v>2908</v>
      </c>
      <c r="B2068" s="288" t="s">
        <v>2247</v>
      </c>
      <c r="C2068" s="288" t="s">
        <v>814</v>
      </c>
      <c r="D2068" s="288" t="s">
        <v>818</v>
      </c>
      <c r="E2068" s="289">
        <v>10</v>
      </c>
      <c r="F2068" s="290">
        <v>21</v>
      </c>
      <c r="G2068" s="289">
        <v>1100</v>
      </c>
      <c r="H2068" s="289">
        <v>1210</v>
      </c>
      <c r="I2068" s="289">
        <v>231</v>
      </c>
      <c r="J2068" s="289">
        <v>70</v>
      </c>
      <c r="K2068" s="289">
        <v>7</v>
      </c>
      <c r="L2068" s="289">
        <v>2618</v>
      </c>
    </row>
    <row r="2069" spans="1:12">
      <c r="A2069" s="288" t="s">
        <v>2909</v>
      </c>
      <c r="B2069" s="288" t="s">
        <v>2247</v>
      </c>
      <c r="C2069" s="288" t="s">
        <v>814</v>
      </c>
      <c r="D2069" s="288" t="s">
        <v>818</v>
      </c>
      <c r="E2069" s="289">
        <v>10</v>
      </c>
      <c r="F2069" s="290">
        <v>35</v>
      </c>
      <c r="G2069" s="289">
        <v>1100</v>
      </c>
      <c r="H2069" s="289">
        <v>2750</v>
      </c>
      <c r="I2069" s="289">
        <v>385</v>
      </c>
      <c r="J2069" s="289">
        <v>70</v>
      </c>
      <c r="K2069" s="289">
        <v>7</v>
      </c>
      <c r="L2069" s="289">
        <v>4312</v>
      </c>
    </row>
    <row r="2070" spans="1:12">
      <c r="A2070" s="288" t="s">
        <v>2910</v>
      </c>
      <c r="B2070" s="288" t="s">
        <v>2247</v>
      </c>
      <c r="C2070" s="288" t="s">
        <v>814</v>
      </c>
      <c r="D2070" s="288" t="s">
        <v>818</v>
      </c>
      <c r="E2070" s="289">
        <v>10</v>
      </c>
      <c r="F2070" s="290">
        <v>15</v>
      </c>
      <c r="G2070" s="289">
        <v>1100</v>
      </c>
      <c r="H2070" s="289">
        <v>550</v>
      </c>
      <c r="I2070" s="289">
        <v>165</v>
      </c>
      <c r="J2070" s="289">
        <v>70</v>
      </c>
      <c r="K2070" s="289">
        <v>7</v>
      </c>
      <c r="L2070" s="289">
        <v>1892</v>
      </c>
    </row>
    <row r="2071" spans="1:12">
      <c r="A2071" s="288" t="s">
        <v>2911</v>
      </c>
      <c r="B2071" s="288" t="s">
        <v>2247</v>
      </c>
      <c r="C2071" s="288" t="s">
        <v>814</v>
      </c>
      <c r="D2071" s="288" t="s">
        <v>818</v>
      </c>
      <c r="E2071" s="289">
        <v>10</v>
      </c>
      <c r="F2071" s="290">
        <v>18</v>
      </c>
      <c r="G2071" s="289">
        <v>1100</v>
      </c>
      <c r="H2071" s="289">
        <v>880</v>
      </c>
      <c r="I2071" s="289">
        <v>198</v>
      </c>
      <c r="J2071" s="289">
        <v>70</v>
      </c>
      <c r="K2071" s="289">
        <v>7</v>
      </c>
      <c r="L2071" s="289">
        <v>2255</v>
      </c>
    </row>
    <row r="2072" spans="1:12">
      <c r="A2072" s="288" t="s">
        <v>2912</v>
      </c>
      <c r="B2072" s="288" t="s">
        <v>2247</v>
      </c>
      <c r="C2072" s="288" t="s">
        <v>814</v>
      </c>
      <c r="D2072" s="288" t="s">
        <v>818</v>
      </c>
      <c r="E2072" s="289">
        <v>10</v>
      </c>
      <c r="F2072" s="290">
        <v>21</v>
      </c>
      <c r="G2072" s="289">
        <v>1100</v>
      </c>
      <c r="H2072" s="289">
        <v>1210</v>
      </c>
      <c r="I2072" s="289">
        <v>231</v>
      </c>
      <c r="J2072" s="289">
        <v>70</v>
      </c>
      <c r="K2072" s="289">
        <v>7</v>
      </c>
      <c r="L2072" s="289">
        <v>2618</v>
      </c>
    </row>
    <row r="2073" spans="1:12">
      <c r="A2073" s="288" t="s">
        <v>2913</v>
      </c>
      <c r="B2073" s="288" t="s">
        <v>2247</v>
      </c>
      <c r="C2073" s="288" t="s">
        <v>814</v>
      </c>
      <c r="D2073" s="288" t="s">
        <v>818</v>
      </c>
      <c r="E2073" s="289">
        <v>10</v>
      </c>
      <c r="F2073" s="290">
        <v>14</v>
      </c>
      <c r="G2073" s="289">
        <v>1100</v>
      </c>
      <c r="H2073" s="289">
        <v>440</v>
      </c>
      <c r="I2073" s="289">
        <v>154</v>
      </c>
      <c r="J2073" s="289">
        <v>70</v>
      </c>
      <c r="K2073" s="289">
        <v>7</v>
      </c>
      <c r="L2073" s="289">
        <v>1771</v>
      </c>
    </row>
    <row r="2074" spans="1:12">
      <c r="A2074" s="288" t="s">
        <v>2914</v>
      </c>
      <c r="B2074" s="288" t="s">
        <v>2247</v>
      </c>
      <c r="C2074" s="288" t="s">
        <v>814</v>
      </c>
      <c r="D2074" s="288" t="s">
        <v>818</v>
      </c>
      <c r="E2074" s="289">
        <v>10</v>
      </c>
      <c r="F2074" s="290">
        <v>23</v>
      </c>
      <c r="G2074" s="289">
        <v>1100</v>
      </c>
      <c r="H2074" s="289">
        <v>1430</v>
      </c>
      <c r="I2074" s="289">
        <v>253</v>
      </c>
      <c r="J2074" s="289">
        <v>70</v>
      </c>
      <c r="K2074" s="289">
        <v>7</v>
      </c>
      <c r="L2074" s="289">
        <v>2860</v>
      </c>
    </row>
    <row r="2075" spans="1:12">
      <c r="A2075" s="288" t="s">
        <v>2915</v>
      </c>
      <c r="B2075" s="288" t="s">
        <v>2247</v>
      </c>
      <c r="C2075" s="288" t="s">
        <v>814</v>
      </c>
      <c r="D2075" s="288" t="s">
        <v>818</v>
      </c>
      <c r="E2075" s="289">
        <v>10</v>
      </c>
      <c r="F2075" s="290">
        <v>24</v>
      </c>
      <c r="G2075" s="289">
        <v>1100</v>
      </c>
      <c r="H2075" s="289">
        <v>1540</v>
      </c>
      <c r="I2075" s="289">
        <v>264</v>
      </c>
      <c r="J2075" s="289">
        <v>70</v>
      </c>
      <c r="K2075" s="289">
        <v>7</v>
      </c>
      <c r="L2075" s="289">
        <v>2981</v>
      </c>
    </row>
    <row r="2076" spans="1:12">
      <c r="A2076" s="288" t="s">
        <v>2916</v>
      </c>
      <c r="B2076" s="288" t="s">
        <v>2247</v>
      </c>
      <c r="C2076" s="288" t="s">
        <v>814</v>
      </c>
      <c r="D2076" s="288" t="s">
        <v>818</v>
      </c>
      <c r="E2076" s="289">
        <v>10</v>
      </c>
      <c r="F2076" s="290">
        <v>12</v>
      </c>
      <c r="G2076" s="289">
        <v>1100</v>
      </c>
      <c r="H2076" s="289">
        <v>220</v>
      </c>
      <c r="I2076" s="289">
        <v>132</v>
      </c>
      <c r="J2076" s="289">
        <v>70</v>
      </c>
      <c r="K2076" s="289">
        <v>7</v>
      </c>
      <c r="L2076" s="289">
        <v>1529</v>
      </c>
    </row>
    <row r="2077" spans="1:12">
      <c r="A2077" s="288" t="s">
        <v>2917</v>
      </c>
      <c r="B2077" s="288" t="s">
        <v>2247</v>
      </c>
      <c r="C2077" s="288" t="s">
        <v>814</v>
      </c>
      <c r="D2077" s="288" t="s">
        <v>818</v>
      </c>
      <c r="E2077" s="289">
        <v>10</v>
      </c>
      <c r="F2077" s="290">
        <v>8</v>
      </c>
      <c r="G2077" s="289">
        <v>1100</v>
      </c>
      <c r="H2077" s="289">
        <v>0</v>
      </c>
      <c r="I2077" s="289">
        <v>110</v>
      </c>
      <c r="J2077" s="289">
        <v>70</v>
      </c>
      <c r="K2077" s="289">
        <v>7</v>
      </c>
      <c r="L2077" s="289">
        <v>1287</v>
      </c>
    </row>
    <row r="2078" spans="1:12">
      <c r="A2078" s="288" t="s">
        <v>2918</v>
      </c>
      <c r="B2078" s="288" t="s">
        <v>2247</v>
      </c>
      <c r="C2078" s="288" t="s">
        <v>814</v>
      </c>
      <c r="D2078" s="288" t="s">
        <v>818</v>
      </c>
      <c r="E2078" s="289">
        <v>10</v>
      </c>
      <c r="F2078" s="290">
        <v>19</v>
      </c>
      <c r="G2078" s="289">
        <v>1100</v>
      </c>
      <c r="H2078" s="289">
        <v>990</v>
      </c>
      <c r="I2078" s="289">
        <v>209</v>
      </c>
      <c r="J2078" s="289">
        <v>70</v>
      </c>
      <c r="K2078" s="289">
        <v>7</v>
      </c>
      <c r="L2078" s="289">
        <v>2376</v>
      </c>
    </row>
    <row r="2079" spans="1:12">
      <c r="A2079" s="288" t="s">
        <v>2919</v>
      </c>
      <c r="B2079" s="288" t="s">
        <v>2247</v>
      </c>
      <c r="C2079" s="288" t="s">
        <v>814</v>
      </c>
      <c r="D2079" s="288" t="s">
        <v>818</v>
      </c>
      <c r="E2079" s="289">
        <v>10</v>
      </c>
      <c r="F2079" s="290">
        <v>52</v>
      </c>
      <c r="G2079" s="289">
        <v>1100</v>
      </c>
      <c r="H2079" s="289">
        <v>4620</v>
      </c>
      <c r="I2079" s="289">
        <v>572</v>
      </c>
      <c r="J2079" s="289">
        <v>70</v>
      </c>
      <c r="K2079" s="289">
        <v>7</v>
      </c>
      <c r="L2079" s="289">
        <v>6369</v>
      </c>
    </row>
    <row r="2080" spans="1:12">
      <c r="A2080" s="288" t="s">
        <v>2920</v>
      </c>
      <c r="B2080" s="288" t="s">
        <v>2247</v>
      </c>
      <c r="C2080" s="288" t="s">
        <v>814</v>
      </c>
      <c r="D2080" s="288" t="s">
        <v>818</v>
      </c>
      <c r="E2080" s="289">
        <v>10</v>
      </c>
      <c r="F2080" s="290">
        <v>18</v>
      </c>
      <c r="G2080" s="289">
        <v>1100</v>
      </c>
      <c r="H2080" s="289">
        <v>880</v>
      </c>
      <c r="I2080" s="289">
        <v>198</v>
      </c>
      <c r="J2080" s="289">
        <v>70</v>
      </c>
      <c r="K2080" s="289">
        <v>7</v>
      </c>
      <c r="L2080" s="289">
        <v>2255</v>
      </c>
    </row>
    <row r="2081" spans="1:12">
      <c r="A2081" s="288" t="s">
        <v>2921</v>
      </c>
      <c r="B2081" s="288" t="s">
        <v>2247</v>
      </c>
      <c r="C2081" s="288" t="s">
        <v>814</v>
      </c>
      <c r="D2081" s="288" t="s">
        <v>818</v>
      </c>
      <c r="E2081" s="289">
        <v>10</v>
      </c>
      <c r="F2081" s="290">
        <v>26</v>
      </c>
      <c r="G2081" s="289">
        <v>1100</v>
      </c>
      <c r="H2081" s="289">
        <v>1760</v>
      </c>
      <c r="I2081" s="289">
        <v>286</v>
      </c>
      <c r="J2081" s="289">
        <v>70</v>
      </c>
      <c r="K2081" s="289">
        <v>7</v>
      </c>
      <c r="L2081" s="289">
        <v>3223</v>
      </c>
    </row>
    <row r="2082" spans="1:12">
      <c r="A2082" s="288" t="s">
        <v>2922</v>
      </c>
      <c r="B2082" s="288" t="s">
        <v>2247</v>
      </c>
      <c r="C2082" s="288" t="s">
        <v>814</v>
      </c>
      <c r="D2082" s="288" t="s">
        <v>818</v>
      </c>
      <c r="E2082" s="289">
        <v>10</v>
      </c>
      <c r="F2082" s="290">
        <v>10</v>
      </c>
      <c r="G2082" s="289">
        <v>1100</v>
      </c>
      <c r="H2082" s="289">
        <v>0</v>
      </c>
      <c r="I2082" s="289">
        <v>110</v>
      </c>
      <c r="J2082" s="289">
        <v>70</v>
      </c>
      <c r="K2082" s="289">
        <v>7</v>
      </c>
      <c r="L2082" s="289">
        <v>1287</v>
      </c>
    </row>
    <row r="2083" spans="1:12">
      <c r="A2083" s="288" t="s">
        <v>2923</v>
      </c>
      <c r="B2083" s="288" t="s">
        <v>2247</v>
      </c>
      <c r="C2083" s="288" t="s">
        <v>814</v>
      </c>
      <c r="D2083" s="288" t="s">
        <v>818</v>
      </c>
      <c r="E2083" s="289">
        <v>10</v>
      </c>
      <c r="F2083" s="290">
        <v>6</v>
      </c>
      <c r="G2083" s="289">
        <v>1100</v>
      </c>
      <c r="H2083" s="289">
        <v>0</v>
      </c>
      <c r="I2083" s="289">
        <v>110</v>
      </c>
      <c r="J2083" s="289">
        <v>70</v>
      </c>
      <c r="K2083" s="289">
        <v>7</v>
      </c>
      <c r="L2083" s="289">
        <v>1287</v>
      </c>
    </row>
    <row r="2084" spans="1:12">
      <c r="A2084" s="288" t="s">
        <v>2924</v>
      </c>
      <c r="B2084" s="288" t="s">
        <v>2247</v>
      </c>
      <c r="C2084" s="288" t="s">
        <v>814</v>
      </c>
      <c r="D2084" s="288" t="s">
        <v>818</v>
      </c>
      <c r="E2084" s="289">
        <v>10</v>
      </c>
      <c r="F2084" s="290">
        <v>33</v>
      </c>
      <c r="G2084" s="289">
        <v>1100</v>
      </c>
      <c r="H2084" s="289">
        <v>2530</v>
      </c>
      <c r="I2084" s="289">
        <v>363</v>
      </c>
      <c r="J2084" s="289">
        <v>70</v>
      </c>
      <c r="K2084" s="289">
        <v>7</v>
      </c>
      <c r="L2084" s="289">
        <v>4070</v>
      </c>
    </row>
    <row r="2085" spans="1:12">
      <c r="A2085" s="288" t="s">
        <v>2925</v>
      </c>
      <c r="B2085" s="288" t="s">
        <v>2247</v>
      </c>
      <c r="C2085" s="288" t="s">
        <v>814</v>
      </c>
      <c r="D2085" s="288" t="s">
        <v>818</v>
      </c>
      <c r="E2085" s="289">
        <v>10</v>
      </c>
      <c r="F2085" s="290">
        <v>22</v>
      </c>
      <c r="G2085" s="289">
        <v>1100</v>
      </c>
      <c r="H2085" s="289">
        <v>1320</v>
      </c>
      <c r="I2085" s="289">
        <v>242</v>
      </c>
      <c r="J2085" s="289">
        <v>70</v>
      </c>
      <c r="K2085" s="289">
        <v>7</v>
      </c>
      <c r="L2085" s="289">
        <v>2739</v>
      </c>
    </row>
    <row r="2086" spans="1:12">
      <c r="A2086" s="288" t="s">
        <v>2926</v>
      </c>
      <c r="B2086" s="288" t="s">
        <v>2247</v>
      </c>
      <c r="C2086" s="288" t="s">
        <v>814</v>
      </c>
      <c r="D2086" s="288" t="s">
        <v>818</v>
      </c>
      <c r="E2086" s="289">
        <v>10</v>
      </c>
      <c r="F2086" s="290">
        <v>45</v>
      </c>
      <c r="G2086" s="289">
        <v>1100</v>
      </c>
      <c r="H2086" s="289">
        <v>3850</v>
      </c>
      <c r="I2086" s="289">
        <v>495</v>
      </c>
      <c r="J2086" s="289">
        <v>70</v>
      </c>
      <c r="K2086" s="289">
        <v>7</v>
      </c>
      <c r="L2086" s="289">
        <v>5522</v>
      </c>
    </row>
    <row r="2087" spans="1:12">
      <c r="A2087" s="288" t="s">
        <v>2927</v>
      </c>
      <c r="B2087" s="288" t="s">
        <v>2247</v>
      </c>
      <c r="C2087" s="288" t="s">
        <v>814</v>
      </c>
      <c r="D2087" s="288" t="s">
        <v>818</v>
      </c>
      <c r="E2087" s="289">
        <v>10</v>
      </c>
      <c r="F2087" s="290">
        <v>12</v>
      </c>
      <c r="G2087" s="289">
        <v>1100</v>
      </c>
      <c r="H2087" s="289">
        <v>220</v>
      </c>
      <c r="I2087" s="289">
        <v>132</v>
      </c>
      <c r="J2087" s="289">
        <v>70</v>
      </c>
      <c r="K2087" s="289">
        <v>7</v>
      </c>
      <c r="L2087" s="289">
        <v>1529</v>
      </c>
    </row>
    <row r="2088" spans="1:12">
      <c r="A2088" s="288" t="s">
        <v>2928</v>
      </c>
      <c r="B2088" s="288" t="s">
        <v>2247</v>
      </c>
      <c r="C2088" s="288" t="s">
        <v>814</v>
      </c>
      <c r="D2088" s="288" t="s">
        <v>818</v>
      </c>
      <c r="E2088" s="289">
        <v>10</v>
      </c>
      <c r="F2088" s="290">
        <v>31</v>
      </c>
      <c r="G2088" s="289">
        <v>1100</v>
      </c>
      <c r="H2088" s="289">
        <v>2310</v>
      </c>
      <c r="I2088" s="289">
        <v>341</v>
      </c>
      <c r="J2088" s="289">
        <v>70</v>
      </c>
      <c r="K2088" s="289">
        <v>7</v>
      </c>
      <c r="L2088" s="289">
        <v>3828</v>
      </c>
    </row>
    <row r="2089" spans="1:12">
      <c r="A2089" s="288" t="s">
        <v>2929</v>
      </c>
      <c r="B2089" s="288" t="s">
        <v>2247</v>
      </c>
      <c r="C2089" s="288" t="s">
        <v>814</v>
      </c>
      <c r="D2089" s="288" t="s">
        <v>818</v>
      </c>
      <c r="E2089" s="289">
        <v>10</v>
      </c>
      <c r="F2089" s="290">
        <v>27</v>
      </c>
      <c r="G2089" s="289">
        <v>1100</v>
      </c>
      <c r="H2089" s="289">
        <v>1870</v>
      </c>
      <c r="I2089" s="289">
        <v>297</v>
      </c>
      <c r="J2089" s="289">
        <v>70</v>
      </c>
      <c r="K2089" s="289">
        <v>7</v>
      </c>
      <c r="L2089" s="289">
        <v>3344</v>
      </c>
    </row>
    <row r="2090" spans="1:12">
      <c r="A2090" s="288" t="s">
        <v>2930</v>
      </c>
      <c r="B2090" s="288" t="s">
        <v>2247</v>
      </c>
      <c r="C2090" s="288" t="s">
        <v>814</v>
      </c>
      <c r="D2090" s="288" t="s">
        <v>818</v>
      </c>
      <c r="E2090" s="289">
        <v>10</v>
      </c>
      <c r="F2090" s="290">
        <v>44</v>
      </c>
      <c r="G2090" s="289">
        <v>1100</v>
      </c>
      <c r="H2090" s="289">
        <v>3740</v>
      </c>
      <c r="I2090" s="289">
        <v>484</v>
      </c>
      <c r="J2090" s="289">
        <v>70</v>
      </c>
      <c r="K2090" s="289">
        <v>7</v>
      </c>
      <c r="L2090" s="289">
        <v>5401</v>
      </c>
    </row>
    <row r="2091" spans="1:12">
      <c r="A2091" s="288" t="s">
        <v>2931</v>
      </c>
      <c r="B2091" s="288" t="s">
        <v>2247</v>
      </c>
      <c r="C2091" s="288" t="s">
        <v>814</v>
      </c>
      <c r="D2091" s="288" t="s">
        <v>818</v>
      </c>
      <c r="E2091" s="289">
        <v>10</v>
      </c>
      <c r="F2091" s="290">
        <v>17</v>
      </c>
      <c r="G2091" s="289">
        <v>1100</v>
      </c>
      <c r="H2091" s="289">
        <v>770</v>
      </c>
      <c r="I2091" s="289">
        <v>187</v>
      </c>
      <c r="J2091" s="289">
        <v>70</v>
      </c>
      <c r="K2091" s="289">
        <v>7</v>
      </c>
      <c r="L2091" s="289">
        <v>2134</v>
      </c>
    </row>
    <row r="2092" spans="1:12">
      <c r="A2092" s="288" t="s">
        <v>2932</v>
      </c>
      <c r="B2092" s="288" t="s">
        <v>2247</v>
      </c>
      <c r="C2092" s="288" t="s">
        <v>814</v>
      </c>
      <c r="D2092" s="288" t="s">
        <v>818</v>
      </c>
      <c r="E2092" s="289">
        <v>10</v>
      </c>
      <c r="F2092" s="290">
        <v>18</v>
      </c>
      <c r="G2092" s="289">
        <v>1100</v>
      </c>
      <c r="H2092" s="289">
        <v>880</v>
      </c>
      <c r="I2092" s="289">
        <v>198</v>
      </c>
      <c r="J2092" s="289">
        <v>70</v>
      </c>
      <c r="K2092" s="289">
        <v>7</v>
      </c>
      <c r="L2092" s="289">
        <v>2255</v>
      </c>
    </row>
    <row r="2093" spans="1:12">
      <c r="A2093" s="288" t="s">
        <v>2933</v>
      </c>
      <c r="B2093" s="288" t="s">
        <v>2247</v>
      </c>
      <c r="C2093" s="288" t="s">
        <v>814</v>
      </c>
      <c r="D2093" s="288" t="s">
        <v>818</v>
      </c>
      <c r="E2093" s="289">
        <v>10</v>
      </c>
      <c r="F2093" s="290">
        <v>25</v>
      </c>
      <c r="G2093" s="289">
        <v>1100</v>
      </c>
      <c r="H2093" s="289">
        <v>1650</v>
      </c>
      <c r="I2093" s="289">
        <v>275</v>
      </c>
      <c r="J2093" s="289">
        <v>70</v>
      </c>
      <c r="K2093" s="289">
        <v>7</v>
      </c>
      <c r="L2093" s="289">
        <v>3102</v>
      </c>
    </row>
    <row r="2094" spans="1:12">
      <c r="A2094" s="288" t="s">
        <v>2934</v>
      </c>
      <c r="B2094" s="288" t="s">
        <v>2247</v>
      </c>
      <c r="C2094" s="288" t="s">
        <v>814</v>
      </c>
      <c r="D2094" s="288" t="s">
        <v>818</v>
      </c>
      <c r="E2094" s="289">
        <v>10</v>
      </c>
      <c r="F2094" s="290">
        <v>7</v>
      </c>
      <c r="G2094" s="289">
        <v>1100</v>
      </c>
      <c r="H2094" s="289">
        <v>0</v>
      </c>
      <c r="I2094" s="289">
        <v>110</v>
      </c>
      <c r="J2094" s="289">
        <v>70</v>
      </c>
      <c r="K2094" s="289">
        <v>7</v>
      </c>
      <c r="L2094" s="289">
        <v>1287</v>
      </c>
    </row>
    <row r="2095" spans="1:12">
      <c r="A2095" s="288" t="s">
        <v>2935</v>
      </c>
      <c r="B2095" s="288" t="s">
        <v>2247</v>
      </c>
      <c r="C2095" s="288" t="s">
        <v>829</v>
      </c>
      <c r="D2095" s="288" t="s">
        <v>818</v>
      </c>
      <c r="E2095" s="289">
        <v>10</v>
      </c>
      <c r="F2095" s="290">
        <v>2</v>
      </c>
      <c r="G2095" s="289">
        <v>900</v>
      </c>
      <c r="H2095" s="289">
        <v>0</v>
      </c>
      <c r="I2095" s="289">
        <v>90</v>
      </c>
      <c r="J2095" s="289">
        <v>70</v>
      </c>
      <c r="K2095" s="289">
        <v>7</v>
      </c>
      <c r="L2095" s="289">
        <v>1067</v>
      </c>
    </row>
    <row r="2096" spans="1:12">
      <c r="A2096" s="288" t="s">
        <v>2936</v>
      </c>
      <c r="B2096" s="288" t="s">
        <v>2247</v>
      </c>
      <c r="C2096" s="288" t="s">
        <v>814</v>
      </c>
      <c r="D2096" s="288" t="s">
        <v>818</v>
      </c>
      <c r="E2096" s="289">
        <v>10</v>
      </c>
      <c r="F2096" s="290">
        <v>9</v>
      </c>
      <c r="G2096" s="289">
        <v>1100</v>
      </c>
      <c r="H2096" s="289">
        <v>0</v>
      </c>
      <c r="I2096" s="289">
        <v>110</v>
      </c>
      <c r="J2096" s="289">
        <v>70</v>
      </c>
      <c r="K2096" s="289">
        <v>7</v>
      </c>
      <c r="L2096" s="289">
        <v>1287</v>
      </c>
    </row>
    <row r="2097" spans="1:12">
      <c r="A2097" s="288" t="s">
        <v>2937</v>
      </c>
      <c r="B2097" s="288" t="s">
        <v>2247</v>
      </c>
      <c r="C2097" s="288" t="s">
        <v>814</v>
      </c>
      <c r="D2097" s="288" t="s">
        <v>818</v>
      </c>
      <c r="E2097" s="289">
        <v>10</v>
      </c>
      <c r="F2097" s="290">
        <v>18</v>
      </c>
      <c r="G2097" s="289">
        <v>1100</v>
      </c>
      <c r="H2097" s="289">
        <v>880</v>
      </c>
      <c r="I2097" s="289">
        <v>198</v>
      </c>
      <c r="J2097" s="289">
        <v>70</v>
      </c>
      <c r="K2097" s="289">
        <v>7</v>
      </c>
      <c r="L2097" s="289">
        <v>2255</v>
      </c>
    </row>
    <row r="2098" spans="1:12">
      <c r="A2098" s="288" t="s">
        <v>2938</v>
      </c>
      <c r="B2098" s="288" t="s">
        <v>2247</v>
      </c>
      <c r="C2098" s="288" t="s">
        <v>814</v>
      </c>
      <c r="D2098" s="288" t="s">
        <v>818</v>
      </c>
      <c r="E2098" s="289">
        <v>10</v>
      </c>
      <c r="F2098" s="290">
        <v>23</v>
      </c>
      <c r="G2098" s="289">
        <v>1100</v>
      </c>
      <c r="H2098" s="289">
        <v>1430</v>
      </c>
      <c r="I2098" s="289">
        <v>253</v>
      </c>
      <c r="J2098" s="289">
        <v>70</v>
      </c>
      <c r="K2098" s="289">
        <v>7</v>
      </c>
      <c r="L2098" s="289">
        <v>2860</v>
      </c>
    </row>
    <row r="2099" spans="1:12">
      <c r="A2099" s="288" t="s">
        <v>2939</v>
      </c>
      <c r="B2099" s="288" t="s">
        <v>2247</v>
      </c>
      <c r="C2099" s="288" t="s">
        <v>814</v>
      </c>
      <c r="D2099" s="288" t="s">
        <v>818</v>
      </c>
      <c r="E2099" s="289">
        <v>10</v>
      </c>
      <c r="F2099" s="290">
        <v>30</v>
      </c>
      <c r="G2099" s="289">
        <v>1100</v>
      </c>
      <c r="H2099" s="289">
        <v>2200</v>
      </c>
      <c r="I2099" s="289">
        <v>330</v>
      </c>
      <c r="J2099" s="289">
        <v>70</v>
      </c>
      <c r="K2099" s="289">
        <v>7</v>
      </c>
      <c r="L2099" s="289">
        <v>3707</v>
      </c>
    </row>
    <row r="2100" spans="1:12">
      <c r="A2100" s="288" t="s">
        <v>2940</v>
      </c>
      <c r="B2100" s="288" t="s">
        <v>2247</v>
      </c>
      <c r="C2100" s="288" t="s">
        <v>814</v>
      </c>
      <c r="D2100" s="288" t="s">
        <v>818</v>
      </c>
      <c r="E2100" s="289">
        <v>10</v>
      </c>
      <c r="F2100" s="290">
        <v>17</v>
      </c>
      <c r="G2100" s="289">
        <v>1100</v>
      </c>
      <c r="H2100" s="289">
        <v>770</v>
      </c>
      <c r="I2100" s="289">
        <v>187</v>
      </c>
      <c r="J2100" s="289">
        <v>70</v>
      </c>
      <c r="K2100" s="289">
        <v>7</v>
      </c>
      <c r="L2100" s="289">
        <v>2134</v>
      </c>
    </row>
    <row r="2101" spans="1:12">
      <c r="A2101" s="288" t="s">
        <v>2941</v>
      </c>
      <c r="B2101" s="288" t="s">
        <v>2247</v>
      </c>
      <c r="C2101" s="288" t="s">
        <v>829</v>
      </c>
      <c r="D2101" s="288" t="s">
        <v>818</v>
      </c>
      <c r="E2101" s="289">
        <v>10</v>
      </c>
      <c r="F2101" s="290">
        <v>0</v>
      </c>
      <c r="G2101" s="289">
        <v>900</v>
      </c>
      <c r="H2101" s="289">
        <v>0</v>
      </c>
      <c r="I2101" s="289">
        <v>90</v>
      </c>
      <c r="J2101" s="289">
        <v>70</v>
      </c>
      <c r="K2101" s="289">
        <v>7</v>
      </c>
      <c r="L2101" s="289">
        <v>1067</v>
      </c>
    </row>
    <row r="2102" spans="1:12">
      <c r="A2102" s="288" t="s">
        <v>2942</v>
      </c>
      <c r="B2102" s="288" t="s">
        <v>2247</v>
      </c>
      <c r="C2102" s="288" t="s">
        <v>829</v>
      </c>
      <c r="D2102" s="288" t="s">
        <v>815</v>
      </c>
      <c r="E2102" s="289">
        <v>10</v>
      </c>
      <c r="F2102" s="290">
        <v>1</v>
      </c>
      <c r="G2102" s="289">
        <v>900</v>
      </c>
      <c r="H2102" s="289">
        <v>0</v>
      </c>
      <c r="I2102" s="289">
        <v>90</v>
      </c>
      <c r="J2102" s="289">
        <v>50</v>
      </c>
      <c r="K2102" s="289">
        <v>5</v>
      </c>
      <c r="L2102" s="289">
        <v>1045</v>
      </c>
    </row>
    <row r="2103" spans="1:12">
      <c r="A2103" s="288" t="s">
        <v>2943</v>
      </c>
      <c r="B2103" s="288" t="s">
        <v>2258</v>
      </c>
      <c r="C2103" s="288" t="s">
        <v>814</v>
      </c>
      <c r="D2103" s="288" t="s">
        <v>818</v>
      </c>
      <c r="E2103" s="289">
        <v>10</v>
      </c>
      <c r="F2103" s="290">
        <v>25</v>
      </c>
      <c r="G2103" s="289">
        <v>1100</v>
      </c>
      <c r="H2103" s="289">
        <v>1650</v>
      </c>
      <c r="I2103" s="289">
        <v>275</v>
      </c>
      <c r="J2103" s="289">
        <v>70</v>
      </c>
      <c r="K2103" s="289">
        <v>7</v>
      </c>
      <c r="L2103" s="289">
        <v>3102</v>
      </c>
    </row>
    <row r="2104" spans="1:12">
      <c r="A2104" s="288" t="s">
        <v>2944</v>
      </c>
      <c r="B2104" s="288" t="s">
        <v>2258</v>
      </c>
      <c r="C2104" s="288" t="s">
        <v>814</v>
      </c>
      <c r="D2104" s="288" t="s">
        <v>818</v>
      </c>
      <c r="E2104" s="289">
        <v>10</v>
      </c>
      <c r="F2104" s="290">
        <v>16</v>
      </c>
      <c r="G2104" s="289">
        <v>1100</v>
      </c>
      <c r="H2104" s="289">
        <v>660</v>
      </c>
      <c r="I2104" s="289">
        <v>176</v>
      </c>
      <c r="J2104" s="289">
        <v>70</v>
      </c>
      <c r="K2104" s="289">
        <v>7</v>
      </c>
      <c r="L2104" s="289">
        <v>2013</v>
      </c>
    </row>
    <row r="2105" spans="1:12">
      <c r="A2105" s="288" t="s">
        <v>2945</v>
      </c>
      <c r="B2105" s="288" t="s">
        <v>2258</v>
      </c>
      <c r="C2105" s="288" t="s">
        <v>814</v>
      </c>
      <c r="D2105" s="288" t="s">
        <v>818</v>
      </c>
      <c r="E2105" s="289">
        <v>10</v>
      </c>
      <c r="F2105" s="290">
        <v>23</v>
      </c>
      <c r="G2105" s="289">
        <v>1100</v>
      </c>
      <c r="H2105" s="289">
        <v>1430</v>
      </c>
      <c r="I2105" s="289">
        <v>253</v>
      </c>
      <c r="J2105" s="289">
        <v>70</v>
      </c>
      <c r="K2105" s="289">
        <v>7</v>
      </c>
      <c r="L2105" s="289">
        <v>2860</v>
      </c>
    </row>
    <row r="2106" spans="1:12">
      <c r="A2106" s="288" t="s">
        <v>2946</v>
      </c>
      <c r="B2106" s="288" t="s">
        <v>2258</v>
      </c>
      <c r="C2106" s="288" t="s">
        <v>814</v>
      </c>
      <c r="D2106" s="288" t="s">
        <v>818</v>
      </c>
      <c r="E2106" s="289">
        <v>10</v>
      </c>
      <c r="F2106" s="290">
        <v>11</v>
      </c>
      <c r="G2106" s="289">
        <v>1100</v>
      </c>
      <c r="H2106" s="289">
        <v>110</v>
      </c>
      <c r="I2106" s="289">
        <v>121</v>
      </c>
      <c r="J2106" s="289">
        <v>70</v>
      </c>
      <c r="K2106" s="289">
        <v>7</v>
      </c>
      <c r="L2106" s="289">
        <v>1408</v>
      </c>
    </row>
    <row r="2107" spans="1:12">
      <c r="A2107" s="288" t="s">
        <v>2947</v>
      </c>
      <c r="B2107" s="288" t="s">
        <v>2258</v>
      </c>
      <c r="C2107" s="288" t="s">
        <v>814</v>
      </c>
      <c r="D2107" s="288" t="s">
        <v>818</v>
      </c>
      <c r="E2107" s="289">
        <v>10</v>
      </c>
      <c r="F2107" s="290">
        <v>23</v>
      </c>
      <c r="G2107" s="289">
        <v>1100</v>
      </c>
      <c r="H2107" s="289">
        <v>1430</v>
      </c>
      <c r="I2107" s="289">
        <v>253</v>
      </c>
      <c r="J2107" s="289">
        <v>70</v>
      </c>
      <c r="K2107" s="289">
        <v>7</v>
      </c>
      <c r="L2107" s="289">
        <v>2860</v>
      </c>
    </row>
    <row r="2108" spans="1:12">
      <c r="A2108" s="288" t="s">
        <v>2948</v>
      </c>
      <c r="B2108" s="288" t="s">
        <v>2258</v>
      </c>
      <c r="C2108" s="288" t="s">
        <v>814</v>
      </c>
      <c r="D2108" s="288" t="s">
        <v>818</v>
      </c>
      <c r="E2108" s="289">
        <v>10</v>
      </c>
      <c r="F2108" s="290">
        <v>14</v>
      </c>
      <c r="G2108" s="289">
        <v>1100</v>
      </c>
      <c r="H2108" s="289">
        <v>440</v>
      </c>
      <c r="I2108" s="289">
        <v>154</v>
      </c>
      <c r="J2108" s="289">
        <v>70</v>
      </c>
      <c r="K2108" s="289">
        <v>7</v>
      </c>
      <c r="L2108" s="289">
        <v>1771</v>
      </c>
    </row>
    <row r="2109" spans="1:12">
      <c r="A2109" s="288" t="s">
        <v>2949</v>
      </c>
      <c r="B2109" s="288" t="s">
        <v>2258</v>
      </c>
      <c r="C2109" s="288" t="s">
        <v>814</v>
      </c>
      <c r="D2109" s="288" t="s">
        <v>818</v>
      </c>
      <c r="E2109" s="289">
        <v>10</v>
      </c>
      <c r="F2109" s="290">
        <v>10</v>
      </c>
      <c r="G2109" s="289">
        <v>1100</v>
      </c>
      <c r="H2109" s="289">
        <v>0</v>
      </c>
      <c r="I2109" s="289">
        <v>110</v>
      </c>
      <c r="J2109" s="289">
        <v>70</v>
      </c>
      <c r="K2109" s="289">
        <v>7</v>
      </c>
      <c r="L2109" s="289">
        <v>1287</v>
      </c>
    </row>
    <row r="2110" spans="1:12">
      <c r="A2110" s="288" t="s">
        <v>2950</v>
      </c>
      <c r="B2110" s="288" t="s">
        <v>2258</v>
      </c>
      <c r="C2110" s="288" t="s">
        <v>814</v>
      </c>
      <c r="D2110" s="288" t="s">
        <v>818</v>
      </c>
      <c r="E2110" s="289">
        <v>10</v>
      </c>
      <c r="F2110" s="290">
        <v>3</v>
      </c>
      <c r="G2110" s="289">
        <v>900</v>
      </c>
      <c r="H2110" s="289">
        <v>0</v>
      </c>
      <c r="I2110" s="289">
        <v>90</v>
      </c>
      <c r="J2110" s="289">
        <v>70</v>
      </c>
      <c r="K2110" s="289">
        <v>7</v>
      </c>
      <c r="L2110" s="289">
        <v>1067</v>
      </c>
    </row>
    <row r="2111" spans="1:12">
      <c r="A2111" s="288" t="s">
        <v>2951</v>
      </c>
      <c r="B2111" s="288" t="s">
        <v>2258</v>
      </c>
      <c r="C2111" s="288" t="s">
        <v>814</v>
      </c>
      <c r="D2111" s="288" t="s">
        <v>818</v>
      </c>
      <c r="E2111" s="289">
        <v>10</v>
      </c>
      <c r="F2111" s="290">
        <v>22</v>
      </c>
      <c r="G2111" s="289">
        <v>1100</v>
      </c>
      <c r="H2111" s="289">
        <v>1320</v>
      </c>
      <c r="I2111" s="289">
        <v>242</v>
      </c>
      <c r="J2111" s="289">
        <v>70</v>
      </c>
      <c r="K2111" s="289">
        <v>7</v>
      </c>
      <c r="L2111" s="289">
        <v>2739</v>
      </c>
    </row>
    <row r="2112" spans="1:12">
      <c r="A2112" s="288" t="s">
        <v>2952</v>
      </c>
      <c r="B2112" s="288" t="s">
        <v>2258</v>
      </c>
      <c r="C2112" s="288" t="s">
        <v>814</v>
      </c>
      <c r="D2112" s="288" t="s">
        <v>818</v>
      </c>
      <c r="E2112" s="289">
        <v>10</v>
      </c>
      <c r="F2112" s="290">
        <v>10</v>
      </c>
      <c r="G2112" s="289">
        <v>1100</v>
      </c>
      <c r="H2112" s="289">
        <v>0</v>
      </c>
      <c r="I2112" s="289">
        <v>110</v>
      </c>
      <c r="J2112" s="289">
        <v>70</v>
      </c>
      <c r="K2112" s="289">
        <v>7</v>
      </c>
      <c r="L2112" s="289">
        <v>1287</v>
      </c>
    </row>
    <row r="2113" spans="1:12">
      <c r="A2113" s="288" t="s">
        <v>2953</v>
      </c>
      <c r="B2113" s="288" t="s">
        <v>2258</v>
      </c>
      <c r="C2113" s="288" t="s">
        <v>814</v>
      </c>
      <c r="D2113" s="288" t="s">
        <v>818</v>
      </c>
      <c r="E2113" s="289">
        <v>10</v>
      </c>
      <c r="F2113" s="290">
        <v>3</v>
      </c>
      <c r="G2113" s="289">
        <v>900</v>
      </c>
      <c r="H2113" s="289">
        <v>0</v>
      </c>
      <c r="I2113" s="289">
        <v>90</v>
      </c>
      <c r="J2113" s="289">
        <v>70</v>
      </c>
      <c r="K2113" s="289">
        <v>7</v>
      </c>
      <c r="L2113" s="289">
        <v>1067</v>
      </c>
    </row>
    <row r="2114" spans="1:12">
      <c r="A2114" s="288" t="s">
        <v>2954</v>
      </c>
      <c r="B2114" s="288" t="s">
        <v>2258</v>
      </c>
      <c r="C2114" s="288" t="s">
        <v>814</v>
      </c>
      <c r="D2114" s="288" t="s">
        <v>818</v>
      </c>
      <c r="E2114" s="289">
        <v>10</v>
      </c>
      <c r="F2114" s="290">
        <v>5</v>
      </c>
      <c r="G2114" s="289">
        <v>900</v>
      </c>
      <c r="H2114" s="289">
        <v>0</v>
      </c>
      <c r="I2114" s="289">
        <v>90</v>
      </c>
      <c r="J2114" s="289">
        <v>70</v>
      </c>
      <c r="K2114" s="289">
        <v>7</v>
      </c>
      <c r="L2114" s="289">
        <v>1067</v>
      </c>
    </row>
    <row r="2115" spans="1:12">
      <c r="A2115" s="288" t="s">
        <v>2955</v>
      </c>
      <c r="B2115" s="288" t="s">
        <v>2258</v>
      </c>
      <c r="C2115" s="288" t="s">
        <v>814</v>
      </c>
      <c r="D2115" s="288" t="s">
        <v>818</v>
      </c>
      <c r="E2115" s="289">
        <v>10</v>
      </c>
      <c r="F2115" s="290">
        <v>21</v>
      </c>
      <c r="G2115" s="289">
        <v>1100</v>
      </c>
      <c r="H2115" s="289">
        <v>1210</v>
      </c>
      <c r="I2115" s="289">
        <v>231</v>
      </c>
      <c r="J2115" s="289">
        <v>70</v>
      </c>
      <c r="K2115" s="289">
        <v>7</v>
      </c>
      <c r="L2115" s="289">
        <v>2618</v>
      </c>
    </row>
    <row r="2116" spans="1:12">
      <c r="A2116" s="288" t="s">
        <v>2956</v>
      </c>
      <c r="B2116" s="288" t="s">
        <v>2258</v>
      </c>
      <c r="C2116" s="288" t="s">
        <v>814</v>
      </c>
      <c r="D2116" s="288" t="s">
        <v>818</v>
      </c>
      <c r="E2116" s="289">
        <v>10</v>
      </c>
      <c r="F2116" s="290">
        <v>13</v>
      </c>
      <c r="G2116" s="289">
        <v>1100</v>
      </c>
      <c r="H2116" s="289">
        <v>330</v>
      </c>
      <c r="I2116" s="289">
        <v>143</v>
      </c>
      <c r="J2116" s="289">
        <v>70</v>
      </c>
      <c r="K2116" s="289">
        <v>7</v>
      </c>
      <c r="L2116" s="289">
        <v>1650</v>
      </c>
    </row>
    <row r="2117" spans="1:12">
      <c r="A2117" s="288" t="s">
        <v>2957</v>
      </c>
      <c r="B2117" s="288" t="s">
        <v>2258</v>
      </c>
      <c r="C2117" s="288" t="s">
        <v>814</v>
      </c>
      <c r="D2117" s="288" t="s">
        <v>818</v>
      </c>
      <c r="E2117" s="289">
        <v>10</v>
      </c>
      <c r="F2117" s="290">
        <v>25</v>
      </c>
      <c r="G2117" s="289">
        <v>1100</v>
      </c>
      <c r="H2117" s="289">
        <v>1650</v>
      </c>
      <c r="I2117" s="289">
        <v>275</v>
      </c>
      <c r="J2117" s="289">
        <v>70</v>
      </c>
      <c r="K2117" s="289">
        <v>7</v>
      </c>
      <c r="L2117" s="289">
        <v>3102</v>
      </c>
    </row>
    <row r="2118" spans="1:12">
      <c r="A2118" s="288" t="s">
        <v>2958</v>
      </c>
      <c r="B2118" s="288" t="s">
        <v>2258</v>
      </c>
      <c r="C2118" s="288" t="s">
        <v>814</v>
      </c>
      <c r="D2118" s="288" t="s">
        <v>818</v>
      </c>
      <c r="E2118" s="289">
        <v>10</v>
      </c>
      <c r="F2118" s="290">
        <v>4</v>
      </c>
      <c r="G2118" s="289">
        <v>900</v>
      </c>
      <c r="H2118" s="289">
        <v>0</v>
      </c>
      <c r="I2118" s="289">
        <v>90</v>
      </c>
      <c r="J2118" s="289">
        <v>70</v>
      </c>
      <c r="K2118" s="289">
        <v>7</v>
      </c>
      <c r="L2118" s="289">
        <v>1067</v>
      </c>
    </row>
    <row r="2119" spans="1:12">
      <c r="A2119" s="288" t="s">
        <v>2959</v>
      </c>
      <c r="B2119" s="288" t="s">
        <v>2258</v>
      </c>
      <c r="C2119" s="288" t="s">
        <v>814</v>
      </c>
      <c r="D2119" s="288" t="s">
        <v>818</v>
      </c>
      <c r="E2119" s="289">
        <v>10</v>
      </c>
      <c r="F2119" s="290">
        <v>18</v>
      </c>
      <c r="G2119" s="289">
        <v>1100</v>
      </c>
      <c r="H2119" s="289">
        <v>880</v>
      </c>
      <c r="I2119" s="289">
        <v>198</v>
      </c>
      <c r="J2119" s="289">
        <v>70</v>
      </c>
      <c r="K2119" s="289">
        <v>7</v>
      </c>
      <c r="L2119" s="289">
        <v>2255</v>
      </c>
    </row>
    <row r="2120" spans="1:12">
      <c r="A2120" s="288" t="s">
        <v>2960</v>
      </c>
      <c r="B2120" s="288" t="s">
        <v>2258</v>
      </c>
      <c r="C2120" s="288" t="s">
        <v>814</v>
      </c>
      <c r="D2120" s="288" t="s">
        <v>818</v>
      </c>
      <c r="E2120" s="289">
        <v>10</v>
      </c>
      <c r="F2120" s="290">
        <v>8</v>
      </c>
      <c r="G2120" s="289">
        <v>1100</v>
      </c>
      <c r="H2120" s="289">
        <v>0</v>
      </c>
      <c r="I2120" s="289">
        <v>110</v>
      </c>
      <c r="J2120" s="289">
        <v>70</v>
      </c>
      <c r="K2120" s="289">
        <v>7</v>
      </c>
      <c r="L2120" s="289">
        <v>1287</v>
      </c>
    </row>
    <row r="2121" spans="1:12">
      <c r="A2121" s="288" t="s">
        <v>2961</v>
      </c>
      <c r="B2121" s="288" t="s">
        <v>2258</v>
      </c>
      <c r="C2121" s="288" t="s">
        <v>814</v>
      </c>
      <c r="D2121" s="288" t="s">
        <v>818</v>
      </c>
      <c r="E2121" s="289">
        <v>10</v>
      </c>
      <c r="F2121" s="290">
        <v>15</v>
      </c>
      <c r="G2121" s="289">
        <v>1100</v>
      </c>
      <c r="H2121" s="289">
        <v>550</v>
      </c>
      <c r="I2121" s="289">
        <v>165</v>
      </c>
      <c r="J2121" s="289">
        <v>70</v>
      </c>
      <c r="K2121" s="289">
        <v>7</v>
      </c>
      <c r="L2121" s="289">
        <v>1892</v>
      </c>
    </row>
    <row r="2122" spans="1:12">
      <c r="A2122" s="288" t="s">
        <v>2962</v>
      </c>
      <c r="B2122" s="288" t="s">
        <v>2258</v>
      </c>
      <c r="C2122" s="288" t="s">
        <v>814</v>
      </c>
      <c r="D2122" s="288" t="s">
        <v>818</v>
      </c>
      <c r="E2122" s="289">
        <v>10</v>
      </c>
      <c r="F2122" s="290">
        <v>0</v>
      </c>
      <c r="G2122" s="289">
        <v>900</v>
      </c>
      <c r="H2122" s="289">
        <v>0</v>
      </c>
      <c r="I2122" s="289">
        <v>90</v>
      </c>
      <c r="J2122" s="289">
        <v>70</v>
      </c>
      <c r="K2122" s="289">
        <v>7</v>
      </c>
      <c r="L2122" s="289">
        <v>1067</v>
      </c>
    </row>
    <row r="2123" spans="1:12">
      <c r="A2123" s="288" t="s">
        <v>2963</v>
      </c>
      <c r="B2123" s="288" t="s">
        <v>2258</v>
      </c>
      <c r="C2123" s="288" t="s">
        <v>814</v>
      </c>
      <c r="D2123" s="288" t="s">
        <v>818</v>
      </c>
      <c r="E2123" s="289">
        <v>10</v>
      </c>
      <c r="F2123" s="290">
        <v>9</v>
      </c>
      <c r="G2123" s="289">
        <v>1100</v>
      </c>
      <c r="H2123" s="289">
        <v>0</v>
      </c>
      <c r="I2123" s="289">
        <v>110</v>
      </c>
      <c r="J2123" s="289">
        <v>70</v>
      </c>
      <c r="K2123" s="289">
        <v>7</v>
      </c>
      <c r="L2123" s="289">
        <v>1287</v>
      </c>
    </row>
    <row r="2124" spans="1:12">
      <c r="A2124" s="288" t="s">
        <v>2964</v>
      </c>
      <c r="B2124" s="288" t="s">
        <v>2258</v>
      </c>
      <c r="C2124" s="288" t="s">
        <v>814</v>
      </c>
      <c r="D2124" s="288" t="s">
        <v>818</v>
      </c>
      <c r="E2124" s="289">
        <v>10</v>
      </c>
      <c r="F2124" s="290">
        <v>8</v>
      </c>
      <c r="G2124" s="289">
        <v>1100</v>
      </c>
      <c r="H2124" s="289">
        <v>0</v>
      </c>
      <c r="I2124" s="289">
        <v>110</v>
      </c>
      <c r="J2124" s="289">
        <v>70</v>
      </c>
      <c r="K2124" s="289">
        <v>7</v>
      </c>
      <c r="L2124" s="289">
        <v>1287</v>
      </c>
    </row>
    <row r="2125" spans="1:12">
      <c r="A2125" s="288" t="s">
        <v>2965</v>
      </c>
      <c r="B2125" s="288" t="s">
        <v>2258</v>
      </c>
      <c r="C2125" s="288" t="s">
        <v>814</v>
      </c>
      <c r="D2125" s="288" t="s">
        <v>818</v>
      </c>
      <c r="E2125" s="289">
        <v>10</v>
      </c>
      <c r="F2125" s="290">
        <v>7</v>
      </c>
      <c r="G2125" s="289">
        <v>1100</v>
      </c>
      <c r="H2125" s="289">
        <v>0</v>
      </c>
      <c r="I2125" s="289">
        <v>110</v>
      </c>
      <c r="J2125" s="289">
        <v>70</v>
      </c>
      <c r="K2125" s="289">
        <v>7</v>
      </c>
      <c r="L2125" s="289">
        <v>1287</v>
      </c>
    </row>
    <row r="2126" spans="1:12">
      <c r="A2126" s="288" t="s">
        <v>2966</v>
      </c>
      <c r="B2126" s="288" t="s">
        <v>2258</v>
      </c>
      <c r="C2126" s="288" t="s">
        <v>814</v>
      </c>
      <c r="D2126" s="288" t="s">
        <v>818</v>
      </c>
      <c r="E2126" s="289">
        <v>10</v>
      </c>
      <c r="F2126" s="290">
        <v>7</v>
      </c>
      <c r="G2126" s="289">
        <v>1100</v>
      </c>
      <c r="H2126" s="289">
        <v>0</v>
      </c>
      <c r="I2126" s="289">
        <v>110</v>
      </c>
      <c r="J2126" s="289">
        <v>70</v>
      </c>
      <c r="K2126" s="289">
        <v>7</v>
      </c>
      <c r="L2126" s="289">
        <v>1287</v>
      </c>
    </row>
    <row r="2127" spans="1:12">
      <c r="A2127" s="288" t="s">
        <v>2967</v>
      </c>
      <c r="B2127" s="288" t="s">
        <v>2258</v>
      </c>
      <c r="C2127" s="288" t="s">
        <v>814</v>
      </c>
      <c r="D2127" s="288" t="s">
        <v>818</v>
      </c>
      <c r="E2127" s="289">
        <v>10</v>
      </c>
      <c r="F2127" s="290">
        <v>1</v>
      </c>
      <c r="G2127" s="289">
        <v>900</v>
      </c>
      <c r="H2127" s="289">
        <v>0</v>
      </c>
      <c r="I2127" s="289">
        <v>90</v>
      </c>
      <c r="J2127" s="289">
        <v>70</v>
      </c>
      <c r="K2127" s="289">
        <v>7</v>
      </c>
      <c r="L2127" s="289">
        <v>1067</v>
      </c>
    </row>
    <row r="2128" spans="1:12">
      <c r="A2128" s="288" t="s">
        <v>2968</v>
      </c>
      <c r="B2128" s="288" t="s">
        <v>2258</v>
      </c>
      <c r="C2128" s="288" t="s">
        <v>814</v>
      </c>
      <c r="D2128" s="288" t="s">
        <v>818</v>
      </c>
      <c r="E2128" s="289">
        <v>10</v>
      </c>
      <c r="F2128" s="290">
        <v>7</v>
      </c>
      <c r="G2128" s="289">
        <v>1100</v>
      </c>
      <c r="H2128" s="289">
        <v>0</v>
      </c>
      <c r="I2128" s="289">
        <v>110</v>
      </c>
      <c r="J2128" s="289">
        <v>70</v>
      </c>
      <c r="K2128" s="289">
        <v>7</v>
      </c>
      <c r="L2128" s="289">
        <v>1287</v>
      </c>
    </row>
    <row r="2129" spans="1:12">
      <c r="A2129" s="288" t="s">
        <v>2969</v>
      </c>
      <c r="B2129" s="288" t="s">
        <v>2258</v>
      </c>
      <c r="C2129" s="288" t="s">
        <v>814</v>
      </c>
      <c r="D2129" s="288" t="s">
        <v>818</v>
      </c>
      <c r="E2129" s="289">
        <v>10</v>
      </c>
      <c r="F2129" s="290">
        <v>0</v>
      </c>
      <c r="G2129" s="289">
        <v>900</v>
      </c>
      <c r="H2129" s="289">
        <v>0</v>
      </c>
      <c r="I2129" s="289">
        <v>90</v>
      </c>
      <c r="J2129" s="289">
        <v>70</v>
      </c>
      <c r="K2129" s="289">
        <v>7</v>
      </c>
      <c r="L2129" s="289">
        <v>1067</v>
      </c>
    </row>
    <row r="2130" spans="1:12">
      <c r="A2130" s="288" t="s">
        <v>2970</v>
      </c>
      <c r="B2130" s="288" t="s">
        <v>2258</v>
      </c>
      <c r="C2130" s="288" t="s">
        <v>814</v>
      </c>
      <c r="D2130" s="288" t="s">
        <v>818</v>
      </c>
      <c r="E2130" s="289">
        <v>10</v>
      </c>
      <c r="F2130" s="290">
        <v>9</v>
      </c>
      <c r="G2130" s="289">
        <v>1100</v>
      </c>
      <c r="H2130" s="289">
        <v>0</v>
      </c>
      <c r="I2130" s="289">
        <v>110</v>
      </c>
      <c r="J2130" s="289">
        <v>70</v>
      </c>
      <c r="K2130" s="289">
        <v>7</v>
      </c>
      <c r="L2130" s="289">
        <v>1287</v>
      </c>
    </row>
    <row r="2131" spans="1:12">
      <c r="A2131" s="288" t="s">
        <v>2971</v>
      </c>
      <c r="B2131" s="288" t="s">
        <v>2258</v>
      </c>
      <c r="C2131" s="288" t="s">
        <v>814</v>
      </c>
      <c r="D2131" s="288" t="s">
        <v>818</v>
      </c>
      <c r="E2131" s="289">
        <v>10</v>
      </c>
      <c r="F2131" s="290">
        <v>26</v>
      </c>
      <c r="G2131" s="289">
        <v>1100</v>
      </c>
      <c r="H2131" s="289">
        <v>1760</v>
      </c>
      <c r="I2131" s="289">
        <v>286</v>
      </c>
      <c r="J2131" s="289">
        <v>70</v>
      </c>
      <c r="K2131" s="289">
        <v>7</v>
      </c>
      <c r="L2131" s="289">
        <v>3223</v>
      </c>
    </row>
    <row r="2132" spans="1:12">
      <c r="A2132" s="288" t="s">
        <v>2972</v>
      </c>
      <c r="B2132" s="288" t="s">
        <v>2258</v>
      </c>
      <c r="C2132" s="288" t="s">
        <v>814</v>
      </c>
      <c r="D2132" s="288" t="s">
        <v>818</v>
      </c>
      <c r="E2132" s="289">
        <v>10</v>
      </c>
      <c r="F2132" s="290">
        <v>1</v>
      </c>
      <c r="G2132" s="289">
        <v>900</v>
      </c>
      <c r="H2132" s="289">
        <v>0</v>
      </c>
      <c r="I2132" s="289">
        <v>90</v>
      </c>
      <c r="J2132" s="289">
        <v>70</v>
      </c>
      <c r="K2132" s="289">
        <v>7</v>
      </c>
      <c r="L2132" s="289">
        <v>1067</v>
      </c>
    </row>
    <row r="2133" spans="1:12">
      <c r="A2133" s="288" t="s">
        <v>2973</v>
      </c>
      <c r="B2133" s="288" t="s">
        <v>2258</v>
      </c>
      <c r="C2133" s="288" t="s">
        <v>814</v>
      </c>
      <c r="D2133" s="288" t="s">
        <v>818</v>
      </c>
      <c r="E2133" s="289">
        <v>10</v>
      </c>
      <c r="F2133" s="290">
        <v>10</v>
      </c>
      <c r="G2133" s="289">
        <v>1100</v>
      </c>
      <c r="H2133" s="289">
        <v>0</v>
      </c>
      <c r="I2133" s="289">
        <v>110</v>
      </c>
      <c r="J2133" s="289">
        <v>70</v>
      </c>
      <c r="K2133" s="289">
        <v>7</v>
      </c>
      <c r="L2133" s="289">
        <v>1287</v>
      </c>
    </row>
    <row r="2134" spans="1:12">
      <c r="A2134" s="288" t="s">
        <v>2974</v>
      </c>
      <c r="B2134" s="288" t="s">
        <v>2258</v>
      </c>
      <c r="C2134" s="288" t="s">
        <v>814</v>
      </c>
      <c r="D2134" s="288" t="s">
        <v>818</v>
      </c>
      <c r="E2134" s="289">
        <v>10</v>
      </c>
      <c r="F2134" s="290">
        <v>3</v>
      </c>
      <c r="G2134" s="289">
        <v>900</v>
      </c>
      <c r="H2134" s="289">
        <v>0</v>
      </c>
      <c r="I2134" s="289">
        <v>90</v>
      </c>
      <c r="J2134" s="289">
        <v>70</v>
      </c>
      <c r="K2134" s="289">
        <v>7</v>
      </c>
      <c r="L2134" s="289">
        <v>1067</v>
      </c>
    </row>
    <row r="2135" spans="1:12">
      <c r="A2135" s="288" t="s">
        <v>2975</v>
      </c>
      <c r="B2135" s="288" t="s">
        <v>2258</v>
      </c>
      <c r="C2135" s="288" t="s">
        <v>814</v>
      </c>
      <c r="D2135" s="288" t="s">
        <v>818</v>
      </c>
      <c r="E2135" s="289">
        <v>10</v>
      </c>
      <c r="F2135" s="290">
        <v>9</v>
      </c>
      <c r="G2135" s="289">
        <v>1100</v>
      </c>
      <c r="H2135" s="289">
        <v>0</v>
      </c>
      <c r="I2135" s="289">
        <v>110</v>
      </c>
      <c r="J2135" s="289">
        <v>70</v>
      </c>
      <c r="K2135" s="289">
        <v>7</v>
      </c>
      <c r="L2135" s="289">
        <v>1287</v>
      </c>
    </row>
    <row r="2136" spans="1:12">
      <c r="A2136" s="288" t="s">
        <v>2976</v>
      </c>
      <c r="B2136" s="288" t="s">
        <v>2258</v>
      </c>
      <c r="C2136" s="288" t="s">
        <v>814</v>
      </c>
      <c r="D2136" s="288" t="s">
        <v>818</v>
      </c>
      <c r="E2136" s="289">
        <v>10</v>
      </c>
      <c r="F2136" s="290">
        <v>0</v>
      </c>
      <c r="G2136" s="289">
        <v>900</v>
      </c>
      <c r="H2136" s="289">
        <v>0</v>
      </c>
      <c r="I2136" s="289">
        <v>90</v>
      </c>
      <c r="J2136" s="289">
        <v>70</v>
      </c>
      <c r="K2136" s="289">
        <v>7</v>
      </c>
      <c r="L2136" s="289">
        <v>1067</v>
      </c>
    </row>
    <row r="2137" spans="1:12">
      <c r="A2137" s="288" t="s">
        <v>2977</v>
      </c>
      <c r="B2137" s="288" t="s">
        <v>2258</v>
      </c>
      <c r="C2137" s="288" t="s">
        <v>814</v>
      </c>
      <c r="D2137" s="288" t="s">
        <v>818</v>
      </c>
      <c r="E2137" s="289">
        <v>10</v>
      </c>
      <c r="F2137" s="290">
        <v>13</v>
      </c>
      <c r="G2137" s="289">
        <v>1100</v>
      </c>
      <c r="H2137" s="289">
        <v>330</v>
      </c>
      <c r="I2137" s="289">
        <v>143</v>
      </c>
      <c r="J2137" s="289">
        <v>70</v>
      </c>
      <c r="K2137" s="289">
        <v>7</v>
      </c>
      <c r="L2137" s="289">
        <v>1650</v>
      </c>
    </row>
    <row r="2138" spans="1:12">
      <c r="A2138" s="288" t="s">
        <v>2978</v>
      </c>
      <c r="B2138" s="288" t="s">
        <v>2258</v>
      </c>
      <c r="C2138" s="288" t="s">
        <v>814</v>
      </c>
      <c r="D2138" s="288" t="s">
        <v>818</v>
      </c>
      <c r="E2138" s="289">
        <v>10</v>
      </c>
      <c r="F2138" s="290">
        <v>6</v>
      </c>
      <c r="G2138" s="289">
        <v>1100</v>
      </c>
      <c r="H2138" s="289">
        <v>0</v>
      </c>
      <c r="I2138" s="289">
        <v>110</v>
      </c>
      <c r="J2138" s="289">
        <v>70</v>
      </c>
      <c r="K2138" s="289">
        <v>7</v>
      </c>
      <c r="L2138" s="289">
        <v>1287</v>
      </c>
    </row>
    <row r="2139" spans="1:12">
      <c r="A2139" s="288" t="s">
        <v>2979</v>
      </c>
      <c r="B2139" s="288" t="s">
        <v>2258</v>
      </c>
      <c r="C2139" s="288" t="s">
        <v>814</v>
      </c>
      <c r="D2139" s="288" t="s">
        <v>818</v>
      </c>
      <c r="E2139" s="289">
        <v>10</v>
      </c>
      <c r="F2139" s="290">
        <v>5</v>
      </c>
      <c r="G2139" s="289">
        <v>900</v>
      </c>
      <c r="H2139" s="289">
        <v>0</v>
      </c>
      <c r="I2139" s="289">
        <v>90</v>
      </c>
      <c r="J2139" s="289">
        <v>70</v>
      </c>
      <c r="K2139" s="289">
        <v>7</v>
      </c>
      <c r="L2139" s="289">
        <v>1067</v>
      </c>
    </row>
    <row r="2140" spans="1:12">
      <c r="A2140" s="288" t="s">
        <v>2980</v>
      </c>
      <c r="B2140" s="288" t="s">
        <v>2258</v>
      </c>
      <c r="C2140" s="288" t="s">
        <v>814</v>
      </c>
      <c r="D2140" s="288" t="s">
        <v>818</v>
      </c>
      <c r="E2140" s="289">
        <v>10</v>
      </c>
      <c r="F2140" s="290">
        <v>8</v>
      </c>
      <c r="G2140" s="289">
        <v>1100</v>
      </c>
      <c r="H2140" s="289">
        <v>0</v>
      </c>
      <c r="I2140" s="289">
        <v>110</v>
      </c>
      <c r="J2140" s="289">
        <v>70</v>
      </c>
      <c r="K2140" s="289">
        <v>7</v>
      </c>
      <c r="L2140" s="289">
        <v>1287</v>
      </c>
    </row>
    <row r="2141" spans="1:12">
      <c r="A2141" s="288" t="s">
        <v>2981</v>
      </c>
      <c r="B2141" s="288" t="s">
        <v>2258</v>
      </c>
      <c r="C2141" s="288" t="s">
        <v>814</v>
      </c>
      <c r="D2141" s="288" t="s">
        <v>818</v>
      </c>
      <c r="E2141" s="289">
        <v>10</v>
      </c>
      <c r="F2141" s="290">
        <v>21</v>
      </c>
      <c r="G2141" s="289">
        <v>1100</v>
      </c>
      <c r="H2141" s="289">
        <v>1210</v>
      </c>
      <c r="I2141" s="289">
        <v>231</v>
      </c>
      <c r="J2141" s="289">
        <v>70</v>
      </c>
      <c r="K2141" s="289">
        <v>7</v>
      </c>
      <c r="L2141" s="289">
        <v>2618</v>
      </c>
    </row>
    <row r="2142" spans="1:12">
      <c r="A2142" s="288" t="s">
        <v>2982</v>
      </c>
      <c r="B2142" s="288" t="s">
        <v>2258</v>
      </c>
      <c r="C2142" s="288" t="s">
        <v>814</v>
      </c>
      <c r="D2142" s="288" t="s">
        <v>818</v>
      </c>
      <c r="E2142" s="289">
        <v>10</v>
      </c>
      <c r="F2142" s="290">
        <v>8</v>
      </c>
      <c r="G2142" s="289">
        <v>1100</v>
      </c>
      <c r="H2142" s="289">
        <v>0</v>
      </c>
      <c r="I2142" s="289">
        <v>110</v>
      </c>
      <c r="J2142" s="289">
        <v>70</v>
      </c>
      <c r="K2142" s="289">
        <v>7</v>
      </c>
      <c r="L2142" s="289">
        <v>1287</v>
      </c>
    </row>
    <row r="2143" spans="1:12">
      <c r="A2143" s="288" t="s">
        <v>2983</v>
      </c>
      <c r="B2143" s="288" t="s">
        <v>2258</v>
      </c>
      <c r="C2143" s="288" t="s">
        <v>814</v>
      </c>
      <c r="D2143" s="288" t="s">
        <v>818</v>
      </c>
      <c r="E2143" s="289">
        <v>10</v>
      </c>
      <c r="F2143" s="290">
        <v>8</v>
      </c>
      <c r="G2143" s="289">
        <v>1100</v>
      </c>
      <c r="H2143" s="289">
        <v>0</v>
      </c>
      <c r="I2143" s="289">
        <v>110</v>
      </c>
      <c r="J2143" s="289">
        <v>70</v>
      </c>
      <c r="K2143" s="289">
        <v>7</v>
      </c>
      <c r="L2143" s="289">
        <v>1287</v>
      </c>
    </row>
    <row r="2144" spans="1:12">
      <c r="A2144" s="288" t="s">
        <v>2984</v>
      </c>
      <c r="B2144" s="288" t="s">
        <v>2258</v>
      </c>
      <c r="C2144" s="288" t="s">
        <v>814</v>
      </c>
      <c r="D2144" s="288" t="s">
        <v>818</v>
      </c>
      <c r="E2144" s="289">
        <v>10</v>
      </c>
      <c r="F2144" s="290">
        <v>5</v>
      </c>
      <c r="G2144" s="289">
        <v>900</v>
      </c>
      <c r="H2144" s="289">
        <v>0</v>
      </c>
      <c r="I2144" s="289">
        <v>90</v>
      </c>
      <c r="J2144" s="289">
        <v>70</v>
      </c>
      <c r="K2144" s="289">
        <v>7</v>
      </c>
      <c r="L2144" s="289">
        <v>1067</v>
      </c>
    </row>
    <row r="2145" spans="1:12">
      <c r="A2145" s="288" t="s">
        <v>2985</v>
      </c>
      <c r="B2145" s="288" t="s">
        <v>2258</v>
      </c>
      <c r="C2145" s="288" t="s">
        <v>814</v>
      </c>
      <c r="D2145" s="288" t="s">
        <v>818</v>
      </c>
      <c r="E2145" s="289">
        <v>10</v>
      </c>
      <c r="F2145" s="290">
        <v>22</v>
      </c>
      <c r="G2145" s="289">
        <v>1100</v>
      </c>
      <c r="H2145" s="289">
        <v>1320</v>
      </c>
      <c r="I2145" s="289">
        <v>242</v>
      </c>
      <c r="J2145" s="289">
        <v>70</v>
      </c>
      <c r="K2145" s="289">
        <v>7</v>
      </c>
      <c r="L2145" s="289">
        <v>2739</v>
      </c>
    </row>
    <row r="2146" spans="1:12">
      <c r="A2146" s="288" t="s">
        <v>2986</v>
      </c>
      <c r="B2146" s="288" t="s">
        <v>2258</v>
      </c>
      <c r="C2146" s="288" t="s">
        <v>814</v>
      </c>
      <c r="D2146" s="288" t="s">
        <v>818</v>
      </c>
      <c r="E2146" s="289">
        <v>10</v>
      </c>
      <c r="F2146" s="290">
        <v>9</v>
      </c>
      <c r="G2146" s="289">
        <v>1100</v>
      </c>
      <c r="H2146" s="289">
        <v>0</v>
      </c>
      <c r="I2146" s="289">
        <v>110</v>
      </c>
      <c r="J2146" s="289">
        <v>70</v>
      </c>
      <c r="K2146" s="289">
        <v>7</v>
      </c>
      <c r="L2146" s="289">
        <v>1287</v>
      </c>
    </row>
    <row r="2147" spans="1:12">
      <c r="A2147" s="288" t="s">
        <v>2987</v>
      </c>
      <c r="B2147" s="288" t="s">
        <v>2258</v>
      </c>
      <c r="C2147" s="288" t="s">
        <v>814</v>
      </c>
      <c r="D2147" s="288" t="s">
        <v>818</v>
      </c>
      <c r="E2147" s="289">
        <v>10</v>
      </c>
      <c r="F2147" s="290">
        <v>4</v>
      </c>
      <c r="G2147" s="289">
        <v>900</v>
      </c>
      <c r="H2147" s="289">
        <v>0</v>
      </c>
      <c r="I2147" s="289">
        <v>90</v>
      </c>
      <c r="J2147" s="289">
        <v>70</v>
      </c>
      <c r="K2147" s="289">
        <v>7</v>
      </c>
      <c r="L2147" s="289">
        <v>1067</v>
      </c>
    </row>
    <row r="2148" spans="1:12">
      <c r="A2148" s="288" t="s">
        <v>2988</v>
      </c>
      <c r="B2148" s="288" t="s">
        <v>2258</v>
      </c>
      <c r="C2148" s="288" t="s">
        <v>814</v>
      </c>
      <c r="D2148" s="288" t="s">
        <v>818</v>
      </c>
      <c r="E2148" s="289">
        <v>10</v>
      </c>
      <c r="F2148" s="290">
        <v>13</v>
      </c>
      <c r="G2148" s="289">
        <v>1100</v>
      </c>
      <c r="H2148" s="289">
        <v>330</v>
      </c>
      <c r="I2148" s="289">
        <v>143</v>
      </c>
      <c r="J2148" s="289">
        <v>70</v>
      </c>
      <c r="K2148" s="289">
        <v>7</v>
      </c>
      <c r="L2148" s="289">
        <v>1650</v>
      </c>
    </row>
    <row r="2149" spans="1:12">
      <c r="A2149" s="288" t="s">
        <v>2989</v>
      </c>
      <c r="B2149" s="288" t="s">
        <v>2258</v>
      </c>
      <c r="C2149" s="288" t="s">
        <v>814</v>
      </c>
      <c r="D2149" s="288" t="s">
        <v>818</v>
      </c>
      <c r="E2149" s="289">
        <v>10</v>
      </c>
      <c r="F2149" s="290">
        <v>13</v>
      </c>
      <c r="G2149" s="289">
        <v>1100</v>
      </c>
      <c r="H2149" s="289">
        <v>330</v>
      </c>
      <c r="I2149" s="289">
        <v>143</v>
      </c>
      <c r="J2149" s="289">
        <v>70</v>
      </c>
      <c r="K2149" s="289">
        <v>7</v>
      </c>
      <c r="L2149" s="289">
        <v>1650</v>
      </c>
    </row>
    <row r="2150" spans="1:12">
      <c r="A2150" s="288" t="s">
        <v>2990</v>
      </c>
      <c r="B2150" s="288" t="s">
        <v>2258</v>
      </c>
      <c r="C2150" s="288" t="s">
        <v>814</v>
      </c>
      <c r="D2150" s="288" t="s">
        <v>818</v>
      </c>
      <c r="E2150" s="289">
        <v>10</v>
      </c>
      <c r="F2150" s="290">
        <v>13</v>
      </c>
      <c r="G2150" s="289">
        <v>1100</v>
      </c>
      <c r="H2150" s="289">
        <v>330</v>
      </c>
      <c r="I2150" s="289">
        <v>143</v>
      </c>
      <c r="J2150" s="289">
        <v>70</v>
      </c>
      <c r="K2150" s="289">
        <v>7</v>
      </c>
      <c r="L2150" s="289">
        <v>1650</v>
      </c>
    </row>
    <row r="2151" spans="1:12">
      <c r="A2151" s="288" t="s">
        <v>2991</v>
      </c>
      <c r="B2151" s="288" t="s">
        <v>2258</v>
      </c>
      <c r="C2151" s="288" t="s">
        <v>814</v>
      </c>
      <c r="D2151" s="288" t="s">
        <v>818</v>
      </c>
      <c r="E2151" s="289">
        <v>10</v>
      </c>
      <c r="F2151" s="290">
        <v>18</v>
      </c>
      <c r="G2151" s="289">
        <v>1100</v>
      </c>
      <c r="H2151" s="289">
        <v>880</v>
      </c>
      <c r="I2151" s="289">
        <v>198</v>
      </c>
      <c r="J2151" s="289">
        <v>70</v>
      </c>
      <c r="K2151" s="289">
        <v>7</v>
      </c>
      <c r="L2151" s="289">
        <v>2255</v>
      </c>
    </row>
    <row r="2152" spans="1:12">
      <c r="A2152" s="288" t="s">
        <v>2992</v>
      </c>
      <c r="B2152" s="288" t="s">
        <v>2258</v>
      </c>
      <c r="C2152" s="288" t="s">
        <v>814</v>
      </c>
      <c r="D2152" s="288" t="s">
        <v>818</v>
      </c>
      <c r="E2152" s="289">
        <v>10</v>
      </c>
      <c r="F2152" s="290">
        <v>9</v>
      </c>
      <c r="G2152" s="289">
        <v>1100</v>
      </c>
      <c r="H2152" s="289">
        <v>0</v>
      </c>
      <c r="I2152" s="289">
        <v>110</v>
      </c>
      <c r="J2152" s="289">
        <v>70</v>
      </c>
      <c r="K2152" s="289">
        <v>7</v>
      </c>
      <c r="L2152" s="289">
        <v>1287</v>
      </c>
    </row>
    <row r="2153" spans="1:12">
      <c r="A2153" s="288" t="s">
        <v>2993</v>
      </c>
      <c r="B2153" s="288" t="s">
        <v>2258</v>
      </c>
      <c r="C2153" s="288" t="s">
        <v>814</v>
      </c>
      <c r="D2153" s="288" t="s">
        <v>818</v>
      </c>
      <c r="E2153" s="289">
        <v>10</v>
      </c>
      <c r="F2153" s="290">
        <v>16</v>
      </c>
      <c r="G2153" s="289">
        <v>1100</v>
      </c>
      <c r="H2153" s="289">
        <v>660</v>
      </c>
      <c r="I2153" s="289">
        <v>176</v>
      </c>
      <c r="J2153" s="289">
        <v>70</v>
      </c>
      <c r="K2153" s="289">
        <v>7</v>
      </c>
      <c r="L2153" s="289">
        <v>2013</v>
      </c>
    </row>
    <row r="2154" spans="1:12">
      <c r="A2154" s="288" t="s">
        <v>2994</v>
      </c>
      <c r="B2154" s="288" t="s">
        <v>2258</v>
      </c>
      <c r="C2154" s="288" t="s">
        <v>814</v>
      </c>
      <c r="D2154" s="288" t="s">
        <v>818</v>
      </c>
      <c r="E2154" s="289">
        <v>10</v>
      </c>
      <c r="F2154" s="290">
        <v>7</v>
      </c>
      <c r="G2154" s="289">
        <v>1100</v>
      </c>
      <c r="H2154" s="289">
        <v>0</v>
      </c>
      <c r="I2154" s="289">
        <v>110</v>
      </c>
      <c r="J2154" s="289">
        <v>70</v>
      </c>
      <c r="K2154" s="289">
        <v>7</v>
      </c>
      <c r="L2154" s="289">
        <v>1287</v>
      </c>
    </row>
    <row r="2155" spans="1:12">
      <c r="A2155" s="288" t="s">
        <v>2995</v>
      </c>
      <c r="B2155" s="288" t="s">
        <v>2258</v>
      </c>
      <c r="C2155" s="288" t="s">
        <v>814</v>
      </c>
      <c r="D2155" s="288" t="s">
        <v>818</v>
      </c>
      <c r="E2155" s="289">
        <v>10</v>
      </c>
      <c r="F2155" s="290">
        <v>9</v>
      </c>
      <c r="G2155" s="289">
        <v>1100</v>
      </c>
      <c r="H2155" s="289">
        <v>0</v>
      </c>
      <c r="I2155" s="289">
        <v>110</v>
      </c>
      <c r="J2155" s="289">
        <v>70</v>
      </c>
      <c r="K2155" s="289">
        <v>7</v>
      </c>
      <c r="L2155" s="289">
        <v>1287</v>
      </c>
    </row>
    <row r="2156" spans="1:12">
      <c r="A2156" s="288" t="s">
        <v>2996</v>
      </c>
      <c r="B2156" s="288" t="s">
        <v>2258</v>
      </c>
      <c r="C2156" s="288" t="s">
        <v>814</v>
      </c>
      <c r="D2156" s="288" t="s">
        <v>818</v>
      </c>
      <c r="E2156" s="289">
        <v>10</v>
      </c>
      <c r="F2156" s="290">
        <v>79</v>
      </c>
      <c r="G2156" s="289">
        <v>1100</v>
      </c>
      <c r="H2156" s="289">
        <v>7590</v>
      </c>
      <c r="I2156" s="289">
        <v>869</v>
      </c>
      <c r="J2156" s="289">
        <v>70</v>
      </c>
      <c r="K2156" s="289">
        <v>7</v>
      </c>
      <c r="L2156" s="289">
        <v>9636</v>
      </c>
    </row>
    <row r="2157" spans="1:12">
      <c r="A2157" s="288" t="s">
        <v>2997</v>
      </c>
      <c r="B2157" s="288" t="s">
        <v>2258</v>
      </c>
      <c r="C2157" s="288" t="s">
        <v>814</v>
      </c>
      <c r="D2157" s="288" t="s">
        <v>818</v>
      </c>
      <c r="E2157" s="289">
        <v>10</v>
      </c>
      <c r="F2157" s="290">
        <v>22</v>
      </c>
      <c r="G2157" s="289">
        <v>1100</v>
      </c>
      <c r="H2157" s="289">
        <v>1320</v>
      </c>
      <c r="I2157" s="289">
        <v>242</v>
      </c>
      <c r="J2157" s="289">
        <v>70</v>
      </c>
      <c r="K2157" s="289">
        <v>7</v>
      </c>
      <c r="L2157" s="289">
        <v>2739</v>
      </c>
    </row>
    <row r="2158" spans="1:12">
      <c r="A2158" s="288" t="s">
        <v>2998</v>
      </c>
      <c r="B2158" s="288" t="s">
        <v>2258</v>
      </c>
      <c r="C2158" s="288" t="s">
        <v>814</v>
      </c>
      <c r="D2158" s="288" t="s">
        <v>818</v>
      </c>
      <c r="E2158" s="289">
        <v>10</v>
      </c>
      <c r="F2158" s="290">
        <v>13</v>
      </c>
      <c r="G2158" s="289">
        <v>1100</v>
      </c>
      <c r="H2158" s="289">
        <v>330</v>
      </c>
      <c r="I2158" s="289">
        <v>143</v>
      </c>
      <c r="J2158" s="289">
        <v>70</v>
      </c>
      <c r="K2158" s="289">
        <v>7</v>
      </c>
      <c r="L2158" s="289">
        <v>1650</v>
      </c>
    </row>
    <row r="2159" spans="1:12">
      <c r="A2159" s="288" t="s">
        <v>2999</v>
      </c>
      <c r="B2159" s="288" t="s">
        <v>2258</v>
      </c>
      <c r="C2159" s="288" t="s">
        <v>814</v>
      </c>
      <c r="D2159" s="288" t="s">
        <v>818</v>
      </c>
      <c r="E2159" s="289">
        <v>10</v>
      </c>
      <c r="F2159" s="290">
        <v>6</v>
      </c>
      <c r="G2159" s="289">
        <v>1100</v>
      </c>
      <c r="H2159" s="289">
        <v>0</v>
      </c>
      <c r="I2159" s="289">
        <v>110</v>
      </c>
      <c r="J2159" s="289">
        <v>70</v>
      </c>
      <c r="K2159" s="289">
        <v>7</v>
      </c>
      <c r="L2159" s="289">
        <v>1287</v>
      </c>
    </row>
    <row r="2160" spans="1:12">
      <c r="A2160" s="288" t="s">
        <v>3000</v>
      </c>
      <c r="B2160" s="288" t="s">
        <v>2258</v>
      </c>
      <c r="C2160" s="288" t="s">
        <v>814</v>
      </c>
      <c r="D2160" s="288" t="s">
        <v>818</v>
      </c>
      <c r="E2160" s="289">
        <v>10</v>
      </c>
      <c r="F2160" s="290">
        <v>9</v>
      </c>
      <c r="G2160" s="289">
        <v>1100</v>
      </c>
      <c r="H2160" s="289">
        <v>0</v>
      </c>
      <c r="I2160" s="289">
        <v>110</v>
      </c>
      <c r="J2160" s="289">
        <v>70</v>
      </c>
      <c r="K2160" s="289">
        <v>7</v>
      </c>
      <c r="L2160" s="289">
        <v>1287</v>
      </c>
    </row>
    <row r="2161" spans="1:12">
      <c r="A2161" s="288" t="s">
        <v>3001</v>
      </c>
      <c r="B2161" s="288" t="s">
        <v>2258</v>
      </c>
      <c r="C2161" s="288" t="s">
        <v>814</v>
      </c>
      <c r="D2161" s="288" t="s">
        <v>818</v>
      </c>
      <c r="E2161" s="289">
        <v>10</v>
      </c>
      <c r="F2161" s="290">
        <v>0</v>
      </c>
      <c r="G2161" s="289">
        <v>900</v>
      </c>
      <c r="H2161" s="289">
        <v>0</v>
      </c>
      <c r="I2161" s="289">
        <v>90</v>
      </c>
      <c r="J2161" s="289">
        <v>70</v>
      </c>
      <c r="K2161" s="289">
        <v>7</v>
      </c>
      <c r="L2161" s="289">
        <v>1067</v>
      </c>
    </row>
    <row r="2162" spans="1:12">
      <c r="A2162" s="288" t="s">
        <v>3002</v>
      </c>
      <c r="B2162" s="288" t="s">
        <v>2258</v>
      </c>
      <c r="C2162" s="288" t="s">
        <v>814</v>
      </c>
      <c r="D2162" s="288" t="s">
        <v>818</v>
      </c>
      <c r="E2162" s="289">
        <v>10</v>
      </c>
      <c r="F2162" s="290">
        <v>7</v>
      </c>
      <c r="G2162" s="289">
        <v>1100</v>
      </c>
      <c r="H2162" s="289">
        <v>0</v>
      </c>
      <c r="I2162" s="289">
        <v>110</v>
      </c>
      <c r="J2162" s="289">
        <v>70</v>
      </c>
      <c r="K2162" s="289">
        <v>7</v>
      </c>
      <c r="L2162" s="289">
        <v>1287</v>
      </c>
    </row>
    <row r="2163" spans="1:12">
      <c r="A2163" s="288" t="s">
        <v>3003</v>
      </c>
      <c r="B2163" s="288" t="s">
        <v>2258</v>
      </c>
      <c r="C2163" s="288" t="s">
        <v>814</v>
      </c>
      <c r="D2163" s="288" t="s">
        <v>818</v>
      </c>
      <c r="E2163" s="289">
        <v>10</v>
      </c>
      <c r="F2163" s="290">
        <v>11</v>
      </c>
      <c r="G2163" s="289">
        <v>1100</v>
      </c>
      <c r="H2163" s="289">
        <v>110</v>
      </c>
      <c r="I2163" s="289">
        <v>121</v>
      </c>
      <c r="J2163" s="289">
        <v>70</v>
      </c>
      <c r="K2163" s="289">
        <v>7</v>
      </c>
      <c r="L2163" s="289">
        <v>1408</v>
      </c>
    </row>
    <row r="2164" spans="1:12">
      <c r="A2164" s="288" t="s">
        <v>3004</v>
      </c>
      <c r="B2164" s="288" t="s">
        <v>2258</v>
      </c>
      <c r="C2164" s="288" t="s">
        <v>814</v>
      </c>
      <c r="D2164" s="288" t="s">
        <v>818</v>
      </c>
      <c r="E2164" s="289">
        <v>10</v>
      </c>
      <c r="F2164" s="290">
        <v>9</v>
      </c>
      <c r="G2164" s="289">
        <v>1100</v>
      </c>
      <c r="H2164" s="289">
        <v>0</v>
      </c>
      <c r="I2164" s="289">
        <v>110</v>
      </c>
      <c r="J2164" s="289">
        <v>70</v>
      </c>
      <c r="K2164" s="289">
        <v>7</v>
      </c>
      <c r="L2164" s="289">
        <v>1287</v>
      </c>
    </row>
    <row r="2165" spans="1:12">
      <c r="A2165" s="288" t="s">
        <v>3005</v>
      </c>
      <c r="B2165" s="288" t="s">
        <v>2258</v>
      </c>
      <c r="C2165" s="288" t="s">
        <v>814</v>
      </c>
      <c r="D2165" s="288" t="s">
        <v>818</v>
      </c>
      <c r="E2165" s="289">
        <v>10</v>
      </c>
      <c r="F2165" s="290">
        <v>9</v>
      </c>
      <c r="G2165" s="289">
        <v>1100</v>
      </c>
      <c r="H2165" s="289">
        <v>0</v>
      </c>
      <c r="I2165" s="289">
        <v>110</v>
      </c>
      <c r="J2165" s="289">
        <v>70</v>
      </c>
      <c r="K2165" s="289">
        <v>7</v>
      </c>
      <c r="L2165" s="289">
        <v>1287</v>
      </c>
    </row>
    <row r="2166" spans="1:12">
      <c r="A2166" s="288" t="s">
        <v>3006</v>
      </c>
      <c r="B2166" s="288" t="s">
        <v>2258</v>
      </c>
      <c r="C2166" s="288" t="s">
        <v>814</v>
      </c>
      <c r="D2166" s="288" t="s">
        <v>818</v>
      </c>
      <c r="E2166" s="289">
        <v>10</v>
      </c>
      <c r="F2166" s="290">
        <v>6</v>
      </c>
      <c r="G2166" s="289">
        <v>1100</v>
      </c>
      <c r="H2166" s="289">
        <v>0</v>
      </c>
      <c r="I2166" s="289">
        <v>110</v>
      </c>
      <c r="J2166" s="289">
        <v>70</v>
      </c>
      <c r="K2166" s="289">
        <v>7</v>
      </c>
      <c r="L2166" s="289">
        <v>1287</v>
      </c>
    </row>
    <row r="2167" spans="1:12">
      <c r="A2167" s="288" t="s">
        <v>3007</v>
      </c>
      <c r="B2167" s="288" t="s">
        <v>2258</v>
      </c>
      <c r="C2167" s="288" t="s">
        <v>814</v>
      </c>
      <c r="D2167" s="288" t="s">
        <v>818</v>
      </c>
      <c r="E2167" s="289">
        <v>10</v>
      </c>
      <c r="F2167" s="290">
        <v>0</v>
      </c>
      <c r="G2167" s="289">
        <v>900</v>
      </c>
      <c r="H2167" s="289">
        <v>0</v>
      </c>
      <c r="I2167" s="289">
        <v>90</v>
      </c>
      <c r="J2167" s="289">
        <v>70</v>
      </c>
      <c r="K2167" s="289">
        <v>7</v>
      </c>
      <c r="L2167" s="289">
        <v>1067</v>
      </c>
    </row>
    <row r="2168" spans="1:12">
      <c r="A2168" s="288" t="s">
        <v>3008</v>
      </c>
      <c r="B2168" s="288" t="s">
        <v>2258</v>
      </c>
      <c r="C2168" s="288" t="s">
        <v>814</v>
      </c>
      <c r="D2168" s="288" t="s">
        <v>818</v>
      </c>
      <c r="E2168" s="289">
        <v>10</v>
      </c>
      <c r="F2168" s="290">
        <v>2</v>
      </c>
      <c r="G2168" s="289">
        <v>900</v>
      </c>
      <c r="H2168" s="289">
        <v>0</v>
      </c>
      <c r="I2168" s="289">
        <v>90</v>
      </c>
      <c r="J2168" s="289">
        <v>70</v>
      </c>
      <c r="K2168" s="289">
        <v>7</v>
      </c>
      <c r="L2168" s="289">
        <v>1067</v>
      </c>
    </row>
    <row r="2169" spans="1:12">
      <c r="A2169" s="288" t="s">
        <v>3009</v>
      </c>
      <c r="B2169" s="288" t="s">
        <v>2258</v>
      </c>
      <c r="C2169" s="288" t="s">
        <v>814</v>
      </c>
      <c r="D2169" s="288" t="s">
        <v>818</v>
      </c>
      <c r="E2169" s="289">
        <v>10</v>
      </c>
      <c r="F2169" s="290">
        <v>5</v>
      </c>
      <c r="G2169" s="289">
        <v>900</v>
      </c>
      <c r="H2169" s="289">
        <v>0</v>
      </c>
      <c r="I2169" s="289">
        <v>90</v>
      </c>
      <c r="J2169" s="289">
        <v>70</v>
      </c>
      <c r="K2169" s="289">
        <v>7</v>
      </c>
      <c r="L2169" s="289">
        <v>1067</v>
      </c>
    </row>
    <row r="2170" spans="1:12">
      <c r="A2170" s="288" t="s">
        <v>3010</v>
      </c>
      <c r="B2170" s="288" t="s">
        <v>2258</v>
      </c>
      <c r="C2170" s="288" t="s">
        <v>814</v>
      </c>
      <c r="D2170" s="288" t="s">
        <v>818</v>
      </c>
      <c r="E2170" s="289">
        <v>10</v>
      </c>
      <c r="F2170" s="290">
        <v>31</v>
      </c>
      <c r="G2170" s="289">
        <v>1100</v>
      </c>
      <c r="H2170" s="289">
        <v>2310</v>
      </c>
      <c r="I2170" s="289">
        <v>341</v>
      </c>
      <c r="J2170" s="289">
        <v>70</v>
      </c>
      <c r="K2170" s="289">
        <v>7</v>
      </c>
      <c r="L2170" s="289">
        <v>3828</v>
      </c>
    </row>
    <row r="2171" spans="1:12">
      <c r="A2171" s="288" t="s">
        <v>3011</v>
      </c>
      <c r="B2171" s="288" t="s">
        <v>2258</v>
      </c>
      <c r="C2171" s="288" t="s">
        <v>814</v>
      </c>
      <c r="D2171" s="288" t="s">
        <v>818</v>
      </c>
      <c r="E2171" s="289">
        <v>10</v>
      </c>
      <c r="F2171" s="290">
        <v>27</v>
      </c>
      <c r="G2171" s="289">
        <v>1100</v>
      </c>
      <c r="H2171" s="289">
        <v>1870</v>
      </c>
      <c r="I2171" s="289">
        <v>297</v>
      </c>
      <c r="J2171" s="289">
        <v>70</v>
      </c>
      <c r="K2171" s="289">
        <v>7</v>
      </c>
      <c r="L2171" s="289">
        <v>3344</v>
      </c>
    </row>
    <row r="2172" spans="1:12">
      <c r="A2172" s="288" t="s">
        <v>3012</v>
      </c>
      <c r="B2172" s="288" t="s">
        <v>2258</v>
      </c>
      <c r="C2172" s="288" t="s">
        <v>814</v>
      </c>
      <c r="D2172" s="288" t="s">
        <v>818</v>
      </c>
      <c r="E2172" s="289">
        <v>10</v>
      </c>
      <c r="F2172" s="290">
        <v>13</v>
      </c>
      <c r="G2172" s="289">
        <v>1100</v>
      </c>
      <c r="H2172" s="289">
        <v>330</v>
      </c>
      <c r="I2172" s="289">
        <v>143</v>
      </c>
      <c r="J2172" s="289">
        <v>70</v>
      </c>
      <c r="K2172" s="289">
        <v>7</v>
      </c>
      <c r="L2172" s="289">
        <v>1650</v>
      </c>
    </row>
    <row r="2173" spans="1:12">
      <c r="A2173" s="288" t="s">
        <v>3013</v>
      </c>
      <c r="B2173" s="288" t="s">
        <v>2258</v>
      </c>
      <c r="C2173" s="288" t="s">
        <v>814</v>
      </c>
      <c r="D2173" s="288" t="s">
        <v>818</v>
      </c>
      <c r="E2173" s="289">
        <v>10</v>
      </c>
      <c r="F2173" s="290">
        <v>5</v>
      </c>
      <c r="G2173" s="289">
        <v>900</v>
      </c>
      <c r="H2173" s="289">
        <v>0</v>
      </c>
      <c r="I2173" s="289">
        <v>90</v>
      </c>
      <c r="J2173" s="289">
        <v>70</v>
      </c>
      <c r="K2173" s="289">
        <v>7</v>
      </c>
      <c r="L2173" s="289">
        <v>1067</v>
      </c>
    </row>
    <row r="2174" spans="1:12">
      <c r="A2174" s="288" t="s">
        <v>3014</v>
      </c>
      <c r="B2174" s="288" t="s">
        <v>2258</v>
      </c>
      <c r="C2174" s="288" t="s">
        <v>814</v>
      </c>
      <c r="D2174" s="288" t="s">
        <v>818</v>
      </c>
      <c r="E2174" s="289">
        <v>10</v>
      </c>
      <c r="F2174" s="290">
        <v>12</v>
      </c>
      <c r="G2174" s="289">
        <v>1100</v>
      </c>
      <c r="H2174" s="289">
        <v>220</v>
      </c>
      <c r="I2174" s="289">
        <v>132</v>
      </c>
      <c r="J2174" s="289">
        <v>70</v>
      </c>
      <c r="K2174" s="289">
        <v>7</v>
      </c>
      <c r="L2174" s="289">
        <v>1529</v>
      </c>
    </row>
    <row r="2175" spans="1:12">
      <c r="A2175" s="288" t="s">
        <v>3015</v>
      </c>
      <c r="B2175" s="288" t="s">
        <v>2258</v>
      </c>
      <c r="C2175" s="288" t="s">
        <v>829</v>
      </c>
      <c r="D2175" s="288" t="s">
        <v>818</v>
      </c>
      <c r="E2175" s="289">
        <v>10</v>
      </c>
      <c r="F2175" s="290">
        <v>0</v>
      </c>
      <c r="G2175" s="289">
        <v>900</v>
      </c>
      <c r="H2175" s="289">
        <v>0</v>
      </c>
      <c r="I2175" s="289">
        <v>90</v>
      </c>
      <c r="J2175" s="289">
        <v>70</v>
      </c>
      <c r="K2175" s="289">
        <v>7</v>
      </c>
      <c r="L2175" s="289">
        <v>1067</v>
      </c>
    </row>
    <row r="2176" spans="1:12">
      <c r="A2176" s="288" t="s">
        <v>3016</v>
      </c>
      <c r="B2176" s="288" t="s">
        <v>2258</v>
      </c>
      <c r="C2176" s="288" t="s">
        <v>814</v>
      </c>
      <c r="D2176" s="288" t="s">
        <v>818</v>
      </c>
      <c r="E2176" s="289">
        <v>10</v>
      </c>
      <c r="F2176" s="290">
        <v>1</v>
      </c>
      <c r="G2176" s="289">
        <v>900</v>
      </c>
      <c r="H2176" s="289">
        <v>0</v>
      </c>
      <c r="I2176" s="289">
        <v>90</v>
      </c>
      <c r="J2176" s="289">
        <v>70</v>
      </c>
      <c r="K2176" s="289">
        <v>7</v>
      </c>
      <c r="L2176" s="289">
        <v>1067</v>
      </c>
    </row>
    <row r="2177" spans="1:12">
      <c r="A2177" s="288" t="s">
        <v>3017</v>
      </c>
      <c r="B2177" s="288" t="s">
        <v>2258</v>
      </c>
      <c r="C2177" s="288" t="s">
        <v>829</v>
      </c>
      <c r="D2177" s="288" t="s">
        <v>826</v>
      </c>
      <c r="E2177" s="289">
        <v>10</v>
      </c>
      <c r="F2177" s="290">
        <v>2</v>
      </c>
      <c r="G2177" s="289">
        <v>900</v>
      </c>
      <c r="H2177" s="289">
        <v>0</v>
      </c>
      <c r="I2177" s="289">
        <v>90</v>
      </c>
      <c r="J2177" s="289">
        <v>100</v>
      </c>
      <c r="K2177" s="289">
        <v>10</v>
      </c>
      <c r="L2177" s="289">
        <v>1100</v>
      </c>
    </row>
    <row r="2178" spans="1:12">
      <c r="A2178" s="288" t="s">
        <v>3018</v>
      </c>
      <c r="B2178" s="288" t="s">
        <v>2258</v>
      </c>
      <c r="C2178" s="288" t="s">
        <v>829</v>
      </c>
      <c r="D2178" s="288" t="s">
        <v>815</v>
      </c>
      <c r="E2178" s="289">
        <v>10</v>
      </c>
      <c r="F2178" s="290">
        <v>0</v>
      </c>
      <c r="G2178" s="289">
        <v>900</v>
      </c>
      <c r="H2178" s="289">
        <v>0</v>
      </c>
      <c r="I2178" s="289">
        <v>90</v>
      </c>
      <c r="J2178" s="289">
        <v>50</v>
      </c>
      <c r="K2178" s="289">
        <v>5</v>
      </c>
      <c r="L2178" s="289">
        <v>1045</v>
      </c>
    </row>
    <row r="2179" spans="1:12">
      <c r="A2179" s="288" t="s">
        <v>3019</v>
      </c>
      <c r="B2179" s="288" t="s">
        <v>2808</v>
      </c>
      <c r="C2179" s="288" t="s">
        <v>814</v>
      </c>
      <c r="D2179" s="288" t="s">
        <v>818</v>
      </c>
      <c r="E2179" s="289">
        <v>10</v>
      </c>
      <c r="F2179" s="290">
        <v>15</v>
      </c>
      <c r="G2179" s="289">
        <v>1100</v>
      </c>
      <c r="H2179" s="289">
        <v>550</v>
      </c>
      <c r="I2179" s="289">
        <v>165</v>
      </c>
      <c r="J2179" s="289">
        <v>70</v>
      </c>
      <c r="K2179" s="289">
        <v>7</v>
      </c>
      <c r="L2179" s="289">
        <v>1892</v>
      </c>
    </row>
    <row r="2180" spans="1:12">
      <c r="A2180" s="288" t="s">
        <v>3020</v>
      </c>
      <c r="B2180" s="288" t="s">
        <v>2808</v>
      </c>
      <c r="C2180" s="288" t="s">
        <v>820</v>
      </c>
      <c r="D2180" s="288" t="s">
        <v>818</v>
      </c>
      <c r="E2180" s="289">
        <v>10</v>
      </c>
      <c r="F2180" s="290">
        <v>1</v>
      </c>
      <c r="G2180" s="289">
        <v>900</v>
      </c>
      <c r="H2180" s="289">
        <v>0</v>
      </c>
      <c r="I2180" s="289">
        <v>90</v>
      </c>
      <c r="J2180" s="289">
        <v>70</v>
      </c>
      <c r="K2180" s="289">
        <v>7</v>
      </c>
      <c r="L2180" s="289">
        <v>1067</v>
      </c>
    </row>
    <row r="2181" spans="1:12">
      <c r="A2181" s="288" t="s">
        <v>3021</v>
      </c>
      <c r="B2181" s="288" t="s">
        <v>2808</v>
      </c>
      <c r="C2181" s="288" t="s">
        <v>814</v>
      </c>
      <c r="D2181" s="288" t="s">
        <v>818</v>
      </c>
      <c r="E2181" s="289">
        <v>10</v>
      </c>
      <c r="F2181" s="290">
        <v>6</v>
      </c>
      <c r="G2181" s="289">
        <v>1100</v>
      </c>
      <c r="H2181" s="289">
        <v>0</v>
      </c>
      <c r="I2181" s="289">
        <v>110</v>
      </c>
      <c r="J2181" s="289">
        <v>70</v>
      </c>
      <c r="K2181" s="289">
        <v>7</v>
      </c>
      <c r="L2181" s="289">
        <v>1287</v>
      </c>
    </row>
    <row r="2182" spans="1:12">
      <c r="A2182" s="288" t="s">
        <v>3022</v>
      </c>
      <c r="B2182" s="288" t="s">
        <v>2808</v>
      </c>
      <c r="C2182" s="288" t="s">
        <v>820</v>
      </c>
      <c r="D2182" s="288" t="s">
        <v>822</v>
      </c>
      <c r="E2182" s="289">
        <v>10</v>
      </c>
      <c r="F2182" s="290">
        <v>107</v>
      </c>
      <c r="G2182" s="289">
        <v>1100</v>
      </c>
      <c r="H2182" s="289">
        <v>10600</v>
      </c>
      <c r="I2182" s="289">
        <v>1170</v>
      </c>
      <c r="J2182" s="289">
        <v>200</v>
      </c>
      <c r="K2182" s="289">
        <v>20</v>
      </c>
      <c r="L2182" s="289">
        <v>13090</v>
      </c>
    </row>
    <row r="2183" spans="1:12">
      <c r="A2183" s="288" t="s">
        <v>3023</v>
      </c>
      <c r="B2183" s="288" t="s">
        <v>2808</v>
      </c>
      <c r="C2183" s="288" t="s">
        <v>814</v>
      </c>
      <c r="D2183" s="288" t="s">
        <v>818</v>
      </c>
      <c r="E2183" s="289">
        <v>10</v>
      </c>
      <c r="F2183" s="290">
        <v>48</v>
      </c>
      <c r="G2183" s="289">
        <v>1100</v>
      </c>
      <c r="H2183" s="289">
        <v>4180</v>
      </c>
      <c r="I2183" s="289">
        <v>528</v>
      </c>
      <c r="J2183" s="289">
        <v>70</v>
      </c>
      <c r="K2183" s="289">
        <v>7</v>
      </c>
      <c r="L2183" s="289">
        <v>5885</v>
      </c>
    </row>
    <row r="2184" spans="1:12">
      <c r="A2184" s="288" t="s">
        <v>3024</v>
      </c>
      <c r="B2184" s="288" t="s">
        <v>2808</v>
      </c>
      <c r="C2184" s="288" t="s">
        <v>814</v>
      </c>
      <c r="D2184" s="288" t="s">
        <v>818</v>
      </c>
      <c r="E2184" s="289">
        <v>10</v>
      </c>
      <c r="F2184" s="290">
        <v>19</v>
      </c>
      <c r="G2184" s="289">
        <v>1100</v>
      </c>
      <c r="H2184" s="289">
        <v>990</v>
      </c>
      <c r="I2184" s="289">
        <v>209</v>
      </c>
      <c r="J2184" s="289">
        <v>70</v>
      </c>
      <c r="K2184" s="289">
        <v>7</v>
      </c>
      <c r="L2184" s="289">
        <v>2376</v>
      </c>
    </row>
    <row r="2185" spans="1:12">
      <c r="A2185" s="288" t="s">
        <v>3025</v>
      </c>
      <c r="B2185" s="288" t="s">
        <v>2808</v>
      </c>
      <c r="C2185" s="288" t="s">
        <v>814</v>
      </c>
      <c r="D2185" s="288" t="s">
        <v>818</v>
      </c>
      <c r="E2185" s="289">
        <v>10</v>
      </c>
      <c r="F2185" s="290">
        <v>35</v>
      </c>
      <c r="G2185" s="289">
        <v>1100</v>
      </c>
      <c r="H2185" s="289">
        <v>2750</v>
      </c>
      <c r="I2185" s="289">
        <v>385</v>
      </c>
      <c r="J2185" s="289">
        <v>70</v>
      </c>
      <c r="K2185" s="289">
        <v>7</v>
      </c>
      <c r="L2185" s="289">
        <v>4312</v>
      </c>
    </row>
    <row r="2186" spans="1:12">
      <c r="A2186" s="288" t="s">
        <v>3026</v>
      </c>
      <c r="B2186" s="288" t="s">
        <v>2808</v>
      </c>
      <c r="C2186" s="288" t="s">
        <v>814</v>
      </c>
      <c r="D2186" s="288" t="s">
        <v>818</v>
      </c>
      <c r="E2186" s="289">
        <v>10</v>
      </c>
      <c r="F2186" s="290">
        <v>7</v>
      </c>
      <c r="G2186" s="289">
        <v>1100</v>
      </c>
      <c r="H2186" s="289">
        <v>0</v>
      </c>
      <c r="I2186" s="289">
        <v>110</v>
      </c>
      <c r="J2186" s="289">
        <v>70</v>
      </c>
      <c r="K2186" s="289">
        <v>7</v>
      </c>
      <c r="L2186" s="289">
        <v>1287</v>
      </c>
    </row>
    <row r="2187" spans="1:12">
      <c r="A2187" s="288" t="s">
        <v>3027</v>
      </c>
      <c r="B2187" s="288" t="s">
        <v>2808</v>
      </c>
      <c r="C2187" s="288" t="s">
        <v>814</v>
      </c>
      <c r="D2187" s="288" t="s">
        <v>818</v>
      </c>
      <c r="E2187" s="289">
        <v>10</v>
      </c>
      <c r="F2187" s="290">
        <v>22</v>
      </c>
      <c r="G2187" s="289">
        <v>1100</v>
      </c>
      <c r="H2187" s="289">
        <v>1320</v>
      </c>
      <c r="I2187" s="289">
        <v>242</v>
      </c>
      <c r="J2187" s="289">
        <v>70</v>
      </c>
      <c r="K2187" s="289">
        <v>7</v>
      </c>
      <c r="L2187" s="289">
        <v>2739</v>
      </c>
    </row>
    <row r="2188" spans="1:12">
      <c r="A2188" s="288" t="s">
        <v>3028</v>
      </c>
      <c r="B2188" s="288" t="s">
        <v>2808</v>
      </c>
      <c r="C2188" s="288" t="s">
        <v>829</v>
      </c>
      <c r="D2188" s="288" t="s">
        <v>818</v>
      </c>
      <c r="E2188" s="289">
        <v>10</v>
      </c>
      <c r="F2188" s="290">
        <v>0</v>
      </c>
      <c r="G2188" s="289">
        <v>900</v>
      </c>
      <c r="H2188" s="289">
        <v>0</v>
      </c>
      <c r="I2188" s="289">
        <v>90</v>
      </c>
      <c r="J2188" s="289">
        <v>70</v>
      </c>
      <c r="K2188" s="289">
        <v>7</v>
      </c>
      <c r="L2188" s="289">
        <v>1067</v>
      </c>
    </row>
    <row r="2189" spans="1:12">
      <c r="A2189" s="288" t="s">
        <v>3029</v>
      </c>
      <c r="B2189" s="288" t="s">
        <v>2808</v>
      </c>
      <c r="C2189" s="288" t="s">
        <v>814</v>
      </c>
      <c r="D2189" s="288" t="s">
        <v>818</v>
      </c>
      <c r="E2189" s="289">
        <v>10</v>
      </c>
      <c r="F2189" s="290">
        <v>13</v>
      </c>
      <c r="G2189" s="289">
        <v>1100</v>
      </c>
      <c r="H2189" s="289">
        <v>330</v>
      </c>
      <c r="I2189" s="289">
        <v>143</v>
      </c>
      <c r="J2189" s="289">
        <v>70</v>
      </c>
      <c r="K2189" s="289">
        <v>7</v>
      </c>
      <c r="L2189" s="289">
        <v>1650</v>
      </c>
    </row>
    <row r="2190" spans="1:12">
      <c r="A2190" s="288" t="s">
        <v>3030</v>
      </c>
      <c r="B2190" s="288" t="s">
        <v>2808</v>
      </c>
      <c r="C2190" s="288" t="s">
        <v>814</v>
      </c>
      <c r="D2190" s="288" t="s">
        <v>818</v>
      </c>
      <c r="E2190" s="289">
        <v>10</v>
      </c>
      <c r="F2190" s="290">
        <v>1</v>
      </c>
      <c r="G2190" s="289">
        <v>900</v>
      </c>
      <c r="H2190" s="289">
        <v>0</v>
      </c>
      <c r="I2190" s="289">
        <v>90</v>
      </c>
      <c r="J2190" s="289">
        <v>70</v>
      </c>
      <c r="K2190" s="289">
        <v>7</v>
      </c>
      <c r="L2190" s="289">
        <v>1067</v>
      </c>
    </row>
    <row r="2191" spans="1:12">
      <c r="A2191" s="288" t="s">
        <v>3031</v>
      </c>
      <c r="B2191" s="288" t="s">
        <v>2808</v>
      </c>
      <c r="C2191" s="288" t="s">
        <v>814</v>
      </c>
      <c r="D2191" s="288" t="s">
        <v>818</v>
      </c>
      <c r="E2191" s="289">
        <v>10</v>
      </c>
      <c r="F2191" s="290">
        <v>0</v>
      </c>
      <c r="G2191" s="289">
        <v>900</v>
      </c>
      <c r="H2191" s="289">
        <v>0</v>
      </c>
      <c r="I2191" s="289">
        <v>90</v>
      </c>
      <c r="J2191" s="289">
        <v>70</v>
      </c>
      <c r="K2191" s="289">
        <v>7</v>
      </c>
      <c r="L2191" s="289">
        <v>1067</v>
      </c>
    </row>
    <row r="2192" spans="1:12">
      <c r="A2192" s="288" t="s">
        <v>3032</v>
      </c>
      <c r="B2192" s="288" t="s">
        <v>2808</v>
      </c>
      <c r="C2192" s="288" t="s">
        <v>814</v>
      </c>
      <c r="D2192" s="288" t="s">
        <v>818</v>
      </c>
      <c r="E2192" s="289">
        <v>10</v>
      </c>
      <c r="F2192" s="290">
        <v>7</v>
      </c>
      <c r="G2192" s="289">
        <v>1100</v>
      </c>
      <c r="H2192" s="289">
        <v>0</v>
      </c>
      <c r="I2192" s="289">
        <v>110</v>
      </c>
      <c r="J2192" s="289">
        <v>70</v>
      </c>
      <c r="K2192" s="289">
        <v>7</v>
      </c>
      <c r="L2192" s="289">
        <v>1287</v>
      </c>
    </row>
    <row r="2193" spans="1:12">
      <c r="A2193" s="288" t="s">
        <v>3033</v>
      </c>
      <c r="B2193" s="288" t="s">
        <v>2808</v>
      </c>
      <c r="C2193" s="288" t="s">
        <v>814</v>
      </c>
      <c r="D2193" s="288" t="s">
        <v>818</v>
      </c>
      <c r="E2193" s="289">
        <v>10</v>
      </c>
      <c r="F2193" s="290">
        <v>2</v>
      </c>
      <c r="G2193" s="289">
        <v>900</v>
      </c>
      <c r="H2193" s="289">
        <v>0</v>
      </c>
      <c r="I2193" s="289">
        <v>90</v>
      </c>
      <c r="J2193" s="289">
        <v>70</v>
      </c>
      <c r="K2193" s="289">
        <v>7</v>
      </c>
      <c r="L2193" s="289">
        <v>1067</v>
      </c>
    </row>
    <row r="2194" spans="1:12">
      <c r="A2194" s="288" t="s">
        <v>3034</v>
      </c>
      <c r="B2194" s="288" t="s">
        <v>2808</v>
      </c>
      <c r="C2194" s="288" t="s">
        <v>814</v>
      </c>
      <c r="D2194" s="288" t="s">
        <v>818</v>
      </c>
      <c r="E2194" s="289">
        <v>10</v>
      </c>
      <c r="F2194" s="290">
        <v>3</v>
      </c>
      <c r="G2194" s="289">
        <v>900</v>
      </c>
      <c r="H2194" s="289">
        <v>0</v>
      </c>
      <c r="I2194" s="289">
        <v>90</v>
      </c>
      <c r="J2194" s="289">
        <v>70</v>
      </c>
      <c r="K2194" s="289">
        <v>7</v>
      </c>
      <c r="L2194" s="289">
        <v>1067</v>
      </c>
    </row>
    <row r="2195" spans="1:12">
      <c r="A2195" s="288" t="s">
        <v>3035</v>
      </c>
      <c r="B2195" s="288" t="s">
        <v>2808</v>
      </c>
      <c r="C2195" s="288" t="s">
        <v>820</v>
      </c>
      <c r="D2195" s="288" t="s">
        <v>818</v>
      </c>
      <c r="E2195" s="289">
        <v>10</v>
      </c>
      <c r="F2195" s="290">
        <v>1</v>
      </c>
      <c r="G2195" s="289">
        <v>900</v>
      </c>
      <c r="H2195" s="289">
        <v>0</v>
      </c>
      <c r="I2195" s="289">
        <v>90</v>
      </c>
      <c r="J2195" s="289">
        <v>70</v>
      </c>
      <c r="K2195" s="289">
        <v>7</v>
      </c>
      <c r="L2195" s="289">
        <v>1067</v>
      </c>
    </row>
    <row r="2196" spans="1:12">
      <c r="A2196" s="288" t="s">
        <v>3036</v>
      </c>
      <c r="B2196" s="288" t="s">
        <v>2808</v>
      </c>
      <c r="C2196" s="288" t="s">
        <v>814</v>
      </c>
      <c r="D2196" s="288" t="s">
        <v>818</v>
      </c>
      <c r="E2196" s="289">
        <v>10</v>
      </c>
      <c r="F2196" s="290">
        <v>0</v>
      </c>
      <c r="G2196" s="289">
        <v>900</v>
      </c>
      <c r="H2196" s="289">
        <v>0</v>
      </c>
      <c r="I2196" s="289">
        <v>90</v>
      </c>
      <c r="J2196" s="289">
        <v>70</v>
      </c>
      <c r="K2196" s="289">
        <v>7</v>
      </c>
      <c r="L2196" s="289">
        <v>1067</v>
      </c>
    </row>
    <row r="2197" spans="1:12">
      <c r="A2197" s="288" t="s">
        <v>3037</v>
      </c>
      <c r="B2197" s="288" t="s">
        <v>2808</v>
      </c>
      <c r="C2197" s="288" t="s">
        <v>814</v>
      </c>
      <c r="D2197" s="288" t="s">
        <v>818</v>
      </c>
      <c r="E2197" s="289">
        <v>10</v>
      </c>
      <c r="F2197" s="290">
        <v>26</v>
      </c>
      <c r="G2197" s="289">
        <v>1100</v>
      </c>
      <c r="H2197" s="289">
        <v>1760</v>
      </c>
      <c r="I2197" s="289">
        <v>286</v>
      </c>
      <c r="J2197" s="289">
        <v>70</v>
      </c>
      <c r="K2197" s="289">
        <v>7</v>
      </c>
      <c r="L2197" s="289">
        <v>3223</v>
      </c>
    </row>
    <row r="2198" spans="1:12">
      <c r="A2198" s="288" t="s">
        <v>3038</v>
      </c>
      <c r="B2198" s="288" t="s">
        <v>2808</v>
      </c>
      <c r="C2198" s="288" t="s">
        <v>814</v>
      </c>
      <c r="D2198" s="288" t="s">
        <v>818</v>
      </c>
      <c r="E2198" s="289">
        <v>10</v>
      </c>
      <c r="F2198" s="290">
        <v>14</v>
      </c>
      <c r="G2198" s="289">
        <v>1100</v>
      </c>
      <c r="H2198" s="289">
        <v>440</v>
      </c>
      <c r="I2198" s="289">
        <v>154</v>
      </c>
      <c r="J2198" s="289">
        <v>70</v>
      </c>
      <c r="K2198" s="289">
        <v>7</v>
      </c>
      <c r="L2198" s="289">
        <v>1771</v>
      </c>
    </row>
    <row r="2199" spans="1:12">
      <c r="A2199" s="288" t="s">
        <v>3039</v>
      </c>
      <c r="B2199" s="288" t="s">
        <v>2808</v>
      </c>
      <c r="C2199" s="288" t="s">
        <v>814</v>
      </c>
      <c r="D2199" s="288" t="s">
        <v>818</v>
      </c>
      <c r="E2199" s="289">
        <v>10</v>
      </c>
      <c r="F2199" s="290">
        <v>28</v>
      </c>
      <c r="G2199" s="289">
        <v>1100</v>
      </c>
      <c r="H2199" s="289">
        <v>1980</v>
      </c>
      <c r="I2199" s="289">
        <v>308</v>
      </c>
      <c r="J2199" s="289">
        <v>70</v>
      </c>
      <c r="K2199" s="289">
        <v>7</v>
      </c>
      <c r="L2199" s="289">
        <v>3465</v>
      </c>
    </row>
    <row r="2200" spans="1:12">
      <c r="A2200" s="288" t="s">
        <v>3040</v>
      </c>
      <c r="B2200" s="288" t="s">
        <v>2808</v>
      </c>
      <c r="C2200" s="288" t="s">
        <v>814</v>
      </c>
      <c r="D2200" s="288" t="s">
        <v>818</v>
      </c>
      <c r="E2200" s="289">
        <v>10</v>
      </c>
      <c r="F2200" s="290">
        <v>23</v>
      </c>
      <c r="G2200" s="289">
        <v>1100</v>
      </c>
      <c r="H2200" s="289">
        <v>1430</v>
      </c>
      <c r="I2200" s="289">
        <v>253</v>
      </c>
      <c r="J2200" s="289">
        <v>70</v>
      </c>
      <c r="K2200" s="289">
        <v>7</v>
      </c>
      <c r="L2200" s="289">
        <v>2860</v>
      </c>
    </row>
    <row r="2201" spans="1:12">
      <c r="A2201" s="288" t="s">
        <v>3041</v>
      </c>
      <c r="B2201" s="288" t="s">
        <v>2808</v>
      </c>
      <c r="C2201" s="288" t="s">
        <v>814</v>
      </c>
      <c r="D2201" s="288" t="s">
        <v>818</v>
      </c>
      <c r="E2201" s="289">
        <v>10</v>
      </c>
      <c r="F2201" s="290">
        <v>10</v>
      </c>
      <c r="G2201" s="289">
        <v>1100</v>
      </c>
      <c r="H2201" s="289">
        <v>0</v>
      </c>
      <c r="I2201" s="289">
        <v>110</v>
      </c>
      <c r="J2201" s="289">
        <v>70</v>
      </c>
      <c r="K2201" s="289">
        <v>7</v>
      </c>
      <c r="L2201" s="289">
        <v>1287</v>
      </c>
    </row>
    <row r="2202" spans="1:12">
      <c r="A2202" s="288" t="s">
        <v>3042</v>
      </c>
      <c r="B2202" s="288" t="s">
        <v>2808</v>
      </c>
      <c r="C2202" s="288" t="s">
        <v>814</v>
      </c>
      <c r="D2202" s="288" t="s">
        <v>818</v>
      </c>
      <c r="E2202" s="289">
        <v>10</v>
      </c>
      <c r="F2202" s="290">
        <v>19</v>
      </c>
      <c r="G2202" s="289">
        <v>1100</v>
      </c>
      <c r="H2202" s="289">
        <v>990</v>
      </c>
      <c r="I2202" s="289">
        <v>209</v>
      </c>
      <c r="J2202" s="289">
        <v>70</v>
      </c>
      <c r="K2202" s="289">
        <v>7</v>
      </c>
      <c r="L2202" s="289">
        <v>2376</v>
      </c>
    </row>
    <row r="2203" spans="1:12">
      <c r="A2203" s="288" t="s">
        <v>3043</v>
      </c>
      <c r="B2203" s="288" t="s">
        <v>2808</v>
      </c>
      <c r="C2203" s="288" t="s">
        <v>814</v>
      </c>
      <c r="D2203" s="288" t="s">
        <v>818</v>
      </c>
      <c r="E2203" s="289">
        <v>10</v>
      </c>
      <c r="F2203" s="290">
        <v>43</v>
      </c>
      <c r="G2203" s="289">
        <v>1100</v>
      </c>
      <c r="H2203" s="289">
        <v>3630</v>
      </c>
      <c r="I2203" s="289">
        <v>473</v>
      </c>
      <c r="J2203" s="289">
        <v>70</v>
      </c>
      <c r="K2203" s="289">
        <v>7</v>
      </c>
      <c r="L2203" s="289">
        <v>5280</v>
      </c>
    </row>
    <row r="2204" spans="1:12">
      <c r="A2204" s="288" t="s">
        <v>3044</v>
      </c>
      <c r="B2204" s="288" t="s">
        <v>2808</v>
      </c>
      <c r="C2204" s="288" t="s">
        <v>814</v>
      </c>
      <c r="D2204" s="288" t="s">
        <v>818</v>
      </c>
      <c r="E2204" s="289">
        <v>10</v>
      </c>
      <c r="F2204" s="290">
        <v>9</v>
      </c>
      <c r="G2204" s="289">
        <v>1100</v>
      </c>
      <c r="H2204" s="289">
        <v>0</v>
      </c>
      <c r="I2204" s="289">
        <v>110</v>
      </c>
      <c r="J2204" s="289">
        <v>70</v>
      </c>
      <c r="K2204" s="289">
        <v>7</v>
      </c>
      <c r="L2204" s="289">
        <v>1287</v>
      </c>
    </row>
    <row r="2205" spans="1:12">
      <c r="A2205" s="288" t="s">
        <v>3045</v>
      </c>
      <c r="B2205" s="288" t="s">
        <v>2808</v>
      </c>
      <c r="C2205" s="288" t="s">
        <v>814</v>
      </c>
      <c r="D2205" s="288" t="s">
        <v>822</v>
      </c>
      <c r="E2205" s="289">
        <v>10</v>
      </c>
      <c r="F2205" s="290">
        <v>25</v>
      </c>
      <c r="G2205" s="289">
        <v>1100</v>
      </c>
      <c r="H2205" s="289">
        <v>1650</v>
      </c>
      <c r="I2205" s="289">
        <v>275</v>
      </c>
      <c r="J2205" s="289">
        <v>200</v>
      </c>
      <c r="K2205" s="289">
        <v>20</v>
      </c>
      <c r="L2205" s="289">
        <v>3245</v>
      </c>
    </row>
    <row r="2206" spans="1:12">
      <c r="A2206" s="288" t="s">
        <v>3046</v>
      </c>
      <c r="B2206" s="288" t="s">
        <v>2808</v>
      </c>
      <c r="C2206" s="288" t="s">
        <v>814</v>
      </c>
      <c r="D2206" s="288" t="s">
        <v>818</v>
      </c>
      <c r="E2206" s="289">
        <v>10</v>
      </c>
      <c r="F2206" s="290">
        <v>6</v>
      </c>
      <c r="G2206" s="289">
        <v>1100</v>
      </c>
      <c r="H2206" s="289">
        <v>0</v>
      </c>
      <c r="I2206" s="289">
        <v>110</v>
      </c>
      <c r="J2206" s="289">
        <v>70</v>
      </c>
      <c r="K2206" s="289">
        <v>7</v>
      </c>
      <c r="L2206" s="289">
        <v>1287</v>
      </c>
    </row>
    <row r="2207" spans="1:12">
      <c r="A2207" s="288" t="s">
        <v>3047</v>
      </c>
      <c r="B2207" s="288" t="s">
        <v>2808</v>
      </c>
      <c r="C2207" s="288" t="s">
        <v>814</v>
      </c>
      <c r="D2207" s="288" t="s">
        <v>818</v>
      </c>
      <c r="E2207" s="289">
        <v>10</v>
      </c>
      <c r="F2207" s="290">
        <v>0</v>
      </c>
      <c r="G2207" s="289">
        <v>900</v>
      </c>
      <c r="H2207" s="289">
        <v>0</v>
      </c>
      <c r="I2207" s="289">
        <v>90</v>
      </c>
      <c r="J2207" s="289">
        <v>70</v>
      </c>
      <c r="K2207" s="289">
        <v>7</v>
      </c>
      <c r="L2207" s="289">
        <v>1067</v>
      </c>
    </row>
    <row r="2208" spans="1:12">
      <c r="A2208" s="288" t="s">
        <v>3048</v>
      </c>
      <c r="B2208" s="288" t="s">
        <v>2808</v>
      </c>
      <c r="C2208" s="288" t="s">
        <v>814</v>
      </c>
      <c r="D2208" s="288" t="s">
        <v>818</v>
      </c>
      <c r="E2208" s="289">
        <v>10</v>
      </c>
      <c r="F2208" s="290">
        <v>18</v>
      </c>
      <c r="G2208" s="289">
        <v>1100</v>
      </c>
      <c r="H2208" s="289">
        <v>880</v>
      </c>
      <c r="I2208" s="289">
        <v>198</v>
      </c>
      <c r="J2208" s="289">
        <v>70</v>
      </c>
      <c r="K2208" s="289">
        <v>7</v>
      </c>
      <c r="L2208" s="289">
        <v>2255</v>
      </c>
    </row>
    <row r="2209" spans="1:12">
      <c r="A2209" s="288" t="s">
        <v>3049</v>
      </c>
      <c r="B2209" s="288" t="s">
        <v>2808</v>
      </c>
      <c r="C2209" s="288" t="s">
        <v>829</v>
      </c>
      <c r="D2209" s="288" t="s">
        <v>815</v>
      </c>
      <c r="E2209" s="289">
        <v>10</v>
      </c>
      <c r="F2209" s="290">
        <v>0</v>
      </c>
      <c r="G2209" s="289">
        <v>900</v>
      </c>
      <c r="H2209" s="289">
        <v>0</v>
      </c>
      <c r="I2209" s="289">
        <v>90</v>
      </c>
      <c r="J2209" s="289">
        <v>50</v>
      </c>
      <c r="K2209" s="289">
        <v>5</v>
      </c>
      <c r="L2209" s="289">
        <v>1045</v>
      </c>
    </row>
    <row r="2210" spans="1:12">
      <c r="A2210" s="288" t="s">
        <v>3050</v>
      </c>
      <c r="B2210" s="288" t="s">
        <v>2808</v>
      </c>
      <c r="C2210" s="288" t="s">
        <v>829</v>
      </c>
      <c r="D2210" s="288" t="s">
        <v>818</v>
      </c>
      <c r="E2210" s="289">
        <v>10</v>
      </c>
      <c r="F2210" s="290">
        <v>0</v>
      </c>
      <c r="G2210" s="289">
        <v>900</v>
      </c>
      <c r="H2210" s="289">
        <v>0</v>
      </c>
      <c r="I2210" s="289">
        <v>90</v>
      </c>
      <c r="J2210" s="289">
        <v>70</v>
      </c>
      <c r="K2210" s="289">
        <v>7</v>
      </c>
      <c r="L2210" s="289">
        <v>1067</v>
      </c>
    </row>
    <row r="2211" spans="1:12">
      <c r="A2211" s="288" t="s">
        <v>3051</v>
      </c>
      <c r="B2211" s="288" t="s">
        <v>2808</v>
      </c>
      <c r="C2211" s="288" t="s">
        <v>814</v>
      </c>
      <c r="D2211" s="288" t="s">
        <v>818</v>
      </c>
      <c r="E2211" s="289">
        <v>10</v>
      </c>
      <c r="F2211" s="290">
        <v>5</v>
      </c>
      <c r="G2211" s="289">
        <v>900</v>
      </c>
      <c r="H2211" s="289">
        <v>0</v>
      </c>
      <c r="I2211" s="289">
        <v>90</v>
      </c>
      <c r="J2211" s="289">
        <v>70</v>
      </c>
      <c r="K2211" s="289">
        <v>7</v>
      </c>
      <c r="L2211" s="289">
        <v>1067</v>
      </c>
    </row>
    <row r="2212" spans="1:12">
      <c r="A2212" s="288" t="s">
        <v>3052</v>
      </c>
      <c r="B2212" s="288" t="s">
        <v>2808</v>
      </c>
      <c r="C2212" s="288" t="s">
        <v>814</v>
      </c>
      <c r="D2212" s="288" t="s">
        <v>818</v>
      </c>
      <c r="E2212" s="289">
        <v>10</v>
      </c>
      <c r="F2212" s="290">
        <v>6</v>
      </c>
      <c r="G2212" s="289">
        <v>1100</v>
      </c>
      <c r="H2212" s="289">
        <v>0</v>
      </c>
      <c r="I2212" s="289">
        <v>110</v>
      </c>
      <c r="J2212" s="289">
        <v>70</v>
      </c>
      <c r="K2212" s="289">
        <v>7</v>
      </c>
      <c r="L2212" s="289">
        <v>1287</v>
      </c>
    </row>
    <row r="2213" spans="1:12">
      <c r="A2213" s="288" t="s">
        <v>3053</v>
      </c>
      <c r="B2213" s="288" t="s">
        <v>2808</v>
      </c>
      <c r="C2213" s="288" t="s">
        <v>814</v>
      </c>
      <c r="D2213" s="288" t="s">
        <v>818</v>
      </c>
      <c r="E2213" s="289">
        <v>10</v>
      </c>
      <c r="F2213" s="290">
        <v>0</v>
      </c>
      <c r="G2213" s="289">
        <v>900</v>
      </c>
      <c r="H2213" s="289">
        <v>0</v>
      </c>
      <c r="I2213" s="289">
        <v>90</v>
      </c>
      <c r="J2213" s="289">
        <v>70</v>
      </c>
      <c r="K2213" s="289">
        <v>7</v>
      </c>
      <c r="L2213" s="289">
        <v>1067</v>
      </c>
    </row>
    <row r="2214" spans="1:12">
      <c r="A2214" s="288" t="s">
        <v>3054</v>
      </c>
      <c r="B2214" s="288" t="s">
        <v>2808</v>
      </c>
      <c r="C2214" s="288" t="s">
        <v>814</v>
      </c>
      <c r="D2214" s="288" t="s">
        <v>818</v>
      </c>
      <c r="E2214" s="289">
        <v>10</v>
      </c>
      <c r="F2214" s="290">
        <v>4</v>
      </c>
      <c r="G2214" s="289">
        <v>900</v>
      </c>
      <c r="H2214" s="289">
        <v>0</v>
      </c>
      <c r="I2214" s="289">
        <v>90</v>
      </c>
      <c r="J2214" s="289">
        <v>70</v>
      </c>
      <c r="K2214" s="289">
        <v>7</v>
      </c>
      <c r="L2214" s="289">
        <v>1067</v>
      </c>
    </row>
    <row r="2215" spans="1:12">
      <c r="A2215" s="288" t="s">
        <v>3055</v>
      </c>
      <c r="B2215" s="288" t="s">
        <v>2808</v>
      </c>
      <c r="C2215" s="288" t="s">
        <v>814</v>
      </c>
      <c r="D2215" s="288" t="s">
        <v>818</v>
      </c>
      <c r="E2215" s="289">
        <v>10</v>
      </c>
      <c r="F2215" s="290">
        <v>6</v>
      </c>
      <c r="G2215" s="289">
        <v>1100</v>
      </c>
      <c r="H2215" s="289">
        <v>0</v>
      </c>
      <c r="I2215" s="289">
        <v>110</v>
      </c>
      <c r="J2215" s="289">
        <v>70</v>
      </c>
      <c r="K2215" s="289">
        <v>7</v>
      </c>
      <c r="L2215" s="289">
        <v>1287</v>
      </c>
    </row>
    <row r="2216" spans="1:12">
      <c r="A2216" s="288" t="s">
        <v>3056</v>
      </c>
      <c r="B2216" s="288" t="s">
        <v>2808</v>
      </c>
      <c r="C2216" s="288" t="s">
        <v>814</v>
      </c>
      <c r="D2216" s="288" t="s">
        <v>818</v>
      </c>
      <c r="E2216" s="289">
        <v>10</v>
      </c>
      <c r="F2216" s="290">
        <v>2</v>
      </c>
      <c r="G2216" s="289">
        <v>900</v>
      </c>
      <c r="H2216" s="289">
        <v>0</v>
      </c>
      <c r="I2216" s="289">
        <v>90</v>
      </c>
      <c r="J2216" s="289">
        <v>70</v>
      </c>
      <c r="K2216" s="289">
        <v>7</v>
      </c>
      <c r="L2216" s="289">
        <v>1067</v>
      </c>
    </row>
    <row r="2217" spans="1:12">
      <c r="A2217" s="288" t="s">
        <v>3057</v>
      </c>
      <c r="B2217" s="288" t="s">
        <v>2808</v>
      </c>
      <c r="C2217" s="288" t="s">
        <v>814</v>
      </c>
      <c r="D2217" s="288" t="s">
        <v>818</v>
      </c>
      <c r="E2217" s="289">
        <v>10</v>
      </c>
      <c r="F2217" s="290">
        <v>3</v>
      </c>
      <c r="G2217" s="289">
        <v>900</v>
      </c>
      <c r="H2217" s="289">
        <v>0</v>
      </c>
      <c r="I2217" s="289">
        <v>90</v>
      </c>
      <c r="J2217" s="289">
        <v>70</v>
      </c>
      <c r="K2217" s="289">
        <v>7</v>
      </c>
      <c r="L2217" s="289">
        <v>1067</v>
      </c>
    </row>
    <row r="2218" spans="1:12">
      <c r="A2218" s="288" t="s">
        <v>3058</v>
      </c>
      <c r="B2218" s="288" t="s">
        <v>2808</v>
      </c>
      <c r="C2218" s="288" t="s">
        <v>814</v>
      </c>
      <c r="D2218" s="288" t="s">
        <v>818</v>
      </c>
      <c r="E2218" s="289">
        <v>10</v>
      </c>
      <c r="F2218" s="290">
        <v>21</v>
      </c>
      <c r="G2218" s="289">
        <v>1100</v>
      </c>
      <c r="H2218" s="289">
        <v>1210</v>
      </c>
      <c r="I2218" s="289">
        <v>231</v>
      </c>
      <c r="J2218" s="289">
        <v>70</v>
      </c>
      <c r="K2218" s="289">
        <v>7</v>
      </c>
      <c r="L2218" s="289">
        <v>2618</v>
      </c>
    </row>
    <row r="2219" spans="1:12">
      <c r="A2219" s="288" t="s">
        <v>3059</v>
      </c>
      <c r="B2219" s="288" t="s">
        <v>2808</v>
      </c>
      <c r="C2219" s="288" t="s">
        <v>814</v>
      </c>
      <c r="D2219" s="288" t="s">
        <v>818</v>
      </c>
      <c r="E2219" s="289">
        <v>10</v>
      </c>
      <c r="F2219" s="290">
        <v>13</v>
      </c>
      <c r="G2219" s="289">
        <v>1100</v>
      </c>
      <c r="H2219" s="289">
        <v>330</v>
      </c>
      <c r="I2219" s="289">
        <v>143</v>
      </c>
      <c r="J2219" s="289">
        <v>70</v>
      </c>
      <c r="K2219" s="289">
        <v>7</v>
      </c>
      <c r="L2219" s="289">
        <v>1650</v>
      </c>
    </row>
    <row r="2220" spans="1:12">
      <c r="A2220" s="288" t="s">
        <v>3060</v>
      </c>
      <c r="B2220" s="288" t="s">
        <v>2808</v>
      </c>
      <c r="C2220" s="288" t="s">
        <v>814</v>
      </c>
      <c r="D2220" s="288" t="s">
        <v>818</v>
      </c>
      <c r="E2220" s="289">
        <v>10</v>
      </c>
      <c r="F2220" s="290">
        <v>28</v>
      </c>
      <c r="G2220" s="289">
        <v>1100</v>
      </c>
      <c r="H2220" s="289">
        <v>1980</v>
      </c>
      <c r="I2220" s="289">
        <v>308</v>
      </c>
      <c r="J2220" s="289">
        <v>70</v>
      </c>
      <c r="K2220" s="289">
        <v>7</v>
      </c>
      <c r="L2220" s="289">
        <v>3465</v>
      </c>
    </row>
    <row r="2221" spans="1:12">
      <c r="A2221" s="288" t="s">
        <v>3061</v>
      </c>
      <c r="B2221" s="288" t="s">
        <v>2808</v>
      </c>
      <c r="C2221" s="288" t="s">
        <v>814</v>
      </c>
      <c r="D2221" s="288" t="s">
        <v>818</v>
      </c>
      <c r="E2221" s="289">
        <v>10</v>
      </c>
      <c r="F2221" s="290">
        <v>11</v>
      </c>
      <c r="G2221" s="289">
        <v>1100</v>
      </c>
      <c r="H2221" s="289">
        <v>110</v>
      </c>
      <c r="I2221" s="289">
        <v>121</v>
      </c>
      <c r="J2221" s="289">
        <v>70</v>
      </c>
      <c r="K2221" s="289">
        <v>7</v>
      </c>
      <c r="L2221" s="289">
        <v>1408</v>
      </c>
    </row>
    <row r="2222" spans="1:12">
      <c r="A2222" s="288" t="s">
        <v>3062</v>
      </c>
      <c r="B2222" s="288" t="s">
        <v>2808</v>
      </c>
      <c r="C2222" s="288" t="s">
        <v>814</v>
      </c>
      <c r="D2222" s="288" t="s">
        <v>818</v>
      </c>
      <c r="E2222" s="289">
        <v>10</v>
      </c>
      <c r="F2222" s="290">
        <v>14</v>
      </c>
      <c r="G2222" s="289">
        <v>1100</v>
      </c>
      <c r="H2222" s="289">
        <v>440</v>
      </c>
      <c r="I2222" s="289">
        <v>154</v>
      </c>
      <c r="J2222" s="289">
        <v>70</v>
      </c>
      <c r="K2222" s="289">
        <v>7</v>
      </c>
      <c r="L2222" s="289">
        <v>1771</v>
      </c>
    </row>
    <row r="2223" spans="1:12">
      <c r="A2223" s="288" t="s">
        <v>3063</v>
      </c>
      <c r="B2223" s="288" t="s">
        <v>2808</v>
      </c>
      <c r="C2223" s="288" t="s">
        <v>814</v>
      </c>
      <c r="D2223" s="288" t="s">
        <v>818</v>
      </c>
      <c r="E2223" s="289">
        <v>10</v>
      </c>
      <c r="F2223" s="290">
        <v>14</v>
      </c>
      <c r="G2223" s="289">
        <v>1100</v>
      </c>
      <c r="H2223" s="289">
        <v>440</v>
      </c>
      <c r="I2223" s="289">
        <v>154</v>
      </c>
      <c r="J2223" s="289">
        <v>70</v>
      </c>
      <c r="K2223" s="289">
        <v>7</v>
      </c>
      <c r="L2223" s="289">
        <v>1771</v>
      </c>
    </row>
    <row r="2224" spans="1:12">
      <c r="A2224" s="288" t="s">
        <v>3064</v>
      </c>
      <c r="B2224" s="288" t="s">
        <v>2808</v>
      </c>
      <c r="C2224" s="288" t="s">
        <v>814</v>
      </c>
      <c r="D2224" s="288" t="s">
        <v>818</v>
      </c>
      <c r="E2224" s="289">
        <v>10</v>
      </c>
      <c r="F2224" s="290">
        <v>7</v>
      </c>
      <c r="G2224" s="289">
        <v>1100</v>
      </c>
      <c r="H2224" s="289">
        <v>0</v>
      </c>
      <c r="I2224" s="289">
        <v>110</v>
      </c>
      <c r="J2224" s="289">
        <v>70</v>
      </c>
      <c r="K2224" s="289">
        <v>7</v>
      </c>
      <c r="L2224" s="289">
        <v>1287</v>
      </c>
    </row>
    <row r="2225" spans="1:12">
      <c r="A2225" s="288" t="s">
        <v>3065</v>
      </c>
      <c r="B2225" s="288" t="s">
        <v>2808</v>
      </c>
      <c r="C2225" s="288" t="s">
        <v>814</v>
      </c>
      <c r="D2225" s="288" t="s">
        <v>818</v>
      </c>
      <c r="E2225" s="289">
        <v>10</v>
      </c>
      <c r="F2225" s="290">
        <v>17</v>
      </c>
      <c r="G2225" s="289">
        <v>1100</v>
      </c>
      <c r="H2225" s="289">
        <v>770</v>
      </c>
      <c r="I2225" s="289">
        <v>187</v>
      </c>
      <c r="J2225" s="289">
        <v>70</v>
      </c>
      <c r="K2225" s="289">
        <v>7</v>
      </c>
      <c r="L2225" s="289">
        <v>2134</v>
      </c>
    </row>
    <row r="2226" spans="1:12">
      <c r="A2226" s="288" t="s">
        <v>3066</v>
      </c>
      <c r="B2226" s="288" t="s">
        <v>2808</v>
      </c>
      <c r="C2226" s="288" t="s">
        <v>814</v>
      </c>
      <c r="D2226" s="288" t="s">
        <v>818</v>
      </c>
      <c r="E2226" s="289">
        <v>10</v>
      </c>
      <c r="F2226" s="290">
        <v>20</v>
      </c>
      <c r="G2226" s="289">
        <v>1100</v>
      </c>
      <c r="H2226" s="289">
        <v>1100</v>
      </c>
      <c r="I2226" s="289">
        <v>220</v>
      </c>
      <c r="J2226" s="289">
        <v>70</v>
      </c>
      <c r="K2226" s="289">
        <v>7</v>
      </c>
      <c r="L2226" s="289">
        <v>2497</v>
      </c>
    </row>
    <row r="2227" spans="1:12">
      <c r="A2227" s="288" t="s">
        <v>3067</v>
      </c>
      <c r="B2227" s="288" t="s">
        <v>2808</v>
      </c>
      <c r="C2227" s="288" t="s">
        <v>814</v>
      </c>
      <c r="D2227" s="288" t="s">
        <v>818</v>
      </c>
      <c r="E2227" s="289">
        <v>10</v>
      </c>
      <c r="F2227" s="290">
        <v>7</v>
      </c>
      <c r="G2227" s="289">
        <v>1100</v>
      </c>
      <c r="H2227" s="289">
        <v>0</v>
      </c>
      <c r="I2227" s="289">
        <v>110</v>
      </c>
      <c r="J2227" s="289">
        <v>70</v>
      </c>
      <c r="K2227" s="289">
        <v>7</v>
      </c>
      <c r="L2227" s="289">
        <v>1287</v>
      </c>
    </row>
    <row r="2228" spans="1:12">
      <c r="A2228" s="288" t="s">
        <v>3068</v>
      </c>
      <c r="B2228" s="288" t="s">
        <v>2808</v>
      </c>
      <c r="C2228" s="288" t="s">
        <v>814</v>
      </c>
      <c r="D2228" s="288" t="s">
        <v>818</v>
      </c>
      <c r="E2228" s="289">
        <v>10</v>
      </c>
      <c r="F2228" s="290">
        <v>7</v>
      </c>
      <c r="G2228" s="289">
        <v>1100</v>
      </c>
      <c r="H2228" s="289">
        <v>0</v>
      </c>
      <c r="I2228" s="289">
        <v>110</v>
      </c>
      <c r="J2228" s="289">
        <v>70</v>
      </c>
      <c r="K2228" s="289">
        <v>7</v>
      </c>
      <c r="L2228" s="289">
        <v>1287</v>
      </c>
    </row>
    <row r="2229" spans="1:12">
      <c r="A2229" s="288" t="s">
        <v>3069</v>
      </c>
      <c r="B2229" s="288" t="s">
        <v>2808</v>
      </c>
      <c r="C2229" s="288" t="s">
        <v>814</v>
      </c>
      <c r="D2229" s="288" t="s">
        <v>818</v>
      </c>
      <c r="E2229" s="289">
        <v>10</v>
      </c>
      <c r="F2229" s="290">
        <v>9</v>
      </c>
      <c r="G2229" s="289">
        <v>1100</v>
      </c>
      <c r="H2229" s="289">
        <v>0</v>
      </c>
      <c r="I2229" s="289">
        <v>110</v>
      </c>
      <c r="J2229" s="289">
        <v>70</v>
      </c>
      <c r="K2229" s="289">
        <v>7</v>
      </c>
      <c r="L2229" s="289">
        <v>1287</v>
      </c>
    </row>
    <row r="2230" spans="1:12">
      <c r="A2230" s="288" t="s">
        <v>3070</v>
      </c>
      <c r="B2230" s="288" t="s">
        <v>2808</v>
      </c>
      <c r="C2230" s="288" t="s">
        <v>814</v>
      </c>
      <c r="D2230" s="288" t="s">
        <v>818</v>
      </c>
      <c r="E2230" s="289">
        <v>10</v>
      </c>
      <c r="F2230" s="290">
        <v>4</v>
      </c>
      <c r="G2230" s="289">
        <v>900</v>
      </c>
      <c r="H2230" s="289">
        <v>0</v>
      </c>
      <c r="I2230" s="289">
        <v>90</v>
      </c>
      <c r="J2230" s="289">
        <v>70</v>
      </c>
      <c r="K2230" s="289">
        <v>7</v>
      </c>
      <c r="L2230" s="289">
        <v>1067</v>
      </c>
    </row>
    <row r="2231" spans="1:12">
      <c r="A2231" s="288" t="s">
        <v>3071</v>
      </c>
      <c r="B2231" s="288" t="s">
        <v>2808</v>
      </c>
      <c r="C2231" s="288" t="s">
        <v>814</v>
      </c>
      <c r="D2231" s="288" t="s">
        <v>818</v>
      </c>
      <c r="E2231" s="289">
        <v>10</v>
      </c>
      <c r="F2231" s="290">
        <v>6</v>
      </c>
      <c r="G2231" s="289">
        <v>1100</v>
      </c>
      <c r="H2231" s="289">
        <v>0</v>
      </c>
      <c r="I2231" s="289">
        <v>110</v>
      </c>
      <c r="J2231" s="289">
        <v>70</v>
      </c>
      <c r="K2231" s="289">
        <v>7</v>
      </c>
      <c r="L2231" s="289">
        <v>1287</v>
      </c>
    </row>
    <row r="2232" spans="1:12">
      <c r="A2232" s="288" t="s">
        <v>3072</v>
      </c>
      <c r="B2232" s="288" t="s">
        <v>2808</v>
      </c>
      <c r="C2232" s="288" t="s">
        <v>814</v>
      </c>
      <c r="D2232" s="288" t="s">
        <v>818</v>
      </c>
      <c r="E2232" s="289">
        <v>10</v>
      </c>
      <c r="F2232" s="290">
        <v>12</v>
      </c>
      <c r="G2232" s="289">
        <v>1100</v>
      </c>
      <c r="H2232" s="289">
        <v>220</v>
      </c>
      <c r="I2232" s="289">
        <v>132</v>
      </c>
      <c r="J2232" s="289">
        <v>70</v>
      </c>
      <c r="K2232" s="289">
        <v>7</v>
      </c>
      <c r="L2232" s="289">
        <v>1529</v>
      </c>
    </row>
    <row r="2233" spans="1:12">
      <c r="A2233" s="288" t="s">
        <v>3073</v>
      </c>
      <c r="B2233" s="288" t="s">
        <v>2808</v>
      </c>
      <c r="C2233" s="288" t="s">
        <v>814</v>
      </c>
      <c r="D2233" s="288" t="s">
        <v>818</v>
      </c>
      <c r="E2233" s="289">
        <v>10</v>
      </c>
      <c r="F2233" s="290">
        <v>22</v>
      </c>
      <c r="G2233" s="289">
        <v>1100</v>
      </c>
      <c r="H2233" s="289">
        <v>1320</v>
      </c>
      <c r="I2233" s="289">
        <v>242</v>
      </c>
      <c r="J2233" s="289">
        <v>70</v>
      </c>
      <c r="K2233" s="289">
        <v>7</v>
      </c>
      <c r="L2233" s="289">
        <v>2739</v>
      </c>
    </row>
    <row r="2234" spans="1:12">
      <c r="A2234" s="288" t="s">
        <v>3074</v>
      </c>
      <c r="B2234" s="288" t="s">
        <v>2808</v>
      </c>
      <c r="C2234" s="288" t="s">
        <v>814</v>
      </c>
      <c r="D2234" s="288" t="s">
        <v>818</v>
      </c>
      <c r="E2234" s="289">
        <v>10</v>
      </c>
      <c r="F2234" s="290">
        <v>4</v>
      </c>
      <c r="G2234" s="289">
        <v>900</v>
      </c>
      <c r="H2234" s="289">
        <v>0</v>
      </c>
      <c r="I2234" s="289">
        <v>90</v>
      </c>
      <c r="J2234" s="289">
        <v>70</v>
      </c>
      <c r="K2234" s="289">
        <v>7</v>
      </c>
      <c r="L2234" s="289">
        <v>1067</v>
      </c>
    </row>
    <row r="2235" spans="1:12">
      <c r="A2235" s="288" t="s">
        <v>3075</v>
      </c>
      <c r="B2235" s="288" t="s">
        <v>2808</v>
      </c>
      <c r="C2235" s="288" t="s">
        <v>814</v>
      </c>
      <c r="D2235" s="288" t="s">
        <v>818</v>
      </c>
      <c r="E2235" s="289">
        <v>10</v>
      </c>
      <c r="F2235" s="290">
        <v>9</v>
      </c>
      <c r="G2235" s="289">
        <v>1100</v>
      </c>
      <c r="H2235" s="289">
        <v>0</v>
      </c>
      <c r="I2235" s="289">
        <v>110</v>
      </c>
      <c r="J2235" s="289">
        <v>70</v>
      </c>
      <c r="K2235" s="289">
        <v>7</v>
      </c>
      <c r="L2235" s="289">
        <v>1287</v>
      </c>
    </row>
    <row r="2236" spans="1:12">
      <c r="A2236" s="288" t="s">
        <v>3076</v>
      </c>
      <c r="B2236" s="288" t="s">
        <v>2808</v>
      </c>
      <c r="C2236" s="288" t="s">
        <v>829</v>
      </c>
      <c r="D2236" s="288" t="s">
        <v>818</v>
      </c>
      <c r="E2236" s="289">
        <v>10</v>
      </c>
      <c r="F2236" s="290">
        <v>0</v>
      </c>
      <c r="G2236" s="289">
        <v>900</v>
      </c>
      <c r="H2236" s="289">
        <v>0</v>
      </c>
      <c r="I2236" s="289">
        <v>90</v>
      </c>
      <c r="J2236" s="289">
        <v>70</v>
      </c>
      <c r="K2236" s="289">
        <v>7</v>
      </c>
      <c r="L2236" s="289">
        <v>1067</v>
      </c>
    </row>
    <row r="2237" spans="1:12">
      <c r="A2237" s="288" t="s">
        <v>3077</v>
      </c>
      <c r="B2237" s="288" t="s">
        <v>2808</v>
      </c>
      <c r="C2237" s="288" t="s">
        <v>814</v>
      </c>
      <c r="D2237" s="288" t="s">
        <v>818</v>
      </c>
      <c r="E2237" s="289">
        <v>10</v>
      </c>
      <c r="F2237" s="290">
        <v>3</v>
      </c>
      <c r="G2237" s="289">
        <v>900</v>
      </c>
      <c r="H2237" s="289">
        <v>0</v>
      </c>
      <c r="I2237" s="289">
        <v>90</v>
      </c>
      <c r="J2237" s="289">
        <v>70</v>
      </c>
      <c r="K2237" s="289">
        <v>7</v>
      </c>
      <c r="L2237" s="289">
        <v>1067</v>
      </c>
    </row>
    <row r="2238" spans="1:12">
      <c r="A2238" s="288" t="s">
        <v>3078</v>
      </c>
      <c r="B2238" s="288" t="s">
        <v>2808</v>
      </c>
      <c r="C2238" s="288" t="s">
        <v>814</v>
      </c>
      <c r="D2238" s="288" t="s">
        <v>818</v>
      </c>
      <c r="E2238" s="289">
        <v>10</v>
      </c>
      <c r="F2238" s="290">
        <v>3</v>
      </c>
      <c r="G2238" s="289">
        <v>900</v>
      </c>
      <c r="H2238" s="289">
        <v>0</v>
      </c>
      <c r="I2238" s="289">
        <v>90</v>
      </c>
      <c r="J2238" s="289">
        <v>70</v>
      </c>
      <c r="K2238" s="289">
        <v>7</v>
      </c>
      <c r="L2238" s="289">
        <v>1067</v>
      </c>
    </row>
    <row r="2239" spans="1:12">
      <c r="A2239" s="288" t="s">
        <v>3079</v>
      </c>
      <c r="B2239" s="288" t="s">
        <v>2808</v>
      </c>
      <c r="C2239" s="288" t="s">
        <v>814</v>
      </c>
      <c r="D2239" s="288" t="s">
        <v>818</v>
      </c>
      <c r="E2239" s="289">
        <v>10</v>
      </c>
      <c r="F2239" s="290">
        <v>29</v>
      </c>
      <c r="G2239" s="289">
        <v>1100</v>
      </c>
      <c r="H2239" s="289">
        <v>2090</v>
      </c>
      <c r="I2239" s="289">
        <v>319</v>
      </c>
      <c r="J2239" s="289">
        <v>70</v>
      </c>
      <c r="K2239" s="289">
        <v>7</v>
      </c>
      <c r="L2239" s="289">
        <v>3586</v>
      </c>
    </row>
    <row r="2240" spans="1:12">
      <c r="A2240" s="288" t="s">
        <v>3080</v>
      </c>
      <c r="B2240" s="288" t="s">
        <v>2808</v>
      </c>
      <c r="C2240" s="288" t="s">
        <v>814</v>
      </c>
      <c r="D2240" s="288" t="s">
        <v>818</v>
      </c>
      <c r="E2240" s="289">
        <v>10</v>
      </c>
      <c r="F2240" s="290">
        <v>20</v>
      </c>
      <c r="G2240" s="289">
        <v>1100</v>
      </c>
      <c r="H2240" s="289">
        <v>1100</v>
      </c>
      <c r="I2240" s="289">
        <v>220</v>
      </c>
      <c r="J2240" s="289">
        <v>70</v>
      </c>
      <c r="K2240" s="289">
        <v>7</v>
      </c>
      <c r="L2240" s="289">
        <v>2497</v>
      </c>
    </row>
    <row r="2241" spans="1:12">
      <c r="A2241" s="288" t="s">
        <v>3081</v>
      </c>
      <c r="B2241" s="288" t="s">
        <v>2808</v>
      </c>
      <c r="C2241" s="288" t="s">
        <v>814</v>
      </c>
      <c r="D2241" s="288" t="s">
        <v>818</v>
      </c>
      <c r="E2241" s="289">
        <v>10</v>
      </c>
      <c r="F2241" s="290">
        <v>14</v>
      </c>
      <c r="G2241" s="289">
        <v>1100</v>
      </c>
      <c r="H2241" s="289">
        <v>440</v>
      </c>
      <c r="I2241" s="289">
        <v>154</v>
      </c>
      <c r="J2241" s="289">
        <v>70</v>
      </c>
      <c r="K2241" s="289">
        <v>7</v>
      </c>
      <c r="L2241" s="289">
        <v>1771</v>
      </c>
    </row>
    <row r="2242" spans="1:12">
      <c r="A2242" s="288" t="s">
        <v>3082</v>
      </c>
      <c r="B2242" s="288" t="s">
        <v>2808</v>
      </c>
      <c r="C2242" s="288" t="s">
        <v>814</v>
      </c>
      <c r="D2242" s="288" t="s">
        <v>818</v>
      </c>
      <c r="E2242" s="289">
        <v>10</v>
      </c>
      <c r="F2242" s="290">
        <v>2</v>
      </c>
      <c r="G2242" s="289">
        <v>900</v>
      </c>
      <c r="H2242" s="289">
        <v>0</v>
      </c>
      <c r="I2242" s="289">
        <v>90</v>
      </c>
      <c r="J2242" s="289">
        <v>70</v>
      </c>
      <c r="K2242" s="289">
        <v>7</v>
      </c>
      <c r="L2242" s="289">
        <v>1067</v>
      </c>
    </row>
    <row r="2243" spans="1:12">
      <c r="A2243" s="288" t="s">
        <v>3083</v>
      </c>
      <c r="B2243" s="288" t="s">
        <v>2808</v>
      </c>
      <c r="C2243" s="288" t="s">
        <v>814</v>
      </c>
      <c r="D2243" s="288" t="s">
        <v>818</v>
      </c>
      <c r="E2243" s="289">
        <v>10</v>
      </c>
      <c r="F2243" s="290">
        <v>21</v>
      </c>
      <c r="G2243" s="289">
        <v>1100</v>
      </c>
      <c r="H2243" s="289">
        <v>1210</v>
      </c>
      <c r="I2243" s="289">
        <v>231</v>
      </c>
      <c r="J2243" s="289">
        <v>70</v>
      </c>
      <c r="K2243" s="289">
        <v>7</v>
      </c>
      <c r="L2243" s="289">
        <v>2618</v>
      </c>
    </row>
    <row r="2244" spans="1:12">
      <c r="A2244" s="288" t="s">
        <v>3084</v>
      </c>
      <c r="B2244" s="288" t="s">
        <v>2808</v>
      </c>
      <c r="C2244" s="288" t="s">
        <v>814</v>
      </c>
      <c r="D2244" s="288" t="s">
        <v>818</v>
      </c>
      <c r="E2244" s="289">
        <v>10</v>
      </c>
      <c r="F2244" s="290">
        <v>9</v>
      </c>
      <c r="G2244" s="289">
        <v>1100</v>
      </c>
      <c r="H2244" s="289">
        <v>0</v>
      </c>
      <c r="I2244" s="289">
        <v>110</v>
      </c>
      <c r="J2244" s="289">
        <v>70</v>
      </c>
      <c r="K2244" s="289">
        <v>7</v>
      </c>
      <c r="L2244" s="289">
        <v>1287</v>
      </c>
    </row>
    <row r="2245" spans="1:12">
      <c r="A2245" s="288" t="s">
        <v>3085</v>
      </c>
      <c r="B2245" s="288" t="s">
        <v>2808</v>
      </c>
      <c r="C2245" s="288" t="s">
        <v>814</v>
      </c>
      <c r="D2245" s="288" t="s">
        <v>818</v>
      </c>
      <c r="E2245" s="289">
        <v>10</v>
      </c>
      <c r="F2245" s="290">
        <v>4</v>
      </c>
      <c r="G2245" s="289">
        <v>900</v>
      </c>
      <c r="H2245" s="289">
        <v>0</v>
      </c>
      <c r="I2245" s="289">
        <v>90</v>
      </c>
      <c r="J2245" s="289">
        <v>70</v>
      </c>
      <c r="K2245" s="289">
        <v>7</v>
      </c>
      <c r="L2245" s="289">
        <v>1067</v>
      </c>
    </row>
    <row r="2246" spans="1:12">
      <c r="A2246" s="288" t="s">
        <v>3086</v>
      </c>
      <c r="B2246" s="288" t="s">
        <v>2808</v>
      </c>
      <c r="C2246" s="288" t="s">
        <v>814</v>
      </c>
      <c r="D2246" s="288" t="s">
        <v>818</v>
      </c>
      <c r="E2246" s="289">
        <v>10</v>
      </c>
      <c r="F2246" s="290">
        <v>5</v>
      </c>
      <c r="G2246" s="289">
        <v>900</v>
      </c>
      <c r="H2246" s="289">
        <v>0</v>
      </c>
      <c r="I2246" s="289">
        <v>90</v>
      </c>
      <c r="J2246" s="289">
        <v>70</v>
      </c>
      <c r="K2246" s="289">
        <v>7</v>
      </c>
      <c r="L2246" s="289">
        <v>1067</v>
      </c>
    </row>
    <row r="2247" spans="1:12">
      <c r="A2247" s="288" t="s">
        <v>3087</v>
      </c>
      <c r="B2247" s="288" t="s">
        <v>2808</v>
      </c>
      <c r="C2247" s="288" t="s">
        <v>814</v>
      </c>
      <c r="D2247" s="288" t="s">
        <v>818</v>
      </c>
      <c r="E2247" s="289">
        <v>10</v>
      </c>
      <c r="F2247" s="290">
        <v>30</v>
      </c>
      <c r="G2247" s="289">
        <v>1100</v>
      </c>
      <c r="H2247" s="289">
        <v>2200</v>
      </c>
      <c r="I2247" s="289">
        <v>330</v>
      </c>
      <c r="J2247" s="289">
        <v>70</v>
      </c>
      <c r="K2247" s="289">
        <v>7</v>
      </c>
      <c r="L2247" s="289">
        <v>3707</v>
      </c>
    </row>
    <row r="2248" spans="1:12">
      <c r="A2248" s="288" t="s">
        <v>3088</v>
      </c>
      <c r="B2248" s="288" t="s">
        <v>2808</v>
      </c>
      <c r="C2248" s="288" t="s">
        <v>814</v>
      </c>
      <c r="D2248" s="288" t="s">
        <v>818</v>
      </c>
      <c r="E2248" s="289">
        <v>10</v>
      </c>
      <c r="F2248" s="290">
        <v>8</v>
      </c>
      <c r="G2248" s="289">
        <v>1100</v>
      </c>
      <c r="H2248" s="289">
        <v>0</v>
      </c>
      <c r="I2248" s="289">
        <v>110</v>
      </c>
      <c r="J2248" s="289">
        <v>70</v>
      </c>
      <c r="K2248" s="289">
        <v>7</v>
      </c>
      <c r="L2248" s="289">
        <v>1287</v>
      </c>
    </row>
    <row r="2249" spans="1:12">
      <c r="A2249" s="288" t="s">
        <v>3089</v>
      </c>
      <c r="B2249" s="288" t="s">
        <v>2808</v>
      </c>
      <c r="C2249" s="288" t="s">
        <v>814</v>
      </c>
      <c r="D2249" s="288" t="s">
        <v>818</v>
      </c>
      <c r="E2249" s="289">
        <v>10</v>
      </c>
      <c r="F2249" s="290">
        <v>9</v>
      </c>
      <c r="G2249" s="289">
        <v>1100</v>
      </c>
      <c r="H2249" s="289">
        <v>0</v>
      </c>
      <c r="I2249" s="289">
        <v>110</v>
      </c>
      <c r="J2249" s="289">
        <v>70</v>
      </c>
      <c r="K2249" s="289">
        <v>7</v>
      </c>
      <c r="L2249" s="289">
        <v>1287</v>
      </c>
    </row>
    <row r="2250" spans="1:12">
      <c r="A2250" s="288" t="s">
        <v>3090</v>
      </c>
      <c r="B2250" s="288" t="s">
        <v>2808</v>
      </c>
      <c r="C2250" s="288" t="s">
        <v>814</v>
      </c>
      <c r="D2250" s="288" t="s">
        <v>818</v>
      </c>
      <c r="E2250" s="289">
        <v>10</v>
      </c>
      <c r="F2250" s="290">
        <v>4</v>
      </c>
      <c r="G2250" s="289">
        <v>900</v>
      </c>
      <c r="H2250" s="289">
        <v>0</v>
      </c>
      <c r="I2250" s="289">
        <v>90</v>
      </c>
      <c r="J2250" s="289">
        <v>70</v>
      </c>
      <c r="K2250" s="289">
        <v>7</v>
      </c>
      <c r="L2250" s="289">
        <v>1067</v>
      </c>
    </row>
    <row r="2251" spans="1:12">
      <c r="A2251" s="288" t="s">
        <v>3091</v>
      </c>
      <c r="B2251" s="288" t="s">
        <v>2808</v>
      </c>
      <c r="C2251" s="288" t="s">
        <v>814</v>
      </c>
      <c r="D2251" s="288" t="s">
        <v>818</v>
      </c>
      <c r="E2251" s="289">
        <v>10</v>
      </c>
      <c r="F2251" s="290">
        <v>9</v>
      </c>
      <c r="G2251" s="289">
        <v>1100</v>
      </c>
      <c r="H2251" s="289">
        <v>0</v>
      </c>
      <c r="I2251" s="289">
        <v>110</v>
      </c>
      <c r="J2251" s="289">
        <v>70</v>
      </c>
      <c r="K2251" s="289">
        <v>7</v>
      </c>
      <c r="L2251" s="289">
        <v>1287</v>
      </c>
    </row>
    <row r="2252" spans="1:12">
      <c r="A2252" s="288" t="s">
        <v>3092</v>
      </c>
      <c r="B2252" s="288" t="s">
        <v>2808</v>
      </c>
      <c r="C2252" s="288" t="s">
        <v>814</v>
      </c>
      <c r="D2252" s="288" t="s">
        <v>818</v>
      </c>
      <c r="E2252" s="289">
        <v>10</v>
      </c>
      <c r="F2252" s="290">
        <v>11</v>
      </c>
      <c r="G2252" s="289">
        <v>1100</v>
      </c>
      <c r="H2252" s="289">
        <v>110</v>
      </c>
      <c r="I2252" s="289">
        <v>121</v>
      </c>
      <c r="J2252" s="289">
        <v>70</v>
      </c>
      <c r="K2252" s="289">
        <v>7</v>
      </c>
      <c r="L2252" s="289">
        <v>1408</v>
      </c>
    </row>
    <row r="2253" spans="1:12">
      <c r="A2253" s="288" t="s">
        <v>3093</v>
      </c>
      <c r="B2253" s="288" t="s">
        <v>2808</v>
      </c>
      <c r="C2253" s="288" t="s">
        <v>814</v>
      </c>
      <c r="D2253" s="288" t="s">
        <v>818</v>
      </c>
      <c r="E2253" s="289">
        <v>10</v>
      </c>
      <c r="F2253" s="290">
        <v>18</v>
      </c>
      <c r="G2253" s="289">
        <v>1100</v>
      </c>
      <c r="H2253" s="289">
        <v>880</v>
      </c>
      <c r="I2253" s="289">
        <v>198</v>
      </c>
      <c r="J2253" s="289">
        <v>70</v>
      </c>
      <c r="K2253" s="289">
        <v>7</v>
      </c>
      <c r="L2253" s="289">
        <v>2255</v>
      </c>
    </row>
    <row r="2254" spans="1:12">
      <c r="A2254" s="288" t="s">
        <v>3094</v>
      </c>
      <c r="B2254" s="288" t="s">
        <v>2808</v>
      </c>
      <c r="C2254" s="288" t="s">
        <v>814</v>
      </c>
      <c r="D2254" s="288" t="s">
        <v>818</v>
      </c>
      <c r="E2254" s="289">
        <v>10</v>
      </c>
      <c r="F2254" s="290">
        <v>9</v>
      </c>
      <c r="G2254" s="289">
        <v>1100</v>
      </c>
      <c r="H2254" s="289">
        <v>0</v>
      </c>
      <c r="I2254" s="289">
        <v>110</v>
      </c>
      <c r="J2254" s="289">
        <v>70</v>
      </c>
      <c r="K2254" s="289">
        <v>7</v>
      </c>
      <c r="L2254" s="289">
        <v>1287</v>
      </c>
    </row>
    <row r="2255" spans="1:12">
      <c r="A2255" s="288" t="s">
        <v>3095</v>
      </c>
      <c r="B2255" s="288" t="s">
        <v>2808</v>
      </c>
      <c r="C2255" s="288" t="s">
        <v>814</v>
      </c>
      <c r="D2255" s="288" t="s">
        <v>818</v>
      </c>
      <c r="E2255" s="289">
        <v>10</v>
      </c>
      <c r="F2255" s="290">
        <v>9</v>
      </c>
      <c r="G2255" s="289">
        <v>1100</v>
      </c>
      <c r="H2255" s="289">
        <v>0</v>
      </c>
      <c r="I2255" s="289">
        <v>110</v>
      </c>
      <c r="J2255" s="289">
        <v>70</v>
      </c>
      <c r="K2255" s="289">
        <v>7</v>
      </c>
      <c r="L2255" s="289">
        <v>1287</v>
      </c>
    </row>
    <row r="2256" spans="1:12">
      <c r="A2256" s="288" t="s">
        <v>3096</v>
      </c>
      <c r="B2256" s="288" t="s">
        <v>2808</v>
      </c>
      <c r="C2256" s="288" t="s">
        <v>814</v>
      </c>
      <c r="D2256" s="288" t="s">
        <v>818</v>
      </c>
      <c r="E2256" s="289">
        <v>10</v>
      </c>
      <c r="F2256" s="290">
        <v>8</v>
      </c>
      <c r="G2256" s="289">
        <v>1100</v>
      </c>
      <c r="H2256" s="289">
        <v>0</v>
      </c>
      <c r="I2256" s="289">
        <v>110</v>
      </c>
      <c r="J2256" s="289">
        <v>70</v>
      </c>
      <c r="K2256" s="289">
        <v>7</v>
      </c>
      <c r="L2256" s="289">
        <v>1287</v>
      </c>
    </row>
    <row r="2257" spans="1:12">
      <c r="A2257" s="288" t="s">
        <v>3097</v>
      </c>
      <c r="B2257" s="288" t="s">
        <v>2808</v>
      </c>
      <c r="C2257" s="288" t="s">
        <v>814</v>
      </c>
      <c r="D2257" s="288" t="s">
        <v>818</v>
      </c>
      <c r="E2257" s="289">
        <v>10</v>
      </c>
      <c r="F2257" s="290">
        <v>16</v>
      </c>
      <c r="G2257" s="289">
        <v>1100</v>
      </c>
      <c r="H2257" s="289">
        <v>660</v>
      </c>
      <c r="I2257" s="289">
        <v>176</v>
      </c>
      <c r="J2257" s="289">
        <v>70</v>
      </c>
      <c r="K2257" s="289">
        <v>7</v>
      </c>
      <c r="L2257" s="289">
        <v>2013</v>
      </c>
    </row>
    <row r="2258" spans="1:12">
      <c r="A2258" s="288" t="s">
        <v>3098</v>
      </c>
      <c r="B2258" s="288" t="s">
        <v>2808</v>
      </c>
      <c r="C2258" s="288" t="s">
        <v>814</v>
      </c>
      <c r="D2258" s="288" t="s">
        <v>818</v>
      </c>
      <c r="E2258" s="289">
        <v>10</v>
      </c>
      <c r="F2258" s="290">
        <v>10</v>
      </c>
      <c r="G2258" s="289">
        <v>1100</v>
      </c>
      <c r="H2258" s="289">
        <v>0</v>
      </c>
      <c r="I2258" s="289">
        <v>110</v>
      </c>
      <c r="J2258" s="289">
        <v>70</v>
      </c>
      <c r="K2258" s="289">
        <v>7</v>
      </c>
      <c r="L2258" s="289">
        <v>1287</v>
      </c>
    </row>
    <row r="2259" spans="1:12">
      <c r="A2259" s="288" t="s">
        <v>3099</v>
      </c>
      <c r="B2259" s="288" t="s">
        <v>2808</v>
      </c>
      <c r="C2259" s="288" t="s">
        <v>814</v>
      </c>
      <c r="D2259" s="288" t="s">
        <v>818</v>
      </c>
      <c r="E2259" s="289">
        <v>10</v>
      </c>
      <c r="F2259" s="290">
        <v>19</v>
      </c>
      <c r="G2259" s="289">
        <v>1100</v>
      </c>
      <c r="H2259" s="289">
        <v>990</v>
      </c>
      <c r="I2259" s="289">
        <v>209</v>
      </c>
      <c r="J2259" s="289">
        <v>70</v>
      </c>
      <c r="K2259" s="289">
        <v>7</v>
      </c>
      <c r="L2259" s="289">
        <v>2376</v>
      </c>
    </row>
    <row r="2260" spans="1:12">
      <c r="A2260" s="288" t="s">
        <v>3100</v>
      </c>
      <c r="B2260" s="288" t="s">
        <v>2808</v>
      </c>
      <c r="C2260" s="288" t="s">
        <v>814</v>
      </c>
      <c r="D2260" s="288" t="s">
        <v>818</v>
      </c>
      <c r="E2260" s="289">
        <v>10</v>
      </c>
      <c r="F2260" s="290">
        <v>15</v>
      </c>
      <c r="G2260" s="289">
        <v>1100</v>
      </c>
      <c r="H2260" s="289">
        <v>550</v>
      </c>
      <c r="I2260" s="289">
        <v>165</v>
      </c>
      <c r="J2260" s="289">
        <v>70</v>
      </c>
      <c r="K2260" s="289">
        <v>7</v>
      </c>
      <c r="L2260" s="289">
        <v>1892</v>
      </c>
    </row>
    <row r="2261" spans="1:12">
      <c r="A2261" s="288" t="s">
        <v>3101</v>
      </c>
      <c r="B2261" s="288" t="s">
        <v>2808</v>
      </c>
      <c r="C2261" s="288" t="s">
        <v>814</v>
      </c>
      <c r="D2261" s="288" t="s">
        <v>818</v>
      </c>
      <c r="E2261" s="289">
        <v>10</v>
      </c>
      <c r="F2261" s="290">
        <v>10</v>
      </c>
      <c r="G2261" s="289">
        <v>1100</v>
      </c>
      <c r="H2261" s="289">
        <v>0</v>
      </c>
      <c r="I2261" s="289">
        <v>110</v>
      </c>
      <c r="J2261" s="289">
        <v>70</v>
      </c>
      <c r="K2261" s="289">
        <v>7</v>
      </c>
      <c r="L2261" s="289">
        <v>1287</v>
      </c>
    </row>
    <row r="2262" spans="1:12">
      <c r="A2262" s="288" t="s">
        <v>3102</v>
      </c>
      <c r="B2262" s="288" t="s">
        <v>2808</v>
      </c>
      <c r="C2262" s="288" t="s">
        <v>829</v>
      </c>
      <c r="D2262" s="288" t="s">
        <v>818</v>
      </c>
      <c r="E2262" s="289">
        <v>10</v>
      </c>
      <c r="F2262" s="290">
        <v>0</v>
      </c>
      <c r="G2262" s="289">
        <v>900</v>
      </c>
      <c r="H2262" s="289">
        <v>0</v>
      </c>
      <c r="I2262" s="289">
        <v>90</v>
      </c>
      <c r="J2262" s="289">
        <v>70</v>
      </c>
      <c r="K2262" s="289">
        <v>7</v>
      </c>
      <c r="L2262" s="289">
        <v>1067</v>
      </c>
    </row>
    <row r="2263" spans="1:12">
      <c r="A2263" s="288" t="s">
        <v>3103</v>
      </c>
      <c r="B2263" s="288" t="s">
        <v>2808</v>
      </c>
      <c r="C2263" s="288" t="s">
        <v>829</v>
      </c>
      <c r="D2263" s="288" t="s">
        <v>818</v>
      </c>
      <c r="E2263" s="289">
        <v>10</v>
      </c>
      <c r="F2263" s="290">
        <v>0</v>
      </c>
      <c r="G2263" s="289">
        <v>900</v>
      </c>
      <c r="H2263" s="289">
        <v>0</v>
      </c>
      <c r="I2263" s="289">
        <v>90</v>
      </c>
      <c r="J2263" s="289">
        <v>70</v>
      </c>
      <c r="K2263" s="289">
        <v>7</v>
      </c>
      <c r="L2263" s="289">
        <v>1067</v>
      </c>
    </row>
    <row r="2264" spans="1:12">
      <c r="A2264" s="288" t="s">
        <v>3104</v>
      </c>
      <c r="B2264" s="288" t="s">
        <v>2808</v>
      </c>
      <c r="C2264" s="288" t="s">
        <v>814</v>
      </c>
      <c r="D2264" s="288" t="s">
        <v>818</v>
      </c>
      <c r="E2264" s="289">
        <v>10</v>
      </c>
      <c r="F2264" s="290">
        <v>15</v>
      </c>
      <c r="G2264" s="289">
        <v>1100</v>
      </c>
      <c r="H2264" s="289">
        <v>550</v>
      </c>
      <c r="I2264" s="289">
        <v>165</v>
      </c>
      <c r="J2264" s="289">
        <v>70</v>
      </c>
      <c r="K2264" s="289">
        <v>7</v>
      </c>
      <c r="L2264" s="289">
        <v>1892</v>
      </c>
    </row>
    <row r="2265" spans="1:12">
      <c r="A2265" s="288" t="s">
        <v>3105</v>
      </c>
      <c r="B2265" s="288" t="s">
        <v>2808</v>
      </c>
      <c r="C2265" s="288" t="s">
        <v>814</v>
      </c>
      <c r="D2265" s="288" t="s">
        <v>818</v>
      </c>
      <c r="E2265" s="289">
        <v>10</v>
      </c>
      <c r="F2265" s="290">
        <v>11</v>
      </c>
      <c r="G2265" s="289">
        <v>1100</v>
      </c>
      <c r="H2265" s="289">
        <v>110</v>
      </c>
      <c r="I2265" s="289">
        <v>121</v>
      </c>
      <c r="J2265" s="289">
        <v>70</v>
      </c>
      <c r="K2265" s="289">
        <v>7</v>
      </c>
      <c r="L2265" s="289">
        <v>1408</v>
      </c>
    </row>
    <row r="2266" spans="1:12">
      <c r="A2266" s="288" t="s">
        <v>3106</v>
      </c>
      <c r="B2266" s="288" t="s">
        <v>2808</v>
      </c>
      <c r="C2266" s="288" t="s">
        <v>814</v>
      </c>
      <c r="D2266" s="288" t="s">
        <v>818</v>
      </c>
      <c r="E2266" s="289">
        <v>10</v>
      </c>
      <c r="F2266" s="290">
        <v>19</v>
      </c>
      <c r="G2266" s="289">
        <v>1100</v>
      </c>
      <c r="H2266" s="289">
        <v>990</v>
      </c>
      <c r="I2266" s="289">
        <v>209</v>
      </c>
      <c r="J2266" s="289">
        <v>70</v>
      </c>
      <c r="K2266" s="289">
        <v>7</v>
      </c>
      <c r="L2266" s="289">
        <v>2376</v>
      </c>
    </row>
    <row r="2267" spans="1:12">
      <c r="A2267" s="288" t="s">
        <v>3107</v>
      </c>
      <c r="B2267" s="288" t="s">
        <v>2808</v>
      </c>
      <c r="C2267" s="288" t="s">
        <v>814</v>
      </c>
      <c r="D2267" s="288" t="s">
        <v>818</v>
      </c>
      <c r="E2267" s="289">
        <v>10</v>
      </c>
      <c r="F2267" s="290">
        <v>5</v>
      </c>
      <c r="G2267" s="289">
        <v>900</v>
      </c>
      <c r="H2267" s="289">
        <v>0</v>
      </c>
      <c r="I2267" s="289">
        <v>90</v>
      </c>
      <c r="J2267" s="289">
        <v>70</v>
      </c>
      <c r="K2267" s="289">
        <v>7</v>
      </c>
      <c r="L2267" s="289">
        <v>1067</v>
      </c>
    </row>
    <row r="2268" spans="1:12">
      <c r="A2268" s="288" t="s">
        <v>3108</v>
      </c>
      <c r="B2268" s="288" t="s">
        <v>2808</v>
      </c>
      <c r="C2268" s="288" t="s">
        <v>814</v>
      </c>
      <c r="D2268" s="288" t="s">
        <v>818</v>
      </c>
      <c r="E2268" s="289">
        <v>10</v>
      </c>
      <c r="F2268" s="290">
        <v>6</v>
      </c>
      <c r="G2268" s="289">
        <v>1100</v>
      </c>
      <c r="H2268" s="289">
        <v>0</v>
      </c>
      <c r="I2268" s="289">
        <v>110</v>
      </c>
      <c r="J2268" s="289">
        <v>70</v>
      </c>
      <c r="K2268" s="289">
        <v>7</v>
      </c>
      <c r="L2268" s="289">
        <v>1287</v>
      </c>
    </row>
    <row r="2269" spans="1:12">
      <c r="A2269" s="288" t="s">
        <v>3109</v>
      </c>
      <c r="B2269" s="288" t="s">
        <v>2808</v>
      </c>
      <c r="C2269" s="288" t="s">
        <v>814</v>
      </c>
      <c r="D2269" s="288" t="s">
        <v>818</v>
      </c>
      <c r="E2269" s="289">
        <v>10</v>
      </c>
      <c r="F2269" s="290">
        <v>4</v>
      </c>
      <c r="G2269" s="289">
        <v>900</v>
      </c>
      <c r="H2269" s="289">
        <v>0</v>
      </c>
      <c r="I2269" s="289">
        <v>90</v>
      </c>
      <c r="J2269" s="289">
        <v>70</v>
      </c>
      <c r="K2269" s="289">
        <v>7</v>
      </c>
      <c r="L2269" s="289">
        <v>1067</v>
      </c>
    </row>
    <row r="2270" spans="1:12">
      <c r="A2270" s="288" t="s">
        <v>3110</v>
      </c>
      <c r="B2270" s="288" t="s">
        <v>2808</v>
      </c>
      <c r="C2270" s="288" t="s">
        <v>814</v>
      </c>
      <c r="D2270" s="288" t="s">
        <v>818</v>
      </c>
      <c r="E2270" s="289">
        <v>10</v>
      </c>
      <c r="F2270" s="290">
        <v>6</v>
      </c>
      <c r="G2270" s="289">
        <v>1100</v>
      </c>
      <c r="H2270" s="289">
        <v>0</v>
      </c>
      <c r="I2270" s="289">
        <v>110</v>
      </c>
      <c r="J2270" s="289">
        <v>70</v>
      </c>
      <c r="K2270" s="289">
        <v>7</v>
      </c>
      <c r="L2270" s="289">
        <v>1287</v>
      </c>
    </row>
    <row r="2271" spans="1:12">
      <c r="A2271" s="288" t="s">
        <v>3111</v>
      </c>
      <c r="B2271" s="288" t="s">
        <v>2808</v>
      </c>
      <c r="C2271" s="288" t="s">
        <v>814</v>
      </c>
      <c r="D2271" s="288" t="s">
        <v>818</v>
      </c>
      <c r="E2271" s="289">
        <v>10</v>
      </c>
      <c r="F2271" s="290">
        <v>22</v>
      </c>
      <c r="G2271" s="289">
        <v>1100</v>
      </c>
      <c r="H2271" s="289">
        <v>1320</v>
      </c>
      <c r="I2271" s="289">
        <v>242</v>
      </c>
      <c r="J2271" s="289">
        <v>70</v>
      </c>
      <c r="K2271" s="289">
        <v>7</v>
      </c>
      <c r="L2271" s="289">
        <v>2739</v>
      </c>
    </row>
    <row r="2272" spans="1:12">
      <c r="A2272" s="288" t="s">
        <v>3112</v>
      </c>
      <c r="B2272" s="288" t="s">
        <v>2808</v>
      </c>
      <c r="C2272" s="288" t="s">
        <v>814</v>
      </c>
      <c r="D2272" s="288" t="s">
        <v>818</v>
      </c>
      <c r="E2272" s="289">
        <v>10</v>
      </c>
      <c r="F2272" s="290">
        <v>2</v>
      </c>
      <c r="G2272" s="289">
        <v>900</v>
      </c>
      <c r="H2272" s="289">
        <v>0</v>
      </c>
      <c r="I2272" s="289">
        <v>90</v>
      </c>
      <c r="J2272" s="289">
        <v>70</v>
      </c>
      <c r="K2272" s="289">
        <v>7</v>
      </c>
      <c r="L2272" s="289">
        <v>1067</v>
      </c>
    </row>
    <row r="2273" spans="1:12">
      <c r="A2273" s="288" t="s">
        <v>3113</v>
      </c>
      <c r="B2273" s="288" t="s">
        <v>2808</v>
      </c>
      <c r="C2273" s="288" t="s">
        <v>814</v>
      </c>
      <c r="D2273" s="288" t="s">
        <v>818</v>
      </c>
      <c r="E2273" s="289">
        <v>10</v>
      </c>
      <c r="F2273" s="290">
        <v>8</v>
      </c>
      <c r="G2273" s="289">
        <v>1100</v>
      </c>
      <c r="H2273" s="289">
        <v>0</v>
      </c>
      <c r="I2273" s="289">
        <v>110</v>
      </c>
      <c r="J2273" s="289">
        <v>70</v>
      </c>
      <c r="K2273" s="289">
        <v>7</v>
      </c>
      <c r="L2273" s="289">
        <v>1287</v>
      </c>
    </row>
    <row r="2274" spans="1:12">
      <c r="A2274" s="288" t="s">
        <v>3114</v>
      </c>
      <c r="B2274" s="288" t="s">
        <v>2808</v>
      </c>
      <c r="C2274" s="288" t="s">
        <v>814</v>
      </c>
      <c r="D2274" s="288" t="s">
        <v>818</v>
      </c>
      <c r="E2274" s="289">
        <v>10</v>
      </c>
      <c r="F2274" s="290">
        <v>15</v>
      </c>
      <c r="G2274" s="289">
        <v>1100</v>
      </c>
      <c r="H2274" s="289">
        <v>550</v>
      </c>
      <c r="I2274" s="289">
        <v>165</v>
      </c>
      <c r="J2274" s="289">
        <v>70</v>
      </c>
      <c r="K2274" s="289">
        <v>7</v>
      </c>
      <c r="L2274" s="289">
        <v>1892</v>
      </c>
    </row>
    <row r="2275" spans="1:12">
      <c r="A2275" s="288" t="s">
        <v>3115</v>
      </c>
      <c r="B2275" s="288" t="s">
        <v>2808</v>
      </c>
      <c r="C2275" s="288" t="s">
        <v>814</v>
      </c>
      <c r="D2275" s="288" t="s">
        <v>818</v>
      </c>
      <c r="E2275" s="289">
        <v>10</v>
      </c>
      <c r="F2275" s="290">
        <v>7</v>
      </c>
      <c r="G2275" s="289">
        <v>1100</v>
      </c>
      <c r="H2275" s="289">
        <v>0</v>
      </c>
      <c r="I2275" s="289">
        <v>110</v>
      </c>
      <c r="J2275" s="289">
        <v>70</v>
      </c>
      <c r="K2275" s="289">
        <v>7</v>
      </c>
      <c r="L2275" s="289">
        <v>1287</v>
      </c>
    </row>
    <row r="2276" spans="1:12">
      <c r="A2276" s="288" t="s">
        <v>3116</v>
      </c>
      <c r="B2276" s="288" t="s">
        <v>2808</v>
      </c>
      <c r="C2276" s="288" t="s">
        <v>814</v>
      </c>
      <c r="D2276" s="288" t="s">
        <v>818</v>
      </c>
      <c r="E2276" s="289">
        <v>10</v>
      </c>
      <c r="F2276" s="290">
        <v>3</v>
      </c>
      <c r="G2276" s="289">
        <v>900</v>
      </c>
      <c r="H2276" s="289">
        <v>0</v>
      </c>
      <c r="I2276" s="289">
        <v>90</v>
      </c>
      <c r="J2276" s="289">
        <v>70</v>
      </c>
      <c r="K2276" s="289">
        <v>7</v>
      </c>
      <c r="L2276" s="289">
        <v>1067</v>
      </c>
    </row>
    <row r="2277" spans="1:12">
      <c r="A2277" s="288" t="s">
        <v>3117</v>
      </c>
      <c r="B2277" s="288" t="s">
        <v>2808</v>
      </c>
      <c r="C2277" s="288" t="s">
        <v>814</v>
      </c>
      <c r="D2277" s="288" t="s">
        <v>818</v>
      </c>
      <c r="E2277" s="289">
        <v>10</v>
      </c>
      <c r="F2277" s="290">
        <v>13</v>
      </c>
      <c r="G2277" s="289">
        <v>1100</v>
      </c>
      <c r="H2277" s="289">
        <v>330</v>
      </c>
      <c r="I2277" s="289">
        <v>143</v>
      </c>
      <c r="J2277" s="289">
        <v>70</v>
      </c>
      <c r="K2277" s="289">
        <v>7</v>
      </c>
      <c r="L2277" s="289">
        <v>1650</v>
      </c>
    </row>
    <row r="2278" spans="1:12">
      <c r="A2278" s="288" t="s">
        <v>3118</v>
      </c>
      <c r="B2278" s="288" t="s">
        <v>2808</v>
      </c>
      <c r="C2278" s="288" t="s">
        <v>814</v>
      </c>
      <c r="D2278" s="288" t="s">
        <v>818</v>
      </c>
      <c r="E2278" s="289">
        <v>10</v>
      </c>
      <c r="F2278" s="290">
        <v>12</v>
      </c>
      <c r="G2278" s="289">
        <v>1100</v>
      </c>
      <c r="H2278" s="289">
        <v>220</v>
      </c>
      <c r="I2278" s="289">
        <v>132</v>
      </c>
      <c r="J2278" s="289">
        <v>70</v>
      </c>
      <c r="K2278" s="289">
        <v>7</v>
      </c>
      <c r="L2278" s="289">
        <v>1529</v>
      </c>
    </row>
    <row r="2279" spans="1:12">
      <c r="A2279" s="288" t="s">
        <v>3119</v>
      </c>
      <c r="B2279" s="288" t="s">
        <v>2808</v>
      </c>
      <c r="C2279" s="288" t="s">
        <v>814</v>
      </c>
      <c r="D2279" s="288" t="s">
        <v>818</v>
      </c>
      <c r="E2279" s="289">
        <v>10</v>
      </c>
      <c r="F2279" s="290">
        <v>18</v>
      </c>
      <c r="G2279" s="289">
        <v>1100</v>
      </c>
      <c r="H2279" s="289">
        <v>880</v>
      </c>
      <c r="I2279" s="289">
        <v>198</v>
      </c>
      <c r="J2279" s="289">
        <v>70</v>
      </c>
      <c r="K2279" s="289">
        <v>7</v>
      </c>
      <c r="L2279" s="289">
        <v>2255</v>
      </c>
    </row>
    <row r="2280" spans="1:12">
      <c r="A2280" s="288" t="s">
        <v>3120</v>
      </c>
      <c r="B2280" s="288" t="s">
        <v>2808</v>
      </c>
      <c r="C2280" s="288" t="s">
        <v>814</v>
      </c>
      <c r="D2280" s="288" t="s">
        <v>818</v>
      </c>
      <c r="E2280" s="289">
        <v>10</v>
      </c>
      <c r="F2280" s="290">
        <v>10</v>
      </c>
      <c r="G2280" s="289">
        <v>1100</v>
      </c>
      <c r="H2280" s="289">
        <v>0</v>
      </c>
      <c r="I2280" s="289">
        <v>110</v>
      </c>
      <c r="J2280" s="289">
        <v>70</v>
      </c>
      <c r="K2280" s="289">
        <v>7</v>
      </c>
      <c r="L2280" s="289">
        <v>1287</v>
      </c>
    </row>
    <row r="2281" spans="1:12">
      <c r="A2281" s="288" t="s">
        <v>3121</v>
      </c>
      <c r="B2281" s="288" t="s">
        <v>2808</v>
      </c>
      <c r="C2281" s="288" t="s">
        <v>814</v>
      </c>
      <c r="D2281" s="288" t="s">
        <v>818</v>
      </c>
      <c r="E2281" s="289">
        <v>10</v>
      </c>
      <c r="F2281" s="290">
        <v>10</v>
      </c>
      <c r="G2281" s="289">
        <v>1100</v>
      </c>
      <c r="H2281" s="289">
        <v>0</v>
      </c>
      <c r="I2281" s="289">
        <v>110</v>
      </c>
      <c r="J2281" s="289">
        <v>70</v>
      </c>
      <c r="K2281" s="289">
        <v>7</v>
      </c>
      <c r="L2281" s="289">
        <v>1287</v>
      </c>
    </row>
    <row r="2282" spans="1:12">
      <c r="A2282" s="288" t="s">
        <v>3122</v>
      </c>
      <c r="B2282" s="288" t="s">
        <v>2808</v>
      </c>
      <c r="C2282" s="288" t="s">
        <v>829</v>
      </c>
      <c r="D2282" s="288" t="s">
        <v>818</v>
      </c>
      <c r="E2282" s="289">
        <v>10</v>
      </c>
      <c r="F2282" s="290">
        <v>0</v>
      </c>
      <c r="G2282" s="289">
        <v>900</v>
      </c>
      <c r="H2282" s="289">
        <v>0</v>
      </c>
      <c r="I2282" s="289">
        <v>90</v>
      </c>
      <c r="J2282" s="289">
        <v>70</v>
      </c>
      <c r="K2282" s="289">
        <v>7</v>
      </c>
      <c r="L2282" s="289">
        <v>1067</v>
      </c>
    </row>
    <row r="2283" spans="1:12">
      <c r="A2283" s="288" t="s">
        <v>3123</v>
      </c>
      <c r="B2283" s="288" t="s">
        <v>2808</v>
      </c>
      <c r="C2283" s="288" t="s">
        <v>814</v>
      </c>
      <c r="D2283" s="288" t="s">
        <v>818</v>
      </c>
      <c r="E2283" s="289">
        <v>10</v>
      </c>
      <c r="F2283" s="290">
        <v>10</v>
      </c>
      <c r="G2283" s="289">
        <v>1100</v>
      </c>
      <c r="H2283" s="289">
        <v>0</v>
      </c>
      <c r="I2283" s="289">
        <v>110</v>
      </c>
      <c r="J2283" s="289">
        <v>70</v>
      </c>
      <c r="K2283" s="289">
        <v>7</v>
      </c>
      <c r="L2283" s="289">
        <v>1287</v>
      </c>
    </row>
    <row r="2284" spans="1:12">
      <c r="A2284" s="288" t="s">
        <v>3124</v>
      </c>
      <c r="B2284" s="288" t="s">
        <v>2808</v>
      </c>
      <c r="C2284" s="288" t="s">
        <v>814</v>
      </c>
      <c r="D2284" s="288" t="s">
        <v>818</v>
      </c>
      <c r="E2284" s="289">
        <v>10</v>
      </c>
      <c r="F2284" s="290">
        <v>5</v>
      </c>
      <c r="G2284" s="289">
        <v>900</v>
      </c>
      <c r="H2284" s="289">
        <v>0</v>
      </c>
      <c r="I2284" s="289">
        <v>90</v>
      </c>
      <c r="J2284" s="289">
        <v>70</v>
      </c>
      <c r="K2284" s="289">
        <v>7</v>
      </c>
      <c r="L2284" s="289">
        <v>1067</v>
      </c>
    </row>
    <row r="2285" spans="1:12">
      <c r="A2285" s="288" t="s">
        <v>3125</v>
      </c>
      <c r="B2285" s="288" t="s">
        <v>2808</v>
      </c>
      <c r="C2285" s="288" t="s">
        <v>814</v>
      </c>
      <c r="D2285" s="288" t="s">
        <v>818</v>
      </c>
      <c r="E2285" s="289">
        <v>10</v>
      </c>
      <c r="F2285" s="290">
        <v>15</v>
      </c>
      <c r="G2285" s="289">
        <v>1100</v>
      </c>
      <c r="H2285" s="289">
        <v>550</v>
      </c>
      <c r="I2285" s="289">
        <v>165</v>
      </c>
      <c r="J2285" s="289">
        <v>70</v>
      </c>
      <c r="K2285" s="289">
        <v>7</v>
      </c>
      <c r="L2285" s="289">
        <v>1892</v>
      </c>
    </row>
    <row r="2286" spans="1:12">
      <c r="A2286" s="288" t="s">
        <v>3126</v>
      </c>
      <c r="B2286" s="288" t="s">
        <v>2808</v>
      </c>
      <c r="C2286" s="288" t="s">
        <v>814</v>
      </c>
      <c r="D2286" s="288" t="s">
        <v>818</v>
      </c>
      <c r="E2286" s="289">
        <v>10</v>
      </c>
      <c r="F2286" s="290">
        <v>5</v>
      </c>
      <c r="G2286" s="289">
        <v>900</v>
      </c>
      <c r="H2286" s="289">
        <v>0</v>
      </c>
      <c r="I2286" s="289">
        <v>90</v>
      </c>
      <c r="J2286" s="289">
        <v>70</v>
      </c>
      <c r="K2286" s="289">
        <v>7</v>
      </c>
      <c r="L2286" s="289">
        <v>1067</v>
      </c>
    </row>
    <row r="2287" spans="1:12">
      <c r="A2287" s="288" t="s">
        <v>3127</v>
      </c>
      <c r="B2287" s="288" t="s">
        <v>2808</v>
      </c>
      <c r="C2287" s="288" t="s">
        <v>814</v>
      </c>
      <c r="D2287" s="288" t="s">
        <v>818</v>
      </c>
      <c r="E2287" s="289">
        <v>10</v>
      </c>
      <c r="F2287" s="290">
        <v>3</v>
      </c>
      <c r="G2287" s="289">
        <v>900</v>
      </c>
      <c r="H2287" s="289">
        <v>0</v>
      </c>
      <c r="I2287" s="289">
        <v>90</v>
      </c>
      <c r="J2287" s="289">
        <v>70</v>
      </c>
      <c r="K2287" s="289">
        <v>7</v>
      </c>
      <c r="L2287" s="289">
        <v>1067</v>
      </c>
    </row>
    <row r="2288" spans="1:12">
      <c r="A2288" s="288" t="s">
        <v>3128</v>
      </c>
      <c r="B2288" s="288" t="s">
        <v>2808</v>
      </c>
      <c r="C2288" s="288" t="s">
        <v>814</v>
      </c>
      <c r="D2288" s="288" t="s">
        <v>818</v>
      </c>
      <c r="E2288" s="289">
        <v>10</v>
      </c>
      <c r="F2288" s="290">
        <v>7</v>
      </c>
      <c r="G2288" s="289">
        <v>1100</v>
      </c>
      <c r="H2288" s="289">
        <v>0</v>
      </c>
      <c r="I2288" s="289">
        <v>110</v>
      </c>
      <c r="J2288" s="289">
        <v>70</v>
      </c>
      <c r="K2288" s="289">
        <v>7</v>
      </c>
      <c r="L2288" s="289">
        <v>1287</v>
      </c>
    </row>
    <row r="2289" spans="1:12">
      <c r="A2289" s="288" t="s">
        <v>3129</v>
      </c>
      <c r="B2289" s="288" t="s">
        <v>2808</v>
      </c>
      <c r="C2289" s="288" t="s">
        <v>814</v>
      </c>
      <c r="D2289" s="288" t="s">
        <v>818</v>
      </c>
      <c r="E2289" s="289">
        <v>10</v>
      </c>
      <c r="F2289" s="290">
        <v>14</v>
      </c>
      <c r="G2289" s="289">
        <v>1100</v>
      </c>
      <c r="H2289" s="289">
        <v>440</v>
      </c>
      <c r="I2289" s="289">
        <v>154</v>
      </c>
      <c r="J2289" s="289">
        <v>70</v>
      </c>
      <c r="K2289" s="289">
        <v>7</v>
      </c>
      <c r="L2289" s="289">
        <v>1771</v>
      </c>
    </row>
    <row r="2290" spans="1:12">
      <c r="A2290" s="288" t="s">
        <v>3130</v>
      </c>
      <c r="B2290" s="288" t="s">
        <v>2808</v>
      </c>
      <c r="C2290" s="288" t="s">
        <v>814</v>
      </c>
      <c r="D2290" s="288" t="s">
        <v>818</v>
      </c>
      <c r="E2290" s="289">
        <v>10</v>
      </c>
      <c r="F2290" s="290">
        <v>6</v>
      </c>
      <c r="G2290" s="289">
        <v>1100</v>
      </c>
      <c r="H2290" s="289">
        <v>0</v>
      </c>
      <c r="I2290" s="289">
        <v>110</v>
      </c>
      <c r="J2290" s="289">
        <v>70</v>
      </c>
      <c r="K2290" s="289">
        <v>7</v>
      </c>
      <c r="L2290" s="289">
        <v>1287</v>
      </c>
    </row>
    <row r="2291" spans="1:12">
      <c r="A2291" s="288" t="s">
        <v>3131</v>
      </c>
      <c r="B2291" s="288" t="s">
        <v>2808</v>
      </c>
      <c r="C2291" s="288" t="s">
        <v>814</v>
      </c>
      <c r="D2291" s="288" t="s">
        <v>818</v>
      </c>
      <c r="E2291" s="289">
        <v>10</v>
      </c>
      <c r="F2291" s="290">
        <v>4</v>
      </c>
      <c r="G2291" s="289">
        <v>900</v>
      </c>
      <c r="H2291" s="289">
        <v>0</v>
      </c>
      <c r="I2291" s="289">
        <v>90</v>
      </c>
      <c r="J2291" s="289">
        <v>70</v>
      </c>
      <c r="K2291" s="289">
        <v>7</v>
      </c>
      <c r="L2291" s="289">
        <v>1067</v>
      </c>
    </row>
    <row r="2292" spans="1:12">
      <c r="A2292" s="288" t="s">
        <v>3132</v>
      </c>
      <c r="B2292" s="288" t="s">
        <v>2808</v>
      </c>
      <c r="C2292" s="288" t="s">
        <v>814</v>
      </c>
      <c r="D2292" s="288" t="s">
        <v>818</v>
      </c>
      <c r="E2292" s="289">
        <v>10</v>
      </c>
      <c r="F2292" s="290">
        <v>23</v>
      </c>
      <c r="G2292" s="289">
        <v>1100</v>
      </c>
      <c r="H2292" s="289">
        <v>1430</v>
      </c>
      <c r="I2292" s="289">
        <v>253</v>
      </c>
      <c r="J2292" s="289">
        <v>70</v>
      </c>
      <c r="K2292" s="289">
        <v>7</v>
      </c>
      <c r="L2292" s="289">
        <v>2860</v>
      </c>
    </row>
    <row r="2293" spans="1:12">
      <c r="A2293" s="288" t="s">
        <v>3133</v>
      </c>
      <c r="B2293" s="288" t="s">
        <v>2808</v>
      </c>
      <c r="C2293" s="288" t="s">
        <v>814</v>
      </c>
      <c r="D2293" s="288" t="s">
        <v>818</v>
      </c>
      <c r="E2293" s="289">
        <v>10</v>
      </c>
      <c r="F2293" s="290">
        <v>6</v>
      </c>
      <c r="G2293" s="289">
        <v>1100</v>
      </c>
      <c r="H2293" s="289">
        <v>0</v>
      </c>
      <c r="I2293" s="289">
        <v>110</v>
      </c>
      <c r="J2293" s="289">
        <v>70</v>
      </c>
      <c r="K2293" s="289">
        <v>7</v>
      </c>
      <c r="L2293" s="289">
        <v>1287</v>
      </c>
    </row>
    <row r="2294" spans="1:12">
      <c r="A2294" s="288" t="s">
        <v>3134</v>
      </c>
      <c r="B2294" s="288" t="s">
        <v>2808</v>
      </c>
      <c r="C2294" s="288" t="s">
        <v>814</v>
      </c>
      <c r="D2294" s="288" t="s">
        <v>818</v>
      </c>
      <c r="E2294" s="289">
        <v>10</v>
      </c>
      <c r="F2294" s="290">
        <v>0</v>
      </c>
      <c r="G2294" s="289">
        <v>900</v>
      </c>
      <c r="H2294" s="289">
        <v>0</v>
      </c>
      <c r="I2294" s="289">
        <v>90</v>
      </c>
      <c r="J2294" s="289">
        <v>70</v>
      </c>
      <c r="K2294" s="289">
        <v>7</v>
      </c>
      <c r="L2294" s="289">
        <v>1067</v>
      </c>
    </row>
    <row r="2295" spans="1:12">
      <c r="A2295" s="288" t="s">
        <v>3135</v>
      </c>
      <c r="B2295" s="288" t="s">
        <v>2808</v>
      </c>
      <c r="C2295" s="288" t="s">
        <v>814</v>
      </c>
      <c r="D2295" s="288" t="s">
        <v>818</v>
      </c>
      <c r="E2295" s="289">
        <v>10</v>
      </c>
      <c r="F2295" s="290">
        <v>19</v>
      </c>
      <c r="G2295" s="289">
        <v>1100</v>
      </c>
      <c r="H2295" s="289">
        <v>990</v>
      </c>
      <c r="I2295" s="289">
        <v>209</v>
      </c>
      <c r="J2295" s="289">
        <v>70</v>
      </c>
      <c r="K2295" s="289">
        <v>7</v>
      </c>
      <c r="L2295" s="289">
        <v>2376</v>
      </c>
    </row>
    <row r="2296" spans="1:12">
      <c r="A2296" s="288" t="s">
        <v>3136</v>
      </c>
      <c r="B2296" s="288" t="s">
        <v>2808</v>
      </c>
      <c r="C2296" s="288" t="s">
        <v>814</v>
      </c>
      <c r="D2296" s="288" t="s">
        <v>818</v>
      </c>
      <c r="E2296" s="289">
        <v>10</v>
      </c>
      <c r="F2296" s="290">
        <v>4</v>
      </c>
      <c r="G2296" s="289">
        <v>900</v>
      </c>
      <c r="H2296" s="289">
        <v>0</v>
      </c>
      <c r="I2296" s="289">
        <v>90</v>
      </c>
      <c r="J2296" s="289">
        <v>70</v>
      </c>
      <c r="K2296" s="289">
        <v>7</v>
      </c>
      <c r="L2296" s="289">
        <v>1067</v>
      </c>
    </row>
    <row r="2297" spans="1:12">
      <c r="A2297" s="288" t="s">
        <v>3137</v>
      </c>
      <c r="B2297" s="288" t="s">
        <v>2808</v>
      </c>
      <c r="C2297" s="288" t="s">
        <v>814</v>
      </c>
      <c r="D2297" s="288" t="s">
        <v>818</v>
      </c>
      <c r="E2297" s="289">
        <v>10</v>
      </c>
      <c r="F2297" s="290">
        <v>9</v>
      </c>
      <c r="G2297" s="289">
        <v>1100</v>
      </c>
      <c r="H2297" s="289">
        <v>0</v>
      </c>
      <c r="I2297" s="289">
        <v>110</v>
      </c>
      <c r="J2297" s="289">
        <v>70</v>
      </c>
      <c r="K2297" s="289">
        <v>7</v>
      </c>
      <c r="L2297" s="289">
        <v>1287</v>
      </c>
    </row>
    <row r="2298" spans="1:12">
      <c r="A2298" s="288" t="s">
        <v>3138</v>
      </c>
      <c r="B2298" s="288" t="s">
        <v>2808</v>
      </c>
      <c r="C2298" s="288" t="s">
        <v>814</v>
      </c>
      <c r="D2298" s="288" t="s">
        <v>818</v>
      </c>
      <c r="E2298" s="289">
        <v>10</v>
      </c>
      <c r="F2298" s="290">
        <v>9</v>
      </c>
      <c r="G2298" s="289">
        <v>1100</v>
      </c>
      <c r="H2298" s="289">
        <v>0</v>
      </c>
      <c r="I2298" s="289">
        <v>110</v>
      </c>
      <c r="J2298" s="289">
        <v>70</v>
      </c>
      <c r="K2298" s="289">
        <v>7</v>
      </c>
      <c r="L2298" s="289">
        <v>1287</v>
      </c>
    </row>
    <row r="2299" spans="1:12">
      <c r="A2299" s="288" t="s">
        <v>3139</v>
      </c>
      <c r="B2299" s="288" t="s">
        <v>2808</v>
      </c>
      <c r="C2299" s="288" t="s">
        <v>814</v>
      </c>
      <c r="D2299" s="288" t="s">
        <v>818</v>
      </c>
      <c r="E2299" s="289">
        <v>10</v>
      </c>
      <c r="F2299" s="290">
        <v>18</v>
      </c>
      <c r="G2299" s="289">
        <v>1100</v>
      </c>
      <c r="H2299" s="289">
        <v>880</v>
      </c>
      <c r="I2299" s="289">
        <v>198</v>
      </c>
      <c r="J2299" s="289">
        <v>70</v>
      </c>
      <c r="K2299" s="289">
        <v>7</v>
      </c>
      <c r="L2299" s="289">
        <v>2255</v>
      </c>
    </row>
    <row r="2300" spans="1:12">
      <c r="A2300" s="288" t="s">
        <v>3140</v>
      </c>
      <c r="B2300" s="288" t="s">
        <v>2808</v>
      </c>
      <c r="C2300" s="288" t="s">
        <v>814</v>
      </c>
      <c r="D2300" s="288" t="s">
        <v>818</v>
      </c>
      <c r="E2300" s="289">
        <v>10</v>
      </c>
      <c r="F2300" s="290">
        <v>16</v>
      </c>
      <c r="G2300" s="289">
        <v>1100</v>
      </c>
      <c r="H2300" s="289">
        <v>660</v>
      </c>
      <c r="I2300" s="289">
        <v>176</v>
      </c>
      <c r="J2300" s="289">
        <v>70</v>
      </c>
      <c r="K2300" s="289">
        <v>7</v>
      </c>
      <c r="L2300" s="289">
        <v>2013</v>
      </c>
    </row>
    <row r="2301" spans="1:12">
      <c r="A2301" s="288" t="s">
        <v>3141</v>
      </c>
      <c r="B2301" s="288" t="s">
        <v>2808</v>
      </c>
      <c r="C2301" s="288" t="s">
        <v>814</v>
      </c>
      <c r="D2301" s="288" t="s">
        <v>818</v>
      </c>
      <c r="E2301" s="289">
        <v>10</v>
      </c>
      <c r="F2301" s="290">
        <v>27</v>
      </c>
      <c r="G2301" s="289">
        <v>1100</v>
      </c>
      <c r="H2301" s="289">
        <v>1870</v>
      </c>
      <c r="I2301" s="289">
        <v>297</v>
      </c>
      <c r="J2301" s="289">
        <v>70</v>
      </c>
      <c r="K2301" s="289">
        <v>7</v>
      </c>
      <c r="L2301" s="289">
        <v>3344</v>
      </c>
    </row>
    <row r="2302" spans="1:12">
      <c r="A2302" s="288" t="s">
        <v>3142</v>
      </c>
      <c r="B2302" s="288" t="s">
        <v>2808</v>
      </c>
      <c r="C2302" s="288" t="s">
        <v>814</v>
      </c>
      <c r="D2302" s="288" t="s">
        <v>818</v>
      </c>
      <c r="E2302" s="289">
        <v>10</v>
      </c>
      <c r="F2302" s="290">
        <v>20</v>
      </c>
      <c r="G2302" s="289">
        <v>1100</v>
      </c>
      <c r="H2302" s="289">
        <v>1100</v>
      </c>
      <c r="I2302" s="289">
        <v>220</v>
      </c>
      <c r="J2302" s="289">
        <v>70</v>
      </c>
      <c r="K2302" s="289">
        <v>7</v>
      </c>
      <c r="L2302" s="289">
        <v>2497</v>
      </c>
    </row>
    <row r="2303" spans="1:12">
      <c r="A2303" s="288" t="s">
        <v>3143</v>
      </c>
      <c r="B2303" s="288" t="s">
        <v>2808</v>
      </c>
      <c r="C2303" s="288" t="s">
        <v>814</v>
      </c>
      <c r="D2303" s="288" t="s">
        <v>818</v>
      </c>
      <c r="E2303" s="289">
        <v>10</v>
      </c>
      <c r="F2303" s="290">
        <v>18</v>
      </c>
      <c r="G2303" s="289">
        <v>1100</v>
      </c>
      <c r="H2303" s="289">
        <v>880</v>
      </c>
      <c r="I2303" s="289">
        <v>198</v>
      </c>
      <c r="J2303" s="289">
        <v>70</v>
      </c>
      <c r="K2303" s="289">
        <v>7</v>
      </c>
      <c r="L2303" s="289">
        <v>2255</v>
      </c>
    </row>
    <row r="2304" spans="1:12">
      <c r="A2304" s="288" t="s">
        <v>3144</v>
      </c>
      <c r="B2304" s="288" t="s">
        <v>2808</v>
      </c>
      <c r="C2304" s="288" t="s">
        <v>814</v>
      </c>
      <c r="D2304" s="288" t="s">
        <v>818</v>
      </c>
      <c r="E2304" s="289">
        <v>10</v>
      </c>
      <c r="F2304" s="290">
        <v>7</v>
      </c>
      <c r="G2304" s="289">
        <v>1100</v>
      </c>
      <c r="H2304" s="289">
        <v>0</v>
      </c>
      <c r="I2304" s="289">
        <v>110</v>
      </c>
      <c r="J2304" s="289">
        <v>70</v>
      </c>
      <c r="K2304" s="289">
        <v>7</v>
      </c>
      <c r="L2304" s="289">
        <v>1287</v>
      </c>
    </row>
    <row r="2305" spans="1:12">
      <c r="A2305" s="288" t="s">
        <v>3145</v>
      </c>
      <c r="B2305" s="288" t="s">
        <v>2808</v>
      </c>
      <c r="C2305" s="288" t="s">
        <v>814</v>
      </c>
      <c r="D2305" s="288" t="s">
        <v>818</v>
      </c>
      <c r="E2305" s="289">
        <v>10</v>
      </c>
      <c r="F2305" s="290">
        <v>5</v>
      </c>
      <c r="G2305" s="289">
        <v>900</v>
      </c>
      <c r="H2305" s="289">
        <v>0</v>
      </c>
      <c r="I2305" s="289">
        <v>90</v>
      </c>
      <c r="J2305" s="289">
        <v>70</v>
      </c>
      <c r="K2305" s="289">
        <v>7</v>
      </c>
      <c r="L2305" s="289">
        <v>1067</v>
      </c>
    </row>
    <row r="2306" spans="1:12">
      <c r="A2306" s="288" t="s">
        <v>3146</v>
      </c>
      <c r="B2306" s="288" t="s">
        <v>2808</v>
      </c>
      <c r="C2306" s="288" t="s">
        <v>814</v>
      </c>
      <c r="D2306" s="288" t="s">
        <v>818</v>
      </c>
      <c r="E2306" s="289">
        <v>10</v>
      </c>
      <c r="F2306" s="290">
        <v>10</v>
      </c>
      <c r="G2306" s="289">
        <v>1100</v>
      </c>
      <c r="H2306" s="289">
        <v>0</v>
      </c>
      <c r="I2306" s="289">
        <v>110</v>
      </c>
      <c r="J2306" s="289">
        <v>70</v>
      </c>
      <c r="K2306" s="289">
        <v>7</v>
      </c>
      <c r="L2306" s="289">
        <v>1287</v>
      </c>
    </row>
    <row r="2307" spans="1:12">
      <c r="A2307" s="288" t="s">
        <v>3147</v>
      </c>
      <c r="B2307" s="288" t="s">
        <v>2808</v>
      </c>
      <c r="C2307" s="288" t="s">
        <v>814</v>
      </c>
      <c r="D2307" s="288" t="s">
        <v>818</v>
      </c>
      <c r="E2307" s="289">
        <v>10</v>
      </c>
      <c r="F2307" s="290">
        <v>8</v>
      </c>
      <c r="G2307" s="289">
        <v>1100</v>
      </c>
      <c r="H2307" s="289">
        <v>0</v>
      </c>
      <c r="I2307" s="289">
        <v>110</v>
      </c>
      <c r="J2307" s="289">
        <v>70</v>
      </c>
      <c r="K2307" s="289">
        <v>7</v>
      </c>
      <c r="L2307" s="289">
        <v>1287</v>
      </c>
    </row>
    <row r="2308" spans="1:12">
      <c r="A2308" s="288" t="s">
        <v>3148</v>
      </c>
      <c r="B2308" s="288" t="s">
        <v>2808</v>
      </c>
      <c r="C2308" s="288" t="s">
        <v>814</v>
      </c>
      <c r="D2308" s="288" t="s">
        <v>818</v>
      </c>
      <c r="E2308" s="289">
        <v>10</v>
      </c>
      <c r="F2308" s="290">
        <v>8</v>
      </c>
      <c r="G2308" s="289">
        <v>1100</v>
      </c>
      <c r="H2308" s="289">
        <v>0</v>
      </c>
      <c r="I2308" s="289">
        <v>110</v>
      </c>
      <c r="J2308" s="289">
        <v>70</v>
      </c>
      <c r="K2308" s="289">
        <v>7</v>
      </c>
      <c r="L2308" s="289">
        <v>1287</v>
      </c>
    </row>
    <row r="2309" spans="1:12">
      <c r="A2309" s="288" t="s">
        <v>3149</v>
      </c>
      <c r="B2309" s="288" t="s">
        <v>2808</v>
      </c>
      <c r="C2309" s="288" t="s">
        <v>814</v>
      </c>
      <c r="D2309" s="288" t="s">
        <v>818</v>
      </c>
      <c r="E2309" s="289">
        <v>10</v>
      </c>
      <c r="F2309" s="290">
        <v>30</v>
      </c>
      <c r="G2309" s="289">
        <v>1100</v>
      </c>
      <c r="H2309" s="289">
        <v>2200</v>
      </c>
      <c r="I2309" s="289">
        <v>330</v>
      </c>
      <c r="J2309" s="289">
        <v>70</v>
      </c>
      <c r="K2309" s="289">
        <v>7</v>
      </c>
      <c r="L2309" s="289">
        <v>3707</v>
      </c>
    </row>
    <row r="2310" spans="1:12">
      <c r="A2310" s="288" t="s">
        <v>3150</v>
      </c>
      <c r="B2310" s="288" t="s">
        <v>2808</v>
      </c>
      <c r="C2310" s="288" t="s">
        <v>814</v>
      </c>
      <c r="D2310" s="288" t="s">
        <v>818</v>
      </c>
      <c r="E2310" s="289">
        <v>10</v>
      </c>
      <c r="F2310" s="290">
        <v>6</v>
      </c>
      <c r="G2310" s="289">
        <v>1100</v>
      </c>
      <c r="H2310" s="289">
        <v>0</v>
      </c>
      <c r="I2310" s="289">
        <v>110</v>
      </c>
      <c r="J2310" s="289">
        <v>70</v>
      </c>
      <c r="K2310" s="289">
        <v>7</v>
      </c>
      <c r="L2310" s="289">
        <v>1287</v>
      </c>
    </row>
    <row r="2311" spans="1:12">
      <c r="A2311" s="288" t="s">
        <v>3151</v>
      </c>
      <c r="B2311" s="288" t="s">
        <v>2808</v>
      </c>
      <c r="C2311" s="288" t="s">
        <v>814</v>
      </c>
      <c r="D2311" s="288" t="s">
        <v>818</v>
      </c>
      <c r="E2311" s="289">
        <v>10</v>
      </c>
      <c r="F2311" s="290">
        <v>9</v>
      </c>
      <c r="G2311" s="289">
        <v>1100</v>
      </c>
      <c r="H2311" s="289">
        <v>0</v>
      </c>
      <c r="I2311" s="289">
        <v>110</v>
      </c>
      <c r="J2311" s="289">
        <v>70</v>
      </c>
      <c r="K2311" s="289">
        <v>7</v>
      </c>
      <c r="L2311" s="289">
        <v>1287</v>
      </c>
    </row>
    <row r="2312" spans="1:12">
      <c r="A2312" s="288" t="s">
        <v>3152</v>
      </c>
      <c r="B2312" s="288" t="s">
        <v>2808</v>
      </c>
      <c r="C2312" s="288" t="s">
        <v>814</v>
      </c>
      <c r="D2312" s="288" t="s">
        <v>818</v>
      </c>
      <c r="E2312" s="289">
        <v>10</v>
      </c>
      <c r="F2312" s="290">
        <v>35</v>
      </c>
      <c r="G2312" s="289">
        <v>1100</v>
      </c>
      <c r="H2312" s="289">
        <v>2750</v>
      </c>
      <c r="I2312" s="289">
        <v>385</v>
      </c>
      <c r="J2312" s="289">
        <v>70</v>
      </c>
      <c r="K2312" s="289">
        <v>7</v>
      </c>
      <c r="L2312" s="289">
        <v>4312</v>
      </c>
    </row>
    <row r="2313" spans="1:12">
      <c r="A2313" s="288" t="s">
        <v>3153</v>
      </c>
      <c r="B2313" s="288" t="s">
        <v>2808</v>
      </c>
      <c r="C2313" s="288" t="s">
        <v>814</v>
      </c>
      <c r="D2313" s="288" t="s">
        <v>818</v>
      </c>
      <c r="E2313" s="289">
        <v>10</v>
      </c>
      <c r="F2313" s="290">
        <v>11</v>
      </c>
      <c r="G2313" s="289">
        <v>1100</v>
      </c>
      <c r="H2313" s="289">
        <v>110</v>
      </c>
      <c r="I2313" s="289">
        <v>121</v>
      </c>
      <c r="J2313" s="289">
        <v>70</v>
      </c>
      <c r="K2313" s="289">
        <v>7</v>
      </c>
      <c r="L2313" s="289">
        <v>1408</v>
      </c>
    </row>
    <row r="2314" spans="1:12">
      <c r="A2314" s="288" t="s">
        <v>3154</v>
      </c>
      <c r="B2314" s="288" t="s">
        <v>2808</v>
      </c>
      <c r="C2314" s="288" t="s">
        <v>814</v>
      </c>
      <c r="D2314" s="288" t="s">
        <v>818</v>
      </c>
      <c r="E2314" s="289">
        <v>10</v>
      </c>
      <c r="F2314" s="290">
        <v>15</v>
      </c>
      <c r="G2314" s="289">
        <v>1100</v>
      </c>
      <c r="H2314" s="289">
        <v>550</v>
      </c>
      <c r="I2314" s="289">
        <v>165</v>
      </c>
      <c r="J2314" s="289">
        <v>70</v>
      </c>
      <c r="K2314" s="289">
        <v>7</v>
      </c>
      <c r="L2314" s="289">
        <v>1892</v>
      </c>
    </row>
    <row r="2315" spans="1:12">
      <c r="A2315" s="288" t="s">
        <v>3155</v>
      </c>
      <c r="B2315" s="288" t="s">
        <v>2808</v>
      </c>
      <c r="C2315" s="288" t="s">
        <v>814</v>
      </c>
      <c r="D2315" s="288" t="s">
        <v>818</v>
      </c>
      <c r="E2315" s="289">
        <v>10</v>
      </c>
      <c r="F2315" s="290">
        <v>15</v>
      </c>
      <c r="G2315" s="289">
        <v>1100</v>
      </c>
      <c r="H2315" s="289">
        <v>550</v>
      </c>
      <c r="I2315" s="289">
        <v>165</v>
      </c>
      <c r="J2315" s="289">
        <v>70</v>
      </c>
      <c r="K2315" s="289">
        <v>7</v>
      </c>
      <c r="L2315" s="289">
        <v>1892</v>
      </c>
    </row>
    <row r="2316" spans="1:12">
      <c r="A2316" s="288" t="s">
        <v>3156</v>
      </c>
      <c r="B2316" s="288" t="s">
        <v>2808</v>
      </c>
      <c r="C2316" s="288" t="s">
        <v>814</v>
      </c>
      <c r="D2316" s="288" t="s">
        <v>818</v>
      </c>
      <c r="E2316" s="289">
        <v>10</v>
      </c>
      <c r="F2316" s="290">
        <v>9</v>
      </c>
      <c r="G2316" s="289">
        <v>1100</v>
      </c>
      <c r="H2316" s="289">
        <v>0</v>
      </c>
      <c r="I2316" s="289">
        <v>110</v>
      </c>
      <c r="J2316" s="289">
        <v>70</v>
      </c>
      <c r="K2316" s="289">
        <v>7</v>
      </c>
      <c r="L2316" s="289">
        <v>1287</v>
      </c>
    </row>
    <row r="2317" spans="1:12">
      <c r="A2317" s="288" t="s">
        <v>3157</v>
      </c>
      <c r="B2317" s="288" t="s">
        <v>2808</v>
      </c>
      <c r="C2317" s="288" t="s">
        <v>814</v>
      </c>
      <c r="D2317" s="288" t="s">
        <v>818</v>
      </c>
      <c r="E2317" s="289">
        <v>10</v>
      </c>
      <c r="F2317" s="290">
        <v>38</v>
      </c>
      <c r="G2317" s="289">
        <v>1100</v>
      </c>
      <c r="H2317" s="289">
        <v>3080</v>
      </c>
      <c r="I2317" s="289">
        <v>418</v>
      </c>
      <c r="J2317" s="289">
        <v>70</v>
      </c>
      <c r="K2317" s="289">
        <v>7</v>
      </c>
      <c r="L2317" s="289">
        <v>4675</v>
      </c>
    </row>
    <row r="2318" spans="1:12">
      <c r="A2318" s="288" t="s">
        <v>3158</v>
      </c>
      <c r="B2318" s="288" t="s">
        <v>2808</v>
      </c>
      <c r="C2318" s="288" t="s">
        <v>814</v>
      </c>
      <c r="D2318" s="288" t="s">
        <v>818</v>
      </c>
      <c r="E2318" s="289">
        <v>10</v>
      </c>
      <c r="F2318" s="290">
        <v>11</v>
      </c>
      <c r="G2318" s="289">
        <v>1100</v>
      </c>
      <c r="H2318" s="289">
        <v>110</v>
      </c>
      <c r="I2318" s="289">
        <v>121</v>
      </c>
      <c r="J2318" s="289">
        <v>70</v>
      </c>
      <c r="K2318" s="289">
        <v>7</v>
      </c>
      <c r="L2318" s="289">
        <v>1408</v>
      </c>
    </row>
    <row r="2319" spans="1:12">
      <c r="A2319" s="288" t="s">
        <v>3159</v>
      </c>
      <c r="B2319" s="288" t="s">
        <v>2808</v>
      </c>
      <c r="C2319" s="288" t="s">
        <v>814</v>
      </c>
      <c r="D2319" s="288" t="s">
        <v>818</v>
      </c>
      <c r="E2319" s="289">
        <v>10</v>
      </c>
      <c r="F2319" s="290">
        <v>10</v>
      </c>
      <c r="G2319" s="289">
        <v>1100</v>
      </c>
      <c r="H2319" s="289">
        <v>0</v>
      </c>
      <c r="I2319" s="289">
        <v>110</v>
      </c>
      <c r="J2319" s="289">
        <v>70</v>
      </c>
      <c r="K2319" s="289">
        <v>7</v>
      </c>
      <c r="L2319" s="289">
        <v>1287</v>
      </c>
    </row>
    <row r="2320" spans="1:12">
      <c r="A2320" s="288" t="s">
        <v>3160</v>
      </c>
      <c r="B2320" s="288" t="s">
        <v>2808</v>
      </c>
      <c r="C2320" s="288" t="s">
        <v>814</v>
      </c>
      <c r="D2320" s="288" t="s">
        <v>818</v>
      </c>
      <c r="E2320" s="289">
        <v>10</v>
      </c>
      <c r="F2320" s="290">
        <v>19</v>
      </c>
      <c r="G2320" s="289">
        <v>1100</v>
      </c>
      <c r="H2320" s="289">
        <v>990</v>
      </c>
      <c r="I2320" s="289">
        <v>209</v>
      </c>
      <c r="J2320" s="289">
        <v>70</v>
      </c>
      <c r="K2320" s="289">
        <v>7</v>
      </c>
      <c r="L2320" s="289">
        <v>2376</v>
      </c>
    </row>
    <row r="2321" spans="1:12">
      <c r="A2321" s="288" t="s">
        <v>3161</v>
      </c>
      <c r="B2321" s="288" t="s">
        <v>2808</v>
      </c>
      <c r="C2321" s="288" t="s">
        <v>814</v>
      </c>
      <c r="D2321" s="288" t="s">
        <v>818</v>
      </c>
      <c r="E2321" s="289">
        <v>10</v>
      </c>
      <c r="F2321" s="290">
        <v>10</v>
      </c>
      <c r="G2321" s="289">
        <v>1100</v>
      </c>
      <c r="H2321" s="289">
        <v>0</v>
      </c>
      <c r="I2321" s="289">
        <v>110</v>
      </c>
      <c r="J2321" s="289">
        <v>70</v>
      </c>
      <c r="K2321" s="289">
        <v>7</v>
      </c>
      <c r="L2321" s="289">
        <v>1287</v>
      </c>
    </row>
    <row r="2322" spans="1:12">
      <c r="A2322" s="288" t="s">
        <v>3162</v>
      </c>
      <c r="B2322" s="288" t="s">
        <v>2808</v>
      </c>
      <c r="C2322" s="288" t="s">
        <v>814</v>
      </c>
      <c r="D2322" s="288" t="s">
        <v>818</v>
      </c>
      <c r="E2322" s="289">
        <v>10</v>
      </c>
      <c r="F2322" s="290">
        <v>15</v>
      </c>
      <c r="G2322" s="289">
        <v>1100</v>
      </c>
      <c r="H2322" s="289">
        <v>550</v>
      </c>
      <c r="I2322" s="289">
        <v>165</v>
      </c>
      <c r="J2322" s="289">
        <v>70</v>
      </c>
      <c r="K2322" s="289">
        <v>7</v>
      </c>
      <c r="L2322" s="289">
        <v>1892</v>
      </c>
    </row>
    <row r="2323" spans="1:12">
      <c r="A2323" s="288" t="s">
        <v>3163</v>
      </c>
      <c r="B2323" s="288" t="s">
        <v>2808</v>
      </c>
      <c r="C2323" s="288" t="s">
        <v>814</v>
      </c>
      <c r="D2323" s="288" t="s">
        <v>818</v>
      </c>
      <c r="E2323" s="289">
        <v>10</v>
      </c>
      <c r="F2323" s="290">
        <v>15</v>
      </c>
      <c r="G2323" s="289">
        <v>1100</v>
      </c>
      <c r="H2323" s="289">
        <v>550</v>
      </c>
      <c r="I2323" s="289">
        <v>165</v>
      </c>
      <c r="J2323" s="289">
        <v>70</v>
      </c>
      <c r="K2323" s="289">
        <v>7</v>
      </c>
      <c r="L2323" s="289">
        <v>1892</v>
      </c>
    </row>
    <row r="2324" spans="1:12">
      <c r="A2324" s="288" t="s">
        <v>3164</v>
      </c>
      <c r="B2324" s="288" t="s">
        <v>2808</v>
      </c>
      <c r="C2324" s="288" t="s">
        <v>814</v>
      </c>
      <c r="D2324" s="288" t="s">
        <v>818</v>
      </c>
      <c r="E2324" s="289">
        <v>10</v>
      </c>
      <c r="F2324" s="290">
        <v>0</v>
      </c>
      <c r="G2324" s="289">
        <v>900</v>
      </c>
      <c r="H2324" s="289">
        <v>0</v>
      </c>
      <c r="I2324" s="289">
        <v>90</v>
      </c>
      <c r="J2324" s="289">
        <v>70</v>
      </c>
      <c r="K2324" s="289">
        <v>7</v>
      </c>
      <c r="L2324" s="289">
        <v>1067</v>
      </c>
    </row>
    <row r="2325" spans="1:12">
      <c r="A2325" s="288" t="s">
        <v>3165</v>
      </c>
      <c r="B2325" s="288" t="s">
        <v>2808</v>
      </c>
      <c r="C2325" s="288" t="s">
        <v>814</v>
      </c>
      <c r="D2325" s="288" t="s">
        <v>818</v>
      </c>
      <c r="E2325" s="289">
        <v>10</v>
      </c>
      <c r="F2325" s="290">
        <v>23</v>
      </c>
      <c r="G2325" s="289">
        <v>1100</v>
      </c>
      <c r="H2325" s="289">
        <v>1430</v>
      </c>
      <c r="I2325" s="289">
        <v>253</v>
      </c>
      <c r="J2325" s="289">
        <v>70</v>
      </c>
      <c r="K2325" s="289">
        <v>7</v>
      </c>
      <c r="L2325" s="289">
        <v>2860</v>
      </c>
    </row>
    <row r="2326" spans="1:12">
      <c r="A2326" s="288" t="s">
        <v>3166</v>
      </c>
      <c r="B2326" s="288" t="s">
        <v>2808</v>
      </c>
      <c r="C2326" s="288" t="s">
        <v>814</v>
      </c>
      <c r="D2326" s="288" t="s">
        <v>818</v>
      </c>
      <c r="E2326" s="289">
        <v>10</v>
      </c>
      <c r="F2326" s="290">
        <v>0</v>
      </c>
      <c r="G2326" s="289">
        <v>550</v>
      </c>
      <c r="H2326" s="289">
        <v>0</v>
      </c>
      <c r="I2326" s="289">
        <v>55</v>
      </c>
      <c r="J2326" s="289">
        <v>70</v>
      </c>
      <c r="K2326" s="289">
        <v>7</v>
      </c>
      <c r="L2326" s="289">
        <v>682</v>
      </c>
    </row>
    <row r="2327" spans="1:12">
      <c r="A2327" s="288" t="s">
        <v>3167</v>
      </c>
      <c r="B2327" s="288" t="s">
        <v>2808</v>
      </c>
      <c r="C2327" s="288" t="s">
        <v>814</v>
      </c>
      <c r="D2327" s="288" t="s">
        <v>818</v>
      </c>
      <c r="E2327" s="289">
        <v>10</v>
      </c>
      <c r="F2327" s="290">
        <v>8</v>
      </c>
      <c r="G2327" s="289">
        <v>1100</v>
      </c>
      <c r="H2327" s="289">
        <v>0</v>
      </c>
      <c r="I2327" s="289">
        <v>110</v>
      </c>
      <c r="J2327" s="289">
        <v>70</v>
      </c>
      <c r="K2327" s="289">
        <v>7</v>
      </c>
      <c r="L2327" s="289">
        <v>1287</v>
      </c>
    </row>
    <row r="2328" spans="1:12">
      <c r="A2328" s="288" t="s">
        <v>3168</v>
      </c>
      <c r="B2328" s="288" t="s">
        <v>2808</v>
      </c>
      <c r="C2328" s="288" t="s">
        <v>814</v>
      </c>
      <c r="D2328" s="288" t="s">
        <v>818</v>
      </c>
      <c r="E2328" s="289">
        <v>10</v>
      </c>
      <c r="F2328" s="290">
        <v>7</v>
      </c>
      <c r="G2328" s="289">
        <v>1100</v>
      </c>
      <c r="H2328" s="289">
        <v>0</v>
      </c>
      <c r="I2328" s="289">
        <v>110</v>
      </c>
      <c r="J2328" s="289">
        <v>70</v>
      </c>
      <c r="K2328" s="289">
        <v>7</v>
      </c>
      <c r="L2328" s="289">
        <v>1287</v>
      </c>
    </row>
    <row r="2329" spans="1:12">
      <c r="A2329" s="288" t="s">
        <v>3169</v>
      </c>
      <c r="B2329" s="288" t="s">
        <v>2808</v>
      </c>
      <c r="C2329" s="288" t="s">
        <v>814</v>
      </c>
      <c r="D2329" s="288" t="s">
        <v>818</v>
      </c>
      <c r="E2329" s="289">
        <v>10</v>
      </c>
      <c r="F2329" s="290">
        <v>5</v>
      </c>
      <c r="G2329" s="289">
        <v>900</v>
      </c>
      <c r="H2329" s="289">
        <v>0</v>
      </c>
      <c r="I2329" s="289">
        <v>90</v>
      </c>
      <c r="J2329" s="289">
        <v>70</v>
      </c>
      <c r="K2329" s="289">
        <v>7</v>
      </c>
      <c r="L2329" s="289">
        <v>1067</v>
      </c>
    </row>
    <row r="2330" spans="1:12">
      <c r="A2330" s="288" t="s">
        <v>3170</v>
      </c>
      <c r="B2330" s="288" t="s">
        <v>2808</v>
      </c>
      <c r="C2330" s="288" t="s">
        <v>814</v>
      </c>
      <c r="D2330" s="288" t="s">
        <v>818</v>
      </c>
      <c r="E2330" s="289">
        <v>10</v>
      </c>
      <c r="F2330" s="290">
        <v>8</v>
      </c>
      <c r="G2330" s="289">
        <v>1100</v>
      </c>
      <c r="H2330" s="289">
        <v>0</v>
      </c>
      <c r="I2330" s="289">
        <v>110</v>
      </c>
      <c r="J2330" s="289">
        <v>70</v>
      </c>
      <c r="K2330" s="289">
        <v>7</v>
      </c>
      <c r="L2330" s="289">
        <v>1287</v>
      </c>
    </row>
    <row r="2331" spans="1:12">
      <c r="A2331" s="288" t="s">
        <v>3171</v>
      </c>
      <c r="B2331" s="288" t="s">
        <v>2808</v>
      </c>
      <c r="C2331" s="288" t="s">
        <v>814</v>
      </c>
      <c r="D2331" s="288" t="s">
        <v>818</v>
      </c>
      <c r="E2331" s="289">
        <v>10</v>
      </c>
      <c r="F2331" s="290">
        <v>16</v>
      </c>
      <c r="G2331" s="289">
        <v>1100</v>
      </c>
      <c r="H2331" s="289">
        <v>660</v>
      </c>
      <c r="I2331" s="289">
        <v>176</v>
      </c>
      <c r="J2331" s="289">
        <v>70</v>
      </c>
      <c r="K2331" s="289">
        <v>7</v>
      </c>
      <c r="L2331" s="289">
        <v>2013</v>
      </c>
    </row>
    <row r="2332" spans="1:12">
      <c r="A2332" s="288" t="s">
        <v>3172</v>
      </c>
      <c r="B2332" s="288" t="s">
        <v>2808</v>
      </c>
      <c r="C2332" s="288" t="s">
        <v>814</v>
      </c>
      <c r="D2332" s="288" t="s">
        <v>818</v>
      </c>
      <c r="E2332" s="289">
        <v>10</v>
      </c>
      <c r="F2332" s="290">
        <v>6</v>
      </c>
      <c r="G2332" s="289">
        <v>1100</v>
      </c>
      <c r="H2332" s="289">
        <v>0</v>
      </c>
      <c r="I2332" s="289">
        <v>110</v>
      </c>
      <c r="J2332" s="289">
        <v>70</v>
      </c>
      <c r="K2332" s="289">
        <v>7</v>
      </c>
      <c r="L2332" s="289">
        <v>1287</v>
      </c>
    </row>
    <row r="2333" spans="1:12">
      <c r="A2333" s="288" t="s">
        <v>3173</v>
      </c>
      <c r="B2333" s="288" t="s">
        <v>2808</v>
      </c>
      <c r="C2333" s="288" t="s">
        <v>814</v>
      </c>
      <c r="D2333" s="288" t="s">
        <v>818</v>
      </c>
      <c r="E2333" s="289">
        <v>10</v>
      </c>
      <c r="F2333" s="290">
        <v>6</v>
      </c>
      <c r="G2333" s="289">
        <v>1100</v>
      </c>
      <c r="H2333" s="289">
        <v>0</v>
      </c>
      <c r="I2333" s="289">
        <v>110</v>
      </c>
      <c r="J2333" s="289">
        <v>70</v>
      </c>
      <c r="K2333" s="289">
        <v>7</v>
      </c>
      <c r="L2333" s="289">
        <v>1287</v>
      </c>
    </row>
    <row r="2334" spans="1:12">
      <c r="A2334" s="288" t="s">
        <v>3174</v>
      </c>
      <c r="B2334" s="288" t="s">
        <v>2808</v>
      </c>
      <c r="C2334" s="288" t="s">
        <v>814</v>
      </c>
      <c r="D2334" s="288" t="s">
        <v>818</v>
      </c>
      <c r="E2334" s="289">
        <v>10</v>
      </c>
      <c r="F2334" s="290">
        <v>22</v>
      </c>
      <c r="G2334" s="289">
        <v>1100</v>
      </c>
      <c r="H2334" s="289">
        <v>1320</v>
      </c>
      <c r="I2334" s="289">
        <v>242</v>
      </c>
      <c r="J2334" s="289">
        <v>70</v>
      </c>
      <c r="K2334" s="289">
        <v>7</v>
      </c>
      <c r="L2334" s="289">
        <v>2739</v>
      </c>
    </row>
    <row r="2335" spans="1:12">
      <c r="A2335" s="288" t="s">
        <v>3175</v>
      </c>
      <c r="B2335" s="288" t="s">
        <v>2808</v>
      </c>
      <c r="C2335" s="288" t="s">
        <v>814</v>
      </c>
      <c r="D2335" s="288" t="s">
        <v>818</v>
      </c>
      <c r="E2335" s="289">
        <v>10</v>
      </c>
      <c r="F2335" s="290">
        <v>6</v>
      </c>
      <c r="G2335" s="289">
        <v>1100</v>
      </c>
      <c r="H2335" s="289">
        <v>0</v>
      </c>
      <c r="I2335" s="289">
        <v>110</v>
      </c>
      <c r="J2335" s="289">
        <v>70</v>
      </c>
      <c r="K2335" s="289">
        <v>7</v>
      </c>
      <c r="L2335" s="289">
        <v>1287</v>
      </c>
    </row>
    <row r="2336" spans="1:12">
      <c r="A2336" s="288" t="s">
        <v>3176</v>
      </c>
      <c r="B2336" s="288" t="s">
        <v>2808</v>
      </c>
      <c r="C2336" s="288" t="s">
        <v>814</v>
      </c>
      <c r="D2336" s="288" t="s">
        <v>818</v>
      </c>
      <c r="E2336" s="289">
        <v>10</v>
      </c>
      <c r="F2336" s="290">
        <v>10</v>
      </c>
      <c r="G2336" s="289">
        <v>1100</v>
      </c>
      <c r="H2336" s="289">
        <v>0</v>
      </c>
      <c r="I2336" s="289">
        <v>110</v>
      </c>
      <c r="J2336" s="289">
        <v>70</v>
      </c>
      <c r="K2336" s="289">
        <v>7</v>
      </c>
      <c r="L2336" s="289">
        <v>1287</v>
      </c>
    </row>
    <row r="2337" spans="1:12">
      <c r="A2337" s="288" t="s">
        <v>3177</v>
      </c>
      <c r="B2337" s="288" t="s">
        <v>2808</v>
      </c>
      <c r="C2337" s="288" t="s">
        <v>814</v>
      </c>
      <c r="D2337" s="288" t="s">
        <v>818</v>
      </c>
      <c r="E2337" s="289">
        <v>10</v>
      </c>
      <c r="F2337" s="290">
        <v>1</v>
      </c>
      <c r="G2337" s="289">
        <v>900</v>
      </c>
      <c r="H2337" s="289">
        <v>0</v>
      </c>
      <c r="I2337" s="289">
        <v>90</v>
      </c>
      <c r="J2337" s="289">
        <v>70</v>
      </c>
      <c r="K2337" s="289">
        <v>7</v>
      </c>
      <c r="L2337" s="289">
        <v>1067</v>
      </c>
    </row>
    <row r="2338" spans="1:12">
      <c r="A2338" s="288" t="s">
        <v>3178</v>
      </c>
      <c r="B2338" s="288" t="s">
        <v>2808</v>
      </c>
      <c r="C2338" s="288" t="s">
        <v>814</v>
      </c>
      <c r="D2338" s="288" t="s">
        <v>818</v>
      </c>
      <c r="E2338" s="289">
        <v>10</v>
      </c>
      <c r="F2338" s="290">
        <v>0</v>
      </c>
      <c r="G2338" s="289">
        <v>900</v>
      </c>
      <c r="H2338" s="289">
        <v>0</v>
      </c>
      <c r="I2338" s="289">
        <v>90</v>
      </c>
      <c r="J2338" s="289">
        <v>70</v>
      </c>
      <c r="K2338" s="289">
        <v>7</v>
      </c>
      <c r="L2338" s="289">
        <v>1067</v>
      </c>
    </row>
    <row r="2339" spans="1:12">
      <c r="A2339" s="288" t="s">
        <v>3179</v>
      </c>
      <c r="B2339" s="288" t="s">
        <v>2808</v>
      </c>
      <c r="C2339" s="288" t="s">
        <v>814</v>
      </c>
      <c r="D2339" s="288" t="s">
        <v>818</v>
      </c>
      <c r="E2339" s="289">
        <v>10</v>
      </c>
      <c r="F2339" s="290">
        <v>26</v>
      </c>
      <c r="G2339" s="289">
        <v>1100</v>
      </c>
      <c r="H2339" s="289">
        <v>1760</v>
      </c>
      <c r="I2339" s="289">
        <v>286</v>
      </c>
      <c r="J2339" s="289">
        <v>70</v>
      </c>
      <c r="K2339" s="289">
        <v>7</v>
      </c>
      <c r="L2339" s="289">
        <v>3223</v>
      </c>
    </row>
    <row r="2340" spans="1:12">
      <c r="A2340" s="288" t="s">
        <v>3180</v>
      </c>
      <c r="B2340" s="288" t="s">
        <v>2808</v>
      </c>
      <c r="C2340" s="288" t="s">
        <v>814</v>
      </c>
      <c r="D2340" s="288" t="s">
        <v>818</v>
      </c>
      <c r="E2340" s="289">
        <v>10</v>
      </c>
      <c r="F2340" s="290">
        <v>8</v>
      </c>
      <c r="G2340" s="289">
        <v>1100</v>
      </c>
      <c r="H2340" s="289">
        <v>0</v>
      </c>
      <c r="I2340" s="289">
        <v>110</v>
      </c>
      <c r="J2340" s="289">
        <v>70</v>
      </c>
      <c r="K2340" s="289">
        <v>7</v>
      </c>
      <c r="L2340" s="289">
        <v>1287</v>
      </c>
    </row>
    <row r="2341" spans="1:12">
      <c r="A2341" s="288" t="s">
        <v>3181</v>
      </c>
      <c r="B2341" s="288" t="s">
        <v>2808</v>
      </c>
      <c r="C2341" s="288" t="s">
        <v>814</v>
      </c>
      <c r="D2341" s="288" t="s">
        <v>818</v>
      </c>
      <c r="E2341" s="289">
        <v>10</v>
      </c>
      <c r="F2341" s="290">
        <v>9</v>
      </c>
      <c r="G2341" s="289">
        <v>1100</v>
      </c>
      <c r="H2341" s="289">
        <v>0</v>
      </c>
      <c r="I2341" s="289">
        <v>110</v>
      </c>
      <c r="J2341" s="289">
        <v>70</v>
      </c>
      <c r="K2341" s="289">
        <v>7</v>
      </c>
      <c r="L2341" s="289">
        <v>1287</v>
      </c>
    </row>
    <row r="2342" spans="1:12">
      <c r="A2342" s="288" t="s">
        <v>3182</v>
      </c>
      <c r="B2342" s="288" t="s">
        <v>2808</v>
      </c>
      <c r="C2342" s="288" t="s">
        <v>814</v>
      </c>
      <c r="D2342" s="288" t="s">
        <v>818</v>
      </c>
      <c r="E2342" s="289">
        <v>10</v>
      </c>
      <c r="F2342" s="290">
        <v>12</v>
      </c>
      <c r="G2342" s="289">
        <v>1100</v>
      </c>
      <c r="H2342" s="289">
        <v>220</v>
      </c>
      <c r="I2342" s="289">
        <v>132</v>
      </c>
      <c r="J2342" s="289">
        <v>70</v>
      </c>
      <c r="K2342" s="289">
        <v>7</v>
      </c>
      <c r="L2342" s="289">
        <v>1529</v>
      </c>
    </row>
    <row r="2343" spans="1:12">
      <c r="A2343" s="288" t="s">
        <v>3183</v>
      </c>
      <c r="B2343" s="288" t="s">
        <v>2561</v>
      </c>
      <c r="C2343" s="288" t="s">
        <v>814</v>
      </c>
      <c r="D2343" s="288" t="s">
        <v>818</v>
      </c>
      <c r="E2343" s="289">
        <v>10</v>
      </c>
      <c r="F2343" s="290">
        <v>28</v>
      </c>
      <c r="G2343" s="289">
        <v>1100</v>
      </c>
      <c r="H2343" s="289">
        <v>1980</v>
      </c>
      <c r="I2343" s="289">
        <v>308</v>
      </c>
      <c r="J2343" s="289">
        <v>70</v>
      </c>
      <c r="K2343" s="289">
        <v>7</v>
      </c>
      <c r="L2343" s="289">
        <v>3465</v>
      </c>
    </row>
    <row r="2344" spans="1:12">
      <c r="A2344" s="288" t="s">
        <v>3184</v>
      </c>
      <c r="B2344" s="288" t="s">
        <v>2561</v>
      </c>
      <c r="C2344" s="288" t="s">
        <v>814</v>
      </c>
      <c r="D2344" s="288" t="s">
        <v>818</v>
      </c>
      <c r="E2344" s="289">
        <v>10</v>
      </c>
      <c r="F2344" s="290">
        <v>21</v>
      </c>
      <c r="G2344" s="289">
        <v>1100</v>
      </c>
      <c r="H2344" s="289">
        <v>1210</v>
      </c>
      <c r="I2344" s="289">
        <v>231</v>
      </c>
      <c r="J2344" s="289">
        <v>70</v>
      </c>
      <c r="K2344" s="289">
        <v>7</v>
      </c>
      <c r="L2344" s="289">
        <v>2618</v>
      </c>
    </row>
    <row r="2345" spans="1:12">
      <c r="A2345" s="288" t="s">
        <v>3185</v>
      </c>
      <c r="B2345" s="288" t="s">
        <v>2561</v>
      </c>
      <c r="C2345" s="288" t="s">
        <v>814</v>
      </c>
      <c r="D2345" s="288" t="s">
        <v>818</v>
      </c>
      <c r="E2345" s="289">
        <v>10</v>
      </c>
      <c r="F2345" s="290">
        <v>10</v>
      </c>
      <c r="G2345" s="289">
        <v>1100</v>
      </c>
      <c r="H2345" s="289">
        <v>0</v>
      </c>
      <c r="I2345" s="289">
        <v>110</v>
      </c>
      <c r="J2345" s="289">
        <v>70</v>
      </c>
      <c r="K2345" s="289">
        <v>7</v>
      </c>
      <c r="L2345" s="289">
        <v>1287</v>
      </c>
    </row>
    <row r="2346" spans="1:12">
      <c r="A2346" s="288" t="s">
        <v>3186</v>
      </c>
      <c r="B2346" s="288" t="s">
        <v>2561</v>
      </c>
      <c r="C2346" s="288" t="s">
        <v>814</v>
      </c>
      <c r="D2346" s="288" t="s">
        <v>818</v>
      </c>
      <c r="E2346" s="289">
        <v>10</v>
      </c>
      <c r="F2346" s="290">
        <v>1</v>
      </c>
      <c r="G2346" s="289">
        <v>900</v>
      </c>
      <c r="H2346" s="289">
        <v>0</v>
      </c>
      <c r="I2346" s="289">
        <v>90</v>
      </c>
      <c r="J2346" s="289">
        <v>70</v>
      </c>
      <c r="K2346" s="289">
        <v>7</v>
      </c>
      <c r="L2346" s="289">
        <v>1067</v>
      </c>
    </row>
    <row r="2347" spans="1:12">
      <c r="A2347" s="288" t="s">
        <v>3187</v>
      </c>
      <c r="B2347" s="288" t="s">
        <v>2561</v>
      </c>
      <c r="C2347" s="288" t="s">
        <v>814</v>
      </c>
      <c r="D2347" s="288" t="s">
        <v>818</v>
      </c>
      <c r="E2347" s="289">
        <v>10</v>
      </c>
      <c r="F2347" s="290">
        <v>9</v>
      </c>
      <c r="G2347" s="289">
        <v>1100</v>
      </c>
      <c r="H2347" s="289">
        <v>0</v>
      </c>
      <c r="I2347" s="289">
        <v>110</v>
      </c>
      <c r="J2347" s="289">
        <v>70</v>
      </c>
      <c r="K2347" s="289">
        <v>7</v>
      </c>
      <c r="L2347" s="289">
        <v>1287</v>
      </c>
    </row>
    <row r="2348" spans="1:12">
      <c r="A2348" s="288" t="s">
        <v>3188</v>
      </c>
      <c r="B2348" s="288" t="s">
        <v>2561</v>
      </c>
      <c r="C2348" s="288" t="s">
        <v>814</v>
      </c>
      <c r="D2348" s="288" t="s">
        <v>818</v>
      </c>
      <c r="E2348" s="289">
        <v>10</v>
      </c>
      <c r="F2348" s="290">
        <v>13</v>
      </c>
      <c r="G2348" s="289">
        <v>1100</v>
      </c>
      <c r="H2348" s="289">
        <v>330</v>
      </c>
      <c r="I2348" s="289">
        <v>143</v>
      </c>
      <c r="J2348" s="289">
        <v>70</v>
      </c>
      <c r="K2348" s="289">
        <v>7</v>
      </c>
      <c r="L2348" s="289">
        <v>1650</v>
      </c>
    </row>
    <row r="2349" spans="1:12">
      <c r="A2349" s="288" t="s">
        <v>3189</v>
      </c>
      <c r="B2349" s="288" t="s">
        <v>2561</v>
      </c>
      <c r="C2349" s="288" t="s">
        <v>814</v>
      </c>
      <c r="D2349" s="288" t="s">
        <v>818</v>
      </c>
      <c r="E2349" s="289">
        <v>10</v>
      </c>
      <c r="F2349" s="290">
        <v>14</v>
      </c>
      <c r="G2349" s="289">
        <v>1100</v>
      </c>
      <c r="H2349" s="289">
        <v>440</v>
      </c>
      <c r="I2349" s="289">
        <v>154</v>
      </c>
      <c r="J2349" s="289">
        <v>70</v>
      </c>
      <c r="K2349" s="289">
        <v>7</v>
      </c>
      <c r="L2349" s="289">
        <v>1771</v>
      </c>
    </row>
    <row r="2350" spans="1:12">
      <c r="A2350" s="288" t="s">
        <v>3190</v>
      </c>
      <c r="B2350" s="288" t="s">
        <v>2561</v>
      </c>
      <c r="C2350" s="288" t="s">
        <v>814</v>
      </c>
      <c r="D2350" s="288" t="s">
        <v>818</v>
      </c>
      <c r="E2350" s="289">
        <v>10</v>
      </c>
      <c r="F2350" s="290">
        <v>6</v>
      </c>
      <c r="G2350" s="289">
        <v>1100</v>
      </c>
      <c r="H2350" s="289">
        <v>0</v>
      </c>
      <c r="I2350" s="289">
        <v>110</v>
      </c>
      <c r="J2350" s="289">
        <v>70</v>
      </c>
      <c r="K2350" s="289">
        <v>7</v>
      </c>
      <c r="L2350" s="289">
        <v>1287</v>
      </c>
    </row>
    <row r="2351" spans="1:12">
      <c r="A2351" s="288" t="s">
        <v>3191</v>
      </c>
      <c r="B2351" s="288" t="s">
        <v>2561</v>
      </c>
      <c r="C2351" s="288" t="s">
        <v>814</v>
      </c>
      <c r="D2351" s="288" t="s">
        <v>818</v>
      </c>
      <c r="E2351" s="289">
        <v>10</v>
      </c>
      <c r="F2351" s="290">
        <v>8</v>
      </c>
      <c r="G2351" s="289">
        <v>1100</v>
      </c>
      <c r="H2351" s="289">
        <v>0</v>
      </c>
      <c r="I2351" s="289">
        <v>110</v>
      </c>
      <c r="J2351" s="289">
        <v>70</v>
      </c>
      <c r="K2351" s="289">
        <v>7</v>
      </c>
      <c r="L2351" s="289">
        <v>1287</v>
      </c>
    </row>
    <row r="2352" spans="1:12">
      <c r="A2352" s="288" t="s">
        <v>3192</v>
      </c>
      <c r="B2352" s="288" t="s">
        <v>2561</v>
      </c>
      <c r="C2352" s="288" t="s">
        <v>814</v>
      </c>
      <c r="D2352" s="288" t="s">
        <v>818</v>
      </c>
      <c r="E2352" s="289">
        <v>10</v>
      </c>
      <c r="F2352" s="290">
        <v>17</v>
      </c>
      <c r="G2352" s="289">
        <v>1100</v>
      </c>
      <c r="H2352" s="289">
        <v>770</v>
      </c>
      <c r="I2352" s="289">
        <v>187</v>
      </c>
      <c r="J2352" s="289">
        <v>70</v>
      </c>
      <c r="K2352" s="289">
        <v>7</v>
      </c>
      <c r="L2352" s="289">
        <v>2134</v>
      </c>
    </row>
    <row r="2353" spans="1:12">
      <c r="A2353" s="288" t="s">
        <v>3193</v>
      </c>
      <c r="B2353" s="288" t="s">
        <v>2561</v>
      </c>
      <c r="C2353" s="288" t="s">
        <v>814</v>
      </c>
      <c r="D2353" s="288" t="s">
        <v>818</v>
      </c>
      <c r="E2353" s="289">
        <v>10</v>
      </c>
      <c r="F2353" s="290">
        <v>27</v>
      </c>
      <c r="G2353" s="289">
        <v>1100</v>
      </c>
      <c r="H2353" s="289">
        <v>1870</v>
      </c>
      <c r="I2353" s="289">
        <v>297</v>
      </c>
      <c r="J2353" s="289">
        <v>70</v>
      </c>
      <c r="K2353" s="289">
        <v>7</v>
      </c>
      <c r="L2353" s="289">
        <v>3344</v>
      </c>
    </row>
    <row r="2354" spans="1:12">
      <c r="A2354" s="288" t="s">
        <v>3194</v>
      </c>
      <c r="B2354" s="288" t="s">
        <v>2561</v>
      </c>
      <c r="C2354" s="288" t="s">
        <v>814</v>
      </c>
      <c r="D2354" s="288" t="s">
        <v>818</v>
      </c>
      <c r="E2354" s="289">
        <v>10</v>
      </c>
      <c r="F2354" s="290">
        <v>3</v>
      </c>
      <c r="G2354" s="289">
        <v>900</v>
      </c>
      <c r="H2354" s="289">
        <v>0</v>
      </c>
      <c r="I2354" s="289">
        <v>90</v>
      </c>
      <c r="J2354" s="289">
        <v>70</v>
      </c>
      <c r="K2354" s="289">
        <v>7</v>
      </c>
      <c r="L2354" s="289">
        <v>1067</v>
      </c>
    </row>
    <row r="2355" spans="1:12">
      <c r="A2355" s="288" t="s">
        <v>3195</v>
      </c>
      <c r="B2355" s="288" t="s">
        <v>2561</v>
      </c>
      <c r="C2355" s="288" t="s">
        <v>814</v>
      </c>
      <c r="D2355" s="288" t="s">
        <v>818</v>
      </c>
      <c r="E2355" s="289">
        <v>10</v>
      </c>
      <c r="F2355" s="290">
        <v>5</v>
      </c>
      <c r="G2355" s="289">
        <v>900</v>
      </c>
      <c r="H2355" s="289">
        <v>0</v>
      </c>
      <c r="I2355" s="289">
        <v>90</v>
      </c>
      <c r="J2355" s="289">
        <v>70</v>
      </c>
      <c r="K2355" s="289">
        <v>7</v>
      </c>
      <c r="L2355" s="289">
        <v>1067</v>
      </c>
    </row>
    <row r="2356" spans="1:12">
      <c r="A2356" s="288" t="s">
        <v>3196</v>
      </c>
      <c r="B2356" s="288" t="s">
        <v>2561</v>
      </c>
      <c r="C2356" s="288" t="s">
        <v>814</v>
      </c>
      <c r="D2356" s="288" t="s">
        <v>818</v>
      </c>
      <c r="E2356" s="289">
        <v>10</v>
      </c>
      <c r="F2356" s="290">
        <v>11</v>
      </c>
      <c r="G2356" s="289">
        <v>1100</v>
      </c>
      <c r="H2356" s="289">
        <v>110</v>
      </c>
      <c r="I2356" s="289">
        <v>121</v>
      </c>
      <c r="J2356" s="289">
        <v>70</v>
      </c>
      <c r="K2356" s="289">
        <v>7</v>
      </c>
      <c r="L2356" s="289">
        <v>1408</v>
      </c>
    </row>
    <row r="2357" spans="1:12">
      <c r="A2357" s="288" t="s">
        <v>3197</v>
      </c>
      <c r="B2357" s="288" t="s">
        <v>2561</v>
      </c>
      <c r="C2357" s="288" t="s">
        <v>814</v>
      </c>
      <c r="D2357" s="288" t="s">
        <v>818</v>
      </c>
      <c r="E2357" s="289">
        <v>10</v>
      </c>
      <c r="F2357" s="290">
        <v>7</v>
      </c>
      <c r="G2357" s="289">
        <v>1100</v>
      </c>
      <c r="H2357" s="289">
        <v>0</v>
      </c>
      <c r="I2357" s="289">
        <v>110</v>
      </c>
      <c r="J2357" s="289">
        <v>70</v>
      </c>
      <c r="K2357" s="289">
        <v>7</v>
      </c>
      <c r="L2357" s="289">
        <v>1287</v>
      </c>
    </row>
    <row r="2358" spans="1:12">
      <c r="A2358" s="288" t="s">
        <v>3198</v>
      </c>
      <c r="B2358" s="288" t="s">
        <v>2561</v>
      </c>
      <c r="C2358" s="288" t="s">
        <v>814</v>
      </c>
      <c r="D2358" s="288" t="s">
        <v>818</v>
      </c>
      <c r="E2358" s="289">
        <v>10</v>
      </c>
      <c r="F2358" s="290">
        <v>6</v>
      </c>
      <c r="G2358" s="289">
        <v>1100</v>
      </c>
      <c r="H2358" s="289">
        <v>0</v>
      </c>
      <c r="I2358" s="289">
        <v>110</v>
      </c>
      <c r="J2358" s="289">
        <v>70</v>
      </c>
      <c r="K2358" s="289">
        <v>7</v>
      </c>
      <c r="L2358" s="289">
        <v>1287</v>
      </c>
    </row>
    <row r="2359" spans="1:12">
      <c r="A2359" s="288" t="s">
        <v>3199</v>
      </c>
      <c r="B2359" s="288" t="s">
        <v>2561</v>
      </c>
      <c r="C2359" s="288" t="s">
        <v>814</v>
      </c>
      <c r="D2359" s="288" t="s">
        <v>818</v>
      </c>
      <c r="E2359" s="289">
        <v>10</v>
      </c>
      <c r="F2359" s="290">
        <v>25</v>
      </c>
      <c r="G2359" s="289">
        <v>1100</v>
      </c>
      <c r="H2359" s="289">
        <v>1650</v>
      </c>
      <c r="I2359" s="289">
        <v>275</v>
      </c>
      <c r="J2359" s="289">
        <v>70</v>
      </c>
      <c r="K2359" s="289">
        <v>7</v>
      </c>
      <c r="L2359" s="289">
        <v>3102</v>
      </c>
    </row>
    <row r="2360" spans="1:12">
      <c r="A2360" s="288" t="s">
        <v>3200</v>
      </c>
      <c r="B2360" s="288" t="s">
        <v>2561</v>
      </c>
      <c r="C2360" s="288" t="s">
        <v>814</v>
      </c>
      <c r="D2360" s="288" t="s">
        <v>818</v>
      </c>
      <c r="E2360" s="289">
        <v>10</v>
      </c>
      <c r="F2360" s="290">
        <v>10</v>
      </c>
      <c r="G2360" s="289">
        <v>1100</v>
      </c>
      <c r="H2360" s="289">
        <v>0</v>
      </c>
      <c r="I2360" s="289">
        <v>110</v>
      </c>
      <c r="J2360" s="289">
        <v>70</v>
      </c>
      <c r="K2360" s="289">
        <v>7</v>
      </c>
      <c r="L2360" s="289">
        <v>1287</v>
      </c>
    </row>
    <row r="2361" spans="1:12">
      <c r="A2361" s="288" t="s">
        <v>3201</v>
      </c>
      <c r="B2361" s="288" t="s">
        <v>2561</v>
      </c>
      <c r="C2361" s="288" t="s">
        <v>814</v>
      </c>
      <c r="D2361" s="288" t="s">
        <v>818</v>
      </c>
      <c r="E2361" s="289">
        <v>10</v>
      </c>
      <c r="F2361" s="290">
        <v>0</v>
      </c>
      <c r="G2361" s="289">
        <v>900</v>
      </c>
      <c r="H2361" s="289">
        <v>0</v>
      </c>
      <c r="I2361" s="289">
        <v>90</v>
      </c>
      <c r="J2361" s="289">
        <v>70</v>
      </c>
      <c r="K2361" s="289">
        <v>7</v>
      </c>
      <c r="L2361" s="289">
        <v>1067</v>
      </c>
    </row>
    <row r="2362" spans="1:12">
      <c r="A2362" s="288" t="s">
        <v>3202</v>
      </c>
      <c r="B2362" s="288" t="s">
        <v>2561</v>
      </c>
      <c r="C2362" s="288" t="s">
        <v>814</v>
      </c>
      <c r="D2362" s="288" t="s">
        <v>818</v>
      </c>
      <c r="E2362" s="289">
        <v>10</v>
      </c>
      <c r="F2362" s="290">
        <v>23</v>
      </c>
      <c r="G2362" s="289">
        <v>1100</v>
      </c>
      <c r="H2362" s="289">
        <v>1430</v>
      </c>
      <c r="I2362" s="289">
        <v>253</v>
      </c>
      <c r="J2362" s="289">
        <v>70</v>
      </c>
      <c r="K2362" s="289">
        <v>7</v>
      </c>
      <c r="L2362" s="289">
        <v>2860</v>
      </c>
    </row>
    <row r="2363" spans="1:12">
      <c r="A2363" s="288" t="s">
        <v>3203</v>
      </c>
      <c r="B2363" s="288" t="s">
        <v>2561</v>
      </c>
      <c r="C2363" s="288" t="s">
        <v>814</v>
      </c>
      <c r="D2363" s="288" t="s">
        <v>818</v>
      </c>
      <c r="E2363" s="289">
        <v>10</v>
      </c>
      <c r="F2363" s="290">
        <v>21</v>
      </c>
      <c r="G2363" s="289">
        <v>1100</v>
      </c>
      <c r="H2363" s="289">
        <v>1210</v>
      </c>
      <c r="I2363" s="289">
        <v>231</v>
      </c>
      <c r="J2363" s="289">
        <v>70</v>
      </c>
      <c r="K2363" s="289">
        <v>7</v>
      </c>
      <c r="L2363" s="289">
        <v>2618</v>
      </c>
    </row>
    <row r="2364" spans="1:12">
      <c r="A2364" s="288" t="s">
        <v>3204</v>
      </c>
      <c r="B2364" s="288" t="s">
        <v>2561</v>
      </c>
      <c r="C2364" s="288" t="s">
        <v>814</v>
      </c>
      <c r="D2364" s="288" t="s">
        <v>818</v>
      </c>
      <c r="E2364" s="289">
        <v>10</v>
      </c>
      <c r="F2364" s="290">
        <v>27</v>
      </c>
      <c r="G2364" s="289">
        <v>1100</v>
      </c>
      <c r="H2364" s="289">
        <v>1870</v>
      </c>
      <c r="I2364" s="289">
        <v>297</v>
      </c>
      <c r="J2364" s="289">
        <v>70</v>
      </c>
      <c r="K2364" s="289">
        <v>7</v>
      </c>
      <c r="L2364" s="289">
        <v>3344</v>
      </c>
    </row>
    <row r="2365" spans="1:12">
      <c r="A2365" s="288" t="s">
        <v>3205</v>
      </c>
      <c r="B2365" s="288" t="s">
        <v>2561</v>
      </c>
      <c r="C2365" s="288" t="s">
        <v>814</v>
      </c>
      <c r="D2365" s="288" t="s">
        <v>818</v>
      </c>
      <c r="E2365" s="289">
        <v>10</v>
      </c>
      <c r="F2365" s="290">
        <v>19</v>
      </c>
      <c r="G2365" s="289">
        <v>1100</v>
      </c>
      <c r="H2365" s="289">
        <v>990</v>
      </c>
      <c r="I2365" s="289">
        <v>209</v>
      </c>
      <c r="J2365" s="289">
        <v>70</v>
      </c>
      <c r="K2365" s="289">
        <v>7</v>
      </c>
      <c r="L2365" s="289">
        <v>2376</v>
      </c>
    </row>
    <row r="2366" spans="1:12">
      <c r="A2366" s="288" t="s">
        <v>3206</v>
      </c>
      <c r="B2366" s="288" t="s">
        <v>2561</v>
      </c>
      <c r="C2366" s="288" t="s">
        <v>814</v>
      </c>
      <c r="D2366" s="288" t="s">
        <v>818</v>
      </c>
      <c r="E2366" s="289">
        <v>10</v>
      </c>
      <c r="F2366" s="290">
        <v>24</v>
      </c>
      <c r="G2366" s="289">
        <v>1100</v>
      </c>
      <c r="H2366" s="289">
        <v>1540</v>
      </c>
      <c r="I2366" s="289">
        <v>264</v>
      </c>
      <c r="J2366" s="289">
        <v>70</v>
      </c>
      <c r="K2366" s="289">
        <v>7</v>
      </c>
      <c r="L2366" s="289">
        <v>2981</v>
      </c>
    </row>
    <row r="2367" spans="1:12">
      <c r="A2367" s="288" t="s">
        <v>3207</v>
      </c>
      <c r="B2367" s="288" t="s">
        <v>2561</v>
      </c>
      <c r="C2367" s="288" t="s">
        <v>814</v>
      </c>
      <c r="D2367" s="288" t="s">
        <v>818</v>
      </c>
      <c r="E2367" s="289">
        <v>10</v>
      </c>
      <c r="F2367" s="290">
        <v>20</v>
      </c>
      <c r="G2367" s="289">
        <v>1100</v>
      </c>
      <c r="H2367" s="289">
        <v>1100</v>
      </c>
      <c r="I2367" s="289">
        <v>220</v>
      </c>
      <c r="J2367" s="289">
        <v>70</v>
      </c>
      <c r="K2367" s="289">
        <v>7</v>
      </c>
      <c r="L2367" s="289">
        <v>2497</v>
      </c>
    </row>
    <row r="2368" spans="1:12">
      <c r="A2368" s="288" t="s">
        <v>3208</v>
      </c>
      <c r="B2368" s="288" t="s">
        <v>2561</v>
      </c>
      <c r="C2368" s="288" t="s">
        <v>814</v>
      </c>
      <c r="D2368" s="288" t="s">
        <v>818</v>
      </c>
      <c r="E2368" s="289">
        <v>10</v>
      </c>
      <c r="F2368" s="290">
        <v>11</v>
      </c>
      <c r="G2368" s="289">
        <v>1100</v>
      </c>
      <c r="H2368" s="289">
        <v>110</v>
      </c>
      <c r="I2368" s="289">
        <v>121</v>
      </c>
      <c r="J2368" s="289">
        <v>70</v>
      </c>
      <c r="K2368" s="289">
        <v>7</v>
      </c>
      <c r="L2368" s="289">
        <v>1408</v>
      </c>
    </row>
    <row r="2369" spans="1:12">
      <c r="A2369" s="288" t="s">
        <v>3209</v>
      </c>
      <c r="B2369" s="288" t="s">
        <v>2561</v>
      </c>
      <c r="C2369" s="288" t="s">
        <v>814</v>
      </c>
      <c r="D2369" s="288" t="s">
        <v>818</v>
      </c>
      <c r="E2369" s="289">
        <v>10</v>
      </c>
      <c r="F2369" s="290">
        <v>18</v>
      </c>
      <c r="G2369" s="289">
        <v>1100</v>
      </c>
      <c r="H2369" s="289">
        <v>880</v>
      </c>
      <c r="I2369" s="289">
        <v>198</v>
      </c>
      <c r="J2369" s="289">
        <v>70</v>
      </c>
      <c r="K2369" s="289">
        <v>7</v>
      </c>
      <c r="L2369" s="289">
        <v>2255</v>
      </c>
    </row>
    <row r="2370" spans="1:12">
      <c r="A2370" s="288" t="s">
        <v>3210</v>
      </c>
      <c r="B2370" s="288" t="s">
        <v>2561</v>
      </c>
      <c r="C2370" s="288" t="s">
        <v>814</v>
      </c>
      <c r="D2370" s="288" t="s">
        <v>818</v>
      </c>
      <c r="E2370" s="289">
        <v>10</v>
      </c>
      <c r="F2370" s="290">
        <v>17</v>
      </c>
      <c r="G2370" s="289">
        <v>1100</v>
      </c>
      <c r="H2370" s="289">
        <v>770</v>
      </c>
      <c r="I2370" s="289">
        <v>187</v>
      </c>
      <c r="J2370" s="289">
        <v>70</v>
      </c>
      <c r="K2370" s="289">
        <v>7</v>
      </c>
      <c r="L2370" s="289">
        <v>2134</v>
      </c>
    </row>
    <row r="2371" spans="1:12">
      <c r="A2371" s="288" t="s">
        <v>3211</v>
      </c>
      <c r="B2371" s="288" t="s">
        <v>2561</v>
      </c>
      <c r="C2371" s="288" t="s">
        <v>814</v>
      </c>
      <c r="D2371" s="288" t="s">
        <v>818</v>
      </c>
      <c r="E2371" s="289">
        <v>10</v>
      </c>
      <c r="F2371" s="290">
        <v>24</v>
      </c>
      <c r="G2371" s="289">
        <v>1100</v>
      </c>
      <c r="H2371" s="289">
        <v>1540</v>
      </c>
      <c r="I2371" s="289">
        <v>264</v>
      </c>
      <c r="J2371" s="289">
        <v>70</v>
      </c>
      <c r="K2371" s="289">
        <v>7</v>
      </c>
      <c r="L2371" s="289">
        <v>2981</v>
      </c>
    </row>
    <row r="2372" spans="1:12">
      <c r="A2372" s="288" t="s">
        <v>3212</v>
      </c>
      <c r="B2372" s="288" t="s">
        <v>2561</v>
      </c>
      <c r="C2372" s="288" t="s">
        <v>814</v>
      </c>
      <c r="D2372" s="288" t="s">
        <v>818</v>
      </c>
      <c r="E2372" s="289">
        <v>10</v>
      </c>
      <c r="F2372" s="290">
        <v>22</v>
      </c>
      <c r="G2372" s="289">
        <v>1100</v>
      </c>
      <c r="H2372" s="289">
        <v>1320</v>
      </c>
      <c r="I2372" s="289">
        <v>242</v>
      </c>
      <c r="J2372" s="289">
        <v>70</v>
      </c>
      <c r="K2372" s="289">
        <v>7</v>
      </c>
      <c r="L2372" s="289">
        <v>2739</v>
      </c>
    </row>
    <row r="2373" spans="1:12">
      <c r="A2373" s="288" t="s">
        <v>3213</v>
      </c>
      <c r="B2373" s="288" t="s">
        <v>2561</v>
      </c>
      <c r="C2373" s="288" t="s">
        <v>814</v>
      </c>
      <c r="D2373" s="288" t="s">
        <v>818</v>
      </c>
      <c r="E2373" s="289">
        <v>10</v>
      </c>
      <c r="F2373" s="290">
        <v>7</v>
      </c>
      <c r="G2373" s="289">
        <v>1100</v>
      </c>
      <c r="H2373" s="289">
        <v>0</v>
      </c>
      <c r="I2373" s="289">
        <v>110</v>
      </c>
      <c r="J2373" s="289">
        <v>70</v>
      </c>
      <c r="K2373" s="289">
        <v>7</v>
      </c>
      <c r="L2373" s="289">
        <v>1287</v>
      </c>
    </row>
    <row r="2374" spans="1:12">
      <c r="A2374" s="288" t="s">
        <v>3214</v>
      </c>
      <c r="B2374" s="288" t="s">
        <v>2561</v>
      </c>
      <c r="C2374" s="288" t="s">
        <v>814</v>
      </c>
      <c r="D2374" s="288" t="s">
        <v>818</v>
      </c>
      <c r="E2374" s="289">
        <v>10</v>
      </c>
      <c r="F2374" s="290">
        <v>29</v>
      </c>
      <c r="G2374" s="289">
        <v>1100</v>
      </c>
      <c r="H2374" s="289">
        <v>2090</v>
      </c>
      <c r="I2374" s="289">
        <v>319</v>
      </c>
      <c r="J2374" s="289">
        <v>70</v>
      </c>
      <c r="K2374" s="289">
        <v>7</v>
      </c>
      <c r="L2374" s="289">
        <v>3586</v>
      </c>
    </row>
    <row r="2375" spans="1:12">
      <c r="A2375" s="288" t="s">
        <v>3215</v>
      </c>
      <c r="B2375" s="288" t="s">
        <v>2561</v>
      </c>
      <c r="C2375" s="288" t="s">
        <v>814</v>
      </c>
      <c r="D2375" s="288" t="s">
        <v>818</v>
      </c>
      <c r="E2375" s="289">
        <v>10</v>
      </c>
      <c r="F2375" s="290">
        <v>6</v>
      </c>
      <c r="G2375" s="289">
        <v>1100</v>
      </c>
      <c r="H2375" s="289">
        <v>0</v>
      </c>
      <c r="I2375" s="289">
        <v>110</v>
      </c>
      <c r="J2375" s="289">
        <v>70</v>
      </c>
      <c r="K2375" s="289">
        <v>7</v>
      </c>
      <c r="L2375" s="289">
        <v>1287</v>
      </c>
    </row>
    <row r="2376" spans="1:12">
      <c r="A2376" s="288" t="s">
        <v>3216</v>
      </c>
      <c r="B2376" s="288" t="s">
        <v>2561</v>
      </c>
      <c r="C2376" s="288" t="s">
        <v>814</v>
      </c>
      <c r="D2376" s="288" t="s">
        <v>818</v>
      </c>
      <c r="E2376" s="289">
        <v>10</v>
      </c>
      <c r="F2376" s="290">
        <v>32</v>
      </c>
      <c r="G2376" s="289">
        <v>1100</v>
      </c>
      <c r="H2376" s="289">
        <v>2420</v>
      </c>
      <c r="I2376" s="289">
        <v>352</v>
      </c>
      <c r="J2376" s="289">
        <v>70</v>
      </c>
      <c r="K2376" s="289">
        <v>7</v>
      </c>
      <c r="L2376" s="289">
        <v>3949</v>
      </c>
    </row>
    <row r="2377" spans="1:12">
      <c r="A2377" s="288" t="s">
        <v>3217</v>
      </c>
      <c r="B2377" s="288" t="s">
        <v>2561</v>
      </c>
      <c r="C2377" s="288" t="s">
        <v>814</v>
      </c>
      <c r="D2377" s="288" t="s">
        <v>818</v>
      </c>
      <c r="E2377" s="289">
        <v>10</v>
      </c>
      <c r="F2377" s="290">
        <v>23</v>
      </c>
      <c r="G2377" s="289">
        <v>1100</v>
      </c>
      <c r="H2377" s="289">
        <v>1430</v>
      </c>
      <c r="I2377" s="289">
        <v>253</v>
      </c>
      <c r="J2377" s="289">
        <v>70</v>
      </c>
      <c r="K2377" s="289">
        <v>7</v>
      </c>
      <c r="L2377" s="289">
        <v>2860</v>
      </c>
    </row>
    <row r="2378" spans="1:12">
      <c r="A2378" s="288" t="s">
        <v>3218</v>
      </c>
      <c r="B2378" s="288" t="s">
        <v>2561</v>
      </c>
      <c r="C2378" s="288" t="s">
        <v>814</v>
      </c>
      <c r="D2378" s="288" t="s">
        <v>818</v>
      </c>
      <c r="E2378" s="289">
        <v>10</v>
      </c>
      <c r="F2378" s="290">
        <v>4</v>
      </c>
      <c r="G2378" s="289">
        <v>900</v>
      </c>
      <c r="H2378" s="289">
        <v>0</v>
      </c>
      <c r="I2378" s="289">
        <v>90</v>
      </c>
      <c r="J2378" s="289">
        <v>70</v>
      </c>
      <c r="K2378" s="289">
        <v>7</v>
      </c>
      <c r="L2378" s="289">
        <v>1067</v>
      </c>
    </row>
    <row r="2379" spans="1:12">
      <c r="A2379" s="288" t="s">
        <v>3219</v>
      </c>
      <c r="B2379" s="288" t="s">
        <v>2561</v>
      </c>
      <c r="C2379" s="288" t="s">
        <v>814</v>
      </c>
      <c r="D2379" s="288" t="s">
        <v>818</v>
      </c>
      <c r="E2379" s="289">
        <v>10</v>
      </c>
      <c r="F2379" s="290">
        <v>13</v>
      </c>
      <c r="G2379" s="289">
        <v>1100</v>
      </c>
      <c r="H2379" s="289">
        <v>330</v>
      </c>
      <c r="I2379" s="289">
        <v>143</v>
      </c>
      <c r="J2379" s="289">
        <v>70</v>
      </c>
      <c r="K2379" s="289">
        <v>7</v>
      </c>
      <c r="L2379" s="289">
        <v>1650</v>
      </c>
    </row>
    <row r="2380" spans="1:12">
      <c r="A2380" s="288" t="s">
        <v>3220</v>
      </c>
      <c r="B2380" s="288" t="s">
        <v>2561</v>
      </c>
      <c r="C2380" s="288" t="s">
        <v>814</v>
      </c>
      <c r="D2380" s="288" t="s">
        <v>818</v>
      </c>
      <c r="E2380" s="289">
        <v>10</v>
      </c>
      <c r="F2380" s="290">
        <v>39</v>
      </c>
      <c r="G2380" s="289">
        <v>1100</v>
      </c>
      <c r="H2380" s="289">
        <v>3190</v>
      </c>
      <c r="I2380" s="289">
        <v>429</v>
      </c>
      <c r="J2380" s="289">
        <v>70</v>
      </c>
      <c r="K2380" s="289">
        <v>7</v>
      </c>
      <c r="L2380" s="289">
        <v>4796</v>
      </c>
    </row>
    <row r="2381" spans="1:12">
      <c r="A2381" s="288" t="s">
        <v>3221</v>
      </c>
      <c r="B2381" s="288" t="s">
        <v>2561</v>
      </c>
      <c r="C2381" s="288" t="s">
        <v>814</v>
      </c>
      <c r="D2381" s="288" t="s">
        <v>818</v>
      </c>
      <c r="E2381" s="289">
        <v>10</v>
      </c>
      <c r="F2381" s="290">
        <v>18</v>
      </c>
      <c r="G2381" s="289">
        <v>1100</v>
      </c>
      <c r="H2381" s="289">
        <v>880</v>
      </c>
      <c r="I2381" s="289">
        <v>198</v>
      </c>
      <c r="J2381" s="289">
        <v>70</v>
      </c>
      <c r="K2381" s="289">
        <v>7</v>
      </c>
      <c r="L2381" s="289">
        <v>2255</v>
      </c>
    </row>
    <row r="2382" spans="1:12">
      <c r="A2382" s="288" t="s">
        <v>3222</v>
      </c>
      <c r="B2382" s="288" t="s">
        <v>2561</v>
      </c>
      <c r="C2382" s="288" t="s">
        <v>814</v>
      </c>
      <c r="D2382" s="288" t="s">
        <v>818</v>
      </c>
      <c r="E2382" s="289">
        <v>10</v>
      </c>
      <c r="F2382" s="290">
        <v>22</v>
      </c>
      <c r="G2382" s="289">
        <v>1100</v>
      </c>
      <c r="H2382" s="289">
        <v>1320</v>
      </c>
      <c r="I2382" s="289">
        <v>242</v>
      </c>
      <c r="J2382" s="289">
        <v>70</v>
      </c>
      <c r="K2382" s="289">
        <v>7</v>
      </c>
      <c r="L2382" s="289">
        <v>2739</v>
      </c>
    </row>
    <row r="2383" spans="1:12">
      <c r="A2383" s="288" t="s">
        <v>3223</v>
      </c>
      <c r="B2383" s="288" t="s">
        <v>2561</v>
      </c>
      <c r="C2383" s="288" t="s">
        <v>814</v>
      </c>
      <c r="D2383" s="288" t="s">
        <v>818</v>
      </c>
      <c r="E2383" s="289">
        <v>10</v>
      </c>
      <c r="F2383" s="290">
        <v>2</v>
      </c>
      <c r="G2383" s="289">
        <v>900</v>
      </c>
      <c r="H2383" s="289">
        <v>0</v>
      </c>
      <c r="I2383" s="289">
        <v>90</v>
      </c>
      <c r="J2383" s="289">
        <v>70</v>
      </c>
      <c r="K2383" s="289">
        <v>7</v>
      </c>
      <c r="L2383" s="289">
        <v>1067</v>
      </c>
    </row>
    <row r="2384" spans="1:12">
      <c r="A2384" s="288" t="s">
        <v>3224</v>
      </c>
      <c r="B2384" s="288" t="s">
        <v>2561</v>
      </c>
      <c r="C2384" s="288" t="s">
        <v>814</v>
      </c>
      <c r="D2384" s="288" t="s">
        <v>818</v>
      </c>
      <c r="E2384" s="289">
        <v>10</v>
      </c>
      <c r="F2384" s="290">
        <v>14</v>
      </c>
      <c r="G2384" s="289">
        <v>1100</v>
      </c>
      <c r="H2384" s="289">
        <v>440</v>
      </c>
      <c r="I2384" s="289">
        <v>154</v>
      </c>
      <c r="J2384" s="289">
        <v>70</v>
      </c>
      <c r="K2384" s="289">
        <v>7</v>
      </c>
      <c r="L2384" s="289">
        <v>1771</v>
      </c>
    </row>
    <row r="2385" spans="1:12">
      <c r="A2385" s="288" t="s">
        <v>3225</v>
      </c>
      <c r="B2385" s="288" t="s">
        <v>2561</v>
      </c>
      <c r="C2385" s="288" t="s">
        <v>814</v>
      </c>
      <c r="D2385" s="288" t="s">
        <v>818</v>
      </c>
      <c r="E2385" s="289">
        <v>10</v>
      </c>
      <c r="F2385" s="290">
        <v>17</v>
      </c>
      <c r="G2385" s="289">
        <v>1100</v>
      </c>
      <c r="H2385" s="289">
        <v>770</v>
      </c>
      <c r="I2385" s="289">
        <v>187</v>
      </c>
      <c r="J2385" s="289">
        <v>70</v>
      </c>
      <c r="K2385" s="289">
        <v>7</v>
      </c>
      <c r="L2385" s="289">
        <v>2134</v>
      </c>
    </row>
    <row r="2386" spans="1:12">
      <c r="A2386" s="288" t="s">
        <v>3226</v>
      </c>
      <c r="B2386" s="288" t="s">
        <v>2561</v>
      </c>
      <c r="C2386" s="288" t="s">
        <v>814</v>
      </c>
      <c r="D2386" s="288" t="s">
        <v>818</v>
      </c>
      <c r="E2386" s="289">
        <v>10</v>
      </c>
      <c r="F2386" s="290">
        <v>14</v>
      </c>
      <c r="G2386" s="289">
        <v>1100</v>
      </c>
      <c r="H2386" s="289">
        <v>440</v>
      </c>
      <c r="I2386" s="289">
        <v>154</v>
      </c>
      <c r="J2386" s="289">
        <v>70</v>
      </c>
      <c r="K2386" s="289">
        <v>7</v>
      </c>
      <c r="L2386" s="289">
        <v>1771</v>
      </c>
    </row>
    <row r="2387" spans="1:12">
      <c r="A2387" s="288" t="s">
        <v>3227</v>
      </c>
      <c r="B2387" s="288" t="s">
        <v>2561</v>
      </c>
      <c r="C2387" s="288" t="s">
        <v>814</v>
      </c>
      <c r="D2387" s="288" t="s">
        <v>818</v>
      </c>
      <c r="E2387" s="289">
        <v>10</v>
      </c>
      <c r="F2387" s="290">
        <v>26</v>
      </c>
      <c r="G2387" s="289">
        <v>1100</v>
      </c>
      <c r="H2387" s="289">
        <v>1760</v>
      </c>
      <c r="I2387" s="289">
        <v>286</v>
      </c>
      <c r="J2387" s="289">
        <v>70</v>
      </c>
      <c r="K2387" s="289">
        <v>7</v>
      </c>
      <c r="L2387" s="289">
        <v>3223</v>
      </c>
    </row>
    <row r="2388" spans="1:12">
      <c r="A2388" s="288" t="s">
        <v>3228</v>
      </c>
      <c r="B2388" s="288" t="s">
        <v>2561</v>
      </c>
      <c r="C2388" s="288" t="s">
        <v>820</v>
      </c>
      <c r="D2388" s="288" t="s">
        <v>818</v>
      </c>
      <c r="E2388" s="289">
        <v>10</v>
      </c>
      <c r="F2388" s="290">
        <v>3</v>
      </c>
      <c r="G2388" s="289">
        <v>900</v>
      </c>
      <c r="H2388" s="289">
        <v>0</v>
      </c>
      <c r="I2388" s="289">
        <v>90</v>
      </c>
      <c r="J2388" s="289">
        <v>70</v>
      </c>
      <c r="K2388" s="289">
        <v>7</v>
      </c>
      <c r="L2388" s="289">
        <v>1067</v>
      </c>
    </row>
    <row r="2389" spans="1:12">
      <c r="A2389" s="288" t="s">
        <v>3229</v>
      </c>
      <c r="B2389" s="288" t="s">
        <v>2561</v>
      </c>
      <c r="C2389" s="288" t="s">
        <v>814</v>
      </c>
      <c r="D2389" s="288" t="s">
        <v>818</v>
      </c>
      <c r="E2389" s="289">
        <v>10</v>
      </c>
      <c r="F2389" s="290">
        <v>16</v>
      </c>
      <c r="G2389" s="289">
        <v>1100</v>
      </c>
      <c r="H2389" s="289">
        <v>660</v>
      </c>
      <c r="I2389" s="289">
        <v>176</v>
      </c>
      <c r="J2389" s="289">
        <v>70</v>
      </c>
      <c r="K2389" s="289">
        <v>7</v>
      </c>
      <c r="L2389" s="289">
        <v>2013</v>
      </c>
    </row>
    <row r="2390" spans="1:12">
      <c r="A2390" s="288" t="s">
        <v>3230</v>
      </c>
      <c r="B2390" s="288" t="s">
        <v>2561</v>
      </c>
      <c r="C2390" s="288" t="s">
        <v>820</v>
      </c>
      <c r="D2390" s="288" t="s">
        <v>818</v>
      </c>
      <c r="E2390" s="289">
        <v>10</v>
      </c>
      <c r="F2390" s="290">
        <v>1</v>
      </c>
      <c r="G2390" s="289">
        <v>900</v>
      </c>
      <c r="H2390" s="289">
        <v>0</v>
      </c>
      <c r="I2390" s="289">
        <v>90</v>
      </c>
      <c r="J2390" s="289">
        <v>70</v>
      </c>
      <c r="K2390" s="289">
        <v>7</v>
      </c>
      <c r="L2390" s="289">
        <v>1067</v>
      </c>
    </row>
    <row r="2391" spans="1:12">
      <c r="A2391" s="288" t="s">
        <v>3231</v>
      </c>
      <c r="B2391" s="288" t="s">
        <v>2561</v>
      </c>
      <c r="C2391" s="288" t="s">
        <v>829</v>
      </c>
      <c r="D2391" s="288" t="s">
        <v>837</v>
      </c>
      <c r="E2391" s="289">
        <v>10</v>
      </c>
      <c r="F2391" s="290">
        <v>42</v>
      </c>
      <c r="G2391" s="289">
        <v>1100</v>
      </c>
      <c r="H2391" s="289">
        <v>3520</v>
      </c>
      <c r="I2391" s="289">
        <v>462</v>
      </c>
      <c r="J2391" s="289">
        <v>800</v>
      </c>
      <c r="K2391" s="289">
        <v>80</v>
      </c>
      <c r="L2391" s="289">
        <v>5962</v>
      </c>
    </row>
    <row r="2392" spans="1:12">
      <c r="A2392" s="288" t="s">
        <v>3232</v>
      </c>
      <c r="B2392" s="288" t="s">
        <v>2561</v>
      </c>
      <c r="C2392" s="288" t="s">
        <v>829</v>
      </c>
      <c r="D2392" s="288" t="s">
        <v>837</v>
      </c>
      <c r="E2392" s="289">
        <v>10</v>
      </c>
      <c r="F2392" s="290">
        <v>202</v>
      </c>
      <c r="G2392" s="289">
        <v>1100</v>
      </c>
      <c r="H2392" s="289">
        <v>20100</v>
      </c>
      <c r="I2392" s="289">
        <v>2120</v>
      </c>
      <c r="J2392" s="289">
        <v>800</v>
      </c>
      <c r="K2392" s="289">
        <v>80</v>
      </c>
      <c r="L2392" s="289">
        <v>24200</v>
      </c>
    </row>
    <row r="2393" spans="1:12">
      <c r="A2393" s="288" t="s">
        <v>3233</v>
      </c>
      <c r="B2393" s="288" t="s">
        <v>2561</v>
      </c>
      <c r="C2393" s="288" t="s">
        <v>829</v>
      </c>
      <c r="D2393" s="288" t="s">
        <v>818</v>
      </c>
      <c r="E2393" s="289">
        <v>10</v>
      </c>
      <c r="F2393" s="290">
        <v>0</v>
      </c>
      <c r="G2393" s="289">
        <v>900</v>
      </c>
      <c r="H2393" s="289">
        <v>0</v>
      </c>
      <c r="I2393" s="289">
        <v>90</v>
      </c>
      <c r="J2393" s="289">
        <v>70</v>
      </c>
      <c r="K2393" s="289">
        <v>7</v>
      </c>
      <c r="L2393" s="289">
        <v>1067</v>
      </c>
    </row>
    <row r="2394" spans="1:12">
      <c r="A2394" s="288" t="s">
        <v>3234</v>
      </c>
      <c r="B2394" s="288" t="s">
        <v>2561</v>
      </c>
      <c r="C2394" s="288" t="s">
        <v>820</v>
      </c>
      <c r="D2394" s="288" t="s">
        <v>818</v>
      </c>
      <c r="E2394" s="289">
        <v>10</v>
      </c>
      <c r="F2394" s="290">
        <v>27</v>
      </c>
      <c r="G2394" s="289">
        <v>1100</v>
      </c>
      <c r="H2394" s="289">
        <v>1870</v>
      </c>
      <c r="I2394" s="289">
        <v>297</v>
      </c>
      <c r="J2394" s="289">
        <v>70</v>
      </c>
      <c r="K2394" s="289">
        <v>7</v>
      </c>
      <c r="L2394" s="289">
        <v>3344</v>
      </c>
    </row>
    <row r="2395" spans="1:12">
      <c r="A2395" s="288" t="s">
        <v>3235</v>
      </c>
      <c r="B2395" s="288" t="s">
        <v>2561</v>
      </c>
      <c r="C2395" s="288" t="s">
        <v>829</v>
      </c>
      <c r="D2395" s="288" t="s">
        <v>818</v>
      </c>
      <c r="E2395" s="289">
        <v>10</v>
      </c>
      <c r="F2395" s="290">
        <v>2</v>
      </c>
      <c r="G2395" s="289">
        <v>900</v>
      </c>
      <c r="H2395" s="289">
        <v>0</v>
      </c>
      <c r="I2395" s="289">
        <v>90</v>
      </c>
      <c r="J2395" s="289">
        <v>70</v>
      </c>
      <c r="K2395" s="289">
        <v>7</v>
      </c>
      <c r="L2395" s="289">
        <v>1067</v>
      </c>
    </row>
    <row r="2396" spans="1:12">
      <c r="A2396" s="288" t="s">
        <v>3236</v>
      </c>
      <c r="B2396" s="288" t="s">
        <v>2561</v>
      </c>
      <c r="C2396" s="288" t="s">
        <v>814</v>
      </c>
      <c r="D2396" s="288" t="s">
        <v>818</v>
      </c>
      <c r="E2396" s="289">
        <v>10</v>
      </c>
      <c r="F2396" s="290">
        <v>31</v>
      </c>
      <c r="G2396" s="289">
        <v>1100</v>
      </c>
      <c r="H2396" s="289">
        <v>2310</v>
      </c>
      <c r="I2396" s="289">
        <v>341</v>
      </c>
      <c r="J2396" s="289">
        <v>70</v>
      </c>
      <c r="K2396" s="289">
        <v>7</v>
      </c>
      <c r="L2396" s="289">
        <v>3828</v>
      </c>
    </row>
    <row r="2397" spans="1:12">
      <c r="A2397" s="288" t="s">
        <v>3237</v>
      </c>
      <c r="B2397" s="288" t="s">
        <v>2561</v>
      </c>
      <c r="C2397" s="288" t="s">
        <v>814</v>
      </c>
      <c r="D2397" s="288" t="s">
        <v>818</v>
      </c>
      <c r="E2397" s="289">
        <v>10</v>
      </c>
      <c r="F2397" s="290">
        <v>35</v>
      </c>
      <c r="G2397" s="289">
        <v>1100</v>
      </c>
      <c r="H2397" s="289">
        <v>2750</v>
      </c>
      <c r="I2397" s="289">
        <v>385</v>
      </c>
      <c r="J2397" s="289">
        <v>70</v>
      </c>
      <c r="K2397" s="289">
        <v>7</v>
      </c>
      <c r="L2397" s="289">
        <v>4312</v>
      </c>
    </row>
    <row r="2398" spans="1:12">
      <c r="A2398" s="288" t="s">
        <v>3238</v>
      </c>
      <c r="B2398" s="288" t="s">
        <v>2561</v>
      </c>
      <c r="C2398" s="288" t="s">
        <v>814</v>
      </c>
      <c r="D2398" s="288" t="s">
        <v>818</v>
      </c>
      <c r="E2398" s="289">
        <v>10</v>
      </c>
      <c r="F2398" s="290">
        <v>12</v>
      </c>
      <c r="G2398" s="289">
        <v>1100</v>
      </c>
      <c r="H2398" s="289">
        <v>220</v>
      </c>
      <c r="I2398" s="289">
        <v>132</v>
      </c>
      <c r="J2398" s="289">
        <v>70</v>
      </c>
      <c r="K2398" s="289">
        <v>7</v>
      </c>
      <c r="L2398" s="289">
        <v>1529</v>
      </c>
    </row>
    <row r="2399" spans="1:12">
      <c r="A2399" s="288" t="s">
        <v>3239</v>
      </c>
      <c r="B2399" s="288" t="s">
        <v>2561</v>
      </c>
      <c r="C2399" s="288" t="s">
        <v>814</v>
      </c>
      <c r="D2399" s="288" t="s">
        <v>815</v>
      </c>
      <c r="E2399" s="289">
        <v>10</v>
      </c>
      <c r="F2399" s="290">
        <v>0</v>
      </c>
      <c r="G2399" s="289">
        <v>900</v>
      </c>
      <c r="H2399" s="289">
        <v>0</v>
      </c>
      <c r="I2399" s="289">
        <v>90</v>
      </c>
      <c r="J2399" s="289">
        <v>50</v>
      </c>
      <c r="K2399" s="289">
        <v>5</v>
      </c>
      <c r="L2399" s="289">
        <v>1045</v>
      </c>
    </row>
    <row r="2400" spans="1:12">
      <c r="A2400" s="288" t="s">
        <v>3240</v>
      </c>
      <c r="B2400" s="288" t="s">
        <v>2561</v>
      </c>
      <c r="C2400" s="288" t="s">
        <v>814</v>
      </c>
      <c r="D2400" s="288" t="s">
        <v>815</v>
      </c>
      <c r="E2400" s="289">
        <v>10</v>
      </c>
      <c r="F2400" s="290">
        <v>7</v>
      </c>
      <c r="G2400" s="289">
        <v>1100</v>
      </c>
      <c r="H2400" s="289">
        <v>0</v>
      </c>
      <c r="I2400" s="289">
        <v>110</v>
      </c>
      <c r="J2400" s="289">
        <v>50</v>
      </c>
      <c r="K2400" s="289">
        <v>5</v>
      </c>
      <c r="L2400" s="289">
        <v>1265</v>
      </c>
    </row>
    <row r="2401" spans="1:12">
      <c r="A2401" s="288" t="s">
        <v>3241</v>
      </c>
      <c r="B2401" s="288" t="s">
        <v>2561</v>
      </c>
      <c r="C2401" s="288" t="s">
        <v>814</v>
      </c>
      <c r="D2401" s="288" t="s">
        <v>818</v>
      </c>
      <c r="E2401" s="289">
        <v>10</v>
      </c>
      <c r="F2401" s="290">
        <v>7</v>
      </c>
      <c r="G2401" s="289">
        <v>1100</v>
      </c>
      <c r="H2401" s="289">
        <v>0</v>
      </c>
      <c r="I2401" s="289">
        <v>110</v>
      </c>
      <c r="J2401" s="289">
        <v>70</v>
      </c>
      <c r="K2401" s="289">
        <v>7</v>
      </c>
      <c r="L2401" s="289">
        <v>1287</v>
      </c>
    </row>
    <row r="2402" spans="1:12">
      <c r="A2402" s="288" t="s">
        <v>3242</v>
      </c>
      <c r="B2402" s="288" t="s">
        <v>2561</v>
      </c>
      <c r="C2402" s="288" t="s">
        <v>1095</v>
      </c>
      <c r="D2402" s="288" t="s">
        <v>815</v>
      </c>
      <c r="E2402" s="289">
        <v>10</v>
      </c>
      <c r="F2402" s="290">
        <v>1</v>
      </c>
      <c r="G2402" s="289">
        <v>900</v>
      </c>
      <c r="H2402" s="289">
        <v>0</v>
      </c>
      <c r="I2402" s="289">
        <v>90</v>
      </c>
      <c r="J2402" s="289">
        <v>50</v>
      </c>
      <c r="K2402" s="289">
        <v>5</v>
      </c>
      <c r="L2402" s="289">
        <v>1045</v>
      </c>
    </row>
    <row r="2403" spans="1:12">
      <c r="A2403" s="288" t="s">
        <v>3243</v>
      </c>
      <c r="B2403" s="288" t="s">
        <v>2561</v>
      </c>
      <c r="C2403" s="288" t="s">
        <v>814</v>
      </c>
      <c r="D2403" s="288" t="s">
        <v>818</v>
      </c>
      <c r="E2403" s="289">
        <v>10</v>
      </c>
      <c r="F2403" s="290">
        <v>11</v>
      </c>
      <c r="G2403" s="289">
        <v>1100</v>
      </c>
      <c r="H2403" s="289">
        <v>110</v>
      </c>
      <c r="I2403" s="289">
        <v>121</v>
      </c>
      <c r="J2403" s="289">
        <v>70</v>
      </c>
      <c r="K2403" s="289">
        <v>7</v>
      </c>
      <c r="L2403" s="289">
        <v>1408</v>
      </c>
    </row>
    <row r="2404" spans="1:12">
      <c r="A2404" s="288" t="s">
        <v>3244</v>
      </c>
      <c r="B2404" s="288" t="s">
        <v>2561</v>
      </c>
      <c r="C2404" s="288" t="s">
        <v>820</v>
      </c>
      <c r="D2404" s="288" t="s">
        <v>818</v>
      </c>
      <c r="E2404" s="289">
        <v>10</v>
      </c>
      <c r="F2404" s="290">
        <v>2</v>
      </c>
      <c r="G2404" s="289">
        <v>900</v>
      </c>
      <c r="H2404" s="289">
        <v>0</v>
      </c>
      <c r="I2404" s="289">
        <v>90</v>
      </c>
      <c r="J2404" s="289">
        <v>70</v>
      </c>
      <c r="K2404" s="289">
        <v>7</v>
      </c>
      <c r="L2404" s="289">
        <v>1067</v>
      </c>
    </row>
    <row r="2405" spans="1:12">
      <c r="A2405" s="288" t="s">
        <v>3245</v>
      </c>
      <c r="B2405" s="288" t="s">
        <v>2561</v>
      </c>
      <c r="C2405" s="288" t="s">
        <v>814</v>
      </c>
      <c r="D2405" s="288" t="s">
        <v>818</v>
      </c>
      <c r="E2405" s="289">
        <v>10</v>
      </c>
      <c r="F2405" s="290">
        <v>21</v>
      </c>
      <c r="G2405" s="289">
        <v>1100</v>
      </c>
      <c r="H2405" s="289">
        <v>1210</v>
      </c>
      <c r="I2405" s="289">
        <v>231</v>
      </c>
      <c r="J2405" s="289">
        <v>70</v>
      </c>
      <c r="K2405" s="289">
        <v>7</v>
      </c>
      <c r="L2405" s="289">
        <v>2618</v>
      </c>
    </row>
    <row r="2406" spans="1:12">
      <c r="A2406" s="288" t="s">
        <v>3246</v>
      </c>
      <c r="B2406" s="288" t="s">
        <v>2561</v>
      </c>
      <c r="C2406" s="288" t="s">
        <v>814</v>
      </c>
      <c r="D2406" s="288" t="s">
        <v>818</v>
      </c>
      <c r="E2406" s="289">
        <v>10</v>
      </c>
      <c r="F2406" s="290">
        <v>11</v>
      </c>
      <c r="G2406" s="289">
        <v>1100</v>
      </c>
      <c r="H2406" s="289">
        <v>110</v>
      </c>
      <c r="I2406" s="289">
        <v>121</v>
      </c>
      <c r="J2406" s="289">
        <v>70</v>
      </c>
      <c r="K2406" s="289">
        <v>7</v>
      </c>
      <c r="L2406" s="289">
        <v>1408</v>
      </c>
    </row>
    <row r="2407" spans="1:12">
      <c r="A2407" s="288" t="s">
        <v>3247</v>
      </c>
      <c r="B2407" s="288" t="s">
        <v>2561</v>
      </c>
      <c r="C2407" s="288" t="s">
        <v>814</v>
      </c>
      <c r="D2407" s="288" t="s">
        <v>818</v>
      </c>
      <c r="E2407" s="289">
        <v>10</v>
      </c>
      <c r="F2407" s="290">
        <v>20</v>
      </c>
      <c r="G2407" s="289">
        <v>1100</v>
      </c>
      <c r="H2407" s="289">
        <v>1100</v>
      </c>
      <c r="I2407" s="289">
        <v>220</v>
      </c>
      <c r="J2407" s="289">
        <v>70</v>
      </c>
      <c r="K2407" s="289">
        <v>7</v>
      </c>
      <c r="L2407" s="289">
        <v>2497</v>
      </c>
    </row>
    <row r="2408" spans="1:12">
      <c r="A2408" s="288" t="s">
        <v>3248</v>
      </c>
      <c r="B2408" s="288" t="s">
        <v>2561</v>
      </c>
      <c r="C2408" s="288" t="s">
        <v>814</v>
      </c>
      <c r="D2408" s="288" t="s">
        <v>818</v>
      </c>
      <c r="E2408" s="289">
        <v>10</v>
      </c>
      <c r="F2408" s="290">
        <v>5</v>
      </c>
      <c r="G2408" s="289">
        <v>900</v>
      </c>
      <c r="H2408" s="289">
        <v>0</v>
      </c>
      <c r="I2408" s="289">
        <v>90</v>
      </c>
      <c r="J2408" s="289">
        <v>70</v>
      </c>
      <c r="K2408" s="289">
        <v>7</v>
      </c>
      <c r="L2408" s="289">
        <v>1067</v>
      </c>
    </row>
    <row r="2409" spans="1:12">
      <c r="A2409" s="288" t="s">
        <v>3249</v>
      </c>
      <c r="B2409" s="288" t="s">
        <v>2561</v>
      </c>
      <c r="C2409" s="288" t="s">
        <v>814</v>
      </c>
      <c r="D2409" s="288" t="s">
        <v>818</v>
      </c>
      <c r="E2409" s="289">
        <v>10</v>
      </c>
      <c r="F2409" s="290">
        <v>18</v>
      </c>
      <c r="G2409" s="289">
        <v>1100</v>
      </c>
      <c r="H2409" s="289">
        <v>880</v>
      </c>
      <c r="I2409" s="289">
        <v>198</v>
      </c>
      <c r="J2409" s="289">
        <v>70</v>
      </c>
      <c r="K2409" s="289">
        <v>7</v>
      </c>
      <c r="L2409" s="289">
        <v>2255</v>
      </c>
    </row>
    <row r="2410" spans="1:12">
      <c r="A2410" s="288" t="s">
        <v>3250</v>
      </c>
      <c r="B2410" s="288" t="s">
        <v>2561</v>
      </c>
      <c r="C2410" s="288" t="s">
        <v>829</v>
      </c>
      <c r="D2410" s="288" t="s">
        <v>818</v>
      </c>
      <c r="E2410" s="289">
        <v>10</v>
      </c>
      <c r="F2410" s="290">
        <v>5</v>
      </c>
      <c r="G2410" s="289">
        <v>900</v>
      </c>
      <c r="H2410" s="289">
        <v>0</v>
      </c>
      <c r="I2410" s="289">
        <v>90</v>
      </c>
      <c r="J2410" s="289">
        <v>70</v>
      </c>
      <c r="K2410" s="289">
        <v>7</v>
      </c>
      <c r="L2410" s="289">
        <v>1067</v>
      </c>
    </row>
    <row r="2411" spans="1:12">
      <c r="A2411" s="288" t="s">
        <v>3251</v>
      </c>
      <c r="B2411" s="288" t="s">
        <v>2561</v>
      </c>
      <c r="C2411" s="288" t="s">
        <v>814</v>
      </c>
      <c r="D2411" s="288" t="s">
        <v>818</v>
      </c>
      <c r="E2411" s="289">
        <v>10</v>
      </c>
      <c r="F2411" s="290">
        <v>21</v>
      </c>
      <c r="G2411" s="289">
        <v>1100</v>
      </c>
      <c r="H2411" s="289">
        <v>1210</v>
      </c>
      <c r="I2411" s="289">
        <v>231</v>
      </c>
      <c r="J2411" s="289">
        <v>70</v>
      </c>
      <c r="K2411" s="289">
        <v>7</v>
      </c>
      <c r="L2411" s="289">
        <v>2618</v>
      </c>
    </row>
    <row r="2412" spans="1:12">
      <c r="A2412" s="288" t="s">
        <v>3252</v>
      </c>
      <c r="B2412" s="288" t="s">
        <v>2561</v>
      </c>
      <c r="C2412" s="288" t="s">
        <v>814</v>
      </c>
      <c r="D2412" s="288" t="s">
        <v>818</v>
      </c>
      <c r="E2412" s="289">
        <v>10</v>
      </c>
      <c r="F2412" s="290">
        <v>38</v>
      </c>
      <c r="G2412" s="289">
        <v>1100</v>
      </c>
      <c r="H2412" s="289">
        <v>3080</v>
      </c>
      <c r="I2412" s="289">
        <v>418</v>
      </c>
      <c r="J2412" s="289">
        <v>70</v>
      </c>
      <c r="K2412" s="289">
        <v>7</v>
      </c>
      <c r="L2412" s="289">
        <v>4675</v>
      </c>
    </row>
    <row r="2413" spans="1:12">
      <c r="A2413" s="288" t="s">
        <v>3253</v>
      </c>
      <c r="B2413" s="288" t="s">
        <v>2561</v>
      </c>
      <c r="C2413" s="288" t="s">
        <v>814</v>
      </c>
      <c r="D2413" s="288" t="s">
        <v>818</v>
      </c>
      <c r="E2413" s="289">
        <v>10</v>
      </c>
      <c r="F2413" s="290">
        <v>10</v>
      </c>
      <c r="G2413" s="289">
        <v>1100</v>
      </c>
      <c r="H2413" s="289">
        <v>0</v>
      </c>
      <c r="I2413" s="289">
        <v>110</v>
      </c>
      <c r="J2413" s="289">
        <v>70</v>
      </c>
      <c r="K2413" s="289">
        <v>7</v>
      </c>
      <c r="L2413" s="289">
        <v>1287</v>
      </c>
    </row>
    <row r="2414" spans="1:12">
      <c r="A2414" s="288" t="s">
        <v>3254</v>
      </c>
      <c r="B2414" s="288" t="s">
        <v>2561</v>
      </c>
      <c r="C2414" s="288" t="s">
        <v>814</v>
      </c>
      <c r="D2414" s="288" t="s">
        <v>818</v>
      </c>
      <c r="E2414" s="289">
        <v>10</v>
      </c>
      <c r="F2414" s="290">
        <v>13</v>
      </c>
      <c r="G2414" s="289">
        <v>1100</v>
      </c>
      <c r="H2414" s="289">
        <v>330</v>
      </c>
      <c r="I2414" s="289">
        <v>143</v>
      </c>
      <c r="J2414" s="289">
        <v>70</v>
      </c>
      <c r="K2414" s="289">
        <v>7</v>
      </c>
      <c r="L2414" s="289">
        <v>1650</v>
      </c>
    </row>
    <row r="2415" spans="1:12">
      <c r="A2415" s="288" t="s">
        <v>3255</v>
      </c>
      <c r="B2415" s="288" t="s">
        <v>2561</v>
      </c>
      <c r="C2415" s="288" t="s">
        <v>814</v>
      </c>
      <c r="D2415" s="288" t="s">
        <v>818</v>
      </c>
      <c r="E2415" s="289">
        <v>10</v>
      </c>
      <c r="F2415" s="290">
        <v>11</v>
      </c>
      <c r="G2415" s="289">
        <v>1100</v>
      </c>
      <c r="H2415" s="289">
        <v>110</v>
      </c>
      <c r="I2415" s="289">
        <v>121</v>
      </c>
      <c r="J2415" s="289">
        <v>70</v>
      </c>
      <c r="K2415" s="289">
        <v>7</v>
      </c>
      <c r="L2415" s="289">
        <v>1408</v>
      </c>
    </row>
    <row r="2416" spans="1:12">
      <c r="A2416" s="288" t="s">
        <v>3256</v>
      </c>
      <c r="B2416" s="288" t="s">
        <v>2561</v>
      </c>
      <c r="C2416" s="288" t="s">
        <v>814</v>
      </c>
      <c r="D2416" s="288" t="s">
        <v>818</v>
      </c>
      <c r="E2416" s="289">
        <v>10</v>
      </c>
      <c r="F2416" s="290">
        <v>23</v>
      </c>
      <c r="G2416" s="289">
        <v>1100</v>
      </c>
      <c r="H2416" s="289">
        <v>1430</v>
      </c>
      <c r="I2416" s="289">
        <v>253</v>
      </c>
      <c r="J2416" s="289">
        <v>70</v>
      </c>
      <c r="K2416" s="289">
        <v>7</v>
      </c>
      <c r="L2416" s="289">
        <v>2860</v>
      </c>
    </row>
    <row r="2417" spans="1:12">
      <c r="A2417" s="288" t="s">
        <v>3257</v>
      </c>
      <c r="B2417" s="288" t="s">
        <v>2561</v>
      </c>
      <c r="C2417" s="288" t="s">
        <v>814</v>
      </c>
      <c r="D2417" s="288" t="s">
        <v>818</v>
      </c>
      <c r="E2417" s="289">
        <v>10</v>
      </c>
      <c r="F2417" s="290">
        <v>2</v>
      </c>
      <c r="G2417" s="289">
        <v>900</v>
      </c>
      <c r="H2417" s="289">
        <v>0</v>
      </c>
      <c r="I2417" s="289">
        <v>90</v>
      </c>
      <c r="J2417" s="289">
        <v>70</v>
      </c>
      <c r="K2417" s="289">
        <v>7</v>
      </c>
      <c r="L2417" s="289">
        <v>1067</v>
      </c>
    </row>
    <row r="2418" spans="1:12">
      <c r="A2418" s="288" t="s">
        <v>3258</v>
      </c>
      <c r="B2418" s="288" t="s">
        <v>813</v>
      </c>
      <c r="C2418" s="288" t="s">
        <v>814</v>
      </c>
      <c r="D2418" s="288" t="s">
        <v>818</v>
      </c>
      <c r="E2418" s="289">
        <v>10</v>
      </c>
      <c r="F2418" s="290">
        <v>3</v>
      </c>
      <c r="G2418" s="289">
        <v>900</v>
      </c>
      <c r="H2418" s="289">
        <v>0</v>
      </c>
      <c r="I2418" s="289">
        <v>90</v>
      </c>
      <c r="J2418" s="289">
        <v>70</v>
      </c>
      <c r="K2418" s="289">
        <v>7</v>
      </c>
      <c r="L2418" s="289">
        <v>1067</v>
      </c>
    </row>
    <row r="2419" spans="1:12">
      <c r="A2419" s="288" t="s">
        <v>3259</v>
      </c>
      <c r="B2419" s="288" t="s">
        <v>813</v>
      </c>
      <c r="C2419" s="288" t="s">
        <v>814</v>
      </c>
      <c r="D2419" s="288" t="s">
        <v>818</v>
      </c>
      <c r="E2419" s="289">
        <v>10</v>
      </c>
      <c r="F2419" s="290">
        <v>4</v>
      </c>
      <c r="G2419" s="289">
        <v>900</v>
      </c>
      <c r="H2419" s="289">
        <v>0</v>
      </c>
      <c r="I2419" s="289">
        <v>90</v>
      </c>
      <c r="J2419" s="289">
        <v>70</v>
      </c>
      <c r="K2419" s="289">
        <v>7</v>
      </c>
      <c r="L2419" s="289">
        <v>1067</v>
      </c>
    </row>
    <row r="2420" spans="1:12">
      <c r="A2420" s="288" t="s">
        <v>3260</v>
      </c>
      <c r="B2420" s="288" t="s">
        <v>813</v>
      </c>
      <c r="C2420" s="288" t="s">
        <v>814</v>
      </c>
      <c r="D2420" s="288" t="s">
        <v>818</v>
      </c>
      <c r="E2420" s="289">
        <v>10</v>
      </c>
      <c r="F2420" s="290">
        <v>8</v>
      </c>
      <c r="G2420" s="289">
        <v>1100</v>
      </c>
      <c r="H2420" s="289">
        <v>0</v>
      </c>
      <c r="I2420" s="289">
        <v>110</v>
      </c>
      <c r="J2420" s="289">
        <v>70</v>
      </c>
      <c r="K2420" s="289">
        <v>7</v>
      </c>
      <c r="L2420" s="289">
        <v>1287</v>
      </c>
    </row>
    <row r="2421" spans="1:12">
      <c r="A2421" s="288" t="s">
        <v>3261</v>
      </c>
      <c r="B2421" s="288" t="s">
        <v>813</v>
      </c>
      <c r="C2421" s="288" t="s">
        <v>814</v>
      </c>
      <c r="D2421" s="288" t="s">
        <v>818</v>
      </c>
      <c r="E2421" s="289">
        <v>10</v>
      </c>
      <c r="F2421" s="290">
        <v>5</v>
      </c>
      <c r="G2421" s="289">
        <v>900</v>
      </c>
      <c r="H2421" s="289">
        <v>0</v>
      </c>
      <c r="I2421" s="289">
        <v>90</v>
      </c>
      <c r="J2421" s="289">
        <v>70</v>
      </c>
      <c r="K2421" s="289">
        <v>7</v>
      </c>
      <c r="L2421" s="289">
        <v>1067</v>
      </c>
    </row>
    <row r="2422" spans="1:12">
      <c r="A2422" s="288" t="s">
        <v>3262</v>
      </c>
      <c r="B2422" s="288" t="s">
        <v>813</v>
      </c>
      <c r="C2422" s="288" t="s">
        <v>814</v>
      </c>
      <c r="D2422" s="288" t="s">
        <v>818</v>
      </c>
      <c r="E2422" s="289">
        <v>10</v>
      </c>
      <c r="F2422" s="290">
        <v>7</v>
      </c>
      <c r="G2422" s="289">
        <v>1100</v>
      </c>
      <c r="H2422" s="289">
        <v>0</v>
      </c>
      <c r="I2422" s="289">
        <v>110</v>
      </c>
      <c r="J2422" s="289">
        <v>70</v>
      </c>
      <c r="K2422" s="289">
        <v>7</v>
      </c>
      <c r="L2422" s="289">
        <v>1287</v>
      </c>
    </row>
    <row r="2423" spans="1:12">
      <c r="A2423" s="288" t="s">
        <v>3263</v>
      </c>
      <c r="B2423" s="288" t="s">
        <v>813</v>
      </c>
      <c r="C2423" s="288" t="s">
        <v>814</v>
      </c>
      <c r="D2423" s="288" t="s">
        <v>818</v>
      </c>
      <c r="E2423" s="289">
        <v>10</v>
      </c>
      <c r="F2423" s="290">
        <v>14</v>
      </c>
      <c r="G2423" s="289">
        <v>1100</v>
      </c>
      <c r="H2423" s="289">
        <v>440</v>
      </c>
      <c r="I2423" s="289">
        <v>154</v>
      </c>
      <c r="J2423" s="289">
        <v>70</v>
      </c>
      <c r="K2423" s="289">
        <v>7</v>
      </c>
      <c r="L2423" s="289">
        <v>1771</v>
      </c>
    </row>
    <row r="2424" spans="1:12">
      <c r="A2424" s="288" t="s">
        <v>3264</v>
      </c>
      <c r="B2424" s="288" t="s">
        <v>813</v>
      </c>
      <c r="C2424" s="288" t="s">
        <v>814</v>
      </c>
      <c r="D2424" s="288" t="s">
        <v>818</v>
      </c>
      <c r="E2424" s="289">
        <v>10</v>
      </c>
      <c r="F2424" s="290">
        <v>24</v>
      </c>
      <c r="G2424" s="289">
        <v>1100</v>
      </c>
      <c r="H2424" s="289">
        <v>1540</v>
      </c>
      <c r="I2424" s="289">
        <v>264</v>
      </c>
      <c r="J2424" s="289">
        <v>70</v>
      </c>
      <c r="K2424" s="289">
        <v>7</v>
      </c>
      <c r="L2424" s="289">
        <v>2981</v>
      </c>
    </row>
    <row r="2425" spans="1:12">
      <c r="A2425" s="288" t="s">
        <v>3265</v>
      </c>
      <c r="B2425" s="288" t="s">
        <v>813</v>
      </c>
      <c r="C2425" s="288" t="s">
        <v>814</v>
      </c>
      <c r="D2425" s="288" t="s">
        <v>818</v>
      </c>
      <c r="E2425" s="289">
        <v>10</v>
      </c>
      <c r="F2425" s="290">
        <v>15</v>
      </c>
      <c r="G2425" s="289">
        <v>1100</v>
      </c>
      <c r="H2425" s="289">
        <v>550</v>
      </c>
      <c r="I2425" s="289">
        <v>165</v>
      </c>
      <c r="J2425" s="289">
        <v>70</v>
      </c>
      <c r="K2425" s="289">
        <v>7</v>
      </c>
      <c r="L2425" s="289">
        <v>1892</v>
      </c>
    </row>
    <row r="2426" spans="1:12">
      <c r="A2426" s="288" t="s">
        <v>3266</v>
      </c>
      <c r="B2426" s="288" t="s">
        <v>813</v>
      </c>
      <c r="C2426" s="288" t="s">
        <v>814</v>
      </c>
      <c r="D2426" s="288" t="s">
        <v>818</v>
      </c>
      <c r="E2426" s="289">
        <v>10</v>
      </c>
      <c r="F2426" s="290">
        <v>22</v>
      </c>
      <c r="G2426" s="289">
        <v>1100</v>
      </c>
      <c r="H2426" s="289">
        <v>1320</v>
      </c>
      <c r="I2426" s="289">
        <v>242</v>
      </c>
      <c r="J2426" s="289">
        <v>70</v>
      </c>
      <c r="K2426" s="289">
        <v>7</v>
      </c>
      <c r="L2426" s="289">
        <v>2739</v>
      </c>
    </row>
    <row r="2427" spans="1:12">
      <c r="A2427" s="288" t="s">
        <v>3267</v>
      </c>
      <c r="B2427" s="288" t="s">
        <v>813</v>
      </c>
      <c r="C2427" s="288" t="s">
        <v>814</v>
      </c>
      <c r="D2427" s="288" t="s">
        <v>818</v>
      </c>
      <c r="E2427" s="289">
        <v>10</v>
      </c>
      <c r="F2427" s="290">
        <v>8</v>
      </c>
      <c r="G2427" s="289">
        <v>1100</v>
      </c>
      <c r="H2427" s="289">
        <v>0</v>
      </c>
      <c r="I2427" s="289">
        <v>110</v>
      </c>
      <c r="J2427" s="289">
        <v>70</v>
      </c>
      <c r="K2427" s="289">
        <v>7</v>
      </c>
      <c r="L2427" s="289">
        <v>1287</v>
      </c>
    </row>
    <row r="2428" spans="1:12">
      <c r="A2428" s="288" t="s">
        <v>3268</v>
      </c>
      <c r="B2428" s="288" t="s">
        <v>813</v>
      </c>
      <c r="C2428" s="288" t="s">
        <v>814</v>
      </c>
      <c r="D2428" s="288" t="s">
        <v>818</v>
      </c>
      <c r="E2428" s="289">
        <v>10</v>
      </c>
      <c r="F2428" s="290">
        <v>6</v>
      </c>
      <c r="G2428" s="289">
        <v>1100</v>
      </c>
      <c r="H2428" s="289">
        <v>0</v>
      </c>
      <c r="I2428" s="289">
        <v>110</v>
      </c>
      <c r="J2428" s="289">
        <v>70</v>
      </c>
      <c r="K2428" s="289">
        <v>7</v>
      </c>
      <c r="L2428" s="289">
        <v>1287</v>
      </c>
    </row>
    <row r="2429" spans="1:12">
      <c r="A2429" s="288" t="s">
        <v>3269</v>
      </c>
      <c r="B2429" s="288" t="s">
        <v>813</v>
      </c>
      <c r="C2429" s="288" t="s">
        <v>814</v>
      </c>
      <c r="D2429" s="288" t="s">
        <v>818</v>
      </c>
      <c r="E2429" s="289">
        <v>10</v>
      </c>
      <c r="F2429" s="290">
        <v>7</v>
      </c>
      <c r="G2429" s="289">
        <v>1100</v>
      </c>
      <c r="H2429" s="289">
        <v>0</v>
      </c>
      <c r="I2429" s="289">
        <v>110</v>
      </c>
      <c r="J2429" s="289">
        <v>70</v>
      </c>
      <c r="K2429" s="289">
        <v>7</v>
      </c>
      <c r="L2429" s="289">
        <v>1287</v>
      </c>
    </row>
    <row r="2430" spans="1:12">
      <c r="A2430" s="288" t="s">
        <v>3270</v>
      </c>
      <c r="B2430" s="288" t="s">
        <v>813</v>
      </c>
      <c r="C2430" s="288" t="s">
        <v>814</v>
      </c>
      <c r="D2430" s="288" t="s">
        <v>818</v>
      </c>
      <c r="E2430" s="289">
        <v>10</v>
      </c>
      <c r="F2430" s="290">
        <v>13</v>
      </c>
      <c r="G2430" s="289">
        <v>1100</v>
      </c>
      <c r="H2430" s="289">
        <v>330</v>
      </c>
      <c r="I2430" s="289">
        <v>143</v>
      </c>
      <c r="J2430" s="289">
        <v>70</v>
      </c>
      <c r="K2430" s="289">
        <v>7</v>
      </c>
      <c r="L2430" s="289">
        <v>1650</v>
      </c>
    </row>
    <row r="2431" spans="1:12">
      <c r="A2431" s="288" t="s">
        <v>3271</v>
      </c>
      <c r="B2431" s="288" t="s">
        <v>813</v>
      </c>
      <c r="C2431" s="288" t="s">
        <v>814</v>
      </c>
      <c r="D2431" s="288" t="s">
        <v>818</v>
      </c>
      <c r="E2431" s="289">
        <v>10</v>
      </c>
      <c r="F2431" s="290">
        <v>14</v>
      </c>
      <c r="G2431" s="289">
        <v>1100</v>
      </c>
      <c r="H2431" s="289">
        <v>440</v>
      </c>
      <c r="I2431" s="289">
        <v>154</v>
      </c>
      <c r="J2431" s="289">
        <v>70</v>
      </c>
      <c r="K2431" s="289">
        <v>7</v>
      </c>
      <c r="L2431" s="289">
        <v>1771</v>
      </c>
    </row>
    <row r="2432" spans="1:12">
      <c r="A2432" s="288" t="s">
        <v>3272</v>
      </c>
      <c r="B2432" s="288" t="s">
        <v>813</v>
      </c>
      <c r="C2432" s="288" t="s">
        <v>814</v>
      </c>
      <c r="D2432" s="288" t="s">
        <v>818</v>
      </c>
      <c r="E2432" s="289">
        <v>10</v>
      </c>
      <c r="F2432" s="290">
        <v>5</v>
      </c>
      <c r="G2432" s="289">
        <v>900</v>
      </c>
      <c r="H2432" s="289">
        <v>0</v>
      </c>
      <c r="I2432" s="289">
        <v>90</v>
      </c>
      <c r="J2432" s="289">
        <v>70</v>
      </c>
      <c r="K2432" s="289">
        <v>7</v>
      </c>
      <c r="L2432" s="289">
        <v>1067</v>
      </c>
    </row>
    <row r="2433" spans="1:12">
      <c r="A2433" s="288" t="s">
        <v>3273</v>
      </c>
      <c r="B2433" s="288" t="s">
        <v>813</v>
      </c>
      <c r="C2433" s="288" t="s">
        <v>814</v>
      </c>
      <c r="D2433" s="288" t="s">
        <v>818</v>
      </c>
      <c r="E2433" s="289">
        <v>10</v>
      </c>
      <c r="F2433" s="290">
        <v>4</v>
      </c>
      <c r="G2433" s="289">
        <v>900</v>
      </c>
      <c r="H2433" s="289">
        <v>0</v>
      </c>
      <c r="I2433" s="289">
        <v>90</v>
      </c>
      <c r="J2433" s="289">
        <v>70</v>
      </c>
      <c r="K2433" s="289">
        <v>7</v>
      </c>
      <c r="L2433" s="289">
        <v>1067</v>
      </c>
    </row>
    <row r="2434" spans="1:12">
      <c r="A2434" s="288" t="s">
        <v>3274</v>
      </c>
      <c r="B2434" s="288" t="s">
        <v>813</v>
      </c>
      <c r="C2434" s="288" t="s">
        <v>814</v>
      </c>
      <c r="D2434" s="288" t="s">
        <v>818</v>
      </c>
      <c r="E2434" s="289">
        <v>10</v>
      </c>
      <c r="F2434" s="290">
        <v>10</v>
      </c>
      <c r="G2434" s="289">
        <v>1100</v>
      </c>
      <c r="H2434" s="289">
        <v>0</v>
      </c>
      <c r="I2434" s="289">
        <v>110</v>
      </c>
      <c r="J2434" s="289">
        <v>70</v>
      </c>
      <c r="K2434" s="289">
        <v>7</v>
      </c>
      <c r="L2434" s="289">
        <v>1287</v>
      </c>
    </row>
    <row r="2435" spans="1:12">
      <c r="A2435" s="288" t="s">
        <v>3275</v>
      </c>
      <c r="B2435" s="288" t="s">
        <v>813</v>
      </c>
      <c r="C2435" s="288" t="s">
        <v>814</v>
      </c>
      <c r="D2435" s="288" t="s">
        <v>818</v>
      </c>
      <c r="E2435" s="289">
        <v>10</v>
      </c>
      <c r="F2435" s="290">
        <v>11</v>
      </c>
      <c r="G2435" s="289">
        <v>1100</v>
      </c>
      <c r="H2435" s="289">
        <v>110</v>
      </c>
      <c r="I2435" s="289">
        <v>121</v>
      </c>
      <c r="J2435" s="289">
        <v>70</v>
      </c>
      <c r="K2435" s="289">
        <v>7</v>
      </c>
      <c r="L2435" s="289">
        <v>1408</v>
      </c>
    </row>
    <row r="2436" spans="1:12">
      <c r="A2436" s="288" t="s">
        <v>3276</v>
      </c>
      <c r="B2436" s="288" t="s">
        <v>813</v>
      </c>
      <c r="C2436" s="288" t="s">
        <v>814</v>
      </c>
      <c r="D2436" s="288" t="s">
        <v>818</v>
      </c>
      <c r="E2436" s="289">
        <v>10</v>
      </c>
      <c r="F2436" s="290">
        <v>20</v>
      </c>
      <c r="G2436" s="289">
        <v>1100</v>
      </c>
      <c r="H2436" s="289">
        <v>1100</v>
      </c>
      <c r="I2436" s="289">
        <v>220</v>
      </c>
      <c r="J2436" s="289">
        <v>70</v>
      </c>
      <c r="K2436" s="289">
        <v>7</v>
      </c>
      <c r="L2436" s="289">
        <v>2497</v>
      </c>
    </row>
    <row r="2437" spans="1:12">
      <c r="A2437" s="288" t="s">
        <v>3277</v>
      </c>
      <c r="B2437" s="288" t="s">
        <v>813</v>
      </c>
      <c r="C2437" s="288" t="s">
        <v>814</v>
      </c>
      <c r="D2437" s="288" t="s">
        <v>818</v>
      </c>
      <c r="E2437" s="289">
        <v>10</v>
      </c>
      <c r="F2437" s="290">
        <v>5</v>
      </c>
      <c r="G2437" s="289">
        <v>900</v>
      </c>
      <c r="H2437" s="289">
        <v>0</v>
      </c>
      <c r="I2437" s="289">
        <v>90</v>
      </c>
      <c r="J2437" s="289">
        <v>70</v>
      </c>
      <c r="K2437" s="289">
        <v>7</v>
      </c>
      <c r="L2437" s="289">
        <v>1067</v>
      </c>
    </row>
    <row r="2438" spans="1:12">
      <c r="A2438" s="288" t="s">
        <v>3278</v>
      </c>
      <c r="B2438" s="288" t="s">
        <v>813</v>
      </c>
      <c r="C2438" s="288" t="s">
        <v>814</v>
      </c>
      <c r="D2438" s="288" t="s">
        <v>818</v>
      </c>
      <c r="E2438" s="289">
        <v>10</v>
      </c>
      <c r="F2438" s="290">
        <v>4</v>
      </c>
      <c r="G2438" s="289">
        <v>900</v>
      </c>
      <c r="H2438" s="289">
        <v>0</v>
      </c>
      <c r="I2438" s="289">
        <v>90</v>
      </c>
      <c r="J2438" s="289">
        <v>70</v>
      </c>
      <c r="K2438" s="289">
        <v>7</v>
      </c>
      <c r="L2438" s="289">
        <v>1067</v>
      </c>
    </row>
    <row r="2439" spans="1:12">
      <c r="A2439" s="288" t="s">
        <v>3279</v>
      </c>
      <c r="B2439" s="288" t="s">
        <v>813</v>
      </c>
      <c r="C2439" s="288" t="s">
        <v>814</v>
      </c>
      <c r="D2439" s="288" t="s">
        <v>818</v>
      </c>
      <c r="E2439" s="289">
        <v>10</v>
      </c>
      <c r="F2439" s="290">
        <v>17</v>
      </c>
      <c r="G2439" s="289">
        <v>1100</v>
      </c>
      <c r="H2439" s="289">
        <v>770</v>
      </c>
      <c r="I2439" s="289">
        <v>187</v>
      </c>
      <c r="J2439" s="289">
        <v>70</v>
      </c>
      <c r="K2439" s="289">
        <v>7</v>
      </c>
      <c r="L2439" s="289">
        <v>2134</v>
      </c>
    </row>
    <row r="2440" spans="1:12">
      <c r="A2440" s="288" t="s">
        <v>3280</v>
      </c>
      <c r="B2440" s="288" t="s">
        <v>813</v>
      </c>
      <c r="C2440" s="288" t="s">
        <v>814</v>
      </c>
      <c r="D2440" s="288" t="s">
        <v>818</v>
      </c>
      <c r="E2440" s="289">
        <v>10</v>
      </c>
      <c r="F2440" s="290">
        <v>23</v>
      </c>
      <c r="G2440" s="289">
        <v>1100</v>
      </c>
      <c r="H2440" s="289">
        <v>1430</v>
      </c>
      <c r="I2440" s="289">
        <v>253</v>
      </c>
      <c r="J2440" s="289">
        <v>70</v>
      </c>
      <c r="K2440" s="289">
        <v>7</v>
      </c>
      <c r="L2440" s="289">
        <v>2860</v>
      </c>
    </row>
    <row r="2441" spans="1:12">
      <c r="A2441" s="288" t="s">
        <v>3281</v>
      </c>
      <c r="B2441" s="288" t="s">
        <v>813</v>
      </c>
      <c r="C2441" s="288" t="s">
        <v>814</v>
      </c>
      <c r="D2441" s="288" t="s">
        <v>818</v>
      </c>
      <c r="E2441" s="289">
        <v>10</v>
      </c>
      <c r="F2441" s="290">
        <v>0</v>
      </c>
      <c r="G2441" s="289">
        <v>550</v>
      </c>
      <c r="H2441" s="289">
        <v>0</v>
      </c>
      <c r="I2441" s="289">
        <v>55</v>
      </c>
      <c r="J2441" s="289">
        <v>70</v>
      </c>
      <c r="K2441" s="289">
        <v>7</v>
      </c>
      <c r="L2441" s="289">
        <v>682</v>
      </c>
    </row>
    <row r="2442" spans="1:12">
      <c r="A2442" s="288" t="s">
        <v>3282</v>
      </c>
      <c r="B2442" s="288" t="s">
        <v>813</v>
      </c>
      <c r="C2442" s="288" t="s">
        <v>814</v>
      </c>
      <c r="D2442" s="288" t="s">
        <v>818</v>
      </c>
      <c r="E2442" s="289">
        <v>10</v>
      </c>
      <c r="F2442" s="290">
        <v>8</v>
      </c>
      <c r="G2442" s="289">
        <v>1100</v>
      </c>
      <c r="H2442" s="289">
        <v>0</v>
      </c>
      <c r="I2442" s="289">
        <v>110</v>
      </c>
      <c r="J2442" s="289">
        <v>70</v>
      </c>
      <c r="K2442" s="289">
        <v>7</v>
      </c>
      <c r="L2442" s="289">
        <v>1287</v>
      </c>
    </row>
    <row r="2443" spans="1:12">
      <c r="A2443" s="288" t="s">
        <v>3283</v>
      </c>
      <c r="B2443" s="288" t="s">
        <v>813</v>
      </c>
      <c r="C2443" s="288" t="s">
        <v>814</v>
      </c>
      <c r="D2443" s="288" t="s">
        <v>818</v>
      </c>
      <c r="E2443" s="289">
        <v>10</v>
      </c>
      <c r="F2443" s="290">
        <v>8</v>
      </c>
      <c r="G2443" s="289">
        <v>1100</v>
      </c>
      <c r="H2443" s="289">
        <v>0</v>
      </c>
      <c r="I2443" s="289">
        <v>110</v>
      </c>
      <c r="J2443" s="289">
        <v>70</v>
      </c>
      <c r="K2443" s="289">
        <v>7</v>
      </c>
      <c r="L2443" s="289">
        <v>1287</v>
      </c>
    </row>
    <row r="2444" spans="1:12">
      <c r="A2444" s="288" t="s">
        <v>3284</v>
      </c>
      <c r="B2444" s="288" t="s">
        <v>813</v>
      </c>
      <c r="C2444" s="288" t="s">
        <v>814</v>
      </c>
      <c r="D2444" s="288" t="s">
        <v>818</v>
      </c>
      <c r="E2444" s="289">
        <v>10</v>
      </c>
      <c r="F2444" s="290">
        <v>8</v>
      </c>
      <c r="G2444" s="289">
        <v>1100</v>
      </c>
      <c r="H2444" s="289">
        <v>0</v>
      </c>
      <c r="I2444" s="289">
        <v>110</v>
      </c>
      <c r="J2444" s="289">
        <v>70</v>
      </c>
      <c r="K2444" s="289">
        <v>7</v>
      </c>
      <c r="L2444" s="289">
        <v>1287</v>
      </c>
    </row>
    <row r="2445" spans="1:12">
      <c r="A2445" s="288" t="s">
        <v>3285</v>
      </c>
      <c r="B2445" s="288" t="s">
        <v>813</v>
      </c>
      <c r="C2445" s="288" t="s">
        <v>814</v>
      </c>
      <c r="D2445" s="288" t="s">
        <v>818</v>
      </c>
      <c r="E2445" s="289">
        <v>10</v>
      </c>
      <c r="F2445" s="290">
        <v>11</v>
      </c>
      <c r="G2445" s="289">
        <v>1100</v>
      </c>
      <c r="H2445" s="289">
        <v>110</v>
      </c>
      <c r="I2445" s="289">
        <v>121</v>
      </c>
      <c r="J2445" s="289">
        <v>70</v>
      </c>
      <c r="K2445" s="289">
        <v>7</v>
      </c>
      <c r="L2445" s="289">
        <v>1408</v>
      </c>
    </row>
    <row r="2446" spans="1:12">
      <c r="A2446" s="288" t="s">
        <v>3286</v>
      </c>
      <c r="B2446" s="288" t="s">
        <v>813</v>
      </c>
      <c r="C2446" s="288" t="s">
        <v>814</v>
      </c>
      <c r="D2446" s="288" t="s">
        <v>818</v>
      </c>
      <c r="E2446" s="289">
        <v>10</v>
      </c>
      <c r="F2446" s="290">
        <v>10</v>
      </c>
      <c r="G2446" s="289">
        <v>1100</v>
      </c>
      <c r="H2446" s="289">
        <v>0</v>
      </c>
      <c r="I2446" s="289">
        <v>110</v>
      </c>
      <c r="J2446" s="289">
        <v>70</v>
      </c>
      <c r="K2446" s="289">
        <v>7</v>
      </c>
      <c r="L2446" s="289">
        <v>1287</v>
      </c>
    </row>
    <row r="2447" spans="1:12">
      <c r="A2447" s="288" t="s">
        <v>3287</v>
      </c>
      <c r="B2447" s="288" t="s">
        <v>813</v>
      </c>
      <c r="C2447" s="288" t="s">
        <v>814</v>
      </c>
      <c r="D2447" s="288" t="s">
        <v>818</v>
      </c>
      <c r="E2447" s="289">
        <v>10</v>
      </c>
      <c r="F2447" s="290">
        <v>10</v>
      </c>
      <c r="G2447" s="289">
        <v>1100</v>
      </c>
      <c r="H2447" s="289">
        <v>0</v>
      </c>
      <c r="I2447" s="289">
        <v>110</v>
      </c>
      <c r="J2447" s="289">
        <v>70</v>
      </c>
      <c r="K2447" s="289">
        <v>7</v>
      </c>
      <c r="L2447" s="289">
        <v>1287</v>
      </c>
    </row>
    <row r="2448" spans="1:12">
      <c r="A2448" s="288" t="s">
        <v>3288</v>
      </c>
      <c r="B2448" s="288" t="s">
        <v>813</v>
      </c>
      <c r="C2448" s="288" t="s">
        <v>814</v>
      </c>
      <c r="D2448" s="288" t="s">
        <v>818</v>
      </c>
      <c r="E2448" s="289">
        <v>10</v>
      </c>
      <c r="F2448" s="290">
        <v>0</v>
      </c>
      <c r="G2448" s="289">
        <v>900</v>
      </c>
      <c r="H2448" s="289">
        <v>0</v>
      </c>
      <c r="I2448" s="289">
        <v>90</v>
      </c>
      <c r="J2448" s="289">
        <v>70</v>
      </c>
      <c r="K2448" s="289">
        <v>7</v>
      </c>
      <c r="L2448" s="289">
        <v>1067</v>
      </c>
    </row>
    <row r="2449" spans="1:12">
      <c r="A2449" s="288" t="s">
        <v>3289</v>
      </c>
      <c r="B2449" s="288" t="s">
        <v>813</v>
      </c>
      <c r="C2449" s="288" t="s">
        <v>814</v>
      </c>
      <c r="D2449" s="288" t="s">
        <v>818</v>
      </c>
      <c r="E2449" s="289">
        <v>10</v>
      </c>
      <c r="F2449" s="290">
        <v>9</v>
      </c>
      <c r="G2449" s="289">
        <v>1100</v>
      </c>
      <c r="H2449" s="289">
        <v>0</v>
      </c>
      <c r="I2449" s="289">
        <v>110</v>
      </c>
      <c r="J2449" s="289">
        <v>70</v>
      </c>
      <c r="K2449" s="289">
        <v>7</v>
      </c>
      <c r="L2449" s="289">
        <v>1287</v>
      </c>
    </row>
    <row r="2450" spans="1:12">
      <c r="A2450" s="288" t="s">
        <v>3290</v>
      </c>
      <c r="B2450" s="288" t="s">
        <v>813</v>
      </c>
      <c r="C2450" s="288" t="s">
        <v>814</v>
      </c>
      <c r="D2450" s="288" t="s">
        <v>818</v>
      </c>
      <c r="E2450" s="289">
        <v>10</v>
      </c>
      <c r="F2450" s="290">
        <v>10</v>
      </c>
      <c r="G2450" s="289">
        <v>1100</v>
      </c>
      <c r="H2450" s="289">
        <v>0</v>
      </c>
      <c r="I2450" s="289">
        <v>110</v>
      </c>
      <c r="J2450" s="289">
        <v>70</v>
      </c>
      <c r="K2450" s="289">
        <v>7</v>
      </c>
      <c r="L2450" s="289">
        <v>1287</v>
      </c>
    </row>
    <row r="2451" spans="1:12">
      <c r="A2451" s="288" t="s">
        <v>3291</v>
      </c>
      <c r="B2451" s="288" t="s">
        <v>813</v>
      </c>
      <c r="C2451" s="288" t="s">
        <v>814</v>
      </c>
      <c r="D2451" s="288" t="s">
        <v>818</v>
      </c>
      <c r="E2451" s="289">
        <v>10</v>
      </c>
      <c r="F2451" s="290">
        <v>9</v>
      </c>
      <c r="G2451" s="289">
        <v>1100</v>
      </c>
      <c r="H2451" s="289">
        <v>0</v>
      </c>
      <c r="I2451" s="289">
        <v>110</v>
      </c>
      <c r="J2451" s="289">
        <v>70</v>
      </c>
      <c r="K2451" s="289">
        <v>7</v>
      </c>
      <c r="L2451" s="289">
        <v>1287</v>
      </c>
    </row>
    <row r="2452" spans="1:12">
      <c r="A2452" s="288" t="s">
        <v>3292</v>
      </c>
      <c r="B2452" s="288" t="s">
        <v>813</v>
      </c>
      <c r="C2452" s="288" t="s">
        <v>814</v>
      </c>
      <c r="D2452" s="288" t="s">
        <v>818</v>
      </c>
      <c r="E2452" s="289">
        <v>10</v>
      </c>
      <c r="F2452" s="290">
        <v>13</v>
      </c>
      <c r="G2452" s="289">
        <v>1100</v>
      </c>
      <c r="H2452" s="289">
        <v>330</v>
      </c>
      <c r="I2452" s="289">
        <v>143</v>
      </c>
      <c r="J2452" s="289">
        <v>70</v>
      </c>
      <c r="K2452" s="289">
        <v>7</v>
      </c>
      <c r="L2452" s="289">
        <v>1650</v>
      </c>
    </row>
    <row r="2453" spans="1:12">
      <c r="A2453" s="288" t="s">
        <v>3293</v>
      </c>
      <c r="B2453" s="288" t="s">
        <v>813</v>
      </c>
      <c r="C2453" s="288" t="s">
        <v>814</v>
      </c>
      <c r="D2453" s="288" t="s">
        <v>818</v>
      </c>
      <c r="E2453" s="289">
        <v>10</v>
      </c>
      <c r="F2453" s="290">
        <v>7</v>
      </c>
      <c r="G2453" s="289">
        <v>1100</v>
      </c>
      <c r="H2453" s="289">
        <v>0</v>
      </c>
      <c r="I2453" s="289">
        <v>110</v>
      </c>
      <c r="J2453" s="289">
        <v>70</v>
      </c>
      <c r="K2453" s="289">
        <v>7</v>
      </c>
      <c r="L2453" s="289">
        <v>1287</v>
      </c>
    </row>
    <row r="2454" spans="1:12">
      <c r="A2454" s="288" t="s">
        <v>3294</v>
      </c>
      <c r="B2454" s="288" t="s">
        <v>813</v>
      </c>
      <c r="C2454" s="288" t="s">
        <v>814</v>
      </c>
      <c r="D2454" s="288" t="s">
        <v>818</v>
      </c>
      <c r="E2454" s="289">
        <v>10</v>
      </c>
      <c r="F2454" s="290">
        <v>5</v>
      </c>
      <c r="G2454" s="289">
        <v>900</v>
      </c>
      <c r="H2454" s="289">
        <v>0</v>
      </c>
      <c r="I2454" s="289">
        <v>90</v>
      </c>
      <c r="J2454" s="289">
        <v>70</v>
      </c>
      <c r="K2454" s="289">
        <v>7</v>
      </c>
      <c r="L2454" s="289">
        <v>1067</v>
      </c>
    </row>
    <row r="2455" spans="1:12">
      <c r="A2455" s="288" t="s">
        <v>3295</v>
      </c>
      <c r="B2455" s="288" t="s">
        <v>813</v>
      </c>
      <c r="C2455" s="288" t="s">
        <v>814</v>
      </c>
      <c r="D2455" s="288" t="s">
        <v>818</v>
      </c>
      <c r="E2455" s="289">
        <v>10</v>
      </c>
      <c r="F2455" s="290">
        <v>5</v>
      </c>
      <c r="G2455" s="289">
        <v>900</v>
      </c>
      <c r="H2455" s="289">
        <v>0</v>
      </c>
      <c r="I2455" s="289">
        <v>90</v>
      </c>
      <c r="J2455" s="289">
        <v>70</v>
      </c>
      <c r="K2455" s="289">
        <v>7</v>
      </c>
      <c r="L2455" s="289">
        <v>1067</v>
      </c>
    </row>
    <row r="2456" spans="1:12">
      <c r="A2456" s="288" t="s">
        <v>3296</v>
      </c>
      <c r="B2456" s="288" t="s">
        <v>813</v>
      </c>
      <c r="C2456" s="288" t="s">
        <v>814</v>
      </c>
      <c r="D2456" s="288" t="s">
        <v>818</v>
      </c>
      <c r="E2456" s="289">
        <v>10</v>
      </c>
      <c r="F2456" s="290">
        <v>25</v>
      </c>
      <c r="G2456" s="289">
        <v>1100</v>
      </c>
      <c r="H2456" s="289">
        <v>1650</v>
      </c>
      <c r="I2456" s="289">
        <v>275</v>
      </c>
      <c r="J2456" s="289">
        <v>70</v>
      </c>
      <c r="K2456" s="289">
        <v>7</v>
      </c>
      <c r="L2456" s="289">
        <v>3102</v>
      </c>
    </row>
    <row r="2457" spans="1:12">
      <c r="A2457" s="288" t="s">
        <v>3297</v>
      </c>
      <c r="B2457" s="288" t="s">
        <v>813</v>
      </c>
      <c r="C2457" s="288" t="s">
        <v>814</v>
      </c>
      <c r="D2457" s="288" t="s">
        <v>818</v>
      </c>
      <c r="E2457" s="289">
        <v>10</v>
      </c>
      <c r="F2457" s="290">
        <v>18</v>
      </c>
      <c r="G2457" s="289">
        <v>1100</v>
      </c>
      <c r="H2457" s="289">
        <v>880</v>
      </c>
      <c r="I2457" s="289">
        <v>198</v>
      </c>
      <c r="J2457" s="289">
        <v>70</v>
      </c>
      <c r="K2457" s="289">
        <v>7</v>
      </c>
      <c r="L2457" s="289">
        <v>2255</v>
      </c>
    </row>
    <row r="2458" spans="1:12">
      <c r="A2458" s="288" t="s">
        <v>3298</v>
      </c>
      <c r="B2458" s="288" t="s">
        <v>813</v>
      </c>
      <c r="C2458" s="288" t="s">
        <v>814</v>
      </c>
      <c r="D2458" s="288" t="s">
        <v>818</v>
      </c>
      <c r="E2458" s="289">
        <v>10</v>
      </c>
      <c r="F2458" s="290">
        <v>6</v>
      </c>
      <c r="G2458" s="289">
        <v>1100</v>
      </c>
      <c r="H2458" s="289">
        <v>0</v>
      </c>
      <c r="I2458" s="289">
        <v>110</v>
      </c>
      <c r="J2458" s="289">
        <v>70</v>
      </c>
      <c r="K2458" s="289">
        <v>7</v>
      </c>
      <c r="L2458" s="289">
        <v>1287</v>
      </c>
    </row>
    <row r="2459" spans="1:12">
      <c r="A2459" s="288" t="s">
        <v>3299</v>
      </c>
      <c r="B2459" s="288" t="s">
        <v>813</v>
      </c>
      <c r="C2459" s="288" t="s">
        <v>814</v>
      </c>
      <c r="D2459" s="288" t="s">
        <v>818</v>
      </c>
      <c r="E2459" s="289">
        <v>10</v>
      </c>
      <c r="F2459" s="290">
        <v>26</v>
      </c>
      <c r="G2459" s="289">
        <v>1100</v>
      </c>
      <c r="H2459" s="289">
        <v>1760</v>
      </c>
      <c r="I2459" s="289">
        <v>286</v>
      </c>
      <c r="J2459" s="289">
        <v>70</v>
      </c>
      <c r="K2459" s="289">
        <v>7</v>
      </c>
      <c r="L2459" s="289">
        <v>3223</v>
      </c>
    </row>
    <row r="2460" spans="1:12">
      <c r="A2460" s="288" t="s">
        <v>3300</v>
      </c>
      <c r="B2460" s="288" t="s">
        <v>813</v>
      </c>
      <c r="C2460" s="288" t="s">
        <v>814</v>
      </c>
      <c r="D2460" s="288" t="s">
        <v>818</v>
      </c>
      <c r="E2460" s="289">
        <v>10</v>
      </c>
      <c r="F2460" s="290">
        <v>10</v>
      </c>
      <c r="G2460" s="289">
        <v>1100</v>
      </c>
      <c r="H2460" s="289">
        <v>0</v>
      </c>
      <c r="I2460" s="289">
        <v>110</v>
      </c>
      <c r="J2460" s="289">
        <v>70</v>
      </c>
      <c r="K2460" s="289">
        <v>7</v>
      </c>
      <c r="L2460" s="289">
        <v>1287</v>
      </c>
    </row>
    <row r="2461" spans="1:12">
      <c r="A2461" s="288" t="s">
        <v>3301</v>
      </c>
      <c r="B2461" s="288" t="s">
        <v>813</v>
      </c>
      <c r="C2461" s="288" t="s">
        <v>814</v>
      </c>
      <c r="D2461" s="288" t="s">
        <v>818</v>
      </c>
      <c r="E2461" s="289">
        <v>10</v>
      </c>
      <c r="F2461" s="290">
        <v>5</v>
      </c>
      <c r="G2461" s="289">
        <v>900</v>
      </c>
      <c r="H2461" s="289">
        <v>0</v>
      </c>
      <c r="I2461" s="289">
        <v>90</v>
      </c>
      <c r="J2461" s="289">
        <v>70</v>
      </c>
      <c r="K2461" s="289">
        <v>7</v>
      </c>
      <c r="L2461" s="289">
        <v>1067</v>
      </c>
    </row>
    <row r="2462" spans="1:12">
      <c r="A2462" s="288" t="s">
        <v>3302</v>
      </c>
      <c r="B2462" s="288" t="s">
        <v>813</v>
      </c>
      <c r="C2462" s="288" t="s">
        <v>814</v>
      </c>
      <c r="D2462" s="288" t="s">
        <v>818</v>
      </c>
      <c r="E2462" s="289">
        <v>10</v>
      </c>
      <c r="F2462" s="290">
        <v>14</v>
      </c>
      <c r="G2462" s="289">
        <v>1100</v>
      </c>
      <c r="H2462" s="289">
        <v>440</v>
      </c>
      <c r="I2462" s="289">
        <v>154</v>
      </c>
      <c r="J2462" s="289">
        <v>70</v>
      </c>
      <c r="K2462" s="289">
        <v>7</v>
      </c>
      <c r="L2462" s="289">
        <v>1771</v>
      </c>
    </row>
    <row r="2463" spans="1:12">
      <c r="A2463" s="288" t="s">
        <v>3303</v>
      </c>
      <c r="B2463" s="288" t="s">
        <v>813</v>
      </c>
      <c r="C2463" s="288" t="s">
        <v>829</v>
      </c>
      <c r="D2463" s="288" t="s">
        <v>818</v>
      </c>
      <c r="E2463" s="289">
        <v>10</v>
      </c>
      <c r="F2463" s="290">
        <v>0</v>
      </c>
      <c r="G2463" s="289">
        <v>900</v>
      </c>
      <c r="H2463" s="289">
        <v>0</v>
      </c>
      <c r="I2463" s="289">
        <v>90</v>
      </c>
      <c r="J2463" s="289">
        <v>70</v>
      </c>
      <c r="K2463" s="289">
        <v>7</v>
      </c>
      <c r="L2463" s="289">
        <v>1067</v>
      </c>
    </row>
    <row r="2464" spans="1:12">
      <c r="A2464" s="288" t="s">
        <v>3304</v>
      </c>
      <c r="B2464" s="288" t="s">
        <v>813</v>
      </c>
      <c r="C2464" s="288" t="s">
        <v>820</v>
      </c>
      <c r="D2464" s="288" t="s">
        <v>818</v>
      </c>
      <c r="E2464" s="289">
        <v>10</v>
      </c>
      <c r="F2464" s="290">
        <v>0</v>
      </c>
      <c r="G2464" s="289">
        <v>900</v>
      </c>
      <c r="H2464" s="289">
        <v>0</v>
      </c>
      <c r="I2464" s="289">
        <v>90</v>
      </c>
      <c r="J2464" s="289">
        <v>70</v>
      </c>
      <c r="K2464" s="289">
        <v>7</v>
      </c>
      <c r="L2464" s="289">
        <v>1067</v>
      </c>
    </row>
    <row r="2465" spans="1:12">
      <c r="A2465" s="288" t="s">
        <v>3305</v>
      </c>
      <c r="B2465" s="288" t="s">
        <v>813</v>
      </c>
      <c r="C2465" s="288" t="s">
        <v>814</v>
      </c>
      <c r="D2465" s="288" t="s">
        <v>818</v>
      </c>
      <c r="E2465" s="289">
        <v>10</v>
      </c>
      <c r="F2465" s="290">
        <v>17</v>
      </c>
      <c r="G2465" s="289">
        <v>1100</v>
      </c>
      <c r="H2465" s="289">
        <v>770</v>
      </c>
      <c r="I2465" s="289">
        <v>187</v>
      </c>
      <c r="J2465" s="289">
        <v>70</v>
      </c>
      <c r="K2465" s="289">
        <v>7</v>
      </c>
      <c r="L2465" s="289">
        <v>2134</v>
      </c>
    </row>
    <row r="2466" spans="1:12">
      <c r="A2466" s="288" t="s">
        <v>3306</v>
      </c>
      <c r="B2466" s="288" t="s">
        <v>813</v>
      </c>
      <c r="C2466" s="288" t="s">
        <v>814</v>
      </c>
      <c r="D2466" s="288" t="s">
        <v>818</v>
      </c>
      <c r="E2466" s="289">
        <v>10</v>
      </c>
      <c r="F2466" s="290">
        <v>13</v>
      </c>
      <c r="G2466" s="289">
        <v>1100</v>
      </c>
      <c r="H2466" s="289">
        <v>330</v>
      </c>
      <c r="I2466" s="289">
        <v>143</v>
      </c>
      <c r="J2466" s="289">
        <v>70</v>
      </c>
      <c r="K2466" s="289">
        <v>7</v>
      </c>
      <c r="L2466" s="289">
        <v>1650</v>
      </c>
    </row>
    <row r="2467" spans="1:12">
      <c r="A2467" s="288" t="s">
        <v>3307</v>
      </c>
      <c r="B2467" s="288" t="s">
        <v>813</v>
      </c>
      <c r="C2467" s="288" t="s">
        <v>814</v>
      </c>
      <c r="D2467" s="288" t="s">
        <v>818</v>
      </c>
      <c r="E2467" s="289">
        <v>10</v>
      </c>
      <c r="F2467" s="290">
        <v>11</v>
      </c>
      <c r="G2467" s="289">
        <v>1100</v>
      </c>
      <c r="H2467" s="289">
        <v>110</v>
      </c>
      <c r="I2467" s="289">
        <v>121</v>
      </c>
      <c r="J2467" s="289">
        <v>70</v>
      </c>
      <c r="K2467" s="289">
        <v>7</v>
      </c>
      <c r="L2467" s="289">
        <v>1408</v>
      </c>
    </row>
    <row r="2468" spans="1:12">
      <c r="A2468" s="288" t="s">
        <v>3308</v>
      </c>
      <c r="B2468" s="288" t="s">
        <v>813</v>
      </c>
      <c r="C2468" s="288" t="s">
        <v>814</v>
      </c>
      <c r="D2468" s="288" t="s">
        <v>818</v>
      </c>
      <c r="E2468" s="289">
        <v>10</v>
      </c>
      <c r="F2468" s="290">
        <v>5</v>
      </c>
      <c r="G2468" s="289">
        <v>900</v>
      </c>
      <c r="H2468" s="289">
        <v>0</v>
      </c>
      <c r="I2468" s="289">
        <v>90</v>
      </c>
      <c r="J2468" s="289">
        <v>70</v>
      </c>
      <c r="K2468" s="289">
        <v>7</v>
      </c>
      <c r="L2468" s="289">
        <v>1067</v>
      </c>
    </row>
    <row r="2469" spans="1:12">
      <c r="A2469" s="288" t="s">
        <v>3309</v>
      </c>
      <c r="B2469" s="288" t="s">
        <v>813</v>
      </c>
      <c r="C2469" s="288" t="s">
        <v>814</v>
      </c>
      <c r="D2469" s="288" t="s">
        <v>818</v>
      </c>
      <c r="E2469" s="289">
        <v>10</v>
      </c>
      <c r="F2469" s="290">
        <v>13</v>
      </c>
      <c r="G2469" s="289">
        <v>1100</v>
      </c>
      <c r="H2469" s="289">
        <v>330</v>
      </c>
      <c r="I2469" s="289">
        <v>143</v>
      </c>
      <c r="J2469" s="289">
        <v>70</v>
      </c>
      <c r="K2469" s="289">
        <v>7</v>
      </c>
      <c r="L2469" s="289">
        <v>1650</v>
      </c>
    </row>
    <row r="2470" spans="1:12">
      <c r="A2470" s="288" t="s">
        <v>3310</v>
      </c>
      <c r="B2470" s="288" t="s">
        <v>813</v>
      </c>
      <c r="C2470" s="288" t="s">
        <v>814</v>
      </c>
      <c r="D2470" s="288" t="s">
        <v>818</v>
      </c>
      <c r="E2470" s="289">
        <v>10</v>
      </c>
      <c r="F2470" s="290">
        <v>9</v>
      </c>
      <c r="G2470" s="289">
        <v>1100</v>
      </c>
      <c r="H2470" s="289">
        <v>0</v>
      </c>
      <c r="I2470" s="289">
        <v>110</v>
      </c>
      <c r="J2470" s="289">
        <v>70</v>
      </c>
      <c r="K2470" s="289">
        <v>7</v>
      </c>
      <c r="L2470" s="289">
        <v>1287</v>
      </c>
    </row>
    <row r="2471" spans="1:12">
      <c r="A2471" s="288" t="s">
        <v>3311</v>
      </c>
      <c r="B2471" s="288" t="s">
        <v>813</v>
      </c>
      <c r="C2471" s="288" t="s">
        <v>814</v>
      </c>
      <c r="D2471" s="288" t="s">
        <v>818</v>
      </c>
      <c r="E2471" s="289">
        <v>10</v>
      </c>
      <c r="F2471" s="290">
        <v>8</v>
      </c>
      <c r="G2471" s="289">
        <v>1100</v>
      </c>
      <c r="H2471" s="289">
        <v>0</v>
      </c>
      <c r="I2471" s="289">
        <v>110</v>
      </c>
      <c r="J2471" s="289">
        <v>70</v>
      </c>
      <c r="K2471" s="289">
        <v>7</v>
      </c>
      <c r="L2471" s="289">
        <v>1287</v>
      </c>
    </row>
    <row r="2472" spans="1:12">
      <c r="A2472" s="288" t="s">
        <v>3312</v>
      </c>
      <c r="B2472" s="288" t="s">
        <v>813</v>
      </c>
      <c r="C2472" s="288" t="s">
        <v>814</v>
      </c>
      <c r="D2472" s="288" t="s">
        <v>818</v>
      </c>
      <c r="E2472" s="289">
        <v>10</v>
      </c>
      <c r="F2472" s="290">
        <v>10</v>
      </c>
      <c r="G2472" s="289">
        <v>1100</v>
      </c>
      <c r="H2472" s="289">
        <v>0</v>
      </c>
      <c r="I2472" s="289">
        <v>110</v>
      </c>
      <c r="J2472" s="289">
        <v>70</v>
      </c>
      <c r="K2472" s="289">
        <v>7</v>
      </c>
      <c r="L2472" s="289">
        <v>1287</v>
      </c>
    </row>
    <row r="2473" spans="1:12">
      <c r="A2473" s="288" t="s">
        <v>3313</v>
      </c>
      <c r="B2473" s="288" t="s">
        <v>813</v>
      </c>
      <c r="C2473" s="288" t="s">
        <v>814</v>
      </c>
      <c r="D2473" s="288" t="s">
        <v>818</v>
      </c>
      <c r="E2473" s="289">
        <v>10</v>
      </c>
      <c r="F2473" s="290">
        <v>10</v>
      </c>
      <c r="G2473" s="289">
        <v>1100</v>
      </c>
      <c r="H2473" s="289">
        <v>0</v>
      </c>
      <c r="I2473" s="289">
        <v>110</v>
      </c>
      <c r="J2473" s="289">
        <v>70</v>
      </c>
      <c r="K2473" s="289">
        <v>7</v>
      </c>
      <c r="L2473" s="289">
        <v>1287</v>
      </c>
    </row>
    <row r="2474" spans="1:12">
      <c r="A2474" s="288" t="s">
        <v>3314</v>
      </c>
      <c r="B2474" s="288" t="s">
        <v>813</v>
      </c>
      <c r="C2474" s="288" t="s">
        <v>814</v>
      </c>
      <c r="D2474" s="288" t="s">
        <v>818</v>
      </c>
      <c r="E2474" s="289">
        <v>10</v>
      </c>
      <c r="F2474" s="290">
        <v>5</v>
      </c>
      <c r="G2474" s="289">
        <v>900</v>
      </c>
      <c r="H2474" s="289">
        <v>0</v>
      </c>
      <c r="I2474" s="289">
        <v>90</v>
      </c>
      <c r="J2474" s="289">
        <v>70</v>
      </c>
      <c r="K2474" s="289">
        <v>7</v>
      </c>
      <c r="L2474" s="289">
        <v>1067</v>
      </c>
    </row>
    <row r="2475" spans="1:12">
      <c r="A2475" s="288" t="s">
        <v>3315</v>
      </c>
      <c r="B2475" s="288" t="s">
        <v>813</v>
      </c>
      <c r="C2475" s="288" t="s">
        <v>814</v>
      </c>
      <c r="D2475" s="288" t="s">
        <v>818</v>
      </c>
      <c r="E2475" s="289">
        <v>10</v>
      </c>
      <c r="F2475" s="290">
        <v>7</v>
      </c>
      <c r="G2475" s="289">
        <v>1100</v>
      </c>
      <c r="H2475" s="289">
        <v>0</v>
      </c>
      <c r="I2475" s="289">
        <v>110</v>
      </c>
      <c r="J2475" s="289">
        <v>70</v>
      </c>
      <c r="K2475" s="289">
        <v>7</v>
      </c>
      <c r="L2475" s="289">
        <v>1287</v>
      </c>
    </row>
    <row r="2476" spans="1:12">
      <c r="A2476" s="288" t="s">
        <v>3316</v>
      </c>
      <c r="B2476" s="288" t="s">
        <v>813</v>
      </c>
      <c r="C2476" s="288" t="s">
        <v>814</v>
      </c>
      <c r="D2476" s="288" t="s">
        <v>818</v>
      </c>
      <c r="E2476" s="289">
        <v>10</v>
      </c>
      <c r="F2476" s="290">
        <v>9</v>
      </c>
      <c r="G2476" s="289">
        <v>1100</v>
      </c>
      <c r="H2476" s="289">
        <v>0</v>
      </c>
      <c r="I2476" s="289">
        <v>110</v>
      </c>
      <c r="J2476" s="289">
        <v>70</v>
      </c>
      <c r="K2476" s="289">
        <v>7</v>
      </c>
      <c r="L2476" s="289">
        <v>1287</v>
      </c>
    </row>
    <row r="2477" spans="1:12">
      <c r="A2477" s="288" t="s">
        <v>3317</v>
      </c>
      <c r="B2477" s="288" t="s">
        <v>813</v>
      </c>
      <c r="C2477" s="288" t="s">
        <v>814</v>
      </c>
      <c r="D2477" s="288" t="s">
        <v>818</v>
      </c>
      <c r="E2477" s="289">
        <v>10</v>
      </c>
      <c r="F2477" s="290">
        <v>41</v>
      </c>
      <c r="G2477" s="289">
        <v>1100</v>
      </c>
      <c r="H2477" s="289">
        <v>3410</v>
      </c>
      <c r="I2477" s="289">
        <v>451</v>
      </c>
      <c r="J2477" s="289">
        <v>70</v>
      </c>
      <c r="K2477" s="289">
        <v>7</v>
      </c>
      <c r="L2477" s="289">
        <v>5038</v>
      </c>
    </row>
    <row r="2478" spans="1:12">
      <c r="A2478" s="288" t="s">
        <v>3318</v>
      </c>
      <c r="B2478" s="288" t="s">
        <v>813</v>
      </c>
      <c r="C2478" s="288" t="s">
        <v>814</v>
      </c>
      <c r="D2478" s="288" t="s">
        <v>818</v>
      </c>
      <c r="E2478" s="289">
        <v>10</v>
      </c>
      <c r="F2478" s="290">
        <v>25</v>
      </c>
      <c r="G2478" s="289">
        <v>1100</v>
      </c>
      <c r="H2478" s="289">
        <v>1650</v>
      </c>
      <c r="I2478" s="289">
        <v>275</v>
      </c>
      <c r="J2478" s="289">
        <v>70</v>
      </c>
      <c r="K2478" s="289">
        <v>7</v>
      </c>
      <c r="L2478" s="289">
        <v>3102</v>
      </c>
    </row>
    <row r="2479" spans="1:12">
      <c r="A2479" s="288" t="s">
        <v>3319</v>
      </c>
      <c r="B2479" s="288" t="s">
        <v>813</v>
      </c>
      <c r="C2479" s="288" t="s">
        <v>814</v>
      </c>
      <c r="D2479" s="288" t="s">
        <v>818</v>
      </c>
      <c r="E2479" s="289">
        <v>10</v>
      </c>
      <c r="F2479" s="290">
        <v>12</v>
      </c>
      <c r="G2479" s="289">
        <v>1100</v>
      </c>
      <c r="H2479" s="289">
        <v>220</v>
      </c>
      <c r="I2479" s="289">
        <v>132</v>
      </c>
      <c r="J2479" s="289">
        <v>70</v>
      </c>
      <c r="K2479" s="289">
        <v>7</v>
      </c>
      <c r="L2479" s="289">
        <v>1529</v>
      </c>
    </row>
    <row r="2480" spans="1:12">
      <c r="A2480" s="288" t="s">
        <v>3320</v>
      </c>
      <c r="B2480" s="288" t="s">
        <v>813</v>
      </c>
      <c r="C2480" s="288" t="s">
        <v>814</v>
      </c>
      <c r="D2480" s="288" t="s">
        <v>818</v>
      </c>
      <c r="E2480" s="289">
        <v>10</v>
      </c>
      <c r="F2480" s="290">
        <v>9</v>
      </c>
      <c r="G2480" s="289">
        <v>1100</v>
      </c>
      <c r="H2480" s="289">
        <v>0</v>
      </c>
      <c r="I2480" s="289">
        <v>110</v>
      </c>
      <c r="J2480" s="289">
        <v>70</v>
      </c>
      <c r="K2480" s="289">
        <v>7</v>
      </c>
      <c r="L2480" s="289">
        <v>1287</v>
      </c>
    </row>
    <row r="2481" spans="1:12">
      <c r="A2481" s="288" t="s">
        <v>3321</v>
      </c>
      <c r="B2481" s="288" t="s">
        <v>813</v>
      </c>
      <c r="C2481" s="288" t="s">
        <v>814</v>
      </c>
      <c r="D2481" s="288" t="s">
        <v>818</v>
      </c>
      <c r="E2481" s="289">
        <v>10</v>
      </c>
      <c r="F2481" s="290">
        <v>21</v>
      </c>
      <c r="G2481" s="289">
        <v>1100</v>
      </c>
      <c r="H2481" s="289">
        <v>1210</v>
      </c>
      <c r="I2481" s="289">
        <v>231</v>
      </c>
      <c r="J2481" s="289">
        <v>70</v>
      </c>
      <c r="K2481" s="289">
        <v>7</v>
      </c>
      <c r="L2481" s="289">
        <v>2618</v>
      </c>
    </row>
    <row r="2482" spans="1:12">
      <c r="A2482" s="288" t="s">
        <v>3322</v>
      </c>
      <c r="B2482" s="288" t="s">
        <v>813</v>
      </c>
      <c r="C2482" s="288" t="s">
        <v>814</v>
      </c>
      <c r="D2482" s="288" t="s">
        <v>818</v>
      </c>
      <c r="E2482" s="289">
        <v>10</v>
      </c>
      <c r="F2482" s="290">
        <v>7</v>
      </c>
      <c r="G2482" s="289">
        <v>1100</v>
      </c>
      <c r="H2482" s="289">
        <v>0</v>
      </c>
      <c r="I2482" s="289">
        <v>110</v>
      </c>
      <c r="J2482" s="289">
        <v>70</v>
      </c>
      <c r="K2482" s="289">
        <v>7</v>
      </c>
      <c r="L2482" s="289">
        <v>1287</v>
      </c>
    </row>
    <row r="2483" spans="1:12">
      <c r="A2483" s="288" t="s">
        <v>3323</v>
      </c>
      <c r="B2483" s="288" t="s">
        <v>813</v>
      </c>
      <c r="C2483" s="288" t="s">
        <v>814</v>
      </c>
      <c r="D2483" s="288" t="s">
        <v>818</v>
      </c>
      <c r="E2483" s="289">
        <v>10</v>
      </c>
      <c r="F2483" s="290">
        <v>16</v>
      </c>
      <c r="G2483" s="289">
        <v>1100</v>
      </c>
      <c r="H2483" s="289">
        <v>660</v>
      </c>
      <c r="I2483" s="289">
        <v>176</v>
      </c>
      <c r="J2483" s="289">
        <v>70</v>
      </c>
      <c r="K2483" s="289">
        <v>7</v>
      </c>
      <c r="L2483" s="289">
        <v>2013</v>
      </c>
    </row>
    <row r="2484" spans="1:12">
      <c r="A2484" s="288" t="s">
        <v>3324</v>
      </c>
      <c r="B2484" s="288" t="s">
        <v>813</v>
      </c>
      <c r="C2484" s="288" t="s">
        <v>814</v>
      </c>
      <c r="D2484" s="288" t="s">
        <v>818</v>
      </c>
      <c r="E2484" s="289">
        <v>10</v>
      </c>
      <c r="F2484" s="290">
        <v>9</v>
      </c>
      <c r="G2484" s="289">
        <v>1100</v>
      </c>
      <c r="H2484" s="289">
        <v>0</v>
      </c>
      <c r="I2484" s="289">
        <v>110</v>
      </c>
      <c r="J2484" s="289">
        <v>70</v>
      </c>
      <c r="K2484" s="289">
        <v>7</v>
      </c>
      <c r="L2484" s="289">
        <v>1287</v>
      </c>
    </row>
    <row r="2485" spans="1:12">
      <c r="A2485" s="288" t="s">
        <v>3325</v>
      </c>
      <c r="B2485" s="288" t="s">
        <v>813</v>
      </c>
      <c r="C2485" s="288" t="s">
        <v>814</v>
      </c>
      <c r="D2485" s="288" t="s">
        <v>818</v>
      </c>
      <c r="E2485" s="289">
        <v>10</v>
      </c>
      <c r="F2485" s="290">
        <v>15</v>
      </c>
      <c r="G2485" s="289">
        <v>1100</v>
      </c>
      <c r="H2485" s="289">
        <v>550</v>
      </c>
      <c r="I2485" s="289">
        <v>165</v>
      </c>
      <c r="J2485" s="289">
        <v>70</v>
      </c>
      <c r="K2485" s="289">
        <v>7</v>
      </c>
      <c r="L2485" s="289">
        <v>1892</v>
      </c>
    </row>
    <row r="2486" spans="1:12">
      <c r="A2486" s="288" t="s">
        <v>3326</v>
      </c>
      <c r="B2486" s="288" t="s">
        <v>813</v>
      </c>
      <c r="C2486" s="288" t="s">
        <v>814</v>
      </c>
      <c r="D2486" s="288" t="s">
        <v>818</v>
      </c>
      <c r="E2486" s="289">
        <v>10</v>
      </c>
      <c r="F2486" s="290">
        <v>4</v>
      </c>
      <c r="G2486" s="289">
        <v>900</v>
      </c>
      <c r="H2486" s="289">
        <v>0</v>
      </c>
      <c r="I2486" s="289">
        <v>90</v>
      </c>
      <c r="J2486" s="289">
        <v>70</v>
      </c>
      <c r="K2486" s="289">
        <v>7</v>
      </c>
      <c r="L2486" s="289">
        <v>1067</v>
      </c>
    </row>
    <row r="2487" spans="1:12">
      <c r="A2487" s="288" t="s">
        <v>3327</v>
      </c>
      <c r="B2487" s="288" t="s">
        <v>813</v>
      </c>
      <c r="C2487" s="288" t="s">
        <v>814</v>
      </c>
      <c r="D2487" s="288" t="s">
        <v>818</v>
      </c>
      <c r="E2487" s="289">
        <v>10</v>
      </c>
      <c r="F2487" s="290">
        <v>18</v>
      </c>
      <c r="G2487" s="289">
        <v>1100</v>
      </c>
      <c r="H2487" s="289">
        <v>880</v>
      </c>
      <c r="I2487" s="289">
        <v>198</v>
      </c>
      <c r="J2487" s="289">
        <v>70</v>
      </c>
      <c r="K2487" s="289">
        <v>7</v>
      </c>
      <c r="L2487" s="289">
        <v>2255</v>
      </c>
    </row>
    <row r="2488" spans="1:12">
      <c r="A2488" s="288" t="s">
        <v>3328</v>
      </c>
      <c r="B2488" s="288" t="s">
        <v>813</v>
      </c>
      <c r="C2488" s="288" t="s">
        <v>814</v>
      </c>
      <c r="D2488" s="288" t="s">
        <v>818</v>
      </c>
      <c r="E2488" s="289">
        <v>10</v>
      </c>
      <c r="F2488" s="290">
        <v>26</v>
      </c>
      <c r="G2488" s="289">
        <v>1100</v>
      </c>
      <c r="H2488" s="289">
        <v>1760</v>
      </c>
      <c r="I2488" s="289">
        <v>286</v>
      </c>
      <c r="J2488" s="289">
        <v>70</v>
      </c>
      <c r="K2488" s="289">
        <v>7</v>
      </c>
      <c r="L2488" s="289">
        <v>3223</v>
      </c>
    </row>
    <row r="2489" spans="1:12">
      <c r="A2489" s="288" t="s">
        <v>3329</v>
      </c>
      <c r="B2489" s="288" t="s">
        <v>813</v>
      </c>
      <c r="C2489" s="288" t="s">
        <v>814</v>
      </c>
      <c r="D2489" s="288" t="s">
        <v>818</v>
      </c>
      <c r="E2489" s="289">
        <v>10</v>
      </c>
      <c r="F2489" s="290">
        <v>31</v>
      </c>
      <c r="G2489" s="289">
        <v>1100</v>
      </c>
      <c r="H2489" s="289">
        <v>2310</v>
      </c>
      <c r="I2489" s="289">
        <v>341</v>
      </c>
      <c r="J2489" s="289">
        <v>70</v>
      </c>
      <c r="K2489" s="289">
        <v>7</v>
      </c>
      <c r="L2489" s="289">
        <v>3828</v>
      </c>
    </row>
    <row r="2490" spans="1:12">
      <c r="A2490" s="288" t="s">
        <v>3330</v>
      </c>
      <c r="B2490" s="288" t="s">
        <v>813</v>
      </c>
      <c r="C2490" s="288" t="s">
        <v>814</v>
      </c>
      <c r="D2490" s="288" t="s">
        <v>818</v>
      </c>
      <c r="E2490" s="289">
        <v>10</v>
      </c>
      <c r="F2490" s="290">
        <v>125</v>
      </c>
      <c r="G2490" s="289">
        <v>1100</v>
      </c>
      <c r="H2490" s="289">
        <v>12400</v>
      </c>
      <c r="I2490" s="289">
        <v>1350</v>
      </c>
      <c r="J2490" s="289">
        <v>70</v>
      </c>
      <c r="K2490" s="289">
        <v>7</v>
      </c>
      <c r="L2490" s="289">
        <v>14927</v>
      </c>
    </row>
    <row r="2491" spans="1:12">
      <c r="A2491" s="288" t="s">
        <v>3331</v>
      </c>
      <c r="B2491" s="288" t="s">
        <v>813</v>
      </c>
      <c r="C2491" s="288" t="s">
        <v>814</v>
      </c>
      <c r="D2491" s="288" t="s">
        <v>818</v>
      </c>
      <c r="E2491" s="289">
        <v>10</v>
      </c>
      <c r="F2491" s="290">
        <v>9</v>
      </c>
      <c r="G2491" s="289">
        <v>1100</v>
      </c>
      <c r="H2491" s="289">
        <v>0</v>
      </c>
      <c r="I2491" s="289">
        <v>110</v>
      </c>
      <c r="J2491" s="289">
        <v>70</v>
      </c>
      <c r="K2491" s="289">
        <v>7</v>
      </c>
      <c r="L2491" s="289">
        <v>1287</v>
      </c>
    </row>
    <row r="2492" spans="1:12">
      <c r="A2492" s="288" t="s">
        <v>3332</v>
      </c>
      <c r="B2492" s="288" t="s">
        <v>813</v>
      </c>
      <c r="C2492" s="288" t="s">
        <v>814</v>
      </c>
      <c r="D2492" s="288" t="s">
        <v>818</v>
      </c>
      <c r="E2492" s="289">
        <v>10</v>
      </c>
      <c r="F2492" s="290">
        <v>34</v>
      </c>
      <c r="G2492" s="289">
        <v>1100</v>
      </c>
      <c r="H2492" s="289">
        <v>2640</v>
      </c>
      <c r="I2492" s="289">
        <v>374</v>
      </c>
      <c r="J2492" s="289">
        <v>70</v>
      </c>
      <c r="K2492" s="289">
        <v>7</v>
      </c>
      <c r="L2492" s="289">
        <v>4191</v>
      </c>
    </row>
    <row r="2493" spans="1:12">
      <c r="A2493" s="288" t="s">
        <v>3333</v>
      </c>
      <c r="B2493" s="288" t="s">
        <v>813</v>
      </c>
      <c r="C2493" s="288" t="s">
        <v>814</v>
      </c>
      <c r="D2493" s="288" t="s">
        <v>818</v>
      </c>
      <c r="E2493" s="289">
        <v>10</v>
      </c>
      <c r="F2493" s="290">
        <v>29</v>
      </c>
      <c r="G2493" s="289">
        <v>1100</v>
      </c>
      <c r="H2493" s="289">
        <v>2090</v>
      </c>
      <c r="I2493" s="289">
        <v>319</v>
      </c>
      <c r="J2493" s="289">
        <v>70</v>
      </c>
      <c r="K2493" s="289">
        <v>7</v>
      </c>
      <c r="L2493" s="289">
        <v>3586</v>
      </c>
    </row>
    <row r="2494" spans="1:12">
      <c r="A2494" s="288" t="s">
        <v>3334</v>
      </c>
      <c r="B2494" s="288" t="s">
        <v>813</v>
      </c>
      <c r="C2494" s="288" t="s">
        <v>814</v>
      </c>
      <c r="D2494" s="288" t="s">
        <v>818</v>
      </c>
      <c r="E2494" s="289">
        <v>10</v>
      </c>
      <c r="F2494" s="290">
        <v>19</v>
      </c>
      <c r="G2494" s="289">
        <v>1100</v>
      </c>
      <c r="H2494" s="289">
        <v>990</v>
      </c>
      <c r="I2494" s="289">
        <v>209</v>
      </c>
      <c r="J2494" s="289">
        <v>70</v>
      </c>
      <c r="K2494" s="289">
        <v>7</v>
      </c>
      <c r="L2494" s="289">
        <v>2376</v>
      </c>
    </row>
    <row r="2495" spans="1:12">
      <c r="A2495" s="288" t="s">
        <v>3335</v>
      </c>
      <c r="B2495" s="288" t="s">
        <v>813</v>
      </c>
      <c r="C2495" s="288" t="s">
        <v>814</v>
      </c>
      <c r="D2495" s="288" t="s">
        <v>818</v>
      </c>
      <c r="E2495" s="289">
        <v>10</v>
      </c>
      <c r="F2495" s="290">
        <v>19</v>
      </c>
      <c r="G2495" s="289">
        <v>1100</v>
      </c>
      <c r="H2495" s="289">
        <v>990</v>
      </c>
      <c r="I2495" s="289">
        <v>209</v>
      </c>
      <c r="J2495" s="289">
        <v>70</v>
      </c>
      <c r="K2495" s="289">
        <v>7</v>
      </c>
      <c r="L2495" s="289">
        <v>2376</v>
      </c>
    </row>
    <row r="2496" spans="1:12">
      <c r="A2496" s="288" t="s">
        <v>3336</v>
      </c>
      <c r="B2496" s="288" t="s">
        <v>813</v>
      </c>
      <c r="C2496" s="288" t="s">
        <v>814</v>
      </c>
      <c r="D2496" s="288" t="s">
        <v>818</v>
      </c>
      <c r="E2496" s="289">
        <v>10</v>
      </c>
      <c r="F2496" s="290">
        <v>19</v>
      </c>
      <c r="G2496" s="289">
        <v>1100</v>
      </c>
      <c r="H2496" s="289">
        <v>990</v>
      </c>
      <c r="I2496" s="289">
        <v>209</v>
      </c>
      <c r="J2496" s="289">
        <v>70</v>
      </c>
      <c r="K2496" s="289">
        <v>7</v>
      </c>
      <c r="L2496" s="289">
        <v>2376</v>
      </c>
    </row>
    <row r="2497" spans="1:12">
      <c r="A2497" s="288" t="s">
        <v>3337</v>
      </c>
      <c r="B2497" s="288" t="s">
        <v>813</v>
      </c>
      <c r="C2497" s="288" t="s">
        <v>814</v>
      </c>
      <c r="D2497" s="288" t="s">
        <v>818</v>
      </c>
      <c r="E2497" s="289">
        <v>10</v>
      </c>
      <c r="F2497" s="290">
        <v>9</v>
      </c>
      <c r="G2497" s="289">
        <v>1100</v>
      </c>
      <c r="H2497" s="289">
        <v>0</v>
      </c>
      <c r="I2497" s="289">
        <v>110</v>
      </c>
      <c r="J2497" s="289">
        <v>70</v>
      </c>
      <c r="K2497" s="289">
        <v>7</v>
      </c>
      <c r="L2497" s="289">
        <v>1287</v>
      </c>
    </row>
    <row r="2498" spans="1:12">
      <c r="A2498" s="288" t="s">
        <v>3338</v>
      </c>
      <c r="B2498" s="288" t="s">
        <v>813</v>
      </c>
      <c r="C2498" s="288" t="s">
        <v>814</v>
      </c>
      <c r="D2498" s="288" t="s">
        <v>818</v>
      </c>
      <c r="E2498" s="289">
        <v>10</v>
      </c>
      <c r="F2498" s="290">
        <v>5</v>
      </c>
      <c r="G2498" s="289">
        <v>900</v>
      </c>
      <c r="H2498" s="289">
        <v>0</v>
      </c>
      <c r="I2498" s="289">
        <v>90</v>
      </c>
      <c r="J2498" s="289">
        <v>70</v>
      </c>
      <c r="K2498" s="289">
        <v>7</v>
      </c>
      <c r="L2498" s="289">
        <v>1067</v>
      </c>
    </row>
    <row r="2499" spans="1:12">
      <c r="A2499" s="288" t="s">
        <v>3339</v>
      </c>
      <c r="B2499" s="288" t="s">
        <v>813</v>
      </c>
      <c r="C2499" s="288" t="s">
        <v>814</v>
      </c>
      <c r="D2499" s="288" t="s">
        <v>818</v>
      </c>
      <c r="E2499" s="289">
        <v>10</v>
      </c>
      <c r="F2499" s="290">
        <v>10</v>
      </c>
      <c r="G2499" s="289">
        <v>1100</v>
      </c>
      <c r="H2499" s="289">
        <v>0</v>
      </c>
      <c r="I2499" s="289">
        <v>110</v>
      </c>
      <c r="J2499" s="289">
        <v>70</v>
      </c>
      <c r="K2499" s="289">
        <v>7</v>
      </c>
      <c r="L2499" s="289">
        <v>1287</v>
      </c>
    </row>
    <row r="2500" spans="1:12">
      <c r="A2500" s="288" t="s">
        <v>3340</v>
      </c>
      <c r="B2500" s="288" t="s">
        <v>813</v>
      </c>
      <c r="C2500" s="288" t="s">
        <v>814</v>
      </c>
      <c r="D2500" s="288" t="s">
        <v>818</v>
      </c>
      <c r="E2500" s="289">
        <v>10</v>
      </c>
      <c r="F2500" s="290">
        <v>4</v>
      </c>
      <c r="G2500" s="289">
        <v>900</v>
      </c>
      <c r="H2500" s="289">
        <v>0</v>
      </c>
      <c r="I2500" s="289">
        <v>90</v>
      </c>
      <c r="J2500" s="289">
        <v>70</v>
      </c>
      <c r="K2500" s="289">
        <v>7</v>
      </c>
      <c r="L2500" s="289">
        <v>1067</v>
      </c>
    </row>
    <row r="2501" spans="1:12">
      <c r="A2501" s="288" t="s">
        <v>3341</v>
      </c>
      <c r="B2501" s="288" t="s">
        <v>813</v>
      </c>
      <c r="C2501" s="288" t="s">
        <v>814</v>
      </c>
      <c r="D2501" s="288" t="s">
        <v>818</v>
      </c>
      <c r="E2501" s="289">
        <v>10</v>
      </c>
      <c r="F2501" s="290">
        <v>0</v>
      </c>
      <c r="G2501" s="289">
        <v>900</v>
      </c>
      <c r="H2501" s="289">
        <v>0</v>
      </c>
      <c r="I2501" s="289">
        <v>90</v>
      </c>
      <c r="J2501" s="289">
        <v>70</v>
      </c>
      <c r="K2501" s="289">
        <v>7</v>
      </c>
      <c r="L2501" s="289">
        <v>1067</v>
      </c>
    </row>
    <row r="2502" spans="1:12">
      <c r="A2502" s="288" t="s">
        <v>3342</v>
      </c>
      <c r="B2502" s="288" t="s">
        <v>813</v>
      </c>
      <c r="C2502" s="288" t="s">
        <v>820</v>
      </c>
      <c r="D2502" s="288" t="s">
        <v>818</v>
      </c>
      <c r="E2502" s="289">
        <v>10</v>
      </c>
      <c r="F2502" s="290">
        <v>2</v>
      </c>
      <c r="G2502" s="289">
        <v>900</v>
      </c>
      <c r="H2502" s="289">
        <v>0</v>
      </c>
      <c r="I2502" s="289">
        <v>90</v>
      </c>
      <c r="J2502" s="289">
        <v>70</v>
      </c>
      <c r="K2502" s="289">
        <v>7</v>
      </c>
      <c r="L2502" s="289">
        <v>1067</v>
      </c>
    </row>
    <row r="2503" spans="1:12">
      <c r="A2503" s="288" t="s">
        <v>3343</v>
      </c>
      <c r="B2503" s="288" t="s">
        <v>813</v>
      </c>
      <c r="C2503" s="288" t="s">
        <v>814</v>
      </c>
      <c r="D2503" s="288" t="s">
        <v>818</v>
      </c>
      <c r="E2503" s="289">
        <v>10</v>
      </c>
      <c r="F2503" s="290">
        <v>9</v>
      </c>
      <c r="G2503" s="289">
        <v>1100</v>
      </c>
      <c r="H2503" s="289">
        <v>0</v>
      </c>
      <c r="I2503" s="289">
        <v>110</v>
      </c>
      <c r="J2503" s="289">
        <v>70</v>
      </c>
      <c r="K2503" s="289">
        <v>7</v>
      </c>
      <c r="L2503" s="289">
        <v>1287</v>
      </c>
    </row>
    <row r="2504" spans="1:12">
      <c r="A2504" s="288" t="s">
        <v>3344</v>
      </c>
      <c r="B2504" s="288" t="s">
        <v>813</v>
      </c>
      <c r="C2504" s="288" t="s">
        <v>814</v>
      </c>
      <c r="D2504" s="288" t="s">
        <v>818</v>
      </c>
      <c r="E2504" s="289">
        <v>10</v>
      </c>
      <c r="F2504" s="290">
        <v>33</v>
      </c>
      <c r="G2504" s="289">
        <v>1100</v>
      </c>
      <c r="H2504" s="289">
        <v>2530</v>
      </c>
      <c r="I2504" s="289">
        <v>363</v>
      </c>
      <c r="J2504" s="289">
        <v>70</v>
      </c>
      <c r="K2504" s="289">
        <v>7</v>
      </c>
      <c r="L2504" s="289">
        <v>4070</v>
      </c>
    </row>
    <row r="2505" spans="1:12">
      <c r="A2505" s="288" t="s">
        <v>3345</v>
      </c>
      <c r="B2505" s="288" t="s">
        <v>813</v>
      </c>
      <c r="C2505" s="288" t="s">
        <v>814</v>
      </c>
      <c r="D2505" s="288" t="s">
        <v>818</v>
      </c>
      <c r="E2505" s="289">
        <v>10</v>
      </c>
      <c r="F2505" s="290">
        <v>16</v>
      </c>
      <c r="G2505" s="289">
        <v>1100</v>
      </c>
      <c r="H2505" s="289">
        <v>660</v>
      </c>
      <c r="I2505" s="289">
        <v>176</v>
      </c>
      <c r="J2505" s="289">
        <v>70</v>
      </c>
      <c r="K2505" s="289">
        <v>7</v>
      </c>
      <c r="L2505" s="289">
        <v>2013</v>
      </c>
    </row>
    <row r="2506" spans="1:12">
      <c r="A2506" s="288" t="s">
        <v>3346</v>
      </c>
      <c r="B2506" s="288" t="s">
        <v>813</v>
      </c>
      <c r="C2506" s="288" t="s">
        <v>814</v>
      </c>
      <c r="D2506" s="288" t="s">
        <v>818</v>
      </c>
      <c r="E2506" s="289">
        <v>10</v>
      </c>
      <c r="F2506" s="290">
        <v>12</v>
      </c>
      <c r="G2506" s="289">
        <v>1100</v>
      </c>
      <c r="H2506" s="289">
        <v>220</v>
      </c>
      <c r="I2506" s="289">
        <v>132</v>
      </c>
      <c r="J2506" s="289">
        <v>70</v>
      </c>
      <c r="K2506" s="289">
        <v>7</v>
      </c>
      <c r="L2506" s="289">
        <v>1529</v>
      </c>
    </row>
    <row r="2507" spans="1:12">
      <c r="A2507" s="288" t="s">
        <v>3347</v>
      </c>
      <c r="B2507" s="288" t="s">
        <v>813</v>
      </c>
      <c r="C2507" s="288" t="s">
        <v>1095</v>
      </c>
      <c r="D2507" s="288" t="s">
        <v>818</v>
      </c>
      <c r="E2507" s="289">
        <v>10</v>
      </c>
      <c r="F2507" s="290">
        <v>3</v>
      </c>
      <c r="G2507" s="289">
        <v>900</v>
      </c>
      <c r="H2507" s="289">
        <v>0</v>
      </c>
      <c r="I2507" s="289">
        <v>90</v>
      </c>
      <c r="J2507" s="289">
        <v>70</v>
      </c>
      <c r="K2507" s="289">
        <v>7</v>
      </c>
      <c r="L2507" s="289">
        <v>1067</v>
      </c>
    </row>
    <row r="2508" spans="1:12">
      <c r="A2508" s="288" t="s">
        <v>3348</v>
      </c>
      <c r="B2508" s="288" t="s">
        <v>813</v>
      </c>
      <c r="C2508" s="288" t="s">
        <v>814</v>
      </c>
      <c r="D2508" s="288" t="s">
        <v>818</v>
      </c>
      <c r="E2508" s="289">
        <v>10</v>
      </c>
      <c r="F2508" s="290">
        <v>25</v>
      </c>
      <c r="G2508" s="289">
        <v>1100</v>
      </c>
      <c r="H2508" s="289">
        <v>1650</v>
      </c>
      <c r="I2508" s="289">
        <v>275</v>
      </c>
      <c r="J2508" s="289">
        <v>70</v>
      </c>
      <c r="K2508" s="289">
        <v>7</v>
      </c>
      <c r="L2508" s="289">
        <v>3102</v>
      </c>
    </row>
    <row r="2509" spans="1:12">
      <c r="A2509" s="288" t="s">
        <v>3349</v>
      </c>
      <c r="B2509" s="288" t="s">
        <v>813</v>
      </c>
      <c r="C2509" s="288" t="s">
        <v>814</v>
      </c>
      <c r="D2509" s="288" t="s">
        <v>818</v>
      </c>
      <c r="E2509" s="289">
        <v>10</v>
      </c>
      <c r="F2509" s="290">
        <v>29</v>
      </c>
      <c r="G2509" s="289">
        <v>1100</v>
      </c>
      <c r="H2509" s="289">
        <v>2090</v>
      </c>
      <c r="I2509" s="289">
        <v>319</v>
      </c>
      <c r="J2509" s="289">
        <v>70</v>
      </c>
      <c r="K2509" s="289">
        <v>7</v>
      </c>
      <c r="L2509" s="289">
        <v>3586</v>
      </c>
    </row>
    <row r="2510" spans="1:12">
      <c r="A2510" s="288" t="s">
        <v>3350</v>
      </c>
      <c r="B2510" s="288" t="s">
        <v>813</v>
      </c>
      <c r="C2510" s="288" t="s">
        <v>820</v>
      </c>
      <c r="D2510" s="288" t="s">
        <v>818</v>
      </c>
      <c r="E2510" s="289">
        <v>10</v>
      </c>
      <c r="F2510" s="290">
        <v>0</v>
      </c>
      <c r="G2510" s="289">
        <v>900</v>
      </c>
      <c r="H2510" s="289">
        <v>0</v>
      </c>
      <c r="I2510" s="289">
        <v>90</v>
      </c>
      <c r="J2510" s="289">
        <v>70</v>
      </c>
      <c r="K2510" s="289">
        <v>7</v>
      </c>
      <c r="L2510" s="289">
        <v>1067</v>
      </c>
    </row>
    <row r="2511" spans="1:12">
      <c r="A2511" s="288" t="s">
        <v>3351</v>
      </c>
      <c r="B2511" s="288" t="s">
        <v>813</v>
      </c>
      <c r="C2511" s="288" t="s">
        <v>814</v>
      </c>
      <c r="D2511" s="288" t="s">
        <v>818</v>
      </c>
      <c r="E2511" s="289">
        <v>10</v>
      </c>
      <c r="F2511" s="290">
        <v>12</v>
      </c>
      <c r="G2511" s="289">
        <v>1100</v>
      </c>
      <c r="H2511" s="289">
        <v>220</v>
      </c>
      <c r="I2511" s="289">
        <v>132</v>
      </c>
      <c r="J2511" s="289">
        <v>70</v>
      </c>
      <c r="K2511" s="289">
        <v>7</v>
      </c>
      <c r="L2511" s="289">
        <v>1529</v>
      </c>
    </row>
    <row r="2512" spans="1:12">
      <c r="A2512" s="288" t="s">
        <v>3352</v>
      </c>
      <c r="B2512" s="288" t="s">
        <v>813</v>
      </c>
      <c r="C2512" s="288" t="s">
        <v>820</v>
      </c>
      <c r="D2512" s="288" t="s">
        <v>818</v>
      </c>
      <c r="E2512" s="289">
        <v>10</v>
      </c>
      <c r="F2512" s="290">
        <v>12</v>
      </c>
      <c r="G2512" s="289">
        <v>1100</v>
      </c>
      <c r="H2512" s="289">
        <v>220</v>
      </c>
      <c r="I2512" s="289">
        <v>132</v>
      </c>
      <c r="J2512" s="289">
        <v>70</v>
      </c>
      <c r="K2512" s="289">
        <v>7</v>
      </c>
      <c r="L2512" s="289">
        <v>1529</v>
      </c>
    </row>
    <row r="2513" spans="1:12">
      <c r="A2513" s="288" t="s">
        <v>3353</v>
      </c>
      <c r="B2513" s="288" t="s">
        <v>813</v>
      </c>
      <c r="C2513" s="288" t="s">
        <v>814</v>
      </c>
      <c r="D2513" s="288" t="s">
        <v>818</v>
      </c>
      <c r="E2513" s="289">
        <v>10</v>
      </c>
      <c r="F2513" s="290">
        <v>15</v>
      </c>
      <c r="G2513" s="289">
        <v>1100</v>
      </c>
      <c r="H2513" s="289">
        <v>550</v>
      </c>
      <c r="I2513" s="289">
        <v>165</v>
      </c>
      <c r="J2513" s="289">
        <v>70</v>
      </c>
      <c r="K2513" s="289">
        <v>7</v>
      </c>
      <c r="L2513" s="289">
        <v>1892</v>
      </c>
    </row>
    <row r="2514" spans="1:12">
      <c r="A2514" s="288" t="s">
        <v>3354</v>
      </c>
      <c r="B2514" s="288" t="s">
        <v>813</v>
      </c>
      <c r="C2514" s="288" t="s">
        <v>814</v>
      </c>
      <c r="D2514" s="288" t="s">
        <v>818</v>
      </c>
      <c r="E2514" s="289">
        <v>10</v>
      </c>
      <c r="F2514" s="290">
        <v>39</v>
      </c>
      <c r="G2514" s="289">
        <v>1100</v>
      </c>
      <c r="H2514" s="289">
        <v>3190</v>
      </c>
      <c r="I2514" s="289">
        <v>429</v>
      </c>
      <c r="J2514" s="289">
        <v>70</v>
      </c>
      <c r="K2514" s="289">
        <v>7</v>
      </c>
      <c r="L2514" s="289">
        <v>4796</v>
      </c>
    </row>
    <row r="2515" spans="1:12">
      <c r="A2515" s="288" t="s">
        <v>3355</v>
      </c>
      <c r="B2515" s="288" t="s">
        <v>813</v>
      </c>
      <c r="C2515" s="288" t="s">
        <v>814</v>
      </c>
      <c r="D2515" s="288" t="s">
        <v>818</v>
      </c>
      <c r="E2515" s="289">
        <v>10</v>
      </c>
      <c r="F2515" s="290">
        <v>19</v>
      </c>
      <c r="G2515" s="289">
        <v>1100</v>
      </c>
      <c r="H2515" s="289">
        <v>990</v>
      </c>
      <c r="I2515" s="289">
        <v>209</v>
      </c>
      <c r="J2515" s="289">
        <v>70</v>
      </c>
      <c r="K2515" s="289">
        <v>7</v>
      </c>
      <c r="L2515" s="289">
        <v>2376</v>
      </c>
    </row>
    <row r="2516" spans="1:12">
      <c r="A2516" s="288" t="s">
        <v>3356</v>
      </c>
      <c r="B2516" s="288" t="s">
        <v>813</v>
      </c>
      <c r="C2516" s="288" t="s">
        <v>814</v>
      </c>
      <c r="D2516" s="288" t="s">
        <v>818</v>
      </c>
      <c r="E2516" s="289">
        <v>10</v>
      </c>
      <c r="F2516" s="290">
        <v>12</v>
      </c>
      <c r="G2516" s="289">
        <v>1100</v>
      </c>
      <c r="H2516" s="289">
        <v>220</v>
      </c>
      <c r="I2516" s="289">
        <v>132</v>
      </c>
      <c r="J2516" s="289">
        <v>70</v>
      </c>
      <c r="K2516" s="289">
        <v>7</v>
      </c>
      <c r="L2516" s="289">
        <v>1529</v>
      </c>
    </row>
    <row r="2517" spans="1:12">
      <c r="A2517" s="288" t="s">
        <v>3357</v>
      </c>
      <c r="B2517" s="288" t="s">
        <v>813</v>
      </c>
      <c r="C2517" s="288" t="s">
        <v>820</v>
      </c>
      <c r="D2517" s="288" t="s">
        <v>818</v>
      </c>
      <c r="E2517" s="289">
        <v>10</v>
      </c>
      <c r="F2517" s="290">
        <v>76</v>
      </c>
      <c r="G2517" s="289">
        <v>1100</v>
      </c>
      <c r="H2517" s="289">
        <v>7260</v>
      </c>
      <c r="I2517" s="289">
        <v>836</v>
      </c>
      <c r="J2517" s="289">
        <v>70</v>
      </c>
      <c r="K2517" s="289">
        <v>7</v>
      </c>
      <c r="L2517" s="289">
        <v>9273</v>
      </c>
    </row>
    <row r="2518" spans="1:12">
      <c r="A2518" s="288" t="s">
        <v>3358</v>
      </c>
      <c r="B2518" s="288" t="s">
        <v>813</v>
      </c>
      <c r="C2518" s="288" t="s">
        <v>814</v>
      </c>
      <c r="D2518" s="288" t="s">
        <v>818</v>
      </c>
      <c r="E2518" s="289">
        <v>10</v>
      </c>
      <c r="F2518" s="290">
        <v>13</v>
      </c>
      <c r="G2518" s="289">
        <v>1100</v>
      </c>
      <c r="H2518" s="289">
        <v>330</v>
      </c>
      <c r="I2518" s="289">
        <v>143</v>
      </c>
      <c r="J2518" s="289">
        <v>70</v>
      </c>
      <c r="K2518" s="289">
        <v>7</v>
      </c>
      <c r="L2518" s="289">
        <v>1650</v>
      </c>
    </row>
    <row r="2519" spans="1:12">
      <c r="A2519" s="288" t="s">
        <v>3359</v>
      </c>
      <c r="B2519" s="288" t="s">
        <v>813</v>
      </c>
      <c r="C2519" s="288" t="s">
        <v>814</v>
      </c>
      <c r="D2519" s="288" t="s">
        <v>815</v>
      </c>
      <c r="E2519" s="289">
        <v>10</v>
      </c>
      <c r="F2519" s="290">
        <v>3</v>
      </c>
      <c r="G2519" s="289">
        <v>900</v>
      </c>
      <c r="H2519" s="289">
        <v>0</v>
      </c>
      <c r="I2519" s="289">
        <v>90</v>
      </c>
      <c r="J2519" s="289">
        <v>50</v>
      </c>
      <c r="K2519" s="289">
        <v>5</v>
      </c>
      <c r="L2519" s="289">
        <v>1045</v>
      </c>
    </row>
    <row r="2520" spans="1:12">
      <c r="A2520" s="288" t="s">
        <v>3360</v>
      </c>
      <c r="B2520" s="288" t="s">
        <v>813</v>
      </c>
      <c r="C2520" s="288" t="s">
        <v>814</v>
      </c>
      <c r="D2520" s="288" t="s">
        <v>815</v>
      </c>
      <c r="E2520" s="289">
        <v>10</v>
      </c>
      <c r="F2520" s="290">
        <v>10</v>
      </c>
      <c r="G2520" s="289">
        <v>1100</v>
      </c>
      <c r="H2520" s="289">
        <v>0</v>
      </c>
      <c r="I2520" s="289">
        <v>110</v>
      </c>
      <c r="J2520" s="289">
        <v>50</v>
      </c>
      <c r="K2520" s="289">
        <v>5</v>
      </c>
      <c r="L2520" s="289">
        <v>1265</v>
      </c>
    </row>
    <row r="2521" spans="1:12">
      <c r="A2521" s="288" t="s">
        <v>3361</v>
      </c>
      <c r="B2521" s="288" t="s">
        <v>813</v>
      </c>
      <c r="C2521" s="288" t="s">
        <v>1095</v>
      </c>
      <c r="D2521" s="288" t="s">
        <v>815</v>
      </c>
      <c r="E2521" s="289">
        <v>10</v>
      </c>
      <c r="F2521" s="290">
        <v>0</v>
      </c>
      <c r="G2521" s="289">
        <v>900</v>
      </c>
      <c r="H2521" s="289">
        <v>0</v>
      </c>
      <c r="I2521" s="289">
        <v>90</v>
      </c>
      <c r="J2521" s="289">
        <v>50</v>
      </c>
      <c r="K2521" s="289">
        <v>5</v>
      </c>
      <c r="L2521" s="289">
        <v>1045</v>
      </c>
    </row>
    <row r="2522" spans="1:12">
      <c r="A2522" s="288" t="s">
        <v>3362</v>
      </c>
      <c r="B2522" s="288" t="s">
        <v>813</v>
      </c>
      <c r="C2522" s="288" t="s">
        <v>814</v>
      </c>
      <c r="D2522" s="288" t="s">
        <v>815</v>
      </c>
      <c r="E2522" s="289">
        <v>10</v>
      </c>
      <c r="F2522" s="290">
        <v>8</v>
      </c>
      <c r="G2522" s="289">
        <v>1100</v>
      </c>
      <c r="H2522" s="289">
        <v>0</v>
      </c>
      <c r="I2522" s="289">
        <v>110</v>
      </c>
      <c r="J2522" s="289">
        <v>50</v>
      </c>
      <c r="K2522" s="289">
        <v>5</v>
      </c>
      <c r="L2522" s="289">
        <v>1265</v>
      </c>
    </row>
    <row r="2523" spans="1:12">
      <c r="A2523" s="288" t="s">
        <v>3363</v>
      </c>
      <c r="B2523" s="288" t="s">
        <v>813</v>
      </c>
      <c r="C2523" s="288" t="s">
        <v>1095</v>
      </c>
      <c r="D2523" s="288" t="s">
        <v>815</v>
      </c>
      <c r="E2523" s="289">
        <v>10</v>
      </c>
      <c r="F2523" s="290">
        <v>0</v>
      </c>
      <c r="G2523" s="289">
        <v>550</v>
      </c>
      <c r="H2523" s="289">
        <v>0</v>
      </c>
      <c r="I2523" s="289">
        <v>55</v>
      </c>
      <c r="J2523" s="289">
        <v>50</v>
      </c>
      <c r="K2523" s="289">
        <v>5</v>
      </c>
      <c r="L2523" s="289">
        <v>660</v>
      </c>
    </row>
    <row r="2524" spans="1:12">
      <c r="A2524" s="288" t="s">
        <v>3364</v>
      </c>
      <c r="B2524" s="288" t="s">
        <v>813</v>
      </c>
      <c r="C2524" s="288" t="s">
        <v>814</v>
      </c>
      <c r="D2524" s="288" t="s">
        <v>815</v>
      </c>
      <c r="E2524" s="289">
        <v>10</v>
      </c>
      <c r="F2524" s="290">
        <v>4</v>
      </c>
      <c r="G2524" s="289">
        <v>550</v>
      </c>
      <c r="H2524" s="289">
        <v>0</v>
      </c>
      <c r="I2524" s="289">
        <v>55</v>
      </c>
      <c r="J2524" s="289">
        <v>50</v>
      </c>
      <c r="K2524" s="289">
        <v>5</v>
      </c>
      <c r="L2524" s="289">
        <v>660</v>
      </c>
    </row>
    <row r="2525" spans="1:12">
      <c r="A2525" s="288" t="s">
        <v>3365</v>
      </c>
      <c r="B2525" s="288" t="s">
        <v>813</v>
      </c>
      <c r="C2525" s="288" t="s">
        <v>1095</v>
      </c>
      <c r="D2525" s="288" t="s">
        <v>815</v>
      </c>
      <c r="E2525" s="289">
        <v>10</v>
      </c>
      <c r="F2525" s="290">
        <v>0</v>
      </c>
      <c r="G2525" s="289">
        <v>900</v>
      </c>
      <c r="H2525" s="289">
        <v>0</v>
      </c>
      <c r="I2525" s="289">
        <v>90</v>
      </c>
      <c r="J2525" s="289">
        <v>50</v>
      </c>
      <c r="K2525" s="289">
        <v>5</v>
      </c>
      <c r="L2525" s="289">
        <v>1045</v>
      </c>
    </row>
    <row r="2526" spans="1:12">
      <c r="A2526" s="288" t="s">
        <v>3366</v>
      </c>
      <c r="B2526" s="288" t="s">
        <v>813</v>
      </c>
      <c r="C2526" s="288" t="s">
        <v>814</v>
      </c>
      <c r="D2526" s="288" t="s">
        <v>815</v>
      </c>
      <c r="E2526" s="289">
        <v>10</v>
      </c>
      <c r="F2526" s="290">
        <v>10</v>
      </c>
      <c r="G2526" s="289">
        <v>1100</v>
      </c>
      <c r="H2526" s="289">
        <v>0</v>
      </c>
      <c r="I2526" s="289">
        <v>110</v>
      </c>
      <c r="J2526" s="289">
        <v>50</v>
      </c>
      <c r="K2526" s="289">
        <v>5</v>
      </c>
      <c r="L2526" s="289">
        <v>1265</v>
      </c>
    </row>
    <row r="2527" spans="1:12">
      <c r="A2527" s="288" t="s">
        <v>3367</v>
      </c>
      <c r="B2527" s="288" t="s">
        <v>813</v>
      </c>
      <c r="C2527" s="288" t="s">
        <v>814</v>
      </c>
      <c r="D2527" s="288" t="s">
        <v>815</v>
      </c>
      <c r="E2527" s="289">
        <v>10</v>
      </c>
      <c r="F2527" s="290">
        <v>6</v>
      </c>
      <c r="G2527" s="289">
        <v>1100</v>
      </c>
      <c r="H2527" s="289">
        <v>0</v>
      </c>
      <c r="I2527" s="289">
        <v>110</v>
      </c>
      <c r="J2527" s="289">
        <v>50</v>
      </c>
      <c r="K2527" s="289">
        <v>5</v>
      </c>
      <c r="L2527" s="289">
        <v>1265</v>
      </c>
    </row>
    <row r="2528" spans="1:12">
      <c r="A2528" s="288" t="s">
        <v>3368</v>
      </c>
      <c r="B2528" s="288" t="s">
        <v>813</v>
      </c>
      <c r="C2528" s="288" t="s">
        <v>814</v>
      </c>
      <c r="D2528" s="288" t="s">
        <v>815</v>
      </c>
      <c r="E2528" s="289">
        <v>10</v>
      </c>
      <c r="F2528" s="290">
        <v>5</v>
      </c>
      <c r="G2528" s="289">
        <v>900</v>
      </c>
      <c r="H2528" s="289">
        <v>0</v>
      </c>
      <c r="I2528" s="289">
        <v>90</v>
      </c>
      <c r="J2528" s="289">
        <v>50</v>
      </c>
      <c r="K2528" s="289">
        <v>5</v>
      </c>
      <c r="L2528" s="289">
        <v>1045</v>
      </c>
    </row>
    <row r="2529" spans="1:12">
      <c r="A2529" s="288" t="s">
        <v>3369</v>
      </c>
      <c r="B2529" s="288" t="s">
        <v>813</v>
      </c>
      <c r="C2529" s="288" t="s">
        <v>1095</v>
      </c>
      <c r="D2529" s="288" t="s">
        <v>815</v>
      </c>
      <c r="E2529" s="289">
        <v>10</v>
      </c>
      <c r="F2529" s="290">
        <v>1</v>
      </c>
      <c r="G2529" s="289">
        <v>550</v>
      </c>
      <c r="H2529" s="289">
        <v>0</v>
      </c>
      <c r="I2529" s="289">
        <v>55</v>
      </c>
      <c r="J2529" s="289">
        <v>50</v>
      </c>
      <c r="K2529" s="289">
        <v>5</v>
      </c>
      <c r="L2529" s="289">
        <v>660</v>
      </c>
    </row>
    <row r="2530" spans="1:12">
      <c r="A2530" s="288" t="s">
        <v>3370</v>
      </c>
      <c r="B2530" s="288" t="s">
        <v>813</v>
      </c>
      <c r="C2530" s="288" t="s">
        <v>814</v>
      </c>
      <c r="D2530" s="288" t="s">
        <v>815</v>
      </c>
      <c r="E2530" s="289">
        <v>10</v>
      </c>
      <c r="F2530" s="290">
        <v>0</v>
      </c>
      <c r="G2530" s="289">
        <v>550</v>
      </c>
      <c r="H2530" s="289">
        <v>0</v>
      </c>
      <c r="I2530" s="289">
        <v>55</v>
      </c>
      <c r="J2530" s="289">
        <v>50</v>
      </c>
      <c r="K2530" s="289">
        <v>5</v>
      </c>
      <c r="L2530" s="289">
        <v>660</v>
      </c>
    </row>
    <row r="2531" spans="1:12">
      <c r="A2531" s="288" t="s">
        <v>3371</v>
      </c>
      <c r="B2531" s="288" t="s">
        <v>813</v>
      </c>
      <c r="C2531" s="288" t="s">
        <v>1095</v>
      </c>
      <c r="D2531" s="288" t="s">
        <v>815</v>
      </c>
      <c r="E2531" s="289">
        <v>10</v>
      </c>
      <c r="F2531" s="290">
        <v>0</v>
      </c>
      <c r="G2531" s="289">
        <v>900</v>
      </c>
      <c r="H2531" s="289">
        <v>0</v>
      </c>
      <c r="I2531" s="289">
        <v>90</v>
      </c>
      <c r="J2531" s="289">
        <v>50</v>
      </c>
      <c r="K2531" s="289">
        <v>5</v>
      </c>
      <c r="L2531" s="289">
        <v>1045</v>
      </c>
    </row>
    <row r="2532" spans="1:12">
      <c r="A2532" s="288" t="s">
        <v>3372</v>
      </c>
      <c r="B2532" s="288" t="s">
        <v>813</v>
      </c>
      <c r="C2532" s="288" t="s">
        <v>814</v>
      </c>
      <c r="D2532" s="288" t="s">
        <v>815</v>
      </c>
      <c r="E2532" s="289">
        <v>10</v>
      </c>
      <c r="F2532" s="290">
        <v>6</v>
      </c>
      <c r="G2532" s="289">
        <v>1100</v>
      </c>
      <c r="H2532" s="289">
        <v>0</v>
      </c>
      <c r="I2532" s="289">
        <v>110</v>
      </c>
      <c r="J2532" s="289">
        <v>50</v>
      </c>
      <c r="K2532" s="289">
        <v>5</v>
      </c>
      <c r="L2532" s="289">
        <v>1265</v>
      </c>
    </row>
    <row r="2533" spans="1:12">
      <c r="A2533" s="288" t="s">
        <v>3373</v>
      </c>
      <c r="B2533" s="288" t="s">
        <v>813</v>
      </c>
      <c r="C2533" s="288" t="s">
        <v>814</v>
      </c>
      <c r="D2533" s="288" t="s">
        <v>815</v>
      </c>
      <c r="E2533" s="289">
        <v>10</v>
      </c>
      <c r="F2533" s="290">
        <v>0</v>
      </c>
      <c r="G2533" s="289">
        <v>900</v>
      </c>
      <c r="H2533" s="289">
        <v>0</v>
      </c>
      <c r="I2533" s="289">
        <v>90</v>
      </c>
      <c r="J2533" s="289">
        <v>50</v>
      </c>
      <c r="K2533" s="289">
        <v>5</v>
      </c>
      <c r="L2533" s="289">
        <v>1045</v>
      </c>
    </row>
    <row r="2534" spans="1:12">
      <c r="A2534" s="288" t="s">
        <v>3374</v>
      </c>
      <c r="B2534" s="288" t="s">
        <v>813</v>
      </c>
      <c r="C2534" s="288" t="s">
        <v>814</v>
      </c>
      <c r="D2534" s="288" t="s">
        <v>815</v>
      </c>
      <c r="E2534" s="289">
        <v>10</v>
      </c>
      <c r="F2534" s="290">
        <v>4</v>
      </c>
      <c r="G2534" s="289">
        <v>900</v>
      </c>
      <c r="H2534" s="289">
        <v>0</v>
      </c>
      <c r="I2534" s="289">
        <v>90</v>
      </c>
      <c r="J2534" s="289">
        <v>50</v>
      </c>
      <c r="K2534" s="289">
        <v>5</v>
      </c>
      <c r="L2534" s="289">
        <v>1045</v>
      </c>
    </row>
    <row r="2535" spans="1:12">
      <c r="A2535" s="288" t="s">
        <v>3375</v>
      </c>
      <c r="B2535" s="288" t="s">
        <v>813</v>
      </c>
      <c r="C2535" s="288" t="s">
        <v>814</v>
      </c>
      <c r="D2535" s="288" t="s">
        <v>815</v>
      </c>
      <c r="E2535" s="289">
        <v>10</v>
      </c>
      <c r="F2535" s="290">
        <v>8</v>
      </c>
      <c r="G2535" s="289">
        <v>1100</v>
      </c>
      <c r="H2535" s="289">
        <v>0</v>
      </c>
      <c r="I2535" s="289">
        <v>110</v>
      </c>
      <c r="J2535" s="289">
        <v>50</v>
      </c>
      <c r="K2535" s="289">
        <v>5</v>
      </c>
      <c r="L2535" s="289">
        <v>1265</v>
      </c>
    </row>
    <row r="2536" spans="1:12">
      <c r="A2536" s="288" t="s">
        <v>3376</v>
      </c>
      <c r="B2536" s="288" t="s">
        <v>813</v>
      </c>
      <c r="C2536" s="288" t="s">
        <v>814</v>
      </c>
      <c r="D2536" s="288" t="s">
        <v>815</v>
      </c>
      <c r="E2536" s="289">
        <v>10</v>
      </c>
      <c r="F2536" s="290">
        <v>8</v>
      </c>
      <c r="G2536" s="289">
        <v>1100</v>
      </c>
      <c r="H2536" s="289">
        <v>0</v>
      </c>
      <c r="I2536" s="289">
        <v>110</v>
      </c>
      <c r="J2536" s="289">
        <v>50</v>
      </c>
      <c r="K2536" s="289">
        <v>5</v>
      </c>
      <c r="L2536" s="289">
        <v>1265</v>
      </c>
    </row>
    <row r="2537" spans="1:12">
      <c r="A2537" s="288" t="s">
        <v>3377</v>
      </c>
      <c r="B2537" s="288" t="s">
        <v>813</v>
      </c>
      <c r="C2537" s="288" t="s">
        <v>829</v>
      </c>
      <c r="D2537" s="288" t="s">
        <v>818</v>
      </c>
      <c r="E2537" s="289">
        <v>10</v>
      </c>
      <c r="F2537" s="290">
        <v>4</v>
      </c>
      <c r="G2537" s="289">
        <v>900</v>
      </c>
      <c r="H2537" s="289">
        <v>0</v>
      </c>
      <c r="I2537" s="289">
        <v>90</v>
      </c>
      <c r="J2537" s="289">
        <v>70</v>
      </c>
      <c r="K2537" s="289">
        <v>7</v>
      </c>
      <c r="L2537" s="289">
        <v>1067</v>
      </c>
    </row>
    <row r="2538" spans="1:12">
      <c r="A2538" s="288" t="s">
        <v>3378</v>
      </c>
      <c r="B2538" s="288" t="s">
        <v>2636</v>
      </c>
      <c r="C2538" s="288" t="s">
        <v>833</v>
      </c>
      <c r="D2538" s="288" t="s">
        <v>2202</v>
      </c>
      <c r="E2538" s="289">
        <v>10</v>
      </c>
      <c r="F2538" s="290">
        <v>1965</v>
      </c>
      <c r="G2538" s="289">
        <v>1100</v>
      </c>
      <c r="H2538" s="289">
        <v>196400</v>
      </c>
      <c r="I2538" s="289">
        <v>19750</v>
      </c>
      <c r="J2538" s="289">
        <v>1000</v>
      </c>
      <c r="K2538" s="289">
        <v>100</v>
      </c>
      <c r="L2538" s="289">
        <v>218350</v>
      </c>
    </row>
    <row r="2539" spans="1:12">
      <c r="A2539" s="288" t="s">
        <v>3379</v>
      </c>
      <c r="B2539" s="288" t="s">
        <v>2636</v>
      </c>
      <c r="C2539" s="288" t="s">
        <v>833</v>
      </c>
      <c r="D2539" s="288" t="s">
        <v>822</v>
      </c>
      <c r="E2539" s="289">
        <v>10</v>
      </c>
      <c r="F2539" s="290">
        <v>155</v>
      </c>
      <c r="G2539" s="289">
        <v>1100</v>
      </c>
      <c r="H2539" s="289">
        <v>15400</v>
      </c>
      <c r="I2539" s="289">
        <v>1650</v>
      </c>
      <c r="J2539" s="289">
        <v>200</v>
      </c>
      <c r="K2539" s="289">
        <v>20</v>
      </c>
      <c r="L2539" s="289">
        <v>18370</v>
      </c>
    </row>
    <row r="2540" spans="1:12">
      <c r="A2540" s="288" t="s">
        <v>3380</v>
      </c>
      <c r="B2540" s="288" t="s">
        <v>2636</v>
      </c>
      <c r="C2540" s="288" t="s">
        <v>833</v>
      </c>
      <c r="D2540" s="288" t="s">
        <v>837</v>
      </c>
      <c r="E2540" s="289">
        <v>10</v>
      </c>
      <c r="F2540" s="290">
        <v>2303</v>
      </c>
      <c r="G2540" s="289">
        <v>1100</v>
      </c>
      <c r="H2540" s="289">
        <v>230200</v>
      </c>
      <c r="I2540" s="289">
        <v>23130</v>
      </c>
      <c r="J2540" s="289">
        <v>800</v>
      </c>
      <c r="K2540" s="289">
        <v>80</v>
      </c>
      <c r="L2540" s="289">
        <v>255310</v>
      </c>
    </row>
    <row r="2541" spans="1:12">
      <c r="A2541" s="288" t="s">
        <v>3381</v>
      </c>
      <c r="B2541" s="288" t="s">
        <v>3382</v>
      </c>
      <c r="C2541" s="288" t="s">
        <v>3383</v>
      </c>
      <c r="D2541" s="288" t="s">
        <v>2643</v>
      </c>
      <c r="E2541" s="289">
        <v>10</v>
      </c>
      <c r="F2541" s="290">
        <v>11</v>
      </c>
      <c r="G2541" s="289">
        <v>0</v>
      </c>
      <c r="H2541" s="289">
        <v>1210</v>
      </c>
      <c r="I2541" s="289">
        <v>121</v>
      </c>
      <c r="J2541" s="289">
        <v>0</v>
      </c>
      <c r="K2541" s="289">
        <v>0</v>
      </c>
      <c r="L2541" s="289">
        <v>1331</v>
      </c>
    </row>
    <row r="2542" spans="1:12">
      <c r="A2542" s="288" t="s">
        <v>3384</v>
      </c>
      <c r="B2542" s="288" t="s">
        <v>817</v>
      </c>
      <c r="C2542" s="288" t="s">
        <v>814</v>
      </c>
      <c r="D2542" s="288" t="s">
        <v>815</v>
      </c>
      <c r="E2542" s="289">
        <v>10</v>
      </c>
      <c r="F2542" s="290">
        <v>19</v>
      </c>
      <c r="G2542" s="289">
        <v>1100</v>
      </c>
      <c r="H2542" s="289">
        <v>990</v>
      </c>
      <c r="I2542" s="289">
        <v>209</v>
      </c>
      <c r="J2542" s="289">
        <v>50</v>
      </c>
      <c r="K2542" s="289">
        <v>5</v>
      </c>
      <c r="L2542" s="289">
        <v>2354</v>
      </c>
    </row>
    <row r="2543" spans="1:12">
      <c r="A2543" s="288" t="s">
        <v>3385</v>
      </c>
      <c r="B2543" s="288" t="s">
        <v>817</v>
      </c>
      <c r="C2543" s="288" t="s">
        <v>814</v>
      </c>
      <c r="D2543" s="288" t="s">
        <v>818</v>
      </c>
      <c r="E2543" s="289">
        <v>10</v>
      </c>
      <c r="F2543" s="290">
        <v>0</v>
      </c>
      <c r="G2543" s="289">
        <v>900</v>
      </c>
      <c r="H2543" s="289">
        <v>0</v>
      </c>
      <c r="I2543" s="289">
        <v>90</v>
      </c>
      <c r="J2543" s="289">
        <v>70</v>
      </c>
      <c r="K2543" s="289">
        <v>7</v>
      </c>
      <c r="L2543" s="289">
        <v>1067</v>
      </c>
    </row>
    <row r="2544" spans="1:12">
      <c r="A2544" s="288" t="s">
        <v>3386</v>
      </c>
      <c r="B2544" s="288" t="s">
        <v>817</v>
      </c>
      <c r="C2544" s="288" t="s">
        <v>814</v>
      </c>
      <c r="D2544" s="288" t="s">
        <v>818</v>
      </c>
      <c r="E2544" s="289">
        <v>10</v>
      </c>
      <c r="F2544" s="290">
        <v>30</v>
      </c>
      <c r="G2544" s="289">
        <v>1100</v>
      </c>
      <c r="H2544" s="289">
        <v>2200</v>
      </c>
      <c r="I2544" s="289">
        <v>330</v>
      </c>
      <c r="J2544" s="289">
        <v>70</v>
      </c>
      <c r="K2544" s="289">
        <v>7</v>
      </c>
      <c r="L2544" s="289">
        <v>3707</v>
      </c>
    </row>
    <row r="2545" spans="1:12">
      <c r="A2545" s="288" t="s">
        <v>3387</v>
      </c>
      <c r="B2545" s="288" t="s">
        <v>817</v>
      </c>
      <c r="C2545" s="288" t="s">
        <v>814</v>
      </c>
      <c r="D2545" s="288" t="s">
        <v>815</v>
      </c>
      <c r="E2545" s="289">
        <v>10</v>
      </c>
      <c r="F2545" s="290">
        <v>11</v>
      </c>
      <c r="G2545" s="289">
        <v>1100</v>
      </c>
      <c r="H2545" s="289">
        <v>110</v>
      </c>
      <c r="I2545" s="289">
        <v>121</v>
      </c>
      <c r="J2545" s="289">
        <v>50</v>
      </c>
      <c r="K2545" s="289">
        <v>5</v>
      </c>
      <c r="L2545" s="289">
        <v>1386</v>
      </c>
    </row>
    <row r="2546" spans="1:12">
      <c r="A2546" s="288" t="s">
        <v>3388</v>
      </c>
      <c r="B2546" s="288" t="s">
        <v>817</v>
      </c>
      <c r="C2546" s="288" t="s">
        <v>814</v>
      </c>
      <c r="D2546" s="288" t="s">
        <v>815</v>
      </c>
      <c r="E2546" s="289">
        <v>10</v>
      </c>
      <c r="F2546" s="290">
        <v>0</v>
      </c>
      <c r="G2546" s="289">
        <v>900</v>
      </c>
      <c r="H2546" s="289">
        <v>0</v>
      </c>
      <c r="I2546" s="289">
        <v>90</v>
      </c>
      <c r="J2546" s="289">
        <v>50</v>
      </c>
      <c r="K2546" s="289">
        <v>5</v>
      </c>
      <c r="L2546" s="289">
        <v>1045</v>
      </c>
    </row>
    <row r="2547" spans="1:12">
      <c r="A2547" s="288" t="s">
        <v>3389</v>
      </c>
      <c r="B2547" s="288" t="s">
        <v>817</v>
      </c>
      <c r="C2547" s="288" t="s">
        <v>814</v>
      </c>
      <c r="D2547" s="288" t="s">
        <v>815</v>
      </c>
      <c r="E2547" s="289">
        <v>10</v>
      </c>
      <c r="F2547" s="290">
        <v>23</v>
      </c>
      <c r="G2547" s="289">
        <v>1100</v>
      </c>
      <c r="H2547" s="289">
        <v>1430</v>
      </c>
      <c r="I2547" s="289">
        <v>253</v>
      </c>
      <c r="J2547" s="289">
        <v>50</v>
      </c>
      <c r="K2547" s="289">
        <v>5</v>
      </c>
      <c r="L2547" s="289">
        <v>2838</v>
      </c>
    </row>
    <row r="2548" spans="1:12">
      <c r="A2548" s="288" t="s">
        <v>3390</v>
      </c>
      <c r="B2548" s="288" t="s">
        <v>817</v>
      </c>
      <c r="C2548" s="288" t="s">
        <v>814</v>
      </c>
      <c r="D2548" s="288" t="s">
        <v>815</v>
      </c>
      <c r="E2548" s="289">
        <v>10</v>
      </c>
      <c r="F2548" s="290">
        <v>16</v>
      </c>
      <c r="G2548" s="289">
        <v>1100</v>
      </c>
      <c r="H2548" s="289">
        <v>660</v>
      </c>
      <c r="I2548" s="289">
        <v>176</v>
      </c>
      <c r="J2548" s="289">
        <v>50</v>
      </c>
      <c r="K2548" s="289">
        <v>5</v>
      </c>
      <c r="L2548" s="289">
        <v>1991</v>
      </c>
    </row>
    <row r="2549" spans="1:12">
      <c r="A2549" s="288" t="s">
        <v>3391</v>
      </c>
      <c r="B2549" s="288" t="s">
        <v>817</v>
      </c>
      <c r="C2549" s="288" t="s">
        <v>814</v>
      </c>
      <c r="D2549" s="288" t="s">
        <v>815</v>
      </c>
      <c r="E2549" s="289">
        <v>10</v>
      </c>
      <c r="F2549" s="290">
        <v>4</v>
      </c>
      <c r="G2549" s="289">
        <v>900</v>
      </c>
      <c r="H2549" s="289">
        <v>0</v>
      </c>
      <c r="I2549" s="289">
        <v>90</v>
      </c>
      <c r="J2549" s="289">
        <v>50</v>
      </c>
      <c r="K2549" s="289">
        <v>5</v>
      </c>
      <c r="L2549" s="289">
        <v>1045</v>
      </c>
    </row>
    <row r="2550" spans="1:12">
      <c r="A2550" s="288" t="s">
        <v>3392</v>
      </c>
      <c r="B2550" s="288" t="s">
        <v>817</v>
      </c>
      <c r="C2550" s="288" t="s">
        <v>814</v>
      </c>
      <c r="D2550" s="288" t="s">
        <v>815</v>
      </c>
      <c r="E2550" s="289">
        <v>10</v>
      </c>
      <c r="F2550" s="290">
        <v>15</v>
      </c>
      <c r="G2550" s="289">
        <v>1100</v>
      </c>
      <c r="H2550" s="289">
        <v>550</v>
      </c>
      <c r="I2550" s="289">
        <v>165</v>
      </c>
      <c r="J2550" s="289">
        <v>50</v>
      </c>
      <c r="K2550" s="289">
        <v>5</v>
      </c>
      <c r="L2550" s="289">
        <v>1870</v>
      </c>
    </row>
    <row r="2551" spans="1:12">
      <c r="A2551" s="288" t="s">
        <v>3393</v>
      </c>
      <c r="B2551" s="288" t="s">
        <v>817</v>
      </c>
      <c r="C2551" s="288" t="s">
        <v>814</v>
      </c>
      <c r="D2551" s="288" t="s">
        <v>815</v>
      </c>
      <c r="E2551" s="289">
        <v>10</v>
      </c>
      <c r="F2551" s="290">
        <v>7</v>
      </c>
      <c r="G2551" s="289">
        <v>1100</v>
      </c>
      <c r="H2551" s="289">
        <v>0</v>
      </c>
      <c r="I2551" s="289">
        <v>110</v>
      </c>
      <c r="J2551" s="289">
        <v>50</v>
      </c>
      <c r="K2551" s="289">
        <v>5</v>
      </c>
      <c r="L2551" s="289">
        <v>1265</v>
      </c>
    </row>
    <row r="2552" spans="1:12">
      <c r="A2552" s="288" t="s">
        <v>3394</v>
      </c>
      <c r="B2552" s="288" t="s">
        <v>817</v>
      </c>
      <c r="C2552" s="288" t="s">
        <v>814</v>
      </c>
      <c r="D2552" s="288" t="s">
        <v>815</v>
      </c>
      <c r="E2552" s="289">
        <v>10</v>
      </c>
      <c r="F2552" s="290">
        <v>8</v>
      </c>
      <c r="G2552" s="289">
        <v>1100</v>
      </c>
      <c r="H2552" s="289">
        <v>0</v>
      </c>
      <c r="I2552" s="289">
        <v>110</v>
      </c>
      <c r="J2552" s="289">
        <v>50</v>
      </c>
      <c r="K2552" s="289">
        <v>5</v>
      </c>
      <c r="L2552" s="289">
        <v>1265</v>
      </c>
    </row>
    <row r="2553" spans="1:12">
      <c r="A2553" s="288" t="s">
        <v>3395</v>
      </c>
      <c r="B2553" s="288" t="s">
        <v>817</v>
      </c>
      <c r="C2553" s="288" t="s">
        <v>814</v>
      </c>
      <c r="D2553" s="288" t="s">
        <v>815</v>
      </c>
      <c r="E2553" s="289">
        <v>10</v>
      </c>
      <c r="F2553" s="290">
        <v>14</v>
      </c>
      <c r="G2553" s="289">
        <v>1100</v>
      </c>
      <c r="H2553" s="289">
        <v>440</v>
      </c>
      <c r="I2553" s="289">
        <v>154</v>
      </c>
      <c r="J2553" s="289">
        <v>50</v>
      </c>
      <c r="K2553" s="289">
        <v>5</v>
      </c>
      <c r="L2553" s="289">
        <v>1749</v>
      </c>
    </row>
    <row r="2554" spans="1:12">
      <c r="A2554" s="288" t="s">
        <v>3396</v>
      </c>
      <c r="B2554" s="288" t="s">
        <v>817</v>
      </c>
      <c r="C2554" s="288" t="s">
        <v>814</v>
      </c>
      <c r="D2554" s="288" t="s">
        <v>818</v>
      </c>
      <c r="E2554" s="289">
        <v>10</v>
      </c>
      <c r="F2554" s="290">
        <v>8</v>
      </c>
      <c r="G2554" s="289">
        <v>1100</v>
      </c>
      <c r="H2554" s="289">
        <v>0</v>
      </c>
      <c r="I2554" s="289">
        <v>110</v>
      </c>
      <c r="J2554" s="289">
        <v>70</v>
      </c>
      <c r="K2554" s="289">
        <v>7</v>
      </c>
      <c r="L2554" s="289">
        <v>1287</v>
      </c>
    </row>
    <row r="2555" spans="1:12">
      <c r="A2555" s="288" t="s">
        <v>3397</v>
      </c>
      <c r="B2555" s="288" t="s">
        <v>817</v>
      </c>
      <c r="C2555" s="288" t="s">
        <v>814</v>
      </c>
      <c r="D2555" s="288" t="s">
        <v>815</v>
      </c>
      <c r="E2555" s="289">
        <v>10</v>
      </c>
      <c r="F2555" s="290">
        <v>1</v>
      </c>
      <c r="G2555" s="289">
        <v>900</v>
      </c>
      <c r="H2555" s="289">
        <v>0</v>
      </c>
      <c r="I2555" s="289">
        <v>90</v>
      </c>
      <c r="J2555" s="289">
        <v>50</v>
      </c>
      <c r="K2555" s="289">
        <v>5</v>
      </c>
      <c r="L2555" s="289">
        <v>1045</v>
      </c>
    </row>
    <row r="2556" spans="1:12">
      <c r="A2556" s="288" t="s">
        <v>3398</v>
      </c>
      <c r="B2556" s="288" t="s">
        <v>817</v>
      </c>
      <c r="C2556" s="288" t="s">
        <v>814</v>
      </c>
      <c r="D2556" s="288" t="s">
        <v>818</v>
      </c>
      <c r="E2556" s="289">
        <v>10</v>
      </c>
      <c r="F2556" s="290">
        <v>25</v>
      </c>
      <c r="G2556" s="289">
        <v>1100</v>
      </c>
      <c r="H2556" s="289">
        <v>1650</v>
      </c>
      <c r="I2556" s="289">
        <v>275</v>
      </c>
      <c r="J2556" s="289">
        <v>70</v>
      </c>
      <c r="K2556" s="289">
        <v>7</v>
      </c>
      <c r="L2556" s="289">
        <v>3102</v>
      </c>
    </row>
    <row r="2557" spans="1:12">
      <c r="A2557" s="288" t="s">
        <v>3399</v>
      </c>
      <c r="B2557" s="288" t="s">
        <v>817</v>
      </c>
      <c r="C2557" s="288" t="s">
        <v>814</v>
      </c>
      <c r="D2557" s="288" t="s">
        <v>815</v>
      </c>
      <c r="E2557" s="289">
        <v>10</v>
      </c>
      <c r="F2557" s="290">
        <v>11</v>
      </c>
      <c r="G2557" s="289">
        <v>1100</v>
      </c>
      <c r="H2557" s="289">
        <v>110</v>
      </c>
      <c r="I2557" s="289">
        <v>121</v>
      </c>
      <c r="J2557" s="289">
        <v>50</v>
      </c>
      <c r="K2557" s="289">
        <v>5</v>
      </c>
      <c r="L2557" s="289">
        <v>1386</v>
      </c>
    </row>
    <row r="2558" spans="1:12">
      <c r="A2558" s="288" t="s">
        <v>3400</v>
      </c>
      <c r="B2558" s="288" t="s">
        <v>817</v>
      </c>
      <c r="C2558" s="288" t="s">
        <v>814</v>
      </c>
      <c r="D2558" s="288" t="s">
        <v>815</v>
      </c>
      <c r="E2558" s="289">
        <v>10</v>
      </c>
      <c r="F2558" s="290">
        <v>13</v>
      </c>
      <c r="G2558" s="289">
        <v>1100</v>
      </c>
      <c r="H2558" s="289">
        <v>330</v>
      </c>
      <c r="I2558" s="289">
        <v>143</v>
      </c>
      <c r="J2558" s="289">
        <v>50</v>
      </c>
      <c r="K2558" s="289">
        <v>5</v>
      </c>
      <c r="L2558" s="289">
        <v>1628</v>
      </c>
    </row>
    <row r="2559" spans="1:12">
      <c r="A2559" s="288" t="s">
        <v>3401</v>
      </c>
      <c r="B2559" s="288" t="s">
        <v>817</v>
      </c>
      <c r="C2559" s="288" t="s">
        <v>814</v>
      </c>
      <c r="D2559" s="288" t="s">
        <v>815</v>
      </c>
      <c r="E2559" s="289">
        <v>10</v>
      </c>
      <c r="F2559" s="290">
        <v>1</v>
      </c>
      <c r="G2559" s="289">
        <v>900</v>
      </c>
      <c r="H2559" s="289">
        <v>0</v>
      </c>
      <c r="I2559" s="289">
        <v>90</v>
      </c>
      <c r="J2559" s="289">
        <v>50</v>
      </c>
      <c r="K2559" s="289">
        <v>5</v>
      </c>
      <c r="L2559" s="289">
        <v>1045</v>
      </c>
    </row>
    <row r="2560" spans="1:12">
      <c r="A2560" s="288" t="s">
        <v>3402</v>
      </c>
      <c r="B2560" s="288" t="s">
        <v>817</v>
      </c>
      <c r="C2560" s="288" t="s">
        <v>814</v>
      </c>
      <c r="D2560" s="288" t="s">
        <v>815</v>
      </c>
      <c r="E2560" s="289">
        <v>10</v>
      </c>
      <c r="F2560" s="290">
        <v>0</v>
      </c>
      <c r="G2560" s="289">
        <v>900</v>
      </c>
      <c r="H2560" s="289">
        <v>0</v>
      </c>
      <c r="I2560" s="289">
        <v>90</v>
      </c>
      <c r="J2560" s="289">
        <v>50</v>
      </c>
      <c r="K2560" s="289">
        <v>5</v>
      </c>
      <c r="L2560" s="289">
        <v>1045</v>
      </c>
    </row>
    <row r="2561" spans="1:12">
      <c r="A2561" s="288" t="s">
        <v>3403</v>
      </c>
      <c r="B2561" s="288" t="s">
        <v>817</v>
      </c>
      <c r="C2561" s="288" t="s">
        <v>814</v>
      </c>
      <c r="D2561" s="288" t="s">
        <v>815</v>
      </c>
      <c r="E2561" s="289">
        <v>10</v>
      </c>
      <c r="F2561" s="290">
        <v>20</v>
      </c>
      <c r="G2561" s="289">
        <v>1100</v>
      </c>
      <c r="H2561" s="289">
        <v>1100</v>
      </c>
      <c r="I2561" s="289">
        <v>220</v>
      </c>
      <c r="J2561" s="289">
        <v>50</v>
      </c>
      <c r="K2561" s="289">
        <v>5</v>
      </c>
      <c r="L2561" s="289">
        <v>2475</v>
      </c>
    </row>
    <row r="2562" spans="1:12">
      <c r="A2562" s="288" t="s">
        <v>3404</v>
      </c>
      <c r="B2562" s="288" t="s">
        <v>817</v>
      </c>
      <c r="C2562" s="288" t="s">
        <v>814</v>
      </c>
      <c r="D2562" s="288" t="s">
        <v>815</v>
      </c>
      <c r="E2562" s="289">
        <v>10</v>
      </c>
      <c r="F2562" s="290">
        <v>15</v>
      </c>
      <c r="G2562" s="289">
        <v>1100</v>
      </c>
      <c r="H2562" s="289">
        <v>550</v>
      </c>
      <c r="I2562" s="289">
        <v>165</v>
      </c>
      <c r="J2562" s="289">
        <v>50</v>
      </c>
      <c r="K2562" s="289">
        <v>5</v>
      </c>
      <c r="L2562" s="289">
        <v>1870</v>
      </c>
    </row>
    <row r="2563" spans="1:12">
      <c r="A2563" s="288" t="s">
        <v>3405</v>
      </c>
      <c r="B2563" s="288" t="s">
        <v>817</v>
      </c>
      <c r="C2563" s="288" t="s">
        <v>814</v>
      </c>
      <c r="D2563" s="288" t="s">
        <v>815</v>
      </c>
      <c r="E2563" s="289">
        <v>10</v>
      </c>
      <c r="F2563" s="290">
        <v>7</v>
      </c>
      <c r="G2563" s="289">
        <v>1100</v>
      </c>
      <c r="H2563" s="289">
        <v>0</v>
      </c>
      <c r="I2563" s="289">
        <v>110</v>
      </c>
      <c r="J2563" s="289">
        <v>50</v>
      </c>
      <c r="K2563" s="289">
        <v>5</v>
      </c>
      <c r="L2563" s="289">
        <v>1265</v>
      </c>
    </row>
    <row r="2564" spans="1:12">
      <c r="A2564" s="288" t="s">
        <v>3406</v>
      </c>
      <c r="B2564" s="288" t="s">
        <v>817</v>
      </c>
      <c r="C2564" s="288" t="s">
        <v>814</v>
      </c>
      <c r="D2564" s="288" t="s">
        <v>815</v>
      </c>
      <c r="E2564" s="289">
        <v>10</v>
      </c>
      <c r="F2564" s="290">
        <v>6</v>
      </c>
      <c r="G2564" s="289">
        <v>1100</v>
      </c>
      <c r="H2564" s="289">
        <v>0</v>
      </c>
      <c r="I2564" s="289">
        <v>110</v>
      </c>
      <c r="J2564" s="289">
        <v>50</v>
      </c>
      <c r="K2564" s="289">
        <v>5</v>
      </c>
      <c r="L2564" s="289">
        <v>1265</v>
      </c>
    </row>
    <row r="2565" spans="1:12">
      <c r="A2565" s="288" t="s">
        <v>3407</v>
      </c>
      <c r="B2565" s="288" t="s">
        <v>817</v>
      </c>
      <c r="C2565" s="288" t="s">
        <v>814</v>
      </c>
      <c r="D2565" s="288" t="s">
        <v>818</v>
      </c>
      <c r="E2565" s="289">
        <v>10</v>
      </c>
      <c r="F2565" s="290">
        <v>9</v>
      </c>
      <c r="G2565" s="289">
        <v>1100</v>
      </c>
      <c r="H2565" s="289">
        <v>0</v>
      </c>
      <c r="I2565" s="289">
        <v>110</v>
      </c>
      <c r="J2565" s="289">
        <v>70</v>
      </c>
      <c r="K2565" s="289">
        <v>7</v>
      </c>
      <c r="L2565" s="289">
        <v>1287</v>
      </c>
    </row>
    <row r="2566" spans="1:12">
      <c r="A2566" s="288" t="s">
        <v>3408</v>
      </c>
      <c r="B2566" s="288" t="s">
        <v>817</v>
      </c>
      <c r="C2566" s="288" t="s">
        <v>814</v>
      </c>
      <c r="D2566" s="288" t="s">
        <v>818</v>
      </c>
      <c r="E2566" s="289">
        <v>10</v>
      </c>
      <c r="F2566" s="290">
        <v>0</v>
      </c>
      <c r="G2566" s="289">
        <v>900</v>
      </c>
      <c r="H2566" s="289">
        <v>0</v>
      </c>
      <c r="I2566" s="289">
        <v>90</v>
      </c>
      <c r="J2566" s="289">
        <v>70</v>
      </c>
      <c r="K2566" s="289">
        <v>7</v>
      </c>
      <c r="L2566" s="289">
        <v>1067</v>
      </c>
    </row>
    <row r="2567" spans="1:12">
      <c r="A2567" s="288" t="s">
        <v>3409</v>
      </c>
      <c r="B2567" s="288" t="s">
        <v>817</v>
      </c>
      <c r="C2567" s="288" t="s">
        <v>829</v>
      </c>
      <c r="D2567" s="288" t="s">
        <v>818</v>
      </c>
      <c r="E2567" s="289">
        <v>10</v>
      </c>
      <c r="F2567" s="290">
        <v>1</v>
      </c>
      <c r="G2567" s="289">
        <v>900</v>
      </c>
      <c r="H2567" s="289">
        <v>0</v>
      </c>
      <c r="I2567" s="289">
        <v>90</v>
      </c>
      <c r="J2567" s="289">
        <v>70</v>
      </c>
      <c r="K2567" s="289">
        <v>7</v>
      </c>
      <c r="L2567" s="289">
        <v>1067</v>
      </c>
    </row>
    <row r="2568" spans="1:12">
      <c r="A2568" s="288" t="s">
        <v>3410</v>
      </c>
      <c r="B2568" s="288" t="s">
        <v>817</v>
      </c>
      <c r="C2568" s="288" t="s">
        <v>829</v>
      </c>
      <c r="D2568" s="288" t="s">
        <v>818</v>
      </c>
      <c r="E2568" s="289">
        <v>10</v>
      </c>
      <c r="F2568" s="290">
        <v>16</v>
      </c>
      <c r="G2568" s="289">
        <v>1100</v>
      </c>
      <c r="H2568" s="289">
        <v>660</v>
      </c>
      <c r="I2568" s="289">
        <v>176</v>
      </c>
      <c r="J2568" s="289">
        <v>70</v>
      </c>
      <c r="K2568" s="289">
        <v>7</v>
      </c>
      <c r="L2568" s="289">
        <v>2013</v>
      </c>
    </row>
    <row r="2569" spans="1:12">
      <c r="A2569" s="288" t="s">
        <v>3411</v>
      </c>
      <c r="B2569" s="288" t="s">
        <v>817</v>
      </c>
      <c r="C2569" s="288" t="s">
        <v>814</v>
      </c>
      <c r="D2569" s="288" t="s">
        <v>826</v>
      </c>
      <c r="E2569" s="289">
        <v>10</v>
      </c>
      <c r="F2569" s="290">
        <v>27</v>
      </c>
      <c r="G2569" s="289">
        <v>1100</v>
      </c>
      <c r="H2569" s="289">
        <v>1870</v>
      </c>
      <c r="I2569" s="289">
        <v>297</v>
      </c>
      <c r="J2569" s="289">
        <v>100</v>
      </c>
      <c r="K2569" s="289">
        <v>10</v>
      </c>
      <c r="L2569" s="289">
        <v>3377</v>
      </c>
    </row>
    <row r="2570" spans="1:12">
      <c r="A2570" s="288" t="s">
        <v>3412</v>
      </c>
      <c r="B2570" s="288" t="s">
        <v>817</v>
      </c>
      <c r="C2570" s="288" t="s">
        <v>814</v>
      </c>
      <c r="D2570" s="288" t="s">
        <v>818</v>
      </c>
      <c r="E2570" s="289">
        <v>10</v>
      </c>
      <c r="F2570" s="290">
        <v>29</v>
      </c>
      <c r="G2570" s="289">
        <v>1100</v>
      </c>
      <c r="H2570" s="289">
        <v>2090</v>
      </c>
      <c r="I2570" s="289">
        <v>319</v>
      </c>
      <c r="J2570" s="289">
        <v>70</v>
      </c>
      <c r="K2570" s="289">
        <v>7</v>
      </c>
      <c r="L2570" s="289">
        <v>3586</v>
      </c>
    </row>
    <row r="2571" spans="1:12">
      <c r="A2571" s="288" t="s">
        <v>3413</v>
      </c>
      <c r="B2571" s="288" t="s">
        <v>817</v>
      </c>
      <c r="C2571" s="288" t="s">
        <v>814</v>
      </c>
      <c r="D2571" s="288" t="s">
        <v>818</v>
      </c>
      <c r="E2571" s="289">
        <v>10</v>
      </c>
      <c r="F2571" s="290">
        <v>42</v>
      </c>
      <c r="G2571" s="289">
        <v>1100</v>
      </c>
      <c r="H2571" s="289">
        <v>3520</v>
      </c>
      <c r="I2571" s="289">
        <v>462</v>
      </c>
      <c r="J2571" s="289">
        <v>70</v>
      </c>
      <c r="K2571" s="289">
        <v>7</v>
      </c>
      <c r="L2571" s="289">
        <v>5159</v>
      </c>
    </row>
    <row r="2572" spans="1:12">
      <c r="A2572" s="288" t="s">
        <v>3414</v>
      </c>
      <c r="B2572" s="288" t="s">
        <v>817</v>
      </c>
      <c r="C2572" s="288" t="s">
        <v>814</v>
      </c>
      <c r="D2572" s="288" t="s">
        <v>818</v>
      </c>
      <c r="E2572" s="289">
        <v>10</v>
      </c>
      <c r="F2572" s="290">
        <v>26</v>
      </c>
      <c r="G2572" s="289">
        <v>1100</v>
      </c>
      <c r="H2572" s="289">
        <v>1760</v>
      </c>
      <c r="I2572" s="289">
        <v>286</v>
      </c>
      <c r="J2572" s="289">
        <v>70</v>
      </c>
      <c r="K2572" s="289">
        <v>7</v>
      </c>
      <c r="L2572" s="289">
        <v>3223</v>
      </c>
    </row>
    <row r="2573" spans="1:12">
      <c r="A2573" s="288" t="s">
        <v>3415</v>
      </c>
      <c r="B2573" s="288" t="s">
        <v>817</v>
      </c>
      <c r="C2573" s="288" t="s">
        <v>814</v>
      </c>
      <c r="D2573" s="288" t="s">
        <v>818</v>
      </c>
      <c r="E2573" s="289">
        <v>10</v>
      </c>
      <c r="F2573" s="290">
        <v>10</v>
      </c>
      <c r="G2573" s="289">
        <v>1100</v>
      </c>
      <c r="H2573" s="289">
        <v>0</v>
      </c>
      <c r="I2573" s="289">
        <v>110</v>
      </c>
      <c r="J2573" s="289">
        <v>70</v>
      </c>
      <c r="K2573" s="289">
        <v>7</v>
      </c>
      <c r="L2573" s="289">
        <v>1287</v>
      </c>
    </row>
    <row r="2574" spans="1:12">
      <c r="A2574" s="288" t="s">
        <v>3416</v>
      </c>
      <c r="B2574" s="288" t="s">
        <v>817</v>
      </c>
      <c r="C2574" s="288" t="s">
        <v>814</v>
      </c>
      <c r="D2574" s="288" t="s">
        <v>815</v>
      </c>
      <c r="E2574" s="289">
        <v>10</v>
      </c>
      <c r="F2574" s="290">
        <v>14</v>
      </c>
      <c r="G2574" s="289">
        <v>1100</v>
      </c>
      <c r="H2574" s="289">
        <v>440</v>
      </c>
      <c r="I2574" s="289">
        <v>154</v>
      </c>
      <c r="J2574" s="289">
        <v>50</v>
      </c>
      <c r="K2574" s="289">
        <v>5</v>
      </c>
      <c r="L2574" s="289">
        <v>1749</v>
      </c>
    </row>
    <row r="2575" spans="1:12">
      <c r="A2575" s="288" t="s">
        <v>3417</v>
      </c>
      <c r="B2575" s="288" t="s">
        <v>817</v>
      </c>
      <c r="C2575" s="288" t="s">
        <v>814</v>
      </c>
      <c r="D2575" s="288" t="s">
        <v>815</v>
      </c>
      <c r="E2575" s="289">
        <v>10</v>
      </c>
      <c r="F2575" s="290">
        <v>13</v>
      </c>
      <c r="G2575" s="289">
        <v>1100</v>
      </c>
      <c r="H2575" s="289">
        <v>330</v>
      </c>
      <c r="I2575" s="289">
        <v>143</v>
      </c>
      <c r="J2575" s="289">
        <v>50</v>
      </c>
      <c r="K2575" s="289">
        <v>5</v>
      </c>
      <c r="L2575" s="289">
        <v>1628</v>
      </c>
    </row>
    <row r="2576" spans="1:12">
      <c r="A2576" s="288" t="s">
        <v>3418</v>
      </c>
      <c r="B2576" s="288" t="s">
        <v>817</v>
      </c>
      <c r="C2576" s="288" t="s">
        <v>814</v>
      </c>
      <c r="D2576" s="288" t="s">
        <v>818</v>
      </c>
      <c r="E2576" s="289">
        <v>10</v>
      </c>
      <c r="F2576" s="290">
        <v>69</v>
      </c>
      <c r="G2576" s="289">
        <v>1100</v>
      </c>
      <c r="H2576" s="289">
        <v>6490</v>
      </c>
      <c r="I2576" s="289">
        <v>759</v>
      </c>
      <c r="J2576" s="289">
        <v>70</v>
      </c>
      <c r="K2576" s="289">
        <v>7</v>
      </c>
      <c r="L2576" s="289">
        <v>8426</v>
      </c>
    </row>
    <row r="2577" spans="1:12">
      <c r="A2577" s="288" t="s">
        <v>3419</v>
      </c>
      <c r="B2577" s="288" t="s">
        <v>817</v>
      </c>
      <c r="C2577" s="288" t="s">
        <v>814</v>
      </c>
      <c r="D2577" s="288" t="s">
        <v>818</v>
      </c>
      <c r="E2577" s="289">
        <v>10</v>
      </c>
      <c r="F2577" s="290">
        <v>11</v>
      </c>
      <c r="G2577" s="289">
        <v>1100</v>
      </c>
      <c r="H2577" s="289">
        <v>110</v>
      </c>
      <c r="I2577" s="289">
        <v>121</v>
      </c>
      <c r="J2577" s="289">
        <v>70</v>
      </c>
      <c r="K2577" s="289">
        <v>7</v>
      </c>
      <c r="L2577" s="289">
        <v>1408</v>
      </c>
    </row>
    <row r="2578" spans="1:12">
      <c r="A2578" s="288" t="s">
        <v>3420</v>
      </c>
      <c r="B2578" s="288" t="s">
        <v>817</v>
      </c>
      <c r="C2578" s="288" t="s">
        <v>814</v>
      </c>
      <c r="D2578" s="288" t="s">
        <v>818</v>
      </c>
      <c r="E2578" s="289">
        <v>10</v>
      </c>
      <c r="F2578" s="290">
        <v>15</v>
      </c>
      <c r="G2578" s="289">
        <v>1100</v>
      </c>
      <c r="H2578" s="289">
        <v>550</v>
      </c>
      <c r="I2578" s="289">
        <v>165</v>
      </c>
      <c r="J2578" s="289">
        <v>70</v>
      </c>
      <c r="K2578" s="289">
        <v>7</v>
      </c>
      <c r="L2578" s="289">
        <v>1892</v>
      </c>
    </row>
    <row r="2579" spans="1:12">
      <c r="A2579" s="288" t="s">
        <v>3421</v>
      </c>
      <c r="B2579" s="288" t="s">
        <v>817</v>
      </c>
      <c r="C2579" s="288" t="s">
        <v>814</v>
      </c>
      <c r="D2579" s="288" t="s">
        <v>815</v>
      </c>
      <c r="E2579" s="289">
        <v>10</v>
      </c>
      <c r="F2579" s="290">
        <v>0</v>
      </c>
      <c r="G2579" s="289">
        <v>900</v>
      </c>
      <c r="H2579" s="289">
        <v>0</v>
      </c>
      <c r="I2579" s="289">
        <v>90</v>
      </c>
      <c r="J2579" s="289">
        <v>50</v>
      </c>
      <c r="K2579" s="289">
        <v>5</v>
      </c>
      <c r="L2579" s="289">
        <v>1045</v>
      </c>
    </row>
    <row r="2580" spans="1:12">
      <c r="A2580" s="288" t="s">
        <v>3422</v>
      </c>
      <c r="B2580" s="288" t="s">
        <v>817</v>
      </c>
      <c r="C2580" s="288" t="s">
        <v>814</v>
      </c>
      <c r="D2580" s="288" t="s">
        <v>815</v>
      </c>
      <c r="E2580" s="289">
        <v>10</v>
      </c>
      <c r="F2580" s="290">
        <v>22</v>
      </c>
      <c r="G2580" s="289">
        <v>1100</v>
      </c>
      <c r="H2580" s="289">
        <v>1320</v>
      </c>
      <c r="I2580" s="289">
        <v>242</v>
      </c>
      <c r="J2580" s="289">
        <v>50</v>
      </c>
      <c r="K2580" s="289">
        <v>5</v>
      </c>
      <c r="L2580" s="289">
        <v>2717</v>
      </c>
    </row>
    <row r="2581" spans="1:12">
      <c r="A2581" s="288" t="s">
        <v>3423</v>
      </c>
      <c r="B2581" s="288" t="s">
        <v>817</v>
      </c>
      <c r="C2581" s="288" t="s">
        <v>814</v>
      </c>
      <c r="D2581" s="288" t="s">
        <v>815</v>
      </c>
      <c r="E2581" s="289">
        <v>10</v>
      </c>
      <c r="F2581" s="290">
        <v>7</v>
      </c>
      <c r="G2581" s="289">
        <v>1100</v>
      </c>
      <c r="H2581" s="289">
        <v>0</v>
      </c>
      <c r="I2581" s="289">
        <v>110</v>
      </c>
      <c r="J2581" s="289">
        <v>50</v>
      </c>
      <c r="K2581" s="289">
        <v>5</v>
      </c>
      <c r="L2581" s="289">
        <v>1265</v>
      </c>
    </row>
    <row r="2582" spans="1:12">
      <c r="A2582" s="288" t="s">
        <v>3424</v>
      </c>
      <c r="B2582" s="288" t="s">
        <v>817</v>
      </c>
      <c r="C2582" s="288" t="s">
        <v>814</v>
      </c>
      <c r="D2582" s="288" t="s">
        <v>815</v>
      </c>
      <c r="E2582" s="289">
        <v>10</v>
      </c>
      <c r="F2582" s="290">
        <v>19</v>
      </c>
      <c r="G2582" s="289">
        <v>1100</v>
      </c>
      <c r="H2582" s="289">
        <v>990</v>
      </c>
      <c r="I2582" s="289">
        <v>209</v>
      </c>
      <c r="J2582" s="289">
        <v>50</v>
      </c>
      <c r="K2582" s="289">
        <v>5</v>
      </c>
      <c r="L2582" s="289">
        <v>2354</v>
      </c>
    </row>
    <row r="2583" spans="1:12">
      <c r="A2583" s="288" t="s">
        <v>3425</v>
      </c>
      <c r="B2583" s="288" t="s">
        <v>817</v>
      </c>
      <c r="C2583" s="288" t="s">
        <v>814</v>
      </c>
      <c r="D2583" s="288" t="s">
        <v>815</v>
      </c>
      <c r="E2583" s="289">
        <v>10</v>
      </c>
      <c r="F2583" s="290">
        <v>32</v>
      </c>
      <c r="G2583" s="289">
        <v>1100</v>
      </c>
      <c r="H2583" s="289">
        <v>2420</v>
      </c>
      <c r="I2583" s="289">
        <v>352</v>
      </c>
      <c r="J2583" s="289">
        <v>50</v>
      </c>
      <c r="K2583" s="289">
        <v>5</v>
      </c>
      <c r="L2583" s="289">
        <v>3927</v>
      </c>
    </row>
    <row r="2584" spans="1:12">
      <c r="A2584" s="288" t="s">
        <v>3426</v>
      </c>
      <c r="B2584" s="288" t="s">
        <v>817</v>
      </c>
      <c r="C2584" s="288" t="s">
        <v>814</v>
      </c>
      <c r="D2584" s="288" t="s">
        <v>815</v>
      </c>
      <c r="E2584" s="289">
        <v>10</v>
      </c>
      <c r="F2584" s="290">
        <v>28</v>
      </c>
      <c r="G2584" s="289">
        <v>1100</v>
      </c>
      <c r="H2584" s="289">
        <v>1980</v>
      </c>
      <c r="I2584" s="289">
        <v>308</v>
      </c>
      <c r="J2584" s="289">
        <v>50</v>
      </c>
      <c r="K2584" s="289">
        <v>5</v>
      </c>
      <c r="L2584" s="289">
        <v>3443</v>
      </c>
    </row>
    <row r="2585" spans="1:12">
      <c r="A2585" s="288" t="s">
        <v>3427</v>
      </c>
      <c r="B2585" s="288" t="s">
        <v>817</v>
      </c>
      <c r="C2585" s="288" t="s">
        <v>814</v>
      </c>
      <c r="D2585" s="288" t="s">
        <v>815</v>
      </c>
      <c r="E2585" s="289">
        <v>10</v>
      </c>
      <c r="F2585" s="290">
        <v>3</v>
      </c>
      <c r="G2585" s="289">
        <v>900</v>
      </c>
      <c r="H2585" s="289">
        <v>0</v>
      </c>
      <c r="I2585" s="289">
        <v>90</v>
      </c>
      <c r="J2585" s="289">
        <v>50</v>
      </c>
      <c r="K2585" s="289">
        <v>5</v>
      </c>
      <c r="L2585" s="289">
        <v>1045</v>
      </c>
    </row>
    <row r="2586" spans="1:12">
      <c r="A2586" s="288" t="s">
        <v>3428</v>
      </c>
      <c r="B2586" s="288" t="s">
        <v>817</v>
      </c>
      <c r="C2586" s="288" t="s">
        <v>814</v>
      </c>
      <c r="D2586" s="288" t="s">
        <v>818</v>
      </c>
      <c r="E2586" s="289">
        <v>10</v>
      </c>
      <c r="F2586" s="290">
        <v>4</v>
      </c>
      <c r="G2586" s="289">
        <v>900</v>
      </c>
      <c r="H2586" s="289">
        <v>0</v>
      </c>
      <c r="I2586" s="289">
        <v>90</v>
      </c>
      <c r="J2586" s="289">
        <v>70</v>
      </c>
      <c r="K2586" s="289">
        <v>7</v>
      </c>
      <c r="L2586" s="289">
        <v>1067</v>
      </c>
    </row>
    <row r="2587" spans="1:12">
      <c r="A2587" s="288" t="s">
        <v>3429</v>
      </c>
      <c r="B2587" s="288" t="s">
        <v>817</v>
      </c>
      <c r="C2587" s="288" t="s">
        <v>814</v>
      </c>
      <c r="D2587" s="288" t="s">
        <v>815</v>
      </c>
      <c r="E2587" s="289">
        <v>10</v>
      </c>
      <c r="F2587" s="290">
        <v>26</v>
      </c>
      <c r="G2587" s="289">
        <v>1100</v>
      </c>
      <c r="H2587" s="289">
        <v>1760</v>
      </c>
      <c r="I2587" s="289">
        <v>286</v>
      </c>
      <c r="J2587" s="289">
        <v>50</v>
      </c>
      <c r="K2587" s="289">
        <v>5</v>
      </c>
      <c r="L2587" s="289">
        <v>3201</v>
      </c>
    </row>
    <row r="2588" spans="1:12">
      <c r="A2588" s="288" t="s">
        <v>3430</v>
      </c>
      <c r="B2588" s="288" t="s">
        <v>817</v>
      </c>
      <c r="C2588" s="288" t="s">
        <v>814</v>
      </c>
      <c r="D2588" s="288" t="s">
        <v>815</v>
      </c>
      <c r="E2588" s="289">
        <v>10</v>
      </c>
      <c r="F2588" s="290">
        <v>0</v>
      </c>
      <c r="G2588" s="289">
        <v>900</v>
      </c>
      <c r="H2588" s="289">
        <v>0</v>
      </c>
      <c r="I2588" s="289">
        <v>90</v>
      </c>
      <c r="J2588" s="289">
        <v>50</v>
      </c>
      <c r="K2588" s="289">
        <v>5</v>
      </c>
      <c r="L2588" s="289">
        <v>1045</v>
      </c>
    </row>
    <row r="2589" spans="1:12">
      <c r="A2589" s="288" t="s">
        <v>3431</v>
      </c>
      <c r="B2589" s="288" t="s">
        <v>3432</v>
      </c>
      <c r="C2589" s="288" t="s">
        <v>820</v>
      </c>
      <c r="D2589" s="288" t="s">
        <v>818</v>
      </c>
      <c r="E2589" s="289">
        <v>10</v>
      </c>
      <c r="F2589" s="290">
        <v>16</v>
      </c>
      <c r="G2589" s="289">
        <v>1100</v>
      </c>
      <c r="H2589" s="289">
        <v>660</v>
      </c>
      <c r="I2589" s="289">
        <v>176</v>
      </c>
      <c r="J2589" s="289">
        <v>70</v>
      </c>
      <c r="K2589" s="289">
        <v>7</v>
      </c>
      <c r="L2589" s="289">
        <v>2013</v>
      </c>
    </row>
    <row r="2590" spans="1:12">
      <c r="A2590" s="288" t="s">
        <v>3433</v>
      </c>
      <c r="B2590" s="288" t="s">
        <v>3432</v>
      </c>
      <c r="C2590" s="288" t="s">
        <v>814</v>
      </c>
      <c r="D2590" s="288" t="s">
        <v>815</v>
      </c>
      <c r="E2590" s="289">
        <v>10</v>
      </c>
      <c r="F2590" s="290">
        <v>5</v>
      </c>
      <c r="G2590" s="289">
        <v>900</v>
      </c>
      <c r="H2590" s="289">
        <v>0</v>
      </c>
      <c r="I2590" s="289">
        <v>90</v>
      </c>
      <c r="J2590" s="289">
        <v>50</v>
      </c>
      <c r="K2590" s="289">
        <v>5</v>
      </c>
      <c r="L2590" s="289">
        <v>1045</v>
      </c>
    </row>
    <row r="2591" spans="1:12">
      <c r="A2591" s="288" t="s">
        <v>3434</v>
      </c>
      <c r="B2591" s="288" t="s">
        <v>3432</v>
      </c>
      <c r="C2591" s="288" t="s">
        <v>814</v>
      </c>
      <c r="D2591" s="288" t="s">
        <v>815</v>
      </c>
      <c r="E2591" s="289">
        <v>10</v>
      </c>
      <c r="F2591" s="290">
        <v>15</v>
      </c>
      <c r="G2591" s="289">
        <v>1100</v>
      </c>
      <c r="H2591" s="289">
        <v>550</v>
      </c>
      <c r="I2591" s="289">
        <v>165</v>
      </c>
      <c r="J2591" s="289">
        <v>50</v>
      </c>
      <c r="K2591" s="289">
        <v>5</v>
      </c>
      <c r="L2591" s="289">
        <v>1870</v>
      </c>
    </row>
    <row r="2592" spans="1:12">
      <c r="A2592" s="288" t="s">
        <v>3435</v>
      </c>
      <c r="B2592" s="288" t="s">
        <v>3432</v>
      </c>
      <c r="C2592" s="288" t="s">
        <v>814</v>
      </c>
      <c r="D2592" s="288" t="s">
        <v>815</v>
      </c>
      <c r="E2592" s="289">
        <v>10</v>
      </c>
      <c r="F2592" s="290">
        <v>8</v>
      </c>
      <c r="G2592" s="289">
        <v>1100</v>
      </c>
      <c r="H2592" s="289">
        <v>0</v>
      </c>
      <c r="I2592" s="289">
        <v>110</v>
      </c>
      <c r="J2592" s="289">
        <v>50</v>
      </c>
      <c r="K2592" s="289">
        <v>5</v>
      </c>
      <c r="L2592" s="289">
        <v>1265</v>
      </c>
    </row>
    <row r="2593" spans="1:12">
      <c r="A2593" s="288" t="s">
        <v>3436</v>
      </c>
      <c r="B2593" s="288" t="s">
        <v>3432</v>
      </c>
      <c r="C2593" s="288" t="s">
        <v>814</v>
      </c>
      <c r="D2593" s="288" t="s">
        <v>815</v>
      </c>
      <c r="E2593" s="289">
        <v>10</v>
      </c>
      <c r="F2593" s="290">
        <v>29</v>
      </c>
      <c r="G2593" s="289">
        <v>1100</v>
      </c>
      <c r="H2593" s="289">
        <v>2090</v>
      </c>
      <c r="I2593" s="289">
        <v>319</v>
      </c>
      <c r="J2593" s="289">
        <v>50</v>
      </c>
      <c r="K2593" s="289">
        <v>5</v>
      </c>
      <c r="L2593" s="289">
        <v>3564</v>
      </c>
    </row>
    <row r="2594" spans="1:12">
      <c r="A2594" s="288" t="s">
        <v>3437</v>
      </c>
      <c r="B2594" s="288" t="s">
        <v>3432</v>
      </c>
      <c r="C2594" s="288" t="s">
        <v>814</v>
      </c>
      <c r="D2594" s="288" t="s">
        <v>815</v>
      </c>
      <c r="E2594" s="289">
        <v>10</v>
      </c>
      <c r="F2594" s="290">
        <v>11</v>
      </c>
      <c r="G2594" s="289">
        <v>1100</v>
      </c>
      <c r="H2594" s="289">
        <v>110</v>
      </c>
      <c r="I2594" s="289">
        <v>121</v>
      </c>
      <c r="J2594" s="289">
        <v>50</v>
      </c>
      <c r="K2594" s="289">
        <v>5</v>
      </c>
      <c r="L2594" s="289">
        <v>1386</v>
      </c>
    </row>
    <row r="2595" spans="1:12">
      <c r="A2595" s="288" t="s">
        <v>3438</v>
      </c>
      <c r="B2595" s="288" t="s">
        <v>3432</v>
      </c>
      <c r="C2595" s="288" t="s">
        <v>814</v>
      </c>
      <c r="D2595" s="288" t="s">
        <v>815</v>
      </c>
      <c r="E2595" s="289">
        <v>10</v>
      </c>
      <c r="F2595" s="290">
        <v>36</v>
      </c>
      <c r="G2595" s="289">
        <v>1100</v>
      </c>
      <c r="H2595" s="289">
        <v>2860</v>
      </c>
      <c r="I2595" s="289">
        <v>396</v>
      </c>
      <c r="J2595" s="289">
        <v>50</v>
      </c>
      <c r="K2595" s="289">
        <v>5</v>
      </c>
      <c r="L2595" s="289">
        <v>4411</v>
      </c>
    </row>
    <row r="2596" spans="1:12">
      <c r="A2596" s="288" t="s">
        <v>3439</v>
      </c>
      <c r="B2596" s="288" t="s">
        <v>3432</v>
      </c>
      <c r="C2596" s="288" t="s">
        <v>814</v>
      </c>
      <c r="D2596" s="288" t="s">
        <v>818</v>
      </c>
      <c r="E2596" s="289">
        <v>10</v>
      </c>
      <c r="F2596" s="290">
        <v>8</v>
      </c>
      <c r="G2596" s="289">
        <v>1100</v>
      </c>
      <c r="H2596" s="289">
        <v>0</v>
      </c>
      <c r="I2596" s="289">
        <v>110</v>
      </c>
      <c r="J2596" s="289">
        <v>70</v>
      </c>
      <c r="K2596" s="289">
        <v>7</v>
      </c>
      <c r="L2596" s="289">
        <v>1287</v>
      </c>
    </row>
    <row r="2597" spans="1:12">
      <c r="A2597" s="288" t="s">
        <v>3440</v>
      </c>
      <c r="B2597" s="288" t="s">
        <v>3432</v>
      </c>
      <c r="C2597" s="288" t="s">
        <v>814</v>
      </c>
      <c r="D2597" s="288" t="s">
        <v>815</v>
      </c>
      <c r="E2597" s="289">
        <v>10</v>
      </c>
      <c r="F2597" s="290">
        <v>11</v>
      </c>
      <c r="G2597" s="289">
        <v>1100</v>
      </c>
      <c r="H2597" s="289">
        <v>110</v>
      </c>
      <c r="I2597" s="289">
        <v>121</v>
      </c>
      <c r="J2597" s="289">
        <v>50</v>
      </c>
      <c r="K2597" s="289">
        <v>5</v>
      </c>
      <c r="L2597" s="289">
        <v>1386</v>
      </c>
    </row>
    <row r="2598" spans="1:12">
      <c r="A2598" s="288" t="s">
        <v>3441</v>
      </c>
      <c r="B2598" s="288" t="s">
        <v>3432</v>
      </c>
      <c r="C2598" s="288" t="s">
        <v>814</v>
      </c>
      <c r="D2598" s="288" t="s">
        <v>818</v>
      </c>
      <c r="E2598" s="289">
        <v>10</v>
      </c>
      <c r="F2598" s="290">
        <v>10</v>
      </c>
      <c r="G2598" s="289">
        <v>1100</v>
      </c>
      <c r="H2598" s="289">
        <v>0</v>
      </c>
      <c r="I2598" s="289">
        <v>110</v>
      </c>
      <c r="J2598" s="289">
        <v>70</v>
      </c>
      <c r="K2598" s="289">
        <v>7</v>
      </c>
      <c r="L2598" s="289">
        <v>1287</v>
      </c>
    </row>
    <row r="2599" spans="1:12">
      <c r="A2599" s="288" t="s">
        <v>3442</v>
      </c>
      <c r="B2599" s="288" t="s">
        <v>3432</v>
      </c>
      <c r="C2599" s="288" t="s">
        <v>814</v>
      </c>
      <c r="D2599" s="288" t="s">
        <v>815</v>
      </c>
      <c r="E2599" s="289">
        <v>10</v>
      </c>
      <c r="F2599" s="290">
        <v>20</v>
      </c>
      <c r="G2599" s="289">
        <v>1100</v>
      </c>
      <c r="H2599" s="289">
        <v>1100</v>
      </c>
      <c r="I2599" s="289">
        <v>220</v>
      </c>
      <c r="J2599" s="289">
        <v>50</v>
      </c>
      <c r="K2599" s="289">
        <v>5</v>
      </c>
      <c r="L2599" s="289">
        <v>2475</v>
      </c>
    </row>
    <row r="2600" spans="1:12">
      <c r="A2600" s="288" t="s">
        <v>3443</v>
      </c>
      <c r="B2600" s="288" t="s">
        <v>3432</v>
      </c>
      <c r="C2600" s="288" t="s">
        <v>814</v>
      </c>
      <c r="D2600" s="288" t="s">
        <v>818</v>
      </c>
      <c r="E2600" s="289">
        <v>10</v>
      </c>
      <c r="F2600" s="290">
        <v>19</v>
      </c>
      <c r="G2600" s="289">
        <v>1100</v>
      </c>
      <c r="H2600" s="289">
        <v>990</v>
      </c>
      <c r="I2600" s="289">
        <v>209</v>
      </c>
      <c r="J2600" s="289">
        <v>70</v>
      </c>
      <c r="K2600" s="289">
        <v>7</v>
      </c>
      <c r="L2600" s="289">
        <v>2376</v>
      </c>
    </row>
    <row r="2601" spans="1:12">
      <c r="A2601" s="288" t="s">
        <v>3444</v>
      </c>
      <c r="B2601" s="288" t="s">
        <v>3432</v>
      </c>
      <c r="C2601" s="288" t="s">
        <v>814</v>
      </c>
      <c r="D2601" s="288" t="s">
        <v>818</v>
      </c>
      <c r="E2601" s="289">
        <v>10</v>
      </c>
      <c r="F2601" s="290">
        <v>21</v>
      </c>
      <c r="G2601" s="289">
        <v>1100</v>
      </c>
      <c r="H2601" s="289">
        <v>1210</v>
      </c>
      <c r="I2601" s="289">
        <v>231</v>
      </c>
      <c r="J2601" s="289">
        <v>70</v>
      </c>
      <c r="K2601" s="289">
        <v>7</v>
      </c>
      <c r="L2601" s="289">
        <v>2618</v>
      </c>
    </row>
    <row r="2602" spans="1:12">
      <c r="A2602" s="288" t="s">
        <v>3445</v>
      </c>
      <c r="B2602" s="288" t="s">
        <v>3432</v>
      </c>
      <c r="C2602" s="288" t="s">
        <v>814</v>
      </c>
      <c r="D2602" s="288" t="s">
        <v>815</v>
      </c>
      <c r="E2602" s="289">
        <v>10</v>
      </c>
      <c r="F2602" s="290">
        <v>20</v>
      </c>
      <c r="G2602" s="289">
        <v>1100</v>
      </c>
      <c r="H2602" s="289">
        <v>1100</v>
      </c>
      <c r="I2602" s="289">
        <v>220</v>
      </c>
      <c r="J2602" s="289">
        <v>50</v>
      </c>
      <c r="K2602" s="289">
        <v>5</v>
      </c>
      <c r="L2602" s="289">
        <v>2475</v>
      </c>
    </row>
    <row r="2603" spans="1:12">
      <c r="A2603" s="288" t="s">
        <v>3446</v>
      </c>
      <c r="B2603" s="288" t="s">
        <v>3432</v>
      </c>
      <c r="C2603" s="288" t="s">
        <v>814</v>
      </c>
      <c r="D2603" s="288" t="s">
        <v>818</v>
      </c>
      <c r="E2603" s="289">
        <v>10</v>
      </c>
      <c r="F2603" s="290">
        <v>8</v>
      </c>
      <c r="G2603" s="289">
        <v>1100</v>
      </c>
      <c r="H2603" s="289">
        <v>0</v>
      </c>
      <c r="I2603" s="289">
        <v>110</v>
      </c>
      <c r="J2603" s="289">
        <v>70</v>
      </c>
      <c r="K2603" s="289">
        <v>7</v>
      </c>
      <c r="L2603" s="289">
        <v>1287</v>
      </c>
    </row>
    <row r="2604" spans="1:12">
      <c r="A2604" s="288" t="s">
        <v>3447</v>
      </c>
      <c r="B2604" s="288" t="s">
        <v>3432</v>
      </c>
      <c r="C2604" s="288" t="s">
        <v>814</v>
      </c>
      <c r="D2604" s="288" t="s">
        <v>815</v>
      </c>
      <c r="E2604" s="289">
        <v>10</v>
      </c>
      <c r="F2604" s="290">
        <v>26</v>
      </c>
      <c r="G2604" s="289">
        <v>1100</v>
      </c>
      <c r="H2604" s="289">
        <v>1760</v>
      </c>
      <c r="I2604" s="289">
        <v>286</v>
      </c>
      <c r="J2604" s="289">
        <v>50</v>
      </c>
      <c r="K2604" s="289">
        <v>5</v>
      </c>
      <c r="L2604" s="289">
        <v>3201</v>
      </c>
    </row>
    <row r="2605" spans="1:12">
      <c r="A2605" s="288" t="s">
        <v>3448</v>
      </c>
      <c r="B2605" s="288" t="s">
        <v>3432</v>
      </c>
      <c r="C2605" s="288" t="s">
        <v>814</v>
      </c>
      <c r="D2605" s="288" t="s">
        <v>818</v>
      </c>
      <c r="E2605" s="289">
        <v>10</v>
      </c>
      <c r="F2605" s="290">
        <v>11</v>
      </c>
      <c r="G2605" s="289">
        <v>1100</v>
      </c>
      <c r="H2605" s="289">
        <v>110</v>
      </c>
      <c r="I2605" s="289">
        <v>121</v>
      </c>
      <c r="J2605" s="289">
        <v>70</v>
      </c>
      <c r="K2605" s="289">
        <v>7</v>
      </c>
      <c r="L2605" s="289">
        <v>1408</v>
      </c>
    </row>
    <row r="2606" spans="1:12">
      <c r="A2606" s="288" t="s">
        <v>3449</v>
      </c>
      <c r="B2606" s="288" t="s">
        <v>3432</v>
      </c>
      <c r="C2606" s="288" t="s">
        <v>814</v>
      </c>
      <c r="D2606" s="288" t="s">
        <v>818</v>
      </c>
      <c r="E2606" s="289">
        <v>10</v>
      </c>
      <c r="F2606" s="290">
        <v>21</v>
      </c>
      <c r="G2606" s="289">
        <v>1100</v>
      </c>
      <c r="H2606" s="289">
        <v>1210</v>
      </c>
      <c r="I2606" s="289">
        <v>231</v>
      </c>
      <c r="J2606" s="289">
        <v>70</v>
      </c>
      <c r="K2606" s="289">
        <v>7</v>
      </c>
      <c r="L2606" s="289">
        <v>2618</v>
      </c>
    </row>
    <row r="2607" spans="1:12">
      <c r="A2607" s="288" t="s">
        <v>3450</v>
      </c>
      <c r="B2607" s="288" t="s">
        <v>3432</v>
      </c>
      <c r="C2607" s="288" t="s">
        <v>814</v>
      </c>
      <c r="D2607" s="288" t="s">
        <v>818</v>
      </c>
      <c r="E2607" s="289">
        <v>10</v>
      </c>
      <c r="F2607" s="290">
        <v>17</v>
      </c>
      <c r="G2607" s="289">
        <v>1100</v>
      </c>
      <c r="H2607" s="289">
        <v>770</v>
      </c>
      <c r="I2607" s="289">
        <v>187</v>
      </c>
      <c r="J2607" s="289">
        <v>70</v>
      </c>
      <c r="K2607" s="289">
        <v>7</v>
      </c>
      <c r="L2607" s="289">
        <v>2134</v>
      </c>
    </row>
    <row r="2608" spans="1:12">
      <c r="A2608" s="288" t="s">
        <v>3451</v>
      </c>
      <c r="B2608" s="288" t="s">
        <v>3432</v>
      </c>
      <c r="C2608" s="288" t="s">
        <v>829</v>
      </c>
      <c r="D2608" s="288" t="s">
        <v>815</v>
      </c>
      <c r="E2608" s="289">
        <v>10</v>
      </c>
      <c r="F2608" s="290">
        <v>0</v>
      </c>
      <c r="G2608" s="289">
        <v>900</v>
      </c>
      <c r="H2608" s="289">
        <v>0</v>
      </c>
      <c r="I2608" s="289">
        <v>90</v>
      </c>
      <c r="J2608" s="289">
        <v>50</v>
      </c>
      <c r="K2608" s="289">
        <v>5</v>
      </c>
      <c r="L2608" s="289">
        <v>1045</v>
      </c>
    </row>
    <row r="2609" spans="1:12">
      <c r="A2609" s="288" t="s">
        <v>3452</v>
      </c>
      <c r="B2609" s="288" t="s">
        <v>3432</v>
      </c>
      <c r="C2609" s="288" t="s">
        <v>814</v>
      </c>
      <c r="D2609" s="288" t="s">
        <v>815</v>
      </c>
      <c r="E2609" s="289">
        <v>10</v>
      </c>
      <c r="F2609" s="290">
        <v>3</v>
      </c>
      <c r="G2609" s="289">
        <v>900</v>
      </c>
      <c r="H2609" s="289">
        <v>0</v>
      </c>
      <c r="I2609" s="289">
        <v>90</v>
      </c>
      <c r="J2609" s="289">
        <v>50</v>
      </c>
      <c r="K2609" s="289">
        <v>5</v>
      </c>
      <c r="L2609" s="289">
        <v>1045</v>
      </c>
    </row>
    <row r="2610" spans="1:12">
      <c r="A2610" s="288" t="s">
        <v>3453</v>
      </c>
      <c r="B2610" s="288" t="s">
        <v>3432</v>
      </c>
      <c r="C2610" s="288" t="s">
        <v>820</v>
      </c>
      <c r="D2610" s="288" t="s">
        <v>815</v>
      </c>
      <c r="E2610" s="289">
        <v>10</v>
      </c>
      <c r="F2610" s="290">
        <v>1</v>
      </c>
      <c r="G2610" s="289">
        <v>900</v>
      </c>
      <c r="H2610" s="289">
        <v>0</v>
      </c>
      <c r="I2610" s="289">
        <v>90</v>
      </c>
      <c r="J2610" s="289">
        <v>50</v>
      </c>
      <c r="K2610" s="289">
        <v>5</v>
      </c>
      <c r="L2610" s="289">
        <v>1045</v>
      </c>
    </row>
    <row r="2611" spans="1:12">
      <c r="A2611" s="288" t="s">
        <v>3454</v>
      </c>
      <c r="B2611" s="288" t="s">
        <v>3432</v>
      </c>
      <c r="C2611" s="288" t="s">
        <v>814</v>
      </c>
      <c r="D2611" s="288" t="s">
        <v>815</v>
      </c>
      <c r="E2611" s="289">
        <v>10</v>
      </c>
      <c r="F2611" s="290">
        <v>12</v>
      </c>
      <c r="G2611" s="289">
        <v>1100</v>
      </c>
      <c r="H2611" s="289">
        <v>220</v>
      </c>
      <c r="I2611" s="289">
        <v>132</v>
      </c>
      <c r="J2611" s="289">
        <v>50</v>
      </c>
      <c r="K2611" s="289">
        <v>5</v>
      </c>
      <c r="L2611" s="289">
        <v>1507</v>
      </c>
    </row>
    <row r="2612" spans="1:12">
      <c r="A2612" s="288" t="s">
        <v>3455</v>
      </c>
      <c r="B2612" s="288" t="s">
        <v>3432</v>
      </c>
      <c r="C2612" s="288" t="s">
        <v>814</v>
      </c>
      <c r="D2612" s="288" t="s">
        <v>815</v>
      </c>
      <c r="E2612" s="289">
        <v>10</v>
      </c>
      <c r="F2612" s="290">
        <v>18</v>
      </c>
      <c r="G2612" s="289">
        <v>1100</v>
      </c>
      <c r="H2612" s="289">
        <v>880</v>
      </c>
      <c r="I2612" s="289">
        <v>198</v>
      </c>
      <c r="J2612" s="289">
        <v>50</v>
      </c>
      <c r="K2612" s="289">
        <v>5</v>
      </c>
      <c r="L2612" s="289">
        <v>2233</v>
      </c>
    </row>
    <row r="2613" spans="1:12">
      <c r="A2613" s="288" t="s">
        <v>3456</v>
      </c>
      <c r="B2613" s="288" t="s">
        <v>3432</v>
      </c>
      <c r="C2613" s="288" t="s">
        <v>814</v>
      </c>
      <c r="D2613" s="288" t="s">
        <v>815</v>
      </c>
      <c r="E2613" s="289">
        <v>10</v>
      </c>
      <c r="F2613" s="290">
        <v>7</v>
      </c>
      <c r="G2613" s="289">
        <v>1100</v>
      </c>
      <c r="H2613" s="289">
        <v>0</v>
      </c>
      <c r="I2613" s="289">
        <v>110</v>
      </c>
      <c r="J2613" s="289">
        <v>50</v>
      </c>
      <c r="K2613" s="289">
        <v>5</v>
      </c>
      <c r="L2613" s="289">
        <v>1265</v>
      </c>
    </row>
    <row r="2614" spans="1:12">
      <c r="A2614" s="288" t="s">
        <v>3457</v>
      </c>
      <c r="B2614" s="288" t="s">
        <v>3432</v>
      </c>
      <c r="C2614" s="288" t="s">
        <v>814</v>
      </c>
      <c r="D2614" s="288" t="s">
        <v>815</v>
      </c>
      <c r="E2614" s="289">
        <v>10</v>
      </c>
      <c r="F2614" s="290">
        <v>21</v>
      </c>
      <c r="G2614" s="289">
        <v>1100</v>
      </c>
      <c r="H2614" s="289">
        <v>1210</v>
      </c>
      <c r="I2614" s="289">
        <v>231</v>
      </c>
      <c r="J2614" s="289">
        <v>50</v>
      </c>
      <c r="K2614" s="289">
        <v>5</v>
      </c>
      <c r="L2614" s="289">
        <v>2596</v>
      </c>
    </row>
    <row r="2615" spans="1:12">
      <c r="A2615" s="288" t="s">
        <v>3458</v>
      </c>
      <c r="B2615" s="288" t="s">
        <v>3432</v>
      </c>
      <c r="C2615" s="288" t="s">
        <v>814</v>
      </c>
      <c r="D2615" s="288" t="s">
        <v>815</v>
      </c>
      <c r="E2615" s="289">
        <v>10</v>
      </c>
      <c r="F2615" s="290">
        <v>10</v>
      </c>
      <c r="G2615" s="289">
        <v>1100</v>
      </c>
      <c r="H2615" s="289">
        <v>0</v>
      </c>
      <c r="I2615" s="289">
        <v>110</v>
      </c>
      <c r="J2615" s="289">
        <v>50</v>
      </c>
      <c r="K2615" s="289">
        <v>5</v>
      </c>
      <c r="L2615" s="289">
        <v>1265</v>
      </c>
    </row>
    <row r="2616" spans="1:12">
      <c r="A2616" s="288" t="s">
        <v>3459</v>
      </c>
      <c r="B2616" s="288" t="s">
        <v>3432</v>
      </c>
      <c r="C2616" s="288" t="s">
        <v>814</v>
      </c>
      <c r="D2616" s="288" t="s">
        <v>818</v>
      </c>
      <c r="E2616" s="289">
        <v>10</v>
      </c>
      <c r="F2616" s="290">
        <v>18</v>
      </c>
      <c r="G2616" s="289">
        <v>1100</v>
      </c>
      <c r="H2616" s="289">
        <v>880</v>
      </c>
      <c r="I2616" s="289">
        <v>198</v>
      </c>
      <c r="J2616" s="289">
        <v>70</v>
      </c>
      <c r="K2616" s="289">
        <v>7</v>
      </c>
      <c r="L2616" s="289">
        <v>2255</v>
      </c>
    </row>
    <row r="2617" spans="1:12">
      <c r="A2617" s="288" t="s">
        <v>3460</v>
      </c>
      <c r="B2617" s="288" t="s">
        <v>3432</v>
      </c>
      <c r="C2617" s="288" t="s">
        <v>814</v>
      </c>
      <c r="D2617" s="288" t="s">
        <v>815</v>
      </c>
      <c r="E2617" s="289">
        <v>10</v>
      </c>
      <c r="F2617" s="290">
        <v>18</v>
      </c>
      <c r="G2617" s="289">
        <v>1100</v>
      </c>
      <c r="H2617" s="289">
        <v>880</v>
      </c>
      <c r="I2617" s="289">
        <v>198</v>
      </c>
      <c r="J2617" s="289">
        <v>50</v>
      </c>
      <c r="K2617" s="289">
        <v>5</v>
      </c>
      <c r="L2617" s="289">
        <v>2233</v>
      </c>
    </row>
    <row r="2618" spans="1:12">
      <c r="A2618" s="288" t="s">
        <v>3461</v>
      </c>
      <c r="B2618" s="288" t="s">
        <v>3432</v>
      </c>
      <c r="C2618" s="288" t="s">
        <v>814</v>
      </c>
      <c r="D2618" s="288" t="s">
        <v>815</v>
      </c>
      <c r="E2618" s="289">
        <v>10</v>
      </c>
      <c r="F2618" s="290">
        <v>12</v>
      </c>
      <c r="G2618" s="289">
        <v>1100</v>
      </c>
      <c r="H2618" s="289">
        <v>220</v>
      </c>
      <c r="I2618" s="289">
        <v>132</v>
      </c>
      <c r="J2618" s="289">
        <v>50</v>
      </c>
      <c r="K2618" s="289">
        <v>5</v>
      </c>
      <c r="L2618" s="289">
        <v>1507</v>
      </c>
    </row>
    <row r="2619" spans="1:12">
      <c r="A2619" s="288" t="s">
        <v>3462</v>
      </c>
      <c r="B2619" s="288" t="s">
        <v>3432</v>
      </c>
      <c r="C2619" s="288" t="s">
        <v>814</v>
      </c>
      <c r="D2619" s="288" t="s">
        <v>815</v>
      </c>
      <c r="E2619" s="289">
        <v>10</v>
      </c>
      <c r="F2619" s="290">
        <v>22</v>
      </c>
      <c r="G2619" s="289">
        <v>1100</v>
      </c>
      <c r="H2619" s="289">
        <v>1320</v>
      </c>
      <c r="I2619" s="289">
        <v>242</v>
      </c>
      <c r="J2619" s="289">
        <v>50</v>
      </c>
      <c r="K2619" s="289">
        <v>5</v>
      </c>
      <c r="L2619" s="289">
        <v>2717</v>
      </c>
    </row>
    <row r="2620" spans="1:12">
      <c r="A2620" s="288" t="s">
        <v>3463</v>
      </c>
      <c r="B2620" s="288" t="s">
        <v>3432</v>
      </c>
      <c r="C2620" s="288" t="s">
        <v>814</v>
      </c>
      <c r="D2620" s="288" t="s">
        <v>815</v>
      </c>
      <c r="E2620" s="289">
        <v>10</v>
      </c>
      <c r="F2620" s="290">
        <v>10</v>
      </c>
      <c r="G2620" s="289">
        <v>1100</v>
      </c>
      <c r="H2620" s="289">
        <v>0</v>
      </c>
      <c r="I2620" s="289">
        <v>110</v>
      </c>
      <c r="J2620" s="289">
        <v>50</v>
      </c>
      <c r="K2620" s="289">
        <v>5</v>
      </c>
      <c r="L2620" s="289">
        <v>1265</v>
      </c>
    </row>
    <row r="2621" spans="1:12">
      <c r="A2621" s="288" t="s">
        <v>3464</v>
      </c>
      <c r="B2621" s="288" t="s">
        <v>3432</v>
      </c>
      <c r="C2621" s="288" t="s">
        <v>833</v>
      </c>
      <c r="D2621" s="288" t="s">
        <v>837</v>
      </c>
      <c r="E2621" s="289">
        <v>10</v>
      </c>
      <c r="F2621" s="290">
        <v>886</v>
      </c>
      <c r="G2621" s="289">
        <v>1100</v>
      </c>
      <c r="H2621" s="289">
        <v>88500</v>
      </c>
      <c r="I2621" s="289">
        <v>8960</v>
      </c>
      <c r="J2621" s="289">
        <v>800</v>
      </c>
      <c r="K2621" s="289">
        <v>80</v>
      </c>
      <c r="L2621" s="289">
        <v>99440</v>
      </c>
    </row>
    <row r="2622" spans="1:12">
      <c r="A2622" s="288" t="s">
        <v>3465</v>
      </c>
      <c r="B2622" s="288" t="s">
        <v>3432</v>
      </c>
      <c r="C2622" s="288" t="s">
        <v>814</v>
      </c>
      <c r="D2622" s="288" t="s">
        <v>818</v>
      </c>
      <c r="E2622" s="289">
        <v>10</v>
      </c>
      <c r="F2622" s="290">
        <v>27</v>
      </c>
      <c r="G2622" s="289">
        <v>1100</v>
      </c>
      <c r="H2622" s="289">
        <v>1870</v>
      </c>
      <c r="I2622" s="289">
        <v>297</v>
      </c>
      <c r="J2622" s="289">
        <v>70</v>
      </c>
      <c r="K2622" s="289">
        <v>7</v>
      </c>
      <c r="L2622" s="289">
        <v>3344</v>
      </c>
    </row>
    <row r="2623" spans="1:12">
      <c r="A2623" s="288" t="s">
        <v>3466</v>
      </c>
      <c r="B2623" s="288" t="s">
        <v>3432</v>
      </c>
      <c r="C2623" s="288" t="s">
        <v>814</v>
      </c>
      <c r="D2623" s="288" t="s">
        <v>815</v>
      </c>
      <c r="E2623" s="289">
        <v>10</v>
      </c>
      <c r="F2623" s="290">
        <v>11</v>
      </c>
      <c r="G2623" s="289">
        <v>1100</v>
      </c>
      <c r="H2623" s="289">
        <v>110</v>
      </c>
      <c r="I2623" s="289">
        <v>121</v>
      </c>
      <c r="J2623" s="289">
        <v>50</v>
      </c>
      <c r="K2623" s="289">
        <v>5</v>
      </c>
      <c r="L2623" s="289">
        <v>1386</v>
      </c>
    </row>
    <row r="2624" spans="1:12">
      <c r="A2624" s="288" t="s">
        <v>3467</v>
      </c>
      <c r="B2624" s="288" t="s">
        <v>3432</v>
      </c>
      <c r="C2624" s="288" t="s">
        <v>814</v>
      </c>
      <c r="D2624" s="288" t="s">
        <v>818</v>
      </c>
      <c r="E2624" s="289">
        <v>10</v>
      </c>
      <c r="F2624" s="290">
        <v>18</v>
      </c>
      <c r="G2624" s="289">
        <v>1100</v>
      </c>
      <c r="H2624" s="289">
        <v>880</v>
      </c>
      <c r="I2624" s="289">
        <v>198</v>
      </c>
      <c r="J2624" s="289">
        <v>70</v>
      </c>
      <c r="K2624" s="289">
        <v>7</v>
      </c>
      <c r="L2624" s="289">
        <v>2255</v>
      </c>
    </row>
    <row r="2625" spans="1:12">
      <c r="A2625" s="288" t="s">
        <v>3468</v>
      </c>
      <c r="B2625" s="288" t="s">
        <v>3432</v>
      </c>
      <c r="C2625" s="288" t="s">
        <v>833</v>
      </c>
      <c r="D2625" s="288" t="s">
        <v>822</v>
      </c>
      <c r="E2625" s="289">
        <v>10</v>
      </c>
      <c r="F2625" s="290">
        <v>57</v>
      </c>
      <c r="G2625" s="289">
        <v>1100</v>
      </c>
      <c r="H2625" s="289">
        <v>5170</v>
      </c>
      <c r="I2625" s="289">
        <v>627</v>
      </c>
      <c r="J2625" s="289">
        <v>200</v>
      </c>
      <c r="K2625" s="289">
        <v>20</v>
      </c>
      <c r="L2625" s="289">
        <v>7117</v>
      </c>
    </row>
    <row r="2626" spans="1:12">
      <c r="A2626" s="288" t="s">
        <v>3469</v>
      </c>
      <c r="B2626" s="288" t="s">
        <v>3432</v>
      </c>
      <c r="C2626" s="288" t="s">
        <v>814</v>
      </c>
      <c r="D2626" s="288" t="s">
        <v>815</v>
      </c>
      <c r="E2626" s="289">
        <v>10</v>
      </c>
      <c r="F2626" s="290">
        <v>9</v>
      </c>
      <c r="G2626" s="289">
        <v>1100</v>
      </c>
      <c r="H2626" s="289">
        <v>0</v>
      </c>
      <c r="I2626" s="289">
        <v>110</v>
      </c>
      <c r="J2626" s="289">
        <v>50</v>
      </c>
      <c r="K2626" s="289">
        <v>5</v>
      </c>
      <c r="L2626" s="289">
        <v>1265</v>
      </c>
    </row>
    <row r="2627" spans="1:12">
      <c r="A2627" s="288" t="s">
        <v>3470</v>
      </c>
      <c r="B2627" s="288" t="s">
        <v>3432</v>
      </c>
      <c r="C2627" s="288" t="s">
        <v>814</v>
      </c>
      <c r="D2627" s="288" t="s">
        <v>818</v>
      </c>
      <c r="E2627" s="289">
        <v>10</v>
      </c>
      <c r="F2627" s="290">
        <v>9</v>
      </c>
      <c r="G2627" s="289">
        <v>1100</v>
      </c>
      <c r="H2627" s="289">
        <v>0</v>
      </c>
      <c r="I2627" s="289">
        <v>110</v>
      </c>
      <c r="J2627" s="289">
        <v>70</v>
      </c>
      <c r="K2627" s="289">
        <v>7</v>
      </c>
      <c r="L2627" s="289">
        <v>1287</v>
      </c>
    </row>
    <row r="2628" spans="1:12">
      <c r="A2628" s="288" t="s">
        <v>3471</v>
      </c>
      <c r="B2628" s="288" t="s">
        <v>3432</v>
      </c>
      <c r="C2628" s="288" t="s">
        <v>814</v>
      </c>
      <c r="D2628" s="288" t="s">
        <v>818</v>
      </c>
      <c r="E2628" s="289">
        <v>10</v>
      </c>
      <c r="F2628" s="290">
        <v>27</v>
      </c>
      <c r="G2628" s="289">
        <v>1100</v>
      </c>
      <c r="H2628" s="289">
        <v>1870</v>
      </c>
      <c r="I2628" s="289">
        <v>297</v>
      </c>
      <c r="J2628" s="289">
        <v>70</v>
      </c>
      <c r="K2628" s="289">
        <v>7</v>
      </c>
      <c r="L2628" s="289">
        <v>3344</v>
      </c>
    </row>
    <row r="2629" spans="1:12">
      <c r="A2629" s="288" t="s">
        <v>3472</v>
      </c>
      <c r="B2629" s="288" t="s">
        <v>3432</v>
      </c>
      <c r="C2629" s="288" t="s">
        <v>1095</v>
      </c>
      <c r="D2629" s="288" t="s">
        <v>818</v>
      </c>
      <c r="E2629" s="289">
        <v>10</v>
      </c>
      <c r="F2629" s="290">
        <v>0</v>
      </c>
      <c r="G2629" s="289">
        <v>900</v>
      </c>
      <c r="H2629" s="289">
        <v>0</v>
      </c>
      <c r="I2629" s="289">
        <v>90</v>
      </c>
      <c r="J2629" s="289">
        <v>70</v>
      </c>
      <c r="K2629" s="289">
        <v>7</v>
      </c>
      <c r="L2629" s="289">
        <v>1067</v>
      </c>
    </row>
    <row r="2630" spans="1:12">
      <c r="A2630" s="288" t="s">
        <v>3473</v>
      </c>
      <c r="B2630" s="288" t="s">
        <v>3432</v>
      </c>
      <c r="C2630" s="288" t="s">
        <v>829</v>
      </c>
      <c r="D2630" s="288" t="s">
        <v>818</v>
      </c>
      <c r="E2630" s="289">
        <v>10</v>
      </c>
      <c r="F2630" s="290">
        <v>1</v>
      </c>
      <c r="G2630" s="289">
        <v>900</v>
      </c>
      <c r="H2630" s="289">
        <v>0</v>
      </c>
      <c r="I2630" s="289">
        <v>90</v>
      </c>
      <c r="J2630" s="289">
        <v>70</v>
      </c>
      <c r="K2630" s="289">
        <v>7</v>
      </c>
      <c r="L2630" s="289">
        <v>1067</v>
      </c>
    </row>
    <row r="2631" spans="1:12">
      <c r="A2631" s="288" t="s">
        <v>3474</v>
      </c>
      <c r="B2631" s="288" t="s">
        <v>3432</v>
      </c>
      <c r="C2631" s="288" t="s">
        <v>814</v>
      </c>
      <c r="D2631" s="288" t="s">
        <v>815</v>
      </c>
      <c r="E2631" s="289">
        <v>10</v>
      </c>
      <c r="F2631" s="290">
        <v>8</v>
      </c>
      <c r="G2631" s="289">
        <v>1100</v>
      </c>
      <c r="H2631" s="289">
        <v>0</v>
      </c>
      <c r="I2631" s="289">
        <v>110</v>
      </c>
      <c r="J2631" s="289">
        <v>50</v>
      </c>
      <c r="K2631" s="289">
        <v>5</v>
      </c>
      <c r="L2631" s="289">
        <v>1265</v>
      </c>
    </row>
    <row r="2632" spans="1:12">
      <c r="A2632" s="288" t="s">
        <v>3475</v>
      </c>
      <c r="B2632" s="288" t="s">
        <v>3432</v>
      </c>
      <c r="C2632" s="288" t="s">
        <v>814</v>
      </c>
      <c r="D2632" s="288" t="s">
        <v>815</v>
      </c>
      <c r="E2632" s="289">
        <v>10</v>
      </c>
      <c r="F2632" s="290">
        <v>24</v>
      </c>
      <c r="G2632" s="289">
        <v>1100</v>
      </c>
      <c r="H2632" s="289">
        <v>1540</v>
      </c>
      <c r="I2632" s="289">
        <v>264</v>
      </c>
      <c r="J2632" s="289">
        <v>50</v>
      </c>
      <c r="K2632" s="289">
        <v>5</v>
      </c>
      <c r="L2632" s="289">
        <v>2959</v>
      </c>
    </row>
    <row r="2633" spans="1:12">
      <c r="A2633" s="288" t="s">
        <v>3476</v>
      </c>
      <c r="B2633" s="288" t="s">
        <v>3432</v>
      </c>
      <c r="C2633" s="288" t="s">
        <v>814</v>
      </c>
      <c r="D2633" s="288" t="s">
        <v>815</v>
      </c>
      <c r="E2633" s="289">
        <v>10</v>
      </c>
      <c r="F2633" s="290">
        <v>3</v>
      </c>
      <c r="G2633" s="289">
        <v>900</v>
      </c>
      <c r="H2633" s="289">
        <v>0</v>
      </c>
      <c r="I2633" s="289">
        <v>90</v>
      </c>
      <c r="J2633" s="289">
        <v>50</v>
      </c>
      <c r="K2633" s="289">
        <v>5</v>
      </c>
      <c r="L2633" s="289">
        <v>1045</v>
      </c>
    </row>
    <row r="2634" spans="1:12">
      <c r="A2634" s="288" t="s">
        <v>3477</v>
      </c>
      <c r="B2634" s="288" t="s">
        <v>3432</v>
      </c>
      <c r="C2634" s="288" t="s">
        <v>829</v>
      </c>
      <c r="D2634" s="288" t="s">
        <v>818</v>
      </c>
      <c r="E2634" s="289">
        <v>10</v>
      </c>
      <c r="F2634" s="290">
        <v>4</v>
      </c>
      <c r="G2634" s="289">
        <v>900</v>
      </c>
      <c r="H2634" s="289">
        <v>0</v>
      </c>
      <c r="I2634" s="289">
        <v>90</v>
      </c>
      <c r="J2634" s="289">
        <v>70</v>
      </c>
      <c r="K2634" s="289">
        <v>7</v>
      </c>
      <c r="L2634" s="289">
        <v>1067</v>
      </c>
    </row>
    <row r="2635" spans="1:12">
      <c r="A2635" s="288" t="s">
        <v>3478</v>
      </c>
      <c r="B2635" s="288" t="s">
        <v>3432</v>
      </c>
      <c r="C2635" s="288" t="s">
        <v>820</v>
      </c>
      <c r="D2635" s="288" t="s">
        <v>815</v>
      </c>
      <c r="E2635" s="289">
        <v>10</v>
      </c>
      <c r="F2635" s="290">
        <v>0</v>
      </c>
      <c r="G2635" s="289">
        <v>900</v>
      </c>
      <c r="H2635" s="289">
        <v>0</v>
      </c>
      <c r="I2635" s="289">
        <v>90</v>
      </c>
      <c r="J2635" s="289">
        <v>50</v>
      </c>
      <c r="K2635" s="289">
        <v>5</v>
      </c>
      <c r="L2635" s="289">
        <v>1045</v>
      </c>
    </row>
    <row r="2636" spans="1:12">
      <c r="A2636" s="288" t="s">
        <v>3479</v>
      </c>
      <c r="B2636" s="288" t="s">
        <v>3480</v>
      </c>
      <c r="C2636" s="288" t="s">
        <v>829</v>
      </c>
      <c r="D2636" s="288" t="s">
        <v>818</v>
      </c>
      <c r="E2636" s="289">
        <v>10</v>
      </c>
      <c r="F2636" s="290">
        <v>3</v>
      </c>
      <c r="G2636" s="289">
        <v>900</v>
      </c>
      <c r="H2636" s="289">
        <v>0</v>
      </c>
      <c r="I2636" s="289">
        <v>90</v>
      </c>
      <c r="J2636" s="289">
        <v>70</v>
      </c>
      <c r="K2636" s="289">
        <v>7</v>
      </c>
      <c r="L2636" s="289">
        <v>1067</v>
      </c>
    </row>
    <row r="2637" spans="1:12">
      <c r="A2637" s="288" t="s">
        <v>3481</v>
      </c>
      <c r="B2637" s="288" t="s">
        <v>3480</v>
      </c>
      <c r="C2637" s="288" t="s">
        <v>814</v>
      </c>
      <c r="D2637" s="288" t="s">
        <v>818</v>
      </c>
      <c r="E2637" s="289">
        <v>10</v>
      </c>
      <c r="F2637" s="290">
        <v>0</v>
      </c>
      <c r="G2637" s="289">
        <v>900</v>
      </c>
      <c r="H2637" s="289">
        <v>0</v>
      </c>
      <c r="I2637" s="289">
        <v>90</v>
      </c>
      <c r="J2637" s="289">
        <v>70</v>
      </c>
      <c r="K2637" s="289">
        <v>7</v>
      </c>
      <c r="L2637" s="289">
        <v>1067</v>
      </c>
    </row>
    <row r="2638" spans="1:12">
      <c r="A2638" s="288" t="s">
        <v>3482</v>
      </c>
      <c r="B2638" s="288" t="s">
        <v>3480</v>
      </c>
      <c r="C2638" s="288" t="s">
        <v>814</v>
      </c>
      <c r="D2638" s="288" t="s">
        <v>818</v>
      </c>
      <c r="E2638" s="289">
        <v>10</v>
      </c>
      <c r="F2638" s="290">
        <v>42</v>
      </c>
      <c r="G2638" s="289">
        <v>1100</v>
      </c>
      <c r="H2638" s="289">
        <v>3520</v>
      </c>
      <c r="I2638" s="289">
        <v>462</v>
      </c>
      <c r="J2638" s="289">
        <v>70</v>
      </c>
      <c r="K2638" s="289">
        <v>7</v>
      </c>
      <c r="L2638" s="289">
        <v>5159</v>
      </c>
    </row>
    <row r="2639" spans="1:12">
      <c r="A2639" s="288" t="s">
        <v>3483</v>
      </c>
      <c r="B2639" s="288" t="s">
        <v>3480</v>
      </c>
      <c r="C2639" s="288" t="s">
        <v>814</v>
      </c>
      <c r="D2639" s="288" t="s">
        <v>818</v>
      </c>
      <c r="E2639" s="289">
        <v>10</v>
      </c>
      <c r="F2639" s="290">
        <v>35</v>
      </c>
      <c r="G2639" s="289">
        <v>1100</v>
      </c>
      <c r="H2639" s="289">
        <v>2750</v>
      </c>
      <c r="I2639" s="289">
        <v>385</v>
      </c>
      <c r="J2639" s="289">
        <v>70</v>
      </c>
      <c r="K2639" s="289">
        <v>7</v>
      </c>
      <c r="L2639" s="289">
        <v>4312</v>
      </c>
    </row>
    <row r="2640" spans="1:12">
      <c r="A2640" s="288" t="s">
        <v>3484</v>
      </c>
      <c r="B2640" s="288" t="s">
        <v>3480</v>
      </c>
      <c r="C2640" s="288" t="s">
        <v>814</v>
      </c>
      <c r="D2640" s="288" t="s">
        <v>818</v>
      </c>
      <c r="E2640" s="289">
        <v>10</v>
      </c>
      <c r="F2640" s="290">
        <v>2</v>
      </c>
      <c r="G2640" s="289">
        <v>900</v>
      </c>
      <c r="H2640" s="289">
        <v>0</v>
      </c>
      <c r="I2640" s="289">
        <v>90</v>
      </c>
      <c r="J2640" s="289">
        <v>70</v>
      </c>
      <c r="K2640" s="289">
        <v>7</v>
      </c>
      <c r="L2640" s="289">
        <v>1067</v>
      </c>
    </row>
    <row r="2641" spans="1:12">
      <c r="A2641" s="288" t="s">
        <v>3485</v>
      </c>
      <c r="B2641" s="288" t="s">
        <v>3480</v>
      </c>
      <c r="C2641" s="288" t="s">
        <v>814</v>
      </c>
      <c r="D2641" s="288" t="s">
        <v>818</v>
      </c>
      <c r="E2641" s="289">
        <v>10</v>
      </c>
      <c r="F2641" s="290">
        <v>26</v>
      </c>
      <c r="G2641" s="289">
        <v>1100</v>
      </c>
      <c r="H2641" s="289">
        <v>1760</v>
      </c>
      <c r="I2641" s="289">
        <v>286</v>
      </c>
      <c r="J2641" s="289">
        <v>70</v>
      </c>
      <c r="K2641" s="289">
        <v>7</v>
      </c>
      <c r="L2641" s="289">
        <v>3223</v>
      </c>
    </row>
    <row r="2642" spans="1:12">
      <c r="A2642" s="288" t="s">
        <v>3486</v>
      </c>
      <c r="B2642" s="288" t="s">
        <v>3480</v>
      </c>
      <c r="C2642" s="288" t="s">
        <v>814</v>
      </c>
      <c r="D2642" s="288" t="s">
        <v>818</v>
      </c>
      <c r="E2642" s="289">
        <v>10</v>
      </c>
      <c r="F2642" s="290">
        <v>20</v>
      </c>
      <c r="G2642" s="289">
        <v>1100</v>
      </c>
      <c r="H2642" s="289">
        <v>1100</v>
      </c>
      <c r="I2642" s="289">
        <v>220</v>
      </c>
      <c r="J2642" s="289">
        <v>70</v>
      </c>
      <c r="K2642" s="289">
        <v>7</v>
      </c>
      <c r="L2642" s="289">
        <v>2497</v>
      </c>
    </row>
    <row r="2643" spans="1:12">
      <c r="A2643" s="288" t="s">
        <v>3487</v>
      </c>
      <c r="B2643" s="288" t="s">
        <v>3480</v>
      </c>
      <c r="C2643" s="288" t="s">
        <v>814</v>
      </c>
      <c r="D2643" s="288" t="s">
        <v>818</v>
      </c>
      <c r="E2643" s="289">
        <v>10</v>
      </c>
      <c r="F2643" s="290">
        <v>7</v>
      </c>
      <c r="G2643" s="289">
        <v>1100</v>
      </c>
      <c r="H2643" s="289">
        <v>0</v>
      </c>
      <c r="I2643" s="289">
        <v>110</v>
      </c>
      <c r="J2643" s="289">
        <v>70</v>
      </c>
      <c r="K2643" s="289">
        <v>7</v>
      </c>
      <c r="L2643" s="289">
        <v>1287</v>
      </c>
    </row>
    <row r="2644" spans="1:12">
      <c r="A2644" s="288" t="s">
        <v>3488</v>
      </c>
      <c r="B2644" s="288" t="s">
        <v>3480</v>
      </c>
      <c r="C2644" s="288" t="s">
        <v>814</v>
      </c>
      <c r="D2644" s="288" t="s">
        <v>818</v>
      </c>
      <c r="E2644" s="289">
        <v>10</v>
      </c>
      <c r="F2644" s="290">
        <v>5</v>
      </c>
      <c r="G2644" s="289">
        <v>900</v>
      </c>
      <c r="H2644" s="289">
        <v>0</v>
      </c>
      <c r="I2644" s="289">
        <v>90</v>
      </c>
      <c r="J2644" s="289">
        <v>70</v>
      </c>
      <c r="K2644" s="289">
        <v>7</v>
      </c>
      <c r="L2644" s="289">
        <v>1067</v>
      </c>
    </row>
    <row r="2645" spans="1:12">
      <c r="A2645" s="288" t="s">
        <v>3489</v>
      </c>
      <c r="B2645" s="288" t="s">
        <v>3480</v>
      </c>
      <c r="C2645" s="288" t="s">
        <v>814</v>
      </c>
      <c r="D2645" s="288" t="s">
        <v>818</v>
      </c>
      <c r="E2645" s="289">
        <v>10</v>
      </c>
      <c r="F2645" s="290">
        <v>11</v>
      </c>
      <c r="G2645" s="289">
        <v>1100</v>
      </c>
      <c r="H2645" s="289">
        <v>110</v>
      </c>
      <c r="I2645" s="289">
        <v>121</v>
      </c>
      <c r="J2645" s="289">
        <v>70</v>
      </c>
      <c r="K2645" s="289">
        <v>7</v>
      </c>
      <c r="L2645" s="289">
        <v>1408</v>
      </c>
    </row>
    <row r="2646" spans="1:12">
      <c r="A2646" s="288" t="s">
        <v>3490</v>
      </c>
      <c r="B2646" s="288" t="s">
        <v>3480</v>
      </c>
      <c r="C2646" s="288" t="s">
        <v>814</v>
      </c>
      <c r="D2646" s="288" t="s">
        <v>818</v>
      </c>
      <c r="E2646" s="289">
        <v>10</v>
      </c>
      <c r="F2646" s="290">
        <v>20</v>
      </c>
      <c r="G2646" s="289">
        <v>1100</v>
      </c>
      <c r="H2646" s="289">
        <v>1100</v>
      </c>
      <c r="I2646" s="289">
        <v>220</v>
      </c>
      <c r="J2646" s="289">
        <v>70</v>
      </c>
      <c r="K2646" s="289">
        <v>7</v>
      </c>
      <c r="L2646" s="289">
        <v>2497</v>
      </c>
    </row>
    <row r="2647" spans="1:12">
      <c r="A2647" s="288" t="s">
        <v>3491</v>
      </c>
      <c r="B2647" s="288" t="s">
        <v>3480</v>
      </c>
      <c r="C2647" s="288" t="s">
        <v>829</v>
      </c>
      <c r="D2647" s="288" t="s">
        <v>818</v>
      </c>
      <c r="E2647" s="289">
        <v>10</v>
      </c>
      <c r="F2647" s="290">
        <v>1</v>
      </c>
      <c r="G2647" s="289">
        <v>900</v>
      </c>
      <c r="H2647" s="289">
        <v>0</v>
      </c>
      <c r="I2647" s="289">
        <v>90</v>
      </c>
      <c r="J2647" s="289">
        <v>70</v>
      </c>
      <c r="K2647" s="289">
        <v>7</v>
      </c>
      <c r="L2647" s="289">
        <v>1067</v>
      </c>
    </row>
    <row r="2648" spans="1:12">
      <c r="A2648" s="288" t="s">
        <v>3492</v>
      </c>
      <c r="B2648" s="288" t="s">
        <v>3480</v>
      </c>
      <c r="C2648" s="288" t="s">
        <v>829</v>
      </c>
      <c r="D2648" s="288" t="s">
        <v>818</v>
      </c>
      <c r="E2648" s="289">
        <v>10</v>
      </c>
      <c r="F2648" s="290">
        <v>4</v>
      </c>
      <c r="G2648" s="289">
        <v>900</v>
      </c>
      <c r="H2648" s="289">
        <v>0</v>
      </c>
      <c r="I2648" s="289">
        <v>90</v>
      </c>
      <c r="J2648" s="289">
        <v>70</v>
      </c>
      <c r="K2648" s="289">
        <v>7</v>
      </c>
      <c r="L2648" s="289">
        <v>1067</v>
      </c>
    </row>
    <row r="2649" spans="1:12">
      <c r="A2649" s="288" t="s">
        <v>3493</v>
      </c>
      <c r="B2649" s="288" t="s">
        <v>3480</v>
      </c>
      <c r="C2649" s="288" t="s">
        <v>814</v>
      </c>
      <c r="D2649" s="288" t="s">
        <v>818</v>
      </c>
      <c r="E2649" s="289">
        <v>10</v>
      </c>
      <c r="F2649" s="290">
        <v>9</v>
      </c>
      <c r="G2649" s="289">
        <v>1100</v>
      </c>
      <c r="H2649" s="289">
        <v>0</v>
      </c>
      <c r="I2649" s="289">
        <v>110</v>
      </c>
      <c r="J2649" s="289">
        <v>70</v>
      </c>
      <c r="K2649" s="289">
        <v>7</v>
      </c>
      <c r="L2649" s="289">
        <v>1287</v>
      </c>
    </row>
    <row r="2650" spans="1:12">
      <c r="A2650" s="288" t="s">
        <v>3494</v>
      </c>
      <c r="B2650" s="288" t="s">
        <v>3480</v>
      </c>
      <c r="C2650" s="288" t="s">
        <v>814</v>
      </c>
      <c r="D2650" s="288" t="s">
        <v>818</v>
      </c>
      <c r="E2650" s="289">
        <v>10</v>
      </c>
      <c r="F2650" s="290">
        <v>12</v>
      </c>
      <c r="G2650" s="289">
        <v>1100</v>
      </c>
      <c r="H2650" s="289">
        <v>220</v>
      </c>
      <c r="I2650" s="289">
        <v>132</v>
      </c>
      <c r="J2650" s="289">
        <v>70</v>
      </c>
      <c r="K2650" s="289">
        <v>7</v>
      </c>
      <c r="L2650" s="289">
        <v>1529</v>
      </c>
    </row>
    <row r="2651" spans="1:12">
      <c r="A2651" s="288" t="s">
        <v>3495</v>
      </c>
      <c r="B2651" s="288" t="s">
        <v>3480</v>
      </c>
      <c r="C2651" s="288" t="s">
        <v>829</v>
      </c>
      <c r="D2651" s="288" t="s">
        <v>815</v>
      </c>
      <c r="E2651" s="289">
        <v>10</v>
      </c>
      <c r="F2651" s="290">
        <v>0</v>
      </c>
      <c r="G2651" s="289">
        <v>900</v>
      </c>
      <c r="H2651" s="289">
        <v>0</v>
      </c>
      <c r="I2651" s="289">
        <v>90</v>
      </c>
      <c r="J2651" s="289">
        <v>50</v>
      </c>
      <c r="K2651" s="289">
        <v>5</v>
      </c>
      <c r="L2651" s="289">
        <v>1045</v>
      </c>
    </row>
    <row r="2652" spans="1:12">
      <c r="A2652" s="288" t="s">
        <v>3496</v>
      </c>
      <c r="B2652" s="288" t="s">
        <v>3497</v>
      </c>
      <c r="C2652" s="288" t="s">
        <v>814</v>
      </c>
      <c r="D2652" s="288" t="s">
        <v>815</v>
      </c>
      <c r="E2652" s="289">
        <v>10</v>
      </c>
      <c r="F2652" s="290">
        <v>1</v>
      </c>
      <c r="G2652" s="289">
        <v>900</v>
      </c>
      <c r="H2652" s="289">
        <v>0</v>
      </c>
      <c r="I2652" s="289">
        <v>90</v>
      </c>
      <c r="J2652" s="289">
        <v>50</v>
      </c>
      <c r="K2652" s="289">
        <v>5</v>
      </c>
      <c r="L2652" s="289">
        <v>1045</v>
      </c>
    </row>
    <row r="2653" spans="1:12">
      <c r="A2653" s="288" t="s">
        <v>3498</v>
      </c>
      <c r="B2653" s="288" t="s">
        <v>3497</v>
      </c>
      <c r="C2653" s="288" t="s">
        <v>833</v>
      </c>
      <c r="D2653" s="288" t="s">
        <v>818</v>
      </c>
      <c r="E2653" s="289">
        <v>10</v>
      </c>
      <c r="F2653" s="290">
        <v>0</v>
      </c>
      <c r="G2653" s="289">
        <v>900</v>
      </c>
      <c r="H2653" s="289">
        <v>0</v>
      </c>
      <c r="I2653" s="289">
        <v>90</v>
      </c>
      <c r="J2653" s="289">
        <v>70</v>
      </c>
      <c r="K2653" s="289">
        <v>7</v>
      </c>
      <c r="L2653" s="289">
        <v>1067</v>
      </c>
    </row>
    <row r="2654" spans="1:12">
      <c r="A2654" s="288" t="s">
        <v>3499</v>
      </c>
      <c r="B2654" s="288" t="s">
        <v>3497</v>
      </c>
      <c r="C2654" s="288" t="s">
        <v>829</v>
      </c>
      <c r="D2654" s="288" t="s">
        <v>822</v>
      </c>
      <c r="E2654" s="289">
        <v>10</v>
      </c>
      <c r="F2654" s="290">
        <v>8</v>
      </c>
      <c r="G2654" s="289">
        <v>1100</v>
      </c>
      <c r="H2654" s="289">
        <v>0</v>
      </c>
      <c r="I2654" s="289">
        <v>110</v>
      </c>
      <c r="J2654" s="289">
        <v>200</v>
      </c>
      <c r="K2654" s="289">
        <v>20</v>
      </c>
      <c r="L2654" s="289">
        <v>1430</v>
      </c>
    </row>
    <row r="2655" spans="1:12">
      <c r="A2655" s="288" t="s">
        <v>3500</v>
      </c>
      <c r="B2655" s="288" t="s">
        <v>3497</v>
      </c>
      <c r="C2655" s="288" t="s">
        <v>829</v>
      </c>
      <c r="D2655" s="288" t="s">
        <v>818</v>
      </c>
      <c r="E2655" s="289">
        <v>10</v>
      </c>
      <c r="F2655" s="290">
        <v>1</v>
      </c>
      <c r="G2655" s="289">
        <v>900</v>
      </c>
      <c r="H2655" s="289">
        <v>0</v>
      </c>
      <c r="I2655" s="289">
        <v>90</v>
      </c>
      <c r="J2655" s="289">
        <v>70</v>
      </c>
      <c r="K2655" s="289">
        <v>7</v>
      </c>
      <c r="L2655" s="289">
        <v>1067</v>
      </c>
    </row>
    <row r="2656" spans="1:12">
      <c r="A2656" s="288" t="s">
        <v>3501</v>
      </c>
      <c r="B2656" s="288" t="s">
        <v>3497</v>
      </c>
      <c r="C2656" s="288" t="s">
        <v>814</v>
      </c>
      <c r="D2656" s="288" t="s">
        <v>818</v>
      </c>
      <c r="E2656" s="289">
        <v>10</v>
      </c>
      <c r="F2656" s="290">
        <v>25</v>
      </c>
      <c r="G2656" s="289">
        <v>1100</v>
      </c>
      <c r="H2656" s="289">
        <v>1650</v>
      </c>
      <c r="I2656" s="289">
        <v>275</v>
      </c>
      <c r="J2656" s="289">
        <v>70</v>
      </c>
      <c r="K2656" s="289">
        <v>7</v>
      </c>
      <c r="L2656" s="289">
        <v>3102</v>
      </c>
    </row>
    <row r="2657" spans="1:12">
      <c r="A2657" s="288" t="s">
        <v>3502</v>
      </c>
      <c r="B2657" s="288" t="s">
        <v>3497</v>
      </c>
      <c r="C2657" s="288" t="s">
        <v>814</v>
      </c>
      <c r="D2657" s="288" t="s">
        <v>818</v>
      </c>
      <c r="E2657" s="289">
        <v>10</v>
      </c>
      <c r="F2657" s="290">
        <v>30</v>
      </c>
      <c r="G2657" s="289">
        <v>1100</v>
      </c>
      <c r="H2657" s="289">
        <v>2200</v>
      </c>
      <c r="I2657" s="289">
        <v>330</v>
      </c>
      <c r="J2657" s="289">
        <v>70</v>
      </c>
      <c r="K2657" s="289">
        <v>7</v>
      </c>
      <c r="L2657" s="289">
        <v>3707</v>
      </c>
    </row>
    <row r="2658" spans="1:12">
      <c r="A2658" s="288" t="s">
        <v>3503</v>
      </c>
      <c r="B2658" s="288" t="s">
        <v>3497</v>
      </c>
      <c r="C2658" s="288" t="s">
        <v>814</v>
      </c>
      <c r="D2658" s="288" t="s">
        <v>818</v>
      </c>
      <c r="E2658" s="289">
        <v>10</v>
      </c>
      <c r="F2658" s="290">
        <v>26</v>
      </c>
      <c r="G2658" s="289">
        <v>1100</v>
      </c>
      <c r="H2658" s="289">
        <v>1760</v>
      </c>
      <c r="I2658" s="289">
        <v>286</v>
      </c>
      <c r="J2658" s="289">
        <v>70</v>
      </c>
      <c r="K2658" s="289">
        <v>7</v>
      </c>
      <c r="L2658" s="289">
        <v>3223</v>
      </c>
    </row>
    <row r="2659" spans="1:12">
      <c r="A2659" s="288" t="s">
        <v>3504</v>
      </c>
      <c r="B2659" s="288" t="s">
        <v>3497</v>
      </c>
      <c r="C2659" s="288" t="s">
        <v>814</v>
      </c>
      <c r="D2659" s="288" t="s">
        <v>818</v>
      </c>
      <c r="E2659" s="289">
        <v>10</v>
      </c>
      <c r="F2659" s="290">
        <v>7</v>
      </c>
      <c r="G2659" s="289">
        <v>1100</v>
      </c>
      <c r="H2659" s="289">
        <v>0</v>
      </c>
      <c r="I2659" s="289">
        <v>110</v>
      </c>
      <c r="J2659" s="289">
        <v>70</v>
      </c>
      <c r="K2659" s="289">
        <v>7</v>
      </c>
      <c r="L2659" s="289">
        <v>1287</v>
      </c>
    </row>
    <row r="2660" spans="1:12">
      <c r="A2660" s="288" t="s">
        <v>3505</v>
      </c>
      <c r="B2660" s="288" t="s">
        <v>3497</v>
      </c>
      <c r="C2660" s="288" t="s">
        <v>814</v>
      </c>
      <c r="D2660" s="288" t="s">
        <v>818</v>
      </c>
      <c r="E2660" s="289">
        <v>10</v>
      </c>
      <c r="F2660" s="290">
        <v>18</v>
      </c>
      <c r="G2660" s="289">
        <v>1100</v>
      </c>
      <c r="H2660" s="289">
        <v>880</v>
      </c>
      <c r="I2660" s="289">
        <v>198</v>
      </c>
      <c r="J2660" s="289">
        <v>70</v>
      </c>
      <c r="K2660" s="289">
        <v>7</v>
      </c>
      <c r="L2660" s="289">
        <v>2255</v>
      </c>
    </row>
    <row r="2661" spans="1:12">
      <c r="A2661" s="288" t="s">
        <v>3506</v>
      </c>
      <c r="B2661" s="288" t="s">
        <v>3497</v>
      </c>
      <c r="C2661" s="288" t="s">
        <v>814</v>
      </c>
      <c r="D2661" s="288" t="s">
        <v>818</v>
      </c>
      <c r="E2661" s="289">
        <v>10</v>
      </c>
      <c r="F2661" s="290">
        <v>0</v>
      </c>
      <c r="G2661" s="289">
        <v>900</v>
      </c>
      <c r="H2661" s="289">
        <v>0</v>
      </c>
      <c r="I2661" s="289">
        <v>90</v>
      </c>
      <c r="J2661" s="289">
        <v>70</v>
      </c>
      <c r="K2661" s="289">
        <v>7</v>
      </c>
      <c r="L2661" s="289">
        <v>1067</v>
      </c>
    </row>
    <row r="2662" spans="1:12">
      <c r="A2662" s="288" t="s">
        <v>3507</v>
      </c>
      <c r="B2662" s="288" t="s">
        <v>3497</v>
      </c>
      <c r="C2662" s="288" t="s">
        <v>814</v>
      </c>
      <c r="D2662" s="288" t="s">
        <v>818</v>
      </c>
      <c r="E2662" s="289">
        <v>10</v>
      </c>
      <c r="F2662" s="290">
        <v>30</v>
      </c>
      <c r="G2662" s="289">
        <v>1100</v>
      </c>
      <c r="H2662" s="289">
        <v>2200</v>
      </c>
      <c r="I2662" s="289">
        <v>330</v>
      </c>
      <c r="J2662" s="289">
        <v>70</v>
      </c>
      <c r="K2662" s="289">
        <v>7</v>
      </c>
      <c r="L2662" s="289">
        <v>3707</v>
      </c>
    </row>
    <row r="2663" spans="1:12">
      <c r="A2663" s="288" t="s">
        <v>3508</v>
      </c>
      <c r="B2663" s="288" t="s">
        <v>3497</v>
      </c>
      <c r="C2663" s="288" t="s">
        <v>814</v>
      </c>
      <c r="D2663" s="288" t="s">
        <v>818</v>
      </c>
      <c r="E2663" s="289">
        <v>10</v>
      </c>
      <c r="F2663" s="290">
        <v>35</v>
      </c>
      <c r="G2663" s="289">
        <v>1100</v>
      </c>
      <c r="H2663" s="289">
        <v>2750</v>
      </c>
      <c r="I2663" s="289">
        <v>385</v>
      </c>
      <c r="J2663" s="289">
        <v>70</v>
      </c>
      <c r="K2663" s="289">
        <v>7</v>
      </c>
      <c r="L2663" s="289">
        <v>4312</v>
      </c>
    </row>
    <row r="2664" spans="1:12">
      <c r="A2664" s="288" t="s">
        <v>3509</v>
      </c>
      <c r="B2664" s="288" t="s">
        <v>3497</v>
      </c>
      <c r="C2664" s="288" t="s">
        <v>814</v>
      </c>
      <c r="D2664" s="288" t="s">
        <v>818</v>
      </c>
      <c r="E2664" s="289">
        <v>10</v>
      </c>
      <c r="F2664" s="290">
        <v>23</v>
      </c>
      <c r="G2664" s="289">
        <v>1100</v>
      </c>
      <c r="H2664" s="289">
        <v>1430</v>
      </c>
      <c r="I2664" s="289">
        <v>253</v>
      </c>
      <c r="J2664" s="289">
        <v>70</v>
      </c>
      <c r="K2664" s="289">
        <v>7</v>
      </c>
      <c r="L2664" s="289">
        <v>2860</v>
      </c>
    </row>
    <row r="2665" spans="1:12">
      <c r="A2665" s="288" t="s">
        <v>3510</v>
      </c>
      <c r="B2665" s="288" t="s">
        <v>3497</v>
      </c>
      <c r="C2665" s="288" t="s">
        <v>814</v>
      </c>
      <c r="D2665" s="288" t="s">
        <v>818</v>
      </c>
      <c r="E2665" s="289">
        <v>10</v>
      </c>
      <c r="F2665" s="290">
        <v>26</v>
      </c>
      <c r="G2665" s="289">
        <v>1100</v>
      </c>
      <c r="H2665" s="289">
        <v>1760</v>
      </c>
      <c r="I2665" s="289">
        <v>286</v>
      </c>
      <c r="J2665" s="289">
        <v>70</v>
      </c>
      <c r="K2665" s="289">
        <v>7</v>
      </c>
      <c r="L2665" s="289">
        <v>3223</v>
      </c>
    </row>
    <row r="2666" spans="1:12">
      <c r="A2666" s="288" t="s">
        <v>3511</v>
      </c>
      <c r="B2666" s="288" t="s">
        <v>3497</v>
      </c>
      <c r="C2666" s="288" t="s">
        <v>814</v>
      </c>
      <c r="D2666" s="288" t="s">
        <v>818</v>
      </c>
      <c r="E2666" s="289">
        <v>10</v>
      </c>
      <c r="F2666" s="290">
        <v>7</v>
      </c>
      <c r="G2666" s="289">
        <v>1100</v>
      </c>
      <c r="H2666" s="289">
        <v>0</v>
      </c>
      <c r="I2666" s="289">
        <v>110</v>
      </c>
      <c r="J2666" s="289">
        <v>70</v>
      </c>
      <c r="K2666" s="289">
        <v>7</v>
      </c>
      <c r="L2666" s="289">
        <v>1287</v>
      </c>
    </row>
    <row r="2667" spans="1:12">
      <c r="A2667" s="288" t="s">
        <v>3512</v>
      </c>
      <c r="B2667" s="288" t="s">
        <v>3497</v>
      </c>
      <c r="C2667" s="288" t="s">
        <v>814</v>
      </c>
      <c r="D2667" s="288" t="s">
        <v>818</v>
      </c>
      <c r="E2667" s="289">
        <v>10</v>
      </c>
      <c r="F2667" s="290">
        <v>28</v>
      </c>
      <c r="G2667" s="289">
        <v>1100</v>
      </c>
      <c r="H2667" s="289">
        <v>1980</v>
      </c>
      <c r="I2667" s="289">
        <v>308</v>
      </c>
      <c r="J2667" s="289">
        <v>70</v>
      </c>
      <c r="K2667" s="289">
        <v>7</v>
      </c>
      <c r="L2667" s="289">
        <v>3465</v>
      </c>
    </row>
    <row r="2668" spans="1:12">
      <c r="A2668" s="288" t="s">
        <v>3513</v>
      </c>
      <c r="B2668" s="288" t="s">
        <v>3497</v>
      </c>
      <c r="C2668" s="288" t="s">
        <v>814</v>
      </c>
      <c r="D2668" s="288" t="s">
        <v>818</v>
      </c>
      <c r="E2668" s="289">
        <v>10</v>
      </c>
      <c r="F2668" s="290">
        <v>34</v>
      </c>
      <c r="G2668" s="289">
        <v>1100</v>
      </c>
      <c r="H2668" s="289">
        <v>2640</v>
      </c>
      <c r="I2668" s="289">
        <v>374</v>
      </c>
      <c r="J2668" s="289">
        <v>70</v>
      </c>
      <c r="K2668" s="289">
        <v>7</v>
      </c>
      <c r="L2668" s="289">
        <v>4191</v>
      </c>
    </row>
    <row r="2669" spans="1:12">
      <c r="A2669" s="288" t="s">
        <v>3514</v>
      </c>
      <c r="B2669" s="288" t="s">
        <v>3497</v>
      </c>
      <c r="C2669" s="288" t="s">
        <v>814</v>
      </c>
      <c r="D2669" s="288" t="s">
        <v>818</v>
      </c>
      <c r="E2669" s="289">
        <v>10</v>
      </c>
      <c r="F2669" s="290">
        <v>8</v>
      </c>
      <c r="G2669" s="289">
        <v>1100</v>
      </c>
      <c r="H2669" s="289">
        <v>0</v>
      </c>
      <c r="I2669" s="289">
        <v>110</v>
      </c>
      <c r="J2669" s="289">
        <v>70</v>
      </c>
      <c r="K2669" s="289">
        <v>7</v>
      </c>
      <c r="L2669" s="289">
        <v>1287</v>
      </c>
    </row>
    <row r="2670" spans="1:12">
      <c r="A2670" s="288" t="s">
        <v>3515</v>
      </c>
      <c r="B2670" s="288" t="s">
        <v>3497</v>
      </c>
      <c r="C2670" s="288" t="s">
        <v>814</v>
      </c>
      <c r="D2670" s="288" t="s">
        <v>818</v>
      </c>
      <c r="E2670" s="289">
        <v>10</v>
      </c>
      <c r="F2670" s="290">
        <v>6</v>
      </c>
      <c r="G2670" s="289">
        <v>1100</v>
      </c>
      <c r="H2670" s="289">
        <v>0</v>
      </c>
      <c r="I2670" s="289">
        <v>110</v>
      </c>
      <c r="J2670" s="289">
        <v>70</v>
      </c>
      <c r="K2670" s="289">
        <v>7</v>
      </c>
      <c r="L2670" s="289">
        <v>1287</v>
      </c>
    </row>
    <row r="2671" spans="1:12">
      <c r="A2671" s="288" t="s">
        <v>3516</v>
      </c>
      <c r="B2671" s="288" t="s">
        <v>3497</v>
      </c>
      <c r="C2671" s="288" t="s">
        <v>829</v>
      </c>
      <c r="D2671" s="288" t="s">
        <v>818</v>
      </c>
      <c r="E2671" s="289">
        <v>10</v>
      </c>
      <c r="F2671" s="290">
        <v>1</v>
      </c>
      <c r="G2671" s="289">
        <v>900</v>
      </c>
      <c r="H2671" s="289">
        <v>0</v>
      </c>
      <c r="I2671" s="289">
        <v>90</v>
      </c>
      <c r="J2671" s="289">
        <v>70</v>
      </c>
      <c r="K2671" s="289">
        <v>7</v>
      </c>
      <c r="L2671" s="289">
        <v>1067</v>
      </c>
    </row>
    <row r="2672" spans="1:12">
      <c r="A2672" s="288" t="s">
        <v>3517</v>
      </c>
      <c r="B2672" s="288" t="s">
        <v>3497</v>
      </c>
      <c r="C2672" s="288" t="s">
        <v>829</v>
      </c>
      <c r="D2672" s="288" t="s">
        <v>818</v>
      </c>
      <c r="E2672" s="289">
        <v>10</v>
      </c>
      <c r="F2672" s="290">
        <v>1</v>
      </c>
      <c r="G2672" s="289">
        <v>900</v>
      </c>
      <c r="H2672" s="289">
        <v>0</v>
      </c>
      <c r="I2672" s="289">
        <v>90</v>
      </c>
      <c r="J2672" s="289">
        <v>70</v>
      </c>
      <c r="K2672" s="289">
        <v>7</v>
      </c>
      <c r="L2672" s="289">
        <v>1067</v>
      </c>
    </row>
    <row r="2673" spans="1:12">
      <c r="A2673" s="288" t="s">
        <v>3518</v>
      </c>
      <c r="B2673" s="288" t="s">
        <v>3497</v>
      </c>
      <c r="C2673" s="288" t="s">
        <v>820</v>
      </c>
      <c r="D2673" s="288" t="s">
        <v>818</v>
      </c>
      <c r="E2673" s="289">
        <v>10</v>
      </c>
      <c r="F2673" s="290">
        <v>0</v>
      </c>
      <c r="G2673" s="289">
        <v>900</v>
      </c>
      <c r="H2673" s="289">
        <v>0</v>
      </c>
      <c r="I2673" s="289">
        <v>90</v>
      </c>
      <c r="J2673" s="289">
        <v>70</v>
      </c>
      <c r="K2673" s="289">
        <v>7</v>
      </c>
      <c r="L2673" s="289">
        <v>1067</v>
      </c>
    </row>
    <row r="2674" spans="1:12">
      <c r="A2674" s="288" t="s">
        <v>3519</v>
      </c>
      <c r="B2674" s="288" t="s">
        <v>3520</v>
      </c>
      <c r="C2674" s="288" t="s">
        <v>820</v>
      </c>
      <c r="D2674" s="288" t="s">
        <v>815</v>
      </c>
      <c r="E2674" s="289">
        <v>10</v>
      </c>
      <c r="F2674" s="290">
        <v>16</v>
      </c>
      <c r="G2674" s="289">
        <v>1100</v>
      </c>
      <c r="H2674" s="289">
        <v>660</v>
      </c>
      <c r="I2674" s="289">
        <v>176</v>
      </c>
      <c r="J2674" s="289">
        <v>50</v>
      </c>
      <c r="K2674" s="289">
        <v>5</v>
      </c>
      <c r="L2674" s="289">
        <v>1991</v>
      </c>
    </row>
    <row r="2675" spans="1:12">
      <c r="A2675" s="288" t="s">
        <v>3521</v>
      </c>
      <c r="B2675" s="288" t="s">
        <v>3520</v>
      </c>
      <c r="C2675" s="288" t="s">
        <v>820</v>
      </c>
      <c r="D2675" s="288" t="s">
        <v>818</v>
      </c>
      <c r="E2675" s="289">
        <v>10</v>
      </c>
      <c r="F2675" s="290">
        <v>19</v>
      </c>
      <c r="G2675" s="289">
        <v>1100</v>
      </c>
      <c r="H2675" s="289">
        <v>990</v>
      </c>
      <c r="I2675" s="289">
        <v>209</v>
      </c>
      <c r="J2675" s="289">
        <v>70</v>
      </c>
      <c r="K2675" s="289">
        <v>7</v>
      </c>
      <c r="L2675" s="289">
        <v>2376</v>
      </c>
    </row>
    <row r="2676" spans="1:12">
      <c r="A2676" s="288" t="s">
        <v>3522</v>
      </c>
      <c r="B2676" s="288" t="s">
        <v>3520</v>
      </c>
      <c r="C2676" s="288" t="s">
        <v>814</v>
      </c>
      <c r="D2676" s="288" t="s">
        <v>818</v>
      </c>
      <c r="E2676" s="289">
        <v>10</v>
      </c>
      <c r="F2676" s="290">
        <v>2</v>
      </c>
      <c r="G2676" s="289">
        <v>900</v>
      </c>
      <c r="H2676" s="289">
        <v>0</v>
      </c>
      <c r="I2676" s="289">
        <v>90</v>
      </c>
      <c r="J2676" s="289">
        <v>70</v>
      </c>
      <c r="K2676" s="289">
        <v>7</v>
      </c>
      <c r="L2676" s="289">
        <v>1067</v>
      </c>
    </row>
    <row r="2677" spans="1:12">
      <c r="A2677" s="288" t="s">
        <v>3523</v>
      </c>
      <c r="B2677" s="288" t="s">
        <v>3520</v>
      </c>
      <c r="C2677" s="288" t="s">
        <v>829</v>
      </c>
      <c r="D2677" s="288" t="s">
        <v>818</v>
      </c>
      <c r="E2677" s="289">
        <v>10</v>
      </c>
      <c r="F2677" s="290">
        <v>3</v>
      </c>
      <c r="G2677" s="289">
        <v>900</v>
      </c>
      <c r="H2677" s="289">
        <v>0</v>
      </c>
      <c r="I2677" s="289">
        <v>90</v>
      </c>
      <c r="J2677" s="289">
        <v>70</v>
      </c>
      <c r="K2677" s="289">
        <v>7</v>
      </c>
      <c r="L2677" s="289">
        <v>1067</v>
      </c>
    </row>
    <row r="2678" spans="1:12">
      <c r="A2678" s="288" t="s">
        <v>3524</v>
      </c>
      <c r="B2678" s="288" t="s">
        <v>3520</v>
      </c>
      <c r="C2678" s="288" t="s">
        <v>820</v>
      </c>
      <c r="D2678" s="288" t="s">
        <v>815</v>
      </c>
      <c r="E2678" s="289">
        <v>10</v>
      </c>
      <c r="F2678" s="290">
        <v>0</v>
      </c>
      <c r="G2678" s="289">
        <v>900</v>
      </c>
      <c r="H2678" s="289">
        <v>0</v>
      </c>
      <c r="I2678" s="289">
        <v>90</v>
      </c>
      <c r="J2678" s="289">
        <v>50</v>
      </c>
      <c r="K2678" s="289">
        <v>5</v>
      </c>
      <c r="L2678" s="289">
        <v>1045</v>
      </c>
    </row>
    <row r="2679" spans="1:12">
      <c r="A2679" s="288" t="s">
        <v>3525</v>
      </c>
      <c r="B2679" s="288" t="s">
        <v>3520</v>
      </c>
      <c r="C2679" s="288" t="s">
        <v>820</v>
      </c>
      <c r="D2679" s="288" t="s">
        <v>815</v>
      </c>
      <c r="E2679" s="289">
        <v>10</v>
      </c>
      <c r="F2679" s="290">
        <v>1</v>
      </c>
      <c r="G2679" s="289">
        <v>900</v>
      </c>
      <c r="H2679" s="289">
        <v>0</v>
      </c>
      <c r="I2679" s="289">
        <v>90</v>
      </c>
      <c r="J2679" s="289">
        <v>50</v>
      </c>
      <c r="K2679" s="289">
        <v>5</v>
      </c>
      <c r="L2679" s="289">
        <v>1045</v>
      </c>
    </row>
    <row r="2680" spans="1:12">
      <c r="A2680" s="288" t="s">
        <v>3526</v>
      </c>
      <c r="B2680" s="288" t="s">
        <v>3520</v>
      </c>
      <c r="C2680" s="288" t="s">
        <v>814</v>
      </c>
      <c r="D2680" s="288" t="s">
        <v>818</v>
      </c>
      <c r="E2680" s="289">
        <v>10</v>
      </c>
      <c r="F2680" s="290">
        <v>0</v>
      </c>
      <c r="G2680" s="289">
        <v>900</v>
      </c>
      <c r="H2680" s="289">
        <v>0</v>
      </c>
      <c r="I2680" s="289">
        <v>90</v>
      </c>
      <c r="J2680" s="289">
        <v>70</v>
      </c>
      <c r="K2680" s="289">
        <v>7</v>
      </c>
      <c r="L2680" s="289">
        <v>1067</v>
      </c>
    </row>
    <row r="2681" spans="1:12">
      <c r="A2681" s="288" t="s">
        <v>3527</v>
      </c>
      <c r="B2681" s="288" t="s">
        <v>3520</v>
      </c>
      <c r="C2681" s="288" t="s">
        <v>814</v>
      </c>
      <c r="D2681" s="288" t="s">
        <v>818</v>
      </c>
      <c r="E2681" s="289">
        <v>10</v>
      </c>
      <c r="F2681" s="290">
        <v>16</v>
      </c>
      <c r="G2681" s="289">
        <v>1100</v>
      </c>
      <c r="H2681" s="289">
        <v>660</v>
      </c>
      <c r="I2681" s="289">
        <v>176</v>
      </c>
      <c r="J2681" s="289">
        <v>70</v>
      </c>
      <c r="K2681" s="289">
        <v>7</v>
      </c>
      <c r="L2681" s="289">
        <v>2013</v>
      </c>
    </row>
    <row r="2682" spans="1:12">
      <c r="A2682" s="288" t="s">
        <v>3528</v>
      </c>
      <c r="B2682" s="288" t="s">
        <v>3520</v>
      </c>
      <c r="C2682" s="288" t="s">
        <v>814</v>
      </c>
      <c r="D2682" s="288" t="s">
        <v>818</v>
      </c>
      <c r="E2682" s="289">
        <v>10</v>
      </c>
      <c r="F2682" s="290">
        <v>5</v>
      </c>
      <c r="G2682" s="289">
        <v>900</v>
      </c>
      <c r="H2682" s="289">
        <v>0</v>
      </c>
      <c r="I2682" s="289">
        <v>90</v>
      </c>
      <c r="J2682" s="289">
        <v>70</v>
      </c>
      <c r="K2682" s="289">
        <v>7</v>
      </c>
      <c r="L2682" s="289">
        <v>1067</v>
      </c>
    </row>
    <row r="2683" spans="1:12">
      <c r="A2683" s="288" t="s">
        <v>3529</v>
      </c>
      <c r="B2683" s="288" t="s">
        <v>3520</v>
      </c>
      <c r="C2683" s="288" t="s">
        <v>814</v>
      </c>
      <c r="D2683" s="288" t="s">
        <v>818</v>
      </c>
      <c r="E2683" s="289">
        <v>10</v>
      </c>
      <c r="F2683" s="290">
        <v>17</v>
      </c>
      <c r="G2683" s="289">
        <v>1100</v>
      </c>
      <c r="H2683" s="289">
        <v>770</v>
      </c>
      <c r="I2683" s="289">
        <v>187</v>
      </c>
      <c r="J2683" s="289">
        <v>70</v>
      </c>
      <c r="K2683" s="289">
        <v>7</v>
      </c>
      <c r="L2683" s="289">
        <v>2134</v>
      </c>
    </row>
    <row r="2684" spans="1:12">
      <c r="A2684" s="288" t="s">
        <v>3530</v>
      </c>
      <c r="B2684" s="288" t="s">
        <v>3520</v>
      </c>
      <c r="C2684" s="288" t="s">
        <v>829</v>
      </c>
      <c r="D2684" s="288" t="s">
        <v>818</v>
      </c>
      <c r="E2684" s="289">
        <v>10</v>
      </c>
      <c r="F2684" s="290">
        <v>0</v>
      </c>
      <c r="G2684" s="289">
        <v>900</v>
      </c>
      <c r="H2684" s="289">
        <v>0</v>
      </c>
      <c r="I2684" s="289">
        <v>90</v>
      </c>
      <c r="J2684" s="289">
        <v>70</v>
      </c>
      <c r="K2684" s="289">
        <v>7</v>
      </c>
      <c r="L2684" s="289">
        <v>1067</v>
      </c>
    </row>
    <row r="2685" spans="1:12">
      <c r="A2685" s="288" t="s">
        <v>3531</v>
      </c>
      <c r="B2685" s="288" t="s">
        <v>3520</v>
      </c>
      <c r="C2685" s="288" t="s">
        <v>829</v>
      </c>
      <c r="D2685" s="288" t="s">
        <v>818</v>
      </c>
      <c r="E2685" s="289">
        <v>10</v>
      </c>
      <c r="F2685" s="290">
        <v>0</v>
      </c>
      <c r="G2685" s="289">
        <v>900</v>
      </c>
      <c r="H2685" s="289">
        <v>0</v>
      </c>
      <c r="I2685" s="289">
        <v>90</v>
      </c>
      <c r="J2685" s="289">
        <v>70</v>
      </c>
      <c r="K2685" s="289">
        <v>7</v>
      </c>
      <c r="L2685" s="289">
        <v>1067</v>
      </c>
    </row>
    <row r="2686" spans="1:12">
      <c r="A2686" s="288" t="s">
        <v>3532</v>
      </c>
      <c r="B2686" s="288" t="s">
        <v>3533</v>
      </c>
      <c r="C2686" s="288" t="s">
        <v>820</v>
      </c>
      <c r="D2686" s="288" t="s">
        <v>815</v>
      </c>
      <c r="E2686" s="289">
        <v>10</v>
      </c>
      <c r="F2686" s="290">
        <v>2</v>
      </c>
      <c r="G2686" s="289">
        <v>900</v>
      </c>
      <c r="H2686" s="289">
        <v>0</v>
      </c>
      <c r="I2686" s="289">
        <v>90</v>
      </c>
      <c r="J2686" s="289">
        <v>50</v>
      </c>
      <c r="K2686" s="289">
        <v>5</v>
      </c>
      <c r="L2686" s="289">
        <v>1045</v>
      </c>
    </row>
    <row r="2687" spans="1:12">
      <c r="A2687" s="288" t="s">
        <v>3534</v>
      </c>
      <c r="B2687" s="288" t="s">
        <v>3533</v>
      </c>
      <c r="C2687" s="288" t="s">
        <v>820</v>
      </c>
      <c r="D2687" s="288" t="s">
        <v>818</v>
      </c>
      <c r="E2687" s="289">
        <v>10</v>
      </c>
      <c r="F2687" s="290">
        <v>0</v>
      </c>
      <c r="G2687" s="289">
        <v>900</v>
      </c>
      <c r="H2687" s="289">
        <v>0</v>
      </c>
      <c r="I2687" s="289">
        <v>90</v>
      </c>
      <c r="J2687" s="289">
        <v>70</v>
      </c>
      <c r="K2687" s="289">
        <v>7</v>
      </c>
      <c r="L2687" s="289">
        <v>1067</v>
      </c>
    </row>
    <row r="2688" spans="1:12">
      <c r="A2688" s="288" t="s">
        <v>3535</v>
      </c>
      <c r="B2688" s="288" t="s">
        <v>3533</v>
      </c>
      <c r="C2688" s="288" t="s">
        <v>820</v>
      </c>
      <c r="D2688" s="288" t="s">
        <v>822</v>
      </c>
      <c r="E2688" s="289">
        <v>10</v>
      </c>
      <c r="F2688" s="290">
        <v>20</v>
      </c>
      <c r="G2688" s="289">
        <v>1100</v>
      </c>
      <c r="H2688" s="289">
        <v>1100</v>
      </c>
      <c r="I2688" s="289">
        <v>220</v>
      </c>
      <c r="J2688" s="289">
        <v>200</v>
      </c>
      <c r="K2688" s="289">
        <v>20</v>
      </c>
      <c r="L2688" s="289">
        <v>2640</v>
      </c>
    </row>
    <row r="2689" spans="1:12">
      <c r="A2689" s="288" t="s">
        <v>3536</v>
      </c>
      <c r="B2689" s="288" t="s">
        <v>3533</v>
      </c>
      <c r="C2689" s="288" t="s">
        <v>829</v>
      </c>
      <c r="D2689" s="288" t="s">
        <v>815</v>
      </c>
      <c r="E2689" s="289">
        <v>10</v>
      </c>
      <c r="F2689" s="290">
        <v>0</v>
      </c>
      <c r="G2689" s="289">
        <v>900</v>
      </c>
      <c r="H2689" s="289">
        <v>0</v>
      </c>
      <c r="I2689" s="289">
        <v>90</v>
      </c>
      <c r="J2689" s="289">
        <v>50</v>
      </c>
      <c r="K2689" s="289">
        <v>5</v>
      </c>
      <c r="L2689" s="289">
        <v>1045</v>
      </c>
    </row>
    <row r="2690" spans="1:12">
      <c r="A2690" s="288" t="s">
        <v>3537</v>
      </c>
      <c r="B2690" s="288" t="s">
        <v>3533</v>
      </c>
      <c r="C2690" s="288" t="s">
        <v>814</v>
      </c>
      <c r="D2690" s="288" t="s">
        <v>818</v>
      </c>
      <c r="E2690" s="289">
        <v>10</v>
      </c>
      <c r="F2690" s="290">
        <v>4</v>
      </c>
      <c r="G2690" s="289">
        <v>900</v>
      </c>
      <c r="H2690" s="289">
        <v>0</v>
      </c>
      <c r="I2690" s="289">
        <v>90</v>
      </c>
      <c r="J2690" s="289">
        <v>70</v>
      </c>
      <c r="K2690" s="289">
        <v>7</v>
      </c>
      <c r="L2690" s="289">
        <v>1067</v>
      </c>
    </row>
    <row r="2691" spans="1:12">
      <c r="A2691" s="288" t="s">
        <v>3538</v>
      </c>
      <c r="B2691" s="288" t="s">
        <v>3533</v>
      </c>
      <c r="C2691" s="288" t="s">
        <v>814</v>
      </c>
      <c r="D2691" s="288" t="s">
        <v>818</v>
      </c>
      <c r="E2691" s="289">
        <v>10</v>
      </c>
      <c r="F2691" s="290">
        <v>12</v>
      </c>
      <c r="G2691" s="289">
        <v>1100</v>
      </c>
      <c r="H2691" s="289">
        <v>220</v>
      </c>
      <c r="I2691" s="289">
        <v>132</v>
      </c>
      <c r="J2691" s="289">
        <v>70</v>
      </c>
      <c r="K2691" s="289">
        <v>7</v>
      </c>
      <c r="L2691" s="289">
        <v>1529</v>
      </c>
    </row>
    <row r="2692" spans="1:12">
      <c r="A2692" s="288" t="s">
        <v>3539</v>
      </c>
      <c r="B2692" s="288" t="s">
        <v>3533</v>
      </c>
      <c r="C2692" s="288" t="s">
        <v>814</v>
      </c>
      <c r="D2692" s="288" t="s">
        <v>818</v>
      </c>
      <c r="E2692" s="289">
        <v>10</v>
      </c>
      <c r="F2692" s="290">
        <v>14</v>
      </c>
      <c r="G2692" s="289">
        <v>1100</v>
      </c>
      <c r="H2692" s="289">
        <v>440</v>
      </c>
      <c r="I2692" s="289">
        <v>154</v>
      </c>
      <c r="J2692" s="289">
        <v>70</v>
      </c>
      <c r="K2692" s="289">
        <v>7</v>
      </c>
      <c r="L2692" s="289">
        <v>1771</v>
      </c>
    </row>
    <row r="2693" spans="1:12">
      <c r="A2693" s="288" t="s">
        <v>3540</v>
      </c>
      <c r="B2693" s="288" t="s">
        <v>3533</v>
      </c>
      <c r="C2693" s="288" t="s">
        <v>829</v>
      </c>
      <c r="D2693" s="288" t="s">
        <v>818</v>
      </c>
      <c r="E2693" s="289">
        <v>10</v>
      </c>
      <c r="F2693" s="290">
        <v>0</v>
      </c>
      <c r="G2693" s="289">
        <v>900</v>
      </c>
      <c r="H2693" s="289">
        <v>0</v>
      </c>
      <c r="I2693" s="289">
        <v>90</v>
      </c>
      <c r="J2693" s="289">
        <v>70</v>
      </c>
      <c r="K2693" s="289">
        <v>7</v>
      </c>
      <c r="L2693" s="289">
        <v>1067</v>
      </c>
    </row>
    <row r="2694" spans="1:12">
      <c r="A2694" s="288" t="s">
        <v>3541</v>
      </c>
      <c r="B2694" s="288" t="s">
        <v>3533</v>
      </c>
      <c r="C2694" s="288" t="s">
        <v>814</v>
      </c>
      <c r="D2694" s="288" t="s">
        <v>818</v>
      </c>
      <c r="E2694" s="289">
        <v>10</v>
      </c>
      <c r="F2694" s="290">
        <v>29</v>
      </c>
      <c r="G2694" s="289">
        <v>1100</v>
      </c>
      <c r="H2694" s="289">
        <v>2090</v>
      </c>
      <c r="I2694" s="289">
        <v>319</v>
      </c>
      <c r="J2694" s="289">
        <v>70</v>
      </c>
      <c r="K2694" s="289">
        <v>7</v>
      </c>
      <c r="L2694" s="289">
        <v>3586</v>
      </c>
    </row>
    <row r="2695" spans="1:12">
      <c r="A2695" s="288" t="s">
        <v>3542</v>
      </c>
      <c r="B2695" s="288" t="s">
        <v>3533</v>
      </c>
      <c r="C2695" s="288" t="s">
        <v>829</v>
      </c>
      <c r="D2695" s="288" t="s">
        <v>818</v>
      </c>
      <c r="E2695" s="289">
        <v>10</v>
      </c>
      <c r="F2695" s="290">
        <v>1</v>
      </c>
      <c r="G2695" s="289">
        <v>900</v>
      </c>
      <c r="H2695" s="289">
        <v>0</v>
      </c>
      <c r="I2695" s="289">
        <v>90</v>
      </c>
      <c r="J2695" s="289">
        <v>70</v>
      </c>
      <c r="K2695" s="289">
        <v>7</v>
      </c>
      <c r="L2695" s="289">
        <v>1067</v>
      </c>
    </row>
    <row r="2696" spans="1:12">
      <c r="A2696" s="288" t="s">
        <v>3543</v>
      </c>
      <c r="B2696" s="288" t="s">
        <v>3533</v>
      </c>
      <c r="C2696" s="288" t="s">
        <v>814</v>
      </c>
      <c r="D2696" s="288" t="s">
        <v>818</v>
      </c>
      <c r="E2696" s="289">
        <v>10</v>
      </c>
      <c r="F2696" s="290">
        <v>15</v>
      </c>
      <c r="G2696" s="289">
        <v>1100</v>
      </c>
      <c r="H2696" s="289">
        <v>550</v>
      </c>
      <c r="I2696" s="289">
        <v>165</v>
      </c>
      <c r="J2696" s="289">
        <v>70</v>
      </c>
      <c r="K2696" s="289">
        <v>7</v>
      </c>
      <c r="L2696" s="289">
        <v>1892</v>
      </c>
    </row>
    <row r="2697" spans="1:12">
      <c r="A2697" s="288" t="s">
        <v>3544</v>
      </c>
      <c r="B2697" s="288" t="s">
        <v>3533</v>
      </c>
      <c r="C2697" s="288" t="s">
        <v>820</v>
      </c>
      <c r="D2697" s="288" t="s">
        <v>818</v>
      </c>
      <c r="E2697" s="289">
        <v>10</v>
      </c>
      <c r="F2697" s="290">
        <v>4</v>
      </c>
      <c r="G2697" s="289">
        <v>900</v>
      </c>
      <c r="H2697" s="289">
        <v>0</v>
      </c>
      <c r="I2697" s="289">
        <v>90</v>
      </c>
      <c r="J2697" s="289">
        <v>70</v>
      </c>
      <c r="K2697" s="289">
        <v>7</v>
      </c>
      <c r="L2697" s="289">
        <v>1067</v>
      </c>
    </row>
    <row r="2698" spans="1:12">
      <c r="A2698" s="288" t="s">
        <v>3545</v>
      </c>
      <c r="B2698" s="288" t="s">
        <v>3546</v>
      </c>
      <c r="C2698" s="288" t="s">
        <v>829</v>
      </c>
      <c r="D2698" s="288" t="s">
        <v>815</v>
      </c>
      <c r="E2698" s="289">
        <v>10</v>
      </c>
      <c r="F2698" s="290">
        <v>1</v>
      </c>
      <c r="G2698" s="289">
        <v>900</v>
      </c>
      <c r="H2698" s="289">
        <v>0</v>
      </c>
      <c r="I2698" s="289">
        <v>90</v>
      </c>
      <c r="J2698" s="289">
        <v>50</v>
      </c>
      <c r="K2698" s="289">
        <v>5</v>
      </c>
      <c r="L2698" s="289">
        <v>1045</v>
      </c>
    </row>
    <row r="2699" spans="1:12">
      <c r="A2699" s="288" t="s">
        <v>3547</v>
      </c>
      <c r="B2699" s="288" t="s">
        <v>3546</v>
      </c>
      <c r="C2699" s="288" t="s">
        <v>829</v>
      </c>
      <c r="D2699" s="288" t="s">
        <v>818</v>
      </c>
      <c r="E2699" s="289">
        <v>10</v>
      </c>
      <c r="F2699" s="290">
        <v>3</v>
      </c>
      <c r="G2699" s="289">
        <v>900</v>
      </c>
      <c r="H2699" s="289">
        <v>0</v>
      </c>
      <c r="I2699" s="289">
        <v>90</v>
      </c>
      <c r="J2699" s="289">
        <v>70</v>
      </c>
      <c r="K2699" s="289">
        <v>7</v>
      </c>
      <c r="L2699" s="289">
        <v>1067</v>
      </c>
    </row>
    <row r="2700" spans="1:12">
      <c r="A2700" s="288" t="s">
        <v>3548</v>
      </c>
      <c r="B2700" s="288" t="s">
        <v>3546</v>
      </c>
      <c r="C2700" s="288" t="s">
        <v>820</v>
      </c>
      <c r="D2700" s="288" t="s">
        <v>818</v>
      </c>
      <c r="E2700" s="289">
        <v>10</v>
      </c>
      <c r="F2700" s="290">
        <v>25</v>
      </c>
      <c r="G2700" s="289">
        <v>1100</v>
      </c>
      <c r="H2700" s="289">
        <v>1650</v>
      </c>
      <c r="I2700" s="289">
        <v>275</v>
      </c>
      <c r="J2700" s="289">
        <v>70</v>
      </c>
      <c r="K2700" s="289">
        <v>7</v>
      </c>
      <c r="L2700" s="289">
        <v>3102</v>
      </c>
    </row>
    <row r="2701" spans="1:12">
      <c r="A2701" s="288" t="s">
        <v>3549</v>
      </c>
      <c r="B2701" s="288" t="s">
        <v>3546</v>
      </c>
      <c r="C2701" s="288" t="s">
        <v>829</v>
      </c>
      <c r="D2701" s="288" t="s">
        <v>818</v>
      </c>
      <c r="E2701" s="289">
        <v>10</v>
      </c>
      <c r="F2701" s="290">
        <v>1</v>
      </c>
      <c r="G2701" s="289">
        <v>900</v>
      </c>
      <c r="H2701" s="289">
        <v>0</v>
      </c>
      <c r="I2701" s="289">
        <v>90</v>
      </c>
      <c r="J2701" s="289">
        <v>70</v>
      </c>
      <c r="K2701" s="289">
        <v>7</v>
      </c>
      <c r="L2701" s="289">
        <v>1067</v>
      </c>
    </row>
    <row r="2702" spans="1:12">
      <c r="A2702" s="288" t="s">
        <v>3550</v>
      </c>
      <c r="B2702" s="288" t="s">
        <v>3546</v>
      </c>
      <c r="C2702" s="288" t="s">
        <v>820</v>
      </c>
      <c r="D2702" s="288" t="s">
        <v>818</v>
      </c>
      <c r="E2702" s="289">
        <v>10</v>
      </c>
      <c r="F2702" s="290">
        <v>0</v>
      </c>
      <c r="G2702" s="289">
        <v>900</v>
      </c>
      <c r="H2702" s="289">
        <v>0</v>
      </c>
      <c r="I2702" s="289">
        <v>90</v>
      </c>
      <c r="J2702" s="289">
        <v>70</v>
      </c>
      <c r="K2702" s="289">
        <v>7</v>
      </c>
      <c r="L2702" s="289">
        <v>1067</v>
      </c>
    </row>
    <row r="2703" spans="1:12">
      <c r="A2703" s="288" t="s">
        <v>3551</v>
      </c>
      <c r="B2703" s="288" t="s">
        <v>3546</v>
      </c>
      <c r="C2703" s="288" t="s">
        <v>820</v>
      </c>
      <c r="D2703" s="288" t="s">
        <v>815</v>
      </c>
      <c r="E2703" s="289">
        <v>10</v>
      </c>
      <c r="F2703" s="290">
        <v>0</v>
      </c>
      <c r="G2703" s="289">
        <v>900</v>
      </c>
      <c r="H2703" s="289">
        <v>0</v>
      </c>
      <c r="I2703" s="289">
        <v>90</v>
      </c>
      <c r="J2703" s="289">
        <v>50</v>
      </c>
      <c r="K2703" s="289">
        <v>5</v>
      </c>
      <c r="L2703" s="289">
        <v>1045</v>
      </c>
    </row>
    <row r="2704" spans="1:12">
      <c r="A2704" s="288" t="s">
        <v>3552</v>
      </c>
      <c r="B2704" s="288" t="s">
        <v>3546</v>
      </c>
      <c r="C2704" s="288" t="s">
        <v>814</v>
      </c>
      <c r="D2704" s="288" t="s">
        <v>818</v>
      </c>
      <c r="E2704" s="289">
        <v>10</v>
      </c>
      <c r="F2704" s="290">
        <v>35</v>
      </c>
      <c r="G2704" s="289">
        <v>1100</v>
      </c>
      <c r="H2704" s="289">
        <v>2750</v>
      </c>
      <c r="I2704" s="289">
        <v>385</v>
      </c>
      <c r="J2704" s="289">
        <v>70</v>
      </c>
      <c r="K2704" s="289">
        <v>7</v>
      </c>
      <c r="L2704" s="289">
        <v>4312</v>
      </c>
    </row>
    <row r="2705" spans="1:12">
      <c r="A2705" s="288" t="s">
        <v>3553</v>
      </c>
      <c r="B2705" s="288" t="s">
        <v>3546</v>
      </c>
      <c r="C2705" s="288" t="s">
        <v>814</v>
      </c>
      <c r="D2705" s="288" t="s">
        <v>818</v>
      </c>
      <c r="E2705" s="289">
        <v>10</v>
      </c>
      <c r="F2705" s="290">
        <v>16</v>
      </c>
      <c r="G2705" s="289">
        <v>1100</v>
      </c>
      <c r="H2705" s="289">
        <v>660</v>
      </c>
      <c r="I2705" s="289">
        <v>176</v>
      </c>
      <c r="J2705" s="289">
        <v>70</v>
      </c>
      <c r="K2705" s="289">
        <v>7</v>
      </c>
      <c r="L2705" s="289">
        <v>2013</v>
      </c>
    </row>
    <row r="2706" spans="1:12">
      <c r="A2706" s="288" t="s">
        <v>3554</v>
      </c>
      <c r="B2706" s="288" t="s">
        <v>3546</v>
      </c>
      <c r="C2706" s="288" t="s">
        <v>814</v>
      </c>
      <c r="D2706" s="288" t="s">
        <v>818</v>
      </c>
      <c r="E2706" s="289">
        <v>10</v>
      </c>
      <c r="F2706" s="290">
        <v>0</v>
      </c>
      <c r="G2706" s="289">
        <v>900</v>
      </c>
      <c r="H2706" s="289">
        <v>0</v>
      </c>
      <c r="I2706" s="289">
        <v>90</v>
      </c>
      <c r="J2706" s="289">
        <v>70</v>
      </c>
      <c r="K2706" s="289">
        <v>7</v>
      </c>
      <c r="L2706" s="289">
        <v>1067</v>
      </c>
    </row>
    <row r="2707" spans="1:12">
      <c r="A2707" s="288" t="s">
        <v>3555</v>
      </c>
      <c r="B2707" s="288" t="s">
        <v>3546</v>
      </c>
      <c r="C2707" s="288" t="s">
        <v>814</v>
      </c>
      <c r="D2707" s="288" t="s">
        <v>818</v>
      </c>
      <c r="E2707" s="289">
        <v>10</v>
      </c>
      <c r="F2707" s="290">
        <v>20</v>
      </c>
      <c r="G2707" s="289">
        <v>1100</v>
      </c>
      <c r="H2707" s="289">
        <v>1100</v>
      </c>
      <c r="I2707" s="289">
        <v>220</v>
      </c>
      <c r="J2707" s="289">
        <v>70</v>
      </c>
      <c r="K2707" s="289">
        <v>7</v>
      </c>
      <c r="L2707" s="289">
        <v>2497</v>
      </c>
    </row>
    <row r="2708" spans="1:12">
      <c r="A2708" s="288" t="s">
        <v>3556</v>
      </c>
      <c r="B2708" s="288" t="s">
        <v>3546</v>
      </c>
      <c r="C2708" s="288" t="s">
        <v>814</v>
      </c>
      <c r="D2708" s="288" t="s">
        <v>818</v>
      </c>
      <c r="E2708" s="289">
        <v>10</v>
      </c>
      <c r="F2708" s="290">
        <v>25</v>
      </c>
      <c r="G2708" s="289">
        <v>1100</v>
      </c>
      <c r="H2708" s="289">
        <v>1650</v>
      </c>
      <c r="I2708" s="289">
        <v>275</v>
      </c>
      <c r="J2708" s="289">
        <v>70</v>
      </c>
      <c r="K2708" s="289">
        <v>7</v>
      </c>
      <c r="L2708" s="289">
        <v>3102</v>
      </c>
    </row>
    <row r="2709" spans="1:12">
      <c r="A2709" s="288" t="s">
        <v>3557</v>
      </c>
      <c r="B2709" s="288" t="s">
        <v>3546</v>
      </c>
      <c r="C2709" s="288" t="s">
        <v>814</v>
      </c>
      <c r="D2709" s="288" t="s">
        <v>818</v>
      </c>
      <c r="E2709" s="289">
        <v>10</v>
      </c>
      <c r="F2709" s="290">
        <v>35</v>
      </c>
      <c r="G2709" s="289">
        <v>1100</v>
      </c>
      <c r="H2709" s="289">
        <v>2750</v>
      </c>
      <c r="I2709" s="289">
        <v>385</v>
      </c>
      <c r="J2709" s="289">
        <v>70</v>
      </c>
      <c r="K2709" s="289">
        <v>7</v>
      </c>
      <c r="L2709" s="289">
        <v>4312</v>
      </c>
    </row>
    <row r="2710" spans="1:12">
      <c r="A2710" s="288" t="s">
        <v>3558</v>
      </c>
      <c r="B2710" s="288" t="s">
        <v>3546</v>
      </c>
      <c r="C2710" s="288" t="s">
        <v>814</v>
      </c>
      <c r="D2710" s="288" t="s">
        <v>818</v>
      </c>
      <c r="E2710" s="289">
        <v>10</v>
      </c>
      <c r="F2710" s="290">
        <v>53</v>
      </c>
      <c r="G2710" s="289">
        <v>1100</v>
      </c>
      <c r="H2710" s="289">
        <v>4730</v>
      </c>
      <c r="I2710" s="289">
        <v>583</v>
      </c>
      <c r="J2710" s="289">
        <v>70</v>
      </c>
      <c r="K2710" s="289">
        <v>7</v>
      </c>
      <c r="L2710" s="289">
        <v>6490</v>
      </c>
    </row>
    <row r="2711" spans="1:12">
      <c r="A2711" s="288" t="s">
        <v>3559</v>
      </c>
      <c r="B2711" s="288" t="s">
        <v>3546</v>
      </c>
      <c r="C2711" s="288" t="s">
        <v>814</v>
      </c>
      <c r="D2711" s="288" t="s">
        <v>818</v>
      </c>
      <c r="E2711" s="289">
        <v>10</v>
      </c>
      <c r="F2711" s="290">
        <v>10</v>
      </c>
      <c r="G2711" s="289">
        <v>1100</v>
      </c>
      <c r="H2711" s="289">
        <v>0</v>
      </c>
      <c r="I2711" s="289">
        <v>110</v>
      </c>
      <c r="J2711" s="289">
        <v>70</v>
      </c>
      <c r="K2711" s="289">
        <v>7</v>
      </c>
      <c r="L2711" s="289">
        <v>1287</v>
      </c>
    </row>
    <row r="2712" spans="1:12">
      <c r="A2712" s="288" t="s">
        <v>3560</v>
      </c>
      <c r="B2712" s="288" t="s">
        <v>3546</v>
      </c>
      <c r="C2712" s="288" t="s">
        <v>814</v>
      </c>
      <c r="D2712" s="288" t="s">
        <v>818</v>
      </c>
      <c r="E2712" s="289">
        <v>10</v>
      </c>
      <c r="F2712" s="290">
        <v>20</v>
      </c>
      <c r="G2712" s="289">
        <v>1100</v>
      </c>
      <c r="H2712" s="289">
        <v>1100</v>
      </c>
      <c r="I2712" s="289">
        <v>220</v>
      </c>
      <c r="J2712" s="289">
        <v>70</v>
      </c>
      <c r="K2712" s="289">
        <v>7</v>
      </c>
      <c r="L2712" s="289">
        <v>2497</v>
      </c>
    </row>
    <row r="2713" spans="1:12">
      <c r="A2713" s="288" t="s">
        <v>3561</v>
      </c>
      <c r="B2713" s="288" t="s">
        <v>3546</v>
      </c>
      <c r="C2713" s="288" t="s">
        <v>814</v>
      </c>
      <c r="D2713" s="288" t="s">
        <v>818</v>
      </c>
      <c r="E2713" s="289">
        <v>10</v>
      </c>
      <c r="F2713" s="290">
        <v>27</v>
      </c>
      <c r="G2713" s="289">
        <v>1100</v>
      </c>
      <c r="H2713" s="289">
        <v>1870</v>
      </c>
      <c r="I2713" s="289">
        <v>297</v>
      </c>
      <c r="J2713" s="289">
        <v>70</v>
      </c>
      <c r="K2713" s="289">
        <v>7</v>
      </c>
      <c r="L2713" s="289">
        <v>3344</v>
      </c>
    </row>
    <row r="2714" spans="1:12">
      <c r="A2714" s="288" t="s">
        <v>3562</v>
      </c>
      <c r="B2714" s="288" t="s">
        <v>3546</v>
      </c>
      <c r="C2714" s="288" t="s">
        <v>814</v>
      </c>
      <c r="D2714" s="288" t="s">
        <v>818</v>
      </c>
      <c r="E2714" s="289">
        <v>10</v>
      </c>
      <c r="F2714" s="290">
        <v>22</v>
      </c>
      <c r="G2714" s="289">
        <v>1100</v>
      </c>
      <c r="H2714" s="289">
        <v>1320</v>
      </c>
      <c r="I2714" s="289">
        <v>242</v>
      </c>
      <c r="J2714" s="289">
        <v>70</v>
      </c>
      <c r="K2714" s="289">
        <v>7</v>
      </c>
      <c r="L2714" s="289">
        <v>2739</v>
      </c>
    </row>
    <row r="2715" spans="1:12">
      <c r="A2715" s="288" t="s">
        <v>3563</v>
      </c>
      <c r="B2715" s="288" t="s">
        <v>3546</v>
      </c>
      <c r="C2715" s="288" t="s">
        <v>814</v>
      </c>
      <c r="D2715" s="288" t="s">
        <v>818</v>
      </c>
      <c r="E2715" s="289">
        <v>10</v>
      </c>
      <c r="F2715" s="290">
        <v>26</v>
      </c>
      <c r="G2715" s="289">
        <v>1100</v>
      </c>
      <c r="H2715" s="289">
        <v>1760</v>
      </c>
      <c r="I2715" s="289">
        <v>286</v>
      </c>
      <c r="J2715" s="289">
        <v>70</v>
      </c>
      <c r="K2715" s="289">
        <v>7</v>
      </c>
      <c r="L2715" s="289">
        <v>3223</v>
      </c>
    </row>
    <row r="2716" spans="1:12">
      <c r="A2716" s="288" t="s">
        <v>3564</v>
      </c>
      <c r="B2716" s="288" t="s">
        <v>3546</v>
      </c>
      <c r="C2716" s="288" t="s">
        <v>814</v>
      </c>
      <c r="D2716" s="288" t="s">
        <v>818</v>
      </c>
      <c r="E2716" s="289">
        <v>10</v>
      </c>
      <c r="F2716" s="290">
        <v>13</v>
      </c>
      <c r="G2716" s="289">
        <v>1100</v>
      </c>
      <c r="H2716" s="289">
        <v>330</v>
      </c>
      <c r="I2716" s="289">
        <v>143</v>
      </c>
      <c r="J2716" s="289">
        <v>70</v>
      </c>
      <c r="K2716" s="289">
        <v>7</v>
      </c>
      <c r="L2716" s="289">
        <v>1650</v>
      </c>
    </row>
    <row r="2717" spans="1:12">
      <c r="A2717" s="288" t="s">
        <v>3565</v>
      </c>
      <c r="B2717" s="288" t="s">
        <v>3546</v>
      </c>
      <c r="C2717" s="288" t="s">
        <v>814</v>
      </c>
      <c r="D2717" s="288" t="s">
        <v>818</v>
      </c>
      <c r="E2717" s="289">
        <v>10</v>
      </c>
      <c r="F2717" s="290">
        <v>6</v>
      </c>
      <c r="G2717" s="289">
        <v>1100</v>
      </c>
      <c r="H2717" s="289">
        <v>0</v>
      </c>
      <c r="I2717" s="289">
        <v>110</v>
      </c>
      <c r="J2717" s="289">
        <v>70</v>
      </c>
      <c r="K2717" s="289">
        <v>7</v>
      </c>
      <c r="L2717" s="289">
        <v>1287</v>
      </c>
    </row>
    <row r="2718" spans="1:12">
      <c r="A2718" s="288" t="s">
        <v>3566</v>
      </c>
      <c r="B2718" s="288" t="s">
        <v>3546</v>
      </c>
      <c r="C2718" s="288" t="s">
        <v>829</v>
      </c>
      <c r="D2718" s="288" t="s">
        <v>818</v>
      </c>
      <c r="E2718" s="289">
        <v>10</v>
      </c>
      <c r="F2718" s="290">
        <v>0</v>
      </c>
      <c r="G2718" s="289">
        <v>900</v>
      </c>
      <c r="H2718" s="289">
        <v>0</v>
      </c>
      <c r="I2718" s="289">
        <v>90</v>
      </c>
      <c r="J2718" s="289">
        <v>70</v>
      </c>
      <c r="K2718" s="289">
        <v>7</v>
      </c>
      <c r="L2718" s="289">
        <v>1067</v>
      </c>
    </row>
    <row r="2719" spans="1:12">
      <c r="A2719" s="288" t="s">
        <v>3567</v>
      </c>
      <c r="B2719" s="288" t="s">
        <v>3546</v>
      </c>
      <c r="C2719" s="288" t="s">
        <v>829</v>
      </c>
      <c r="D2719" s="288" t="s">
        <v>818</v>
      </c>
      <c r="E2719" s="289">
        <v>10</v>
      </c>
      <c r="F2719" s="290">
        <v>1</v>
      </c>
      <c r="G2719" s="289">
        <v>900</v>
      </c>
      <c r="H2719" s="289">
        <v>0</v>
      </c>
      <c r="I2719" s="289">
        <v>90</v>
      </c>
      <c r="J2719" s="289">
        <v>70</v>
      </c>
      <c r="K2719" s="289">
        <v>7</v>
      </c>
      <c r="L2719" s="289">
        <v>1067</v>
      </c>
    </row>
    <row r="2720" spans="1:12">
      <c r="A2720" s="288" t="s">
        <v>3568</v>
      </c>
      <c r="B2720" s="288" t="s">
        <v>3546</v>
      </c>
      <c r="C2720" s="288" t="s">
        <v>820</v>
      </c>
      <c r="D2720" s="288" t="s">
        <v>818</v>
      </c>
      <c r="E2720" s="289">
        <v>10</v>
      </c>
      <c r="F2720" s="290">
        <v>2</v>
      </c>
      <c r="G2720" s="289">
        <v>900</v>
      </c>
      <c r="H2720" s="289">
        <v>0</v>
      </c>
      <c r="I2720" s="289">
        <v>90</v>
      </c>
      <c r="J2720" s="289">
        <v>70</v>
      </c>
      <c r="K2720" s="289">
        <v>7</v>
      </c>
      <c r="L2720" s="289">
        <v>1067</v>
      </c>
    </row>
    <row r="2721" spans="1:12">
      <c r="A2721" s="288" t="s">
        <v>3569</v>
      </c>
      <c r="B2721" s="288" t="s">
        <v>3570</v>
      </c>
      <c r="C2721" s="288" t="s">
        <v>814</v>
      </c>
      <c r="D2721" s="288" t="s">
        <v>818</v>
      </c>
      <c r="E2721" s="289">
        <v>10</v>
      </c>
      <c r="F2721" s="290">
        <v>22</v>
      </c>
      <c r="G2721" s="289">
        <v>1100</v>
      </c>
      <c r="H2721" s="289">
        <v>1320</v>
      </c>
      <c r="I2721" s="289">
        <v>242</v>
      </c>
      <c r="J2721" s="289">
        <v>70</v>
      </c>
      <c r="K2721" s="289">
        <v>7</v>
      </c>
      <c r="L2721" s="289">
        <v>2739</v>
      </c>
    </row>
    <row r="2722" spans="1:12">
      <c r="A2722" s="288" t="s">
        <v>3571</v>
      </c>
      <c r="B2722" s="288" t="s">
        <v>3570</v>
      </c>
      <c r="C2722" s="288" t="s">
        <v>814</v>
      </c>
      <c r="D2722" s="288" t="s">
        <v>818</v>
      </c>
      <c r="E2722" s="289">
        <v>10</v>
      </c>
      <c r="F2722" s="290">
        <v>28</v>
      </c>
      <c r="G2722" s="289">
        <v>1100</v>
      </c>
      <c r="H2722" s="289">
        <v>1980</v>
      </c>
      <c r="I2722" s="289">
        <v>308</v>
      </c>
      <c r="J2722" s="289">
        <v>70</v>
      </c>
      <c r="K2722" s="289">
        <v>7</v>
      </c>
      <c r="L2722" s="289">
        <v>3465</v>
      </c>
    </row>
    <row r="2723" spans="1:12">
      <c r="A2723" s="288" t="s">
        <v>3572</v>
      </c>
      <c r="B2723" s="288" t="s">
        <v>3570</v>
      </c>
      <c r="C2723" s="288" t="s">
        <v>820</v>
      </c>
      <c r="D2723" s="288" t="s">
        <v>815</v>
      </c>
      <c r="E2723" s="289">
        <v>10</v>
      </c>
      <c r="F2723" s="290">
        <v>0</v>
      </c>
      <c r="G2723" s="289">
        <v>900</v>
      </c>
      <c r="H2723" s="289">
        <v>0</v>
      </c>
      <c r="I2723" s="289">
        <v>90</v>
      </c>
      <c r="J2723" s="289">
        <v>50</v>
      </c>
      <c r="K2723" s="289">
        <v>5</v>
      </c>
      <c r="L2723" s="289">
        <v>1045</v>
      </c>
    </row>
    <row r="2724" spans="1:12">
      <c r="A2724" s="288" t="s">
        <v>3573</v>
      </c>
      <c r="B2724" s="288" t="s">
        <v>3570</v>
      </c>
      <c r="C2724" s="288" t="s">
        <v>829</v>
      </c>
      <c r="D2724" s="288" t="s">
        <v>815</v>
      </c>
      <c r="E2724" s="289">
        <v>10</v>
      </c>
      <c r="F2724" s="290">
        <v>2</v>
      </c>
      <c r="G2724" s="289">
        <v>900</v>
      </c>
      <c r="H2724" s="289">
        <v>0</v>
      </c>
      <c r="I2724" s="289">
        <v>90</v>
      </c>
      <c r="J2724" s="289">
        <v>50</v>
      </c>
      <c r="K2724" s="289">
        <v>5</v>
      </c>
      <c r="L2724" s="289">
        <v>1045</v>
      </c>
    </row>
    <row r="2725" spans="1:12">
      <c r="A2725" s="288" t="s">
        <v>3574</v>
      </c>
      <c r="B2725" s="288" t="s">
        <v>3570</v>
      </c>
      <c r="C2725" s="288" t="s">
        <v>829</v>
      </c>
      <c r="D2725" s="288" t="s">
        <v>822</v>
      </c>
      <c r="E2725" s="289">
        <v>10</v>
      </c>
      <c r="F2725" s="290">
        <v>1306</v>
      </c>
      <c r="G2725" s="289">
        <v>1100</v>
      </c>
      <c r="H2725" s="289">
        <v>130500</v>
      </c>
      <c r="I2725" s="289">
        <v>13160</v>
      </c>
      <c r="J2725" s="289">
        <v>200</v>
      </c>
      <c r="K2725" s="289">
        <v>20</v>
      </c>
      <c r="L2725" s="289">
        <v>144980</v>
      </c>
    </row>
    <row r="2726" spans="1:12">
      <c r="A2726" s="288" t="s">
        <v>3575</v>
      </c>
      <c r="B2726" s="288" t="s">
        <v>3570</v>
      </c>
      <c r="C2726" s="288" t="s">
        <v>814</v>
      </c>
      <c r="D2726" s="288" t="s">
        <v>818</v>
      </c>
      <c r="E2726" s="289">
        <v>10</v>
      </c>
      <c r="F2726" s="290">
        <v>15</v>
      </c>
      <c r="G2726" s="289">
        <v>1100</v>
      </c>
      <c r="H2726" s="289">
        <v>550</v>
      </c>
      <c r="I2726" s="289">
        <v>165</v>
      </c>
      <c r="J2726" s="289">
        <v>70</v>
      </c>
      <c r="K2726" s="289">
        <v>7</v>
      </c>
      <c r="L2726" s="289">
        <v>1892</v>
      </c>
    </row>
    <row r="2727" spans="1:12">
      <c r="A2727" s="288" t="s">
        <v>3576</v>
      </c>
      <c r="B2727" s="288" t="s">
        <v>3570</v>
      </c>
      <c r="C2727" s="288" t="s">
        <v>814</v>
      </c>
      <c r="D2727" s="288" t="s">
        <v>818</v>
      </c>
      <c r="E2727" s="289">
        <v>10</v>
      </c>
      <c r="F2727" s="290">
        <v>0</v>
      </c>
      <c r="G2727" s="289">
        <v>900</v>
      </c>
      <c r="H2727" s="289">
        <v>0</v>
      </c>
      <c r="I2727" s="289">
        <v>90</v>
      </c>
      <c r="J2727" s="289">
        <v>70</v>
      </c>
      <c r="K2727" s="289">
        <v>7</v>
      </c>
      <c r="L2727" s="289">
        <v>1067</v>
      </c>
    </row>
    <row r="2728" spans="1:12">
      <c r="A2728" s="288" t="s">
        <v>3577</v>
      </c>
      <c r="B2728" s="288" t="s">
        <v>3570</v>
      </c>
      <c r="C2728" s="288" t="s">
        <v>814</v>
      </c>
      <c r="D2728" s="288" t="s">
        <v>826</v>
      </c>
      <c r="E2728" s="289">
        <v>10</v>
      </c>
      <c r="F2728" s="290">
        <v>96</v>
      </c>
      <c r="G2728" s="289">
        <v>1100</v>
      </c>
      <c r="H2728" s="289">
        <v>9460</v>
      </c>
      <c r="I2728" s="289">
        <v>1056</v>
      </c>
      <c r="J2728" s="289">
        <v>100</v>
      </c>
      <c r="K2728" s="289">
        <v>10</v>
      </c>
      <c r="L2728" s="289">
        <v>11726</v>
      </c>
    </row>
    <row r="2729" spans="1:12">
      <c r="A2729" s="288" t="s">
        <v>3578</v>
      </c>
      <c r="B2729" s="288" t="s">
        <v>3570</v>
      </c>
      <c r="C2729" s="288" t="s">
        <v>814</v>
      </c>
      <c r="D2729" s="288" t="s">
        <v>818</v>
      </c>
      <c r="E2729" s="289">
        <v>10</v>
      </c>
      <c r="F2729" s="290">
        <v>55</v>
      </c>
      <c r="G2729" s="289">
        <v>1100</v>
      </c>
      <c r="H2729" s="289">
        <v>4950</v>
      </c>
      <c r="I2729" s="289">
        <v>605</v>
      </c>
      <c r="J2729" s="289">
        <v>70</v>
      </c>
      <c r="K2729" s="289">
        <v>7</v>
      </c>
      <c r="L2729" s="289">
        <v>6732</v>
      </c>
    </row>
    <row r="2730" spans="1:12">
      <c r="A2730" s="288" t="s">
        <v>3579</v>
      </c>
      <c r="B2730" s="288" t="s">
        <v>3570</v>
      </c>
      <c r="C2730" s="288" t="s">
        <v>814</v>
      </c>
      <c r="D2730" s="288" t="s">
        <v>818</v>
      </c>
      <c r="E2730" s="289">
        <v>10</v>
      </c>
      <c r="F2730" s="290">
        <v>55</v>
      </c>
      <c r="G2730" s="289">
        <v>1100</v>
      </c>
      <c r="H2730" s="289">
        <v>4950</v>
      </c>
      <c r="I2730" s="289">
        <v>605</v>
      </c>
      <c r="J2730" s="289">
        <v>70</v>
      </c>
      <c r="K2730" s="289">
        <v>7</v>
      </c>
      <c r="L2730" s="289">
        <v>6732</v>
      </c>
    </row>
    <row r="2731" spans="1:12">
      <c r="A2731" s="288" t="s">
        <v>3580</v>
      </c>
      <c r="B2731" s="288" t="s">
        <v>3570</v>
      </c>
      <c r="C2731" s="288" t="s">
        <v>814</v>
      </c>
      <c r="D2731" s="288" t="s">
        <v>818</v>
      </c>
      <c r="E2731" s="289">
        <v>10</v>
      </c>
      <c r="F2731" s="290">
        <v>13</v>
      </c>
      <c r="G2731" s="289">
        <v>1100</v>
      </c>
      <c r="H2731" s="289">
        <v>330</v>
      </c>
      <c r="I2731" s="289">
        <v>143</v>
      </c>
      <c r="J2731" s="289">
        <v>70</v>
      </c>
      <c r="K2731" s="289">
        <v>7</v>
      </c>
      <c r="L2731" s="289">
        <v>1650</v>
      </c>
    </row>
    <row r="2732" spans="1:12">
      <c r="A2732" s="288" t="s">
        <v>3581</v>
      </c>
      <c r="B2732" s="288" t="s">
        <v>3570</v>
      </c>
      <c r="C2732" s="288" t="s">
        <v>814</v>
      </c>
      <c r="D2732" s="288" t="s">
        <v>818</v>
      </c>
      <c r="E2732" s="289">
        <v>10</v>
      </c>
      <c r="F2732" s="290">
        <v>5</v>
      </c>
      <c r="G2732" s="289">
        <v>900</v>
      </c>
      <c r="H2732" s="289">
        <v>0</v>
      </c>
      <c r="I2732" s="289">
        <v>90</v>
      </c>
      <c r="J2732" s="289">
        <v>70</v>
      </c>
      <c r="K2732" s="289">
        <v>7</v>
      </c>
      <c r="L2732" s="289">
        <v>1067</v>
      </c>
    </row>
    <row r="2733" spans="1:12">
      <c r="A2733" s="288" t="s">
        <v>3582</v>
      </c>
      <c r="B2733" s="288" t="s">
        <v>3570</v>
      </c>
      <c r="C2733" s="288" t="s">
        <v>814</v>
      </c>
      <c r="D2733" s="288" t="s">
        <v>818</v>
      </c>
      <c r="E2733" s="289">
        <v>10</v>
      </c>
      <c r="F2733" s="290">
        <v>19</v>
      </c>
      <c r="G2733" s="289">
        <v>1100</v>
      </c>
      <c r="H2733" s="289">
        <v>990</v>
      </c>
      <c r="I2733" s="289">
        <v>209</v>
      </c>
      <c r="J2733" s="289">
        <v>70</v>
      </c>
      <c r="K2733" s="289">
        <v>7</v>
      </c>
      <c r="L2733" s="289">
        <v>2376</v>
      </c>
    </row>
    <row r="2734" spans="1:12">
      <c r="A2734" s="288" t="s">
        <v>3583</v>
      </c>
      <c r="B2734" s="288" t="s">
        <v>3570</v>
      </c>
      <c r="C2734" s="288" t="s">
        <v>814</v>
      </c>
      <c r="D2734" s="288" t="s">
        <v>818</v>
      </c>
      <c r="E2734" s="289">
        <v>10</v>
      </c>
      <c r="F2734" s="290">
        <v>24</v>
      </c>
      <c r="G2734" s="289">
        <v>1100</v>
      </c>
      <c r="H2734" s="289">
        <v>1540</v>
      </c>
      <c r="I2734" s="289">
        <v>264</v>
      </c>
      <c r="J2734" s="289">
        <v>70</v>
      </c>
      <c r="K2734" s="289">
        <v>7</v>
      </c>
      <c r="L2734" s="289">
        <v>2981</v>
      </c>
    </row>
    <row r="2735" spans="1:12">
      <c r="A2735" s="288" t="s">
        <v>3584</v>
      </c>
      <c r="B2735" s="288" t="s">
        <v>3570</v>
      </c>
      <c r="C2735" s="288" t="s">
        <v>829</v>
      </c>
      <c r="D2735" s="288" t="s">
        <v>818</v>
      </c>
      <c r="E2735" s="289">
        <v>10</v>
      </c>
      <c r="F2735" s="290">
        <v>0</v>
      </c>
      <c r="G2735" s="289">
        <v>900</v>
      </c>
      <c r="H2735" s="289">
        <v>0</v>
      </c>
      <c r="I2735" s="289">
        <v>90</v>
      </c>
      <c r="J2735" s="289">
        <v>70</v>
      </c>
      <c r="K2735" s="289">
        <v>7</v>
      </c>
      <c r="L2735" s="289">
        <v>1067</v>
      </c>
    </row>
    <row r="2736" spans="1:12">
      <c r="A2736" s="288" t="s">
        <v>3585</v>
      </c>
      <c r="B2736" s="288" t="s">
        <v>3570</v>
      </c>
      <c r="C2736" s="288" t="s">
        <v>829</v>
      </c>
      <c r="D2736" s="288" t="s">
        <v>818</v>
      </c>
      <c r="E2736" s="289">
        <v>10</v>
      </c>
      <c r="F2736" s="290">
        <v>2</v>
      </c>
      <c r="G2736" s="289">
        <v>900</v>
      </c>
      <c r="H2736" s="289">
        <v>0</v>
      </c>
      <c r="I2736" s="289">
        <v>90</v>
      </c>
      <c r="J2736" s="289">
        <v>70</v>
      </c>
      <c r="K2736" s="289">
        <v>7</v>
      </c>
      <c r="L2736" s="289">
        <v>1067</v>
      </c>
    </row>
    <row r="2737" spans="1:12">
      <c r="A2737" s="288" t="s">
        <v>3586</v>
      </c>
      <c r="B2737" s="288" t="s">
        <v>3587</v>
      </c>
      <c r="C2737" s="288" t="s">
        <v>829</v>
      </c>
      <c r="D2737" s="288" t="s">
        <v>818</v>
      </c>
      <c r="E2737" s="289">
        <v>10</v>
      </c>
      <c r="F2737" s="290">
        <v>0</v>
      </c>
      <c r="G2737" s="289">
        <v>900</v>
      </c>
      <c r="H2737" s="289">
        <v>0</v>
      </c>
      <c r="I2737" s="289">
        <v>90</v>
      </c>
      <c r="J2737" s="289">
        <v>70</v>
      </c>
      <c r="K2737" s="289">
        <v>7</v>
      </c>
      <c r="L2737" s="289">
        <v>1067</v>
      </c>
    </row>
    <row r="2738" spans="1:12">
      <c r="A2738" s="288" t="s">
        <v>3588</v>
      </c>
      <c r="B2738" s="288" t="s">
        <v>3587</v>
      </c>
      <c r="C2738" s="288" t="s">
        <v>820</v>
      </c>
      <c r="D2738" s="288" t="s">
        <v>826</v>
      </c>
      <c r="E2738" s="289">
        <v>10</v>
      </c>
      <c r="F2738" s="290">
        <v>139</v>
      </c>
      <c r="G2738" s="289">
        <v>1100</v>
      </c>
      <c r="H2738" s="289">
        <v>13800</v>
      </c>
      <c r="I2738" s="289">
        <v>1490</v>
      </c>
      <c r="J2738" s="289">
        <v>100</v>
      </c>
      <c r="K2738" s="289">
        <v>10</v>
      </c>
      <c r="L2738" s="289">
        <v>16500</v>
      </c>
    </row>
    <row r="2739" spans="1:12">
      <c r="A2739" s="288" t="s">
        <v>3589</v>
      </c>
      <c r="B2739" s="288" t="s">
        <v>3587</v>
      </c>
      <c r="C2739" s="288" t="s">
        <v>820</v>
      </c>
      <c r="D2739" s="288" t="s">
        <v>826</v>
      </c>
      <c r="E2739" s="289">
        <v>10</v>
      </c>
      <c r="F2739" s="290">
        <v>219</v>
      </c>
      <c r="G2739" s="289">
        <v>1100</v>
      </c>
      <c r="H2739" s="289">
        <v>21800</v>
      </c>
      <c r="I2739" s="289">
        <v>2290</v>
      </c>
      <c r="J2739" s="289">
        <v>100</v>
      </c>
      <c r="K2739" s="289">
        <v>10</v>
      </c>
      <c r="L2739" s="289">
        <v>25300</v>
      </c>
    </row>
    <row r="2740" spans="1:12">
      <c r="A2740" s="288" t="s">
        <v>3590</v>
      </c>
      <c r="B2740" s="288" t="s">
        <v>3587</v>
      </c>
      <c r="C2740" s="288" t="s">
        <v>814</v>
      </c>
      <c r="D2740" s="288" t="s">
        <v>815</v>
      </c>
      <c r="E2740" s="289">
        <v>10</v>
      </c>
      <c r="F2740" s="290">
        <v>0</v>
      </c>
      <c r="G2740" s="289">
        <v>900</v>
      </c>
      <c r="H2740" s="289">
        <v>0</v>
      </c>
      <c r="I2740" s="289">
        <v>90</v>
      </c>
      <c r="J2740" s="289">
        <v>50</v>
      </c>
      <c r="K2740" s="289">
        <v>5</v>
      </c>
      <c r="L2740" s="289">
        <v>1045</v>
      </c>
    </row>
    <row r="2741" spans="1:12">
      <c r="A2741" s="288" t="s">
        <v>3591</v>
      </c>
      <c r="B2741" s="288" t="s">
        <v>3587</v>
      </c>
      <c r="C2741" s="288" t="s">
        <v>814</v>
      </c>
      <c r="D2741" s="288" t="s">
        <v>815</v>
      </c>
      <c r="E2741" s="289">
        <v>10</v>
      </c>
      <c r="F2741" s="290">
        <v>21</v>
      </c>
      <c r="G2741" s="289">
        <v>1100</v>
      </c>
      <c r="H2741" s="289">
        <v>1210</v>
      </c>
      <c r="I2741" s="289">
        <v>231</v>
      </c>
      <c r="J2741" s="289">
        <v>50</v>
      </c>
      <c r="K2741" s="289">
        <v>5</v>
      </c>
      <c r="L2741" s="289">
        <v>2596</v>
      </c>
    </row>
    <row r="2742" spans="1:12">
      <c r="A2742" s="288" t="s">
        <v>3592</v>
      </c>
      <c r="B2742" s="288" t="s">
        <v>3587</v>
      </c>
      <c r="C2742" s="288" t="s">
        <v>814</v>
      </c>
      <c r="D2742" s="288" t="s">
        <v>815</v>
      </c>
      <c r="E2742" s="289">
        <v>10</v>
      </c>
      <c r="F2742" s="290">
        <v>4</v>
      </c>
      <c r="G2742" s="289">
        <v>900</v>
      </c>
      <c r="H2742" s="289">
        <v>0</v>
      </c>
      <c r="I2742" s="289">
        <v>90</v>
      </c>
      <c r="J2742" s="289">
        <v>50</v>
      </c>
      <c r="K2742" s="289">
        <v>5</v>
      </c>
      <c r="L2742" s="289">
        <v>1045</v>
      </c>
    </row>
    <row r="2743" spans="1:12">
      <c r="A2743" s="288" t="s">
        <v>3593</v>
      </c>
      <c r="B2743" s="288" t="s">
        <v>3587</v>
      </c>
      <c r="C2743" s="288" t="s">
        <v>814</v>
      </c>
      <c r="D2743" s="288" t="s">
        <v>818</v>
      </c>
      <c r="E2743" s="289">
        <v>10</v>
      </c>
      <c r="F2743" s="290">
        <v>0</v>
      </c>
      <c r="G2743" s="289">
        <v>900</v>
      </c>
      <c r="H2743" s="289">
        <v>0</v>
      </c>
      <c r="I2743" s="289">
        <v>90</v>
      </c>
      <c r="J2743" s="289">
        <v>70</v>
      </c>
      <c r="K2743" s="289">
        <v>7</v>
      </c>
      <c r="L2743" s="289">
        <v>1067</v>
      </c>
    </row>
    <row r="2744" spans="1:12">
      <c r="A2744" s="288" t="s">
        <v>3594</v>
      </c>
      <c r="B2744" s="288" t="s">
        <v>3587</v>
      </c>
      <c r="C2744" s="288" t="s">
        <v>814</v>
      </c>
      <c r="D2744" s="288" t="s">
        <v>815</v>
      </c>
      <c r="E2744" s="289">
        <v>10</v>
      </c>
      <c r="F2744" s="290">
        <v>22</v>
      </c>
      <c r="G2744" s="289">
        <v>1100</v>
      </c>
      <c r="H2744" s="289">
        <v>1320</v>
      </c>
      <c r="I2744" s="289">
        <v>242</v>
      </c>
      <c r="J2744" s="289">
        <v>50</v>
      </c>
      <c r="K2744" s="289">
        <v>5</v>
      </c>
      <c r="L2744" s="289">
        <v>2717</v>
      </c>
    </row>
    <row r="2745" spans="1:12">
      <c r="A2745" s="288" t="s">
        <v>3595</v>
      </c>
      <c r="B2745" s="288" t="s">
        <v>3587</v>
      </c>
      <c r="C2745" s="288" t="s">
        <v>814</v>
      </c>
      <c r="D2745" s="288" t="s">
        <v>818</v>
      </c>
      <c r="E2745" s="289">
        <v>10</v>
      </c>
      <c r="F2745" s="290">
        <v>18</v>
      </c>
      <c r="G2745" s="289">
        <v>1100</v>
      </c>
      <c r="H2745" s="289">
        <v>880</v>
      </c>
      <c r="I2745" s="289">
        <v>198</v>
      </c>
      <c r="J2745" s="289">
        <v>70</v>
      </c>
      <c r="K2745" s="289">
        <v>7</v>
      </c>
      <c r="L2745" s="289">
        <v>2255</v>
      </c>
    </row>
    <row r="2746" spans="1:12">
      <c r="A2746" s="288" t="s">
        <v>3596</v>
      </c>
      <c r="B2746" s="288" t="s">
        <v>3587</v>
      </c>
      <c r="C2746" s="288" t="s">
        <v>820</v>
      </c>
      <c r="D2746" s="288" t="s">
        <v>818</v>
      </c>
      <c r="E2746" s="289">
        <v>10</v>
      </c>
      <c r="F2746" s="290">
        <v>38</v>
      </c>
      <c r="G2746" s="289">
        <v>1100</v>
      </c>
      <c r="H2746" s="289">
        <v>3080</v>
      </c>
      <c r="I2746" s="289">
        <v>418</v>
      </c>
      <c r="J2746" s="289">
        <v>70</v>
      </c>
      <c r="K2746" s="289">
        <v>7</v>
      </c>
      <c r="L2746" s="289">
        <v>4675</v>
      </c>
    </row>
    <row r="2747" spans="1:12">
      <c r="A2747" s="288" t="s">
        <v>3597</v>
      </c>
      <c r="B2747" s="288" t="s">
        <v>3587</v>
      </c>
      <c r="C2747" s="288" t="s">
        <v>814</v>
      </c>
      <c r="D2747" s="288" t="s">
        <v>815</v>
      </c>
      <c r="E2747" s="289">
        <v>10</v>
      </c>
      <c r="F2747" s="290">
        <v>7</v>
      </c>
      <c r="G2747" s="289">
        <v>1100</v>
      </c>
      <c r="H2747" s="289">
        <v>0</v>
      </c>
      <c r="I2747" s="289">
        <v>110</v>
      </c>
      <c r="J2747" s="289">
        <v>50</v>
      </c>
      <c r="K2747" s="289">
        <v>5</v>
      </c>
      <c r="L2747" s="289">
        <v>1265</v>
      </c>
    </row>
    <row r="2748" spans="1:12">
      <c r="A2748" s="288" t="s">
        <v>3598</v>
      </c>
      <c r="B2748" s="288" t="s">
        <v>3587</v>
      </c>
      <c r="C2748" s="288" t="s">
        <v>814</v>
      </c>
      <c r="D2748" s="288" t="s">
        <v>815</v>
      </c>
      <c r="E2748" s="289">
        <v>10</v>
      </c>
      <c r="F2748" s="290">
        <v>20</v>
      </c>
      <c r="G2748" s="289">
        <v>1100</v>
      </c>
      <c r="H2748" s="289">
        <v>1100</v>
      </c>
      <c r="I2748" s="289">
        <v>220</v>
      </c>
      <c r="J2748" s="289">
        <v>50</v>
      </c>
      <c r="K2748" s="289">
        <v>5</v>
      </c>
      <c r="L2748" s="289">
        <v>2475</v>
      </c>
    </row>
    <row r="2749" spans="1:12">
      <c r="A2749" s="288" t="s">
        <v>3599</v>
      </c>
      <c r="B2749" s="288" t="s">
        <v>3587</v>
      </c>
      <c r="C2749" s="288" t="s">
        <v>820</v>
      </c>
      <c r="D2749" s="288" t="s">
        <v>818</v>
      </c>
      <c r="E2749" s="289">
        <v>10</v>
      </c>
      <c r="F2749" s="290">
        <v>11</v>
      </c>
      <c r="G2749" s="289">
        <v>1100</v>
      </c>
      <c r="H2749" s="289">
        <v>110</v>
      </c>
      <c r="I2749" s="289">
        <v>121</v>
      </c>
      <c r="J2749" s="289">
        <v>70</v>
      </c>
      <c r="K2749" s="289">
        <v>7</v>
      </c>
      <c r="L2749" s="289">
        <v>1408</v>
      </c>
    </row>
    <row r="2750" spans="1:12">
      <c r="A2750" s="288" t="s">
        <v>3600</v>
      </c>
      <c r="B2750" s="288" t="s">
        <v>3587</v>
      </c>
      <c r="C2750" s="288" t="s">
        <v>814</v>
      </c>
      <c r="D2750" s="288" t="s">
        <v>818</v>
      </c>
      <c r="E2750" s="289">
        <v>10</v>
      </c>
      <c r="F2750" s="290">
        <v>24</v>
      </c>
      <c r="G2750" s="289">
        <v>1100</v>
      </c>
      <c r="H2750" s="289">
        <v>1540</v>
      </c>
      <c r="I2750" s="289">
        <v>264</v>
      </c>
      <c r="J2750" s="289">
        <v>70</v>
      </c>
      <c r="K2750" s="289">
        <v>7</v>
      </c>
      <c r="L2750" s="289">
        <v>2981</v>
      </c>
    </row>
    <row r="2751" spans="1:12">
      <c r="A2751" s="288" t="s">
        <v>3601</v>
      </c>
      <c r="B2751" s="288" t="s">
        <v>3587</v>
      </c>
      <c r="C2751" s="288" t="s">
        <v>829</v>
      </c>
      <c r="D2751" s="288" t="s">
        <v>818</v>
      </c>
      <c r="E2751" s="289">
        <v>10</v>
      </c>
      <c r="F2751" s="290">
        <v>0</v>
      </c>
      <c r="G2751" s="289">
        <v>900</v>
      </c>
      <c r="H2751" s="289">
        <v>0</v>
      </c>
      <c r="I2751" s="289">
        <v>90</v>
      </c>
      <c r="J2751" s="289">
        <v>70</v>
      </c>
      <c r="K2751" s="289">
        <v>7</v>
      </c>
      <c r="L2751" s="289">
        <v>1067</v>
      </c>
    </row>
    <row r="2752" spans="1:12">
      <c r="A2752" s="288" t="s">
        <v>3602</v>
      </c>
      <c r="B2752" s="288" t="s">
        <v>3587</v>
      </c>
      <c r="C2752" s="288" t="s">
        <v>814</v>
      </c>
      <c r="D2752" s="288" t="s">
        <v>818</v>
      </c>
      <c r="E2752" s="289">
        <v>10</v>
      </c>
      <c r="F2752" s="290">
        <v>0</v>
      </c>
      <c r="G2752" s="289">
        <v>900</v>
      </c>
      <c r="H2752" s="289">
        <v>0</v>
      </c>
      <c r="I2752" s="289">
        <v>90</v>
      </c>
      <c r="J2752" s="289">
        <v>70</v>
      </c>
      <c r="K2752" s="289">
        <v>7</v>
      </c>
      <c r="L2752" s="289">
        <v>1067</v>
      </c>
    </row>
    <row r="2753" spans="1:12">
      <c r="A2753" s="288" t="s">
        <v>3603</v>
      </c>
      <c r="B2753" s="288" t="s">
        <v>3587</v>
      </c>
      <c r="C2753" s="288" t="s">
        <v>814</v>
      </c>
      <c r="D2753" s="288" t="s">
        <v>818</v>
      </c>
      <c r="E2753" s="289">
        <v>10</v>
      </c>
      <c r="F2753" s="290">
        <v>5</v>
      </c>
      <c r="G2753" s="289">
        <v>900</v>
      </c>
      <c r="H2753" s="289">
        <v>0</v>
      </c>
      <c r="I2753" s="289">
        <v>90</v>
      </c>
      <c r="J2753" s="289">
        <v>70</v>
      </c>
      <c r="K2753" s="289">
        <v>7</v>
      </c>
      <c r="L2753" s="289">
        <v>1067</v>
      </c>
    </row>
    <row r="2754" spans="1:12">
      <c r="A2754" s="288" t="s">
        <v>3604</v>
      </c>
      <c r="B2754" s="288" t="s">
        <v>3587</v>
      </c>
      <c r="C2754" s="288" t="s">
        <v>814</v>
      </c>
      <c r="D2754" s="288" t="s">
        <v>818</v>
      </c>
      <c r="E2754" s="289">
        <v>10</v>
      </c>
      <c r="F2754" s="290">
        <v>24</v>
      </c>
      <c r="G2754" s="289">
        <v>1100</v>
      </c>
      <c r="H2754" s="289">
        <v>1540</v>
      </c>
      <c r="I2754" s="289">
        <v>264</v>
      </c>
      <c r="J2754" s="289">
        <v>70</v>
      </c>
      <c r="K2754" s="289">
        <v>7</v>
      </c>
      <c r="L2754" s="289">
        <v>2981</v>
      </c>
    </row>
    <row r="2755" spans="1:12">
      <c r="A2755" s="288" t="s">
        <v>3605</v>
      </c>
      <c r="B2755" s="288" t="s">
        <v>3587</v>
      </c>
      <c r="C2755" s="288" t="s">
        <v>814</v>
      </c>
      <c r="D2755" s="288" t="s">
        <v>818</v>
      </c>
      <c r="E2755" s="289">
        <v>10</v>
      </c>
      <c r="F2755" s="290">
        <v>16</v>
      </c>
      <c r="G2755" s="289">
        <v>1100</v>
      </c>
      <c r="H2755" s="289">
        <v>660</v>
      </c>
      <c r="I2755" s="289">
        <v>176</v>
      </c>
      <c r="J2755" s="289">
        <v>70</v>
      </c>
      <c r="K2755" s="289">
        <v>7</v>
      </c>
      <c r="L2755" s="289">
        <v>2013</v>
      </c>
    </row>
    <row r="2756" spans="1:12">
      <c r="A2756" s="288" t="s">
        <v>3606</v>
      </c>
      <c r="B2756" s="288" t="s">
        <v>3587</v>
      </c>
      <c r="C2756" s="288" t="s">
        <v>829</v>
      </c>
      <c r="D2756" s="288" t="s">
        <v>818</v>
      </c>
      <c r="E2756" s="289">
        <v>10</v>
      </c>
      <c r="F2756" s="290">
        <v>3</v>
      </c>
      <c r="G2756" s="289">
        <v>900</v>
      </c>
      <c r="H2756" s="289">
        <v>0</v>
      </c>
      <c r="I2756" s="289">
        <v>90</v>
      </c>
      <c r="J2756" s="289">
        <v>70</v>
      </c>
      <c r="K2756" s="289">
        <v>7</v>
      </c>
      <c r="L2756" s="289">
        <v>1067</v>
      </c>
    </row>
    <row r="2757" spans="1:12">
      <c r="A2757" s="288" t="s">
        <v>3607</v>
      </c>
      <c r="B2757" s="288" t="s">
        <v>3587</v>
      </c>
      <c r="C2757" s="288" t="s">
        <v>814</v>
      </c>
      <c r="D2757" s="288" t="s">
        <v>818</v>
      </c>
      <c r="E2757" s="289">
        <v>10</v>
      </c>
      <c r="F2757" s="290">
        <v>6</v>
      </c>
      <c r="G2757" s="289">
        <v>1100</v>
      </c>
      <c r="H2757" s="289">
        <v>0</v>
      </c>
      <c r="I2757" s="289">
        <v>110</v>
      </c>
      <c r="J2757" s="289">
        <v>70</v>
      </c>
      <c r="K2757" s="289">
        <v>7</v>
      </c>
      <c r="L2757" s="289">
        <v>1287</v>
      </c>
    </row>
    <row r="2758" spans="1:12">
      <c r="A2758" s="288" t="s">
        <v>3608</v>
      </c>
      <c r="B2758" s="288" t="s">
        <v>3587</v>
      </c>
      <c r="C2758" s="288" t="s">
        <v>820</v>
      </c>
      <c r="D2758" s="288" t="s">
        <v>818</v>
      </c>
      <c r="E2758" s="289">
        <v>10</v>
      </c>
      <c r="F2758" s="290">
        <v>87</v>
      </c>
      <c r="G2758" s="289">
        <v>1100</v>
      </c>
      <c r="H2758" s="289">
        <v>8470</v>
      </c>
      <c r="I2758" s="289">
        <v>957</v>
      </c>
      <c r="J2758" s="289">
        <v>70</v>
      </c>
      <c r="K2758" s="289">
        <v>7</v>
      </c>
      <c r="L2758" s="289">
        <v>10604</v>
      </c>
    </row>
    <row r="2759" spans="1:12">
      <c r="A2759" s="288" t="s">
        <v>3609</v>
      </c>
      <c r="B2759" s="288" t="s">
        <v>3610</v>
      </c>
      <c r="C2759" s="288" t="s">
        <v>829</v>
      </c>
      <c r="D2759" s="288" t="s">
        <v>818</v>
      </c>
      <c r="E2759" s="289">
        <v>10</v>
      </c>
      <c r="F2759" s="290">
        <v>2</v>
      </c>
      <c r="G2759" s="289">
        <v>900</v>
      </c>
      <c r="H2759" s="289">
        <v>0</v>
      </c>
      <c r="I2759" s="289">
        <v>90</v>
      </c>
      <c r="J2759" s="289">
        <v>70</v>
      </c>
      <c r="K2759" s="289">
        <v>7</v>
      </c>
      <c r="L2759" s="289">
        <v>1067</v>
      </c>
    </row>
    <row r="2760" spans="1:12">
      <c r="A2760" s="288" t="s">
        <v>3611</v>
      </c>
      <c r="B2760" s="288" t="s">
        <v>3610</v>
      </c>
      <c r="C2760" s="288" t="s">
        <v>814</v>
      </c>
      <c r="D2760" s="288" t="s">
        <v>815</v>
      </c>
      <c r="E2760" s="289">
        <v>10</v>
      </c>
      <c r="F2760" s="290">
        <v>0</v>
      </c>
      <c r="G2760" s="289">
        <v>900</v>
      </c>
      <c r="H2760" s="289">
        <v>0</v>
      </c>
      <c r="I2760" s="289">
        <v>90</v>
      </c>
      <c r="J2760" s="289">
        <v>50</v>
      </c>
      <c r="K2760" s="289">
        <v>5</v>
      </c>
      <c r="L2760" s="289">
        <v>1045</v>
      </c>
    </row>
    <row r="2761" spans="1:12">
      <c r="A2761" s="288" t="s">
        <v>3612</v>
      </c>
      <c r="B2761" s="288" t="s">
        <v>3610</v>
      </c>
      <c r="C2761" s="288" t="s">
        <v>820</v>
      </c>
      <c r="D2761" s="288" t="s">
        <v>815</v>
      </c>
      <c r="E2761" s="289">
        <v>10</v>
      </c>
      <c r="F2761" s="290">
        <v>0</v>
      </c>
      <c r="G2761" s="289">
        <v>900</v>
      </c>
      <c r="H2761" s="289">
        <v>0</v>
      </c>
      <c r="I2761" s="289">
        <v>90</v>
      </c>
      <c r="J2761" s="289">
        <v>50</v>
      </c>
      <c r="K2761" s="289">
        <v>5</v>
      </c>
      <c r="L2761" s="289">
        <v>1045</v>
      </c>
    </row>
    <row r="2762" spans="1:12">
      <c r="A2762" s="288" t="s">
        <v>3613</v>
      </c>
      <c r="B2762" s="288" t="s">
        <v>3610</v>
      </c>
      <c r="C2762" s="288" t="s">
        <v>814</v>
      </c>
      <c r="D2762" s="288" t="s">
        <v>815</v>
      </c>
      <c r="E2762" s="289">
        <v>10</v>
      </c>
      <c r="F2762" s="290">
        <v>0</v>
      </c>
      <c r="G2762" s="289">
        <v>900</v>
      </c>
      <c r="H2762" s="289">
        <v>0</v>
      </c>
      <c r="I2762" s="289">
        <v>90</v>
      </c>
      <c r="J2762" s="289">
        <v>50</v>
      </c>
      <c r="K2762" s="289">
        <v>5</v>
      </c>
      <c r="L2762" s="289">
        <v>1045</v>
      </c>
    </row>
    <row r="2763" spans="1:12">
      <c r="A2763" s="288" t="s">
        <v>3614</v>
      </c>
      <c r="B2763" s="288" t="s">
        <v>3610</v>
      </c>
      <c r="C2763" s="288" t="s">
        <v>814</v>
      </c>
      <c r="D2763" s="288" t="s">
        <v>815</v>
      </c>
      <c r="E2763" s="289">
        <v>10</v>
      </c>
      <c r="F2763" s="290">
        <v>1</v>
      </c>
      <c r="G2763" s="289">
        <v>900</v>
      </c>
      <c r="H2763" s="289">
        <v>0</v>
      </c>
      <c r="I2763" s="289">
        <v>90</v>
      </c>
      <c r="J2763" s="289">
        <v>50</v>
      </c>
      <c r="K2763" s="289">
        <v>5</v>
      </c>
      <c r="L2763" s="289">
        <v>1045</v>
      </c>
    </row>
    <row r="2764" spans="1:12">
      <c r="A2764" s="288" t="s">
        <v>3615</v>
      </c>
      <c r="B2764" s="288" t="s">
        <v>3610</v>
      </c>
      <c r="C2764" s="288" t="s">
        <v>829</v>
      </c>
      <c r="D2764" s="288" t="s">
        <v>818</v>
      </c>
      <c r="E2764" s="289">
        <v>10</v>
      </c>
      <c r="F2764" s="290">
        <v>2</v>
      </c>
      <c r="G2764" s="289">
        <v>900</v>
      </c>
      <c r="H2764" s="289">
        <v>0</v>
      </c>
      <c r="I2764" s="289">
        <v>90</v>
      </c>
      <c r="J2764" s="289">
        <v>70</v>
      </c>
      <c r="K2764" s="289">
        <v>7</v>
      </c>
      <c r="L2764" s="289">
        <v>1067</v>
      </c>
    </row>
    <row r="2765" spans="1:12">
      <c r="A2765" s="288" t="s">
        <v>3616</v>
      </c>
      <c r="B2765" s="288" t="s">
        <v>3610</v>
      </c>
      <c r="C2765" s="288" t="s">
        <v>814</v>
      </c>
      <c r="D2765" s="288" t="s">
        <v>818</v>
      </c>
      <c r="E2765" s="289">
        <v>10</v>
      </c>
      <c r="F2765" s="290">
        <v>21</v>
      </c>
      <c r="G2765" s="289">
        <v>1100</v>
      </c>
      <c r="H2765" s="289">
        <v>1210</v>
      </c>
      <c r="I2765" s="289">
        <v>231</v>
      </c>
      <c r="J2765" s="289">
        <v>70</v>
      </c>
      <c r="K2765" s="289">
        <v>7</v>
      </c>
      <c r="L2765" s="289">
        <v>2618</v>
      </c>
    </row>
    <row r="2766" spans="1:12">
      <c r="A2766" s="288" t="s">
        <v>3617</v>
      </c>
      <c r="B2766" s="288" t="s">
        <v>3610</v>
      </c>
      <c r="C2766" s="288" t="s">
        <v>814</v>
      </c>
      <c r="D2766" s="288" t="s">
        <v>818</v>
      </c>
      <c r="E2766" s="289">
        <v>10</v>
      </c>
      <c r="F2766" s="290">
        <v>15</v>
      </c>
      <c r="G2766" s="289">
        <v>1100</v>
      </c>
      <c r="H2766" s="289">
        <v>550</v>
      </c>
      <c r="I2766" s="289">
        <v>165</v>
      </c>
      <c r="J2766" s="289">
        <v>70</v>
      </c>
      <c r="K2766" s="289">
        <v>7</v>
      </c>
      <c r="L2766" s="289">
        <v>1892</v>
      </c>
    </row>
    <row r="2767" spans="1:12">
      <c r="A2767" s="288" t="s">
        <v>3618</v>
      </c>
      <c r="B2767" s="288" t="s">
        <v>3610</v>
      </c>
      <c r="C2767" s="288" t="s">
        <v>814</v>
      </c>
      <c r="D2767" s="288" t="s">
        <v>818</v>
      </c>
      <c r="E2767" s="289">
        <v>10</v>
      </c>
      <c r="F2767" s="290">
        <v>21</v>
      </c>
      <c r="G2767" s="289">
        <v>1100</v>
      </c>
      <c r="H2767" s="289">
        <v>1210</v>
      </c>
      <c r="I2767" s="289">
        <v>231</v>
      </c>
      <c r="J2767" s="289">
        <v>70</v>
      </c>
      <c r="K2767" s="289">
        <v>7</v>
      </c>
      <c r="L2767" s="289">
        <v>2618</v>
      </c>
    </row>
    <row r="2768" spans="1:12">
      <c r="A2768" s="288" t="s">
        <v>3619</v>
      </c>
      <c r="B2768" s="288" t="s">
        <v>3610</v>
      </c>
      <c r="C2768" s="288" t="s">
        <v>814</v>
      </c>
      <c r="D2768" s="288" t="s">
        <v>818</v>
      </c>
      <c r="E2768" s="289">
        <v>10</v>
      </c>
      <c r="F2768" s="290">
        <v>29</v>
      </c>
      <c r="G2768" s="289">
        <v>1100</v>
      </c>
      <c r="H2768" s="289">
        <v>2090</v>
      </c>
      <c r="I2768" s="289">
        <v>319</v>
      </c>
      <c r="J2768" s="289">
        <v>70</v>
      </c>
      <c r="K2768" s="289">
        <v>7</v>
      </c>
      <c r="L2768" s="289">
        <v>3586</v>
      </c>
    </row>
    <row r="2769" spans="1:12">
      <c r="A2769" s="288" t="s">
        <v>3620</v>
      </c>
      <c r="B2769" s="288" t="s">
        <v>3610</v>
      </c>
      <c r="C2769" s="288" t="s">
        <v>814</v>
      </c>
      <c r="D2769" s="288" t="s">
        <v>818</v>
      </c>
      <c r="E2769" s="289">
        <v>10</v>
      </c>
      <c r="F2769" s="290">
        <v>12</v>
      </c>
      <c r="G2769" s="289">
        <v>1100</v>
      </c>
      <c r="H2769" s="289">
        <v>220</v>
      </c>
      <c r="I2769" s="289">
        <v>132</v>
      </c>
      <c r="J2769" s="289">
        <v>70</v>
      </c>
      <c r="K2769" s="289">
        <v>7</v>
      </c>
      <c r="L2769" s="289">
        <v>1529</v>
      </c>
    </row>
    <row r="2770" spans="1:12">
      <c r="A2770" s="288" t="s">
        <v>3621</v>
      </c>
      <c r="B2770" s="288" t="s">
        <v>3610</v>
      </c>
      <c r="C2770" s="288" t="s">
        <v>814</v>
      </c>
      <c r="D2770" s="288" t="s">
        <v>818</v>
      </c>
      <c r="E2770" s="289">
        <v>10</v>
      </c>
      <c r="F2770" s="290">
        <v>16</v>
      </c>
      <c r="G2770" s="289">
        <v>1100</v>
      </c>
      <c r="H2770" s="289">
        <v>660</v>
      </c>
      <c r="I2770" s="289">
        <v>176</v>
      </c>
      <c r="J2770" s="289">
        <v>70</v>
      </c>
      <c r="K2770" s="289">
        <v>7</v>
      </c>
      <c r="L2770" s="289">
        <v>2013</v>
      </c>
    </row>
    <row r="2771" spans="1:12">
      <c r="A2771" s="288" t="s">
        <v>3622</v>
      </c>
      <c r="B2771" s="288" t="s">
        <v>3610</v>
      </c>
      <c r="C2771" s="288" t="s">
        <v>814</v>
      </c>
      <c r="D2771" s="288" t="s">
        <v>818</v>
      </c>
      <c r="E2771" s="289">
        <v>10</v>
      </c>
      <c r="F2771" s="290">
        <v>17</v>
      </c>
      <c r="G2771" s="289">
        <v>1100</v>
      </c>
      <c r="H2771" s="289">
        <v>770</v>
      </c>
      <c r="I2771" s="289">
        <v>187</v>
      </c>
      <c r="J2771" s="289">
        <v>70</v>
      </c>
      <c r="K2771" s="289">
        <v>7</v>
      </c>
      <c r="L2771" s="289">
        <v>2134</v>
      </c>
    </row>
    <row r="2772" spans="1:12">
      <c r="A2772" s="288" t="s">
        <v>3623</v>
      </c>
      <c r="B2772" s="288" t="s">
        <v>3610</v>
      </c>
      <c r="C2772" s="288" t="s">
        <v>814</v>
      </c>
      <c r="D2772" s="288" t="s">
        <v>818</v>
      </c>
      <c r="E2772" s="289">
        <v>10</v>
      </c>
      <c r="F2772" s="290">
        <v>23</v>
      </c>
      <c r="G2772" s="289">
        <v>1100</v>
      </c>
      <c r="H2772" s="289">
        <v>1430</v>
      </c>
      <c r="I2772" s="289">
        <v>253</v>
      </c>
      <c r="J2772" s="289">
        <v>70</v>
      </c>
      <c r="K2772" s="289">
        <v>7</v>
      </c>
      <c r="L2772" s="289">
        <v>2860</v>
      </c>
    </row>
    <row r="2773" spans="1:12">
      <c r="A2773" s="288" t="s">
        <v>3624</v>
      </c>
      <c r="B2773" s="288" t="s">
        <v>3610</v>
      </c>
      <c r="C2773" s="288" t="s">
        <v>814</v>
      </c>
      <c r="D2773" s="288" t="s">
        <v>818</v>
      </c>
      <c r="E2773" s="289">
        <v>10</v>
      </c>
      <c r="F2773" s="290">
        <v>9</v>
      </c>
      <c r="G2773" s="289">
        <v>1100</v>
      </c>
      <c r="H2773" s="289">
        <v>0</v>
      </c>
      <c r="I2773" s="289">
        <v>110</v>
      </c>
      <c r="J2773" s="289">
        <v>70</v>
      </c>
      <c r="K2773" s="289">
        <v>7</v>
      </c>
      <c r="L2773" s="289">
        <v>1287</v>
      </c>
    </row>
    <row r="2774" spans="1:12">
      <c r="A2774" s="288" t="s">
        <v>3625</v>
      </c>
      <c r="B2774" s="288" t="s">
        <v>3610</v>
      </c>
      <c r="C2774" s="288" t="s">
        <v>814</v>
      </c>
      <c r="D2774" s="288" t="s">
        <v>818</v>
      </c>
      <c r="E2774" s="289">
        <v>10</v>
      </c>
      <c r="F2774" s="290">
        <v>5</v>
      </c>
      <c r="G2774" s="289">
        <v>900</v>
      </c>
      <c r="H2774" s="289">
        <v>0</v>
      </c>
      <c r="I2774" s="289">
        <v>90</v>
      </c>
      <c r="J2774" s="289">
        <v>70</v>
      </c>
      <c r="K2774" s="289">
        <v>7</v>
      </c>
      <c r="L2774" s="289">
        <v>1067</v>
      </c>
    </row>
    <row r="2775" spans="1:12">
      <c r="A2775" s="288" t="s">
        <v>3626</v>
      </c>
      <c r="B2775" s="288" t="s">
        <v>3610</v>
      </c>
      <c r="C2775" s="288" t="s">
        <v>814</v>
      </c>
      <c r="D2775" s="288" t="s">
        <v>818</v>
      </c>
      <c r="E2775" s="289">
        <v>10</v>
      </c>
      <c r="F2775" s="290">
        <v>8</v>
      </c>
      <c r="G2775" s="289">
        <v>1100</v>
      </c>
      <c r="H2775" s="289">
        <v>0</v>
      </c>
      <c r="I2775" s="289">
        <v>110</v>
      </c>
      <c r="J2775" s="289">
        <v>70</v>
      </c>
      <c r="K2775" s="289">
        <v>7</v>
      </c>
      <c r="L2775" s="289">
        <v>1287</v>
      </c>
    </row>
    <row r="2776" spans="1:12">
      <c r="A2776" s="288" t="s">
        <v>3627</v>
      </c>
      <c r="B2776" s="288" t="s">
        <v>3610</v>
      </c>
      <c r="C2776" s="288" t="s">
        <v>814</v>
      </c>
      <c r="D2776" s="288" t="s">
        <v>818</v>
      </c>
      <c r="E2776" s="289">
        <v>10</v>
      </c>
      <c r="F2776" s="290">
        <v>10</v>
      </c>
      <c r="G2776" s="289">
        <v>1100</v>
      </c>
      <c r="H2776" s="289">
        <v>0</v>
      </c>
      <c r="I2776" s="289">
        <v>110</v>
      </c>
      <c r="J2776" s="289">
        <v>70</v>
      </c>
      <c r="K2776" s="289">
        <v>7</v>
      </c>
      <c r="L2776" s="289">
        <v>1287</v>
      </c>
    </row>
    <row r="2777" spans="1:12">
      <c r="A2777" s="288" t="s">
        <v>3628</v>
      </c>
      <c r="B2777" s="288" t="s">
        <v>3610</v>
      </c>
      <c r="C2777" s="288" t="s">
        <v>814</v>
      </c>
      <c r="D2777" s="288" t="s">
        <v>818</v>
      </c>
      <c r="E2777" s="289">
        <v>10</v>
      </c>
      <c r="F2777" s="290">
        <v>25</v>
      </c>
      <c r="G2777" s="289">
        <v>1100</v>
      </c>
      <c r="H2777" s="289">
        <v>1650</v>
      </c>
      <c r="I2777" s="289">
        <v>275</v>
      </c>
      <c r="J2777" s="289">
        <v>70</v>
      </c>
      <c r="K2777" s="289">
        <v>7</v>
      </c>
      <c r="L2777" s="289">
        <v>3102</v>
      </c>
    </row>
    <row r="2778" spans="1:12">
      <c r="A2778" s="288" t="s">
        <v>3629</v>
      </c>
      <c r="B2778" s="288" t="s">
        <v>3610</v>
      </c>
      <c r="C2778" s="288" t="s">
        <v>814</v>
      </c>
      <c r="D2778" s="288" t="s">
        <v>818</v>
      </c>
      <c r="E2778" s="289">
        <v>10</v>
      </c>
      <c r="F2778" s="290">
        <v>14</v>
      </c>
      <c r="G2778" s="289">
        <v>1100</v>
      </c>
      <c r="H2778" s="289">
        <v>440</v>
      </c>
      <c r="I2778" s="289">
        <v>154</v>
      </c>
      <c r="J2778" s="289">
        <v>70</v>
      </c>
      <c r="K2778" s="289">
        <v>7</v>
      </c>
      <c r="L2778" s="289">
        <v>1771</v>
      </c>
    </row>
    <row r="2779" spans="1:12">
      <c r="A2779" s="288" t="s">
        <v>3630</v>
      </c>
      <c r="B2779" s="288" t="s">
        <v>3610</v>
      </c>
      <c r="C2779" s="288" t="s">
        <v>814</v>
      </c>
      <c r="D2779" s="288" t="s">
        <v>818</v>
      </c>
      <c r="E2779" s="289">
        <v>10</v>
      </c>
      <c r="F2779" s="290">
        <v>7</v>
      </c>
      <c r="G2779" s="289">
        <v>1100</v>
      </c>
      <c r="H2779" s="289">
        <v>0</v>
      </c>
      <c r="I2779" s="289">
        <v>110</v>
      </c>
      <c r="J2779" s="289">
        <v>70</v>
      </c>
      <c r="K2779" s="289">
        <v>7</v>
      </c>
      <c r="L2779" s="289">
        <v>1287</v>
      </c>
    </row>
    <row r="2780" spans="1:12">
      <c r="A2780" s="288" t="s">
        <v>3631</v>
      </c>
      <c r="B2780" s="288" t="s">
        <v>3610</v>
      </c>
      <c r="C2780" s="288" t="s">
        <v>814</v>
      </c>
      <c r="D2780" s="288" t="s">
        <v>818</v>
      </c>
      <c r="E2780" s="289">
        <v>10</v>
      </c>
      <c r="F2780" s="290">
        <v>8</v>
      </c>
      <c r="G2780" s="289">
        <v>1100</v>
      </c>
      <c r="H2780" s="289">
        <v>0</v>
      </c>
      <c r="I2780" s="289">
        <v>110</v>
      </c>
      <c r="J2780" s="289">
        <v>70</v>
      </c>
      <c r="K2780" s="289">
        <v>7</v>
      </c>
      <c r="L2780" s="289">
        <v>1287</v>
      </c>
    </row>
    <row r="2781" spans="1:12">
      <c r="A2781" s="288" t="s">
        <v>3632</v>
      </c>
      <c r="B2781" s="288" t="s">
        <v>3610</v>
      </c>
      <c r="C2781" s="288" t="s">
        <v>829</v>
      </c>
      <c r="D2781" s="288" t="s">
        <v>818</v>
      </c>
      <c r="E2781" s="289">
        <v>10</v>
      </c>
      <c r="F2781" s="290">
        <v>1</v>
      </c>
      <c r="G2781" s="289">
        <v>900</v>
      </c>
      <c r="H2781" s="289">
        <v>0</v>
      </c>
      <c r="I2781" s="289">
        <v>90</v>
      </c>
      <c r="J2781" s="289">
        <v>70</v>
      </c>
      <c r="K2781" s="289">
        <v>7</v>
      </c>
      <c r="L2781" s="289">
        <v>1067</v>
      </c>
    </row>
    <row r="2782" spans="1:12">
      <c r="A2782" s="288" t="s">
        <v>3633</v>
      </c>
      <c r="B2782" s="288" t="s">
        <v>3610</v>
      </c>
      <c r="C2782" s="288" t="s">
        <v>829</v>
      </c>
      <c r="D2782" s="288" t="s">
        <v>818</v>
      </c>
      <c r="E2782" s="289">
        <v>10</v>
      </c>
      <c r="F2782" s="290">
        <v>5</v>
      </c>
      <c r="G2782" s="289">
        <v>900</v>
      </c>
      <c r="H2782" s="289">
        <v>0</v>
      </c>
      <c r="I2782" s="289">
        <v>90</v>
      </c>
      <c r="J2782" s="289">
        <v>70</v>
      </c>
      <c r="K2782" s="289">
        <v>7</v>
      </c>
      <c r="L2782" s="289">
        <v>1067</v>
      </c>
    </row>
    <row r="2783" spans="1:12">
      <c r="A2783" s="288" t="s">
        <v>3634</v>
      </c>
      <c r="B2783" s="288" t="s">
        <v>3610</v>
      </c>
      <c r="C2783" s="288" t="s">
        <v>829</v>
      </c>
      <c r="D2783" s="288" t="s">
        <v>818</v>
      </c>
      <c r="E2783" s="289">
        <v>10</v>
      </c>
      <c r="F2783" s="290">
        <v>0</v>
      </c>
      <c r="G2783" s="289">
        <v>900</v>
      </c>
      <c r="H2783" s="289">
        <v>0</v>
      </c>
      <c r="I2783" s="289">
        <v>90</v>
      </c>
      <c r="J2783" s="289">
        <v>70</v>
      </c>
      <c r="K2783" s="289">
        <v>7</v>
      </c>
      <c r="L2783" s="289">
        <v>1067</v>
      </c>
    </row>
    <row r="2784" spans="1:12">
      <c r="A2784" s="288" t="s">
        <v>3635</v>
      </c>
      <c r="B2784" s="288" t="s">
        <v>3610</v>
      </c>
      <c r="C2784" s="288" t="s">
        <v>820</v>
      </c>
      <c r="D2784" s="288" t="s">
        <v>818</v>
      </c>
      <c r="E2784" s="289">
        <v>10</v>
      </c>
      <c r="F2784" s="290">
        <v>2</v>
      </c>
      <c r="G2784" s="289">
        <v>900</v>
      </c>
      <c r="H2784" s="289">
        <v>0</v>
      </c>
      <c r="I2784" s="289">
        <v>90</v>
      </c>
      <c r="J2784" s="289">
        <v>70</v>
      </c>
      <c r="K2784" s="289">
        <v>7</v>
      </c>
      <c r="L2784" s="289">
        <v>1067</v>
      </c>
    </row>
    <row r="2785" spans="1:12">
      <c r="A2785" s="288" t="s">
        <v>3636</v>
      </c>
      <c r="B2785" s="288" t="s">
        <v>3610</v>
      </c>
      <c r="C2785" s="288" t="s">
        <v>820</v>
      </c>
      <c r="D2785" s="288" t="s">
        <v>818</v>
      </c>
      <c r="E2785" s="289">
        <v>10</v>
      </c>
      <c r="F2785" s="290">
        <v>0</v>
      </c>
      <c r="G2785" s="289">
        <v>900</v>
      </c>
      <c r="H2785" s="289">
        <v>0</v>
      </c>
      <c r="I2785" s="289">
        <v>90</v>
      </c>
      <c r="J2785" s="289">
        <v>70</v>
      </c>
      <c r="K2785" s="289">
        <v>7</v>
      </c>
      <c r="L2785" s="289">
        <v>1067</v>
      </c>
    </row>
    <row r="2786" spans="1:12">
      <c r="A2786" s="288" t="s">
        <v>3637</v>
      </c>
      <c r="B2786" s="288" t="s">
        <v>3610</v>
      </c>
      <c r="C2786" s="288" t="s">
        <v>820</v>
      </c>
      <c r="D2786" s="288" t="s">
        <v>818</v>
      </c>
      <c r="E2786" s="289">
        <v>10</v>
      </c>
      <c r="F2786" s="290">
        <v>0</v>
      </c>
      <c r="G2786" s="289">
        <v>900</v>
      </c>
      <c r="H2786" s="289">
        <v>0</v>
      </c>
      <c r="I2786" s="289">
        <v>90</v>
      </c>
      <c r="J2786" s="289">
        <v>70</v>
      </c>
      <c r="K2786" s="289">
        <v>7</v>
      </c>
      <c r="L2786" s="289">
        <v>1067</v>
      </c>
    </row>
    <row r="2787" spans="1:12">
      <c r="A2787" s="288" t="s">
        <v>3638</v>
      </c>
      <c r="B2787" s="288" t="s">
        <v>3639</v>
      </c>
      <c r="C2787" s="288" t="s">
        <v>829</v>
      </c>
      <c r="D2787" s="288" t="s">
        <v>822</v>
      </c>
      <c r="E2787" s="289">
        <v>10</v>
      </c>
      <c r="F2787" s="290">
        <v>90</v>
      </c>
      <c r="G2787" s="289">
        <v>1100</v>
      </c>
      <c r="H2787" s="289">
        <v>8800</v>
      </c>
      <c r="I2787" s="289">
        <v>990</v>
      </c>
      <c r="J2787" s="289">
        <v>200</v>
      </c>
      <c r="K2787" s="289">
        <v>20</v>
      </c>
      <c r="L2787" s="289">
        <v>11110</v>
      </c>
    </row>
    <row r="2788" spans="1:12">
      <c r="A2788" s="288" t="s">
        <v>3640</v>
      </c>
      <c r="B2788" s="288" t="s">
        <v>3639</v>
      </c>
      <c r="C2788" s="288" t="s">
        <v>820</v>
      </c>
      <c r="D2788" s="288" t="s">
        <v>818</v>
      </c>
      <c r="E2788" s="289">
        <v>10</v>
      </c>
      <c r="F2788" s="290">
        <v>6</v>
      </c>
      <c r="G2788" s="289">
        <v>1100</v>
      </c>
      <c r="H2788" s="289">
        <v>0</v>
      </c>
      <c r="I2788" s="289">
        <v>110</v>
      </c>
      <c r="J2788" s="289">
        <v>70</v>
      </c>
      <c r="K2788" s="289">
        <v>7</v>
      </c>
      <c r="L2788" s="289">
        <v>1287</v>
      </c>
    </row>
    <row r="2789" spans="1:12">
      <c r="A2789" s="288" t="s">
        <v>3641</v>
      </c>
      <c r="B2789" s="288" t="s">
        <v>3639</v>
      </c>
      <c r="C2789" s="288" t="s">
        <v>829</v>
      </c>
      <c r="D2789" s="288" t="s">
        <v>818</v>
      </c>
      <c r="E2789" s="289">
        <v>10</v>
      </c>
      <c r="F2789" s="290">
        <v>8</v>
      </c>
      <c r="G2789" s="289">
        <v>1100</v>
      </c>
      <c r="H2789" s="289">
        <v>0</v>
      </c>
      <c r="I2789" s="289">
        <v>110</v>
      </c>
      <c r="J2789" s="289">
        <v>70</v>
      </c>
      <c r="K2789" s="289">
        <v>7</v>
      </c>
      <c r="L2789" s="289">
        <v>1287</v>
      </c>
    </row>
    <row r="2790" spans="1:12">
      <c r="A2790" s="288" t="s">
        <v>3642</v>
      </c>
      <c r="B2790" s="288" t="s">
        <v>3639</v>
      </c>
      <c r="C2790" s="288" t="s">
        <v>820</v>
      </c>
      <c r="D2790" s="288" t="s">
        <v>822</v>
      </c>
      <c r="E2790" s="289">
        <v>10</v>
      </c>
      <c r="F2790" s="290">
        <v>4</v>
      </c>
      <c r="G2790" s="289">
        <v>900</v>
      </c>
      <c r="H2790" s="289">
        <v>0</v>
      </c>
      <c r="I2790" s="289">
        <v>90</v>
      </c>
      <c r="J2790" s="289">
        <v>200</v>
      </c>
      <c r="K2790" s="289">
        <v>20</v>
      </c>
      <c r="L2790" s="289">
        <v>1210</v>
      </c>
    </row>
    <row r="2791" spans="1:12">
      <c r="A2791" s="288" t="s">
        <v>3643</v>
      </c>
      <c r="B2791" s="288" t="s">
        <v>3639</v>
      </c>
      <c r="C2791" s="288" t="s">
        <v>814</v>
      </c>
      <c r="D2791" s="288" t="s">
        <v>818</v>
      </c>
      <c r="E2791" s="289">
        <v>10</v>
      </c>
      <c r="F2791" s="290">
        <v>0</v>
      </c>
      <c r="G2791" s="289">
        <v>900</v>
      </c>
      <c r="H2791" s="289">
        <v>0</v>
      </c>
      <c r="I2791" s="289">
        <v>90</v>
      </c>
      <c r="J2791" s="289">
        <v>70</v>
      </c>
      <c r="K2791" s="289">
        <v>7</v>
      </c>
      <c r="L2791" s="289">
        <v>1067</v>
      </c>
    </row>
    <row r="2792" spans="1:12">
      <c r="A2792" s="288" t="s">
        <v>3644</v>
      </c>
      <c r="B2792" s="288" t="s">
        <v>3639</v>
      </c>
      <c r="C2792" s="288" t="s">
        <v>814</v>
      </c>
      <c r="D2792" s="288" t="s">
        <v>815</v>
      </c>
      <c r="E2792" s="289">
        <v>10</v>
      </c>
      <c r="F2792" s="290">
        <v>0</v>
      </c>
      <c r="G2792" s="289">
        <v>900</v>
      </c>
      <c r="H2792" s="289">
        <v>0</v>
      </c>
      <c r="I2792" s="289">
        <v>90</v>
      </c>
      <c r="J2792" s="289">
        <v>50</v>
      </c>
      <c r="K2792" s="289">
        <v>5</v>
      </c>
      <c r="L2792" s="289">
        <v>1045</v>
      </c>
    </row>
    <row r="2793" spans="1:12">
      <c r="A2793" s="288" t="s">
        <v>3645</v>
      </c>
      <c r="B2793" s="288" t="s">
        <v>3639</v>
      </c>
      <c r="C2793" s="288" t="s">
        <v>820</v>
      </c>
      <c r="D2793" s="288" t="s">
        <v>818</v>
      </c>
      <c r="E2793" s="289">
        <v>10</v>
      </c>
      <c r="F2793" s="290">
        <v>1</v>
      </c>
      <c r="G2793" s="289">
        <v>900</v>
      </c>
      <c r="H2793" s="289">
        <v>0</v>
      </c>
      <c r="I2793" s="289">
        <v>90</v>
      </c>
      <c r="J2793" s="289">
        <v>70</v>
      </c>
      <c r="K2793" s="289">
        <v>7</v>
      </c>
      <c r="L2793" s="289">
        <v>1067</v>
      </c>
    </row>
    <row r="2794" spans="1:12">
      <c r="A2794" s="288" t="s">
        <v>3646</v>
      </c>
      <c r="B2794" s="288" t="s">
        <v>3639</v>
      </c>
      <c r="C2794" s="288" t="s">
        <v>814</v>
      </c>
      <c r="D2794" s="288" t="s">
        <v>815</v>
      </c>
      <c r="E2794" s="289">
        <v>10</v>
      </c>
      <c r="F2794" s="290">
        <v>0</v>
      </c>
      <c r="G2794" s="289">
        <v>900</v>
      </c>
      <c r="H2794" s="289">
        <v>0</v>
      </c>
      <c r="I2794" s="289">
        <v>90</v>
      </c>
      <c r="J2794" s="289">
        <v>50</v>
      </c>
      <c r="K2794" s="289">
        <v>5</v>
      </c>
      <c r="L2794" s="289">
        <v>1045</v>
      </c>
    </row>
    <row r="2795" spans="1:12">
      <c r="A2795" s="288" t="s">
        <v>3647</v>
      </c>
      <c r="B2795" s="288" t="s">
        <v>3639</v>
      </c>
      <c r="C2795" s="288" t="s">
        <v>814</v>
      </c>
      <c r="D2795" s="288" t="s">
        <v>815</v>
      </c>
      <c r="E2795" s="289">
        <v>10</v>
      </c>
      <c r="F2795" s="290">
        <v>0</v>
      </c>
      <c r="G2795" s="289">
        <v>900</v>
      </c>
      <c r="H2795" s="289">
        <v>0</v>
      </c>
      <c r="I2795" s="289">
        <v>90</v>
      </c>
      <c r="J2795" s="289">
        <v>50</v>
      </c>
      <c r="K2795" s="289">
        <v>5</v>
      </c>
      <c r="L2795" s="289">
        <v>1045</v>
      </c>
    </row>
    <row r="2796" spans="1:12">
      <c r="A2796" s="288" t="s">
        <v>3648</v>
      </c>
      <c r="B2796" s="288" t="s">
        <v>3639</v>
      </c>
      <c r="C2796" s="288" t="s">
        <v>814</v>
      </c>
      <c r="D2796" s="288" t="s">
        <v>818</v>
      </c>
      <c r="E2796" s="289">
        <v>10</v>
      </c>
      <c r="F2796" s="290">
        <v>5</v>
      </c>
      <c r="G2796" s="289">
        <v>900</v>
      </c>
      <c r="H2796" s="289">
        <v>0</v>
      </c>
      <c r="I2796" s="289">
        <v>90</v>
      </c>
      <c r="J2796" s="289">
        <v>70</v>
      </c>
      <c r="K2796" s="289">
        <v>7</v>
      </c>
      <c r="L2796" s="289">
        <v>1067</v>
      </c>
    </row>
    <row r="2797" spans="1:12">
      <c r="A2797" s="288" t="s">
        <v>3649</v>
      </c>
      <c r="B2797" s="288" t="s">
        <v>3639</v>
      </c>
      <c r="C2797" s="288" t="s">
        <v>814</v>
      </c>
      <c r="D2797" s="288" t="s">
        <v>818</v>
      </c>
      <c r="E2797" s="289">
        <v>10</v>
      </c>
      <c r="F2797" s="290">
        <v>28</v>
      </c>
      <c r="G2797" s="289">
        <v>1100</v>
      </c>
      <c r="H2797" s="289">
        <v>1980</v>
      </c>
      <c r="I2797" s="289">
        <v>308</v>
      </c>
      <c r="J2797" s="289">
        <v>70</v>
      </c>
      <c r="K2797" s="289">
        <v>7</v>
      </c>
      <c r="L2797" s="289">
        <v>3465</v>
      </c>
    </row>
    <row r="2798" spans="1:12">
      <c r="A2798" s="288" t="s">
        <v>3650</v>
      </c>
      <c r="B2798" s="288" t="s">
        <v>3639</v>
      </c>
      <c r="C2798" s="288" t="s">
        <v>814</v>
      </c>
      <c r="D2798" s="288" t="s">
        <v>818</v>
      </c>
      <c r="E2798" s="289">
        <v>10</v>
      </c>
      <c r="F2798" s="290">
        <v>19</v>
      </c>
      <c r="G2798" s="289">
        <v>1100</v>
      </c>
      <c r="H2798" s="289">
        <v>990</v>
      </c>
      <c r="I2798" s="289">
        <v>209</v>
      </c>
      <c r="J2798" s="289">
        <v>70</v>
      </c>
      <c r="K2798" s="289">
        <v>7</v>
      </c>
      <c r="L2798" s="289">
        <v>2376</v>
      </c>
    </row>
    <row r="2799" spans="1:12">
      <c r="A2799" s="288" t="s">
        <v>3651</v>
      </c>
      <c r="B2799" s="288" t="s">
        <v>3639</v>
      </c>
      <c r="C2799" s="288" t="s">
        <v>814</v>
      </c>
      <c r="D2799" s="288" t="s">
        <v>818</v>
      </c>
      <c r="E2799" s="289">
        <v>10</v>
      </c>
      <c r="F2799" s="290">
        <v>27</v>
      </c>
      <c r="G2799" s="289">
        <v>1100</v>
      </c>
      <c r="H2799" s="289">
        <v>1870</v>
      </c>
      <c r="I2799" s="289">
        <v>297</v>
      </c>
      <c r="J2799" s="289">
        <v>70</v>
      </c>
      <c r="K2799" s="289">
        <v>7</v>
      </c>
      <c r="L2799" s="289">
        <v>3344</v>
      </c>
    </row>
    <row r="2800" spans="1:12">
      <c r="A2800" s="288" t="s">
        <v>3652</v>
      </c>
      <c r="B2800" s="288" t="s">
        <v>3639</v>
      </c>
      <c r="C2800" s="288" t="s">
        <v>814</v>
      </c>
      <c r="D2800" s="288" t="s">
        <v>818</v>
      </c>
      <c r="E2800" s="289">
        <v>10</v>
      </c>
      <c r="F2800" s="290">
        <v>15</v>
      </c>
      <c r="G2800" s="289">
        <v>1100</v>
      </c>
      <c r="H2800" s="289">
        <v>550</v>
      </c>
      <c r="I2800" s="289">
        <v>165</v>
      </c>
      <c r="J2800" s="289">
        <v>70</v>
      </c>
      <c r="K2800" s="289">
        <v>7</v>
      </c>
      <c r="L2800" s="289">
        <v>1892</v>
      </c>
    </row>
    <row r="2801" spans="1:12">
      <c r="A2801" s="288" t="s">
        <v>3653</v>
      </c>
      <c r="B2801" s="288" t="s">
        <v>3639</v>
      </c>
      <c r="C2801" s="288" t="s">
        <v>814</v>
      </c>
      <c r="D2801" s="288" t="s">
        <v>818</v>
      </c>
      <c r="E2801" s="289">
        <v>10</v>
      </c>
      <c r="F2801" s="290">
        <v>32</v>
      </c>
      <c r="G2801" s="289">
        <v>1100</v>
      </c>
      <c r="H2801" s="289">
        <v>2420</v>
      </c>
      <c r="I2801" s="289">
        <v>352</v>
      </c>
      <c r="J2801" s="289">
        <v>70</v>
      </c>
      <c r="K2801" s="289">
        <v>7</v>
      </c>
      <c r="L2801" s="289">
        <v>3949</v>
      </c>
    </row>
    <row r="2802" spans="1:12">
      <c r="A2802" s="288" t="s">
        <v>3654</v>
      </c>
      <c r="B2802" s="288" t="s">
        <v>3639</v>
      </c>
      <c r="C2802" s="288" t="s">
        <v>814</v>
      </c>
      <c r="D2802" s="288" t="s">
        <v>818</v>
      </c>
      <c r="E2802" s="289">
        <v>10</v>
      </c>
      <c r="F2802" s="290">
        <v>20</v>
      </c>
      <c r="G2802" s="289">
        <v>1100</v>
      </c>
      <c r="H2802" s="289">
        <v>1100</v>
      </c>
      <c r="I2802" s="289">
        <v>220</v>
      </c>
      <c r="J2802" s="289">
        <v>70</v>
      </c>
      <c r="K2802" s="289">
        <v>7</v>
      </c>
      <c r="L2802" s="289">
        <v>2497</v>
      </c>
    </row>
    <row r="2803" spans="1:12">
      <c r="A2803" s="288" t="s">
        <v>3655</v>
      </c>
      <c r="B2803" s="288" t="s">
        <v>3639</v>
      </c>
      <c r="C2803" s="288" t="s">
        <v>814</v>
      </c>
      <c r="D2803" s="288" t="s">
        <v>818</v>
      </c>
      <c r="E2803" s="289">
        <v>10</v>
      </c>
      <c r="F2803" s="290">
        <v>30</v>
      </c>
      <c r="G2803" s="289">
        <v>1100</v>
      </c>
      <c r="H2803" s="289">
        <v>2200</v>
      </c>
      <c r="I2803" s="289">
        <v>330</v>
      </c>
      <c r="J2803" s="289">
        <v>70</v>
      </c>
      <c r="K2803" s="289">
        <v>7</v>
      </c>
      <c r="L2803" s="289">
        <v>3707</v>
      </c>
    </row>
    <row r="2804" spans="1:12">
      <c r="A2804" s="288" t="s">
        <v>3656</v>
      </c>
      <c r="B2804" s="288" t="s">
        <v>3639</v>
      </c>
      <c r="C2804" s="288" t="s">
        <v>814</v>
      </c>
      <c r="D2804" s="288" t="s">
        <v>818</v>
      </c>
      <c r="E2804" s="289">
        <v>10</v>
      </c>
      <c r="F2804" s="290">
        <v>24</v>
      </c>
      <c r="G2804" s="289">
        <v>1100</v>
      </c>
      <c r="H2804" s="289">
        <v>1540</v>
      </c>
      <c r="I2804" s="289">
        <v>264</v>
      </c>
      <c r="J2804" s="289">
        <v>70</v>
      </c>
      <c r="K2804" s="289">
        <v>7</v>
      </c>
      <c r="L2804" s="289">
        <v>2981</v>
      </c>
    </row>
    <row r="2805" spans="1:12">
      <c r="A2805" s="288" t="s">
        <v>3657</v>
      </c>
      <c r="B2805" s="288" t="s">
        <v>3639</v>
      </c>
      <c r="C2805" s="288" t="s">
        <v>829</v>
      </c>
      <c r="D2805" s="288" t="s">
        <v>818</v>
      </c>
      <c r="E2805" s="289">
        <v>10</v>
      </c>
      <c r="F2805" s="290">
        <v>1</v>
      </c>
      <c r="G2805" s="289">
        <v>900</v>
      </c>
      <c r="H2805" s="289">
        <v>0</v>
      </c>
      <c r="I2805" s="289">
        <v>90</v>
      </c>
      <c r="J2805" s="289">
        <v>70</v>
      </c>
      <c r="K2805" s="289">
        <v>7</v>
      </c>
      <c r="L2805" s="289">
        <v>1067</v>
      </c>
    </row>
    <row r="2806" spans="1:12">
      <c r="A2806" s="288" t="s">
        <v>3658</v>
      </c>
      <c r="B2806" s="288" t="s">
        <v>3639</v>
      </c>
      <c r="C2806" s="288" t="s">
        <v>814</v>
      </c>
      <c r="D2806" s="288" t="s">
        <v>818</v>
      </c>
      <c r="E2806" s="289">
        <v>10</v>
      </c>
      <c r="F2806" s="290">
        <v>19</v>
      </c>
      <c r="G2806" s="289">
        <v>1100</v>
      </c>
      <c r="H2806" s="289">
        <v>990</v>
      </c>
      <c r="I2806" s="289">
        <v>209</v>
      </c>
      <c r="J2806" s="289">
        <v>70</v>
      </c>
      <c r="K2806" s="289">
        <v>7</v>
      </c>
      <c r="L2806" s="289">
        <v>2376</v>
      </c>
    </row>
    <row r="2807" spans="1:12">
      <c r="A2807" s="288" t="s">
        <v>3659</v>
      </c>
      <c r="B2807" s="288" t="s">
        <v>3639</v>
      </c>
      <c r="C2807" s="288" t="s">
        <v>814</v>
      </c>
      <c r="D2807" s="288" t="s">
        <v>818</v>
      </c>
      <c r="E2807" s="289">
        <v>10</v>
      </c>
      <c r="F2807" s="290">
        <v>6</v>
      </c>
      <c r="G2807" s="289">
        <v>1100</v>
      </c>
      <c r="H2807" s="289">
        <v>0</v>
      </c>
      <c r="I2807" s="289">
        <v>110</v>
      </c>
      <c r="J2807" s="289">
        <v>70</v>
      </c>
      <c r="K2807" s="289">
        <v>7</v>
      </c>
      <c r="L2807" s="289">
        <v>1287</v>
      </c>
    </row>
    <row r="2808" spans="1:12">
      <c r="A2808" s="288" t="s">
        <v>3660</v>
      </c>
      <c r="B2808" s="288" t="s">
        <v>3639</v>
      </c>
      <c r="C2808" s="288" t="s">
        <v>814</v>
      </c>
      <c r="D2808" s="288" t="s">
        <v>818</v>
      </c>
      <c r="E2808" s="289">
        <v>10</v>
      </c>
      <c r="F2808" s="290">
        <v>31</v>
      </c>
      <c r="G2808" s="289">
        <v>1100</v>
      </c>
      <c r="H2808" s="289">
        <v>2310</v>
      </c>
      <c r="I2808" s="289">
        <v>341</v>
      </c>
      <c r="J2808" s="289">
        <v>70</v>
      </c>
      <c r="K2808" s="289">
        <v>7</v>
      </c>
      <c r="L2808" s="289">
        <v>3828</v>
      </c>
    </row>
    <row r="2809" spans="1:12">
      <c r="A2809" s="288" t="s">
        <v>3661</v>
      </c>
      <c r="B2809" s="288" t="s">
        <v>3639</v>
      </c>
      <c r="C2809" s="288" t="s">
        <v>814</v>
      </c>
      <c r="D2809" s="288" t="s">
        <v>818</v>
      </c>
      <c r="E2809" s="289">
        <v>10</v>
      </c>
      <c r="F2809" s="290">
        <v>15</v>
      </c>
      <c r="G2809" s="289">
        <v>1100</v>
      </c>
      <c r="H2809" s="289">
        <v>550</v>
      </c>
      <c r="I2809" s="289">
        <v>165</v>
      </c>
      <c r="J2809" s="289">
        <v>70</v>
      </c>
      <c r="K2809" s="289">
        <v>7</v>
      </c>
      <c r="L2809" s="289">
        <v>1892</v>
      </c>
    </row>
    <row r="2810" spans="1:12">
      <c r="A2810" s="288" t="s">
        <v>3662</v>
      </c>
      <c r="B2810" s="288" t="s">
        <v>3639</v>
      </c>
      <c r="C2810" s="288" t="s">
        <v>814</v>
      </c>
      <c r="D2810" s="288" t="s">
        <v>818</v>
      </c>
      <c r="E2810" s="289">
        <v>10</v>
      </c>
      <c r="F2810" s="290">
        <v>2</v>
      </c>
      <c r="G2810" s="289">
        <v>900</v>
      </c>
      <c r="H2810" s="289">
        <v>0</v>
      </c>
      <c r="I2810" s="289">
        <v>90</v>
      </c>
      <c r="J2810" s="289">
        <v>70</v>
      </c>
      <c r="K2810" s="289">
        <v>7</v>
      </c>
      <c r="L2810" s="289">
        <v>1067</v>
      </c>
    </row>
    <row r="2811" spans="1:12">
      <c r="A2811" s="288" t="s">
        <v>3663</v>
      </c>
      <c r="B2811" s="288" t="s">
        <v>3639</v>
      </c>
      <c r="C2811" s="288" t="s">
        <v>814</v>
      </c>
      <c r="D2811" s="288" t="s">
        <v>818</v>
      </c>
      <c r="E2811" s="289">
        <v>10</v>
      </c>
      <c r="F2811" s="290">
        <v>18</v>
      </c>
      <c r="G2811" s="289">
        <v>1100</v>
      </c>
      <c r="H2811" s="289">
        <v>880</v>
      </c>
      <c r="I2811" s="289">
        <v>198</v>
      </c>
      <c r="J2811" s="289">
        <v>70</v>
      </c>
      <c r="K2811" s="289">
        <v>7</v>
      </c>
      <c r="L2811" s="289">
        <v>2255</v>
      </c>
    </row>
    <row r="2812" spans="1:12">
      <c r="A2812" s="288" t="s">
        <v>3664</v>
      </c>
      <c r="B2812" s="288" t="s">
        <v>3639</v>
      </c>
      <c r="C2812" s="288" t="s">
        <v>814</v>
      </c>
      <c r="D2812" s="288" t="s">
        <v>818</v>
      </c>
      <c r="E2812" s="289">
        <v>10</v>
      </c>
      <c r="F2812" s="290">
        <v>13</v>
      </c>
      <c r="G2812" s="289">
        <v>1100</v>
      </c>
      <c r="H2812" s="289">
        <v>330</v>
      </c>
      <c r="I2812" s="289">
        <v>143</v>
      </c>
      <c r="J2812" s="289">
        <v>70</v>
      </c>
      <c r="K2812" s="289">
        <v>7</v>
      </c>
      <c r="L2812" s="289">
        <v>1650</v>
      </c>
    </row>
    <row r="2813" spans="1:12">
      <c r="A2813" s="288" t="s">
        <v>3665</v>
      </c>
      <c r="B2813" s="288" t="s">
        <v>3639</v>
      </c>
      <c r="C2813" s="288" t="s">
        <v>814</v>
      </c>
      <c r="D2813" s="288" t="s">
        <v>818</v>
      </c>
      <c r="E2813" s="289">
        <v>10</v>
      </c>
      <c r="F2813" s="290">
        <v>10</v>
      </c>
      <c r="G2813" s="289">
        <v>1100</v>
      </c>
      <c r="H2813" s="289">
        <v>0</v>
      </c>
      <c r="I2813" s="289">
        <v>110</v>
      </c>
      <c r="J2813" s="289">
        <v>70</v>
      </c>
      <c r="K2813" s="289">
        <v>7</v>
      </c>
      <c r="L2813" s="289">
        <v>1287</v>
      </c>
    </row>
    <row r="2814" spans="1:12">
      <c r="A2814" s="288" t="s">
        <v>3666</v>
      </c>
      <c r="B2814" s="288" t="s">
        <v>3639</v>
      </c>
      <c r="C2814" s="288" t="s">
        <v>814</v>
      </c>
      <c r="D2814" s="288" t="s">
        <v>818</v>
      </c>
      <c r="E2814" s="289">
        <v>10</v>
      </c>
      <c r="F2814" s="290">
        <v>16</v>
      </c>
      <c r="G2814" s="289">
        <v>1100</v>
      </c>
      <c r="H2814" s="289">
        <v>660</v>
      </c>
      <c r="I2814" s="289">
        <v>176</v>
      </c>
      <c r="J2814" s="289">
        <v>70</v>
      </c>
      <c r="K2814" s="289">
        <v>7</v>
      </c>
      <c r="L2814" s="289">
        <v>2013</v>
      </c>
    </row>
    <row r="2815" spans="1:12">
      <c r="A2815" s="288" t="s">
        <v>3667</v>
      </c>
      <c r="B2815" s="288" t="s">
        <v>3639</v>
      </c>
      <c r="C2815" s="288" t="s">
        <v>814</v>
      </c>
      <c r="D2815" s="288" t="s">
        <v>818</v>
      </c>
      <c r="E2815" s="289">
        <v>10</v>
      </c>
      <c r="F2815" s="290">
        <v>5</v>
      </c>
      <c r="G2815" s="289">
        <v>900</v>
      </c>
      <c r="H2815" s="289">
        <v>0</v>
      </c>
      <c r="I2815" s="289">
        <v>90</v>
      </c>
      <c r="J2815" s="289">
        <v>70</v>
      </c>
      <c r="K2815" s="289">
        <v>7</v>
      </c>
      <c r="L2815" s="289">
        <v>1067</v>
      </c>
    </row>
    <row r="2816" spans="1:12">
      <c r="A2816" s="288" t="s">
        <v>3668</v>
      </c>
      <c r="B2816" s="288" t="s">
        <v>3639</v>
      </c>
      <c r="C2816" s="288" t="s">
        <v>814</v>
      </c>
      <c r="D2816" s="288" t="s">
        <v>818</v>
      </c>
      <c r="E2816" s="289">
        <v>10</v>
      </c>
      <c r="F2816" s="290">
        <v>17</v>
      </c>
      <c r="G2816" s="289">
        <v>1100</v>
      </c>
      <c r="H2816" s="289">
        <v>770</v>
      </c>
      <c r="I2816" s="289">
        <v>187</v>
      </c>
      <c r="J2816" s="289">
        <v>70</v>
      </c>
      <c r="K2816" s="289">
        <v>7</v>
      </c>
      <c r="L2816" s="289">
        <v>2134</v>
      </c>
    </row>
    <row r="2817" spans="1:12">
      <c r="A2817" s="288" t="s">
        <v>3669</v>
      </c>
      <c r="B2817" s="288" t="s">
        <v>3639</v>
      </c>
      <c r="C2817" s="288" t="s">
        <v>814</v>
      </c>
      <c r="D2817" s="288" t="s">
        <v>818</v>
      </c>
      <c r="E2817" s="289">
        <v>10</v>
      </c>
      <c r="F2817" s="290">
        <v>9</v>
      </c>
      <c r="G2817" s="289">
        <v>1100</v>
      </c>
      <c r="H2817" s="289">
        <v>0</v>
      </c>
      <c r="I2817" s="289">
        <v>110</v>
      </c>
      <c r="J2817" s="289">
        <v>70</v>
      </c>
      <c r="K2817" s="289">
        <v>7</v>
      </c>
      <c r="L2817" s="289">
        <v>1287</v>
      </c>
    </row>
    <row r="2818" spans="1:12">
      <c r="A2818" s="288" t="s">
        <v>3670</v>
      </c>
      <c r="B2818" s="288" t="s">
        <v>3639</v>
      </c>
      <c r="C2818" s="288" t="s">
        <v>814</v>
      </c>
      <c r="D2818" s="288" t="s">
        <v>818</v>
      </c>
      <c r="E2818" s="289">
        <v>10</v>
      </c>
      <c r="F2818" s="290">
        <v>13</v>
      </c>
      <c r="G2818" s="289">
        <v>1100</v>
      </c>
      <c r="H2818" s="289">
        <v>330</v>
      </c>
      <c r="I2818" s="289">
        <v>143</v>
      </c>
      <c r="J2818" s="289">
        <v>70</v>
      </c>
      <c r="K2818" s="289">
        <v>7</v>
      </c>
      <c r="L2818" s="289">
        <v>1650</v>
      </c>
    </row>
    <row r="2819" spans="1:12">
      <c r="A2819" s="288" t="s">
        <v>3671</v>
      </c>
      <c r="B2819" s="288" t="s">
        <v>3639</v>
      </c>
      <c r="C2819" s="288" t="s">
        <v>814</v>
      </c>
      <c r="D2819" s="288" t="s">
        <v>818</v>
      </c>
      <c r="E2819" s="289">
        <v>10</v>
      </c>
      <c r="F2819" s="290">
        <v>14</v>
      </c>
      <c r="G2819" s="289">
        <v>1100</v>
      </c>
      <c r="H2819" s="289">
        <v>440</v>
      </c>
      <c r="I2819" s="289">
        <v>154</v>
      </c>
      <c r="J2819" s="289">
        <v>70</v>
      </c>
      <c r="K2819" s="289">
        <v>7</v>
      </c>
      <c r="L2819" s="289">
        <v>1771</v>
      </c>
    </row>
    <row r="2820" spans="1:12">
      <c r="A2820" s="288" t="s">
        <v>3672</v>
      </c>
      <c r="B2820" s="288" t="s">
        <v>3639</v>
      </c>
      <c r="C2820" s="288" t="s">
        <v>814</v>
      </c>
      <c r="D2820" s="288" t="s">
        <v>818</v>
      </c>
      <c r="E2820" s="289">
        <v>10</v>
      </c>
      <c r="F2820" s="290">
        <v>37</v>
      </c>
      <c r="G2820" s="289">
        <v>1100</v>
      </c>
      <c r="H2820" s="289">
        <v>2970</v>
      </c>
      <c r="I2820" s="289">
        <v>407</v>
      </c>
      <c r="J2820" s="289">
        <v>70</v>
      </c>
      <c r="K2820" s="289">
        <v>7</v>
      </c>
      <c r="L2820" s="289">
        <v>4554</v>
      </c>
    </row>
    <row r="2821" spans="1:12">
      <c r="A2821" s="288" t="s">
        <v>3673</v>
      </c>
      <c r="B2821" s="288" t="s">
        <v>3639</v>
      </c>
      <c r="C2821" s="288" t="s">
        <v>814</v>
      </c>
      <c r="D2821" s="288" t="s">
        <v>818</v>
      </c>
      <c r="E2821" s="289">
        <v>10</v>
      </c>
      <c r="F2821" s="290">
        <v>33</v>
      </c>
      <c r="G2821" s="289">
        <v>1100</v>
      </c>
      <c r="H2821" s="289">
        <v>2530</v>
      </c>
      <c r="I2821" s="289">
        <v>363</v>
      </c>
      <c r="J2821" s="289">
        <v>70</v>
      </c>
      <c r="K2821" s="289">
        <v>7</v>
      </c>
      <c r="L2821" s="289">
        <v>4070</v>
      </c>
    </row>
    <row r="2822" spans="1:12">
      <c r="A2822" s="288" t="s">
        <v>3674</v>
      </c>
      <c r="B2822" s="288" t="s">
        <v>3639</v>
      </c>
      <c r="C2822" s="288" t="s">
        <v>814</v>
      </c>
      <c r="D2822" s="288" t="s">
        <v>818</v>
      </c>
      <c r="E2822" s="289">
        <v>10</v>
      </c>
      <c r="F2822" s="290">
        <v>73</v>
      </c>
      <c r="G2822" s="289">
        <v>1100</v>
      </c>
      <c r="H2822" s="289">
        <v>6930</v>
      </c>
      <c r="I2822" s="289">
        <v>803</v>
      </c>
      <c r="J2822" s="289">
        <v>70</v>
      </c>
      <c r="K2822" s="289">
        <v>7</v>
      </c>
      <c r="L2822" s="289">
        <v>8910</v>
      </c>
    </row>
    <row r="2823" spans="1:12">
      <c r="A2823" s="288" t="s">
        <v>3675</v>
      </c>
      <c r="B2823" s="288" t="s">
        <v>3639</v>
      </c>
      <c r="C2823" s="288" t="s">
        <v>814</v>
      </c>
      <c r="D2823" s="288" t="s">
        <v>818</v>
      </c>
      <c r="E2823" s="289">
        <v>10</v>
      </c>
      <c r="F2823" s="290">
        <v>7</v>
      </c>
      <c r="G2823" s="289">
        <v>1100</v>
      </c>
      <c r="H2823" s="289">
        <v>0</v>
      </c>
      <c r="I2823" s="289">
        <v>110</v>
      </c>
      <c r="J2823" s="289">
        <v>70</v>
      </c>
      <c r="K2823" s="289">
        <v>7</v>
      </c>
      <c r="L2823" s="289">
        <v>1287</v>
      </c>
    </row>
    <row r="2824" spans="1:12">
      <c r="A2824" s="288" t="s">
        <v>3676</v>
      </c>
      <c r="B2824" s="288" t="s">
        <v>3639</v>
      </c>
      <c r="C2824" s="288" t="s">
        <v>814</v>
      </c>
      <c r="D2824" s="288" t="s">
        <v>818</v>
      </c>
      <c r="E2824" s="289">
        <v>10</v>
      </c>
      <c r="F2824" s="290">
        <v>12</v>
      </c>
      <c r="G2824" s="289">
        <v>1100</v>
      </c>
      <c r="H2824" s="289">
        <v>220</v>
      </c>
      <c r="I2824" s="289">
        <v>132</v>
      </c>
      <c r="J2824" s="289">
        <v>70</v>
      </c>
      <c r="K2824" s="289">
        <v>7</v>
      </c>
      <c r="L2824" s="289">
        <v>1529</v>
      </c>
    </row>
    <row r="2825" spans="1:12">
      <c r="A2825" s="288" t="s">
        <v>3677</v>
      </c>
      <c r="B2825" s="288" t="s">
        <v>3639</v>
      </c>
      <c r="C2825" s="288" t="s">
        <v>814</v>
      </c>
      <c r="D2825" s="288" t="s">
        <v>818</v>
      </c>
      <c r="E2825" s="289">
        <v>10</v>
      </c>
      <c r="F2825" s="290">
        <v>1</v>
      </c>
      <c r="G2825" s="289">
        <v>900</v>
      </c>
      <c r="H2825" s="289">
        <v>0</v>
      </c>
      <c r="I2825" s="289">
        <v>90</v>
      </c>
      <c r="J2825" s="289">
        <v>70</v>
      </c>
      <c r="K2825" s="289">
        <v>7</v>
      </c>
      <c r="L2825" s="289">
        <v>1067</v>
      </c>
    </row>
    <row r="2826" spans="1:12">
      <c r="A2826" s="288" t="s">
        <v>3678</v>
      </c>
      <c r="B2826" s="288" t="s">
        <v>3639</v>
      </c>
      <c r="C2826" s="288" t="s">
        <v>814</v>
      </c>
      <c r="D2826" s="288" t="s">
        <v>818</v>
      </c>
      <c r="E2826" s="289">
        <v>10</v>
      </c>
      <c r="F2826" s="290">
        <v>0</v>
      </c>
      <c r="G2826" s="289">
        <v>900</v>
      </c>
      <c r="H2826" s="289">
        <v>0</v>
      </c>
      <c r="I2826" s="289">
        <v>90</v>
      </c>
      <c r="J2826" s="289">
        <v>70</v>
      </c>
      <c r="K2826" s="289">
        <v>7</v>
      </c>
      <c r="L2826" s="289">
        <v>1067</v>
      </c>
    </row>
    <row r="2827" spans="1:12">
      <c r="A2827" s="288" t="s">
        <v>3679</v>
      </c>
      <c r="B2827" s="288" t="s">
        <v>3639</v>
      </c>
      <c r="C2827" s="288" t="s">
        <v>814</v>
      </c>
      <c r="D2827" s="288" t="s">
        <v>818</v>
      </c>
      <c r="E2827" s="289">
        <v>10</v>
      </c>
      <c r="F2827" s="290">
        <v>27</v>
      </c>
      <c r="G2827" s="289">
        <v>1100</v>
      </c>
      <c r="H2827" s="289">
        <v>1870</v>
      </c>
      <c r="I2827" s="289">
        <v>297</v>
      </c>
      <c r="J2827" s="289">
        <v>70</v>
      </c>
      <c r="K2827" s="289">
        <v>7</v>
      </c>
      <c r="L2827" s="289">
        <v>3344</v>
      </c>
    </row>
    <row r="2828" spans="1:12">
      <c r="A2828" s="288" t="s">
        <v>3680</v>
      </c>
      <c r="B2828" s="288" t="s">
        <v>3639</v>
      </c>
      <c r="C2828" s="288" t="s">
        <v>829</v>
      </c>
      <c r="D2828" s="288" t="s">
        <v>818</v>
      </c>
      <c r="E2828" s="289">
        <v>10</v>
      </c>
      <c r="F2828" s="290">
        <v>0</v>
      </c>
      <c r="G2828" s="289">
        <v>900</v>
      </c>
      <c r="H2828" s="289">
        <v>0</v>
      </c>
      <c r="I2828" s="289">
        <v>90</v>
      </c>
      <c r="J2828" s="289">
        <v>70</v>
      </c>
      <c r="K2828" s="289">
        <v>7</v>
      </c>
      <c r="L2828" s="289">
        <v>1067</v>
      </c>
    </row>
    <row r="2829" spans="1:12">
      <c r="A2829" s="288" t="s">
        <v>3681</v>
      </c>
      <c r="B2829" s="288" t="s">
        <v>3639</v>
      </c>
      <c r="C2829" s="288" t="s">
        <v>829</v>
      </c>
      <c r="D2829" s="288" t="s">
        <v>818</v>
      </c>
      <c r="E2829" s="289">
        <v>10</v>
      </c>
      <c r="F2829" s="290">
        <v>4</v>
      </c>
      <c r="G2829" s="289">
        <v>900</v>
      </c>
      <c r="H2829" s="289">
        <v>0</v>
      </c>
      <c r="I2829" s="289">
        <v>90</v>
      </c>
      <c r="J2829" s="289">
        <v>70</v>
      </c>
      <c r="K2829" s="289">
        <v>7</v>
      </c>
      <c r="L2829" s="289">
        <v>1067</v>
      </c>
    </row>
    <row r="2830" spans="1:12">
      <c r="A2830" s="288" t="s">
        <v>3682</v>
      </c>
      <c r="B2830" s="288" t="s">
        <v>3639</v>
      </c>
      <c r="C2830" s="288" t="s">
        <v>829</v>
      </c>
      <c r="D2830" s="288" t="s">
        <v>815</v>
      </c>
      <c r="E2830" s="289">
        <v>10</v>
      </c>
      <c r="F2830" s="290">
        <v>4</v>
      </c>
      <c r="G2830" s="289">
        <v>900</v>
      </c>
      <c r="H2830" s="289">
        <v>0</v>
      </c>
      <c r="I2830" s="289">
        <v>90</v>
      </c>
      <c r="J2830" s="289">
        <v>50</v>
      </c>
      <c r="K2830" s="289">
        <v>5</v>
      </c>
      <c r="L2830" s="289">
        <v>1045</v>
      </c>
    </row>
    <row r="2831" spans="1:12">
      <c r="A2831" s="288" t="s">
        <v>3683</v>
      </c>
      <c r="B2831" s="288" t="s">
        <v>3639</v>
      </c>
      <c r="C2831" s="288" t="s">
        <v>820</v>
      </c>
      <c r="D2831" s="288" t="s">
        <v>818</v>
      </c>
      <c r="E2831" s="289">
        <v>10</v>
      </c>
      <c r="F2831" s="290">
        <v>0</v>
      </c>
      <c r="G2831" s="289">
        <v>900</v>
      </c>
      <c r="H2831" s="289">
        <v>0</v>
      </c>
      <c r="I2831" s="289">
        <v>90</v>
      </c>
      <c r="J2831" s="289">
        <v>70</v>
      </c>
      <c r="K2831" s="289">
        <v>7</v>
      </c>
      <c r="L2831" s="289">
        <v>1067</v>
      </c>
    </row>
    <row r="2832" spans="1:12">
      <c r="A2832" s="288" t="s">
        <v>3684</v>
      </c>
      <c r="B2832" s="288" t="s">
        <v>3639</v>
      </c>
      <c r="C2832" s="288" t="s">
        <v>814</v>
      </c>
      <c r="D2832" s="288" t="s">
        <v>818</v>
      </c>
      <c r="E2832" s="289">
        <v>10</v>
      </c>
      <c r="F2832" s="290">
        <v>0</v>
      </c>
      <c r="G2832" s="289">
        <v>900</v>
      </c>
      <c r="H2832" s="289">
        <v>0</v>
      </c>
      <c r="I2832" s="289">
        <v>90</v>
      </c>
      <c r="J2832" s="289">
        <v>70</v>
      </c>
      <c r="K2832" s="289">
        <v>7</v>
      </c>
      <c r="L2832" s="289">
        <v>1067</v>
      </c>
    </row>
    <row r="2833" spans="1:12">
      <c r="A2833" s="288" t="s">
        <v>3685</v>
      </c>
      <c r="B2833" s="288" t="s">
        <v>3639</v>
      </c>
      <c r="C2833" s="288" t="s">
        <v>829</v>
      </c>
      <c r="D2833" s="288" t="s">
        <v>818</v>
      </c>
      <c r="E2833" s="289">
        <v>10</v>
      </c>
      <c r="F2833" s="290">
        <v>0</v>
      </c>
      <c r="G2833" s="289">
        <v>900</v>
      </c>
      <c r="H2833" s="289">
        <v>0</v>
      </c>
      <c r="I2833" s="289">
        <v>90</v>
      </c>
      <c r="J2833" s="289">
        <v>70</v>
      </c>
      <c r="K2833" s="289">
        <v>7</v>
      </c>
      <c r="L2833" s="289">
        <v>1067</v>
      </c>
    </row>
    <row r="2834" spans="1:12">
      <c r="A2834" s="288" t="s">
        <v>3686</v>
      </c>
      <c r="B2834" s="288" t="s">
        <v>3687</v>
      </c>
      <c r="C2834" s="288" t="s">
        <v>814</v>
      </c>
      <c r="D2834" s="288" t="s">
        <v>818</v>
      </c>
      <c r="E2834" s="289">
        <v>10</v>
      </c>
      <c r="F2834" s="290">
        <v>0</v>
      </c>
      <c r="G2834" s="289">
        <v>900</v>
      </c>
      <c r="H2834" s="289">
        <v>0</v>
      </c>
      <c r="I2834" s="289">
        <v>90</v>
      </c>
      <c r="J2834" s="289">
        <v>70</v>
      </c>
      <c r="K2834" s="289">
        <v>7</v>
      </c>
      <c r="L2834" s="289">
        <v>1067</v>
      </c>
    </row>
    <row r="2835" spans="1:12">
      <c r="A2835" s="288" t="s">
        <v>3688</v>
      </c>
      <c r="B2835" s="288" t="s">
        <v>3687</v>
      </c>
      <c r="C2835" s="288" t="s">
        <v>820</v>
      </c>
      <c r="D2835" s="288" t="s">
        <v>818</v>
      </c>
      <c r="E2835" s="289">
        <v>10</v>
      </c>
      <c r="F2835" s="290">
        <v>2</v>
      </c>
      <c r="G2835" s="289">
        <v>900</v>
      </c>
      <c r="H2835" s="289">
        <v>0</v>
      </c>
      <c r="I2835" s="289">
        <v>90</v>
      </c>
      <c r="J2835" s="289">
        <v>70</v>
      </c>
      <c r="K2835" s="289">
        <v>7</v>
      </c>
      <c r="L2835" s="289">
        <v>1067</v>
      </c>
    </row>
    <row r="2836" spans="1:12">
      <c r="A2836" s="288" t="s">
        <v>3689</v>
      </c>
      <c r="B2836" s="288" t="s">
        <v>3687</v>
      </c>
      <c r="C2836" s="288" t="s">
        <v>814</v>
      </c>
      <c r="D2836" s="288" t="s">
        <v>815</v>
      </c>
      <c r="E2836" s="289">
        <v>10</v>
      </c>
      <c r="F2836" s="290">
        <v>1</v>
      </c>
      <c r="G2836" s="289">
        <v>900</v>
      </c>
      <c r="H2836" s="289">
        <v>0</v>
      </c>
      <c r="I2836" s="289">
        <v>90</v>
      </c>
      <c r="J2836" s="289">
        <v>50</v>
      </c>
      <c r="K2836" s="289">
        <v>5</v>
      </c>
      <c r="L2836" s="289">
        <v>1045</v>
      </c>
    </row>
    <row r="2837" spans="1:12">
      <c r="A2837" s="288" t="s">
        <v>3690</v>
      </c>
      <c r="B2837" s="288" t="s">
        <v>3687</v>
      </c>
      <c r="C2837" s="288" t="s">
        <v>820</v>
      </c>
      <c r="D2837" s="288" t="s">
        <v>815</v>
      </c>
      <c r="E2837" s="289">
        <v>10</v>
      </c>
      <c r="F2837" s="290">
        <v>6</v>
      </c>
      <c r="G2837" s="289">
        <v>1100</v>
      </c>
      <c r="H2837" s="289">
        <v>0</v>
      </c>
      <c r="I2837" s="289">
        <v>110</v>
      </c>
      <c r="J2837" s="289">
        <v>50</v>
      </c>
      <c r="K2837" s="289">
        <v>5</v>
      </c>
      <c r="L2837" s="289">
        <v>1265</v>
      </c>
    </row>
    <row r="2838" spans="1:12">
      <c r="A2838" s="288" t="s">
        <v>3691</v>
      </c>
      <c r="B2838" s="288" t="s">
        <v>3687</v>
      </c>
      <c r="C2838" s="288" t="s">
        <v>814</v>
      </c>
      <c r="D2838" s="288" t="s">
        <v>818</v>
      </c>
      <c r="E2838" s="289">
        <v>10</v>
      </c>
      <c r="F2838" s="290">
        <v>0</v>
      </c>
      <c r="G2838" s="289">
        <v>900</v>
      </c>
      <c r="H2838" s="289">
        <v>0</v>
      </c>
      <c r="I2838" s="289">
        <v>90</v>
      </c>
      <c r="J2838" s="289">
        <v>70</v>
      </c>
      <c r="K2838" s="289">
        <v>7</v>
      </c>
      <c r="L2838" s="289">
        <v>1067</v>
      </c>
    </row>
    <row r="2839" spans="1:12">
      <c r="A2839" s="288" t="s">
        <v>3692</v>
      </c>
      <c r="B2839" s="288" t="s">
        <v>3687</v>
      </c>
      <c r="C2839" s="288" t="s">
        <v>820</v>
      </c>
      <c r="D2839" s="288" t="s">
        <v>815</v>
      </c>
      <c r="E2839" s="289">
        <v>10</v>
      </c>
      <c r="F2839" s="290">
        <v>1</v>
      </c>
      <c r="G2839" s="289">
        <v>900</v>
      </c>
      <c r="H2839" s="289">
        <v>0</v>
      </c>
      <c r="I2839" s="289">
        <v>90</v>
      </c>
      <c r="J2839" s="289">
        <v>50</v>
      </c>
      <c r="K2839" s="289">
        <v>5</v>
      </c>
      <c r="L2839" s="289">
        <v>1045</v>
      </c>
    </row>
    <row r="2840" spans="1:12">
      <c r="A2840" s="288" t="s">
        <v>3693</v>
      </c>
      <c r="B2840" s="288" t="s">
        <v>3687</v>
      </c>
      <c r="C2840" s="288" t="s">
        <v>820</v>
      </c>
      <c r="D2840" s="288" t="s">
        <v>826</v>
      </c>
      <c r="E2840" s="289">
        <v>10</v>
      </c>
      <c r="F2840" s="290">
        <v>26</v>
      </c>
      <c r="G2840" s="289">
        <v>1100</v>
      </c>
      <c r="H2840" s="289">
        <v>1760</v>
      </c>
      <c r="I2840" s="289">
        <v>286</v>
      </c>
      <c r="J2840" s="289">
        <v>100</v>
      </c>
      <c r="K2840" s="289">
        <v>10</v>
      </c>
      <c r="L2840" s="289">
        <v>3256</v>
      </c>
    </row>
    <row r="2841" spans="1:12">
      <c r="A2841" s="288" t="s">
        <v>3694</v>
      </c>
      <c r="B2841" s="288" t="s">
        <v>3687</v>
      </c>
      <c r="C2841" s="288" t="s">
        <v>820</v>
      </c>
      <c r="D2841" s="288" t="s">
        <v>818</v>
      </c>
      <c r="E2841" s="289">
        <v>10</v>
      </c>
      <c r="F2841" s="290">
        <v>0</v>
      </c>
      <c r="G2841" s="289">
        <v>900</v>
      </c>
      <c r="H2841" s="289">
        <v>0</v>
      </c>
      <c r="I2841" s="289">
        <v>90</v>
      </c>
      <c r="J2841" s="289">
        <v>70</v>
      </c>
      <c r="K2841" s="289">
        <v>7</v>
      </c>
      <c r="L2841" s="289">
        <v>1067</v>
      </c>
    </row>
    <row r="2842" spans="1:12">
      <c r="A2842" s="288" t="s">
        <v>3695</v>
      </c>
      <c r="B2842" s="288" t="s">
        <v>3687</v>
      </c>
      <c r="C2842" s="288" t="s">
        <v>820</v>
      </c>
      <c r="D2842" s="288" t="s">
        <v>815</v>
      </c>
      <c r="E2842" s="289">
        <v>10</v>
      </c>
      <c r="F2842" s="290">
        <v>0</v>
      </c>
      <c r="G2842" s="289">
        <v>900</v>
      </c>
      <c r="H2842" s="289">
        <v>0</v>
      </c>
      <c r="I2842" s="289">
        <v>90</v>
      </c>
      <c r="J2842" s="289">
        <v>50</v>
      </c>
      <c r="K2842" s="289">
        <v>5</v>
      </c>
      <c r="L2842" s="289">
        <v>1045</v>
      </c>
    </row>
    <row r="2843" spans="1:12">
      <c r="A2843" s="288" t="s">
        <v>3696</v>
      </c>
      <c r="B2843" s="288" t="s">
        <v>3687</v>
      </c>
      <c r="C2843" s="288" t="s">
        <v>829</v>
      </c>
      <c r="D2843" s="288" t="s">
        <v>818</v>
      </c>
      <c r="E2843" s="289">
        <v>10</v>
      </c>
      <c r="F2843" s="290">
        <v>12</v>
      </c>
      <c r="G2843" s="289">
        <v>1100</v>
      </c>
      <c r="H2843" s="289">
        <v>220</v>
      </c>
      <c r="I2843" s="289">
        <v>132</v>
      </c>
      <c r="J2843" s="289">
        <v>70</v>
      </c>
      <c r="K2843" s="289">
        <v>7</v>
      </c>
      <c r="L2843" s="289">
        <v>1529</v>
      </c>
    </row>
    <row r="2844" spans="1:12">
      <c r="A2844" s="288" t="s">
        <v>3697</v>
      </c>
      <c r="B2844" s="288" t="s">
        <v>3687</v>
      </c>
      <c r="C2844" s="288" t="s">
        <v>814</v>
      </c>
      <c r="D2844" s="288" t="s">
        <v>815</v>
      </c>
      <c r="E2844" s="289">
        <v>10</v>
      </c>
      <c r="F2844" s="290">
        <v>36</v>
      </c>
      <c r="G2844" s="289">
        <v>1100</v>
      </c>
      <c r="H2844" s="289">
        <v>2860</v>
      </c>
      <c r="I2844" s="289">
        <v>396</v>
      </c>
      <c r="J2844" s="289">
        <v>50</v>
      </c>
      <c r="K2844" s="289">
        <v>5</v>
      </c>
      <c r="L2844" s="289">
        <v>4411</v>
      </c>
    </row>
    <row r="2845" spans="1:12">
      <c r="A2845" s="288" t="s">
        <v>3698</v>
      </c>
      <c r="B2845" s="288" t="s">
        <v>3687</v>
      </c>
      <c r="C2845" s="288" t="s">
        <v>814</v>
      </c>
      <c r="D2845" s="288" t="s">
        <v>818</v>
      </c>
      <c r="E2845" s="289">
        <v>10</v>
      </c>
      <c r="F2845" s="290">
        <v>0</v>
      </c>
      <c r="G2845" s="289">
        <v>900</v>
      </c>
      <c r="H2845" s="289">
        <v>0</v>
      </c>
      <c r="I2845" s="289">
        <v>90</v>
      </c>
      <c r="J2845" s="289">
        <v>70</v>
      </c>
      <c r="K2845" s="289">
        <v>7</v>
      </c>
      <c r="L2845" s="289">
        <v>1067</v>
      </c>
    </row>
    <row r="2846" spans="1:12">
      <c r="A2846" s="288" t="s">
        <v>3699</v>
      </c>
      <c r="B2846" s="288" t="s">
        <v>3687</v>
      </c>
      <c r="C2846" s="288" t="s">
        <v>820</v>
      </c>
      <c r="D2846" s="288" t="s">
        <v>815</v>
      </c>
      <c r="E2846" s="289">
        <v>10</v>
      </c>
      <c r="F2846" s="290">
        <v>0</v>
      </c>
      <c r="G2846" s="289">
        <v>900</v>
      </c>
      <c r="H2846" s="289">
        <v>0</v>
      </c>
      <c r="I2846" s="289">
        <v>90</v>
      </c>
      <c r="J2846" s="289">
        <v>50</v>
      </c>
      <c r="K2846" s="289">
        <v>5</v>
      </c>
      <c r="L2846" s="289">
        <v>1045</v>
      </c>
    </row>
    <row r="2847" spans="1:12">
      <c r="A2847" s="288" t="s">
        <v>3700</v>
      </c>
      <c r="B2847" s="288" t="s">
        <v>3687</v>
      </c>
      <c r="C2847" s="288" t="s">
        <v>829</v>
      </c>
      <c r="D2847" s="288" t="s">
        <v>818</v>
      </c>
      <c r="E2847" s="289">
        <v>10</v>
      </c>
      <c r="F2847" s="290">
        <v>23</v>
      </c>
      <c r="G2847" s="289">
        <v>1100</v>
      </c>
      <c r="H2847" s="289">
        <v>1430</v>
      </c>
      <c r="I2847" s="289">
        <v>253</v>
      </c>
      <c r="J2847" s="289">
        <v>70</v>
      </c>
      <c r="K2847" s="289">
        <v>7</v>
      </c>
      <c r="L2847" s="289">
        <v>2860</v>
      </c>
    </row>
    <row r="2848" spans="1:12">
      <c r="A2848" s="288" t="s">
        <v>3701</v>
      </c>
      <c r="B2848" s="288" t="s">
        <v>3687</v>
      </c>
      <c r="C2848" s="288" t="s">
        <v>814</v>
      </c>
      <c r="D2848" s="288" t="s">
        <v>815</v>
      </c>
      <c r="E2848" s="289">
        <v>10</v>
      </c>
      <c r="F2848" s="290">
        <v>1</v>
      </c>
      <c r="G2848" s="289">
        <v>900</v>
      </c>
      <c r="H2848" s="289">
        <v>0</v>
      </c>
      <c r="I2848" s="289">
        <v>90</v>
      </c>
      <c r="J2848" s="289">
        <v>50</v>
      </c>
      <c r="K2848" s="289">
        <v>5</v>
      </c>
      <c r="L2848" s="289">
        <v>1045</v>
      </c>
    </row>
    <row r="2849" spans="1:12">
      <c r="A2849" s="288" t="s">
        <v>3702</v>
      </c>
      <c r="B2849" s="288" t="s">
        <v>3687</v>
      </c>
      <c r="C2849" s="288" t="s">
        <v>820</v>
      </c>
      <c r="D2849" s="288" t="s">
        <v>815</v>
      </c>
      <c r="E2849" s="289">
        <v>10</v>
      </c>
      <c r="F2849" s="290">
        <v>1</v>
      </c>
      <c r="G2849" s="289">
        <v>900</v>
      </c>
      <c r="H2849" s="289">
        <v>0</v>
      </c>
      <c r="I2849" s="289">
        <v>90</v>
      </c>
      <c r="J2849" s="289">
        <v>50</v>
      </c>
      <c r="K2849" s="289">
        <v>5</v>
      </c>
      <c r="L2849" s="289">
        <v>1045</v>
      </c>
    </row>
    <row r="2850" spans="1:12">
      <c r="A2850" s="288" t="s">
        <v>3703</v>
      </c>
      <c r="B2850" s="288" t="s">
        <v>3687</v>
      </c>
      <c r="C2850" s="288" t="s">
        <v>820</v>
      </c>
      <c r="D2850" s="288" t="s">
        <v>815</v>
      </c>
      <c r="E2850" s="289">
        <v>10</v>
      </c>
      <c r="F2850" s="290">
        <v>0</v>
      </c>
      <c r="G2850" s="289">
        <v>900</v>
      </c>
      <c r="H2850" s="289">
        <v>0</v>
      </c>
      <c r="I2850" s="289">
        <v>90</v>
      </c>
      <c r="J2850" s="289">
        <v>50</v>
      </c>
      <c r="K2850" s="289">
        <v>5</v>
      </c>
      <c r="L2850" s="289">
        <v>1045</v>
      </c>
    </row>
    <row r="2851" spans="1:12">
      <c r="A2851" s="288" t="s">
        <v>3704</v>
      </c>
      <c r="B2851" s="288" t="s">
        <v>3687</v>
      </c>
      <c r="C2851" s="288" t="s">
        <v>820</v>
      </c>
      <c r="D2851" s="288" t="s">
        <v>815</v>
      </c>
      <c r="E2851" s="289">
        <v>10</v>
      </c>
      <c r="F2851" s="290">
        <v>4</v>
      </c>
      <c r="G2851" s="289">
        <v>900</v>
      </c>
      <c r="H2851" s="289">
        <v>0</v>
      </c>
      <c r="I2851" s="289">
        <v>90</v>
      </c>
      <c r="J2851" s="289">
        <v>50</v>
      </c>
      <c r="K2851" s="289">
        <v>5</v>
      </c>
      <c r="L2851" s="289">
        <v>1045</v>
      </c>
    </row>
    <row r="2852" spans="1:12">
      <c r="A2852" s="288" t="s">
        <v>3705</v>
      </c>
      <c r="B2852" s="288" t="s">
        <v>3687</v>
      </c>
      <c r="C2852" s="288" t="s">
        <v>820</v>
      </c>
      <c r="D2852" s="288" t="s">
        <v>815</v>
      </c>
      <c r="E2852" s="289">
        <v>10</v>
      </c>
      <c r="F2852" s="290">
        <v>0</v>
      </c>
      <c r="G2852" s="289">
        <v>900</v>
      </c>
      <c r="H2852" s="289">
        <v>0</v>
      </c>
      <c r="I2852" s="289">
        <v>90</v>
      </c>
      <c r="J2852" s="289">
        <v>50</v>
      </c>
      <c r="K2852" s="289">
        <v>5</v>
      </c>
      <c r="L2852" s="289">
        <v>1045</v>
      </c>
    </row>
    <row r="2853" spans="1:12">
      <c r="A2853" s="288" t="s">
        <v>3706</v>
      </c>
      <c r="B2853" s="288" t="s">
        <v>3687</v>
      </c>
      <c r="C2853" s="288" t="s">
        <v>820</v>
      </c>
      <c r="D2853" s="288" t="s">
        <v>815</v>
      </c>
      <c r="E2853" s="289">
        <v>10</v>
      </c>
      <c r="F2853" s="290">
        <v>3</v>
      </c>
      <c r="G2853" s="289">
        <v>900</v>
      </c>
      <c r="H2853" s="289">
        <v>0</v>
      </c>
      <c r="I2853" s="289">
        <v>90</v>
      </c>
      <c r="J2853" s="289">
        <v>50</v>
      </c>
      <c r="K2853" s="289">
        <v>5</v>
      </c>
      <c r="L2853" s="289">
        <v>1045</v>
      </c>
    </row>
    <row r="2854" spans="1:12">
      <c r="A2854" s="288" t="s">
        <v>3707</v>
      </c>
      <c r="B2854" s="288" t="s">
        <v>3687</v>
      </c>
      <c r="C2854" s="288" t="s">
        <v>829</v>
      </c>
      <c r="D2854" s="288" t="s">
        <v>818</v>
      </c>
      <c r="E2854" s="289">
        <v>10</v>
      </c>
      <c r="F2854" s="290">
        <v>2</v>
      </c>
      <c r="G2854" s="289">
        <v>900</v>
      </c>
      <c r="H2854" s="289">
        <v>0</v>
      </c>
      <c r="I2854" s="289">
        <v>90</v>
      </c>
      <c r="J2854" s="289">
        <v>70</v>
      </c>
      <c r="K2854" s="289">
        <v>7</v>
      </c>
      <c r="L2854" s="289">
        <v>1067</v>
      </c>
    </row>
    <row r="2855" spans="1:12">
      <c r="A2855" s="288" t="s">
        <v>3708</v>
      </c>
      <c r="B2855" s="288" t="s">
        <v>3687</v>
      </c>
      <c r="C2855" s="288" t="s">
        <v>829</v>
      </c>
      <c r="D2855" s="288" t="s">
        <v>815</v>
      </c>
      <c r="E2855" s="289">
        <v>10</v>
      </c>
      <c r="F2855" s="290">
        <v>32</v>
      </c>
      <c r="G2855" s="289">
        <v>1100</v>
      </c>
      <c r="H2855" s="289">
        <v>2420</v>
      </c>
      <c r="I2855" s="289">
        <v>352</v>
      </c>
      <c r="J2855" s="289">
        <v>50</v>
      </c>
      <c r="K2855" s="289">
        <v>5</v>
      </c>
      <c r="L2855" s="289">
        <v>3927</v>
      </c>
    </row>
    <row r="2856" spans="1:12">
      <c r="A2856" s="288" t="s">
        <v>3709</v>
      </c>
      <c r="B2856" s="288" t="s">
        <v>3687</v>
      </c>
      <c r="C2856" s="288" t="s">
        <v>814</v>
      </c>
      <c r="D2856" s="288" t="s">
        <v>818</v>
      </c>
      <c r="E2856" s="289">
        <v>10</v>
      </c>
      <c r="F2856" s="290">
        <v>11</v>
      </c>
      <c r="G2856" s="289">
        <v>1100</v>
      </c>
      <c r="H2856" s="289">
        <v>110</v>
      </c>
      <c r="I2856" s="289">
        <v>121</v>
      </c>
      <c r="J2856" s="289">
        <v>70</v>
      </c>
      <c r="K2856" s="289">
        <v>7</v>
      </c>
      <c r="L2856" s="289">
        <v>1408</v>
      </c>
    </row>
    <row r="2857" spans="1:12">
      <c r="A2857" s="288" t="s">
        <v>3710</v>
      </c>
      <c r="B2857" s="288" t="s">
        <v>3687</v>
      </c>
      <c r="C2857" s="288" t="s">
        <v>814</v>
      </c>
      <c r="D2857" s="288" t="s">
        <v>818</v>
      </c>
      <c r="E2857" s="289">
        <v>10</v>
      </c>
      <c r="F2857" s="290">
        <v>4</v>
      </c>
      <c r="G2857" s="289">
        <v>900</v>
      </c>
      <c r="H2857" s="289">
        <v>0</v>
      </c>
      <c r="I2857" s="289">
        <v>90</v>
      </c>
      <c r="J2857" s="289">
        <v>70</v>
      </c>
      <c r="K2857" s="289">
        <v>7</v>
      </c>
      <c r="L2857" s="289">
        <v>1067</v>
      </c>
    </row>
    <row r="2858" spans="1:12">
      <c r="A2858" s="288" t="s">
        <v>3711</v>
      </c>
      <c r="B2858" s="288" t="s">
        <v>3687</v>
      </c>
      <c r="C2858" s="288" t="s">
        <v>814</v>
      </c>
      <c r="D2858" s="288" t="s">
        <v>818</v>
      </c>
      <c r="E2858" s="289">
        <v>10</v>
      </c>
      <c r="F2858" s="290">
        <v>11</v>
      </c>
      <c r="G2858" s="289">
        <v>1100</v>
      </c>
      <c r="H2858" s="289">
        <v>110</v>
      </c>
      <c r="I2858" s="289">
        <v>121</v>
      </c>
      <c r="J2858" s="289">
        <v>70</v>
      </c>
      <c r="K2858" s="289">
        <v>7</v>
      </c>
      <c r="L2858" s="289">
        <v>1408</v>
      </c>
    </row>
    <row r="2859" spans="1:12">
      <c r="A2859" s="288" t="s">
        <v>3712</v>
      </c>
      <c r="B2859" s="288" t="s">
        <v>3687</v>
      </c>
      <c r="C2859" s="288" t="s">
        <v>814</v>
      </c>
      <c r="D2859" s="288" t="s">
        <v>818</v>
      </c>
      <c r="E2859" s="289">
        <v>10</v>
      </c>
      <c r="F2859" s="290">
        <v>3</v>
      </c>
      <c r="G2859" s="289">
        <v>900</v>
      </c>
      <c r="H2859" s="289">
        <v>0</v>
      </c>
      <c r="I2859" s="289">
        <v>90</v>
      </c>
      <c r="J2859" s="289">
        <v>70</v>
      </c>
      <c r="K2859" s="289">
        <v>7</v>
      </c>
      <c r="L2859" s="289">
        <v>1067</v>
      </c>
    </row>
    <row r="2860" spans="1:12">
      <c r="A2860" s="288" t="s">
        <v>3713</v>
      </c>
      <c r="B2860" s="288" t="s">
        <v>3687</v>
      </c>
      <c r="C2860" s="288" t="s">
        <v>814</v>
      </c>
      <c r="D2860" s="288" t="s">
        <v>818</v>
      </c>
      <c r="E2860" s="289">
        <v>10</v>
      </c>
      <c r="F2860" s="290">
        <v>9</v>
      </c>
      <c r="G2860" s="289">
        <v>1100</v>
      </c>
      <c r="H2860" s="289">
        <v>0</v>
      </c>
      <c r="I2860" s="289">
        <v>110</v>
      </c>
      <c r="J2860" s="289">
        <v>70</v>
      </c>
      <c r="K2860" s="289">
        <v>7</v>
      </c>
      <c r="L2860" s="289">
        <v>1287</v>
      </c>
    </row>
    <row r="2861" spans="1:12">
      <c r="A2861" s="288" t="s">
        <v>3714</v>
      </c>
      <c r="B2861" s="288" t="s">
        <v>3687</v>
      </c>
      <c r="C2861" s="288" t="s">
        <v>814</v>
      </c>
      <c r="D2861" s="288" t="s">
        <v>818</v>
      </c>
      <c r="E2861" s="289">
        <v>10</v>
      </c>
      <c r="F2861" s="290">
        <v>21</v>
      </c>
      <c r="G2861" s="289">
        <v>1100</v>
      </c>
      <c r="H2861" s="289">
        <v>1210</v>
      </c>
      <c r="I2861" s="289">
        <v>231</v>
      </c>
      <c r="J2861" s="289">
        <v>70</v>
      </c>
      <c r="K2861" s="289">
        <v>7</v>
      </c>
      <c r="L2861" s="289">
        <v>2618</v>
      </c>
    </row>
    <row r="2862" spans="1:12">
      <c r="A2862" s="288" t="s">
        <v>3715</v>
      </c>
      <c r="B2862" s="288" t="s">
        <v>3687</v>
      </c>
      <c r="C2862" s="288" t="s">
        <v>814</v>
      </c>
      <c r="D2862" s="288" t="s">
        <v>818</v>
      </c>
      <c r="E2862" s="289">
        <v>10</v>
      </c>
      <c r="F2862" s="290">
        <v>0</v>
      </c>
      <c r="G2862" s="289">
        <v>900</v>
      </c>
      <c r="H2862" s="289">
        <v>0</v>
      </c>
      <c r="I2862" s="289">
        <v>90</v>
      </c>
      <c r="J2862" s="289">
        <v>70</v>
      </c>
      <c r="K2862" s="289">
        <v>7</v>
      </c>
      <c r="L2862" s="289">
        <v>1067</v>
      </c>
    </row>
    <row r="2863" spans="1:12">
      <c r="A2863" s="288" t="s">
        <v>3716</v>
      </c>
      <c r="B2863" s="288" t="s">
        <v>3687</v>
      </c>
      <c r="C2863" s="288" t="s">
        <v>814</v>
      </c>
      <c r="D2863" s="288" t="s">
        <v>818</v>
      </c>
      <c r="E2863" s="289">
        <v>10</v>
      </c>
      <c r="F2863" s="290">
        <v>24</v>
      </c>
      <c r="G2863" s="289">
        <v>1100</v>
      </c>
      <c r="H2863" s="289">
        <v>1540</v>
      </c>
      <c r="I2863" s="289">
        <v>264</v>
      </c>
      <c r="J2863" s="289">
        <v>70</v>
      </c>
      <c r="K2863" s="289">
        <v>7</v>
      </c>
      <c r="L2863" s="289">
        <v>2981</v>
      </c>
    </row>
    <row r="2864" spans="1:12">
      <c r="A2864" s="288" t="s">
        <v>3717</v>
      </c>
      <c r="B2864" s="288" t="s">
        <v>3687</v>
      </c>
      <c r="C2864" s="288" t="s">
        <v>829</v>
      </c>
      <c r="D2864" s="288" t="s">
        <v>818</v>
      </c>
      <c r="E2864" s="289">
        <v>10</v>
      </c>
      <c r="F2864" s="290">
        <v>1</v>
      </c>
      <c r="G2864" s="289">
        <v>900</v>
      </c>
      <c r="H2864" s="289">
        <v>0</v>
      </c>
      <c r="I2864" s="289">
        <v>90</v>
      </c>
      <c r="J2864" s="289">
        <v>70</v>
      </c>
      <c r="K2864" s="289">
        <v>7</v>
      </c>
      <c r="L2864" s="289">
        <v>1067</v>
      </c>
    </row>
    <row r="2865" spans="1:12">
      <c r="A2865" s="288" t="s">
        <v>3718</v>
      </c>
      <c r="B2865" s="288" t="s">
        <v>3687</v>
      </c>
      <c r="C2865" s="288" t="s">
        <v>814</v>
      </c>
      <c r="D2865" s="288" t="s">
        <v>818</v>
      </c>
      <c r="E2865" s="289">
        <v>10</v>
      </c>
      <c r="F2865" s="290">
        <v>20</v>
      </c>
      <c r="G2865" s="289">
        <v>1100</v>
      </c>
      <c r="H2865" s="289">
        <v>1100</v>
      </c>
      <c r="I2865" s="289">
        <v>220</v>
      </c>
      <c r="J2865" s="289">
        <v>70</v>
      </c>
      <c r="K2865" s="289">
        <v>7</v>
      </c>
      <c r="L2865" s="289">
        <v>2497</v>
      </c>
    </row>
    <row r="2866" spans="1:12">
      <c r="A2866" s="288" t="s">
        <v>3719</v>
      </c>
      <c r="B2866" s="288" t="s">
        <v>3687</v>
      </c>
      <c r="C2866" s="288" t="s">
        <v>814</v>
      </c>
      <c r="D2866" s="288" t="s">
        <v>818</v>
      </c>
      <c r="E2866" s="289">
        <v>10</v>
      </c>
      <c r="F2866" s="290">
        <v>20</v>
      </c>
      <c r="G2866" s="289">
        <v>1100</v>
      </c>
      <c r="H2866" s="289">
        <v>1100</v>
      </c>
      <c r="I2866" s="289">
        <v>220</v>
      </c>
      <c r="J2866" s="289">
        <v>70</v>
      </c>
      <c r="K2866" s="289">
        <v>7</v>
      </c>
      <c r="L2866" s="289">
        <v>2497</v>
      </c>
    </row>
    <row r="2867" spans="1:12">
      <c r="A2867" s="288" t="s">
        <v>3720</v>
      </c>
      <c r="B2867" s="288" t="s">
        <v>3687</v>
      </c>
      <c r="C2867" s="288" t="s">
        <v>814</v>
      </c>
      <c r="D2867" s="288" t="s">
        <v>818</v>
      </c>
      <c r="E2867" s="289">
        <v>10</v>
      </c>
      <c r="F2867" s="290">
        <v>0</v>
      </c>
      <c r="G2867" s="289">
        <v>900</v>
      </c>
      <c r="H2867" s="289">
        <v>0</v>
      </c>
      <c r="I2867" s="289">
        <v>90</v>
      </c>
      <c r="J2867" s="289">
        <v>70</v>
      </c>
      <c r="K2867" s="289">
        <v>7</v>
      </c>
      <c r="L2867" s="289">
        <v>1067</v>
      </c>
    </row>
    <row r="2868" spans="1:12">
      <c r="A2868" s="288" t="s">
        <v>3721</v>
      </c>
      <c r="B2868" s="288" t="s">
        <v>3687</v>
      </c>
      <c r="C2868" s="288" t="s">
        <v>814</v>
      </c>
      <c r="D2868" s="288" t="s">
        <v>818</v>
      </c>
      <c r="E2868" s="289">
        <v>10</v>
      </c>
      <c r="F2868" s="290">
        <v>63</v>
      </c>
      <c r="G2868" s="289">
        <v>1100</v>
      </c>
      <c r="H2868" s="289">
        <v>5830</v>
      </c>
      <c r="I2868" s="289">
        <v>693</v>
      </c>
      <c r="J2868" s="289">
        <v>70</v>
      </c>
      <c r="K2868" s="289">
        <v>7</v>
      </c>
      <c r="L2868" s="289">
        <v>7700</v>
      </c>
    </row>
    <row r="2869" spans="1:12">
      <c r="A2869" s="288" t="s">
        <v>3722</v>
      </c>
      <c r="B2869" s="288" t="s">
        <v>3687</v>
      </c>
      <c r="C2869" s="288" t="s">
        <v>814</v>
      </c>
      <c r="D2869" s="288" t="s">
        <v>818</v>
      </c>
      <c r="E2869" s="289">
        <v>10</v>
      </c>
      <c r="F2869" s="290">
        <v>11</v>
      </c>
      <c r="G2869" s="289">
        <v>1100</v>
      </c>
      <c r="H2869" s="289">
        <v>110</v>
      </c>
      <c r="I2869" s="289">
        <v>121</v>
      </c>
      <c r="J2869" s="289">
        <v>70</v>
      </c>
      <c r="K2869" s="289">
        <v>7</v>
      </c>
      <c r="L2869" s="289">
        <v>1408</v>
      </c>
    </row>
    <row r="2870" spans="1:12">
      <c r="A2870" s="288" t="s">
        <v>3723</v>
      </c>
      <c r="B2870" s="288" t="s">
        <v>3687</v>
      </c>
      <c r="C2870" s="288" t="s">
        <v>814</v>
      </c>
      <c r="D2870" s="288" t="s">
        <v>818</v>
      </c>
      <c r="E2870" s="289">
        <v>10</v>
      </c>
      <c r="F2870" s="290">
        <v>13</v>
      </c>
      <c r="G2870" s="289">
        <v>1100</v>
      </c>
      <c r="H2870" s="289">
        <v>330</v>
      </c>
      <c r="I2870" s="289">
        <v>143</v>
      </c>
      <c r="J2870" s="289">
        <v>70</v>
      </c>
      <c r="K2870" s="289">
        <v>7</v>
      </c>
      <c r="L2870" s="289">
        <v>1650</v>
      </c>
    </row>
    <row r="2871" spans="1:12">
      <c r="A2871" s="288" t="s">
        <v>3724</v>
      </c>
      <c r="B2871" s="288" t="s">
        <v>3687</v>
      </c>
      <c r="C2871" s="288" t="s">
        <v>814</v>
      </c>
      <c r="D2871" s="288" t="s">
        <v>818</v>
      </c>
      <c r="E2871" s="289">
        <v>10</v>
      </c>
      <c r="F2871" s="290">
        <v>25</v>
      </c>
      <c r="G2871" s="289">
        <v>1100</v>
      </c>
      <c r="H2871" s="289">
        <v>1650</v>
      </c>
      <c r="I2871" s="289">
        <v>275</v>
      </c>
      <c r="J2871" s="289">
        <v>70</v>
      </c>
      <c r="K2871" s="289">
        <v>7</v>
      </c>
      <c r="L2871" s="289">
        <v>3102</v>
      </c>
    </row>
    <row r="2872" spans="1:12">
      <c r="A2872" s="288" t="s">
        <v>3725</v>
      </c>
      <c r="B2872" s="288" t="s">
        <v>3687</v>
      </c>
      <c r="C2872" s="288" t="s">
        <v>814</v>
      </c>
      <c r="D2872" s="288" t="s">
        <v>818</v>
      </c>
      <c r="E2872" s="289">
        <v>10</v>
      </c>
      <c r="F2872" s="290">
        <v>10</v>
      </c>
      <c r="G2872" s="289">
        <v>1100</v>
      </c>
      <c r="H2872" s="289">
        <v>0</v>
      </c>
      <c r="I2872" s="289">
        <v>110</v>
      </c>
      <c r="J2872" s="289">
        <v>70</v>
      </c>
      <c r="K2872" s="289">
        <v>7</v>
      </c>
      <c r="L2872" s="289">
        <v>1287</v>
      </c>
    </row>
    <row r="2873" spans="1:12">
      <c r="A2873" s="288" t="s">
        <v>3726</v>
      </c>
      <c r="B2873" s="288" t="s">
        <v>3687</v>
      </c>
      <c r="C2873" s="288" t="s">
        <v>814</v>
      </c>
      <c r="D2873" s="288" t="s">
        <v>818</v>
      </c>
      <c r="E2873" s="289">
        <v>10</v>
      </c>
      <c r="F2873" s="290">
        <v>27</v>
      </c>
      <c r="G2873" s="289">
        <v>1100</v>
      </c>
      <c r="H2873" s="289">
        <v>1870</v>
      </c>
      <c r="I2873" s="289">
        <v>297</v>
      </c>
      <c r="J2873" s="289">
        <v>70</v>
      </c>
      <c r="K2873" s="289">
        <v>7</v>
      </c>
      <c r="L2873" s="289">
        <v>3344</v>
      </c>
    </row>
    <row r="2874" spans="1:12">
      <c r="A2874" s="288" t="s">
        <v>3727</v>
      </c>
      <c r="B2874" s="288" t="s">
        <v>3687</v>
      </c>
      <c r="C2874" s="288" t="s">
        <v>814</v>
      </c>
      <c r="D2874" s="288" t="s">
        <v>818</v>
      </c>
      <c r="E2874" s="289">
        <v>10</v>
      </c>
      <c r="F2874" s="290">
        <v>6</v>
      </c>
      <c r="G2874" s="289">
        <v>1100</v>
      </c>
      <c r="H2874" s="289">
        <v>0</v>
      </c>
      <c r="I2874" s="289">
        <v>110</v>
      </c>
      <c r="J2874" s="289">
        <v>70</v>
      </c>
      <c r="K2874" s="289">
        <v>7</v>
      </c>
      <c r="L2874" s="289">
        <v>1287</v>
      </c>
    </row>
    <row r="2875" spans="1:12">
      <c r="A2875" s="288" t="s">
        <v>3728</v>
      </c>
      <c r="B2875" s="288" t="s">
        <v>3687</v>
      </c>
      <c r="C2875" s="288" t="s">
        <v>829</v>
      </c>
      <c r="D2875" s="288" t="s">
        <v>818</v>
      </c>
      <c r="E2875" s="289">
        <v>10</v>
      </c>
      <c r="F2875" s="290">
        <v>32</v>
      </c>
      <c r="G2875" s="289">
        <v>1100</v>
      </c>
      <c r="H2875" s="289">
        <v>2420</v>
      </c>
      <c r="I2875" s="289">
        <v>352</v>
      </c>
      <c r="J2875" s="289">
        <v>70</v>
      </c>
      <c r="K2875" s="289">
        <v>7</v>
      </c>
      <c r="L2875" s="289">
        <v>3949</v>
      </c>
    </row>
    <row r="2876" spans="1:12">
      <c r="A2876" s="288" t="s">
        <v>3729</v>
      </c>
      <c r="B2876" s="288" t="s">
        <v>3687</v>
      </c>
      <c r="C2876" s="288" t="s">
        <v>814</v>
      </c>
      <c r="D2876" s="288" t="s">
        <v>818</v>
      </c>
      <c r="E2876" s="289">
        <v>10</v>
      </c>
      <c r="F2876" s="290">
        <v>27</v>
      </c>
      <c r="G2876" s="289">
        <v>1100</v>
      </c>
      <c r="H2876" s="289">
        <v>1870</v>
      </c>
      <c r="I2876" s="289">
        <v>297</v>
      </c>
      <c r="J2876" s="289">
        <v>70</v>
      </c>
      <c r="K2876" s="289">
        <v>7</v>
      </c>
      <c r="L2876" s="289">
        <v>3344</v>
      </c>
    </row>
    <row r="2877" spans="1:12">
      <c r="A2877" s="288" t="s">
        <v>3730</v>
      </c>
      <c r="B2877" s="288" t="s">
        <v>3687</v>
      </c>
      <c r="C2877" s="288" t="s">
        <v>814</v>
      </c>
      <c r="D2877" s="288" t="s">
        <v>818</v>
      </c>
      <c r="E2877" s="289">
        <v>10</v>
      </c>
      <c r="F2877" s="290">
        <v>29</v>
      </c>
      <c r="G2877" s="289">
        <v>1100</v>
      </c>
      <c r="H2877" s="289">
        <v>2090</v>
      </c>
      <c r="I2877" s="289">
        <v>319</v>
      </c>
      <c r="J2877" s="289">
        <v>70</v>
      </c>
      <c r="K2877" s="289">
        <v>7</v>
      </c>
      <c r="L2877" s="289">
        <v>3586</v>
      </c>
    </row>
    <row r="2878" spans="1:12">
      <c r="A2878" s="288" t="s">
        <v>3731</v>
      </c>
      <c r="B2878" s="288" t="s">
        <v>3687</v>
      </c>
      <c r="C2878" s="288" t="s">
        <v>814</v>
      </c>
      <c r="D2878" s="288" t="s">
        <v>818</v>
      </c>
      <c r="E2878" s="289">
        <v>10</v>
      </c>
      <c r="F2878" s="290">
        <v>21</v>
      </c>
      <c r="G2878" s="289">
        <v>1100</v>
      </c>
      <c r="H2878" s="289">
        <v>1210</v>
      </c>
      <c r="I2878" s="289">
        <v>231</v>
      </c>
      <c r="J2878" s="289">
        <v>70</v>
      </c>
      <c r="K2878" s="289">
        <v>7</v>
      </c>
      <c r="L2878" s="289">
        <v>2618</v>
      </c>
    </row>
    <row r="2879" spans="1:12">
      <c r="A2879" s="288" t="s">
        <v>3732</v>
      </c>
      <c r="B2879" s="288" t="s">
        <v>3687</v>
      </c>
      <c r="C2879" s="288" t="s">
        <v>814</v>
      </c>
      <c r="D2879" s="288" t="s">
        <v>818</v>
      </c>
      <c r="E2879" s="289">
        <v>10</v>
      </c>
      <c r="F2879" s="290">
        <v>4</v>
      </c>
      <c r="G2879" s="289">
        <v>900</v>
      </c>
      <c r="H2879" s="289">
        <v>0</v>
      </c>
      <c r="I2879" s="289">
        <v>90</v>
      </c>
      <c r="J2879" s="289">
        <v>70</v>
      </c>
      <c r="K2879" s="289">
        <v>7</v>
      </c>
      <c r="L2879" s="289">
        <v>1067</v>
      </c>
    </row>
    <row r="2880" spans="1:12">
      <c r="A2880" s="288" t="s">
        <v>3733</v>
      </c>
      <c r="B2880" s="288" t="s">
        <v>3687</v>
      </c>
      <c r="C2880" s="288" t="s">
        <v>814</v>
      </c>
      <c r="D2880" s="288" t="s">
        <v>818</v>
      </c>
      <c r="E2880" s="289">
        <v>10</v>
      </c>
      <c r="F2880" s="290">
        <v>9</v>
      </c>
      <c r="G2880" s="289">
        <v>1100</v>
      </c>
      <c r="H2880" s="289">
        <v>0</v>
      </c>
      <c r="I2880" s="289">
        <v>110</v>
      </c>
      <c r="J2880" s="289">
        <v>70</v>
      </c>
      <c r="K2880" s="289">
        <v>7</v>
      </c>
      <c r="L2880" s="289">
        <v>1287</v>
      </c>
    </row>
    <row r="2881" spans="1:12">
      <c r="A2881" s="288" t="s">
        <v>3734</v>
      </c>
      <c r="B2881" s="288" t="s">
        <v>3687</v>
      </c>
      <c r="C2881" s="288" t="s">
        <v>814</v>
      </c>
      <c r="D2881" s="288" t="s">
        <v>818</v>
      </c>
      <c r="E2881" s="289">
        <v>10</v>
      </c>
      <c r="F2881" s="290">
        <v>11</v>
      </c>
      <c r="G2881" s="289">
        <v>1100</v>
      </c>
      <c r="H2881" s="289">
        <v>110</v>
      </c>
      <c r="I2881" s="289">
        <v>121</v>
      </c>
      <c r="J2881" s="289">
        <v>70</v>
      </c>
      <c r="K2881" s="289">
        <v>7</v>
      </c>
      <c r="L2881" s="289">
        <v>1408</v>
      </c>
    </row>
    <row r="2882" spans="1:12">
      <c r="A2882" s="288" t="s">
        <v>3735</v>
      </c>
      <c r="B2882" s="288" t="s">
        <v>3687</v>
      </c>
      <c r="C2882" s="288" t="s">
        <v>814</v>
      </c>
      <c r="D2882" s="288" t="s">
        <v>818</v>
      </c>
      <c r="E2882" s="289">
        <v>10</v>
      </c>
      <c r="F2882" s="290">
        <v>14</v>
      </c>
      <c r="G2882" s="289">
        <v>1100</v>
      </c>
      <c r="H2882" s="289">
        <v>440</v>
      </c>
      <c r="I2882" s="289">
        <v>154</v>
      </c>
      <c r="J2882" s="289">
        <v>70</v>
      </c>
      <c r="K2882" s="289">
        <v>7</v>
      </c>
      <c r="L2882" s="289">
        <v>1771</v>
      </c>
    </row>
    <row r="2883" spans="1:12">
      <c r="A2883" s="288" t="s">
        <v>3736</v>
      </c>
      <c r="B2883" s="288" t="s">
        <v>3687</v>
      </c>
      <c r="C2883" s="288" t="s">
        <v>814</v>
      </c>
      <c r="D2883" s="288" t="s">
        <v>818</v>
      </c>
      <c r="E2883" s="289">
        <v>10</v>
      </c>
      <c r="F2883" s="290">
        <v>16</v>
      </c>
      <c r="G2883" s="289">
        <v>1100</v>
      </c>
      <c r="H2883" s="289">
        <v>660</v>
      </c>
      <c r="I2883" s="289">
        <v>176</v>
      </c>
      <c r="J2883" s="289">
        <v>70</v>
      </c>
      <c r="K2883" s="289">
        <v>7</v>
      </c>
      <c r="L2883" s="289">
        <v>2013</v>
      </c>
    </row>
    <row r="2884" spans="1:12">
      <c r="A2884" s="288" t="s">
        <v>3737</v>
      </c>
      <c r="B2884" s="288" t="s">
        <v>3687</v>
      </c>
      <c r="C2884" s="288" t="s">
        <v>814</v>
      </c>
      <c r="D2884" s="288" t="s">
        <v>818</v>
      </c>
      <c r="E2884" s="289">
        <v>10</v>
      </c>
      <c r="F2884" s="290">
        <v>25</v>
      </c>
      <c r="G2884" s="289">
        <v>1100</v>
      </c>
      <c r="H2884" s="289">
        <v>1650</v>
      </c>
      <c r="I2884" s="289">
        <v>275</v>
      </c>
      <c r="J2884" s="289">
        <v>70</v>
      </c>
      <c r="K2884" s="289">
        <v>7</v>
      </c>
      <c r="L2884" s="289">
        <v>3102</v>
      </c>
    </row>
    <row r="2885" spans="1:12">
      <c r="A2885" s="288" t="s">
        <v>3738</v>
      </c>
      <c r="B2885" s="288" t="s">
        <v>3687</v>
      </c>
      <c r="C2885" s="288" t="s">
        <v>814</v>
      </c>
      <c r="D2885" s="288" t="s">
        <v>818</v>
      </c>
      <c r="E2885" s="289">
        <v>10</v>
      </c>
      <c r="F2885" s="290">
        <v>3</v>
      </c>
      <c r="G2885" s="289">
        <v>900</v>
      </c>
      <c r="H2885" s="289">
        <v>0</v>
      </c>
      <c r="I2885" s="289">
        <v>90</v>
      </c>
      <c r="J2885" s="289">
        <v>70</v>
      </c>
      <c r="K2885" s="289">
        <v>7</v>
      </c>
      <c r="L2885" s="289">
        <v>1067</v>
      </c>
    </row>
    <row r="2886" spans="1:12">
      <c r="A2886" s="288" t="s">
        <v>3739</v>
      </c>
      <c r="B2886" s="288" t="s">
        <v>3687</v>
      </c>
      <c r="C2886" s="288" t="s">
        <v>814</v>
      </c>
      <c r="D2886" s="288" t="s">
        <v>818</v>
      </c>
      <c r="E2886" s="289">
        <v>10</v>
      </c>
      <c r="F2886" s="290">
        <v>11</v>
      </c>
      <c r="G2886" s="289">
        <v>1100</v>
      </c>
      <c r="H2886" s="289">
        <v>110</v>
      </c>
      <c r="I2886" s="289">
        <v>121</v>
      </c>
      <c r="J2886" s="289">
        <v>70</v>
      </c>
      <c r="K2886" s="289">
        <v>7</v>
      </c>
      <c r="L2886" s="289">
        <v>1408</v>
      </c>
    </row>
    <row r="2887" spans="1:12">
      <c r="A2887" s="288" t="s">
        <v>3740</v>
      </c>
      <c r="B2887" s="288" t="s">
        <v>3687</v>
      </c>
      <c r="C2887" s="288" t="s">
        <v>814</v>
      </c>
      <c r="D2887" s="288" t="s">
        <v>818</v>
      </c>
      <c r="E2887" s="289">
        <v>10</v>
      </c>
      <c r="F2887" s="290">
        <v>2</v>
      </c>
      <c r="G2887" s="289">
        <v>900</v>
      </c>
      <c r="H2887" s="289">
        <v>0</v>
      </c>
      <c r="I2887" s="289">
        <v>90</v>
      </c>
      <c r="J2887" s="289">
        <v>70</v>
      </c>
      <c r="K2887" s="289">
        <v>7</v>
      </c>
      <c r="L2887" s="289">
        <v>1067</v>
      </c>
    </row>
    <row r="2888" spans="1:12">
      <c r="A2888" s="288" t="s">
        <v>3741</v>
      </c>
      <c r="B2888" s="288" t="s">
        <v>3687</v>
      </c>
      <c r="C2888" s="288" t="s">
        <v>814</v>
      </c>
      <c r="D2888" s="288" t="s">
        <v>818</v>
      </c>
      <c r="E2888" s="289">
        <v>10</v>
      </c>
      <c r="F2888" s="290">
        <v>6</v>
      </c>
      <c r="G2888" s="289">
        <v>1100</v>
      </c>
      <c r="H2888" s="289">
        <v>0</v>
      </c>
      <c r="I2888" s="289">
        <v>110</v>
      </c>
      <c r="J2888" s="289">
        <v>70</v>
      </c>
      <c r="K2888" s="289">
        <v>7</v>
      </c>
      <c r="L2888" s="289">
        <v>1287</v>
      </c>
    </row>
    <row r="2889" spans="1:12">
      <c r="A2889" s="288" t="s">
        <v>3742</v>
      </c>
      <c r="B2889" s="288" t="s">
        <v>3687</v>
      </c>
      <c r="C2889" s="288" t="s">
        <v>814</v>
      </c>
      <c r="D2889" s="288" t="s">
        <v>818</v>
      </c>
      <c r="E2889" s="289">
        <v>10</v>
      </c>
      <c r="F2889" s="290">
        <v>18</v>
      </c>
      <c r="G2889" s="289">
        <v>1100</v>
      </c>
      <c r="H2889" s="289">
        <v>880</v>
      </c>
      <c r="I2889" s="289">
        <v>198</v>
      </c>
      <c r="J2889" s="289">
        <v>70</v>
      </c>
      <c r="K2889" s="289">
        <v>7</v>
      </c>
      <c r="L2889" s="289">
        <v>2255</v>
      </c>
    </row>
    <row r="2890" spans="1:12">
      <c r="A2890" s="288" t="s">
        <v>3743</v>
      </c>
      <c r="B2890" s="288" t="s">
        <v>3687</v>
      </c>
      <c r="C2890" s="288" t="s">
        <v>814</v>
      </c>
      <c r="D2890" s="288" t="s">
        <v>818</v>
      </c>
      <c r="E2890" s="289">
        <v>10</v>
      </c>
      <c r="F2890" s="290">
        <v>12</v>
      </c>
      <c r="G2890" s="289">
        <v>1100</v>
      </c>
      <c r="H2890" s="289">
        <v>220</v>
      </c>
      <c r="I2890" s="289">
        <v>132</v>
      </c>
      <c r="J2890" s="289">
        <v>70</v>
      </c>
      <c r="K2890" s="289">
        <v>7</v>
      </c>
      <c r="L2890" s="289">
        <v>1529</v>
      </c>
    </row>
    <row r="2891" spans="1:12">
      <c r="A2891" s="288" t="s">
        <v>3744</v>
      </c>
      <c r="B2891" s="288" t="s">
        <v>3687</v>
      </c>
      <c r="C2891" s="288" t="s">
        <v>814</v>
      </c>
      <c r="D2891" s="288" t="s">
        <v>818</v>
      </c>
      <c r="E2891" s="289">
        <v>10</v>
      </c>
      <c r="F2891" s="290">
        <v>12</v>
      </c>
      <c r="G2891" s="289">
        <v>1100</v>
      </c>
      <c r="H2891" s="289">
        <v>220</v>
      </c>
      <c r="I2891" s="289">
        <v>132</v>
      </c>
      <c r="J2891" s="289">
        <v>70</v>
      </c>
      <c r="K2891" s="289">
        <v>7</v>
      </c>
      <c r="L2891" s="289">
        <v>1529</v>
      </c>
    </row>
    <row r="2892" spans="1:12">
      <c r="A2892" s="288" t="s">
        <v>3745</v>
      </c>
      <c r="B2892" s="288" t="s">
        <v>3687</v>
      </c>
      <c r="C2892" s="288" t="s">
        <v>814</v>
      </c>
      <c r="D2892" s="288" t="s">
        <v>818</v>
      </c>
      <c r="E2892" s="289">
        <v>10</v>
      </c>
      <c r="F2892" s="290">
        <v>14</v>
      </c>
      <c r="G2892" s="289">
        <v>1100</v>
      </c>
      <c r="H2892" s="289">
        <v>440</v>
      </c>
      <c r="I2892" s="289">
        <v>154</v>
      </c>
      <c r="J2892" s="289">
        <v>70</v>
      </c>
      <c r="K2892" s="289">
        <v>7</v>
      </c>
      <c r="L2892" s="289">
        <v>1771</v>
      </c>
    </row>
    <row r="2893" spans="1:12">
      <c r="A2893" s="288" t="s">
        <v>3746</v>
      </c>
      <c r="B2893" s="288" t="s">
        <v>3687</v>
      </c>
      <c r="C2893" s="288" t="s">
        <v>814</v>
      </c>
      <c r="D2893" s="288" t="s">
        <v>818</v>
      </c>
      <c r="E2893" s="289">
        <v>10</v>
      </c>
      <c r="F2893" s="290">
        <v>7</v>
      </c>
      <c r="G2893" s="289">
        <v>1100</v>
      </c>
      <c r="H2893" s="289">
        <v>0</v>
      </c>
      <c r="I2893" s="289">
        <v>110</v>
      </c>
      <c r="J2893" s="289">
        <v>70</v>
      </c>
      <c r="K2893" s="289">
        <v>7</v>
      </c>
      <c r="L2893" s="289">
        <v>1287</v>
      </c>
    </row>
    <row r="2894" spans="1:12">
      <c r="A2894" s="288" t="s">
        <v>3747</v>
      </c>
      <c r="B2894" s="288" t="s">
        <v>3687</v>
      </c>
      <c r="C2894" s="288" t="s">
        <v>814</v>
      </c>
      <c r="D2894" s="288" t="s">
        <v>818</v>
      </c>
      <c r="E2894" s="289">
        <v>10</v>
      </c>
      <c r="F2894" s="290">
        <v>17</v>
      </c>
      <c r="G2894" s="289">
        <v>1100</v>
      </c>
      <c r="H2894" s="289">
        <v>770</v>
      </c>
      <c r="I2894" s="289">
        <v>187</v>
      </c>
      <c r="J2894" s="289">
        <v>70</v>
      </c>
      <c r="K2894" s="289">
        <v>7</v>
      </c>
      <c r="L2894" s="289">
        <v>2134</v>
      </c>
    </row>
    <row r="2895" spans="1:12">
      <c r="A2895" s="288" t="s">
        <v>3748</v>
      </c>
      <c r="B2895" s="288" t="s">
        <v>3687</v>
      </c>
      <c r="C2895" s="288" t="s">
        <v>829</v>
      </c>
      <c r="D2895" s="288" t="s">
        <v>818</v>
      </c>
      <c r="E2895" s="289">
        <v>10</v>
      </c>
      <c r="F2895" s="290">
        <v>1</v>
      </c>
      <c r="G2895" s="289">
        <v>900</v>
      </c>
      <c r="H2895" s="289">
        <v>0</v>
      </c>
      <c r="I2895" s="289">
        <v>90</v>
      </c>
      <c r="J2895" s="289">
        <v>70</v>
      </c>
      <c r="K2895" s="289">
        <v>7</v>
      </c>
      <c r="L2895" s="289">
        <v>1067</v>
      </c>
    </row>
    <row r="2896" spans="1:12">
      <c r="A2896" s="288" t="s">
        <v>3749</v>
      </c>
      <c r="B2896" s="288" t="s">
        <v>3687</v>
      </c>
      <c r="C2896" s="288" t="s">
        <v>820</v>
      </c>
      <c r="D2896" s="288" t="s">
        <v>818</v>
      </c>
      <c r="E2896" s="289">
        <v>10</v>
      </c>
      <c r="F2896" s="290">
        <v>0</v>
      </c>
      <c r="G2896" s="289">
        <v>900</v>
      </c>
      <c r="H2896" s="289">
        <v>0</v>
      </c>
      <c r="I2896" s="289">
        <v>90</v>
      </c>
      <c r="J2896" s="289">
        <v>70</v>
      </c>
      <c r="K2896" s="289">
        <v>7</v>
      </c>
      <c r="L2896" s="289">
        <v>1067</v>
      </c>
    </row>
    <row r="2897" spans="1:12">
      <c r="A2897" s="288" t="s">
        <v>3750</v>
      </c>
      <c r="B2897" s="288" t="s">
        <v>3687</v>
      </c>
      <c r="C2897" s="288" t="s">
        <v>820</v>
      </c>
      <c r="D2897" s="288" t="s">
        <v>818</v>
      </c>
      <c r="E2897" s="289">
        <v>10</v>
      </c>
      <c r="F2897" s="290">
        <v>0</v>
      </c>
      <c r="G2897" s="289">
        <v>900</v>
      </c>
      <c r="H2897" s="289">
        <v>0</v>
      </c>
      <c r="I2897" s="289">
        <v>90</v>
      </c>
      <c r="J2897" s="289">
        <v>70</v>
      </c>
      <c r="K2897" s="289">
        <v>7</v>
      </c>
      <c r="L2897" s="289">
        <v>1067</v>
      </c>
    </row>
    <row r="2898" spans="1:12">
      <c r="A2898" s="288" t="s">
        <v>3751</v>
      </c>
      <c r="B2898" s="288" t="s">
        <v>3687</v>
      </c>
      <c r="C2898" s="288" t="s">
        <v>820</v>
      </c>
      <c r="D2898" s="288" t="s">
        <v>818</v>
      </c>
      <c r="E2898" s="289">
        <v>10</v>
      </c>
      <c r="F2898" s="290">
        <v>0</v>
      </c>
      <c r="G2898" s="289">
        <v>900</v>
      </c>
      <c r="H2898" s="289">
        <v>0</v>
      </c>
      <c r="I2898" s="289">
        <v>90</v>
      </c>
      <c r="J2898" s="289">
        <v>70</v>
      </c>
      <c r="K2898" s="289">
        <v>7</v>
      </c>
      <c r="L2898" s="289">
        <v>1067</v>
      </c>
    </row>
    <row r="2899" spans="1:12">
      <c r="A2899" s="288" t="s">
        <v>3752</v>
      </c>
      <c r="B2899" s="288" t="s">
        <v>3687</v>
      </c>
      <c r="C2899" s="288" t="s">
        <v>820</v>
      </c>
      <c r="D2899" s="288" t="s">
        <v>818</v>
      </c>
      <c r="E2899" s="289">
        <v>10</v>
      </c>
      <c r="F2899" s="290">
        <v>0</v>
      </c>
      <c r="G2899" s="289">
        <v>900</v>
      </c>
      <c r="H2899" s="289">
        <v>0</v>
      </c>
      <c r="I2899" s="289">
        <v>90</v>
      </c>
      <c r="J2899" s="289">
        <v>70</v>
      </c>
      <c r="K2899" s="289">
        <v>7</v>
      </c>
      <c r="L2899" s="289">
        <v>1067</v>
      </c>
    </row>
    <row r="2900" spans="1:12">
      <c r="A2900" s="288" t="s">
        <v>3753</v>
      </c>
      <c r="B2900" s="288" t="s">
        <v>3687</v>
      </c>
      <c r="C2900" s="288" t="s">
        <v>820</v>
      </c>
      <c r="D2900" s="288" t="s">
        <v>818</v>
      </c>
      <c r="E2900" s="289">
        <v>10</v>
      </c>
      <c r="F2900" s="290">
        <v>0</v>
      </c>
      <c r="G2900" s="289">
        <v>900</v>
      </c>
      <c r="H2900" s="289">
        <v>0</v>
      </c>
      <c r="I2900" s="289">
        <v>90</v>
      </c>
      <c r="J2900" s="289">
        <v>70</v>
      </c>
      <c r="K2900" s="289">
        <v>7</v>
      </c>
      <c r="L2900" s="289">
        <v>1067</v>
      </c>
    </row>
    <row r="2901" spans="1:12">
      <c r="A2901" s="288" t="s">
        <v>3754</v>
      </c>
      <c r="B2901" s="288" t="s">
        <v>3687</v>
      </c>
      <c r="C2901" s="288" t="s">
        <v>820</v>
      </c>
      <c r="D2901" s="288" t="s">
        <v>818</v>
      </c>
      <c r="E2901" s="289">
        <v>10</v>
      </c>
      <c r="F2901" s="290">
        <v>0</v>
      </c>
      <c r="G2901" s="289">
        <v>900</v>
      </c>
      <c r="H2901" s="289">
        <v>0</v>
      </c>
      <c r="I2901" s="289">
        <v>90</v>
      </c>
      <c r="J2901" s="289">
        <v>70</v>
      </c>
      <c r="K2901" s="289">
        <v>7</v>
      </c>
      <c r="L2901" s="289">
        <v>1067</v>
      </c>
    </row>
    <row r="2902" spans="1:12">
      <c r="A2902" s="288" t="s">
        <v>3755</v>
      </c>
      <c r="B2902" s="288" t="s">
        <v>3687</v>
      </c>
      <c r="C2902" s="288" t="s">
        <v>820</v>
      </c>
      <c r="D2902" s="288" t="s">
        <v>818</v>
      </c>
      <c r="E2902" s="289">
        <v>10</v>
      </c>
      <c r="F2902" s="290">
        <v>1</v>
      </c>
      <c r="G2902" s="289">
        <v>900</v>
      </c>
      <c r="H2902" s="289">
        <v>0</v>
      </c>
      <c r="I2902" s="289">
        <v>90</v>
      </c>
      <c r="J2902" s="289">
        <v>70</v>
      </c>
      <c r="K2902" s="289">
        <v>7</v>
      </c>
      <c r="L2902" s="289">
        <v>1067</v>
      </c>
    </row>
    <row r="2903" spans="1:12">
      <c r="A2903" s="288" t="s">
        <v>3756</v>
      </c>
      <c r="B2903" s="288" t="s">
        <v>3687</v>
      </c>
      <c r="C2903" s="288" t="s">
        <v>820</v>
      </c>
      <c r="D2903" s="288" t="s">
        <v>818</v>
      </c>
      <c r="E2903" s="289">
        <v>10</v>
      </c>
      <c r="F2903" s="290">
        <v>0</v>
      </c>
      <c r="G2903" s="289">
        <v>900</v>
      </c>
      <c r="H2903" s="289">
        <v>0</v>
      </c>
      <c r="I2903" s="289">
        <v>90</v>
      </c>
      <c r="J2903" s="289">
        <v>70</v>
      </c>
      <c r="K2903" s="289">
        <v>7</v>
      </c>
      <c r="L2903" s="289">
        <v>1067</v>
      </c>
    </row>
    <row r="2904" spans="1:12">
      <c r="A2904" s="288" t="s">
        <v>3757</v>
      </c>
      <c r="B2904" s="288" t="s">
        <v>3687</v>
      </c>
      <c r="C2904" s="288" t="s">
        <v>820</v>
      </c>
      <c r="D2904" s="288" t="s">
        <v>818</v>
      </c>
      <c r="E2904" s="289">
        <v>10</v>
      </c>
      <c r="F2904" s="290">
        <v>0</v>
      </c>
      <c r="G2904" s="289">
        <v>900</v>
      </c>
      <c r="H2904" s="289">
        <v>0</v>
      </c>
      <c r="I2904" s="289">
        <v>90</v>
      </c>
      <c r="J2904" s="289">
        <v>70</v>
      </c>
      <c r="K2904" s="289">
        <v>7</v>
      </c>
      <c r="L2904" s="289">
        <v>1067</v>
      </c>
    </row>
    <row r="2905" spans="1:12">
      <c r="A2905" s="288" t="s">
        <v>3758</v>
      </c>
      <c r="B2905" s="288" t="s">
        <v>3687</v>
      </c>
      <c r="C2905" s="288" t="s">
        <v>820</v>
      </c>
      <c r="D2905" s="288" t="s">
        <v>837</v>
      </c>
      <c r="E2905" s="289">
        <v>10</v>
      </c>
      <c r="F2905" s="290">
        <v>0</v>
      </c>
      <c r="G2905" s="289">
        <v>900</v>
      </c>
      <c r="H2905" s="289">
        <v>0</v>
      </c>
      <c r="I2905" s="289">
        <v>90</v>
      </c>
      <c r="J2905" s="289">
        <v>800</v>
      </c>
      <c r="K2905" s="289">
        <v>80</v>
      </c>
      <c r="L2905" s="289">
        <v>1870</v>
      </c>
    </row>
    <row r="2906" spans="1:12">
      <c r="A2906" s="288" t="s">
        <v>3759</v>
      </c>
      <c r="B2906" s="288" t="s">
        <v>3687</v>
      </c>
      <c r="C2906" s="288" t="s">
        <v>820</v>
      </c>
      <c r="D2906" s="288" t="s">
        <v>822</v>
      </c>
      <c r="E2906" s="289">
        <v>10</v>
      </c>
      <c r="F2906" s="290">
        <v>1</v>
      </c>
      <c r="G2906" s="289">
        <v>900</v>
      </c>
      <c r="H2906" s="289">
        <v>0</v>
      </c>
      <c r="I2906" s="289">
        <v>90</v>
      </c>
      <c r="J2906" s="289">
        <v>200</v>
      </c>
      <c r="K2906" s="289">
        <v>20</v>
      </c>
      <c r="L2906" s="289">
        <v>1210</v>
      </c>
    </row>
    <row r="2907" spans="1:12">
      <c r="A2907" s="288" t="s">
        <v>3760</v>
      </c>
      <c r="B2907" s="288" t="s">
        <v>3687</v>
      </c>
      <c r="C2907" s="288" t="s">
        <v>820</v>
      </c>
      <c r="D2907" s="288" t="s">
        <v>818</v>
      </c>
      <c r="E2907" s="289">
        <v>10</v>
      </c>
      <c r="F2907" s="290">
        <v>0</v>
      </c>
      <c r="G2907" s="289">
        <v>900</v>
      </c>
      <c r="H2907" s="289">
        <v>0</v>
      </c>
      <c r="I2907" s="289">
        <v>90</v>
      </c>
      <c r="J2907" s="289">
        <v>70</v>
      </c>
      <c r="K2907" s="289">
        <v>7</v>
      </c>
      <c r="L2907" s="289">
        <v>1067</v>
      </c>
    </row>
    <row r="2908" spans="1:12">
      <c r="A2908" s="288" t="s">
        <v>3761</v>
      </c>
      <c r="B2908" s="288" t="s">
        <v>3687</v>
      </c>
      <c r="C2908" s="288" t="s">
        <v>820</v>
      </c>
      <c r="D2908" s="288" t="s">
        <v>818</v>
      </c>
      <c r="E2908" s="289">
        <v>10</v>
      </c>
      <c r="F2908" s="290">
        <v>1</v>
      </c>
      <c r="G2908" s="289">
        <v>900</v>
      </c>
      <c r="H2908" s="289">
        <v>0</v>
      </c>
      <c r="I2908" s="289">
        <v>90</v>
      </c>
      <c r="J2908" s="289">
        <v>70</v>
      </c>
      <c r="K2908" s="289">
        <v>7</v>
      </c>
      <c r="L2908" s="289">
        <v>1067</v>
      </c>
    </row>
    <row r="2909" spans="1:12">
      <c r="A2909" s="288" t="s">
        <v>3762</v>
      </c>
      <c r="B2909" s="288" t="s">
        <v>3687</v>
      </c>
      <c r="C2909" s="288" t="s">
        <v>820</v>
      </c>
      <c r="D2909" s="288" t="s">
        <v>818</v>
      </c>
      <c r="E2909" s="289">
        <v>10</v>
      </c>
      <c r="F2909" s="290">
        <v>1</v>
      </c>
      <c r="G2909" s="289">
        <v>900</v>
      </c>
      <c r="H2909" s="289">
        <v>0</v>
      </c>
      <c r="I2909" s="289">
        <v>90</v>
      </c>
      <c r="J2909" s="289">
        <v>70</v>
      </c>
      <c r="K2909" s="289">
        <v>7</v>
      </c>
      <c r="L2909" s="289">
        <v>1067</v>
      </c>
    </row>
    <row r="2910" spans="1:12">
      <c r="A2910" s="288" t="s">
        <v>3763</v>
      </c>
      <c r="B2910" s="288" t="s">
        <v>3687</v>
      </c>
      <c r="C2910" s="288" t="s">
        <v>820</v>
      </c>
      <c r="D2910" s="288" t="s">
        <v>818</v>
      </c>
      <c r="E2910" s="289">
        <v>10</v>
      </c>
      <c r="F2910" s="290">
        <v>0</v>
      </c>
      <c r="G2910" s="289">
        <v>900</v>
      </c>
      <c r="H2910" s="289">
        <v>0</v>
      </c>
      <c r="I2910" s="289">
        <v>90</v>
      </c>
      <c r="J2910" s="289">
        <v>70</v>
      </c>
      <c r="K2910" s="289">
        <v>7</v>
      </c>
      <c r="L2910" s="289">
        <v>1067</v>
      </c>
    </row>
    <row r="2911" spans="1:12">
      <c r="A2911" s="288" t="s">
        <v>3764</v>
      </c>
      <c r="B2911" s="288" t="s">
        <v>3687</v>
      </c>
      <c r="C2911" s="288" t="s">
        <v>820</v>
      </c>
      <c r="D2911" s="288" t="s">
        <v>818</v>
      </c>
      <c r="E2911" s="289">
        <v>10</v>
      </c>
      <c r="F2911" s="290">
        <v>0</v>
      </c>
      <c r="G2911" s="289">
        <v>900</v>
      </c>
      <c r="H2911" s="289">
        <v>0</v>
      </c>
      <c r="I2911" s="289">
        <v>90</v>
      </c>
      <c r="J2911" s="289">
        <v>70</v>
      </c>
      <c r="K2911" s="289">
        <v>7</v>
      </c>
      <c r="L2911" s="289">
        <v>1067</v>
      </c>
    </row>
    <row r="2912" spans="1:12">
      <c r="A2912" s="288" t="s">
        <v>3765</v>
      </c>
      <c r="B2912" s="288" t="s">
        <v>3687</v>
      </c>
      <c r="C2912" s="288" t="s">
        <v>820</v>
      </c>
      <c r="D2912" s="288" t="s">
        <v>818</v>
      </c>
      <c r="E2912" s="289">
        <v>10</v>
      </c>
      <c r="F2912" s="290">
        <v>0</v>
      </c>
      <c r="G2912" s="289">
        <v>900</v>
      </c>
      <c r="H2912" s="289">
        <v>0</v>
      </c>
      <c r="I2912" s="289">
        <v>90</v>
      </c>
      <c r="J2912" s="289">
        <v>70</v>
      </c>
      <c r="K2912" s="289">
        <v>7</v>
      </c>
      <c r="L2912" s="289">
        <v>1067</v>
      </c>
    </row>
    <row r="2913" spans="1:12">
      <c r="A2913" s="288" t="s">
        <v>3766</v>
      </c>
      <c r="B2913" s="288" t="s">
        <v>3687</v>
      </c>
      <c r="C2913" s="288" t="s">
        <v>820</v>
      </c>
      <c r="D2913" s="288" t="s">
        <v>818</v>
      </c>
      <c r="E2913" s="289">
        <v>10</v>
      </c>
      <c r="F2913" s="290">
        <v>0</v>
      </c>
      <c r="G2913" s="289">
        <v>900</v>
      </c>
      <c r="H2913" s="289">
        <v>0</v>
      </c>
      <c r="I2913" s="289">
        <v>90</v>
      </c>
      <c r="J2913" s="289">
        <v>70</v>
      </c>
      <c r="K2913" s="289">
        <v>7</v>
      </c>
      <c r="L2913" s="289">
        <v>1067</v>
      </c>
    </row>
    <row r="2914" spans="1:12">
      <c r="A2914" s="288" t="s">
        <v>3767</v>
      </c>
      <c r="B2914" s="288" t="s">
        <v>3768</v>
      </c>
      <c r="C2914" s="288" t="s">
        <v>829</v>
      </c>
      <c r="D2914" s="288" t="s">
        <v>818</v>
      </c>
      <c r="E2914" s="289">
        <v>10</v>
      </c>
      <c r="F2914" s="290">
        <v>2</v>
      </c>
      <c r="G2914" s="289">
        <v>900</v>
      </c>
      <c r="H2914" s="289">
        <v>0</v>
      </c>
      <c r="I2914" s="289">
        <v>90</v>
      </c>
      <c r="J2914" s="289">
        <v>70</v>
      </c>
      <c r="K2914" s="289">
        <v>7</v>
      </c>
      <c r="L2914" s="289">
        <v>1067</v>
      </c>
    </row>
    <row r="2915" spans="1:12">
      <c r="A2915" s="288" t="s">
        <v>3769</v>
      </c>
      <c r="B2915" s="288" t="s">
        <v>3768</v>
      </c>
      <c r="C2915" s="288" t="s">
        <v>829</v>
      </c>
      <c r="D2915" s="288" t="s">
        <v>818</v>
      </c>
      <c r="E2915" s="289">
        <v>10</v>
      </c>
      <c r="F2915" s="290">
        <v>1</v>
      </c>
      <c r="G2915" s="289">
        <v>900</v>
      </c>
      <c r="H2915" s="289">
        <v>0</v>
      </c>
      <c r="I2915" s="289">
        <v>90</v>
      </c>
      <c r="J2915" s="289">
        <v>70</v>
      </c>
      <c r="K2915" s="289">
        <v>7</v>
      </c>
      <c r="L2915" s="289">
        <v>1067</v>
      </c>
    </row>
    <row r="2916" spans="1:12">
      <c r="A2916" s="288" t="s">
        <v>3770</v>
      </c>
      <c r="B2916" s="288" t="s">
        <v>3768</v>
      </c>
      <c r="C2916" s="288" t="s">
        <v>814</v>
      </c>
      <c r="D2916" s="288" t="s">
        <v>818</v>
      </c>
      <c r="E2916" s="289">
        <v>10</v>
      </c>
      <c r="F2916" s="290">
        <v>9</v>
      </c>
      <c r="G2916" s="289">
        <v>1100</v>
      </c>
      <c r="H2916" s="289">
        <v>0</v>
      </c>
      <c r="I2916" s="289">
        <v>110</v>
      </c>
      <c r="J2916" s="289">
        <v>70</v>
      </c>
      <c r="K2916" s="289">
        <v>7</v>
      </c>
      <c r="L2916" s="289">
        <v>1287</v>
      </c>
    </row>
    <row r="2917" spans="1:12">
      <c r="A2917" s="288" t="s">
        <v>3771</v>
      </c>
      <c r="B2917" s="288" t="s">
        <v>3768</v>
      </c>
      <c r="C2917" s="288" t="s">
        <v>814</v>
      </c>
      <c r="D2917" s="288" t="s">
        <v>818</v>
      </c>
      <c r="E2917" s="289">
        <v>10</v>
      </c>
      <c r="F2917" s="290">
        <v>4</v>
      </c>
      <c r="G2917" s="289">
        <v>900</v>
      </c>
      <c r="H2917" s="289">
        <v>0</v>
      </c>
      <c r="I2917" s="289">
        <v>90</v>
      </c>
      <c r="J2917" s="289">
        <v>70</v>
      </c>
      <c r="K2917" s="289">
        <v>7</v>
      </c>
      <c r="L2917" s="289">
        <v>1067</v>
      </c>
    </row>
    <row r="2918" spans="1:12">
      <c r="A2918" s="288" t="s">
        <v>3772</v>
      </c>
      <c r="B2918" s="288" t="s">
        <v>3768</v>
      </c>
      <c r="C2918" s="288" t="s">
        <v>814</v>
      </c>
      <c r="D2918" s="288" t="s">
        <v>818</v>
      </c>
      <c r="E2918" s="289">
        <v>10</v>
      </c>
      <c r="F2918" s="290">
        <v>7</v>
      </c>
      <c r="G2918" s="289">
        <v>1100</v>
      </c>
      <c r="H2918" s="289">
        <v>0</v>
      </c>
      <c r="I2918" s="289">
        <v>110</v>
      </c>
      <c r="J2918" s="289">
        <v>70</v>
      </c>
      <c r="K2918" s="289">
        <v>7</v>
      </c>
      <c r="L2918" s="289">
        <v>1287</v>
      </c>
    </row>
    <row r="2919" spans="1:12">
      <c r="A2919" s="288" t="s">
        <v>3773</v>
      </c>
      <c r="B2919" s="288" t="s">
        <v>3768</v>
      </c>
      <c r="C2919" s="288" t="s">
        <v>814</v>
      </c>
      <c r="D2919" s="288" t="s">
        <v>818</v>
      </c>
      <c r="E2919" s="289">
        <v>10</v>
      </c>
      <c r="F2919" s="290">
        <v>14</v>
      </c>
      <c r="G2919" s="289">
        <v>1100</v>
      </c>
      <c r="H2919" s="289">
        <v>440</v>
      </c>
      <c r="I2919" s="289">
        <v>154</v>
      </c>
      <c r="J2919" s="289">
        <v>70</v>
      </c>
      <c r="K2919" s="289">
        <v>7</v>
      </c>
      <c r="L2919" s="289">
        <v>1771</v>
      </c>
    </row>
    <row r="2920" spans="1:12">
      <c r="A2920" s="288" t="s">
        <v>3774</v>
      </c>
      <c r="B2920" s="288" t="s">
        <v>3768</v>
      </c>
      <c r="C2920" s="288" t="s">
        <v>814</v>
      </c>
      <c r="D2920" s="288" t="s">
        <v>818</v>
      </c>
      <c r="E2920" s="289">
        <v>10</v>
      </c>
      <c r="F2920" s="290">
        <v>2</v>
      </c>
      <c r="G2920" s="289">
        <v>900</v>
      </c>
      <c r="H2920" s="289">
        <v>0</v>
      </c>
      <c r="I2920" s="289">
        <v>90</v>
      </c>
      <c r="J2920" s="289">
        <v>70</v>
      </c>
      <c r="K2920" s="289">
        <v>7</v>
      </c>
      <c r="L2920" s="289">
        <v>1067</v>
      </c>
    </row>
    <row r="2921" spans="1:12">
      <c r="A2921" s="288" t="s">
        <v>3775</v>
      </c>
      <c r="B2921" s="288" t="s">
        <v>3768</v>
      </c>
      <c r="C2921" s="288" t="s">
        <v>814</v>
      </c>
      <c r="D2921" s="288" t="s">
        <v>818</v>
      </c>
      <c r="E2921" s="289">
        <v>10</v>
      </c>
      <c r="F2921" s="290">
        <v>5</v>
      </c>
      <c r="G2921" s="289">
        <v>900</v>
      </c>
      <c r="H2921" s="289">
        <v>0</v>
      </c>
      <c r="I2921" s="289">
        <v>90</v>
      </c>
      <c r="J2921" s="289">
        <v>70</v>
      </c>
      <c r="K2921" s="289">
        <v>7</v>
      </c>
      <c r="L2921" s="289">
        <v>1067</v>
      </c>
    </row>
    <row r="2922" spans="1:12">
      <c r="A2922" s="288" t="s">
        <v>3776</v>
      </c>
      <c r="B2922" s="288" t="s">
        <v>3768</v>
      </c>
      <c r="C2922" s="288" t="s">
        <v>814</v>
      </c>
      <c r="D2922" s="288" t="s">
        <v>818</v>
      </c>
      <c r="E2922" s="289">
        <v>10</v>
      </c>
      <c r="F2922" s="290">
        <v>13</v>
      </c>
      <c r="G2922" s="289">
        <v>1100</v>
      </c>
      <c r="H2922" s="289">
        <v>330</v>
      </c>
      <c r="I2922" s="289">
        <v>143</v>
      </c>
      <c r="J2922" s="289">
        <v>70</v>
      </c>
      <c r="K2922" s="289">
        <v>7</v>
      </c>
      <c r="L2922" s="289">
        <v>1650</v>
      </c>
    </row>
    <row r="2923" spans="1:12">
      <c r="A2923" s="288" t="s">
        <v>3777</v>
      </c>
      <c r="B2923" s="288" t="s">
        <v>3768</v>
      </c>
      <c r="C2923" s="288" t="s">
        <v>814</v>
      </c>
      <c r="D2923" s="288" t="s">
        <v>818</v>
      </c>
      <c r="E2923" s="289">
        <v>10</v>
      </c>
      <c r="F2923" s="290">
        <v>14</v>
      </c>
      <c r="G2923" s="289">
        <v>1100</v>
      </c>
      <c r="H2923" s="289">
        <v>440</v>
      </c>
      <c r="I2923" s="289">
        <v>154</v>
      </c>
      <c r="J2923" s="289">
        <v>70</v>
      </c>
      <c r="K2923" s="289">
        <v>7</v>
      </c>
      <c r="L2923" s="289">
        <v>1771</v>
      </c>
    </row>
    <row r="2924" spans="1:12">
      <c r="A2924" s="288" t="s">
        <v>3778</v>
      </c>
      <c r="B2924" s="288" t="s">
        <v>3768</v>
      </c>
      <c r="C2924" s="288" t="s">
        <v>814</v>
      </c>
      <c r="D2924" s="288" t="s">
        <v>818</v>
      </c>
      <c r="E2924" s="289">
        <v>10</v>
      </c>
      <c r="F2924" s="290">
        <v>12</v>
      </c>
      <c r="G2924" s="289">
        <v>1100</v>
      </c>
      <c r="H2924" s="289">
        <v>220</v>
      </c>
      <c r="I2924" s="289">
        <v>132</v>
      </c>
      <c r="J2924" s="289">
        <v>70</v>
      </c>
      <c r="K2924" s="289">
        <v>7</v>
      </c>
      <c r="L2924" s="289">
        <v>1529</v>
      </c>
    </row>
    <row r="2925" spans="1:12">
      <c r="A2925" s="288" t="s">
        <v>3779</v>
      </c>
      <c r="B2925" s="288" t="s">
        <v>3768</v>
      </c>
      <c r="C2925" s="288" t="s">
        <v>814</v>
      </c>
      <c r="D2925" s="288" t="s">
        <v>818</v>
      </c>
      <c r="E2925" s="289">
        <v>10</v>
      </c>
      <c r="F2925" s="290">
        <v>5</v>
      </c>
      <c r="G2925" s="289">
        <v>900</v>
      </c>
      <c r="H2925" s="289">
        <v>0</v>
      </c>
      <c r="I2925" s="289">
        <v>90</v>
      </c>
      <c r="J2925" s="289">
        <v>70</v>
      </c>
      <c r="K2925" s="289">
        <v>7</v>
      </c>
      <c r="L2925" s="289">
        <v>1067</v>
      </c>
    </row>
    <row r="2926" spans="1:12">
      <c r="A2926" s="288" t="s">
        <v>3780</v>
      </c>
      <c r="B2926" s="288" t="s">
        <v>3768</v>
      </c>
      <c r="C2926" s="288" t="s">
        <v>829</v>
      </c>
      <c r="D2926" s="288" t="s">
        <v>818</v>
      </c>
      <c r="E2926" s="289">
        <v>10</v>
      </c>
      <c r="F2926" s="290">
        <v>0</v>
      </c>
      <c r="G2926" s="289">
        <v>900</v>
      </c>
      <c r="H2926" s="289">
        <v>0</v>
      </c>
      <c r="I2926" s="289">
        <v>90</v>
      </c>
      <c r="J2926" s="289">
        <v>70</v>
      </c>
      <c r="K2926" s="289">
        <v>7</v>
      </c>
      <c r="L2926" s="289">
        <v>1067</v>
      </c>
    </row>
    <row r="2927" spans="1:12">
      <c r="A2927" s="288" t="s">
        <v>3781</v>
      </c>
      <c r="B2927" s="288" t="s">
        <v>3768</v>
      </c>
      <c r="C2927" s="288" t="s">
        <v>829</v>
      </c>
      <c r="D2927" s="288" t="s">
        <v>818</v>
      </c>
      <c r="E2927" s="289">
        <v>10</v>
      </c>
      <c r="F2927" s="290">
        <v>0</v>
      </c>
      <c r="G2927" s="289">
        <v>900</v>
      </c>
      <c r="H2927" s="289">
        <v>0</v>
      </c>
      <c r="I2927" s="289">
        <v>90</v>
      </c>
      <c r="J2927" s="289">
        <v>70</v>
      </c>
      <c r="K2927" s="289">
        <v>7</v>
      </c>
      <c r="L2927" s="289">
        <v>1067</v>
      </c>
    </row>
    <row r="2928" spans="1:12">
      <c r="A2928" s="288" t="s">
        <v>3782</v>
      </c>
      <c r="B2928" s="288" t="s">
        <v>3768</v>
      </c>
      <c r="C2928" s="288" t="s">
        <v>829</v>
      </c>
      <c r="D2928" s="288" t="s">
        <v>818</v>
      </c>
      <c r="E2928" s="289">
        <v>10</v>
      </c>
      <c r="F2928" s="290">
        <v>5</v>
      </c>
      <c r="G2928" s="289">
        <v>900</v>
      </c>
      <c r="H2928" s="289">
        <v>0</v>
      </c>
      <c r="I2928" s="289">
        <v>90</v>
      </c>
      <c r="J2928" s="289">
        <v>70</v>
      </c>
      <c r="K2928" s="289">
        <v>7</v>
      </c>
      <c r="L2928" s="289">
        <v>1067</v>
      </c>
    </row>
    <row r="2929" spans="1:12">
      <c r="A2929" s="288" t="s">
        <v>3783</v>
      </c>
      <c r="B2929" s="288" t="s">
        <v>3768</v>
      </c>
      <c r="C2929" s="288" t="s">
        <v>829</v>
      </c>
      <c r="D2929" s="288" t="s">
        <v>818</v>
      </c>
      <c r="E2929" s="289">
        <v>10</v>
      </c>
      <c r="F2929" s="290">
        <v>0</v>
      </c>
      <c r="G2929" s="289">
        <v>900</v>
      </c>
      <c r="H2929" s="289">
        <v>0</v>
      </c>
      <c r="I2929" s="289">
        <v>90</v>
      </c>
      <c r="J2929" s="289">
        <v>70</v>
      </c>
      <c r="K2929" s="289">
        <v>7</v>
      </c>
      <c r="L2929" s="289">
        <v>1067</v>
      </c>
    </row>
    <row r="2930" spans="1:12">
      <c r="A2930" s="288" t="s">
        <v>3784</v>
      </c>
      <c r="B2930" s="288" t="s">
        <v>3785</v>
      </c>
      <c r="C2930" s="288" t="s">
        <v>829</v>
      </c>
      <c r="D2930" s="288" t="s">
        <v>818</v>
      </c>
      <c r="E2930" s="289">
        <v>10</v>
      </c>
      <c r="F2930" s="290">
        <v>3</v>
      </c>
      <c r="G2930" s="289">
        <v>900</v>
      </c>
      <c r="H2930" s="289">
        <v>0</v>
      </c>
      <c r="I2930" s="289">
        <v>90</v>
      </c>
      <c r="J2930" s="289">
        <v>70</v>
      </c>
      <c r="K2930" s="289">
        <v>7</v>
      </c>
      <c r="L2930" s="289">
        <v>1067</v>
      </c>
    </row>
    <row r="2931" spans="1:12">
      <c r="A2931" s="288" t="s">
        <v>3786</v>
      </c>
      <c r="B2931" s="288" t="s">
        <v>3785</v>
      </c>
      <c r="C2931" s="288" t="s">
        <v>829</v>
      </c>
      <c r="D2931" s="288" t="s">
        <v>815</v>
      </c>
      <c r="E2931" s="289">
        <v>10</v>
      </c>
      <c r="F2931" s="290">
        <v>0</v>
      </c>
      <c r="G2931" s="289">
        <v>900</v>
      </c>
      <c r="H2931" s="289">
        <v>0</v>
      </c>
      <c r="I2931" s="289">
        <v>90</v>
      </c>
      <c r="J2931" s="289">
        <v>50</v>
      </c>
      <c r="K2931" s="289">
        <v>5</v>
      </c>
      <c r="L2931" s="289">
        <v>1045</v>
      </c>
    </row>
    <row r="2932" spans="1:12">
      <c r="A2932" s="288" t="s">
        <v>3787</v>
      </c>
      <c r="B2932" s="288" t="s">
        <v>3785</v>
      </c>
      <c r="C2932" s="288" t="s">
        <v>820</v>
      </c>
      <c r="D2932" s="288" t="s">
        <v>818</v>
      </c>
      <c r="E2932" s="289">
        <v>10</v>
      </c>
      <c r="F2932" s="290">
        <v>18</v>
      </c>
      <c r="G2932" s="289">
        <v>1100</v>
      </c>
      <c r="H2932" s="289">
        <v>880</v>
      </c>
      <c r="I2932" s="289">
        <v>198</v>
      </c>
      <c r="J2932" s="289">
        <v>70</v>
      </c>
      <c r="K2932" s="289">
        <v>7</v>
      </c>
      <c r="L2932" s="289">
        <v>2255</v>
      </c>
    </row>
    <row r="2933" spans="1:12">
      <c r="A2933" s="288" t="s">
        <v>3788</v>
      </c>
      <c r="B2933" s="288" t="s">
        <v>3785</v>
      </c>
      <c r="C2933" s="288" t="s">
        <v>814</v>
      </c>
      <c r="D2933" s="288" t="s">
        <v>815</v>
      </c>
      <c r="E2933" s="289">
        <v>10</v>
      </c>
      <c r="F2933" s="290">
        <v>0</v>
      </c>
      <c r="G2933" s="289">
        <v>900</v>
      </c>
      <c r="H2933" s="289">
        <v>0</v>
      </c>
      <c r="I2933" s="289">
        <v>90</v>
      </c>
      <c r="J2933" s="289">
        <v>50</v>
      </c>
      <c r="K2933" s="289">
        <v>5</v>
      </c>
      <c r="L2933" s="289">
        <v>1045</v>
      </c>
    </row>
    <row r="2934" spans="1:12">
      <c r="A2934" s="288" t="s">
        <v>3789</v>
      </c>
      <c r="B2934" s="288" t="s">
        <v>3785</v>
      </c>
      <c r="C2934" s="288" t="s">
        <v>814</v>
      </c>
      <c r="D2934" s="288" t="s">
        <v>815</v>
      </c>
      <c r="E2934" s="289">
        <v>10</v>
      </c>
      <c r="F2934" s="290">
        <v>0</v>
      </c>
      <c r="G2934" s="289">
        <v>900</v>
      </c>
      <c r="H2934" s="289">
        <v>0</v>
      </c>
      <c r="I2934" s="289">
        <v>90</v>
      </c>
      <c r="J2934" s="289">
        <v>50</v>
      </c>
      <c r="K2934" s="289">
        <v>5</v>
      </c>
      <c r="L2934" s="289">
        <v>1045</v>
      </c>
    </row>
    <row r="2935" spans="1:12">
      <c r="A2935" s="288" t="s">
        <v>3790</v>
      </c>
      <c r="B2935" s="288" t="s">
        <v>3785</v>
      </c>
      <c r="C2935" s="288" t="s">
        <v>820</v>
      </c>
      <c r="D2935" s="288" t="s">
        <v>815</v>
      </c>
      <c r="E2935" s="289">
        <v>10</v>
      </c>
      <c r="F2935" s="290">
        <v>33</v>
      </c>
      <c r="G2935" s="289">
        <v>1100</v>
      </c>
      <c r="H2935" s="289">
        <v>2530</v>
      </c>
      <c r="I2935" s="289">
        <v>363</v>
      </c>
      <c r="J2935" s="289">
        <v>50</v>
      </c>
      <c r="K2935" s="289">
        <v>5</v>
      </c>
      <c r="L2935" s="289">
        <v>4048</v>
      </c>
    </row>
    <row r="2936" spans="1:12">
      <c r="A2936" s="288" t="s">
        <v>3791</v>
      </c>
      <c r="B2936" s="288" t="s">
        <v>3785</v>
      </c>
      <c r="C2936" s="288" t="s">
        <v>829</v>
      </c>
      <c r="D2936" s="288" t="s">
        <v>818</v>
      </c>
      <c r="E2936" s="289">
        <v>10</v>
      </c>
      <c r="F2936" s="290">
        <v>10</v>
      </c>
      <c r="G2936" s="289">
        <v>1100</v>
      </c>
      <c r="H2936" s="289">
        <v>0</v>
      </c>
      <c r="I2936" s="289">
        <v>110</v>
      </c>
      <c r="J2936" s="289">
        <v>70</v>
      </c>
      <c r="K2936" s="289">
        <v>7</v>
      </c>
      <c r="L2936" s="289">
        <v>1287</v>
      </c>
    </row>
    <row r="2937" spans="1:12">
      <c r="A2937" s="288" t="s">
        <v>3792</v>
      </c>
      <c r="B2937" s="288" t="s">
        <v>3785</v>
      </c>
      <c r="C2937" s="288" t="s">
        <v>829</v>
      </c>
      <c r="D2937" s="288" t="s">
        <v>815</v>
      </c>
      <c r="E2937" s="289">
        <v>10</v>
      </c>
      <c r="F2937" s="290">
        <v>4</v>
      </c>
      <c r="G2937" s="289">
        <v>900</v>
      </c>
      <c r="H2937" s="289">
        <v>0</v>
      </c>
      <c r="I2937" s="289">
        <v>90</v>
      </c>
      <c r="J2937" s="289">
        <v>50</v>
      </c>
      <c r="K2937" s="289">
        <v>5</v>
      </c>
      <c r="L2937" s="289">
        <v>1045</v>
      </c>
    </row>
    <row r="2938" spans="1:12">
      <c r="A2938" s="288" t="s">
        <v>3793</v>
      </c>
      <c r="B2938" s="288" t="s">
        <v>3785</v>
      </c>
      <c r="C2938" s="288" t="s">
        <v>820</v>
      </c>
      <c r="D2938" s="288" t="s">
        <v>818</v>
      </c>
      <c r="E2938" s="289">
        <v>10</v>
      </c>
      <c r="F2938" s="290">
        <v>0</v>
      </c>
      <c r="G2938" s="289">
        <v>900</v>
      </c>
      <c r="H2938" s="289">
        <v>0</v>
      </c>
      <c r="I2938" s="289">
        <v>90</v>
      </c>
      <c r="J2938" s="289">
        <v>70</v>
      </c>
      <c r="K2938" s="289">
        <v>7</v>
      </c>
      <c r="L2938" s="289">
        <v>1067</v>
      </c>
    </row>
    <row r="2939" spans="1:12">
      <c r="A2939" s="288" t="s">
        <v>3794</v>
      </c>
      <c r="B2939" s="288" t="s">
        <v>3785</v>
      </c>
      <c r="C2939" s="288" t="s">
        <v>820</v>
      </c>
      <c r="D2939" s="288" t="s">
        <v>818</v>
      </c>
      <c r="E2939" s="289">
        <v>10</v>
      </c>
      <c r="F2939" s="290">
        <v>0</v>
      </c>
      <c r="G2939" s="289">
        <v>900</v>
      </c>
      <c r="H2939" s="289">
        <v>0</v>
      </c>
      <c r="I2939" s="289">
        <v>90</v>
      </c>
      <c r="J2939" s="289">
        <v>70</v>
      </c>
      <c r="K2939" s="289">
        <v>7</v>
      </c>
      <c r="L2939" s="289">
        <v>1067</v>
      </c>
    </row>
    <row r="2940" spans="1:12">
      <c r="A2940" s="288" t="s">
        <v>3795</v>
      </c>
      <c r="B2940" s="288" t="s">
        <v>3785</v>
      </c>
      <c r="C2940" s="288" t="s">
        <v>814</v>
      </c>
      <c r="D2940" s="288" t="s">
        <v>818</v>
      </c>
      <c r="E2940" s="289">
        <v>10</v>
      </c>
      <c r="F2940" s="290">
        <v>7</v>
      </c>
      <c r="G2940" s="289">
        <v>1100</v>
      </c>
      <c r="H2940" s="289">
        <v>0</v>
      </c>
      <c r="I2940" s="289">
        <v>110</v>
      </c>
      <c r="J2940" s="289">
        <v>70</v>
      </c>
      <c r="K2940" s="289">
        <v>7</v>
      </c>
      <c r="L2940" s="289">
        <v>1287</v>
      </c>
    </row>
    <row r="2941" spans="1:12">
      <c r="A2941" s="288" t="s">
        <v>3796</v>
      </c>
      <c r="B2941" s="288" t="s">
        <v>3785</v>
      </c>
      <c r="C2941" s="288" t="s">
        <v>814</v>
      </c>
      <c r="D2941" s="288" t="s">
        <v>818</v>
      </c>
      <c r="E2941" s="289">
        <v>10</v>
      </c>
      <c r="F2941" s="290">
        <v>30</v>
      </c>
      <c r="G2941" s="289">
        <v>1100</v>
      </c>
      <c r="H2941" s="289">
        <v>2200</v>
      </c>
      <c r="I2941" s="289">
        <v>330</v>
      </c>
      <c r="J2941" s="289">
        <v>70</v>
      </c>
      <c r="K2941" s="289">
        <v>7</v>
      </c>
      <c r="L2941" s="289">
        <v>3707</v>
      </c>
    </row>
    <row r="2942" spans="1:12">
      <c r="A2942" s="288" t="s">
        <v>3797</v>
      </c>
      <c r="B2942" s="288" t="s">
        <v>3785</v>
      </c>
      <c r="C2942" s="288" t="s">
        <v>814</v>
      </c>
      <c r="D2942" s="288" t="s">
        <v>818</v>
      </c>
      <c r="E2942" s="289">
        <v>10</v>
      </c>
      <c r="F2942" s="290">
        <v>8</v>
      </c>
      <c r="G2942" s="289">
        <v>1100</v>
      </c>
      <c r="H2942" s="289">
        <v>0</v>
      </c>
      <c r="I2942" s="289">
        <v>110</v>
      </c>
      <c r="J2942" s="289">
        <v>70</v>
      </c>
      <c r="K2942" s="289">
        <v>7</v>
      </c>
      <c r="L2942" s="289">
        <v>1287</v>
      </c>
    </row>
    <row r="2943" spans="1:12">
      <c r="A2943" s="288" t="s">
        <v>3798</v>
      </c>
      <c r="B2943" s="288" t="s">
        <v>3785</v>
      </c>
      <c r="C2943" s="288" t="s">
        <v>814</v>
      </c>
      <c r="D2943" s="288" t="s">
        <v>818</v>
      </c>
      <c r="E2943" s="289">
        <v>10</v>
      </c>
      <c r="F2943" s="290">
        <v>22</v>
      </c>
      <c r="G2943" s="289">
        <v>1100</v>
      </c>
      <c r="H2943" s="289">
        <v>1320</v>
      </c>
      <c r="I2943" s="289">
        <v>242</v>
      </c>
      <c r="J2943" s="289">
        <v>70</v>
      </c>
      <c r="K2943" s="289">
        <v>7</v>
      </c>
      <c r="L2943" s="289">
        <v>2739</v>
      </c>
    </row>
    <row r="2944" spans="1:12">
      <c r="A2944" s="288" t="s">
        <v>3799</v>
      </c>
      <c r="B2944" s="288" t="s">
        <v>3785</v>
      </c>
      <c r="C2944" s="288" t="s">
        <v>814</v>
      </c>
      <c r="D2944" s="288" t="s">
        <v>818</v>
      </c>
      <c r="E2944" s="289">
        <v>10</v>
      </c>
      <c r="F2944" s="290">
        <v>16</v>
      </c>
      <c r="G2944" s="289">
        <v>1100</v>
      </c>
      <c r="H2944" s="289">
        <v>660</v>
      </c>
      <c r="I2944" s="289">
        <v>176</v>
      </c>
      <c r="J2944" s="289">
        <v>70</v>
      </c>
      <c r="K2944" s="289">
        <v>7</v>
      </c>
      <c r="L2944" s="289">
        <v>2013</v>
      </c>
    </row>
    <row r="2945" spans="1:12">
      <c r="A2945" s="288" t="s">
        <v>3800</v>
      </c>
      <c r="B2945" s="288" t="s">
        <v>3785</v>
      </c>
      <c r="C2945" s="288" t="s">
        <v>814</v>
      </c>
      <c r="D2945" s="288" t="s">
        <v>818</v>
      </c>
      <c r="E2945" s="289">
        <v>10</v>
      </c>
      <c r="F2945" s="290">
        <v>19</v>
      </c>
      <c r="G2945" s="289">
        <v>1100</v>
      </c>
      <c r="H2945" s="289">
        <v>990</v>
      </c>
      <c r="I2945" s="289">
        <v>209</v>
      </c>
      <c r="J2945" s="289">
        <v>70</v>
      </c>
      <c r="K2945" s="289">
        <v>7</v>
      </c>
      <c r="L2945" s="289">
        <v>2376</v>
      </c>
    </row>
    <row r="2946" spans="1:12">
      <c r="A2946" s="288" t="s">
        <v>3801</v>
      </c>
      <c r="B2946" s="288" t="s">
        <v>3785</v>
      </c>
      <c r="C2946" s="288" t="s">
        <v>814</v>
      </c>
      <c r="D2946" s="288" t="s">
        <v>818</v>
      </c>
      <c r="E2946" s="289">
        <v>10</v>
      </c>
      <c r="F2946" s="290">
        <v>28</v>
      </c>
      <c r="G2946" s="289">
        <v>1100</v>
      </c>
      <c r="H2946" s="289">
        <v>1980</v>
      </c>
      <c r="I2946" s="289">
        <v>308</v>
      </c>
      <c r="J2946" s="289">
        <v>70</v>
      </c>
      <c r="K2946" s="289">
        <v>7</v>
      </c>
      <c r="L2946" s="289">
        <v>3465</v>
      </c>
    </row>
    <row r="2947" spans="1:12">
      <c r="A2947" s="288" t="s">
        <v>3802</v>
      </c>
      <c r="B2947" s="288" t="s">
        <v>3785</v>
      </c>
      <c r="C2947" s="288" t="s">
        <v>814</v>
      </c>
      <c r="D2947" s="288" t="s">
        <v>818</v>
      </c>
      <c r="E2947" s="289">
        <v>10</v>
      </c>
      <c r="F2947" s="290">
        <v>24</v>
      </c>
      <c r="G2947" s="289">
        <v>1100</v>
      </c>
      <c r="H2947" s="289">
        <v>1540</v>
      </c>
      <c r="I2947" s="289">
        <v>264</v>
      </c>
      <c r="J2947" s="289">
        <v>70</v>
      </c>
      <c r="K2947" s="289">
        <v>7</v>
      </c>
      <c r="L2947" s="289">
        <v>2981</v>
      </c>
    </row>
    <row r="2948" spans="1:12">
      <c r="A2948" s="288" t="s">
        <v>3803</v>
      </c>
      <c r="B2948" s="288" t="s">
        <v>3785</v>
      </c>
      <c r="C2948" s="288" t="s">
        <v>814</v>
      </c>
      <c r="D2948" s="288" t="s">
        <v>818</v>
      </c>
      <c r="E2948" s="289">
        <v>10</v>
      </c>
      <c r="F2948" s="290">
        <v>11</v>
      </c>
      <c r="G2948" s="289">
        <v>1100</v>
      </c>
      <c r="H2948" s="289">
        <v>110</v>
      </c>
      <c r="I2948" s="289">
        <v>121</v>
      </c>
      <c r="J2948" s="289">
        <v>70</v>
      </c>
      <c r="K2948" s="289">
        <v>7</v>
      </c>
      <c r="L2948" s="289">
        <v>1408</v>
      </c>
    </row>
    <row r="2949" spans="1:12">
      <c r="A2949" s="288" t="s">
        <v>3804</v>
      </c>
      <c r="B2949" s="288" t="s">
        <v>3785</v>
      </c>
      <c r="C2949" s="288" t="s">
        <v>814</v>
      </c>
      <c r="D2949" s="288" t="s">
        <v>818</v>
      </c>
      <c r="E2949" s="289">
        <v>10</v>
      </c>
      <c r="F2949" s="290">
        <v>14</v>
      </c>
      <c r="G2949" s="289">
        <v>1100</v>
      </c>
      <c r="H2949" s="289">
        <v>440</v>
      </c>
      <c r="I2949" s="289">
        <v>154</v>
      </c>
      <c r="J2949" s="289">
        <v>70</v>
      </c>
      <c r="K2949" s="289">
        <v>7</v>
      </c>
      <c r="L2949" s="289">
        <v>1771</v>
      </c>
    </row>
    <row r="2950" spans="1:12">
      <c r="A2950" s="288" t="s">
        <v>3805</v>
      </c>
      <c r="B2950" s="288" t="s">
        <v>3785</v>
      </c>
      <c r="C2950" s="288" t="s">
        <v>829</v>
      </c>
      <c r="D2950" s="288" t="s">
        <v>818</v>
      </c>
      <c r="E2950" s="289">
        <v>10</v>
      </c>
      <c r="F2950" s="290">
        <v>1</v>
      </c>
      <c r="G2950" s="289">
        <v>900</v>
      </c>
      <c r="H2950" s="289">
        <v>0</v>
      </c>
      <c r="I2950" s="289">
        <v>90</v>
      </c>
      <c r="J2950" s="289">
        <v>70</v>
      </c>
      <c r="K2950" s="289">
        <v>7</v>
      </c>
      <c r="L2950" s="289">
        <v>1067</v>
      </c>
    </row>
    <row r="2951" spans="1:12">
      <c r="A2951" s="288" t="s">
        <v>3806</v>
      </c>
      <c r="B2951" s="288" t="s">
        <v>3785</v>
      </c>
      <c r="C2951" s="288" t="s">
        <v>814</v>
      </c>
      <c r="D2951" s="288" t="s">
        <v>818</v>
      </c>
      <c r="E2951" s="289">
        <v>10</v>
      </c>
      <c r="F2951" s="290">
        <v>4</v>
      </c>
      <c r="G2951" s="289">
        <v>900</v>
      </c>
      <c r="H2951" s="289">
        <v>0</v>
      </c>
      <c r="I2951" s="289">
        <v>90</v>
      </c>
      <c r="J2951" s="289">
        <v>70</v>
      </c>
      <c r="K2951" s="289">
        <v>7</v>
      </c>
      <c r="L2951" s="289">
        <v>1067</v>
      </c>
    </row>
    <row r="2952" spans="1:12">
      <c r="A2952" s="288" t="s">
        <v>3807</v>
      </c>
      <c r="B2952" s="288" t="s">
        <v>3785</v>
      </c>
      <c r="C2952" s="288" t="s">
        <v>814</v>
      </c>
      <c r="D2952" s="288" t="s">
        <v>818</v>
      </c>
      <c r="E2952" s="289">
        <v>10</v>
      </c>
      <c r="F2952" s="290">
        <v>6</v>
      </c>
      <c r="G2952" s="289">
        <v>1100</v>
      </c>
      <c r="H2952" s="289">
        <v>0</v>
      </c>
      <c r="I2952" s="289">
        <v>110</v>
      </c>
      <c r="J2952" s="289">
        <v>70</v>
      </c>
      <c r="K2952" s="289">
        <v>7</v>
      </c>
      <c r="L2952" s="289">
        <v>1287</v>
      </c>
    </row>
    <row r="2953" spans="1:12">
      <c r="A2953" s="288" t="s">
        <v>3808</v>
      </c>
      <c r="B2953" s="288" t="s">
        <v>3785</v>
      </c>
      <c r="C2953" s="288" t="s">
        <v>814</v>
      </c>
      <c r="D2953" s="288" t="s">
        <v>818</v>
      </c>
      <c r="E2953" s="289">
        <v>10</v>
      </c>
      <c r="F2953" s="290">
        <v>15</v>
      </c>
      <c r="G2953" s="289">
        <v>1100</v>
      </c>
      <c r="H2953" s="289">
        <v>550</v>
      </c>
      <c r="I2953" s="289">
        <v>165</v>
      </c>
      <c r="J2953" s="289">
        <v>70</v>
      </c>
      <c r="K2953" s="289">
        <v>7</v>
      </c>
      <c r="L2953" s="289">
        <v>1892</v>
      </c>
    </row>
    <row r="2954" spans="1:12">
      <c r="A2954" s="288" t="s">
        <v>3809</v>
      </c>
      <c r="B2954" s="288" t="s">
        <v>3785</v>
      </c>
      <c r="C2954" s="288" t="s">
        <v>814</v>
      </c>
      <c r="D2954" s="288" t="s">
        <v>818</v>
      </c>
      <c r="E2954" s="289">
        <v>10</v>
      </c>
      <c r="F2954" s="290">
        <v>9</v>
      </c>
      <c r="G2954" s="289">
        <v>1100</v>
      </c>
      <c r="H2954" s="289">
        <v>0</v>
      </c>
      <c r="I2954" s="289">
        <v>110</v>
      </c>
      <c r="J2954" s="289">
        <v>70</v>
      </c>
      <c r="K2954" s="289">
        <v>7</v>
      </c>
      <c r="L2954" s="289">
        <v>1287</v>
      </c>
    </row>
    <row r="2955" spans="1:12">
      <c r="A2955" s="288" t="s">
        <v>3810</v>
      </c>
      <c r="B2955" s="288" t="s">
        <v>3785</v>
      </c>
      <c r="C2955" s="288" t="s">
        <v>814</v>
      </c>
      <c r="D2955" s="288" t="s">
        <v>818</v>
      </c>
      <c r="E2955" s="289">
        <v>10</v>
      </c>
      <c r="F2955" s="290">
        <v>5</v>
      </c>
      <c r="G2955" s="289">
        <v>900</v>
      </c>
      <c r="H2955" s="289">
        <v>0</v>
      </c>
      <c r="I2955" s="289">
        <v>90</v>
      </c>
      <c r="J2955" s="289">
        <v>70</v>
      </c>
      <c r="K2955" s="289">
        <v>7</v>
      </c>
      <c r="L2955" s="289">
        <v>1067</v>
      </c>
    </row>
    <row r="2956" spans="1:12">
      <c r="A2956" s="288" t="s">
        <v>3811</v>
      </c>
      <c r="B2956" s="288" t="s">
        <v>3785</v>
      </c>
      <c r="C2956" s="288" t="s">
        <v>814</v>
      </c>
      <c r="D2956" s="288" t="s">
        <v>818</v>
      </c>
      <c r="E2956" s="289">
        <v>10</v>
      </c>
      <c r="F2956" s="290">
        <v>19</v>
      </c>
      <c r="G2956" s="289">
        <v>1100</v>
      </c>
      <c r="H2956" s="289">
        <v>990</v>
      </c>
      <c r="I2956" s="289">
        <v>209</v>
      </c>
      <c r="J2956" s="289">
        <v>70</v>
      </c>
      <c r="K2956" s="289">
        <v>7</v>
      </c>
      <c r="L2956" s="289">
        <v>2376</v>
      </c>
    </row>
    <row r="2957" spans="1:12">
      <c r="A2957" s="288" t="s">
        <v>3812</v>
      </c>
      <c r="B2957" s="288" t="s">
        <v>3785</v>
      </c>
      <c r="C2957" s="288" t="s">
        <v>814</v>
      </c>
      <c r="D2957" s="288" t="s">
        <v>818</v>
      </c>
      <c r="E2957" s="289">
        <v>10</v>
      </c>
      <c r="F2957" s="290">
        <v>20</v>
      </c>
      <c r="G2957" s="289">
        <v>1100</v>
      </c>
      <c r="H2957" s="289">
        <v>1100</v>
      </c>
      <c r="I2957" s="289">
        <v>220</v>
      </c>
      <c r="J2957" s="289">
        <v>70</v>
      </c>
      <c r="K2957" s="289">
        <v>7</v>
      </c>
      <c r="L2957" s="289">
        <v>2497</v>
      </c>
    </row>
    <row r="2958" spans="1:12">
      <c r="A2958" s="288" t="s">
        <v>3813</v>
      </c>
      <c r="B2958" s="288" t="s">
        <v>3785</v>
      </c>
      <c r="C2958" s="288" t="s">
        <v>829</v>
      </c>
      <c r="D2958" s="288" t="s">
        <v>818</v>
      </c>
      <c r="E2958" s="289">
        <v>10</v>
      </c>
      <c r="F2958" s="290">
        <v>0</v>
      </c>
      <c r="G2958" s="289">
        <v>900</v>
      </c>
      <c r="H2958" s="289">
        <v>0</v>
      </c>
      <c r="I2958" s="289">
        <v>90</v>
      </c>
      <c r="J2958" s="289">
        <v>70</v>
      </c>
      <c r="K2958" s="289">
        <v>7</v>
      </c>
      <c r="L2958" s="289">
        <v>1067</v>
      </c>
    </row>
    <row r="2959" spans="1:12">
      <c r="A2959" s="288" t="s">
        <v>3814</v>
      </c>
      <c r="B2959" s="288" t="s">
        <v>3785</v>
      </c>
      <c r="C2959" s="288" t="s">
        <v>800</v>
      </c>
      <c r="D2959" s="288" t="s">
        <v>800</v>
      </c>
      <c r="E2959" s="289">
        <v>0</v>
      </c>
      <c r="F2959" s="290">
        <v>0</v>
      </c>
      <c r="G2959" s="289">
        <v>0</v>
      </c>
      <c r="H2959" s="289">
        <v>0</v>
      </c>
      <c r="I2959" s="289">
        <v>0</v>
      </c>
      <c r="J2959" s="289">
        <v>0</v>
      </c>
      <c r="K2959" s="289">
        <v>0</v>
      </c>
      <c r="L2959" s="289">
        <v>0</v>
      </c>
    </row>
    <row r="2960" spans="1:12">
      <c r="A2960" s="288" t="s">
        <v>3815</v>
      </c>
      <c r="B2960" s="288" t="s">
        <v>3816</v>
      </c>
      <c r="C2960" s="288" t="s">
        <v>829</v>
      </c>
      <c r="D2960" s="288" t="s">
        <v>818</v>
      </c>
      <c r="E2960" s="289">
        <v>10</v>
      </c>
      <c r="F2960" s="290">
        <v>0</v>
      </c>
      <c r="G2960" s="289">
        <v>900</v>
      </c>
      <c r="H2960" s="289">
        <v>0</v>
      </c>
      <c r="I2960" s="289">
        <v>90</v>
      </c>
      <c r="J2960" s="289">
        <v>70</v>
      </c>
      <c r="K2960" s="289">
        <v>7</v>
      </c>
      <c r="L2960" s="289">
        <v>1067</v>
      </c>
    </row>
    <row r="2961" spans="1:12">
      <c r="A2961" s="288" t="s">
        <v>3817</v>
      </c>
      <c r="B2961" s="288" t="s">
        <v>3816</v>
      </c>
      <c r="C2961" s="288" t="s">
        <v>829</v>
      </c>
      <c r="D2961" s="288" t="s">
        <v>818</v>
      </c>
      <c r="E2961" s="289">
        <v>10</v>
      </c>
      <c r="F2961" s="290">
        <v>6</v>
      </c>
      <c r="G2961" s="289">
        <v>1100</v>
      </c>
      <c r="H2961" s="289">
        <v>0</v>
      </c>
      <c r="I2961" s="289">
        <v>110</v>
      </c>
      <c r="J2961" s="289">
        <v>70</v>
      </c>
      <c r="K2961" s="289">
        <v>7</v>
      </c>
      <c r="L2961" s="289">
        <v>1287</v>
      </c>
    </row>
    <row r="2962" spans="1:12">
      <c r="A2962" s="288" t="s">
        <v>3818</v>
      </c>
      <c r="B2962" s="288" t="s">
        <v>3816</v>
      </c>
      <c r="C2962" s="288" t="s">
        <v>814</v>
      </c>
      <c r="D2962" s="288" t="s">
        <v>818</v>
      </c>
      <c r="E2962" s="289">
        <v>10</v>
      </c>
      <c r="F2962" s="290">
        <v>1</v>
      </c>
      <c r="G2962" s="289">
        <v>900</v>
      </c>
      <c r="H2962" s="289">
        <v>0</v>
      </c>
      <c r="I2962" s="289">
        <v>90</v>
      </c>
      <c r="J2962" s="289">
        <v>70</v>
      </c>
      <c r="K2962" s="289">
        <v>7</v>
      </c>
      <c r="L2962" s="289">
        <v>1067</v>
      </c>
    </row>
    <row r="2963" spans="1:12">
      <c r="A2963" s="288" t="s">
        <v>3819</v>
      </c>
      <c r="B2963" s="288" t="s">
        <v>3816</v>
      </c>
      <c r="C2963" s="288" t="s">
        <v>814</v>
      </c>
      <c r="D2963" s="288" t="s">
        <v>815</v>
      </c>
      <c r="E2963" s="289">
        <v>10</v>
      </c>
      <c r="F2963" s="290">
        <v>20</v>
      </c>
      <c r="G2963" s="289">
        <v>1100</v>
      </c>
      <c r="H2963" s="289">
        <v>1100</v>
      </c>
      <c r="I2963" s="289">
        <v>220</v>
      </c>
      <c r="J2963" s="289">
        <v>50</v>
      </c>
      <c r="K2963" s="289">
        <v>5</v>
      </c>
      <c r="L2963" s="289">
        <v>2475</v>
      </c>
    </row>
    <row r="2964" spans="1:12">
      <c r="A2964" s="288" t="s">
        <v>3820</v>
      </c>
      <c r="B2964" s="288" t="s">
        <v>3816</v>
      </c>
      <c r="C2964" s="288" t="s">
        <v>814</v>
      </c>
      <c r="D2964" s="288" t="s">
        <v>818</v>
      </c>
      <c r="E2964" s="289">
        <v>10</v>
      </c>
      <c r="F2964" s="290">
        <v>0</v>
      </c>
      <c r="G2964" s="289">
        <v>900</v>
      </c>
      <c r="H2964" s="289">
        <v>0</v>
      </c>
      <c r="I2964" s="289">
        <v>90</v>
      </c>
      <c r="J2964" s="289">
        <v>70</v>
      </c>
      <c r="K2964" s="289">
        <v>7</v>
      </c>
      <c r="L2964" s="289">
        <v>1067</v>
      </c>
    </row>
    <row r="2965" spans="1:12">
      <c r="A2965" s="288" t="s">
        <v>3821</v>
      </c>
      <c r="B2965" s="288" t="s">
        <v>3816</v>
      </c>
      <c r="C2965" s="288" t="s">
        <v>814</v>
      </c>
      <c r="D2965" s="288" t="s">
        <v>818</v>
      </c>
      <c r="E2965" s="289">
        <v>10</v>
      </c>
      <c r="F2965" s="290">
        <v>0</v>
      </c>
      <c r="G2965" s="289">
        <v>900</v>
      </c>
      <c r="H2965" s="289">
        <v>0</v>
      </c>
      <c r="I2965" s="289">
        <v>90</v>
      </c>
      <c r="J2965" s="289">
        <v>70</v>
      </c>
      <c r="K2965" s="289">
        <v>7</v>
      </c>
      <c r="L2965" s="289">
        <v>1067</v>
      </c>
    </row>
    <row r="2966" spans="1:12">
      <c r="A2966" s="288" t="s">
        <v>3822</v>
      </c>
      <c r="B2966" s="288" t="s">
        <v>3816</v>
      </c>
      <c r="C2966" s="288" t="s">
        <v>829</v>
      </c>
      <c r="D2966" s="288" t="s">
        <v>818</v>
      </c>
      <c r="E2966" s="289">
        <v>10</v>
      </c>
      <c r="F2966" s="290">
        <v>5</v>
      </c>
      <c r="G2966" s="289">
        <v>900</v>
      </c>
      <c r="H2966" s="289">
        <v>0</v>
      </c>
      <c r="I2966" s="289">
        <v>90</v>
      </c>
      <c r="J2966" s="289">
        <v>70</v>
      </c>
      <c r="K2966" s="289">
        <v>7</v>
      </c>
      <c r="L2966" s="289">
        <v>1067</v>
      </c>
    </row>
    <row r="2967" spans="1:12">
      <c r="A2967" s="288" t="s">
        <v>3823</v>
      </c>
      <c r="B2967" s="288" t="s">
        <v>3816</v>
      </c>
      <c r="C2967" s="288" t="s">
        <v>814</v>
      </c>
      <c r="D2967" s="288" t="s">
        <v>815</v>
      </c>
      <c r="E2967" s="289">
        <v>10</v>
      </c>
      <c r="F2967" s="290">
        <v>1</v>
      </c>
      <c r="G2967" s="289">
        <v>900</v>
      </c>
      <c r="H2967" s="289">
        <v>0</v>
      </c>
      <c r="I2967" s="289">
        <v>90</v>
      </c>
      <c r="J2967" s="289">
        <v>50</v>
      </c>
      <c r="K2967" s="289">
        <v>5</v>
      </c>
      <c r="L2967" s="289">
        <v>1045</v>
      </c>
    </row>
    <row r="2968" spans="1:12">
      <c r="A2968" s="288" t="s">
        <v>3824</v>
      </c>
      <c r="B2968" s="288" t="s">
        <v>3816</v>
      </c>
      <c r="C2968" s="288" t="s">
        <v>814</v>
      </c>
      <c r="D2968" s="288" t="s">
        <v>818</v>
      </c>
      <c r="E2968" s="289">
        <v>10</v>
      </c>
      <c r="F2968" s="290">
        <v>9</v>
      </c>
      <c r="G2968" s="289">
        <v>1100</v>
      </c>
      <c r="H2968" s="289">
        <v>0</v>
      </c>
      <c r="I2968" s="289">
        <v>110</v>
      </c>
      <c r="J2968" s="289">
        <v>70</v>
      </c>
      <c r="K2968" s="289">
        <v>7</v>
      </c>
      <c r="L2968" s="289">
        <v>1287</v>
      </c>
    </row>
    <row r="2969" spans="1:12">
      <c r="A2969" s="288" t="s">
        <v>3825</v>
      </c>
      <c r="B2969" s="288" t="s">
        <v>3816</v>
      </c>
      <c r="C2969" s="288" t="s">
        <v>814</v>
      </c>
      <c r="D2969" s="288" t="s">
        <v>818</v>
      </c>
      <c r="E2969" s="289">
        <v>10</v>
      </c>
      <c r="F2969" s="290">
        <v>4</v>
      </c>
      <c r="G2969" s="289">
        <v>900</v>
      </c>
      <c r="H2969" s="289">
        <v>0</v>
      </c>
      <c r="I2969" s="289">
        <v>90</v>
      </c>
      <c r="J2969" s="289">
        <v>70</v>
      </c>
      <c r="K2969" s="289">
        <v>7</v>
      </c>
      <c r="L2969" s="289">
        <v>1067</v>
      </c>
    </row>
    <row r="2970" spans="1:12">
      <c r="A2970" s="288" t="s">
        <v>3826</v>
      </c>
      <c r="B2970" s="288" t="s">
        <v>3816</v>
      </c>
      <c r="C2970" s="288" t="s">
        <v>814</v>
      </c>
      <c r="D2970" s="288" t="s">
        <v>818</v>
      </c>
      <c r="E2970" s="289">
        <v>10</v>
      </c>
      <c r="F2970" s="290">
        <v>7</v>
      </c>
      <c r="G2970" s="289">
        <v>1100</v>
      </c>
      <c r="H2970" s="289">
        <v>0</v>
      </c>
      <c r="I2970" s="289">
        <v>110</v>
      </c>
      <c r="J2970" s="289">
        <v>70</v>
      </c>
      <c r="K2970" s="289">
        <v>7</v>
      </c>
      <c r="L2970" s="289">
        <v>1287</v>
      </c>
    </row>
    <row r="2971" spans="1:12">
      <c r="A2971" s="288" t="s">
        <v>3827</v>
      </c>
      <c r="B2971" s="288" t="s">
        <v>3816</v>
      </c>
      <c r="C2971" s="288" t="s">
        <v>814</v>
      </c>
      <c r="D2971" s="288" t="s">
        <v>818</v>
      </c>
      <c r="E2971" s="289">
        <v>10</v>
      </c>
      <c r="F2971" s="290">
        <v>8</v>
      </c>
      <c r="G2971" s="289">
        <v>1100</v>
      </c>
      <c r="H2971" s="289">
        <v>0</v>
      </c>
      <c r="I2971" s="289">
        <v>110</v>
      </c>
      <c r="J2971" s="289">
        <v>70</v>
      </c>
      <c r="K2971" s="289">
        <v>7</v>
      </c>
      <c r="L2971" s="289">
        <v>1287</v>
      </c>
    </row>
    <row r="2972" spans="1:12">
      <c r="A2972" s="288" t="s">
        <v>3828</v>
      </c>
      <c r="B2972" s="288" t="s">
        <v>3816</v>
      </c>
      <c r="C2972" s="288" t="s">
        <v>814</v>
      </c>
      <c r="D2972" s="288" t="s">
        <v>818</v>
      </c>
      <c r="E2972" s="289">
        <v>10</v>
      </c>
      <c r="F2972" s="290">
        <v>24</v>
      </c>
      <c r="G2972" s="289">
        <v>1100</v>
      </c>
      <c r="H2972" s="289">
        <v>1540</v>
      </c>
      <c r="I2972" s="289">
        <v>264</v>
      </c>
      <c r="J2972" s="289">
        <v>70</v>
      </c>
      <c r="K2972" s="289">
        <v>7</v>
      </c>
      <c r="L2972" s="289">
        <v>2981</v>
      </c>
    </row>
    <row r="2973" spans="1:12">
      <c r="A2973" s="288" t="s">
        <v>3829</v>
      </c>
      <c r="B2973" s="288" t="s">
        <v>3816</v>
      </c>
      <c r="C2973" s="288" t="s">
        <v>814</v>
      </c>
      <c r="D2973" s="288" t="s">
        <v>818</v>
      </c>
      <c r="E2973" s="289">
        <v>10</v>
      </c>
      <c r="F2973" s="290">
        <v>19</v>
      </c>
      <c r="G2973" s="289">
        <v>1100</v>
      </c>
      <c r="H2973" s="289">
        <v>990</v>
      </c>
      <c r="I2973" s="289">
        <v>209</v>
      </c>
      <c r="J2973" s="289">
        <v>70</v>
      </c>
      <c r="K2973" s="289">
        <v>7</v>
      </c>
      <c r="L2973" s="289">
        <v>2376</v>
      </c>
    </row>
    <row r="2974" spans="1:12">
      <c r="A2974" s="288" t="s">
        <v>3830</v>
      </c>
      <c r="B2974" s="288" t="s">
        <v>3816</v>
      </c>
      <c r="C2974" s="288" t="s">
        <v>814</v>
      </c>
      <c r="D2974" s="288" t="s">
        <v>818</v>
      </c>
      <c r="E2974" s="289">
        <v>10</v>
      </c>
      <c r="F2974" s="290">
        <v>6</v>
      </c>
      <c r="G2974" s="289">
        <v>1100</v>
      </c>
      <c r="H2974" s="289">
        <v>0</v>
      </c>
      <c r="I2974" s="289">
        <v>110</v>
      </c>
      <c r="J2974" s="289">
        <v>70</v>
      </c>
      <c r="K2974" s="289">
        <v>7</v>
      </c>
      <c r="L2974" s="289">
        <v>1287</v>
      </c>
    </row>
    <row r="2975" spans="1:12">
      <c r="A2975" s="288" t="s">
        <v>3831</v>
      </c>
      <c r="B2975" s="288" t="s">
        <v>3816</v>
      </c>
      <c r="C2975" s="288" t="s">
        <v>814</v>
      </c>
      <c r="D2975" s="288" t="s">
        <v>818</v>
      </c>
      <c r="E2975" s="289">
        <v>10</v>
      </c>
      <c r="F2975" s="290">
        <v>3</v>
      </c>
      <c r="G2975" s="289">
        <v>900</v>
      </c>
      <c r="H2975" s="289">
        <v>0</v>
      </c>
      <c r="I2975" s="289">
        <v>90</v>
      </c>
      <c r="J2975" s="289">
        <v>70</v>
      </c>
      <c r="K2975" s="289">
        <v>7</v>
      </c>
      <c r="L2975" s="289">
        <v>1067</v>
      </c>
    </row>
    <row r="2976" spans="1:12">
      <c r="A2976" s="288" t="s">
        <v>3832</v>
      </c>
      <c r="B2976" s="288" t="s">
        <v>3816</v>
      </c>
      <c r="C2976" s="288" t="s">
        <v>814</v>
      </c>
      <c r="D2976" s="288" t="s">
        <v>818</v>
      </c>
      <c r="E2976" s="289">
        <v>10</v>
      </c>
      <c r="F2976" s="290">
        <v>4</v>
      </c>
      <c r="G2976" s="289">
        <v>900</v>
      </c>
      <c r="H2976" s="289">
        <v>0</v>
      </c>
      <c r="I2976" s="289">
        <v>90</v>
      </c>
      <c r="J2976" s="289">
        <v>70</v>
      </c>
      <c r="K2976" s="289">
        <v>7</v>
      </c>
      <c r="L2976" s="289">
        <v>1067</v>
      </c>
    </row>
    <row r="2977" spans="1:12">
      <c r="A2977" s="288" t="s">
        <v>3833</v>
      </c>
      <c r="B2977" s="288" t="s">
        <v>3816</v>
      </c>
      <c r="C2977" s="288" t="s">
        <v>814</v>
      </c>
      <c r="D2977" s="288" t="s">
        <v>818</v>
      </c>
      <c r="E2977" s="289">
        <v>10</v>
      </c>
      <c r="F2977" s="290">
        <v>0</v>
      </c>
      <c r="G2977" s="289">
        <v>900</v>
      </c>
      <c r="H2977" s="289">
        <v>0</v>
      </c>
      <c r="I2977" s="289">
        <v>90</v>
      </c>
      <c r="J2977" s="289">
        <v>70</v>
      </c>
      <c r="K2977" s="289">
        <v>7</v>
      </c>
      <c r="L2977" s="289">
        <v>1067</v>
      </c>
    </row>
    <row r="2978" spans="1:12">
      <c r="A2978" s="288" t="s">
        <v>3834</v>
      </c>
      <c r="B2978" s="288" t="s">
        <v>3816</v>
      </c>
      <c r="C2978" s="288" t="s">
        <v>814</v>
      </c>
      <c r="D2978" s="288" t="s">
        <v>818</v>
      </c>
      <c r="E2978" s="289">
        <v>10</v>
      </c>
      <c r="F2978" s="290">
        <v>2</v>
      </c>
      <c r="G2978" s="289">
        <v>900</v>
      </c>
      <c r="H2978" s="289">
        <v>0</v>
      </c>
      <c r="I2978" s="289">
        <v>90</v>
      </c>
      <c r="J2978" s="289">
        <v>70</v>
      </c>
      <c r="K2978" s="289">
        <v>7</v>
      </c>
      <c r="L2978" s="289">
        <v>1067</v>
      </c>
    </row>
    <row r="2979" spans="1:12">
      <c r="A2979" s="288" t="s">
        <v>3835</v>
      </c>
      <c r="B2979" s="288" t="s">
        <v>3816</v>
      </c>
      <c r="C2979" s="288" t="s">
        <v>814</v>
      </c>
      <c r="D2979" s="288" t="s">
        <v>818</v>
      </c>
      <c r="E2979" s="289">
        <v>10</v>
      </c>
      <c r="F2979" s="290">
        <v>13</v>
      </c>
      <c r="G2979" s="289">
        <v>1100</v>
      </c>
      <c r="H2979" s="289">
        <v>330</v>
      </c>
      <c r="I2979" s="289">
        <v>143</v>
      </c>
      <c r="J2979" s="289">
        <v>70</v>
      </c>
      <c r="K2979" s="289">
        <v>7</v>
      </c>
      <c r="L2979" s="289">
        <v>1650</v>
      </c>
    </row>
    <row r="2980" spans="1:12">
      <c r="A2980" s="288" t="s">
        <v>3836</v>
      </c>
      <c r="B2980" s="288" t="s">
        <v>3816</v>
      </c>
      <c r="C2980" s="288" t="s">
        <v>814</v>
      </c>
      <c r="D2980" s="288" t="s">
        <v>818</v>
      </c>
      <c r="E2980" s="289">
        <v>10</v>
      </c>
      <c r="F2980" s="290">
        <v>28</v>
      </c>
      <c r="G2980" s="289">
        <v>1100</v>
      </c>
      <c r="H2980" s="289">
        <v>1980</v>
      </c>
      <c r="I2980" s="289">
        <v>308</v>
      </c>
      <c r="J2980" s="289">
        <v>70</v>
      </c>
      <c r="K2980" s="289">
        <v>7</v>
      </c>
      <c r="L2980" s="289">
        <v>3465</v>
      </c>
    </row>
    <row r="2981" spans="1:12">
      <c r="A2981" s="288" t="s">
        <v>3837</v>
      </c>
      <c r="B2981" s="288" t="s">
        <v>3816</v>
      </c>
      <c r="C2981" s="288" t="s">
        <v>814</v>
      </c>
      <c r="D2981" s="288" t="s">
        <v>818</v>
      </c>
      <c r="E2981" s="289">
        <v>10</v>
      </c>
      <c r="F2981" s="290">
        <v>18</v>
      </c>
      <c r="G2981" s="289">
        <v>1100</v>
      </c>
      <c r="H2981" s="289">
        <v>880</v>
      </c>
      <c r="I2981" s="289">
        <v>198</v>
      </c>
      <c r="J2981" s="289">
        <v>70</v>
      </c>
      <c r="K2981" s="289">
        <v>7</v>
      </c>
      <c r="L2981" s="289">
        <v>2255</v>
      </c>
    </row>
    <row r="2982" spans="1:12">
      <c r="A2982" s="288" t="s">
        <v>3838</v>
      </c>
      <c r="B2982" s="288" t="s">
        <v>3816</v>
      </c>
      <c r="C2982" s="288" t="s">
        <v>814</v>
      </c>
      <c r="D2982" s="288" t="s">
        <v>818</v>
      </c>
      <c r="E2982" s="289">
        <v>10</v>
      </c>
      <c r="F2982" s="290">
        <v>15</v>
      </c>
      <c r="G2982" s="289">
        <v>1100</v>
      </c>
      <c r="H2982" s="289">
        <v>550</v>
      </c>
      <c r="I2982" s="289">
        <v>165</v>
      </c>
      <c r="J2982" s="289">
        <v>70</v>
      </c>
      <c r="K2982" s="289">
        <v>7</v>
      </c>
      <c r="L2982" s="289">
        <v>1892</v>
      </c>
    </row>
    <row r="2983" spans="1:12">
      <c r="A2983" s="288" t="s">
        <v>3839</v>
      </c>
      <c r="B2983" s="288" t="s">
        <v>3816</v>
      </c>
      <c r="C2983" s="288" t="s">
        <v>814</v>
      </c>
      <c r="D2983" s="288" t="s">
        <v>818</v>
      </c>
      <c r="E2983" s="289">
        <v>10</v>
      </c>
      <c r="F2983" s="290">
        <v>1</v>
      </c>
      <c r="G2983" s="289">
        <v>900</v>
      </c>
      <c r="H2983" s="289">
        <v>0</v>
      </c>
      <c r="I2983" s="289">
        <v>90</v>
      </c>
      <c r="J2983" s="289">
        <v>70</v>
      </c>
      <c r="K2983" s="289">
        <v>7</v>
      </c>
      <c r="L2983" s="289">
        <v>1067</v>
      </c>
    </row>
    <row r="2984" spans="1:12">
      <c r="A2984" s="288" t="s">
        <v>3840</v>
      </c>
      <c r="B2984" s="288" t="s">
        <v>3816</v>
      </c>
      <c r="C2984" s="288" t="s">
        <v>814</v>
      </c>
      <c r="D2984" s="288" t="s">
        <v>818</v>
      </c>
      <c r="E2984" s="289">
        <v>10</v>
      </c>
      <c r="F2984" s="290">
        <v>1</v>
      </c>
      <c r="G2984" s="289">
        <v>900</v>
      </c>
      <c r="H2984" s="289">
        <v>0</v>
      </c>
      <c r="I2984" s="289">
        <v>90</v>
      </c>
      <c r="J2984" s="289">
        <v>70</v>
      </c>
      <c r="K2984" s="289">
        <v>7</v>
      </c>
      <c r="L2984" s="289">
        <v>1067</v>
      </c>
    </row>
    <row r="2985" spans="1:12">
      <c r="A2985" s="288" t="s">
        <v>3841</v>
      </c>
      <c r="B2985" s="288" t="s">
        <v>3816</v>
      </c>
      <c r="C2985" s="288" t="s">
        <v>814</v>
      </c>
      <c r="D2985" s="288" t="s">
        <v>818</v>
      </c>
      <c r="E2985" s="289">
        <v>10</v>
      </c>
      <c r="F2985" s="290">
        <v>5</v>
      </c>
      <c r="G2985" s="289">
        <v>900</v>
      </c>
      <c r="H2985" s="289">
        <v>0</v>
      </c>
      <c r="I2985" s="289">
        <v>90</v>
      </c>
      <c r="J2985" s="289">
        <v>70</v>
      </c>
      <c r="K2985" s="289">
        <v>7</v>
      </c>
      <c r="L2985" s="289">
        <v>1067</v>
      </c>
    </row>
    <row r="2986" spans="1:12">
      <c r="A2986" s="288" t="s">
        <v>3842</v>
      </c>
      <c r="B2986" s="288" t="s">
        <v>3816</v>
      </c>
      <c r="C2986" s="288" t="s">
        <v>814</v>
      </c>
      <c r="D2986" s="288" t="s">
        <v>818</v>
      </c>
      <c r="E2986" s="289">
        <v>10</v>
      </c>
      <c r="F2986" s="290">
        <v>14</v>
      </c>
      <c r="G2986" s="289">
        <v>1100</v>
      </c>
      <c r="H2986" s="289">
        <v>440</v>
      </c>
      <c r="I2986" s="289">
        <v>154</v>
      </c>
      <c r="J2986" s="289">
        <v>70</v>
      </c>
      <c r="K2986" s="289">
        <v>7</v>
      </c>
      <c r="L2986" s="289">
        <v>1771</v>
      </c>
    </row>
    <row r="2987" spans="1:12">
      <c r="A2987" s="288" t="s">
        <v>3843</v>
      </c>
      <c r="B2987" s="288" t="s">
        <v>3816</v>
      </c>
      <c r="C2987" s="288" t="s">
        <v>814</v>
      </c>
      <c r="D2987" s="288" t="s">
        <v>818</v>
      </c>
      <c r="E2987" s="289">
        <v>10</v>
      </c>
      <c r="F2987" s="290">
        <v>5</v>
      </c>
      <c r="G2987" s="289">
        <v>900</v>
      </c>
      <c r="H2987" s="289">
        <v>0</v>
      </c>
      <c r="I2987" s="289">
        <v>90</v>
      </c>
      <c r="J2987" s="289">
        <v>70</v>
      </c>
      <c r="K2987" s="289">
        <v>7</v>
      </c>
      <c r="L2987" s="289">
        <v>1067</v>
      </c>
    </row>
    <row r="2988" spans="1:12">
      <c r="A2988" s="288" t="s">
        <v>3844</v>
      </c>
      <c r="B2988" s="288" t="s">
        <v>3816</v>
      </c>
      <c r="C2988" s="288" t="s">
        <v>814</v>
      </c>
      <c r="D2988" s="288" t="s">
        <v>818</v>
      </c>
      <c r="E2988" s="289">
        <v>10</v>
      </c>
      <c r="F2988" s="290">
        <v>18</v>
      </c>
      <c r="G2988" s="289">
        <v>1100</v>
      </c>
      <c r="H2988" s="289">
        <v>880</v>
      </c>
      <c r="I2988" s="289">
        <v>198</v>
      </c>
      <c r="J2988" s="289">
        <v>70</v>
      </c>
      <c r="K2988" s="289">
        <v>7</v>
      </c>
      <c r="L2988" s="289">
        <v>2255</v>
      </c>
    </row>
    <row r="2989" spans="1:12">
      <c r="A2989" s="288" t="s">
        <v>3845</v>
      </c>
      <c r="B2989" s="288" t="s">
        <v>3816</v>
      </c>
      <c r="C2989" s="288" t="s">
        <v>814</v>
      </c>
      <c r="D2989" s="288" t="s">
        <v>818</v>
      </c>
      <c r="E2989" s="289">
        <v>10</v>
      </c>
      <c r="F2989" s="290">
        <v>19</v>
      </c>
      <c r="G2989" s="289">
        <v>1100</v>
      </c>
      <c r="H2989" s="289">
        <v>990</v>
      </c>
      <c r="I2989" s="289">
        <v>209</v>
      </c>
      <c r="J2989" s="289">
        <v>70</v>
      </c>
      <c r="K2989" s="289">
        <v>7</v>
      </c>
      <c r="L2989" s="289">
        <v>2376</v>
      </c>
    </row>
    <row r="2990" spans="1:12">
      <c r="A2990" s="288" t="s">
        <v>3846</v>
      </c>
      <c r="B2990" s="288" t="s">
        <v>3816</v>
      </c>
      <c r="C2990" s="288" t="s">
        <v>814</v>
      </c>
      <c r="D2990" s="288" t="s">
        <v>818</v>
      </c>
      <c r="E2990" s="289">
        <v>10</v>
      </c>
      <c r="F2990" s="290">
        <v>11</v>
      </c>
      <c r="G2990" s="289">
        <v>1100</v>
      </c>
      <c r="H2990" s="289">
        <v>110</v>
      </c>
      <c r="I2990" s="289">
        <v>121</v>
      </c>
      <c r="J2990" s="289">
        <v>70</v>
      </c>
      <c r="K2990" s="289">
        <v>7</v>
      </c>
      <c r="L2990" s="289">
        <v>1408</v>
      </c>
    </row>
    <row r="2991" spans="1:12">
      <c r="A2991" s="288" t="s">
        <v>3847</v>
      </c>
      <c r="B2991" s="288" t="s">
        <v>3816</v>
      </c>
      <c r="C2991" s="288" t="s">
        <v>814</v>
      </c>
      <c r="D2991" s="288" t="s">
        <v>818</v>
      </c>
      <c r="E2991" s="289">
        <v>10</v>
      </c>
      <c r="F2991" s="290">
        <v>9</v>
      </c>
      <c r="G2991" s="289">
        <v>1100</v>
      </c>
      <c r="H2991" s="289">
        <v>0</v>
      </c>
      <c r="I2991" s="289">
        <v>110</v>
      </c>
      <c r="J2991" s="289">
        <v>70</v>
      </c>
      <c r="K2991" s="289">
        <v>7</v>
      </c>
      <c r="L2991" s="289">
        <v>1287</v>
      </c>
    </row>
    <row r="2992" spans="1:12">
      <c r="A2992" s="288" t="s">
        <v>3848</v>
      </c>
      <c r="B2992" s="288" t="s">
        <v>3816</v>
      </c>
      <c r="C2992" s="288" t="s">
        <v>814</v>
      </c>
      <c r="D2992" s="288" t="s">
        <v>818</v>
      </c>
      <c r="E2992" s="289">
        <v>10</v>
      </c>
      <c r="F2992" s="290">
        <v>16</v>
      </c>
      <c r="G2992" s="289">
        <v>1100</v>
      </c>
      <c r="H2992" s="289">
        <v>660</v>
      </c>
      <c r="I2992" s="289">
        <v>176</v>
      </c>
      <c r="J2992" s="289">
        <v>70</v>
      </c>
      <c r="K2992" s="289">
        <v>7</v>
      </c>
      <c r="L2992" s="289">
        <v>2013</v>
      </c>
    </row>
    <row r="2993" spans="1:12">
      <c r="A2993" s="288" t="s">
        <v>3849</v>
      </c>
      <c r="B2993" s="288" t="s">
        <v>3816</v>
      </c>
      <c r="C2993" s="288" t="s">
        <v>829</v>
      </c>
      <c r="D2993" s="288" t="s">
        <v>818</v>
      </c>
      <c r="E2993" s="289">
        <v>10</v>
      </c>
      <c r="F2993" s="290">
        <v>0</v>
      </c>
      <c r="G2993" s="289">
        <v>900</v>
      </c>
      <c r="H2993" s="289">
        <v>0</v>
      </c>
      <c r="I2993" s="289">
        <v>90</v>
      </c>
      <c r="J2993" s="289">
        <v>70</v>
      </c>
      <c r="K2993" s="289">
        <v>7</v>
      </c>
      <c r="L2993" s="289">
        <v>1067</v>
      </c>
    </row>
    <row r="2994" spans="1:12">
      <c r="A2994" s="288" t="s">
        <v>3850</v>
      </c>
      <c r="B2994" s="288" t="s">
        <v>3816</v>
      </c>
      <c r="C2994" s="288" t="s">
        <v>814</v>
      </c>
      <c r="D2994" s="288" t="s">
        <v>818</v>
      </c>
      <c r="E2994" s="289">
        <v>10</v>
      </c>
      <c r="F2994" s="290">
        <v>17</v>
      </c>
      <c r="G2994" s="289">
        <v>1100</v>
      </c>
      <c r="H2994" s="289">
        <v>770</v>
      </c>
      <c r="I2994" s="289">
        <v>187</v>
      </c>
      <c r="J2994" s="289">
        <v>70</v>
      </c>
      <c r="K2994" s="289">
        <v>7</v>
      </c>
      <c r="L2994" s="289">
        <v>2134</v>
      </c>
    </row>
    <row r="2995" spans="1:12">
      <c r="A2995" s="288" t="s">
        <v>3851</v>
      </c>
      <c r="B2995" s="288" t="s">
        <v>3816</v>
      </c>
      <c r="C2995" s="288" t="s">
        <v>829</v>
      </c>
      <c r="D2995" s="288" t="s">
        <v>818</v>
      </c>
      <c r="E2995" s="289">
        <v>10</v>
      </c>
      <c r="F2995" s="290">
        <v>0</v>
      </c>
      <c r="G2995" s="289">
        <v>900</v>
      </c>
      <c r="H2995" s="289">
        <v>0</v>
      </c>
      <c r="I2995" s="289">
        <v>90</v>
      </c>
      <c r="J2995" s="289">
        <v>70</v>
      </c>
      <c r="K2995" s="289">
        <v>7</v>
      </c>
      <c r="L2995" s="289">
        <v>1067</v>
      </c>
    </row>
    <row r="2996" spans="1:12">
      <c r="A2996" s="288" t="s">
        <v>3852</v>
      </c>
      <c r="B2996" s="288" t="s">
        <v>3816</v>
      </c>
      <c r="C2996" s="288" t="s">
        <v>829</v>
      </c>
      <c r="D2996" s="288" t="s">
        <v>815</v>
      </c>
      <c r="E2996" s="289">
        <v>10</v>
      </c>
      <c r="F2996" s="290">
        <v>2</v>
      </c>
      <c r="G2996" s="289">
        <v>550</v>
      </c>
      <c r="H2996" s="289">
        <v>0</v>
      </c>
      <c r="I2996" s="289">
        <v>55</v>
      </c>
      <c r="J2996" s="289">
        <v>50</v>
      </c>
      <c r="K2996" s="289">
        <v>5</v>
      </c>
      <c r="L2996" s="289">
        <v>660</v>
      </c>
    </row>
    <row r="2997" spans="1:12">
      <c r="A2997" s="288" t="s">
        <v>3853</v>
      </c>
      <c r="B2997" s="288" t="s">
        <v>3816</v>
      </c>
      <c r="C2997" s="288" t="s">
        <v>820</v>
      </c>
      <c r="D2997" s="288" t="s">
        <v>818</v>
      </c>
      <c r="E2997" s="289">
        <v>10</v>
      </c>
      <c r="F2997" s="290">
        <v>0</v>
      </c>
      <c r="G2997" s="289">
        <v>900</v>
      </c>
      <c r="H2997" s="289">
        <v>0</v>
      </c>
      <c r="I2997" s="289">
        <v>90</v>
      </c>
      <c r="J2997" s="289">
        <v>70</v>
      </c>
      <c r="K2997" s="289">
        <v>7</v>
      </c>
      <c r="L2997" s="289">
        <v>1067</v>
      </c>
    </row>
    <row r="2998" spans="1:12">
      <c r="A2998" s="288" t="s">
        <v>3854</v>
      </c>
      <c r="B2998" s="288" t="s">
        <v>3816</v>
      </c>
      <c r="C2998" s="288" t="s">
        <v>820</v>
      </c>
      <c r="D2998" s="288" t="s">
        <v>818</v>
      </c>
      <c r="E2998" s="289">
        <v>10</v>
      </c>
      <c r="F2998" s="290">
        <v>1</v>
      </c>
      <c r="G2998" s="289">
        <v>900</v>
      </c>
      <c r="H2998" s="289">
        <v>0</v>
      </c>
      <c r="I2998" s="289">
        <v>90</v>
      </c>
      <c r="J2998" s="289">
        <v>70</v>
      </c>
      <c r="K2998" s="289">
        <v>7</v>
      </c>
      <c r="L2998" s="289">
        <v>1067</v>
      </c>
    </row>
    <row r="2999" spans="1:12">
      <c r="A2999" s="288" t="s">
        <v>3855</v>
      </c>
      <c r="B2999" s="288" t="s">
        <v>3816</v>
      </c>
      <c r="C2999" s="288" t="s">
        <v>820</v>
      </c>
      <c r="D2999" s="288" t="s">
        <v>818</v>
      </c>
      <c r="E2999" s="289">
        <v>10</v>
      </c>
      <c r="F2999" s="290">
        <v>0</v>
      </c>
      <c r="G2999" s="289">
        <v>900</v>
      </c>
      <c r="H2999" s="289">
        <v>0</v>
      </c>
      <c r="I2999" s="289">
        <v>90</v>
      </c>
      <c r="J2999" s="289">
        <v>70</v>
      </c>
      <c r="K2999" s="289">
        <v>7</v>
      </c>
      <c r="L2999" s="289">
        <v>1067</v>
      </c>
    </row>
    <row r="3000" spans="1:12">
      <c r="A3000" s="288" t="s">
        <v>3856</v>
      </c>
      <c r="B3000" s="288" t="s">
        <v>3816</v>
      </c>
      <c r="C3000" s="288" t="s">
        <v>820</v>
      </c>
      <c r="D3000" s="288" t="s">
        <v>818</v>
      </c>
      <c r="E3000" s="289">
        <v>10</v>
      </c>
      <c r="F3000" s="290">
        <v>0</v>
      </c>
      <c r="G3000" s="289">
        <v>900</v>
      </c>
      <c r="H3000" s="289">
        <v>0</v>
      </c>
      <c r="I3000" s="289">
        <v>90</v>
      </c>
      <c r="J3000" s="289">
        <v>70</v>
      </c>
      <c r="K3000" s="289">
        <v>7</v>
      </c>
      <c r="L3000" s="289">
        <v>1067</v>
      </c>
    </row>
    <row r="3001" spans="1:12">
      <c r="A3001" s="288" t="s">
        <v>3857</v>
      </c>
      <c r="B3001" s="288" t="s">
        <v>3816</v>
      </c>
      <c r="C3001" s="288" t="s">
        <v>820</v>
      </c>
      <c r="D3001" s="288" t="s">
        <v>818</v>
      </c>
      <c r="E3001" s="289">
        <v>10</v>
      </c>
      <c r="F3001" s="290">
        <v>0</v>
      </c>
      <c r="G3001" s="289">
        <v>900</v>
      </c>
      <c r="H3001" s="289">
        <v>0</v>
      </c>
      <c r="I3001" s="289">
        <v>90</v>
      </c>
      <c r="J3001" s="289">
        <v>70</v>
      </c>
      <c r="K3001" s="289">
        <v>7</v>
      </c>
      <c r="L3001" s="289">
        <v>1067</v>
      </c>
    </row>
    <row r="3002" spans="1:12">
      <c r="A3002" s="288" t="s">
        <v>3858</v>
      </c>
      <c r="B3002" s="288" t="s">
        <v>3816</v>
      </c>
      <c r="C3002" s="288" t="s">
        <v>1095</v>
      </c>
      <c r="D3002" s="288" t="s">
        <v>818</v>
      </c>
      <c r="E3002" s="289">
        <v>10</v>
      </c>
      <c r="F3002" s="290">
        <v>0</v>
      </c>
      <c r="G3002" s="289">
        <v>900</v>
      </c>
      <c r="H3002" s="289">
        <v>0</v>
      </c>
      <c r="I3002" s="289">
        <v>90</v>
      </c>
      <c r="J3002" s="289">
        <v>70</v>
      </c>
      <c r="K3002" s="289">
        <v>7</v>
      </c>
      <c r="L3002" s="289">
        <v>1067</v>
      </c>
    </row>
    <row r="3003" spans="1:12">
      <c r="A3003" s="288" t="s">
        <v>3859</v>
      </c>
      <c r="B3003" s="288" t="s">
        <v>3860</v>
      </c>
      <c r="C3003" s="288" t="s">
        <v>814</v>
      </c>
      <c r="D3003" s="288" t="s">
        <v>815</v>
      </c>
      <c r="E3003" s="289">
        <v>10</v>
      </c>
      <c r="F3003" s="290">
        <v>13</v>
      </c>
      <c r="G3003" s="289">
        <v>1100</v>
      </c>
      <c r="H3003" s="289">
        <v>330</v>
      </c>
      <c r="I3003" s="289">
        <v>143</v>
      </c>
      <c r="J3003" s="289">
        <v>50</v>
      </c>
      <c r="K3003" s="289">
        <v>5</v>
      </c>
      <c r="L3003" s="289">
        <v>1628</v>
      </c>
    </row>
    <row r="3004" spans="1:12">
      <c r="A3004" s="288" t="s">
        <v>3861</v>
      </c>
      <c r="B3004" s="288" t="s">
        <v>3860</v>
      </c>
      <c r="C3004" s="288" t="s">
        <v>814</v>
      </c>
      <c r="D3004" s="288" t="s">
        <v>815</v>
      </c>
      <c r="E3004" s="289">
        <v>10</v>
      </c>
      <c r="F3004" s="290">
        <v>14</v>
      </c>
      <c r="G3004" s="289">
        <v>1100</v>
      </c>
      <c r="H3004" s="289">
        <v>440</v>
      </c>
      <c r="I3004" s="289">
        <v>154</v>
      </c>
      <c r="J3004" s="289">
        <v>50</v>
      </c>
      <c r="K3004" s="289">
        <v>5</v>
      </c>
      <c r="L3004" s="289">
        <v>1749</v>
      </c>
    </row>
    <row r="3005" spans="1:12">
      <c r="A3005" s="288" t="s">
        <v>3862</v>
      </c>
      <c r="B3005" s="288" t="s">
        <v>3860</v>
      </c>
      <c r="C3005" s="288" t="s">
        <v>814</v>
      </c>
      <c r="D3005" s="288" t="s">
        <v>815</v>
      </c>
      <c r="E3005" s="289">
        <v>10</v>
      </c>
      <c r="F3005" s="290">
        <v>0</v>
      </c>
      <c r="G3005" s="289">
        <v>900</v>
      </c>
      <c r="H3005" s="289">
        <v>0</v>
      </c>
      <c r="I3005" s="289">
        <v>90</v>
      </c>
      <c r="J3005" s="289">
        <v>50</v>
      </c>
      <c r="K3005" s="289">
        <v>5</v>
      </c>
      <c r="L3005" s="289">
        <v>1045</v>
      </c>
    </row>
    <row r="3006" spans="1:12">
      <c r="A3006" s="288" t="s">
        <v>3863</v>
      </c>
      <c r="B3006" s="288" t="s">
        <v>3860</v>
      </c>
      <c r="C3006" s="288" t="s">
        <v>814</v>
      </c>
      <c r="D3006" s="288" t="s">
        <v>815</v>
      </c>
      <c r="E3006" s="289">
        <v>10</v>
      </c>
      <c r="F3006" s="290">
        <v>0</v>
      </c>
      <c r="G3006" s="289">
        <v>900</v>
      </c>
      <c r="H3006" s="289">
        <v>0</v>
      </c>
      <c r="I3006" s="289">
        <v>90</v>
      </c>
      <c r="J3006" s="289">
        <v>50</v>
      </c>
      <c r="K3006" s="289">
        <v>5</v>
      </c>
      <c r="L3006" s="289">
        <v>1045</v>
      </c>
    </row>
    <row r="3007" spans="1:12">
      <c r="A3007" s="288" t="s">
        <v>3864</v>
      </c>
      <c r="B3007" s="288" t="s">
        <v>3860</v>
      </c>
      <c r="C3007" s="288" t="s">
        <v>814</v>
      </c>
      <c r="D3007" s="288" t="s">
        <v>815</v>
      </c>
      <c r="E3007" s="289">
        <v>10</v>
      </c>
      <c r="F3007" s="290">
        <v>4</v>
      </c>
      <c r="G3007" s="289">
        <v>900</v>
      </c>
      <c r="H3007" s="289">
        <v>0</v>
      </c>
      <c r="I3007" s="289">
        <v>90</v>
      </c>
      <c r="J3007" s="289">
        <v>50</v>
      </c>
      <c r="K3007" s="289">
        <v>5</v>
      </c>
      <c r="L3007" s="289">
        <v>1045</v>
      </c>
    </row>
    <row r="3008" spans="1:12">
      <c r="A3008" s="288" t="s">
        <v>3865</v>
      </c>
      <c r="B3008" s="288" t="s">
        <v>3860</v>
      </c>
      <c r="C3008" s="288" t="s">
        <v>814</v>
      </c>
      <c r="D3008" s="288" t="s">
        <v>815</v>
      </c>
      <c r="E3008" s="289">
        <v>10</v>
      </c>
      <c r="F3008" s="290">
        <v>10</v>
      </c>
      <c r="G3008" s="289">
        <v>1100</v>
      </c>
      <c r="H3008" s="289">
        <v>0</v>
      </c>
      <c r="I3008" s="289">
        <v>110</v>
      </c>
      <c r="J3008" s="289">
        <v>50</v>
      </c>
      <c r="K3008" s="289">
        <v>5</v>
      </c>
      <c r="L3008" s="289">
        <v>1265</v>
      </c>
    </row>
    <row r="3009" spans="1:12">
      <c r="A3009" s="288" t="s">
        <v>3866</v>
      </c>
      <c r="B3009" s="288" t="s">
        <v>3860</v>
      </c>
      <c r="C3009" s="288" t="s">
        <v>814</v>
      </c>
      <c r="D3009" s="288" t="s">
        <v>815</v>
      </c>
      <c r="E3009" s="289">
        <v>10</v>
      </c>
      <c r="F3009" s="290">
        <v>21</v>
      </c>
      <c r="G3009" s="289">
        <v>1100</v>
      </c>
      <c r="H3009" s="289">
        <v>1210</v>
      </c>
      <c r="I3009" s="289">
        <v>231</v>
      </c>
      <c r="J3009" s="289">
        <v>50</v>
      </c>
      <c r="K3009" s="289">
        <v>5</v>
      </c>
      <c r="L3009" s="289">
        <v>2596</v>
      </c>
    </row>
    <row r="3010" spans="1:12">
      <c r="A3010" s="288" t="s">
        <v>3867</v>
      </c>
      <c r="B3010" s="288" t="s">
        <v>3860</v>
      </c>
      <c r="C3010" s="288" t="s">
        <v>814</v>
      </c>
      <c r="D3010" s="288" t="s">
        <v>815</v>
      </c>
      <c r="E3010" s="289">
        <v>10</v>
      </c>
      <c r="F3010" s="290">
        <v>0</v>
      </c>
      <c r="G3010" s="289">
        <v>900</v>
      </c>
      <c r="H3010" s="289">
        <v>0</v>
      </c>
      <c r="I3010" s="289">
        <v>90</v>
      </c>
      <c r="J3010" s="289">
        <v>50</v>
      </c>
      <c r="K3010" s="289">
        <v>5</v>
      </c>
      <c r="L3010" s="289">
        <v>1045</v>
      </c>
    </row>
    <row r="3011" spans="1:12">
      <c r="A3011" s="288" t="s">
        <v>3868</v>
      </c>
      <c r="B3011" s="288" t="s">
        <v>3860</v>
      </c>
      <c r="C3011" s="288" t="s">
        <v>814</v>
      </c>
      <c r="D3011" s="288" t="s">
        <v>815</v>
      </c>
      <c r="E3011" s="289">
        <v>10</v>
      </c>
      <c r="F3011" s="290">
        <v>5</v>
      </c>
      <c r="G3011" s="289">
        <v>900</v>
      </c>
      <c r="H3011" s="289">
        <v>0</v>
      </c>
      <c r="I3011" s="289">
        <v>90</v>
      </c>
      <c r="J3011" s="289">
        <v>50</v>
      </c>
      <c r="K3011" s="289">
        <v>5</v>
      </c>
      <c r="L3011" s="289">
        <v>1045</v>
      </c>
    </row>
    <row r="3012" spans="1:12">
      <c r="A3012" s="288" t="s">
        <v>3869</v>
      </c>
      <c r="B3012" s="288" t="s">
        <v>3860</v>
      </c>
      <c r="C3012" s="288" t="s">
        <v>814</v>
      </c>
      <c r="D3012" s="288" t="s">
        <v>815</v>
      </c>
      <c r="E3012" s="289">
        <v>10</v>
      </c>
      <c r="F3012" s="290">
        <v>0</v>
      </c>
      <c r="G3012" s="289">
        <v>900</v>
      </c>
      <c r="H3012" s="289">
        <v>0</v>
      </c>
      <c r="I3012" s="289">
        <v>90</v>
      </c>
      <c r="J3012" s="289">
        <v>50</v>
      </c>
      <c r="K3012" s="289">
        <v>5</v>
      </c>
      <c r="L3012" s="289">
        <v>1045</v>
      </c>
    </row>
    <row r="3013" spans="1:12">
      <c r="A3013" s="288" t="s">
        <v>3870</v>
      </c>
      <c r="B3013" s="288" t="s">
        <v>3860</v>
      </c>
      <c r="C3013" s="288" t="s">
        <v>814</v>
      </c>
      <c r="D3013" s="288" t="s">
        <v>815</v>
      </c>
      <c r="E3013" s="289">
        <v>10</v>
      </c>
      <c r="F3013" s="290">
        <v>10</v>
      </c>
      <c r="G3013" s="289">
        <v>1100</v>
      </c>
      <c r="H3013" s="289">
        <v>0</v>
      </c>
      <c r="I3013" s="289">
        <v>110</v>
      </c>
      <c r="J3013" s="289">
        <v>50</v>
      </c>
      <c r="K3013" s="289">
        <v>5</v>
      </c>
      <c r="L3013" s="289">
        <v>1265</v>
      </c>
    </row>
    <row r="3014" spans="1:12">
      <c r="A3014" s="288" t="s">
        <v>3871</v>
      </c>
      <c r="B3014" s="288" t="s">
        <v>3860</v>
      </c>
      <c r="C3014" s="288" t="s">
        <v>814</v>
      </c>
      <c r="D3014" s="288" t="s">
        <v>818</v>
      </c>
      <c r="E3014" s="289">
        <v>10</v>
      </c>
      <c r="F3014" s="290">
        <v>20</v>
      </c>
      <c r="G3014" s="289">
        <v>1100</v>
      </c>
      <c r="H3014" s="289">
        <v>1100</v>
      </c>
      <c r="I3014" s="289">
        <v>220</v>
      </c>
      <c r="J3014" s="289">
        <v>70</v>
      </c>
      <c r="K3014" s="289">
        <v>7</v>
      </c>
      <c r="L3014" s="289">
        <v>2497</v>
      </c>
    </row>
    <row r="3015" spans="1:12">
      <c r="A3015" s="288" t="s">
        <v>3872</v>
      </c>
      <c r="B3015" s="288" t="s">
        <v>3860</v>
      </c>
      <c r="C3015" s="288" t="s">
        <v>814</v>
      </c>
      <c r="D3015" s="288" t="s">
        <v>815</v>
      </c>
      <c r="E3015" s="289">
        <v>10</v>
      </c>
      <c r="F3015" s="290">
        <v>0</v>
      </c>
      <c r="G3015" s="289">
        <v>900</v>
      </c>
      <c r="H3015" s="289">
        <v>0</v>
      </c>
      <c r="I3015" s="289">
        <v>90</v>
      </c>
      <c r="J3015" s="289">
        <v>50</v>
      </c>
      <c r="K3015" s="289">
        <v>5</v>
      </c>
      <c r="L3015" s="289">
        <v>1045</v>
      </c>
    </row>
    <row r="3016" spans="1:12">
      <c r="A3016" s="288" t="s">
        <v>3873</v>
      </c>
      <c r="B3016" s="288" t="s">
        <v>3860</v>
      </c>
      <c r="C3016" s="288" t="s">
        <v>820</v>
      </c>
      <c r="D3016" s="288" t="s">
        <v>818</v>
      </c>
      <c r="E3016" s="289">
        <v>10</v>
      </c>
      <c r="F3016" s="290">
        <v>170</v>
      </c>
      <c r="G3016" s="289">
        <v>1100</v>
      </c>
      <c r="H3016" s="289">
        <v>16900</v>
      </c>
      <c r="I3016" s="289">
        <v>1800</v>
      </c>
      <c r="J3016" s="289">
        <v>70</v>
      </c>
      <c r="K3016" s="289">
        <v>7</v>
      </c>
      <c r="L3016" s="289">
        <v>19877</v>
      </c>
    </row>
    <row r="3017" spans="1:12">
      <c r="A3017" s="288" t="s">
        <v>3874</v>
      </c>
      <c r="B3017" s="288" t="s">
        <v>3860</v>
      </c>
      <c r="C3017" s="288" t="s">
        <v>814</v>
      </c>
      <c r="D3017" s="288" t="s">
        <v>818</v>
      </c>
      <c r="E3017" s="289">
        <v>10</v>
      </c>
      <c r="F3017" s="290">
        <v>7</v>
      </c>
      <c r="G3017" s="289">
        <v>1100</v>
      </c>
      <c r="H3017" s="289">
        <v>0</v>
      </c>
      <c r="I3017" s="289">
        <v>110</v>
      </c>
      <c r="J3017" s="289">
        <v>70</v>
      </c>
      <c r="K3017" s="289">
        <v>7</v>
      </c>
      <c r="L3017" s="289">
        <v>1287</v>
      </c>
    </row>
    <row r="3018" spans="1:12">
      <c r="A3018" s="288" t="s">
        <v>3875</v>
      </c>
      <c r="B3018" s="288" t="s">
        <v>3860</v>
      </c>
      <c r="C3018" s="288" t="s">
        <v>814</v>
      </c>
      <c r="D3018" s="288" t="s">
        <v>815</v>
      </c>
      <c r="E3018" s="289">
        <v>10</v>
      </c>
      <c r="F3018" s="290">
        <v>9</v>
      </c>
      <c r="G3018" s="289">
        <v>1100</v>
      </c>
      <c r="H3018" s="289">
        <v>0</v>
      </c>
      <c r="I3018" s="289">
        <v>110</v>
      </c>
      <c r="J3018" s="289">
        <v>50</v>
      </c>
      <c r="K3018" s="289">
        <v>5</v>
      </c>
      <c r="L3018" s="289">
        <v>1265</v>
      </c>
    </row>
    <row r="3019" spans="1:12">
      <c r="A3019" s="288" t="s">
        <v>3876</v>
      </c>
      <c r="B3019" s="288" t="s">
        <v>3860</v>
      </c>
      <c r="C3019" s="288" t="s">
        <v>814</v>
      </c>
      <c r="D3019" s="288" t="s">
        <v>815</v>
      </c>
      <c r="E3019" s="289">
        <v>10</v>
      </c>
      <c r="F3019" s="290">
        <v>2</v>
      </c>
      <c r="G3019" s="289">
        <v>900</v>
      </c>
      <c r="H3019" s="289">
        <v>0</v>
      </c>
      <c r="I3019" s="289">
        <v>90</v>
      </c>
      <c r="J3019" s="289">
        <v>50</v>
      </c>
      <c r="K3019" s="289">
        <v>5</v>
      </c>
      <c r="L3019" s="289">
        <v>1045</v>
      </c>
    </row>
    <row r="3020" spans="1:12">
      <c r="A3020" s="288" t="s">
        <v>3877</v>
      </c>
      <c r="B3020" s="288" t="s">
        <v>3860</v>
      </c>
      <c r="C3020" s="288" t="s">
        <v>814</v>
      </c>
      <c r="D3020" s="288" t="s">
        <v>815</v>
      </c>
      <c r="E3020" s="289">
        <v>10</v>
      </c>
      <c r="F3020" s="290">
        <v>2</v>
      </c>
      <c r="G3020" s="289">
        <v>900</v>
      </c>
      <c r="H3020" s="289">
        <v>0</v>
      </c>
      <c r="I3020" s="289">
        <v>90</v>
      </c>
      <c r="J3020" s="289">
        <v>50</v>
      </c>
      <c r="K3020" s="289">
        <v>5</v>
      </c>
      <c r="L3020" s="289">
        <v>1045</v>
      </c>
    </row>
    <row r="3021" spans="1:12">
      <c r="A3021" s="288" t="s">
        <v>3878</v>
      </c>
      <c r="B3021" s="288" t="s">
        <v>3860</v>
      </c>
      <c r="C3021" s="288" t="s">
        <v>814</v>
      </c>
      <c r="D3021" s="288" t="s">
        <v>815</v>
      </c>
      <c r="E3021" s="289">
        <v>10</v>
      </c>
      <c r="F3021" s="290">
        <v>4</v>
      </c>
      <c r="G3021" s="289">
        <v>900</v>
      </c>
      <c r="H3021" s="289">
        <v>0</v>
      </c>
      <c r="I3021" s="289">
        <v>90</v>
      </c>
      <c r="J3021" s="289">
        <v>50</v>
      </c>
      <c r="K3021" s="289">
        <v>5</v>
      </c>
      <c r="L3021" s="289">
        <v>1045</v>
      </c>
    </row>
    <row r="3022" spans="1:12">
      <c r="A3022" s="288" t="s">
        <v>3879</v>
      </c>
      <c r="B3022" s="288" t="s">
        <v>3860</v>
      </c>
      <c r="C3022" s="288" t="s">
        <v>820</v>
      </c>
      <c r="D3022" s="288" t="s">
        <v>818</v>
      </c>
      <c r="E3022" s="289">
        <v>10</v>
      </c>
      <c r="F3022" s="290">
        <v>5</v>
      </c>
      <c r="G3022" s="289">
        <v>900</v>
      </c>
      <c r="H3022" s="289">
        <v>0</v>
      </c>
      <c r="I3022" s="289">
        <v>90</v>
      </c>
      <c r="J3022" s="289">
        <v>70</v>
      </c>
      <c r="K3022" s="289">
        <v>7</v>
      </c>
      <c r="L3022" s="289">
        <v>1067</v>
      </c>
    </row>
    <row r="3023" spans="1:12">
      <c r="A3023" s="288" t="s">
        <v>3880</v>
      </c>
      <c r="B3023" s="288" t="s">
        <v>3860</v>
      </c>
      <c r="C3023" s="288" t="s">
        <v>814</v>
      </c>
      <c r="D3023" s="288" t="s">
        <v>815</v>
      </c>
      <c r="E3023" s="289">
        <v>10</v>
      </c>
      <c r="F3023" s="290">
        <v>12</v>
      </c>
      <c r="G3023" s="289">
        <v>1100</v>
      </c>
      <c r="H3023" s="289">
        <v>220</v>
      </c>
      <c r="I3023" s="289">
        <v>132</v>
      </c>
      <c r="J3023" s="289">
        <v>50</v>
      </c>
      <c r="K3023" s="289">
        <v>5</v>
      </c>
      <c r="L3023" s="289">
        <v>1507</v>
      </c>
    </row>
    <row r="3024" spans="1:12">
      <c r="A3024" s="288" t="s">
        <v>3881</v>
      </c>
      <c r="B3024" s="288" t="s">
        <v>3860</v>
      </c>
      <c r="C3024" s="288" t="s">
        <v>829</v>
      </c>
      <c r="D3024" s="288" t="s">
        <v>818</v>
      </c>
      <c r="E3024" s="289">
        <v>10</v>
      </c>
      <c r="F3024" s="290">
        <v>0</v>
      </c>
      <c r="G3024" s="289">
        <v>900</v>
      </c>
      <c r="H3024" s="289">
        <v>0</v>
      </c>
      <c r="I3024" s="289">
        <v>90</v>
      </c>
      <c r="J3024" s="289">
        <v>70</v>
      </c>
      <c r="K3024" s="289">
        <v>7</v>
      </c>
      <c r="L3024" s="289">
        <v>1067</v>
      </c>
    </row>
    <row r="3025" spans="1:12">
      <c r="A3025" s="288" t="s">
        <v>3882</v>
      </c>
      <c r="B3025" s="288" t="s">
        <v>3860</v>
      </c>
      <c r="C3025" s="288" t="s">
        <v>829</v>
      </c>
      <c r="D3025" s="288" t="s">
        <v>815</v>
      </c>
      <c r="E3025" s="289">
        <v>10</v>
      </c>
      <c r="F3025" s="290">
        <v>0</v>
      </c>
      <c r="G3025" s="289">
        <v>550</v>
      </c>
      <c r="H3025" s="289">
        <v>0</v>
      </c>
      <c r="I3025" s="289">
        <v>55</v>
      </c>
      <c r="J3025" s="289">
        <v>50</v>
      </c>
      <c r="K3025" s="289">
        <v>5</v>
      </c>
      <c r="L3025" s="289">
        <v>660</v>
      </c>
    </row>
    <row r="3026" spans="1:12">
      <c r="A3026" s="288" t="s">
        <v>3883</v>
      </c>
      <c r="B3026" s="288" t="s">
        <v>3860</v>
      </c>
      <c r="C3026" s="288" t="s">
        <v>829</v>
      </c>
      <c r="D3026" s="288" t="s">
        <v>818</v>
      </c>
      <c r="E3026" s="289">
        <v>10</v>
      </c>
      <c r="F3026" s="290">
        <v>1</v>
      </c>
      <c r="G3026" s="289">
        <v>550</v>
      </c>
      <c r="H3026" s="289">
        <v>0</v>
      </c>
      <c r="I3026" s="289">
        <v>55</v>
      </c>
      <c r="J3026" s="289">
        <v>70</v>
      </c>
      <c r="K3026" s="289">
        <v>7</v>
      </c>
      <c r="L3026" s="289">
        <v>682</v>
      </c>
    </row>
    <row r="3027" spans="1:12">
      <c r="A3027" s="288" t="s">
        <v>3884</v>
      </c>
      <c r="B3027" s="288" t="s">
        <v>3860</v>
      </c>
      <c r="C3027" s="288" t="s">
        <v>820</v>
      </c>
      <c r="D3027" s="288" t="s">
        <v>826</v>
      </c>
      <c r="E3027" s="289">
        <v>10</v>
      </c>
      <c r="F3027" s="290">
        <v>0</v>
      </c>
      <c r="G3027" s="289">
        <v>900</v>
      </c>
      <c r="H3027" s="289">
        <v>0</v>
      </c>
      <c r="I3027" s="289">
        <v>90</v>
      </c>
      <c r="J3027" s="289">
        <v>100</v>
      </c>
      <c r="K3027" s="289">
        <v>10</v>
      </c>
      <c r="L3027" s="289">
        <v>1100</v>
      </c>
    </row>
    <row r="3028" spans="1:12">
      <c r="A3028" s="288" t="s">
        <v>3885</v>
      </c>
      <c r="B3028" s="288" t="s">
        <v>3860</v>
      </c>
      <c r="C3028" s="288" t="s">
        <v>814</v>
      </c>
      <c r="D3028" s="288" t="s">
        <v>818</v>
      </c>
      <c r="E3028" s="289">
        <v>10</v>
      </c>
      <c r="F3028" s="290">
        <v>0</v>
      </c>
      <c r="G3028" s="289">
        <v>900</v>
      </c>
      <c r="H3028" s="289">
        <v>0</v>
      </c>
      <c r="I3028" s="289">
        <v>90</v>
      </c>
      <c r="J3028" s="289">
        <v>70</v>
      </c>
      <c r="K3028" s="289">
        <v>7</v>
      </c>
      <c r="L3028" s="289">
        <v>1067</v>
      </c>
    </row>
    <row r="3029" spans="1:12">
      <c r="A3029" s="288" t="s">
        <v>3886</v>
      </c>
      <c r="B3029" s="288" t="s">
        <v>3860</v>
      </c>
      <c r="C3029" s="288" t="s">
        <v>814</v>
      </c>
      <c r="D3029" s="288" t="s">
        <v>818</v>
      </c>
      <c r="E3029" s="289">
        <v>10</v>
      </c>
      <c r="F3029" s="290">
        <v>12</v>
      </c>
      <c r="G3029" s="289">
        <v>1100</v>
      </c>
      <c r="H3029" s="289">
        <v>220</v>
      </c>
      <c r="I3029" s="289">
        <v>132</v>
      </c>
      <c r="J3029" s="289">
        <v>70</v>
      </c>
      <c r="K3029" s="289">
        <v>7</v>
      </c>
      <c r="L3029" s="289">
        <v>1529</v>
      </c>
    </row>
    <row r="3030" spans="1:12">
      <c r="A3030" s="288" t="s">
        <v>3887</v>
      </c>
      <c r="B3030" s="288" t="s">
        <v>3860</v>
      </c>
      <c r="C3030" s="288" t="s">
        <v>814</v>
      </c>
      <c r="D3030" s="288" t="s">
        <v>818</v>
      </c>
      <c r="E3030" s="289">
        <v>10</v>
      </c>
      <c r="F3030" s="290">
        <v>13</v>
      </c>
      <c r="G3030" s="289">
        <v>1100</v>
      </c>
      <c r="H3030" s="289">
        <v>330</v>
      </c>
      <c r="I3030" s="289">
        <v>143</v>
      </c>
      <c r="J3030" s="289">
        <v>70</v>
      </c>
      <c r="K3030" s="289">
        <v>7</v>
      </c>
      <c r="L3030" s="289">
        <v>1650</v>
      </c>
    </row>
    <row r="3031" spans="1:12">
      <c r="A3031" s="288" t="s">
        <v>3888</v>
      </c>
      <c r="B3031" s="288" t="s">
        <v>3860</v>
      </c>
      <c r="C3031" s="288" t="s">
        <v>814</v>
      </c>
      <c r="D3031" s="288" t="s">
        <v>818</v>
      </c>
      <c r="E3031" s="289">
        <v>10</v>
      </c>
      <c r="F3031" s="290">
        <v>1</v>
      </c>
      <c r="G3031" s="289">
        <v>900</v>
      </c>
      <c r="H3031" s="289">
        <v>0</v>
      </c>
      <c r="I3031" s="289">
        <v>90</v>
      </c>
      <c r="J3031" s="289">
        <v>70</v>
      </c>
      <c r="K3031" s="289">
        <v>7</v>
      </c>
      <c r="L3031" s="289">
        <v>1067</v>
      </c>
    </row>
    <row r="3032" spans="1:12">
      <c r="A3032" s="288" t="s">
        <v>3889</v>
      </c>
      <c r="B3032" s="288" t="s">
        <v>3860</v>
      </c>
      <c r="C3032" s="288" t="s">
        <v>814</v>
      </c>
      <c r="D3032" s="288" t="s">
        <v>818</v>
      </c>
      <c r="E3032" s="289">
        <v>10</v>
      </c>
      <c r="F3032" s="290">
        <v>5</v>
      </c>
      <c r="G3032" s="289">
        <v>900</v>
      </c>
      <c r="H3032" s="289">
        <v>0</v>
      </c>
      <c r="I3032" s="289">
        <v>90</v>
      </c>
      <c r="J3032" s="289">
        <v>70</v>
      </c>
      <c r="K3032" s="289">
        <v>7</v>
      </c>
      <c r="L3032" s="289">
        <v>1067</v>
      </c>
    </row>
    <row r="3033" spans="1:12">
      <c r="A3033" s="288" t="s">
        <v>3890</v>
      </c>
      <c r="B3033" s="288" t="s">
        <v>3860</v>
      </c>
      <c r="C3033" s="288" t="s">
        <v>814</v>
      </c>
      <c r="D3033" s="288" t="s">
        <v>818</v>
      </c>
      <c r="E3033" s="289">
        <v>10</v>
      </c>
      <c r="F3033" s="290">
        <v>11</v>
      </c>
      <c r="G3033" s="289">
        <v>1100</v>
      </c>
      <c r="H3033" s="289">
        <v>110</v>
      </c>
      <c r="I3033" s="289">
        <v>121</v>
      </c>
      <c r="J3033" s="289">
        <v>70</v>
      </c>
      <c r="K3033" s="289">
        <v>7</v>
      </c>
      <c r="L3033" s="289">
        <v>1408</v>
      </c>
    </row>
    <row r="3034" spans="1:12">
      <c r="A3034" s="288" t="s">
        <v>3891</v>
      </c>
      <c r="B3034" s="288" t="s">
        <v>3860</v>
      </c>
      <c r="C3034" s="288" t="s">
        <v>829</v>
      </c>
      <c r="D3034" s="288" t="s">
        <v>818</v>
      </c>
      <c r="E3034" s="289">
        <v>10</v>
      </c>
      <c r="F3034" s="290">
        <v>1</v>
      </c>
      <c r="G3034" s="289">
        <v>900</v>
      </c>
      <c r="H3034" s="289">
        <v>0</v>
      </c>
      <c r="I3034" s="289">
        <v>90</v>
      </c>
      <c r="J3034" s="289">
        <v>70</v>
      </c>
      <c r="K3034" s="289">
        <v>7</v>
      </c>
      <c r="L3034" s="289">
        <v>1067</v>
      </c>
    </row>
    <row r="3035" spans="1:12">
      <c r="A3035" s="288" t="s">
        <v>3892</v>
      </c>
      <c r="B3035" s="288" t="s">
        <v>3860</v>
      </c>
      <c r="C3035" s="288" t="s">
        <v>829</v>
      </c>
      <c r="D3035" s="288" t="s">
        <v>818</v>
      </c>
      <c r="E3035" s="289">
        <v>10</v>
      </c>
      <c r="F3035" s="290">
        <v>0</v>
      </c>
      <c r="G3035" s="289">
        <v>900</v>
      </c>
      <c r="H3035" s="289">
        <v>0</v>
      </c>
      <c r="I3035" s="289">
        <v>90</v>
      </c>
      <c r="J3035" s="289">
        <v>70</v>
      </c>
      <c r="K3035" s="289">
        <v>7</v>
      </c>
      <c r="L3035" s="289">
        <v>1067</v>
      </c>
    </row>
    <row r="3036" spans="1:12">
      <c r="A3036" s="288" t="s">
        <v>3893</v>
      </c>
      <c r="B3036" s="288" t="s">
        <v>3860</v>
      </c>
      <c r="C3036" s="288" t="s">
        <v>829</v>
      </c>
      <c r="D3036" s="288" t="s">
        <v>818</v>
      </c>
      <c r="E3036" s="289">
        <v>10</v>
      </c>
      <c r="F3036" s="290">
        <v>0</v>
      </c>
      <c r="G3036" s="289">
        <v>900</v>
      </c>
      <c r="H3036" s="289">
        <v>0</v>
      </c>
      <c r="I3036" s="289">
        <v>90</v>
      </c>
      <c r="J3036" s="289">
        <v>70</v>
      </c>
      <c r="K3036" s="289">
        <v>7</v>
      </c>
      <c r="L3036" s="289">
        <v>1067</v>
      </c>
    </row>
    <row r="3037" spans="1:12">
      <c r="A3037" s="288" t="s">
        <v>3894</v>
      </c>
      <c r="B3037" s="288" t="s">
        <v>3860</v>
      </c>
      <c r="C3037" s="288" t="s">
        <v>814</v>
      </c>
      <c r="D3037" s="288" t="s">
        <v>818</v>
      </c>
      <c r="E3037" s="289">
        <v>10</v>
      </c>
      <c r="F3037" s="290">
        <v>5</v>
      </c>
      <c r="G3037" s="289">
        <v>900</v>
      </c>
      <c r="H3037" s="289">
        <v>0</v>
      </c>
      <c r="I3037" s="289">
        <v>90</v>
      </c>
      <c r="J3037" s="289">
        <v>70</v>
      </c>
      <c r="K3037" s="289">
        <v>7</v>
      </c>
      <c r="L3037" s="289">
        <v>1067</v>
      </c>
    </row>
    <row r="3038" spans="1:12">
      <c r="A3038" s="288" t="s">
        <v>3895</v>
      </c>
      <c r="B3038" s="288" t="s">
        <v>3860</v>
      </c>
      <c r="C3038" s="288" t="s">
        <v>829</v>
      </c>
      <c r="D3038" s="288" t="s">
        <v>818</v>
      </c>
      <c r="E3038" s="289">
        <v>10</v>
      </c>
      <c r="F3038" s="290">
        <v>6</v>
      </c>
      <c r="G3038" s="289">
        <v>1100</v>
      </c>
      <c r="H3038" s="289">
        <v>0</v>
      </c>
      <c r="I3038" s="289">
        <v>110</v>
      </c>
      <c r="J3038" s="289">
        <v>70</v>
      </c>
      <c r="K3038" s="289">
        <v>7</v>
      </c>
      <c r="L3038" s="289">
        <v>1287</v>
      </c>
    </row>
    <row r="3039" spans="1:12">
      <c r="A3039" s="288" t="s">
        <v>3896</v>
      </c>
      <c r="B3039" s="288" t="s">
        <v>3897</v>
      </c>
      <c r="C3039" s="288" t="s">
        <v>829</v>
      </c>
      <c r="D3039" s="288" t="s">
        <v>818</v>
      </c>
      <c r="E3039" s="289">
        <v>10</v>
      </c>
      <c r="F3039" s="290">
        <v>1</v>
      </c>
      <c r="G3039" s="289">
        <v>900</v>
      </c>
      <c r="H3039" s="289">
        <v>0</v>
      </c>
      <c r="I3039" s="289">
        <v>90</v>
      </c>
      <c r="J3039" s="289">
        <v>70</v>
      </c>
      <c r="K3039" s="289">
        <v>7</v>
      </c>
      <c r="L3039" s="289">
        <v>1067</v>
      </c>
    </row>
    <row r="3040" spans="1:12">
      <c r="A3040" s="288" t="s">
        <v>3898</v>
      </c>
      <c r="B3040" s="288" t="s">
        <v>3897</v>
      </c>
      <c r="C3040" s="288" t="s">
        <v>829</v>
      </c>
      <c r="D3040" s="288" t="s">
        <v>818</v>
      </c>
      <c r="E3040" s="289">
        <v>10</v>
      </c>
      <c r="F3040" s="290">
        <v>1</v>
      </c>
      <c r="G3040" s="289">
        <v>900</v>
      </c>
      <c r="H3040" s="289">
        <v>0</v>
      </c>
      <c r="I3040" s="289">
        <v>90</v>
      </c>
      <c r="J3040" s="289">
        <v>70</v>
      </c>
      <c r="K3040" s="289">
        <v>7</v>
      </c>
      <c r="L3040" s="289">
        <v>1067</v>
      </c>
    </row>
    <row r="3041" spans="1:12">
      <c r="A3041" s="288" t="s">
        <v>3899</v>
      </c>
      <c r="B3041" s="288" t="s">
        <v>3897</v>
      </c>
      <c r="C3041" s="288" t="s">
        <v>814</v>
      </c>
      <c r="D3041" s="288" t="s">
        <v>815</v>
      </c>
      <c r="E3041" s="289">
        <v>10</v>
      </c>
      <c r="F3041" s="290">
        <v>12</v>
      </c>
      <c r="G3041" s="289">
        <v>1100</v>
      </c>
      <c r="H3041" s="289">
        <v>220</v>
      </c>
      <c r="I3041" s="289">
        <v>132</v>
      </c>
      <c r="J3041" s="289">
        <v>50</v>
      </c>
      <c r="K3041" s="289">
        <v>5</v>
      </c>
      <c r="L3041" s="289">
        <v>1507</v>
      </c>
    </row>
    <row r="3042" spans="1:12">
      <c r="A3042" s="288" t="s">
        <v>3900</v>
      </c>
      <c r="B3042" s="288" t="s">
        <v>3897</v>
      </c>
      <c r="C3042" s="288" t="s">
        <v>814</v>
      </c>
      <c r="D3042" s="288" t="s">
        <v>815</v>
      </c>
      <c r="E3042" s="289">
        <v>10</v>
      </c>
      <c r="F3042" s="290">
        <v>0</v>
      </c>
      <c r="G3042" s="289">
        <v>900</v>
      </c>
      <c r="H3042" s="289">
        <v>0</v>
      </c>
      <c r="I3042" s="289">
        <v>90</v>
      </c>
      <c r="J3042" s="289">
        <v>50</v>
      </c>
      <c r="K3042" s="289">
        <v>5</v>
      </c>
      <c r="L3042" s="289">
        <v>1045</v>
      </c>
    </row>
    <row r="3043" spans="1:12">
      <c r="A3043" s="288" t="s">
        <v>3901</v>
      </c>
      <c r="B3043" s="288" t="s">
        <v>3897</v>
      </c>
      <c r="C3043" s="288" t="s">
        <v>814</v>
      </c>
      <c r="D3043" s="288" t="s">
        <v>815</v>
      </c>
      <c r="E3043" s="289">
        <v>10</v>
      </c>
      <c r="F3043" s="290">
        <v>15</v>
      </c>
      <c r="G3043" s="289">
        <v>1100</v>
      </c>
      <c r="H3043" s="289">
        <v>550</v>
      </c>
      <c r="I3043" s="289">
        <v>165</v>
      </c>
      <c r="J3043" s="289">
        <v>50</v>
      </c>
      <c r="K3043" s="289">
        <v>5</v>
      </c>
      <c r="L3043" s="289">
        <v>1870</v>
      </c>
    </row>
    <row r="3044" spans="1:12">
      <c r="A3044" s="288" t="s">
        <v>3902</v>
      </c>
      <c r="B3044" s="288" t="s">
        <v>3897</v>
      </c>
      <c r="C3044" s="288" t="s">
        <v>814</v>
      </c>
      <c r="D3044" s="288" t="s">
        <v>815</v>
      </c>
      <c r="E3044" s="289">
        <v>10</v>
      </c>
      <c r="F3044" s="290">
        <v>1</v>
      </c>
      <c r="G3044" s="289">
        <v>900</v>
      </c>
      <c r="H3044" s="289">
        <v>0</v>
      </c>
      <c r="I3044" s="289">
        <v>90</v>
      </c>
      <c r="J3044" s="289">
        <v>50</v>
      </c>
      <c r="K3044" s="289">
        <v>5</v>
      </c>
      <c r="L3044" s="289">
        <v>1045</v>
      </c>
    </row>
    <row r="3045" spans="1:12">
      <c r="A3045" s="288" t="s">
        <v>3903</v>
      </c>
      <c r="B3045" s="288" t="s">
        <v>3897</v>
      </c>
      <c r="C3045" s="288" t="s">
        <v>814</v>
      </c>
      <c r="D3045" s="288" t="s">
        <v>815</v>
      </c>
      <c r="E3045" s="289">
        <v>10</v>
      </c>
      <c r="F3045" s="290">
        <v>0</v>
      </c>
      <c r="G3045" s="289">
        <v>900</v>
      </c>
      <c r="H3045" s="289">
        <v>0</v>
      </c>
      <c r="I3045" s="289">
        <v>90</v>
      </c>
      <c r="J3045" s="289">
        <v>50</v>
      </c>
      <c r="K3045" s="289">
        <v>5</v>
      </c>
      <c r="L3045" s="289">
        <v>1045</v>
      </c>
    </row>
    <row r="3046" spans="1:12">
      <c r="A3046" s="288" t="s">
        <v>3904</v>
      </c>
      <c r="B3046" s="288" t="s">
        <v>3897</v>
      </c>
      <c r="C3046" s="288" t="s">
        <v>814</v>
      </c>
      <c r="D3046" s="288" t="s">
        <v>815</v>
      </c>
      <c r="E3046" s="289">
        <v>10</v>
      </c>
      <c r="F3046" s="290">
        <v>0</v>
      </c>
      <c r="G3046" s="289">
        <v>900</v>
      </c>
      <c r="H3046" s="289">
        <v>0</v>
      </c>
      <c r="I3046" s="289">
        <v>90</v>
      </c>
      <c r="J3046" s="289">
        <v>50</v>
      </c>
      <c r="K3046" s="289">
        <v>5</v>
      </c>
      <c r="L3046" s="289">
        <v>1045</v>
      </c>
    </row>
    <row r="3047" spans="1:12">
      <c r="A3047" s="288" t="s">
        <v>3905</v>
      </c>
      <c r="B3047" s="288" t="s">
        <v>3897</v>
      </c>
      <c r="C3047" s="288" t="s">
        <v>814</v>
      </c>
      <c r="D3047" s="288" t="s">
        <v>815</v>
      </c>
      <c r="E3047" s="289">
        <v>10</v>
      </c>
      <c r="F3047" s="290">
        <v>11</v>
      </c>
      <c r="G3047" s="289">
        <v>1100</v>
      </c>
      <c r="H3047" s="289">
        <v>110</v>
      </c>
      <c r="I3047" s="289">
        <v>121</v>
      </c>
      <c r="J3047" s="289">
        <v>50</v>
      </c>
      <c r="K3047" s="289">
        <v>5</v>
      </c>
      <c r="L3047" s="289">
        <v>1386</v>
      </c>
    </row>
    <row r="3048" spans="1:12">
      <c r="A3048" s="288" t="s">
        <v>3906</v>
      </c>
      <c r="B3048" s="288" t="s">
        <v>3897</v>
      </c>
      <c r="C3048" s="288" t="s">
        <v>814</v>
      </c>
      <c r="D3048" s="288" t="s">
        <v>815</v>
      </c>
      <c r="E3048" s="289">
        <v>10</v>
      </c>
      <c r="F3048" s="290">
        <v>1</v>
      </c>
      <c r="G3048" s="289">
        <v>900</v>
      </c>
      <c r="H3048" s="289">
        <v>0</v>
      </c>
      <c r="I3048" s="289">
        <v>90</v>
      </c>
      <c r="J3048" s="289">
        <v>50</v>
      </c>
      <c r="K3048" s="289">
        <v>5</v>
      </c>
      <c r="L3048" s="289">
        <v>1045</v>
      </c>
    </row>
    <row r="3049" spans="1:12">
      <c r="A3049" s="288" t="s">
        <v>3907</v>
      </c>
      <c r="B3049" s="288" t="s">
        <v>3897</v>
      </c>
      <c r="C3049" s="288" t="s">
        <v>814</v>
      </c>
      <c r="D3049" s="288" t="s">
        <v>815</v>
      </c>
      <c r="E3049" s="289">
        <v>10</v>
      </c>
      <c r="F3049" s="290">
        <v>4</v>
      </c>
      <c r="G3049" s="289">
        <v>900</v>
      </c>
      <c r="H3049" s="289">
        <v>0</v>
      </c>
      <c r="I3049" s="289">
        <v>90</v>
      </c>
      <c r="J3049" s="289">
        <v>50</v>
      </c>
      <c r="K3049" s="289">
        <v>5</v>
      </c>
      <c r="L3049" s="289">
        <v>1045</v>
      </c>
    </row>
    <row r="3050" spans="1:12">
      <c r="A3050" s="288" t="s">
        <v>3908</v>
      </c>
      <c r="B3050" s="288" t="s">
        <v>3897</v>
      </c>
      <c r="C3050" s="288" t="s">
        <v>814</v>
      </c>
      <c r="D3050" s="288" t="s">
        <v>826</v>
      </c>
      <c r="E3050" s="289">
        <v>10</v>
      </c>
      <c r="F3050" s="290">
        <v>6</v>
      </c>
      <c r="G3050" s="289">
        <v>1100</v>
      </c>
      <c r="H3050" s="289">
        <v>0</v>
      </c>
      <c r="I3050" s="289">
        <v>110</v>
      </c>
      <c r="J3050" s="289">
        <v>100</v>
      </c>
      <c r="K3050" s="289">
        <v>10</v>
      </c>
      <c r="L3050" s="289">
        <v>1320</v>
      </c>
    </row>
    <row r="3051" spans="1:12">
      <c r="A3051" s="288" t="s">
        <v>3909</v>
      </c>
      <c r="B3051" s="288" t="s">
        <v>3897</v>
      </c>
      <c r="C3051" s="288" t="s">
        <v>820</v>
      </c>
      <c r="D3051" s="288" t="s">
        <v>815</v>
      </c>
      <c r="E3051" s="289">
        <v>10</v>
      </c>
      <c r="F3051" s="290">
        <v>0</v>
      </c>
      <c r="G3051" s="289">
        <v>900</v>
      </c>
      <c r="H3051" s="289">
        <v>0</v>
      </c>
      <c r="I3051" s="289">
        <v>90</v>
      </c>
      <c r="J3051" s="289">
        <v>50</v>
      </c>
      <c r="K3051" s="289">
        <v>5</v>
      </c>
      <c r="L3051" s="289">
        <v>1045</v>
      </c>
    </row>
    <row r="3052" spans="1:12">
      <c r="A3052" s="288" t="s">
        <v>3910</v>
      </c>
      <c r="B3052" s="288" t="s">
        <v>3897</v>
      </c>
      <c r="C3052" s="288" t="s">
        <v>814</v>
      </c>
      <c r="D3052" s="288" t="s">
        <v>815</v>
      </c>
      <c r="E3052" s="289">
        <v>10</v>
      </c>
      <c r="F3052" s="290">
        <v>3</v>
      </c>
      <c r="G3052" s="289">
        <v>900</v>
      </c>
      <c r="H3052" s="289">
        <v>0</v>
      </c>
      <c r="I3052" s="289">
        <v>90</v>
      </c>
      <c r="J3052" s="289">
        <v>50</v>
      </c>
      <c r="K3052" s="289">
        <v>5</v>
      </c>
      <c r="L3052" s="289">
        <v>1045</v>
      </c>
    </row>
    <row r="3053" spans="1:12">
      <c r="A3053" s="288" t="s">
        <v>3911</v>
      </c>
      <c r="B3053" s="288" t="s">
        <v>3897</v>
      </c>
      <c r="C3053" s="288" t="s">
        <v>814</v>
      </c>
      <c r="D3053" s="288" t="s">
        <v>815</v>
      </c>
      <c r="E3053" s="289">
        <v>10</v>
      </c>
      <c r="F3053" s="290">
        <v>8</v>
      </c>
      <c r="G3053" s="289">
        <v>1100</v>
      </c>
      <c r="H3053" s="289">
        <v>0</v>
      </c>
      <c r="I3053" s="289">
        <v>110</v>
      </c>
      <c r="J3053" s="289">
        <v>50</v>
      </c>
      <c r="K3053" s="289">
        <v>5</v>
      </c>
      <c r="L3053" s="289">
        <v>1265</v>
      </c>
    </row>
    <row r="3054" spans="1:12">
      <c r="A3054" s="288" t="s">
        <v>3912</v>
      </c>
      <c r="B3054" s="288" t="s">
        <v>3897</v>
      </c>
      <c r="C3054" s="288" t="s">
        <v>814</v>
      </c>
      <c r="D3054" s="288" t="s">
        <v>815</v>
      </c>
      <c r="E3054" s="289">
        <v>10</v>
      </c>
      <c r="F3054" s="290">
        <v>0</v>
      </c>
      <c r="G3054" s="289">
        <v>900</v>
      </c>
      <c r="H3054" s="289">
        <v>0</v>
      </c>
      <c r="I3054" s="289">
        <v>90</v>
      </c>
      <c r="J3054" s="289">
        <v>50</v>
      </c>
      <c r="K3054" s="289">
        <v>5</v>
      </c>
      <c r="L3054" s="289">
        <v>1045</v>
      </c>
    </row>
    <row r="3055" spans="1:12">
      <c r="A3055" s="288" t="s">
        <v>3913</v>
      </c>
      <c r="B3055" s="288" t="s">
        <v>3897</v>
      </c>
      <c r="C3055" s="288" t="s">
        <v>814</v>
      </c>
      <c r="D3055" s="288" t="s">
        <v>815</v>
      </c>
      <c r="E3055" s="289">
        <v>10</v>
      </c>
      <c r="F3055" s="290">
        <v>0</v>
      </c>
      <c r="G3055" s="289">
        <v>900</v>
      </c>
      <c r="H3055" s="289">
        <v>0</v>
      </c>
      <c r="I3055" s="289">
        <v>90</v>
      </c>
      <c r="J3055" s="289">
        <v>50</v>
      </c>
      <c r="K3055" s="289">
        <v>5</v>
      </c>
      <c r="L3055" s="289">
        <v>1045</v>
      </c>
    </row>
    <row r="3056" spans="1:12">
      <c r="A3056" s="288" t="s">
        <v>3914</v>
      </c>
      <c r="B3056" s="288" t="s">
        <v>3897</v>
      </c>
      <c r="C3056" s="288" t="s">
        <v>814</v>
      </c>
      <c r="D3056" s="288" t="s">
        <v>815</v>
      </c>
      <c r="E3056" s="289">
        <v>10</v>
      </c>
      <c r="F3056" s="290">
        <v>0</v>
      </c>
      <c r="G3056" s="289">
        <v>900</v>
      </c>
      <c r="H3056" s="289">
        <v>0</v>
      </c>
      <c r="I3056" s="289">
        <v>90</v>
      </c>
      <c r="J3056" s="289">
        <v>50</v>
      </c>
      <c r="K3056" s="289">
        <v>5</v>
      </c>
      <c r="L3056" s="289">
        <v>1045</v>
      </c>
    </row>
    <row r="3057" spans="1:12">
      <c r="A3057" s="288" t="s">
        <v>3915</v>
      </c>
      <c r="B3057" s="288" t="s">
        <v>3897</v>
      </c>
      <c r="C3057" s="288" t="s">
        <v>814</v>
      </c>
      <c r="D3057" s="288" t="s">
        <v>815</v>
      </c>
      <c r="E3057" s="289">
        <v>10</v>
      </c>
      <c r="F3057" s="290">
        <v>0</v>
      </c>
      <c r="G3057" s="289">
        <v>900</v>
      </c>
      <c r="H3057" s="289">
        <v>0</v>
      </c>
      <c r="I3057" s="289">
        <v>90</v>
      </c>
      <c r="J3057" s="289">
        <v>50</v>
      </c>
      <c r="K3057" s="289">
        <v>5</v>
      </c>
      <c r="L3057" s="289">
        <v>1045</v>
      </c>
    </row>
    <row r="3058" spans="1:12">
      <c r="A3058" s="288" t="s">
        <v>3916</v>
      </c>
      <c r="B3058" s="288" t="s">
        <v>3897</v>
      </c>
      <c r="C3058" s="288" t="s">
        <v>814</v>
      </c>
      <c r="D3058" s="288" t="s">
        <v>815</v>
      </c>
      <c r="E3058" s="289">
        <v>10</v>
      </c>
      <c r="F3058" s="290">
        <v>0</v>
      </c>
      <c r="G3058" s="289">
        <v>900</v>
      </c>
      <c r="H3058" s="289">
        <v>0</v>
      </c>
      <c r="I3058" s="289">
        <v>90</v>
      </c>
      <c r="J3058" s="289">
        <v>50</v>
      </c>
      <c r="K3058" s="289">
        <v>5</v>
      </c>
      <c r="L3058" s="289">
        <v>1045</v>
      </c>
    </row>
    <row r="3059" spans="1:12">
      <c r="A3059" s="288" t="s">
        <v>3917</v>
      </c>
      <c r="B3059" s="288" t="s">
        <v>3897</v>
      </c>
      <c r="C3059" s="288" t="s">
        <v>814</v>
      </c>
      <c r="D3059" s="288" t="s">
        <v>815</v>
      </c>
      <c r="E3059" s="289">
        <v>10</v>
      </c>
      <c r="F3059" s="290">
        <v>0</v>
      </c>
      <c r="G3059" s="289">
        <v>900</v>
      </c>
      <c r="H3059" s="289">
        <v>0</v>
      </c>
      <c r="I3059" s="289">
        <v>90</v>
      </c>
      <c r="J3059" s="289">
        <v>50</v>
      </c>
      <c r="K3059" s="289">
        <v>5</v>
      </c>
      <c r="L3059" s="289">
        <v>1045</v>
      </c>
    </row>
    <row r="3060" spans="1:12">
      <c r="A3060" s="288" t="s">
        <v>3918</v>
      </c>
      <c r="B3060" s="288" t="s">
        <v>3897</v>
      </c>
      <c r="C3060" s="288" t="s">
        <v>814</v>
      </c>
      <c r="D3060" s="288" t="s">
        <v>815</v>
      </c>
      <c r="E3060" s="289">
        <v>10</v>
      </c>
      <c r="F3060" s="290">
        <v>11</v>
      </c>
      <c r="G3060" s="289">
        <v>1100</v>
      </c>
      <c r="H3060" s="289">
        <v>110</v>
      </c>
      <c r="I3060" s="289">
        <v>121</v>
      </c>
      <c r="J3060" s="289">
        <v>50</v>
      </c>
      <c r="K3060" s="289">
        <v>5</v>
      </c>
      <c r="L3060" s="289">
        <v>1386</v>
      </c>
    </row>
    <row r="3061" spans="1:12">
      <c r="A3061" s="288" t="s">
        <v>3919</v>
      </c>
      <c r="B3061" s="288" t="s">
        <v>3897</v>
      </c>
      <c r="C3061" s="288" t="s">
        <v>829</v>
      </c>
      <c r="D3061" s="288" t="s">
        <v>815</v>
      </c>
      <c r="E3061" s="289">
        <v>10</v>
      </c>
      <c r="F3061" s="290">
        <v>0</v>
      </c>
      <c r="G3061" s="289">
        <v>900</v>
      </c>
      <c r="H3061" s="289">
        <v>0</v>
      </c>
      <c r="I3061" s="289">
        <v>90</v>
      </c>
      <c r="J3061" s="289">
        <v>50</v>
      </c>
      <c r="K3061" s="289">
        <v>5</v>
      </c>
      <c r="L3061" s="289">
        <v>1045</v>
      </c>
    </row>
    <row r="3062" spans="1:12" ht="18.600000000000001" thickBot="1">
      <c r="A3062" s="291" t="s">
        <v>3920</v>
      </c>
      <c r="B3062" s="291" t="s">
        <v>2591</v>
      </c>
      <c r="C3062" s="291" t="s">
        <v>814</v>
      </c>
      <c r="D3062" s="291" t="s">
        <v>818</v>
      </c>
      <c r="E3062" s="292">
        <v>10</v>
      </c>
      <c r="F3062" s="293">
        <v>15</v>
      </c>
      <c r="G3062" s="292">
        <v>1100</v>
      </c>
      <c r="H3062" s="292">
        <v>550</v>
      </c>
      <c r="I3062" s="292">
        <v>165</v>
      </c>
      <c r="J3062" s="292">
        <v>70</v>
      </c>
      <c r="K3062" s="292">
        <v>7</v>
      </c>
      <c r="L3062" s="292">
        <v>1892</v>
      </c>
    </row>
    <row r="3063" spans="1:12">
      <c r="F3063" s="294" t="s">
        <v>3921</v>
      </c>
      <c r="G3063" s="282">
        <f>COUNTIFS($F$3:$F$3062,"&gt;=1",$F$3:$F$3062,"&lt;=5")</f>
        <v>561</v>
      </c>
      <c r="I3063" s="295">
        <v>1</v>
      </c>
      <c r="J3063" s="282">
        <f>COUNTIFS($F$3:$F$3062,"=1")</f>
        <v>140</v>
      </c>
    </row>
    <row r="3064" spans="1:12">
      <c r="C3064" s="296" t="s">
        <v>3922</v>
      </c>
      <c r="D3064" s="297">
        <f>COUNTIF($D$3:$D$3062,13)</f>
        <v>743</v>
      </c>
      <c r="F3064" s="294" t="s">
        <v>3923</v>
      </c>
      <c r="G3064" s="282">
        <f>COUNTIFS($F$3:$F$3062,"&gt;=11",$F$3:$F$3062,"&lt;=20")</f>
        <v>860</v>
      </c>
      <c r="I3064" s="295">
        <v>2</v>
      </c>
      <c r="J3064" s="282">
        <f>COUNTIFS($F$3:$F$3062,"=2")</f>
        <v>89</v>
      </c>
    </row>
    <row r="3065" spans="1:12">
      <c r="C3065" s="296" t="s">
        <v>3924</v>
      </c>
      <c r="D3065" s="297">
        <f>COUNTIF($D$3:$D$3062,20)</f>
        <v>2136</v>
      </c>
      <c r="F3065" s="294" t="s">
        <v>3925</v>
      </c>
      <c r="G3065" s="282">
        <f>COUNTIFS($F$3:$F$3062,"&gt;=21",$F$3:$F$3062,"&lt;=30")</f>
        <v>406</v>
      </c>
      <c r="I3065" s="295">
        <v>3</v>
      </c>
      <c r="J3065" s="282">
        <f>COUNTIFS($F$3:$F$3062,"=3")</f>
        <v>98</v>
      </c>
    </row>
    <row r="3066" spans="1:12">
      <c r="C3066" s="296" t="s">
        <v>3926</v>
      </c>
      <c r="D3066" s="297">
        <f>COUNTIF($D$3:$D$3062,25)</f>
        <v>72</v>
      </c>
      <c r="F3066" s="294" t="s">
        <v>3927</v>
      </c>
      <c r="G3066" s="282">
        <f>COUNTIFS($F$3:$F$3062,"&gt;=31",$F$3:$F$3062,"&lt;=50")</f>
        <v>173</v>
      </c>
      <c r="I3066" s="295">
        <v>4</v>
      </c>
      <c r="J3066" s="294">
        <f>COUNTIFS($F$3:$F$3062,"=4")</f>
        <v>115</v>
      </c>
    </row>
    <row r="3067" spans="1:12">
      <c r="C3067" s="296" t="s">
        <v>3928</v>
      </c>
      <c r="D3067" s="297">
        <f>COUNTIF($D$3:$D$3062,40)</f>
        <v>74</v>
      </c>
      <c r="F3067" s="294" t="s">
        <v>3929</v>
      </c>
      <c r="G3067" s="282">
        <f>COUNTIFS($F$3:$F$3062,"&gt;=51",$F$3:$F$3062,"&lt;=100")</f>
        <v>47</v>
      </c>
      <c r="I3067" s="295">
        <v>5</v>
      </c>
      <c r="J3067" s="294">
        <f>COUNTIFS($F$3:$F$3062,"=5")</f>
        <v>119</v>
      </c>
    </row>
    <row r="3068" spans="1:12">
      <c r="C3068" s="296" t="s">
        <v>3930</v>
      </c>
      <c r="D3068" s="297">
        <f>COUNTIF($D$3:$D$3062,50)</f>
        <v>22</v>
      </c>
      <c r="F3068" s="294" t="s">
        <v>3931</v>
      </c>
      <c r="G3068" s="282">
        <f>COUNTIFS($F$3:$F$3062,"&gt;=101",$F$3:$F$3062,"&lt;=499")</f>
        <v>51</v>
      </c>
      <c r="I3068" s="295">
        <v>6</v>
      </c>
      <c r="J3068" s="294">
        <f>COUNTIFS($F$3:$F$3062,"=6")</f>
        <v>126</v>
      </c>
    </row>
    <row r="3069" spans="1:12">
      <c r="C3069" s="296" t="s">
        <v>3932</v>
      </c>
      <c r="D3069" s="297">
        <f>COUNTIF($D$3:$D$3062,75)</f>
        <v>9</v>
      </c>
      <c r="F3069" s="294" t="s">
        <v>3933</v>
      </c>
      <c r="G3069" s="282">
        <f>COUNTIFS($F$3:$F$3062,"&gt;=500")</f>
        <v>21</v>
      </c>
      <c r="I3069" s="295">
        <v>7</v>
      </c>
      <c r="J3069" s="294">
        <f>COUNTIFS($F$3:$F$3062,"=7")</f>
        <v>128</v>
      </c>
    </row>
    <row r="3070" spans="1:12">
      <c r="C3070" s="296" t="s">
        <v>3934</v>
      </c>
      <c r="D3070" s="297">
        <f>COUNTIF($D$3:$D$3062,100)</f>
        <v>3</v>
      </c>
    </row>
  </sheetData>
  <autoFilter ref="A1:L3070" xr:uid="{C5F6B401-EED6-4EB9-9FBD-359596E338F0}">
    <filterColumn colId="4" showButton="0"/>
    <filterColumn colId="5" showButton="0"/>
    <filterColumn colId="6" showButton="0"/>
    <filterColumn colId="7" showButton="0"/>
    <filterColumn colId="8" showButton="0"/>
    <filterColumn colId="9" showButton="0"/>
    <filterColumn colId="10" showButton="0"/>
  </autoFilter>
  <mergeCells count="1">
    <mergeCell ref="E1:L1"/>
  </mergeCells>
  <phoneticPr fontId="4"/>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D36B-8D73-4BE6-BB06-D00190CC6EAA}">
  <sheetPr>
    <pageSetUpPr fitToPage="1"/>
  </sheetPr>
  <dimension ref="A1:P30"/>
  <sheetViews>
    <sheetView zoomScale="55" zoomScaleNormal="55" workbookViewId="0">
      <selection activeCell="K20" sqref="K20"/>
    </sheetView>
  </sheetViews>
  <sheetFormatPr defaultRowHeight="18"/>
  <cols>
    <col min="1" max="1" width="10.6328125" style="206" customWidth="1"/>
    <col min="2" max="2" width="10.54296875" style="206" customWidth="1"/>
    <col min="3" max="3" width="41.7265625" style="206" bestFit="1" customWidth="1"/>
    <col min="4" max="4" width="6.7265625" style="206" bestFit="1" customWidth="1"/>
    <col min="5" max="5" width="14.453125" style="206" customWidth="1"/>
    <col min="6" max="6" width="13.1796875" style="206" bestFit="1" customWidth="1"/>
    <col min="7" max="7" width="13.6328125" style="206" customWidth="1"/>
    <col min="8" max="8" width="12.36328125" style="206" customWidth="1"/>
    <col min="9" max="9" width="10.6328125" style="206" customWidth="1"/>
    <col min="10" max="10" width="27.08984375" style="206" bestFit="1" customWidth="1"/>
    <col min="11" max="12" width="21.26953125" style="206" customWidth="1"/>
    <col min="13" max="13" width="15.1796875" style="206" customWidth="1"/>
    <col min="14" max="14" width="14.1796875" style="206" bestFit="1" customWidth="1"/>
    <col min="15" max="15" width="13.08984375" style="206" bestFit="1" customWidth="1"/>
    <col min="16" max="16" width="24.453125" style="206" bestFit="1" customWidth="1"/>
    <col min="17" max="16384" width="8.7265625" style="206"/>
  </cols>
  <sheetData>
    <row r="1" spans="1:16" ht="26.4">
      <c r="A1" s="344" t="s">
        <v>782</v>
      </c>
      <c r="B1" s="344"/>
      <c r="C1" s="344"/>
      <c r="D1" s="344"/>
      <c r="E1" s="205"/>
      <c r="F1" s="206" t="s">
        <v>762</v>
      </c>
    </row>
    <row r="2" spans="1:16" ht="33" customHeight="1">
      <c r="A2" s="207" t="s">
        <v>741</v>
      </c>
      <c r="B2" s="207" t="s">
        <v>742</v>
      </c>
      <c r="C2" s="208" t="s">
        <v>743</v>
      </c>
      <c r="D2" s="208" t="s">
        <v>744</v>
      </c>
      <c r="E2" s="217" t="s">
        <v>767</v>
      </c>
      <c r="F2" s="218" t="s">
        <v>764</v>
      </c>
      <c r="G2" s="219" t="s">
        <v>765</v>
      </c>
      <c r="H2" s="216" t="s">
        <v>766</v>
      </c>
      <c r="I2" s="218" t="s">
        <v>768</v>
      </c>
      <c r="J2" s="215" t="s">
        <v>769</v>
      </c>
      <c r="K2" s="216" t="s">
        <v>772</v>
      </c>
      <c r="L2" s="216" t="s">
        <v>773</v>
      </c>
      <c r="M2" s="216" t="s">
        <v>774</v>
      </c>
      <c r="N2" s="218" t="s">
        <v>764</v>
      </c>
      <c r="O2" s="214" t="s">
        <v>776</v>
      </c>
    </row>
    <row r="3" spans="1:16" ht="19.8">
      <c r="A3" s="338" t="s">
        <v>745</v>
      </c>
      <c r="B3" s="208" t="s">
        <v>746</v>
      </c>
      <c r="C3" s="239"/>
      <c r="D3" s="208">
        <v>1</v>
      </c>
      <c r="E3" s="211">
        <v>2620</v>
      </c>
      <c r="F3" s="220">
        <f>E3/48</f>
        <v>54.583333333333336</v>
      </c>
      <c r="G3" s="221">
        <v>55</v>
      </c>
      <c r="H3" s="214">
        <f>G3*100/110</f>
        <v>50</v>
      </c>
      <c r="I3" s="222">
        <f>G3-F3</f>
        <v>0.4166666666666643</v>
      </c>
      <c r="J3" s="214"/>
      <c r="K3" s="214"/>
      <c r="L3" s="214"/>
      <c r="M3" s="214"/>
      <c r="N3" s="214"/>
      <c r="O3" s="214"/>
    </row>
    <row r="4" spans="1:16" ht="19.8">
      <c r="A4" s="339"/>
      <c r="B4" s="208" t="s">
        <v>747</v>
      </c>
      <c r="C4" s="208"/>
      <c r="D4" s="208">
        <v>1</v>
      </c>
      <c r="E4" s="211">
        <v>3520</v>
      </c>
      <c r="F4" s="220">
        <f t="shared" ref="F4:F10" si="0">E4/48</f>
        <v>73.333333333333329</v>
      </c>
      <c r="G4" s="221">
        <v>77</v>
      </c>
      <c r="H4" s="214">
        <f t="shared" ref="H4:H22" si="1">G4*100/110</f>
        <v>70</v>
      </c>
      <c r="I4" s="222">
        <f t="shared" ref="I4:I20" si="2">G4-F4</f>
        <v>3.6666666666666714</v>
      </c>
      <c r="J4" s="214"/>
      <c r="K4" s="214"/>
      <c r="L4" s="214"/>
      <c r="M4" s="214"/>
      <c r="N4" s="214"/>
      <c r="O4" s="214"/>
    </row>
    <row r="5" spans="1:16" ht="19.8">
      <c r="A5" s="339"/>
      <c r="B5" s="208" t="s">
        <v>748</v>
      </c>
      <c r="C5" s="208"/>
      <c r="D5" s="208">
        <v>1</v>
      </c>
      <c r="E5" s="211">
        <v>4130</v>
      </c>
      <c r="F5" s="220">
        <f t="shared" si="0"/>
        <v>86.041666666666671</v>
      </c>
      <c r="G5" s="221">
        <v>110</v>
      </c>
      <c r="H5" s="214">
        <f t="shared" si="1"/>
        <v>100</v>
      </c>
      <c r="I5" s="222">
        <f t="shared" si="2"/>
        <v>23.958333333333329</v>
      </c>
      <c r="J5" s="214"/>
      <c r="K5" s="214"/>
      <c r="L5" s="214"/>
      <c r="M5" s="214"/>
      <c r="N5" s="214"/>
      <c r="O5" s="214"/>
    </row>
    <row r="6" spans="1:16" ht="19.8">
      <c r="A6" s="339"/>
      <c r="B6" s="208" t="s">
        <v>749</v>
      </c>
      <c r="C6" s="208"/>
      <c r="D6" s="208">
        <v>1</v>
      </c>
      <c r="E6" s="211">
        <v>11200</v>
      </c>
      <c r="F6" s="220">
        <f t="shared" si="0"/>
        <v>233.33333333333334</v>
      </c>
      <c r="G6" s="221">
        <v>220</v>
      </c>
      <c r="H6" s="214">
        <f t="shared" si="1"/>
        <v>200</v>
      </c>
      <c r="I6" s="222">
        <f t="shared" si="2"/>
        <v>-13.333333333333343</v>
      </c>
      <c r="J6" s="214"/>
      <c r="K6" s="214"/>
      <c r="L6" s="214"/>
      <c r="M6" s="214"/>
      <c r="N6" s="214"/>
      <c r="O6" s="214"/>
    </row>
    <row r="7" spans="1:16" ht="19.8">
      <c r="A7" s="339"/>
      <c r="B7" s="208" t="s">
        <v>750</v>
      </c>
      <c r="C7" s="212" t="s">
        <v>751</v>
      </c>
      <c r="D7" s="208">
        <v>1</v>
      </c>
      <c r="E7" s="211">
        <v>18500</v>
      </c>
      <c r="F7" s="220">
        <f t="shared" si="0"/>
        <v>385.41666666666669</v>
      </c>
      <c r="G7" s="221">
        <v>880</v>
      </c>
      <c r="H7" s="214">
        <f t="shared" si="1"/>
        <v>800</v>
      </c>
      <c r="I7" s="222">
        <f t="shared" si="2"/>
        <v>494.58333333333331</v>
      </c>
      <c r="J7" s="214" t="s">
        <v>770</v>
      </c>
      <c r="K7" s="214"/>
      <c r="L7" s="214"/>
      <c r="M7" s="214"/>
      <c r="N7" s="214"/>
      <c r="O7" s="214"/>
    </row>
    <row r="8" spans="1:16" ht="19.8">
      <c r="A8" s="339"/>
      <c r="B8" s="208" t="s">
        <v>750</v>
      </c>
      <c r="C8" s="212" t="s">
        <v>752</v>
      </c>
      <c r="D8" s="208">
        <v>1</v>
      </c>
      <c r="E8" s="211">
        <v>36000</v>
      </c>
      <c r="F8" s="220">
        <f t="shared" si="0"/>
        <v>750</v>
      </c>
      <c r="G8" s="221">
        <v>880</v>
      </c>
      <c r="H8" s="214">
        <f t="shared" si="1"/>
        <v>800</v>
      </c>
      <c r="I8" s="222">
        <f t="shared" si="2"/>
        <v>130</v>
      </c>
      <c r="J8" s="214" t="s">
        <v>770</v>
      </c>
      <c r="K8" s="214"/>
      <c r="L8" s="214"/>
      <c r="M8" s="214"/>
      <c r="N8" s="214"/>
      <c r="O8" s="214"/>
    </row>
    <row r="9" spans="1:16" ht="19.8">
      <c r="A9" s="339"/>
      <c r="B9" s="208" t="s">
        <v>753</v>
      </c>
      <c r="C9" s="212" t="s">
        <v>752</v>
      </c>
      <c r="D9" s="208">
        <v>1</v>
      </c>
      <c r="E9" s="211">
        <v>50600</v>
      </c>
      <c r="F9" s="220">
        <f t="shared" si="0"/>
        <v>1054.1666666666667</v>
      </c>
      <c r="G9" s="221">
        <v>1100</v>
      </c>
      <c r="H9" s="214">
        <f t="shared" si="1"/>
        <v>1000</v>
      </c>
      <c r="I9" s="222">
        <f t="shared" si="2"/>
        <v>45.833333333333258</v>
      </c>
      <c r="J9" s="214"/>
      <c r="K9" s="214"/>
      <c r="L9" s="214"/>
      <c r="M9" s="214"/>
      <c r="N9" s="214"/>
      <c r="O9" s="214"/>
    </row>
    <row r="10" spans="1:16" ht="20.399999999999999" thickBot="1">
      <c r="A10" s="345"/>
      <c r="B10" s="240" t="s">
        <v>754</v>
      </c>
      <c r="C10" s="241" t="s">
        <v>752</v>
      </c>
      <c r="D10" s="240">
        <v>1</v>
      </c>
      <c r="E10" s="242">
        <v>73800</v>
      </c>
      <c r="F10" s="243">
        <f t="shared" si="0"/>
        <v>1537.5</v>
      </c>
      <c r="G10" s="244">
        <v>1320</v>
      </c>
      <c r="H10" s="245">
        <f t="shared" si="1"/>
        <v>1200</v>
      </c>
      <c r="I10" s="246">
        <f t="shared" si="2"/>
        <v>-217.5</v>
      </c>
      <c r="J10" s="245"/>
      <c r="K10" s="245"/>
      <c r="L10" s="245"/>
      <c r="M10" s="245"/>
      <c r="N10" s="245"/>
      <c r="O10" s="245"/>
    </row>
    <row r="11" spans="1:16" ht="19.8">
      <c r="A11" s="339" t="s">
        <v>755</v>
      </c>
      <c r="B11" s="209" t="s">
        <v>750</v>
      </c>
      <c r="C11" s="234" t="s">
        <v>751</v>
      </c>
      <c r="D11" s="209">
        <v>1</v>
      </c>
      <c r="E11" s="210">
        <v>28800</v>
      </c>
      <c r="F11" s="235">
        <f>E11/48</f>
        <v>600</v>
      </c>
      <c r="G11" s="236">
        <v>880</v>
      </c>
      <c r="H11" s="237">
        <f t="shared" si="1"/>
        <v>800</v>
      </c>
      <c r="I11" s="238">
        <f t="shared" si="2"/>
        <v>280</v>
      </c>
      <c r="J11" s="237" t="s">
        <v>770</v>
      </c>
      <c r="K11" s="237"/>
      <c r="L11" s="237"/>
      <c r="M11" s="237"/>
      <c r="N11" s="237"/>
      <c r="O11" s="237"/>
    </row>
    <row r="12" spans="1:16" ht="19.8">
      <c r="A12" s="339"/>
      <c r="B12" s="208" t="s">
        <v>750</v>
      </c>
      <c r="C12" s="212" t="s">
        <v>752</v>
      </c>
      <c r="D12" s="208">
        <v>1</v>
      </c>
      <c r="E12" s="211">
        <v>49000</v>
      </c>
      <c r="F12" s="220">
        <f>E12/48</f>
        <v>1020.8333333333334</v>
      </c>
      <c r="G12" s="221">
        <v>880</v>
      </c>
      <c r="H12" s="214">
        <f t="shared" si="1"/>
        <v>800</v>
      </c>
      <c r="I12" s="222">
        <f t="shared" si="2"/>
        <v>-140.83333333333337</v>
      </c>
      <c r="J12" s="214" t="s">
        <v>770</v>
      </c>
      <c r="K12" s="214"/>
      <c r="L12" s="214"/>
      <c r="M12" s="214"/>
      <c r="N12" s="214"/>
      <c r="O12" s="214"/>
    </row>
    <row r="13" spans="1:16" ht="19.8">
      <c r="A13" s="339"/>
      <c r="B13" s="208" t="s">
        <v>753</v>
      </c>
      <c r="C13" s="212" t="s">
        <v>752</v>
      </c>
      <c r="D13" s="208">
        <v>1</v>
      </c>
      <c r="E13" s="211">
        <v>61500</v>
      </c>
      <c r="F13" s="221"/>
      <c r="G13" s="221"/>
      <c r="H13" s="214">
        <f t="shared" si="1"/>
        <v>0</v>
      </c>
      <c r="I13" s="222"/>
      <c r="J13" s="214"/>
      <c r="K13" s="214"/>
      <c r="L13" s="214"/>
      <c r="M13" s="214"/>
      <c r="N13" s="214"/>
      <c r="O13" s="214"/>
    </row>
    <row r="14" spans="1:16" ht="19.8">
      <c r="A14" s="340"/>
      <c r="B14" s="208" t="s">
        <v>754</v>
      </c>
      <c r="C14" s="212" t="s">
        <v>752</v>
      </c>
      <c r="D14" s="208">
        <v>1</v>
      </c>
      <c r="E14" s="211">
        <v>83800</v>
      </c>
      <c r="F14" s="221"/>
      <c r="G14" s="221"/>
      <c r="H14" s="214">
        <f t="shared" si="1"/>
        <v>0</v>
      </c>
      <c r="I14" s="222"/>
      <c r="J14" s="214"/>
      <c r="K14" s="214"/>
      <c r="L14" s="214"/>
      <c r="M14" s="214"/>
      <c r="N14" s="214"/>
      <c r="O14" s="214"/>
    </row>
    <row r="15" spans="1:16" ht="19.8">
      <c r="A15" s="338" t="s">
        <v>756</v>
      </c>
      <c r="B15" s="208" t="s">
        <v>746</v>
      </c>
      <c r="C15" s="212" t="s">
        <v>763</v>
      </c>
      <c r="D15" s="208">
        <v>1</v>
      </c>
      <c r="E15" s="211">
        <v>7740</v>
      </c>
      <c r="F15" s="220">
        <f>E15/48</f>
        <v>161.25</v>
      </c>
      <c r="G15" s="221">
        <v>55</v>
      </c>
      <c r="H15" s="214">
        <f t="shared" si="1"/>
        <v>50</v>
      </c>
      <c r="I15" s="222">
        <f t="shared" si="2"/>
        <v>-106.25</v>
      </c>
      <c r="J15" s="341" t="s">
        <v>771</v>
      </c>
      <c r="K15" s="223">
        <v>2090</v>
      </c>
      <c r="L15" s="223">
        <v>9900</v>
      </c>
      <c r="M15" s="224">
        <f>E15+K15+L15</f>
        <v>19730</v>
      </c>
      <c r="N15" s="225">
        <f>M15/48</f>
        <v>411.04166666666669</v>
      </c>
      <c r="O15" s="214">
        <v>418</v>
      </c>
      <c r="P15" s="206" t="s">
        <v>775</v>
      </c>
    </row>
    <row r="16" spans="1:16" ht="19.8">
      <c r="A16" s="339"/>
      <c r="B16" s="208" t="s">
        <v>747</v>
      </c>
      <c r="C16" s="212" t="s">
        <v>763</v>
      </c>
      <c r="D16" s="208">
        <v>1</v>
      </c>
      <c r="E16" s="211">
        <v>8240</v>
      </c>
      <c r="F16" s="220">
        <f t="shared" ref="F16:F19" si="3">E16/48</f>
        <v>171.66666666666666</v>
      </c>
      <c r="G16" s="221">
        <v>77</v>
      </c>
      <c r="H16" s="214">
        <f t="shared" si="1"/>
        <v>70</v>
      </c>
      <c r="I16" s="222">
        <f t="shared" si="2"/>
        <v>-94.666666666666657</v>
      </c>
      <c r="J16" s="342"/>
      <c r="K16" s="223">
        <v>2090</v>
      </c>
      <c r="L16" s="223">
        <v>9900</v>
      </c>
      <c r="M16" s="224">
        <f t="shared" ref="M16:M20" si="4">E16+K16+L16</f>
        <v>20230</v>
      </c>
      <c r="N16" s="225">
        <f t="shared" ref="N16:N17" si="5">M16/48</f>
        <v>421.45833333333331</v>
      </c>
      <c r="O16" s="214">
        <v>418</v>
      </c>
      <c r="P16" s="206" t="s">
        <v>777</v>
      </c>
    </row>
    <row r="17" spans="1:16" ht="19.8">
      <c r="A17" s="339"/>
      <c r="B17" s="208" t="s">
        <v>748</v>
      </c>
      <c r="C17" s="212" t="s">
        <v>763</v>
      </c>
      <c r="D17" s="208">
        <v>1</v>
      </c>
      <c r="E17" s="211">
        <v>9200</v>
      </c>
      <c r="F17" s="220">
        <f t="shared" si="3"/>
        <v>191.66666666666666</v>
      </c>
      <c r="G17" s="221">
        <v>110</v>
      </c>
      <c r="H17" s="214">
        <f t="shared" si="1"/>
        <v>100</v>
      </c>
      <c r="I17" s="222">
        <f t="shared" si="2"/>
        <v>-81.666666666666657</v>
      </c>
      <c r="J17" s="342"/>
      <c r="K17" s="223">
        <v>2090</v>
      </c>
      <c r="L17" s="223">
        <v>9900</v>
      </c>
      <c r="M17" s="224">
        <f t="shared" si="4"/>
        <v>21190</v>
      </c>
      <c r="N17" s="225">
        <f t="shared" si="5"/>
        <v>441.45833333333331</v>
      </c>
      <c r="O17" s="214">
        <v>451</v>
      </c>
      <c r="P17" s="206" t="s">
        <v>778</v>
      </c>
    </row>
    <row r="18" spans="1:16" ht="19.8">
      <c r="A18" s="339"/>
      <c r="B18" s="208" t="s">
        <v>749</v>
      </c>
      <c r="C18" s="212" t="s">
        <v>763</v>
      </c>
      <c r="D18" s="208">
        <v>1</v>
      </c>
      <c r="E18" s="211">
        <v>19000</v>
      </c>
      <c r="F18" s="220">
        <f t="shared" si="3"/>
        <v>395.83333333333331</v>
      </c>
      <c r="G18" s="221">
        <v>220</v>
      </c>
      <c r="H18" s="214">
        <f t="shared" si="1"/>
        <v>200</v>
      </c>
      <c r="I18" s="222">
        <f t="shared" si="2"/>
        <v>-175.83333333333331</v>
      </c>
      <c r="J18" s="343"/>
      <c r="K18" s="223">
        <v>2090</v>
      </c>
      <c r="L18" s="223">
        <v>9900</v>
      </c>
      <c r="M18" s="224">
        <f t="shared" si="4"/>
        <v>30990</v>
      </c>
      <c r="N18" s="225">
        <f>M18/48</f>
        <v>645.625</v>
      </c>
      <c r="O18" s="214">
        <v>649</v>
      </c>
      <c r="P18" s="206" t="s">
        <v>779</v>
      </c>
    </row>
    <row r="19" spans="1:16" ht="19.8">
      <c r="A19" s="339"/>
      <c r="B19" s="226" t="s">
        <v>750</v>
      </c>
      <c r="C19" s="227" t="s">
        <v>757</v>
      </c>
      <c r="D19" s="226">
        <v>1</v>
      </c>
      <c r="E19" s="228">
        <v>24300</v>
      </c>
      <c r="F19" s="229">
        <f t="shared" si="3"/>
        <v>506.25</v>
      </c>
      <c r="G19" s="230">
        <v>880</v>
      </c>
      <c r="H19" s="230">
        <f t="shared" si="1"/>
        <v>800</v>
      </c>
      <c r="I19" s="231">
        <f t="shared" si="2"/>
        <v>373.75</v>
      </c>
      <c r="J19" s="230"/>
      <c r="K19" s="232">
        <v>2090</v>
      </c>
      <c r="L19" s="232">
        <v>9900</v>
      </c>
      <c r="M19" s="233">
        <f t="shared" si="4"/>
        <v>36290</v>
      </c>
      <c r="N19" s="231">
        <f t="shared" ref="N19:N22" si="6">M19/48</f>
        <v>756.04166666666663</v>
      </c>
      <c r="O19" s="230">
        <v>924</v>
      </c>
    </row>
    <row r="20" spans="1:16" ht="19.8">
      <c r="A20" s="339"/>
      <c r="B20" s="226" t="s">
        <v>750</v>
      </c>
      <c r="C20" s="227" t="s">
        <v>758</v>
      </c>
      <c r="D20" s="226">
        <v>1</v>
      </c>
      <c r="E20" s="228">
        <v>40000</v>
      </c>
      <c r="F20" s="229">
        <f>E20/48</f>
        <v>833.33333333333337</v>
      </c>
      <c r="G20" s="230">
        <v>880</v>
      </c>
      <c r="H20" s="230">
        <f t="shared" si="1"/>
        <v>800</v>
      </c>
      <c r="I20" s="231">
        <f t="shared" si="2"/>
        <v>46.666666666666629</v>
      </c>
      <c r="J20" s="230"/>
      <c r="K20" s="232">
        <v>2090</v>
      </c>
      <c r="L20" s="232">
        <v>9900</v>
      </c>
      <c r="M20" s="233">
        <f t="shared" si="4"/>
        <v>51990</v>
      </c>
      <c r="N20" s="231">
        <f t="shared" si="6"/>
        <v>1083.125</v>
      </c>
      <c r="O20" s="230">
        <v>924</v>
      </c>
    </row>
    <row r="21" spans="1:16" ht="19.8">
      <c r="A21" s="339"/>
      <c r="B21" s="208" t="s">
        <v>753</v>
      </c>
      <c r="C21" s="212" t="s">
        <v>758</v>
      </c>
      <c r="D21" s="208">
        <v>1</v>
      </c>
      <c r="E21" s="211">
        <v>57000</v>
      </c>
      <c r="F21" s="220">
        <f t="shared" ref="F21:F22" si="7">E21/48</f>
        <v>1187.5</v>
      </c>
      <c r="G21" s="221">
        <v>1100</v>
      </c>
      <c r="H21" s="214">
        <f t="shared" si="1"/>
        <v>1000</v>
      </c>
      <c r="I21" s="222">
        <f t="shared" ref="I21:I22" si="8">G21-F21</f>
        <v>-87.5</v>
      </c>
      <c r="J21" s="214"/>
      <c r="K21" s="223">
        <v>2090</v>
      </c>
      <c r="L21" s="223">
        <v>9900</v>
      </c>
      <c r="M21" s="224">
        <f t="shared" ref="M21:M22" si="9">E21+K21+L21</f>
        <v>68990</v>
      </c>
      <c r="N21" s="225">
        <f t="shared" si="6"/>
        <v>1437.2916666666667</v>
      </c>
      <c r="O21" s="214">
        <v>1441</v>
      </c>
    </row>
    <row r="22" spans="1:16" ht="19.8">
      <c r="A22" s="340"/>
      <c r="B22" s="208" t="s">
        <v>754</v>
      </c>
      <c r="C22" s="212" t="s">
        <v>758</v>
      </c>
      <c r="D22" s="208">
        <v>1</v>
      </c>
      <c r="E22" s="211">
        <v>81800</v>
      </c>
      <c r="F22" s="220">
        <f t="shared" si="7"/>
        <v>1704.1666666666667</v>
      </c>
      <c r="G22" s="221">
        <v>1320</v>
      </c>
      <c r="H22" s="214">
        <f t="shared" si="1"/>
        <v>1200</v>
      </c>
      <c r="I22" s="222">
        <f t="shared" si="8"/>
        <v>-384.16666666666674</v>
      </c>
      <c r="J22" s="214"/>
      <c r="K22" s="223">
        <v>2090</v>
      </c>
      <c r="L22" s="223">
        <v>9900</v>
      </c>
      <c r="M22" s="224">
        <f t="shared" si="9"/>
        <v>93790</v>
      </c>
      <c r="N22" s="225">
        <f t="shared" si="6"/>
        <v>1953.9583333333333</v>
      </c>
      <c r="O22" s="214">
        <v>1958</v>
      </c>
    </row>
    <row r="23" spans="1:16" ht="19.8">
      <c r="A23" s="338" t="s">
        <v>759</v>
      </c>
      <c r="B23" s="208" t="s">
        <v>750</v>
      </c>
      <c r="C23" s="212" t="s">
        <v>760</v>
      </c>
      <c r="D23" s="208" t="s">
        <v>761</v>
      </c>
      <c r="E23" s="211">
        <v>53000</v>
      </c>
      <c r="F23" s="220">
        <f>E23/48</f>
        <v>1104.1666666666667</v>
      </c>
      <c r="G23" s="221"/>
      <c r="H23" s="214"/>
      <c r="I23" s="222"/>
      <c r="J23" s="214"/>
      <c r="K23" s="214"/>
      <c r="L23" s="214"/>
      <c r="M23" s="214"/>
      <c r="N23" s="214"/>
      <c r="O23" s="214"/>
    </row>
    <row r="24" spans="1:16" ht="19.8">
      <c r="A24" s="339"/>
      <c r="B24" s="208" t="s">
        <v>750</v>
      </c>
      <c r="C24" s="212" t="s">
        <v>752</v>
      </c>
      <c r="D24" s="208" t="s">
        <v>761</v>
      </c>
      <c r="E24" s="211">
        <v>71000</v>
      </c>
      <c r="F24" s="220">
        <f>E24/48</f>
        <v>1479.1666666666667</v>
      </c>
      <c r="G24" s="221"/>
      <c r="H24" s="214"/>
      <c r="I24" s="222"/>
      <c r="J24" s="214"/>
      <c r="K24" s="214"/>
      <c r="L24" s="214"/>
      <c r="M24" s="214"/>
      <c r="N24" s="214"/>
      <c r="O24" s="214"/>
    </row>
    <row r="25" spans="1:16" ht="19.8">
      <c r="A25" s="339"/>
      <c r="B25" s="208" t="s">
        <v>753</v>
      </c>
      <c r="C25" s="212" t="s">
        <v>752</v>
      </c>
      <c r="D25" s="208" t="s">
        <v>761</v>
      </c>
      <c r="E25" s="211">
        <v>81000</v>
      </c>
      <c r="F25" s="221"/>
      <c r="G25" s="221"/>
      <c r="H25" s="214"/>
      <c r="I25" s="222"/>
      <c r="J25" s="214"/>
      <c r="K25" s="214"/>
      <c r="L25" s="214"/>
      <c r="M25" s="214"/>
      <c r="N25" s="214"/>
      <c r="O25" s="214"/>
    </row>
    <row r="26" spans="1:16" ht="19.8">
      <c r="A26" s="340"/>
      <c r="B26" s="208" t="s">
        <v>754</v>
      </c>
      <c r="C26" s="212" t="s">
        <v>752</v>
      </c>
      <c r="D26" s="208" t="s">
        <v>761</v>
      </c>
      <c r="E26" s="211">
        <v>110000</v>
      </c>
      <c r="F26" s="221"/>
      <c r="G26" s="221"/>
      <c r="H26" s="214"/>
      <c r="I26" s="222"/>
      <c r="J26" s="214"/>
      <c r="K26" s="214"/>
      <c r="L26" s="214"/>
      <c r="M26" s="214"/>
      <c r="N26" s="214"/>
      <c r="O26" s="214"/>
    </row>
    <row r="30" spans="1:16" ht="19.8">
      <c r="B30" s="213"/>
    </row>
  </sheetData>
  <mergeCells count="6">
    <mergeCell ref="A23:A26"/>
    <mergeCell ref="J15:J18"/>
    <mergeCell ref="A1:D1"/>
    <mergeCell ref="A3:A10"/>
    <mergeCell ref="A11:A14"/>
    <mergeCell ref="A15:A22"/>
  </mergeCells>
  <phoneticPr fontId="4"/>
  <pageMargins left="0.7" right="0.7" top="0.75" bottom="0.75" header="0.3" footer="0.3"/>
  <pageSetup paperSize="9" scale="74"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A6D3C-39D0-4E0F-81FC-C0F10924A0E3}">
  <sheetPr>
    <pageSetUpPr fitToPage="1"/>
  </sheetPr>
  <dimension ref="A1:O30"/>
  <sheetViews>
    <sheetView topLeftCell="B1" zoomScale="70" zoomScaleNormal="70" workbookViewId="0">
      <selection activeCell="O15" sqref="O15"/>
    </sheetView>
  </sheetViews>
  <sheetFormatPr defaultRowHeight="18"/>
  <cols>
    <col min="1" max="1" width="10.6328125" style="206" customWidth="1"/>
    <col min="2" max="2" width="10.54296875" style="206" customWidth="1"/>
    <col min="3" max="3" width="41.7265625" style="206" bestFit="1" customWidth="1"/>
    <col min="4" max="4" width="6.7265625" style="206" bestFit="1" customWidth="1"/>
    <col min="5" max="5" width="14.453125" style="206" customWidth="1"/>
    <col min="6" max="6" width="13.1796875" style="206" bestFit="1" customWidth="1"/>
    <col min="7" max="7" width="13.6328125" style="206" customWidth="1"/>
    <col min="8" max="8" width="12.36328125" style="206" customWidth="1"/>
    <col min="9" max="9" width="10.6328125" style="206" customWidth="1"/>
    <col min="10" max="10" width="27.08984375" style="206" bestFit="1" customWidth="1"/>
    <col min="11" max="12" width="21.26953125" style="206" customWidth="1"/>
    <col min="13" max="13" width="15.1796875" style="206" customWidth="1"/>
    <col min="14" max="14" width="14.1796875" style="206" bestFit="1" customWidth="1"/>
    <col min="15" max="15" width="13.08984375" style="206" bestFit="1" customWidth="1"/>
    <col min="16" max="16" width="24.453125" style="206" bestFit="1" customWidth="1"/>
    <col min="17" max="16384" width="8.7265625" style="206"/>
  </cols>
  <sheetData>
    <row r="1" spans="1:15" ht="26.4">
      <c r="A1" s="344" t="s">
        <v>783</v>
      </c>
      <c r="B1" s="344"/>
      <c r="C1" s="344"/>
      <c r="D1" s="344"/>
      <c r="E1" s="205"/>
      <c r="F1" s="206" t="s">
        <v>762</v>
      </c>
    </row>
    <row r="2" spans="1:15" ht="33" customHeight="1">
      <c r="A2" s="207" t="s">
        <v>741</v>
      </c>
      <c r="B2" s="207" t="s">
        <v>742</v>
      </c>
      <c r="C2" s="208" t="s">
        <v>743</v>
      </c>
      <c r="D2" s="208" t="s">
        <v>744</v>
      </c>
      <c r="E2" s="217" t="s">
        <v>767</v>
      </c>
      <c r="F2" s="251" t="s">
        <v>784</v>
      </c>
      <c r="G2" s="219" t="s">
        <v>765</v>
      </c>
      <c r="H2" s="216" t="s">
        <v>766</v>
      </c>
      <c r="I2" s="218" t="s">
        <v>768</v>
      </c>
      <c r="J2" s="215" t="s">
        <v>769</v>
      </c>
      <c r="K2" s="216" t="s">
        <v>772</v>
      </c>
      <c r="L2" s="216" t="s">
        <v>773</v>
      </c>
      <c r="M2" s="216" t="s">
        <v>774</v>
      </c>
      <c r="N2" s="251" t="s">
        <v>784</v>
      </c>
      <c r="O2" s="214" t="s">
        <v>776</v>
      </c>
    </row>
    <row r="3" spans="1:15" ht="19.8">
      <c r="A3" s="338" t="s">
        <v>745</v>
      </c>
      <c r="B3" s="208" t="s">
        <v>746</v>
      </c>
      <c r="C3" s="239"/>
      <c r="D3" s="208">
        <v>1</v>
      </c>
      <c r="E3" s="211">
        <v>2620</v>
      </c>
      <c r="F3" s="220">
        <f>E3/96</f>
        <v>27.291666666666668</v>
      </c>
      <c r="G3" s="221">
        <v>55</v>
      </c>
      <c r="H3" s="214">
        <f>G3*100/110</f>
        <v>50</v>
      </c>
      <c r="I3" s="222">
        <f>G3-F3</f>
        <v>27.708333333333332</v>
      </c>
      <c r="J3" s="214"/>
      <c r="K3" s="214"/>
      <c r="L3" s="214"/>
      <c r="M3" s="214"/>
      <c r="N3" s="214"/>
      <c r="O3" s="214"/>
    </row>
    <row r="4" spans="1:15" ht="19.8">
      <c r="A4" s="339"/>
      <c r="B4" s="208" t="s">
        <v>747</v>
      </c>
      <c r="C4" s="208"/>
      <c r="D4" s="208">
        <v>1</v>
      </c>
      <c r="E4" s="211">
        <v>3520</v>
      </c>
      <c r="F4" s="220">
        <f t="shared" ref="F4:F10" si="0">E4/96</f>
        <v>36.666666666666664</v>
      </c>
      <c r="G4" s="221">
        <v>77</v>
      </c>
      <c r="H4" s="214">
        <f t="shared" ref="H4:H22" si="1">G4*100/110</f>
        <v>70</v>
      </c>
      <c r="I4" s="222">
        <f t="shared" ref="I4:I22" si="2">G4-F4</f>
        <v>40.333333333333336</v>
      </c>
      <c r="J4" s="214"/>
      <c r="K4" s="214"/>
      <c r="L4" s="214"/>
      <c r="M4" s="214"/>
      <c r="N4" s="214"/>
      <c r="O4" s="214"/>
    </row>
    <row r="5" spans="1:15" ht="19.8">
      <c r="A5" s="339"/>
      <c r="B5" s="208" t="s">
        <v>748</v>
      </c>
      <c r="C5" s="208"/>
      <c r="D5" s="208">
        <v>1</v>
      </c>
      <c r="E5" s="211">
        <v>4130</v>
      </c>
      <c r="F5" s="220">
        <f t="shared" si="0"/>
        <v>43.020833333333336</v>
      </c>
      <c r="G5" s="221">
        <v>110</v>
      </c>
      <c r="H5" s="214">
        <f t="shared" si="1"/>
        <v>100</v>
      </c>
      <c r="I5" s="222">
        <f t="shared" si="2"/>
        <v>66.979166666666657</v>
      </c>
      <c r="J5" s="214"/>
      <c r="K5" s="214"/>
      <c r="L5" s="214"/>
      <c r="M5" s="214"/>
      <c r="N5" s="214"/>
      <c r="O5" s="214"/>
    </row>
    <row r="6" spans="1:15" ht="19.8">
      <c r="A6" s="339"/>
      <c r="B6" s="208" t="s">
        <v>749</v>
      </c>
      <c r="C6" s="208"/>
      <c r="D6" s="208">
        <v>1</v>
      </c>
      <c r="E6" s="211">
        <v>11200</v>
      </c>
      <c r="F6" s="220">
        <f t="shared" si="0"/>
        <v>116.66666666666667</v>
      </c>
      <c r="G6" s="221">
        <v>220</v>
      </c>
      <c r="H6" s="214">
        <f t="shared" si="1"/>
        <v>200</v>
      </c>
      <c r="I6" s="222">
        <f t="shared" si="2"/>
        <v>103.33333333333333</v>
      </c>
      <c r="J6" s="214"/>
      <c r="K6" s="214"/>
      <c r="L6" s="214"/>
      <c r="M6" s="214"/>
      <c r="N6" s="214"/>
      <c r="O6" s="214"/>
    </row>
    <row r="7" spans="1:15" ht="19.8">
      <c r="A7" s="339"/>
      <c r="B7" s="208" t="s">
        <v>750</v>
      </c>
      <c r="C7" s="212" t="s">
        <v>751</v>
      </c>
      <c r="D7" s="208">
        <v>1</v>
      </c>
      <c r="E7" s="211">
        <v>18500</v>
      </c>
      <c r="F7" s="220">
        <f t="shared" si="0"/>
        <v>192.70833333333334</v>
      </c>
      <c r="G7" s="221">
        <v>880</v>
      </c>
      <c r="H7" s="214">
        <f t="shared" si="1"/>
        <v>800</v>
      </c>
      <c r="I7" s="222">
        <f t="shared" si="2"/>
        <v>687.29166666666663</v>
      </c>
      <c r="J7" s="214" t="s">
        <v>770</v>
      </c>
      <c r="K7" s="214"/>
      <c r="L7" s="214"/>
      <c r="M7" s="214"/>
      <c r="N7" s="214"/>
      <c r="O7" s="214"/>
    </row>
    <row r="8" spans="1:15" ht="19.8">
      <c r="A8" s="339"/>
      <c r="B8" s="208" t="s">
        <v>750</v>
      </c>
      <c r="C8" s="212" t="s">
        <v>752</v>
      </c>
      <c r="D8" s="208">
        <v>1</v>
      </c>
      <c r="E8" s="211">
        <v>36000</v>
      </c>
      <c r="F8" s="220">
        <f t="shared" si="0"/>
        <v>375</v>
      </c>
      <c r="G8" s="221">
        <v>880</v>
      </c>
      <c r="H8" s="214">
        <f t="shared" si="1"/>
        <v>800</v>
      </c>
      <c r="I8" s="222">
        <f t="shared" si="2"/>
        <v>505</v>
      </c>
      <c r="J8" s="214" t="s">
        <v>770</v>
      </c>
      <c r="K8" s="214"/>
      <c r="L8" s="214"/>
      <c r="M8" s="214"/>
      <c r="N8" s="214"/>
      <c r="O8" s="214"/>
    </row>
    <row r="9" spans="1:15" ht="19.8">
      <c r="A9" s="339"/>
      <c r="B9" s="208" t="s">
        <v>753</v>
      </c>
      <c r="C9" s="212" t="s">
        <v>752</v>
      </c>
      <c r="D9" s="208">
        <v>1</v>
      </c>
      <c r="E9" s="211">
        <v>50600</v>
      </c>
      <c r="F9" s="220">
        <f t="shared" si="0"/>
        <v>527.08333333333337</v>
      </c>
      <c r="G9" s="221">
        <v>1100</v>
      </c>
      <c r="H9" s="214">
        <f t="shared" si="1"/>
        <v>1000</v>
      </c>
      <c r="I9" s="222">
        <f t="shared" si="2"/>
        <v>572.91666666666663</v>
      </c>
      <c r="J9" s="214"/>
      <c r="K9" s="214"/>
      <c r="L9" s="214"/>
      <c r="M9" s="214"/>
      <c r="N9" s="214"/>
      <c r="O9" s="214"/>
    </row>
    <row r="10" spans="1:15" ht="20.399999999999999" thickBot="1">
      <c r="A10" s="345"/>
      <c r="B10" s="240" t="s">
        <v>754</v>
      </c>
      <c r="C10" s="241" t="s">
        <v>752</v>
      </c>
      <c r="D10" s="240">
        <v>1</v>
      </c>
      <c r="E10" s="242">
        <v>73800</v>
      </c>
      <c r="F10" s="243">
        <f t="shared" si="0"/>
        <v>768.75</v>
      </c>
      <c r="G10" s="244">
        <v>1320</v>
      </c>
      <c r="H10" s="245">
        <f t="shared" si="1"/>
        <v>1200</v>
      </c>
      <c r="I10" s="246">
        <f t="shared" si="2"/>
        <v>551.25</v>
      </c>
      <c r="J10" s="245"/>
      <c r="K10" s="245"/>
      <c r="L10" s="245"/>
      <c r="M10" s="245"/>
      <c r="N10" s="245"/>
      <c r="O10" s="245"/>
    </row>
    <row r="11" spans="1:15" ht="19.8">
      <c r="A11" s="339" t="s">
        <v>755</v>
      </c>
      <c r="B11" s="209" t="s">
        <v>750</v>
      </c>
      <c r="C11" s="234" t="s">
        <v>751</v>
      </c>
      <c r="D11" s="209">
        <v>1</v>
      </c>
      <c r="E11" s="210">
        <v>28800</v>
      </c>
      <c r="F11" s="235">
        <f>E11/96</f>
        <v>300</v>
      </c>
      <c r="G11" s="236">
        <v>880</v>
      </c>
      <c r="H11" s="237">
        <f t="shared" si="1"/>
        <v>800</v>
      </c>
      <c r="I11" s="238">
        <f t="shared" si="2"/>
        <v>580</v>
      </c>
      <c r="J11" s="237" t="s">
        <v>770</v>
      </c>
      <c r="K11" s="237"/>
      <c r="L11" s="237"/>
      <c r="M11" s="237"/>
      <c r="N11" s="237"/>
      <c r="O11" s="237"/>
    </row>
    <row r="12" spans="1:15" ht="19.8">
      <c r="A12" s="339"/>
      <c r="B12" s="208" t="s">
        <v>750</v>
      </c>
      <c r="C12" s="212" t="s">
        <v>752</v>
      </c>
      <c r="D12" s="208">
        <v>1</v>
      </c>
      <c r="E12" s="211">
        <v>49000</v>
      </c>
      <c r="F12" s="220">
        <f>E12/96</f>
        <v>510.41666666666669</v>
      </c>
      <c r="G12" s="221">
        <v>880</v>
      </c>
      <c r="H12" s="214">
        <f t="shared" si="1"/>
        <v>800</v>
      </c>
      <c r="I12" s="222">
        <f t="shared" si="2"/>
        <v>369.58333333333331</v>
      </c>
      <c r="J12" s="214" t="s">
        <v>770</v>
      </c>
      <c r="K12" s="214"/>
      <c r="L12" s="214"/>
      <c r="M12" s="214"/>
      <c r="N12" s="214"/>
      <c r="O12" s="214"/>
    </row>
    <row r="13" spans="1:15" ht="19.8">
      <c r="A13" s="339"/>
      <c r="B13" s="208" t="s">
        <v>753</v>
      </c>
      <c r="C13" s="212" t="s">
        <v>752</v>
      </c>
      <c r="D13" s="208">
        <v>1</v>
      </c>
      <c r="E13" s="211">
        <v>61500</v>
      </c>
      <c r="F13" s="221"/>
      <c r="G13" s="221"/>
      <c r="H13" s="214">
        <f t="shared" si="1"/>
        <v>0</v>
      </c>
      <c r="I13" s="222"/>
      <c r="J13" s="214"/>
      <c r="K13" s="214"/>
      <c r="L13" s="214"/>
      <c r="M13" s="214"/>
      <c r="N13" s="214"/>
      <c r="O13" s="214"/>
    </row>
    <row r="14" spans="1:15" ht="19.8">
      <c r="A14" s="340"/>
      <c r="B14" s="208" t="s">
        <v>754</v>
      </c>
      <c r="C14" s="212" t="s">
        <v>752</v>
      </c>
      <c r="D14" s="208">
        <v>1</v>
      </c>
      <c r="E14" s="211">
        <v>83800</v>
      </c>
      <c r="F14" s="221"/>
      <c r="G14" s="221"/>
      <c r="H14" s="214">
        <f t="shared" si="1"/>
        <v>0</v>
      </c>
      <c r="I14" s="222"/>
      <c r="J14" s="214"/>
      <c r="K14" s="214"/>
      <c r="L14" s="214"/>
      <c r="M14" s="214"/>
      <c r="N14" s="214"/>
      <c r="O14" s="214"/>
    </row>
    <row r="15" spans="1:15" ht="19.8">
      <c r="A15" s="338" t="s">
        <v>756</v>
      </c>
      <c r="B15" s="208" t="s">
        <v>746</v>
      </c>
      <c r="C15" s="212" t="s">
        <v>763</v>
      </c>
      <c r="D15" s="208">
        <v>1</v>
      </c>
      <c r="E15" s="211">
        <v>7740</v>
      </c>
      <c r="F15" s="220">
        <f t="shared" ref="F15:F24" si="3">E15/96</f>
        <v>80.625</v>
      </c>
      <c r="G15" s="221">
        <v>55</v>
      </c>
      <c r="H15" s="214">
        <f t="shared" si="1"/>
        <v>50</v>
      </c>
      <c r="I15" s="222">
        <f t="shared" si="2"/>
        <v>-25.625</v>
      </c>
      <c r="J15" s="341" t="s">
        <v>771</v>
      </c>
      <c r="K15" s="223">
        <v>2090</v>
      </c>
      <c r="L15" s="223">
        <v>9900</v>
      </c>
      <c r="M15" s="224">
        <f>E15+K15+L15</f>
        <v>19730</v>
      </c>
      <c r="N15" s="225">
        <f t="shared" ref="N15:N22" si="4">M15/96</f>
        <v>205.52083333333334</v>
      </c>
      <c r="O15" s="214">
        <v>209</v>
      </c>
    </row>
    <row r="16" spans="1:15" ht="19.8">
      <c r="A16" s="339"/>
      <c r="B16" s="208" t="s">
        <v>747</v>
      </c>
      <c r="C16" s="212" t="s">
        <v>763</v>
      </c>
      <c r="D16" s="208">
        <v>1</v>
      </c>
      <c r="E16" s="211">
        <v>8240</v>
      </c>
      <c r="F16" s="220">
        <f t="shared" si="3"/>
        <v>85.833333333333329</v>
      </c>
      <c r="G16" s="221">
        <v>77</v>
      </c>
      <c r="H16" s="214">
        <f t="shared" si="1"/>
        <v>70</v>
      </c>
      <c r="I16" s="222">
        <f t="shared" si="2"/>
        <v>-8.8333333333333286</v>
      </c>
      <c r="J16" s="342"/>
      <c r="K16" s="223">
        <v>2090</v>
      </c>
      <c r="L16" s="223">
        <v>9900</v>
      </c>
      <c r="M16" s="224">
        <f t="shared" ref="M16:M22" si="5">E16+K16+L16</f>
        <v>20230</v>
      </c>
      <c r="N16" s="225">
        <f t="shared" si="4"/>
        <v>210.72916666666666</v>
      </c>
      <c r="O16" s="214">
        <v>209</v>
      </c>
    </row>
    <row r="17" spans="1:15" ht="19.8">
      <c r="A17" s="339"/>
      <c r="B17" s="208" t="s">
        <v>748</v>
      </c>
      <c r="C17" s="212" t="s">
        <v>763</v>
      </c>
      <c r="D17" s="208">
        <v>1</v>
      </c>
      <c r="E17" s="211">
        <v>9200</v>
      </c>
      <c r="F17" s="220">
        <f t="shared" si="3"/>
        <v>95.833333333333329</v>
      </c>
      <c r="G17" s="221">
        <v>110</v>
      </c>
      <c r="H17" s="214">
        <f t="shared" si="1"/>
        <v>100</v>
      </c>
      <c r="I17" s="222">
        <f t="shared" si="2"/>
        <v>14.166666666666671</v>
      </c>
      <c r="J17" s="342"/>
      <c r="K17" s="223">
        <v>2090</v>
      </c>
      <c r="L17" s="223">
        <v>9900</v>
      </c>
      <c r="M17" s="224">
        <f t="shared" si="5"/>
        <v>21190</v>
      </c>
      <c r="N17" s="225">
        <f t="shared" si="4"/>
        <v>220.72916666666666</v>
      </c>
      <c r="O17" s="214">
        <v>231</v>
      </c>
    </row>
    <row r="18" spans="1:15" ht="19.8">
      <c r="A18" s="339"/>
      <c r="B18" s="208" t="s">
        <v>749</v>
      </c>
      <c r="C18" s="212" t="s">
        <v>763</v>
      </c>
      <c r="D18" s="208">
        <v>1</v>
      </c>
      <c r="E18" s="211">
        <v>19000</v>
      </c>
      <c r="F18" s="220">
        <f t="shared" si="3"/>
        <v>197.91666666666666</v>
      </c>
      <c r="G18" s="221">
        <v>220</v>
      </c>
      <c r="H18" s="214">
        <f t="shared" si="1"/>
        <v>200</v>
      </c>
      <c r="I18" s="222">
        <f t="shared" si="2"/>
        <v>22.083333333333343</v>
      </c>
      <c r="J18" s="343"/>
      <c r="K18" s="223">
        <v>2090</v>
      </c>
      <c r="L18" s="223">
        <v>9900</v>
      </c>
      <c r="M18" s="224">
        <f t="shared" si="5"/>
        <v>30990</v>
      </c>
      <c r="N18" s="225">
        <f t="shared" si="4"/>
        <v>322.8125</v>
      </c>
      <c r="O18" s="214">
        <v>330</v>
      </c>
    </row>
    <row r="19" spans="1:15" ht="19.8">
      <c r="A19" s="339"/>
      <c r="B19" s="226" t="s">
        <v>750</v>
      </c>
      <c r="C19" s="227" t="s">
        <v>757</v>
      </c>
      <c r="D19" s="226">
        <v>1</v>
      </c>
      <c r="E19" s="228">
        <v>24300</v>
      </c>
      <c r="F19" s="229">
        <f t="shared" si="3"/>
        <v>253.125</v>
      </c>
      <c r="G19" s="230">
        <v>880</v>
      </c>
      <c r="H19" s="230">
        <f t="shared" si="1"/>
        <v>800</v>
      </c>
      <c r="I19" s="231">
        <f t="shared" si="2"/>
        <v>626.875</v>
      </c>
      <c r="J19" s="230"/>
      <c r="K19" s="232">
        <v>2090</v>
      </c>
      <c r="L19" s="232">
        <v>9900</v>
      </c>
      <c r="M19" s="233">
        <f t="shared" si="5"/>
        <v>36290</v>
      </c>
      <c r="N19" s="231">
        <f t="shared" si="4"/>
        <v>378.02083333333331</v>
      </c>
      <c r="O19" s="230">
        <v>451</v>
      </c>
    </row>
    <row r="20" spans="1:15" ht="19.8">
      <c r="A20" s="339"/>
      <c r="B20" s="226" t="s">
        <v>750</v>
      </c>
      <c r="C20" s="227" t="s">
        <v>758</v>
      </c>
      <c r="D20" s="226">
        <v>1</v>
      </c>
      <c r="E20" s="228">
        <v>40000</v>
      </c>
      <c r="F20" s="229">
        <f t="shared" si="3"/>
        <v>416.66666666666669</v>
      </c>
      <c r="G20" s="230">
        <v>880</v>
      </c>
      <c r="H20" s="230">
        <f t="shared" si="1"/>
        <v>800</v>
      </c>
      <c r="I20" s="231">
        <f t="shared" si="2"/>
        <v>463.33333333333331</v>
      </c>
      <c r="J20" s="230"/>
      <c r="K20" s="232">
        <v>2090</v>
      </c>
      <c r="L20" s="232">
        <v>9900</v>
      </c>
      <c r="M20" s="233">
        <f t="shared" si="5"/>
        <v>51990</v>
      </c>
      <c r="N20" s="231">
        <f t="shared" si="4"/>
        <v>541.5625</v>
      </c>
      <c r="O20" s="230">
        <v>451</v>
      </c>
    </row>
    <row r="21" spans="1:15" ht="19.8">
      <c r="A21" s="339"/>
      <c r="B21" s="208" t="s">
        <v>753</v>
      </c>
      <c r="C21" s="212" t="s">
        <v>758</v>
      </c>
      <c r="D21" s="208">
        <v>1</v>
      </c>
      <c r="E21" s="211">
        <v>57000</v>
      </c>
      <c r="F21" s="220">
        <f t="shared" si="3"/>
        <v>593.75</v>
      </c>
      <c r="G21" s="221">
        <v>1100</v>
      </c>
      <c r="H21" s="214">
        <f t="shared" si="1"/>
        <v>1000</v>
      </c>
      <c r="I21" s="222">
        <f t="shared" si="2"/>
        <v>506.25</v>
      </c>
      <c r="J21" s="214"/>
      <c r="K21" s="223">
        <v>2090</v>
      </c>
      <c r="L21" s="223">
        <v>9900</v>
      </c>
      <c r="M21" s="224">
        <f t="shared" si="5"/>
        <v>68990</v>
      </c>
      <c r="N21" s="225">
        <f t="shared" si="4"/>
        <v>718.64583333333337</v>
      </c>
      <c r="O21" s="214">
        <v>726</v>
      </c>
    </row>
    <row r="22" spans="1:15" ht="19.8">
      <c r="A22" s="340"/>
      <c r="B22" s="208" t="s">
        <v>754</v>
      </c>
      <c r="C22" s="212" t="s">
        <v>758</v>
      </c>
      <c r="D22" s="208">
        <v>1</v>
      </c>
      <c r="E22" s="211">
        <v>81800</v>
      </c>
      <c r="F22" s="220">
        <f t="shared" si="3"/>
        <v>852.08333333333337</v>
      </c>
      <c r="G22" s="221">
        <v>1320</v>
      </c>
      <c r="H22" s="214">
        <f t="shared" si="1"/>
        <v>1200</v>
      </c>
      <c r="I22" s="222">
        <f t="shared" si="2"/>
        <v>467.91666666666663</v>
      </c>
      <c r="J22" s="214"/>
      <c r="K22" s="223">
        <v>2090</v>
      </c>
      <c r="L22" s="223">
        <v>9900</v>
      </c>
      <c r="M22" s="224">
        <f t="shared" si="5"/>
        <v>93790</v>
      </c>
      <c r="N22" s="225">
        <f t="shared" si="4"/>
        <v>976.97916666666663</v>
      </c>
      <c r="O22" s="214">
        <v>979</v>
      </c>
    </row>
    <row r="23" spans="1:15" ht="19.8">
      <c r="A23" s="338" t="s">
        <v>759</v>
      </c>
      <c r="B23" s="208" t="s">
        <v>750</v>
      </c>
      <c r="C23" s="212" t="s">
        <v>760</v>
      </c>
      <c r="D23" s="208" t="s">
        <v>761</v>
      </c>
      <c r="E23" s="211">
        <v>53000</v>
      </c>
      <c r="F23" s="220">
        <f t="shared" si="3"/>
        <v>552.08333333333337</v>
      </c>
      <c r="G23" s="221"/>
      <c r="H23" s="214"/>
      <c r="I23" s="222"/>
      <c r="J23" s="214"/>
      <c r="K23" s="214"/>
      <c r="L23" s="214"/>
      <c r="M23" s="214"/>
      <c r="N23" s="214"/>
      <c r="O23" s="214"/>
    </row>
    <row r="24" spans="1:15" ht="19.8">
      <c r="A24" s="339"/>
      <c r="B24" s="208" t="s">
        <v>750</v>
      </c>
      <c r="C24" s="212" t="s">
        <v>752</v>
      </c>
      <c r="D24" s="208" t="s">
        <v>761</v>
      </c>
      <c r="E24" s="211">
        <v>71000</v>
      </c>
      <c r="F24" s="220">
        <f t="shared" si="3"/>
        <v>739.58333333333337</v>
      </c>
      <c r="G24" s="221"/>
      <c r="H24" s="214"/>
      <c r="I24" s="222"/>
      <c r="J24" s="214"/>
      <c r="K24" s="214"/>
      <c r="L24" s="214"/>
      <c r="M24" s="214"/>
      <c r="N24" s="214"/>
      <c r="O24" s="214"/>
    </row>
    <row r="25" spans="1:15" ht="19.8">
      <c r="A25" s="339"/>
      <c r="B25" s="208" t="s">
        <v>753</v>
      </c>
      <c r="C25" s="212" t="s">
        <v>752</v>
      </c>
      <c r="D25" s="208" t="s">
        <v>761</v>
      </c>
      <c r="E25" s="211">
        <v>81000</v>
      </c>
      <c r="F25" s="221"/>
      <c r="G25" s="221"/>
      <c r="H25" s="214"/>
      <c r="I25" s="222"/>
      <c r="J25" s="214"/>
      <c r="K25" s="214"/>
      <c r="L25" s="214"/>
      <c r="M25" s="214"/>
      <c r="N25" s="214"/>
      <c r="O25" s="214"/>
    </row>
    <row r="26" spans="1:15" ht="19.8">
      <c r="A26" s="340"/>
      <c r="B26" s="208" t="s">
        <v>754</v>
      </c>
      <c r="C26" s="212" t="s">
        <v>752</v>
      </c>
      <c r="D26" s="208" t="s">
        <v>761</v>
      </c>
      <c r="E26" s="211">
        <v>110000</v>
      </c>
      <c r="F26" s="221"/>
      <c r="G26" s="221"/>
      <c r="H26" s="214"/>
      <c r="I26" s="222"/>
      <c r="J26" s="214"/>
      <c r="K26" s="214"/>
      <c r="L26" s="214"/>
      <c r="M26" s="214"/>
      <c r="N26" s="214"/>
      <c r="O26" s="214"/>
    </row>
    <row r="30" spans="1:15" ht="19.8">
      <c r="B30" s="213"/>
    </row>
  </sheetData>
  <mergeCells count="6">
    <mergeCell ref="J15:J18"/>
    <mergeCell ref="A23:A26"/>
    <mergeCell ref="A1:D1"/>
    <mergeCell ref="A3:A10"/>
    <mergeCell ref="A11:A14"/>
    <mergeCell ref="A15:A22"/>
  </mergeCells>
  <phoneticPr fontId="4"/>
  <pageMargins left="0.7" right="0.7" top="0.75" bottom="0.75" header="0.3" footer="0.3"/>
  <pageSetup paperSize="9" scale="74"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40E71-560C-41EE-8788-E77128A290F3}">
  <sheetPr>
    <tabColor rgb="FFFF0000"/>
    <pageSetUpPr fitToPage="1"/>
  </sheetPr>
  <dimension ref="B3:H9"/>
  <sheetViews>
    <sheetView showGridLines="0" zoomScale="130" zoomScaleNormal="130" workbookViewId="0">
      <selection activeCell="B3" sqref="B3"/>
    </sheetView>
  </sheetViews>
  <sheetFormatPr defaultRowHeight="14.4"/>
  <cols>
    <col min="1" max="1" width="3.08984375" customWidth="1"/>
  </cols>
  <sheetData>
    <row r="3" spans="2:8">
      <c r="B3" t="s">
        <v>180</v>
      </c>
    </row>
    <row r="4" spans="2:8">
      <c r="B4" t="s">
        <v>707</v>
      </c>
    </row>
    <row r="5" spans="2:8">
      <c r="B5" t="s">
        <v>701</v>
      </c>
    </row>
    <row r="7" spans="2:8" ht="15" thickBot="1">
      <c r="B7" s="62"/>
      <c r="C7" s="41" t="s">
        <v>702</v>
      </c>
      <c r="D7" s="41" t="s">
        <v>703</v>
      </c>
      <c r="E7" s="41" t="s">
        <v>704</v>
      </c>
      <c r="F7" s="41" t="s">
        <v>705</v>
      </c>
      <c r="G7" s="41" t="s">
        <v>706</v>
      </c>
    </row>
    <row r="8" spans="2:8">
      <c r="B8" s="62" t="s">
        <v>179</v>
      </c>
      <c r="C8" s="36">
        <v>100.2</v>
      </c>
      <c r="D8" s="36">
        <v>100</v>
      </c>
      <c r="E8" s="36">
        <v>99.8</v>
      </c>
      <c r="F8" s="38">
        <v>102.1</v>
      </c>
      <c r="G8" s="38">
        <v>105.2</v>
      </c>
      <c r="H8" s="174" t="s">
        <v>181</v>
      </c>
    </row>
    <row r="9" spans="2:8" ht="15" thickBot="1">
      <c r="B9" s="41" t="s">
        <v>178</v>
      </c>
      <c r="C9" s="37">
        <v>6.0000000000000001E-3</v>
      </c>
      <c r="D9" s="37">
        <v>-2E-3</v>
      </c>
      <c r="E9" s="37">
        <v>-2E-3</v>
      </c>
      <c r="F9" s="37">
        <v>2.3E-2</v>
      </c>
      <c r="G9" s="37">
        <v>3.1E-2</v>
      </c>
      <c r="H9" s="175">
        <v>1.0999999999999999E-2</v>
      </c>
    </row>
  </sheetData>
  <customSheetViews>
    <customSheetView guid="{B05628F6-030D-4851-8E75-96DF5849F39A}" scale="130" showGridLines="0" fitToPage="1">
      <selection activeCell="I5" sqref="I5"/>
      <pageMargins left="0.70866141732283472" right="0.70866141732283472" top="0.74803149606299213" bottom="0.74803149606299213" header="0.31496062992125984" footer="0.31496062992125984"/>
      <pageSetup paperSize="9" orientation="portrait" horizontalDpi="0" verticalDpi="0" r:id="rId1"/>
      <headerFooter>
        <oddHeader>&amp;A</oddHeader>
        <oddFooter>&amp;P / &amp;N ページ</oddFooter>
      </headerFooter>
    </customSheetView>
    <customSheetView guid="{1F923BC6-4AD1-4F20-A481-D76BE7901A2A}" scale="130" showGridLines="0" fitToPage="1">
      <selection activeCell="I5" sqref="I5"/>
      <pageMargins left="0.70866141732283472" right="0.70866141732283472" top="0.74803149606299213" bottom="0.74803149606299213" header="0.31496062992125984" footer="0.31496062992125984"/>
      <pageSetup paperSize="9" orientation="portrait" horizontalDpi="0" verticalDpi="0" r:id="rId2"/>
      <headerFooter>
        <oddHeader>&amp;A</oddHeader>
        <oddFooter>&amp;P / &amp;N ページ</oddFooter>
      </headerFooter>
    </customSheetView>
  </customSheetViews>
  <phoneticPr fontId="4"/>
  <pageMargins left="0.70866141732283472" right="0.70866141732283472" top="0.74803149606299213" bottom="0.74803149606299213" header="0.31496062992125984" footer="0.31496062992125984"/>
  <pageSetup paperSize="9" orientation="portrait" verticalDpi="0" r:id="rId3"/>
  <headerFooter>
    <oddHeader>&amp;A</oddHeader>
    <oddFooter>&amp;P / &amp;N ページ</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F263E-C44D-4257-8A24-EAE7A2BDF667}">
  <sheetPr>
    <tabColor rgb="FFFF0000"/>
    <pageSetUpPr fitToPage="1"/>
  </sheetPr>
  <dimension ref="B2:BB160"/>
  <sheetViews>
    <sheetView showGridLines="0" view="pageBreakPreview" zoomScale="115" zoomScaleNormal="100" zoomScaleSheetLayoutView="115" workbookViewId="0">
      <pane xSplit="3" ySplit="7" topLeftCell="D8" activePane="bottomRight" state="frozen"/>
      <selection activeCell="I5" sqref="I5"/>
      <selection pane="topRight" activeCell="I5" sqref="I5"/>
      <selection pane="bottomLeft" activeCell="I5" sqref="I5"/>
      <selection pane="bottomRight" activeCell="F13" sqref="F13"/>
    </sheetView>
  </sheetViews>
  <sheetFormatPr defaultRowHeight="14.4"/>
  <cols>
    <col min="1" max="1" width="2.453125" customWidth="1"/>
    <col min="3" max="3" width="11.453125" bestFit="1" customWidth="1"/>
    <col min="4" max="4" width="11.453125" customWidth="1"/>
    <col min="5" max="54" width="10.08984375" customWidth="1"/>
  </cols>
  <sheetData>
    <row r="2" spans="2:54">
      <c r="B2" s="62" t="s">
        <v>584</v>
      </c>
      <c r="C2" s="156">
        <v>40</v>
      </c>
      <c r="D2" s="62" t="s">
        <v>582</v>
      </c>
      <c r="E2" s="64">
        <f>SUMIF($D$8:$D$157,$D2,E$8:E$157)</f>
        <v>0</v>
      </c>
      <c r="F2" s="64">
        <f t="shared" ref="F2:BB3" si="0">SUMIF($D$8:$D$157,$D2,F$8:F$157)</f>
        <v>3894452</v>
      </c>
      <c r="G2" s="64">
        <f t="shared" si="0"/>
        <v>7271292</v>
      </c>
      <c r="H2" s="64">
        <f t="shared" si="0"/>
        <v>14692392</v>
      </c>
      <c r="I2" s="64">
        <f t="shared" si="0"/>
        <v>21513284</v>
      </c>
      <c r="J2" s="64">
        <f t="shared" si="0"/>
        <v>28234419</v>
      </c>
      <c r="K2" s="64">
        <f t="shared" si="0"/>
        <v>32666714</v>
      </c>
      <c r="L2" s="64">
        <f t="shared" si="0"/>
        <v>37192087</v>
      </c>
      <c r="M2" s="64">
        <f t="shared" si="0"/>
        <v>42622487</v>
      </c>
      <c r="N2" s="64">
        <f t="shared" si="0"/>
        <v>49138919</v>
      </c>
      <c r="O2" s="64">
        <f t="shared" si="0"/>
        <v>54496206</v>
      </c>
      <c r="P2" s="64">
        <f t="shared" si="0"/>
        <v>58670006</v>
      </c>
      <c r="Q2" s="64">
        <f t="shared" si="0"/>
        <v>62445456</v>
      </c>
      <c r="R2" s="64">
        <f t="shared" si="0"/>
        <v>66300193</v>
      </c>
      <c r="S2" s="64">
        <f t="shared" si="0"/>
        <v>76391834</v>
      </c>
      <c r="T2" s="64">
        <f t="shared" si="0"/>
        <v>86695401</v>
      </c>
      <c r="U2" s="64">
        <f t="shared" si="0"/>
        <v>97215343</v>
      </c>
      <c r="V2" s="64">
        <f t="shared" si="0"/>
        <v>107956201</v>
      </c>
      <c r="W2" s="64">
        <f t="shared" si="0"/>
        <v>119408616</v>
      </c>
      <c r="X2" s="64">
        <f t="shared" si="0"/>
        <v>131474127</v>
      </c>
      <c r="Y2" s="64">
        <f t="shared" si="0"/>
        <v>143793015</v>
      </c>
      <c r="Z2" s="64">
        <f t="shared" si="0"/>
        <v>156370600</v>
      </c>
      <c r="AA2" s="64">
        <f t="shared" si="0"/>
        <v>160464378</v>
      </c>
      <c r="AB2" s="64">
        <f t="shared" si="0"/>
        <v>164644124</v>
      </c>
      <c r="AC2" s="64">
        <f t="shared" si="0"/>
        <v>168911643</v>
      </c>
      <c r="AD2" s="64">
        <f t="shared" si="0"/>
        <v>173268782</v>
      </c>
      <c r="AE2" s="64">
        <f t="shared" si="0"/>
        <v>177717420</v>
      </c>
      <c r="AF2" s="64">
        <f t="shared" si="0"/>
        <v>182259480</v>
      </c>
      <c r="AG2" s="64">
        <f t="shared" si="0"/>
        <v>186896924</v>
      </c>
      <c r="AH2" s="64">
        <f t="shared" si="0"/>
        <v>191631756</v>
      </c>
      <c r="AI2" s="64">
        <f t="shared" si="0"/>
        <v>196466016</v>
      </c>
      <c r="AJ2" s="64">
        <f t="shared" si="0"/>
        <v>201401796</v>
      </c>
      <c r="AK2" s="64">
        <f t="shared" si="0"/>
        <v>206441228</v>
      </c>
      <c r="AL2" s="64">
        <f t="shared" si="0"/>
        <v>211586490</v>
      </c>
      <c r="AM2" s="64">
        <f t="shared" si="0"/>
        <v>216839797</v>
      </c>
      <c r="AN2" s="64">
        <f t="shared" si="0"/>
        <v>222203425</v>
      </c>
      <c r="AO2" s="64">
        <f t="shared" si="0"/>
        <v>227679692</v>
      </c>
      <c r="AP2" s="64">
        <f t="shared" si="0"/>
        <v>233270959</v>
      </c>
      <c r="AQ2" s="64">
        <f t="shared" si="0"/>
        <v>238979645</v>
      </c>
      <c r="AR2" s="64">
        <f t="shared" si="0"/>
        <v>244808211</v>
      </c>
      <c r="AS2" s="64">
        <f t="shared" si="0"/>
        <v>250759180</v>
      </c>
      <c r="AT2" s="64">
        <f t="shared" si="0"/>
        <v>247892265</v>
      </c>
      <c r="AU2" s="64">
        <f t="shared" si="0"/>
        <v>246341539</v>
      </c>
      <c r="AV2" s="64">
        <f t="shared" si="0"/>
        <v>235634235</v>
      </c>
      <c r="AW2" s="64">
        <f t="shared" si="0"/>
        <v>225628201</v>
      </c>
      <c r="AX2" s="64">
        <f t="shared" si="0"/>
        <v>215970039</v>
      </c>
      <c r="AY2" s="64">
        <f t="shared" si="0"/>
        <v>211689036</v>
      </c>
      <c r="AZ2" s="64">
        <f t="shared" si="0"/>
        <v>207318131</v>
      </c>
      <c r="BA2" s="64">
        <f t="shared" si="0"/>
        <v>200995447</v>
      </c>
      <c r="BB2" s="64">
        <f t="shared" si="0"/>
        <v>192307993</v>
      </c>
    </row>
    <row r="3" spans="2:54">
      <c r="B3" s="41" t="s">
        <v>564</v>
      </c>
      <c r="C3" s="178">
        <v>2.1000000000000001E-2</v>
      </c>
      <c r="D3" s="41" t="s">
        <v>583</v>
      </c>
      <c r="E3" s="64">
        <f>SUMIF($D$8:$D$157,$D3,E$8:E$157)</f>
        <v>0</v>
      </c>
      <c r="F3" s="64">
        <f t="shared" si="0"/>
        <v>5048400</v>
      </c>
      <c r="G3" s="64">
        <f t="shared" si="0"/>
        <v>9238017</v>
      </c>
      <c r="H3" s="64">
        <f t="shared" si="0"/>
        <v>18507390</v>
      </c>
      <c r="I3" s="64">
        <f t="shared" si="0"/>
        <v>26640850</v>
      </c>
      <c r="J3" s="64">
        <f t="shared" si="0"/>
        <v>34316071</v>
      </c>
      <c r="K3" s="64">
        <f t="shared" si="0"/>
        <v>38700148</v>
      </c>
      <c r="L3" s="64">
        <f t="shared" si="0"/>
        <v>42991146</v>
      </c>
      <c r="M3" s="64">
        <f t="shared" si="0"/>
        <v>48237112</v>
      </c>
      <c r="N3" s="64">
        <f t="shared" si="0"/>
        <v>54629039</v>
      </c>
      <c r="O3" s="64">
        <f t="shared" si="0"/>
        <v>59204122</v>
      </c>
      <c r="P3" s="64">
        <f t="shared" si="0"/>
        <v>61986703</v>
      </c>
      <c r="Q3" s="64">
        <f t="shared" si="0"/>
        <v>64051633</v>
      </c>
      <c r="R3" s="64">
        <f t="shared" si="0"/>
        <v>66037278</v>
      </c>
      <c r="S3" s="64">
        <f t="shared" si="0"/>
        <v>75921974</v>
      </c>
      <c r="T3" s="64">
        <f t="shared" si="0"/>
        <v>85594747</v>
      </c>
      <c r="U3" s="64">
        <f t="shared" si="0"/>
        <v>95051140</v>
      </c>
      <c r="V3" s="64">
        <f t="shared" si="0"/>
        <v>104286620</v>
      </c>
      <c r="W3" s="64">
        <f t="shared" si="0"/>
        <v>113926541</v>
      </c>
      <c r="X3" s="64">
        <f t="shared" si="0"/>
        <v>123808960</v>
      </c>
      <c r="Y3" s="64">
        <f t="shared" si="0"/>
        <v>133438001</v>
      </c>
      <c r="Z3" s="64">
        <f t="shared" si="0"/>
        <v>142808346</v>
      </c>
      <c r="AA3" s="64">
        <f t="shared" si="0"/>
        <v>140574563</v>
      </c>
      <c r="AB3" s="64">
        <f t="shared" si="0"/>
        <v>138254815</v>
      </c>
      <c r="AC3" s="64">
        <f t="shared" si="0"/>
        <v>135847291</v>
      </c>
      <c r="AD3" s="64">
        <f t="shared" si="0"/>
        <v>133350145</v>
      </c>
      <c r="AE3" s="64">
        <f t="shared" si="0"/>
        <v>130761497</v>
      </c>
      <c r="AF3" s="64">
        <f t="shared" si="0"/>
        <v>128079432</v>
      </c>
      <c r="AG3" s="64">
        <f t="shared" si="0"/>
        <v>125301983</v>
      </c>
      <c r="AH3" s="64">
        <f t="shared" si="0"/>
        <v>122427149</v>
      </c>
      <c r="AI3" s="64">
        <f t="shared" si="0"/>
        <v>119452881</v>
      </c>
      <c r="AJ3" s="64">
        <f t="shared" si="0"/>
        <v>116377094</v>
      </c>
      <c r="AK3" s="64">
        <f t="shared" si="0"/>
        <v>113197656</v>
      </c>
      <c r="AL3" s="64">
        <f t="shared" si="0"/>
        <v>109912391</v>
      </c>
      <c r="AM3" s="64">
        <f t="shared" si="0"/>
        <v>106519075</v>
      </c>
      <c r="AN3" s="64">
        <f t="shared" si="0"/>
        <v>103015438</v>
      </c>
      <c r="AO3" s="64">
        <f t="shared" si="0"/>
        <v>99399166</v>
      </c>
      <c r="AP3" s="64">
        <f t="shared" si="0"/>
        <v>95667893</v>
      </c>
      <c r="AQ3" s="64">
        <f t="shared" si="0"/>
        <v>91819203</v>
      </c>
      <c r="AR3" s="64">
        <f t="shared" si="0"/>
        <v>87850631</v>
      </c>
      <c r="AS3" s="64">
        <f t="shared" si="0"/>
        <v>83759660</v>
      </c>
      <c r="AT3" s="64">
        <f t="shared" si="0"/>
        <v>79543718</v>
      </c>
      <c r="AU3" s="64">
        <f t="shared" si="0"/>
        <v>75387979</v>
      </c>
      <c r="AV3" s="64">
        <f t="shared" si="0"/>
        <v>71264806</v>
      </c>
      <c r="AW3" s="64">
        <f t="shared" si="0"/>
        <v>66316488</v>
      </c>
      <c r="AX3" s="64">
        <f t="shared" si="0"/>
        <v>61578297</v>
      </c>
      <c r="AY3" s="64">
        <f t="shared" si="0"/>
        <v>57042927</v>
      </c>
      <c r="AZ3" s="64">
        <f t="shared" si="0"/>
        <v>52597455</v>
      </c>
      <c r="BA3" s="64">
        <f t="shared" si="0"/>
        <v>48243774</v>
      </c>
      <c r="BB3" s="64">
        <f t="shared" si="0"/>
        <v>44022870</v>
      </c>
    </row>
    <row r="4" spans="2:54">
      <c r="E4" s="24">
        <v>1</v>
      </c>
      <c r="F4" s="24">
        <v>2</v>
      </c>
      <c r="G4" s="24">
        <v>3</v>
      </c>
      <c r="H4" s="24">
        <v>4</v>
      </c>
      <c r="I4" s="24">
        <v>5</v>
      </c>
      <c r="J4" s="24">
        <v>6</v>
      </c>
      <c r="K4" s="24">
        <v>7</v>
      </c>
      <c r="L4" s="24">
        <v>8</v>
      </c>
      <c r="M4" s="24">
        <v>9</v>
      </c>
      <c r="N4" s="24">
        <v>10</v>
      </c>
      <c r="O4" s="24">
        <v>11</v>
      </c>
      <c r="P4" s="24">
        <v>12</v>
      </c>
      <c r="Q4" s="24">
        <v>13</v>
      </c>
      <c r="R4" s="24">
        <v>14</v>
      </c>
      <c r="S4" s="24">
        <v>15</v>
      </c>
      <c r="T4" s="24">
        <v>16</v>
      </c>
      <c r="U4" s="24">
        <v>17</v>
      </c>
      <c r="V4" s="24">
        <v>18</v>
      </c>
      <c r="W4" s="24">
        <v>19</v>
      </c>
      <c r="X4" s="24">
        <v>20</v>
      </c>
      <c r="Y4" s="24">
        <v>21</v>
      </c>
      <c r="Z4" s="24">
        <v>22</v>
      </c>
      <c r="AA4" s="24">
        <v>23</v>
      </c>
      <c r="AB4" s="24">
        <v>24</v>
      </c>
      <c r="AC4" s="24">
        <v>25</v>
      </c>
      <c r="AD4" s="24">
        <v>26</v>
      </c>
      <c r="AE4" s="24">
        <v>27</v>
      </c>
      <c r="AF4" s="24">
        <v>28</v>
      </c>
      <c r="AG4" s="24">
        <v>29</v>
      </c>
      <c r="AH4" s="24">
        <v>30</v>
      </c>
      <c r="AI4" s="24">
        <v>31</v>
      </c>
      <c r="AJ4" s="24">
        <v>32</v>
      </c>
      <c r="AK4" s="24">
        <v>33</v>
      </c>
      <c r="AL4" s="24">
        <v>34</v>
      </c>
      <c r="AM4" s="24">
        <v>35</v>
      </c>
      <c r="AN4" s="24">
        <v>36</v>
      </c>
      <c r="AO4" s="24">
        <v>37</v>
      </c>
      <c r="AP4" s="24">
        <v>38</v>
      </c>
      <c r="AQ4" s="24">
        <v>39</v>
      </c>
      <c r="AR4" s="24">
        <v>40</v>
      </c>
      <c r="AS4" s="24">
        <v>41</v>
      </c>
      <c r="AT4" s="24">
        <v>42</v>
      </c>
      <c r="AU4" s="24">
        <v>43</v>
      </c>
      <c r="AV4" s="24">
        <v>44</v>
      </c>
      <c r="AW4" s="24">
        <v>45</v>
      </c>
      <c r="AX4" s="24">
        <v>46</v>
      </c>
      <c r="AY4" s="24">
        <v>47</v>
      </c>
      <c r="AZ4" s="24">
        <v>48</v>
      </c>
      <c r="BA4" s="24">
        <v>49</v>
      </c>
      <c r="BB4" s="24">
        <v>50</v>
      </c>
    </row>
    <row r="5" spans="2:54">
      <c r="D5" s="62" t="s">
        <v>339</v>
      </c>
      <c r="E5" s="64">
        <f>SUMIF($D$8:$D$157,$D5,E$8:E$157)</f>
        <v>240400000</v>
      </c>
      <c r="F5" s="64">
        <f>SUMIF($D$8:$D$157,$D5,F$8:F$157)</f>
        <v>439905548</v>
      </c>
      <c r="G5" s="64">
        <f t="shared" ref="G5:BB5" si="1">SUMIF($D$8:$D$157,$D5,G$8:G$157)</f>
        <v>881304256</v>
      </c>
      <c r="H5" s="64">
        <f t="shared" si="1"/>
        <v>1268611864</v>
      </c>
      <c r="I5" s="64">
        <f t="shared" si="1"/>
        <v>1634098580</v>
      </c>
      <c r="J5" s="64">
        <f t="shared" si="1"/>
        <v>1842864161</v>
      </c>
      <c r="K5" s="64">
        <f t="shared" si="1"/>
        <v>2047197447</v>
      </c>
      <c r="L5" s="64">
        <f t="shared" si="1"/>
        <v>2297005360</v>
      </c>
      <c r="M5" s="64">
        <f t="shared" si="1"/>
        <v>2601382873</v>
      </c>
      <c r="N5" s="64">
        <f t="shared" si="1"/>
        <v>2819243954</v>
      </c>
      <c r="O5" s="64">
        <f t="shared" si="1"/>
        <v>2951747748</v>
      </c>
      <c r="P5" s="64">
        <f t="shared" si="1"/>
        <v>3050077742</v>
      </c>
      <c r="Q5" s="64">
        <f t="shared" si="1"/>
        <v>3144632286</v>
      </c>
      <c r="R5" s="64">
        <f t="shared" si="1"/>
        <v>3615332093</v>
      </c>
      <c r="S5" s="64">
        <f t="shared" si="1"/>
        <v>4075940259</v>
      </c>
      <c r="T5" s="64">
        <f t="shared" si="1"/>
        <v>4526244858</v>
      </c>
      <c r="U5" s="64">
        <f t="shared" si="1"/>
        <v>4966029515</v>
      </c>
      <c r="V5" s="64">
        <f t="shared" si="1"/>
        <v>5425073314</v>
      </c>
      <c r="W5" s="64">
        <f t="shared" si="1"/>
        <v>5895664698</v>
      </c>
      <c r="X5" s="64">
        <f t="shared" si="1"/>
        <v>6354190571</v>
      </c>
      <c r="Y5" s="64">
        <f t="shared" si="1"/>
        <v>6800397556</v>
      </c>
      <c r="Z5" s="64">
        <f t="shared" si="1"/>
        <v>6694026956</v>
      </c>
      <c r="AA5" s="64">
        <f t="shared" si="1"/>
        <v>6583562578</v>
      </c>
      <c r="AB5" s="64">
        <f t="shared" si="1"/>
        <v>6468918454</v>
      </c>
      <c r="AC5" s="64">
        <f t="shared" si="1"/>
        <v>6350006811</v>
      </c>
      <c r="AD5" s="64">
        <f t="shared" si="1"/>
        <v>6226738029</v>
      </c>
      <c r="AE5" s="64">
        <f t="shared" si="1"/>
        <v>6099020609</v>
      </c>
      <c r="AF5" s="64">
        <f t="shared" si="1"/>
        <v>5966761129</v>
      </c>
      <c r="AG5" s="64">
        <f t="shared" si="1"/>
        <v>5829864205</v>
      </c>
      <c r="AH5" s="64">
        <f t="shared" si="1"/>
        <v>5688232449</v>
      </c>
      <c r="AI5" s="64">
        <f t="shared" si="1"/>
        <v>5541766433</v>
      </c>
      <c r="AJ5" s="64">
        <f t="shared" si="1"/>
        <v>5390364637</v>
      </c>
      <c r="AK5" s="64">
        <f t="shared" si="1"/>
        <v>5233923409</v>
      </c>
      <c r="AL5" s="64">
        <f t="shared" si="1"/>
        <v>5072336919</v>
      </c>
      <c r="AM5" s="64">
        <f t="shared" si="1"/>
        <v>4905497122</v>
      </c>
      <c r="AN5" s="64">
        <f t="shared" si="1"/>
        <v>4733293697</v>
      </c>
      <c r="AO5" s="64">
        <f t="shared" si="1"/>
        <v>4555614005</v>
      </c>
      <c r="AP5" s="64">
        <f t="shared" si="1"/>
        <v>4372343046</v>
      </c>
      <c r="AQ5" s="64">
        <f t="shared" si="1"/>
        <v>4183363401</v>
      </c>
      <c r="AR5" s="64">
        <f t="shared" si="1"/>
        <v>3988555190</v>
      </c>
      <c r="AS5" s="64">
        <f t="shared" si="1"/>
        <v>3787796010</v>
      </c>
      <c r="AT5" s="64">
        <f t="shared" si="1"/>
        <v>3589903746</v>
      </c>
      <c r="AU5" s="64">
        <f t="shared" si="1"/>
        <v>3393562206</v>
      </c>
      <c r="AV5" s="64">
        <f t="shared" si="1"/>
        <v>3157927971</v>
      </c>
      <c r="AW5" s="64">
        <f t="shared" si="1"/>
        <v>2932299769</v>
      </c>
      <c r="AX5" s="64">
        <f t="shared" si="1"/>
        <v>2716329729</v>
      </c>
      <c r="AY5" s="64">
        <f t="shared" si="1"/>
        <v>2504640695</v>
      </c>
      <c r="AZ5" s="64">
        <f t="shared" si="1"/>
        <v>2297322566</v>
      </c>
      <c r="BA5" s="64">
        <f t="shared" si="1"/>
        <v>2096327117</v>
      </c>
      <c r="BB5" s="64">
        <f t="shared" si="1"/>
        <v>1904019121</v>
      </c>
    </row>
    <row r="6" spans="2:54">
      <c r="D6" s="41" t="s">
        <v>262</v>
      </c>
      <c r="E6" s="64">
        <f>【成行】財政シミュ!T74</f>
        <v>240400000</v>
      </c>
      <c r="F6" s="64">
        <f>【成行】財政シミュ!U74</f>
        <v>203400000</v>
      </c>
      <c r="G6" s="64">
        <f>【成行】財政シミュ!V74</f>
        <v>448670000</v>
      </c>
      <c r="H6" s="64">
        <f>【成行】財政シミュ!W74</f>
        <v>402000000</v>
      </c>
      <c r="I6" s="64">
        <f>【成行】財政シミュ!X74</f>
        <v>387000000</v>
      </c>
      <c r="J6" s="64">
        <f>【成行】財政シミュ!Y74</f>
        <v>237000000</v>
      </c>
      <c r="K6" s="64">
        <f>【成行】財政シミュ!Z74</f>
        <v>237000000</v>
      </c>
      <c r="L6" s="64">
        <f>【成行】財政シミュ!AA74</f>
        <v>287000000</v>
      </c>
      <c r="M6" s="64">
        <f>【成行】財政シミュ!AB74</f>
        <v>347000000</v>
      </c>
      <c r="N6" s="64">
        <f>【成行】財政シミュ!AC74</f>
        <v>267000000</v>
      </c>
      <c r="O6" s="64">
        <f>【成行】財政シミュ!AD74</f>
        <v>187000000</v>
      </c>
      <c r="P6" s="64">
        <f>【成行】財政シミュ!AE74</f>
        <v>157000000</v>
      </c>
      <c r="Q6" s="64">
        <f>【成行】財政シミュ!AF74</f>
        <v>157000000</v>
      </c>
      <c r="R6" s="64">
        <f>【成行】財政シミュ!AG74</f>
        <v>537000000</v>
      </c>
      <c r="S6" s="64">
        <f>【成行】財政シミュ!AH74</f>
        <v>537000000</v>
      </c>
      <c r="T6" s="64">
        <f>【成行】財政シミュ!AI74</f>
        <v>537000000</v>
      </c>
      <c r="U6" s="64">
        <f>【成行】財政シミュ!AJ74</f>
        <v>537000000</v>
      </c>
      <c r="V6" s="64">
        <f>【成行】財政シミュ!AK74</f>
        <v>567000000</v>
      </c>
      <c r="W6" s="64">
        <f>【成行】財政シミュ!AL74</f>
        <v>590000000</v>
      </c>
      <c r="X6" s="64">
        <f>【成行】財政シミュ!AM74</f>
        <v>590000000</v>
      </c>
      <c r="Y6" s="64">
        <f>【成行】財政シミュ!AN74</f>
        <v>590000000</v>
      </c>
      <c r="Z6" s="64">
        <f>【成行】財政シミュ!AO74</f>
        <v>50000000</v>
      </c>
      <c r="AA6" s="64">
        <f>【成行】財政シミュ!AP74</f>
        <v>50000000</v>
      </c>
      <c r="AB6" s="64">
        <f>【成行】財政シミュ!AQ74</f>
        <v>50000000</v>
      </c>
      <c r="AC6" s="64">
        <f>【成行】財政シミュ!AR74</f>
        <v>50000000</v>
      </c>
      <c r="AD6" s="64">
        <f>【成行】財政シミュ!AS74</f>
        <v>50000000</v>
      </c>
      <c r="AE6" s="64">
        <f>【成行】財政シミュ!AT74</f>
        <v>50000000</v>
      </c>
      <c r="AF6" s="64">
        <f>【成行】財政シミュ!AU74</f>
        <v>50000000</v>
      </c>
      <c r="AG6" s="64">
        <f>【成行】財政シミュ!AV74</f>
        <v>50000000</v>
      </c>
      <c r="AH6" s="64">
        <f>【成行】財政シミュ!AW74</f>
        <v>50000000</v>
      </c>
      <c r="AI6" s="64">
        <f>【成行】財政シミュ!AX74</f>
        <v>50000000</v>
      </c>
      <c r="AJ6" s="64">
        <f>【成行】財政シミュ!AY74</f>
        <v>50000000</v>
      </c>
      <c r="AK6" s="64">
        <f>【成行】財政シミュ!AZ74</f>
        <v>50000000</v>
      </c>
      <c r="AL6" s="64">
        <f>【成行】財政シミュ!BA74</f>
        <v>50000000</v>
      </c>
      <c r="AM6" s="64">
        <f>【成行】財政シミュ!BB74</f>
        <v>50000000</v>
      </c>
      <c r="AN6" s="64">
        <f>【成行】財政シミュ!BC74</f>
        <v>50000000</v>
      </c>
      <c r="AO6" s="64">
        <f>【成行】財政シミュ!BD74</f>
        <v>50000000</v>
      </c>
      <c r="AP6" s="64">
        <f>【成行】財政シミュ!BE74</f>
        <v>50000000</v>
      </c>
      <c r="AQ6" s="64">
        <f>【成行】財政シミュ!BF74</f>
        <v>50000000</v>
      </c>
      <c r="AR6" s="64">
        <f>【成行】財政シミュ!BG74</f>
        <v>50000000</v>
      </c>
      <c r="AS6" s="64">
        <f>【成行】財政シミュ!BH74</f>
        <v>50000000</v>
      </c>
      <c r="AT6" s="64">
        <f>【成行】財政シミュ!BI74</f>
        <v>50000000</v>
      </c>
      <c r="AU6" s="64">
        <f>【成行】財政シミュ!BJ74</f>
        <v>50000000</v>
      </c>
      <c r="AV6" s="64">
        <f>【成行】財政シミュ!BK74</f>
        <v>0</v>
      </c>
      <c r="AW6" s="64">
        <f>【成行】財政シミュ!BL74</f>
        <v>0</v>
      </c>
      <c r="AX6" s="64">
        <f>【成行】財政シミュ!BM74</f>
        <v>0</v>
      </c>
      <c r="AY6" s="64">
        <f>【成行】財政シミュ!BN74</f>
        <v>0</v>
      </c>
      <c r="AZ6" s="64">
        <f>【成行】財政シミュ!BO74</f>
        <v>0</v>
      </c>
      <c r="BA6" s="64">
        <f>【成行】財政シミュ!BP74</f>
        <v>0</v>
      </c>
      <c r="BB6" s="64">
        <f>【成行】財政シミュ!BQ74</f>
        <v>0</v>
      </c>
    </row>
    <row r="7" spans="2:54">
      <c r="B7" s="62" t="s">
        <v>260</v>
      </c>
      <c r="C7" s="62" t="s">
        <v>261</v>
      </c>
      <c r="D7" s="62"/>
      <c r="E7" s="62" t="s">
        <v>717</v>
      </c>
      <c r="F7" s="62" t="s">
        <v>711</v>
      </c>
      <c r="G7" s="62" t="s">
        <v>712</v>
      </c>
      <c r="H7" s="62" t="s">
        <v>26</v>
      </c>
      <c r="I7" s="62" t="s">
        <v>27</v>
      </c>
      <c r="J7" s="62" t="s">
        <v>28</v>
      </c>
      <c r="K7" s="62" t="s">
        <v>29</v>
      </c>
      <c r="L7" s="62" t="s">
        <v>30</v>
      </c>
      <c r="M7" s="62" t="s">
        <v>31</v>
      </c>
      <c r="N7" s="62" t="s">
        <v>32</v>
      </c>
      <c r="O7" s="62" t="s">
        <v>33</v>
      </c>
      <c r="P7" s="62" t="s">
        <v>34</v>
      </c>
      <c r="Q7" s="62" t="s">
        <v>35</v>
      </c>
      <c r="R7" s="62" t="s">
        <v>36</v>
      </c>
      <c r="S7" s="62" t="s">
        <v>37</v>
      </c>
      <c r="T7" s="62" t="s">
        <v>38</v>
      </c>
      <c r="U7" s="62" t="s">
        <v>39</v>
      </c>
      <c r="V7" s="62" t="s">
        <v>40</v>
      </c>
      <c r="W7" s="62" t="s">
        <v>41</v>
      </c>
      <c r="X7" s="62" t="s">
        <v>42</v>
      </c>
      <c r="Y7" s="62" t="s">
        <v>43</v>
      </c>
      <c r="Z7" s="62" t="s">
        <v>44</v>
      </c>
      <c r="AA7" s="62" t="s">
        <v>45</v>
      </c>
      <c r="AB7" s="62" t="s">
        <v>46</v>
      </c>
      <c r="AC7" s="62" t="s">
        <v>47</v>
      </c>
      <c r="AD7" s="62" t="s">
        <v>48</v>
      </c>
      <c r="AE7" s="62" t="s">
        <v>49</v>
      </c>
      <c r="AF7" s="62" t="s">
        <v>50</v>
      </c>
      <c r="AG7" s="62" t="s">
        <v>51</v>
      </c>
      <c r="AH7" s="62" t="s">
        <v>52</v>
      </c>
      <c r="AI7" s="62" t="s">
        <v>53</v>
      </c>
      <c r="AJ7" s="62" t="s">
        <v>54</v>
      </c>
      <c r="AK7" s="62" t="s">
        <v>55</v>
      </c>
      <c r="AL7" s="62" t="s">
        <v>56</v>
      </c>
      <c r="AM7" s="62" t="s">
        <v>57</v>
      </c>
      <c r="AN7" s="62" t="s">
        <v>58</v>
      </c>
      <c r="AO7" s="62" t="s">
        <v>59</v>
      </c>
      <c r="AP7" s="62" t="s">
        <v>60</v>
      </c>
      <c r="AQ7" s="62" t="s">
        <v>61</v>
      </c>
      <c r="AR7" s="62" t="s">
        <v>62</v>
      </c>
      <c r="AS7" s="62" t="s">
        <v>63</v>
      </c>
      <c r="AT7" s="62" t="s">
        <v>64</v>
      </c>
      <c r="AU7" s="62" t="s">
        <v>65</v>
      </c>
      <c r="AV7" s="62" t="s">
        <v>66</v>
      </c>
      <c r="AW7" s="62" t="s">
        <v>67</v>
      </c>
      <c r="AX7" s="62" t="s">
        <v>670</v>
      </c>
      <c r="AY7" s="62" t="s">
        <v>671</v>
      </c>
      <c r="AZ7" s="62" t="s">
        <v>672</v>
      </c>
      <c r="BA7" s="62" t="s">
        <v>673</v>
      </c>
      <c r="BB7" s="62" t="s">
        <v>674</v>
      </c>
    </row>
    <row r="8" spans="2:54">
      <c r="B8" s="177" t="s">
        <v>717</v>
      </c>
      <c r="C8" s="132">
        <f>【成行】財政シミュ!T74</f>
        <v>240400000</v>
      </c>
      <c r="D8" s="39" t="s">
        <v>582</v>
      </c>
      <c r="E8" s="40"/>
      <c r="F8" s="39">
        <f>-ROUND(PPMT($C$3,$E$4,$C$2,$C8,0,0),0)</f>
        <v>3894452</v>
      </c>
      <c r="G8" s="39">
        <f>-ROUND(PPMT($C$3,$F$4,$C$2,$C8,0,0),0)</f>
        <v>3976236</v>
      </c>
      <c r="H8" s="39">
        <f>-ROUND(PPMT($C$3,$G$4,$C$2,$C8,0,0),0)</f>
        <v>4059737</v>
      </c>
      <c r="I8" s="39">
        <f>-ROUND(PPMT($C$3,$H$4,$C$2,$C8,0,0),0)</f>
        <v>4144991</v>
      </c>
      <c r="J8" s="39">
        <f>-ROUND(PPMT($C$3,$I$4,$C$2,$C8,0,0),0)</f>
        <v>4232036</v>
      </c>
      <c r="K8" s="39">
        <f>-ROUND(PPMT($C$3,$J$4,$C$2,$C8,0,0),0)</f>
        <v>4320909</v>
      </c>
      <c r="L8" s="39">
        <f>-ROUND(PPMT($C$3,$K$4,$C$2,$C8,0,0),0)</f>
        <v>4411648</v>
      </c>
      <c r="M8" s="39">
        <f>-ROUND(PPMT($C$3,$L$4,$C$2,$C8,0,0),0)</f>
        <v>4504292</v>
      </c>
      <c r="N8" s="39">
        <f>-ROUND(PPMT($C$3,$M$4,$C$2,$C8,0,0),0)</f>
        <v>4598882</v>
      </c>
      <c r="O8" s="39">
        <f>-ROUND(PPMT($C$3,$N$4,$C$2,$C8,0,0),0)</f>
        <v>4695459</v>
      </c>
      <c r="P8" s="39">
        <f>-ROUND(PPMT($C$3,$O$4,$C$2,$C8,0,0),0)</f>
        <v>4794064</v>
      </c>
      <c r="Q8" s="39">
        <f>-ROUND(PPMT($C$3,$P$4,$C$2,$C8,0,0),0)</f>
        <v>4894739</v>
      </c>
      <c r="R8" s="39">
        <f>-ROUND(PPMT($C$3,$Q$4,$C$2,$C8,0,0),0)</f>
        <v>4997528</v>
      </c>
      <c r="S8" s="39">
        <f>-ROUND(PPMT($C$3,$R$4,$C$2,$C8,0,0),0)</f>
        <v>5102476</v>
      </c>
      <c r="T8" s="39">
        <f>-ROUND(PPMT($C$3,$S$4,$C$2,$C8,0,0),0)</f>
        <v>5209628</v>
      </c>
      <c r="U8" s="39">
        <f>-ROUND(PPMT($C$3,$T$4,$C$2,$C8,0,0),0)</f>
        <v>5319031</v>
      </c>
      <c r="V8" s="39">
        <f>-ROUND(PPMT($C$3,$U$4,$C$2,$C8,0,0),0)</f>
        <v>5430730</v>
      </c>
      <c r="W8" s="39">
        <f>-ROUND(PPMT($C$3,$V$4,$C$2,$C8,0,0),0)</f>
        <v>5544776</v>
      </c>
      <c r="X8" s="39">
        <f>-ROUND(PPMT($C$3,$W$4,$C$2,$C8,0,0),0)</f>
        <v>5661216</v>
      </c>
      <c r="Y8" s="39">
        <f>-ROUND(PPMT($C$3,$X$4,$C$2,$C8,0,0),0)</f>
        <v>5780101</v>
      </c>
      <c r="Z8" s="39">
        <f>-ROUND(PPMT($C$3,$Y$4,$C$2,$C8,0,0),0)</f>
        <v>5901484</v>
      </c>
      <c r="AA8" s="39">
        <f>-ROUND(PPMT($C$3,$Z$4,$C$2,$C8,0,0),0)</f>
        <v>6025415</v>
      </c>
      <c r="AB8" s="39">
        <f>-ROUND(PPMT($C$3,$AA$4,$C$2,$C8,0,0),0)</f>
        <v>6151948</v>
      </c>
      <c r="AC8" s="39">
        <f>-ROUND(PPMT($C$3,$AB$4,$C$2,$C8,0,0),0)</f>
        <v>6281139</v>
      </c>
      <c r="AD8" s="39">
        <f>-ROUND(PPMT($C$3,$AC$4,$C$2,$C8,0,0),0)</f>
        <v>6413043</v>
      </c>
      <c r="AE8" s="39">
        <f>-ROUND(PPMT($C$3,$AD$4,$C$2,$C8,0,0),0)</f>
        <v>6547717</v>
      </c>
      <c r="AF8" s="39">
        <f>-ROUND(PPMT($C$3,$AE$4,$C$2,$C8,0,0),0)</f>
        <v>6685219</v>
      </c>
      <c r="AG8" s="39">
        <f>-ROUND(PPMT($C$3,$AF$4,$C$2,$C8,0,0),0)</f>
        <v>6825609</v>
      </c>
      <c r="AH8" s="39">
        <f>-ROUND(PPMT($C$3,$AG$4,$C$2,$C8,0,0),0)</f>
        <v>6968947</v>
      </c>
      <c r="AI8" s="39">
        <f>-ROUND(PPMT($C$3,$AH$4,$C$2,$C8,0,0),0)</f>
        <v>7115295</v>
      </c>
      <c r="AJ8" s="39">
        <f>-ROUND(PPMT($C$3,$AI$4,$C$2,$C8,0,0),0)</f>
        <v>7264716</v>
      </c>
      <c r="AK8" s="39">
        <f>-ROUND(PPMT($C$3,$AJ$4,$C$2,$C8,0,0),0)</f>
        <v>7417275</v>
      </c>
      <c r="AL8" s="39">
        <f>-ROUND(PPMT($C$3,$AK$4,$C$2,$C8,0,0),0)</f>
        <v>7573038</v>
      </c>
      <c r="AM8" s="39">
        <f>-ROUND(PPMT($C$3,$AL$4,$C$2,$C8,0,0),0)</f>
        <v>7732071</v>
      </c>
      <c r="AN8" s="39">
        <f>-ROUND(PPMT($C$3,$AM$4,$C$2,$C8,0,0),0)</f>
        <v>7894445</v>
      </c>
      <c r="AO8" s="39">
        <f>-ROUND(PPMT($C$3,$AN$4,$C$2,$C8,0,0),0)</f>
        <v>8060228</v>
      </c>
      <c r="AP8" s="39">
        <f>-ROUND(PPMT($C$3,$AO$4,$C$2,$C8,0,0),0)</f>
        <v>8229493</v>
      </c>
      <c r="AQ8" s="39">
        <f>-ROUND(PPMT($C$3,$AP$4,$C$2,$C8,0,0),0)</f>
        <v>8402312</v>
      </c>
      <c r="AR8" s="39">
        <f>-ROUND(PPMT($C$3,$AQ$4,$C$2,$C8,0,0),0)</f>
        <v>8578761</v>
      </c>
      <c r="AS8" s="39">
        <f>-ROUND(PPMT($C$3,$AR$4,$C$2,$C8,0,0),0)</f>
        <v>8758915</v>
      </c>
      <c r="AT8" s="39"/>
      <c r="AU8" s="39"/>
      <c r="AV8" s="39"/>
      <c r="AW8" s="39"/>
      <c r="AX8" s="39"/>
      <c r="AY8" s="39"/>
      <c r="AZ8" s="39"/>
      <c r="BA8" s="39"/>
      <c r="BB8" s="39"/>
    </row>
    <row r="9" spans="2:54">
      <c r="B9" s="172"/>
      <c r="C9" s="133"/>
      <c r="D9" s="39" t="s">
        <v>583</v>
      </c>
      <c r="E9" s="40"/>
      <c r="F9" s="39">
        <f>-ROUND(IPMT($C$3,$E$4,$C$2,$C8,0,0),0)</f>
        <v>5048400</v>
      </c>
      <c r="G9" s="39">
        <f>-ROUND(IPMT($C$3,$F$4,$C$2,$C8,0,0),0)</f>
        <v>4966617</v>
      </c>
      <c r="H9" s="39">
        <f>-ROUND(IPMT($C$3,$G$4,$C$2,$C8,0,0),0)</f>
        <v>4883116</v>
      </c>
      <c r="I9" s="39">
        <f>-ROUND(IPMT($C$3,$H$4,$C$2,$C8,0,0),0)</f>
        <v>4797861</v>
      </c>
      <c r="J9" s="39">
        <f>-ROUND(IPMT($C$3,$I$4,$C$2,$C8,0,0),0)</f>
        <v>4710816</v>
      </c>
      <c r="K9" s="39">
        <f>-ROUND(IPMT($C$3,$J$4,$C$2,$C8,0,0),0)</f>
        <v>4621944</v>
      </c>
      <c r="L9" s="39">
        <f>-ROUND(IPMT($C$3,$K$4,$C$2,$C8,0,0),0)</f>
        <v>4531204</v>
      </c>
      <c r="M9" s="39">
        <f>-ROUND(IPMT($C$3,$L$4,$C$2,$C8,0,0),0)</f>
        <v>4438560</v>
      </c>
      <c r="N9" s="39">
        <f>-ROUND(IPMT($C$3,$M$4,$C$2,$C8,0,0),0)</f>
        <v>4343970</v>
      </c>
      <c r="O9" s="39">
        <f>-ROUND(IPMT($C$3,$N$4,$C$2,$C8,0,0),0)</f>
        <v>4247393</v>
      </c>
      <c r="P9" s="39">
        <f>-ROUND(IPMT($C$3,$O$4,$C$2,$C8,0,0),0)</f>
        <v>4148789</v>
      </c>
      <c r="Q9" s="39">
        <f>-ROUND(IPMT($C$3,$P$4,$C$2,$C8,0,0),0)</f>
        <v>4048113</v>
      </c>
      <c r="R9" s="39">
        <f>-ROUND(IPMT($C$3,$Q$4,$C$2,$C8,0,0),0)</f>
        <v>3945324</v>
      </c>
      <c r="S9" s="39">
        <f>-ROUND(IPMT($C$3,$R$4,$C$2,$C8,0,0),0)</f>
        <v>3840376</v>
      </c>
      <c r="T9" s="39">
        <f>-ROUND(IPMT($C$3,$S$4,$C$2,$C8,0,0),0)</f>
        <v>3733224</v>
      </c>
      <c r="U9" s="39">
        <f>-ROUND(IPMT($C$3,$T$4,$C$2,$C8,0,0),0)</f>
        <v>3623821</v>
      </c>
      <c r="V9" s="39">
        <f>-ROUND(IPMT($C$3,$U$4,$C$2,$C8,0,0),0)</f>
        <v>3512122</v>
      </c>
      <c r="W9" s="39">
        <f>-ROUND(IPMT($C$3,$V$4,$C$2,$C8,0,0),0)</f>
        <v>3398076</v>
      </c>
      <c r="X9" s="39">
        <f>-ROUND(IPMT($C$3,$W$4,$C$2,$C8,0,0),0)</f>
        <v>3281636</v>
      </c>
      <c r="Y9" s="39">
        <f>-ROUND(IPMT($C$3,$X$4,$C$2,$C8,0,0),0)</f>
        <v>3162751</v>
      </c>
      <c r="Z9" s="39">
        <f>-ROUND(IPMT($C$3,$Y$4,$C$2,$C8,0,0),0)</f>
        <v>3041368</v>
      </c>
      <c r="AA9" s="39">
        <f>-ROUND(IPMT($C$3,$Z$4,$C$2,$C8,0,0),0)</f>
        <v>2917437</v>
      </c>
      <c r="AB9" s="39">
        <f>-ROUND(IPMT($C$3,$AA$4,$C$2,$C8,0,0),0)</f>
        <v>2790904</v>
      </c>
      <c r="AC9" s="39">
        <f>-ROUND(IPMT($C$3,$AB$4,$C$2,$C8,0,0),0)</f>
        <v>2661713</v>
      </c>
      <c r="AD9" s="39">
        <f>-ROUND(IPMT($C$3,$AC$4,$C$2,$C8,0,0),0)</f>
        <v>2529809</v>
      </c>
      <c r="AE9" s="39">
        <f>-ROUND(IPMT($C$3,$AD$4,$C$2,$C8,0,0),0)</f>
        <v>2395135</v>
      </c>
      <c r="AF9" s="39">
        <f>-ROUND(IPMT($C$3,$AE$4,$C$2,$C8,0,0),0)</f>
        <v>2257633</v>
      </c>
      <c r="AG9" s="39">
        <f>-ROUND(IPMT($C$3,$AF$4,$C$2,$C8,0,0),0)</f>
        <v>2117243</v>
      </c>
      <c r="AH9" s="39">
        <f>-ROUND(IPMT($C$3,$AG$4,$C$2,$C8,0,0),0)</f>
        <v>1973905</v>
      </c>
      <c r="AI9" s="39">
        <f>-ROUND(IPMT($C$3,$AH$4,$C$2,$C8,0,0),0)</f>
        <v>1827558</v>
      </c>
      <c r="AJ9" s="39">
        <f>-ROUND(IPMT($C$3,$AI$4,$C$2,$C8,0,0),0)</f>
        <v>1678136</v>
      </c>
      <c r="AK9" s="39">
        <f>-ROUND(IPMT($C$3,$AJ$4,$C$2,$C8,0,0),0)</f>
        <v>1525577</v>
      </c>
      <c r="AL9" s="39">
        <f>-ROUND(IPMT($C$3,$AK$4,$C$2,$C8,0,0),0)</f>
        <v>1369815</v>
      </c>
      <c r="AM9" s="39">
        <f>-ROUND(IPMT($C$3,$AL$4,$C$2,$C8,0,0),0)</f>
        <v>1210781</v>
      </c>
      <c r="AN9" s="39">
        <f>-ROUND(IPMT($C$3,$AM$4,$C$2,$C8,0,0),0)</f>
        <v>1048407</v>
      </c>
      <c r="AO9" s="39">
        <f>-ROUND(IPMT($C$3,$AN$4,$C$2,$C8,0,0),0)</f>
        <v>882624</v>
      </c>
      <c r="AP9" s="39">
        <f>-ROUND(IPMT($C$3,$AO$4,$C$2,$C8,0,0),0)</f>
        <v>713359</v>
      </c>
      <c r="AQ9" s="39">
        <f>-ROUND(IPMT($C$3,$AP$4,$C$2,$C8,0,0),0)</f>
        <v>540540</v>
      </c>
      <c r="AR9" s="39">
        <f>-ROUND(IPMT($C$3,$AQ$4,$C$2,$C8,0,0),0)</f>
        <v>364091</v>
      </c>
      <c r="AS9" s="39">
        <f>-ROUND(IPMT($C$3,$AR$4,$C$2,$C8,0,0),0)</f>
        <v>183937</v>
      </c>
      <c r="AT9" s="39"/>
      <c r="AU9" s="39"/>
      <c r="AV9" s="39"/>
      <c r="AW9" s="39"/>
      <c r="AX9" s="39"/>
      <c r="AY9" s="39"/>
      <c r="AZ9" s="39"/>
      <c r="BA9" s="39"/>
      <c r="BB9" s="39"/>
    </row>
    <row r="10" spans="2:54">
      <c r="B10" s="173"/>
      <c r="C10" s="134"/>
      <c r="D10" s="39" t="s">
        <v>339</v>
      </c>
      <c r="E10" s="64">
        <f>$C8</f>
        <v>240400000</v>
      </c>
      <c r="F10" s="39">
        <f>$C8-F8</f>
        <v>236505548</v>
      </c>
      <c r="G10" s="39">
        <f t="shared" ref="G10:AS10" si="2">F10-G8</f>
        <v>232529312</v>
      </c>
      <c r="H10" s="39">
        <f t="shared" si="2"/>
        <v>228469575</v>
      </c>
      <c r="I10" s="39">
        <f t="shared" si="2"/>
        <v>224324584</v>
      </c>
      <c r="J10" s="39">
        <f t="shared" si="2"/>
        <v>220092548</v>
      </c>
      <c r="K10" s="39">
        <f t="shared" si="2"/>
        <v>215771639</v>
      </c>
      <c r="L10" s="39">
        <f t="shared" si="2"/>
        <v>211359991</v>
      </c>
      <c r="M10" s="39">
        <f t="shared" si="2"/>
        <v>206855699</v>
      </c>
      <c r="N10" s="39">
        <f t="shared" si="2"/>
        <v>202256817</v>
      </c>
      <c r="O10" s="39">
        <f t="shared" si="2"/>
        <v>197561358</v>
      </c>
      <c r="P10" s="39">
        <f t="shared" si="2"/>
        <v>192767294</v>
      </c>
      <c r="Q10" s="39">
        <f t="shared" si="2"/>
        <v>187872555</v>
      </c>
      <c r="R10" s="39">
        <f t="shared" si="2"/>
        <v>182875027</v>
      </c>
      <c r="S10" s="39">
        <f t="shared" si="2"/>
        <v>177772551</v>
      </c>
      <c r="T10" s="39">
        <f t="shared" si="2"/>
        <v>172562923</v>
      </c>
      <c r="U10" s="39">
        <f t="shared" si="2"/>
        <v>167243892</v>
      </c>
      <c r="V10" s="39">
        <f t="shared" si="2"/>
        <v>161813162</v>
      </c>
      <c r="W10" s="39">
        <f t="shared" si="2"/>
        <v>156268386</v>
      </c>
      <c r="X10" s="39">
        <f t="shared" si="2"/>
        <v>150607170</v>
      </c>
      <c r="Y10" s="39">
        <f t="shared" si="2"/>
        <v>144827069</v>
      </c>
      <c r="Z10" s="39">
        <f t="shared" si="2"/>
        <v>138925585</v>
      </c>
      <c r="AA10" s="39">
        <f t="shared" si="2"/>
        <v>132900170</v>
      </c>
      <c r="AB10" s="39">
        <f t="shared" si="2"/>
        <v>126748222</v>
      </c>
      <c r="AC10" s="39">
        <f t="shared" si="2"/>
        <v>120467083</v>
      </c>
      <c r="AD10" s="39">
        <f t="shared" si="2"/>
        <v>114054040</v>
      </c>
      <c r="AE10" s="39">
        <f t="shared" si="2"/>
        <v>107506323</v>
      </c>
      <c r="AF10" s="39">
        <f t="shared" si="2"/>
        <v>100821104</v>
      </c>
      <c r="AG10" s="39">
        <f t="shared" si="2"/>
        <v>93995495</v>
      </c>
      <c r="AH10" s="39">
        <f t="shared" si="2"/>
        <v>87026548</v>
      </c>
      <c r="AI10" s="39">
        <f t="shared" si="2"/>
        <v>79911253</v>
      </c>
      <c r="AJ10" s="39">
        <f t="shared" si="2"/>
        <v>72646537</v>
      </c>
      <c r="AK10" s="39">
        <f t="shared" si="2"/>
        <v>65229262</v>
      </c>
      <c r="AL10" s="39">
        <f t="shared" si="2"/>
        <v>57656224</v>
      </c>
      <c r="AM10" s="39">
        <f t="shared" si="2"/>
        <v>49924153</v>
      </c>
      <c r="AN10" s="39">
        <f t="shared" si="2"/>
        <v>42029708</v>
      </c>
      <c r="AO10" s="39">
        <f t="shared" si="2"/>
        <v>33969480</v>
      </c>
      <c r="AP10" s="39">
        <f t="shared" si="2"/>
        <v>25739987</v>
      </c>
      <c r="AQ10" s="39">
        <f t="shared" si="2"/>
        <v>17337675</v>
      </c>
      <c r="AR10" s="39">
        <f t="shared" si="2"/>
        <v>8758914</v>
      </c>
      <c r="AS10" s="39">
        <f t="shared" si="2"/>
        <v>-1</v>
      </c>
      <c r="AT10" s="39"/>
      <c r="AU10" s="39"/>
      <c r="AV10" s="39"/>
      <c r="AW10" s="39"/>
      <c r="AX10" s="39"/>
      <c r="AY10" s="39"/>
      <c r="AZ10" s="39"/>
      <c r="BA10" s="39"/>
      <c r="BB10" s="39"/>
    </row>
    <row r="11" spans="2:54">
      <c r="B11" s="2" t="s">
        <v>711</v>
      </c>
      <c r="C11" s="132">
        <f>【成行】財政シミュ!U74</f>
        <v>203400000</v>
      </c>
      <c r="D11" s="39" t="s">
        <v>582</v>
      </c>
      <c r="E11" s="40"/>
      <c r="F11" s="40"/>
      <c r="G11" s="39">
        <f>-ROUND(PPMT($C$3,$E$4,$C$2,$C11,0,0),0)</f>
        <v>3295056</v>
      </c>
      <c r="H11" s="39">
        <f>-ROUND(PPMT($C$3,$F$4,$C$2,$C11,0,0),0)</f>
        <v>3364253</v>
      </c>
      <c r="I11" s="39">
        <f>-ROUND(PPMT($C$3,$G$4,$C$2,$C11,0,0),0)</f>
        <v>3434902</v>
      </c>
      <c r="J11" s="39">
        <f>-ROUND(PPMT($C$3,$H$4,$C$2,$C11,0,0),0)</f>
        <v>3507035</v>
      </c>
      <c r="K11" s="39">
        <f>-ROUND(PPMT($C$3,$I$4,$C$2,$C11,0,0),0)</f>
        <v>3580683</v>
      </c>
      <c r="L11" s="39">
        <f>-ROUND(PPMT($C$3,$J$4,$C$2,$C11,0,0),0)</f>
        <v>3655877</v>
      </c>
      <c r="M11" s="39">
        <f>-ROUND(PPMT($C$3,$K$4,$C$2,$C11,0,0),0)</f>
        <v>3732650</v>
      </c>
      <c r="N11" s="39">
        <f>-ROUND(PPMT($C$3,$L$4,$C$2,$C11,0,0),0)</f>
        <v>3811036</v>
      </c>
      <c r="O11" s="39">
        <f>-ROUND(PPMT($C$3,$M$4,$C$2,$C11,0,0),0)</f>
        <v>3891068</v>
      </c>
      <c r="P11" s="39">
        <f>-ROUND(PPMT($C$3,$N$4,$C$2,$C11,0,0),0)</f>
        <v>3972780</v>
      </c>
      <c r="Q11" s="39">
        <f>-ROUND(PPMT($C$3,$O$4,$C$2,$C11,0,0),0)</f>
        <v>4056208</v>
      </c>
      <c r="R11" s="39">
        <f>-ROUND(PPMT($C$3,$P$4,$C$2,$C11,0,0),0)</f>
        <v>4141389</v>
      </c>
      <c r="S11" s="39">
        <f>-ROUND(PPMT($C$3,$Q$4,$C$2,$C11,0,0),0)</f>
        <v>4228358</v>
      </c>
      <c r="T11" s="39">
        <f>-ROUND(PPMT($C$3,$R$4,$C$2,$C11,0,0),0)</f>
        <v>4317154</v>
      </c>
      <c r="U11" s="39">
        <f>-ROUND(PPMT($C$3,$S$4,$C$2,$C11,0,0),0)</f>
        <v>4407814</v>
      </c>
      <c r="V11" s="39">
        <f>-ROUND(PPMT($C$3,$T$4,$C$2,$C11,0,0),0)</f>
        <v>4500378</v>
      </c>
      <c r="W11" s="39">
        <f>-ROUND(PPMT($C$3,$U$4,$C$2,$C11,0,0),0)</f>
        <v>4594886</v>
      </c>
      <c r="X11" s="39">
        <f>-ROUND(PPMT($C$3,$V$4,$C$2,$C11,0,0),0)</f>
        <v>4691378</v>
      </c>
      <c r="Y11" s="39">
        <f>-ROUND(PPMT($C$3,$W$4,$C$2,$C11,0,0),0)</f>
        <v>4789897</v>
      </c>
      <c r="Z11" s="39">
        <f>-ROUND(PPMT($C$3,$X$4,$C$2,$C11,0,0),0)</f>
        <v>4890485</v>
      </c>
      <c r="AA11" s="39">
        <f>-ROUND(PPMT($C$3,$Y$4,$C$2,$C11,0,0),0)</f>
        <v>4993185</v>
      </c>
      <c r="AB11" s="39">
        <f>-ROUND(PPMT($C$3,$Z$4,$C$2,$C11,0,0),0)</f>
        <v>5098042</v>
      </c>
      <c r="AC11" s="39">
        <f>-ROUND(PPMT($C$3,$AA$4,$C$2,$C11,0,0),0)</f>
        <v>5205101</v>
      </c>
      <c r="AD11" s="39">
        <f>-ROUND(PPMT($C$3,$AB$4,$C$2,$C11,0,0),0)</f>
        <v>5314408</v>
      </c>
      <c r="AE11" s="39">
        <f>-ROUND(PPMT($C$3,$AC$4,$C$2,$C11,0,0),0)</f>
        <v>5426011</v>
      </c>
      <c r="AF11" s="39">
        <f>-ROUND(PPMT($C$3,$AD$4,$C$2,$C11,0,0),0)</f>
        <v>5539957</v>
      </c>
      <c r="AG11" s="39">
        <f>-ROUND(PPMT($C$3,$AE$4,$C$2,$C11,0,0),0)</f>
        <v>5656296</v>
      </c>
      <c r="AH11" s="39">
        <f>-ROUND(PPMT($C$3,$AF$4,$C$2,$C11,0,0),0)</f>
        <v>5775078</v>
      </c>
      <c r="AI11" s="39">
        <f>-ROUND(PPMT($C$3,$AG$4,$C$2,$C11,0,0),0)</f>
        <v>5896355</v>
      </c>
      <c r="AJ11" s="39">
        <f>-ROUND(PPMT($C$3,$AH$4,$C$2,$C11,0,0),0)</f>
        <v>6020179</v>
      </c>
      <c r="AK11" s="39">
        <f>-ROUND(PPMT($C$3,$AI$4,$C$2,$C11,0,0),0)</f>
        <v>6146602</v>
      </c>
      <c r="AL11" s="39">
        <f>-ROUND(PPMT($C$3,$AJ$4,$C$2,$C11,0,0),0)</f>
        <v>6275681</v>
      </c>
      <c r="AM11" s="39">
        <f>-ROUND(PPMT($C$3,$AK$4,$C$2,$C11,0,0),0)</f>
        <v>6407470</v>
      </c>
      <c r="AN11" s="39">
        <f>-ROUND(PPMT($C$3,$AL$4,$C$2,$C11,0,0),0)</f>
        <v>6542027</v>
      </c>
      <c r="AO11" s="39">
        <f>-ROUND(PPMT($C$3,$AM$4,$C$2,$C11,0,0),0)</f>
        <v>6679410</v>
      </c>
      <c r="AP11" s="39">
        <f>-ROUND(PPMT($C$3,$AN$4,$C$2,$C11,0,0),0)</f>
        <v>6819677</v>
      </c>
      <c r="AQ11" s="39">
        <f>-ROUND(PPMT($C$3,$AO$4,$C$2,$C11,0,0),0)</f>
        <v>6962890</v>
      </c>
      <c r="AR11" s="39">
        <f>-ROUND(PPMT($C$3,$AP$4,$C$2,$C11,0,0),0)</f>
        <v>7109111</v>
      </c>
      <c r="AS11" s="39">
        <f>-ROUND(PPMT($C$3,$AQ$4,$C$2,$C11,0,0),0)</f>
        <v>7258403</v>
      </c>
      <c r="AT11" s="39">
        <f>-ROUND(PPMT($C$3,$AR$4,$C$2,$C11,0,0),0)</f>
        <v>7410829</v>
      </c>
      <c r="AU11" s="39"/>
      <c r="AV11" s="39"/>
      <c r="AW11" s="39"/>
      <c r="AX11" s="39"/>
      <c r="AY11" s="39"/>
      <c r="AZ11" s="39"/>
      <c r="BA11" s="39"/>
      <c r="BB11" s="39"/>
    </row>
    <row r="12" spans="2:54">
      <c r="B12" s="4"/>
      <c r="C12" s="133"/>
      <c r="D12" s="39" t="s">
        <v>583</v>
      </c>
      <c r="E12" s="40"/>
      <c r="F12" s="40"/>
      <c r="G12" s="39">
        <f>-ROUND(IPMT($C$3,$E$4,$C$2,$C11,0,0),0)</f>
        <v>4271400</v>
      </c>
      <c r="H12" s="39">
        <f>-ROUND(IPMT($C$3,$F$4,$C$2,$C11,0,0),0)</f>
        <v>4202204</v>
      </c>
      <c r="I12" s="39">
        <f>-ROUND(IPMT($C$3,$G$4,$C$2,$C11,0,0),0)</f>
        <v>4131555</v>
      </c>
      <c r="J12" s="39">
        <f>-ROUND(IPMT($C$3,$H$4,$C$2,$C11,0,0),0)</f>
        <v>4059422</v>
      </c>
      <c r="K12" s="39">
        <f>-ROUND(IPMT($C$3,$I$4,$C$2,$C11,0,0),0)</f>
        <v>3985774</v>
      </c>
      <c r="L12" s="39">
        <f>-ROUND(IPMT($C$3,$J$4,$C$2,$C11,0,0),0)</f>
        <v>3910580</v>
      </c>
      <c r="M12" s="39">
        <f>-ROUND(IPMT($C$3,$K$4,$C$2,$C11,0,0),0)</f>
        <v>3833806</v>
      </c>
      <c r="N12" s="39">
        <f>-ROUND(IPMT($C$3,$L$4,$C$2,$C11,0,0),0)</f>
        <v>3755420</v>
      </c>
      <c r="O12" s="39">
        <f>-ROUND(IPMT($C$3,$M$4,$C$2,$C11,0,0),0)</f>
        <v>3675389</v>
      </c>
      <c r="P12" s="39">
        <f>-ROUND(IPMT($C$3,$N$4,$C$2,$C11,0,0),0)</f>
        <v>3593676</v>
      </c>
      <c r="Q12" s="39">
        <f>-ROUND(IPMT($C$3,$O$4,$C$2,$C11,0,0),0)</f>
        <v>3510248</v>
      </c>
      <c r="R12" s="39">
        <f>-ROUND(IPMT($C$3,$P$4,$C$2,$C11,0,0),0)</f>
        <v>3425068</v>
      </c>
      <c r="S12" s="39">
        <f>-ROUND(IPMT($C$3,$Q$4,$C$2,$C11,0,0),0)</f>
        <v>3338098</v>
      </c>
      <c r="T12" s="39">
        <f>-ROUND(IPMT($C$3,$R$4,$C$2,$C11,0,0),0)</f>
        <v>3249303</v>
      </c>
      <c r="U12" s="39">
        <f>-ROUND(IPMT($C$3,$S$4,$C$2,$C11,0,0),0)</f>
        <v>3158643</v>
      </c>
      <c r="V12" s="39">
        <f>-ROUND(IPMT($C$3,$T$4,$C$2,$C11,0,0),0)</f>
        <v>3066079</v>
      </c>
      <c r="W12" s="39">
        <f>-ROUND(IPMT($C$3,$U$4,$C$2,$C11,0,0),0)</f>
        <v>2971571</v>
      </c>
      <c r="X12" s="39">
        <f>-ROUND(IPMT($C$3,$V$4,$C$2,$C11,0,0),0)</f>
        <v>2875078</v>
      </c>
      <c r="Y12" s="39">
        <f>-ROUND(IPMT($C$3,$W$4,$C$2,$C11,0,0),0)</f>
        <v>2776559</v>
      </c>
      <c r="Z12" s="39">
        <f>-ROUND(IPMT($C$3,$X$4,$C$2,$C11,0,0),0)</f>
        <v>2675971</v>
      </c>
      <c r="AA12" s="39">
        <f>-ROUND(IPMT($C$3,$Y$4,$C$2,$C11,0,0),0)</f>
        <v>2573271</v>
      </c>
      <c r="AB12" s="39">
        <f>-ROUND(IPMT($C$3,$Z$4,$C$2,$C11,0,0),0)</f>
        <v>2468414</v>
      </c>
      <c r="AC12" s="39">
        <f>-ROUND(IPMT($C$3,$AA$4,$C$2,$C11,0,0),0)</f>
        <v>2361355</v>
      </c>
      <c r="AD12" s="39">
        <f>-ROUND(IPMT($C$3,$AB$4,$C$2,$C11,0,0),0)</f>
        <v>2252048</v>
      </c>
      <c r="AE12" s="39">
        <f>-ROUND(IPMT($C$3,$AC$4,$C$2,$C11,0,0),0)</f>
        <v>2140446</v>
      </c>
      <c r="AF12" s="39">
        <f>-ROUND(IPMT($C$3,$AD$4,$C$2,$C11,0,0),0)</f>
        <v>2026499</v>
      </c>
      <c r="AG12" s="39">
        <f>-ROUND(IPMT($C$3,$AE$4,$C$2,$C11,0,0),0)</f>
        <v>1910160</v>
      </c>
      <c r="AH12" s="39">
        <f>-ROUND(IPMT($C$3,$AF$4,$C$2,$C11,0,0),0)</f>
        <v>1791378</v>
      </c>
      <c r="AI12" s="39">
        <f>-ROUND(IPMT($C$3,$AG$4,$C$2,$C11,0,0),0)</f>
        <v>1670101</v>
      </c>
      <c r="AJ12" s="39">
        <f>-ROUND(IPMT($C$3,$AH$4,$C$2,$C11,0,0),0)</f>
        <v>1546278</v>
      </c>
      <c r="AK12" s="39">
        <f>-ROUND(IPMT($C$3,$AI$4,$C$2,$C11,0,0),0)</f>
        <v>1419854</v>
      </c>
      <c r="AL12" s="39">
        <f>-ROUND(IPMT($C$3,$AJ$4,$C$2,$C11,0,0),0)</f>
        <v>1290775</v>
      </c>
      <c r="AM12" s="39">
        <f>-ROUND(IPMT($C$3,$AK$4,$C$2,$C11,0,0),0)</f>
        <v>1158986</v>
      </c>
      <c r="AN12" s="39">
        <f>-ROUND(IPMT($C$3,$AL$4,$C$2,$C11,0,0),0)</f>
        <v>1024429</v>
      </c>
      <c r="AO12" s="39">
        <f>-ROUND(IPMT($C$3,$AM$4,$C$2,$C11,0,0),0)</f>
        <v>887047</v>
      </c>
      <c r="AP12" s="39">
        <f>-ROUND(IPMT($C$3,$AN$4,$C$2,$C11,0,0),0)</f>
        <v>746779</v>
      </c>
      <c r="AQ12" s="39">
        <f>-ROUND(IPMT($C$3,$AO$4,$C$2,$C11,0,0),0)</f>
        <v>603566</v>
      </c>
      <c r="AR12" s="39">
        <f>-ROUND(IPMT($C$3,$AP$4,$C$2,$C11,0,0),0)</f>
        <v>457345</v>
      </c>
      <c r="AS12" s="39">
        <f>-ROUND(IPMT($C$3,$AQ$4,$C$2,$C11,0,0),0)</f>
        <v>308054</v>
      </c>
      <c r="AT12" s="39">
        <f>-ROUND(IPMT($C$3,$AR$4,$C$2,$C11,0,0),0)</f>
        <v>155627</v>
      </c>
      <c r="AU12" s="39"/>
      <c r="AV12" s="39"/>
      <c r="AW12" s="39"/>
      <c r="AX12" s="39"/>
      <c r="AY12" s="39"/>
      <c r="AZ12" s="39"/>
      <c r="BA12" s="39"/>
      <c r="BB12" s="39"/>
    </row>
    <row r="13" spans="2:54">
      <c r="B13" s="3"/>
      <c r="C13" s="134"/>
      <c r="D13" s="39" t="s">
        <v>339</v>
      </c>
      <c r="E13" s="40"/>
      <c r="F13" s="64">
        <f>$C11</f>
        <v>203400000</v>
      </c>
      <c r="G13" s="39">
        <f>$C11-G11</f>
        <v>200104944</v>
      </c>
      <c r="H13" s="39">
        <f>G13-H11</f>
        <v>196740691</v>
      </c>
      <c r="I13" s="39">
        <f t="shared" ref="I13:AT13" si="3">H13-I11</f>
        <v>193305789</v>
      </c>
      <c r="J13" s="39">
        <f t="shared" si="3"/>
        <v>189798754</v>
      </c>
      <c r="K13" s="39">
        <f t="shared" si="3"/>
        <v>186218071</v>
      </c>
      <c r="L13" s="39">
        <f t="shared" si="3"/>
        <v>182562194</v>
      </c>
      <c r="M13" s="39">
        <f t="shared" si="3"/>
        <v>178829544</v>
      </c>
      <c r="N13" s="39">
        <f t="shared" si="3"/>
        <v>175018508</v>
      </c>
      <c r="O13" s="39">
        <f t="shared" si="3"/>
        <v>171127440</v>
      </c>
      <c r="P13" s="39">
        <f t="shared" si="3"/>
        <v>167154660</v>
      </c>
      <c r="Q13" s="39">
        <f t="shared" si="3"/>
        <v>163098452</v>
      </c>
      <c r="R13" s="39">
        <f t="shared" si="3"/>
        <v>158957063</v>
      </c>
      <c r="S13" s="39">
        <f t="shared" si="3"/>
        <v>154728705</v>
      </c>
      <c r="T13" s="39">
        <f t="shared" si="3"/>
        <v>150411551</v>
      </c>
      <c r="U13" s="39">
        <f t="shared" si="3"/>
        <v>146003737</v>
      </c>
      <c r="V13" s="39">
        <f t="shared" si="3"/>
        <v>141503359</v>
      </c>
      <c r="W13" s="39">
        <f t="shared" si="3"/>
        <v>136908473</v>
      </c>
      <c r="X13" s="39">
        <f t="shared" si="3"/>
        <v>132217095</v>
      </c>
      <c r="Y13" s="39">
        <f t="shared" si="3"/>
        <v>127427198</v>
      </c>
      <c r="Z13" s="39">
        <f t="shared" si="3"/>
        <v>122536713</v>
      </c>
      <c r="AA13" s="39">
        <f t="shared" si="3"/>
        <v>117543528</v>
      </c>
      <c r="AB13" s="39">
        <f t="shared" si="3"/>
        <v>112445486</v>
      </c>
      <c r="AC13" s="39">
        <f t="shared" si="3"/>
        <v>107240385</v>
      </c>
      <c r="AD13" s="39">
        <f t="shared" si="3"/>
        <v>101925977</v>
      </c>
      <c r="AE13" s="39">
        <f t="shared" si="3"/>
        <v>96499966</v>
      </c>
      <c r="AF13" s="39">
        <f t="shared" si="3"/>
        <v>90960009</v>
      </c>
      <c r="AG13" s="39">
        <f t="shared" si="3"/>
        <v>85303713</v>
      </c>
      <c r="AH13" s="39">
        <f t="shared" si="3"/>
        <v>79528635</v>
      </c>
      <c r="AI13" s="39">
        <f t="shared" si="3"/>
        <v>73632280</v>
      </c>
      <c r="AJ13" s="39">
        <f t="shared" si="3"/>
        <v>67612101</v>
      </c>
      <c r="AK13" s="39">
        <f t="shared" si="3"/>
        <v>61465499</v>
      </c>
      <c r="AL13" s="39">
        <f t="shared" si="3"/>
        <v>55189818</v>
      </c>
      <c r="AM13" s="39">
        <f t="shared" si="3"/>
        <v>48782348</v>
      </c>
      <c r="AN13" s="39">
        <f t="shared" si="3"/>
        <v>42240321</v>
      </c>
      <c r="AO13" s="39">
        <f t="shared" si="3"/>
        <v>35560911</v>
      </c>
      <c r="AP13" s="39">
        <f t="shared" si="3"/>
        <v>28741234</v>
      </c>
      <c r="AQ13" s="39">
        <f t="shared" si="3"/>
        <v>21778344</v>
      </c>
      <c r="AR13" s="39">
        <f t="shared" si="3"/>
        <v>14669233</v>
      </c>
      <c r="AS13" s="39">
        <f t="shared" si="3"/>
        <v>7410830</v>
      </c>
      <c r="AT13" s="39">
        <f t="shared" si="3"/>
        <v>1</v>
      </c>
      <c r="AU13" s="39"/>
      <c r="AV13" s="39"/>
      <c r="AW13" s="39"/>
      <c r="AX13" s="39"/>
      <c r="AY13" s="39"/>
      <c r="AZ13" s="39"/>
      <c r="BA13" s="39"/>
      <c r="BB13" s="39"/>
    </row>
    <row r="14" spans="2:54">
      <c r="B14" s="2" t="s">
        <v>712</v>
      </c>
      <c r="C14" s="132">
        <f>【成行】財政シミュ!V74</f>
        <v>448670000</v>
      </c>
      <c r="D14" s="39" t="s">
        <v>582</v>
      </c>
      <c r="E14" s="40"/>
      <c r="F14" s="40"/>
      <c r="G14" s="40"/>
      <c r="H14" s="39">
        <f>-ROUND(PPMT($C$3,$E$4,$C$2,$C14,0,0),0)</f>
        <v>7268402</v>
      </c>
      <c r="I14" s="39">
        <f>-ROUND(PPMT($C$3,$F$4,$C$2,$C14,0,0),0)</f>
        <v>7421038</v>
      </c>
      <c r="J14" s="39">
        <f>-ROUND(PPMT($C$3,$G$4,$C$2,$C14,0,0),0)</f>
        <v>7576880</v>
      </c>
      <c r="K14" s="39">
        <f>-ROUND(PPMT($C$3,$H$4,$C$2,$C14,0,0),0)</f>
        <v>7735995</v>
      </c>
      <c r="L14" s="39">
        <f>-ROUND(PPMT($C$3,$I$4,$C$2,$C14,0,0),0)</f>
        <v>7898450</v>
      </c>
      <c r="M14" s="39">
        <f>-ROUND(PPMT($C$3,$J$4,$C$2,$C14,0,0),0)</f>
        <v>8064318</v>
      </c>
      <c r="N14" s="39">
        <f>-ROUND(PPMT($C$3,$K$4,$C$2,$C14,0,0),0)</f>
        <v>8233669</v>
      </c>
      <c r="O14" s="39">
        <f>-ROUND(PPMT($C$3,$L$4,$C$2,$C14,0,0),0)</f>
        <v>8406576</v>
      </c>
      <c r="P14" s="39">
        <f>-ROUND(PPMT($C$3,$M$4,$C$2,$C14,0,0),0)</f>
        <v>8583114</v>
      </c>
      <c r="Q14" s="39">
        <f>-ROUND(PPMT($C$3,$N$4,$C$2,$C14,0,0),0)</f>
        <v>8763359</v>
      </c>
      <c r="R14" s="39">
        <f>-ROUND(PPMT($C$3,$O$4,$C$2,$C14,0,0),0)</f>
        <v>8947390</v>
      </c>
      <c r="S14" s="39">
        <f>-ROUND(PPMT($C$3,$P$4,$C$2,$C14,0,0),0)</f>
        <v>9135285</v>
      </c>
      <c r="T14" s="39">
        <f>-ROUND(PPMT($C$3,$Q$4,$C$2,$C14,0,0),0)</f>
        <v>9327126</v>
      </c>
      <c r="U14" s="39">
        <f>-ROUND(PPMT($C$3,$R$4,$C$2,$C14,0,0),0)</f>
        <v>9522995</v>
      </c>
      <c r="V14" s="39">
        <f>-ROUND(PPMT($C$3,$S$4,$C$2,$C14,0,0),0)</f>
        <v>9722978</v>
      </c>
      <c r="W14" s="39">
        <f>-ROUND(PPMT($C$3,$T$4,$C$2,$C14,0,0),0)</f>
        <v>9927161</v>
      </c>
      <c r="X14" s="39">
        <f>-ROUND(PPMT($C$3,$U$4,$C$2,$C14,0,0),0)</f>
        <v>10135631</v>
      </c>
      <c r="Y14" s="39">
        <f>-ROUND(PPMT($C$3,$V$4,$C$2,$C14,0,0),0)</f>
        <v>10348480</v>
      </c>
      <c r="Z14" s="39">
        <f>-ROUND(PPMT($C$3,$W$4,$C$2,$C14,0,0),0)</f>
        <v>10565798</v>
      </c>
      <c r="AA14" s="39">
        <f>-ROUND(PPMT($C$3,$X$4,$C$2,$C14,0,0),0)</f>
        <v>10787679</v>
      </c>
      <c r="AB14" s="39">
        <f>-ROUND(PPMT($C$3,$Y$4,$C$2,$C14,0,0),0)</f>
        <v>11014221</v>
      </c>
      <c r="AC14" s="39">
        <f>-ROUND(PPMT($C$3,$Z$4,$C$2,$C14,0,0),0)</f>
        <v>11245519</v>
      </c>
      <c r="AD14" s="39">
        <f>-ROUND(PPMT($C$3,$AA$4,$C$2,$C14,0,0),0)</f>
        <v>11481675</v>
      </c>
      <c r="AE14" s="39">
        <f>-ROUND(PPMT($C$3,$AB$4,$C$2,$C14,0,0),0)</f>
        <v>11722790</v>
      </c>
      <c r="AF14" s="39">
        <f>-ROUND(PPMT($C$3,$AC$4,$C$2,$C14,0,0),0)</f>
        <v>11968969</v>
      </c>
      <c r="AG14" s="39">
        <f>-ROUND(PPMT($C$3,$AD$4,$C$2,$C14,0,0),0)</f>
        <v>12220317</v>
      </c>
      <c r="AH14" s="39">
        <f>-ROUND(PPMT($C$3,$AE$4,$C$2,$C14,0,0),0)</f>
        <v>12476944</v>
      </c>
      <c r="AI14" s="39">
        <f>-ROUND(PPMT($C$3,$AF$4,$C$2,$C14,0,0),0)</f>
        <v>12738960</v>
      </c>
      <c r="AJ14" s="39">
        <f>-ROUND(PPMT($C$3,$AG$4,$C$2,$C14,0,0),0)</f>
        <v>13006478</v>
      </c>
      <c r="AK14" s="39">
        <f>-ROUND(PPMT($C$3,$AH$4,$C$2,$C14,0,0),0)</f>
        <v>13279614</v>
      </c>
      <c r="AL14" s="39">
        <f>-ROUND(PPMT($C$3,$AI$4,$C$2,$C14,0,0),0)</f>
        <v>13558486</v>
      </c>
      <c r="AM14" s="39">
        <f>-ROUND(PPMT($C$3,$AJ$4,$C$2,$C14,0,0),0)</f>
        <v>13843214</v>
      </c>
      <c r="AN14" s="39">
        <f>-ROUND(PPMT($C$3,$AK$4,$C$2,$C14,0,0),0)</f>
        <v>14133922</v>
      </c>
      <c r="AO14" s="39">
        <f>-ROUND(PPMT($C$3,$AL$4,$C$2,$C14,0,0),0)</f>
        <v>14430734</v>
      </c>
      <c r="AP14" s="39">
        <f>-ROUND(PPMT($C$3,$AM$4,$C$2,$C14,0,0),0)</f>
        <v>14733779</v>
      </c>
      <c r="AQ14" s="39">
        <f>-ROUND(PPMT($C$3,$AN$4,$C$2,$C14,0,0),0)</f>
        <v>15043189</v>
      </c>
      <c r="AR14" s="39">
        <f>-ROUND(PPMT($C$3,$AO$4,$C$2,$C14,0,0),0)</f>
        <v>15359096</v>
      </c>
      <c r="AS14" s="39">
        <f>-ROUND(PPMT($C$3,$AP$4,$C$2,$C14,0,0),0)</f>
        <v>15681637</v>
      </c>
      <c r="AT14" s="39">
        <f>-ROUND(PPMT($C$3,$AQ$4,$C$2,$C14,0,0),0)</f>
        <v>16010951</v>
      </c>
      <c r="AU14" s="39">
        <f>-ROUND(PPMT($C$3,$AR$4,$C$2,$C14,0,0),0)</f>
        <v>16347181</v>
      </c>
      <c r="AV14" s="39"/>
      <c r="AW14" s="39"/>
      <c r="AX14" s="39"/>
      <c r="AY14" s="39"/>
      <c r="AZ14" s="39"/>
      <c r="BA14" s="39"/>
      <c r="BB14" s="39"/>
    </row>
    <row r="15" spans="2:54">
      <c r="B15" s="4"/>
      <c r="C15" s="133"/>
      <c r="D15" s="39" t="s">
        <v>583</v>
      </c>
      <c r="E15" s="40"/>
      <c r="F15" s="40"/>
      <c r="G15" s="40"/>
      <c r="H15" s="39">
        <f>-ROUND(IPMT($C$3,$E$4,$C$2,$C14,0,0),0)</f>
        <v>9422070</v>
      </c>
      <c r="I15" s="39">
        <f>-ROUND(IPMT($C$3,$F$4,$C$2,$C14,0,0),0)</f>
        <v>9269434</v>
      </c>
      <c r="J15" s="39">
        <f>-ROUND(IPMT($C$3,$G$4,$C$2,$C14,0,0),0)</f>
        <v>9113592</v>
      </c>
      <c r="K15" s="39">
        <f>-ROUND(IPMT($C$3,$H$4,$C$2,$C14,0,0),0)</f>
        <v>8954477</v>
      </c>
      <c r="L15" s="39">
        <f>-ROUND(IPMT($C$3,$I$4,$C$2,$C14,0,0),0)</f>
        <v>8792021</v>
      </c>
      <c r="M15" s="39">
        <f>-ROUND(IPMT($C$3,$J$4,$C$2,$C14,0,0),0)</f>
        <v>8626154</v>
      </c>
      <c r="N15" s="39">
        <f>-ROUND(IPMT($C$3,$K$4,$C$2,$C14,0,0),0)</f>
        <v>8456803</v>
      </c>
      <c r="O15" s="39">
        <f>-ROUND(IPMT($C$3,$L$4,$C$2,$C14,0,0),0)</f>
        <v>8283896</v>
      </c>
      <c r="P15" s="39">
        <f>-ROUND(IPMT($C$3,$M$4,$C$2,$C14,0,0),0)</f>
        <v>8107358</v>
      </c>
      <c r="Q15" s="39">
        <f>-ROUND(IPMT($C$3,$N$4,$C$2,$C14,0,0),0)</f>
        <v>7927113</v>
      </c>
      <c r="R15" s="39">
        <f>-ROUND(IPMT($C$3,$O$4,$C$2,$C14,0,0),0)</f>
        <v>7743082</v>
      </c>
      <c r="S15" s="39">
        <f>-ROUND(IPMT($C$3,$P$4,$C$2,$C14,0,0),0)</f>
        <v>7555187</v>
      </c>
      <c r="T15" s="39">
        <f>-ROUND(IPMT($C$3,$Q$4,$C$2,$C14,0,0),0)</f>
        <v>7363346</v>
      </c>
      <c r="U15" s="39">
        <f>-ROUND(IPMT($C$3,$R$4,$C$2,$C14,0,0),0)</f>
        <v>7167476</v>
      </c>
      <c r="V15" s="39">
        <f>-ROUND(IPMT($C$3,$S$4,$C$2,$C14,0,0),0)</f>
        <v>6967493</v>
      </c>
      <c r="W15" s="39">
        <f>-ROUND(IPMT($C$3,$T$4,$C$2,$C14,0,0),0)</f>
        <v>6763311</v>
      </c>
      <c r="X15" s="39">
        <f>-ROUND(IPMT($C$3,$U$4,$C$2,$C14,0,0),0)</f>
        <v>6554841</v>
      </c>
      <c r="Y15" s="39">
        <f>-ROUND(IPMT($C$3,$V$4,$C$2,$C14,0,0),0)</f>
        <v>6341992</v>
      </c>
      <c r="Z15" s="39">
        <f>-ROUND(IPMT($C$3,$W$4,$C$2,$C14,0,0),0)</f>
        <v>6124674</v>
      </c>
      <c r="AA15" s="39">
        <f>-ROUND(IPMT($C$3,$X$4,$C$2,$C14,0,0),0)</f>
        <v>5902792</v>
      </c>
      <c r="AB15" s="39">
        <f>-ROUND(IPMT($C$3,$Y$4,$C$2,$C14,0,0),0)</f>
        <v>5676251</v>
      </c>
      <c r="AC15" s="39">
        <f>-ROUND(IPMT($C$3,$Z$4,$C$2,$C14,0,0),0)</f>
        <v>5444953</v>
      </c>
      <c r="AD15" s="39">
        <f>-ROUND(IPMT($C$3,$AA$4,$C$2,$C14,0,0),0)</f>
        <v>5208797</v>
      </c>
      <c r="AE15" s="39">
        <f>-ROUND(IPMT($C$3,$AB$4,$C$2,$C14,0,0),0)</f>
        <v>4967681</v>
      </c>
      <c r="AF15" s="39">
        <f>-ROUND(IPMT($C$3,$AC$4,$C$2,$C14,0,0),0)</f>
        <v>4721503</v>
      </c>
      <c r="AG15" s="39">
        <f>-ROUND(IPMT($C$3,$AD$4,$C$2,$C14,0,0),0)</f>
        <v>4470155</v>
      </c>
      <c r="AH15" s="39">
        <f>-ROUND(IPMT($C$3,$AE$4,$C$2,$C14,0,0),0)</f>
        <v>4213528</v>
      </c>
      <c r="AI15" s="39">
        <f>-ROUND(IPMT($C$3,$AF$4,$C$2,$C14,0,0),0)</f>
        <v>3951512</v>
      </c>
      <c r="AJ15" s="39">
        <f>-ROUND(IPMT($C$3,$AG$4,$C$2,$C14,0,0),0)</f>
        <v>3683994</v>
      </c>
      <c r="AK15" s="39">
        <f>-ROUND(IPMT($C$3,$AH$4,$C$2,$C14,0,0),0)</f>
        <v>3410858</v>
      </c>
      <c r="AL15" s="39">
        <f>-ROUND(IPMT($C$3,$AI$4,$C$2,$C14,0,0),0)</f>
        <v>3131986</v>
      </c>
      <c r="AM15" s="39">
        <f>-ROUND(IPMT($C$3,$AJ$4,$C$2,$C14,0,0),0)</f>
        <v>2847258</v>
      </c>
      <c r="AN15" s="39">
        <f>-ROUND(IPMT($C$3,$AK$4,$C$2,$C14,0,0),0)</f>
        <v>2556550</v>
      </c>
      <c r="AO15" s="39">
        <f>-ROUND(IPMT($C$3,$AL$4,$C$2,$C14,0,0),0)</f>
        <v>2259738</v>
      </c>
      <c r="AP15" s="39">
        <f>-ROUND(IPMT($C$3,$AM$4,$C$2,$C14,0,0),0)</f>
        <v>1956692</v>
      </c>
      <c r="AQ15" s="39">
        <f>-ROUND(IPMT($C$3,$AN$4,$C$2,$C14,0,0),0)</f>
        <v>1647283</v>
      </c>
      <c r="AR15" s="39">
        <f>-ROUND(IPMT($C$3,$AO$4,$C$2,$C14,0,0),0)</f>
        <v>1331376</v>
      </c>
      <c r="AS15" s="39">
        <f>-ROUND(IPMT($C$3,$AP$4,$C$2,$C14,0,0),0)</f>
        <v>1008835</v>
      </c>
      <c r="AT15" s="39">
        <f>-ROUND(IPMT($C$3,$AQ$4,$C$2,$C14,0,0),0)</f>
        <v>679521</v>
      </c>
      <c r="AU15" s="39">
        <f>-ROUND(IPMT($C$3,$AR$4,$C$2,$C14,0,0),0)</f>
        <v>343291</v>
      </c>
      <c r="AV15" s="39"/>
      <c r="AW15" s="39"/>
      <c r="AX15" s="39"/>
      <c r="AY15" s="39"/>
      <c r="AZ15" s="39"/>
      <c r="BA15" s="39"/>
      <c r="BB15" s="39"/>
    </row>
    <row r="16" spans="2:54">
      <c r="B16" s="3"/>
      <c r="C16" s="134"/>
      <c r="D16" s="39" t="s">
        <v>339</v>
      </c>
      <c r="E16" s="40"/>
      <c r="F16" s="40"/>
      <c r="G16" s="64">
        <f>$C14</f>
        <v>448670000</v>
      </c>
      <c r="H16" s="39">
        <f>$C14-H14</f>
        <v>441401598</v>
      </c>
      <c r="I16" s="39">
        <f>H16-I14</f>
        <v>433980560</v>
      </c>
      <c r="J16" s="39">
        <f t="shared" ref="J16:O16" si="4">I16-J14</f>
        <v>426403680</v>
      </c>
      <c r="K16" s="39">
        <f t="shared" si="4"/>
        <v>418667685</v>
      </c>
      <c r="L16" s="39">
        <f t="shared" si="4"/>
        <v>410769235</v>
      </c>
      <c r="M16" s="39">
        <f t="shared" si="4"/>
        <v>402704917</v>
      </c>
      <c r="N16" s="39">
        <f t="shared" si="4"/>
        <v>394471248</v>
      </c>
      <c r="O16" s="39">
        <f t="shared" si="4"/>
        <v>386064672</v>
      </c>
      <c r="P16" s="39">
        <f t="shared" ref="P16:AU16" si="5">O16-P14</f>
        <v>377481558</v>
      </c>
      <c r="Q16" s="39">
        <f t="shared" si="5"/>
        <v>368718199</v>
      </c>
      <c r="R16" s="39">
        <f t="shared" si="5"/>
        <v>359770809</v>
      </c>
      <c r="S16" s="39">
        <f t="shared" si="5"/>
        <v>350635524</v>
      </c>
      <c r="T16" s="39">
        <f t="shared" si="5"/>
        <v>341308398</v>
      </c>
      <c r="U16" s="39">
        <f t="shared" si="5"/>
        <v>331785403</v>
      </c>
      <c r="V16" s="39">
        <f t="shared" si="5"/>
        <v>322062425</v>
      </c>
      <c r="W16" s="39">
        <f t="shared" si="5"/>
        <v>312135264</v>
      </c>
      <c r="X16" s="39">
        <f t="shared" si="5"/>
        <v>301999633</v>
      </c>
      <c r="Y16" s="39">
        <f t="shared" si="5"/>
        <v>291651153</v>
      </c>
      <c r="Z16" s="39">
        <f t="shared" si="5"/>
        <v>281085355</v>
      </c>
      <c r="AA16" s="39">
        <f t="shared" si="5"/>
        <v>270297676</v>
      </c>
      <c r="AB16" s="39">
        <f t="shared" si="5"/>
        <v>259283455</v>
      </c>
      <c r="AC16" s="39">
        <f t="shared" si="5"/>
        <v>248037936</v>
      </c>
      <c r="AD16" s="39">
        <f t="shared" si="5"/>
        <v>236556261</v>
      </c>
      <c r="AE16" s="39">
        <f t="shared" si="5"/>
        <v>224833471</v>
      </c>
      <c r="AF16" s="39">
        <f t="shared" si="5"/>
        <v>212864502</v>
      </c>
      <c r="AG16" s="39">
        <f t="shared" si="5"/>
        <v>200644185</v>
      </c>
      <c r="AH16" s="39">
        <f t="shared" si="5"/>
        <v>188167241</v>
      </c>
      <c r="AI16" s="39">
        <f t="shared" si="5"/>
        <v>175428281</v>
      </c>
      <c r="AJ16" s="39">
        <f t="shared" si="5"/>
        <v>162421803</v>
      </c>
      <c r="AK16" s="39">
        <f t="shared" si="5"/>
        <v>149142189</v>
      </c>
      <c r="AL16" s="39">
        <f t="shared" si="5"/>
        <v>135583703</v>
      </c>
      <c r="AM16" s="39">
        <f t="shared" si="5"/>
        <v>121740489</v>
      </c>
      <c r="AN16" s="39">
        <f t="shared" si="5"/>
        <v>107606567</v>
      </c>
      <c r="AO16" s="39">
        <f t="shared" si="5"/>
        <v>93175833</v>
      </c>
      <c r="AP16" s="39">
        <f t="shared" si="5"/>
        <v>78442054</v>
      </c>
      <c r="AQ16" s="39">
        <f t="shared" si="5"/>
        <v>63398865</v>
      </c>
      <c r="AR16" s="39">
        <f t="shared" si="5"/>
        <v>48039769</v>
      </c>
      <c r="AS16" s="39">
        <f t="shared" si="5"/>
        <v>32358132</v>
      </c>
      <c r="AT16" s="39">
        <f t="shared" si="5"/>
        <v>16347181</v>
      </c>
      <c r="AU16" s="39">
        <f t="shared" si="5"/>
        <v>0</v>
      </c>
      <c r="AV16" s="39"/>
      <c r="AW16" s="39"/>
      <c r="AX16" s="39"/>
      <c r="AY16" s="39"/>
      <c r="AZ16" s="39"/>
      <c r="BA16" s="39"/>
      <c r="BB16" s="39"/>
    </row>
    <row r="17" spans="2:54">
      <c r="B17" s="2" t="s">
        <v>713</v>
      </c>
      <c r="C17" s="132">
        <f>【成行】財政シミュ!W74</f>
        <v>402000000</v>
      </c>
      <c r="D17" s="39" t="s">
        <v>582</v>
      </c>
      <c r="E17" s="40"/>
      <c r="F17" s="40"/>
      <c r="G17" s="40"/>
      <c r="H17" s="40"/>
      <c r="I17" s="39">
        <f>-ROUND(PPMT($C$3,$E$4,$C$2,$C17,0,0),0)</f>
        <v>6512353</v>
      </c>
      <c r="J17" s="39">
        <f>-ROUND(PPMT($C$3,$F$4,$C$2,$C17,0,0),0)</f>
        <v>6649113</v>
      </c>
      <c r="K17" s="39">
        <f>-ROUND(PPMT($C$3,$G$4,$C$2,$C17,0,0),0)</f>
        <v>6788744</v>
      </c>
      <c r="L17" s="39">
        <f>-ROUND(PPMT($C$3,$H$4,$C$2,$C17,0,0),0)</f>
        <v>6931308</v>
      </c>
      <c r="M17" s="39">
        <f>-ROUND(PPMT($C$3,$I$4,$C$2,$C17,0,0),0)</f>
        <v>7076865</v>
      </c>
      <c r="N17" s="39">
        <f>-ROUND(PPMT($C$3,$J$4,$C$2,$C17,0,0),0)</f>
        <v>7225479</v>
      </c>
      <c r="O17" s="39">
        <f>-ROUND(PPMT($C$3,$K$4,$C$2,$C17,0,0),0)</f>
        <v>7377214</v>
      </c>
      <c r="P17" s="39">
        <f>-ROUND(PPMT($C$3,$L$4,$C$2,$C17,0,0),0)</f>
        <v>7532136</v>
      </c>
      <c r="Q17" s="39">
        <f>-ROUND(PPMT($C$3,$M$4,$C$2,$C17,0,0),0)</f>
        <v>7690311</v>
      </c>
      <c r="R17" s="39">
        <f>-ROUND(PPMT($C$3,$N$4,$C$2,$C17,0,0),0)</f>
        <v>7851807</v>
      </c>
      <c r="S17" s="39">
        <f>-ROUND(PPMT($C$3,$O$4,$C$2,$C17,0,0),0)</f>
        <v>8016695</v>
      </c>
      <c r="T17" s="39">
        <f>-ROUND(PPMT($C$3,$P$4,$C$2,$C17,0,0),0)</f>
        <v>8185046</v>
      </c>
      <c r="U17" s="39">
        <f>-ROUND(PPMT($C$3,$Q$4,$C$2,$C17,0,0),0)</f>
        <v>8356932</v>
      </c>
      <c r="V17" s="39">
        <f>-ROUND(PPMT($C$3,$R$4,$C$2,$C17,0,0),0)</f>
        <v>8532427</v>
      </c>
      <c r="W17" s="39">
        <f>-ROUND(PPMT($C$3,$S$4,$C$2,$C17,0,0),0)</f>
        <v>8711608</v>
      </c>
      <c r="X17" s="39">
        <f>-ROUND(PPMT($C$3,$T$4,$C$2,$C17,0,0),0)</f>
        <v>8894552</v>
      </c>
      <c r="Y17" s="39">
        <f>-ROUND(PPMT($C$3,$U$4,$C$2,$C17,0,0),0)</f>
        <v>9081338</v>
      </c>
      <c r="Z17" s="39">
        <f>-ROUND(PPMT($C$3,$V$4,$C$2,$C17,0,0),0)</f>
        <v>9272046</v>
      </c>
      <c r="AA17" s="39">
        <f>-ROUND(PPMT($C$3,$W$4,$C$2,$C17,0,0),0)</f>
        <v>9466759</v>
      </c>
      <c r="AB17" s="39">
        <f>-ROUND(PPMT($C$3,$X$4,$C$2,$C17,0,0),0)</f>
        <v>9665561</v>
      </c>
      <c r="AC17" s="39">
        <f>-ROUND(PPMT($C$3,$Y$4,$C$2,$C17,0,0),0)</f>
        <v>9868537</v>
      </c>
      <c r="AD17" s="39">
        <f>-ROUND(PPMT($C$3,$Z$4,$C$2,$C17,0,0),0)</f>
        <v>10075777</v>
      </c>
      <c r="AE17" s="39">
        <f>-ROUND(PPMT($C$3,$AA$4,$C$2,$C17,0,0),0)</f>
        <v>10287368</v>
      </c>
      <c r="AF17" s="39">
        <f>-ROUND(PPMT($C$3,$AB$4,$C$2,$C17,0,0),0)</f>
        <v>10503403</v>
      </c>
      <c r="AG17" s="39">
        <f>-ROUND(PPMT($C$3,$AC$4,$C$2,$C17,0,0),0)</f>
        <v>10723974</v>
      </c>
      <c r="AH17" s="39">
        <f>-ROUND(PPMT($C$3,$AD$4,$C$2,$C17,0,0),0)</f>
        <v>10949178</v>
      </c>
      <c r="AI17" s="39">
        <f>-ROUND(PPMT($C$3,$AE$4,$C$2,$C17,0,0),0)</f>
        <v>11179110</v>
      </c>
      <c r="AJ17" s="39">
        <f>-ROUND(PPMT($C$3,$AF$4,$C$2,$C17,0,0),0)</f>
        <v>11413872</v>
      </c>
      <c r="AK17" s="39">
        <f>-ROUND(PPMT($C$3,$AG$4,$C$2,$C17,0,0),0)</f>
        <v>11653563</v>
      </c>
      <c r="AL17" s="39">
        <f>-ROUND(PPMT($C$3,$AH$4,$C$2,$C17,0,0),0)</f>
        <v>11898288</v>
      </c>
      <c r="AM17" s="39">
        <f>-ROUND(PPMT($C$3,$AI$4,$C$2,$C17,0,0),0)</f>
        <v>12148152</v>
      </c>
      <c r="AN17" s="39">
        <f>-ROUND(PPMT($C$3,$AJ$4,$C$2,$C17,0,0),0)</f>
        <v>12403263</v>
      </c>
      <c r="AO17" s="39">
        <f>-ROUND(PPMT($C$3,$AK$4,$C$2,$C17,0,0),0)</f>
        <v>12663732</v>
      </c>
      <c r="AP17" s="39">
        <f>-ROUND(PPMT($C$3,$AL$4,$C$2,$C17,0,0),0)</f>
        <v>12929670</v>
      </c>
      <c r="AQ17" s="39">
        <f>-ROUND(PPMT($C$3,$AM$4,$C$2,$C17,0,0),0)</f>
        <v>13201193</v>
      </c>
      <c r="AR17" s="39">
        <f>-ROUND(PPMT($C$3,$AN$4,$C$2,$C17,0,0),0)</f>
        <v>13478418</v>
      </c>
      <c r="AS17" s="39">
        <f>-ROUND(PPMT($C$3,$AO$4,$C$2,$C17,0,0),0)</f>
        <v>13761465</v>
      </c>
      <c r="AT17" s="39">
        <f>-ROUND(PPMT($C$3,$AP$4,$C$2,$C17,0,0),0)</f>
        <v>14050456</v>
      </c>
      <c r="AU17" s="39">
        <f>-ROUND(PPMT($C$3,$AQ$4,$C$2,$C17,0,0),0)</f>
        <v>14345515</v>
      </c>
      <c r="AV17" s="39">
        <f>-ROUND(PPMT($C$3,$AR$4,$C$2,$C17,0,0),0)</f>
        <v>14646771</v>
      </c>
      <c r="AW17" s="39"/>
      <c r="AX17" s="39"/>
      <c r="AY17" s="39"/>
      <c r="AZ17" s="39"/>
      <c r="BA17" s="39"/>
      <c r="BB17" s="39"/>
    </row>
    <row r="18" spans="2:54">
      <c r="B18" s="4"/>
      <c r="C18" s="133"/>
      <c r="D18" s="39" t="s">
        <v>583</v>
      </c>
      <c r="E18" s="40"/>
      <c r="F18" s="40"/>
      <c r="G18" s="40"/>
      <c r="H18" s="40"/>
      <c r="I18" s="39">
        <f>-ROUND(IPMT($C$3,$E$4,$C$2,$C17,0,0),0)</f>
        <v>8442000</v>
      </c>
      <c r="J18" s="39">
        <f>-ROUND(IPMT($C$3,$F$4,$C$2,$C17,0,0),0)</f>
        <v>8305241</v>
      </c>
      <c r="K18" s="39">
        <f>-ROUND(IPMT($C$3,$G$4,$C$2,$C17,0,0),0)</f>
        <v>8165609</v>
      </c>
      <c r="L18" s="39">
        <f>-ROUND(IPMT($C$3,$H$4,$C$2,$C17,0,0),0)</f>
        <v>8023046</v>
      </c>
      <c r="M18" s="39">
        <f>-ROUND(IPMT($C$3,$I$4,$C$2,$C17,0,0),0)</f>
        <v>7877488</v>
      </c>
      <c r="N18" s="39">
        <f>-ROUND(IPMT($C$3,$J$4,$C$2,$C17,0,0),0)</f>
        <v>7728874</v>
      </c>
      <c r="O18" s="39">
        <f>-ROUND(IPMT($C$3,$K$4,$C$2,$C17,0,0),0)</f>
        <v>7577139</v>
      </c>
      <c r="P18" s="39">
        <f>-ROUND(IPMT($C$3,$L$4,$C$2,$C17,0,0),0)</f>
        <v>7422217</v>
      </c>
      <c r="Q18" s="39">
        <f>-ROUND(IPMT($C$3,$M$4,$C$2,$C17,0,0),0)</f>
        <v>7264043</v>
      </c>
      <c r="R18" s="39">
        <f>-ROUND(IPMT($C$3,$N$4,$C$2,$C17,0,0),0)</f>
        <v>7102546</v>
      </c>
      <c r="S18" s="39">
        <f>-ROUND(IPMT($C$3,$O$4,$C$2,$C17,0,0),0)</f>
        <v>6937658</v>
      </c>
      <c r="T18" s="39">
        <f>-ROUND(IPMT($C$3,$P$4,$C$2,$C17,0,0),0)</f>
        <v>6769307</v>
      </c>
      <c r="U18" s="39">
        <f>-ROUND(IPMT($C$3,$Q$4,$C$2,$C17,0,0),0)</f>
        <v>6597421</v>
      </c>
      <c r="V18" s="39">
        <f>-ROUND(IPMT($C$3,$R$4,$C$2,$C17,0,0),0)</f>
        <v>6421926</v>
      </c>
      <c r="W18" s="39">
        <f>-ROUND(IPMT($C$3,$S$4,$C$2,$C17,0,0),0)</f>
        <v>6242745</v>
      </c>
      <c r="X18" s="39">
        <f>-ROUND(IPMT($C$3,$T$4,$C$2,$C17,0,0),0)</f>
        <v>6059801</v>
      </c>
      <c r="Y18" s="39">
        <f>-ROUND(IPMT($C$3,$U$4,$C$2,$C17,0,0),0)</f>
        <v>5873016</v>
      </c>
      <c r="Z18" s="39">
        <f>-ROUND(IPMT($C$3,$V$4,$C$2,$C17,0,0),0)</f>
        <v>5682307</v>
      </c>
      <c r="AA18" s="39">
        <f>-ROUND(IPMT($C$3,$W$4,$C$2,$C17,0,0),0)</f>
        <v>5487595</v>
      </c>
      <c r="AB18" s="39">
        <f>-ROUND(IPMT($C$3,$X$4,$C$2,$C17,0,0),0)</f>
        <v>5288793</v>
      </c>
      <c r="AC18" s="39">
        <f>-ROUND(IPMT($C$3,$Y$4,$C$2,$C17,0,0),0)</f>
        <v>5085816</v>
      </c>
      <c r="AD18" s="39">
        <f>-ROUND(IPMT($C$3,$Z$4,$C$2,$C17,0,0),0)</f>
        <v>4878577</v>
      </c>
      <c r="AE18" s="39">
        <f>-ROUND(IPMT($C$3,$AA$4,$C$2,$C17,0,0),0)</f>
        <v>4666985</v>
      </c>
      <c r="AF18" s="39">
        <f>-ROUND(IPMT($C$3,$AB$4,$C$2,$C17,0,0),0)</f>
        <v>4450950</v>
      </c>
      <c r="AG18" s="39">
        <f>-ROUND(IPMT($C$3,$AC$4,$C$2,$C17,0,0),0)</f>
        <v>4230379</v>
      </c>
      <c r="AH18" s="39">
        <f>-ROUND(IPMT($C$3,$AD$4,$C$2,$C17,0,0),0)</f>
        <v>4005176</v>
      </c>
      <c r="AI18" s="39">
        <f>-ROUND(IPMT($C$3,$AE$4,$C$2,$C17,0,0),0)</f>
        <v>3775243</v>
      </c>
      <c r="AJ18" s="39">
        <f>-ROUND(IPMT($C$3,$AF$4,$C$2,$C17,0,0),0)</f>
        <v>3540482</v>
      </c>
      <c r="AK18" s="39">
        <f>-ROUND(IPMT($C$3,$AG$4,$C$2,$C17,0,0),0)</f>
        <v>3300790</v>
      </c>
      <c r="AL18" s="39">
        <f>-ROUND(IPMT($C$3,$AH$4,$C$2,$C17,0,0),0)</f>
        <v>3056065</v>
      </c>
      <c r="AM18" s="39">
        <f>-ROUND(IPMT($C$3,$AI$4,$C$2,$C17,0,0),0)</f>
        <v>2806201</v>
      </c>
      <c r="AN18" s="39">
        <f>-ROUND(IPMT($C$3,$AJ$4,$C$2,$C17,0,0),0)</f>
        <v>2551090</v>
      </c>
      <c r="AO18" s="39">
        <f>-ROUND(IPMT($C$3,$AK$4,$C$2,$C17,0,0),0)</f>
        <v>2290622</v>
      </c>
      <c r="AP18" s="39">
        <f>-ROUND(IPMT($C$3,$AL$4,$C$2,$C17,0,0),0)</f>
        <v>2024683</v>
      </c>
      <c r="AQ18" s="39">
        <f>-ROUND(IPMT($C$3,$AM$4,$C$2,$C17,0,0),0)</f>
        <v>1753160</v>
      </c>
      <c r="AR18" s="39">
        <f>-ROUND(IPMT($C$3,$AN$4,$C$2,$C17,0,0),0)</f>
        <v>1475935</v>
      </c>
      <c r="AS18" s="39">
        <f>-ROUND(IPMT($C$3,$AO$4,$C$2,$C17,0,0),0)</f>
        <v>1192888</v>
      </c>
      <c r="AT18" s="39">
        <f>-ROUND(IPMT($C$3,$AP$4,$C$2,$C17,0,0),0)</f>
        <v>903898</v>
      </c>
      <c r="AU18" s="39">
        <f>-ROUND(IPMT($C$3,$AQ$4,$C$2,$C17,0,0),0)</f>
        <v>608838</v>
      </c>
      <c r="AV18" s="39">
        <f>-ROUND(IPMT($C$3,$AR$4,$C$2,$C17,0,0),0)</f>
        <v>307582</v>
      </c>
      <c r="AW18" s="39"/>
      <c r="AX18" s="39"/>
      <c r="AY18" s="39"/>
      <c r="AZ18" s="39"/>
      <c r="BA18" s="39"/>
      <c r="BB18" s="39"/>
    </row>
    <row r="19" spans="2:54">
      <c r="B19" s="3"/>
      <c r="C19" s="134"/>
      <c r="D19" s="39" t="s">
        <v>339</v>
      </c>
      <c r="E19" s="40"/>
      <c r="F19" s="40"/>
      <c r="G19" s="40"/>
      <c r="H19" s="64">
        <f>$C17</f>
        <v>402000000</v>
      </c>
      <c r="I19" s="39">
        <f>$C17-I17</f>
        <v>395487647</v>
      </c>
      <c r="J19" s="39">
        <f>I19-J17</f>
        <v>388838534</v>
      </c>
      <c r="K19" s="39">
        <f t="shared" ref="K19:AV19" si="6">J19-K17</f>
        <v>382049790</v>
      </c>
      <c r="L19" s="39">
        <f t="shared" si="6"/>
        <v>375118482</v>
      </c>
      <c r="M19" s="39">
        <f t="shared" si="6"/>
        <v>368041617</v>
      </c>
      <c r="N19" s="39">
        <f t="shared" si="6"/>
        <v>360816138</v>
      </c>
      <c r="O19" s="39">
        <f t="shared" si="6"/>
        <v>353438924</v>
      </c>
      <c r="P19" s="39">
        <f t="shared" si="6"/>
        <v>345906788</v>
      </c>
      <c r="Q19" s="39">
        <f t="shared" si="6"/>
        <v>338216477</v>
      </c>
      <c r="R19" s="39">
        <f t="shared" si="6"/>
        <v>330364670</v>
      </c>
      <c r="S19" s="39">
        <f t="shared" si="6"/>
        <v>322347975</v>
      </c>
      <c r="T19" s="39">
        <f t="shared" si="6"/>
        <v>314162929</v>
      </c>
      <c r="U19" s="39">
        <f t="shared" si="6"/>
        <v>305805997</v>
      </c>
      <c r="V19" s="39">
        <f t="shared" si="6"/>
        <v>297273570</v>
      </c>
      <c r="W19" s="39">
        <f t="shared" si="6"/>
        <v>288561962</v>
      </c>
      <c r="X19" s="39">
        <f t="shared" si="6"/>
        <v>279667410</v>
      </c>
      <c r="Y19" s="39">
        <f t="shared" si="6"/>
        <v>270586072</v>
      </c>
      <c r="Z19" s="39">
        <f t="shared" si="6"/>
        <v>261314026</v>
      </c>
      <c r="AA19" s="39">
        <f t="shared" si="6"/>
        <v>251847267</v>
      </c>
      <c r="AB19" s="39">
        <f t="shared" si="6"/>
        <v>242181706</v>
      </c>
      <c r="AC19" s="39">
        <f t="shared" si="6"/>
        <v>232313169</v>
      </c>
      <c r="AD19" s="39">
        <f t="shared" si="6"/>
        <v>222237392</v>
      </c>
      <c r="AE19" s="39">
        <f t="shared" si="6"/>
        <v>211950024</v>
      </c>
      <c r="AF19" s="39">
        <f t="shared" si="6"/>
        <v>201446621</v>
      </c>
      <c r="AG19" s="39">
        <f t="shared" si="6"/>
        <v>190722647</v>
      </c>
      <c r="AH19" s="39">
        <f t="shared" si="6"/>
        <v>179773469</v>
      </c>
      <c r="AI19" s="39">
        <f t="shared" si="6"/>
        <v>168594359</v>
      </c>
      <c r="AJ19" s="39">
        <f t="shared" si="6"/>
        <v>157180487</v>
      </c>
      <c r="AK19" s="39">
        <f t="shared" si="6"/>
        <v>145526924</v>
      </c>
      <c r="AL19" s="39">
        <f t="shared" si="6"/>
        <v>133628636</v>
      </c>
      <c r="AM19" s="39">
        <f t="shared" si="6"/>
        <v>121480484</v>
      </c>
      <c r="AN19" s="39">
        <f t="shared" si="6"/>
        <v>109077221</v>
      </c>
      <c r="AO19" s="39">
        <f t="shared" si="6"/>
        <v>96413489</v>
      </c>
      <c r="AP19" s="39">
        <f t="shared" si="6"/>
        <v>83483819</v>
      </c>
      <c r="AQ19" s="39">
        <f t="shared" si="6"/>
        <v>70282626</v>
      </c>
      <c r="AR19" s="39">
        <f t="shared" si="6"/>
        <v>56804208</v>
      </c>
      <c r="AS19" s="39">
        <f t="shared" si="6"/>
        <v>43042743</v>
      </c>
      <c r="AT19" s="39">
        <f t="shared" si="6"/>
        <v>28992287</v>
      </c>
      <c r="AU19" s="39">
        <f t="shared" si="6"/>
        <v>14646772</v>
      </c>
      <c r="AV19" s="39">
        <f t="shared" si="6"/>
        <v>1</v>
      </c>
      <c r="AW19" s="39"/>
      <c r="AX19" s="39"/>
      <c r="AY19" s="39"/>
      <c r="AZ19" s="39"/>
      <c r="BA19" s="39"/>
      <c r="BB19" s="39"/>
    </row>
    <row r="20" spans="2:54">
      <c r="B20" s="2" t="s">
        <v>728</v>
      </c>
      <c r="C20" s="132">
        <f>【成行】財政シミュ!X74</f>
        <v>387000000</v>
      </c>
      <c r="D20" s="39" t="s">
        <v>582</v>
      </c>
      <c r="E20" s="40"/>
      <c r="F20" s="40"/>
      <c r="G20" s="40"/>
      <c r="H20" s="40"/>
      <c r="I20" s="40"/>
      <c r="J20" s="39">
        <f>-ROUND(PPMT($C$3,$E$4,$C$2,$C20,0,0),0)</f>
        <v>6269355</v>
      </c>
      <c r="K20" s="39">
        <f>-ROUND(PPMT($C$3,$F$4,$C$2,$C20,0,0),0)</f>
        <v>6401011</v>
      </c>
      <c r="L20" s="39">
        <f>-ROUND(PPMT($C$3,$G$4,$C$2,$C20,0,0),0)</f>
        <v>6535433</v>
      </c>
      <c r="M20" s="39">
        <f>-ROUND(PPMT($C$3,$H$4,$C$2,$C20,0,0),0)</f>
        <v>6672677</v>
      </c>
      <c r="N20" s="39">
        <f>-ROUND(PPMT($C$3,$I$4,$C$2,$C20,0,0),0)</f>
        <v>6812803</v>
      </c>
      <c r="O20" s="39">
        <f>-ROUND(PPMT($C$3,$J$4,$C$2,$C20,0,0),0)</f>
        <v>6955872</v>
      </c>
      <c r="P20" s="39">
        <f>-ROUND(PPMT($C$3,$K$4,$C$2,$C20,0,0),0)</f>
        <v>7101945</v>
      </c>
      <c r="Q20" s="39">
        <f>-ROUND(PPMT($C$3,$L$4,$C$2,$C20,0,0),0)</f>
        <v>7251086</v>
      </c>
      <c r="R20" s="39">
        <f>-ROUND(PPMT($C$3,$M$4,$C$2,$C20,0,0),0)</f>
        <v>7403359</v>
      </c>
      <c r="S20" s="39">
        <f>-ROUND(PPMT($C$3,$N$4,$C$2,$C20,0,0),0)</f>
        <v>7558829</v>
      </c>
      <c r="T20" s="39">
        <f>-ROUND(PPMT($C$3,$O$4,$C$2,$C20,0,0),0)</f>
        <v>7717565</v>
      </c>
      <c r="U20" s="39">
        <f>-ROUND(PPMT($C$3,$P$4,$C$2,$C20,0,0),0)</f>
        <v>7879634</v>
      </c>
      <c r="V20" s="39">
        <f>-ROUND(PPMT($C$3,$Q$4,$C$2,$C20,0,0),0)</f>
        <v>8045106</v>
      </c>
      <c r="W20" s="39">
        <f>-ROUND(PPMT($C$3,$R$4,$C$2,$C20,0,0),0)</f>
        <v>8214053</v>
      </c>
      <c r="X20" s="39">
        <f>-ROUND(PPMT($C$3,$S$4,$C$2,$C20,0,0),0)</f>
        <v>8386548</v>
      </c>
      <c r="Y20" s="39">
        <f>-ROUND(PPMT($C$3,$T$4,$C$2,$C20,0,0),0)</f>
        <v>8562666</v>
      </c>
      <c r="Z20" s="39">
        <f>-ROUND(PPMT($C$3,$U$4,$C$2,$C20,0,0),0)</f>
        <v>8742482</v>
      </c>
      <c r="AA20" s="39">
        <f>-ROUND(PPMT($C$3,$V$4,$C$2,$C20,0,0),0)</f>
        <v>8926074</v>
      </c>
      <c r="AB20" s="39">
        <f>-ROUND(PPMT($C$3,$W$4,$C$2,$C20,0,0),0)</f>
        <v>9113522</v>
      </c>
      <c r="AC20" s="39">
        <f>-ROUND(PPMT($C$3,$X$4,$C$2,$C20,0,0),0)</f>
        <v>9304905</v>
      </c>
      <c r="AD20" s="39">
        <f>-ROUND(PPMT($C$3,$Y$4,$C$2,$C20,0,0),0)</f>
        <v>9500308</v>
      </c>
      <c r="AE20" s="39">
        <f>-ROUND(PPMT($C$3,$Z$4,$C$2,$C20,0,0),0)</f>
        <v>9699815</v>
      </c>
      <c r="AF20" s="39">
        <f>-ROUND(PPMT($C$3,$AA$4,$C$2,$C20,0,0),0)</f>
        <v>9903511</v>
      </c>
      <c r="AG20" s="39">
        <f>-ROUND(PPMT($C$3,$AB$4,$C$2,$C20,0,0),0)</f>
        <v>10111485</v>
      </c>
      <c r="AH20" s="39">
        <f>-ROUND(PPMT($C$3,$AC$4,$C$2,$C20,0,0),0)</f>
        <v>10323826</v>
      </c>
      <c r="AI20" s="39">
        <f>-ROUND(PPMT($C$3,$AD$4,$C$2,$C20,0,0),0)</f>
        <v>10540626</v>
      </c>
      <c r="AJ20" s="39">
        <f>-ROUND(PPMT($C$3,$AE$4,$C$2,$C20,0,0),0)</f>
        <v>10761979</v>
      </c>
      <c r="AK20" s="39">
        <f>-ROUND(PPMT($C$3,$AF$4,$C$2,$C20,0,0),0)</f>
        <v>10987981</v>
      </c>
      <c r="AL20" s="39">
        <f>-ROUND(PPMT($C$3,$AG$4,$C$2,$C20,0,0),0)</f>
        <v>11218729</v>
      </c>
      <c r="AM20" s="39">
        <f>-ROUND(PPMT($C$3,$AH$4,$C$2,$C20,0,0),0)</f>
        <v>11454322</v>
      </c>
      <c r="AN20" s="39">
        <f>-ROUND(PPMT($C$3,$AI$4,$C$2,$C20,0,0),0)</f>
        <v>11694863</v>
      </c>
      <c r="AO20" s="39">
        <f>-ROUND(PPMT($C$3,$AJ$4,$C$2,$C20,0,0),0)</f>
        <v>11940455</v>
      </c>
      <c r="AP20" s="39">
        <f>-ROUND(PPMT($C$3,$AK$4,$C$2,$C20,0,0),0)</f>
        <v>12191204</v>
      </c>
      <c r="AQ20" s="39">
        <f>-ROUND(PPMT($C$3,$AL$4,$C$2,$C20,0,0),0)</f>
        <v>12447220</v>
      </c>
      <c r="AR20" s="39">
        <f>-ROUND(PPMT($C$3,$AM$4,$C$2,$C20,0,0),0)</f>
        <v>12708611</v>
      </c>
      <c r="AS20" s="39">
        <f>-ROUND(PPMT($C$3,$AN$4,$C$2,$C20,0,0),0)</f>
        <v>12975492</v>
      </c>
      <c r="AT20" s="39">
        <f>-ROUND(PPMT($C$3,$AO$4,$C$2,$C20,0,0),0)</f>
        <v>13247977</v>
      </c>
      <c r="AU20" s="39">
        <f>-ROUND(PPMT($C$3,$AP$4,$C$2,$C20,0,0),0)</f>
        <v>13526185</v>
      </c>
      <c r="AV20" s="39">
        <f>-ROUND(PPMT($C$3,$AQ$4,$C$2,$C20,0,0),0)</f>
        <v>13810235</v>
      </c>
      <c r="AW20" s="39">
        <f>-ROUND(PPMT($C$3,$AR$4,$C$2,$C20,0,0),0)</f>
        <v>14100250</v>
      </c>
      <c r="AX20" s="39"/>
      <c r="AY20" s="39"/>
      <c r="AZ20" s="39"/>
      <c r="BA20" s="39"/>
      <c r="BB20" s="39"/>
    </row>
    <row r="21" spans="2:54">
      <c r="B21" s="4"/>
      <c r="C21" s="133"/>
      <c r="D21" s="39" t="s">
        <v>583</v>
      </c>
      <c r="E21" s="40"/>
      <c r="F21" s="40"/>
      <c r="G21" s="40"/>
      <c r="H21" s="40"/>
      <c r="I21" s="40"/>
      <c r="J21" s="39">
        <f>-ROUND(IPMT($C$3,$E$4,$C$2,$C20,0,0),0)</f>
        <v>8127000</v>
      </c>
      <c r="K21" s="39">
        <f>-ROUND(IPMT($C$3,$F$4,$C$2,$C20,0,0),0)</f>
        <v>7995344</v>
      </c>
      <c r="L21" s="39">
        <f>-ROUND(IPMT($C$3,$G$4,$C$2,$C20,0,0),0)</f>
        <v>7860922</v>
      </c>
      <c r="M21" s="39">
        <f>-ROUND(IPMT($C$3,$H$4,$C$2,$C20,0,0),0)</f>
        <v>7723678</v>
      </c>
      <c r="N21" s="39">
        <f>-ROUND(IPMT($C$3,$I$4,$C$2,$C20,0,0),0)</f>
        <v>7583552</v>
      </c>
      <c r="O21" s="39">
        <f>-ROUND(IPMT($C$3,$J$4,$C$2,$C20,0,0),0)</f>
        <v>7440483</v>
      </c>
      <c r="P21" s="39">
        <f>-ROUND(IPMT($C$3,$K$4,$C$2,$C20,0,0),0)</f>
        <v>7294410</v>
      </c>
      <c r="Q21" s="39">
        <f>-ROUND(IPMT($C$3,$L$4,$C$2,$C20,0,0),0)</f>
        <v>7145269</v>
      </c>
      <c r="R21" s="39">
        <f>-ROUND(IPMT($C$3,$M$4,$C$2,$C20,0,0),0)</f>
        <v>6992996</v>
      </c>
      <c r="S21" s="39">
        <f>-ROUND(IPMT($C$3,$N$4,$C$2,$C20,0,0),0)</f>
        <v>6837526</v>
      </c>
      <c r="T21" s="39">
        <f>-ROUND(IPMT($C$3,$O$4,$C$2,$C20,0,0),0)</f>
        <v>6678790</v>
      </c>
      <c r="U21" s="39">
        <f>-ROUND(IPMT($C$3,$P$4,$C$2,$C20,0,0),0)</f>
        <v>6516721</v>
      </c>
      <c r="V21" s="39">
        <f>-ROUND(IPMT($C$3,$Q$4,$C$2,$C20,0,0),0)</f>
        <v>6351249</v>
      </c>
      <c r="W21" s="39">
        <f>-ROUND(IPMT($C$3,$R$4,$C$2,$C20,0,0),0)</f>
        <v>6182302</v>
      </c>
      <c r="X21" s="39">
        <f>-ROUND(IPMT($C$3,$S$4,$C$2,$C20,0,0),0)</f>
        <v>6009807</v>
      </c>
      <c r="Y21" s="39">
        <f>-ROUND(IPMT($C$3,$T$4,$C$2,$C20,0,0),0)</f>
        <v>5833689</v>
      </c>
      <c r="Z21" s="39">
        <f>-ROUND(IPMT($C$3,$U$4,$C$2,$C20,0,0),0)</f>
        <v>5653873</v>
      </c>
      <c r="AA21" s="39">
        <f>-ROUND(IPMT($C$3,$V$4,$C$2,$C20,0,0),0)</f>
        <v>5470281</v>
      </c>
      <c r="AB21" s="39">
        <f>-ROUND(IPMT($C$3,$W$4,$C$2,$C20,0,0),0)</f>
        <v>5282834</v>
      </c>
      <c r="AC21" s="39">
        <f>-ROUND(IPMT($C$3,$X$4,$C$2,$C20,0,0),0)</f>
        <v>5091450</v>
      </c>
      <c r="AD21" s="39">
        <f>-ROUND(IPMT($C$3,$Y$4,$C$2,$C20,0,0),0)</f>
        <v>4896047</v>
      </c>
      <c r="AE21" s="39">
        <f>-ROUND(IPMT($C$3,$Z$4,$C$2,$C20,0,0),0)</f>
        <v>4696540</v>
      </c>
      <c r="AF21" s="39">
        <f>-ROUND(IPMT($C$3,$AA$4,$C$2,$C20,0,0),0)</f>
        <v>4492844</v>
      </c>
      <c r="AG21" s="39">
        <f>-ROUND(IPMT($C$3,$AB$4,$C$2,$C20,0,0),0)</f>
        <v>4284870</v>
      </c>
      <c r="AH21" s="39">
        <f>-ROUND(IPMT($C$3,$AC$4,$C$2,$C20,0,0),0)</f>
        <v>4072529</v>
      </c>
      <c r="AI21" s="39">
        <f>-ROUND(IPMT($C$3,$AD$4,$C$2,$C20,0,0),0)</f>
        <v>3855729</v>
      </c>
      <c r="AJ21" s="39">
        <f>-ROUND(IPMT($C$3,$AE$4,$C$2,$C20,0,0),0)</f>
        <v>3634376</v>
      </c>
      <c r="AK21" s="39">
        <f>-ROUND(IPMT($C$3,$AF$4,$C$2,$C20,0,0),0)</f>
        <v>3408374</v>
      </c>
      <c r="AL21" s="39">
        <f>-ROUND(IPMT($C$3,$AG$4,$C$2,$C20,0,0),0)</f>
        <v>3177626</v>
      </c>
      <c r="AM21" s="39">
        <f>-ROUND(IPMT($C$3,$AH$4,$C$2,$C20,0,0),0)</f>
        <v>2942033</v>
      </c>
      <c r="AN21" s="39">
        <f>-ROUND(IPMT($C$3,$AI$4,$C$2,$C20,0,0),0)</f>
        <v>2701492</v>
      </c>
      <c r="AO21" s="39">
        <f>-ROUND(IPMT($C$3,$AJ$4,$C$2,$C20,0,0),0)</f>
        <v>2455900</v>
      </c>
      <c r="AP21" s="39">
        <f>-ROUND(IPMT($C$3,$AK$4,$C$2,$C20,0,0),0)</f>
        <v>2205151</v>
      </c>
      <c r="AQ21" s="39">
        <f>-ROUND(IPMT($C$3,$AL$4,$C$2,$C20,0,0),0)</f>
        <v>1949135</v>
      </c>
      <c r="AR21" s="39">
        <f>-ROUND(IPMT($C$3,$AM$4,$C$2,$C20,0,0),0)</f>
        <v>1687744</v>
      </c>
      <c r="AS21" s="39">
        <f>-ROUND(IPMT($C$3,$AN$4,$C$2,$C20,0,0),0)</f>
        <v>1420863</v>
      </c>
      <c r="AT21" s="39">
        <f>-ROUND(IPMT($C$3,$AO$4,$C$2,$C20,0,0),0)</f>
        <v>1148378</v>
      </c>
      <c r="AU21" s="39">
        <f>-ROUND(IPMT($C$3,$AP$4,$C$2,$C20,0,0),0)</f>
        <v>870170</v>
      </c>
      <c r="AV21" s="39">
        <f>-ROUND(IPMT($C$3,$AQ$4,$C$2,$C20,0,0),0)</f>
        <v>586120</v>
      </c>
      <c r="AW21" s="39">
        <f>-ROUND(IPMT($C$3,$AR$4,$C$2,$C20,0,0),0)</f>
        <v>296105</v>
      </c>
      <c r="AX21" s="39"/>
      <c r="AY21" s="39"/>
      <c r="AZ21" s="39"/>
      <c r="BA21" s="39"/>
      <c r="BB21" s="39"/>
    </row>
    <row r="22" spans="2:54">
      <c r="B22" s="3"/>
      <c r="C22" s="134"/>
      <c r="D22" s="39" t="s">
        <v>339</v>
      </c>
      <c r="E22" s="40"/>
      <c r="F22" s="40"/>
      <c r="G22" s="40"/>
      <c r="H22" s="40"/>
      <c r="I22" s="64">
        <f>$C20</f>
        <v>387000000</v>
      </c>
      <c r="J22" s="39">
        <f>$C20-J20</f>
        <v>380730645</v>
      </c>
      <c r="K22" s="39">
        <f>J22-K20</f>
        <v>374329634</v>
      </c>
      <c r="L22" s="39">
        <f t="shared" ref="L22:AW22" si="7">K22-L20</f>
        <v>367794201</v>
      </c>
      <c r="M22" s="39">
        <f t="shared" si="7"/>
        <v>361121524</v>
      </c>
      <c r="N22" s="39">
        <f t="shared" si="7"/>
        <v>354308721</v>
      </c>
      <c r="O22" s="39">
        <f t="shared" si="7"/>
        <v>347352849</v>
      </c>
      <c r="P22" s="39">
        <f t="shared" si="7"/>
        <v>340250904</v>
      </c>
      <c r="Q22" s="39">
        <f t="shared" si="7"/>
        <v>332999818</v>
      </c>
      <c r="R22" s="39">
        <f t="shared" si="7"/>
        <v>325596459</v>
      </c>
      <c r="S22" s="39">
        <f t="shared" si="7"/>
        <v>318037630</v>
      </c>
      <c r="T22" s="39">
        <f t="shared" si="7"/>
        <v>310320065</v>
      </c>
      <c r="U22" s="39">
        <f t="shared" si="7"/>
        <v>302440431</v>
      </c>
      <c r="V22" s="39">
        <f t="shared" si="7"/>
        <v>294395325</v>
      </c>
      <c r="W22" s="39">
        <f t="shared" si="7"/>
        <v>286181272</v>
      </c>
      <c r="X22" s="39">
        <f t="shared" si="7"/>
        <v>277794724</v>
      </c>
      <c r="Y22" s="39">
        <f t="shared" si="7"/>
        <v>269232058</v>
      </c>
      <c r="Z22" s="39">
        <f t="shared" si="7"/>
        <v>260489576</v>
      </c>
      <c r="AA22" s="39">
        <f t="shared" si="7"/>
        <v>251563502</v>
      </c>
      <c r="AB22" s="39">
        <f t="shared" si="7"/>
        <v>242449980</v>
      </c>
      <c r="AC22" s="39">
        <f t="shared" si="7"/>
        <v>233145075</v>
      </c>
      <c r="AD22" s="39">
        <f t="shared" si="7"/>
        <v>223644767</v>
      </c>
      <c r="AE22" s="39">
        <f t="shared" si="7"/>
        <v>213944952</v>
      </c>
      <c r="AF22" s="39">
        <f t="shared" si="7"/>
        <v>204041441</v>
      </c>
      <c r="AG22" s="39">
        <f t="shared" si="7"/>
        <v>193929956</v>
      </c>
      <c r="AH22" s="39">
        <f t="shared" si="7"/>
        <v>183606130</v>
      </c>
      <c r="AI22" s="39">
        <f t="shared" si="7"/>
        <v>173065504</v>
      </c>
      <c r="AJ22" s="39">
        <f t="shared" si="7"/>
        <v>162303525</v>
      </c>
      <c r="AK22" s="39">
        <f t="shared" si="7"/>
        <v>151315544</v>
      </c>
      <c r="AL22" s="39">
        <f t="shared" si="7"/>
        <v>140096815</v>
      </c>
      <c r="AM22" s="39">
        <f t="shared" si="7"/>
        <v>128642493</v>
      </c>
      <c r="AN22" s="39">
        <f t="shared" si="7"/>
        <v>116947630</v>
      </c>
      <c r="AO22" s="39">
        <f t="shared" si="7"/>
        <v>105007175</v>
      </c>
      <c r="AP22" s="39">
        <f t="shared" si="7"/>
        <v>92815971</v>
      </c>
      <c r="AQ22" s="39">
        <f t="shared" si="7"/>
        <v>80368751</v>
      </c>
      <c r="AR22" s="39">
        <f t="shared" si="7"/>
        <v>67660140</v>
      </c>
      <c r="AS22" s="39">
        <f t="shared" si="7"/>
        <v>54684648</v>
      </c>
      <c r="AT22" s="39">
        <f t="shared" si="7"/>
        <v>41436671</v>
      </c>
      <c r="AU22" s="39">
        <f t="shared" si="7"/>
        <v>27910486</v>
      </c>
      <c r="AV22" s="39">
        <f t="shared" si="7"/>
        <v>14100251</v>
      </c>
      <c r="AW22" s="39">
        <f t="shared" si="7"/>
        <v>1</v>
      </c>
      <c r="AX22" s="39"/>
      <c r="AY22" s="39"/>
      <c r="AZ22" s="39"/>
      <c r="BA22" s="39"/>
      <c r="BB22" s="39"/>
    </row>
    <row r="23" spans="2:54">
      <c r="B23" s="2" t="s">
        <v>28</v>
      </c>
      <c r="C23" s="132">
        <f>【成行】財政シミュ!Y74</f>
        <v>237000000</v>
      </c>
      <c r="D23" s="39" t="s">
        <v>582</v>
      </c>
      <c r="E23" s="40"/>
      <c r="F23" s="40"/>
      <c r="G23" s="40"/>
      <c r="H23" s="40"/>
      <c r="I23" s="40"/>
      <c r="J23" s="40"/>
      <c r="K23" s="39">
        <f>-ROUND(PPMT($C$3,$E$4,$C$2,$C23,0,0),0)</f>
        <v>3839372</v>
      </c>
      <c r="L23" s="39">
        <f>-ROUND(PPMT($C$3,$F$4,$C$2,$C23,0,0),0)</f>
        <v>3919999</v>
      </c>
      <c r="M23" s="39">
        <f>-ROUND(PPMT($C$3,$G$4,$C$2,$C23,0,0),0)</f>
        <v>4002319</v>
      </c>
      <c r="N23" s="39">
        <f>-ROUND(PPMT($C$3,$H$4,$C$2,$C23,0,0),0)</f>
        <v>4086368</v>
      </c>
      <c r="O23" s="39">
        <f>-ROUND(PPMT($C$3,$I$4,$C$2,$C23,0,0),0)</f>
        <v>4172182</v>
      </c>
      <c r="P23" s="39">
        <f>-ROUND(PPMT($C$3,$J$4,$C$2,$C23,0,0),0)</f>
        <v>4259798</v>
      </c>
      <c r="Q23" s="39">
        <f>-ROUND(PPMT($C$3,$K$4,$C$2,$C23,0,0),0)</f>
        <v>4349253</v>
      </c>
      <c r="R23" s="39">
        <f>-ROUND(PPMT($C$3,$L$4,$C$2,$C23,0,0),0)</f>
        <v>4440588</v>
      </c>
      <c r="S23" s="39">
        <f>-ROUND(PPMT($C$3,$M$4,$C$2,$C23,0,0),0)</f>
        <v>4533840</v>
      </c>
      <c r="T23" s="39">
        <f>-ROUND(PPMT($C$3,$N$4,$C$2,$C23,0,0),0)</f>
        <v>4629051</v>
      </c>
      <c r="U23" s="39">
        <f>-ROUND(PPMT($C$3,$O$4,$C$2,$C23,0,0),0)</f>
        <v>4726261</v>
      </c>
      <c r="V23" s="39">
        <f>-ROUND(PPMT($C$3,$P$4,$C$2,$C23,0,0),0)</f>
        <v>4825512</v>
      </c>
      <c r="W23" s="39">
        <f>-ROUND(PPMT($C$3,$Q$4,$C$2,$C23,0,0),0)</f>
        <v>4926848</v>
      </c>
      <c r="X23" s="39">
        <f>-ROUND(PPMT($C$3,$R$4,$C$2,$C23,0,0),0)</f>
        <v>5030312</v>
      </c>
      <c r="Y23" s="39">
        <f>-ROUND(PPMT($C$3,$S$4,$C$2,$C23,0,0),0)</f>
        <v>5135948</v>
      </c>
      <c r="Z23" s="39">
        <f>-ROUND(PPMT($C$3,$T$4,$C$2,$C23,0,0),0)</f>
        <v>5243803</v>
      </c>
      <c r="AA23" s="39">
        <f>-ROUND(PPMT($C$3,$U$4,$C$2,$C23,0,0),0)</f>
        <v>5353923</v>
      </c>
      <c r="AB23" s="39">
        <f>-ROUND(PPMT($C$3,$V$4,$C$2,$C23,0,0),0)</f>
        <v>5466355</v>
      </c>
      <c r="AC23" s="39">
        <f>-ROUND(PPMT($C$3,$W$4,$C$2,$C23,0,0),0)</f>
        <v>5581149</v>
      </c>
      <c r="AD23" s="39">
        <f>-ROUND(PPMT($C$3,$X$4,$C$2,$C23,0,0),0)</f>
        <v>5698353</v>
      </c>
      <c r="AE23" s="39">
        <f>-ROUND(PPMT($C$3,$Y$4,$C$2,$C23,0,0),0)</f>
        <v>5818018</v>
      </c>
      <c r="AF23" s="39">
        <f>-ROUND(PPMT($C$3,$Z$4,$C$2,$C23,0,0),0)</f>
        <v>5940197</v>
      </c>
      <c r="AG23" s="39">
        <f>-ROUND(PPMT($C$3,$AA$4,$C$2,$C23,0,0),0)</f>
        <v>6064941</v>
      </c>
      <c r="AH23" s="39">
        <f>-ROUND(PPMT($C$3,$AB$4,$C$2,$C23,0,0),0)</f>
        <v>6192305</v>
      </c>
      <c r="AI23" s="39">
        <f>-ROUND(PPMT($C$3,$AC$4,$C$2,$C23,0,0),0)</f>
        <v>6322343</v>
      </c>
      <c r="AJ23" s="39">
        <f>-ROUND(PPMT($C$3,$AD$4,$C$2,$C23,0,0),0)</f>
        <v>6455112</v>
      </c>
      <c r="AK23" s="39">
        <f>-ROUND(PPMT($C$3,$AE$4,$C$2,$C23,0,0),0)</f>
        <v>6590670</v>
      </c>
      <c r="AL23" s="39">
        <f>-ROUND(PPMT($C$3,$AF$4,$C$2,$C23,0,0),0)</f>
        <v>6729074</v>
      </c>
      <c r="AM23" s="39">
        <f>-ROUND(PPMT($C$3,$AG$4,$C$2,$C23,0,0),0)</f>
        <v>6870384</v>
      </c>
      <c r="AN23" s="39">
        <f>-ROUND(PPMT($C$3,$AH$4,$C$2,$C23,0,0),0)</f>
        <v>7014662</v>
      </c>
      <c r="AO23" s="39">
        <f>-ROUND(PPMT($C$3,$AI$4,$C$2,$C23,0,0),0)</f>
        <v>7161970</v>
      </c>
      <c r="AP23" s="39">
        <f>-ROUND(PPMT($C$3,$AJ$4,$C$2,$C23,0,0),0)</f>
        <v>7312372</v>
      </c>
      <c r="AQ23" s="39">
        <f>-ROUND(PPMT($C$3,$AK$4,$C$2,$C23,0,0),0)</f>
        <v>7465931</v>
      </c>
      <c r="AR23" s="39">
        <f>-ROUND(PPMT($C$3,$AL$4,$C$2,$C23,0,0),0)</f>
        <v>7622716</v>
      </c>
      <c r="AS23" s="39">
        <f>-ROUND(PPMT($C$3,$AM$4,$C$2,$C23,0,0),0)</f>
        <v>7782793</v>
      </c>
      <c r="AT23" s="39">
        <f>-ROUND(PPMT($C$3,$AN$4,$C$2,$C23,0,0),0)</f>
        <v>7946232</v>
      </c>
      <c r="AU23" s="39">
        <f>-ROUND(PPMT($C$3,$AO$4,$C$2,$C23,0,0),0)</f>
        <v>8113102</v>
      </c>
      <c r="AV23" s="39">
        <f>-ROUND(PPMT($C$3,$AP$4,$C$2,$C23,0,0),0)</f>
        <v>8283478</v>
      </c>
      <c r="AW23" s="39">
        <f>-ROUND(PPMT($C$3,$AQ$4,$C$2,$C23,0,0),0)</f>
        <v>8457431</v>
      </c>
      <c r="AX23" s="39">
        <f>-ROUND(PPMT($C$3,$AR$4,$C$2,$C23,0,0),0)</f>
        <v>8635037</v>
      </c>
      <c r="AY23" s="39"/>
      <c r="AZ23" s="39"/>
      <c r="BA23" s="39"/>
      <c r="BB23" s="39"/>
    </row>
    <row r="24" spans="2:54">
      <c r="B24" s="4"/>
      <c r="C24" s="133"/>
      <c r="D24" s="39" t="s">
        <v>583</v>
      </c>
      <c r="E24" s="40"/>
      <c r="F24" s="40"/>
      <c r="G24" s="40"/>
      <c r="H24" s="40"/>
      <c r="I24" s="40"/>
      <c r="J24" s="40"/>
      <c r="K24" s="39">
        <f>-ROUND(IPMT($C$3,$E$4,$C$2,$C23,0,0),0)</f>
        <v>4977000</v>
      </c>
      <c r="L24" s="39">
        <f>-ROUND(IPMT($C$3,$F$4,$C$2,$C23,0,0),0)</f>
        <v>4896373</v>
      </c>
      <c r="M24" s="39">
        <f>-ROUND(IPMT($C$3,$G$4,$C$2,$C23,0,0),0)</f>
        <v>4814053</v>
      </c>
      <c r="N24" s="39">
        <f>-ROUND(IPMT($C$3,$H$4,$C$2,$C23,0,0),0)</f>
        <v>4730004</v>
      </c>
      <c r="O24" s="39">
        <f>-ROUND(IPMT($C$3,$I$4,$C$2,$C23,0,0),0)</f>
        <v>4644191</v>
      </c>
      <c r="P24" s="39">
        <f>-ROUND(IPMT($C$3,$J$4,$C$2,$C23,0,0),0)</f>
        <v>4556575</v>
      </c>
      <c r="Q24" s="39">
        <f>-ROUND(IPMT($C$3,$K$4,$C$2,$C23,0,0),0)</f>
        <v>4467119</v>
      </c>
      <c r="R24" s="39">
        <f>-ROUND(IPMT($C$3,$L$4,$C$2,$C23,0,0),0)</f>
        <v>4375785</v>
      </c>
      <c r="S24" s="39">
        <f>-ROUND(IPMT($C$3,$M$4,$C$2,$C23,0,0),0)</f>
        <v>4282533</v>
      </c>
      <c r="T24" s="39">
        <f>-ROUND(IPMT($C$3,$N$4,$C$2,$C23,0,0),0)</f>
        <v>4187322</v>
      </c>
      <c r="U24" s="39">
        <f>-ROUND(IPMT($C$3,$O$4,$C$2,$C23,0,0),0)</f>
        <v>4090112</v>
      </c>
      <c r="V24" s="39">
        <f>-ROUND(IPMT($C$3,$P$4,$C$2,$C23,0,0),0)</f>
        <v>3990860</v>
      </c>
      <c r="W24" s="39">
        <f>-ROUND(IPMT($C$3,$Q$4,$C$2,$C23,0,0),0)</f>
        <v>3889525</v>
      </c>
      <c r="X24" s="39">
        <f>-ROUND(IPMT($C$3,$R$4,$C$2,$C23,0,0),0)</f>
        <v>3786061</v>
      </c>
      <c r="Y24" s="39">
        <f>-ROUND(IPMT($C$3,$S$4,$C$2,$C23,0,0),0)</f>
        <v>3680424</v>
      </c>
      <c r="Z24" s="39">
        <f>-ROUND(IPMT($C$3,$T$4,$C$2,$C23,0,0),0)</f>
        <v>3572569</v>
      </c>
      <c r="AA24" s="39">
        <f>-ROUND(IPMT($C$3,$U$4,$C$2,$C23,0,0),0)</f>
        <v>3462449</v>
      </c>
      <c r="AB24" s="39">
        <f>-ROUND(IPMT($C$3,$V$4,$C$2,$C23,0,0),0)</f>
        <v>3350017</v>
      </c>
      <c r="AC24" s="39">
        <f>-ROUND(IPMT($C$3,$W$4,$C$2,$C23,0,0),0)</f>
        <v>3235224</v>
      </c>
      <c r="AD24" s="39">
        <f>-ROUND(IPMT($C$3,$X$4,$C$2,$C23,0,0),0)</f>
        <v>3118020</v>
      </c>
      <c r="AE24" s="39">
        <f>-ROUND(IPMT($C$3,$Y$4,$C$2,$C23,0,0),0)</f>
        <v>2998354</v>
      </c>
      <c r="AF24" s="39">
        <f>-ROUND(IPMT($C$3,$Z$4,$C$2,$C23,0,0),0)</f>
        <v>2876176</v>
      </c>
      <c r="AG24" s="39">
        <f>-ROUND(IPMT($C$3,$AA$4,$C$2,$C23,0,0),0)</f>
        <v>2751432</v>
      </c>
      <c r="AH24" s="39">
        <f>-ROUND(IPMT($C$3,$AB$4,$C$2,$C23,0,0),0)</f>
        <v>2624068</v>
      </c>
      <c r="AI24" s="39">
        <f>-ROUND(IPMT($C$3,$AC$4,$C$2,$C23,0,0),0)</f>
        <v>2494029</v>
      </c>
      <c r="AJ24" s="39">
        <f>-ROUND(IPMT($C$3,$AD$4,$C$2,$C23,0,0),0)</f>
        <v>2361260</v>
      </c>
      <c r="AK24" s="39">
        <f>-ROUND(IPMT($C$3,$AE$4,$C$2,$C23,0,0),0)</f>
        <v>2225703</v>
      </c>
      <c r="AL24" s="39">
        <f>-ROUND(IPMT($C$3,$AF$4,$C$2,$C23,0,0),0)</f>
        <v>2087299</v>
      </c>
      <c r="AM24" s="39">
        <f>-ROUND(IPMT($C$3,$AG$4,$C$2,$C23,0,0),0)</f>
        <v>1945988</v>
      </c>
      <c r="AN24" s="39">
        <f>-ROUND(IPMT($C$3,$AH$4,$C$2,$C23,0,0),0)</f>
        <v>1801710</v>
      </c>
      <c r="AO24" s="39">
        <f>-ROUND(IPMT($C$3,$AI$4,$C$2,$C23,0,0),0)</f>
        <v>1654402</v>
      </c>
      <c r="AP24" s="39">
        <f>-ROUND(IPMT($C$3,$AJ$4,$C$2,$C23,0,0),0)</f>
        <v>1504001</v>
      </c>
      <c r="AQ24" s="39">
        <f>-ROUND(IPMT($C$3,$AK$4,$C$2,$C23,0,0),0)</f>
        <v>1350441</v>
      </c>
      <c r="AR24" s="39">
        <f>-ROUND(IPMT($C$3,$AL$4,$C$2,$C23,0,0),0)</f>
        <v>1193657</v>
      </c>
      <c r="AS24" s="39">
        <f>-ROUND(IPMT($C$3,$AM$4,$C$2,$C23,0,0),0)</f>
        <v>1033580</v>
      </c>
      <c r="AT24" s="39">
        <f>-ROUND(IPMT($C$3,$AN$4,$C$2,$C23,0,0),0)</f>
        <v>870141</v>
      </c>
      <c r="AU24" s="39">
        <f>-ROUND(IPMT($C$3,$AO$4,$C$2,$C23,0,0),0)</f>
        <v>703270</v>
      </c>
      <c r="AV24" s="39">
        <f>-ROUND(IPMT($C$3,$AP$4,$C$2,$C23,0,0),0)</f>
        <v>532895</v>
      </c>
      <c r="AW24" s="39">
        <f>-ROUND(IPMT($C$3,$AQ$4,$C$2,$C23,0,0),0)</f>
        <v>358942</v>
      </c>
      <c r="AX24" s="39">
        <f>-ROUND(IPMT($C$3,$AR$4,$C$2,$C23,0,0),0)</f>
        <v>181336</v>
      </c>
      <c r="AY24" s="39"/>
      <c r="AZ24" s="39"/>
      <c r="BA24" s="39"/>
      <c r="BB24" s="39"/>
    </row>
    <row r="25" spans="2:54">
      <c r="B25" s="3"/>
      <c r="C25" s="134"/>
      <c r="D25" s="39" t="s">
        <v>339</v>
      </c>
      <c r="E25" s="40"/>
      <c r="F25" s="40"/>
      <c r="G25" s="40"/>
      <c r="H25" s="40"/>
      <c r="I25" s="40"/>
      <c r="J25" s="64">
        <f>$C23</f>
        <v>237000000</v>
      </c>
      <c r="K25" s="39">
        <f>$C23-K23</f>
        <v>233160628</v>
      </c>
      <c r="L25" s="39">
        <f>K25-L23</f>
        <v>229240629</v>
      </c>
      <c r="M25" s="39">
        <f t="shared" ref="M25:AX25" si="8">L25-M23</f>
        <v>225238310</v>
      </c>
      <c r="N25" s="39">
        <f t="shared" si="8"/>
        <v>221151942</v>
      </c>
      <c r="O25" s="39">
        <f t="shared" si="8"/>
        <v>216979760</v>
      </c>
      <c r="P25" s="39">
        <f t="shared" si="8"/>
        <v>212719962</v>
      </c>
      <c r="Q25" s="39">
        <f t="shared" si="8"/>
        <v>208370709</v>
      </c>
      <c r="R25" s="39">
        <f t="shared" si="8"/>
        <v>203930121</v>
      </c>
      <c r="S25" s="39">
        <f t="shared" si="8"/>
        <v>199396281</v>
      </c>
      <c r="T25" s="39">
        <f t="shared" si="8"/>
        <v>194767230</v>
      </c>
      <c r="U25" s="39">
        <f t="shared" si="8"/>
        <v>190040969</v>
      </c>
      <c r="V25" s="39">
        <f t="shared" si="8"/>
        <v>185215457</v>
      </c>
      <c r="W25" s="39">
        <f t="shared" si="8"/>
        <v>180288609</v>
      </c>
      <c r="X25" s="39">
        <f t="shared" si="8"/>
        <v>175258297</v>
      </c>
      <c r="Y25" s="39">
        <f t="shared" si="8"/>
        <v>170122349</v>
      </c>
      <c r="Z25" s="39">
        <f t="shared" si="8"/>
        <v>164878546</v>
      </c>
      <c r="AA25" s="39">
        <f t="shared" si="8"/>
        <v>159524623</v>
      </c>
      <c r="AB25" s="39">
        <f t="shared" si="8"/>
        <v>154058268</v>
      </c>
      <c r="AC25" s="39">
        <f t="shared" si="8"/>
        <v>148477119</v>
      </c>
      <c r="AD25" s="39">
        <f t="shared" si="8"/>
        <v>142778766</v>
      </c>
      <c r="AE25" s="39">
        <f t="shared" si="8"/>
        <v>136960748</v>
      </c>
      <c r="AF25" s="39">
        <f t="shared" si="8"/>
        <v>131020551</v>
      </c>
      <c r="AG25" s="39">
        <f t="shared" si="8"/>
        <v>124955610</v>
      </c>
      <c r="AH25" s="39">
        <f t="shared" si="8"/>
        <v>118763305</v>
      </c>
      <c r="AI25" s="39">
        <f t="shared" si="8"/>
        <v>112440962</v>
      </c>
      <c r="AJ25" s="39">
        <f t="shared" si="8"/>
        <v>105985850</v>
      </c>
      <c r="AK25" s="39">
        <f t="shared" si="8"/>
        <v>99395180</v>
      </c>
      <c r="AL25" s="39">
        <f t="shared" si="8"/>
        <v>92666106</v>
      </c>
      <c r="AM25" s="39">
        <f t="shared" si="8"/>
        <v>85795722</v>
      </c>
      <c r="AN25" s="39">
        <f t="shared" si="8"/>
        <v>78781060</v>
      </c>
      <c r="AO25" s="39">
        <f t="shared" si="8"/>
        <v>71619090</v>
      </c>
      <c r="AP25" s="39">
        <f t="shared" si="8"/>
        <v>64306718</v>
      </c>
      <c r="AQ25" s="39">
        <f t="shared" si="8"/>
        <v>56840787</v>
      </c>
      <c r="AR25" s="39">
        <f t="shared" si="8"/>
        <v>49218071</v>
      </c>
      <c r="AS25" s="39">
        <f t="shared" si="8"/>
        <v>41435278</v>
      </c>
      <c r="AT25" s="39">
        <f t="shared" si="8"/>
        <v>33489046</v>
      </c>
      <c r="AU25" s="39">
        <f t="shared" si="8"/>
        <v>25375944</v>
      </c>
      <c r="AV25" s="39">
        <f t="shared" si="8"/>
        <v>17092466</v>
      </c>
      <c r="AW25" s="39">
        <f t="shared" si="8"/>
        <v>8635035</v>
      </c>
      <c r="AX25" s="39">
        <f t="shared" si="8"/>
        <v>-2</v>
      </c>
      <c r="AY25" s="39"/>
      <c r="AZ25" s="39"/>
      <c r="BA25" s="39"/>
      <c r="BB25" s="39"/>
    </row>
    <row r="26" spans="2:54">
      <c r="B26" s="2" t="s">
        <v>29</v>
      </c>
      <c r="C26" s="132">
        <f>【成行】財政シミュ!Z74</f>
        <v>237000000</v>
      </c>
      <c r="D26" s="39" t="s">
        <v>582</v>
      </c>
      <c r="E26" s="40"/>
      <c r="F26" s="40"/>
      <c r="G26" s="40"/>
      <c r="H26" s="40"/>
      <c r="I26" s="40"/>
      <c r="J26" s="40"/>
      <c r="K26" s="40"/>
      <c r="L26" s="39">
        <f>-ROUND(PPMT($C$3,$E$4,$C$2,$C26,0,0),0)</f>
        <v>3839372</v>
      </c>
      <c r="M26" s="39">
        <f>-ROUND(PPMT($C$3,$F$4,$C$2,$C26,0,0),0)</f>
        <v>3919999</v>
      </c>
      <c r="N26" s="39">
        <f>-ROUND(PPMT($C$3,$G$4,$C$2,$C26,0,0),0)</f>
        <v>4002319</v>
      </c>
      <c r="O26" s="39">
        <f>-ROUND(PPMT($C$3,$H$4,$C$2,$C26,0,0),0)</f>
        <v>4086368</v>
      </c>
      <c r="P26" s="39">
        <f>-ROUND(PPMT($C$3,$I$4,$C$2,$C26,0,0),0)</f>
        <v>4172182</v>
      </c>
      <c r="Q26" s="39">
        <f>-ROUND(PPMT($C$3,$J$4,$C$2,$C26,0,0),0)</f>
        <v>4259798</v>
      </c>
      <c r="R26" s="39">
        <f>-ROUND(PPMT($C$3,$K$4,$C$2,$C26,0,0),0)</f>
        <v>4349253</v>
      </c>
      <c r="S26" s="39">
        <f>-ROUND(PPMT($C$3,$L$4,$C$2,$C26,0,0),0)</f>
        <v>4440588</v>
      </c>
      <c r="T26" s="39">
        <f>-ROUND(PPMT($C$3,$M$4,$C$2,$C26,0,0),0)</f>
        <v>4533840</v>
      </c>
      <c r="U26" s="39">
        <f>-ROUND(PPMT($C$3,$N$4,$C$2,$C26,0,0),0)</f>
        <v>4629051</v>
      </c>
      <c r="V26" s="39">
        <f>-ROUND(PPMT($C$3,$O$4,$C$2,$C26,0,0),0)</f>
        <v>4726261</v>
      </c>
      <c r="W26" s="39">
        <f>-ROUND(PPMT($C$3,$P$4,$C$2,$C26,0,0),0)</f>
        <v>4825512</v>
      </c>
      <c r="X26" s="39">
        <f>-ROUND(PPMT($C$3,$Q$4,$C$2,$C26,0,0),0)</f>
        <v>4926848</v>
      </c>
      <c r="Y26" s="39">
        <f>-ROUND(PPMT($C$3,$R$4,$C$2,$C26,0,0),0)</f>
        <v>5030312</v>
      </c>
      <c r="Z26" s="39">
        <f>-ROUND(PPMT($C$3,$S$4,$C$2,$C26,0,0),0)</f>
        <v>5135948</v>
      </c>
      <c r="AA26" s="39">
        <f>-ROUND(PPMT($C$3,$T$4,$C$2,$C26,0,0),0)</f>
        <v>5243803</v>
      </c>
      <c r="AB26" s="39">
        <f>-ROUND(PPMT($C$3,$U$4,$C$2,$C26,0,0),0)</f>
        <v>5353923</v>
      </c>
      <c r="AC26" s="39">
        <f>-ROUND(PPMT($C$3,$V$4,$C$2,$C26,0,0),0)</f>
        <v>5466355</v>
      </c>
      <c r="AD26" s="39">
        <f>-ROUND(PPMT($C$3,$W$4,$C$2,$C26,0,0),0)</f>
        <v>5581149</v>
      </c>
      <c r="AE26" s="39">
        <f>-ROUND(PPMT($C$3,$X$4,$C$2,$C26,0,0),0)</f>
        <v>5698353</v>
      </c>
      <c r="AF26" s="39">
        <f>-ROUND(PPMT($C$3,$Y$4,$C$2,$C26,0,0),0)</f>
        <v>5818018</v>
      </c>
      <c r="AG26" s="39">
        <f>-ROUND(PPMT($C$3,$Z$4,$C$2,$C26,0,0),0)</f>
        <v>5940197</v>
      </c>
      <c r="AH26" s="39">
        <f>-ROUND(PPMT($C$3,$AA$4,$C$2,$C26,0,0),0)</f>
        <v>6064941</v>
      </c>
      <c r="AI26" s="39">
        <f>-ROUND(PPMT($C$3,$AB$4,$C$2,$C26,0,0),0)</f>
        <v>6192305</v>
      </c>
      <c r="AJ26" s="39">
        <f>-ROUND(PPMT($C$3,$AC$4,$C$2,$C26,0,0),0)</f>
        <v>6322343</v>
      </c>
      <c r="AK26" s="39">
        <f>-ROUND(PPMT($C$3,$AD$4,$C$2,$C26,0,0),0)</f>
        <v>6455112</v>
      </c>
      <c r="AL26" s="39">
        <f>-ROUND(PPMT($C$3,$AE$4,$C$2,$C26,0,0),0)</f>
        <v>6590670</v>
      </c>
      <c r="AM26" s="39">
        <f>-ROUND(PPMT($C$3,$AF$4,$C$2,$C26,0,0),0)</f>
        <v>6729074</v>
      </c>
      <c r="AN26" s="39">
        <f>-ROUND(PPMT($C$3,$AG$4,$C$2,$C26,0,0),0)</f>
        <v>6870384</v>
      </c>
      <c r="AO26" s="39">
        <f>-ROUND(PPMT($C$3,$AH$4,$C$2,$C26,0,0),0)</f>
        <v>7014662</v>
      </c>
      <c r="AP26" s="39">
        <f>-ROUND(PPMT($C$3,$AI$4,$C$2,$C26,0,0),0)</f>
        <v>7161970</v>
      </c>
      <c r="AQ26" s="39">
        <f>-ROUND(PPMT($C$3,$AJ$4,$C$2,$C26,0,0),0)</f>
        <v>7312372</v>
      </c>
      <c r="AR26" s="39">
        <f>-ROUND(PPMT($C$3,$AK$4,$C$2,$C26,0,0),0)</f>
        <v>7465931</v>
      </c>
      <c r="AS26" s="39">
        <f>-ROUND(PPMT($C$3,$AL$4,$C$2,$C26,0,0),0)</f>
        <v>7622716</v>
      </c>
      <c r="AT26" s="39">
        <f>-ROUND(PPMT($C$3,$AM$4,$C$2,$C26,0,0),0)</f>
        <v>7782793</v>
      </c>
      <c r="AU26" s="39">
        <f>-ROUND(PPMT($C$3,$AN$4,$C$2,$C26,0,0),0)</f>
        <v>7946232</v>
      </c>
      <c r="AV26" s="39">
        <f>-ROUND(PPMT($C$3,$AO$4,$C$2,$C26,0,0),0)</f>
        <v>8113102</v>
      </c>
      <c r="AW26" s="39">
        <f>-ROUND(PPMT($C$3,$AP$4,$C$2,$C26,0,0),0)</f>
        <v>8283478</v>
      </c>
      <c r="AX26" s="39">
        <f>-ROUND(PPMT($C$3,$AQ$4,$C$2,$C26,0,0),0)</f>
        <v>8457431</v>
      </c>
      <c r="AY26" s="39">
        <f>-ROUND(PPMT($C$3,$AR$4,$C$2,$C26,0,0),0)</f>
        <v>8635037</v>
      </c>
      <c r="AZ26" s="39"/>
      <c r="BA26" s="39"/>
      <c r="BB26" s="39"/>
    </row>
    <row r="27" spans="2:54">
      <c r="B27" s="4"/>
      <c r="C27" s="133"/>
      <c r="D27" s="39" t="s">
        <v>583</v>
      </c>
      <c r="E27" s="40"/>
      <c r="F27" s="40"/>
      <c r="G27" s="40"/>
      <c r="H27" s="40"/>
      <c r="I27" s="40"/>
      <c r="J27" s="40"/>
      <c r="K27" s="40"/>
      <c r="L27" s="39">
        <f>-ROUND(IPMT($C$3,$E$4,$C$2,$C26,0,0),0)</f>
        <v>4977000</v>
      </c>
      <c r="M27" s="39">
        <f>-ROUND(IPMT($C$3,$F$4,$C$2,$C26,0,0),0)</f>
        <v>4896373</v>
      </c>
      <c r="N27" s="39">
        <f>-ROUND(IPMT($C$3,$G$4,$C$2,$C26,0,0),0)</f>
        <v>4814053</v>
      </c>
      <c r="O27" s="39">
        <f>-ROUND(IPMT($C$3,$H$4,$C$2,$C26,0,0),0)</f>
        <v>4730004</v>
      </c>
      <c r="P27" s="39">
        <f>-ROUND(IPMT($C$3,$I$4,$C$2,$C26,0,0),0)</f>
        <v>4644191</v>
      </c>
      <c r="Q27" s="39">
        <f>-ROUND(IPMT($C$3,$J$4,$C$2,$C26,0,0),0)</f>
        <v>4556575</v>
      </c>
      <c r="R27" s="39">
        <f>-ROUND(IPMT($C$3,$K$4,$C$2,$C26,0,0),0)</f>
        <v>4467119</v>
      </c>
      <c r="S27" s="39">
        <f>-ROUND(IPMT($C$3,$L$4,$C$2,$C26,0,0),0)</f>
        <v>4375785</v>
      </c>
      <c r="T27" s="39">
        <f>-ROUND(IPMT($C$3,$M$4,$C$2,$C26,0,0),0)</f>
        <v>4282533</v>
      </c>
      <c r="U27" s="39">
        <f>-ROUND(IPMT($C$3,$N$4,$C$2,$C26,0,0),0)</f>
        <v>4187322</v>
      </c>
      <c r="V27" s="39">
        <f>-ROUND(IPMT($C$3,$O$4,$C$2,$C26,0,0),0)</f>
        <v>4090112</v>
      </c>
      <c r="W27" s="39">
        <f>-ROUND(IPMT($C$3,$P$4,$C$2,$C26,0,0),0)</f>
        <v>3990860</v>
      </c>
      <c r="X27" s="39">
        <f>-ROUND(IPMT($C$3,$Q$4,$C$2,$C26,0,0),0)</f>
        <v>3889525</v>
      </c>
      <c r="Y27" s="39">
        <f>-ROUND(IPMT($C$3,$R$4,$C$2,$C26,0,0),0)</f>
        <v>3786061</v>
      </c>
      <c r="Z27" s="39">
        <f>-ROUND(IPMT($C$3,$S$4,$C$2,$C26,0,0),0)</f>
        <v>3680424</v>
      </c>
      <c r="AA27" s="39">
        <f>-ROUND(IPMT($C$3,$T$4,$C$2,$C26,0,0),0)</f>
        <v>3572569</v>
      </c>
      <c r="AB27" s="39">
        <f>-ROUND(IPMT($C$3,$U$4,$C$2,$C26,0,0),0)</f>
        <v>3462449</v>
      </c>
      <c r="AC27" s="39">
        <f>-ROUND(IPMT($C$3,$V$4,$C$2,$C26,0,0),0)</f>
        <v>3350017</v>
      </c>
      <c r="AD27" s="39">
        <f>-ROUND(IPMT($C$3,$W$4,$C$2,$C26,0,0),0)</f>
        <v>3235224</v>
      </c>
      <c r="AE27" s="39">
        <f>-ROUND(IPMT($C$3,$X$4,$C$2,$C26,0,0),0)</f>
        <v>3118020</v>
      </c>
      <c r="AF27" s="39">
        <f>-ROUND(IPMT($C$3,$Y$4,$C$2,$C26,0,0),0)</f>
        <v>2998354</v>
      </c>
      <c r="AG27" s="39">
        <f>-ROUND(IPMT($C$3,$Z$4,$C$2,$C26,0,0),0)</f>
        <v>2876176</v>
      </c>
      <c r="AH27" s="39">
        <f>-ROUND(IPMT($C$3,$AA$4,$C$2,$C26,0,0),0)</f>
        <v>2751432</v>
      </c>
      <c r="AI27" s="39">
        <f>-ROUND(IPMT($C$3,$AB$4,$C$2,$C26,0,0),0)</f>
        <v>2624068</v>
      </c>
      <c r="AJ27" s="39">
        <f>-ROUND(IPMT($C$3,$AC$4,$C$2,$C26,0,0),0)</f>
        <v>2494029</v>
      </c>
      <c r="AK27" s="39">
        <f>-ROUND(IPMT($C$3,$AD$4,$C$2,$C26,0,0),0)</f>
        <v>2361260</v>
      </c>
      <c r="AL27" s="39">
        <f>-ROUND(IPMT($C$3,$AE$4,$C$2,$C26,0,0),0)</f>
        <v>2225703</v>
      </c>
      <c r="AM27" s="39">
        <f>-ROUND(IPMT($C$3,$AF$4,$C$2,$C26,0,0),0)</f>
        <v>2087299</v>
      </c>
      <c r="AN27" s="39">
        <f>-ROUND(IPMT($C$3,$AG$4,$C$2,$C26,0,0),0)</f>
        <v>1945988</v>
      </c>
      <c r="AO27" s="39">
        <f>-ROUND(IPMT($C$3,$AH$4,$C$2,$C26,0,0),0)</f>
        <v>1801710</v>
      </c>
      <c r="AP27" s="39">
        <f>-ROUND(IPMT($C$3,$AI$4,$C$2,$C26,0,0),0)</f>
        <v>1654402</v>
      </c>
      <c r="AQ27" s="39">
        <f>-ROUND(IPMT($C$3,$AJ$4,$C$2,$C26,0,0),0)</f>
        <v>1504001</v>
      </c>
      <c r="AR27" s="39">
        <f>-ROUND(IPMT($C$3,$AK$4,$C$2,$C26,0,0),0)</f>
        <v>1350441</v>
      </c>
      <c r="AS27" s="39">
        <f>-ROUND(IPMT($C$3,$AL$4,$C$2,$C26,0,0),0)</f>
        <v>1193657</v>
      </c>
      <c r="AT27" s="39">
        <f>-ROUND(IPMT($C$3,$AM$4,$C$2,$C26,0,0),0)</f>
        <v>1033580</v>
      </c>
      <c r="AU27" s="39">
        <f>-ROUND(IPMT($C$3,$AN$4,$C$2,$C26,0,0),0)</f>
        <v>870141</v>
      </c>
      <c r="AV27" s="39">
        <f>-ROUND(IPMT($C$3,$AO$4,$C$2,$C26,0,0),0)</f>
        <v>703270</v>
      </c>
      <c r="AW27" s="39">
        <f>-ROUND(IPMT($C$3,$AP$4,$C$2,$C26,0,0),0)</f>
        <v>532895</v>
      </c>
      <c r="AX27" s="39">
        <f>-ROUND(IPMT($C$3,$AQ$4,$C$2,$C26,0,0),0)</f>
        <v>358942</v>
      </c>
      <c r="AY27" s="39">
        <f>-ROUND(IPMT($C$3,$AR$4,$C$2,$C26,0,0),0)</f>
        <v>181336</v>
      </c>
      <c r="AZ27" s="39"/>
      <c r="BA27" s="39"/>
      <c r="BB27" s="39"/>
    </row>
    <row r="28" spans="2:54">
      <c r="B28" s="3"/>
      <c r="C28" s="134"/>
      <c r="D28" s="39" t="s">
        <v>339</v>
      </c>
      <c r="E28" s="40"/>
      <c r="F28" s="40"/>
      <c r="G28" s="40"/>
      <c r="H28" s="40"/>
      <c r="I28" s="40"/>
      <c r="J28" s="40"/>
      <c r="K28" s="64">
        <f>$C26</f>
        <v>237000000</v>
      </c>
      <c r="L28" s="39">
        <f>$C26-L26</f>
        <v>233160628</v>
      </c>
      <c r="M28" s="39">
        <f>L28-M26</f>
        <v>229240629</v>
      </c>
      <c r="N28" s="39">
        <f t="shared" ref="N28:AY28" si="9">M28-N26</f>
        <v>225238310</v>
      </c>
      <c r="O28" s="39">
        <f t="shared" si="9"/>
        <v>221151942</v>
      </c>
      <c r="P28" s="39">
        <f t="shared" si="9"/>
        <v>216979760</v>
      </c>
      <c r="Q28" s="39">
        <f t="shared" si="9"/>
        <v>212719962</v>
      </c>
      <c r="R28" s="39">
        <f t="shared" si="9"/>
        <v>208370709</v>
      </c>
      <c r="S28" s="39">
        <f t="shared" si="9"/>
        <v>203930121</v>
      </c>
      <c r="T28" s="39">
        <f t="shared" si="9"/>
        <v>199396281</v>
      </c>
      <c r="U28" s="39">
        <f t="shared" si="9"/>
        <v>194767230</v>
      </c>
      <c r="V28" s="39">
        <f t="shared" si="9"/>
        <v>190040969</v>
      </c>
      <c r="W28" s="39">
        <f t="shared" si="9"/>
        <v>185215457</v>
      </c>
      <c r="X28" s="39">
        <f t="shared" si="9"/>
        <v>180288609</v>
      </c>
      <c r="Y28" s="39">
        <f t="shared" si="9"/>
        <v>175258297</v>
      </c>
      <c r="Z28" s="39">
        <f t="shared" si="9"/>
        <v>170122349</v>
      </c>
      <c r="AA28" s="39">
        <f t="shared" si="9"/>
        <v>164878546</v>
      </c>
      <c r="AB28" s="39">
        <f t="shared" si="9"/>
        <v>159524623</v>
      </c>
      <c r="AC28" s="39">
        <f t="shared" si="9"/>
        <v>154058268</v>
      </c>
      <c r="AD28" s="39">
        <f t="shared" si="9"/>
        <v>148477119</v>
      </c>
      <c r="AE28" s="39">
        <f t="shared" si="9"/>
        <v>142778766</v>
      </c>
      <c r="AF28" s="39">
        <f t="shared" si="9"/>
        <v>136960748</v>
      </c>
      <c r="AG28" s="39">
        <f t="shared" si="9"/>
        <v>131020551</v>
      </c>
      <c r="AH28" s="39">
        <f t="shared" si="9"/>
        <v>124955610</v>
      </c>
      <c r="AI28" s="39">
        <f t="shared" si="9"/>
        <v>118763305</v>
      </c>
      <c r="AJ28" s="39">
        <f t="shared" si="9"/>
        <v>112440962</v>
      </c>
      <c r="AK28" s="39">
        <f t="shared" si="9"/>
        <v>105985850</v>
      </c>
      <c r="AL28" s="39">
        <f t="shared" si="9"/>
        <v>99395180</v>
      </c>
      <c r="AM28" s="39">
        <f t="shared" si="9"/>
        <v>92666106</v>
      </c>
      <c r="AN28" s="39">
        <f t="shared" si="9"/>
        <v>85795722</v>
      </c>
      <c r="AO28" s="39">
        <f t="shared" si="9"/>
        <v>78781060</v>
      </c>
      <c r="AP28" s="39">
        <f t="shared" si="9"/>
        <v>71619090</v>
      </c>
      <c r="AQ28" s="39">
        <f t="shared" si="9"/>
        <v>64306718</v>
      </c>
      <c r="AR28" s="39">
        <f t="shared" si="9"/>
        <v>56840787</v>
      </c>
      <c r="AS28" s="39">
        <f t="shared" si="9"/>
        <v>49218071</v>
      </c>
      <c r="AT28" s="39">
        <f t="shared" si="9"/>
        <v>41435278</v>
      </c>
      <c r="AU28" s="39">
        <f t="shared" si="9"/>
        <v>33489046</v>
      </c>
      <c r="AV28" s="39">
        <f t="shared" si="9"/>
        <v>25375944</v>
      </c>
      <c r="AW28" s="39">
        <f t="shared" si="9"/>
        <v>17092466</v>
      </c>
      <c r="AX28" s="39">
        <f t="shared" si="9"/>
        <v>8635035</v>
      </c>
      <c r="AY28" s="39">
        <f t="shared" si="9"/>
        <v>-2</v>
      </c>
      <c r="AZ28" s="39"/>
      <c r="BA28" s="39"/>
      <c r="BB28" s="39"/>
    </row>
    <row r="29" spans="2:54">
      <c r="B29" s="2" t="s">
        <v>30</v>
      </c>
      <c r="C29" s="132">
        <f>【成行】財政シミュ!AA74</f>
        <v>287000000</v>
      </c>
      <c r="D29" s="39" t="s">
        <v>582</v>
      </c>
      <c r="E29" s="40"/>
      <c r="F29" s="40"/>
      <c r="G29" s="40"/>
      <c r="H29" s="40"/>
      <c r="I29" s="40"/>
      <c r="J29" s="40"/>
      <c r="K29" s="40"/>
      <c r="L29" s="40"/>
      <c r="M29" s="39">
        <f>-ROUND(PPMT($C$3,$E$4,$C$2,$C29,0,0),0)</f>
        <v>4649367</v>
      </c>
      <c r="N29" s="39">
        <f>-ROUND(PPMT($C$3,$F$4,$C$2,$C29,0,0),0)</f>
        <v>4747003</v>
      </c>
      <c r="O29" s="39">
        <f>-ROUND(PPMT($C$3,$G$4,$C$2,$C29,0,0),0)</f>
        <v>4846690</v>
      </c>
      <c r="P29" s="39">
        <f>-ROUND(PPMT($C$3,$H$4,$C$2,$C29,0,0),0)</f>
        <v>4948471</v>
      </c>
      <c r="Q29" s="39">
        <f>-ROUND(PPMT($C$3,$I$4,$C$2,$C29,0,0),0)</f>
        <v>5052389</v>
      </c>
      <c r="R29" s="39">
        <f>-ROUND(PPMT($C$3,$J$4,$C$2,$C29,0,0),0)</f>
        <v>5158489</v>
      </c>
      <c r="S29" s="39">
        <f>-ROUND(PPMT($C$3,$K$4,$C$2,$C29,0,0),0)</f>
        <v>5266817</v>
      </c>
      <c r="T29" s="39">
        <f>-ROUND(PPMT($C$3,$L$4,$C$2,$C29,0,0),0)</f>
        <v>5377420</v>
      </c>
      <c r="U29" s="39">
        <f>-ROUND(PPMT($C$3,$M$4,$C$2,$C29,0,0),0)</f>
        <v>5490346</v>
      </c>
      <c r="V29" s="39">
        <f>-ROUND(PPMT($C$3,$N$4,$C$2,$C29,0,0),0)</f>
        <v>5605644</v>
      </c>
      <c r="W29" s="39">
        <f>-ROUND(PPMT($C$3,$O$4,$C$2,$C29,0,0),0)</f>
        <v>5723362</v>
      </c>
      <c r="X29" s="39">
        <f>-ROUND(PPMT($C$3,$P$4,$C$2,$C29,0,0),0)</f>
        <v>5843553</v>
      </c>
      <c r="Y29" s="39">
        <f>-ROUND(PPMT($C$3,$Q$4,$C$2,$C29,0,0),0)</f>
        <v>5966267</v>
      </c>
      <c r="Z29" s="39">
        <f>-ROUND(PPMT($C$3,$R$4,$C$2,$C29,0,0),0)</f>
        <v>6091559</v>
      </c>
      <c r="AA29" s="39">
        <f>-ROUND(PPMT($C$3,$S$4,$C$2,$C29,0,0),0)</f>
        <v>6219482</v>
      </c>
      <c r="AB29" s="39">
        <f>-ROUND(PPMT($C$3,$T$4,$C$2,$C29,0,0),0)</f>
        <v>6350091</v>
      </c>
      <c r="AC29" s="39">
        <f>-ROUND(PPMT($C$3,$U$4,$C$2,$C29,0,0),0)</f>
        <v>6483443</v>
      </c>
      <c r="AD29" s="39">
        <f>-ROUND(PPMT($C$3,$V$4,$C$2,$C29,0,0),0)</f>
        <v>6619595</v>
      </c>
      <c r="AE29" s="39">
        <f>-ROUND(PPMT($C$3,$W$4,$C$2,$C29,0,0),0)</f>
        <v>6758606</v>
      </c>
      <c r="AF29" s="39">
        <f>-ROUND(PPMT($C$3,$X$4,$C$2,$C29,0,0),0)</f>
        <v>6900537</v>
      </c>
      <c r="AG29" s="39">
        <f>-ROUND(PPMT($C$3,$Y$4,$C$2,$C29,0,0),0)</f>
        <v>7045448</v>
      </c>
      <c r="AH29" s="39">
        <f>-ROUND(PPMT($C$3,$Z$4,$C$2,$C29,0,0),0)</f>
        <v>7193403</v>
      </c>
      <c r="AI29" s="39">
        <f>-ROUND(PPMT($C$3,$AA$4,$C$2,$C29,0,0),0)</f>
        <v>7344464</v>
      </c>
      <c r="AJ29" s="39">
        <f>-ROUND(PPMT($C$3,$AB$4,$C$2,$C29,0,0),0)</f>
        <v>7498698</v>
      </c>
      <c r="AK29" s="39">
        <f>-ROUND(PPMT($C$3,$AC$4,$C$2,$C29,0,0),0)</f>
        <v>7656171</v>
      </c>
      <c r="AL29" s="39">
        <f>-ROUND(PPMT($C$3,$AD$4,$C$2,$C29,0,0),0)</f>
        <v>7816950</v>
      </c>
      <c r="AM29" s="39">
        <f>-ROUND(PPMT($C$3,$AE$4,$C$2,$C29,0,0),0)</f>
        <v>7981106</v>
      </c>
      <c r="AN29" s="39">
        <f>-ROUND(PPMT($C$3,$AF$4,$C$2,$C29,0,0),0)</f>
        <v>8148709</v>
      </c>
      <c r="AO29" s="39">
        <f>-ROUND(PPMT($C$3,$AG$4,$C$2,$C29,0,0),0)</f>
        <v>8319832</v>
      </c>
      <c r="AP29" s="39">
        <f>-ROUND(PPMT($C$3,$AH$4,$C$2,$C29,0,0),0)</f>
        <v>8494549</v>
      </c>
      <c r="AQ29" s="39">
        <f>-ROUND(PPMT($C$3,$AI$4,$C$2,$C29,0,0),0)</f>
        <v>8672934</v>
      </c>
      <c r="AR29" s="39">
        <f>-ROUND(PPMT($C$3,$AJ$4,$C$2,$C29,0,0),0)</f>
        <v>8855066</v>
      </c>
      <c r="AS29" s="39">
        <f>-ROUND(PPMT($C$3,$AK$4,$C$2,$C29,0,0),0)</f>
        <v>9041022</v>
      </c>
      <c r="AT29" s="39">
        <f>-ROUND(PPMT($C$3,$AL$4,$C$2,$C29,0,0),0)</f>
        <v>9230884</v>
      </c>
      <c r="AU29" s="39">
        <f>-ROUND(PPMT($C$3,$AM$4,$C$2,$C29,0,0),0)</f>
        <v>9424732</v>
      </c>
      <c r="AV29" s="39">
        <f>-ROUND(PPMT($C$3,$AN$4,$C$2,$C29,0,0),0)</f>
        <v>9622652</v>
      </c>
      <c r="AW29" s="39">
        <f>-ROUND(PPMT($C$3,$AO$4,$C$2,$C29,0,0),0)</f>
        <v>9824727</v>
      </c>
      <c r="AX29" s="39">
        <f>-ROUND(PPMT($C$3,$AP$4,$C$2,$C29,0,0),0)</f>
        <v>10031047</v>
      </c>
      <c r="AY29" s="39">
        <f>-ROUND(PPMT($C$3,$AQ$4,$C$2,$C29,0,0),0)</f>
        <v>10241699</v>
      </c>
      <c r="AZ29" s="39">
        <f>-ROUND(PPMT($C$3,$AR$4,$C$2,$C29,0,0),0)</f>
        <v>10456774</v>
      </c>
      <c r="BA29" s="39"/>
      <c r="BB29" s="39"/>
    </row>
    <row r="30" spans="2:54">
      <c r="B30" s="4"/>
      <c r="C30" s="133"/>
      <c r="D30" s="39" t="s">
        <v>583</v>
      </c>
      <c r="E30" s="40"/>
      <c r="F30" s="40"/>
      <c r="G30" s="40"/>
      <c r="H30" s="40"/>
      <c r="I30" s="40"/>
      <c r="J30" s="40"/>
      <c r="K30" s="40"/>
      <c r="L30" s="40"/>
      <c r="M30" s="39">
        <f>-ROUND(IPMT($C$3,$E$4,$C$2,$C29,0,0),0)</f>
        <v>6027000</v>
      </c>
      <c r="N30" s="39">
        <f>-ROUND(IPMT($C$3,$F$4,$C$2,$C29,0,0),0)</f>
        <v>5929363</v>
      </c>
      <c r="O30" s="39">
        <f>-ROUND(IPMT($C$3,$G$4,$C$2,$C29,0,0),0)</f>
        <v>5829676</v>
      </c>
      <c r="P30" s="39">
        <f>-ROUND(IPMT($C$3,$H$4,$C$2,$C29,0,0),0)</f>
        <v>5727896</v>
      </c>
      <c r="Q30" s="39">
        <f>-ROUND(IPMT($C$3,$I$4,$C$2,$C29,0,0),0)</f>
        <v>5623978</v>
      </c>
      <c r="R30" s="39">
        <f>-ROUND(IPMT($C$3,$J$4,$C$2,$C29,0,0),0)</f>
        <v>5517878</v>
      </c>
      <c r="S30" s="39">
        <f>-ROUND(IPMT($C$3,$K$4,$C$2,$C29,0,0),0)</f>
        <v>5409549</v>
      </c>
      <c r="T30" s="39">
        <f>-ROUND(IPMT($C$3,$L$4,$C$2,$C29,0,0),0)</f>
        <v>5298946</v>
      </c>
      <c r="U30" s="39">
        <f>-ROUND(IPMT($C$3,$M$4,$C$2,$C29,0,0),0)</f>
        <v>5186020</v>
      </c>
      <c r="V30" s="39">
        <f>-ROUND(IPMT($C$3,$N$4,$C$2,$C29,0,0),0)</f>
        <v>5070723</v>
      </c>
      <c r="W30" s="39">
        <f>-ROUND(IPMT($C$3,$O$4,$C$2,$C29,0,0),0)</f>
        <v>4953005</v>
      </c>
      <c r="X30" s="39">
        <f>-ROUND(IPMT($C$3,$P$4,$C$2,$C29,0,0),0)</f>
        <v>4832814</v>
      </c>
      <c r="Y30" s="39">
        <f>-ROUND(IPMT($C$3,$Q$4,$C$2,$C29,0,0),0)</f>
        <v>4710099</v>
      </c>
      <c r="Z30" s="39">
        <f>-ROUND(IPMT($C$3,$R$4,$C$2,$C29,0,0),0)</f>
        <v>4584808</v>
      </c>
      <c r="AA30" s="39">
        <f>-ROUND(IPMT($C$3,$S$4,$C$2,$C29,0,0),0)</f>
        <v>4456885</v>
      </c>
      <c r="AB30" s="39">
        <f>-ROUND(IPMT($C$3,$T$4,$C$2,$C29,0,0),0)</f>
        <v>4326276</v>
      </c>
      <c r="AC30" s="39">
        <f>-ROUND(IPMT($C$3,$U$4,$C$2,$C29,0,0),0)</f>
        <v>4192924</v>
      </c>
      <c r="AD30" s="39">
        <f>-ROUND(IPMT($C$3,$V$4,$C$2,$C29,0,0),0)</f>
        <v>4056772</v>
      </c>
      <c r="AE30" s="39">
        <f>-ROUND(IPMT($C$3,$W$4,$C$2,$C29,0,0),0)</f>
        <v>3917760</v>
      </c>
      <c r="AF30" s="39">
        <f>-ROUND(IPMT($C$3,$X$4,$C$2,$C29,0,0),0)</f>
        <v>3775830</v>
      </c>
      <c r="AG30" s="39">
        <f>-ROUND(IPMT($C$3,$Y$4,$C$2,$C29,0,0),0)</f>
        <v>3630918</v>
      </c>
      <c r="AH30" s="39">
        <f>-ROUND(IPMT($C$3,$Z$4,$C$2,$C29,0,0),0)</f>
        <v>3482964</v>
      </c>
      <c r="AI30" s="39">
        <f>-ROUND(IPMT($C$3,$AA$4,$C$2,$C29,0,0),0)</f>
        <v>3331902</v>
      </c>
      <c r="AJ30" s="39">
        <f>-ROUND(IPMT($C$3,$AB$4,$C$2,$C29,0,0),0)</f>
        <v>3177669</v>
      </c>
      <c r="AK30" s="39">
        <f>-ROUND(IPMT($C$3,$AC$4,$C$2,$C29,0,0),0)</f>
        <v>3020196</v>
      </c>
      <c r="AL30" s="39">
        <f>-ROUND(IPMT($C$3,$AD$4,$C$2,$C29,0,0),0)</f>
        <v>2859416</v>
      </c>
      <c r="AM30" s="39">
        <f>-ROUND(IPMT($C$3,$AE$4,$C$2,$C29,0,0),0)</f>
        <v>2695260</v>
      </c>
      <c r="AN30" s="39">
        <f>-ROUND(IPMT($C$3,$AF$4,$C$2,$C29,0,0),0)</f>
        <v>2527657</v>
      </c>
      <c r="AO30" s="39">
        <f>-ROUND(IPMT($C$3,$AG$4,$C$2,$C29,0,0),0)</f>
        <v>2356534</v>
      </c>
      <c r="AP30" s="39">
        <f>-ROUND(IPMT($C$3,$AH$4,$C$2,$C29,0,0),0)</f>
        <v>2181818</v>
      </c>
      <c r="AQ30" s="39">
        <f>-ROUND(IPMT($C$3,$AI$4,$C$2,$C29,0,0),0)</f>
        <v>2003432</v>
      </c>
      <c r="AR30" s="39">
        <f>-ROUND(IPMT($C$3,$AJ$4,$C$2,$C29,0,0),0)</f>
        <v>1821301</v>
      </c>
      <c r="AS30" s="39">
        <f>-ROUND(IPMT($C$3,$AK$4,$C$2,$C29,0,0),0)</f>
        <v>1635344</v>
      </c>
      <c r="AT30" s="39">
        <f>-ROUND(IPMT($C$3,$AL$4,$C$2,$C29,0,0),0)</f>
        <v>1445483</v>
      </c>
      <c r="AU30" s="39">
        <f>-ROUND(IPMT($C$3,$AM$4,$C$2,$C29,0,0),0)</f>
        <v>1251634</v>
      </c>
      <c r="AV30" s="39">
        <f>-ROUND(IPMT($C$3,$AN$4,$C$2,$C29,0,0),0)</f>
        <v>1053715</v>
      </c>
      <c r="AW30" s="39">
        <f>-ROUND(IPMT($C$3,$AO$4,$C$2,$C29,0,0),0)</f>
        <v>851639</v>
      </c>
      <c r="AX30" s="39">
        <f>-ROUND(IPMT($C$3,$AP$4,$C$2,$C29,0,0),0)</f>
        <v>645320</v>
      </c>
      <c r="AY30" s="39">
        <f>-ROUND(IPMT($C$3,$AQ$4,$C$2,$C29,0,0),0)</f>
        <v>434668</v>
      </c>
      <c r="AZ30" s="39">
        <f>-ROUND(IPMT($C$3,$AR$4,$C$2,$C29,0,0),0)</f>
        <v>219592</v>
      </c>
      <c r="BA30" s="39"/>
      <c r="BB30" s="39"/>
    </row>
    <row r="31" spans="2:54">
      <c r="B31" s="3"/>
      <c r="C31" s="134"/>
      <c r="D31" s="39" t="s">
        <v>339</v>
      </c>
      <c r="E31" s="40"/>
      <c r="F31" s="40"/>
      <c r="G31" s="40"/>
      <c r="H31" s="40"/>
      <c r="I31" s="40"/>
      <c r="J31" s="40"/>
      <c r="K31" s="40"/>
      <c r="L31" s="64">
        <f>$C29</f>
        <v>287000000</v>
      </c>
      <c r="M31" s="39">
        <f>$C29-M29</f>
        <v>282350633</v>
      </c>
      <c r="N31" s="39">
        <f>M31-N29</f>
        <v>277603630</v>
      </c>
      <c r="O31" s="39">
        <f t="shared" ref="O31:AZ31" si="10">N31-O29</f>
        <v>272756940</v>
      </c>
      <c r="P31" s="39">
        <f t="shared" si="10"/>
        <v>267808469</v>
      </c>
      <c r="Q31" s="39">
        <f t="shared" si="10"/>
        <v>262756080</v>
      </c>
      <c r="R31" s="39">
        <f t="shared" si="10"/>
        <v>257597591</v>
      </c>
      <c r="S31" s="39">
        <f t="shared" si="10"/>
        <v>252330774</v>
      </c>
      <c r="T31" s="39">
        <f t="shared" si="10"/>
        <v>246953354</v>
      </c>
      <c r="U31" s="39">
        <f t="shared" si="10"/>
        <v>241463008</v>
      </c>
      <c r="V31" s="39">
        <f t="shared" si="10"/>
        <v>235857364</v>
      </c>
      <c r="W31" s="39">
        <f t="shared" si="10"/>
        <v>230134002</v>
      </c>
      <c r="X31" s="39">
        <f t="shared" si="10"/>
        <v>224290449</v>
      </c>
      <c r="Y31" s="39">
        <f t="shared" si="10"/>
        <v>218324182</v>
      </c>
      <c r="Z31" s="39">
        <f t="shared" si="10"/>
        <v>212232623</v>
      </c>
      <c r="AA31" s="39">
        <f t="shared" si="10"/>
        <v>206013141</v>
      </c>
      <c r="AB31" s="39">
        <f t="shared" si="10"/>
        <v>199663050</v>
      </c>
      <c r="AC31" s="39">
        <f t="shared" si="10"/>
        <v>193179607</v>
      </c>
      <c r="AD31" s="39">
        <f t="shared" si="10"/>
        <v>186560012</v>
      </c>
      <c r="AE31" s="39">
        <f t="shared" si="10"/>
        <v>179801406</v>
      </c>
      <c r="AF31" s="39">
        <f t="shared" si="10"/>
        <v>172900869</v>
      </c>
      <c r="AG31" s="39">
        <f t="shared" si="10"/>
        <v>165855421</v>
      </c>
      <c r="AH31" s="39">
        <f t="shared" si="10"/>
        <v>158662018</v>
      </c>
      <c r="AI31" s="39">
        <f t="shared" si="10"/>
        <v>151317554</v>
      </c>
      <c r="AJ31" s="39">
        <f t="shared" si="10"/>
        <v>143818856</v>
      </c>
      <c r="AK31" s="39">
        <f t="shared" si="10"/>
        <v>136162685</v>
      </c>
      <c r="AL31" s="39">
        <f t="shared" si="10"/>
        <v>128345735</v>
      </c>
      <c r="AM31" s="39">
        <f t="shared" si="10"/>
        <v>120364629</v>
      </c>
      <c r="AN31" s="39">
        <f t="shared" si="10"/>
        <v>112215920</v>
      </c>
      <c r="AO31" s="39">
        <f t="shared" si="10"/>
        <v>103896088</v>
      </c>
      <c r="AP31" s="39">
        <f t="shared" si="10"/>
        <v>95401539</v>
      </c>
      <c r="AQ31" s="39">
        <f t="shared" si="10"/>
        <v>86728605</v>
      </c>
      <c r="AR31" s="39">
        <f t="shared" si="10"/>
        <v>77873539</v>
      </c>
      <c r="AS31" s="39">
        <f t="shared" si="10"/>
        <v>68832517</v>
      </c>
      <c r="AT31" s="39">
        <f t="shared" si="10"/>
        <v>59601633</v>
      </c>
      <c r="AU31" s="39">
        <f t="shared" si="10"/>
        <v>50176901</v>
      </c>
      <c r="AV31" s="39">
        <f t="shared" si="10"/>
        <v>40554249</v>
      </c>
      <c r="AW31" s="39">
        <f t="shared" si="10"/>
        <v>30729522</v>
      </c>
      <c r="AX31" s="39">
        <f t="shared" si="10"/>
        <v>20698475</v>
      </c>
      <c r="AY31" s="39">
        <f t="shared" si="10"/>
        <v>10456776</v>
      </c>
      <c r="AZ31" s="39">
        <f t="shared" si="10"/>
        <v>2</v>
      </c>
      <c r="BA31" s="39"/>
      <c r="BB31" s="39"/>
    </row>
    <row r="32" spans="2:54">
      <c r="B32" s="2" t="s">
        <v>31</v>
      </c>
      <c r="C32" s="132">
        <f>【成行】財政シミュ!AB74</f>
        <v>347000000</v>
      </c>
      <c r="D32" s="39" t="s">
        <v>582</v>
      </c>
      <c r="E32" s="40"/>
      <c r="F32" s="40"/>
      <c r="G32" s="40"/>
      <c r="H32" s="40"/>
      <c r="I32" s="40"/>
      <c r="J32" s="40"/>
      <c r="K32" s="40"/>
      <c r="L32" s="40"/>
      <c r="M32" s="40"/>
      <c r="N32" s="39">
        <f>-ROUND(PPMT($C$3,$E$4,$C$2,$C32,0,0),0)</f>
        <v>5621360</v>
      </c>
      <c r="O32" s="39">
        <f>-ROUND(PPMT($C$3,$F$4,$C$2,$C32,0,0),0)</f>
        <v>5739408</v>
      </c>
      <c r="P32" s="39">
        <f>-ROUND(PPMT($C$3,$G$4,$C$2,$C32,0,0),0)</f>
        <v>5859936</v>
      </c>
      <c r="Q32" s="39">
        <f>-ROUND(PPMT($C$3,$H$4,$C$2,$C32,0,0),0)</f>
        <v>5982994</v>
      </c>
      <c r="R32" s="39">
        <f>-ROUND(PPMT($C$3,$I$4,$C$2,$C32,0,0),0)</f>
        <v>6108637</v>
      </c>
      <c r="S32" s="39">
        <f>-ROUND(PPMT($C$3,$J$4,$C$2,$C32,0,0),0)</f>
        <v>6236919</v>
      </c>
      <c r="T32" s="39">
        <f>-ROUND(PPMT($C$3,$K$4,$C$2,$C32,0,0),0)</f>
        <v>6367894</v>
      </c>
      <c r="U32" s="39">
        <f>-ROUND(PPMT($C$3,$L$4,$C$2,$C32,0,0),0)</f>
        <v>6501620</v>
      </c>
      <c r="V32" s="39">
        <f>-ROUND(PPMT($C$3,$M$4,$C$2,$C32,0,0),0)</f>
        <v>6638154</v>
      </c>
      <c r="W32" s="39">
        <f>-ROUND(PPMT($C$3,$N$4,$C$2,$C32,0,0),0)</f>
        <v>6777555</v>
      </c>
      <c r="X32" s="39">
        <f>-ROUND(PPMT($C$3,$O$4,$C$2,$C32,0,0),0)</f>
        <v>6919884</v>
      </c>
      <c r="Y32" s="39">
        <f>-ROUND(PPMT($C$3,$P$4,$C$2,$C32,0,0),0)</f>
        <v>7065201</v>
      </c>
      <c r="Z32" s="39">
        <f>-ROUND(PPMT($C$3,$Q$4,$C$2,$C32,0,0),0)</f>
        <v>7213570</v>
      </c>
      <c r="AA32" s="39">
        <f>-ROUND(PPMT($C$3,$R$4,$C$2,$C32,0,0),0)</f>
        <v>7365055</v>
      </c>
      <c r="AB32" s="39">
        <f>-ROUND(PPMT($C$3,$S$4,$C$2,$C32,0,0),0)</f>
        <v>7519722</v>
      </c>
      <c r="AC32" s="39">
        <f>-ROUND(PPMT($C$3,$T$4,$C$2,$C32,0,0),0)</f>
        <v>7677636</v>
      </c>
      <c r="AD32" s="39">
        <f>-ROUND(PPMT($C$3,$U$4,$C$2,$C32,0,0),0)</f>
        <v>7838866</v>
      </c>
      <c r="AE32" s="39">
        <f>-ROUND(PPMT($C$3,$V$4,$C$2,$C32,0,0),0)</f>
        <v>8003482</v>
      </c>
      <c r="AF32" s="39">
        <f>-ROUND(PPMT($C$3,$W$4,$C$2,$C32,0,0),0)</f>
        <v>8171555</v>
      </c>
      <c r="AG32" s="39">
        <f>-ROUND(PPMT($C$3,$X$4,$C$2,$C32,0,0),0)</f>
        <v>8343158</v>
      </c>
      <c r="AH32" s="39">
        <f>-ROUND(PPMT($C$3,$Y$4,$C$2,$C32,0,0),0)</f>
        <v>8518364</v>
      </c>
      <c r="AI32" s="39">
        <f>-ROUND(PPMT($C$3,$Z$4,$C$2,$C32,0,0),0)</f>
        <v>8697250</v>
      </c>
      <c r="AJ32" s="39">
        <f>-ROUND(PPMT($C$3,$AA$4,$C$2,$C32,0,0),0)</f>
        <v>8879892</v>
      </c>
      <c r="AK32" s="39">
        <f>-ROUND(PPMT($C$3,$AB$4,$C$2,$C32,0,0),0)</f>
        <v>9066370</v>
      </c>
      <c r="AL32" s="39">
        <f>-ROUND(PPMT($C$3,$AC$4,$C$2,$C32,0,0),0)</f>
        <v>9256764</v>
      </c>
      <c r="AM32" s="39">
        <f>-ROUND(PPMT($C$3,$AD$4,$C$2,$C32,0,0),0)</f>
        <v>9451156</v>
      </c>
      <c r="AN32" s="39">
        <f>-ROUND(PPMT($C$3,$AE$4,$C$2,$C32,0,0),0)</f>
        <v>9649630</v>
      </c>
      <c r="AO32" s="39">
        <f>-ROUND(PPMT($C$3,$AF$4,$C$2,$C32,0,0),0)</f>
        <v>9852272</v>
      </c>
      <c r="AP32" s="39">
        <f>-ROUND(PPMT($C$3,$AG$4,$C$2,$C32,0,0),0)</f>
        <v>10059170</v>
      </c>
      <c r="AQ32" s="39">
        <f>-ROUND(PPMT($C$3,$AH$4,$C$2,$C32,0,0),0)</f>
        <v>10270413</v>
      </c>
      <c r="AR32" s="39">
        <f>-ROUND(PPMT($C$3,$AI$4,$C$2,$C32,0,0),0)</f>
        <v>10486091</v>
      </c>
      <c r="AS32" s="39">
        <f>-ROUND(PPMT($C$3,$AJ$4,$C$2,$C32,0,0),0)</f>
        <v>10706299</v>
      </c>
      <c r="AT32" s="39">
        <f>-ROUND(PPMT($C$3,$AK$4,$C$2,$C32,0,0),0)</f>
        <v>10931132</v>
      </c>
      <c r="AU32" s="39">
        <f>-ROUND(PPMT($C$3,$AL$4,$C$2,$C32,0,0),0)</f>
        <v>11160685</v>
      </c>
      <c r="AV32" s="39">
        <f>-ROUND(PPMT($C$3,$AM$4,$C$2,$C32,0,0),0)</f>
        <v>11395060</v>
      </c>
      <c r="AW32" s="39">
        <f>-ROUND(PPMT($C$3,$AN$4,$C$2,$C32,0,0),0)</f>
        <v>11634356</v>
      </c>
      <c r="AX32" s="39">
        <f>-ROUND(PPMT($C$3,$AO$4,$C$2,$C32,0,0),0)</f>
        <v>11878677</v>
      </c>
      <c r="AY32" s="39">
        <f>-ROUND(PPMT($C$3,$AP$4,$C$2,$C32,0,0),0)</f>
        <v>12128130</v>
      </c>
      <c r="AZ32" s="39">
        <f>-ROUND(PPMT($C$3,$AQ$4,$C$2,$C32,0,0),0)</f>
        <v>12382820</v>
      </c>
      <c r="BA32" s="39">
        <f>-ROUND(PPMT($C$3,$AR$4,$C$2,$C32,0,0),0)</f>
        <v>12642860</v>
      </c>
      <c r="BB32" s="39"/>
    </row>
    <row r="33" spans="2:54">
      <c r="B33" s="4"/>
      <c r="C33" s="133"/>
      <c r="D33" s="39" t="s">
        <v>583</v>
      </c>
      <c r="E33" s="40"/>
      <c r="F33" s="40"/>
      <c r="G33" s="40"/>
      <c r="H33" s="40"/>
      <c r="I33" s="40"/>
      <c r="J33" s="40"/>
      <c r="K33" s="40"/>
      <c r="L33" s="40"/>
      <c r="M33" s="40"/>
      <c r="N33" s="39">
        <f>-ROUND(IPMT($C$3,$E$4,$C$2,$C32,0,0),0)</f>
        <v>7287000</v>
      </c>
      <c r="O33" s="39">
        <f>-ROUND(IPMT($C$3,$F$4,$C$2,$C32,0,0),0)</f>
        <v>7168951</v>
      </c>
      <c r="P33" s="39">
        <f>-ROUND(IPMT($C$3,$G$4,$C$2,$C32,0,0),0)</f>
        <v>7048424</v>
      </c>
      <c r="Q33" s="39">
        <f>-ROUND(IPMT($C$3,$H$4,$C$2,$C32,0,0),0)</f>
        <v>6925365</v>
      </c>
      <c r="R33" s="39">
        <f>-ROUND(IPMT($C$3,$I$4,$C$2,$C32,0,0),0)</f>
        <v>6799722</v>
      </c>
      <c r="S33" s="39">
        <f>-ROUND(IPMT($C$3,$J$4,$C$2,$C32,0,0),0)</f>
        <v>6671441</v>
      </c>
      <c r="T33" s="39">
        <f>-ROUND(IPMT($C$3,$K$4,$C$2,$C32,0,0),0)</f>
        <v>6540466</v>
      </c>
      <c r="U33" s="39">
        <f>-ROUND(IPMT($C$3,$L$4,$C$2,$C32,0,0),0)</f>
        <v>6406740</v>
      </c>
      <c r="V33" s="39">
        <f>-ROUND(IPMT($C$3,$M$4,$C$2,$C32,0,0),0)</f>
        <v>6270206</v>
      </c>
      <c r="W33" s="39">
        <f>-ROUND(IPMT($C$3,$N$4,$C$2,$C32,0,0),0)</f>
        <v>6130805</v>
      </c>
      <c r="X33" s="39">
        <f>-ROUND(IPMT($C$3,$O$4,$C$2,$C32,0,0),0)</f>
        <v>5988476</v>
      </c>
      <c r="Y33" s="39">
        <f>-ROUND(IPMT($C$3,$P$4,$C$2,$C32,0,0),0)</f>
        <v>5843158</v>
      </c>
      <c r="Z33" s="39">
        <f>-ROUND(IPMT($C$3,$Q$4,$C$2,$C32,0,0),0)</f>
        <v>5694789</v>
      </c>
      <c r="AA33" s="39">
        <f>-ROUND(IPMT($C$3,$R$4,$C$2,$C32,0,0),0)</f>
        <v>5543304</v>
      </c>
      <c r="AB33" s="39">
        <f>-ROUND(IPMT($C$3,$S$4,$C$2,$C32,0,0),0)</f>
        <v>5388638</v>
      </c>
      <c r="AC33" s="39">
        <f>-ROUND(IPMT($C$3,$T$4,$C$2,$C32,0,0),0)</f>
        <v>5230724</v>
      </c>
      <c r="AD33" s="39">
        <f>-ROUND(IPMT($C$3,$U$4,$C$2,$C32,0,0),0)</f>
        <v>5069494</v>
      </c>
      <c r="AE33" s="39">
        <f>-ROUND(IPMT($C$3,$V$4,$C$2,$C32,0,0),0)</f>
        <v>4904877</v>
      </c>
      <c r="AF33" s="39">
        <f>-ROUND(IPMT($C$3,$W$4,$C$2,$C32,0,0),0)</f>
        <v>4736804</v>
      </c>
      <c r="AG33" s="39">
        <f>-ROUND(IPMT($C$3,$X$4,$C$2,$C32,0,0),0)</f>
        <v>4565202</v>
      </c>
      <c r="AH33" s="39">
        <f>-ROUND(IPMT($C$3,$Y$4,$C$2,$C32,0,0),0)</f>
        <v>4389995</v>
      </c>
      <c r="AI33" s="39">
        <f>-ROUND(IPMT($C$3,$Z$4,$C$2,$C32,0,0),0)</f>
        <v>4211110</v>
      </c>
      <c r="AJ33" s="39">
        <f>-ROUND(IPMT($C$3,$AA$4,$C$2,$C32,0,0),0)</f>
        <v>4028467</v>
      </c>
      <c r="AK33" s="39">
        <f>-ROUND(IPMT($C$3,$AB$4,$C$2,$C32,0,0),0)</f>
        <v>3841990</v>
      </c>
      <c r="AL33" s="39">
        <f>-ROUND(IPMT($C$3,$AC$4,$C$2,$C32,0,0),0)</f>
        <v>3651596</v>
      </c>
      <c r="AM33" s="39">
        <f>-ROUND(IPMT($C$3,$AD$4,$C$2,$C32,0,0),0)</f>
        <v>3457204</v>
      </c>
      <c r="AN33" s="39">
        <f>-ROUND(IPMT($C$3,$AE$4,$C$2,$C32,0,0),0)</f>
        <v>3258730</v>
      </c>
      <c r="AO33" s="39">
        <f>-ROUND(IPMT($C$3,$AF$4,$C$2,$C32,0,0),0)</f>
        <v>3056087</v>
      </c>
      <c r="AP33" s="39">
        <f>-ROUND(IPMT($C$3,$AG$4,$C$2,$C32,0,0),0)</f>
        <v>2849190</v>
      </c>
      <c r="AQ33" s="39">
        <f>-ROUND(IPMT($C$3,$AH$4,$C$2,$C32,0,0),0)</f>
        <v>2637947</v>
      </c>
      <c r="AR33" s="39">
        <f>-ROUND(IPMT($C$3,$AI$4,$C$2,$C32,0,0),0)</f>
        <v>2422268</v>
      </c>
      <c r="AS33" s="39">
        <f>-ROUND(IPMT($C$3,$AJ$4,$C$2,$C32,0,0),0)</f>
        <v>2202060</v>
      </c>
      <c r="AT33" s="39">
        <f>-ROUND(IPMT($C$3,$AK$4,$C$2,$C32,0,0),0)</f>
        <v>1977228</v>
      </c>
      <c r="AU33" s="39">
        <f>-ROUND(IPMT($C$3,$AL$4,$C$2,$C32,0,0),0)</f>
        <v>1747674</v>
      </c>
      <c r="AV33" s="39">
        <f>-ROUND(IPMT($C$3,$AM$4,$C$2,$C32,0,0),0)</f>
        <v>1513300</v>
      </c>
      <c r="AW33" s="39">
        <f>-ROUND(IPMT($C$3,$AN$4,$C$2,$C32,0,0),0)</f>
        <v>1274004</v>
      </c>
      <c r="AX33" s="39">
        <f>-ROUND(IPMT($C$3,$AO$4,$C$2,$C32,0,0),0)</f>
        <v>1029682</v>
      </c>
      <c r="AY33" s="39">
        <f>-ROUND(IPMT($C$3,$AP$4,$C$2,$C32,0,0),0)</f>
        <v>780230</v>
      </c>
      <c r="AZ33" s="39">
        <f>-ROUND(IPMT($C$3,$AQ$4,$C$2,$C32,0,0),0)</f>
        <v>525539</v>
      </c>
      <c r="BA33" s="39">
        <f>-ROUND(IPMT($C$3,$AR$4,$C$2,$C32,0,0),0)</f>
        <v>265500</v>
      </c>
      <c r="BB33" s="39"/>
    </row>
    <row r="34" spans="2:54">
      <c r="B34" s="3"/>
      <c r="C34" s="134"/>
      <c r="D34" s="39" t="s">
        <v>339</v>
      </c>
      <c r="E34" s="40"/>
      <c r="F34" s="40"/>
      <c r="G34" s="40"/>
      <c r="H34" s="40"/>
      <c r="I34" s="40"/>
      <c r="J34" s="40"/>
      <c r="K34" s="40"/>
      <c r="L34" s="40"/>
      <c r="M34" s="64">
        <f>$C32</f>
        <v>347000000</v>
      </c>
      <c r="N34" s="39">
        <f>$C32-N32</f>
        <v>341378640</v>
      </c>
      <c r="O34" s="39">
        <f>N34-O32</f>
        <v>335639232</v>
      </c>
      <c r="P34" s="39">
        <f t="shared" ref="P34:BA34" si="11">O34-P32</f>
        <v>329779296</v>
      </c>
      <c r="Q34" s="39">
        <f t="shared" si="11"/>
        <v>323796302</v>
      </c>
      <c r="R34" s="39">
        <f t="shared" si="11"/>
        <v>317687665</v>
      </c>
      <c r="S34" s="39">
        <f t="shared" si="11"/>
        <v>311450746</v>
      </c>
      <c r="T34" s="39">
        <f t="shared" si="11"/>
        <v>305082852</v>
      </c>
      <c r="U34" s="39">
        <f t="shared" si="11"/>
        <v>298581232</v>
      </c>
      <c r="V34" s="39">
        <f t="shared" si="11"/>
        <v>291943078</v>
      </c>
      <c r="W34" s="39">
        <f t="shared" si="11"/>
        <v>285165523</v>
      </c>
      <c r="X34" s="39">
        <f t="shared" si="11"/>
        <v>278245639</v>
      </c>
      <c r="Y34" s="39">
        <f t="shared" si="11"/>
        <v>271180438</v>
      </c>
      <c r="Z34" s="39">
        <f t="shared" si="11"/>
        <v>263966868</v>
      </c>
      <c r="AA34" s="39">
        <f t="shared" si="11"/>
        <v>256601813</v>
      </c>
      <c r="AB34" s="39">
        <f t="shared" si="11"/>
        <v>249082091</v>
      </c>
      <c r="AC34" s="39">
        <f t="shared" si="11"/>
        <v>241404455</v>
      </c>
      <c r="AD34" s="39">
        <f t="shared" si="11"/>
        <v>233565589</v>
      </c>
      <c r="AE34" s="39">
        <f t="shared" si="11"/>
        <v>225562107</v>
      </c>
      <c r="AF34" s="39">
        <f t="shared" si="11"/>
        <v>217390552</v>
      </c>
      <c r="AG34" s="39">
        <f t="shared" si="11"/>
        <v>209047394</v>
      </c>
      <c r="AH34" s="39">
        <f t="shared" si="11"/>
        <v>200529030</v>
      </c>
      <c r="AI34" s="39">
        <f t="shared" si="11"/>
        <v>191831780</v>
      </c>
      <c r="AJ34" s="39">
        <f t="shared" si="11"/>
        <v>182951888</v>
      </c>
      <c r="AK34" s="39">
        <f t="shared" si="11"/>
        <v>173885518</v>
      </c>
      <c r="AL34" s="39">
        <f t="shared" si="11"/>
        <v>164628754</v>
      </c>
      <c r="AM34" s="39">
        <f t="shared" si="11"/>
        <v>155177598</v>
      </c>
      <c r="AN34" s="39">
        <f t="shared" si="11"/>
        <v>145527968</v>
      </c>
      <c r="AO34" s="39">
        <f t="shared" si="11"/>
        <v>135675696</v>
      </c>
      <c r="AP34" s="39">
        <f t="shared" si="11"/>
        <v>125616526</v>
      </c>
      <c r="AQ34" s="39">
        <f t="shared" si="11"/>
        <v>115346113</v>
      </c>
      <c r="AR34" s="39">
        <f t="shared" si="11"/>
        <v>104860022</v>
      </c>
      <c r="AS34" s="39">
        <f t="shared" si="11"/>
        <v>94153723</v>
      </c>
      <c r="AT34" s="39">
        <f t="shared" si="11"/>
        <v>83222591</v>
      </c>
      <c r="AU34" s="39">
        <f t="shared" si="11"/>
        <v>72061906</v>
      </c>
      <c r="AV34" s="39">
        <f t="shared" si="11"/>
        <v>60666846</v>
      </c>
      <c r="AW34" s="39">
        <f t="shared" si="11"/>
        <v>49032490</v>
      </c>
      <c r="AX34" s="39">
        <f t="shared" si="11"/>
        <v>37153813</v>
      </c>
      <c r="AY34" s="39">
        <f t="shared" si="11"/>
        <v>25025683</v>
      </c>
      <c r="AZ34" s="39">
        <f t="shared" si="11"/>
        <v>12642863</v>
      </c>
      <c r="BA34" s="39">
        <f t="shared" si="11"/>
        <v>3</v>
      </c>
      <c r="BB34" s="39"/>
    </row>
    <row r="35" spans="2:54">
      <c r="B35" s="2" t="s">
        <v>32</v>
      </c>
      <c r="C35" s="132">
        <f>【成行】財政シミュ!AC74</f>
        <v>267000000</v>
      </c>
      <c r="D35" s="39" t="s">
        <v>582</v>
      </c>
      <c r="E35" s="40"/>
      <c r="F35" s="40"/>
      <c r="G35" s="40"/>
      <c r="H35" s="40"/>
      <c r="I35" s="40"/>
      <c r="J35" s="40"/>
      <c r="K35" s="40"/>
      <c r="L35" s="40"/>
      <c r="M35" s="40"/>
      <c r="N35" s="40"/>
      <c r="O35" s="39">
        <f>-ROUND(PPMT($C$3,$E$4,$C$2,$C35,0,0),0)</f>
        <v>4325369</v>
      </c>
      <c r="P35" s="39">
        <f>-ROUND(PPMT($C$3,$F$4,$C$2,$C35,0,0),0)</f>
        <v>4416202</v>
      </c>
      <c r="Q35" s="39">
        <f>-ROUND(PPMT($C$3,$G$4,$C$2,$C35,0,0),0)</f>
        <v>4508942</v>
      </c>
      <c r="R35" s="39">
        <f>-ROUND(PPMT($C$3,$H$4,$C$2,$C35,0,0),0)</f>
        <v>4603630</v>
      </c>
      <c r="S35" s="39">
        <f>-ROUND(PPMT($C$3,$I$4,$C$2,$C35,0,0),0)</f>
        <v>4700306</v>
      </c>
      <c r="T35" s="39">
        <f>-ROUND(PPMT($C$3,$J$4,$C$2,$C35,0,0),0)</f>
        <v>4799012</v>
      </c>
      <c r="U35" s="39">
        <f>-ROUND(PPMT($C$3,$K$4,$C$2,$C35,0,0),0)</f>
        <v>4899792</v>
      </c>
      <c r="V35" s="39">
        <f>-ROUND(PPMT($C$3,$L$4,$C$2,$C35,0,0),0)</f>
        <v>5002687</v>
      </c>
      <c r="W35" s="39">
        <f>-ROUND(PPMT($C$3,$M$4,$C$2,$C35,0,0),0)</f>
        <v>5107744</v>
      </c>
      <c r="X35" s="39">
        <f>-ROUND(PPMT($C$3,$N$4,$C$2,$C35,0,0),0)</f>
        <v>5215006</v>
      </c>
      <c r="Y35" s="39">
        <f>-ROUND(PPMT($C$3,$O$4,$C$2,$C35,0,0),0)</f>
        <v>5324521</v>
      </c>
      <c r="Z35" s="39">
        <f>-ROUND(PPMT($C$3,$P$4,$C$2,$C35,0,0),0)</f>
        <v>5436336</v>
      </c>
      <c r="AA35" s="39">
        <f>-ROUND(PPMT($C$3,$Q$4,$C$2,$C35,0,0),0)</f>
        <v>5550499</v>
      </c>
      <c r="AB35" s="39">
        <f>-ROUND(PPMT($C$3,$R$4,$C$2,$C35,0,0),0)</f>
        <v>5667060</v>
      </c>
      <c r="AC35" s="39">
        <f>-ROUND(PPMT($C$3,$S$4,$C$2,$C35,0,0),0)</f>
        <v>5786068</v>
      </c>
      <c r="AD35" s="39">
        <f>-ROUND(PPMT($C$3,$T$4,$C$2,$C35,0,0),0)</f>
        <v>5907576</v>
      </c>
      <c r="AE35" s="39">
        <f>-ROUND(PPMT($C$3,$U$4,$C$2,$C35,0,0),0)</f>
        <v>6031635</v>
      </c>
      <c r="AF35" s="39">
        <f>-ROUND(PPMT($C$3,$V$4,$C$2,$C35,0,0),0)</f>
        <v>6158299</v>
      </c>
      <c r="AG35" s="39">
        <f>-ROUND(PPMT($C$3,$W$4,$C$2,$C35,0,0),0)</f>
        <v>6287623</v>
      </c>
      <c r="AH35" s="39">
        <f>-ROUND(PPMT($C$3,$X$4,$C$2,$C35,0,0),0)</f>
        <v>6419663</v>
      </c>
      <c r="AI35" s="39">
        <f>-ROUND(PPMT($C$3,$Y$4,$C$2,$C35,0,0),0)</f>
        <v>6554476</v>
      </c>
      <c r="AJ35" s="39">
        <f>-ROUND(PPMT($C$3,$Z$4,$C$2,$C35,0,0),0)</f>
        <v>6692120</v>
      </c>
      <c r="AK35" s="39">
        <f>-ROUND(PPMT($C$3,$AA$4,$C$2,$C35,0,0),0)</f>
        <v>6832655</v>
      </c>
      <c r="AL35" s="39">
        <f>-ROUND(PPMT($C$3,$AB$4,$C$2,$C35,0,0),0)</f>
        <v>6976141</v>
      </c>
      <c r="AM35" s="39">
        <f>-ROUND(PPMT($C$3,$AC$4,$C$2,$C35,0,0),0)</f>
        <v>7122640</v>
      </c>
      <c r="AN35" s="39">
        <f>-ROUND(PPMT($C$3,$AD$4,$C$2,$C35,0,0),0)</f>
        <v>7272215</v>
      </c>
      <c r="AO35" s="39">
        <f>-ROUND(PPMT($C$3,$AE$4,$C$2,$C35,0,0),0)</f>
        <v>7424932</v>
      </c>
      <c r="AP35" s="39">
        <f>-ROUND(PPMT($C$3,$AF$4,$C$2,$C35,0,0),0)</f>
        <v>7580855</v>
      </c>
      <c r="AQ35" s="39">
        <f>-ROUND(PPMT($C$3,$AG$4,$C$2,$C35,0,0),0)</f>
        <v>7740053</v>
      </c>
      <c r="AR35" s="39">
        <f>-ROUND(PPMT($C$3,$AH$4,$C$2,$C35,0,0),0)</f>
        <v>7902594</v>
      </c>
      <c r="AS35" s="39">
        <f>-ROUND(PPMT($C$3,$AI$4,$C$2,$C35,0,0),0)</f>
        <v>8068549</v>
      </c>
      <c r="AT35" s="39">
        <f>-ROUND(PPMT($C$3,$AJ$4,$C$2,$C35,0,0),0)</f>
        <v>8237988</v>
      </c>
      <c r="AU35" s="39">
        <f>-ROUND(PPMT($C$3,$AK$4,$C$2,$C35,0,0),0)</f>
        <v>8410986</v>
      </c>
      <c r="AV35" s="39">
        <f>-ROUND(PPMT($C$3,$AL$4,$C$2,$C35,0,0),0)</f>
        <v>8587617</v>
      </c>
      <c r="AW35" s="39">
        <f>-ROUND(PPMT($C$3,$AM$4,$C$2,$C35,0,0),0)</f>
        <v>8767957</v>
      </c>
      <c r="AX35" s="39">
        <f>-ROUND(PPMT($C$3,$AN$4,$C$2,$C35,0,0),0)</f>
        <v>8952084</v>
      </c>
      <c r="AY35" s="39">
        <f>-ROUND(PPMT($C$3,$AO$4,$C$2,$C35,0,0),0)</f>
        <v>9140077</v>
      </c>
      <c r="AZ35" s="39">
        <f>-ROUND(PPMT($C$3,$AP$4,$C$2,$C35,0,0),0)</f>
        <v>9332019</v>
      </c>
      <c r="BA35" s="39">
        <f>-ROUND(PPMT($C$3,$AQ$4,$C$2,$C35,0,0),0)</f>
        <v>9527991</v>
      </c>
      <c r="BB35" s="39">
        <f>-ROUND(PPMT($C$3,$AR$4,$C$2,$C35,0,0),0)</f>
        <v>9728079</v>
      </c>
    </row>
    <row r="36" spans="2:54">
      <c r="B36" s="4"/>
      <c r="C36" s="133"/>
      <c r="D36" s="39" t="s">
        <v>583</v>
      </c>
      <c r="E36" s="40"/>
      <c r="F36" s="40"/>
      <c r="G36" s="40"/>
      <c r="H36" s="40"/>
      <c r="I36" s="40"/>
      <c r="J36" s="40"/>
      <c r="K36" s="40"/>
      <c r="L36" s="40"/>
      <c r="M36" s="40"/>
      <c r="N36" s="40"/>
      <c r="O36" s="39">
        <f>-ROUND(IPMT($C$3,$E$4,$C$2,$C35,0,0),0)</f>
        <v>5607000</v>
      </c>
      <c r="P36" s="39">
        <f>-ROUND(IPMT($C$3,$F$4,$C$2,$C35,0,0),0)</f>
        <v>5516167</v>
      </c>
      <c r="Q36" s="39">
        <f>-ROUND(IPMT($C$3,$G$4,$C$2,$C35,0,0),0)</f>
        <v>5423427</v>
      </c>
      <c r="R36" s="39">
        <f>-ROUND(IPMT($C$3,$H$4,$C$2,$C35,0,0),0)</f>
        <v>5328739</v>
      </c>
      <c r="S36" s="39">
        <f>-ROUND(IPMT($C$3,$I$4,$C$2,$C35,0,0),0)</f>
        <v>5232063</v>
      </c>
      <c r="T36" s="39">
        <f>-ROUND(IPMT($C$3,$J$4,$C$2,$C35,0,0),0)</f>
        <v>5133357</v>
      </c>
      <c r="U36" s="39">
        <f>-ROUND(IPMT($C$3,$K$4,$C$2,$C35,0,0),0)</f>
        <v>5032577</v>
      </c>
      <c r="V36" s="39">
        <f>-ROUND(IPMT($C$3,$L$4,$C$2,$C35,0,0),0)</f>
        <v>4929682</v>
      </c>
      <c r="W36" s="39">
        <f>-ROUND(IPMT($C$3,$M$4,$C$2,$C35,0,0),0)</f>
        <v>4824625</v>
      </c>
      <c r="X36" s="39">
        <f>-ROUND(IPMT($C$3,$N$4,$C$2,$C35,0,0),0)</f>
        <v>4717363</v>
      </c>
      <c r="Y36" s="39">
        <f>-ROUND(IPMT($C$3,$O$4,$C$2,$C35,0,0),0)</f>
        <v>4607848</v>
      </c>
      <c r="Z36" s="39">
        <f>-ROUND(IPMT($C$3,$P$4,$C$2,$C35,0,0),0)</f>
        <v>4496033</v>
      </c>
      <c r="AA36" s="39">
        <f>-ROUND(IPMT($C$3,$Q$4,$C$2,$C35,0,0),0)</f>
        <v>4381869</v>
      </c>
      <c r="AB36" s="39">
        <f>-ROUND(IPMT($C$3,$R$4,$C$2,$C35,0,0),0)</f>
        <v>4265309</v>
      </c>
      <c r="AC36" s="39">
        <f>-ROUND(IPMT($C$3,$S$4,$C$2,$C35,0,0),0)</f>
        <v>4146301</v>
      </c>
      <c r="AD36" s="39">
        <f>-ROUND(IPMT($C$3,$T$4,$C$2,$C35,0,0),0)</f>
        <v>4024793</v>
      </c>
      <c r="AE36" s="39">
        <f>-ROUND(IPMT($C$3,$U$4,$C$2,$C35,0,0),0)</f>
        <v>3900734</v>
      </c>
      <c r="AF36" s="39">
        <f>-ROUND(IPMT($C$3,$V$4,$C$2,$C35,0,0),0)</f>
        <v>3774070</v>
      </c>
      <c r="AG36" s="39">
        <f>-ROUND(IPMT($C$3,$W$4,$C$2,$C35,0,0),0)</f>
        <v>3644746</v>
      </c>
      <c r="AH36" s="39">
        <f>-ROUND(IPMT($C$3,$X$4,$C$2,$C35,0,0),0)</f>
        <v>3512706</v>
      </c>
      <c r="AI36" s="39">
        <f>-ROUND(IPMT($C$3,$Y$4,$C$2,$C35,0,0),0)</f>
        <v>3377893</v>
      </c>
      <c r="AJ36" s="39">
        <f>-ROUND(IPMT($C$3,$Z$4,$C$2,$C35,0,0),0)</f>
        <v>3240249</v>
      </c>
      <c r="AK36" s="39">
        <f>-ROUND(IPMT($C$3,$AA$4,$C$2,$C35,0,0),0)</f>
        <v>3099714</v>
      </c>
      <c r="AL36" s="39">
        <f>-ROUND(IPMT($C$3,$AB$4,$C$2,$C35,0,0),0)</f>
        <v>2956228</v>
      </c>
      <c r="AM36" s="39">
        <f>-ROUND(IPMT($C$3,$AC$4,$C$2,$C35,0,0),0)</f>
        <v>2809729</v>
      </c>
      <c r="AN36" s="39">
        <f>-ROUND(IPMT($C$3,$AD$4,$C$2,$C35,0,0),0)</f>
        <v>2660154</v>
      </c>
      <c r="AO36" s="39">
        <f>-ROUND(IPMT($C$3,$AE$4,$C$2,$C35,0,0),0)</f>
        <v>2507437</v>
      </c>
      <c r="AP36" s="39">
        <f>-ROUND(IPMT($C$3,$AF$4,$C$2,$C35,0,0),0)</f>
        <v>2351514</v>
      </c>
      <c r="AQ36" s="39">
        <f>-ROUND(IPMT($C$3,$AG$4,$C$2,$C35,0,0),0)</f>
        <v>2192316</v>
      </c>
      <c r="AR36" s="39">
        <f>-ROUND(IPMT($C$3,$AH$4,$C$2,$C35,0,0),0)</f>
        <v>2029775</v>
      </c>
      <c r="AS36" s="39">
        <f>-ROUND(IPMT($C$3,$AI$4,$C$2,$C35,0,0),0)</f>
        <v>1863820</v>
      </c>
      <c r="AT36" s="39">
        <f>-ROUND(IPMT($C$3,$AJ$4,$C$2,$C35,0,0),0)</f>
        <v>1694381</v>
      </c>
      <c r="AU36" s="39">
        <f>-ROUND(IPMT($C$3,$AK$4,$C$2,$C35,0,0),0)</f>
        <v>1521383</v>
      </c>
      <c r="AV36" s="39">
        <f>-ROUND(IPMT($C$3,$AL$4,$C$2,$C35,0,0),0)</f>
        <v>1344752</v>
      </c>
      <c r="AW36" s="39">
        <f>-ROUND(IPMT($C$3,$AM$4,$C$2,$C35,0,0),0)</f>
        <v>1164412</v>
      </c>
      <c r="AX36" s="39">
        <f>-ROUND(IPMT($C$3,$AN$4,$C$2,$C35,0,0),0)</f>
        <v>980285</v>
      </c>
      <c r="AY36" s="39">
        <f>-ROUND(IPMT($C$3,$AO$4,$C$2,$C35,0,0),0)</f>
        <v>792292</v>
      </c>
      <c r="AZ36" s="39">
        <f>-ROUND(IPMT($C$3,$AP$4,$C$2,$C35,0,0),0)</f>
        <v>600350</v>
      </c>
      <c r="BA36" s="39">
        <f>-ROUND(IPMT($C$3,$AQ$4,$C$2,$C35,0,0),0)</f>
        <v>404377</v>
      </c>
      <c r="BB36" s="39">
        <f>-ROUND(IPMT($C$3,$AR$4,$C$2,$C35,0,0),0)</f>
        <v>204290</v>
      </c>
    </row>
    <row r="37" spans="2:54">
      <c r="B37" s="3"/>
      <c r="C37" s="134"/>
      <c r="D37" s="39" t="s">
        <v>339</v>
      </c>
      <c r="E37" s="40"/>
      <c r="F37" s="40"/>
      <c r="G37" s="40"/>
      <c r="H37" s="40"/>
      <c r="I37" s="40"/>
      <c r="J37" s="40"/>
      <c r="K37" s="40"/>
      <c r="L37" s="40"/>
      <c r="M37" s="40"/>
      <c r="N37" s="64">
        <f>$C35</f>
        <v>267000000</v>
      </c>
      <c r="O37" s="39">
        <f>$C35-O35</f>
        <v>262674631</v>
      </c>
      <c r="P37" s="39">
        <f>O37-P35</f>
        <v>258258429</v>
      </c>
      <c r="Q37" s="39">
        <f t="shared" ref="Q37:BB37" si="12">P37-Q35</f>
        <v>253749487</v>
      </c>
      <c r="R37" s="39">
        <f t="shared" si="12"/>
        <v>249145857</v>
      </c>
      <c r="S37" s="39">
        <f t="shared" si="12"/>
        <v>244445551</v>
      </c>
      <c r="T37" s="39">
        <f t="shared" si="12"/>
        <v>239646539</v>
      </c>
      <c r="U37" s="39">
        <f t="shared" si="12"/>
        <v>234746747</v>
      </c>
      <c r="V37" s="39">
        <f t="shared" si="12"/>
        <v>229744060</v>
      </c>
      <c r="W37" s="39">
        <f t="shared" si="12"/>
        <v>224636316</v>
      </c>
      <c r="X37" s="39">
        <f t="shared" si="12"/>
        <v>219421310</v>
      </c>
      <c r="Y37" s="39">
        <f t="shared" si="12"/>
        <v>214096789</v>
      </c>
      <c r="Z37" s="39">
        <f t="shared" si="12"/>
        <v>208660453</v>
      </c>
      <c r="AA37" s="39">
        <f t="shared" si="12"/>
        <v>203109954</v>
      </c>
      <c r="AB37" s="39">
        <f t="shared" si="12"/>
        <v>197442894</v>
      </c>
      <c r="AC37" s="39">
        <f t="shared" si="12"/>
        <v>191656826</v>
      </c>
      <c r="AD37" s="39">
        <f t="shared" si="12"/>
        <v>185749250</v>
      </c>
      <c r="AE37" s="39">
        <f t="shared" si="12"/>
        <v>179717615</v>
      </c>
      <c r="AF37" s="39">
        <f t="shared" si="12"/>
        <v>173559316</v>
      </c>
      <c r="AG37" s="39">
        <f t="shared" si="12"/>
        <v>167271693</v>
      </c>
      <c r="AH37" s="39">
        <f t="shared" si="12"/>
        <v>160852030</v>
      </c>
      <c r="AI37" s="39">
        <f t="shared" si="12"/>
        <v>154297554</v>
      </c>
      <c r="AJ37" s="39">
        <f t="shared" si="12"/>
        <v>147605434</v>
      </c>
      <c r="AK37" s="39">
        <f t="shared" si="12"/>
        <v>140772779</v>
      </c>
      <c r="AL37" s="39">
        <f t="shared" si="12"/>
        <v>133796638</v>
      </c>
      <c r="AM37" s="39">
        <f t="shared" si="12"/>
        <v>126673998</v>
      </c>
      <c r="AN37" s="39">
        <f t="shared" si="12"/>
        <v>119401783</v>
      </c>
      <c r="AO37" s="39">
        <f t="shared" si="12"/>
        <v>111976851</v>
      </c>
      <c r="AP37" s="39">
        <f t="shared" si="12"/>
        <v>104395996</v>
      </c>
      <c r="AQ37" s="39">
        <f t="shared" si="12"/>
        <v>96655943</v>
      </c>
      <c r="AR37" s="39">
        <f t="shared" si="12"/>
        <v>88753349</v>
      </c>
      <c r="AS37" s="39">
        <f t="shared" si="12"/>
        <v>80684800</v>
      </c>
      <c r="AT37" s="39">
        <f t="shared" si="12"/>
        <v>72446812</v>
      </c>
      <c r="AU37" s="39">
        <f t="shared" si="12"/>
        <v>64035826</v>
      </c>
      <c r="AV37" s="39">
        <f t="shared" si="12"/>
        <v>55448209</v>
      </c>
      <c r="AW37" s="39">
        <f t="shared" si="12"/>
        <v>46680252</v>
      </c>
      <c r="AX37" s="39">
        <f t="shared" si="12"/>
        <v>37728168</v>
      </c>
      <c r="AY37" s="39">
        <f t="shared" si="12"/>
        <v>28588091</v>
      </c>
      <c r="AZ37" s="39">
        <f t="shared" si="12"/>
        <v>19256072</v>
      </c>
      <c r="BA37" s="39">
        <f t="shared" si="12"/>
        <v>9728081</v>
      </c>
      <c r="BB37" s="39">
        <f t="shared" si="12"/>
        <v>2</v>
      </c>
    </row>
    <row r="38" spans="2:54">
      <c r="B38" s="2" t="s">
        <v>33</v>
      </c>
      <c r="C38" s="132">
        <f>【成行】財政シミュ!AD74</f>
        <v>187000000</v>
      </c>
      <c r="D38" s="39" t="s">
        <v>582</v>
      </c>
      <c r="E38" s="40"/>
      <c r="F38" s="40"/>
      <c r="G38" s="40"/>
      <c r="H38" s="40"/>
      <c r="I38" s="40"/>
      <c r="J38" s="40"/>
      <c r="K38" s="40"/>
      <c r="L38" s="40"/>
      <c r="M38" s="40"/>
      <c r="N38" s="40"/>
      <c r="O38" s="40"/>
      <c r="P38" s="39">
        <f>-ROUND(PPMT($C$3,$E$4,$C$2,$C38,0,0),0)</f>
        <v>3029378</v>
      </c>
      <c r="Q38" s="39">
        <f>-ROUND(PPMT($C$3,$F$4,$C$2,$C38,0,0),0)</f>
        <v>3092995</v>
      </c>
      <c r="R38" s="39">
        <f>-ROUND(PPMT($C$3,$G$4,$C$2,$C38,0,0),0)</f>
        <v>3157948</v>
      </c>
      <c r="S38" s="39">
        <f>-ROUND(PPMT($C$3,$H$4,$C$2,$C38,0,0),0)</f>
        <v>3224265</v>
      </c>
      <c r="T38" s="39">
        <f>-ROUND(PPMT($C$3,$I$4,$C$2,$C38,0,0),0)</f>
        <v>3291975</v>
      </c>
      <c r="U38" s="39">
        <f>-ROUND(PPMT($C$3,$J$4,$C$2,$C38,0,0),0)</f>
        <v>3361106</v>
      </c>
      <c r="V38" s="39">
        <f>-ROUND(PPMT($C$3,$K$4,$C$2,$C38,0,0),0)</f>
        <v>3431689</v>
      </c>
      <c r="W38" s="39">
        <f>-ROUND(PPMT($C$3,$L$4,$C$2,$C38,0,0),0)</f>
        <v>3503755</v>
      </c>
      <c r="X38" s="39">
        <f>-ROUND(PPMT($C$3,$M$4,$C$2,$C38,0,0),0)</f>
        <v>3577334</v>
      </c>
      <c r="Y38" s="39">
        <f>-ROUND(PPMT($C$3,$N$4,$C$2,$C38,0,0),0)</f>
        <v>3652458</v>
      </c>
      <c r="Z38" s="39">
        <f>-ROUND(PPMT($C$3,$O$4,$C$2,$C38,0,0),0)</f>
        <v>3729159</v>
      </c>
      <c r="AA38" s="39">
        <f>-ROUND(PPMT($C$3,$P$4,$C$2,$C38,0,0),0)</f>
        <v>3807472</v>
      </c>
      <c r="AB38" s="39">
        <f>-ROUND(PPMT($C$3,$Q$4,$C$2,$C38,0,0),0)</f>
        <v>3887428</v>
      </c>
      <c r="AC38" s="39">
        <f>-ROUND(PPMT($C$3,$R$4,$C$2,$C38,0,0),0)</f>
        <v>3969064</v>
      </c>
      <c r="AD38" s="39">
        <f>-ROUND(PPMT($C$3,$S$4,$C$2,$C38,0,0),0)</f>
        <v>4052415</v>
      </c>
      <c r="AE38" s="39">
        <f>-ROUND(PPMT($C$3,$T$4,$C$2,$C38,0,0),0)</f>
        <v>4137516</v>
      </c>
      <c r="AF38" s="39">
        <f>-ROUND(PPMT($C$3,$U$4,$C$2,$C38,0,0),0)</f>
        <v>4224403</v>
      </c>
      <c r="AG38" s="39">
        <f>-ROUND(PPMT($C$3,$V$4,$C$2,$C38,0,0),0)</f>
        <v>4313116</v>
      </c>
      <c r="AH38" s="39">
        <f>-ROUND(PPMT($C$3,$W$4,$C$2,$C38,0,0),0)</f>
        <v>4403691</v>
      </c>
      <c r="AI38" s="39">
        <f>-ROUND(PPMT($C$3,$X$4,$C$2,$C38,0,0),0)</f>
        <v>4496169</v>
      </c>
      <c r="AJ38" s="39">
        <f>-ROUND(PPMT($C$3,$Y$4,$C$2,$C38,0,0),0)</f>
        <v>4590588</v>
      </c>
      <c r="AK38" s="39">
        <f>-ROUND(PPMT($C$3,$Z$4,$C$2,$C38,0,0),0)</f>
        <v>4686991</v>
      </c>
      <c r="AL38" s="39">
        <f>-ROUND(PPMT($C$3,$AA$4,$C$2,$C38,0,0),0)</f>
        <v>4785417</v>
      </c>
      <c r="AM38" s="39">
        <f>-ROUND(PPMT($C$3,$AB$4,$C$2,$C38,0,0),0)</f>
        <v>4885911</v>
      </c>
      <c r="AN38" s="39">
        <f>-ROUND(PPMT($C$3,$AC$4,$C$2,$C38,0,0),0)</f>
        <v>4988515</v>
      </c>
      <c r="AO38" s="39">
        <f>-ROUND(PPMT($C$3,$AD$4,$C$2,$C38,0,0),0)</f>
        <v>5093274</v>
      </c>
      <c r="AP38" s="39">
        <f>-ROUND(PPMT($C$3,$AE$4,$C$2,$C38,0,0),0)</f>
        <v>5200233</v>
      </c>
      <c r="AQ38" s="39">
        <f>-ROUND(PPMT($C$3,$AF$4,$C$2,$C38,0,0),0)</f>
        <v>5309438</v>
      </c>
      <c r="AR38" s="39">
        <f>-ROUND(PPMT($C$3,$AG$4,$C$2,$C38,0,0),0)</f>
        <v>5420936</v>
      </c>
      <c r="AS38" s="39">
        <f>-ROUND(PPMT($C$3,$AH$4,$C$2,$C38,0,0),0)</f>
        <v>5534776</v>
      </c>
      <c r="AT38" s="39">
        <f>-ROUND(PPMT($C$3,$AI$4,$C$2,$C38,0,0),0)</f>
        <v>5651006</v>
      </c>
      <c r="AU38" s="39">
        <f>-ROUND(PPMT($C$3,$AJ$4,$C$2,$C38,0,0),0)</f>
        <v>5769677</v>
      </c>
      <c r="AV38" s="39">
        <f>-ROUND(PPMT($C$3,$AK$4,$C$2,$C38,0,0),0)</f>
        <v>5890840</v>
      </c>
      <c r="AW38" s="39">
        <f>-ROUND(PPMT($C$3,$AL$4,$C$2,$C38,0,0),0)</f>
        <v>6014548</v>
      </c>
      <c r="AX38" s="39">
        <f>-ROUND(PPMT($C$3,$AM$4,$C$2,$C38,0,0),0)</f>
        <v>6140854</v>
      </c>
      <c r="AY38" s="39">
        <f>-ROUND(PPMT($C$3,$AN$4,$C$2,$C38,0,0),0)</f>
        <v>6269811</v>
      </c>
      <c r="AZ38" s="39">
        <f>-ROUND(PPMT($C$3,$AO$4,$C$2,$C38,0,0),0)</f>
        <v>6401477</v>
      </c>
      <c r="BA38" s="39">
        <f>-ROUND(PPMT($C$3,$AP$4,$C$2,$C38,0,0),0)</f>
        <v>6535909</v>
      </c>
      <c r="BB38" s="39">
        <f>-ROUND(PPMT($C$3,$AQ$4,$C$2,$C38,0,0),0)</f>
        <v>6673163</v>
      </c>
    </row>
    <row r="39" spans="2:54">
      <c r="B39" s="4"/>
      <c r="C39" s="133"/>
      <c r="D39" s="39" t="s">
        <v>583</v>
      </c>
      <c r="E39" s="40"/>
      <c r="F39" s="40"/>
      <c r="G39" s="40"/>
      <c r="H39" s="40"/>
      <c r="I39" s="40"/>
      <c r="J39" s="40"/>
      <c r="K39" s="40"/>
      <c r="L39" s="40"/>
      <c r="M39" s="40"/>
      <c r="N39" s="40"/>
      <c r="O39" s="40"/>
      <c r="P39" s="39">
        <f>-ROUND(IPMT($C$3,$E$4,$C$2,$C38,0,0),0)</f>
        <v>3927000</v>
      </c>
      <c r="Q39" s="39">
        <f>-ROUND(IPMT($C$3,$F$4,$C$2,$C38,0,0),0)</f>
        <v>3863383</v>
      </c>
      <c r="R39" s="39">
        <f>-ROUND(IPMT($C$3,$G$4,$C$2,$C38,0,0),0)</f>
        <v>3798430</v>
      </c>
      <c r="S39" s="39">
        <f>-ROUND(IPMT($C$3,$H$4,$C$2,$C38,0,0),0)</f>
        <v>3732113</v>
      </c>
      <c r="T39" s="39">
        <f>-ROUND(IPMT($C$3,$I$4,$C$2,$C38,0,0),0)</f>
        <v>3664404</v>
      </c>
      <c r="U39" s="39">
        <f>-ROUND(IPMT($C$3,$J$4,$C$2,$C38,0,0),0)</f>
        <v>3595272</v>
      </c>
      <c r="V39" s="39">
        <f>-ROUND(IPMT($C$3,$K$4,$C$2,$C38,0,0),0)</f>
        <v>3524689</v>
      </c>
      <c r="W39" s="39">
        <f>-ROUND(IPMT($C$3,$L$4,$C$2,$C38,0,0),0)</f>
        <v>3452624</v>
      </c>
      <c r="X39" s="39">
        <f>-ROUND(IPMT($C$3,$M$4,$C$2,$C38,0,0),0)</f>
        <v>3379045</v>
      </c>
      <c r="Y39" s="39">
        <f>-ROUND(IPMT($C$3,$N$4,$C$2,$C38,0,0),0)</f>
        <v>3303921</v>
      </c>
      <c r="Z39" s="39">
        <f>-ROUND(IPMT($C$3,$O$4,$C$2,$C38,0,0),0)</f>
        <v>3227219</v>
      </c>
      <c r="AA39" s="39">
        <f>-ROUND(IPMT($C$3,$P$4,$C$2,$C38,0,0),0)</f>
        <v>3148907</v>
      </c>
      <c r="AB39" s="39">
        <f>-ROUND(IPMT($C$3,$Q$4,$C$2,$C38,0,0),0)</f>
        <v>3068950</v>
      </c>
      <c r="AC39" s="39">
        <f>-ROUND(IPMT($C$3,$R$4,$C$2,$C38,0,0),0)</f>
        <v>2987314</v>
      </c>
      <c r="AD39" s="39">
        <f>-ROUND(IPMT($C$3,$S$4,$C$2,$C38,0,0),0)</f>
        <v>2903963</v>
      </c>
      <c r="AE39" s="39">
        <f>-ROUND(IPMT($C$3,$T$4,$C$2,$C38,0,0),0)</f>
        <v>2818863</v>
      </c>
      <c r="AF39" s="39">
        <f>-ROUND(IPMT($C$3,$U$4,$C$2,$C38,0,0),0)</f>
        <v>2731975</v>
      </c>
      <c r="AG39" s="39">
        <f>-ROUND(IPMT($C$3,$V$4,$C$2,$C38,0,0),0)</f>
        <v>2643262</v>
      </c>
      <c r="AH39" s="39">
        <f>-ROUND(IPMT($C$3,$W$4,$C$2,$C38,0,0),0)</f>
        <v>2552687</v>
      </c>
      <c r="AI39" s="39">
        <f>-ROUND(IPMT($C$3,$X$4,$C$2,$C38,0,0),0)</f>
        <v>2460209</v>
      </c>
      <c r="AJ39" s="39">
        <f>-ROUND(IPMT($C$3,$Y$4,$C$2,$C38,0,0),0)</f>
        <v>2365790</v>
      </c>
      <c r="AK39" s="39">
        <f>-ROUND(IPMT($C$3,$Z$4,$C$2,$C38,0,0),0)</f>
        <v>2269388</v>
      </c>
      <c r="AL39" s="39">
        <f>-ROUND(IPMT($C$3,$AA$4,$C$2,$C38,0,0),0)</f>
        <v>2170961</v>
      </c>
      <c r="AM39" s="39">
        <f>-ROUND(IPMT($C$3,$AB$4,$C$2,$C38,0,0),0)</f>
        <v>2070467</v>
      </c>
      <c r="AN39" s="39">
        <f>-ROUND(IPMT($C$3,$AC$4,$C$2,$C38,0,0),0)</f>
        <v>1967863</v>
      </c>
      <c r="AO39" s="39">
        <f>-ROUND(IPMT($C$3,$AD$4,$C$2,$C38,0,0),0)</f>
        <v>1863104</v>
      </c>
      <c r="AP39" s="39">
        <f>-ROUND(IPMT($C$3,$AE$4,$C$2,$C38,0,0),0)</f>
        <v>1756145</v>
      </c>
      <c r="AQ39" s="39">
        <f>-ROUND(IPMT($C$3,$AF$4,$C$2,$C38,0,0),0)</f>
        <v>1646940</v>
      </c>
      <c r="AR39" s="39">
        <f>-ROUND(IPMT($C$3,$AG$4,$C$2,$C38,0,0),0)</f>
        <v>1535442</v>
      </c>
      <c r="AS39" s="39">
        <f>-ROUND(IPMT($C$3,$AH$4,$C$2,$C38,0,0),0)</f>
        <v>1421603</v>
      </c>
      <c r="AT39" s="39">
        <f>-ROUND(IPMT($C$3,$AI$4,$C$2,$C38,0,0),0)</f>
        <v>1305372</v>
      </c>
      <c r="AU39" s="39">
        <f>-ROUND(IPMT($C$3,$AJ$4,$C$2,$C38,0,0),0)</f>
        <v>1186701</v>
      </c>
      <c r="AV39" s="39">
        <f>-ROUND(IPMT($C$3,$AK$4,$C$2,$C38,0,0),0)</f>
        <v>1065538</v>
      </c>
      <c r="AW39" s="39">
        <f>-ROUND(IPMT($C$3,$AL$4,$C$2,$C38,0,0),0)</f>
        <v>941830</v>
      </c>
      <c r="AX39" s="39">
        <f>-ROUND(IPMT($C$3,$AM$4,$C$2,$C38,0,0),0)</f>
        <v>815525</v>
      </c>
      <c r="AY39" s="39">
        <f>-ROUND(IPMT($C$3,$AN$4,$C$2,$C38,0,0),0)</f>
        <v>686567</v>
      </c>
      <c r="AZ39" s="39">
        <f>-ROUND(IPMT($C$3,$AO$4,$C$2,$C38,0,0),0)</f>
        <v>554901</v>
      </c>
      <c r="BA39" s="39">
        <f>-ROUND(IPMT($C$3,$AP$4,$C$2,$C38,0,0),0)</f>
        <v>420470</v>
      </c>
      <c r="BB39" s="39">
        <f>-ROUND(IPMT($C$3,$AQ$4,$C$2,$C38,0,0),0)</f>
        <v>283216</v>
      </c>
    </row>
    <row r="40" spans="2:54">
      <c r="B40" s="3"/>
      <c r="C40" s="134"/>
      <c r="D40" s="39" t="s">
        <v>339</v>
      </c>
      <c r="E40" s="40"/>
      <c r="F40" s="40"/>
      <c r="G40" s="40"/>
      <c r="H40" s="40"/>
      <c r="I40" s="40"/>
      <c r="J40" s="40"/>
      <c r="K40" s="40"/>
      <c r="L40" s="40"/>
      <c r="M40" s="40"/>
      <c r="N40" s="40"/>
      <c r="O40" s="64">
        <f>$C38</f>
        <v>187000000</v>
      </c>
      <c r="P40" s="39">
        <f>$C38-P38</f>
        <v>183970622</v>
      </c>
      <c r="Q40" s="39">
        <f t="shared" ref="Q40:BB40" si="13">P40-Q38</f>
        <v>180877627</v>
      </c>
      <c r="R40" s="39">
        <f t="shared" si="13"/>
        <v>177719679</v>
      </c>
      <c r="S40" s="39">
        <f t="shared" si="13"/>
        <v>174495414</v>
      </c>
      <c r="T40" s="39">
        <f t="shared" si="13"/>
        <v>171203439</v>
      </c>
      <c r="U40" s="39">
        <f t="shared" si="13"/>
        <v>167842333</v>
      </c>
      <c r="V40" s="39">
        <f t="shared" si="13"/>
        <v>164410644</v>
      </c>
      <c r="W40" s="39">
        <f t="shared" si="13"/>
        <v>160906889</v>
      </c>
      <c r="X40" s="39">
        <f t="shared" si="13"/>
        <v>157329555</v>
      </c>
      <c r="Y40" s="39">
        <f t="shared" si="13"/>
        <v>153677097</v>
      </c>
      <c r="Z40" s="39">
        <f t="shared" si="13"/>
        <v>149947938</v>
      </c>
      <c r="AA40" s="39">
        <f t="shared" si="13"/>
        <v>146140466</v>
      </c>
      <c r="AB40" s="39">
        <f t="shared" si="13"/>
        <v>142253038</v>
      </c>
      <c r="AC40" s="39">
        <f t="shared" si="13"/>
        <v>138283974</v>
      </c>
      <c r="AD40" s="39">
        <f t="shared" si="13"/>
        <v>134231559</v>
      </c>
      <c r="AE40" s="39">
        <f t="shared" si="13"/>
        <v>130094043</v>
      </c>
      <c r="AF40" s="39">
        <f t="shared" si="13"/>
        <v>125869640</v>
      </c>
      <c r="AG40" s="39">
        <f t="shared" si="13"/>
        <v>121556524</v>
      </c>
      <c r="AH40" s="39">
        <f t="shared" si="13"/>
        <v>117152833</v>
      </c>
      <c r="AI40" s="39">
        <f t="shared" si="13"/>
        <v>112656664</v>
      </c>
      <c r="AJ40" s="39">
        <f t="shared" si="13"/>
        <v>108066076</v>
      </c>
      <c r="AK40" s="39">
        <f t="shared" si="13"/>
        <v>103379085</v>
      </c>
      <c r="AL40" s="39">
        <f t="shared" si="13"/>
        <v>98593668</v>
      </c>
      <c r="AM40" s="39">
        <f t="shared" si="13"/>
        <v>93707757</v>
      </c>
      <c r="AN40" s="39">
        <f t="shared" si="13"/>
        <v>88719242</v>
      </c>
      <c r="AO40" s="39">
        <f t="shared" si="13"/>
        <v>83625968</v>
      </c>
      <c r="AP40" s="39">
        <f t="shared" si="13"/>
        <v>78425735</v>
      </c>
      <c r="AQ40" s="39">
        <f t="shared" si="13"/>
        <v>73116297</v>
      </c>
      <c r="AR40" s="39">
        <f t="shared" si="13"/>
        <v>67695361</v>
      </c>
      <c r="AS40" s="39">
        <f t="shared" si="13"/>
        <v>62160585</v>
      </c>
      <c r="AT40" s="39">
        <f t="shared" si="13"/>
        <v>56509579</v>
      </c>
      <c r="AU40" s="39">
        <f t="shared" si="13"/>
        <v>50739902</v>
      </c>
      <c r="AV40" s="39">
        <f t="shared" si="13"/>
        <v>44849062</v>
      </c>
      <c r="AW40" s="39">
        <f t="shared" si="13"/>
        <v>38834514</v>
      </c>
      <c r="AX40" s="39">
        <f t="shared" si="13"/>
        <v>32693660</v>
      </c>
      <c r="AY40" s="39">
        <f t="shared" si="13"/>
        <v>26423849</v>
      </c>
      <c r="AZ40" s="39">
        <f t="shared" si="13"/>
        <v>20022372</v>
      </c>
      <c r="BA40" s="39">
        <f t="shared" si="13"/>
        <v>13486463</v>
      </c>
      <c r="BB40" s="39">
        <f t="shared" si="13"/>
        <v>6813300</v>
      </c>
    </row>
    <row r="41" spans="2:54">
      <c r="B41" s="2" t="s">
        <v>34</v>
      </c>
      <c r="C41" s="132">
        <f>【成行】財政シミュ!AE74</f>
        <v>157000000</v>
      </c>
      <c r="D41" s="39" t="s">
        <v>582</v>
      </c>
      <c r="E41" s="40"/>
      <c r="F41" s="40"/>
      <c r="G41" s="40"/>
      <c r="H41" s="40"/>
      <c r="I41" s="40"/>
      <c r="J41" s="40"/>
      <c r="K41" s="40"/>
      <c r="L41" s="40"/>
      <c r="M41" s="40"/>
      <c r="N41" s="40"/>
      <c r="O41" s="40"/>
      <c r="P41" s="40"/>
      <c r="Q41" s="39">
        <f>-ROUND(PPMT($C$3,$E$4,$C$2,$C41,0,0),0)</f>
        <v>2543382</v>
      </c>
      <c r="R41" s="39">
        <f>-ROUND(PPMT($C$3,$F$4,$C$2,$C41,0,0),0)</f>
        <v>2596793</v>
      </c>
      <c r="S41" s="39">
        <f>-ROUND(PPMT($C$3,$G$4,$C$2,$C41,0,0),0)</f>
        <v>2651325</v>
      </c>
      <c r="T41" s="39">
        <f>-ROUND(PPMT($C$3,$H$4,$C$2,$C41,0,0),0)</f>
        <v>2707003</v>
      </c>
      <c r="U41" s="39">
        <f>-ROUND(PPMT($C$3,$I$4,$C$2,$C41,0,0),0)</f>
        <v>2763850</v>
      </c>
      <c r="V41" s="39">
        <f>-ROUND(PPMT($C$3,$J$4,$C$2,$C41,0,0),0)</f>
        <v>2821891</v>
      </c>
      <c r="W41" s="39">
        <f>-ROUND(PPMT($C$3,$K$4,$C$2,$C41,0,0),0)</f>
        <v>2881151</v>
      </c>
      <c r="X41" s="39">
        <f>-ROUND(PPMT($C$3,$L$4,$C$2,$C41,0,0),0)</f>
        <v>2941655</v>
      </c>
      <c r="Y41" s="39">
        <f>-ROUND(PPMT($C$3,$M$4,$C$2,$C41,0,0),0)</f>
        <v>3003430</v>
      </c>
      <c r="Z41" s="39">
        <f>-ROUND(PPMT($C$3,$N$4,$C$2,$C41,0,0),0)</f>
        <v>3066502</v>
      </c>
      <c r="AA41" s="39">
        <f>-ROUND(PPMT($C$3,$O$4,$C$2,$C41,0,0),0)</f>
        <v>3130898</v>
      </c>
      <c r="AB41" s="39">
        <f>-ROUND(PPMT($C$3,$P$4,$C$2,$C41,0,0),0)</f>
        <v>3196647</v>
      </c>
      <c r="AC41" s="39">
        <f>-ROUND(PPMT($C$3,$Q$4,$C$2,$C41,0,0),0)</f>
        <v>3263777</v>
      </c>
      <c r="AD41" s="39">
        <f>-ROUND(PPMT($C$3,$R$4,$C$2,$C41,0,0),0)</f>
        <v>3332316</v>
      </c>
      <c r="AE41" s="39">
        <f>-ROUND(PPMT($C$3,$S$4,$C$2,$C41,0,0),0)</f>
        <v>3402295</v>
      </c>
      <c r="AF41" s="39">
        <f>-ROUND(PPMT($C$3,$T$4,$C$2,$C41,0,0),0)</f>
        <v>3473743</v>
      </c>
      <c r="AG41" s="39">
        <f>-ROUND(PPMT($C$3,$U$4,$C$2,$C41,0,0),0)</f>
        <v>3546692</v>
      </c>
      <c r="AH41" s="39">
        <f>-ROUND(PPMT($C$3,$V$4,$C$2,$C41,0,0),0)</f>
        <v>3621172</v>
      </c>
      <c r="AI41" s="39">
        <f>-ROUND(PPMT($C$3,$W$4,$C$2,$C41,0,0),0)</f>
        <v>3697217</v>
      </c>
      <c r="AJ41" s="39">
        <f>-ROUND(PPMT($C$3,$X$4,$C$2,$C41,0,0),0)</f>
        <v>3774858</v>
      </c>
      <c r="AK41" s="39">
        <f>-ROUND(PPMT($C$3,$Y$4,$C$2,$C41,0,0),0)</f>
        <v>3854130</v>
      </c>
      <c r="AL41" s="39">
        <f>-ROUND(PPMT($C$3,$Z$4,$C$2,$C41,0,0),0)</f>
        <v>3935067</v>
      </c>
      <c r="AM41" s="39">
        <f>-ROUND(PPMT($C$3,$AA$4,$C$2,$C41,0,0),0)</f>
        <v>4017703</v>
      </c>
      <c r="AN41" s="39">
        <f>-ROUND(PPMT($C$3,$AB$4,$C$2,$C41,0,0),0)</f>
        <v>4102075</v>
      </c>
      <c r="AO41" s="39">
        <f>-ROUND(PPMT($C$3,$AC$4,$C$2,$C41,0,0),0)</f>
        <v>4188219</v>
      </c>
      <c r="AP41" s="39">
        <f>-ROUND(PPMT($C$3,$AD$4,$C$2,$C41,0,0),0)</f>
        <v>4276171</v>
      </c>
      <c r="AQ41" s="39">
        <f>-ROUND(PPMT($C$3,$AE$4,$C$2,$C41,0,0),0)</f>
        <v>4365971</v>
      </c>
      <c r="AR41" s="39">
        <f>-ROUND(PPMT($C$3,$AF$4,$C$2,$C41,0,0),0)</f>
        <v>4457656</v>
      </c>
      <c r="AS41" s="39">
        <f>-ROUND(PPMT($C$3,$AG$4,$C$2,$C41,0,0),0)</f>
        <v>4551267</v>
      </c>
      <c r="AT41" s="39">
        <f>-ROUND(PPMT($C$3,$AH$4,$C$2,$C41,0,0),0)</f>
        <v>4646844</v>
      </c>
      <c r="AU41" s="39">
        <f>-ROUND(PPMT($C$3,$AI$4,$C$2,$C41,0,0),0)</f>
        <v>4744428</v>
      </c>
      <c r="AV41" s="39">
        <f>-ROUND(PPMT($C$3,$AJ$4,$C$2,$C41,0,0),0)</f>
        <v>4844060</v>
      </c>
      <c r="AW41" s="39">
        <f>-ROUND(PPMT($C$3,$AK$4,$C$2,$C41,0,0),0)</f>
        <v>4945786</v>
      </c>
      <c r="AX41" s="39">
        <f>-ROUND(PPMT($C$3,$AL$4,$C$2,$C41,0,0),0)</f>
        <v>5049647</v>
      </c>
      <c r="AY41" s="39">
        <f>-ROUND(PPMT($C$3,$AM$4,$C$2,$C41,0,0),0)</f>
        <v>5155690</v>
      </c>
      <c r="AZ41" s="39">
        <f>-ROUND(PPMT($C$3,$AN$4,$C$2,$C41,0,0),0)</f>
        <v>5263959</v>
      </c>
      <c r="BA41" s="39">
        <f>-ROUND(PPMT($C$3,$AO$4,$C$2,$C41,0,0),0)</f>
        <v>5374502</v>
      </c>
      <c r="BB41" s="39">
        <f>-ROUND(PPMT($C$3,$AP$4,$C$2,$C41,0,0),0)</f>
        <v>5487367</v>
      </c>
    </row>
    <row r="42" spans="2:54">
      <c r="B42" s="4"/>
      <c r="C42" s="133"/>
      <c r="D42" s="39" t="s">
        <v>583</v>
      </c>
      <c r="E42" s="40"/>
      <c r="F42" s="40"/>
      <c r="G42" s="40"/>
      <c r="H42" s="40"/>
      <c r="I42" s="40"/>
      <c r="J42" s="40"/>
      <c r="K42" s="40"/>
      <c r="L42" s="40"/>
      <c r="M42" s="40"/>
      <c r="N42" s="40"/>
      <c r="O42" s="40"/>
      <c r="P42" s="40"/>
      <c r="Q42" s="39">
        <f>-ROUND(IPMT($C$3,$E$4,$C$2,$C41,0,0),0)</f>
        <v>3297000</v>
      </c>
      <c r="R42" s="39">
        <f>-ROUND(IPMT($C$3,$F$4,$C$2,$C41,0,0),0)</f>
        <v>3243589</v>
      </c>
      <c r="S42" s="39">
        <f>-ROUND(IPMT($C$3,$G$4,$C$2,$C41,0,0),0)</f>
        <v>3189056</v>
      </c>
      <c r="T42" s="39">
        <f>-ROUND(IPMT($C$3,$H$4,$C$2,$C41,0,0),0)</f>
        <v>3133379</v>
      </c>
      <c r="U42" s="39">
        <f>-ROUND(IPMT($C$3,$I$4,$C$2,$C41,0,0),0)</f>
        <v>3076531</v>
      </c>
      <c r="V42" s="39">
        <f>-ROUND(IPMT($C$3,$J$4,$C$2,$C41,0,0),0)</f>
        <v>3018491</v>
      </c>
      <c r="W42" s="39">
        <f>-ROUND(IPMT($C$3,$K$4,$C$2,$C41,0,0),0)</f>
        <v>2959231</v>
      </c>
      <c r="X42" s="39">
        <f>-ROUND(IPMT($C$3,$L$4,$C$2,$C41,0,0),0)</f>
        <v>2898727</v>
      </c>
      <c r="Y42" s="39">
        <f>-ROUND(IPMT($C$3,$M$4,$C$2,$C41,0,0),0)</f>
        <v>2836952</v>
      </c>
      <c r="Z42" s="39">
        <f>-ROUND(IPMT($C$3,$N$4,$C$2,$C41,0,0),0)</f>
        <v>2773880</v>
      </c>
      <c r="AA42" s="39">
        <f>-ROUND(IPMT($C$3,$O$4,$C$2,$C41,0,0),0)</f>
        <v>2709483</v>
      </c>
      <c r="AB42" s="39">
        <f>-ROUND(IPMT($C$3,$P$4,$C$2,$C41,0,0),0)</f>
        <v>2643735</v>
      </c>
      <c r="AC42" s="39">
        <f>-ROUND(IPMT($C$3,$Q$4,$C$2,$C41,0,0),0)</f>
        <v>2576605</v>
      </c>
      <c r="AD42" s="39">
        <f>-ROUND(IPMT($C$3,$R$4,$C$2,$C41,0,0),0)</f>
        <v>2508066</v>
      </c>
      <c r="AE42" s="39">
        <f>-ROUND(IPMT($C$3,$S$4,$C$2,$C41,0,0),0)</f>
        <v>2438087</v>
      </c>
      <c r="AF42" s="39">
        <f>-ROUND(IPMT($C$3,$T$4,$C$2,$C41,0,0),0)</f>
        <v>2366639</v>
      </c>
      <c r="AG42" s="39">
        <f>-ROUND(IPMT($C$3,$U$4,$C$2,$C41,0,0),0)</f>
        <v>2293690</v>
      </c>
      <c r="AH42" s="39">
        <f>-ROUND(IPMT($C$3,$V$4,$C$2,$C41,0,0),0)</f>
        <v>2219210</v>
      </c>
      <c r="AI42" s="39">
        <f>-ROUND(IPMT($C$3,$W$4,$C$2,$C41,0,0),0)</f>
        <v>2143165</v>
      </c>
      <c r="AJ42" s="39">
        <f>-ROUND(IPMT($C$3,$X$4,$C$2,$C41,0,0),0)</f>
        <v>2065523</v>
      </c>
      <c r="AK42" s="39">
        <f>-ROUND(IPMT($C$3,$Y$4,$C$2,$C41,0,0),0)</f>
        <v>1986251</v>
      </c>
      <c r="AL42" s="39">
        <f>-ROUND(IPMT($C$3,$Z$4,$C$2,$C41,0,0),0)</f>
        <v>1905315</v>
      </c>
      <c r="AM42" s="39">
        <f>-ROUND(IPMT($C$3,$AA$4,$C$2,$C41,0,0),0)</f>
        <v>1822678</v>
      </c>
      <c r="AN42" s="39">
        <f>-ROUND(IPMT($C$3,$AB$4,$C$2,$C41,0,0),0)</f>
        <v>1738307</v>
      </c>
      <c r="AO42" s="39">
        <f>-ROUND(IPMT($C$3,$AC$4,$C$2,$C41,0,0),0)</f>
        <v>1652163</v>
      </c>
      <c r="AP42" s="39">
        <f>-ROUND(IPMT($C$3,$AD$4,$C$2,$C41,0,0),0)</f>
        <v>1564210</v>
      </c>
      <c r="AQ42" s="39">
        <f>-ROUND(IPMT($C$3,$AE$4,$C$2,$C41,0,0),0)</f>
        <v>1474411</v>
      </c>
      <c r="AR42" s="39">
        <f>-ROUND(IPMT($C$3,$AF$4,$C$2,$C41,0,0),0)</f>
        <v>1382725</v>
      </c>
      <c r="AS42" s="39">
        <f>-ROUND(IPMT($C$3,$AG$4,$C$2,$C41,0,0),0)</f>
        <v>1289115</v>
      </c>
      <c r="AT42" s="39">
        <f>-ROUND(IPMT($C$3,$AH$4,$C$2,$C41,0,0),0)</f>
        <v>1193538</v>
      </c>
      <c r="AU42" s="39">
        <f>-ROUND(IPMT($C$3,$AI$4,$C$2,$C41,0,0),0)</f>
        <v>1095954</v>
      </c>
      <c r="AV42" s="39">
        <f>-ROUND(IPMT($C$3,$AJ$4,$C$2,$C41,0,0),0)</f>
        <v>996321</v>
      </c>
      <c r="AW42" s="39">
        <f>-ROUND(IPMT($C$3,$AK$4,$C$2,$C41,0,0),0)</f>
        <v>894596</v>
      </c>
      <c r="AX42" s="39">
        <f>-ROUND(IPMT($C$3,$AL$4,$C$2,$C41,0,0),0)</f>
        <v>790735</v>
      </c>
      <c r="AY42" s="39">
        <f>-ROUND(IPMT($C$3,$AM$4,$C$2,$C41,0,0),0)</f>
        <v>684692</v>
      </c>
      <c r="AZ42" s="39">
        <f>-ROUND(IPMT($C$3,$AN$4,$C$2,$C41,0,0),0)</f>
        <v>576422</v>
      </c>
      <c r="BA42" s="39">
        <f>-ROUND(IPMT($C$3,$AO$4,$C$2,$C41,0,0),0)</f>
        <v>465879</v>
      </c>
      <c r="BB42" s="39">
        <f>-ROUND(IPMT($C$3,$AP$4,$C$2,$C41,0,0),0)</f>
        <v>353015</v>
      </c>
    </row>
    <row r="43" spans="2:54">
      <c r="B43" s="3"/>
      <c r="C43" s="134"/>
      <c r="D43" s="39" t="s">
        <v>339</v>
      </c>
      <c r="E43" s="40"/>
      <c r="F43" s="40"/>
      <c r="G43" s="40"/>
      <c r="H43" s="40"/>
      <c r="I43" s="40"/>
      <c r="J43" s="40"/>
      <c r="K43" s="40"/>
      <c r="L43" s="40"/>
      <c r="M43" s="40"/>
      <c r="N43" s="40"/>
      <c r="O43" s="40"/>
      <c r="P43" s="64">
        <f>$C41</f>
        <v>157000000</v>
      </c>
      <c r="Q43" s="39">
        <f>$C41-Q41</f>
        <v>154456618</v>
      </c>
      <c r="R43" s="39">
        <f t="shared" ref="R43:BB43" si="14">Q43-R41</f>
        <v>151859825</v>
      </c>
      <c r="S43" s="39">
        <f t="shared" si="14"/>
        <v>149208500</v>
      </c>
      <c r="T43" s="39">
        <f t="shared" si="14"/>
        <v>146501497</v>
      </c>
      <c r="U43" s="39">
        <f t="shared" si="14"/>
        <v>143737647</v>
      </c>
      <c r="V43" s="39">
        <f t="shared" si="14"/>
        <v>140915756</v>
      </c>
      <c r="W43" s="39">
        <f t="shared" si="14"/>
        <v>138034605</v>
      </c>
      <c r="X43" s="39">
        <f t="shared" si="14"/>
        <v>135092950</v>
      </c>
      <c r="Y43" s="39">
        <f t="shared" si="14"/>
        <v>132089520</v>
      </c>
      <c r="Z43" s="39">
        <f t="shared" si="14"/>
        <v>129023018</v>
      </c>
      <c r="AA43" s="39">
        <f t="shared" si="14"/>
        <v>125892120</v>
      </c>
      <c r="AB43" s="39">
        <f t="shared" si="14"/>
        <v>122695473</v>
      </c>
      <c r="AC43" s="39">
        <f t="shared" si="14"/>
        <v>119431696</v>
      </c>
      <c r="AD43" s="39">
        <f t="shared" si="14"/>
        <v>116099380</v>
      </c>
      <c r="AE43" s="39">
        <f t="shared" si="14"/>
        <v>112697085</v>
      </c>
      <c r="AF43" s="39">
        <f t="shared" si="14"/>
        <v>109223342</v>
      </c>
      <c r="AG43" s="39">
        <f t="shared" si="14"/>
        <v>105676650</v>
      </c>
      <c r="AH43" s="39">
        <f t="shared" si="14"/>
        <v>102055478</v>
      </c>
      <c r="AI43" s="39">
        <f t="shared" si="14"/>
        <v>98358261</v>
      </c>
      <c r="AJ43" s="39">
        <f t="shared" si="14"/>
        <v>94583403</v>
      </c>
      <c r="AK43" s="39">
        <f t="shared" si="14"/>
        <v>90729273</v>
      </c>
      <c r="AL43" s="39">
        <f t="shared" si="14"/>
        <v>86794206</v>
      </c>
      <c r="AM43" s="39">
        <f t="shared" si="14"/>
        <v>82776503</v>
      </c>
      <c r="AN43" s="39">
        <f t="shared" si="14"/>
        <v>78674428</v>
      </c>
      <c r="AO43" s="39">
        <f t="shared" si="14"/>
        <v>74486209</v>
      </c>
      <c r="AP43" s="39">
        <f t="shared" si="14"/>
        <v>70210038</v>
      </c>
      <c r="AQ43" s="39">
        <f t="shared" si="14"/>
        <v>65844067</v>
      </c>
      <c r="AR43" s="39">
        <f t="shared" si="14"/>
        <v>61386411</v>
      </c>
      <c r="AS43" s="39">
        <f t="shared" si="14"/>
        <v>56835144</v>
      </c>
      <c r="AT43" s="39">
        <f t="shared" si="14"/>
        <v>52188300</v>
      </c>
      <c r="AU43" s="39">
        <f t="shared" si="14"/>
        <v>47443872</v>
      </c>
      <c r="AV43" s="39">
        <f t="shared" si="14"/>
        <v>42599812</v>
      </c>
      <c r="AW43" s="39">
        <f t="shared" si="14"/>
        <v>37654026</v>
      </c>
      <c r="AX43" s="39">
        <f t="shared" si="14"/>
        <v>32604379</v>
      </c>
      <c r="AY43" s="39">
        <f t="shared" si="14"/>
        <v>27448689</v>
      </c>
      <c r="AZ43" s="39">
        <f t="shared" si="14"/>
        <v>22184730</v>
      </c>
      <c r="BA43" s="39">
        <f t="shared" si="14"/>
        <v>16810228</v>
      </c>
      <c r="BB43" s="39">
        <f t="shared" si="14"/>
        <v>11322861</v>
      </c>
    </row>
    <row r="44" spans="2:54">
      <c r="B44" s="2" t="s">
        <v>35</v>
      </c>
      <c r="C44" s="132">
        <f>【成行】財政シミュ!AF74</f>
        <v>157000000</v>
      </c>
      <c r="D44" s="39" t="s">
        <v>582</v>
      </c>
      <c r="E44" s="40"/>
      <c r="F44" s="40"/>
      <c r="G44" s="40"/>
      <c r="H44" s="40"/>
      <c r="I44" s="40"/>
      <c r="J44" s="40"/>
      <c r="K44" s="40"/>
      <c r="L44" s="40"/>
      <c r="M44" s="40"/>
      <c r="N44" s="40"/>
      <c r="O44" s="40"/>
      <c r="P44" s="40"/>
      <c r="Q44" s="40"/>
      <c r="R44" s="39">
        <f>-ROUND(PPMT($C$3,$E$4,$C$2,$C44,0,0),0)</f>
        <v>2543382</v>
      </c>
      <c r="S44" s="39">
        <f>-ROUND(PPMT($C$3,$F$4,$C$2,$C44,0,0),0)</f>
        <v>2596793</v>
      </c>
      <c r="T44" s="39">
        <f>-ROUND(PPMT($C$3,$G$4,$C$2,$C44,0,0),0)</f>
        <v>2651325</v>
      </c>
      <c r="U44" s="39">
        <f>-ROUND(PPMT($C$3,$H$4,$C$2,$C44,0,0),0)</f>
        <v>2707003</v>
      </c>
      <c r="V44" s="39">
        <f>-ROUND(PPMT($C$3,$I$4,$C$2,$C44,0,0),0)</f>
        <v>2763850</v>
      </c>
      <c r="W44" s="39">
        <f>-ROUND(PPMT($C$3,$J$4,$C$2,$C44,0,0),0)</f>
        <v>2821891</v>
      </c>
      <c r="X44" s="39">
        <f>-ROUND(PPMT($C$3,$K$4,$C$2,$C44,0,0),0)</f>
        <v>2881151</v>
      </c>
      <c r="Y44" s="39">
        <f>-ROUND(PPMT($C$3,$L$4,$C$2,$C44,0,0),0)</f>
        <v>2941655</v>
      </c>
      <c r="Z44" s="39">
        <f>-ROUND(PPMT($C$3,$M$4,$C$2,$C44,0,0),0)</f>
        <v>3003430</v>
      </c>
      <c r="AA44" s="39">
        <f>-ROUND(PPMT($C$3,$N$4,$C$2,$C44,0,0),0)</f>
        <v>3066502</v>
      </c>
      <c r="AB44" s="39">
        <f>-ROUND(PPMT($C$3,$O$4,$C$2,$C44,0,0),0)</f>
        <v>3130898</v>
      </c>
      <c r="AC44" s="39">
        <f>-ROUND(PPMT($C$3,$P$4,$C$2,$C44,0,0),0)</f>
        <v>3196647</v>
      </c>
      <c r="AD44" s="39">
        <f>-ROUND(PPMT($C$3,$Q$4,$C$2,$C44,0,0),0)</f>
        <v>3263777</v>
      </c>
      <c r="AE44" s="39">
        <f>-ROUND(PPMT($C$3,$R$4,$C$2,$C44,0,0),0)</f>
        <v>3332316</v>
      </c>
      <c r="AF44" s="39">
        <f>-ROUND(PPMT($C$3,$S$4,$C$2,$C44,0,0),0)</f>
        <v>3402295</v>
      </c>
      <c r="AG44" s="39">
        <f>-ROUND(PPMT($C$3,$T$4,$C$2,$C44,0,0),0)</f>
        <v>3473743</v>
      </c>
      <c r="AH44" s="39">
        <f>-ROUND(PPMT($C$3,$U$4,$C$2,$C44,0,0),0)</f>
        <v>3546692</v>
      </c>
      <c r="AI44" s="39">
        <f>-ROUND(PPMT($C$3,$V$4,$C$2,$C44,0,0),0)</f>
        <v>3621172</v>
      </c>
      <c r="AJ44" s="39">
        <f>-ROUND(PPMT($C$3,$W$4,$C$2,$C44,0,0),0)</f>
        <v>3697217</v>
      </c>
      <c r="AK44" s="39">
        <f>-ROUND(PPMT($C$3,$X$4,$C$2,$C44,0,0),0)</f>
        <v>3774858</v>
      </c>
      <c r="AL44" s="39">
        <f>-ROUND(PPMT($C$3,$Y$4,$C$2,$C44,0,0),0)</f>
        <v>3854130</v>
      </c>
      <c r="AM44" s="39">
        <f>-ROUND(PPMT($C$3,$Z$4,$C$2,$C44,0,0),0)</f>
        <v>3935067</v>
      </c>
      <c r="AN44" s="39">
        <f>-ROUND(PPMT($C$3,$AA$4,$C$2,$C44,0,0),0)</f>
        <v>4017703</v>
      </c>
      <c r="AO44" s="39">
        <f>-ROUND(PPMT($C$3,$AB$4,$C$2,$C44,0,0),0)</f>
        <v>4102075</v>
      </c>
      <c r="AP44" s="39">
        <f>-ROUND(PPMT($C$3,$AC$4,$C$2,$C44,0,0),0)</f>
        <v>4188219</v>
      </c>
      <c r="AQ44" s="39">
        <f>-ROUND(PPMT($C$3,$AD$4,$C$2,$C44,0,0),0)</f>
        <v>4276171</v>
      </c>
      <c r="AR44" s="39">
        <f>-ROUND(PPMT($C$3,$AE$4,$C$2,$C44,0,0),0)</f>
        <v>4365971</v>
      </c>
      <c r="AS44" s="39">
        <f>-ROUND(PPMT($C$3,$AF$4,$C$2,$C44,0,0),0)</f>
        <v>4457656</v>
      </c>
      <c r="AT44" s="39">
        <f>-ROUND(PPMT($C$3,$AG$4,$C$2,$C44,0,0),0)</f>
        <v>4551267</v>
      </c>
      <c r="AU44" s="39">
        <f>-ROUND(PPMT($C$3,$AH$4,$C$2,$C44,0,0),0)</f>
        <v>4646844</v>
      </c>
      <c r="AV44" s="39">
        <f>-ROUND(PPMT($C$3,$AI$4,$C$2,$C44,0,0),0)</f>
        <v>4744428</v>
      </c>
      <c r="AW44" s="39">
        <f>-ROUND(PPMT($C$3,$AJ$4,$C$2,$C44,0,0),0)</f>
        <v>4844060</v>
      </c>
      <c r="AX44" s="39">
        <f>-ROUND(PPMT($C$3,$AK$4,$C$2,$C44,0,0),0)</f>
        <v>4945786</v>
      </c>
      <c r="AY44" s="39">
        <f>-ROUND(PPMT($C$3,$AL$4,$C$2,$C44,0,0),0)</f>
        <v>5049647</v>
      </c>
      <c r="AZ44" s="39">
        <f>-ROUND(PPMT($C$3,$AM$4,$C$2,$C44,0,0),0)</f>
        <v>5155690</v>
      </c>
      <c r="BA44" s="39">
        <f>-ROUND(PPMT($C$3,$AN$4,$C$2,$C44,0,0),0)</f>
        <v>5263959</v>
      </c>
      <c r="BB44" s="39">
        <f>-ROUND(PPMT($C$3,$AO$4,$C$2,$C44,0,0),0)</f>
        <v>5374502</v>
      </c>
    </row>
    <row r="45" spans="2:54">
      <c r="B45" s="4"/>
      <c r="C45" s="133"/>
      <c r="D45" s="39" t="s">
        <v>583</v>
      </c>
      <c r="E45" s="40"/>
      <c r="F45" s="40"/>
      <c r="G45" s="40"/>
      <c r="H45" s="40"/>
      <c r="I45" s="40"/>
      <c r="J45" s="40"/>
      <c r="K45" s="40"/>
      <c r="L45" s="40"/>
      <c r="M45" s="40"/>
      <c r="N45" s="40"/>
      <c r="O45" s="40"/>
      <c r="P45" s="40"/>
      <c r="Q45" s="40"/>
      <c r="R45" s="39">
        <f>-ROUND(IPMT($C$3,$E$4,$C$2,$C44,0,0),0)</f>
        <v>3297000</v>
      </c>
      <c r="S45" s="39">
        <f>-ROUND(IPMT($C$3,$F$4,$C$2,$C44,0,0),0)</f>
        <v>3243589</v>
      </c>
      <c r="T45" s="39">
        <f>-ROUND(IPMT($C$3,$G$4,$C$2,$C44,0,0),0)</f>
        <v>3189056</v>
      </c>
      <c r="U45" s="39">
        <f>-ROUND(IPMT($C$3,$H$4,$C$2,$C44,0,0),0)</f>
        <v>3133379</v>
      </c>
      <c r="V45" s="39">
        <f>-ROUND(IPMT($C$3,$I$4,$C$2,$C44,0,0),0)</f>
        <v>3076531</v>
      </c>
      <c r="W45" s="39">
        <f>-ROUND(IPMT($C$3,$J$4,$C$2,$C44,0,0),0)</f>
        <v>3018491</v>
      </c>
      <c r="X45" s="39">
        <f>-ROUND(IPMT($C$3,$K$4,$C$2,$C44,0,0),0)</f>
        <v>2959231</v>
      </c>
      <c r="Y45" s="39">
        <f>-ROUND(IPMT($C$3,$L$4,$C$2,$C44,0,0),0)</f>
        <v>2898727</v>
      </c>
      <c r="Z45" s="39">
        <f>-ROUND(IPMT($C$3,$M$4,$C$2,$C44,0,0),0)</f>
        <v>2836952</v>
      </c>
      <c r="AA45" s="39">
        <f>-ROUND(IPMT($C$3,$N$4,$C$2,$C44,0,0),0)</f>
        <v>2773880</v>
      </c>
      <c r="AB45" s="39">
        <f>-ROUND(IPMT($C$3,$O$4,$C$2,$C44,0,0),0)</f>
        <v>2709483</v>
      </c>
      <c r="AC45" s="39">
        <f>-ROUND(IPMT($C$3,$P$4,$C$2,$C44,0,0),0)</f>
        <v>2643735</v>
      </c>
      <c r="AD45" s="39">
        <f>-ROUND(IPMT($C$3,$Q$4,$C$2,$C44,0,0),0)</f>
        <v>2576605</v>
      </c>
      <c r="AE45" s="39">
        <f>-ROUND(IPMT($C$3,$R$4,$C$2,$C44,0,0),0)</f>
        <v>2508066</v>
      </c>
      <c r="AF45" s="39">
        <f>-ROUND(IPMT($C$3,$S$4,$C$2,$C44,0,0),0)</f>
        <v>2438087</v>
      </c>
      <c r="AG45" s="39">
        <f>-ROUND(IPMT($C$3,$T$4,$C$2,$C44,0,0),0)</f>
        <v>2366639</v>
      </c>
      <c r="AH45" s="39">
        <f>-ROUND(IPMT($C$3,$U$4,$C$2,$C44,0,0),0)</f>
        <v>2293690</v>
      </c>
      <c r="AI45" s="39">
        <f>-ROUND(IPMT($C$3,$V$4,$C$2,$C44,0,0),0)</f>
        <v>2219210</v>
      </c>
      <c r="AJ45" s="39">
        <f>-ROUND(IPMT($C$3,$W$4,$C$2,$C44,0,0),0)</f>
        <v>2143165</v>
      </c>
      <c r="AK45" s="39">
        <f>-ROUND(IPMT($C$3,$X$4,$C$2,$C44,0,0),0)</f>
        <v>2065523</v>
      </c>
      <c r="AL45" s="39">
        <f>-ROUND(IPMT($C$3,$Y$4,$C$2,$C44,0,0),0)</f>
        <v>1986251</v>
      </c>
      <c r="AM45" s="39">
        <f>-ROUND(IPMT($C$3,$Z$4,$C$2,$C44,0,0),0)</f>
        <v>1905315</v>
      </c>
      <c r="AN45" s="39">
        <f>-ROUND(IPMT($C$3,$AA$4,$C$2,$C44,0,0),0)</f>
        <v>1822678</v>
      </c>
      <c r="AO45" s="39">
        <f>-ROUND(IPMT($C$3,$AB$4,$C$2,$C44,0,0),0)</f>
        <v>1738307</v>
      </c>
      <c r="AP45" s="39">
        <f>-ROUND(IPMT($C$3,$AC$4,$C$2,$C44,0,0),0)</f>
        <v>1652163</v>
      </c>
      <c r="AQ45" s="39">
        <f>-ROUND(IPMT($C$3,$AD$4,$C$2,$C44,0,0),0)</f>
        <v>1564210</v>
      </c>
      <c r="AR45" s="39">
        <f>-ROUND(IPMT($C$3,$AE$4,$C$2,$C44,0,0),0)</f>
        <v>1474411</v>
      </c>
      <c r="AS45" s="39">
        <f>-ROUND(IPMT($C$3,$AF$4,$C$2,$C44,0,0),0)</f>
        <v>1382725</v>
      </c>
      <c r="AT45" s="39">
        <f>-ROUND(IPMT($C$3,$AG$4,$C$2,$C44,0,0),0)</f>
        <v>1289115</v>
      </c>
      <c r="AU45" s="39">
        <f>-ROUND(IPMT($C$3,$AH$4,$C$2,$C44,0,0),0)</f>
        <v>1193538</v>
      </c>
      <c r="AV45" s="39">
        <f>-ROUND(IPMT($C$3,$AI$4,$C$2,$C44,0,0),0)</f>
        <v>1095954</v>
      </c>
      <c r="AW45" s="39">
        <f>-ROUND(IPMT($C$3,$AJ$4,$C$2,$C44,0,0),0)</f>
        <v>996321</v>
      </c>
      <c r="AX45" s="39">
        <f>-ROUND(IPMT($C$3,$AK$4,$C$2,$C44,0,0),0)</f>
        <v>894596</v>
      </c>
      <c r="AY45" s="39">
        <f>-ROUND(IPMT($C$3,$AL$4,$C$2,$C44,0,0),0)</f>
        <v>790735</v>
      </c>
      <c r="AZ45" s="39">
        <f>-ROUND(IPMT($C$3,$AM$4,$C$2,$C44,0,0),0)</f>
        <v>684692</v>
      </c>
      <c r="BA45" s="39">
        <f>-ROUND(IPMT($C$3,$AN$4,$C$2,$C44,0,0),0)</f>
        <v>576422</v>
      </c>
      <c r="BB45" s="39">
        <f>-ROUND(IPMT($C$3,$AO$4,$C$2,$C44,0,0),0)</f>
        <v>465879</v>
      </c>
    </row>
    <row r="46" spans="2:54">
      <c r="B46" s="3"/>
      <c r="C46" s="134"/>
      <c r="D46" s="39" t="s">
        <v>339</v>
      </c>
      <c r="E46" s="40"/>
      <c r="F46" s="40"/>
      <c r="G46" s="40"/>
      <c r="H46" s="40"/>
      <c r="I46" s="40"/>
      <c r="J46" s="40"/>
      <c r="K46" s="40"/>
      <c r="L46" s="40"/>
      <c r="M46" s="40"/>
      <c r="N46" s="40"/>
      <c r="O46" s="40"/>
      <c r="P46" s="40"/>
      <c r="Q46" s="64">
        <f>$C44</f>
        <v>157000000</v>
      </c>
      <c r="R46" s="39">
        <f>$C44-R44</f>
        <v>154456618</v>
      </c>
      <c r="S46" s="39">
        <f t="shared" ref="S46:BB46" si="15">R46-S44</f>
        <v>151859825</v>
      </c>
      <c r="T46" s="39">
        <f t="shared" si="15"/>
        <v>149208500</v>
      </c>
      <c r="U46" s="39">
        <f t="shared" si="15"/>
        <v>146501497</v>
      </c>
      <c r="V46" s="39">
        <f t="shared" si="15"/>
        <v>143737647</v>
      </c>
      <c r="W46" s="39">
        <f t="shared" si="15"/>
        <v>140915756</v>
      </c>
      <c r="X46" s="39">
        <f t="shared" si="15"/>
        <v>138034605</v>
      </c>
      <c r="Y46" s="39">
        <f t="shared" si="15"/>
        <v>135092950</v>
      </c>
      <c r="Z46" s="39">
        <f t="shared" si="15"/>
        <v>132089520</v>
      </c>
      <c r="AA46" s="39">
        <f t="shared" si="15"/>
        <v>129023018</v>
      </c>
      <c r="AB46" s="39">
        <f t="shared" si="15"/>
        <v>125892120</v>
      </c>
      <c r="AC46" s="39">
        <f t="shared" si="15"/>
        <v>122695473</v>
      </c>
      <c r="AD46" s="39">
        <f t="shared" si="15"/>
        <v>119431696</v>
      </c>
      <c r="AE46" s="39">
        <f t="shared" si="15"/>
        <v>116099380</v>
      </c>
      <c r="AF46" s="39">
        <f t="shared" si="15"/>
        <v>112697085</v>
      </c>
      <c r="AG46" s="39">
        <f t="shared" si="15"/>
        <v>109223342</v>
      </c>
      <c r="AH46" s="39">
        <f t="shared" si="15"/>
        <v>105676650</v>
      </c>
      <c r="AI46" s="39">
        <f t="shared" si="15"/>
        <v>102055478</v>
      </c>
      <c r="AJ46" s="39">
        <f t="shared" si="15"/>
        <v>98358261</v>
      </c>
      <c r="AK46" s="39">
        <f t="shared" si="15"/>
        <v>94583403</v>
      </c>
      <c r="AL46" s="39">
        <f t="shared" si="15"/>
        <v>90729273</v>
      </c>
      <c r="AM46" s="39">
        <f t="shared" si="15"/>
        <v>86794206</v>
      </c>
      <c r="AN46" s="39">
        <f t="shared" si="15"/>
        <v>82776503</v>
      </c>
      <c r="AO46" s="39">
        <f t="shared" si="15"/>
        <v>78674428</v>
      </c>
      <c r="AP46" s="39">
        <f t="shared" si="15"/>
        <v>74486209</v>
      </c>
      <c r="AQ46" s="39">
        <f t="shared" si="15"/>
        <v>70210038</v>
      </c>
      <c r="AR46" s="39">
        <f t="shared" si="15"/>
        <v>65844067</v>
      </c>
      <c r="AS46" s="39">
        <f t="shared" si="15"/>
        <v>61386411</v>
      </c>
      <c r="AT46" s="39">
        <f t="shared" si="15"/>
        <v>56835144</v>
      </c>
      <c r="AU46" s="39">
        <f t="shared" si="15"/>
        <v>52188300</v>
      </c>
      <c r="AV46" s="39">
        <f t="shared" si="15"/>
        <v>47443872</v>
      </c>
      <c r="AW46" s="39">
        <f t="shared" si="15"/>
        <v>42599812</v>
      </c>
      <c r="AX46" s="39">
        <f t="shared" si="15"/>
        <v>37654026</v>
      </c>
      <c r="AY46" s="39">
        <f t="shared" si="15"/>
        <v>32604379</v>
      </c>
      <c r="AZ46" s="39">
        <f t="shared" si="15"/>
        <v>27448689</v>
      </c>
      <c r="BA46" s="39">
        <f t="shared" si="15"/>
        <v>22184730</v>
      </c>
      <c r="BB46" s="39">
        <f t="shared" si="15"/>
        <v>16810228</v>
      </c>
    </row>
    <row r="47" spans="2:54">
      <c r="B47" s="2" t="s">
        <v>36</v>
      </c>
      <c r="C47" s="132">
        <f>【成行】財政シミュ!AG74</f>
        <v>537000000</v>
      </c>
      <c r="D47" s="39" t="s">
        <v>582</v>
      </c>
      <c r="E47" s="40"/>
      <c r="F47" s="40"/>
      <c r="G47" s="40"/>
      <c r="H47" s="40"/>
      <c r="I47" s="40"/>
      <c r="J47" s="40"/>
      <c r="K47" s="40"/>
      <c r="L47" s="40"/>
      <c r="M47" s="40"/>
      <c r="N47" s="40"/>
      <c r="O47" s="40"/>
      <c r="P47" s="40"/>
      <c r="Q47" s="40"/>
      <c r="R47" s="40"/>
      <c r="S47" s="39">
        <f>-ROUND(PPMT($C$3,$E$4,$C$2,$C47,0,0),0)</f>
        <v>8699338</v>
      </c>
      <c r="T47" s="39">
        <f>-ROUND(PPMT($C$3,$F$4,$C$2,$C47,0,0),0)</f>
        <v>8882024</v>
      </c>
      <c r="U47" s="39">
        <f>-ROUND(PPMT($C$3,$G$4,$C$2,$C47,0,0),0)</f>
        <v>9068546</v>
      </c>
      <c r="V47" s="39">
        <f>-ROUND(PPMT($C$3,$H$4,$C$2,$C47,0,0),0)</f>
        <v>9258986</v>
      </c>
      <c r="W47" s="39">
        <f>-ROUND(PPMT($C$3,$I$4,$C$2,$C47,0,0),0)</f>
        <v>9453424</v>
      </c>
      <c r="X47" s="39">
        <f>-ROUND(PPMT($C$3,$J$4,$C$2,$C47,0,0),0)</f>
        <v>9651946</v>
      </c>
      <c r="Y47" s="39">
        <f>-ROUND(PPMT($C$3,$K$4,$C$2,$C47,0,0),0)</f>
        <v>9854637</v>
      </c>
      <c r="Z47" s="39">
        <f>-ROUND(PPMT($C$3,$L$4,$C$2,$C47,0,0),0)</f>
        <v>10061585</v>
      </c>
      <c r="AA47" s="39">
        <f>-ROUND(PPMT($C$3,$M$4,$C$2,$C47,0,0),0)</f>
        <v>10272878</v>
      </c>
      <c r="AB47" s="39">
        <f>-ROUND(PPMT($C$3,$N$4,$C$2,$C47,0,0),0)</f>
        <v>10488608</v>
      </c>
      <c r="AC47" s="39">
        <f>-ROUND(PPMT($C$3,$O$4,$C$2,$C47,0,0),0)</f>
        <v>10708869</v>
      </c>
      <c r="AD47" s="39">
        <f>-ROUND(PPMT($C$3,$P$4,$C$2,$C47,0,0),0)</f>
        <v>10933755</v>
      </c>
      <c r="AE47" s="39">
        <f>-ROUND(PPMT($C$3,$Q$4,$C$2,$C47,0,0),0)</f>
        <v>11163364</v>
      </c>
      <c r="AF47" s="39">
        <f>-ROUND(PPMT($C$3,$R$4,$C$2,$C47,0,0),0)</f>
        <v>11397795</v>
      </c>
      <c r="AG47" s="39">
        <f>-ROUND(PPMT($C$3,$S$4,$C$2,$C47,0,0),0)</f>
        <v>11637148</v>
      </c>
      <c r="AH47" s="39">
        <f>-ROUND(PPMT($C$3,$T$4,$C$2,$C47,0,0),0)</f>
        <v>11881529</v>
      </c>
      <c r="AI47" s="39">
        <f>-ROUND(PPMT($C$3,$U$4,$C$2,$C47,0,0),0)</f>
        <v>12131041</v>
      </c>
      <c r="AJ47" s="39">
        <f>-ROUND(PPMT($C$3,$V$4,$C$2,$C47,0,0),0)</f>
        <v>12385793</v>
      </c>
      <c r="AK47" s="39">
        <f>-ROUND(PPMT($C$3,$W$4,$C$2,$C47,0,0),0)</f>
        <v>12645894</v>
      </c>
      <c r="AL47" s="39">
        <f>-ROUND(PPMT($C$3,$X$4,$C$2,$C47,0,0),0)</f>
        <v>12911458</v>
      </c>
      <c r="AM47" s="39">
        <f>-ROUND(PPMT($C$3,$Y$4,$C$2,$C47,0,0),0)</f>
        <v>13182599</v>
      </c>
      <c r="AN47" s="39">
        <f>-ROUND(PPMT($C$3,$Z$4,$C$2,$C47,0,0),0)</f>
        <v>13459433</v>
      </c>
      <c r="AO47" s="39">
        <f>-ROUND(PPMT($C$3,$AA$4,$C$2,$C47,0,0),0)</f>
        <v>13742081</v>
      </c>
      <c r="AP47" s="39">
        <f>-ROUND(PPMT($C$3,$AB$4,$C$2,$C47,0,0),0)</f>
        <v>14030665</v>
      </c>
      <c r="AQ47" s="39">
        <f>-ROUND(PPMT($C$3,$AC$4,$C$2,$C47,0,0),0)</f>
        <v>14325309</v>
      </c>
      <c r="AR47" s="39">
        <f>-ROUND(PPMT($C$3,$AD$4,$C$2,$C47,0,0),0)</f>
        <v>14626140</v>
      </c>
      <c r="AS47" s="39">
        <f>-ROUND(PPMT($C$3,$AE$4,$C$2,$C47,0,0),0)</f>
        <v>14933289</v>
      </c>
      <c r="AT47" s="39">
        <f>-ROUND(PPMT($C$3,$AF$4,$C$2,$C47,0,0),0)</f>
        <v>15246888</v>
      </c>
      <c r="AU47" s="39">
        <f>-ROUND(PPMT($C$3,$AG$4,$C$2,$C47,0,0),0)</f>
        <v>15567073</v>
      </c>
      <c r="AV47" s="39">
        <f>-ROUND(PPMT($C$3,$AH$4,$C$2,$C47,0,0),0)</f>
        <v>15893982</v>
      </c>
      <c r="AW47" s="39">
        <f>-ROUND(PPMT($C$3,$AI$4,$C$2,$C47,0,0),0)</f>
        <v>16227755</v>
      </c>
      <c r="AX47" s="39">
        <f>-ROUND(PPMT($C$3,$AJ$4,$C$2,$C47,0,0),0)</f>
        <v>16568538</v>
      </c>
      <c r="AY47" s="39">
        <f>-ROUND(PPMT($C$3,$AK$4,$C$2,$C47,0,0),0)</f>
        <v>16916477</v>
      </c>
      <c r="AZ47" s="39">
        <f>-ROUND(PPMT($C$3,$AL$4,$C$2,$C47,0,0),0)</f>
        <v>17271723</v>
      </c>
      <c r="BA47" s="39">
        <f>-ROUND(PPMT($C$3,$AM$4,$C$2,$C47,0,0),0)</f>
        <v>17634430</v>
      </c>
      <c r="BB47" s="39">
        <f>-ROUND(PPMT($C$3,$AN$4,$C$2,$C47,0,0),0)</f>
        <v>18004753</v>
      </c>
    </row>
    <row r="48" spans="2:54">
      <c r="B48" s="4"/>
      <c r="C48" s="133"/>
      <c r="D48" s="39" t="s">
        <v>583</v>
      </c>
      <c r="E48" s="40"/>
      <c r="F48" s="40"/>
      <c r="G48" s="40"/>
      <c r="H48" s="40"/>
      <c r="I48" s="40"/>
      <c r="J48" s="40"/>
      <c r="K48" s="40"/>
      <c r="L48" s="40"/>
      <c r="M48" s="40"/>
      <c r="N48" s="40"/>
      <c r="O48" s="40"/>
      <c r="P48" s="40"/>
      <c r="Q48" s="40"/>
      <c r="R48" s="40"/>
      <c r="S48" s="39">
        <f>-ROUND(IPMT($C$3,$E$4,$C$2,$C47,0,0),0)</f>
        <v>11277000</v>
      </c>
      <c r="T48" s="39">
        <f>-ROUND(IPMT($C$3,$F$4,$C$2,$C47,0,0),0)</f>
        <v>11094314</v>
      </c>
      <c r="U48" s="39">
        <f>-ROUND(IPMT($C$3,$G$4,$C$2,$C47,0,0),0)</f>
        <v>10907791</v>
      </c>
      <c r="V48" s="39">
        <f>-ROUND(IPMT($C$3,$H$4,$C$2,$C47,0,0),0)</f>
        <v>10717352</v>
      </c>
      <c r="W48" s="39">
        <f>-ROUND(IPMT($C$3,$I$4,$C$2,$C47,0,0),0)</f>
        <v>10522913</v>
      </c>
      <c r="X48" s="39">
        <f>-ROUND(IPMT($C$3,$J$4,$C$2,$C47,0,0),0)</f>
        <v>10324391</v>
      </c>
      <c r="Y48" s="39">
        <f>-ROUND(IPMT($C$3,$K$4,$C$2,$C47,0,0),0)</f>
        <v>10121700</v>
      </c>
      <c r="Z48" s="39">
        <f>-ROUND(IPMT($C$3,$L$4,$C$2,$C47,0,0),0)</f>
        <v>9914753</v>
      </c>
      <c r="AA48" s="39">
        <f>-ROUND(IPMT($C$3,$M$4,$C$2,$C47,0,0),0)</f>
        <v>9703460</v>
      </c>
      <c r="AB48" s="39">
        <f>-ROUND(IPMT($C$3,$N$4,$C$2,$C47,0,0),0)</f>
        <v>9487729</v>
      </c>
      <c r="AC48" s="39">
        <f>-ROUND(IPMT($C$3,$O$4,$C$2,$C47,0,0),0)</f>
        <v>9267469</v>
      </c>
      <c r="AD48" s="39">
        <f>-ROUND(IPMT($C$3,$P$4,$C$2,$C47,0,0),0)</f>
        <v>9042582</v>
      </c>
      <c r="AE48" s="39">
        <f>-ROUND(IPMT($C$3,$Q$4,$C$2,$C47,0,0),0)</f>
        <v>8812973</v>
      </c>
      <c r="AF48" s="39">
        <f>-ROUND(IPMT($C$3,$R$4,$C$2,$C47,0,0),0)</f>
        <v>8578543</v>
      </c>
      <c r="AG48" s="39">
        <f>-ROUND(IPMT($C$3,$S$4,$C$2,$C47,0,0),0)</f>
        <v>8339189</v>
      </c>
      <c r="AH48" s="39">
        <f>-ROUND(IPMT($C$3,$T$4,$C$2,$C47,0,0),0)</f>
        <v>8094809</v>
      </c>
      <c r="AI48" s="39">
        <f>-ROUND(IPMT($C$3,$U$4,$C$2,$C47,0,0),0)</f>
        <v>7845297</v>
      </c>
      <c r="AJ48" s="39">
        <f>-ROUND(IPMT($C$3,$V$4,$C$2,$C47,0,0),0)</f>
        <v>7590545</v>
      </c>
      <c r="AK48" s="39">
        <f>-ROUND(IPMT($C$3,$W$4,$C$2,$C47,0,0),0)</f>
        <v>7330443</v>
      </c>
      <c r="AL48" s="39">
        <f>-ROUND(IPMT($C$3,$X$4,$C$2,$C47,0,0),0)</f>
        <v>7064880</v>
      </c>
      <c r="AM48" s="39">
        <f>-ROUND(IPMT($C$3,$Y$4,$C$2,$C47,0,0),0)</f>
        <v>6793739</v>
      </c>
      <c r="AN48" s="39">
        <f>-ROUND(IPMT($C$3,$Z$4,$C$2,$C47,0,0),0)</f>
        <v>6516904</v>
      </c>
      <c r="AO48" s="39">
        <f>-ROUND(IPMT($C$3,$AA$4,$C$2,$C47,0,0),0)</f>
        <v>6234256</v>
      </c>
      <c r="AP48" s="39">
        <f>-ROUND(IPMT($C$3,$AB$4,$C$2,$C47,0,0),0)</f>
        <v>5945673</v>
      </c>
      <c r="AQ48" s="39">
        <f>-ROUND(IPMT($C$3,$AC$4,$C$2,$C47,0,0),0)</f>
        <v>5651029</v>
      </c>
      <c r="AR48" s="39">
        <f>-ROUND(IPMT($C$3,$AD$4,$C$2,$C47,0,0),0)</f>
        <v>5350197</v>
      </c>
      <c r="AS48" s="39">
        <f>-ROUND(IPMT($C$3,$AE$4,$C$2,$C47,0,0),0)</f>
        <v>5043048</v>
      </c>
      <c r="AT48" s="39">
        <f>-ROUND(IPMT($C$3,$AF$4,$C$2,$C47,0,0),0)</f>
        <v>4729449</v>
      </c>
      <c r="AU48" s="39">
        <f>-ROUND(IPMT($C$3,$AG$4,$C$2,$C47,0,0),0)</f>
        <v>4409265</v>
      </c>
      <c r="AV48" s="39">
        <f>-ROUND(IPMT($C$3,$AH$4,$C$2,$C47,0,0),0)</f>
        <v>4082356</v>
      </c>
      <c r="AW48" s="39">
        <f>-ROUND(IPMT($C$3,$AI$4,$C$2,$C47,0,0),0)</f>
        <v>3748582</v>
      </c>
      <c r="AX48" s="39">
        <f>-ROUND(IPMT($C$3,$AJ$4,$C$2,$C47,0,0),0)</f>
        <v>3407800</v>
      </c>
      <c r="AY48" s="39">
        <f>-ROUND(IPMT($C$3,$AK$4,$C$2,$C47,0,0),0)</f>
        <v>3059860</v>
      </c>
      <c r="AZ48" s="39">
        <f>-ROUND(IPMT($C$3,$AL$4,$C$2,$C47,0,0),0)</f>
        <v>2704614</v>
      </c>
      <c r="BA48" s="39">
        <f>-ROUND(IPMT($C$3,$AM$4,$C$2,$C47,0,0),0)</f>
        <v>2341908</v>
      </c>
      <c r="BB48" s="39">
        <f>-ROUND(IPMT($C$3,$AN$4,$C$2,$C47,0,0),0)</f>
        <v>1971585</v>
      </c>
    </row>
    <row r="49" spans="2:54">
      <c r="B49" s="3"/>
      <c r="C49" s="134"/>
      <c r="D49" s="39" t="s">
        <v>339</v>
      </c>
      <c r="E49" s="40"/>
      <c r="F49" s="40"/>
      <c r="G49" s="40"/>
      <c r="H49" s="40"/>
      <c r="I49" s="40"/>
      <c r="J49" s="40"/>
      <c r="K49" s="40"/>
      <c r="L49" s="40"/>
      <c r="M49" s="40"/>
      <c r="N49" s="40"/>
      <c r="O49" s="40"/>
      <c r="P49" s="40"/>
      <c r="Q49" s="40"/>
      <c r="R49" s="64">
        <f>$C47</f>
        <v>537000000</v>
      </c>
      <c r="S49" s="39">
        <f>$C47-S47</f>
        <v>528300662</v>
      </c>
      <c r="T49" s="39">
        <f t="shared" ref="T49:BB49" si="16">S49-T47</f>
        <v>519418638</v>
      </c>
      <c r="U49" s="39">
        <f t="shared" si="16"/>
        <v>510350092</v>
      </c>
      <c r="V49" s="39">
        <f t="shared" si="16"/>
        <v>501091106</v>
      </c>
      <c r="W49" s="39">
        <f t="shared" si="16"/>
        <v>491637682</v>
      </c>
      <c r="X49" s="39">
        <f t="shared" si="16"/>
        <v>481985736</v>
      </c>
      <c r="Y49" s="39">
        <f t="shared" si="16"/>
        <v>472131099</v>
      </c>
      <c r="Z49" s="39">
        <f t="shared" si="16"/>
        <v>462069514</v>
      </c>
      <c r="AA49" s="39">
        <f t="shared" si="16"/>
        <v>451796636</v>
      </c>
      <c r="AB49" s="39">
        <f t="shared" si="16"/>
        <v>441308028</v>
      </c>
      <c r="AC49" s="39">
        <f t="shared" si="16"/>
        <v>430599159</v>
      </c>
      <c r="AD49" s="39">
        <f t="shared" si="16"/>
        <v>419665404</v>
      </c>
      <c r="AE49" s="39">
        <f t="shared" si="16"/>
        <v>408502040</v>
      </c>
      <c r="AF49" s="39">
        <f t="shared" si="16"/>
        <v>397104245</v>
      </c>
      <c r="AG49" s="39">
        <f t="shared" si="16"/>
        <v>385467097</v>
      </c>
      <c r="AH49" s="39">
        <f t="shared" si="16"/>
        <v>373585568</v>
      </c>
      <c r="AI49" s="39">
        <f t="shared" si="16"/>
        <v>361454527</v>
      </c>
      <c r="AJ49" s="39">
        <f t="shared" si="16"/>
        <v>349068734</v>
      </c>
      <c r="AK49" s="39">
        <f t="shared" si="16"/>
        <v>336422840</v>
      </c>
      <c r="AL49" s="39">
        <f t="shared" si="16"/>
        <v>323511382</v>
      </c>
      <c r="AM49" s="39">
        <f t="shared" si="16"/>
        <v>310328783</v>
      </c>
      <c r="AN49" s="39">
        <f t="shared" si="16"/>
        <v>296869350</v>
      </c>
      <c r="AO49" s="39">
        <f t="shared" si="16"/>
        <v>283127269</v>
      </c>
      <c r="AP49" s="39">
        <f t="shared" si="16"/>
        <v>269096604</v>
      </c>
      <c r="AQ49" s="39">
        <f t="shared" si="16"/>
        <v>254771295</v>
      </c>
      <c r="AR49" s="39">
        <f t="shared" si="16"/>
        <v>240145155</v>
      </c>
      <c r="AS49" s="39">
        <f t="shared" si="16"/>
        <v>225211866</v>
      </c>
      <c r="AT49" s="39">
        <f t="shared" si="16"/>
        <v>209964978</v>
      </c>
      <c r="AU49" s="39">
        <f t="shared" si="16"/>
        <v>194397905</v>
      </c>
      <c r="AV49" s="39">
        <f t="shared" si="16"/>
        <v>178503923</v>
      </c>
      <c r="AW49" s="39">
        <f t="shared" si="16"/>
        <v>162276168</v>
      </c>
      <c r="AX49" s="39">
        <f t="shared" si="16"/>
        <v>145707630</v>
      </c>
      <c r="AY49" s="39">
        <f t="shared" si="16"/>
        <v>128791153</v>
      </c>
      <c r="AZ49" s="39">
        <f t="shared" si="16"/>
        <v>111519430</v>
      </c>
      <c r="BA49" s="39">
        <f t="shared" si="16"/>
        <v>93885000</v>
      </c>
      <c r="BB49" s="39">
        <f t="shared" si="16"/>
        <v>75880247</v>
      </c>
    </row>
    <row r="50" spans="2:54">
      <c r="B50" s="2" t="s">
        <v>37</v>
      </c>
      <c r="C50" s="132">
        <f>【成行】財政シミュ!AH74</f>
        <v>537000000</v>
      </c>
      <c r="D50" s="39" t="s">
        <v>582</v>
      </c>
      <c r="E50" s="40"/>
      <c r="F50" s="40"/>
      <c r="G50" s="40"/>
      <c r="H50" s="40"/>
      <c r="I50" s="40"/>
      <c r="J50" s="40"/>
      <c r="K50" s="40"/>
      <c r="L50" s="40"/>
      <c r="M50" s="40"/>
      <c r="N50" s="40"/>
      <c r="O50" s="40"/>
      <c r="P50" s="40"/>
      <c r="Q50" s="40"/>
      <c r="R50" s="40"/>
      <c r="S50" s="40"/>
      <c r="T50" s="39">
        <f>-ROUND(PPMT($C$3,$E$4,$C$2,$C50,0,0),0)</f>
        <v>8699338</v>
      </c>
      <c r="U50" s="39">
        <f>-ROUND(PPMT($C$3,$F$4,$C$2,$C50,0,0),0)</f>
        <v>8882024</v>
      </c>
      <c r="V50" s="39">
        <f>-ROUND(PPMT($C$3,$G$4,$C$2,$C50,0,0),0)</f>
        <v>9068546</v>
      </c>
      <c r="W50" s="39">
        <f>-ROUND(PPMT($C$3,$H$4,$C$2,$C50,0,0),0)</f>
        <v>9258986</v>
      </c>
      <c r="X50" s="39">
        <f>-ROUND(PPMT($C$3,$I$4,$C$2,$C50,0,0),0)</f>
        <v>9453424</v>
      </c>
      <c r="Y50" s="39">
        <f>-ROUND(PPMT($C$3,$J$4,$C$2,$C50,0,0),0)</f>
        <v>9651946</v>
      </c>
      <c r="Z50" s="39">
        <f>-ROUND(PPMT($C$3,$K$4,$C$2,$C50,0,0),0)</f>
        <v>9854637</v>
      </c>
      <c r="AA50" s="39">
        <f>-ROUND(PPMT($C$3,$L$4,$C$2,$C50,0,0),0)</f>
        <v>10061585</v>
      </c>
      <c r="AB50" s="39">
        <f>-ROUND(PPMT($C$3,$M$4,$C$2,$C50,0,0),0)</f>
        <v>10272878</v>
      </c>
      <c r="AC50" s="39">
        <f>-ROUND(PPMT($C$3,$N$4,$C$2,$C50,0,0),0)</f>
        <v>10488608</v>
      </c>
      <c r="AD50" s="39">
        <f>-ROUND(PPMT($C$3,$O$4,$C$2,$C50,0,0),0)</f>
        <v>10708869</v>
      </c>
      <c r="AE50" s="39">
        <f>-ROUND(PPMT($C$3,$P$4,$C$2,$C50,0,0),0)</f>
        <v>10933755</v>
      </c>
      <c r="AF50" s="39">
        <f>-ROUND(PPMT($C$3,$Q$4,$C$2,$C50,0,0),0)</f>
        <v>11163364</v>
      </c>
      <c r="AG50" s="39">
        <f>-ROUND(PPMT($C$3,$R$4,$C$2,$C50,0,0),0)</f>
        <v>11397795</v>
      </c>
      <c r="AH50" s="39">
        <f>-ROUND(PPMT($C$3,$S$4,$C$2,$C50,0,0),0)</f>
        <v>11637148</v>
      </c>
      <c r="AI50" s="39">
        <f>-ROUND(PPMT($C$3,$T$4,$C$2,$C50,0,0),0)</f>
        <v>11881529</v>
      </c>
      <c r="AJ50" s="39">
        <f>-ROUND(PPMT($C$3,$U$4,$C$2,$C50,0,0),0)</f>
        <v>12131041</v>
      </c>
      <c r="AK50" s="39">
        <f>-ROUND(PPMT($C$3,$V$4,$C$2,$C50,0,0),0)</f>
        <v>12385793</v>
      </c>
      <c r="AL50" s="39">
        <f>-ROUND(PPMT($C$3,$W$4,$C$2,$C50,0,0),0)</f>
        <v>12645894</v>
      </c>
      <c r="AM50" s="39">
        <f>-ROUND(PPMT($C$3,$X$4,$C$2,$C50,0,0),0)</f>
        <v>12911458</v>
      </c>
      <c r="AN50" s="39">
        <f>-ROUND(PPMT($C$3,$Y$4,$C$2,$C50,0,0),0)</f>
        <v>13182599</v>
      </c>
      <c r="AO50" s="39">
        <f>-ROUND(PPMT($C$3,$Z$4,$C$2,$C50,0,0),0)</f>
        <v>13459433</v>
      </c>
      <c r="AP50" s="39">
        <f>-ROUND(PPMT($C$3,$AA$4,$C$2,$C50,0,0),0)</f>
        <v>13742081</v>
      </c>
      <c r="AQ50" s="39">
        <f>-ROUND(PPMT($C$3,$AB$4,$C$2,$C50,0,0),0)</f>
        <v>14030665</v>
      </c>
      <c r="AR50" s="39">
        <f>-ROUND(PPMT($C$3,$AC$4,$C$2,$C50,0,0),0)</f>
        <v>14325309</v>
      </c>
      <c r="AS50" s="39">
        <f>-ROUND(PPMT($C$3,$AD$4,$C$2,$C50,0,0),0)</f>
        <v>14626140</v>
      </c>
      <c r="AT50" s="39">
        <f>-ROUND(PPMT($C$3,$AE$4,$C$2,$C50,0,0),0)</f>
        <v>14933289</v>
      </c>
      <c r="AU50" s="39">
        <f>-ROUND(PPMT($C$3,$AF$4,$C$2,$C50,0,0),0)</f>
        <v>15246888</v>
      </c>
      <c r="AV50" s="39">
        <f>-ROUND(PPMT($C$3,$AG$4,$C$2,$C50,0,0),0)</f>
        <v>15567073</v>
      </c>
      <c r="AW50" s="39">
        <f>-ROUND(PPMT($C$3,$AH$4,$C$2,$C50,0,0),0)</f>
        <v>15893982</v>
      </c>
      <c r="AX50" s="39">
        <f>-ROUND(PPMT($C$3,$AI$4,$C$2,$C50,0,0),0)</f>
        <v>16227755</v>
      </c>
      <c r="AY50" s="39">
        <f>-ROUND(PPMT($C$3,$AJ$4,$C$2,$C50,0,0),0)</f>
        <v>16568538</v>
      </c>
      <c r="AZ50" s="39">
        <f>-ROUND(PPMT($C$3,$AK$4,$C$2,$C50,0,0),0)</f>
        <v>16916477</v>
      </c>
      <c r="BA50" s="39">
        <f>-ROUND(PPMT($C$3,$AL$4,$C$2,$C50,0,0),0)</f>
        <v>17271723</v>
      </c>
      <c r="BB50" s="39">
        <f>-ROUND(PPMT($C$3,$AM$4,$C$2,$C50,0,0),0)</f>
        <v>17634430</v>
      </c>
    </row>
    <row r="51" spans="2:54">
      <c r="B51" s="4"/>
      <c r="C51" s="133"/>
      <c r="D51" s="39" t="s">
        <v>583</v>
      </c>
      <c r="E51" s="40"/>
      <c r="F51" s="40"/>
      <c r="G51" s="40"/>
      <c r="H51" s="40"/>
      <c r="I51" s="40"/>
      <c r="J51" s="40"/>
      <c r="K51" s="40"/>
      <c r="L51" s="40"/>
      <c r="M51" s="40"/>
      <c r="N51" s="40"/>
      <c r="O51" s="40"/>
      <c r="P51" s="40"/>
      <c r="Q51" s="40"/>
      <c r="R51" s="40"/>
      <c r="S51" s="40"/>
      <c r="T51" s="39">
        <f>-ROUND(IPMT($C$3,$E$4,$C$2,$C50,0,0),0)</f>
        <v>11277000</v>
      </c>
      <c r="U51" s="39">
        <f>-ROUND(IPMT($C$3,$F$4,$C$2,$C50,0,0),0)</f>
        <v>11094314</v>
      </c>
      <c r="V51" s="39">
        <f>-ROUND(IPMT($C$3,$G$4,$C$2,$C50,0,0),0)</f>
        <v>10907791</v>
      </c>
      <c r="W51" s="39">
        <f>-ROUND(IPMT($C$3,$H$4,$C$2,$C50,0,0),0)</f>
        <v>10717352</v>
      </c>
      <c r="X51" s="39">
        <f>-ROUND(IPMT($C$3,$I$4,$C$2,$C50,0,0),0)</f>
        <v>10522913</v>
      </c>
      <c r="Y51" s="39">
        <f>-ROUND(IPMT($C$3,$J$4,$C$2,$C50,0,0),0)</f>
        <v>10324391</v>
      </c>
      <c r="Z51" s="39">
        <f>-ROUND(IPMT($C$3,$K$4,$C$2,$C50,0,0),0)</f>
        <v>10121700</v>
      </c>
      <c r="AA51" s="39">
        <f>-ROUND(IPMT($C$3,$L$4,$C$2,$C50,0,0),0)</f>
        <v>9914753</v>
      </c>
      <c r="AB51" s="39">
        <f>-ROUND(IPMT($C$3,$M$4,$C$2,$C50,0,0),0)</f>
        <v>9703460</v>
      </c>
      <c r="AC51" s="39">
        <f>-ROUND(IPMT($C$3,$N$4,$C$2,$C50,0,0),0)</f>
        <v>9487729</v>
      </c>
      <c r="AD51" s="39">
        <f>-ROUND(IPMT($C$3,$O$4,$C$2,$C50,0,0),0)</f>
        <v>9267469</v>
      </c>
      <c r="AE51" s="39">
        <f>-ROUND(IPMT($C$3,$P$4,$C$2,$C50,0,0),0)</f>
        <v>9042582</v>
      </c>
      <c r="AF51" s="39">
        <f>-ROUND(IPMT($C$3,$Q$4,$C$2,$C50,0,0),0)</f>
        <v>8812973</v>
      </c>
      <c r="AG51" s="39">
        <f>-ROUND(IPMT($C$3,$R$4,$C$2,$C50,0,0),0)</f>
        <v>8578543</v>
      </c>
      <c r="AH51" s="39">
        <f>-ROUND(IPMT($C$3,$S$4,$C$2,$C50,0,0),0)</f>
        <v>8339189</v>
      </c>
      <c r="AI51" s="39">
        <f>-ROUND(IPMT($C$3,$T$4,$C$2,$C50,0,0),0)</f>
        <v>8094809</v>
      </c>
      <c r="AJ51" s="39">
        <f>-ROUND(IPMT($C$3,$U$4,$C$2,$C50,0,0),0)</f>
        <v>7845297</v>
      </c>
      <c r="AK51" s="39">
        <f>-ROUND(IPMT($C$3,$V$4,$C$2,$C50,0,0),0)</f>
        <v>7590545</v>
      </c>
      <c r="AL51" s="39">
        <f>-ROUND(IPMT($C$3,$W$4,$C$2,$C50,0,0),0)</f>
        <v>7330443</v>
      </c>
      <c r="AM51" s="39">
        <f>-ROUND(IPMT($C$3,$X$4,$C$2,$C50,0,0),0)</f>
        <v>7064880</v>
      </c>
      <c r="AN51" s="39">
        <f>-ROUND(IPMT($C$3,$Y$4,$C$2,$C50,0,0),0)</f>
        <v>6793739</v>
      </c>
      <c r="AO51" s="39">
        <f>-ROUND(IPMT($C$3,$Z$4,$C$2,$C50,0,0),0)</f>
        <v>6516904</v>
      </c>
      <c r="AP51" s="39">
        <f>-ROUND(IPMT($C$3,$AA$4,$C$2,$C50,0,0),0)</f>
        <v>6234256</v>
      </c>
      <c r="AQ51" s="39">
        <f>-ROUND(IPMT($C$3,$AB$4,$C$2,$C50,0,0),0)</f>
        <v>5945673</v>
      </c>
      <c r="AR51" s="39">
        <f>-ROUND(IPMT($C$3,$AC$4,$C$2,$C50,0,0),0)</f>
        <v>5651029</v>
      </c>
      <c r="AS51" s="39">
        <f>-ROUND(IPMT($C$3,$AD$4,$C$2,$C50,0,0),0)</f>
        <v>5350197</v>
      </c>
      <c r="AT51" s="39">
        <f>-ROUND(IPMT($C$3,$AE$4,$C$2,$C50,0,0),0)</f>
        <v>5043048</v>
      </c>
      <c r="AU51" s="39">
        <f>-ROUND(IPMT($C$3,$AF$4,$C$2,$C50,0,0),0)</f>
        <v>4729449</v>
      </c>
      <c r="AV51" s="39">
        <f>-ROUND(IPMT($C$3,$AG$4,$C$2,$C50,0,0),0)</f>
        <v>4409265</v>
      </c>
      <c r="AW51" s="39">
        <f>-ROUND(IPMT($C$3,$AH$4,$C$2,$C50,0,0),0)</f>
        <v>4082356</v>
      </c>
      <c r="AX51" s="39">
        <f>-ROUND(IPMT($C$3,$AI$4,$C$2,$C50,0,0),0)</f>
        <v>3748582</v>
      </c>
      <c r="AY51" s="39">
        <f>-ROUND(IPMT($C$3,$AJ$4,$C$2,$C50,0,0),0)</f>
        <v>3407800</v>
      </c>
      <c r="AZ51" s="39">
        <f>-ROUND(IPMT($C$3,$AK$4,$C$2,$C50,0,0),0)</f>
        <v>3059860</v>
      </c>
      <c r="BA51" s="39">
        <f>-ROUND(IPMT($C$3,$AL$4,$C$2,$C50,0,0),0)</f>
        <v>2704614</v>
      </c>
      <c r="BB51" s="39">
        <f>-ROUND(IPMT($C$3,$AM$4,$C$2,$C50,0,0),0)</f>
        <v>2341908</v>
      </c>
    </row>
    <row r="52" spans="2:54">
      <c r="B52" s="3"/>
      <c r="C52" s="134"/>
      <c r="D52" s="39" t="s">
        <v>339</v>
      </c>
      <c r="E52" s="40"/>
      <c r="F52" s="40"/>
      <c r="G52" s="40"/>
      <c r="H52" s="40"/>
      <c r="I52" s="40"/>
      <c r="J52" s="40"/>
      <c r="K52" s="40"/>
      <c r="L52" s="40"/>
      <c r="M52" s="40"/>
      <c r="N52" s="40"/>
      <c r="O52" s="40"/>
      <c r="P52" s="40"/>
      <c r="Q52" s="40"/>
      <c r="R52" s="40"/>
      <c r="S52" s="64">
        <f>$C50</f>
        <v>537000000</v>
      </c>
      <c r="T52" s="39">
        <f>$C50-T50</f>
        <v>528300662</v>
      </c>
      <c r="U52" s="39">
        <f t="shared" ref="U52:BB52" si="17">T52-U50</f>
        <v>519418638</v>
      </c>
      <c r="V52" s="39">
        <f t="shared" si="17"/>
        <v>510350092</v>
      </c>
      <c r="W52" s="39">
        <f t="shared" si="17"/>
        <v>501091106</v>
      </c>
      <c r="X52" s="39">
        <f t="shared" si="17"/>
        <v>491637682</v>
      </c>
      <c r="Y52" s="39">
        <f t="shared" si="17"/>
        <v>481985736</v>
      </c>
      <c r="Z52" s="39">
        <f t="shared" si="17"/>
        <v>472131099</v>
      </c>
      <c r="AA52" s="39">
        <f t="shared" si="17"/>
        <v>462069514</v>
      </c>
      <c r="AB52" s="39">
        <f t="shared" si="17"/>
        <v>451796636</v>
      </c>
      <c r="AC52" s="39">
        <f t="shared" si="17"/>
        <v>441308028</v>
      </c>
      <c r="AD52" s="39">
        <f t="shared" si="17"/>
        <v>430599159</v>
      </c>
      <c r="AE52" s="39">
        <f t="shared" si="17"/>
        <v>419665404</v>
      </c>
      <c r="AF52" s="39">
        <f t="shared" si="17"/>
        <v>408502040</v>
      </c>
      <c r="AG52" s="39">
        <f t="shared" si="17"/>
        <v>397104245</v>
      </c>
      <c r="AH52" s="39">
        <f t="shared" si="17"/>
        <v>385467097</v>
      </c>
      <c r="AI52" s="39">
        <f t="shared" si="17"/>
        <v>373585568</v>
      </c>
      <c r="AJ52" s="39">
        <f t="shared" si="17"/>
        <v>361454527</v>
      </c>
      <c r="AK52" s="39">
        <f t="shared" si="17"/>
        <v>349068734</v>
      </c>
      <c r="AL52" s="39">
        <f t="shared" si="17"/>
        <v>336422840</v>
      </c>
      <c r="AM52" s="39">
        <f t="shared" si="17"/>
        <v>323511382</v>
      </c>
      <c r="AN52" s="39">
        <f t="shared" si="17"/>
        <v>310328783</v>
      </c>
      <c r="AO52" s="39">
        <f t="shared" si="17"/>
        <v>296869350</v>
      </c>
      <c r="AP52" s="39">
        <f t="shared" si="17"/>
        <v>283127269</v>
      </c>
      <c r="AQ52" s="39">
        <f t="shared" si="17"/>
        <v>269096604</v>
      </c>
      <c r="AR52" s="39">
        <f t="shared" si="17"/>
        <v>254771295</v>
      </c>
      <c r="AS52" s="39">
        <f t="shared" si="17"/>
        <v>240145155</v>
      </c>
      <c r="AT52" s="39">
        <f t="shared" si="17"/>
        <v>225211866</v>
      </c>
      <c r="AU52" s="39">
        <f t="shared" si="17"/>
        <v>209964978</v>
      </c>
      <c r="AV52" s="39">
        <f t="shared" si="17"/>
        <v>194397905</v>
      </c>
      <c r="AW52" s="39">
        <f t="shared" si="17"/>
        <v>178503923</v>
      </c>
      <c r="AX52" s="39">
        <f t="shared" si="17"/>
        <v>162276168</v>
      </c>
      <c r="AY52" s="39">
        <f t="shared" si="17"/>
        <v>145707630</v>
      </c>
      <c r="AZ52" s="39">
        <f t="shared" si="17"/>
        <v>128791153</v>
      </c>
      <c r="BA52" s="39">
        <f t="shared" si="17"/>
        <v>111519430</v>
      </c>
      <c r="BB52" s="39">
        <f t="shared" si="17"/>
        <v>93885000</v>
      </c>
    </row>
    <row r="53" spans="2:54">
      <c r="B53" s="2" t="s">
        <v>38</v>
      </c>
      <c r="C53" s="132">
        <f>【成行】財政シミュ!AI74</f>
        <v>537000000</v>
      </c>
      <c r="D53" s="39" t="s">
        <v>582</v>
      </c>
      <c r="E53" s="40"/>
      <c r="F53" s="40"/>
      <c r="G53" s="40"/>
      <c r="H53" s="40"/>
      <c r="I53" s="40"/>
      <c r="J53" s="40"/>
      <c r="K53" s="40"/>
      <c r="L53" s="40"/>
      <c r="M53" s="40"/>
      <c r="N53" s="40"/>
      <c r="O53" s="40"/>
      <c r="P53" s="40"/>
      <c r="Q53" s="40"/>
      <c r="R53" s="40"/>
      <c r="S53" s="40"/>
      <c r="T53" s="40"/>
      <c r="U53" s="39">
        <f>-ROUND(PPMT($C$3,$E$4,$C$2,$C53,0,0),0)</f>
        <v>8699338</v>
      </c>
      <c r="V53" s="39">
        <f>-ROUND(PPMT($C$3,$F$4,$C$2,$C53,0,0),0)</f>
        <v>8882024</v>
      </c>
      <c r="W53" s="39">
        <f>-ROUND(PPMT($C$3,$G$4,$C$2,$C53,0,0),0)</f>
        <v>9068546</v>
      </c>
      <c r="X53" s="39">
        <f>-ROUND(PPMT($C$3,$H$4,$C$2,$C53,0,0),0)</f>
        <v>9258986</v>
      </c>
      <c r="Y53" s="39">
        <f>-ROUND(PPMT($C$3,$I$4,$C$2,$C53,0,0),0)</f>
        <v>9453424</v>
      </c>
      <c r="Z53" s="39">
        <f>-ROUND(PPMT($C$3,$J$4,$C$2,$C53,0,0),0)</f>
        <v>9651946</v>
      </c>
      <c r="AA53" s="39">
        <f>-ROUND(PPMT($C$3,$K$4,$C$2,$C53,0,0),0)</f>
        <v>9854637</v>
      </c>
      <c r="AB53" s="39">
        <f>-ROUND(PPMT($C$3,$L$4,$C$2,$C53,0,0),0)</f>
        <v>10061585</v>
      </c>
      <c r="AC53" s="39">
        <f>-ROUND(PPMT($C$3,$M$4,$C$2,$C53,0,0),0)</f>
        <v>10272878</v>
      </c>
      <c r="AD53" s="39">
        <f>-ROUND(PPMT($C$3,$N$4,$C$2,$C53,0,0),0)</f>
        <v>10488608</v>
      </c>
      <c r="AE53" s="39">
        <f>-ROUND(PPMT($C$3,$O$4,$C$2,$C53,0,0),0)</f>
        <v>10708869</v>
      </c>
      <c r="AF53" s="39">
        <f>-ROUND(PPMT($C$3,$P$4,$C$2,$C53,0,0),0)</f>
        <v>10933755</v>
      </c>
      <c r="AG53" s="39">
        <f>-ROUND(PPMT($C$3,$Q$4,$C$2,$C53,0,0),0)</f>
        <v>11163364</v>
      </c>
      <c r="AH53" s="39">
        <f>-ROUND(PPMT($C$3,$R$4,$C$2,$C53,0,0),0)</f>
        <v>11397795</v>
      </c>
      <c r="AI53" s="39">
        <f>-ROUND(PPMT($C$3,$S$4,$C$2,$C53,0,0),0)</f>
        <v>11637148</v>
      </c>
      <c r="AJ53" s="39">
        <f>-ROUND(PPMT($C$3,$T$4,$C$2,$C53,0,0),0)</f>
        <v>11881529</v>
      </c>
      <c r="AK53" s="39">
        <f>-ROUND(PPMT($C$3,$U$4,$C$2,$C53,0,0),0)</f>
        <v>12131041</v>
      </c>
      <c r="AL53" s="39">
        <f>-ROUND(PPMT($C$3,$V$4,$C$2,$C53,0,0),0)</f>
        <v>12385793</v>
      </c>
      <c r="AM53" s="39">
        <f>-ROUND(PPMT($C$3,$W$4,$C$2,$C53,0,0),0)</f>
        <v>12645894</v>
      </c>
      <c r="AN53" s="39">
        <f>-ROUND(PPMT($C$3,$X$4,$C$2,$C53,0,0),0)</f>
        <v>12911458</v>
      </c>
      <c r="AO53" s="39">
        <f>-ROUND(PPMT($C$3,$Y$4,$C$2,$C53,0,0),0)</f>
        <v>13182599</v>
      </c>
      <c r="AP53" s="39">
        <f>-ROUND(PPMT($C$3,$Z$4,$C$2,$C53,0,0),0)</f>
        <v>13459433</v>
      </c>
      <c r="AQ53" s="39">
        <f>-ROUND(PPMT($C$3,$AA$4,$C$2,$C53,0,0),0)</f>
        <v>13742081</v>
      </c>
      <c r="AR53" s="39">
        <f>-ROUND(PPMT($C$3,$AB$4,$C$2,$C53,0,0),0)</f>
        <v>14030665</v>
      </c>
      <c r="AS53" s="39">
        <f>-ROUND(PPMT($C$3,$AC$4,$C$2,$C53,0,0),0)</f>
        <v>14325309</v>
      </c>
      <c r="AT53" s="39">
        <f>-ROUND(PPMT($C$3,$AD$4,$C$2,$C53,0,0),0)</f>
        <v>14626140</v>
      </c>
      <c r="AU53" s="39">
        <f>-ROUND(PPMT($C$3,$AE$4,$C$2,$C53,0,0),0)</f>
        <v>14933289</v>
      </c>
      <c r="AV53" s="39">
        <f>-ROUND(PPMT($C$3,$AF$4,$C$2,$C53,0,0),0)</f>
        <v>15246888</v>
      </c>
      <c r="AW53" s="39">
        <f>-ROUND(PPMT($C$3,$AG$4,$C$2,$C53,0,0),0)</f>
        <v>15567073</v>
      </c>
      <c r="AX53" s="39">
        <f>-ROUND(PPMT($C$3,$AH$4,$C$2,$C53,0,0),0)</f>
        <v>15893982</v>
      </c>
      <c r="AY53" s="39">
        <f>-ROUND(PPMT($C$3,$AI$4,$C$2,$C53,0,0),0)</f>
        <v>16227755</v>
      </c>
      <c r="AZ53" s="39">
        <f>-ROUND(PPMT($C$3,$AJ$4,$C$2,$C53,0,0),0)</f>
        <v>16568538</v>
      </c>
      <c r="BA53" s="39">
        <f>-ROUND(PPMT($C$3,$AK$4,$C$2,$C53,0,0),0)</f>
        <v>16916477</v>
      </c>
      <c r="BB53" s="39">
        <f>-ROUND(PPMT($C$3,$AL$4,$C$2,$C53,0,0),0)</f>
        <v>17271723</v>
      </c>
    </row>
    <row r="54" spans="2:54">
      <c r="B54" s="4"/>
      <c r="C54" s="133"/>
      <c r="D54" s="39" t="s">
        <v>583</v>
      </c>
      <c r="E54" s="40"/>
      <c r="F54" s="40"/>
      <c r="G54" s="40"/>
      <c r="H54" s="40"/>
      <c r="I54" s="40"/>
      <c r="J54" s="40"/>
      <c r="K54" s="40"/>
      <c r="L54" s="40"/>
      <c r="M54" s="40"/>
      <c r="N54" s="40"/>
      <c r="O54" s="40"/>
      <c r="P54" s="40"/>
      <c r="Q54" s="40"/>
      <c r="R54" s="40"/>
      <c r="S54" s="40"/>
      <c r="T54" s="40"/>
      <c r="U54" s="39">
        <f>-ROUND(IPMT($C$3,$E$4,$C$2,$C53,0,0),0)</f>
        <v>11277000</v>
      </c>
      <c r="V54" s="39">
        <f>-ROUND(IPMT($C$3,$F$4,$C$2,$C53,0,0),0)</f>
        <v>11094314</v>
      </c>
      <c r="W54" s="39">
        <f>-ROUND(IPMT($C$3,$G$4,$C$2,$C53,0,0),0)</f>
        <v>10907791</v>
      </c>
      <c r="X54" s="39">
        <f>-ROUND(IPMT($C$3,$H$4,$C$2,$C53,0,0),0)</f>
        <v>10717352</v>
      </c>
      <c r="Y54" s="39">
        <f>-ROUND(IPMT($C$3,$I$4,$C$2,$C53,0,0),0)</f>
        <v>10522913</v>
      </c>
      <c r="Z54" s="39">
        <f>-ROUND(IPMT($C$3,$J$4,$C$2,$C53,0,0),0)</f>
        <v>10324391</v>
      </c>
      <c r="AA54" s="39">
        <f>-ROUND(IPMT($C$3,$K$4,$C$2,$C53,0,0),0)</f>
        <v>10121700</v>
      </c>
      <c r="AB54" s="39">
        <f>-ROUND(IPMT($C$3,$L$4,$C$2,$C53,0,0),0)</f>
        <v>9914753</v>
      </c>
      <c r="AC54" s="39">
        <f>-ROUND(IPMT($C$3,$M$4,$C$2,$C53,0,0),0)</f>
        <v>9703460</v>
      </c>
      <c r="AD54" s="39">
        <f>-ROUND(IPMT($C$3,$N$4,$C$2,$C53,0,0),0)</f>
        <v>9487729</v>
      </c>
      <c r="AE54" s="39">
        <f>-ROUND(IPMT($C$3,$O$4,$C$2,$C53,0,0),0)</f>
        <v>9267469</v>
      </c>
      <c r="AF54" s="39">
        <f>-ROUND(IPMT($C$3,$P$4,$C$2,$C53,0,0),0)</f>
        <v>9042582</v>
      </c>
      <c r="AG54" s="39">
        <f>-ROUND(IPMT($C$3,$Q$4,$C$2,$C53,0,0),0)</f>
        <v>8812973</v>
      </c>
      <c r="AH54" s="39">
        <f>-ROUND(IPMT($C$3,$R$4,$C$2,$C53,0,0),0)</f>
        <v>8578543</v>
      </c>
      <c r="AI54" s="39">
        <f>-ROUND(IPMT($C$3,$S$4,$C$2,$C53,0,0),0)</f>
        <v>8339189</v>
      </c>
      <c r="AJ54" s="39">
        <f>-ROUND(IPMT($C$3,$T$4,$C$2,$C53,0,0),0)</f>
        <v>8094809</v>
      </c>
      <c r="AK54" s="39">
        <f>-ROUND(IPMT($C$3,$U$4,$C$2,$C53,0,0),0)</f>
        <v>7845297</v>
      </c>
      <c r="AL54" s="39">
        <f>-ROUND(IPMT($C$3,$V$4,$C$2,$C53,0,0),0)</f>
        <v>7590545</v>
      </c>
      <c r="AM54" s="39">
        <f>-ROUND(IPMT($C$3,$W$4,$C$2,$C53,0,0),0)</f>
        <v>7330443</v>
      </c>
      <c r="AN54" s="39">
        <f>-ROUND(IPMT($C$3,$X$4,$C$2,$C53,0,0),0)</f>
        <v>7064880</v>
      </c>
      <c r="AO54" s="39">
        <f>-ROUND(IPMT($C$3,$Y$4,$C$2,$C53,0,0),0)</f>
        <v>6793739</v>
      </c>
      <c r="AP54" s="39">
        <f>-ROUND(IPMT($C$3,$Z$4,$C$2,$C53,0,0),0)</f>
        <v>6516904</v>
      </c>
      <c r="AQ54" s="39">
        <f>-ROUND(IPMT($C$3,$AA$4,$C$2,$C53,0,0),0)</f>
        <v>6234256</v>
      </c>
      <c r="AR54" s="39">
        <f>-ROUND(IPMT($C$3,$AB$4,$C$2,$C53,0,0),0)</f>
        <v>5945673</v>
      </c>
      <c r="AS54" s="39">
        <f>-ROUND(IPMT($C$3,$AC$4,$C$2,$C53,0,0),0)</f>
        <v>5651029</v>
      </c>
      <c r="AT54" s="39">
        <f>-ROUND(IPMT($C$3,$AD$4,$C$2,$C53,0,0),0)</f>
        <v>5350197</v>
      </c>
      <c r="AU54" s="39">
        <f>-ROUND(IPMT($C$3,$AE$4,$C$2,$C53,0,0),0)</f>
        <v>5043048</v>
      </c>
      <c r="AV54" s="39">
        <f>-ROUND(IPMT($C$3,$AF$4,$C$2,$C53,0,0),0)</f>
        <v>4729449</v>
      </c>
      <c r="AW54" s="39">
        <f>-ROUND(IPMT($C$3,$AG$4,$C$2,$C53,0,0),0)</f>
        <v>4409265</v>
      </c>
      <c r="AX54" s="39">
        <f>-ROUND(IPMT($C$3,$AH$4,$C$2,$C53,0,0),0)</f>
        <v>4082356</v>
      </c>
      <c r="AY54" s="39">
        <f>-ROUND(IPMT($C$3,$AI$4,$C$2,$C53,0,0),0)</f>
        <v>3748582</v>
      </c>
      <c r="AZ54" s="39">
        <f>-ROUND(IPMT($C$3,$AJ$4,$C$2,$C53,0,0),0)</f>
        <v>3407800</v>
      </c>
      <c r="BA54" s="39">
        <f>-ROUND(IPMT($C$3,$AK$4,$C$2,$C53,0,0),0)</f>
        <v>3059860</v>
      </c>
      <c r="BB54" s="39">
        <f>-ROUND(IPMT($C$3,$AL$4,$C$2,$C53,0,0),0)</f>
        <v>2704614</v>
      </c>
    </row>
    <row r="55" spans="2:54">
      <c r="B55" s="3"/>
      <c r="C55" s="134"/>
      <c r="D55" s="39" t="s">
        <v>339</v>
      </c>
      <c r="E55" s="40"/>
      <c r="F55" s="40"/>
      <c r="G55" s="40"/>
      <c r="H55" s="40"/>
      <c r="I55" s="40"/>
      <c r="J55" s="40"/>
      <c r="K55" s="40"/>
      <c r="L55" s="40"/>
      <c r="M55" s="40"/>
      <c r="N55" s="40"/>
      <c r="O55" s="40"/>
      <c r="P55" s="40"/>
      <c r="Q55" s="40"/>
      <c r="R55" s="40"/>
      <c r="S55" s="40"/>
      <c r="T55" s="64">
        <f>$C53</f>
        <v>537000000</v>
      </c>
      <c r="U55" s="39">
        <f>$C53-U53</f>
        <v>528300662</v>
      </c>
      <c r="V55" s="39">
        <f t="shared" ref="V55:BB55" si="18">U55-V53</f>
        <v>519418638</v>
      </c>
      <c r="W55" s="39">
        <f t="shared" si="18"/>
        <v>510350092</v>
      </c>
      <c r="X55" s="39">
        <f t="shared" si="18"/>
        <v>501091106</v>
      </c>
      <c r="Y55" s="39">
        <f t="shared" si="18"/>
        <v>491637682</v>
      </c>
      <c r="Z55" s="39">
        <f t="shared" si="18"/>
        <v>481985736</v>
      </c>
      <c r="AA55" s="39">
        <f t="shared" si="18"/>
        <v>472131099</v>
      </c>
      <c r="AB55" s="39">
        <f t="shared" si="18"/>
        <v>462069514</v>
      </c>
      <c r="AC55" s="39">
        <f t="shared" si="18"/>
        <v>451796636</v>
      </c>
      <c r="AD55" s="39">
        <f t="shared" si="18"/>
        <v>441308028</v>
      </c>
      <c r="AE55" s="39">
        <f t="shared" si="18"/>
        <v>430599159</v>
      </c>
      <c r="AF55" s="39">
        <f t="shared" si="18"/>
        <v>419665404</v>
      </c>
      <c r="AG55" s="39">
        <f t="shared" si="18"/>
        <v>408502040</v>
      </c>
      <c r="AH55" s="39">
        <f t="shared" si="18"/>
        <v>397104245</v>
      </c>
      <c r="AI55" s="39">
        <f t="shared" si="18"/>
        <v>385467097</v>
      </c>
      <c r="AJ55" s="39">
        <f t="shared" si="18"/>
        <v>373585568</v>
      </c>
      <c r="AK55" s="39">
        <f t="shared" si="18"/>
        <v>361454527</v>
      </c>
      <c r="AL55" s="39">
        <f t="shared" si="18"/>
        <v>349068734</v>
      </c>
      <c r="AM55" s="39">
        <f t="shared" si="18"/>
        <v>336422840</v>
      </c>
      <c r="AN55" s="39">
        <f t="shared" si="18"/>
        <v>323511382</v>
      </c>
      <c r="AO55" s="39">
        <f t="shared" si="18"/>
        <v>310328783</v>
      </c>
      <c r="AP55" s="39">
        <f t="shared" si="18"/>
        <v>296869350</v>
      </c>
      <c r="AQ55" s="39">
        <f t="shared" si="18"/>
        <v>283127269</v>
      </c>
      <c r="AR55" s="39">
        <f t="shared" si="18"/>
        <v>269096604</v>
      </c>
      <c r="AS55" s="39">
        <f t="shared" si="18"/>
        <v>254771295</v>
      </c>
      <c r="AT55" s="39">
        <f t="shared" si="18"/>
        <v>240145155</v>
      </c>
      <c r="AU55" s="39">
        <f t="shared" si="18"/>
        <v>225211866</v>
      </c>
      <c r="AV55" s="39">
        <f t="shared" si="18"/>
        <v>209964978</v>
      </c>
      <c r="AW55" s="39">
        <f t="shared" si="18"/>
        <v>194397905</v>
      </c>
      <c r="AX55" s="39">
        <f t="shared" si="18"/>
        <v>178503923</v>
      </c>
      <c r="AY55" s="39">
        <f t="shared" si="18"/>
        <v>162276168</v>
      </c>
      <c r="AZ55" s="39">
        <f t="shared" si="18"/>
        <v>145707630</v>
      </c>
      <c r="BA55" s="39">
        <f t="shared" si="18"/>
        <v>128791153</v>
      </c>
      <c r="BB55" s="39">
        <f t="shared" si="18"/>
        <v>111519430</v>
      </c>
    </row>
    <row r="56" spans="2:54">
      <c r="B56" s="2" t="s">
        <v>39</v>
      </c>
      <c r="C56" s="132">
        <f>【成行】財政シミュ!AJ74</f>
        <v>537000000</v>
      </c>
      <c r="D56" s="39" t="s">
        <v>582</v>
      </c>
      <c r="E56" s="40"/>
      <c r="F56" s="40"/>
      <c r="G56" s="40"/>
      <c r="H56" s="40"/>
      <c r="I56" s="40"/>
      <c r="J56" s="40"/>
      <c r="K56" s="40"/>
      <c r="L56" s="40"/>
      <c r="M56" s="40"/>
      <c r="N56" s="40"/>
      <c r="O56" s="40"/>
      <c r="P56" s="40"/>
      <c r="Q56" s="40"/>
      <c r="R56" s="40"/>
      <c r="S56" s="40"/>
      <c r="T56" s="40"/>
      <c r="U56" s="40"/>
      <c r="V56" s="39">
        <f>-ROUND(PPMT($C$3,$E$4,$C$2,$C56,0,0),0)</f>
        <v>8699338</v>
      </c>
      <c r="W56" s="39">
        <f>-ROUND(PPMT($C$3,$F$4,$C$2,$C56,0,0),0)</f>
        <v>8882024</v>
      </c>
      <c r="X56" s="39">
        <f>-ROUND(PPMT($C$3,$G$4,$C$2,$C56,0,0),0)</f>
        <v>9068546</v>
      </c>
      <c r="Y56" s="39">
        <f>-ROUND(PPMT($C$3,$H$4,$C$2,$C56,0,0),0)</f>
        <v>9258986</v>
      </c>
      <c r="Z56" s="39">
        <f>-ROUND(PPMT($C$3,$I$4,$C$2,$C56,0,0),0)</f>
        <v>9453424</v>
      </c>
      <c r="AA56" s="39">
        <f>-ROUND(PPMT($C$3,$J$4,$C$2,$C56,0,0),0)</f>
        <v>9651946</v>
      </c>
      <c r="AB56" s="39">
        <f>-ROUND(PPMT($C$3,$K$4,$C$2,$C56,0,0),0)</f>
        <v>9854637</v>
      </c>
      <c r="AC56" s="39">
        <f>-ROUND(PPMT($C$3,$L$4,$C$2,$C56,0,0),0)</f>
        <v>10061585</v>
      </c>
      <c r="AD56" s="39">
        <f>-ROUND(PPMT($C$3,$M$4,$C$2,$C56,0,0),0)</f>
        <v>10272878</v>
      </c>
      <c r="AE56" s="39">
        <f>-ROUND(PPMT($C$3,$N$4,$C$2,$C56,0,0),0)</f>
        <v>10488608</v>
      </c>
      <c r="AF56" s="39">
        <f>-ROUND(PPMT($C$3,$O$4,$C$2,$C56,0,0),0)</f>
        <v>10708869</v>
      </c>
      <c r="AG56" s="39">
        <f>-ROUND(PPMT($C$3,$P$4,$C$2,$C56,0,0),0)</f>
        <v>10933755</v>
      </c>
      <c r="AH56" s="39">
        <f>-ROUND(PPMT($C$3,$Q$4,$C$2,$C56,0,0),0)</f>
        <v>11163364</v>
      </c>
      <c r="AI56" s="39">
        <f>-ROUND(PPMT($C$3,$R$4,$C$2,$C56,0,0),0)</f>
        <v>11397795</v>
      </c>
      <c r="AJ56" s="39">
        <f>-ROUND(PPMT($C$3,$S$4,$C$2,$C56,0,0),0)</f>
        <v>11637148</v>
      </c>
      <c r="AK56" s="39">
        <f>-ROUND(PPMT($C$3,$T$4,$C$2,$C56,0,0),0)</f>
        <v>11881529</v>
      </c>
      <c r="AL56" s="39">
        <f>-ROUND(PPMT($C$3,$U$4,$C$2,$C56,0,0),0)</f>
        <v>12131041</v>
      </c>
      <c r="AM56" s="39">
        <f>-ROUND(PPMT($C$3,$V$4,$C$2,$C56,0,0),0)</f>
        <v>12385793</v>
      </c>
      <c r="AN56" s="39">
        <f>-ROUND(PPMT($C$3,$W$4,$C$2,$C56,0,0),0)</f>
        <v>12645894</v>
      </c>
      <c r="AO56" s="39">
        <f>-ROUND(PPMT($C$3,$X$4,$C$2,$C56,0,0),0)</f>
        <v>12911458</v>
      </c>
      <c r="AP56" s="39">
        <f>-ROUND(PPMT($C$3,$Y$4,$C$2,$C56,0,0),0)</f>
        <v>13182599</v>
      </c>
      <c r="AQ56" s="39">
        <f>-ROUND(PPMT($C$3,$Z$4,$C$2,$C56,0,0),0)</f>
        <v>13459433</v>
      </c>
      <c r="AR56" s="39">
        <f>-ROUND(PPMT($C$3,$AA$4,$C$2,$C56,0,0),0)</f>
        <v>13742081</v>
      </c>
      <c r="AS56" s="39">
        <f>-ROUND(PPMT($C$3,$AB$4,$C$2,$C56,0,0),0)</f>
        <v>14030665</v>
      </c>
      <c r="AT56" s="39">
        <f>-ROUND(PPMT($C$3,$AC$4,$C$2,$C56,0,0),0)</f>
        <v>14325309</v>
      </c>
      <c r="AU56" s="39">
        <f>-ROUND(PPMT($C$3,$AD$4,$C$2,$C56,0,0),0)</f>
        <v>14626140</v>
      </c>
      <c r="AV56" s="39">
        <f>-ROUND(PPMT($C$3,$AE$4,$C$2,$C56,0,0),0)</f>
        <v>14933289</v>
      </c>
      <c r="AW56" s="39">
        <f>-ROUND(PPMT($C$3,$AF$4,$C$2,$C56,0,0),0)</f>
        <v>15246888</v>
      </c>
      <c r="AX56" s="39">
        <f>-ROUND(PPMT($C$3,$AG$4,$C$2,$C56,0,0),0)</f>
        <v>15567073</v>
      </c>
      <c r="AY56" s="39">
        <f>-ROUND(PPMT($C$3,$AH$4,$C$2,$C56,0,0),0)</f>
        <v>15893982</v>
      </c>
      <c r="AZ56" s="39">
        <f>-ROUND(PPMT($C$3,$AI$4,$C$2,$C56,0,0),0)</f>
        <v>16227755</v>
      </c>
      <c r="BA56" s="39">
        <f>-ROUND(PPMT($C$3,$AJ$4,$C$2,$C56,0,0),0)</f>
        <v>16568538</v>
      </c>
      <c r="BB56" s="39">
        <f>-ROUND(PPMT($C$3,$AK$4,$C$2,$C56,0,0),0)</f>
        <v>16916477</v>
      </c>
    </row>
    <row r="57" spans="2:54">
      <c r="B57" s="4"/>
      <c r="C57" s="133"/>
      <c r="D57" s="39" t="s">
        <v>583</v>
      </c>
      <c r="E57" s="40"/>
      <c r="F57" s="40"/>
      <c r="G57" s="40"/>
      <c r="H57" s="40"/>
      <c r="I57" s="40"/>
      <c r="J57" s="40"/>
      <c r="K57" s="40"/>
      <c r="L57" s="40"/>
      <c r="M57" s="40"/>
      <c r="N57" s="40"/>
      <c r="O57" s="40"/>
      <c r="P57" s="40"/>
      <c r="Q57" s="40"/>
      <c r="R57" s="40"/>
      <c r="S57" s="40"/>
      <c r="T57" s="40"/>
      <c r="U57" s="40"/>
      <c r="V57" s="39">
        <f>-ROUND(IPMT($C$3,$E$4,$C$2,$C56,0,0),0)</f>
        <v>11277000</v>
      </c>
      <c r="W57" s="39">
        <f>-ROUND(IPMT($C$3,$F$4,$C$2,$C56,0,0),0)</f>
        <v>11094314</v>
      </c>
      <c r="X57" s="39">
        <f>-ROUND(IPMT($C$3,$G$4,$C$2,$C56,0,0),0)</f>
        <v>10907791</v>
      </c>
      <c r="Y57" s="39">
        <f>-ROUND(IPMT($C$3,$H$4,$C$2,$C56,0,0),0)</f>
        <v>10717352</v>
      </c>
      <c r="Z57" s="39">
        <f>-ROUND(IPMT($C$3,$I$4,$C$2,$C56,0,0),0)</f>
        <v>10522913</v>
      </c>
      <c r="AA57" s="39">
        <f>-ROUND(IPMT($C$3,$J$4,$C$2,$C56,0,0),0)</f>
        <v>10324391</v>
      </c>
      <c r="AB57" s="39">
        <f>-ROUND(IPMT($C$3,$K$4,$C$2,$C56,0,0),0)</f>
        <v>10121700</v>
      </c>
      <c r="AC57" s="39">
        <f>-ROUND(IPMT($C$3,$L$4,$C$2,$C56,0,0),0)</f>
        <v>9914753</v>
      </c>
      <c r="AD57" s="39">
        <f>-ROUND(IPMT($C$3,$M$4,$C$2,$C56,0,0),0)</f>
        <v>9703460</v>
      </c>
      <c r="AE57" s="39">
        <f>-ROUND(IPMT($C$3,$N$4,$C$2,$C56,0,0),0)</f>
        <v>9487729</v>
      </c>
      <c r="AF57" s="39">
        <f>-ROUND(IPMT($C$3,$O$4,$C$2,$C56,0,0),0)</f>
        <v>9267469</v>
      </c>
      <c r="AG57" s="39">
        <f>-ROUND(IPMT($C$3,$P$4,$C$2,$C56,0,0),0)</f>
        <v>9042582</v>
      </c>
      <c r="AH57" s="39">
        <f>-ROUND(IPMT($C$3,$Q$4,$C$2,$C56,0,0),0)</f>
        <v>8812973</v>
      </c>
      <c r="AI57" s="39">
        <f>-ROUND(IPMT($C$3,$R$4,$C$2,$C56,0,0),0)</f>
        <v>8578543</v>
      </c>
      <c r="AJ57" s="39">
        <f>-ROUND(IPMT($C$3,$S$4,$C$2,$C56,0,0),0)</f>
        <v>8339189</v>
      </c>
      <c r="AK57" s="39">
        <f>-ROUND(IPMT($C$3,$T$4,$C$2,$C56,0,0),0)</f>
        <v>8094809</v>
      </c>
      <c r="AL57" s="39">
        <f>-ROUND(IPMT($C$3,$U$4,$C$2,$C56,0,0),0)</f>
        <v>7845297</v>
      </c>
      <c r="AM57" s="39">
        <f>-ROUND(IPMT($C$3,$V$4,$C$2,$C56,0,0),0)</f>
        <v>7590545</v>
      </c>
      <c r="AN57" s="39">
        <f>-ROUND(IPMT($C$3,$W$4,$C$2,$C56,0,0),0)</f>
        <v>7330443</v>
      </c>
      <c r="AO57" s="39">
        <f>-ROUND(IPMT($C$3,$X$4,$C$2,$C56,0,0),0)</f>
        <v>7064880</v>
      </c>
      <c r="AP57" s="39">
        <f>-ROUND(IPMT($C$3,$Y$4,$C$2,$C56,0,0),0)</f>
        <v>6793739</v>
      </c>
      <c r="AQ57" s="39">
        <f>-ROUND(IPMT($C$3,$Z$4,$C$2,$C56,0,0),0)</f>
        <v>6516904</v>
      </c>
      <c r="AR57" s="39">
        <f>-ROUND(IPMT($C$3,$AA$4,$C$2,$C56,0,0),0)</f>
        <v>6234256</v>
      </c>
      <c r="AS57" s="39">
        <f>-ROUND(IPMT($C$3,$AB$4,$C$2,$C56,0,0),0)</f>
        <v>5945673</v>
      </c>
      <c r="AT57" s="39">
        <f>-ROUND(IPMT($C$3,$AC$4,$C$2,$C56,0,0),0)</f>
        <v>5651029</v>
      </c>
      <c r="AU57" s="39">
        <f>-ROUND(IPMT($C$3,$AD$4,$C$2,$C56,0,0),0)</f>
        <v>5350197</v>
      </c>
      <c r="AV57" s="39">
        <f>-ROUND(IPMT($C$3,$AE$4,$C$2,$C56,0,0),0)</f>
        <v>5043048</v>
      </c>
      <c r="AW57" s="39">
        <f>-ROUND(IPMT($C$3,$AF$4,$C$2,$C56,0,0),0)</f>
        <v>4729449</v>
      </c>
      <c r="AX57" s="39">
        <f>-ROUND(IPMT($C$3,$AG$4,$C$2,$C56,0,0),0)</f>
        <v>4409265</v>
      </c>
      <c r="AY57" s="39">
        <f>-ROUND(IPMT($C$3,$AH$4,$C$2,$C56,0,0),0)</f>
        <v>4082356</v>
      </c>
      <c r="AZ57" s="39">
        <f>-ROUND(IPMT($C$3,$AI$4,$C$2,$C56,0,0),0)</f>
        <v>3748582</v>
      </c>
      <c r="BA57" s="39">
        <f>-ROUND(IPMT($C$3,$AJ$4,$C$2,$C56,0,0),0)</f>
        <v>3407800</v>
      </c>
      <c r="BB57" s="39">
        <f>-ROUND(IPMT($C$3,$AK$4,$C$2,$C56,0,0),0)</f>
        <v>3059860</v>
      </c>
    </row>
    <row r="58" spans="2:54">
      <c r="B58" s="3"/>
      <c r="C58" s="134"/>
      <c r="D58" s="39" t="s">
        <v>339</v>
      </c>
      <c r="E58" s="40"/>
      <c r="F58" s="40"/>
      <c r="G58" s="40"/>
      <c r="H58" s="40"/>
      <c r="I58" s="40"/>
      <c r="J58" s="40"/>
      <c r="K58" s="40"/>
      <c r="L58" s="40"/>
      <c r="M58" s="40"/>
      <c r="N58" s="40"/>
      <c r="O58" s="40"/>
      <c r="P58" s="40"/>
      <c r="Q58" s="40"/>
      <c r="R58" s="40"/>
      <c r="S58" s="40"/>
      <c r="T58" s="40"/>
      <c r="U58" s="64">
        <f>$C56</f>
        <v>537000000</v>
      </c>
      <c r="V58" s="39">
        <f>$C56-V56</f>
        <v>528300662</v>
      </c>
      <c r="W58" s="39">
        <f t="shared" ref="W58:BB58" si="19">V58-W56</f>
        <v>519418638</v>
      </c>
      <c r="X58" s="39">
        <f t="shared" si="19"/>
        <v>510350092</v>
      </c>
      <c r="Y58" s="39">
        <f t="shared" si="19"/>
        <v>501091106</v>
      </c>
      <c r="Z58" s="39">
        <f t="shared" si="19"/>
        <v>491637682</v>
      </c>
      <c r="AA58" s="39">
        <f t="shared" si="19"/>
        <v>481985736</v>
      </c>
      <c r="AB58" s="39">
        <f t="shared" si="19"/>
        <v>472131099</v>
      </c>
      <c r="AC58" s="39">
        <f t="shared" si="19"/>
        <v>462069514</v>
      </c>
      <c r="AD58" s="39">
        <f t="shared" si="19"/>
        <v>451796636</v>
      </c>
      <c r="AE58" s="39">
        <f t="shared" si="19"/>
        <v>441308028</v>
      </c>
      <c r="AF58" s="39">
        <f t="shared" si="19"/>
        <v>430599159</v>
      </c>
      <c r="AG58" s="39">
        <f t="shared" si="19"/>
        <v>419665404</v>
      </c>
      <c r="AH58" s="39">
        <f t="shared" si="19"/>
        <v>408502040</v>
      </c>
      <c r="AI58" s="39">
        <f t="shared" si="19"/>
        <v>397104245</v>
      </c>
      <c r="AJ58" s="39">
        <f t="shared" si="19"/>
        <v>385467097</v>
      </c>
      <c r="AK58" s="39">
        <f t="shared" si="19"/>
        <v>373585568</v>
      </c>
      <c r="AL58" s="39">
        <f t="shared" si="19"/>
        <v>361454527</v>
      </c>
      <c r="AM58" s="39">
        <f t="shared" si="19"/>
        <v>349068734</v>
      </c>
      <c r="AN58" s="39">
        <f t="shared" si="19"/>
        <v>336422840</v>
      </c>
      <c r="AO58" s="39">
        <f t="shared" si="19"/>
        <v>323511382</v>
      </c>
      <c r="AP58" s="39">
        <f t="shared" si="19"/>
        <v>310328783</v>
      </c>
      <c r="AQ58" s="39">
        <f t="shared" si="19"/>
        <v>296869350</v>
      </c>
      <c r="AR58" s="39">
        <f t="shared" si="19"/>
        <v>283127269</v>
      </c>
      <c r="AS58" s="39">
        <f t="shared" si="19"/>
        <v>269096604</v>
      </c>
      <c r="AT58" s="39">
        <f t="shared" si="19"/>
        <v>254771295</v>
      </c>
      <c r="AU58" s="39">
        <f t="shared" si="19"/>
        <v>240145155</v>
      </c>
      <c r="AV58" s="39">
        <f t="shared" si="19"/>
        <v>225211866</v>
      </c>
      <c r="AW58" s="39">
        <f t="shared" si="19"/>
        <v>209964978</v>
      </c>
      <c r="AX58" s="39">
        <f t="shared" si="19"/>
        <v>194397905</v>
      </c>
      <c r="AY58" s="39">
        <f t="shared" si="19"/>
        <v>178503923</v>
      </c>
      <c r="AZ58" s="39">
        <f t="shared" si="19"/>
        <v>162276168</v>
      </c>
      <c r="BA58" s="39">
        <f t="shared" si="19"/>
        <v>145707630</v>
      </c>
      <c r="BB58" s="39">
        <f t="shared" si="19"/>
        <v>128791153</v>
      </c>
    </row>
    <row r="59" spans="2:54">
      <c r="B59" s="2" t="s">
        <v>40</v>
      </c>
      <c r="C59" s="132">
        <f>【成行】財政シミュ!AK74</f>
        <v>567000000</v>
      </c>
      <c r="D59" s="39" t="s">
        <v>582</v>
      </c>
      <c r="E59" s="40"/>
      <c r="F59" s="40"/>
      <c r="G59" s="40"/>
      <c r="H59" s="40"/>
      <c r="I59" s="40"/>
      <c r="J59" s="40"/>
      <c r="K59" s="40"/>
      <c r="L59" s="40"/>
      <c r="M59" s="40"/>
      <c r="N59" s="40"/>
      <c r="O59" s="40"/>
      <c r="P59" s="40"/>
      <c r="Q59" s="40"/>
      <c r="R59" s="40"/>
      <c r="S59" s="40"/>
      <c r="T59" s="40"/>
      <c r="U59" s="40"/>
      <c r="V59" s="40"/>
      <c r="W59" s="39">
        <f>-ROUND(PPMT($C$3,$E$4,$C$2,$C59,0,0),0)</f>
        <v>9185334</v>
      </c>
      <c r="X59" s="39">
        <f>-ROUND(PPMT($C$3,$F$4,$C$2,$C59,0,0),0)</f>
        <v>9378226</v>
      </c>
      <c r="Y59" s="39">
        <f>-ROUND(PPMT($C$3,$G$4,$C$2,$C59,0,0),0)</f>
        <v>9575169</v>
      </c>
      <c r="Z59" s="39">
        <f>-ROUND(PPMT($C$3,$H$4,$C$2,$C59,0,0),0)</f>
        <v>9776247</v>
      </c>
      <c r="AA59" s="39">
        <f>-ROUND(PPMT($C$3,$I$4,$C$2,$C59,0,0),0)</f>
        <v>9981549</v>
      </c>
      <c r="AB59" s="39">
        <f>-ROUND(PPMT($C$3,$J$4,$C$2,$C59,0,0),0)</f>
        <v>10191161</v>
      </c>
      <c r="AC59" s="39">
        <f>-ROUND(PPMT($C$3,$K$4,$C$2,$C59,0,0),0)</f>
        <v>10405176</v>
      </c>
      <c r="AD59" s="39">
        <f>-ROUND(PPMT($C$3,$L$4,$C$2,$C59,0,0),0)</f>
        <v>10623684</v>
      </c>
      <c r="AE59" s="39">
        <f>-ROUND(PPMT($C$3,$M$4,$C$2,$C59,0,0),0)</f>
        <v>10846782</v>
      </c>
      <c r="AF59" s="39">
        <f>-ROUND(PPMT($C$3,$N$4,$C$2,$C59,0,0),0)</f>
        <v>11074564</v>
      </c>
      <c r="AG59" s="39">
        <f>-ROUND(PPMT($C$3,$O$4,$C$2,$C59,0,0),0)</f>
        <v>11307130</v>
      </c>
      <c r="AH59" s="39">
        <f>-ROUND(PPMT($C$3,$P$4,$C$2,$C59,0,0),0)</f>
        <v>11544580</v>
      </c>
      <c r="AI59" s="39">
        <f>-ROUND(PPMT($C$3,$Q$4,$C$2,$C59,0,0),0)</f>
        <v>11787016</v>
      </c>
      <c r="AJ59" s="39">
        <f>-ROUND(PPMT($C$3,$R$4,$C$2,$C59,0,0),0)</f>
        <v>12034543</v>
      </c>
      <c r="AK59" s="39">
        <f>-ROUND(PPMT($C$3,$S$4,$C$2,$C59,0,0),0)</f>
        <v>12287268</v>
      </c>
      <c r="AL59" s="39">
        <f>-ROUND(PPMT($C$3,$T$4,$C$2,$C59,0,0),0)</f>
        <v>12545301</v>
      </c>
      <c r="AM59" s="39">
        <f>-ROUND(PPMT($C$3,$U$4,$C$2,$C59,0,0),0)</f>
        <v>12808752</v>
      </c>
      <c r="AN59" s="39">
        <f>-ROUND(PPMT($C$3,$V$4,$C$2,$C59,0,0),0)</f>
        <v>13077736</v>
      </c>
      <c r="AO59" s="39">
        <f>-ROUND(PPMT($C$3,$W$4,$C$2,$C59,0,0),0)</f>
        <v>13352369</v>
      </c>
      <c r="AP59" s="39">
        <f>-ROUND(PPMT($C$3,$X$4,$C$2,$C59,0,0),0)</f>
        <v>13632768</v>
      </c>
      <c r="AQ59" s="39">
        <f>-ROUND(PPMT($C$3,$Y$4,$C$2,$C59,0,0),0)</f>
        <v>13919057</v>
      </c>
      <c r="AR59" s="39">
        <f>-ROUND(PPMT($C$3,$Z$4,$C$2,$C59,0,0),0)</f>
        <v>14211357</v>
      </c>
      <c r="AS59" s="39">
        <f>-ROUND(PPMT($C$3,$AA$4,$C$2,$C59,0,0),0)</f>
        <v>14509795</v>
      </c>
      <c r="AT59" s="39">
        <f>-ROUND(PPMT($C$3,$AB$4,$C$2,$C59,0,0),0)</f>
        <v>14814501</v>
      </c>
      <c r="AU59" s="39">
        <f>-ROUND(PPMT($C$3,$AC$4,$C$2,$C59,0,0),0)</f>
        <v>15125605</v>
      </c>
      <c r="AV59" s="39">
        <f>-ROUND(PPMT($C$3,$AD$4,$C$2,$C59,0,0),0)</f>
        <v>15443243</v>
      </c>
      <c r="AW59" s="39">
        <f>-ROUND(PPMT($C$3,$AE$4,$C$2,$C59,0,0),0)</f>
        <v>15767551</v>
      </c>
      <c r="AX59" s="39">
        <f>-ROUND(PPMT($C$3,$AF$4,$C$2,$C59,0,0),0)</f>
        <v>16098670</v>
      </c>
      <c r="AY59" s="39">
        <f>-ROUND(PPMT($C$3,$AG$4,$C$2,$C59,0,0),0)</f>
        <v>16436742</v>
      </c>
      <c r="AZ59" s="39">
        <f>-ROUND(PPMT($C$3,$AH$4,$C$2,$C59,0,0),0)</f>
        <v>16781914</v>
      </c>
      <c r="BA59" s="39">
        <f>-ROUND(PPMT($C$3,$AI$4,$C$2,$C59,0,0),0)</f>
        <v>17134334</v>
      </c>
      <c r="BB59" s="39">
        <f>-ROUND(PPMT($C$3,$AJ$4,$C$2,$C59,0,0),0)</f>
        <v>17494155</v>
      </c>
    </row>
    <row r="60" spans="2:54">
      <c r="B60" s="4"/>
      <c r="C60" s="133"/>
      <c r="D60" s="39" t="s">
        <v>583</v>
      </c>
      <c r="E60" s="40"/>
      <c r="F60" s="40"/>
      <c r="G60" s="40"/>
      <c r="H60" s="40"/>
      <c r="I60" s="40"/>
      <c r="J60" s="40"/>
      <c r="K60" s="40"/>
      <c r="L60" s="40"/>
      <c r="M60" s="40"/>
      <c r="N60" s="40"/>
      <c r="O60" s="40"/>
      <c r="P60" s="40"/>
      <c r="Q60" s="40"/>
      <c r="R60" s="40"/>
      <c r="S60" s="40"/>
      <c r="T60" s="40"/>
      <c r="U60" s="40"/>
      <c r="V60" s="40"/>
      <c r="W60" s="39">
        <f>-ROUND(IPMT($C$3,$E$4,$C$2,$C59,0,0),0)</f>
        <v>11907000</v>
      </c>
      <c r="X60" s="39">
        <f>-ROUND(IPMT($C$3,$F$4,$C$2,$C59,0,0),0)</f>
        <v>11714108</v>
      </c>
      <c r="Y60" s="39">
        <f>-ROUND(IPMT($C$3,$G$4,$C$2,$C59,0,0),0)</f>
        <v>11517165</v>
      </c>
      <c r="Z60" s="39">
        <f>-ROUND(IPMT($C$3,$H$4,$C$2,$C59,0,0),0)</f>
        <v>11316087</v>
      </c>
      <c r="AA60" s="39">
        <f>-ROUND(IPMT($C$3,$I$4,$C$2,$C59,0,0),0)</f>
        <v>11110785</v>
      </c>
      <c r="AB60" s="39">
        <f>-ROUND(IPMT($C$3,$J$4,$C$2,$C59,0,0),0)</f>
        <v>10901173</v>
      </c>
      <c r="AC60" s="39">
        <f>-ROUND(IPMT($C$3,$K$4,$C$2,$C59,0,0),0)</f>
        <v>10687159</v>
      </c>
      <c r="AD60" s="39">
        <f>-ROUND(IPMT($C$3,$L$4,$C$2,$C59,0,0),0)</f>
        <v>10468650</v>
      </c>
      <c r="AE60" s="39">
        <f>-ROUND(IPMT($C$3,$M$4,$C$2,$C59,0,0),0)</f>
        <v>10245553</v>
      </c>
      <c r="AF60" s="39">
        <f>-ROUND(IPMT($C$3,$N$4,$C$2,$C59,0,0),0)</f>
        <v>10017770</v>
      </c>
      <c r="AG60" s="39">
        <f>-ROUND(IPMT($C$3,$O$4,$C$2,$C59,0,0),0)</f>
        <v>9785204</v>
      </c>
      <c r="AH60" s="39">
        <f>-ROUND(IPMT($C$3,$P$4,$C$2,$C59,0,0),0)</f>
        <v>9547755</v>
      </c>
      <c r="AI60" s="39">
        <f>-ROUND(IPMT($C$3,$Q$4,$C$2,$C59,0,0),0)</f>
        <v>9305318</v>
      </c>
      <c r="AJ60" s="39">
        <f>-ROUND(IPMT($C$3,$R$4,$C$2,$C59,0,0),0)</f>
        <v>9057791</v>
      </c>
      <c r="AK60" s="39">
        <f>-ROUND(IPMT($C$3,$S$4,$C$2,$C59,0,0),0)</f>
        <v>8805066</v>
      </c>
      <c r="AL60" s="39">
        <f>-ROUND(IPMT($C$3,$T$4,$C$2,$C59,0,0),0)</f>
        <v>8547033</v>
      </c>
      <c r="AM60" s="39">
        <f>-ROUND(IPMT($C$3,$U$4,$C$2,$C59,0,0),0)</f>
        <v>8283582</v>
      </c>
      <c r="AN60" s="39">
        <f>-ROUND(IPMT($C$3,$V$4,$C$2,$C59,0,0),0)</f>
        <v>8014598</v>
      </c>
      <c r="AO60" s="39">
        <f>-ROUND(IPMT($C$3,$W$4,$C$2,$C59,0,0),0)</f>
        <v>7739965</v>
      </c>
      <c r="AP60" s="39">
        <f>-ROUND(IPMT($C$3,$X$4,$C$2,$C59,0,0),0)</f>
        <v>7459566</v>
      </c>
      <c r="AQ60" s="39">
        <f>-ROUND(IPMT($C$3,$Y$4,$C$2,$C59,0,0),0)</f>
        <v>7173278</v>
      </c>
      <c r="AR60" s="39">
        <f>-ROUND(IPMT($C$3,$Z$4,$C$2,$C59,0,0),0)</f>
        <v>6880977</v>
      </c>
      <c r="AS60" s="39">
        <f>-ROUND(IPMT($C$3,$AA$4,$C$2,$C59,0,0),0)</f>
        <v>6582539</v>
      </c>
      <c r="AT60" s="39">
        <f>-ROUND(IPMT($C$3,$AB$4,$C$2,$C59,0,0),0)</f>
        <v>6277833</v>
      </c>
      <c r="AU60" s="39">
        <f>-ROUND(IPMT($C$3,$AC$4,$C$2,$C59,0,0),0)</f>
        <v>5966729</v>
      </c>
      <c r="AV60" s="39">
        <f>-ROUND(IPMT($C$3,$AD$4,$C$2,$C59,0,0),0)</f>
        <v>5649091</v>
      </c>
      <c r="AW60" s="39">
        <f>-ROUND(IPMT($C$3,$AE$4,$C$2,$C59,0,0),0)</f>
        <v>5324783</v>
      </c>
      <c r="AX60" s="39">
        <f>-ROUND(IPMT($C$3,$AF$4,$C$2,$C59,0,0),0)</f>
        <v>4993664</v>
      </c>
      <c r="AY60" s="39">
        <f>-ROUND(IPMT($C$3,$AG$4,$C$2,$C59,0,0),0)</f>
        <v>4655592</v>
      </c>
      <c r="AZ60" s="39">
        <f>-ROUND(IPMT($C$3,$AH$4,$C$2,$C59,0,0),0)</f>
        <v>4310421</v>
      </c>
      <c r="BA60" s="39">
        <f>-ROUND(IPMT($C$3,$AI$4,$C$2,$C59,0,0),0)</f>
        <v>3958000</v>
      </c>
      <c r="BB60" s="39">
        <f>-ROUND(IPMT($C$3,$AJ$4,$C$2,$C59,0,0),0)</f>
        <v>3598179</v>
      </c>
    </row>
    <row r="61" spans="2:54">
      <c r="B61" s="3"/>
      <c r="C61" s="134"/>
      <c r="D61" s="39" t="s">
        <v>339</v>
      </c>
      <c r="E61" s="40"/>
      <c r="F61" s="40"/>
      <c r="G61" s="40"/>
      <c r="H61" s="40"/>
      <c r="I61" s="40"/>
      <c r="J61" s="40"/>
      <c r="K61" s="40"/>
      <c r="L61" s="40"/>
      <c r="M61" s="40"/>
      <c r="N61" s="40"/>
      <c r="O61" s="40"/>
      <c r="P61" s="40"/>
      <c r="Q61" s="40"/>
      <c r="R61" s="40"/>
      <c r="S61" s="40"/>
      <c r="T61" s="40"/>
      <c r="U61" s="40"/>
      <c r="V61" s="64">
        <f>$C59</f>
        <v>567000000</v>
      </c>
      <c r="W61" s="39">
        <f>$C59-W59</f>
        <v>557814666</v>
      </c>
      <c r="X61" s="39">
        <f t="shared" ref="X61:BB61" si="20">W61-X59</f>
        <v>548436440</v>
      </c>
      <c r="Y61" s="39">
        <f t="shared" si="20"/>
        <v>538861271</v>
      </c>
      <c r="Z61" s="39">
        <f t="shared" si="20"/>
        <v>529085024</v>
      </c>
      <c r="AA61" s="39">
        <f t="shared" si="20"/>
        <v>519103475</v>
      </c>
      <c r="AB61" s="39">
        <f t="shared" si="20"/>
        <v>508912314</v>
      </c>
      <c r="AC61" s="39">
        <f t="shared" si="20"/>
        <v>498507138</v>
      </c>
      <c r="AD61" s="39">
        <f t="shared" si="20"/>
        <v>487883454</v>
      </c>
      <c r="AE61" s="39">
        <f t="shared" si="20"/>
        <v>477036672</v>
      </c>
      <c r="AF61" s="39">
        <f t="shared" si="20"/>
        <v>465962108</v>
      </c>
      <c r="AG61" s="39">
        <f t="shared" si="20"/>
        <v>454654978</v>
      </c>
      <c r="AH61" s="39">
        <f t="shared" si="20"/>
        <v>443110398</v>
      </c>
      <c r="AI61" s="39">
        <f t="shared" si="20"/>
        <v>431323382</v>
      </c>
      <c r="AJ61" s="39">
        <f t="shared" si="20"/>
        <v>419288839</v>
      </c>
      <c r="AK61" s="39">
        <f t="shared" si="20"/>
        <v>407001571</v>
      </c>
      <c r="AL61" s="39">
        <f t="shared" si="20"/>
        <v>394456270</v>
      </c>
      <c r="AM61" s="39">
        <f t="shared" si="20"/>
        <v>381647518</v>
      </c>
      <c r="AN61" s="39">
        <f t="shared" si="20"/>
        <v>368569782</v>
      </c>
      <c r="AO61" s="39">
        <f t="shared" si="20"/>
        <v>355217413</v>
      </c>
      <c r="AP61" s="39">
        <f t="shared" si="20"/>
        <v>341584645</v>
      </c>
      <c r="AQ61" s="39">
        <f t="shared" si="20"/>
        <v>327665588</v>
      </c>
      <c r="AR61" s="39">
        <f t="shared" si="20"/>
        <v>313454231</v>
      </c>
      <c r="AS61" s="39">
        <f t="shared" si="20"/>
        <v>298944436</v>
      </c>
      <c r="AT61" s="39">
        <f t="shared" si="20"/>
        <v>284129935</v>
      </c>
      <c r="AU61" s="39">
        <f t="shared" si="20"/>
        <v>269004330</v>
      </c>
      <c r="AV61" s="39">
        <f t="shared" si="20"/>
        <v>253561087</v>
      </c>
      <c r="AW61" s="39">
        <f t="shared" si="20"/>
        <v>237793536</v>
      </c>
      <c r="AX61" s="39">
        <f t="shared" si="20"/>
        <v>221694866</v>
      </c>
      <c r="AY61" s="39">
        <f t="shared" si="20"/>
        <v>205258124</v>
      </c>
      <c r="AZ61" s="39">
        <f t="shared" si="20"/>
        <v>188476210</v>
      </c>
      <c r="BA61" s="39">
        <f t="shared" si="20"/>
        <v>171341876</v>
      </c>
      <c r="BB61" s="39">
        <f t="shared" si="20"/>
        <v>153847721</v>
      </c>
    </row>
    <row r="62" spans="2:54">
      <c r="B62" s="2" t="s">
        <v>41</v>
      </c>
      <c r="C62" s="132">
        <f>【成行】財政シミュ!AL74</f>
        <v>590000000</v>
      </c>
      <c r="D62" s="39" t="s">
        <v>582</v>
      </c>
      <c r="E62" s="40"/>
      <c r="F62" s="40"/>
      <c r="G62" s="40"/>
      <c r="H62" s="40"/>
      <c r="I62" s="40"/>
      <c r="J62" s="40"/>
      <c r="K62" s="40"/>
      <c r="L62" s="40"/>
      <c r="M62" s="40"/>
      <c r="N62" s="40"/>
      <c r="O62" s="40"/>
      <c r="P62" s="40"/>
      <c r="Q62" s="40"/>
      <c r="R62" s="40"/>
      <c r="S62" s="40"/>
      <c r="T62" s="40"/>
      <c r="U62" s="40"/>
      <c r="V62" s="40"/>
      <c r="W62" s="40"/>
      <c r="X62" s="39">
        <f>-ROUND(PPMT($C$3,$E$4,$C$2,$C62,0,0),0)</f>
        <v>9557931</v>
      </c>
      <c r="Y62" s="39">
        <f>-ROUND(PPMT($C$3,$F$4,$C$2,$C62,0,0),0)</f>
        <v>9758648</v>
      </c>
      <c r="Z62" s="39">
        <f>-ROUND(PPMT($C$3,$G$4,$C$2,$C62,0,0),0)</f>
        <v>9963580</v>
      </c>
      <c r="AA62" s="39">
        <f>-ROUND(PPMT($C$3,$H$4,$C$2,$C62,0,0),0)</f>
        <v>10172815</v>
      </c>
      <c r="AB62" s="39">
        <f>-ROUND(PPMT($C$3,$I$4,$C$2,$C62,0,0),0)</f>
        <v>10386444</v>
      </c>
      <c r="AC62" s="39">
        <f>-ROUND(PPMT($C$3,$J$4,$C$2,$C62,0,0),0)</f>
        <v>10604559</v>
      </c>
      <c r="AD62" s="39">
        <f>-ROUND(PPMT($C$3,$K$4,$C$2,$C62,0,0),0)</f>
        <v>10827255</v>
      </c>
      <c r="AE62" s="39">
        <f>-ROUND(PPMT($C$3,$L$4,$C$2,$C62,0,0),0)</f>
        <v>11054627</v>
      </c>
      <c r="AF62" s="39">
        <f>-ROUND(PPMT($C$3,$M$4,$C$2,$C62,0,0),0)</f>
        <v>11286775</v>
      </c>
      <c r="AG62" s="39">
        <f>-ROUND(PPMT($C$3,$N$4,$C$2,$C62,0,0),0)</f>
        <v>11523797</v>
      </c>
      <c r="AH62" s="39">
        <f>-ROUND(PPMT($C$3,$O$4,$C$2,$C62,0,0),0)</f>
        <v>11765797</v>
      </c>
      <c r="AI62" s="39">
        <f>-ROUND(PPMT($C$3,$P$4,$C$2,$C62,0,0),0)</f>
        <v>12012878</v>
      </c>
      <c r="AJ62" s="39">
        <f>-ROUND(PPMT($C$3,$Q$4,$C$2,$C62,0,0),0)</f>
        <v>12265149</v>
      </c>
      <c r="AK62" s="39">
        <f>-ROUND(PPMT($C$3,$R$4,$C$2,$C62,0,0),0)</f>
        <v>12522717</v>
      </c>
      <c r="AL62" s="39">
        <f>-ROUND(PPMT($C$3,$S$4,$C$2,$C62,0,0),0)</f>
        <v>12785694</v>
      </c>
      <c r="AM62" s="39">
        <f>-ROUND(PPMT($C$3,$T$4,$C$2,$C62,0,0),0)</f>
        <v>13054193</v>
      </c>
      <c r="AN62" s="39">
        <f>-ROUND(PPMT($C$3,$U$4,$C$2,$C62,0,0),0)</f>
        <v>13328331</v>
      </c>
      <c r="AO62" s="39">
        <f>-ROUND(PPMT($C$3,$V$4,$C$2,$C62,0,0),0)</f>
        <v>13608226</v>
      </c>
      <c r="AP62" s="39">
        <f>-ROUND(PPMT($C$3,$W$4,$C$2,$C62,0,0),0)</f>
        <v>13893999</v>
      </c>
      <c r="AQ62" s="39">
        <f>-ROUND(PPMT($C$3,$X$4,$C$2,$C62,0,0),0)</f>
        <v>14185773</v>
      </c>
      <c r="AR62" s="39">
        <f>-ROUND(PPMT($C$3,$Y$4,$C$2,$C62,0,0),0)</f>
        <v>14483674</v>
      </c>
      <c r="AS62" s="39">
        <f>-ROUND(PPMT($C$3,$Z$4,$C$2,$C62,0,0),0)</f>
        <v>14787832</v>
      </c>
      <c r="AT62" s="39">
        <f>-ROUND(PPMT($C$3,$AA$4,$C$2,$C62,0,0),0)</f>
        <v>15098376</v>
      </c>
      <c r="AU62" s="39">
        <f>-ROUND(PPMT($C$3,$AB$4,$C$2,$C62,0,0),0)</f>
        <v>15415442</v>
      </c>
      <c r="AV62" s="39">
        <f>-ROUND(PPMT($C$3,$AC$4,$C$2,$C62,0,0),0)</f>
        <v>15739166</v>
      </c>
      <c r="AW62" s="39">
        <f>-ROUND(PPMT($C$3,$AD$4,$C$2,$C62,0,0),0)</f>
        <v>16069689</v>
      </c>
      <c r="AX62" s="39">
        <f>-ROUND(PPMT($C$3,$AE$4,$C$2,$C62,0,0),0)</f>
        <v>16407152</v>
      </c>
      <c r="AY62" s="39">
        <f>-ROUND(PPMT($C$3,$AF$4,$C$2,$C62,0,0),0)</f>
        <v>16751702</v>
      </c>
      <c r="AZ62" s="39">
        <f>-ROUND(PPMT($C$3,$AG$4,$C$2,$C62,0,0),0)</f>
        <v>17103488</v>
      </c>
      <c r="BA62" s="39">
        <f>-ROUND(PPMT($C$3,$AH$4,$C$2,$C62,0,0),0)</f>
        <v>17462661</v>
      </c>
      <c r="BB62" s="39">
        <f>-ROUND(PPMT($C$3,$AI$4,$C$2,$C62,0,0),0)</f>
        <v>17829377</v>
      </c>
    </row>
    <row r="63" spans="2:54">
      <c r="B63" s="4"/>
      <c r="C63" s="133"/>
      <c r="D63" s="39" t="s">
        <v>583</v>
      </c>
      <c r="E63" s="40"/>
      <c r="F63" s="40"/>
      <c r="G63" s="40"/>
      <c r="H63" s="40"/>
      <c r="I63" s="40"/>
      <c r="J63" s="40"/>
      <c r="K63" s="40"/>
      <c r="L63" s="40"/>
      <c r="M63" s="40"/>
      <c r="N63" s="40"/>
      <c r="O63" s="40"/>
      <c r="P63" s="40"/>
      <c r="Q63" s="40"/>
      <c r="R63" s="40"/>
      <c r="S63" s="40"/>
      <c r="T63" s="40"/>
      <c r="U63" s="40"/>
      <c r="V63" s="40"/>
      <c r="W63" s="40"/>
      <c r="X63" s="39">
        <f>-ROUND(IPMT($C$3,$E$4,$C$2,$C62,0,0),0)</f>
        <v>12390000</v>
      </c>
      <c r="Y63" s="39">
        <f>-ROUND(IPMT($C$3,$F$4,$C$2,$C62,0,0),0)</f>
        <v>12189283</v>
      </c>
      <c r="Z63" s="39">
        <f>-ROUND(IPMT($C$3,$G$4,$C$2,$C62,0,0),0)</f>
        <v>11984352</v>
      </c>
      <c r="AA63" s="39">
        <f>-ROUND(IPMT($C$3,$H$4,$C$2,$C62,0,0),0)</f>
        <v>11775117</v>
      </c>
      <c r="AB63" s="39">
        <f>-ROUND(IPMT($C$3,$I$4,$C$2,$C62,0,0),0)</f>
        <v>11561488</v>
      </c>
      <c r="AC63" s="39">
        <f>-ROUND(IPMT($C$3,$J$4,$C$2,$C62,0,0),0)</f>
        <v>11343372</v>
      </c>
      <c r="AD63" s="39">
        <f>-ROUND(IPMT($C$3,$K$4,$C$2,$C62,0,0),0)</f>
        <v>11120676</v>
      </c>
      <c r="AE63" s="39">
        <f>-ROUND(IPMT($C$3,$L$4,$C$2,$C62,0,0),0)</f>
        <v>10893304</v>
      </c>
      <c r="AF63" s="39">
        <f>-ROUND(IPMT($C$3,$M$4,$C$2,$C62,0,0),0)</f>
        <v>10661157</v>
      </c>
      <c r="AG63" s="39">
        <f>-ROUND(IPMT($C$3,$N$4,$C$2,$C62,0,0),0)</f>
        <v>10424135</v>
      </c>
      <c r="AH63" s="39">
        <f>-ROUND(IPMT($C$3,$O$4,$C$2,$C62,0,0),0)</f>
        <v>10182135</v>
      </c>
      <c r="AI63" s="39">
        <f>-ROUND(IPMT($C$3,$P$4,$C$2,$C62,0,0),0)</f>
        <v>9935053</v>
      </c>
      <c r="AJ63" s="39">
        <f>-ROUND(IPMT($C$3,$Q$4,$C$2,$C62,0,0),0)</f>
        <v>9682783</v>
      </c>
      <c r="AK63" s="39">
        <f>-ROUND(IPMT($C$3,$R$4,$C$2,$C62,0,0),0)</f>
        <v>9425215</v>
      </c>
      <c r="AL63" s="39">
        <f>-ROUND(IPMT($C$3,$S$4,$C$2,$C62,0,0),0)</f>
        <v>9162238</v>
      </c>
      <c r="AM63" s="39">
        <f>-ROUND(IPMT($C$3,$T$4,$C$2,$C62,0,0),0)</f>
        <v>8893738</v>
      </c>
      <c r="AN63" s="39">
        <f>-ROUND(IPMT($C$3,$U$4,$C$2,$C62,0,0),0)</f>
        <v>8619600</v>
      </c>
      <c r="AO63" s="39">
        <f>-ROUND(IPMT($C$3,$V$4,$C$2,$C62,0,0),0)</f>
        <v>8339705</v>
      </c>
      <c r="AP63" s="39">
        <f>-ROUND(IPMT($C$3,$W$4,$C$2,$C62,0,0),0)</f>
        <v>8053932</v>
      </c>
      <c r="AQ63" s="39">
        <f>-ROUND(IPMT($C$3,$X$4,$C$2,$C62,0,0),0)</f>
        <v>7762158</v>
      </c>
      <c r="AR63" s="39">
        <f>-ROUND(IPMT($C$3,$Y$4,$C$2,$C62,0,0),0)</f>
        <v>7464257</v>
      </c>
      <c r="AS63" s="39">
        <f>-ROUND(IPMT($C$3,$Z$4,$C$2,$C62,0,0),0)</f>
        <v>7160100</v>
      </c>
      <c r="AT63" s="39">
        <f>-ROUND(IPMT($C$3,$AA$4,$C$2,$C62,0,0),0)</f>
        <v>6849555</v>
      </c>
      <c r="AU63" s="39">
        <f>-ROUND(IPMT($C$3,$AB$4,$C$2,$C62,0,0),0)</f>
        <v>6532490</v>
      </c>
      <c r="AV63" s="39">
        <f>-ROUND(IPMT($C$3,$AC$4,$C$2,$C62,0,0),0)</f>
        <v>6208765</v>
      </c>
      <c r="AW63" s="39">
        <f>-ROUND(IPMT($C$3,$AD$4,$C$2,$C62,0,0),0)</f>
        <v>5878243</v>
      </c>
      <c r="AX63" s="39">
        <f>-ROUND(IPMT($C$3,$AE$4,$C$2,$C62,0,0),0)</f>
        <v>5540779</v>
      </c>
      <c r="AY63" s="39">
        <f>-ROUND(IPMT($C$3,$AF$4,$C$2,$C62,0,0),0)</f>
        <v>5196229</v>
      </c>
      <c r="AZ63" s="39">
        <f>-ROUND(IPMT($C$3,$AG$4,$C$2,$C62,0,0),0)</f>
        <v>4844443</v>
      </c>
      <c r="BA63" s="39">
        <f>-ROUND(IPMT($C$3,$AH$4,$C$2,$C62,0,0),0)</f>
        <v>4485270</v>
      </c>
      <c r="BB63" s="39">
        <f>-ROUND(IPMT($C$3,$AI$4,$C$2,$C62,0,0),0)</f>
        <v>4118554</v>
      </c>
    </row>
    <row r="64" spans="2:54">
      <c r="B64" s="3"/>
      <c r="C64" s="134"/>
      <c r="D64" s="39" t="s">
        <v>339</v>
      </c>
      <c r="E64" s="40"/>
      <c r="F64" s="40"/>
      <c r="G64" s="40"/>
      <c r="H64" s="40"/>
      <c r="I64" s="40"/>
      <c r="J64" s="40"/>
      <c r="K64" s="40"/>
      <c r="L64" s="40"/>
      <c r="M64" s="40"/>
      <c r="N64" s="40"/>
      <c r="O64" s="40"/>
      <c r="P64" s="40"/>
      <c r="Q64" s="40"/>
      <c r="R64" s="40"/>
      <c r="S64" s="40"/>
      <c r="T64" s="40"/>
      <c r="U64" s="40"/>
      <c r="V64" s="40"/>
      <c r="W64" s="64">
        <f>$C62</f>
        <v>590000000</v>
      </c>
      <c r="X64" s="39">
        <f>$C62-X62</f>
        <v>580442069</v>
      </c>
      <c r="Y64" s="39">
        <f t="shared" ref="Y64:BB64" si="21">X64-Y62</f>
        <v>570683421</v>
      </c>
      <c r="Z64" s="39">
        <f t="shared" si="21"/>
        <v>560719841</v>
      </c>
      <c r="AA64" s="39">
        <f t="shared" si="21"/>
        <v>550547026</v>
      </c>
      <c r="AB64" s="39">
        <f t="shared" si="21"/>
        <v>540160582</v>
      </c>
      <c r="AC64" s="39">
        <f t="shared" si="21"/>
        <v>529556023</v>
      </c>
      <c r="AD64" s="39">
        <f t="shared" si="21"/>
        <v>518728768</v>
      </c>
      <c r="AE64" s="39">
        <f t="shared" si="21"/>
        <v>507674141</v>
      </c>
      <c r="AF64" s="39">
        <f t="shared" si="21"/>
        <v>496387366</v>
      </c>
      <c r="AG64" s="39">
        <f t="shared" si="21"/>
        <v>484863569</v>
      </c>
      <c r="AH64" s="39">
        <f t="shared" si="21"/>
        <v>473097772</v>
      </c>
      <c r="AI64" s="39">
        <f t="shared" si="21"/>
        <v>461084894</v>
      </c>
      <c r="AJ64" s="39">
        <f t="shared" si="21"/>
        <v>448819745</v>
      </c>
      <c r="AK64" s="39">
        <f t="shared" si="21"/>
        <v>436297028</v>
      </c>
      <c r="AL64" s="39">
        <f t="shared" si="21"/>
        <v>423511334</v>
      </c>
      <c r="AM64" s="39">
        <f t="shared" si="21"/>
        <v>410457141</v>
      </c>
      <c r="AN64" s="39">
        <f t="shared" si="21"/>
        <v>397128810</v>
      </c>
      <c r="AO64" s="39">
        <f t="shared" si="21"/>
        <v>383520584</v>
      </c>
      <c r="AP64" s="39">
        <f t="shared" si="21"/>
        <v>369626585</v>
      </c>
      <c r="AQ64" s="39">
        <f t="shared" si="21"/>
        <v>355440812</v>
      </c>
      <c r="AR64" s="39">
        <f t="shared" si="21"/>
        <v>340957138</v>
      </c>
      <c r="AS64" s="39">
        <f t="shared" si="21"/>
        <v>326169306</v>
      </c>
      <c r="AT64" s="39">
        <f t="shared" si="21"/>
        <v>311070930</v>
      </c>
      <c r="AU64" s="39">
        <f t="shared" si="21"/>
        <v>295655488</v>
      </c>
      <c r="AV64" s="39">
        <f t="shared" si="21"/>
        <v>279916322</v>
      </c>
      <c r="AW64" s="39">
        <f t="shared" si="21"/>
        <v>263846633</v>
      </c>
      <c r="AX64" s="39">
        <f t="shared" si="21"/>
        <v>247439481</v>
      </c>
      <c r="AY64" s="39">
        <f t="shared" si="21"/>
        <v>230687779</v>
      </c>
      <c r="AZ64" s="39">
        <f t="shared" si="21"/>
        <v>213584291</v>
      </c>
      <c r="BA64" s="39">
        <f t="shared" si="21"/>
        <v>196121630</v>
      </c>
      <c r="BB64" s="39">
        <f t="shared" si="21"/>
        <v>178292253</v>
      </c>
    </row>
    <row r="65" spans="2:54">
      <c r="B65" s="2" t="s">
        <v>42</v>
      </c>
      <c r="C65" s="132">
        <f>【成行】財政シミュ!AM74</f>
        <v>590000000</v>
      </c>
      <c r="D65" s="39" t="s">
        <v>582</v>
      </c>
      <c r="E65" s="40"/>
      <c r="F65" s="40"/>
      <c r="G65" s="40"/>
      <c r="H65" s="40"/>
      <c r="I65" s="40"/>
      <c r="J65" s="40"/>
      <c r="K65" s="40"/>
      <c r="L65" s="40"/>
      <c r="M65" s="40"/>
      <c r="N65" s="40"/>
      <c r="O65" s="40"/>
      <c r="P65" s="40"/>
      <c r="Q65" s="40"/>
      <c r="R65" s="40"/>
      <c r="S65" s="40"/>
      <c r="T65" s="40"/>
      <c r="U65" s="40"/>
      <c r="V65" s="40"/>
      <c r="W65" s="40"/>
      <c r="X65" s="40"/>
      <c r="Y65" s="39">
        <f>-ROUND(PPMT($C$3,$E$4,$C$2,$C65,0,0),0)</f>
        <v>9557931</v>
      </c>
      <c r="Z65" s="39">
        <f>-ROUND(PPMT($C$3,$F$4,$C$2,$C65,0,0),0)</f>
        <v>9758648</v>
      </c>
      <c r="AA65" s="39">
        <f>-ROUND(PPMT($C$3,$G$4,$C$2,$C65,0,0),0)</f>
        <v>9963580</v>
      </c>
      <c r="AB65" s="39">
        <f>-ROUND(PPMT($C$3,$H$4,$C$2,$C65,0,0),0)</f>
        <v>10172815</v>
      </c>
      <c r="AC65" s="39">
        <f>-ROUND(PPMT($C$3,$I$4,$C$2,$C65,0,0),0)</f>
        <v>10386444</v>
      </c>
      <c r="AD65" s="39">
        <f>-ROUND(PPMT($C$3,$J$4,$C$2,$C65,0,0),0)</f>
        <v>10604559</v>
      </c>
      <c r="AE65" s="39">
        <f>-ROUND(PPMT($C$3,$K$4,$C$2,$C65,0,0),0)</f>
        <v>10827255</v>
      </c>
      <c r="AF65" s="39">
        <f>-ROUND(PPMT($C$3,$L$4,$C$2,$C65,0,0),0)</f>
        <v>11054627</v>
      </c>
      <c r="AG65" s="39">
        <f>-ROUND(PPMT($C$3,$M$4,$C$2,$C65,0,0),0)</f>
        <v>11286775</v>
      </c>
      <c r="AH65" s="39">
        <f>-ROUND(PPMT($C$3,$N$4,$C$2,$C65,0,0),0)</f>
        <v>11523797</v>
      </c>
      <c r="AI65" s="39">
        <f>-ROUND(PPMT($C$3,$O$4,$C$2,$C65,0,0),0)</f>
        <v>11765797</v>
      </c>
      <c r="AJ65" s="39">
        <f>-ROUND(PPMT($C$3,$P$4,$C$2,$C65,0,0),0)</f>
        <v>12012878</v>
      </c>
      <c r="AK65" s="39">
        <f>-ROUND(PPMT($C$3,$Q$4,$C$2,$C65,0,0),0)</f>
        <v>12265149</v>
      </c>
      <c r="AL65" s="39">
        <f>-ROUND(PPMT($C$3,$R$4,$C$2,$C65,0,0),0)</f>
        <v>12522717</v>
      </c>
      <c r="AM65" s="39">
        <f>-ROUND(PPMT($C$3,$S$4,$C$2,$C65,0,0),0)</f>
        <v>12785694</v>
      </c>
      <c r="AN65" s="39">
        <f>-ROUND(PPMT($C$3,$T$4,$C$2,$C65,0,0),0)</f>
        <v>13054193</v>
      </c>
      <c r="AO65" s="39">
        <f>-ROUND(PPMT($C$3,$U$4,$C$2,$C65,0,0),0)</f>
        <v>13328331</v>
      </c>
      <c r="AP65" s="39">
        <f>-ROUND(PPMT($C$3,$V$4,$C$2,$C65,0,0),0)</f>
        <v>13608226</v>
      </c>
      <c r="AQ65" s="39">
        <f>-ROUND(PPMT($C$3,$W$4,$C$2,$C65,0,0),0)</f>
        <v>13893999</v>
      </c>
      <c r="AR65" s="39">
        <f>-ROUND(PPMT($C$3,$X$4,$C$2,$C65,0,0),0)</f>
        <v>14185773</v>
      </c>
      <c r="AS65" s="39">
        <f>-ROUND(PPMT($C$3,$Y$4,$C$2,$C65,0,0),0)</f>
        <v>14483674</v>
      </c>
      <c r="AT65" s="39">
        <f>-ROUND(PPMT($C$3,$Z$4,$C$2,$C65,0,0),0)</f>
        <v>14787832</v>
      </c>
      <c r="AU65" s="39">
        <f>-ROUND(PPMT($C$3,$AA$4,$C$2,$C65,0,0),0)</f>
        <v>15098376</v>
      </c>
      <c r="AV65" s="39">
        <f>-ROUND(PPMT($C$3,$AB$4,$C$2,$C65,0,0),0)</f>
        <v>15415442</v>
      </c>
      <c r="AW65" s="39">
        <f>-ROUND(PPMT($C$3,$AC$4,$C$2,$C65,0,0),0)</f>
        <v>15739166</v>
      </c>
      <c r="AX65" s="39">
        <f>-ROUND(PPMT($C$3,$AD$4,$C$2,$C65,0,0),0)</f>
        <v>16069689</v>
      </c>
      <c r="AY65" s="39">
        <f>-ROUND(PPMT($C$3,$AE$4,$C$2,$C65,0,0),0)</f>
        <v>16407152</v>
      </c>
      <c r="AZ65" s="39">
        <f>-ROUND(PPMT($C$3,$AF$4,$C$2,$C65,0,0),0)</f>
        <v>16751702</v>
      </c>
      <c r="BA65" s="39">
        <f>-ROUND(PPMT($C$3,$AG$4,$C$2,$C65,0,0),0)</f>
        <v>17103488</v>
      </c>
      <c r="BB65" s="39">
        <f>-ROUND(PPMT($C$3,$AH$4,$C$2,$C65,0,0),0)</f>
        <v>17462661</v>
      </c>
    </row>
    <row r="66" spans="2:54">
      <c r="B66" s="4"/>
      <c r="C66" s="133"/>
      <c r="D66" s="39" t="s">
        <v>583</v>
      </c>
      <c r="E66" s="40"/>
      <c r="F66" s="40"/>
      <c r="G66" s="40"/>
      <c r="H66" s="40"/>
      <c r="I66" s="40"/>
      <c r="J66" s="40"/>
      <c r="K66" s="40"/>
      <c r="L66" s="40"/>
      <c r="M66" s="40"/>
      <c r="N66" s="40"/>
      <c r="O66" s="40"/>
      <c r="P66" s="40"/>
      <c r="Q66" s="40"/>
      <c r="R66" s="40"/>
      <c r="S66" s="40"/>
      <c r="T66" s="40"/>
      <c r="U66" s="40"/>
      <c r="V66" s="40"/>
      <c r="W66" s="40"/>
      <c r="X66" s="40"/>
      <c r="Y66" s="39">
        <f>-ROUND(IPMT($C$3,$E$4,$C$2,$C65,0,0),0)</f>
        <v>12390000</v>
      </c>
      <c r="Z66" s="39">
        <f>-ROUND(IPMT($C$3,$F$4,$C$2,$C65,0,0),0)</f>
        <v>12189283</v>
      </c>
      <c r="AA66" s="39">
        <f>-ROUND(IPMT($C$3,$G$4,$C$2,$C65,0,0),0)</f>
        <v>11984352</v>
      </c>
      <c r="AB66" s="39">
        <f>-ROUND(IPMT($C$3,$H$4,$C$2,$C65,0,0),0)</f>
        <v>11775117</v>
      </c>
      <c r="AC66" s="39">
        <f>-ROUND(IPMT($C$3,$I$4,$C$2,$C65,0,0),0)</f>
        <v>11561488</v>
      </c>
      <c r="AD66" s="39">
        <f>-ROUND(IPMT($C$3,$J$4,$C$2,$C65,0,0),0)</f>
        <v>11343372</v>
      </c>
      <c r="AE66" s="39">
        <f>-ROUND(IPMT($C$3,$K$4,$C$2,$C65,0,0),0)</f>
        <v>11120676</v>
      </c>
      <c r="AF66" s="39">
        <f>-ROUND(IPMT($C$3,$L$4,$C$2,$C65,0,0),0)</f>
        <v>10893304</v>
      </c>
      <c r="AG66" s="39">
        <f>-ROUND(IPMT($C$3,$M$4,$C$2,$C65,0,0),0)</f>
        <v>10661157</v>
      </c>
      <c r="AH66" s="39">
        <f>-ROUND(IPMT($C$3,$N$4,$C$2,$C65,0,0),0)</f>
        <v>10424135</v>
      </c>
      <c r="AI66" s="39">
        <f>-ROUND(IPMT($C$3,$O$4,$C$2,$C65,0,0),0)</f>
        <v>10182135</v>
      </c>
      <c r="AJ66" s="39">
        <f>-ROUND(IPMT($C$3,$P$4,$C$2,$C65,0,0),0)</f>
        <v>9935053</v>
      </c>
      <c r="AK66" s="39">
        <f>-ROUND(IPMT($C$3,$Q$4,$C$2,$C65,0,0),0)</f>
        <v>9682783</v>
      </c>
      <c r="AL66" s="39">
        <f>-ROUND(IPMT($C$3,$R$4,$C$2,$C65,0,0),0)</f>
        <v>9425215</v>
      </c>
      <c r="AM66" s="39">
        <f>-ROUND(IPMT($C$3,$S$4,$C$2,$C65,0,0),0)</f>
        <v>9162238</v>
      </c>
      <c r="AN66" s="39">
        <f>-ROUND(IPMT($C$3,$T$4,$C$2,$C65,0,0),0)</f>
        <v>8893738</v>
      </c>
      <c r="AO66" s="39">
        <f>-ROUND(IPMT($C$3,$U$4,$C$2,$C65,0,0),0)</f>
        <v>8619600</v>
      </c>
      <c r="AP66" s="39">
        <f>-ROUND(IPMT($C$3,$V$4,$C$2,$C65,0,0),0)</f>
        <v>8339705</v>
      </c>
      <c r="AQ66" s="39">
        <f>-ROUND(IPMT($C$3,$W$4,$C$2,$C65,0,0),0)</f>
        <v>8053932</v>
      </c>
      <c r="AR66" s="39">
        <f>-ROUND(IPMT($C$3,$X$4,$C$2,$C65,0,0),0)</f>
        <v>7762158</v>
      </c>
      <c r="AS66" s="39">
        <f>-ROUND(IPMT($C$3,$Y$4,$C$2,$C65,0,0),0)</f>
        <v>7464257</v>
      </c>
      <c r="AT66" s="39">
        <f>-ROUND(IPMT($C$3,$Z$4,$C$2,$C65,0,0),0)</f>
        <v>7160100</v>
      </c>
      <c r="AU66" s="39">
        <f>-ROUND(IPMT($C$3,$AA$4,$C$2,$C65,0,0),0)</f>
        <v>6849555</v>
      </c>
      <c r="AV66" s="39">
        <f>-ROUND(IPMT($C$3,$AB$4,$C$2,$C65,0,0),0)</f>
        <v>6532490</v>
      </c>
      <c r="AW66" s="39">
        <f>-ROUND(IPMT($C$3,$AC$4,$C$2,$C65,0,0),0)</f>
        <v>6208765</v>
      </c>
      <c r="AX66" s="39">
        <f>-ROUND(IPMT($C$3,$AD$4,$C$2,$C65,0,0),0)</f>
        <v>5878243</v>
      </c>
      <c r="AY66" s="39">
        <f>-ROUND(IPMT($C$3,$AE$4,$C$2,$C65,0,0),0)</f>
        <v>5540779</v>
      </c>
      <c r="AZ66" s="39">
        <f>-ROUND(IPMT($C$3,$AF$4,$C$2,$C65,0,0),0)</f>
        <v>5196229</v>
      </c>
      <c r="BA66" s="39">
        <f>-ROUND(IPMT($C$3,$AG$4,$C$2,$C65,0,0),0)</f>
        <v>4844443</v>
      </c>
      <c r="BB66" s="39">
        <f>-ROUND(IPMT($C$3,$AH$4,$C$2,$C65,0,0),0)</f>
        <v>4485270</v>
      </c>
    </row>
    <row r="67" spans="2:54">
      <c r="B67" s="3"/>
      <c r="C67" s="134"/>
      <c r="D67" s="39" t="s">
        <v>339</v>
      </c>
      <c r="E67" s="40"/>
      <c r="F67" s="40"/>
      <c r="G67" s="40"/>
      <c r="H67" s="40"/>
      <c r="I67" s="40"/>
      <c r="J67" s="40"/>
      <c r="K67" s="40"/>
      <c r="L67" s="40"/>
      <c r="M67" s="40"/>
      <c r="N67" s="40"/>
      <c r="O67" s="40"/>
      <c r="P67" s="40"/>
      <c r="Q67" s="40"/>
      <c r="R67" s="40"/>
      <c r="S67" s="40"/>
      <c r="T67" s="40"/>
      <c r="U67" s="40"/>
      <c r="V67" s="40"/>
      <c r="W67" s="40"/>
      <c r="X67" s="64">
        <f>$C65</f>
        <v>590000000</v>
      </c>
      <c r="Y67" s="39">
        <f>$C65-Y65</f>
        <v>580442069</v>
      </c>
      <c r="Z67" s="39">
        <f t="shared" ref="Z67:BB67" si="22">Y67-Z65</f>
        <v>570683421</v>
      </c>
      <c r="AA67" s="39">
        <f t="shared" si="22"/>
        <v>560719841</v>
      </c>
      <c r="AB67" s="39">
        <f t="shared" si="22"/>
        <v>550547026</v>
      </c>
      <c r="AC67" s="39">
        <f t="shared" si="22"/>
        <v>540160582</v>
      </c>
      <c r="AD67" s="39">
        <f t="shared" si="22"/>
        <v>529556023</v>
      </c>
      <c r="AE67" s="39">
        <f t="shared" si="22"/>
        <v>518728768</v>
      </c>
      <c r="AF67" s="39">
        <f t="shared" si="22"/>
        <v>507674141</v>
      </c>
      <c r="AG67" s="39">
        <f t="shared" si="22"/>
        <v>496387366</v>
      </c>
      <c r="AH67" s="39">
        <f t="shared" si="22"/>
        <v>484863569</v>
      </c>
      <c r="AI67" s="39">
        <f t="shared" si="22"/>
        <v>473097772</v>
      </c>
      <c r="AJ67" s="39">
        <f t="shared" si="22"/>
        <v>461084894</v>
      </c>
      <c r="AK67" s="39">
        <f t="shared" si="22"/>
        <v>448819745</v>
      </c>
      <c r="AL67" s="39">
        <f t="shared" si="22"/>
        <v>436297028</v>
      </c>
      <c r="AM67" s="39">
        <f t="shared" si="22"/>
        <v>423511334</v>
      </c>
      <c r="AN67" s="39">
        <f t="shared" si="22"/>
        <v>410457141</v>
      </c>
      <c r="AO67" s="39">
        <f t="shared" si="22"/>
        <v>397128810</v>
      </c>
      <c r="AP67" s="39">
        <f t="shared" si="22"/>
        <v>383520584</v>
      </c>
      <c r="AQ67" s="39">
        <f t="shared" si="22"/>
        <v>369626585</v>
      </c>
      <c r="AR67" s="39">
        <f t="shared" si="22"/>
        <v>355440812</v>
      </c>
      <c r="AS67" s="39">
        <f t="shared" si="22"/>
        <v>340957138</v>
      </c>
      <c r="AT67" s="39">
        <f t="shared" si="22"/>
        <v>326169306</v>
      </c>
      <c r="AU67" s="39">
        <f t="shared" si="22"/>
        <v>311070930</v>
      </c>
      <c r="AV67" s="39">
        <f t="shared" si="22"/>
        <v>295655488</v>
      </c>
      <c r="AW67" s="39">
        <f t="shared" si="22"/>
        <v>279916322</v>
      </c>
      <c r="AX67" s="39">
        <f t="shared" si="22"/>
        <v>263846633</v>
      </c>
      <c r="AY67" s="39">
        <f t="shared" si="22"/>
        <v>247439481</v>
      </c>
      <c r="AZ67" s="39">
        <f t="shared" si="22"/>
        <v>230687779</v>
      </c>
      <c r="BA67" s="39">
        <f t="shared" si="22"/>
        <v>213584291</v>
      </c>
      <c r="BB67" s="39">
        <f t="shared" si="22"/>
        <v>196121630</v>
      </c>
    </row>
    <row r="68" spans="2:54">
      <c r="B68" s="2" t="s">
        <v>43</v>
      </c>
      <c r="C68" s="132">
        <f>【成行】財政シミュ!AN74</f>
        <v>590000000</v>
      </c>
      <c r="D68" s="39" t="s">
        <v>582</v>
      </c>
      <c r="E68" s="40"/>
      <c r="F68" s="40"/>
      <c r="G68" s="40"/>
      <c r="H68" s="40"/>
      <c r="I68" s="40"/>
      <c r="J68" s="40"/>
      <c r="K68" s="40"/>
      <c r="L68" s="40"/>
      <c r="M68" s="40"/>
      <c r="N68" s="40"/>
      <c r="O68" s="40"/>
      <c r="P68" s="40"/>
      <c r="Q68" s="40"/>
      <c r="R68" s="40"/>
      <c r="S68" s="40"/>
      <c r="T68" s="40"/>
      <c r="U68" s="40"/>
      <c r="V68" s="40"/>
      <c r="W68" s="40"/>
      <c r="X68" s="40"/>
      <c r="Y68" s="40"/>
      <c r="Z68" s="39">
        <f>-ROUND(PPMT($C$3,$E$4,$C$2,$C68,0,0),0)</f>
        <v>9557931</v>
      </c>
      <c r="AA68" s="39">
        <f>-ROUND(PPMT($C$3,$F$4,$C$2,$C68,0,0),0)</f>
        <v>9758648</v>
      </c>
      <c r="AB68" s="39">
        <f>-ROUND(PPMT($C$3,$G$4,$C$2,$C68,0,0),0)</f>
        <v>9963580</v>
      </c>
      <c r="AC68" s="39">
        <f>-ROUND(PPMT($C$3,$H$4,$C$2,$C68,0,0),0)</f>
        <v>10172815</v>
      </c>
      <c r="AD68" s="39">
        <f>-ROUND(PPMT($C$3,$I$4,$C$2,$C68,0,0),0)</f>
        <v>10386444</v>
      </c>
      <c r="AE68" s="39">
        <f>-ROUND(PPMT($C$3,$J$4,$C$2,$C68,0,0),0)</f>
        <v>10604559</v>
      </c>
      <c r="AF68" s="39">
        <f>-ROUND(PPMT($C$3,$K$4,$C$2,$C68,0,0),0)</f>
        <v>10827255</v>
      </c>
      <c r="AG68" s="39">
        <f>-ROUND(PPMT($C$3,$L$4,$C$2,$C68,0,0),0)</f>
        <v>11054627</v>
      </c>
      <c r="AH68" s="39">
        <f>-ROUND(PPMT($C$3,$M$4,$C$2,$C68,0,0),0)</f>
        <v>11286775</v>
      </c>
      <c r="AI68" s="39">
        <f>-ROUND(PPMT($C$3,$N$4,$C$2,$C68,0,0),0)</f>
        <v>11523797</v>
      </c>
      <c r="AJ68" s="39">
        <f>-ROUND(PPMT($C$3,$O$4,$C$2,$C68,0,0),0)</f>
        <v>11765797</v>
      </c>
      <c r="AK68" s="39">
        <f>-ROUND(PPMT($C$3,$P$4,$C$2,$C68,0,0),0)</f>
        <v>12012878</v>
      </c>
      <c r="AL68" s="39">
        <f>-ROUND(PPMT($C$3,$Q$4,$C$2,$C68,0,0),0)</f>
        <v>12265149</v>
      </c>
      <c r="AM68" s="39">
        <f>-ROUND(PPMT($C$3,$R$4,$C$2,$C68,0,0),0)</f>
        <v>12522717</v>
      </c>
      <c r="AN68" s="39">
        <f>-ROUND(PPMT($C$3,$S$4,$C$2,$C68,0,0),0)</f>
        <v>12785694</v>
      </c>
      <c r="AO68" s="39">
        <f>-ROUND(PPMT($C$3,$T$4,$C$2,$C68,0,0),0)</f>
        <v>13054193</v>
      </c>
      <c r="AP68" s="39">
        <f>-ROUND(PPMT($C$3,$U$4,$C$2,$C68,0,0),0)</f>
        <v>13328331</v>
      </c>
      <c r="AQ68" s="39">
        <f>-ROUND(PPMT($C$3,$V$4,$C$2,$C68,0,0),0)</f>
        <v>13608226</v>
      </c>
      <c r="AR68" s="39">
        <f>-ROUND(PPMT($C$3,$W$4,$C$2,$C68,0,0),0)</f>
        <v>13893999</v>
      </c>
      <c r="AS68" s="39">
        <f>-ROUND(PPMT($C$3,$X$4,$C$2,$C68,0,0),0)</f>
        <v>14185773</v>
      </c>
      <c r="AT68" s="39">
        <f>-ROUND(PPMT($C$3,$Y$4,$C$2,$C68,0,0),0)</f>
        <v>14483674</v>
      </c>
      <c r="AU68" s="39">
        <f>-ROUND(PPMT($C$3,$Z$4,$C$2,$C68,0,0),0)</f>
        <v>14787832</v>
      </c>
      <c r="AV68" s="39">
        <f>-ROUND(PPMT($C$3,$AA$4,$C$2,$C68,0,0),0)</f>
        <v>15098376</v>
      </c>
      <c r="AW68" s="39">
        <f>-ROUND(PPMT($C$3,$AB$4,$C$2,$C68,0,0),0)</f>
        <v>15415442</v>
      </c>
      <c r="AX68" s="39">
        <f>-ROUND(PPMT($C$3,$AC$4,$C$2,$C68,0,0),0)</f>
        <v>15739166</v>
      </c>
      <c r="AY68" s="39">
        <f>-ROUND(PPMT($C$3,$AD$4,$C$2,$C68,0,0),0)</f>
        <v>16069689</v>
      </c>
      <c r="AZ68" s="39">
        <f>-ROUND(PPMT($C$3,$AE$4,$C$2,$C68,0,0),0)</f>
        <v>16407152</v>
      </c>
      <c r="BA68" s="39">
        <f>-ROUND(PPMT($C$3,$AF$4,$C$2,$C68,0,0),0)</f>
        <v>16751702</v>
      </c>
      <c r="BB68" s="39">
        <f>-ROUND(PPMT($C$3,$AG$4,$C$2,$C68,0,0),0)</f>
        <v>17103488</v>
      </c>
    </row>
    <row r="69" spans="2:54">
      <c r="B69" s="4"/>
      <c r="C69" s="133"/>
      <c r="D69" s="39" t="s">
        <v>583</v>
      </c>
      <c r="E69" s="40"/>
      <c r="F69" s="40"/>
      <c r="G69" s="40"/>
      <c r="H69" s="40"/>
      <c r="I69" s="40"/>
      <c r="J69" s="40"/>
      <c r="K69" s="40"/>
      <c r="L69" s="40"/>
      <c r="M69" s="40"/>
      <c r="N69" s="40"/>
      <c r="O69" s="40"/>
      <c r="P69" s="40"/>
      <c r="Q69" s="40"/>
      <c r="R69" s="40"/>
      <c r="S69" s="40"/>
      <c r="T69" s="40"/>
      <c r="U69" s="40"/>
      <c r="V69" s="40"/>
      <c r="W69" s="40"/>
      <c r="X69" s="40"/>
      <c r="Y69" s="40"/>
      <c r="Z69" s="39">
        <f>-ROUND(IPMT($C$3,$E$4,$C$2,$C68,0,0),0)</f>
        <v>12390000</v>
      </c>
      <c r="AA69" s="39">
        <f>-ROUND(IPMT($C$3,$F$4,$C$2,$C68,0,0),0)</f>
        <v>12189283</v>
      </c>
      <c r="AB69" s="39">
        <f>-ROUND(IPMT($C$3,$G$4,$C$2,$C68,0,0),0)</f>
        <v>11984352</v>
      </c>
      <c r="AC69" s="39">
        <f>-ROUND(IPMT($C$3,$H$4,$C$2,$C68,0,0),0)</f>
        <v>11775117</v>
      </c>
      <c r="AD69" s="39">
        <f>-ROUND(IPMT($C$3,$I$4,$C$2,$C68,0,0),0)</f>
        <v>11561488</v>
      </c>
      <c r="AE69" s="39">
        <f>-ROUND(IPMT($C$3,$J$4,$C$2,$C68,0,0),0)</f>
        <v>11343372</v>
      </c>
      <c r="AF69" s="39">
        <f>-ROUND(IPMT($C$3,$K$4,$C$2,$C68,0,0),0)</f>
        <v>11120676</v>
      </c>
      <c r="AG69" s="39">
        <f>-ROUND(IPMT($C$3,$L$4,$C$2,$C68,0,0),0)</f>
        <v>10893304</v>
      </c>
      <c r="AH69" s="39">
        <f>-ROUND(IPMT($C$3,$M$4,$C$2,$C68,0,0),0)</f>
        <v>10661157</v>
      </c>
      <c r="AI69" s="39">
        <f>-ROUND(IPMT($C$3,$N$4,$C$2,$C68,0,0),0)</f>
        <v>10424135</v>
      </c>
      <c r="AJ69" s="39">
        <f>-ROUND(IPMT($C$3,$O$4,$C$2,$C68,0,0),0)</f>
        <v>10182135</v>
      </c>
      <c r="AK69" s="39">
        <f>-ROUND(IPMT($C$3,$P$4,$C$2,$C68,0,0),0)</f>
        <v>9935053</v>
      </c>
      <c r="AL69" s="39">
        <f>-ROUND(IPMT($C$3,$Q$4,$C$2,$C68,0,0),0)</f>
        <v>9682783</v>
      </c>
      <c r="AM69" s="39">
        <f>-ROUND(IPMT($C$3,$R$4,$C$2,$C68,0,0),0)</f>
        <v>9425215</v>
      </c>
      <c r="AN69" s="39">
        <f>-ROUND(IPMT($C$3,$S$4,$C$2,$C68,0,0),0)</f>
        <v>9162238</v>
      </c>
      <c r="AO69" s="39">
        <f>-ROUND(IPMT($C$3,$T$4,$C$2,$C68,0,0),0)</f>
        <v>8893738</v>
      </c>
      <c r="AP69" s="39">
        <f>-ROUND(IPMT($C$3,$U$4,$C$2,$C68,0,0),0)</f>
        <v>8619600</v>
      </c>
      <c r="AQ69" s="39">
        <f>-ROUND(IPMT($C$3,$V$4,$C$2,$C68,0,0),0)</f>
        <v>8339705</v>
      </c>
      <c r="AR69" s="39">
        <f>-ROUND(IPMT($C$3,$W$4,$C$2,$C68,0,0),0)</f>
        <v>8053932</v>
      </c>
      <c r="AS69" s="39">
        <f>-ROUND(IPMT($C$3,$X$4,$C$2,$C68,0,0),0)</f>
        <v>7762158</v>
      </c>
      <c r="AT69" s="39">
        <f>-ROUND(IPMT($C$3,$Y$4,$C$2,$C68,0,0),0)</f>
        <v>7464257</v>
      </c>
      <c r="AU69" s="39">
        <f>-ROUND(IPMT($C$3,$Z$4,$C$2,$C68,0,0),0)</f>
        <v>7160100</v>
      </c>
      <c r="AV69" s="39">
        <f>-ROUND(IPMT($C$3,$AA$4,$C$2,$C68,0,0),0)</f>
        <v>6849555</v>
      </c>
      <c r="AW69" s="39">
        <f>-ROUND(IPMT($C$3,$AB$4,$C$2,$C68,0,0),0)</f>
        <v>6532490</v>
      </c>
      <c r="AX69" s="39">
        <f>-ROUND(IPMT($C$3,$AC$4,$C$2,$C68,0,0),0)</f>
        <v>6208765</v>
      </c>
      <c r="AY69" s="39">
        <f>-ROUND(IPMT($C$3,$AD$4,$C$2,$C68,0,0),0)</f>
        <v>5878243</v>
      </c>
      <c r="AZ69" s="39">
        <f>-ROUND(IPMT($C$3,$AE$4,$C$2,$C68,0,0),0)</f>
        <v>5540779</v>
      </c>
      <c r="BA69" s="39">
        <f>-ROUND(IPMT($C$3,$AF$4,$C$2,$C68,0,0),0)</f>
        <v>5196229</v>
      </c>
      <c r="BB69" s="39">
        <f>-ROUND(IPMT($C$3,$AG$4,$C$2,$C68,0,0),0)</f>
        <v>4844443</v>
      </c>
    </row>
    <row r="70" spans="2:54">
      <c r="B70" s="3"/>
      <c r="C70" s="134"/>
      <c r="D70" s="39" t="s">
        <v>339</v>
      </c>
      <c r="E70" s="40"/>
      <c r="F70" s="40"/>
      <c r="G70" s="40"/>
      <c r="H70" s="40"/>
      <c r="I70" s="40"/>
      <c r="J70" s="40"/>
      <c r="K70" s="40"/>
      <c r="L70" s="40"/>
      <c r="M70" s="40"/>
      <c r="N70" s="40"/>
      <c r="O70" s="40"/>
      <c r="P70" s="40"/>
      <c r="Q70" s="40"/>
      <c r="R70" s="40"/>
      <c r="S70" s="40"/>
      <c r="T70" s="40"/>
      <c r="U70" s="40"/>
      <c r="V70" s="40"/>
      <c r="W70" s="40"/>
      <c r="X70" s="40"/>
      <c r="Y70" s="64">
        <f>$C68</f>
        <v>590000000</v>
      </c>
      <c r="Z70" s="39">
        <f>$C68-Z68</f>
        <v>580442069</v>
      </c>
      <c r="AA70" s="39">
        <f t="shared" ref="AA70:BB70" si="23">Z70-AA68</f>
        <v>570683421</v>
      </c>
      <c r="AB70" s="39">
        <f t="shared" si="23"/>
        <v>560719841</v>
      </c>
      <c r="AC70" s="39">
        <f t="shared" si="23"/>
        <v>550547026</v>
      </c>
      <c r="AD70" s="39">
        <f t="shared" si="23"/>
        <v>540160582</v>
      </c>
      <c r="AE70" s="39">
        <f t="shared" si="23"/>
        <v>529556023</v>
      </c>
      <c r="AF70" s="39">
        <f t="shared" si="23"/>
        <v>518728768</v>
      </c>
      <c r="AG70" s="39">
        <f t="shared" si="23"/>
        <v>507674141</v>
      </c>
      <c r="AH70" s="39">
        <f t="shared" si="23"/>
        <v>496387366</v>
      </c>
      <c r="AI70" s="39">
        <f t="shared" si="23"/>
        <v>484863569</v>
      </c>
      <c r="AJ70" s="39">
        <f t="shared" si="23"/>
        <v>473097772</v>
      </c>
      <c r="AK70" s="39">
        <f t="shared" si="23"/>
        <v>461084894</v>
      </c>
      <c r="AL70" s="39">
        <f t="shared" si="23"/>
        <v>448819745</v>
      </c>
      <c r="AM70" s="39">
        <f t="shared" si="23"/>
        <v>436297028</v>
      </c>
      <c r="AN70" s="39">
        <f t="shared" si="23"/>
        <v>423511334</v>
      </c>
      <c r="AO70" s="39">
        <f t="shared" si="23"/>
        <v>410457141</v>
      </c>
      <c r="AP70" s="39">
        <f t="shared" si="23"/>
        <v>397128810</v>
      </c>
      <c r="AQ70" s="39">
        <f t="shared" si="23"/>
        <v>383520584</v>
      </c>
      <c r="AR70" s="39">
        <f t="shared" si="23"/>
        <v>369626585</v>
      </c>
      <c r="AS70" s="39">
        <f t="shared" si="23"/>
        <v>355440812</v>
      </c>
      <c r="AT70" s="39">
        <f t="shared" si="23"/>
        <v>340957138</v>
      </c>
      <c r="AU70" s="39">
        <f t="shared" si="23"/>
        <v>326169306</v>
      </c>
      <c r="AV70" s="39">
        <f t="shared" si="23"/>
        <v>311070930</v>
      </c>
      <c r="AW70" s="39">
        <f t="shared" si="23"/>
        <v>295655488</v>
      </c>
      <c r="AX70" s="39">
        <f t="shared" si="23"/>
        <v>279916322</v>
      </c>
      <c r="AY70" s="39">
        <f t="shared" si="23"/>
        <v>263846633</v>
      </c>
      <c r="AZ70" s="39">
        <f t="shared" si="23"/>
        <v>247439481</v>
      </c>
      <c r="BA70" s="39">
        <f t="shared" si="23"/>
        <v>230687779</v>
      </c>
      <c r="BB70" s="39">
        <f t="shared" si="23"/>
        <v>213584291</v>
      </c>
    </row>
    <row r="71" spans="2:54">
      <c r="B71" s="2" t="s">
        <v>44</v>
      </c>
      <c r="C71" s="132">
        <f>【成行】財政シミュ!AO74</f>
        <v>50000000</v>
      </c>
      <c r="D71" s="39" t="s">
        <v>582</v>
      </c>
      <c r="E71" s="40"/>
      <c r="F71" s="40"/>
      <c r="G71" s="40"/>
      <c r="H71" s="40"/>
      <c r="I71" s="40"/>
      <c r="J71" s="40"/>
      <c r="K71" s="40"/>
      <c r="L71" s="40"/>
      <c r="M71" s="40"/>
      <c r="N71" s="40"/>
      <c r="O71" s="40"/>
      <c r="P71" s="40"/>
      <c r="Q71" s="40"/>
      <c r="R71" s="40"/>
      <c r="S71" s="40"/>
      <c r="T71" s="40"/>
      <c r="U71" s="40"/>
      <c r="V71" s="40"/>
      <c r="W71" s="40"/>
      <c r="X71" s="40"/>
      <c r="Y71" s="40"/>
      <c r="Z71" s="40"/>
      <c r="AA71" s="39">
        <f>-ROUND(PPMT($C$3,$E$4,$C$2,$C71,0,0),0)</f>
        <v>809994</v>
      </c>
      <c r="AB71" s="39">
        <f>-ROUND(PPMT($C$3,$F$4,$C$2,$C71,0,0),0)</f>
        <v>827004</v>
      </c>
      <c r="AC71" s="39">
        <f>-ROUND(PPMT($C$3,$G$4,$C$2,$C71,0,0),0)</f>
        <v>844371</v>
      </c>
      <c r="AD71" s="39">
        <f>-ROUND(PPMT($C$3,$H$4,$C$2,$C71,0,0),0)</f>
        <v>862103</v>
      </c>
      <c r="AE71" s="39">
        <f>-ROUND(PPMT($C$3,$I$4,$C$2,$C71,0,0),0)</f>
        <v>880207</v>
      </c>
      <c r="AF71" s="39">
        <f>-ROUND(PPMT($C$3,$J$4,$C$2,$C71,0,0),0)</f>
        <v>898691</v>
      </c>
      <c r="AG71" s="39">
        <f>-ROUND(PPMT($C$3,$K$4,$C$2,$C71,0,0),0)</f>
        <v>917564</v>
      </c>
      <c r="AH71" s="39">
        <f>-ROUND(PPMT($C$3,$L$4,$C$2,$C71,0,0),0)</f>
        <v>936833</v>
      </c>
      <c r="AI71" s="39">
        <f>-ROUND(PPMT($C$3,$M$4,$C$2,$C71,0,0),0)</f>
        <v>956506</v>
      </c>
      <c r="AJ71" s="39">
        <f>-ROUND(PPMT($C$3,$N$4,$C$2,$C71,0,0),0)</f>
        <v>976593</v>
      </c>
      <c r="AK71" s="39">
        <f>-ROUND(PPMT($C$3,$O$4,$C$2,$C71,0,0),0)</f>
        <v>997101</v>
      </c>
      <c r="AL71" s="39">
        <f>-ROUND(PPMT($C$3,$P$4,$C$2,$C71,0,0),0)</f>
        <v>1018041</v>
      </c>
      <c r="AM71" s="39">
        <f>-ROUND(PPMT($C$3,$Q$4,$C$2,$C71,0,0),0)</f>
        <v>1039419</v>
      </c>
      <c r="AN71" s="39">
        <f>-ROUND(PPMT($C$3,$R$4,$C$2,$C71,0,0),0)</f>
        <v>1061247</v>
      </c>
      <c r="AO71" s="39">
        <f>-ROUND(PPMT($C$3,$S$4,$C$2,$C71,0,0),0)</f>
        <v>1083533</v>
      </c>
      <c r="AP71" s="39">
        <f>-ROUND(PPMT($C$3,$T$4,$C$2,$C71,0,0),0)</f>
        <v>1106288</v>
      </c>
      <c r="AQ71" s="39">
        <f>-ROUND(PPMT($C$3,$U$4,$C$2,$C71,0,0),0)</f>
        <v>1129520</v>
      </c>
      <c r="AR71" s="39">
        <f>-ROUND(PPMT($C$3,$V$4,$C$2,$C71,0,0),0)</f>
        <v>1153240</v>
      </c>
      <c r="AS71" s="39">
        <f>-ROUND(PPMT($C$3,$W$4,$C$2,$C71,0,0),0)</f>
        <v>1177458</v>
      </c>
      <c r="AT71" s="39">
        <f>-ROUND(PPMT($C$3,$X$4,$C$2,$C71,0,0),0)</f>
        <v>1202184</v>
      </c>
      <c r="AU71" s="39">
        <f>-ROUND(PPMT($C$3,$Y$4,$C$2,$C71,0,0),0)</f>
        <v>1227430</v>
      </c>
      <c r="AV71" s="39">
        <f>-ROUND(PPMT($C$3,$Z$4,$C$2,$C71,0,0),0)</f>
        <v>1253206</v>
      </c>
      <c r="AW71" s="39">
        <f>-ROUND(PPMT($C$3,$AA$4,$C$2,$C71,0,0),0)</f>
        <v>1279523</v>
      </c>
      <c r="AX71" s="39">
        <f>-ROUND(PPMT($C$3,$AB$4,$C$2,$C71,0,0),0)</f>
        <v>1306393</v>
      </c>
      <c r="AY71" s="39">
        <f>-ROUND(PPMT($C$3,$AC$4,$C$2,$C71,0,0),0)</f>
        <v>1333828</v>
      </c>
      <c r="AZ71" s="39">
        <f>-ROUND(PPMT($C$3,$AD$4,$C$2,$C71,0,0),0)</f>
        <v>1361838</v>
      </c>
      <c r="BA71" s="39">
        <f>-ROUND(PPMT($C$3,$AE$4,$C$2,$C71,0,0),0)</f>
        <v>1390437</v>
      </c>
      <c r="BB71" s="39">
        <f>-ROUND(PPMT($C$3,$AF$4,$C$2,$C71,0,0),0)</f>
        <v>1419636</v>
      </c>
    </row>
    <row r="72" spans="2:54">
      <c r="B72" s="4"/>
      <c r="C72" s="133"/>
      <c r="D72" s="39" t="s">
        <v>583</v>
      </c>
      <c r="E72" s="40"/>
      <c r="F72" s="40"/>
      <c r="G72" s="40"/>
      <c r="H72" s="40"/>
      <c r="I72" s="40"/>
      <c r="J72" s="40"/>
      <c r="K72" s="40"/>
      <c r="L72" s="40"/>
      <c r="M72" s="40"/>
      <c r="N72" s="40"/>
      <c r="O72" s="40"/>
      <c r="P72" s="40"/>
      <c r="Q72" s="40"/>
      <c r="R72" s="40"/>
      <c r="S72" s="40"/>
      <c r="T72" s="40"/>
      <c r="U72" s="40"/>
      <c r="V72" s="40"/>
      <c r="W72" s="40"/>
      <c r="X72" s="40"/>
      <c r="Y72" s="40"/>
      <c r="Z72" s="40"/>
      <c r="AA72" s="39">
        <f>-ROUND(IPMT($C$3,$E$4,$C$2,$C71,0,0),0)</f>
        <v>1050000</v>
      </c>
      <c r="AB72" s="39">
        <f>-ROUND(IPMT($C$3,$F$4,$C$2,$C71,0,0),0)</f>
        <v>1032990</v>
      </c>
      <c r="AC72" s="39">
        <f>-ROUND(IPMT($C$3,$G$4,$C$2,$C71,0,0),0)</f>
        <v>1015623</v>
      </c>
      <c r="AD72" s="39">
        <f>-ROUND(IPMT($C$3,$H$4,$C$2,$C71,0,0),0)</f>
        <v>997891</v>
      </c>
      <c r="AE72" s="39">
        <f>-ROUND(IPMT($C$3,$I$4,$C$2,$C71,0,0),0)</f>
        <v>979787</v>
      </c>
      <c r="AF72" s="39">
        <f>-ROUND(IPMT($C$3,$J$4,$C$2,$C71,0,0),0)</f>
        <v>961303</v>
      </c>
      <c r="AG72" s="39">
        <f>-ROUND(IPMT($C$3,$K$4,$C$2,$C71,0,0),0)</f>
        <v>942430</v>
      </c>
      <c r="AH72" s="39">
        <f>-ROUND(IPMT($C$3,$L$4,$C$2,$C71,0,0),0)</f>
        <v>923161</v>
      </c>
      <c r="AI72" s="39">
        <f>-ROUND(IPMT($C$3,$M$4,$C$2,$C71,0,0),0)</f>
        <v>903488</v>
      </c>
      <c r="AJ72" s="39">
        <f>-ROUND(IPMT($C$3,$N$4,$C$2,$C71,0,0),0)</f>
        <v>883401</v>
      </c>
      <c r="AK72" s="39">
        <f>-ROUND(IPMT($C$3,$O$4,$C$2,$C71,0,0),0)</f>
        <v>862893</v>
      </c>
      <c r="AL72" s="39">
        <f>-ROUND(IPMT($C$3,$P$4,$C$2,$C71,0,0),0)</f>
        <v>841954</v>
      </c>
      <c r="AM72" s="39">
        <f>-ROUND(IPMT($C$3,$Q$4,$C$2,$C71,0,0),0)</f>
        <v>820575</v>
      </c>
      <c r="AN72" s="39">
        <f>-ROUND(IPMT($C$3,$R$4,$C$2,$C71,0,0),0)</f>
        <v>798747</v>
      </c>
      <c r="AO72" s="39">
        <f>-ROUND(IPMT($C$3,$S$4,$C$2,$C71,0,0),0)</f>
        <v>776461</v>
      </c>
      <c r="AP72" s="39">
        <f>-ROUND(IPMT($C$3,$T$4,$C$2,$C71,0,0),0)</f>
        <v>753707</v>
      </c>
      <c r="AQ72" s="39">
        <f>-ROUND(IPMT($C$3,$U$4,$C$2,$C71,0,0),0)</f>
        <v>730475</v>
      </c>
      <c r="AR72" s="39">
        <f>-ROUND(IPMT($C$3,$V$4,$C$2,$C71,0,0),0)</f>
        <v>706755</v>
      </c>
      <c r="AS72" s="39">
        <f>-ROUND(IPMT($C$3,$W$4,$C$2,$C71,0,0),0)</f>
        <v>682537</v>
      </c>
      <c r="AT72" s="39">
        <f>-ROUND(IPMT($C$3,$X$4,$C$2,$C71,0,0),0)</f>
        <v>657810</v>
      </c>
      <c r="AU72" s="39">
        <f>-ROUND(IPMT($C$3,$Y$4,$C$2,$C71,0,0),0)</f>
        <v>632564</v>
      </c>
      <c r="AV72" s="39">
        <f>-ROUND(IPMT($C$3,$Z$4,$C$2,$C71,0,0),0)</f>
        <v>606788</v>
      </c>
      <c r="AW72" s="39">
        <f>-ROUND(IPMT($C$3,$AA$4,$C$2,$C71,0,0),0)</f>
        <v>580471</v>
      </c>
      <c r="AX72" s="39">
        <f>-ROUND(IPMT($C$3,$AB$4,$C$2,$C71,0,0),0)</f>
        <v>553601</v>
      </c>
      <c r="AY72" s="39">
        <f>-ROUND(IPMT($C$3,$AC$4,$C$2,$C71,0,0),0)</f>
        <v>526167</v>
      </c>
      <c r="AZ72" s="39">
        <f>-ROUND(IPMT($C$3,$AD$4,$C$2,$C71,0,0),0)</f>
        <v>498156</v>
      </c>
      <c r="BA72" s="39">
        <f>-ROUND(IPMT($C$3,$AE$4,$C$2,$C71,0,0),0)</f>
        <v>469558</v>
      </c>
      <c r="BB72" s="39">
        <f>-ROUND(IPMT($C$3,$AF$4,$C$2,$C71,0,0),0)</f>
        <v>440358</v>
      </c>
    </row>
    <row r="73" spans="2:54">
      <c r="B73" s="3"/>
      <c r="C73" s="134"/>
      <c r="D73" s="39" t="s">
        <v>339</v>
      </c>
      <c r="E73" s="40"/>
      <c r="F73" s="40"/>
      <c r="G73" s="40"/>
      <c r="H73" s="40"/>
      <c r="I73" s="40"/>
      <c r="J73" s="40"/>
      <c r="K73" s="40"/>
      <c r="L73" s="40"/>
      <c r="M73" s="40"/>
      <c r="N73" s="40"/>
      <c r="O73" s="40"/>
      <c r="P73" s="40"/>
      <c r="Q73" s="40"/>
      <c r="R73" s="40"/>
      <c r="S73" s="40"/>
      <c r="T73" s="40"/>
      <c r="U73" s="40"/>
      <c r="V73" s="40"/>
      <c r="W73" s="40"/>
      <c r="X73" s="40"/>
      <c r="Y73" s="40"/>
      <c r="Z73" s="64">
        <f>$C71</f>
        <v>50000000</v>
      </c>
      <c r="AA73" s="39">
        <f>$C71-AA71</f>
        <v>49190006</v>
      </c>
      <c r="AB73" s="39">
        <f t="shared" ref="AB73:BB73" si="24">AA73-AB71</f>
        <v>48363002</v>
      </c>
      <c r="AC73" s="39">
        <f t="shared" si="24"/>
        <v>47518631</v>
      </c>
      <c r="AD73" s="39">
        <f t="shared" si="24"/>
        <v>46656528</v>
      </c>
      <c r="AE73" s="39">
        <f t="shared" si="24"/>
        <v>45776321</v>
      </c>
      <c r="AF73" s="39">
        <f t="shared" si="24"/>
        <v>44877630</v>
      </c>
      <c r="AG73" s="39">
        <f t="shared" si="24"/>
        <v>43960066</v>
      </c>
      <c r="AH73" s="39">
        <f t="shared" si="24"/>
        <v>43023233</v>
      </c>
      <c r="AI73" s="39">
        <f t="shared" si="24"/>
        <v>42066727</v>
      </c>
      <c r="AJ73" s="39">
        <f t="shared" si="24"/>
        <v>41090134</v>
      </c>
      <c r="AK73" s="39">
        <f t="shared" si="24"/>
        <v>40093033</v>
      </c>
      <c r="AL73" s="39">
        <f t="shared" si="24"/>
        <v>39074992</v>
      </c>
      <c r="AM73" s="39">
        <f t="shared" si="24"/>
        <v>38035573</v>
      </c>
      <c r="AN73" s="39">
        <f t="shared" si="24"/>
        <v>36974326</v>
      </c>
      <c r="AO73" s="39">
        <f t="shared" si="24"/>
        <v>35890793</v>
      </c>
      <c r="AP73" s="39">
        <f t="shared" si="24"/>
        <v>34784505</v>
      </c>
      <c r="AQ73" s="39">
        <f t="shared" si="24"/>
        <v>33654985</v>
      </c>
      <c r="AR73" s="39">
        <f t="shared" si="24"/>
        <v>32501745</v>
      </c>
      <c r="AS73" s="39">
        <f t="shared" si="24"/>
        <v>31324287</v>
      </c>
      <c r="AT73" s="39">
        <f t="shared" si="24"/>
        <v>30122103</v>
      </c>
      <c r="AU73" s="39">
        <f t="shared" si="24"/>
        <v>28894673</v>
      </c>
      <c r="AV73" s="39">
        <f t="shared" si="24"/>
        <v>27641467</v>
      </c>
      <c r="AW73" s="39">
        <f t="shared" si="24"/>
        <v>26361944</v>
      </c>
      <c r="AX73" s="39">
        <f t="shared" si="24"/>
        <v>25055551</v>
      </c>
      <c r="AY73" s="39">
        <f t="shared" si="24"/>
        <v>23721723</v>
      </c>
      <c r="AZ73" s="39">
        <f t="shared" si="24"/>
        <v>22359885</v>
      </c>
      <c r="BA73" s="39">
        <f t="shared" si="24"/>
        <v>20969448</v>
      </c>
      <c r="BB73" s="39">
        <f t="shared" si="24"/>
        <v>19549812</v>
      </c>
    </row>
    <row r="74" spans="2:54">
      <c r="B74" s="2" t="s">
        <v>45</v>
      </c>
      <c r="C74" s="132">
        <f>【成行】財政シミュ!AP74</f>
        <v>50000000</v>
      </c>
      <c r="D74" s="39" t="s">
        <v>582</v>
      </c>
      <c r="E74" s="40"/>
      <c r="F74" s="40"/>
      <c r="G74" s="40"/>
      <c r="H74" s="40"/>
      <c r="I74" s="40"/>
      <c r="J74" s="40"/>
      <c r="K74" s="40"/>
      <c r="L74" s="40"/>
      <c r="M74" s="40"/>
      <c r="N74" s="40"/>
      <c r="O74" s="40"/>
      <c r="P74" s="40"/>
      <c r="Q74" s="40"/>
      <c r="R74" s="40"/>
      <c r="S74" s="40"/>
      <c r="T74" s="40"/>
      <c r="U74" s="40"/>
      <c r="V74" s="40"/>
      <c r="W74" s="40"/>
      <c r="X74" s="40"/>
      <c r="Y74" s="40"/>
      <c r="Z74" s="40"/>
      <c r="AA74" s="40"/>
      <c r="AB74" s="39">
        <f>-ROUND(PPMT($C$3,$E$4,$C$2,$C74,0,0),0)</f>
        <v>809994</v>
      </c>
      <c r="AC74" s="39">
        <f>-ROUND(PPMT($C$3,$F$4,$C$2,$C74,0,0),0)</f>
        <v>827004</v>
      </c>
      <c r="AD74" s="39">
        <f>-ROUND(PPMT($C$3,$G$4,$C$2,$C74,0,0),0)</f>
        <v>844371</v>
      </c>
      <c r="AE74" s="39">
        <f>-ROUND(PPMT($C$3,$H$4,$C$2,$C74,0,0),0)</f>
        <v>862103</v>
      </c>
      <c r="AF74" s="39">
        <f>-ROUND(PPMT($C$3,$I$4,$C$2,$C74,0,0),0)</f>
        <v>880207</v>
      </c>
      <c r="AG74" s="39">
        <f>-ROUND(PPMT($C$3,$J$4,$C$2,$C74,0,0),0)</f>
        <v>898691</v>
      </c>
      <c r="AH74" s="39">
        <f>-ROUND(PPMT($C$3,$K$4,$C$2,$C74,0,0),0)</f>
        <v>917564</v>
      </c>
      <c r="AI74" s="39">
        <f>-ROUND(PPMT($C$3,$L$4,$C$2,$C74,0,0),0)</f>
        <v>936833</v>
      </c>
      <c r="AJ74" s="39">
        <f>-ROUND(PPMT($C$3,$M$4,$C$2,$C74,0,0),0)</f>
        <v>956506</v>
      </c>
      <c r="AK74" s="39">
        <f>-ROUND(PPMT($C$3,$N$4,$C$2,$C74,0,0),0)</f>
        <v>976593</v>
      </c>
      <c r="AL74" s="39">
        <f>-ROUND(PPMT($C$3,$O$4,$C$2,$C74,0,0),0)</f>
        <v>997101</v>
      </c>
      <c r="AM74" s="39">
        <f>-ROUND(PPMT($C$3,$P$4,$C$2,$C74,0,0),0)</f>
        <v>1018041</v>
      </c>
      <c r="AN74" s="39">
        <f>-ROUND(PPMT($C$3,$Q$4,$C$2,$C74,0,0),0)</f>
        <v>1039419</v>
      </c>
      <c r="AO74" s="39">
        <f>-ROUND(PPMT($C$3,$R$4,$C$2,$C74,0,0),0)</f>
        <v>1061247</v>
      </c>
      <c r="AP74" s="39">
        <f>-ROUND(PPMT($C$3,$S$4,$C$2,$C74,0,0),0)</f>
        <v>1083533</v>
      </c>
      <c r="AQ74" s="39">
        <f>-ROUND(PPMT($C$3,$T$4,$C$2,$C74,0,0),0)</f>
        <v>1106288</v>
      </c>
      <c r="AR74" s="39">
        <f>-ROUND(PPMT($C$3,$U$4,$C$2,$C74,0,0),0)</f>
        <v>1129520</v>
      </c>
      <c r="AS74" s="39">
        <f>-ROUND(PPMT($C$3,$V$4,$C$2,$C74,0,0),0)</f>
        <v>1153240</v>
      </c>
      <c r="AT74" s="39">
        <f>-ROUND(PPMT($C$3,$W$4,$C$2,$C74,0,0),0)</f>
        <v>1177458</v>
      </c>
      <c r="AU74" s="39">
        <f>-ROUND(PPMT($C$3,$X$4,$C$2,$C74,0,0),0)</f>
        <v>1202184</v>
      </c>
      <c r="AV74" s="39">
        <f>-ROUND(PPMT($C$3,$Y$4,$C$2,$C74,0,0),0)</f>
        <v>1227430</v>
      </c>
      <c r="AW74" s="39">
        <f>-ROUND(PPMT($C$3,$Z$4,$C$2,$C74,0,0),0)</f>
        <v>1253206</v>
      </c>
      <c r="AX74" s="39">
        <f>-ROUND(PPMT($C$3,$AA$4,$C$2,$C74,0,0),0)</f>
        <v>1279523</v>
      </c>
      <c r="AY74" s="39">
        <f>-ROUND(PPMT($C$3,$AB$4,$C$2,$C74,0,0),0)</f>
        <v>1306393</v>
      </c>
      <c r="AZ74" s="39">
        <f>-ROUND(PPMT($C$3,$AC$4,$C$2,$C74,0,0),0)</f>
        <v>1333828</v>
      </c>
      <c r="BA74" s="39">
        <f>-ROUND(PPMT($C$3,$AD$4,$C$2,$C74,0,0),0)</f>
        <v>1361838</v>
      </c>
      <c r="BB74" s="39">
        <f>-ROUND(PPMT($C$3,$AE$4,$C$2,$C74,0,0),0)</f>
        <v>1390437</v>
      </c>
    </row>
    <row r="75" spans="2:54">
      <c r="B75" s="4"/>
      <c r="C75" s="133"/>
      <c r="D75" s="39" t="s">
        <v>583</v>
      </c>
      <c r="E75" s="40"/>
      <c r="F75" s="40"/>
      <c r="G75" s="40"/>
      <c r="H75" s="40"/>
      <c r="I75" s="40"/>
      <c r="J75" s="40"/>
      <c r="K75" s="40"/>
      <c r="L75" s="40"/>
      <c r="M75" s="40"/>
      <c r="N75" s="40"/>
      <c r="O75" s="40"/>
      <c r="P75" s="40"/>
      <c r="Q75" s="40"/>
      <c r="R75" s="40"/>
      <c r="S75" s="40"/>
      <c r="T75" s="40"/>
      <c r="U75" s="40"/>
      <c r="V75" s="40"/>
      <c r="W75" s="40"/>
      <c r="X75" s="40"/>
      <c r="Y75" s="40"/>
      <c r="Z75" s="40"/>
      <c r="AA75" s="40"/>
      <c r="AB75" s="39">
        <f>-ROUND(IPMT($C$3,$E$4,$C$2,$C74,0,0),0)</f>
        <v>1050000</v>
      </c>
      <c r="AC75" s="39">
        <f>-ROUND(IPMT($C$3,$F$4,$C$2,$C74,0,0),0)</f>
        <v>1032990</v>
      </c>
      <c r="AD75" s="39">
        <f>-ROUND(IPMT($C$3,$G$4,$C$2,$C74,0,0),0)</f>
        <v>1015623</v>
      </c>
      <c r="AE75" s="39">
        <f>-ROUND(IPMT($C$3,$H$4,$C$2,$C74,0,0),0)</f>
        <v>997891</v>
      </c>
      <c r="AF75" s="39">
        <f>-ROUND(IPMT($C$3,$I$4,$C$2,$C74,0,0),0)</f>
        <v>979787</v>
      </c>
      <c r="AG75" s="39">
        <f>-ROUND(IPMT($C$3,$J$4,$C$2,$C74,0,0),0)</f>
        <v>961303</v>
      </c>
      <c r="AH75" s="39">
        <f>-ROUND(IPMT($C$3,$K$4,$C$2,$C74,0,0),0)</f>
        <v>942430</v>
      </c>
      <c r="AI75" s="39">
        <f>-ROUND(IPMT($C$3,$L$4,$C$2,$C74,0,0),0)</f>
        <v>923161</v>
      </c>
      <c r="AJ75" s="39">
        <f>-ROUND(IPMT($C$3,$M$4,$C$2,$C74,0,0),0)</f>
        <v>903488</v>
      </c>
      <c r="AK75" s="39">
        <f>-ROUND(IPMT($C$3,$N$4,$C$2,$C74,0,0),0)</f>
        <v>883401</v>
      </c>
      <c r="AL75" s="39">
        <f>-ROUND(IPMT($C$3,$O$4,$C$2,$C74,0,0),0)</f>
        <v>862893</v>
      </c>
      <c r="AM75" s="39">
        <f>-ROUND(IPMT($C$3,$P$4,$C$2,$C74,0,0),0)</f>
        <v>841954</v>
      </c>
      <c r="AN75" s="39">
        <f>-ROUND(IPMT($C$3,$Q$4,$C$2,$C74,0,0),0)</f>
        <v>820575</v>
      </c>
      <c r="AO75" s="39">
        <f>-ROUND(IPMT($C$3,$R$4,$C$2,$C74,0,0),0)</f>
        <v>798747</v>
      </c>
      <c r="AP75" s="39">
        <f>-ROUND(IPMT($C$3,$S$4,$C$2,$C74,0,0),0)</f>
        <v>776461</v>
      </c>
      <c r="AQ75" s="39">
        <f>-ROUND(IPMT($C$3,$T$4,$C$2,$C74,0,0),0)</f>
        <v>753707</v>
      </c>
      <c r="AR75" s="39">
        <f>-ROUND(IPMT($C$3,$U$4,$C$2,$C74,0,0),0)</f>
        <v>730475</v>
      </c>
      <c r="AS75" s="39">
        <f>-ROUND(IPMT($C$3,$V$4,$C$2,$C74,0,0),0)</f>
        <v>706755</v>
      </c>
      <c r="AT75" s="39">
        <f>-ROUND(IPMT($C$3,$W$4,$C$2,$C74,0,0),0)</f>
        <v>682537</v>
      </c>
      <c r="AU75" s="39">
        <f>-ROUND(IPMT($C$3,$X$4,$C$2,$C74,0,0),0)</f>
        <v>657810</v>
      </c>
      <c r="AV75" s="39">
        <f>-ROUND(IPMT($C$3,$Y$4,$C$2,$C74,0,0),0)</f>
        <v>632564</v>
      </c>
      <c r="AW75" s="39">
        <f>-ROUND(IPMT($C$3,$Z$4,$C$2,$C74,0,0),0)</f>
        <v>606788</v>
      </c>
      <c r="AX75" s="39">
        <f>-ROUND(IPMT($C$3,$AA$4,$C$2,$C74,0,0),0)</f>
        <v>580471</v>
      </c>
      <c r="AY75" s="39">
        <f>-ROUND(IPMT($C$3,$AB$4,$C$2,$C74,0,0),0)</f>
        <v>553601</v>
      </c>
      <c r="AZ75" s="39">
        <f>-ROUND(IPMT($C$3,$AC$4,$C$2,$C74,0,0),0)</f>
        <v>526167</v>
      </c>
      <c r="BA75" s="39">
        <f>-ROUND(IPMT($C$3,$AD$4,$C$2,$C74,0,0),0)</f>
        <v>498156</v>
      </c>
      <c r="BB75" s="39">
        <f>-ROUND(IPMT($C$3,$AE$4,$C$2,$C74,0,0),0)</f>
        <v>469558</v>
      </c>
    </row>
    <row r="76" spans="2:54">
      <c r="B76" s="3"/>
      <c r="C76" s="134"/>
      <c r="D76" s="39" t="s">
        <v>339</v>
      </c>
      <c r="E76" s="40"/>
      <c r="F76" s="40"/>
      <c r="G76" s="40"/>
      <c r="H76" s="40"/>
      <c r="I76" s="40"/>
      <c r="J76" s="40"/>
      <c r="K76" s="40"/>
      <c r="L76" s="40"/>
      <c r="M76" s="40"/>
      <c r="N76" s="40"/>
      <c r="O76" s="40"/>
      <c r="P76" s="40"/>
      <c r="Q76" s="40"/>
      <c r="R76" s="40"/>
      <c r="S76" s="40"/>
      <c r="T76" s="40"/>
      <c r="U76" s="40"/>
      <c r="V76" s="40"/>
      <c r="W76" s="40"/>
      <c r="X76" s="40"/>
      <c r="Y76" s="40"/>
      <c r="Z76" s="40"/>
      <c r="AA76" s="64">
        <f>$C74</f>
        <v>50000000</v>
      </c>
      <c r="AB76" s="39">
        <f>$C74-AB74</f>
        <v>49190006</v>
      </c>
      <c r="AC76" s="39">
        <f t="shared" ref="AC76:BB76" si="25">AB76-AC74</f>
        <v>48363002</v>
      </c>
      <c r="AD76" s="39">
        <f t="shared" si="25"/>
        <v>47518631</v>
      </c>
      <c r="AE76" s="39">
        <f t="shared" si="25"/>
        <v>46656528</v>
      </c>
      <c r="AF76" s="39">
        <f t="shared" si="25"/>
        <v>45776321</v>
      </c>
      <c r="AG76" s="39">
        <f t="shared" si="25"/>
        <v>44877630</v>
      </c>
      <c r="AH76" s="39">
        <f t="shared" si="25"/>
        <v>43960066</v>
      </c>
      <c r="AI76" s="39">
        <f t="shared" si="25"/>
        <v>43023233</v>
      </c>
      <c r="AJ76" s="39">
        <f t="shared" si="25"/>
        <v>42066727</v>
      </c>
      <c r="AK76" s="39">
        <f t="shared" si="25"/>
        <v>41090134</v>
      </c>
      <c r="AL76" s="39">
        <f t="shared" si="25"/>
        <v>40093033</v>
      </c>
      <c r="AM76" s="39">
        <f t="shared" si="25"/>
        <v>39074992</v>
      </c>
      <c r="AN76" s="39">
        <f t="shared" si="25"/>
        <v>38035573</v>
      </c>
      <c r="AO76" s="39">
        <f t="shared" si="25"/>
        <v>36974326</v>
      </c>
      <c r="AP76" s="39">
        <f t="shared" si="25"/>
        <v>35890793</v>
      </c>
      <c r="AQ76" s="39">
        <f t="shared" si="25"/>
        <v>34784505</v>
      </c>
      <c r="AR76" s="39">
        <f t="shared" si="25"/>
        <v>33654985</v>
      </c>
      <c r="AS76" s="39">
        <f t="shared" si="25"/>
        <v>32501745</v>
      </c>
      <c r="AT76" s="39">
        <f t="shared" si="25"/>
        <v>31324287</v>
      </c>
      <c r="AU76" s="39">
        <f t="shared" si="25"/>
        <v>30122103</v>
      </c>
      <c r="AV76" s="39">
        <f t="shared" si="25"/>
        <v>28894673</v>
      </c>
      <c r="AW76" s="39">
        <f t="shared" si="25"/>
        <v>27641467</v>
      </c>
      <c r="AX76" s="39">
        <f t="shared" si="25"/>
        <v>26361944</v>
      </c>
      <c r="AY76" s="39">
        <f t="shared" si="25"/>
        <v>25055551</v>
      </c>
      <c r="AZ76" s="39">
        <f t="shared" si="25"/>
        <v>23721723</v>
      </c>
      <c r="BA76" s="39">
        <f t="shared" si="25"/>
        <v>22359885</v>
      </c>
      <c r="BB76" s="39">
        <f t="shared" si="25"/>
        <v>20969448</v>
      </c>
    </row>
    <row r="77" spans="2:54">
      <c r="B77" s="2" t="s">
        <v>46</v>
      </c>
      <c r="C77" s="132">
        <f>【成行】財政シミュ!AQ74</f>
        <v>50000000</v>
      </c>
      <c r="D77" s="39" t="s">
        <v>582</v>
      </c>
      <c r="E77" s="40"/>
      <c r="F77" s="40"/>
      <c r="G77" s="40"/>
      <c r="H77" s="40"/>
      <c r="I77" s="40"/>
      <c r="J77" s="40"/>
      <c r="K77" s="40"/>
      <c r="L77" s="40"/>
      <c r="M77" s="40"/>
      <c r="N77" s="40"/>
      <c r="O77" s="40"/>
      <c r="P77" s="40"/>
      <c r="Q77" s="40"/>
      <c r="R77" s="40"/>
      <c r="S77" s="40"/>
      <c r="T77" s="40"/>
      <c r="U77" s="40"/>
      <c r="V77" s="40"/>
      <c r="W77" s="40"/>
      <c r="X77" s="40"/>
      <c r="Y77" s="40"/>
      <c r="Z77" s="40"/>
      <c r="AA77" s="40"/>
      <c r="AB77" s="40"/>
      <c r="AC77" s="39">
        <f>-ROUND(PPMT($C$3,$E$4,$C$2,$C77,0,0),0)</f>
        <v>809994</v>
      </c>
      <c r="AD77" s="39">
        <f>-ROUND(PPMT($C$3,$F$4,$C$2,$C77,0,0),0)</f>
        <v>827004</v>
      </c>
      <c r="AE77" s="39">
        <f>-ROUND(PPMT($C$3,$G$4,$C$2,$C77,0,0),0)</f>
        <v>844371</v>
      </c>
      <c r="AF77" s="39">
        <f>-ROUND(PPMT($C$3,$H$4,$C$2,$C77,0,0),0)</f>
        <v>862103</v>
      </c>
      <c r="AG77" s="39">
        <f>-ROUND(PPMT($C$3,$I$4,$C$2,$C77,0,0),0)</f>
        <v>880207</v>
      </c>
      <c r="AH77" s="39">
        <f>-ROUND(PPMT($C$3,$J$4,$C$2,$C77,0,0),0)</f>
        <v>898691</v>
      </c>
      <c r="AI77" s="39">
        <f>-ROUND(PPMT($C$3,$K$4,$C$2,$C77,0,0),0)</f>
        <v>917564</v>
      </c>
      <c r="AJ77" s="39">
        <f>-ROUND(PPMT($C$3,$L$4,$C$2,$C77,0,0),0)</f>
        <v>936833</v>
      </c>
      <c r="AK77" s="39">
        <f>-ROUND(PPMT($C$3,$M$4,$C$2,$C77,0,0),0)</f>
        <v>956506</v>
      </c>
      <c r="AL77" s="39">
        <f>-ROUND(PPMT($C$3,$N$4,$C$2,$C77,0,0),0)</f>
        <v>976593</v>
      </c>
      <c r="AM77" s="39">
        <f>-ROUND(PPMT($C$3,$O$4,$C$2,$C77,0,0),0)</f>
        <v>997101</v>
      </c>
      <c r="AN77" s="39">
        <f>-ROUND(PPMT($C$3,$P$4,$C$2,$C77,0,0),0)</f>
        <v>1018041</v>
      </c>
      <c r="AO77" s="39">
        <f>-ROUND(PPMT($C$3,$Q$4,$C$2,$C77,0,0),0)</f>
        <v>1039419</v>
      </c>
      <c r="AP77" s="39">
        <f>-ROUND(PPMT($C$3,$R$4,$C$2,$C77,0,0),0)</f>
        <v>1061247</v>
      </c>
      <c r="AQ77" s="39">
        <f>-ROUND(PPMT($C$3,$S$4,$C$2,$C77,0,0),0)</f>
        <v>1083533</v>
      </c>
      <c r="AR77" s="39">
        <f>-ROUND(PPMT($C$3,$T$4,$C$2,$C77,0,0),0)</f>
        <v>1106288</v>
      </c>
      <c r="AS77" s="39">
        <f>-ROUND(PPMT($C$3,$U$4,$C$2,$C77,0,0),0)</f>
        <v>1129520</v>
      </c>
      <c r="AT77" s="39">
        <f>-ROUND(PPMT($C$3,$V$4,$C$2,$C77,0,0),0)</f>
        <v>1153240</v>
      </c>
      <c r="AU77" s="39">
        <f>-ROUND(PPMT($C$3,$W$4,$C$2,$C77,0,0),0)</f>
        <v>1177458</v>
      </c>
      <c r="AV77" s="39">
        <f>-ROUND(PPMT($C$3,$X$4,$C$2,$C77,0,0),0)</f>
        <v>1202184</v>
      </c>
      <c r="AW77" s="39">
        <f>-ROUND(PPMT($C$3,$Y$4,$C$2,$C77,0,0),0)</f>
        <v>1227430</v>
      </c>
      <c r="AX77" s="39">
        <f>-ROUND(PPMT($C$3,$Z$4,$C$2,$C77,0,0),0)</f>
        <v>1253206</v>
      </c>
      <c r="AY77" s="39">
        <f>-ROUND(PPMT($C$3,$AA$4,$C$2,$C77,0,0),0)</f>
        <v>1279523</v>
      </c>
      <c r="AZ77" s="39">
        <f>-ROUND(PPMT($C$3,$AB$4,$C$2,$C77,0,0),0)</f>
        <v>1306393</v>
      </c>
      <c r="BA77" s="39">
        <f>-ROUND(PPMT($C$3,$AC$4,$C$2,$C77,0,0),0)</f>
        <v>1333828</v>
      </c>
      <c r="BB77" s="39">
        <f>-ROUND(PPMT($C$3,$AD$4,$C$2,$C77,0,0),0)</f>
        <v>1361838</v>
      </c>
    </row>
    <row r="78" spans="2:54">
      <c r="B78" s="4"/>
      <c r="C78" s="133"/>
      <c r="D78" s="39" t="s">
        <v>583</v>
      </c>
      <c r="E78" s="40"/>
      <c r="F78" s="40"/>
      <c r="G78" s="40"/>
      <c r="H78" s="40"/>
      <c r="I78" s="40"/>
      <c r="J78" s="40"/>
      <c r="K78" s="40"/>
      <c r="L78" s="40"/>
      <c r="M78" s="40"/>
      <c r="N78" s="40"/>
      <c r="O78" s="40"/>
      <c r="P78" s="40"/>
      <c r="Q78" s="40"/>
      <c r="R78" s="40"/>
      <c r="S78" s="40"/>
      <c r="T78" s="40"/>
      <c r="U78" s="40"/>
      <c r="V78" s="40"/>
      <c r="W78" s="40"/>
      <c r="X78" s="40"/>
      <c r="Y78" s="40"/>
      <c r="Z78" s="40"/>
      <c r="AA78" s="40"/>
      <c r="AB78" s="40"/>
      <c r="AC78" s="39">
        <f>-ROUND(IPMT($C$3,$E$4,$C$2,$C77,0,0),0)</f>
        <v>1050000</v>
      </c>
      <c r="AD78" s="39">
        <f>-ROUND(IPMT($C$3,$F$4,$C$2,$C77,0,0),0)</f>
        <v>1032990</v>
      </c>
      <c r="AE78" s="39">
        <f>-ROUND(IPMT($C$3,$G$4,$C$2,$C77,0,0),0)</f>
        <v>1015623</v>
      </c>
      <c r="AF78" s="39">
        <f>-ROUND(IPMT($C$3,$H$4,$C$2,$C77,0,0),0)</f>
        <v>997891</v>
      </c>
      <c r="AG78" s="39">
        <f>-ROUND(IPMT($C$3,$I$4,$C$2,$C77,0,0),0)</f>
        <v>979787</v>
      </c>
      <c r="AH78" s="39">
        <f>-ROUND(IPMT($C$3,$J$4,$C$2,$C77,0,0),0)</f>
        <v>961303</v>
      </c>
      <c r="AI78" s="39">
        <f>-ROUND(IPMT($C$3,$K$4,$C$2,$C77,0,0),0)</f>
        <v>942430</v>
      </c>
      <c r="AJ78" s="39">
        <f>-ROUND(IPMT($C$3,$L$4,$C$2,$C77,0,0),0)</f>
        <v>923161</v>
      </c>
      <c r="AK78" s="39">
        <f>-ROUND(IPMT($C$3,$M$4,$C$2,$C77,0,0),0)</f>
        <v>903488</v>
      </c>
      <c r="AL78" s="39">
        <f>-ROUND(IPMT($C$3,$N$4,$C$2,$C77,0,0),0)</f>
        <v>883401</v>
      </c>
      <c r="AM78" s="39">
        <f>-ROUND(IPMT($C$3,$O$4,$C$2,$C77,0,0),0)</f>
        <v>862893</v>
      </c>
      <c r="AN78" s="39">
        <f>-ROUND(IPMT($C$3,$P$4,$C$2,$C77,0,0),0)</f>
        <v>841954</v>
      </c>
      <c r="AO78" s="39">
        <f>-ROUND(IPMT($C$3,$Q$4,$C$2,$C77,0,0),0)</f>
        <v>820575</v>
      </c>
      <c r="AP78" s="39">
        <f>-ROUND(IPMT($C$3,$R$4,$C$2,$C77,0,0),0)</f>
        <v>798747</v>
      </c>
      <c r="AQ78" s="39">
        <f>-ROUND(IPMT($C$3,$S$4,$C$2,$C77,0,0),0)</f>
        <v>776461</v>
      </c>
      <c r="AR78" s="39">
        <f>-ROUND(IPMT($C$3,$T$4,$C$2,$C77,0,0),0)</f>
        <v>753707</v>
      </c>
      <c r="AS78" s="39">
        <f>-ROUND(IPMT($C$3,$U$4,$C$2,$C77,0,0),0)</f>
        <v>730475</v>
      </c>
      <c r="AT78" s="39">
        <f>-ROUND(IPMT($C$3,$V$4,$C$2,$C77,0,0),0)</f>
        <v>706755</v>
      </c>
      <c r="AU78" s="39">
        <f>-ROUND(IPMT($C$3,$W$4,$C$2,$C77,0,0),0)</f>
        <v>682537</v>
      </c>
      <c r="AV78" s="39">
        <f>-ROUND(IPMT($C$3,$X$4,$C$2,$C77,0,0),0)</f>
        <v>657810</v>
      </c>
      <c r="AW78" s="39">
        <f>-ROUND(IPMT($C$3,$Y$4,$C$2,$C77,0,0),0)</f>
        <v>632564</v>
      </c>
      <c r="AX78" s="39">
        <f>-ROUND(IPMT($C$3,$Z$4,$C$2,$C77,0,0),0)</f>
        <v>606788</v>
      </c>
      <c r="AY78" s="39">
        <f>-ROUND(IPMT($C$3,$AA$4,$C$2,$C77,0,0),0)</f>
        <v>580471</v>
      </c>
      <c r="AZ78" s="39">
        <f>-ROUND(IPMT($C$3,$AB$4,$C$2,$C77,0,0),0)</f>
        <v>553601</v>
      </c>
      <c r="BA78" s="39">
        <f>-ROUND(IPMT($C$3,$AC$4,$C$2,$C77,0,0),0)</f>
        <v>526167</v>
      </c>
      <c r="BB78" s="39">
        <f>-ROUND(IPMT($C$3,$AD$4,$C$2,$C77,0,0),0)</f>
        <v>498156</v>
      </c>
    </row>
    <row r="79" spans="2:54">
      <c r="B79" s="3"/>
      <c r="C79" s="134"/>
      <c r="D79" s="39" t="s">
        <v>339</v>
      </c>
      <c r="E79" s="40"/>
      <c r="F79" s="40"/>
      <c r="G79" s="40"/>
      <c r="H79" s="40"/>
      <c r="I79" s="40"/>
      <c r="J79" s="40"/>
      <c r="K79" s="40"/>
      <c r="L79" s="40"/>
      <c r="M79" s="40"/>
      <c r="N79" s="40"/>
      <c r="O79" s="40"/>
      <c r="P79" s="40"/>
      <c r="Q79" s="40"/>
      <c r="R79" s="40"/>
      <c r="S79" s="40"/>
      <c r="T79" s="40"/>
      <c r="U79" s="40"/>
      <c r="V79" s="40"/>
      <c r="W79" s="40"/>
      <c r="X79" s="40"/>
      <c r="Y79" s="40"/>
      <c r="Z79" s="40"/>
      <c r="AA79" s="40"/>
      <c r="AB79" s="64">
        <f>$C77</f>
        <v>50000000</v>
      </c>
      <c r="AC79" s="39">
        <f>$C77-AC77</f>
        <v>49190006</v>
      </c>
      <c r="AD79" s="39">
        <f t="shared" ref="AD79:BB79" si="26">AC79-AD77</f>
        <v>48363002</v>
      </c>
      <c r="AE79" s="39">
        <f t="shared" si="26"/>
        <v>47518631</v>
      </c>
      <c r="AF79" s="39">
        <f t="shared" si="26"/>
        <v>46656528</v>
      </c>
      <c r="AG79" s="39">
        <f t="shared" si="26"/>
        <v>45776321</v>
      </c>
      <c r="AH79" s="39">
        <f t="shared" si="26"/>
        <v>44877630</v>
      </c>
      <c r="AI79" s="39">
        <f t="shared" si="26"/>
        <v>43960066</v>
      </c>
      <c r="AJ79" s="39">
        <f t="shared" si="26"/>
        <v>43023233</v>
      </c>
      <c r="AK79" s="39">
        <f t="shared" si="26"/>
        <v>42066727</v>
      </c>
      <c r="AL79" s="39">
        <f t="shared" si="26"/>
        <v>41090134</v>
      </c>
      <c r="AM79" s="39">
        <f t="shared" si="26"/>
        <v>40093033</v>
      </c>
      <c r="AN79" s="39">
        <f t="shared" si="26"/>
        <v>39074992</v>
      </c>
      <c r="AO79" s="39">
        <f t="shared" si="26"/>
        <v>38035573</v>
      </c>
      <c r="AP79" s="39">
        <f t="shared" si="26"/>
        <v>36974326</v>
      </c>
      <c r="AQ79" s="39">
        <f t="shared" si="26"/>
        <v>35890793</v>
      </c>
      <c r="AR79" s="39">
        <f t="shared" si="26"/>
        <v>34784505</v>
      </c>
      <c r="AS79" s="39">
        <f t="shared" si="26"/>
        <v>33654985</v>
      </c>
      <c r="AT79" s="39">
        <f t="shared" si="26"/>
        <v>32501745</v>
      </c>
      <c r="AU79" s="39">
        <f t="shared" si="26"/>
        <v>31324287</v>
      </c>
      <c r="AV79" s="39">
        <f t="shared" si="26"/>
        <v>30122103</v>
      </c>
      <c r="AW79" s="39">
        <f t="shared" si="26"/>
        <v>28894673</v>
      </c>
      <c r="AX79" s="39">
        <f t="shared" si="26"/>
        <v>27641467</v>
      </c>
      <c r="AY79" s="39">
        <f t="shared" si="26"/>
        <v>26361944</v>
      </c>
      <c r="AZ79" s="39">
        <f t="shared" si="26"/>
        <v>25055551</v>
      </c>
      <c r="BA79" s="39">
        <f t="shared" si="26"/>
        <v>23721723</v>
      </c>
      <c r="BB79" s="39">
        <f t="shared" si="26"/>
        <v>22359885</v>
      </c>
    </row>
    <row r="80" spans="2:54">
      <c r="B80" s="2" t="s">
        <v>47</v>
      </c>
      <c r="C80" s="132">
        <f>【成行】財政シミュ!AR74</f>
        <v>50000000</v>
      </c>
      <c r="D80" s="39" t="s">
        <v>582</v>
      </c>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39">
        <f>-ROUND(PPMT($C$3,$E$4,$C$2,$C80,0,0),0)</f>
        <v>809994</v>
      </c>
      <c r="AE80" s="39">
        <f>-ROUND(PPMT($C$3,$F$4,$C$2,$C80,0,0),0)</f>
        <v>827004</v>
      </c>
      <c r="AF80" s="39">
        <f>-ROUND(PPMT($C$3,$G$4,$C$2,$C80,0,0),0)</f>
        <v>844371</v>
      </c>
      <c r="AG80" s="39">
        <f>-ROUND(PPMT($C$3,$H$4,$C$2,$C80,0,0),0)</f>
        <v>862103</v>
      </c>
      <c r="AH80" s="39">
        <f>-ROUND(PPMT($C$3,$I$4,$C$2,$C80,0,0),0)</f>
        <v>880207</v>
      </c>
      <c r="AI80" s="39">
        <f>-ROUND(PPMT($C$3,$J$4,$C$2,$C80,0,0),0)</f>
        <v>898691</v>
      </c>
      <c r="AJ80" s="39">
        <f>-ROUND(PPMT($C$3,$K$4,$C$2,$C80,0,0),0)</f>
        <v>917564</v>
      </c>
      <c r="AK80" s="39">
        <f>-ROUND(PPMT($C$3,$L$4,$C$2,$C80,0,0),0)</f>
        <v>936833</v>
      </c>
      <c r="AL80" s="39">
        <f>-ROUND(PPMT($C$3,$M$4,$C$2,$C80,0,0),0)</f>
        <v>956506</v>
      </c>
      <c r="AM80" s="39">
        <f>-ROUND(PPMT($C$3,$N$4,$C$2,$C80,0,0),0)</f>
        <v>976593</v>
      </c>
      <c r="AN80" s="39">
        <f>-ROUND(PPMT($C$3,$O$4,$C$2,$C80,0,0),0)</f>
        <v>997101</v>
      </c>
      <c r="AO80" s="39">
        <f>-ROUND(PPMT($C$3,$P$4,$C$2,$C80,0,0),0)</f>
        <v>1018041</v>
      </c>
      <c r="AP80" s="39">
        <f>-ROUND(PPMT($C$3,$Q$4,$C$2,$C80,0,0),0)</f>
        <v>1039419</v>
      </c>
      <c r="AQ80" s="39">
        <f>-ROUND(PPMT($C$3,$R$4,$C$2,$C80,0,0),0)</f>
        <v>1061247</v>
      </c>
      <c r="AR80" s="39">
        <f>-ROUND(PPMT($C$3,$S$4,$C$2,$C80,0,0),0)</f>
        <v>1083533</v>
      </c>
      <c r="AS80" s="39">
        <f>-ROUND(PPMT($C$3,$T$4,$C$2,$C80,0,0),0)</f>
        <v>1106288</v>
      </c>
      <c r="AT80" s="39">
        <f>-ROUND(PPMT($C$3,$U$4,$C$2,$C80,0,0),0)</f>
        <v>1129520</v>
      </c>
      <c r="AU80" s="39">
        <f>-ROUND(PPMT($C$3,$V$4,$C$2,$C80,0,0),0)</f>
        <v>1153240</v>
      </c>
      <c r="AV80" s="39">
        <f>-ROUND(PPMT($C$3,$W$4,$C$2,$C80,0,0),0)</f>
        <v>1177458</v>
      </c>
      <c r="AW80" s="39">
        <f>-ROUND(PPMT($C$3,$X$4,$C$2,$C80,0,0),0)</f>
        <v>1202184</v>
      </c>
      <c r="AX80" s="39">
        <f>-ROUND(PPMT($C$3,$Y$4,$C$2,$C80,0,0),0)</f>
        <v>1227430</v>
      </c>
      <c r="AY80" s="39">
        <f>-ROUND(PPMT($C$3,$Z$4,$C$2,$C80,0,0),0)</f>
        <v>1253206</v>
      </c>
      <c r="AZ80" s="39">
        <f>-ROUND(PPMT($C$3,$AA$4,$C$2,$C80,0,0),0)</f>
        <v>1279523</v>
      </c>
      <c r="BA80" s="39">
        <f>-ROUND(PPMT($C$3,$AB$4,$C$2,$C80,0,0),0)</f>
        <v>1306393</v>
      </c>
      <c r="BB80" s="39">
        <f>-ROUND(PPMT($C$3,$AC$4,$C$2,$C80,0,0),0)</f>
        <v>1333828</v>
      </c>
    </row>
    <row r="81" spans="2:54">
      <c r="B81" s="4"/>
      <c r="C81" s="133"/>
      <c r="D81" s="39" t="s">
        <v>583</v>
      </c>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39">
        <f>-ROUND(IPMT($C$3,$E$4,$C$2,$C80,0,0),0)</f>
        <v>1050000</v>
      </c>
      <c r="AE81" s="39">
        <f>-ROUND(IPMT($C$3,$F$4,$C$2,$C80,0,0),0)</f>
        <v>1032990</v>
      </c>
      <c r="AF81" s="39">
        <f>-ROUND(IPMT($C$3,$G$4,$C$2,$C80,0,0),0)</f>
        <v>1015623</v>
      </c>
      <c r="AG81" s="39">
        <f>-ROUND(IPMT($C$3,$H$4,$C$2,$C80,0,0),0)</f>
        <v>997891</v>
      </c>
      <c r="AH81" s="39">
        <f>-ROUND(IPMT($C$3,$I$4,$C$2,$C80,0,0),0)</f>
        <v>979787</v>
      </c>
      <c r="AI81" s="39">
        <f>-ROUND(IPMT($C$3,$J$4,$C$2,$C80,0,0),0)</f>
        <v>961303</v>
      </c>
      <c r="AJ81" s="39">
        <f>-ROUND(IPMT($C$3,$K$4,$C$2,$C80,0,0),0)</f>
        <v>942430</v>
      </c>
      <c r="AK81" s="39">
        <f>-ROUND(IPMT($C$3,$L$4,$C$2,$C80,0,0),0)</f>
        <v>923161</v>
      </c>
      <c r="AL81" s="39">
        <f>-ROUND(IPMT($C$3,$M$4,$C$2,$C80,0,0),0)</f>
        <v>903488</v>
      </c>
      <c r="AM81" s="39">
        <f>-ROUND(IPMT($C$3,$N$4,$C$2,$C80,0,0),0)</f>
        <v>883401</v>
      </c>
      <c r="AN81" s="39">
        <f>-ROUND(IPMT($C$3,$O$4,$C$2,$C80,0,0),0)</f>
        <v>862893</v>
      </c>
      <c r="AO81" s="39">
        <f>-ROUND(IPMT($C$3,$P$4,$C$2,$C80,0,0),0)</f>
        <v>841954</v>
      </c>
      <c r="AP81" s="39">
        <f>-ROUND(IPMT($C$3,$Q$4,$C$2,$C80,0,0),0)</f>
        <v>820575</v>
      </c>
      <c r="AQ81" s="39">
        <f>-ROUND(IPMT($C$3,$R$4,$C$2,$C80,0,0),0)</f>
        <v>798747</v>
      </c>
      <c r="AR81" s="39">
        <f>-ROUND(IPMT($C$3,$S$4,$C$2,$C80,0,0),0)</f>
        <v>776461</v>
      </c>
      <c r="AS81" s="39">
        <f>-ROUND(IPMT($C$3,$T$4,$C$2,$C80,0,0),0)</f>
        <v>753707</v>
      </c>
      <c r="AT81" s="39">
        <f>-ROUND(IPMT($C$3,$U$4,$C$2,$C80,0,0),0)</f>
        <v>730475</v>
      </c>
      <c r="AU81" s="39">
        <f>-ROUND(IPMT($C$3,$V$4,$C$2,$C80,0,0),0)</f>
        <v>706755</v>
      </c>
      <c r="AV81" s="39">
        <f>-ROUND(IPMT($C$3,$W$4,$C$2,$C80,0,0),0)</f>
        <v>682537</v>
      </c>
      <c r="AW81" s="39">
        <f>-ROUND(IPMT($C$3,$X$4,$C$2,$C80,0,0),0)</f>
        <v>657810</v>
      </c>
      <c r="AX81" s="39">
        <f>-ROUND(IPMT($C$3,$Y$4,$C$2,$C80,0,0),0)</f>
        <v>632564</v>
      </c>
      <c r="AY81" s="39">
        <f>-ROUND(IPMT($C$3,$Z$4,$C$2,$C80,0,0),0)</f>
        <v>606788</v>
      </c>
      <c r="AZ81" s="39">
        <f>-ROUND(IPMT($C$3,$AA$4,$C$2,$C80,0,0),0)</f>
        <v>580471</v>
      </c>
      <c r="BA81" s="39">
        <f>-ROUND(IPMT($C$3,$AB$4,$C$2,$C80,0,0),0)</f>
        <v>553601</v>
      </c>
      <c r="BB81" s="39">
        <f>-ROUND(IPMT($C$3,$AC$4,$C$2,$C80,0,0),0)</f>
        <v>526167</v>
      </c>
    </row>
    <row r="82" spans="2:54">
      <c r="B82" s="3"/>
      <c r="C82" s="134"/>
      <c r="D82" s="39" t="s">
        <v>339</v>
      </c>
      <c r="E82" s="40"/>
      <c r="F82" s="40"/>
      <c r="G82" s="40"/>
      <c r="H82" s="40"/>
      <c r="I82" s="40"/>
      <c r="J82" s="40"/>
      <c r="K82" s="40"/>
      <c r="L82" s="40"/>
      <c r="M82" s="40"/>
      <c r="N82" s="40"/>
      <c r="O82" s="40"/>
      <c r="P82" s="40"/>
      <c r="Q82" s="40"/>
      <c r="R82" s="40"/>
      <c r="S82" s="40"/>
      <c r="T82" s="40"/>
      <c r="U82" s="40"/>
      <c r="V82" s="40"/>
      <c r="W82" s="40"/>
      <c r="X82" s="40"/>
      <c r="Y82" s="40"/>
      <c r="Z82" s="40"/>
      <c r="AA82" s="40"/>
      <c r="AB82" s="40"/>
      <c r="AC82" s="64">
        <f>$C80</f>
        <v>50000000</v>
      </c>
      <c r="AD82" s="39">
        <f>$C80-AD80</f>
        <v>49190006</v>
      </c>
      <c r="AE82" s="39">
        <f t="shared" ref="AE82:BB82" si="27">AD82-AE80</f>
        <v>48363002</v>
      </c>
      <c r="AF82" s="39">
        <f t="shared" si="27"/>
        <v>47518631</v>
      </c>
      <c r="AG82" s="39">
        <f t="shared" si="27"/>
        <v>46656528</v>
      </c>
      <c r="AH82" s="39">
        <f t="shared" si="27"/>
        <v>45776321</v>
      </c>
      <c r="AI82" s="39">
        <f t="shared" si="27"/>
        <v>44877630</v>
      </c>
      <c r="AJ82" s="39">
        <f t="shared" si="27"/>
        <v>43960066</v>
      </c>
      <c r="AK82" s="39">
        <f t="shared" si="27"/>
        <v>43023233</v>
      </c>
      <c r="AL82" s="39">
        <f t="shared" si="27"/>
        <v>42066727</v>
      </c>
      <c r="AM82" s="39">
        <f t="shared" si="27"/>
        <v>41090134</v>
      </c>
      <c r="AN82" s="39">
        <f t="shared" si="27"/>
        <v>40093033</v>
      </c>
      <c r="AO82" s="39">
        <f t="shared" si="27"/>
        <v>39074992</v>
      </c>
      <c r="AP82" s="39">
        <f t="shared" si="27"/>
        <v>38035573</v>
      </c>
      <c r="AQ82" s="39">
        <f t="shared" si="27"/>
        <v>36974326</v>
      </c>
      <c r="AR82" s="39">
        <f t="shared" si="27"/>
        <v>35890793</v>
      </c>
      <c r="AS82" s="39">
        <f t="shared" si="27"/>
        <v>34784505</v>
      </c>
      <c r="AT82" s="39">
        <f t="shared" si="27"/>
        <v>33654985</v>
      </c>
      <c r="AU82" s="39">
        <f t="shared" si="27"/>
        <v>32501745</v>
      </c>
      <c r="AV82" s="39">
        <f t="shared" si="27"/>
        <v>31324287</v>
      </c>
      <c r="AW82" s="39">
        <f t="shared" si="27"/>
        <v>30122103</v>
      </c>
      <c r="AX82" s="39">
        <f t="shared" si="27"/>
        <v>28894673</v>
      </c>
      <c r="AY82" s="39">
        <f t="shared" si="27"/>
        <v>27641467</v>
      </c>
      <c r="AZ82" s="39">
        <f t="shared" si="27"/>
        <v>26361944</v>
      </c>
      <c r="BA82" s="39">
        <f t="shared" si="27"/>
        <v>25055551</v>
      </c>
      <c r="BB82" s="39">
        <f t="shared" si="27"/>
        <v>23721723</v>
      </c>
    </row>
    <row r="83" spans="2:54">
      <c r="B83" s="2" t="s">
        <v>48</v>
      </c>
      <c r="C83" s="132">
        <f>【成行】財政シミュ!AS74</f>
        <v>50000000</v>
      </c>
      <c r="D83" s="39" t="s">
        <v>582</v>
      </c>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39">
        <f>-ROUND(PPMT($C$3,$E$4,$C$2,$C83,0,0),0)</f>
        <v>809994</v>
      </c>
      <c r="AF83" s="39">
        <f>-ROUND(PPMT($C$3,$F$4,$C$2,$C83,0,0),0)</f>
        <v>827004</v>
      </c>
      <c r="AG83" s="39">
        <f>-ROUND(PPMT($C$3,$G$4,$C$2,$C83,0,0),0)</f>
        <v>844371</v>
      </c>
      <c r="AH83" s="39">
        <f>-ROUND(PPMT($C$3,$H$4,$C$2,$C83,0,0),0)</f>
        <v>862103</v>
      </c>
      <c r="AI83" s="39">
        <f>-ROUND(PPMT($C$3,$I$4,$C$2,$C83,0,0),0)</f>
        <v>880207</v>
      </c>
      <c r="AJ83" s="39">
        <f>-ROUND(PPMT($C$3,$J$4,$C$2,$C83,0,0),0)</f>
        <v>898691</v>
      </c>
      <c r="AK83" s="39">
        <f>-ROUND(PPMT($C$3,$K$4,$C$2,$C83,0,0),0)</f>
        <v>917564</v>
      </c>
      <c r="AL83" s="39">
        <f>-ROUND(PPMT($C$3,$L$4,$C$2,$C83,0,0),0)</f>
        <v>936833</v>
      </c>
      <c r="AM83" s="39">
        <f>-ROUND(PPMT($C$3,$M$4,$C$2,$C83,0,0),0)</f>
        <v>956506</v>
      </c>
      <c r="AN83" s="39">
        <f>-ROUND(PPMT($C$3,$N$4,$C$2,$C83,0,0),0)</f>
        <v>976593</v>
      </c>
      <c r="AO83" s="39">
        <f>-ROUND(PPMT($C$3,$O$4,$C$2,$C83,0,0),0)</f>
        <v>997101</v>
      </c>
      <c r="AP83" s="39">
        <f>-ROUND(PPMT($C$3,$P$4,$C$2,$C83,0,0),0)</f>
        <v>1018041</v>
      </c>
      <c r="AQ83" s="39">
        <f>-ROUND(PPMT($C$3,$Q$4,$C$2,$C83,0,0),0)</f>
        <v>1039419</v>
      </c>
      <c r="AR83" s="39">
        <f>-ROUND(PPMT($C$3,$R$4,$C$2,$C83,0,0),0)</f>
        <v>1061247</v>
      </c>
      <c r="AS83" s="39">
        <f>-ROUND(PPMT($C$3,$S$4,$C$2,$C83,0,0),0)</f>
        <v>1083533</v>
      </c>
      <c r="AT83" s="39">
        <f>-ROUND(PPMT($C$3,$T$4,$C$2,$C83,0,0),0)</f>
        <v>1106288</v>
      </c>
      <c r="AU83" s="39">
        <f>-ROUND(PPMT($C$3,$U$4,$C$2,$C83,0,0),0)</f>
        <v>1129520</v>
      </c>
      <c r="AV83" s="39">
        <f>-ROUND(PPMT($C$3,$V$4,$C$2,$C83,0,0),0)</f>
        <v>1153240</v>
      </c>
      <c r="AW83" s="39">
        <f>-ROUND(PPMT($C$3,$W$4,$C$2,$C83,0,0),0)</f>
        <v>1177458</v>
      </c>
      <c r="AX83" s="39">
        <f>-ROUND(PPMT($C$3,$X$4,$C$2,$C83,0,0),0)</f>
        <v>1202184</v>
      </c>
      <c r="AY83" s="39">
        <f>-ROUND(PPMT($C$3,$Y$4,$C$2,$C83,0,0),0)</f>
        <v>1227430</v>
      </c>
      <c r="AZ83" s="39">
        <f>-ROUND(PPMT($C$3,$Z$4,$C$2,$C83,0,0),0)</f>
        <v>1253206</v>
      </c>
      <c r="BA83" s="39">
        <f>-ROUND(PPMT($C$3,$AA$4,$C$2,$C83,0,0),0)</f>
        <v>1279523</v>
      </c>
      <c r="BB83" s="39">
        <f>-ROUND(PPMT($C$3,$AB$4,$C$2,$C83,0,0),0)</f>
        <v>1306393</v>
      </c>
    </row>
    <row r="84" spans="2:54">
      <c r="B84" s="4"/>
      <c r="C84" s="133"/>
      <c r="D84" s="39" t="s">
        <v>583</v>
      </c>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39">
        <f>-ROUND(IPMT($C$3,$E$4,$C$2,$C83,0,0),0)</f>
        <v>1050000</v>
      </c>
      <c r="AF84" s="39">
        <f>-ROUND(IPMT($C$3,$F$4,$C$2,$C83,0,0),0)</f>
        <v>1032990</v>
      </c>
      <c r="AG84" s="39">
        <f>-ROUND(IPMT($C$3,$G$4,$C$2,$C83,0,0),0)</f>
        <v>1015623</v>
      </c>
      <c r="AH84" s="39">
        <f>-ROUND(IPMT($C$3,$H$4,$C$2,$C83,0,0),0)</f>
        <v>997891</v>
      </c>
      <c r="AI84" s="39">
        <f>-ROUND(IPMT($C$3,$I$4,$C$2,$C83,0,0),0)</f>
        <v>979787</v>
      </c>
      <c r="AJ84" s="39">
        <f>-ROUND(IPMT($C$3,$J$4,$C$2,$C83,0,0),0)</f>
        <v>961303</v>
      </c>
      <c r="AK84" s="39">
        <f>-ROUND(IPMT($C$3,$K$4,$C$2,$C83,0,0),0)</f>
        <v>942430</v>
      </c>
      <c r="AL84" s="39">
        <f>-ROUND(IPMT($C$3,$L$4,$C$2,$C83,0,0),0)</f>
        <v>923161</v>
      </c>
      <c r="AM84" s="39">
        <f>-ROUND(IPMT($C$3,$M$4,$C$2,$C83,0,0),0)</f>
        <v>903488</v>
      </c>
      <c r="AN84" s="39">
        <f>-ROUND(IPMT($C$3,$N$4,$C$2,$C83,0,0),0)</f>
        <v>883401</v>
      </c>
      <c r="AO84" s="39">
        <f>-ROUND(IPMT($C$3,$O$4,$C$2,$C83,0,0),0)</f>
        <v>862893</v>
      </c>
      <c r="AP84" s="39">
        <f>-ROUND(IPMT($C$3,$P$4,$C$2,$C83,0,0),0)</f>
        <v>841954</v>
      </c>
      <c r="AQ84" s="39">
        <f>-ROUND(IPMT($C$3,$Q$4,$C$2,$C83,0,0),0)</f>
        <v>820575</v>
      </c>
      <c r="AR84" s="39">
        <f>-ROUND(IPMT($C$3,$R$4,$C$2,$C83,0,0),0)</f>
        <v>798747</v>
      </c>
      <c r="AS84" s="39">
        <f>-ROUND(IPMT($C$3,$S$4,$C$2,$C83,0,0),0)</f>
        <v>776461</v>
      </c>
      <c r="AT84" s="39">
        <f>-ROUND(IPMT($C$3,$T$4,$C$2,$C83,0,0),0)</f>
        <v>753707</v>
      </c>
      <c r="AU84" s="39">
        <f>-ROUND(IPMT($C$3,$U$4,$C$2,$C83,0,0),0)</f>
        <v>730475</v>
      </c>
      <c r="AV84" s="39">
        <f>-ROUND(IPMT($C$3,$V$4,$C$2,$C83,0,0),0)</f>
        <v>706755</v>
      </c>
      <c r="AW84" s="39">
        <f>-ROUND(IPMT($C$3,$W$4,$C$2,$C83,0,0),0)</f>
        <v>682537</v>
      </c>
      <c r="AX84" s="39">
        <f>-ROUND(IPMT($C$3,$X$4,$C$2,$C83,0,0),0)</f>
        <v>657810</v>
      </c>
      <c r="AY84" s="39">
        <f>-ROUND(IPMT($C$3,$Y$4,$C$2,$C83,0,0),0)</f>
        <v>632564</v>
      </c>
      <c r="AZ84" s="39">
        <f>-ROUND(IPMT($C$3,$Z$4,$C$2,$C83,0,0),0)</f>
        <v>606788</v>
      </c>
      <c r="BA84" s="39">
        <f>-ROUND(IPMT($C$3,$AA$4,$C$2,$C83,0,0),0)</f>
        <v>580471</v>
      </c>
      <c r="BB84" s="39">
        <f>-ROUND(IPMT($C$3,$AB$4,$C$2,$C83,0,0),0)</f>
        <v>553601</v>
      </c>
    </row>
    <row r="85" spans="2:54">
      <c r="B85" s="3"/>
      <c r="C85" s="134"/>
      <c r="D85" s="39" t="s">
        <v>339</v>
      </c>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64">
        <f>$C83</f>
        <v>50000000</v>
      </c>
      <c r="AE85" s="39">
        <f>$C83-AE83</f>
        <v>49190006</v>
      </c>
      <c r="AF85" s="39">
        <f t="shared" ref="AF85:BB85" si="28">AE85-AF83</f>
        <v>48363002</v>
      </c>
      <c r="AG85" s="39">
        <f t="shared" si="28"/>
        <v>47518631</v>
      </c>
      <c r="AH85" s="39">
        <f t="shared" si="28"/>
        <v>46656528</v>
      </c>
      <c r="AI85" s="39">
        <f t="shared" si="28"/>
        <v>45776321</v>
      </c>
      <c r="AJ85" s="39">
        <f t="shared" si="28"/>
        <v>44877630</v>
      </c>
      <c r="AK85" s="39">
        <f t="shared" si="28"/>
        <v>43960066</v>
      </c>
      <c r="AL85" s="39">
        <f t="shared" si="28"/>
        <v>43023233</v>
      </c>
      <c r="AM85" s="39">
        <f t="shared" si="28"/>
        <v>42066727</v>
      </c>
      <c r="AN85" s="39">
        <f t="shared" si="28"/>
        <v>41090134</v>
      </c>
      <c r="AO85" s="39">
        <f t="shared" si="28"/>
        <v>40093033</v>
      </c>
      <c r="AP85" s="39">
        <f t="shared" si="28"/>
        <v>39074992</v>
      </c>
      <c r="AQ85" s="39">
        <f t="shared" si="28"/>
        <v>38035573</v>
      </c>
      <c r="AR85" s="39">
        <f t="shared" si="28"/>
        <v>36974326</v>
      </c>
      <c r="AS85" s="39">
        <f t="shared" si="28"/>
        <v>35890793</v>
      </c>
      <c r="AT85" s="39">
        <f t="shared" si="28"/>
        <v>34784505</v>
      </c>
      <c r="AU85" s="39">
        <f t="shared" si="28"/>
        <v>33654985</v>
      </c>
      <c r="AV85" s="39">
        <f t="shared" si="28"/>
        <v>32501745</v>
      </c>
      <c r="AW85" s="39">
        <f t="shared" si="28"/>
        <v>31324287</v>
      </c>
      <c r="AX85" s="39">
        <f t="shared" si="28"/>
        <v>30122103</v>
      </c>
      <c r="AY85" s="39">
        <f t="shared" si="28"/>
        <v>28894673</v>
      </c>
      <c r="AZ85" s="39">
        <f t="shared" si="28"/>
        <v>27641467</v>
      </c>
      <c r="BA85" s="39">
        <f t="shared" si="28"/>
        <v>26361944</v>
      </c>
      <c r="BB85" s="39">
        <f t="shared" si="28"/>
        <v>25055551</v>
      </c>
    </row>
    <row r="86" spans="2:54">
      <c r="B86" s="2" t="s">
        <v>49</v>
      </c>
      <c r="C86" s="132">
        <f>【成行】財政シミュ!AT74</f>
        <v>50000000</v>
      </c>
      <c r="D86" s="39" t="s">
        <v>582</v>
      </c>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39">
        <f>-ROUND(PPMT($C$3,$E$4,$C$2,$C86,0,0),0)</f>
        <v>809994</v>
      </c>
      <c r="AG86" s="39">
        <f>-ROUND(PPMT($C$3,$F$4,$C$2,$C86,0,0),0)</f>
        <v>827004</v>
      </c>
      <c r="AH86" s="39">
        <f>-ROUND(PPMT($C$3,$G$4,$C$2,$C86,0,0),0)</f>
        <v>844371</v>
      </c>
      <c r="AI86" s="39">
        <f>-ROUND(PPMT($C$3,$H$4,$C$2,$C86,0,0),0)</f>
        <v>862103</v>
      </c>
      <c r="AJ86" s="39">
        <f>-ROUND(PPMT($C$3,$I$4,$C$2,$C86,0,0),0)</f>
        <v>880207</v>
      </c>
      <c r="AK86" s="39">
        <f>-ROUND(PPMT($C$3,$J$4,$C$2,$C86,0,0),0)</f>
        <v>898691</v>
      </c>
      <c r="AL86" s="39">
        <f>-ROUND(PPMT($C$3,$K$4,$C$2,$C86,0,0),0)</f>
        <v>917564</v>
      </c>
      <c r="AM86" s="39">
        <f>-ROUND(PPMT($C$3,$L$4,$C$2,$C86,0,0),0)</f>
        <v>936833</v>
      </c>
      <c r="AN86" s="39">
        <f>-ROUND(PPMT($C$3,$M$4,$C$2,$C86,0,0),0)</f>
        <v>956506</v>
      </c>
      <c r="AO86" s="39">
        <f>-ROUND(PPMT($C$3,$N$4,$C$2,$C86,0,0),0)</f>
        <v>976593</v>
      </c>
      <c r="AP86" s="39">
        <f>-ROUND(PPMT($C$3,$O$4,$C$2,$C86,0,0),0)</f>
        <v>997101</v>
      </c>
      <c r="AQ86" s="39">
        <f>-ROUND(PPMT($C$3,$P$4,$C$2,$C86,0,0),0)</f>
        <v>1018041</v>
      </c>
      <c r="AR86" s="39">
        <f>-ROUND(PPMT($C$3,$Q$4,$C$2,$C86,0,0),0)</f>
        <v>1039419</v>
      </c>
      <c r="AS86" s="39">
        <f>-ROUND(PPMT($C$3,$R$4,$C$2,$C86,0,0),0)</f>
        <v>1061247</v>
      </c>
      <c r="AT86" s="39">
        <f>-ROUND(PPMT($C$3,$S$4,$C$2,$C86,0,0),0)</f>
        <v>1083533</v>
      </c>
      <c r="AU86" s="39">
        <f>-ROUND(PPMT($C$3,$T$4,$C$2,$C86,0,0),0)</f>
        <v>1106288</v>
      </c>
      <c r="AV86" s="39">
        <f>-ROUND(PPMT($C$3,$U$4,$C$2,$C86,0,0),0)</f>
        <v>1129520</v>
      </c>
      <c r="AW86" s="39">
        <f>-ROUND(PPMT($C$3,$V$4,$C$2,$C86,0,0),0)</f>
        <v>1153240</v>
      </c>
      <c r="AX86" s="39">
        <f>-ROUND(PPMT($C$3,$W$4,$C$2,$C86,0,0),0)</f>
        <v>1177458</v>
      </c>
      <c r="AY86" s="39">
        <f>-ROUND(PPMT($C$3,$X$4,$C$2,$C86,0,0),0)</f>
        <v>1202184</v>
      </c>
      <c r="AZ86" s="39">
        <f>-ROUND(PPMT($C$3,$Y$4,$C$2,$C86,0,0),0)</f>
        <v>1227430</v>
      </c>
      <c r="BA86" s="39">
        <f>-ROUND(PPMT($C$3,$Z$4,$C$2,$C86,0,0),0)</f>
        <v>1253206</v>
      </c>
      <c r="BB86" s="39">
        <f>-ROUND(PPMT($C$3,$AA$4,$C$2,$C86,0,0),0)</f>
        <v>1279523</v>
      </c>
    </row>
    <row r="87" spans="2:54">
      <c r="B87" s="4"/>
      <c r="C87" s="133"/>
      <c r="D87" s="39" t="s">
        <v>583</v>
      </c>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39">
        <f>-ROUND(IPMT($C$3,$E$4,$C$2,$C86,0,0),0)</f>
        <v>1050000</v>
      </c>
      <c r="AG87" s="39">
        <f>-ROUND(IPMT($C$3,$F$4,$C$2,$C86,0,0),0)</f>
        <v>1032990</v>
      </c>
      <c r="AH87" s="39">
        <f>-ROUND(IPMT($C$3,$G$4,$C$2,$C86,0,0),0)</f>
        <v>1015623</v>
      </c>
      <c r="AI87" s="39">
        <f>-ROUND(IPMT($C$3,$H$4,$C$2,$C86,0,0),0)</f>
        <v>997891</v>
      </c>
      <c r="AJ87" s="39">
        <f>-ROUND(IPMT($C$3,$I$4,$C$2,$C86,0,0),0)</f>
        <v>979787</v>
      </c>
      <c r="AK87" s="39">
        <f>-ROUND(IPMT($C$3,$J$4,$C$2,$C86,0,0),0)</f>
        <v>961303</v>
      </c>
      <c r="AL87" s="39">
        <f>-ROUND(IPMT($C$3,$K$4,$C$2,$C86,0,0),0)</f>
        <v>942430</v>
      </c>
      <c r="AM87" s="39">
        <f>-ROUND(IPMT($C$3,$L$4,$C$2,$C86,0,0),0)</f>
        <v>923161</v>
      </c>
      <c r="AN87" s="39">
        <f>-ROUND(IPMT($C$3,$M$4,$C$2,$C86,0,0),0)</f>
        <v>903488</v>
      </c>
      <c r="AO87" s="39">
        <f>-ROUND(IPMT($C$3,$N$4,$C$2,$C86,0,0),0)</f>
        <v>883401</v>
      </c>
      <c r="AP87" s="39">
        <f>-ROUND(IPMT($C$3,$O$4,$C$2,$C86,0,0),0)</f>
        <v>862893</v>
      </c>
      <c r="AQ87" s="39">
        <f>-ROUND(IPMT($C$3,$P$4,$C$2,$C86,0,0),0)</f>
        <v>841954</v>
      </c>
      <c r="AR87" s="39">
        <f>-ROUND(IPMT($C$3,$Q$4,$C$2,$C86,0,0),0)</f>
        <v>820575</v>
      </c>
      <c r="AS87" s="39">
        <f>-ROUND(IPMT($C$3,$R$4,$C$2,$C86,0,0),0)</f>
        <v>798747</v>
      </c>
      <c r="AT87" s="39">
        <f>-ROUND(IPMT($C$3,$S$4,$C$2,$C86,0,0),0)</f>
        <v>776461</v>
      </c>
      <c r="AU87" s="39">
        <f>-ROUND(IPMT($C$3,$T$4,$C$2,$C86,0,0),0)</f>
        <v>753707</v>
      </c>
      <c r="AV87" s="39">
        <f>-ROUND(IPMT($C$3,$U$4,$C$2,$C86,0,0),0)</f>
        <v>730475</v>
      </c>
      <c r="AW87" s="39">
        <f>-ROUND(IPMT($C$3,$V$4,$C$2,$C86,0,0),0)</f>
        <v>706755</v>
      </c>
      <c r="AX87" s="39">
        <f>-ROUND(IPMT($C$3,$W$4,$C$2,$C86,0,0),0)</f>
        <v>682537</v>
      </c>
      <c r="AY87" s="39">
        <f>-ROUND(IPMT($C$3,$X$4,$C$2,$C86,0,0),0)</f>
        <v>657810</v>
      </c>
      <c r="AZ87" s="39">
        <f>-ROUND(IPMT($C$3,$Y$4,$C$2,$C86,0,0),0)</f>
        <v>632564</v>
      </c>
      <c r="BA87" s="39">
        <f>-ROUND(IPMT($C$3,$Z$4,$C$2,$C86,0,0),0)</f>
        <v>606788</v>
      </c>
      <c r="BB87" s="39">
        <f>-ROUND(IPMT($C$3,$AA$4,$C$2,$C86,0,0),0)</f>
        <v>580471</v>
      </c>
    </row>
    <row r="88" spans="2:54">
      <c r="B88" s="3"/>
      <c r="C88" s="134"/>
      <c r="D88" s="39" t="s">
        <v>339</v>
      </c>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64">
        <f>$C86</f>
        <v>50000000</v>
      </c>
      <c r="AF88" s="39">
        <f>$C86-AF86</f>
        <v>49190006</v>
      </c>
      <c r="AG88" s="39">
        <f t="shared" ref="AG88:BB88" si="29">AF88-AG86</f>
        <v>48363002</v>
      </c>
      <c r="AH88" s="39">
        <f t="shared" si="29"/>
        <v>47518631</v>
      </c>
      <c r="AI88" s="39">
        <f t="shared" si="29"/>
        <v>46656528</v>
      </c>
      <c r="AJ88" s="39">
        <f t="shared" si="29"/>
        <v>45776321</v>
      </c>
      <c r="AK88" s="39">
        <f t="shared" si="29"/>
        <v>44877630</v>
      </c>
      <c r="AL88" s="39">
        <f t="shared" si="29"/>
        <v>43960066</v>
      </c>
      <c r="AM88" s="39">
        <f t="shared" si="29"/>
        <v>43023233</v>
      </c>
      <c r="AN88" s="39">
        <f t="shared" si="29"/>
        <v>42066727</v>
      </c>
      <c r="AO88" s="39">
        <f t="shared" si="29"/>
        <v>41090134</v>
      </c>
      <c r="AP88" s="39">
        <f t="shared" si="29"/>
        <v>40093033</v>
      </c>
      <c r="AQ88" s="39">
        <f t="shared" si="29"/>
        <v>39074992</v>
      </c>
      <c r="AR88" s="39">
        <f t="shared" si="29"/>
        <v>38035573</v>
      </c>
      <c r="AS88" s="39">
        <f t="shared" si="29"/>
        <v>36974326</v>
      </c>
      <c r="AT88" s="39">
        <f t="shared" si="29"/>
        <v>35890793</v>
      </c>
      <c r="AU88" s="39">
        <f t="shared" si="29"/>
        <v>34784505</v>
      </c>
      <c r="AV88" s="39">
        <f t="shared" si="29"/>
        <v>33654985</v>
      </c>
      <c r="AW88" s="39">
        <f t="shared" si="29"/>
        <v>32501745</v>
      </c>
      <c r="AX88" s="39">
        <f t="shared" si="29"/>
        <v>31324287</v>
      </c>
      <c r="AY88" s="39">
        <f t="shared" si="29"/>
        <v>30122103</v>
      </c>
      <c r="AZ88" s="39">
        <f t="shared" si="29"/>
        <v>28894673</v>
      </c>
      <c r="BA88" s="39">
        <f t="shared" si="29"/>
        <v>27641467</v>
      </c>
      <c r="BB88" s="39">
        <f t="shared" si="29"/>
        <v>26361944</v>
      </c>
    </row>
    <row r="89" spans="2:54">
      <c r="B89" s="2" t="s">
        <v>50</v>
      </c>
      <c r="C89" s="132">
        <f>【成行】財政シミュ!AU74</f>
        <v>50000000</v>
      </c>
      <c r="D89" s="39" t="s">
        <v>582</v>
      </c>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39">
        <f>-ROUND(PPMT($C$3,$E$4,$C$2,$C89,0,0),0)</f>
        <v>809994</v>
      </c>
      <c r="AH89" s="39">
        <f>-ROUND(PPMT($C$3,$F$4,$C$2,$C89,0,0),0)</f>
        <v>827004</v>
      </c>
      <c r="AI89" s="39">
        <f>-ROUND(PPMT($C$3,$G$4,$C$2,$C89,0,0),0)</f>
        <v>844371</v>
      </c>
      <c r="AJ89" s="39">
        <f>-ROUND(PPMT($C$3,$H$4,$C$2,$C89,0,0),0)</f>
        <v>862103</v>
      </c>
      <c r="AK89" s="39">
        <f>-ROUND(PPMT($C$3,$I$4,$C$2,$C89,0,0),0)</f>
        <v>880207</v>
      </c>
      <c r="AL89" s="39">
        <f>-ROUND(PPMT($C$3,$J$4,$C$2,$C89,0,0),0)</f>
        <v>898691</v>
      </c>
      <c r="AM89" s="39">
        <f>-ROUND(PPMT($C$3,$K$4,$C$2,$C89,0,0),0)</f>
        <v>917564</v>
      </c>
      <c r="AN89" s="39">
        <f>-ROUND(PPMT($C$3,$L$4,$C$2,$C89,0,0),0)</f>
        <v>936833</v>
      </c>
      <c r="AO89" s="39">
        <f>-ROUND(PPMT($C$3,$M$4,$C$2,$C89,0,0),0)</f>
        <v>956506</v>
      </c>
      <c r="AP89" s="39">
        <f>-ROUND(PPMT($C$3,$N$4,$C$2,$C89,0,0),0)</f>
        <v>976593</v>
      </c>
      <c r="AQ89" s="39">
        <f>-ROUND(PPMT($C$3,$O$4,$C$2,$C89,0,0),0)</f>
        <v>997101</v>
      </c>
      <c r="AR89" s="39">
        <f>-ROUND(PPMT($C$3,$P$4,$C$2,$C89,0,0),0)</f>
        <v>1018041</v>
      </c>
      <c r="AS89" s="39">
        <f>-ROUND(PPMT($C$3,$Q$4,$C$2,$C89,0,0),0)</f>
        <v>1039419</v>
      </c>
      <c r="AT89" s="39">
        <f>-ROUND(PPMT($C$3,$R$4,$C$2,$C89,0,0),0)</f>
        <v>1061247</v>
      </c>
      <c r="AU89" s="39">
        <f>-ROUND(PPMT($C$3,$S$4,$C$2,$C89,0,0),0)</f>
        <v>1083533</v>
      </c>
      <c r="AV89" s="39">
        <f>-ROUND(PPMT($C$3,$T$4,$C$2,$C89,0,0),0)</f>
        <v>1106288</v>
      </c>
      <c r="AW89" s="39">
        <f>-ROUND(PPMT($C$3,$U$4,$C$2,$C89,0,0),0)</f>
        <v>1129520</v>
      </c>
      <c r="AX89" s="39">
        <f>-ROUND(PPMT($C$3,$V$4,$C$2,$C89,0,0),0)</f>
        <v>1153240</v>
      </c>
      <c r="AY89" s="39">
        <f>-ROUND(PPMT($C$3,$W$4,$C$2,$C89,0,0),0)</f>
        <v>1177458</v>
      </c>
      <c r="AZ89" s="39">
        <f>-ROUND(PPMT($C$3,$X$4,$C$2,$C89,0,0),0)</f>
        <v>1202184</v>
      </c>
      <c r="BA89" s="39">
        <f>-ROUND(PPMT($C$3,$Y$4,$C$2,$C89,0,0),0)</f>
        <v>1227430</v>
      </c>
      <c r="BB89" s="39">
        <f>-ROUND(PPMT($C$3,$Z$4,$C$2,$C89,0,0),0)</f>
        <v>1253206</v>
      </c>
    </row>
    <row r="90" spans="2:54">
      <c r="B90" s="4"/>
      <c r="C90" s="133"/>
      <c r="D90" s="39" t="s">
        <v>583</v>
      </c>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39">
        <f>-ROUND(IPMT($C$3,$E$4,$C$2,$C89,0,0),0)</f>
        <v>1050000</v>
      </c>
      <c r="AH90" s="39">
        <f>-ROUND(IPMT($C$3,$F$4,$C$2,$C89,0,0),0)</f>
        <v>1032990</v>
      </c>
      <c r="AI90" s="39">
        <f>-ROUND(IPMT($C$3,$G$4,$C$2,$C89,0,0),0)</f>
        <v>1015623</v>
      </c>
      <c r="AJ90" s="39">
        <f>-ROUND(IPMT($C$3,$H$4,$C$2,$C89,0,0),0)</f>
        <v>997891</v>
      </c>
      <c r="AK90" s="39">
        <f>-ROUND(IPMT($C$3,$I$4,$C$2,$C89,0,0),0)</f>
        <v>979787</v>
      </c>
      <c r="AL90" s="39">
        <f>-ROUND(IPMT($C$3,$J$4,$C$2,$C89,0,0),0)</f>
        <v>961303</v>
      </c>
      <c r="AM90" s="39">
        <f>-ROUND(IPMT($C$3,$K$4,$C$2,$C89,0,0),0)</f>
        <v>942430</v>
      </c>
      <c r="AN90" s="39">
        <f>-ROUND(IPMT($C$3,$L$4,$C$2,$C89,0,0),0)</f>
        <v>923161</v>
      </c>
      <c r="AO90" s="39">
        <f>-ROUND(IPMT($C$3,$M$4,$C$2,$C89,0,0),0)</f>
        <v>903488</v>
      </c>
      <c r="AP90" s="39">
        <f>-ROUND(IPMT($C$3,$N$4,$C$2,$C89,0,0),0)</f>
        <v>883401</v>
      </c>
      <c r="AQ90" s="39">
        <f>-ROUND(IPMT($C$3,$O$4,$C$2,$C89,0,0),0)</f>
        <v>862893</v>
      </c>
      <c r="AR90" s="39">
        <f>-ROUND(IPMT($C$3,$P$4,$C$2,$C89,0,0),0)</f>
        <v>841954</v>
      </c>
      <c r="AS90" s="39">
        <f>-ROUND(IPMT($C$3,$Q$4,$C$2,$C89,0,0),0)</f>
        <v>820575</v>
      </c>
      <c r="AT90" s="39">
        <f>-ROUND(IPMT($C$3,$R$4,$C$2,$C89,0,0),0)</f>
        <v>798747</v>
      </c>
      <c r="AU90" s="39">
        <f>-ROUND(IPMT($C$3,$S$4,$C$2,$C89,0,0),0)</f>
        <v>776461</v>
      </c>
      <c r="AV90" s="39">
        <f>-ROUND(IPMT($C$3,$T$4,$C$2,$C89,0,0),0)</f>
        <v>753707</v>
      </c>
      <c r="AW90" s="39">
        <f>-ROUND(IPMT($C$3,$U$4,$C$2,$C89,0,0),0)</f>
        <v>730475</v>
      </c>
      <c r="AX90" s="39">
        <f>-ROUND(IPMT($C$3,$V$4,$C$2,$C89,0,0),0)</f>
        <v>706755</v>
      </c>
      <c r="AY90" s="39">
        <f>-ROUND(IPMT($C$3,$W$4,$C$2,$C89,0,0),0)</f>
        <v>682537</v>
      </c>
      <c r="AZ90" s="39">
        <f>-ROUND(IPMT($C$3,$X$4,$C$2,$C89,0,0),0)</f>
        <v>657810</v>
      </c>
      <c r="BA90" s="39">
        <f>-ROUND(IPMT($C$3,$Y$4,$C$2,$C89,0,0),0)</f>
        <v>632564</v>
      </c>
      <c r="BB90" s="39">
        <f>-ROUND(IPMT($C$3,$Z$4,$C$2,$C89,0,0),0)</f>
        <v>606788</v>
      </c>
    </row>
    <row r="91" spans="2:54">
      <c r="B91" s="3"/>
      <c r="C91" s="134"/>
      <c r="D91" s="39" t="s">
        <v>339</v>
      </c>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64">
        <f>$C89</f>
        <v>50000000</v>
      </c>
      <c r="AG91" s="39">
        <f>$C89-AG89</f>
        <v>49190006</v>
      </c>
      <c r="AH91" s="39">
        <f t="shared" ref="AH91:BB91" si="30">AG91-AH89</f>
        <v>48363002</v>
      </c>
      <c r="AI91" s="39">
        <f t="shared" si="30"/>
        <v>47518631</v>
      </c>
      <c r="AJ91" s="39">
        <f t="shared" si="30"/>
        <v>46656528</v>
      </c>
      <c r="AK91" s="39">
        <f t="shared" si="30"/>
        <v>45776321</v>
      </c>
      <c r="AL91" s="39">
        <f t="shared" si="30"/>
        <v>44877630</v>
      </c>
      <c r="AM91" s="39">
        <f t="shared" si="30"/>
        <v>43960066</v>
      </c>
      <c r="AN91" s="39">
        <f t="shared" si="30"/>
        <v>43023233</v>
      </c>
      <c r="AO91" s="39">
        <f t="shared" si="30"/>
        <v>42066727</v>
      </c>
      <c r="AP91" s="39">
        <f t="shared" si="30"/>
        <v>41090134</v>
      </c>
      <c r="AQ91" s="39">
        <f t="shared" si="30"/>
        <v>40093033</v>
      </c>
      <c r="AR91" s="39">
        <f t="shared" si="30"/>
        <v>39074992</v>
      </c>
      <c r="AS91" s="39">
        <f t="shared" si="30"/>
        <v>38035573</v>
      </c>
      <c r="AT91" s="39">
        <f t="shared" si="30"/>
        <v>36974326</v>
      </c>
      <c r="AU91" s="39">
        <f t="shared" si="30"/>
        <v>35890793</v>
      </c>
      <c r="AV91" s="39">
        <f t="shared" si="30"/>
        <v>34784505</v>
      </c>
      <c r="AW91" s="39">
        <f t="shared" si="30"/>
        <v>33654985</v>
      </c>
      <c r="AX91" s="39">
        <f t="shared" si="30"/>
        <v>32501745</v>
      </c>
      <c r="AY91" s="39">
        <f t="shared" si="30"/>
        <v>31324287</v>
      </c>
      <c r="AZ91" s="39">
        <f t="shared" si="30"/>
        <v>30122103</v>
      </c>
      <c r="BA91" s="39">
        <f t="shared" si="30"/>
        <v>28894673</v>
      </c>
      <c r="BB91" s="39">
        <f t="shared" si="30"/>
        <v>27641467</v>
      </c>
    </row>
    <row r="92" spans="2:54">
      <c r="B92" s="2" t="s">
        <v>51</v>
      </c>
      <c r="C92" s="132">
        <f>【成行】財政シミュ!AV74</f>
        <v>50000000</v>
      </c>
      <c r="D92" s="39" t="s">
        <v>582</v>
      </c>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39">
        <f>-ROUND(PPMT($C$3,$E$4,$C$2,$C92,0,0),0)</f>
        <v>809994</v>
      </c>
      <c r="AI92" s="39">
        <f>-ROUND(PPMT($C$3,$F$4,$C$2,$C92,0,0),0)</f>
        <v>827004</v>
      </c>
      <c r="AJ92" s="39">
        <f>-ROUND(PPMT($C$3,$G$4,$C$2,$C92,0,0),0)</f>
        <v>844371</v>
      </c>
      <c r="AK92" s="39">
        <f>-ROUND(PPMT($C$3,$H$4,$C$2,$C92,0,0),0)</f>
        <v>862103</v>
      </c>
      <c r="AL92" s="39">
        <f>-ROUND(PPMT($C$3,$I$4,$C$2,$C92,0,0),0)</f>
        <v>880207</v>
      </c>
      <c r="AM92" s="39">
        <f>-ROUND(PPMT($C$3,$J$4,$C$2,$C92,0,0),0)</f>
        <v>898691</v>
      </c>
      <c r="AN92" s="39">
        <f>-ROUND(PPMT($C$3,$K$4,$C$2,$C92,0,0),0)</f>
        <v>917564</v>
      </c>
      <c r="AO92" s="39">
        <f>-ROUND(PPMT($C$3,$L$4,$C$2,$C92,0,0),0)</f>
        <v>936833</v>
      </c>
      <c r="AP92" s="39">
        <f>-ROUND(PPMT($C$3,$M$4,$C$2,$C92,0,0),0)</f>
        <v>956506</v>
      </c>
      <c r="AQ92" s="39">
        <f>-ROUND(PPMT($C$3,$N$4,$C$2,$C92,0,0),0)</f>
        <v>976593</v>
      </c>
      <c r="AR92" s="39">
        <f>-ROUND(PPMT($C$3,$O$4,$C$2,$C92,0,0),0)</f>
        <v>997101</v>
      </c>
      <c r="AS92" s="39">
        <f>-ROUND(PPMT($C$3,$P$4,$C$2,$C92,0,0),0)</f>
        <v>1018041</v>
      </c>
      <c r="AT92" s="39">
        <f>-ROUND(PPMT($C$3,$Q$4,$C$2,$C92,0,0),0)</f>
        <v>1039419</v>
      </c>
      <c r="AU92" s="39">
        <f>-ROUND(PPMT($C$3,$R$4,$C$2,$C92,0,0),0)</f>
        <v>1061247</v>
      </c>
      <c r="AV92" s="39">
        <f>-ROUND(PPMT($C$3,$S$4,$C$2,$C92,0,0),0)</f>
        <v>1083533</v>
      </c>
      <c r="AW92" s="39">
        <f>-ROUND(PPMT($C$3,$T$4,$C$2,$C92,0,0),0)</f>
        <v>1106288</v>
      </c>
      <c r="AX92" s="39">
        <f>-ROUND(PPMT($C$3,$U$4,$C$2,$C92,0,0),0)</f>
        <v>1129520</v>
      </c>
      <c r="AY92" s="39">
        <f>-ROUND(PPMT($C$3,$V$4,$C$2,$C92,0,0),0)</f>
        <v>1153240</v>
      </c>
      <c r="AZ92" s="39">
        <f>-ROUND(PPMT($C$3,$W$4,$C$2,$C92,0,0),0)</f>
        <v>1177458</v>
      </c>
      <c r="BA92" s="39">
        <f>-ROUND(PPMT($C$3,$X$4,$C$2,$C92,0,0),0)</f>
        <v>1202184</v>
      </c>
      <c r="BB92" s="39">
        <f>-ROUND(PPMT($C$3,$Y$4,$C$2,$C92,0,0),0)</f>
        <v>1227430</v>
      </c>
    </row>
    <row r="93" spans="2:54">
      <c r="B93" s="4"/>
      <c r="C93" s="133"/>
      <c r="D93" s="39" t="s">
        <v>583</v>
      </c>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39">
        <f>-ROUND(IPMT($C$3,$E$4,$C$2,$C92,0,0),0)</f>
        <v>1050000</v>
      </c>
      <c r="AI93" s="39">
        <f>-ROUND(IPMT($C$3,$F$4,$C$2,$C92,0,0),0)</f>
        <v>1032990</v>
      </c>
      <c r="AJ93" s="39">
        <f>-ROUND(IPMT($C$3,$G$4,$C$2,$C92,0,0),0)</f>
        <v>1015623</v>
      </c>
      <c r="AK93" s="39">
        <f>-ROUND(IPMT($C$3,$H$4,$C$2,$C92,0,0),0)</f>
        <v>997891</v>
      </c>
      <c r="AL93" s="39">
        <f>-ROUND(IPMT($C$3,$I$4,$C$2,$C92,0,0),0)</f>
        <v>979787</v>
      </c>
      <c r="AM93" s="39">
        <f>-ROUND(IPMT($C$3,$J$4,$C$2,$C92,0,0),0)</f>
        <v>961303</v>
      </c>
      <c r="AN93" s="39">
        <f>-ROUND(IPMT($C$3,$K$4,$C$2,$C92,0,0),0)</f>
        <v>942430</v>
      </c>
      <c r="AO93" s="39">
        <f>-ROUND(IPMT($C$3,$L$4,$C$2,$C92,0,0),0)</f>
        <v>923161</v>
      </c>
      <c r="AP93" s="39">
        <f>-ROUND(IPMT($C$3,$M$4,$C$2,$C92,0,0),0)</f>
        <v>903488</v>
      </c>
      <c r="AQ93" s="39">
        <f>-ROUND(IPMT($C$3,$N$4,$C$2,$C92,0,0),0)</f>
        <v>883401</v>
      </c>
      <c r="AR93" s="39">
        <f>-ROUND(IPMT($C$3,$O$4,$C$2,$C92,0,0),0)</f>
        <v>862893</v>
      </c>
      <c r="AS93" s="39">
        <f>-ROUND(IPMT($C$3,$P$4,$C$2,$C92,0,0),0)</f>
        <v>841954</v>
      </c>
      <c r="AT93" s="39">
        <f>-ROUND(IPMT($C$3,$Q$4,$C$2,$C92,0,0),0)</f>
        <v>820575</v>
      </c>
      <c r="AU93" s="39">
        <f>-ROUND(IPMT($C$3,$R$4,$C$2,$C92,0,0),0)</f>
        <v>798747</v>
      </c>
      <c r="AV93" s="39">
        <f>-ROUND(IPMT($C$3,$S$4,$C$2,$C92,0,0),0)</f>
        <v>776461</v>
      </c>
      <c r="AW93" s="39">
        <f>-ROUND(IPMT($C$3,$T$4,$C$2,$C92,0,0),0)</f>
        <v>753707</v>
      </c>
      <c r="AX93" s="39">
        <f>-ROUND(IPMT($C$3,$U$4,$C$2,$C92,0,0),0)</f>
        <v>730475</v>
      </c>
      <c r="AY93" s="39">
        <f>-ROUND(IPMT($C$3,$V$4,$C$2,$C92,0,0),0)</f>
        <v>706755</v>
      </c>
      <c r="AZ93" s="39">
        <f>-ROUND(IPMT($C$3,$W$4,$C$2,$C92,0,0),0)</f>
        <v>682537</v>
      </c>
      <c r="BA93" s="39">
        <f>-ROUND(IPMT($C$3,$X$4,$C$2,$C92,0,0),0)</f>
        <v>657810</v>
      </c>
      <c r="BB93" s="39">
        <f>-ROUND(IPMT($C$3,$Y$4,$C$2,$C92,0,0),0)</f>
        <v>632564</v>
      </c>
    </row>
    <row r="94" spans="2:54">
      <c r="B94" s="3"/>
      <c r="C94" s="134"/>
      <c r="D94" s="39" t="s">
        <v>339</v>
      </c>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64">
        <f>$C92</f>
        <v>50000000</v>
      </c>
      <c r="AH94" s="39">
        <f>$C92-AH92</f>
        <v>49190006</v>
      </c>
      <c r="AI94" s="39">
        <f t="shared" ref="AI94:BB94" si="31">AH94-AI92</f>
        <v>48363002</v>
      </c>
      <c r="AJ94" s="39">
        <f t="shared" si="31"/>
        <v>47518631</v>
      </c>
      <c r="AK94" s="39">
        <f t="shared" si="31"/>
        <v>46656528</v>
      </c>
      <c r="AL94" s="39">
        <f t="shared" si="31"/>
        <v>45776321</v>
      </c>
      <c r="AM94" s="39">
        <f t="shared" si="31"/>
        <v>44877630</v>
      </c>
      <c r="AN94" s="39">
        <f t="shared" si="31"/>
        <v>43960066</v>
      </c>
      <c r="AO94" s="39">
        <f t="shared" si="31"/>
        <v>43023233</v>
      </c>
      <c r="AP94" s="39">
        <f t="shared" si="31"/>
        <v>42066727</v>
      </c>
      <c r="AQ94" s="39">
        <f t="shared" si="31"/>
        <v>41090134</v>
      </c>
      <c r="AR94" s="39">
        <f t="shared" si="31"/>
        <v>40093033</v>
      </c>
      <c r="AS94" s="39">
        <f t="shared" si="31"/>
        <v>39074992</v>
      </c>
      <c r="AT94" s="39">
        <f t="shared" si="31"/>
        <v>38035573</v>
      </c>
      <c r="AU94" s="39">
        <f t="shared" si="31"/>
        <v>36974326</v>
      </c>
      <c r="AV94" s="39">
        <f t="shared" si="31"/>
        <v>35890793</v>
      </c>
      <c r="AW94" s="39">
        <f t="shared" si="31"/>
        <v>34784505</v>
      </c>
      <c r="AX94" s="39">
        <f t="shared" si="31"/>
        <v>33654985</v>
      </c>
      <c r="AY94" s="39">
        <f t="shared" si="31"/>
        <v>32501745</v>
      </c>
      <c r="AZ94" s="39">
        <f t="shared" si="31"/>
        <v>31324287</v>
      </c>
      <c r="BA94" s="39">
        <f t="shared" si="31"/>
        <v>30122103</v>
      </c>
      <c r="BB94" s="39">
        <f t="shared" si="31"/>
        <v>28894673</v>
      </c>
    </row>
    <row r="95" spans="2:54">
      <c r="B95" s="2" t="s">
        <v>52</v>
      </c>
      <c r="C95" s="132">
        <f>【成行】財政シミュ!AW74</f>
        <v>50000000</v>
      </c>
      <c r="D95" s="39" t="s">
        <v>582</v>
      </c>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39">
        <f>-ROUND(PPMT($C$3,$E$4,$C$2,$C95,0,0),0)</f>
        <v>809994</v>
      </c>
      <c r="AJ95" s="39">
        <f>-ROUND(PPMT($C$3,$F$4,$C$2,$C95,0,0),0)</f>
        <v>827004</v>
      </c>
      <c r="AK95" s="39">
        <f>-ROUND(PPMT($C$3,$G$4,$C$2,$C95,0,0),0)</f>
        <v>844371</v>
      </c>
      <c r="AL95" s="39">
        <f>-ROUND(PPMT($C$3,$H$4,$C$2,$C95,0,0),0)</f>
        <v>862103</v>
      </c>
      <c r="AM95" s="39">
        <f>-ROUND(PPMT($C$3,$I$4,$C$2,$C95,0,0),0)</f>
        <v>880207</v>
      </c>
      <c r="AN95" s="39">
        <f>-ROUND(PPMT($C$3,$J$4,$C$2,$C95,0,0),0)</f>
        <v>898691</v>
      </c>
      <c r="AO95" s="39">
        <f>-ROUND(PPMT($C$3,$K$4,$C$2,$C95,0,0),0)</f>
        <v>917564</v>
      </c>
      <c r="AP95" s="39">
        <f>-ROUND(PPMT($C$3,$L$4,$C$2,$C95,0,0),0)</f>
        <v>936833</v>
      </c>
      <c r="AQ95" s="39">
        <f>-ROUND(PPMT($C$3,$M$4,$C$2,$C95,0,0),0)</f>
        <v>956506</v>
      </c>
      <c r="AR95" s="39">
        <f>-ROUND(PPMT($C$3,$N$4,$C$2,$C95,0,0),0)</f>
        <v>976593</v>
      </c>
      <c r="AS95" s="39">
        <f>-ROUND(PPMT($C$3,$O$4,$C$2,$C95,0,0),0)</f>
        <v>997101</v>
      </c>
      <c r="AT95" s="39">
        <f>-ROUND(PPMT($C$3,$P$4,$C$2,$C95,0,0),0)</f>
        <v>1018041</v>
      </c>
      <c r="AU95" s="39">
        <f>-ROUND(PPMT($C$3,$Q$4,$C$2,$C95,0,0),0)</f>
        <v>1039419</v>
      </c>
      <c r="AV95" s="39">
        <f>-ROUND(PPMT($C$3,$R$4,$C$2,$C95,0,0),0)</f>
        <v>1061247</v>
      </c>
      <c r="AW95" s="39">
        <f>-ROUND(PPMT($C$3,$S$4,$C$2,$C95,0,0),0)</f>
        <v>1083533</v>
      </c>
      <c r="AX95" s="39">
        <f>-ROUND(PPMT($C$3,$T$4,$C$2,$C95,0,0),0)</f>
        <v>1106288</v>
      </c>
      <c r="AY95" s="39">
        <f>-ROUND(PPMT($C$3,$U$4,$C$2,$C95,0,0),0)</f>
        <v>1129520</v>
      </c>
      <c r="AZ95" s="39">
        <f>-ROUND(PPMT($C$3,$V$4,$C$2,$C95,0,0),0)</f>
        <v>1153240</v>
      </c>
      <c r="BA95" s="39">
        <f>-ROUND(PPMT($C$3,$W$4,$C$2,$C95,0,0),0)</f>
        <v>1177458</v>
      </c>
      <c r="BB95" s="39">
        <f>-ROUND(PPMT($C$3,$X$4,$C$2,$C95,0,0),0)</f>
        <v>1202184</v>
      </c>
    </row>
    <row r="96" spans="2:54">
      <c r="B96" s="4"/>
      <c r="C96" s="133"/>
      <c r="D96" s="39" t="s">
        <v>583</v>
      </c>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39">
        <f>-ROUND(IPMT($C$3,$E$4,$C$2,$C95,0,0),0)</f>
        <v>1050000</v>
      </c>
      <c r="AJ96" s="39">
        <f>-ROUND(IPMT($C$3,$F$4,$C$2,$C95,0,0),0)</f>
        <v>1032990</v>
      </c>
      <c r="AK96" s="39">
        <f>-ROUND(IPMT($C$3,$G$4,$C$2,$C95,0,0),0)</f>
        <v>1015623</v>
      </c>
      <c r="AL96" s="39">
        <f>-ROUND(IPMT($C$3,$H$4,$C$2,$C95,0,0),0)</f>
        <v>997891</v>
      </c>
      <c r="AM96" s="39">
        <f>-ROUND(IPMT($C$3,$I$4,$C$2,$C95,0,0),0)</f>
        <v>979787</v>
      </c>
      <c r="AN96" s="39">
        <f>-ROUND(IPMT($C$3,$J$4,$C$2,$C95,0,0),0)</f>
        <v>961303</v>
      </c>
      <c r="AO96" s="39">
        <f>-ROUND(IPMT($C$3,$K$4,$C$2,$C95,0,0),0)</f>
        <v>942430</v>
      </c>
      <c r="AP96" s="39">
        <f>-ROUND(IPMT($C$3,$L$4,$C$2,$C95,0,0),0)</f>
        <v>923161</v>
      </c>
      <c r="AQ96" s="39">
        <f>-ROUND(IPMT($C$3,$M$4,$C$2,$C95,0,0),0)</f>
        <v>903488</v>
      </c>
      <c r="AR96" s="39">
        <f>-ROUND(IPMT($C$3,$N$4,$C$2,$C95,0,0),0)</f>
        <v>883401</v>
      </c>
      <c r="AS96" s="39">
        <f>-ROUND(IPMT($C$3,$O$4,$C$2,$C95,0,0),0)</f>
        <v>862893</v>
      </c>
      <c r="AT96" s="39">
        <f>-ROUND(IPMT($C$3,$P$4,$C$2,$C95,0,0),0)</f>
        <v>841954</v>
      </c>
      <c r="AU96" s="39">
        <f>-ROUND(IPMT($C$3,$Q$4,$C$2,$C95,0,0),0)</f>
        <v>820575</v>
      </c>
      <c r="AV96" s="39">
        <f>-ROUND(IPMT($C$3,$R$4,$C$2,$C95,0,0),0)</f>
        <v>798747</v>
      </c>
      <c r="AW96" s="39">
        <f>-ROUND(IPMT($C$3,$S$4,$C$2,$C95,0,0),0)</f>
        <v>776461</v>
      </c>
      <c r="AX96" s="39">
        <f>-ROUND(IPMT($C$3,$T$4,$C$2,$C95,0,0),0)</f>
        <v>753707</v>
      </c>
      <c r="AY96" s="39">
        <f>-ROUND(IPMT($C$3,$U$4,$C$2,$C95,0,0),0)</f>
        <v>730475</v>
      </c>
      <c r="AZ96" s="39">
        <f>-ROUND(IPMT($C$3,$V$4,$C$2,$C95,0,0),0)</f>
        <v>706755</v>
      </c>
      <c r="BA96" s="39">
        <f>-ROUND(IPMT($C$3,$W$4,$C$2,$C95,0,0),0)</f>
        <v>682537</v>
      </c>
      <c r="BB96" s="39">
        <f>-ROUND(IPMT($C$3,$X$4,$C$2,$C95,0,0),0)</f>
        <v>657810</v>
      </c>
    </row>
    <row r="97" spans="2:54">
      <c r="B97" s="3"/>
      <c r="C97" s="134"/>
      <c r="D97" s="39" t="s">
        <v>339</v>
      </c>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64">
        <f>$C95</f>
        <v>50000000</v>
      </c>
      <c r="AI97" s="39">
        <f>$C95-AI95</f>
        <v>49190006</v>
      </c>
      <c r="AJ97" s="39">
        <f t="shared" ref="AJ97:BB97" si="32">AI97-AJ95</f>
        <v>48363002</v>
      </c>
      <c r="AK97" s="39">
        <f t="shared" si="32"/>
        <v>47518631</v>
      </c>
      <c r="AL97" s="39">
        <f t="shared" si="32"/>
        <v>46656528</v>
      </c>
      <c r="AM97" s="39">
        <f t="shared" si="32"/>
        <v>45776321</v>
      </c>
      <c r="AN97" s="39">
        <f t="shared" si="32"/>
        <v>44877630</v>
      </c>
      <c r="AO97" s="39">
        <f t="shared" si="32"/>
        <v>43960066</v>
      </c>
      <c r="AP97" s="39">
        <f t="shared" si="32"/>
        <v>43023233</v>
      </c>
      <c r="AQ97" s="39">
        <f t="shared" si="32"/>
        <v>42066727</v>
      </c>
      <c r="AR97" s="39">
        <f t="shared" si="32"/>
        <v>41090134</v>
      </c>
      <c r="AS97" s="39">
        <f t="shared" si="32"/>
        <v>40093033</v>
      </c>
      <c r="AT97" s="39">
        <f t="shared" si="32"/>
        <v>39074992</v>
      </c>
      <c r="AU97" s="39">
        <f t="shared" si="32"/>
        <v>38035573</v>
      </c>
      <c r="AV97" s="39">
        <f t="shared" si="32"/>
        <v>36974326</v>
      </c>
      <c r="AW97" s="39">
        <f t="shared" si="32"/>
        <v>35890793</v>
      </c>
      <c r="AX97" s="39">
        <f t="shared" si="32"/>
        <v>34784505</v>
      </c>
      <c r="AY97" s="39">
        <f t="shared" si="32"/>
        <v>33654985</v>
      </c>
      <c r="AZ97" s="39">
        <f t="shared" si="32"/>
        <v>32501745</v>
      </c>
      <c r="BA97" s="39">
        <f t="shared" si="32"/>
        <v>31324287</v>
      </c>
      <c r="BB97" s="39">
        <f t="shared" si="32"/>
        <v>30122103</v>
      </c>
    </row>
    <row r="98" spans="2:54">
      <c r="B98" s="2" t="s">
        <v>53</v>
      </c>
      <c r="C98" s="132">
        <f>【成行】財政シミュ!AX74</f>
        <v>50000000</v>
      </c>
      <c r="D98" s="39" t="s">
        <v>582</v>
      </c>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39">
        <f>-ROUND(PPMT($C$3,$E$4,$C$2,$C98,0,0),0)</f>
        <v>809994</v>
      </c>
      <c r="AK98" s="39">
        <f>-ROUND(PPMT($C$3,$F$4,$C$2,$C98,0,0),0)</f>
        <v>827004</v>
      </c>
      <c r="AL98" s="39">
        <f>-ROUND(PPMT($C$3,$G$4,$C$2,$C98,0,0),0)</f>
        <v>844371</v>
      </c>
      <c r="AM98" s="39">
        <f>-ROUND(PPMT($C$3,$H$4,$C$2,$C98,0,0),0)</f>
        <v>862103</v>
      </c>
      <c r="AN98" s="39">
        <f>-ROUND(PPMT($C$3,$I$4,$C$2,$C98,0,0),0)</f>
        <v>880207</v>
      </c>
      <c r="AO98" s="39">
        <f>-ROUND(PPMT($C$3,$J$4,$C$2,$C98,0,0),0)</f>
        <v>898691</v>
      </c>
      <c r="AP98" s="39">
        <f>-ROUND(PPMT($C$3,$K$4,$C$2,$C98,0,0),0)</f>
        <v>917564</v>
      </c>
      <c r="AQ98" s="39">
        <f>-ROUND(PPMT($C$3,$L$4,$C$2,$C98,0,0),0)</f>
        <v>936833</v>
      </c>
      <c r="AR98" s="39">
        <f>-ROUND(PPMT($C$3,$M$4,$C$2,$C98,0,0),0)</f>
        <v>956506</v>
      </c>
      <c r="AS98" s="39">
        <f>-ROUND(PPMT($C$3,$N$4,$C$2,$C98,0,0),0)</f>
        <v>976593</v>
      </c>
      <c r="AT98" s="39">
        <f>-ROUND(PPMT($C$3,$O$4,$C$2,$C98,0,0),0)</f>
        <v>997101</v>
      </c>
      <c r="AU98" s="39">
        <f>-ROUND(PPMT($C$3,$P$4,$C$2,$C98,0,0),0)</f>
        <v>1018041</v>
      </c>
      <c r="AV98" s="39">
        <f>-ROUND(PPMT($C$3,$Q$4,$C$2,$C98,0,0),0)</f>
        <v>1039419</v>
      </c>
      <c r="AW98" s="39">
        <f>-ROUND(PPMT($C$3,$R$4,$C$2,$C98,0,0),0)</f>
        <v>1061247</v>
      </c>
      <c r="AX98" s="39">
        <f>-ROUND(PPMT($C$3,$S$4,$C$2,$C98,0,0),0)</f>
        <v>1083533</v>
      </c>
      <c r="AY98" s="39">
        <f>-ROUND(PPMT($C$3,$T$4,$C$2,$C98,0,0),0)</f>
        <v>1106288</v>
      </c>
      <c r="AZ98" s="39">
        <f>-ROUND(PPMT($C$3,$U$4,$C$2,$C98,0,0),0)</f>
        <v>1129520</v>
      </c>
      <c r="BA98" s="39">
        <f>-ROUND(PPMT($C$3,$V$4,$C$2,$C98,0,0),0)</f>
        <v>1153240</v>
      </c>
      <c r="BB98" s="39">
        <f>-ROUND(PPMT($C$3,$W$4,$C$2,$C98,0,0),0)</f>
        <v>1177458</v>
      </c>
    </row>
    <row r="99" spans="2:54">
      <c r="B99" s="4"/>
      <c r="C99" s="133"/>
      <c r="D99" s="39" t="s">
        <v>583</v>
      </c>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39">
        <f>-ROUND(IPMT($C$3,$E$4,$C$2,$C98,0,0),0)</f>
        <v>1050000</v>
      </c>
      <c r="AK99" s="39">
        <f>-ROUND(IPMT($C$3,$F$4,$C$2,$C98,0,0),0)</f>
        <v>1032990</v>
      </c>
      <c r="AL99" s="39">
        <f>-ROUND(IPMT($C$3,$G$4,$C$2,$C98,0,0),0)</f>
        <v>1015623</v>
      </c>
      <c r="AM99" s="39">
        <f>-ROUND(IPMT($C$3,$H$4,$C$2,$C98,0,0),0)</f>
        <v>997891</v>
      </c>
      <c r="AN99" s="39">
        <f>-ROUND(IPMT($C$3,$I$4,$C$2,$C98,0,0),0)</f>
        <v>979787</v>
      </c>
      <c r="AO99" s="39">
        <f>-ROUND(IPMT($C$3,$J$4,$C$2,$C98,0,0),0)</f>
        <v>961303</v>
      </c>
      <c r="AP99" s="39">
        <f>-ROUND(IPMT($C$3,$K$4,$C$2,$C98,0,0),0)</f>
        <v>942430</v>
      </c>
      <c r="AQ99" s="39">
        <f>-ROUND(IPMT($C$3,$L$4,$C$2,$C98,0,0),0)</f>
        <v>923161</v>
      </c>
      <c r="AR99" s="39">
        <f>-ROUND(IPMT($C$3,$M$4,$C$2,$C98,0,0),0)</f>
        <v>903488</v>
      </c>
      <c r="AS99" s="39">
        <f>-ROUND(IPMT($C$3,$N$4,$C$2,$C98,0,0),0)</f>
        <v>883401</v>
      </c>
      <c r="AT99" s="39">
        <f>-ROUND(IPMT($C$3,$O$4,$C$2,$C98,0,0),0)</f>
        <v>862893</v>
      </c>
      <c r="AU99" s="39">
        <f>-ROUND(IPMT($C$3,$P$4,$C$2,$C98,0,0),0)</f>
        <v>841954</v>
      </c>
      <c r="AV99" s="39">
        <f>-ROUND(IPMT($C$3,$Q$4,$C$2,$C98,0,0),0)</f>
        <v>820575</v>
      </c>
      <c r="AW99" s="39">
        <f>-ROUND(IPMT($C$3,$R$4,$C$2,$C98,0,0),0)</f>
        <v>798747</v>
      </c>
      <c r="AX99" s="39">
        <f>-ROUND(IPMT($C$3,$S$4,$C$2,$C98,0,0),0)</f>
        <v>776461</v>
      </c>
      <c r="AY99" s="39">
        <f>-ROUND(IPMT($C$3,$T$4,$C$2,$C98,0,0),0)</f>
        <v>753707</v>
      </c>
      <c r="AZ99" s="39">
        <f>-ROUND(IPMT($C$3,$U$4,$C$2,$C98,0,0),0)</f>
        <v>730475</v>
      </c>
      <c r="BA99" s="39">
        <f>-ROUND(IPMT($C$3,$V$4,$C$2,$C98,0,0),0)</f>
        <v>706755</v>
      </c>
      <c r="BB99" s="39">
        <f>-ROUND(IPMT($C$3,$W$4,$C$2,$C98,0,0),0)</f>
        <v>682537</v>
      </c>
    </row>
    <row r="100" spans="2:54">
      <c r="B100" s="3"/>
      <c r="C100" s="134"/>
      <c r="D100" s="39" t="s">
        <v>339</v>
      </c>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64">
        <f>$C98</f>
        <v>50000000</v>
      </c>
      <c r="AJ100" s="39">
        <f>$C98-AJ98</f>
        <v>49190006</v>
      </c>
      <c r="AK100" s="39">
        <f t="shared" ref="AK100:BB100" si="33">AJ100-AK98</f>
        <v>48363002</v>
      </c>
      <c r="AL100" s="39">
        <f t="shared" si="33"/>
        <v>47518631</v>
      </c>
      <c r="AM100" s="39">
        <f t="shared" si="33"/>
        <v>46656528</v>
      </c>
      <c r="AN100" s="39">
        <f t="shared" si="33"/>
        <v>45776321</v>
      </c>
      <c r="AO100" s="39">
        <f t="shared" si="33"/>
        <v>44877630</v>
      </c>
      <c r="AP100" s="39">
        <f t="shared" si="33"/>
        <v>43960066</v>
      </c>
      <c r="AQ100" s="39">
        <f t="shared" si="33"/>
        <v>43023233</v>
      </c>
      <c r="AR100" s="39">
        <f t="shared" si="33"/>
        <v>42066727</v>
      </c>
      <c r="AS100" s="39">
        <f t="shared" si="33"/>
        <v>41090134</v>
      </c>
      <c r="AT100" s="39">
        <f t="shared" si="33"/>
        <v>40093033</v>
      </c>
      <c r="AU100" s="39">
        <f t="shared" si="33"/>
        <v>39074992</v>
      </c>
      <c r="AV100" s="39">
        <f t="shared" si="33"/>
        <v>38035573</v>
      </c>
      <c r="AW100" s="39">
        <f t="shared" si="33"/>
        <v>36974326</v>
      </c>
      <c r="AX100" s="39">
        <f t="shared" si="33"/>
        <v>35890793</v>
      </c>
      <c r="AY100" s="39">
        <f t="shared" si="33"/>
        <v>34784505</v>
      </c>
      <c r="AZ100" s="39">
        <f t="shared" si="33"/>
        <v>33654985</v>
      </c>
      <c r="BA100" s="39">
        <f t="shared" si="33"/>
        <v>32501745</v>
      </c>
      <c r="BB100" s="39">
        <f t="shared" si="33"/>
        <v>31324287</v>
      </c>
    </row>
    <row r="101" spans="2:54">
      <c r="B101" s="2" t="s">
        <v>54</v>
      </c>
      <c r="C101" s="132">
        <f>【成行】財政シミュ!AY74</f>
        <v>50000000</v>
      </c>
      <c r="D101" s="39" t="s">
        <v>582</v>
      </c>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39">
        <f>-ROUND(PPMT($C$3,$E$4,$C$2,$C101,0,0),0)</f>
        <v>809994</v>
      </c>
      <c r="AL101" s="39">
        <f>-ROUND(PPMT($C$3,$F$4,$C$2,$C101,0,0),0)</f>
        <v>827004</v>
      </c>
      <c r="AM101" s="39">
        <f>-ROUND(PPMT($C$3,$G$4,$C$2,$C101,0,0),0)</f>
        <v>844371</v>
      </c>
      <c r="AN101" s="39">
        <f>-ROUND(PPMT($C$3,$H$4,$C$2,$C101,0,0),0)</f>
        <v>862103</v>
      </c>
      <c r="AO101" s="39">
        <f>-ROUND(PPMT($C$3,$I$4,$C$2,$C101,0,0),0)</f>
        <v>880207</v>
      </c>
      <c r="AP101" s="39">
        <f>-ROUND(PPMT($C$3,$J$4,$C$2,$C101,0,0),0)</f>
        <v>898691</v>
      </c>
      <c r="AQ101" s="39">
        <f>-ROUND(PPMT($C$3,$K$4,$C$2,$C101,0,0),0)</f>
        <v>917564</v>
      </c>
      <c r="AR101" s="39">
        <f>-ROUND(PPMT($C$3,$L$4,$C$2,$C101,0,0),0)</f>
        <v>936833</v>
      </c>
      <c r="AS101" s="39">
        <f>-ROUND(PPMT($C$3,$M$4,$C$2,$C101,0,0),0)</f>
        <v>956506</v>
      </c>
      <c r="AT101" s="39">
        <f>-ROUND(PPMT($C$3,$N$4,$C$2,$C101,0,0),0)</f>
        <v>976593</v>
      </c>
      <c r="AU101" s="39">
        <f>-ROUND(PPMT($C$3,$O$4,$C$2,$C101,0,0),0)</f>
        <v>997101</v>
      </c>
      <c r="AV101" s="39">
        <f>-ROUND(PPMT($C$3,$P$4,$C$2,$C101,0,0),0)</f>
        <v>1018041</v>
      </c>
      <c r="AW101" s="39">
        <f>-ROUND(PPMT($C$3,$Q$4,$C$2,$C101,0,0),0)</f>
        <v>1039419</v>
      </c>
      <c r="AX101" s="39">
        <f>-ROUND(PPMT($C$3,$R$4,$C$2,$C101,0,0),0)</f>
        <v>1061247</v>
      </c>
      <c r="AY101" s="39">
        <f>-ROUND(PPMT($C$3,$S$4,$C$2,$C101,0,0),0)</f>
        <v>1083533</v>
      </c>
      <c r="AZ101" s="39">
        <f>-ROUND(PPMT($C$3,$T$4,$C$2,$C101,0,0),0)</f>
        <v>1106288</v>
      </c>
      <c r="BA101" s="39">
        <f>-ROUND(PPMT($C$3,$U$4,$C$2,$C101,0,0),0)</f>
        <v>1129520</v>
      </c>
      <c r="BB101" s="39">
        <f>-ROUND(PPMT($C$3,$V$4,$C$2,$C101,0,0),0)</f>
        <v>1153240</v>
      </c>
    </row>
    <row r="102" spans="2:54">
      <c r="B102" s="4"/>
      <c r="C102" s="133"/>
      <c r="D102" s="39" t="s">
        <v>583</v>
      </c>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39">
        <f>-ROUND(IPMT($C$3,$E$4,$C$2,$C101,0,0),0)</f>
        <v>1050000</v>
      </c>
      <c r="AL102" s="39">
        <f>-ROUND(IPMT($C$3,$F$4,$C$2,$C101,0,0),0)</f>
        <v>1032990</v>
      </c>
      <c r="AM102" s="39">
        <f>-ROUND(IPMT($C$3,$G$4,$C$2,$C101,0,0),0)</f>
        <v>1015623</v>
      </c>
      <c r="AN102" s="39">
        <f>-ROUND(IPMT($C$3,$H$4,$C$2,$C101,0,0),0)</f>
        <v>997891</v>
      </c>
      <c r="AO102" s="39">
        <f>-ROUND(IPMT($C$3,$I$4,$C$2,$C101,0,0),0)</f>
        <v>979787</v>
      </c>
      <c r="AP102" s="39">
        <f>-ROUND(IPMT($C$3,$J$4,$C$2,$C101,0,0),0)</f>
        <v>961303</v>
      </c>
      <c r="AQ102" s="39">
        <f>-ROUND(IPMT($C$3,$K$4,$C$2,$C101,0,0),0)</f>
        <v>942430</v>
      </c>
      <c r="AR102" s="39">
        <f>-ROUND(IPMT($C$3,$L$4,$C$2,$C101,0,0),0)</f>
        <v>923161</v>
      </c>
      <c r="AS102" s="39">
        <f>-ROUND(IPMT($C$3,$M$4,$C$2,$C101,0,0),0)</f>
        <v>903488</v>
      </c>
      <c r="AT102" s="39">
        <f>-ROUND(IPMT($C$3,$N$4,$C$2,$C101,0,0),0)</f>
        <v>883401</v>
      </c>
      <c r="AU102" s="39">
        <f>-ROUND(IPMT($C$3,$O$4,$C$2,$C101,0,0),0)</f>
        <v>862893</v>
      </c>
      <c r="AV102" s="39">
        <f>-ROUND(IPMT($C$3,$P$4,$C$2,$C101,0,0),0)</f>
        <v>841954</v>
      </c>
      <c r="AW102" s="39">
        <f>-ROUND(IPMT($C$3,$Q$4,$C$2,$C101,0,0),0)</f>
        <v>820575</v>
      </c>
      <c r="AX102" s="39">
        <f>-ROUND(IPMT($C$3,$R$4,$C$2,$C101,0,0),0)</f>
        <v>798747</v>
      </c>
      <c r="AY102" s="39">
        <f>-ROUND(IPMT($C$3,$S$4,$C$2,$C101,0,0),0)</f>
        <v>776461</v>
      </c>
      <c r="AZ102" s="39">
        <f>-ROUND(IPMT($C$3,$T$4,$C$2,$C101,0,0),0)</f>
        <v>753707</v>
      </c>
      <c r="BA102" s="39">
        <f>-ROUND(IPMT($C$3,$U$4,$C$2,$C101,0,0),0)</f>
        <v>730475</v>
      </c>
      <c r="BB102" s="39">
        <f>-ROUND(IPMT($C$3,$V$4,$C$2,$C101,0,0),0)</f>
        <v>706755</v>
      </c>
    </row>
    <row r="103" spans="2:54">
      <c r="B103" s="3"/>
      <c r="C103" s="134"/>
      <c r="D103" s="39" t="s">
        <v>339</v>
      </c>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64">
        <f>$C101</f>
        <v>50000000</v>
      </c>
      <c r="AK103" s="39">
        <f>$C101-AK101</f>
        <v>49190006</v>
      </c>
      <c r="AL103" s="39">
        <f t="shared" ref="AL103:BB103" si="34">AK103-AL101</f>
        <v>48363002</v>
      </c>
      <c r="AM103" s="39">
        <f t="shared" si="34"/>
        <v>47518631</v>
      </c>
      <c r="AN103" s="39">
        <f t="shared" si="34"/>
        <v>46656528</v>
      </c>
      <c r="AO103" s="39">
        <f t="shared" si="34"/>
        <v>45776321</v>
      </c>
      <c r="AP103" s="39">
        <f t="shared" si="34"/>
        <v>44877630</v>
      </c>
      <c r="AQ103" s="39">
        <f t="shared" si="34"/>
        <v>43960066</v>
      </c>
      <c r="AR103" s="39">
        <f t="shared" si="34"/>
        <v>43023233</v>
      </c>
      <c r="AS103" s="39">
        <f t="shared" si="34"/>
        <v>42066727</v>
      </c>
      <c r="AT103" s="39">
        <f t="shared" si="34"/>
        <v>41090134</v>
      </c>
      <c r="AU103" s="39">
        <f t="shared" si="34"/>
        <v>40093033</v>
      </c>
      <c r="AV103" s="39">
        <f t="shared" si="34"/>
        <v>39074992</v>
      </c>
      <c r="AW103" s="39">
        <f t="shared" si="34"/>
        <v>38035573</v>
      </c>
      <c r="AX103" s="39">
        <f t="shared" si="34"/>
        <v>36974326</v>
      </c>
      <c r="AY103" s="39">
        <f t="shared" si="34"/>
        <v>35890793</v>
      </c>
      <c r="AZ103" s="39">
        <f t="shared" si="34"/>
        <v>34784505</v>
      </c>
      <c r="BA103" s="39">
        <f t="shared" si="34"/>
        <v>33654985</v>
      </c>
      <c r="BB103" s="39">
        <f t="shared" si="34"/>
        <v>32501745</v>
      </c>
    </row>
    <row r="104" spans="2:54">
      <c r="B104" s="2" t="s">
        <v>55</v>
      </c>
      <c r="C104" s="132">
        <f>【成行】財政シミュ!AZ74</f>
        <v>50000000</v>
      </c>
      <c r="D104" s="39" t="s">
        <v>582</v>
      </c>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39">
        <f>-ROUND(PPMT($C$3,$E$4,$C$2,$C104,0,0),0)</f>
        <v>809994</v>
      </c>
      <c r="AM104" s="39">
        <f>-ROUND(PPMT($C$3,$F$4,$C$2,$C104,0,0),0)</f>
        <v>827004</v>
      </c>
      <c r="AN104" s="39">
        <f>-ROUND(PPMT($C$3,$G$4,$C$2,$C104,0,0),0)</f>
        <v>844371</v>
      </c>
      <c r="AO104" s="39">
        <f>-ROUND(PPMT($C$3,$H$4,$C$2,$C104,0,0),0)</f>
        <v>862103</v>
      </c>
      <c r="AP104" s="39">
        <f>-ROUND(PPMT($C$3,$I$4,$C$2,$C104,0,0),0)</f>
        <v>880207</v>
      </c>
      <c r="AQ104" s="39">
        <f>-ROUND(PPMT($C$3,$J$4,$C$2,$C104,0,0),0)</f>
        <v>898691</v>
      </c>
      <c r="AR104" s="39">
        <f>-ROUND(PPMT($C$3,$K$4,$C$2,$C104,0,0),0)</f>
        <v>917564</v>
      </c>
      <c r="AS104" s="39">
        <f>-ROUND(PPMT($C$3,$L$4,$C$2,$C104,0,0),0)</f>
        <v>936833</v>
      </c>
      <c r="AT104" s="39">
        <f>-ROUND(PPMT($C$3,$M$4,$C$2,$C104,0,0),0)</f>
        <v>956506</v>
      </c>
      <c r="AU104" s="39">
        <f>-ROUND(PPMT($C$3,$N$4,$C$2,$C104,0,0),0)</f>
        <v>976593</v>
      </c>
      <c r="AV104" s="39">
        <f>-ROUND(PPMT($C$3,$O$4,$C$2,$C104,0,0),0)</f>
        <v>997101</v>
      </c>
      <c r="AW104" s="39">
        <f>-ROUND(PPMT($C$3,$P$4,$C$2,$C104,0,0),0)</f>
        <v>1018041</v>
      </c>
      <c r="AX104" s="39">
        <f>-ROUND(PPMT($C$3,$Q$4,$C$2,$C104,0,0),0)</f>
        <v>1039419</v>
      </c>
      <c r="AY104" s="39">
        <f>-ROUND(PPMT($C$3,$R$4,$C$2,$C104,0,0),0)</f>
        <v>1061247</v>
      </c>
      <c r="AZ104" s="39">
        <f>-ROUND(PPMT($C$3,$S$4,$C$2,$C104,0,0),0)</f>
        <v>1083533</v>
      </c>
      <c r="BA104" s="39">
        <f>-ROUND(PPMT($C$3,$T$4,$C$2,$C104,0,0),0)</f>
        <v>1106288</v>
      </c>
      <c r="BB104" s="39">
        <f>-ROUND(PPMT($C$3,$U$4,$C$2,$C104,0,0),0)</f>
        <v>1129520</v>
      </c>
    </row>
    <row r="105" spans="2:54">
      <c r="B105" s="4"/>
      <c r="C105" s="133"/>
      <c r="D105" s="39" t="s">
        <v>583</v>
      </c>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39">
        <f>-ROUND(IPMT($C$3,$E$4,$C$2,$C104,0,0),0)</f>
        <v>1050000</v>
      </c>
      <c r="AM105" s="39">
        <f>-ROUND(IPMT($C$3,$F$4,$C$2,$C104,0,0),0)</f>
        <v>1032990</v>
      </c>
      <c r="AN105" s="39">
        <f>-ROUND(IPMT($C$3,$G$4,$C$2,$C104,0,0),0)</f>
        <v>1015623</v>
      </c>
      <c r="AO105" s="39">
        <f>-ROUND(IPMT($C$3,$H$4,$C$2,$C104,0,0),0)</f>
        <v>997891</v>
      </c>
      <c r="AP105" s="39">
        <f>-ROUND(IPMT($C$3,$I$4,$C$2,$C104,0,0),0)</f>
        <v>979787</v>
      </c>
      <c r="AQ105" s="39">
        <f>-ROUND(IPMT($C$3,$J$4,$C$2,$C104,0,0),0)</f>
        <v>961303</v>
      </c>
      <c r="AR105" s="39">
        <f>-ROUND(IPMT($C$3,$K$4,$C$2,$C104,0,0),0)</f>
        <v>942430</v>
      </c>
      <c r="AS105" s="39">
        <f>-ROUND(IPMT($C$3,$L$4,$C$2,$C104,0,0),0)</f>
        <v>923161</v>
      </c>
      <c r="AT105" s="39">
        <f>-ROUND(IPMT($C$3,$M$4,$C$2,$C104,0,0),0)</f>
        <v>903488</v>
      </c>
      <c r="AU105" s="39">
        <f>-ROUND(IPMT($C$3,$N$4,$C$2,$C104,0,0),0)</f>
        <v>883401</v>
      </c>
      <c r="AV105" s="39">
        <f>-ROUND(IPMT($C$3,$O$4,$C$2,$C104,0,0),0)</f>
        <v>862893</v>
      </c>
      <c r="AW105" s="39">
        <f>-ROUND(IPMT($C$3,$P$4,$C$2,$C104,0,0),0)</f>
        <v>841954</v>
      </c>
      <c r="AX105" s="39">
        <f>-ROUND(IPMT($C$3,$Q$4,$C$2,$C104,0,0),0)</f>
        <v>820575</v>
      </c>
      <c r="AY105" s="39">
        <f>-ROUND(IPMT($C$3,$R$4,$C$2,$C104,0,0),0)</f>
        <v>798747</v>
      </c>
      <c r="AZ105" s="39">
        <f>-ROUND(IPMT($C$3,$S$4,$C$2,$C104,0,0),0)</f>
        <v>776461</v>
      </c>
      <c r="BA105" s="39">
        <f>-ROUND(IPMT($C$3,$T$4,$C$2,$C104,0,0),0)</f>
        <v>753707</v>
      </c>
      <c r="BB105" s="39">
        <f>-ROUND(IPMT($C$3,$U$4,$C$2,$C104,0,0),0)</f>
        <v>730475</v>
      </c>
    </row>
    <row r="106" spans="2:54">
      <c r="B106" s="3"/>
      <c r="C106" s="134"/>
      <c r="D106" s="39" t="s">
        <v>339</v>
      </c>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64">
        <f>$C104</f>
        <v>50000000</v>
      </c>
      <c r="AL106" s="39">
        <f>$C104-AL104</f>
        <v>49190006</v>
      </c>
      <c r="AM106" s="39">
        <f t="shared" ref="AM106:BB106" si="35">AL106-AM104</f>
        <v>48363002</v>
      </c>
      <c r="AN106" s="39">
        <f t="shared" si="35"/>
        <v>47518631</v>
      </c>
      <c r="AO106" s="39">
        <f t="shared" si="35"/>
        <v>46656528</v>
      </c>
      <c r="AP106" s="39">
        <f t="shared" si="35"/>
        <v>45776321</v>
      </c>
      <c r="AQ106" s="39">
        <f t="shared" si="35"/>
        <v>44877630</v>
      </c>
      <c r="AR106" s="39">
        <f t="shared" si="35"/>
        <v>43960066</v>
      </c>
      <c r="AS106" s="39">
        <f t="shared" si="35"/>
        <v>43023233</v>
      </c>
      <c r="AT106" s="39">
        <f t="shared" si="35"/>
        <v>42066727</v>
      </c>
      <c r="AU106" s="39">
        <f t="shared" si="35"/>
        <v>41090134</v>
      </c>
      <c r="AV106" s="39">
        <f t="shared" si="35"/>
        <v>40093033</v>
      </c>
      <c r="AW106" s="39">
        <f t="shared" si="35"/>
        <v>39074992</v>
      </c>
      <c r="AX106" s="39">
        <f t="shared" si="35"/>
        <v>38035573</v>
      </c>
      <c r="AY106" s="39">
        <f t="shared" si="35"/>
        <v>36974326</v>
      </c>
      <c r="AZ106" s="39">
        <f t="shared" si="35"/>
        <v>35890793</v>
      </c>
      <c r="BA106" s="39">
        <f t="shared" si="35"/>
        <v>34784505</v>
      </c>
      <c r="BB106" s="39">
        <f t="shared" si="35"/>
        <v>33654985</v>
      </c>
    </row>
    <row r="107" spans="2:54">
      <c r="B107" s="2" t="s">
        <v>56</v>
      </c>
      <c r="C107" s="132">
        <f>【成行】財政シミュ!BA74</f>
        <v>50000000</v>
      </c>
      <c r="D107" s="39" t="s">
        <v>582</v>
      </c>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39">
        <f>-ROUND(PPMT($C$3,$E$4,$C$2,$C107,0,0),0)</f>
        <v>809994</v>
      </c>
      <c r="AN107" s="39">
        <f>-ROUND(PPMT($C$3,$F$4,$C$2,$C107,0,0),0)</f>
        <v>827004</v>
      </c>
      <c r="AO107" s="39">
        <f>-ROUND(PPMT($C$3,$G$4,$C$2,$C107,0,0),0)</f>
        <v>844371</v>
      </c>
      <c r="AP107" s="39">
        <f>-ROUND(PPMT($C$3,$H$4,$C$2,$C107,0,0),0)</f>
        <v>862103</v>
      </c>
      <c r="AQ107" s="39">
        <f>-ROUND(PPMT($C$3,$I$4,$C$2,$C107,0,0),0)</f>
        <v>880207</v>
      </c>
      <c r="AR107" s="39">
        <f>-ROUND(PPMT($C$3,$J$4,$C$2,$C107,0,0),0)</f>
        <v>898691</v>
      </c>
      <c r="AS107" s="39">
        <f>-ROUND(PPMT($C$3,$K$4,$C$2,$C107,0,0),0)</f>
        <v>917564</v>
      </c>
      <c r="AT107" s="39">
        <f>-ROUND(PPMT($C$3,$L$4,$C$2,$C107,0,0),0)</f>
        <v>936833</v>
      </c>
      <c r="AU107" s="39">
        <f>-ROUND(PPMT($C$3,$M$4,$C$2,$C107,0,0),0)</f>
        <v>956506</v>
      </c>
      <c r="AV107" s="39">
        <f>-ROUND(PPMT($C$3,$N$4,$C$2,$C107,0,0),0)</f>
        <v>976593</v>
      </c>
      <c r="AW107" s="39">
        <f>-ROUND(PPMT($C$3,$O$4,$C$2,$C107,0,0),0)</f>
        <v>997101</v>
      </c>
      <c r="AX107" s="39">
        <f>-ROUND(PPMT($C$3,$P$4,$C$2,$C107,0,0),0)</f>
        <v>1018041</v>
      </c>
      <c r="AY107" s="39">
        <f>-ROUND(PPMT($C$3,$Q$4,$C$2,$C107,0,0),0)</f>
        <v>1039419</v>
      </c>
      <c r="AZ107" s="39">
        <f>-ROUND(PPMT($C$3,$R$4,$C$2,$C107,0,0),0)</f>
        <v>1061247</v>
      </c>
      <c r="BA107" s="39">
        <f>-ROUND(PPMT($C$3,$S$4,$C$2,$C107,0,0),0)</f>
        <v>1083533</v>
      </c>
      <c r="BB107" s="39">
        <f>-ROUND(PPMT($C$3,$T$4,$C$2,$C107,0,0),0)</f>
        <v>1106288</v>
      </c>
    </row>
    <row r="108" spans="2:54">
      <c r="B108" s="4"/>
      <c r="C108" s="133"/>
      <c r="D108" s="39" t="s">
        <v>583</v>
      </c>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39">
        <f>-ROUND(IPMT($C$3,$E$4,$C$2,$C107,0,0),0)</f>
        <v>1050000</v>
      </c>
      <c r="AN108" s="39">
        <f>-ROUND(IPMT($C$3,$F$4,$C$2,$C107,0,0),0)</f>
        <v>1032990</v>
      </c>
      <c r="AO108" s="39">
        <f>-ROUND(IPMT($C$3,$G$4,$C$2,$C107,0,0),0)</f>
        <v>1015623</v>
      </c>
      <c r="AP108" s="39">
        <f>-ROUND(IPMT($C$3,$H$4,$C$2,$C107,0,0),0)</f>
        <v>997891</v>
      </c>
      <c r="AQ108" s="39">
        <f>-ROUND(IPMT($C$3,$I$4,$C$2,$C107,0,0),0)</f>
        <v>979787</v>
      </c>
      <c r="AR108" s="39">
        <f>-ROUND(IPMT($C$3,$J$4,$C$2,$C107,0,0),0)</f>
        <v>961303</v>
      </c>
      <c r="AS108" s="39">
        <f>-ROUND(IPMT($C$3,$K$4,$C$2,$C107,0,0),0)</f>
        <v>942430</v>
      </c>
      <c r="AT108" s="39">
        <f>-ROUND(IPMT($C$3,$L$4,$C$2,$C107,0,0),0)</f>
        <v>923161</v>
      </c>
      <c r="AU108" s="39">
        <f>-ROUND(IPMT($C$3,$M$4,$C$2,$C107,0,0),0)</f>
        <v>903488</v>
      </c>
      <c r="AV108" s="39">
        <f>-ROUND(IPMT($C$3,$N$4,$C$2,$C107,0,0),0)</f>
        <v>883401</v>
      </c>
      <c r="AW108" s="39">
        <f>-ROUND(IPMT($C$3,$O$4,$C$2,$C107,0,0),0)</f>
        <v>862893</v>
      </c>
      <c r="AX108" s="39">
        <f>-ROUND(IPMT($C$3,$P$4,$C$2,$C107,0,0),0)</f>
        <v>841954</v>
      </c>
      <c r="AY108" s="39">
        <f>-ROUND(IPMT($C$3,$Q$4,$C$2,$C107,0,0),0)</f>
        <v>820575</v>
      </c>
      <c r="AZ108" s="39">
        <f>-ROUND(IPMT($C$3,$R$4,$C$2,$C107,0,0),0)</f>
        <v>798747</v>
      </c>
      <c r="BA108" s="39">
        <f>-ROUND(IPMT($C$3,$S$4,$C$2,$C107,0,0),0)</f>
        <v>776461</v>
      </c>
      <c r="BB108" s="39">
        <f>-ROUND(IPMT($C$3,$T$4,$C$2,$C107,0,0),0)</f>
        <v>753707</v>
      </c>
    </row>
    <row r="109" spans="2:54">
      <c r="B109" s="3"/>
      <c r="C109" s="134"/>
      <c r="D109" s="39" t="s">
        <v>339</v>
      </c>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64">
        <f>$C107</f>
        <v>50000000</v>
      </c>
      <c r="AM109" s="39">
        <f>$C107-AM107</f>
        <v>49190006</v>
      </c>
      <c r="AN109" s="39">
        <f t="shared" ref="AN109:BB109" si="36">AM109-AN107</f>
        <v>48363002</v>
      </c>
      <c r="AO109" s="39">
        <f t="shared" si="36"/>
        <v>47518631</v>
      </c>
      <c r="AP109" s="39">
        <f t="shared" si="36"/>
        <v>46656528</v>
      </c>
      <c r="AQ109" s="39">
        <f t="shared" si="36"/>
        <v>45776321</v>
      </c>
      <c r="AR109" s="39">
        <f t="shared" si="36"/>
        <v>44877630</v>
      </c>
      <c r="AS109" s="39">
        <f t="shared" si="36"/>
        <v>43960066</v>
      </c>
      <c r="AT109" s="39">
        <f t="shared" si="36"/>
        <v>43023233</v>
      </c>
      <c r="AU109" s="39">
        <f t="shared" si="36"/>
        <v>42066727</v>
      </c>
      <c r="AV109" s="39">
        <f t="shared" si="36"/>
        <v>41090134</v>
      </c>
      <c r="AW109" s="39">
        <f t="shared" si="36"/>
        <v>40093033</v>
      </c>
      <c r="AX109" s="39">
        <f t="shared" si="36"/>
        <v>39074992</v>
      </c>
      <c r="AY109" s="39">
        <f t="shared" si="36"/>
        <v>38035573</v>
      </c>
      <c r="AZ109" s="39">
        <f t="shared" si="36"/>
        <v>36974326</v>
      </c>
      <c r="BA109" s="39">
        <f t="shared" si="36"/>
        <v>35890793</v>
      </c>
      <c r="BB109" s="39">
        <f t="shared" si="36"/>
        <v>34784505</v>
      </c>
    </row>
    <row r="110" spans="2:54">
      <c r="B110" s="2" t="s">
        <v>57</v>
      </c>
      <c r="C110" s="132">
        <f>【成行】財政シミュ!BB74</f>
        <v>50000000</v>
      </c>
      <c r="D110" s="39" t="s">
        <v>582</v>
      </c>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39">
        <f>-ROUND(PPMT($C$3,$E$4,$C$2,$C110,0,0),0)</f>
        <v>809994</v>
      </c>
      <c r="AO110" s="39">
        <f>-ROUND(PPMT($C$3,$F$4,$C$2,$C110,0,0),0)</f>
        <v>827004</v>
      </c>
      <c r="AP110" s="39">
        <f>-ROUND(PPMT($C$3,$G$4,$C$2,$C110,0,0),0)</f>
        <v>844371</v>
      </c>
      <c r="AQ110" s="39">
        <f>-ROUND(PPMT($C$3,$H$4,$C$2,$C110,0,0),0)</f>
        <v>862103</v>
      </c>
      <c r="AR110" s="39">
        <f>-ROUND(PPMT($C$3,$I$4,$C$2,$C110,0,0),0)</f>
        <v>880207</v>
      </c>
      <c r="AS110" s="39">
        <f>-ROUND(PPMT($C$3,$J$4,$C$2,$C110,0,0),0)</f>
        <v>898691</v>
      </c>
      <c r="AT110" s="39">
        <f>-ROUND(PPMT($C$3,$K$4,$C$2,$C110,0,0),0)</f>
        <v>917564</v>
      </c>
      <c r="AU110" s="39">
        <f>-ROUND(PPMT($C$3,$L$4,$C$2,$C110,0,0),0)</f>
        <v>936833</v>
      </c>
      <c r="AV110" s="39">
        <f>-ROUND(PPMT($C$3,$M$4,$C$2,$C110,0,0),0)</f>
        <v>956506</v>
      </c>
      <c r="AW110" s="39">
        <f>-ROUND(PPMT($C$3,$N$4,$C$2,$C110,0,0),0)</f>
        <v>976593</v>
      </c>
      <c r="AX110" s="39">
        <f>-ROUND(PPMT($C$3,$O$4,$C$2,$C110,0,0),0)</f>
        <v>997101</v>
      </c>
      <c r="AY110" s="39">
        <f>-ROUND(PPMT($C$3,$P$4,$C$2,$C110,0,0),0)</f>
        <v>1018041</v>
      </c>
      <c r="AZ110" s="39">
        <f>-ROUND(PPMT($C$3,$Q$4,$C$2,$C110,0,0),0)</f>
        <v>1039419</v>
      </c>
      <c r="BA110" s="39">
        <f>-ROUND(PPMT($C$3,$R$4,$C$2,$C110,0,0),0)</f>
        <v>1061247</v>
      </c>
      <c r="BB110" s="39">
        <f>-ROUND(PPMT($C$3,$S$4,$C$2,$C110,0,0),0)</f>
        <v>1083533</v>
      </c>
    </row>
    <row r="111" spans="2:54">
      <c r="B111" s="4"/>
      <c r="C111" s="133"/>
      <c r="D111" s="39" t="s">
        <v>583</v>
      </c>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39">
        <f>-ROUND(IPMT($C$3,$E$4,$C$2,$C110,0,0),0)</f>
        <v>1050000</v>
      </c>
      <c r="AO111" s="39">
        <f>-ROUND(IPMT($C$3,$F$4,$C$2,$C110,0,0),0)</f>
        <v>1032990</v>
      </c>
      <c r="AP111" s="39">
        <f>-ROUND(IPMT($C$3,$G$4,$C$2,$C110,0,0),0)</f>
        <v>1015623</v>
      </c>
      <c r="AQ111" s="39">
        <f>-ROUND(IPMT($C$3,$H$4,$C$2,$C110,0,0),0)</f>
        <v>997891</v>
      </c>
      <c r="AR111" s="39">
        <f>-ROUND(IPMT($C$3,$I$4,$C$2,$C110,0,0),0)</f>
        <v>979787</v>
      </c>
      <c r="AS111" s="39">
        <f>-ROUND(IPMT($C$3,$J$4,$C$2,$C110,0,0),0)</f>
        <v>961303</v>
      </c>
      <c r="AT111" s="39">
        <f>-ROUND(IPMT($C$3,$K$4,$C$2,$C110,0,0),0)</f>
        <v>942430</v>
      </c>
      <c r="AU111" s="39">
        <f>-ROUND(IPMT($C$3,$L$4,$C$2,$C110,0,0),0)</f>
        <v>923161</v>
      </c>
      <c r="AV111" s="39">
        <f>-ROUND(IPMT($C$3,$M$4,$C$2,$C110,0,0),0)</f>
        <v>903488</v>
      </c>
      <c r="AW111" s="39">
        <f>-ROUND(IPMT($C$3,$N$4,$C$2,$C110,0,0),0)</f>
        <v>883401</v>
      </c>
      <c r="AX111" s="39">
        <f>-ROUND(IPMT($C$3,$O$4,$C$2,$C110,0,0),0)</f>
        <v>862893</v>
      </c>
      <c r="AY111" s="39">
        <f>-ROUND(IPMT($C$3,$P$4,$C$2,$C110,0,0),0)</f>
        <v>841954</v>
      </c>
      <c r="AZ111" s="39">
        <f>-ROUND(IPMT($C$3,$Q$4,$C$2,$C110,0,0),0)</f>
        <v>820575</v>
      </c>
      <c r="BA111" s="39">
        <f>-ROUND(IPMT($C$3,$R$4,$C$2,$C110,0,0),0)</f>
        <v>798747</v>
      </c>
      <c r="BB111" s="39">
        <f>-ROUND(IPMT($C$3,$S$4,$C$2,$C110,0,0),0)</f>
        <v>776461</v>
      </c>
    </row>
    <row r="112" spans="2:54">
      <c r="B112" s="3"/>
      <c r="C112" s="134"/>
      <c r="D112" s="39" t="s">
        <v>339</v>
      </c>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64">
        <f>$C110</f>
        <v>50000000</v>
      </c>
      <c r="AN112" s="39">
        <f>$C110-AN110</f>
        <v>49190006</v>
      </c>
      <c r="AO112" s="39">
        <f t="shared" ref="AO112:BB112" si="37">AN112-AO110</f>
        <v>48363002</v>
      </c>
      <c r="AP112" s="39">
        <f t="shared" si="37"/>
        <v>47518631</v>
      </c>
      <c r="AQ112" s="39">
        <f t="shared" si="37"/>
        <v>46656528</v>
      </c>
      <c r="AR112" s="39">
        <f t="shared" si="37"/>
        <v>45776321</v>
      </c>
      <c r="AS112" s="39">
        <f t="shared" si="37"/>
        <v>44877630</v>
      </c>
      <c r="AT112" s="39">
        <f t="shared" si="37"/>
        <v>43960066</v>
      </c>
      <c r="AU112" s="39">
        <f t="shared" si="37"/>
        <v>43023233</v>
      </c>
      <c r="AV112" s="39">
        <f t="shared" si="37"/>
        <v>42066727</v>
      </c>
      <c r="AW112" s="39">
        <f t="shared" si="37"/>
        <v>41090134</v>
      </c>
      <c r="AX112" s="39">
        <f t="shared" si="37"/>
        <v>40093033</v>
      </c>
      <c r="AY112" s="39">
        <f t="shared" si="37"/>
        <v>39074992</v>
      </c>
      <c r="AZ112" s="39">
        <f t="shared" si="37"/>
        <v>38035573</v>
      </c>
      <c r="BA112" s="39">
        <f t="shared" si="37"/>
        <v>36974326</v>
      </c>
      <c r="BB112" s="39">
        <f t="shared" si="37"/>
        <v>35890793</v>
      </c>
    </row>
    <row r="113" spans="2:54">
      <c r="B113" s="2" t="s">
        <v>58</v>
      </c>
      <c r="C113" s="132">
        <f>【成行】財政シミュ!BC74</f>
        <v>50000000</v>
      </c>
      <c r="D113" s="39" t="s">
        <v>582</v>
      </c>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39">
        <f>-ROUND(PPMT($C$3,$E$4,$C$2,$C113,0,0),0)</f>
        <v>809994</v>
      </c>
      <c r="AP113" s="39">
        <f>-ROUND(PPMT($C$3,$F$4,$C$2,$C113,0,0),0)</f>
        <v>827004</v>
      </c>
      <c r="AQ113" s="39">
        <f>-ROUND(PPMT($C$3,$G$4,$C$2,$C113,0,0),0)</f>
        <v>844371</v>
      </c>
      <c r="AR113" s="39">
        <f>-ROUND(PPMT($C$3,$H$4,$C$2,$C113,0,0),0)</f>
        <v>862103</v>
      </c>
      <c r="AS113" s="39">
        <f>-ROUND(PPMT($C$3,$I$4,$C$2,$C113,0,0),0)</f>
        <v>880207</v>
      </c>
      <c r="AT113" s="39">
        <f>-ROUND(PPMT($C$3,$J$4,$C$2,$C113,0,0),0)</f>
        <v>898691</v>
      </c>
      <c r="AU113" s="39">
        <f>-ROUND(PPMT($C$3,$K$4,$C$2,$C113,0,0),0)</f>
        <v>917564</v>
      </c>
      <c r="AV113" s="39">
        <f>-ROUND(PPMT($C$3,$L$4,$C$2,$C113,0,0),0)</f>
        <v>936833</v>
      </c>
      <c r="AW113" s="39">
        <f>-ROUND(PPMT($C$3,$M$4,$C$2,$C113,0,0),0)</f>
        <v>956506</v>
      </c>
      <c r="AX113" s="39">
        <f>-ROUND(PPMT($C$3,$N$4,$C$2,$C113,0,0),0)</f>
        <v>976593</v>
      </c>
      <c r="AY113" s="39">
        <f>-ROUND(PPMT($C$3,$O$4,$C$2,$C113,0,0),0)</f>
        <v>997101</v>
      </c>
      <c r="AZ113" s="39">
        <f>-ROUND(PPMT($C$3,$P$4,$C$2,$C113,0,0),0)</f>
        <v>1018041</v>
      </c>
      <c r="BA113" s="39">
        <f>-ROUND(PPMT($C$3,$Q$4,$C$2,$C113,0,0),0)</f>
        <v>1039419</v>
      </c>
      <c r="BB113" s="39">
        <f>-ROUND(PPMT($C$3,$R$4,$C$2,$C113,0,0),0)</f>
        <v>1061247</v>
      </c>
    </row>
    <row r="114" spans="2:54">
      <c r="B114" s="4"/>
      <c r="C114" s="133"/>
      <c r="D114" s="39" t="s">
        <v>583</v>
      </c>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39">
        <f>-ROUND(IPMT($C$3,$E$4,$C$2,$C113,0,0),0)</f>
        <v>1050000</v>
      </c>
      <c r="AP114" s="39">
        <f>-ROUND(IPMT($C$3,$F$4,$C$2,$C113,0,0),0)</f>
        <v>1032990</v>
      </c>
      <c r="AQ114" s="39">
        <f>-ROUND(IPMT($C$3,$G$4,$C$2,$C113,0,0),0)</f>
        <v>1015623</v>
      </c>
      <c r="AR114" s="39">
        <f>-ROUND(IPMT($C$3,$H$4,$C$2,$C113,0,0),0)</f>
        <v>997891</v>
      </c>
      <c r="AS114" s="39">
        <f>-ROUND(IPMT($C$3,$I$4,$C$2,$C113,0,0),0)</f>
        <v>979787</v>
      </c>
      <c r="AT114" s="39">
        <f>-ROUND(IPMT($C$3,$J$4,$C$2,$C113,0,0),0)</f>
        <v>961303</v>
      </c>
      <c r="AU114" s="39">
        <f>-ROUND(IPMT($C$3,$K$4,$C$2,$C113,0,0),0)</f>
        <v>942430</v>
      </c>
      <c r="AV114" s="39">
        <f>-ROUND(IPMT($C$3,$L$4,$C$2,$C113,0,0),0)</f>
        <v>923161</v>
      </c>
      <c r="AW114" s="39">
        <f>-ROUND(IPMT($C$3,$M$4,$C$2,$C113,0,0),0)</f>
        <v>903488</v>
      </c>
      <c r="AX114" s="39">
        <f>-ROUND(IPMT($C$3,$N$4,$C$2,$C113,0,0),0)</f>
        <v>883401</v>
      </c>
      <c r="AY114" s="39">
        <f>-ROUND(IPMT($C$3,$O$4,$C$2,$C113,0,0),0)</f>
        <v>862893</v>
      </c>
      <c r="AZ114" s="39">
        <f>-ROUND(IPMT($C$3,$P$4,$C$2,$C113,0,0),0)</f>
        <v>841954</v>
      </c>
      <c r="BA114" s="39">
        <f>-ROUND(IPMT($C$3,$Q$4,$C$2,$C113,0,0),0)</f>
        <v>820575</v>
      </c>
      <c r="BB114" s="39">
        <f>-ROUND(IPMT($C$3,$R$4,$C$2,$C113,0,0),0)</f>
        <v>798747</v>
      </c>
    </row>
    <row r="115" spans="2:54">
      <c r="B115" s="3"/>
      <c r="C115" s="134"/>
      <c r="D115" s="39" t="s">
        <v>339</v>
      </c>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64">
        <f>$C113</f>
        <v>50000000</v>
      </c>
      <c r="AO115" s="39">
        <f>$C113-AO113</f>
        <v>49190006</v>
      </c>
      <c r="AP115" s="39">
        <f t="shared" ref="AP115:BB115" si="38">AO115-AP113</f>
        <v>48363002</v>
      </c>
      <c r="AQ115" s="39">
        <f t="shared" si="38"/>
        <v>47518631</v>
      </c>
      <c r="AR115" s="39">
        <f t="shared" si="38"/>
        <v>46656528</v>
      </c>
      <c r="AS115" s="39">
        <f t="shared" si="38"/>
        <v>45776321</v>
      </c>
      <c r="AT115" s="39">
        <f t="shared" si="38"/>
        <v>44877630</v>
      </c>
      <c r="AU115" s="39">
        <f t="shared" si="38"/>
        <v>43960066</v>
      </c>
      <c r="AV115" s="39">
        <f t="shared" si="38"/>
        <v>43023233</v>
      </c>
      <c r="AW115" s="39">
        <f t="shared" si="38"/>
        <v>42066727</v>
      </c>
      <c r="AX115" s="39">
        <f t="shared" si="38"/>
        <v>41090134</v>
      </c>
      <c r="AY115" s="39">
        <f t="shared" si="38"/>
        <v>40093033</v>
      </c>
      <c r="AZ115" s="39">
        <f t="shared" si="38"/>
        <v>39074992</v>
      </c>
      <c r="BA115" s="39">
        <f t="shared" si="38"/>
        <v>38035573</v>
      </c>
      <c r="BB115" s="39">
        <f t="shared" si="38"/>
        <v>36974326</v>
      </c>
    </row>
    <row r="116" spans="2:54">
      <c r="B116" s="2" t="s">
        <v>59</v>
      </c>
      <c r="C116" s="132">
        <f>【成行】財政シミュ!BD74</f>
        <v>50000000</v>
      </c>
      <c r="D116" s="39" t="s">
        <v>582</v>
      </c>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39">
        <f>-ROUND(PPMT($C$3,$E$4,$C$2,$C116,0,0),0)</f>
        <v>809994</v>
      </c>
      <c r="AQ116" s="39">
        <f>-ROUND(PPMT($C$3,$F$4,$C$2,$C116,0,0),0)</f>
        <v>827004</v>
      </c>
      <c r="AR116" s="39">
        <f>-ROUND(PPMT($C$3,$G$4,$C$2,$C116,0,0),0)</f>
        <v>844371</v>
      </c>
      <c r="AS116" s="39">
        <f>-ROUND(PPMT($C$3,$H$4,$C$2,$C116,0,0),0)</f>
        <v>862103</v>
      </c>
      <c r="AT116" s="39">
        <f>-ROUND(PPMT($C$3,$I$4,$C$2,$C116,0,0),0)</f>
        <v>880207</v>
      </c>
      <c r="AU116" s="39">
        <f>-ROUND(PPMT($C$3,$J$4,$C$2,$C116,0,0),0)</f>
        <v>898691</v>
      </c>
      <c r="AV116" s="39">
        <f>-ROUND(PPMT($C$3,$K$4,$C$2,$C116,0,0),0)</f>
        <v>917564</v>
      </c>
      <c r="AW116" s="39">
        <f>-ROUND(PPMT($C$3,$L$4,$C$2,$C116,0,0),0)</f>
        <v>936833</v>
      </c>
      <c r="AX116" s="39">
        <f>-ROUND(PPMT($C$3,$M$4,$C$2,$C116,0,0),0)</f>
        <v>956506</v>
      </c>
      <c r="AY116" s="39">
        <f>-ROUND(PPMT($C$3,$N$4,$C$2,$C116,0,0),0)</f>
        <v>976593</v>
      </c>
      <c r="AZ116" s="39">
        <f>-ROUND(PPMT($C$3,$O$4,$C$2,$C116,0,0),0)</f>
        <v>997101</v>
      </c>
      <c r="BA116" s="39">
        <f>-ROUND(PPMT($C$3,$P$4,$C$2,$C116,0,0),0)</f>
        <v>1018041</v>
      </c>
      <c r="BB116" s="39">
        <f>-ROUND(PPMT($C$3,$Q$4,$C$2,$C116,0,0),0)</f>
        <v>1039419</v>
      </c>
    </row>
    <row r="117" spans="2:54">
      <c r="B117" s="4"/>
      <c r="C117" s="133"/>
      <c r="D117" s="39" t="s">
        <v>583</v>
      </c>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39">
        <f>-ROUND(IPMT($C$3,$E$4,$C$2,$C116,0,0),0)</f>
        <v>1050000</v>
      </c>
      <c r="AQ117" s="39">
        <f>-ROUND(IPMT($C$3,$F$4,$C$2,$C116,0,0),0)</f>
        <v>1032990</v>
      </c>
      <c r="AR117" s="39">
        <f>-ROUND(IPMT($C$3,$G$4,$C$2,$C116,0,0),0)</f>
        <v>1015623</v>
      </c>
      <c r="AS117" s="39">
        <f>-ROUND(IPMT($C$3,$H$4,$C$2,$C116,0,0),0)</f>
        <v>997891</v>
      </c>
      <c r="AT117" s="39">
        <f>-ROUND(IPMT($C$3,$I$4,$C$2,$C116,0,0),0)</f>
        <v>979787</v>
      </c>
      <c r="AU117" s="39">
        <f>-ROUND(IPMT($C$3,$J$4,$C$2,$C116,0,0),0)</f>
        <v>961303</v>
      </c>
      <c r="AV117" s="39">
        <f>-ROUND(IPMT($C$3,$K$4,$C$2,$C116,0,0),0)</f>
        <v>942430</v>
      </c>
      <c r="AW117" s="39">
        <f>-ROUND(IPMT($C$3,$L$4,$C$2,$C116,0,0),0)</f>
        <v>923161</v>
      </c>
      <c r="AX117" s="39">
        <f>-ROUND(IPMT($C$3,$M$4,$C$2,$C116,0,0),0)</f>
        <v>903488</v>
      </c>
      <c r="AY117" s="39">
        <f>-ROUND(IPMT($C$3,$N$4,$C$2,$C116,0,0),0)</f>
        <v>883401</v>
      </c>
      <c r="AZ117" s="39">
        <f>-ROUND(IPMT($C$3,$O$4,$C$2,$C116,0,0),0)</f>
        <v>862893</v>
      </c>
      <c r="BA117" s="39">
        <f>-ROUND(IPMT($C$3,$P$4,$C$2,$C116,0,0),0)</f>
        <v>841954</v>
      </c>
      <c r="BB117" s="39">
        <f>-ROUND(IPMT($C$3,$Q$4,$C$2,$C116,0,0),0)</f>
        <v>820575</v>
      </c>
    </row>
    <row r="118" spans="2:54">
      <c r="B118" s="3"/>
      <c r="C118" s="134"/>
      <c r="D118" s="39" t="s">
        <v>339</v>
      </c>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64">
        <f>$C116</f>
        <v>50000000</v>
      </c>
      <c r="AP118" s="39">
        <f>$C116-AP116</f>
        <v>49190006</v>
      </c>
      <c r="AQ118" s="39">
        <f t="shared" ref="AQ118:BB118" si="39">AP118-AQ116</f>
        <v>48363002</v>
      </c>
      <c r="AR118" s="39">
        <f t="shared" si="39"/>
        <v>47518631</v>
      </c>
      <c r="AS118" s="39">
        <f t="shared" si="39"/>
        <v>46656528</v>
      </c>
      <c r="AT118" s="39">
        <f t="shared" si="39"/>
        <v>45776321</v>
      </c>
      <c r="AU118" s="39">
        <f t="shared" si="39"/>
        <v>44877630</v>
      </c>
      <c r="AV118" s="39">
        <f t="shared" si="39"/>
        <v>43960066</v>
      </c>
      <c r="AW118" s="39">
        <f t="shared" si="39"/>
        <v>43023233</v>
      </c>
      <c r="AX118" s="39">
        <f t="shared" si="39"/>
        <v>42066727</v>
      </c>
      <c r="AY118" s="39">
        <f t="shared" si="39"/>
        <v>41090134</v>
      </c>
      <c r="AZ118" s="39">
        <f t="shared" si="39"/>
        <v>40093033</v>
      </c>
      <c r="BA118" s="39">
        <f t="shared" si="39"/>
        <v>39074992</v>
      </c>
      <c r="BB118" s="39">
        <f t="shared" si="39"/>
        <v>38035573</v>
      </c>
    </row>
    <row r="119" spans="2:54">
      <c r="B119" s="2" t="s">
        <v>60</v>
      </c>
      <c r="C119" s="132">
        <f>【成行】財政シミュ!BE74</f>
        <v>50000000</v>
      </c>
      <c r="D119" s="39" t="s">
        <v>582</v>
      </c>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39">
        <f>-ROUND(PPMT($C$3,$E$4,$C$2,$C119,0,0),0)</f>
        <v>809994</v>
      </c>
      <c r="AR119" s="39">
        <f>-ROUND(PPMT($C$3,$F$4,$C$2,$C119,0,0),0)</f>
        <v>827004</v>
      </c>
      <c r="AS119" s="39">
        <f>-ROUND(PPMT($C$3,$G$4,$C$2,$C119,0,0),0)</f>
        <v>844371</v>
      </c>
      <c r="AT119" s="39">
        <f>-ROUND(PPMT($C$3,$H$4,$C$2,$C119,0,0),0)</f>
        <v>862103</v>
      </c>
      <c r="AU119" s="39">
        <f>-ROUND(PPMT($C$3,$I$4,$C$2,$C119,0,0),0)</f>
        <v>880207</v>
      </c>
      <c r="AV119" s="39">
        <f>-ROUND(PPMT($C$3,$J$4,$C$2,$C119,0,0),0)</f>
        <v>898691</v>
      </c>
      <c r="AW119" s="39">
        <f>-ROUND(PPMT($C$3,$K$4,$C$2,$C119,0,0),0)</f>
        <v>917564</v>
      </c>
      <c r="AX119" s="39">
        <f>-ROUND(PPMT($C$3,$L$4,$C$2,$C119,0,0),0)</f>
        <v>936833</v>
      </c>
      <c r="AY119" s="39">
        <f>-ROUND(PPMT($C$3,$M$4,$C$2,$C119,0,0),0)</f>
        <v>956506</v>
      </c>
      <c r="AZ119" s="39">
        <f>-ROUND(PPMT($C$3,$N$4,$C$2,$C119,0,0),0)</f>
        <v>976593</v>
      </c>
      <c r="BA119" s="39">
        <f>-ROUND(PPMT($C$3,$O$4,$C$2,$C119,0,0),0)</f>
        <v>997101</v>
      </c>
      <c r="BB119" s="39">
        <f>-ROUND(PPMT($C$3,$P$4,$C$2,$C119,0,0),0)</f>
        <v>1018041</v>
      </c>
    </row>
    <row r="120" spans="2:54">
      <c r="B120" s="4"/>
      <c r="C120" s="133"/>
      <c r="D120" s="39" t="s">
        <v>583</v>
      </c>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39">
        <f>-ROUND(IPMT($C$3,$E$4,$C$2,$C119,0,0),0)</f>
        <v>1050000</v>
      </c>
      <c r="AR120" s="39">
        <f>-ROUND(IPMT($C$3,$F$4,$C$2,$C119,0,0),0)</f>
        <v>1032990</v>
      </c>
      <c r="AS120" s="39">
        <f>-ROUND(IPMT($C$3,$G$4,$C$2,$C119,0,0),0)</f>
        <v>1015623</v>
      </c>
      <c r="AT120" s="39">
        <f>-ROUND(IPMT($C$3,$H$4,$C$2,$C119,0,0),0)</f>
        <v>997891</v>
      </c>
      <c r="AU120" s="39">
        <f>-ROUND(IPMT($C$3,$I$4,$C$2,$C119,0,0),0)</f>
        <v>979787</v>
      </c>
      <c r="AV120" s="39">
        <f>-ROUND(IPMT($C$3,$J$4,$C$2,$C119,0,0),0)</f>
        <v>961303</v>
      </c>
      <c r="AW120" s="39">
        <f>-ROUND(IPMT($C$3,$K$4,$C$2,$C119,0,0),0)</f>
        <v>942430</v>
      </c>
      <c r="AX120" s="39">
        <f>-ROUND(IPMT($C$3,$L$4,$C$2,$C119,0,0),0)</f>
        <v>923161</v>
      </c>
      <c r="AY120" s="39">
        <f>-ROUND(IPMT($C$3,$M$4,$C$2,$C119,0,0),0)</f>
        <v>903488</v>
      </c>
      <c r="AZ120" s="39">
        <f>-ROUND(IPMT($C$3,$N$4,$C$2,$C119,0,0),0)</f>
        <v>883401</v>
      </c>
      <c r="BA120" s="39">
        <f>-ROUND(IPMT($C$3,$O$4,$C$2,$C119,0,0),0)</f>
        <v>862893</v>
      </c>
      <c r="BB120" s="39">
        <f>-ROUND(IPMT($C$3,$P$4,$C$2,$C119,0,0),0)</f>
        <v>841954</v>
      </c>
    </row>
    <row r="121" spans="2:54">
      <c r="B121" s="3"/>
      <c r="C121" s="134"/>
      <c r="D121" s="39" t="s">
        <v>339</v>
      </c>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64">
        <f>$C119</f>
        <v>50000000</v>
      </c>
      <c r="AQ121" s="39">
        <f>$C119-AQ119</f>
        <v>49190006</v>
      </c>
      <c r="AR121" s="39">
        <f t="shared" ref="AR121:BB121" si="40">AQ121-AR119</f>
        <v>48363002</v>
      </c>
      <c r="AS121" s="39">
        <f t="shared" si="40"/>
        <v>47518631</v>
      </c>
      <c r="AT121" s="39">
        <f t="shared" si="40"/>
        <v>46656528</v>
      </c>
      <c r="AU121" s="39">
        <f t="shared" si="40"/>
        <v>45776321</v>
      </c>
      <c r="AV121" s="39">
        <f t="shared" si="40"/>
        <v>44877630</v>
      </c>
      <c r="AW121" s="39">
        <f t="shared" si="40"/>
        <v>43960066</v>
      </c>
      <c r="AX121" s="39">
        <f t="shared" si="40"/>
        <v>43023233</v>
      </c>
      <c r="AY121" s="39">
        <f t="shared" si="40"/>
        <v>42066727</v>
      </c>
      <c r="AZ121" s="39">
        <f t="shared" si="40"/>
        <v>41090134</v>
      </c>
      <c r="BA121" s="39">
        <f t="shared" si="40"/>
        <v>40093033</v>
      </c>
      <c r="BB121" s="39">
        <f t="shared" si="40"/>
        <v>39074992</v>
      </c>
    </row>
    <row r="122" spans="2:54">
      <c r="B122" s="2" t="s">
        <v>61</v>
      </c>
      <c r="C122" s="132">
        <f>【成行】財政シミュ!BF74</f>
        <v>50000000</v>
      </c>
      <c r="D122" s="39" t="s">
        <v>582</v>
      </c>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39">
        <f>-ROUND(PPMT($C$3,$E$4,$C$2,$C122,0,0),0)</f>
        <v>809994</v>
      </c>
      <c r="AS122" s="39">
        <f>-ROUND(PPMT($C$3,$F$4,$C$2,$C122,0,0),0)</f>
        <v>827004</v>
      </c>
      <c r="AT122" s="39">
        <f>-ROUND(PPMT($C$3,$G$4,$C$2,$C122,0,0),0)</f>
        <v>844371</v>
      </c>
      <c r="AU122" s="39">
        <f>-ROUND(PPMT($C$3,$H$4,$C$2,$C122,0,0),0)</f>
        <v>862103</v>
      </c>
      <c r="AV122" s="39">
        <f>-ROUND(PPMT($C$3,$I$4,$C$2,$C122,0,0),0)</f>
        <v>880207</v>
      </c>
      <c r="AW122" s="39">
        <f>-ROUND(PPMT($C$3,$J$4,$C$2,$C122,0,0),0)</f>
        <v>898691</v>
      </c>
      <c r="AX122" s="39">
        <f>-ROUND(PPMT($C$3,$K$4,$C$2,$C122,0,0),0)</f>
        <v>917564</v>
      </c>
      <c r="AY122" s="39">
        <f>-ROUND(PPMT($C$3,$L$4,$C$2,$C122,0,0),0)</f>
        <v>936833</v>
      </c>
      <c r="AZ122" s="39">
        <f>-ROUND(PPMT($C$3,$M$4,$C$2,$C122,0,0),0)</f>
        <v>956506</v>
      </c>
      <c r="BA122" s="39">
        <f>-ROUND(PPMT($C$3,$N$4,$C$2,$C122,0,0),0)</f>
        <v>976593</v>
      </c>
      <c r="BB122" s="39">
        <f>-ROUND(PPMT($C$3,$O$4,$C$2,$C122,0,0),0)</f>
        <v>997101</v>
      </c>
    </row>
    <row r="123" spans="2:54">
      <c r="B123" s="4"/>
      <c r="C123" s="133"/>
      <c r="D123" s="39" t="s">
        <v>583</v>
      </c>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39">
        <f>-ROUND(IPMT($C$3,$E$4,$C$2,$C122,0,0),0)</f>
        <v>1050000</v>
      </c>
      <c r="AS123" s="39">
        <f>-ROUND(IPMT($C$3,$F$4,$C$2,$C122,0,0),0)</f>
        <v>1032990</v>
      </c>
      <c r="AT123" s="39">
        <f>-ROUND(IPMT($C$3,$G$4,$C$2,$C122,0,0),0)</f>
        <v>1015623</v>
      </c>
      <c r="AU123" s="39">
        <f>-ROUND(IPMT($C$3,$H$4,$C$2,$C122,0,0),0)</f>
        <v>997891</v>
      </c>
      <c r="AV123" s="39">
        <f>-ROUND(IPMT($C$3,$I$4,$C$2,$C122,0,0),0)</f>
        <v>979787</v>
      </c>
      <c r="AW123" s="39">
        <f>-ROUND(IPMT($C$3,$J$4,$C$2,$C122,0,0),0)</f>
        <v>961303</v>
      </c>
      <c r="AX123" s="39">
        <f>-ROUND(IPMT($C$3,$K$4,$C$2,$C122,0,0),0)</f>
        <v>942430</v>
      </c>
      <c r="AY123" s="39">
        <f>-ROUND(IPMT($C$3,$L$4,$C$2,$C122,0,0),0)</f>
        <v>923161</v>
      </c>
      <c r="AZ123" s="39">
        <f>-ROUND(IPMT($C$3,$M$4,$C$2,$C122,0,0),0)</f>
        <v>903488</v>
      </c>
      <c r="BA123" s="39">
        <f>-ROUND(IPMT($C$3,$N$4,$C$2,$C122,0,0),0)</f>
        <v>883401</v>
      </c>
      <c r="BB123" s="39">
        <f>-ROUND(IPMT($C$3,$O$4,$C$2,$C122,0,0),0)</f>
        <v>862893</v>
      </c>
    </row>
    <row r="124" spans="2:54">
      <c r="B124" s="3"/>
      <c r="C124" s="134"/>
      <c r="D124" s="39" t="s">
        <v>339</v>
      </c>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64">
        <f>$C122</f>
        <v>50000000</v>
      </c>
      <c r="AR124" s="39">
        <f>$C122-AR122</f>
        <v>49190006</v>
      </c>
      <c r="AS124" s="39">
        <f t="shared" ref="AS124:BB124" si="41">AR124-AS122</f>
        <v>48363002</v>
      </c>
      <c r="AT124" s="39">
        <f t="shared" si="41"/>
        <v>47518631</v>
      </c>
      <c r="AU124" s="39">
        <f t="shared" si="41"/>
        <v>46656528</v>
      </c>
      <c r="AV124" s="39">
        <f t="shared" si="41"/>
        <v>45776321</v>
      </c>
      <c r="AW124" s="39">
        <f t="shared" si="41"/>
        <v>44877630</v>
      </c>
      <c r="AX124" s="39">
        <f t="shared" si="41"/>
        <v>43960066</v>
      </c>
      <c r="AY124" s="39">
        <f t="shared" si="41"/>
        <v>43023233</v>
      </c>
      <c r="AZ124" s="39">
        <f t="shared" si="41"/>
        <v>42066727</v>
      </c>
      <c r="BA124" s="39">
        <f t="shared" si="41"/>
        <v>41090134</v>
      </c>
      <c r="BB124" s="39">
        <f t="shared" si="41"/>
        <v>40093033</v>
      </c>
    </row>
    <row r="125" spans="2:54">
      <c r="B125" s="2" t="s">
        <v>62</v>
      </c>
      <c r="C125" s="132">
        <f>【成行】財政シミュ!BG74</f>
        <v>50000000</v>
      </c>
      <c r="D125" s="39" t="s">
        <v>582</v>
      </c>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39">
        <f>-ROUND(PPMT($C$3,$E$4,$C$2,$C125,0,0),0)</f>
        <v>809994</v>
      </c>
      <c r="AT125" s="39">
        <f>-ROUND(PPMT($C$3,$F$4,$C$2,$C125,0,0),0)</f>
        <v>827004</v>
      </c>
      <c r="AU125" s="39">
        <f>-ROUND(PPMT($C$3,$G$4,$C$2,$C125,0,0),0)</f>
        <v>844371</v>
      </c>
      <c r="AV125" s="39">
        <f>-ROUND(PPMT($C$3,$H$4,$C$2,$C125,0,0),0)</f>
        <v>862103</v>
      </c>
      <c r="AW125" s="39">
        <f>-ROUND(PPMT($C$3,$I$4,$C$2,$C125,0,0),0)</f>
        <v>880207</v>
      </c>
      <c r="AX125" s="39">
        <f>-ROUND(PPMT($C$3,$J$4,$C$2,$C125,0,0),0)</f>
        <v>898691</v>
      </c>
      <c r="AY125" s="39">
        <f>-ROUND(PPMT($C$3,$K$4,$C$2,$C125,0,0),0)</f>
        <v>917564</v>
      </c>
      <c r="AZ125" s="39">
        <f>-ROUND(PPMT($C$3,$L$4,$C$2,$C125,0,0),0)</f>
        <v>936833</v>
      </c>
      <c r="BA125" s="39">
        <f>-ROUND(PPMT($C$3,$M$4,$C$2,$C125,0,0),0)</f>
        <v>956506</v>
      </c>
      <c r="BB125" s="39">
        <f>-ROUND(PPMT($C$3,$N$4,$C$2,$C125,0,0),0)</f>
        <v>976593</v>
      </c>
    </row>
    <row r="126" spans="2:54">
      <c r="B126" s="4"/>
      <c r="C126" s="133"/>
      <c r="D126" s="39" t="s">
        <v>583</v>
      </c>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39">
        <f>-ROUND(IPMT($C$3,$E$4,$C$2,$C125,0,0),0)</f>
        <v>1050000</v>
      </c>
      <c r="AT126" s="39">
        <f>-ROUND(IPMT($C$3,$F$4,$C$2,$C125,0,0),0)</f>
        <v>1032990</v>
      </c>
      <c r="AU126" s="39">
        <f>-ROUND(IPMT($C$3,$G$4,$C$2,$C125,0,0),0)</f>
        <v>1015623</v>
      </c>
      <c r="AV126" s="39">
        <f>-ROUND(IPMT($C$3,$H$4,$C$2,$C125,0,0),0)</f>
        <v>997891</v>
      </c>
      <c r="AW126" s="39">
        <f>-ROUND(IPMT($C$3,$I$4,$C$2,$C125,0,0),0)</f>
        <v>979787</v>
      </c>
      <c r="AX126" s="39">
        <f>-ROUND(IPMT($C$3,$J$4,$C$2,$C125,0,0),0)</f>
        <v>961303</v>
      </c>
      <c r="AY126" s="39">
        <f>-ROUND(IPMT($C$3,$K$4,$C$2,$C125,0,0),0)</f>
        <v>942430</v>
      </c>
      <c r="AZ126" s="39">
        <f>-ROUND(IPMT($C$3,$L$4,$C$2,$C125,0,0),0)</f>
        <v>923161</v>
      </c>
      <c r="BA126" s="39">
        <f>-ROUND(IPMT($C$3,$M$4,$C$2,$C125,0,0),0)</f>
        <v>903488</v>
      </c>
      <c r="BB126" s="39">
        <f>-ROUND(IPMT($C$3,$N$4,$C$2,$C125,0,0),0)</f>
        <v>883401</v>
      </c>
    </row>
    <row r="127" spans="2:54">
      <c r="B127" s="3"/>
      <c r="C127" s="134"/>
      <c r="D127" s="39" t="s">
        <v>339</v>
      </c>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64">
        <f>$C125</f>
        <v>50000000</v>
      </c>
      <c r="AS127" s="39">
        <f>$C125-AS125</f>
        <v>49190006</v>
      </c>
      <c r="AT127" s="39">
        <f t="shared" ref="AT127:BB127" si="42">AS127-AT125</f>
        <v>48363002</v>
      </c>
      <c r="AU127" s="39">
        <f t="shared" si="42"/>
        <v>47518631</v>
      </c>
      <c r="AV127" s="39">
        <f t="shared" si="42"/>
        <v>46656528</v>
      </c>
      <c r="AW127" s="39">
        <f t="shared" si="42"/>
        <v>45776321</v>
      </c>
      <c r="AX127" s="39">
        <f t="shared" si="42"/>
        <v>44877630</v>
      </c>
      <c r="AY127" s="39">
        <f t="shared" si="42"/>
        <v>43960066</v>
      </c>
      <c r="AZ127" s="39">
        <f t="shared" si="42"/>
        <v>43023233</v>
      </c>
      <c r="BA127" s="39">
        <f t="shared" si="42"/>
        <v>42066727</v>
      </c>
      <c r="BB127" s="39">
        <f t="shared" si="42"/>
        <v>41090134</v>
      </c>
    </row>
    <row r="128" spans="2:54">
      <c r="B128" s="2" t="s">
        <v>63</v>
      </c>
      <c r="C128" s="132">
        <f>【成行】財政シミュ!BH74</f>
        <v>50000000</v>
      </c>
      <c r="D128" s="39" t="s">
        <v>582</v>
      </c>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39">
        <f>-ROUND(PPMT($C$3,$E$4,$C$2,$C128,0,0),0)</f>
        <v>809994</v>
      </c>
      <c r="AU128" s="39">
        <f>-ROUND(PPMT($C$3,$F$4,$C$2,$C128,0,0),0)</f>
        <v>827004</v>
      </c>
      <c r="AV128" s="39">
        <f>-ROUND(PPMT($C$3,$G$4,$C$2,$C128,0,0),0)</f>
        <v>844371</v>
      </c>
      <c r="AW128" s="39">
        <f>-ROUND(PPMT($C$3,$H$4,$C$2,$C128,0,0),0)</f>
        <v>862103</v>
      </c>
      <c r="AX128" s="39">
        <f>-ROUND(PPMT($C$3,$I$4,$C$2,$C128,0,0),0)</f>
        <v>880207</v>
      </c>
      <c r="AY128" s="39">
        <f>-ROUND(PPMT($C$3,$J$4,$C$2,$C128,0,0),0)</f>
        <v>898691</v>
      </c>
      <c r="AZ128" s="39">
        <f>-ROUND(PPMT($C$3,$K$4,$C$2,$C128,0,0),0)</f>
        <v>917564</v>
      </c>
      <c r="BA128" s="39">
        <f>-ROUND(PPMT($C$3,$L$4,$C$2,$C128,0,0),0)</f>
        <v>936833</v>
      </c>
      <c r="BB128" s="39">
        <f>-ROUND(PPMT($C$3,$M$4,$C$2,$C128,0,0),0)</f>
        <v>956506</v>
      </c>
    </row>
    <row r="129" spans="2:54">
      <c r="B129" s="4"/>
      <c r="C129" s="133"/>
      <c r="D129" s="39" t="s">
        <v>583</v>
      </c>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39">
        <f>-ROUND(IPMT($C$3,$E$4,$C$2,$C128,0,0),0)</f>
        <v>1050000</v>
      </c>
      <c r="AU129" s="39">
        <f>-ROUND(IPMT($C$3,$F$4,$C$2,$C128,0,0),0)</f>
        <v>1032990</v>
      </c>
      <c r="AV129" s="39">
        <f>-ROUND(IPMT($C$3,$G$4,$C$2,$C128,0,0),0)</f>
        <v>1015623</v>
      </c>
      <c r="AW129" s="39">
        <f>-ROUND(IPMT($C$3,$H$4,$C$2,$C128,0,0),0)</f>
        <v>997891</v>
      </c>
      <c r="AX129" s="39">
        <f>-ROUND(IPMT($C$3,$I$4,$C$2,$C128,0,0),0)</f>
        <v>979787</v>
      </c>
      <c r="AY129" s="39">
        <f>-ROUND(IPMT($C$3,$J$4,$C$2,$C128,0,0),0)</f>
        <v>961303</v>
      </c>
      <c r="AZ129" s="39">
        <f>-ROUND(IPMT($C$3,$K$4,$C$2,$C128,0,0),0)</f>
        <v>942430</v>
      </c>
      <c r="BA129" s="39">
        <f>-ROUND(IPMT($C$3,$L$4,$C$2,$C128,0,0),0)</f>
        <v>923161</v>
      </c>
      <c r="BB129" s="39">
        <f>-ROUND(IPMT($C$3,$M$4,$C$2,$C128,0,0),0)</f>
        <v>903488</v>
      </c>
    </row>
    <row r="130" spans="2:54">
      <c r="B130" s="3"/>
      <c r="C130" s="134"/>
      <c r="D130" s="39" t="s">
        <v>339</v>
      </c>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64">
        <f>$C128</f>
        <v>50000000</v>
      </c>
      <c r="AT130" s="39">
        <f>$C128-AT128</f>
        <v>49190006</v>
      </c>
      <c r="AU130" s="39">
        <f t="shared" ref="AU130:BB130" si="43">AT130-AU128</f>
        <v>48363002</v>
      </c>
      <c r="AV130" s="39">
        <f t="shared" si="43"/>
        <v>47518631</v>
      </c>
      <c r="AW130" s="39">
        <f t="shared" si="43"/>
        <v>46656528</v>
      </c>
      <c r="AX130" s="39">
        <f t="shared" si="43"/>
        <v>45776321</v>
      </c>
      <c r="AY130" s="39">
        <f t="shared" si="43"/>
        <v>44877630</v>
      </c>
      <c r="AZ130" s="39">
        <f t="shared" si="43"/>
        <v>43960066</v>
      </c>
      <c r="BA130" s="39">
        <f t="shared" si="43"/>
        <v>43023233</v>
      </c>
      <c r="BB130" s="39">
        <f t="shared" si="43"/>
        <v>42066727</v>
      </c>
    </row>
    <row r="131" spans="2:54">
      <c r="B131" s="2" t="s">
        <v>64</v>
      </c>
      <c r="C131" s="132">
        <f>【成行】財政シミュ!BI74</f>
        <v>50000000</v>
      </c>
      <c r="D131" s="39" t="s">
        <v>582</v>
      </c>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39">
        <f>-ROUND(PPMT($C$3,$E$4,$C$2,$C131,0,0),0)</f>
        <v>809994</v>
      </c>
      <c r="AV131" s="39">
        <f>-ROUND(PPMT($C$3,$F$4,$C$2,$C131,0,0),0)</f>
        <v>827004</v>
      </c>
      <c r="AW131" s="39">
        <f>-ROUND(PPMT($C$3,$G$4,$C$2,$C131,0,0),0)</f>
        <v>844371</v>
      </c>
      <c r="AX131" s="39">
        <f>-ROUND(PPMT($C$3,$H$4,$C$2,$C131,0,0),0)</f>
        <v>862103</v>
      </c>
      <c r="AY131" s="39">
        <f>-ROUND(PPMT($C$3,$I$4,$C$2,$C131,0,0),0)</f>
        <v>880207</v>
      </c>
      <c r="AZ131" s="39">
        <f>-ROUND(PPMT($C$3,$J$4,$C$2,$C131,0,0),0)</f>
        <v>898691</v>
      </c>
      <c r="BA131" s="39">
        <f>-ROUND(PPMT($C$3,$K$4,$C$2,$C131,0,0),0)</f>
        <v>917564</v>
      </c>
      <c r="BB131" s="39">
        <f>-ROUND(PPMT($C$3,$L$4,$C$2,$C131,0,0),0)</f>
        <v>936833</v>
      </c>
    </row>
    <row r="132" spans="2:54">
      <c r="B132" s="4"/>
      <c r="C132" s="133"/>
      <c r="D132" s="39" t="s">
        <v>583</v>
      </c>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39">
        <f>-ROUND(IPMT($C$3,$E$4,$C$2,$C131,0,0),0)</f>
        <v>1050000</v>
      </c>
      <c r="AV132" s="39">
        <f>-ROUND(IPMT($C$3,$F$4,$C$2,$C131,0,0),0)</f>
        <v>1032990</v>
      </c>
      <c r="AW132" s="39">
        <f>-ROUND(IPMT($C$3,$G$4,$C$2,$C131,0,0),0)</f>
        <v>1015623</v>
      </c>
      <c r="AX132" s="39">
        <f>-ROUND(IPMT($C$3,$H$4,$C$2,$C131,0,0),0)</f>
        <v>997891</v>
      </c>
      <c r="AY132" s="39">
        <f>-ROUND(IPMT($C$3,$I$4,$C$2,$C131,0,0),0)</f>
        <v>979787</v>
      </c>
      <c r="AZ132" s="39">
        <f>-ROUND(IPMT($C$3,$J$4,$C$2,$C131,0,0),0)</f>
        <v>961303</v>
      </c>
      <c r="BA132" s="39">
        <f>-ROUND(IPMT($C$3,$K$4,$C$2,$C131,0,0),0)</f>
        <v>942430</v>
      </c>
      <c r="BB132" s="39">
        <f>-ROUND(IPMT($C$3,$L$4,$C$2,$C131,0,0),0)</f>
        <v>923161</v>
      </c>
    </row>
    <row r="133" spans="2:54">
      <c r="B133" s="3"/>
      <c r="C133" s="134"/>
      <c r="D133" s="39" t="s">
        <v>339</v>
      </c>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64">
        <f>$C131</f>
        <v>50000000</v>
      </c>
      <c r="AU133" s="39">
        <f>$C131-AU131</f>
        <v>49190006</v>
      </c>
      <c r="AV133" s="39">
        <f t="shared" ref="AV133:BB133" si="44">AU133-AV131</f>
        <v>48363002</v>
      </c>
      <c r="AW133" s="39">
        <f t="shared" si="44"/>
        <v>47518631</v>
      </c>
      <c r="AX133" s="39">
        <f t="shared" si="44"/>
        <v>46656528</v>
      </c>
      <c r="AY133" s="39">
        <f t="shared" si="44"/>
        <v>45776321</v>
      </c>
      <c r="AZ133" s="39">
        <f t="shared" si="44"/>
        <v>44877630</v>
      </c>
      <c r="BA133" s="39">
        <f t="shared" si="44"/>
        <v>43960066</v>
      </c>
      <c r="BB133" s="39">
        <f t="shared" si="44"/>
        <v>43023233</v>
      </c>
    </row>
    <row r="134" spans="2:54">
      <c r="B134" s="2" t="s">
        <v>65</v>
      </c>
      <c r="C134" s="132">
        <f>【成行】財政シミュ!BJ74</f>
        <v>50000000</v>
      </c>
      <c r="D134" s="39" t="s">
        <v>582</v>
      </c>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39">
        <f>-ROUND(PPMT($C$3,$E$4,$C$2,$C134,0,0),0)</f>
        <v>809994</v>
      </c>
      <c r="AW134" s="39">
        <f>-ROUND(PPMT($C$3,$F$4,$C$2,$C134,0,0),0)</f>
        <v>827004</v>
      </c>
      <c r="AX134" s="39">
        <f>-ROUND(PPMT($C$3,$G$4,$C$2,$C134,0,0),0)</f>
        <v>844371</v>
      </c>
      <c r="AY134" s="39">
        <f>-ROUND(PPMT($C$3,$H$4,$C$2,$C134,0,0),0)</f>
        <v>862103</v>
      </c>
      <c r="AZ134" s="39">
        <f>-ROUND(PPMT($C$3,$I$4,$C$2,$C134,0,0),0)</f>
        <v>880207</v>
      </c>
      <c r="BA134" s="39">
        <f>-ROUND(PPMT($C$3,$J$4,$C$2,$C134,0,0),0)</f>
        <v>898691</v>
      </c>
      <c r="BB134" s="39">
        <f>-ROUND(PPMT($C$3,$K$4,$C$2,$C134,0,0),0)</f>
        <v>917564</v>
      </c>
    </row>
    <row r="135" spans="2:54">
      <c r="B135" s="4"/>
      <c r="C135" s="133"/>
      <c r="D135" s="39" t="s">
        <v>583</v>
      </c>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39">
        <f>-ROUND(IPMT($C$3,$E$4,$C$2,$C134,0,0),0)</f>
        <v>1050000</v>
      </c>
      <c r="AW135" s="39">
        <f>-ROUND(IPMT($C$3,$F$4,$C$2,$C134,0,0),0)</f>
        <v>1032990</v>
      </c>
      <c r="AX135" s="39">
        <f>-ROUND(IPMT($C$3,$G$4,$C$2,$C134,0,0),0)</f>
        <v>1015623</v>
      </c>
      <c r="AY135" s="39">
        <f>-ROUND(IPMT($C$3,$H$4,$C$2,$C134,0,0),0)</f>
        <v>997891</v>
      </c>
      <c r="AZ135" s="39">
        <f>-ROUND(IPMT($C$3,$I$4,$C$2,$C134,0,0),0)</f>
        <v>979787</v>
      </c>
      <c r="BA135" s="39">
        <f>-ROUND(IPMT($C$3,$J$4,$C$2,$C134,0,0),0)</f>
        <v>961303</v>
      </c>
      <c r="BB135" s="39">
        <f>-ROUND(IPMT($C$3,$K$4,$C$2,$C134,0,0),0)</f>
        <v>942430</v>
      </c>
    </row>
    <row r="136" spans="2:54">
      <c r="B136" s="3"/>
      <c r="C136" s="134"/>
      <c r="D136" s="39" t="s">
        <v>339</v>
      </c>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64">
        <f>$C134</f>
        <v>50000000</v>
      </c>
      <c r="AV136" s="39">
        <f>$C134-AV134</f>
        <v>49190006</v>
      </c>
      <c r="AW136" s="39">
        <f t="shared" ref="AW136:BB136" si="45">AV136-AW134</f>
        <v>48363002</v>
      </c>
      <c r="AX136" s="39">
        <f t="shared" si="45"/>
        <v>47518631</v>
      </c>
      <c r="AY136" s="39">
        <f t="shared" si="45"/>
        <v>46656528</v>
      </c>
      <c r="AZ136" s="39">
        <f t="shared" si="45"/>
        <v>45776321</v>
      </c>
      <c r="BA136" s="39">
        <f t="shared" si="45"/>
        <v>44877630</v>
      </c>
      <c r="BB136" s="39">
        <f t="shared" si="45"/>
        <v>43960066</v>
      </c>
    </row>
    <row r="137" spans="2:54">
      <c r="B137" s="2" t="s">
        <v>66</v>
      </c>
      <c r="C137" s="132">
        <f>【成行】財政シミュ!BK74</f>
        <v>0</v>
      </c>
      <c r="D137" s="39" t="s">
        <v>582</v>
      </c>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39">
        <f>-ROUND(PPMT($C$3,$E$4,$C$2,$C137,0,0),0)</f>
        <v>0</v>
      </c>
      <c r="AX137" s="39">
        <f>-ROUND(PPMT($C$3,$F$4,$C$2,$C137,0,0),0)</f>
        <v>0</v>
      </c>
      <c r="AY137" s="39">
        <f>-ROUND(PPMT($C$3,$G$4,$C$2,$C137,0,0),0)</f>
        <v>0</v>
      </c>
      <c r="AZ137" s="39">
        <f>-ROUND(PPMT($C$3,$H$4,$C$2,$C137,0,0),0)</f>
        <v>0</v>
      </c>
      <c r="BA137" s="39">
        <f>-ROUND(PPMT($C$3,$I$4,$C$2,$C137,0,0),0)</f>
        <v>0</v>
      </c>
      <c r="BB137" s="39">
        <f>-ROUND(PPMT($C$3,$J$4,$C$2,$C137,0,0),0)</f>
        <v>0</v>
      </c>
    </row>
    <row r="138" spans="2:54">
      <c r="B138" s="4"/>
      <c r="C138" s="133"/>
      <c r="D138" s="39" t="s">
        <v>583</v>
      </c>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39">
        <f>-ROUND(IPMT($C$3,$E$4,$C$2,$C137,0,0),0)</f>
        <v>0</v>
      </c>
      <c r="AX138" s="39">
        <f>-ROUND(IPMT($C$3,$F$4,$C$2,$C137,0,0),0)</f>
        <v>0</v>
      </c>
      <c r="AY138" s="39">
        <f>-ROUND(IPMT($C$3,$G$4,$C$2,$C137,0,0),0)</f>
        <v>0</v>
      </c>
      <c r="AZ138" s="39">
        <f>-ROUND(IPMT($C$3,$H$4,$C$2,$C137,0,0),0)</f>
        <v>0</v>
      </c>
      <c r="BA138" s="39">
        <f>-ROUND(IPMT($C$3,$I$4,$C$2,$C137,0,0),0)</f>
        <v>0</v>
      </c>
      <c r="BB138" s="39">
        <f>-ROUND(IPMT($C$3,$J$4,$C$2,$C137,0,0),0)</f>
        <v>0</v>
      </c>
    </row>
    <row r="139" spans="2:54">
      <c r="B139" s="3"/>
      <c r="C139" s="134"/>
      <c r="D139" s="39" t="s">
        <v>339</v>
      </c>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64">
        <f>$C137</f>
        <v>0</v>
      </c>
      <c r="AW139" s="39">
        <f>$C137-AW137</f>
        <v>0</v>
      </c>
      <c r="AX139" s="39">
        <f>AW139-AX137</f>
        <v>0</v>
      </c>
      <c r="AY139" s="39">
        <f>AX139-AY137</f>
        <v>0</v>
      </c>
      <c r="AZ139" s="39">
        <f>AY139-AZ137</f>
        <v>0</v>
      </c>
      <c r="BA139" s="39">
        <f>AZ139-BA137</f>
        <v>0</v>
      </c>
      <c r="BB139" s="39">
        <f>BA139-BB137</f>
        <v>0</v>
      </c>
    </row>
    <row r="140" spans="2:54">
      <c r="B140" s="2" t="s">
        <v>67</v>
      </c>
      <c r="C140" s="132">
        <f>【成行】財政シミュ!BL74</f>
        <v>0</v>
      </c>
      <c r="D140" s="39" t="s">
        <v>582</v>
      </c>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39">
        <f>-ROUND(PPMT($C$3,$E$4,$C$2,$C140,0,0),0)</f>
        <v>0</v>
      </c>
      <c r="AY140" s="39">
        <f>-ROUND(PPMT($C$3,$F$4,$C$2,$C140,0,0),0)</f>
        <v>0</v>
      </c>
      <c r="AZ140" s="39">
        <f>-ROUND(PPMT($C$3,$G$4,$C$2,$C140,0,0),0)</f>
        <v>0</v>
      </c>
      <c r="BA140" s="39">
        <f>-ROUND(PPMT($C$3,$H$4,$C$2,$C140,0,0),0)</f>
        <v>0</v>
      </c>
      <c r="BB140" s="39">
        <f>-ROUND(PPMT($C$3,$I$4,$C$2,$C140,0,0),0)</f>
        <v>0</v>
      </c>
    </row>
    <row r="141" spans="2:54">
      <c r="B141" s="4"/>
      <c r="C141" s="133"/>
      <c r="D141" s="39" t="s">
        <v>583</v>
      </c>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39">
        <f>-ROUND(IPMT($C$3,$E$4,$C$2,$C140,0,0),0)</f>
        <v>0</v>
      </c>
      <c r="AY141" s="39">
        <f>-ROUND(IPMT($C$3,$F$4,$C$2,$C140,0,0),0)</f>
        <v>0</v>
      </c>
      <c r="AZ141" s="39">
        <f>-ROUND(IPMT($C$3,$G$4,$C$2,$C140,0,0),0)</f>
        <v>0</v>
      </c>
      <c r="BA141" s="39">
        <f>-ROUND(IPMT($C$3,$H$4,$C$2,$C140,0,0),0)</f>
        <v>0</v>
      </c>
      <c r="BB141" s="39">
        <f>-ROUND(IPMT($C$3,$I$4,$C$2,$C140,0,0),0)</f>
        <v>0</v>
      </c>
    </row>
    <row r="142" spans="2:54">
      <c r="B142" s="3"/>
      <c r="C142" s="134"/>
      <c r="D142" s="39" t="s">
        <v>339</v>
      </c>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64">
        <f>$C140</f>
        <v>0</v>
      </c>
      <c r="AX142" s="39">
        <f>$C140-AX140</f>
        <v>0</v>
      </c>
      <c r="AY142" s="39">
        <f>AX142-AY140</f>
        <v>0</v>
      </c>
      <c r="AZ142" s="39">
        <f>AY142-AZ140</f>
        <v>0</v>
      </c>
      <c r="BA142" s="39">
        <f>AZ142-BA140</f>
        <v>0</v>
      </c>
      <c r="BB142" s="39">
        <f>BA142-BB140</f>
        <v>0</v>
      </c>
    </row>
    <row r="143" spans="2:54">
      <c r="B143" s="2" t="s">
        <v>670</v>
      </c>
      <c r="C143" s="132">
        <f>【成行】財政シミュ!BM74</f>
        <v>0</v>
      </c>
      <c r="D143" s="39" t="s">
        <v>582</v>
      </c>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39">
        <f>-ROUND(PPMT($C$3,$E$4,$C$2,$C143,0,0),0)</f>
        <v>0</v>
      </c>
      <c r="AZ143" s="39">
        <f>-ROUND(PPMT($C$3,$F$4,$C$2,$C143,0,0),0)</f>
        <v>0</v>
      </c>
      <c r="BA143" s="39">
        <f>-ROUND(PPMT($C$3,$G$4,$C$2,$C143,0,0),0)</f>
        <v>0</v>
      </c>
      <c r="BB143" s="39">
        <f>-ROUND(PPMT($C$3,$H$4,$C$2,$C143,0,0),0)</f>
        <v>0</v>
      </c>
    </row>
    <row r="144" spans="2:54">
      <c r="B144" s="4"/>
      <c r="C144" s="133"/>
      <c r="D144" s="39" t="s">
        <v>583</v>
      </c>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39">
        <f>-ROUND(IPMT($C$3,$E$4,$C$2,$C143,0,0),0)</f>
        <v>0</v>
      </c>
      <c r="AZ144" s="39">
        <f>-ROUND(IPMT($C$3,$F$4,$C$2,$C143,0,0),0)</f>
        <v>0</v>
      </c>
      <c r="BA144" s="39">
        <f>-ROUND(IPMT($C$3,$G$4,$C$2,$C143,0,0),0)</f>
        <v>0</v>
      </c>
      <c r="BB144" s="39">
        <f>-ROUND(IPMT($C$3,$H$4,$C$2,$C143,0,0),0)</f>
        <v>0</v>
      </c>
    </row>
    <row r="145" spans="2:54">
      <c r="B145" s="3"/>
      <c r="C145" s="134"/>
      <c r="D145" s="39" t="s">
        <v>339</v>
      </c>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64">
        <f>$C143</f>
        <v>0</v>
      </c>
      <c r="AY145" s="39">
        <f>$C143-AY143</f>
        <v>0</v>
      </c>
      <c r="AZ145" s="39">
        <f>AY145-AZ143</f>
        <v>0</v>
      </c>
      <c r="BA145" s="39">
        <f>AZ145-BA143</f>
        <v>0</v>
      </c>
      <c r="BB145" s="39">
        <f>BA145-BB143</f>
        <v>0</v>
      </c>
    </row>
    <row r="146" spans="2:54">
      <c r="B146" s="2" t="s">
        <v>671</v>
      </c>
      <c r="C146" s="132">
        <f>【成行】財政シミュ!BN74</f>
        <v>0</v>
      </c>
      <c r="D146" s="39" t="s">
        <v>582</v>
      </c>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39">
        <f>-ROUND(PPMT($C$3,$E$4,$C$2,$C146,0,0),0)</f>
        <v>0</v>
      </c>
      <c r="BA146" s="39">
        <f>-ROUND(PPMT($C$3,$F$4,$C$2,$C146,0,0),0)</f>
        <v>0</v>
      </c>
      <c r="BB146" s="39">
        <f>-ROUND(PPMT($C$3,$G$4,$C$2,$C146,0,0),0)</f>
        <v>0</v>
      </c>
    </row>
    <row r="147" spans="2:54">
      <c r="B147" s="4"/>
      <c r="C147" s="133"/>
      <c r="D147" s="39" t="s">
        <v>583</v>
      </c>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39">
        <f>-ROUND(IPMT($C$3,$E$4,$C$2,$C146,0,0),0)</f>
        <v>0</v>
      </c>
      <c r="BA147" s="39">
        <f>-ROUND(IPMT($C$3,$F$4,$C$2,$C146,0,0),0)</f>
        <v>0</v>
      </c>
      <c r="BB147" s="39">
        <f>-ROUND(IPMT($C$3,$G$4,$C$2,$C146,0,0),0)</f>
        <v>0</v>
      </c>
    </row>
    <row r="148" spans="2:54">
      <c r="B148" s="3"/>
      <c r="C148" s="134"/>
      <c r="D148" s="39" t="s">
        <v>339</v>
      </c>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64">
        <f>$C146</f>
        <v>0</v>
      </c>
      <c r="AZ148" s="39">
        <f>$C146-AZ146</f>
        <v>0</v>
      </c>
      <c r="BA148" s="39">
        <f>AZ148-BA146</f>
        <v>0</v>
      </c>
      <c r="BB148" s="39">
        <f>BA148-BB146</f>
        <v>0</v>
      </c>
    </row>
    <row r="149" spans="2:54">
      <c r="B149" s="2" t="s">
        <v>672</v>
      </c>
      <c r="C149" s="132">
        <f>【成行】財政シミュ!BO74</f>
        <v>0</v>
      </c>
      <c r="D149" s="39" t="s">
        <v>582</v>
      </c>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39">
        <f>-ROUND(PPMT($C$3,$E$4,$C$2,$C149,0,0),0)</f>
        <v>0</v>
      </c>
      <c r="BB149" s="39">
        <f>-ROUND(PPMT($C$3,$F$4,$C$2,$C149,0,0),0)</f>
        <v>0</v>
      </c>
    </row>
    <row r="150" spans="2:54">
      <c r="B150" s="4"/>
      <c r="C150" s="133"/>
      <c r="D150" s="39" t="s">
        <v>583</v>
      </c>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39">
        <f>-ROUND(IPMT($C$3,$E$4,$C$2,$C149,0,0),0)</f>
        <v>0</v>
      </c>
      <c r="BB150" s="39">
        <f>-ROUND(IPMT($C$3,$F$4,$C$2,$C149,0,0),0)</f>
        <v>0</v>
      </c>
    </row>
    <row r="151" spans="2:54">
      <c r="B151" s="3"/>
      <c r="C151" s="134"/>
      <c r="D151" s="39" t="s">
        <v>339</v>
      </c>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64">
        <f>$C149</f>
        <v>0</v>
      </c>
      <c r="BA151" s="39">
        <f>$C149-BA149</f>
        <v>0</v>
      </c>
      <c r="BB151" s="39">
        <f>BA151-BB149</f>
        <v>0</v>
      </c>
    </row>
    <row r="152" spans="2:54">
      <c r="B152" s="2" t="s">
        <v>673</v>
      </c>
      <c r="C152" s="132">
        <f>【成行】財政シミュ!BP74</f>
        <v>0</v>
      </c>
      <c r="D152" s="39" t="s">
        <v>582</v>
      </c>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39">
        <f>-ROUND(PPMT($C$3,$E$4,$C$2,$C152,0,0),0)</f>
        <v>0</v>
      </c>
    </row>
    <row r="153" spans="2:54">
      <c r="B153" s="4"/>
      <c r="C153" s="133"/>
      <c r="D153" s="39" t="s">
        <v>583</v>
      </c>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39">
        <f>-ROUND(IPMT($C$3,$E$4,$C$2,$C152,0,0),0)</f>
        <v>0</v>
      </c>
    </row>
    <row r="154" spans="2:54">
      <c r="B154" s="3"/>
      <c r="C154" s="134"/>
      <c r="D154" s="39" t="s">
        <v>339</v>
      </c>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64">
        <f>$C152</f>
        <v>0</v>
      </c>
      <c r="BB154" s="39">
        <f>$C152-BB152</f>
        <v>0</v>
      </c>
    </row>
    <row r="155" spans="2:54">
      <c r="B155" s="2" t="s">
        <v>674</v>
      </c>
      <c r="C155" s="132">
        <f>【成行】財政シミュ!BQ74</f>
        <v>0</v>
      </c>
      <c r="D155" s="39" t="s">
        <v>582</v>
      </c>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row>
    <row r="156" spans="2:54">
      <c r="B156" s="4"/>
      <c r="C156" s="133"/>
      <c r="D156" s="39" t="s">
        <v>583</v>
      </c>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row>
    <row r="157" spans="2:54">
      <c r="B157" s="3"/>
      <c r="C157" s="134"/>
      <c r="D157" s="39" t="s">
        <v>339</v>
      </c>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64">
        <f>$C155</f>
        <v>0</v>
      </c>
    </row>
    <row r="160" spans="2:54">
      <c r="E160" t="s">
        <v>273</v>
      </c>
      <c r="F160" t="s">
        <v>274</v>
      </c>
      <c r="G160" t="s">
        <v>275</v>
      </c>
      <c r="H160" t="s">
        <v>276</v>
      </c>
      <c r="I160" t="s">
        <v>277</v>
      </c>
      <c r="J160" t="s">
        <v>278</v>
      </c>
      <c r="K160" t="s">
        <v>279</v>
      </c>
      <c r="L160" t="s">
        <v>280</v>
      </c>
      <c r="M160" t="s">
        <v>281</v>
      </c>
      <c r="N160" t="s">
        <v>282</v>
      </c>
      <c r="O160" t="s">
        <v>283</v>
      </c>
      <c r="P160" t="s">
        <v>284</v>
      </c>
      <c r="Q160" t="s">
        <v>285</v>
      </c>
      <c r="R160" t="s">
        <v>286</v>
      </c>
      <c r="S160" t="s">
        <v>287</v>
      </c>
      <c r="T160" t="s">
        <v>288</v>
      </c>
      <c r="U160" t="s">
        <v>289</v>
      </c>
      <c r="V160" t="s">
        <v>290</v>
      </c>
      <c r="W160" t="s">
        <v>291</v>
      </c>
      <c r="X160" t="s">
        <v>292</v>
      </c>
      <c r="Y160" t="s">
        <v>293</v>
      </c>
      <c r="Z160" t="s">
        <v>294</v>
      </c>
      <c r="AA160" t="s">
        <v>295</v>
      </c>
      <c r="AB160" t="s">
        <v>296</v>
      </c>
      <c r="AC160" t="s">
        <v>297</v>
      </c>
      <c r="AD160" t="s">
        <v>298</v>
      </c>
      <c r="AE160" t="s">
        <v>299</v>
      </c>
      <c r="AF160" t="s">
        <v>300</v>
      </c>
      <c r="AG160" t="s">
        <v>301</v>
      </c>
      <c r="AH160" t="s">
        <v>302</v>
      </c>
      <c r="AI160" t="s">
        <v>303</v>
      </c>
      <c r="AJ160" t="s">
        <v>304</v>
      </c>
      <c r="AK160" t="s">
        <v>305</v>
      </c>
      <c r="AL160" t="s">
        <v>306</v>
      </c>
      <c r="AM160" t="s">
        <v>307</v>
      </c>
      <c r="AN160" t="s">
        <v>308</v>
      </c>
      <c r="AO160" t="s">
        <v>309</v>
      </c>
      <c r="AP160" t="s">
        <v>310</v>
      </c>
      <c r="AQ160" t="s">
        <v>311</v>
      </c>
      <c r="AR160" t="s">
        <v>312</v>
      </c>
      <c r="AS160" t="s">
        <v>313</v>
      </c>
      <c r="AT160" t="s">
        <v>314</v>
      </c>
      <c r="AU160" t="s">
        <v>315</v>
      </c>
      <c r="AV160" t="s">
        <v>316</v>
      </c>
      <c r="AW160" t="s">
        <v>317</v>
      </c>
      <c r="AX160" t="s">
        <v>318</v>
      </c>
      <c r="AY160" t="s">
        <v>319</v>
      </c>
      <c r="AZ160" t="s">
        <v>320</v>
      </c>
      <c r="BA160" t="s">
        <v>321</v>
      </c>
      <c r="BB160" t="s">
        <v>322</v>
      </c>
    </row>
  </sheetData>
  <autoFilter ref="B7:BB157" xr:uid="{5CF68DFE-1CFF-4A3E-866A-76F5ACBA0949}"/>
  <customSheetViews>
    <customSheetView guid="{B05628F6-030D-4851-8E75-96DF5849F39A}" showPageBreaks="1" showGridLines="0" fitToPage="1" printArea="1" showAutoFilter="1" view="pageBreakPreview">
      <pane xSplit="3" ySplit="7" topLeftCell="D8" activePane="bottomRight" state="frozen"/>
      <selection pane="bottomRight" activeCell="F13" sqref="F13"/>
      <pageMargins left="0.70866141732283472" right="0.70866141732283472" top="0.74803149606299213" bottom="0.74803149606299213" header="0.31496062992125984" footer="0.31496062992125984"/>
      <pageSetup paperSize="8" scale="32" fitToWidth="0" orientation="landscape" r:id="rId1"/>
      <headerFooter>
        <oddHeader>&amp;A</oddHeader>
        <oddFooter>&amp;P / &amp;N ページ</oddFooter>
      </headerFooter>
      <autoFilter ref="B7:BB157" xr:uid="{951D0542-C69E-4212-BEE3-7C445F454FDD}"/>
    </customSheetView>
    <customSheetView guid="{1F923BC6-4AD1-4F20-A481-D76BE7901A2A}" showPageBreaks="1" showGridLines="0" fitToPage="1" printArea="1" showAutoFilter="1" view="pageBreakPreview">
      <pane xSplit="3" ySplit="7" topLeftCell="D8" activePane="bottomRight" state="frozen"/>
      <selection pane="bottomRight" activeCell="F13" sqref="F13"/>
      <pageMargins left="0.70866141732283472" right="0.70866141732283472" top="0.74803149606299213" bottom="0.74803149606299213" header="0.31496062992125984" footer="0.31496062992125984"/>
      <pageSetup paperSize="8" scale="32" fitToWidth="0" orientation="landscape" r:id="rId2"/>
      <headerFooter>
        <oddHeader>&amp;A</oddHeader>
        <oddFooter>&amp;P / &amp;N ページ</oddFooter>
      </headerFooter>
      <autoFilter ref="B7:BB157" xr:uid="{A3F1C8A6-8257-4668-BA54-B0D9BD08F41B}"/>
    </customSheetView>
  </customSheetViews>
  <phoneticPr fontId="4"/>
  <pageMargins left="0.70866141732283472" right="0.70866141732283472" top="0.74803149606299213" bottom="0.74803149606299213" header="0.31496062992125984" footer="0.31496062992125984"/>
  <pageSetup paperSize="8" scale="32" fitToWidth="0" orientation="landscape" r:id="rId3"/>
  <headerFooter>
    <oddHeader>&amp;A</oddHeader>
    <oddFooter>&amp;P / &amp;N ページ</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7C88-3B30-44F6-B75B-943AB3E73E6D}">
  <sheetPr>
    <tabColor rgb="FF0033CC"/>
    <pageSetUpPr fitToPage="1"/>
  </sheetPr>
  <dimension ref="A1:AE42"/>
  <sheetViews>
    <sheetView showGridLines="0" topLeftCell="F1" zoomScale="85" zoomScaleNormal="85" zoomScaleSheetLayoutView="100" workbookViewId="0">
      <selection activeCell="J26" sqref="J26:K26"/>
    </sheetView>
  </sheetViews>
  <sheetFormatPr defaultRowHeight="14.4" outlineLevelRow="1"/>
  <cols>
    <col min="1" max="1" width="2.36328125" customWidth="1"/>
    <col min="2" max="2" width="9.36328125" bestFit="1" customWidth="1"/>
    <col min="3" max="4" width="7.7265625" customWidth="1"/>
    <col min="5" max="5" width="7.90625" customWidth="1"/>
    <col min="6" max="6" width="7.7265625" customWidth="1"/>
    <col min="7" max="7" width="7.90625" customWidth="1"/>
    <col min="8" max="8" width="2.54296875" customWidth="1"/>
    <col min="10" max="11" width="8.08984375" customWidth="1"/>
    <col min="12" max="13" width="9.08984375" customWidth="1"/>
    <col min="14" max="31" width="8.08984375" customWidth="1"/>
  </cols>
  <sheetData>
    <row r="1" spans="1:16" ht="16.2">
      <c r="A1" s="129" t="s">
        <v>578</v>
      </c>
    </row>
    <row r="2" spans="1:16">
      <c r="I2" t="s">
        <v>577</v>
      </c>
    </row>
    <row r="3" spans="1:16">
      <c r="C3" s="62"/>
      <c r="D3" s="62" t="s">
        <v>271</v>
      </c>
    </row>
    <row r="4" spans="1:16">
      <c r="C4" s="1" t="s">
        <v>157</v>
      </c>
      <c r="D4" s="73">
        <v>1</v>
      </c>
    </row>
    <row r="5" spans="1:16">
      <c r="C5" s="1" t="s">
        <v>158</v>
      </c>
      <c r="D5" s="73">
        <v>1</v>
      </c>
    </row>
    <row r="6" spans="1:16">
      <c r="B6" t="s">
        <v>340</v>
      </c>
    </row>
    <row r="7" spans="1:16">
      <c r="B7" t="s">
        <v>328</v>
      </c>
      <c r="C7" s="16" t="s">
        <v>329</v>
      </c>
      <c r="D7" s="71" t="s">
        <v>576</v>
      </c>
      <c r="E7" s="71"/>
      <c r="F7" s="71" t="str">
        <f>"現行×"&amp;報告書用グラフ!D4*100&amp;"%"</f>
        <v>現行×100%</v>
      </c>
      <c r="G7" s="71"/>
      <c r="J7" s="24"/>
      <c r="K7" s="24"/>
      <c r="L7" s="24"/>
      <c r="M7" s="24"/>
      <c r="N7" s="24"/>
      <c r="O7" s="24"/>
      <c r="P7" s="24"/>
    </row>
    <row r="8" spans="1:16">
      <c r="B8" s="69" t="s">
        <v>330</v>
      </c>
      <c r="C8" s="16" t="s">
        <v>331</v>
      </c>
      <c r="D8" s="16" t="s">
        <v>331</v>
      </c>
      <c r="E8" s="16" t="s">
        <v>341</v>
      </c>
      <c r="F8" s="16" t="s">
        <v>331</v>
      </c>
      <c r="G8" s="16" t="s">
        <v>271</v>
      </c>
      <c r="J8" s="24"/>
      <c r="K8" s="24"/>
      <c r="L8" s="24"/>
      <c r="M8" s="24"/>
      <c r="N8" s="24"/>
      <c r="O8" s="24"/>
      <c r="P8" s="24"/>
    </row>
    <row r="9" spans="1:16">
      <c r="B9" s="1" t="s">
        <v>221</v>
      </c>
      <c r="C9" s="25">
        <v>1000</v>
      </c>
      <c r="D9" s="25"/>
      <c r="E9" s="37">
        <f t="shared" ref="E9" si="0">IFERROR(D9/C9,"")</f>
        <v>0</v>
      </c>
      <c r="F9" s="25" t="e">
        <f>'【料金算定－現行×改定率】総括原価'!D9</f>
        <v>#REF!</v>
      </c>
      <c r="G9" s="37" t="e">
        <f t="shared" ref="G9:G16" si="1">F9/C9</f>
        <v>#REF!</v>
      </c>
      <c r="J9" s="24"/>
      <c r="K9" s="24"/>
      <c r="L9" s="24"/>
      <c r="M9" s="24"/>
      <c r="N9" s="24"/>
      <c r="O9" s="24"/>
      <c r="P9" s="24"/>
    </row>
    <row r="10" spans="1:16">
      <c r="B10" s="1" t="s">
        <v>223</v>
      </c>
      <c r="C10" s="25">
        <v>2400</v>
      </c>
      <c r="D10" s="75"/>
      <c r="E10" s="37">
        <f>IFERROR(D10/C10,"")</f>
        <v>0</v>
      </c>
      <c r="F10" s="25" t="e">
        <f>'【料金算定－現行×改定率】総括原価'!D10</f>
        <v>#REF!</v>
      </c>
      <c r="G10" s="37" t="e">
        <f t="shared" si="1"/>
        <v>#REF!</v>
      </c>
      <c r="J10" s="24"/>
      <c r="K10" s="24"/>
      <c r="L10" s="24"/>
      <c r="M10" s="24"/>
      <c r="N10" s="24"/>
      <c r="O10" s="24"/>
      <c r="P10" s="24"/>
    </row>
    <row r="11" spans="1:16">
      <c r="B11" s="1" t="s">
        <v>224</v>
      </c>
      <c r="C11" s="25">
        <v>3800</v>
      </c>
      <c r="D11" s="25"/>
      <c r="E11" s="37">
        <f t="shared" ref="E11:E16" si="2">IFERROR(D11/C11,"")</f>
        <v>0</v>
      </c>
      <c r="F11" s="25" t="e">
        <f>'【料金算定－現行×改定率】総括原価'!D11</f>
        <v>#REF!</v>
      </c>
      <c r="G11" s="37" t="e">
        <f t="shared" si="1"/>
        <v>#REF!</v>
      </c>
      <c r="J11" s="24"/>
      <c r="K11" s="24"/>
      <c r="L11" s="24"/>
      <c r="M11" s="24"/>
      <c r="N11" s="24"/>
      <c r="O11" s="24"/>
      <c r="P11" s="24"/>
    </row>
    <row r="12" spans="1:16">
      <c r="B12" s="1" t="s">
        <v>225</v>
      </c>
      <c r="C12" s="25">
        <v>5600</v>
      </c>
      <c r="D12" s="25"/>
      <c r="E12" s="37">
        <f t="shared" si="2"/>
        <v>0</v>
      </c>
      <c r="F12" s="25" t="e">
        <f>'【料金算定－現行×改定率】総括原価'!D12</f>
        <v>#REF!</v>
      </c>
      <c r="G12" s="37" t="e">
        <f t="shared" si="1"/>
        <v>#REF!</v>
      </c>
      <c r="J12" s="24"/>
      <c r="K12" s="24"/>
      <c r="L12" s="24"/>
      <c r="M12" s="24"/>
      <c r="N12" s="24"/>
      <c r="O12" s="24"/>
      <c r="P12" s="24"/>
    </row>
    <row r="13" spans="1:16">
      <c r="B13" s="1" t="s">
        <v>226</v>
      </c>
      <c r="C13" s="25">
        <v>10300</v>
      </c>
      <c r="D13" s="25"/>
      <c r="E13" s="37">
        <f t="shared" si="2"/>
        <v>0</v>
      </c>
      <c r="F13" s="25" t="e">
        <f>'【料金算定－現行×改定率】総括原価'!D13</f>
        <v>#REF!</v>
      </c>
      <c r="G13" s="37" t="e">
        <f t="shared" si="1"/>
        <v>#REF!</v>
      </c>
      <c r="J13" s="24"/>
      <c r="K13" s="24"/>
      <c r="L13" s="24"/>
      <c r="M13" s="24"/>
      <c r="N13" s="24"/>
      <c r="O13" s="24"/>
      <c r="P13" s="24"/>
    </row>
    <row r="14" spans="1:16">
      <c r="B14" s="1" t="s">
        <v>538</v>
      </c>
      <c r="C14" s="25">
        <v>16700</v>
      </c>
      <c r="D14" s="25"/>
      <c r="E14" s="37">
        <f t="shared" si="2"/>
        <v>0</v>
      </c>
      <c r="F14" s="25" t="e">
        <f>'【料金算定－現行×改定率】総括原価'!D14</f>
        <v>#REF!</v>
      </c>
      <c r="G14" s="37" t="e">
        <f t="shared" si="1"/>
        <v>#REF!</v>
      </c>
      <c r="J14" s="24"/>
      <c r="K14" s="24"/>
      <c r="L14" s="24"/>
      <c r="M14" s="24"/>
      <c r="N14" s="24"/>
      <c r="O14" s="24"/>
      <c r="P14" s="24"/>
    </row>
    <row r="15" spans="1:16">
      <c r="B15" s="1" t="s">
        <v>539</v>
      </c>
      <c r="C15" s="25">
        <v>39000</v>
      </c>
      <c r="D15" s="25"/>
      <c r="E15" s="37">
        <f t="shared" si="2"/>
        <v>0</v>
      </c>
      <c r="F15" s="25" t="e">
        <f>'【料金算定－現行×改定率】総括原価'!D15</f>
        <v>#REF!</v>
      </c>
      <c r="G15" s="37" t="e">
        <f t="shared" si="1"/>
        <v>#REF!</v>
      </c>
      <c r="J15" s="24"/>
      <c r="K15" s="24"/>
      <c r="L15" s="24"/>
      <c r="M15" s="24"/>
      <c r="N15" s="24"/>
      <c r="O15" s="24"/>
      <c r="P15" s="24"/>
    </row>
    <row r="16" spans="1:16">
      <c r="B16" s="1" t="s">
        <v>540</v>
      </c>
      <c r="C16" s="25">
        <v>71500</v>
      </c>
      <c r="D16" s="25"/>
      <c r="E16" s="37">
        <f t="shared" si="2"/>
        <v>0</v>
      </c>
      <c r="F16" s="25" t="e">
        <f>'【料金算定－現行×改定率】総括原価'!D16</f>
        <v>#REF!</v>
      </c>
      <c r="G16" s="37" t="e">
        <f t="shared" si="1"/>
        <v>#REF!</v>
      </c>
      <c r="J16" s="24"/>
      <c r="K16" s="24"/>
      <c r="L16" s="24"/>
      <c r="M16" s="24"/>
      <c r="N16" s="24"/>
      <c r="O16" s="24"/>
      <c r="P16" s="24"/>
    </row>
    <row r="17" spans="2:31">
      <c r="J17" s="24"/>
      <c r="K17" s="24"/>
      <c r="L17" s="24"/>
      <c r="M17" s="24"/>
      <c r="N17" s="24"/>
      <c r="O17" s="24"/>
      <c r="P17" s="24"/>
    </row>
    <row r="18" spans="2:31">
      <c r="J18" s="24"/>
      <c r="K18" s="24"/>
      <c r="L18" s="24"/>
      <c r="M18" s="24"/>
      <c r="N18" s="24"/>
      <c r="O18" s="24"/>
      <c r="P18" s="24"/>
    </row>
    <row r="19" spans="2:31">
      <c r="J19" s="24"/>
      <c r="K19" s="24"/>
      <c r="L19" s="24"/>
      <c r="M19" s="24"/>
      <c r="N19" s="24"/>
      <c r="O19" s="24"/>
      <c r="P19" s="24"/>
      <c r="AE19" s="56" t="s">
        <v>194</v>
      </c>
    </row>
    <row r="20" spans="2:31">
      <c r="B20" t="s">
        <v>237</v>
      </c>
      <c r="C20" s="16" t="s">
        <v>329</v>
      </c>
      <c r="D20" s="71" t="s">
        <v>576</v>
      </c>
      <c r="E20" s="71"/>
      <c r="F20" s="71" t="str">
        <f>"現行×"&amp;報告書用グラフ!D5*100&amp;"%"</f>
        <v>現行×100%</v>
      </c>
      <c r="G20" s="71"/>
      <c r="I20" s="126"/>
      <c r="J20" s="301" t="s">
        <v>333</v>
      </c>
      <c r="K20" s="301"/>
      <c r="L20" s="301" t="s">
        <v>334</v>
      </c>
      <c r="M20" s="301"/>
      <c r="N20" s="301"/>
      <c r="O20" s="301"/>
      <c r="P20" s="301"/>
      <c r="Q20" s="301"/>
      <c r="R20" s="301"/>
      <c r="S20" s="301"/>
      <c r="T20" s="301"/>
      <c r="U20" s="301"/>
      <c r="V20" s="301"/>
      <c r="W20" s="301"/>
      <c r="X20" s="301"/>
      <c r="Y20" s="301"/>
      <c r="Z20" s="301"/>
      <c r="AA20" s="301"/>
      <c r="AB20" s="301"/>
      <c r="AC20" s="301"/>
      <c r="AD20" s="301"/>
      <c r="AE20" s="301"/>
    </row>
    <row r="21" spans="2:31">
      <c r="B21" s="69" t="s">
        <v>332</v>
      </c>
      <c r="C21" s="16" t="s">
        <v>331</v>
      </c>
      <c r="D21" s="16" t="s">
        <v>331</v>
      </c>
      <c r="E21" s="16" t="s">
        <v>341</v>
      </c>
      <c r="F21" s="16" t="s">
        <v>331</v>
      </c>
      <c r="G21" s="16" t="s">
        <v>271</v>
      </c>
      <c r="I21" s="127"/>
      <c r="J21" s="301" t="s">
        <v>575</v>
      </c>
      <c r="K21" s="301"/>
      <c r="L21" s="301" t="s">
        <v>258</v>
      </c>
      <c r="M21" s="301"/>
      <c r="N21" s="301" t="s">
        <v>19</v>
      </c>
      <c r="O21" s="301"/>
      <c r="P21" s="301" t="s">
        <v>259</v>
      </c>
      <c r="Q21" s="301"/>
      <c r="R21" s="301" t="s">
        <v>21</v>
      </c>
      <c r="S21" s="301"/>
      <c r="T21" s="301" t="s">
        <v>22</v>
      </c>
      <c r="U21" s="301"/>
      <c r="V21" s="301" t="s">
        <v>23</v>
      </c>
      <c r="W21" s="301"/>
      <c r="X21" s="301" t="s">
        <v>24</v>
      </c>
      <c r="Y21" s="301"/>
      <c r="Z21" s="301" t="s">
        <v>25</v>
      </c>
      <c r="AA21" s="301"/>
      <c r="AB21" s="301" t="s">
        <v>26</v>
      </c>
      <c r="AC21" s="301"/>
      <c r="AD21" s="301" t="s">
        <v>27</v>
      </c>
      <c r="AE21" s="301"/>
    </row>
    <row r="22" spans="2:31">
      <c r="B22" s="1" t="s">
        <v>541</v>
      </c>
      <c r="C22" s="1">
        <v>100</v>
      </c>
      <c r="D22" s="25"/>
      <c r="E22" s="37">
        <f t="shared" ref="E22:E26" si="3">IFERROR(D22/C22,"")</f>
        <v>0</v>
      </c>
      <c r="F22" s="25" t="e">
        <f>'【料金算定－現行×改定率】総括原価'!D18</f>
        <v>#REF!</v>
      </c>
      <c r="G22" s="37" t="e">
        <f>F22/C22</f>
        <v>#REF!</v>
      </c>
      <c r="I22" s="128"/>
      <c r="J22" s="35" t="s">
        <v>335</v>
      </c>
      <c r="K22" s="35" t="s">
        <v>183</v>
      </c>
      <c r="L22" s="35" t="s">
        <v>335</v>
      </c>
      <c r="M22" s="35" t="s">
        <v>183</v>
      </c>
      <c r="N22" s="35" t="s">
        <v>335</v>
      </c>
      <c r="O22" s="35" t="s">
        <v>183</v>
      </c>
      <c r="P22" s="35" t="s">
        <v>335</v>
      </c>
      <c r="Q22" s="35" t="s">
        <v>183</v>
      </c>
      <c r="R22" s="35" t="s">
        <v>335</v>
      </c>
      <c r="S22" s="35" t="s">
        <v>183</v>
      </c>
      <c r="T22" s="35" t="s">
        <v>335</v>
      </c>
      <c r="U22" s="35" t="s">
        <v>183</v>
      </c>
      <c r="V22" s="35" t="s">
        <v>335</v>
      </c>
      <c r="W22" s="35" t="s">
        <v>183</v>
      </c>
      <c r="X22" s="35" t="s">
        <v>335</v>
      </c>
      <c r="Y22" s="35" t="s">
        <v>183</v>
      </c>
      <c r="Z22" s="35" t="s">
        <v>335</v>
      </c>
      <c r="AA22" s="35" t="s">
        <v>183</v>
      </c>
      <c r="AB22" s="35" t="s">
        <v>335</v>
      </c>
      <c r="AC22" s="35" t="s">
        <v>183</v>
      </c>
      <c r="AD22" s="35" t="s">
        <v>335</v>
      </c>
      <c r="AE22" s="35" t="s">
        <v>183</v>
      </c>
    </row>
    <row r="23" spans="2:31">
      <c r="B23" s="1" t="s">
        <v>542</v>
      </c>
      <c r="C23" s="1">
        <v>135</v>
      </c>
      <c r="D23" s="25"/>
      <c r="E23" s="37">
        <f t="shared" si="3"/>
        <v>0</v>
      </c>
      <c r="F23" s="25" t="e">
        <f>'【料金算定－現行×改定率】総括原価'!D19</f>
        <v>#REF!</v>
      </c>
      <c r="G23" s="37" t="e">
        <f>F23/C23</f>
        <v>#REF!</v>
      </c>
      <c r="I23" s="62" t="s">
        <v>336</v>
      </c>
      <c r="J23" s="39" t="e">
        <f>【現行×調整率】財政シミュ!R5</f>
        <v>#REF!</v>
      </c>
      <c r="K23" s="39" t="e">
        <f>【現行×調整率】財政シミュ!R23</f>
        <v>#REF!</v>
      </c>
      <c r="L23" s="39" t="e">
        <f>【現行×調整率】財政シミュ!T5</f>
        <v>#REF!</v>
      </c>
      <c r="M23" s="39" t="e">
        <f>【現行×調整率】財政シミュ!T23</f>
        <v>#REF!</v>
      </c>
      <c r="N23" s="39" t="e">
        <f>【現行×調整率】財政シミュ!U5</f>
        <v>#REF!</v>
      </c>
      <c r="O23" s="39" t="e">
        <f>【現行×調整率】財政シミュ!U23</f>
        <v>#REF!</v>
      </c>
      <c r="P23" s="39" t="e">
        <f>【現行×調整率】財政シミュ!V5</f>
        <v>#REF!</v>
      </c>
      <c r="Q23" s="39" t="e">
        <f>【現行×調整率】財政シミュ!V23</f>
        <v>#REF!</v>
      </c>
      <c r="R23" s="39" t="e">
        <f>【現行×調整率】財政シミュ!W5</f>
        <v>#REF!</v>
      </c>
      <c r="S23" s="39" t="e">
        <f>【現行×調整率】財政シミュ!W23</f>
        <v>#REF!</v>
      </c>
      <c r="T23" s="39" t="e">
        <f>【現行×調整率】財政シミュ!X5</f>
        <v>#REF!</v>
      </c>
      <c r="U23" s="39" t="e">
        <f>【現行×調整率】財政シミュ!X23</f>
        <v>#REF!</v>
      </c>
      <c r="V23" s="39" t="e">
        <f>【現行×調整率】財政シミュ!Y5</f>
        <v>#REF!</v>
      </c>
      <c r="W23" s="39" t="e">
        <f>【現行×調整率】財政シミュ!Y23</f>
        <v>#REF!</v>
      </c>
      <c r="X23" s="39" t="e">
        <f>【現行×調整率】財政シミュ!Z5</f>
        <v>#REF!</v>
      </c>
      <c r="Y23" s="39" t="e">
        <f>【現行×調整率】財政シミュ!Z23</f>
        <v>#REF!</v>
      </c>
      <c r="Z23" s="39" t="e">
        <f>【現行×調整率】財政シミュ!AA5</f>
        <v>#REF!</v>
      </c>
      <c r="AA23" s="39" t="e">
        <f>【現行×調整率】財政シミュ!AA23</f>
        <v>#REF!</v>
      </c>
      <c r="AB23" s="39" t="e">
        <f>【現行×調整率】財政シミュ!AB5</f>
        <v>#REF!</v>
      </c>
      <c r="AC23" s="39" t="e">
        <f>【現行×調整率】財政シミュ!AB23</f>
        <v>#REF!</v>
      </c>
      <c r="AD23" s="39" t="e">
        <f>【現行×調整率】財政シミュ!AC5</f>
        <v>#REF!</v>
      </c>
      <c r="AE23" s="39" t="e">
        <f>【現行×調整率】財政シミュ!AC23</f>
        <v>#REF!</v>
      </c>
    </row>
    <row r="24" spans="2:31">
      <c r="B24" s="1" t="s">
        <v>543</v>
      </c>
      <c r="C24" s="1">
        <v>155</v>
      </c>
      <c r="D24" s="25"/>
      <c r="E24" s="37">
        <f t="shared" si="3"/>
        <v>0</v>
      </c>
      <c r="F24" s="25" t="e">
        <f>'【料金算定－現行×改定率】総括原価'!D20</f>
        <v>#REF!</v>
      </c>
      <c r="G24" s="37" t="e">
        <f>F24/C24</f>
        <v>#REF!</v>
      </c>
      <c r="I24" s="41" t="s">
        <v>337</v>
      </c>
      <c r="J24" s="39">
        <f>【現行×調整率】財政シミュ!R72</f>
        <v>9335000</v>
      </c>
      <c r="K24" s="39">
        <f>【現行×調整率】財政シミュ!R79</f>
        <v>280177715</v>
      </c>
      <c r="L24" s="39">
        <f>【現行×調整率】財政シミュ!T72</f>
        <v>150000000000000</v>
      </c>
      <c r="M24" s="39">
        <f>【現行×調整率】財政シミュ!T79</f>
        <v>160000079463153</v>
      </c>
      <c r="N24" s="39">
        <f>【現行×調整率】財政シミュ!U72</f>
        <v>150000035000000</v>
      </c>
      <c r="O24" s="39">
        <f>【現行×調整率】財政シミュ!U79</f>
        <v>250000103677346</v>
      </c>
      <c r="P24" s="39">
        <f>【現行×調整率】財政シミュ!V72</f>
        <v>160000750000000</v>
      </c>
      <c r="Q24" s="39">
        <f>【現行×調整率】財政シミュ!V79</f>
        <v>260000809243717</v>
      </c>
      <c r="R24" s="39">
        <f>【現行×調整率】財政シミュ!W72</f>
        <v>160000670000000</v>
      </c>
      <c r="S24" s="39">
        <f>【現行×調整率】財政シミュ!W79</f>
        <v>260000726944226</v>
      </c>
      <c r="T24" s="39">
        <f>【現行×調整率】財政シミュ!X72</f>
        <v>160000220000000</v>
      </c>
      <c r="U24" s="39">
        <f>【現行×調整率】財政シミュ!X79</f>
        <v>260000264070542</v>
      </c>
      <c r="V24" s="39">
        <f>【現行×調整率】財政シミュ!Y72</f>
        <v>160000070000000</v>
      </c>
      <c r="W24" s="39">
        <f>【現行×調整率】財政シミュ!Y79</f>
        <v>260000105997091</v>
      </c>
      <c r="X24" s="39">
        <f>【現行×調整率】財政シミュ!Z72</f>
        <v>160000150000000</v>
      </c>
      <c r="Y24" s="39">
        <f>【現行×調整率】財政シミュ!Z79</f>
        <v>160000187918317</v>
      </c>
      <c r="Z24" s="39">
        <f>【現行×調整率】財政シミュ!AA72</f>
        <v>160000150000000</v>
      </c>
      <c r="AA24" s="39">
        <f>【現行×調整率】財政シミュ!AA79</f>
        <v>160000191518197</v>
      </c>
      <c r="AB24" s="39">
        <f>【現行×調整率】財政シミュ!AB72</f>
        <v>160000210000000</v>
      </c>
      <c r="AC24" s="39">
        <f>【現行×調整率】財政シミュ!AB79</f>
        <v>160000256399311</v>
      </c>
      <c r="AD24" s="39">
        <f>【現行×調整率】財政シミュ!AC72</f>
        <v>160000130000000</v>
      </c>
      <c r="AE24" s="39">
        <f>【現行×調整率】財政シミュ!AC79</f>
        <v>160000182991959</v>
      </c>
    </row>
    <row r="25" spans="2:31">
      <c r="B25" s="1" t="s">
        <v>544</v>
      </c>
      <c r="C25" s="1">
        <v>170</v>
      </c>
      <c r="D25" s="25"/>
      <c r="E25" s="37">
        <f t="shared" si="3"/>
        <v>0</v>
      </c>
      <c r="F25" s="25" t="e">
        <f>'【料金算定－現行×改定率】総括原価'!D21</f>
        <v>#REF!</v>
      </c>
      <c r="G25" s="37" t="e">
        <f>F25/C25</f>
        <v>#REF!</v>
      </c>
      <c r="I25" s="41" t="s">
        <v>338</v>
      </c>
      <c r="J25" s="300">
        <f>【現行×調整率】財政シミュ!R113</f>
        <v>132458270</v>
      </c>
      <c r="K25" s="300"/>
      <c r="L25" s="300" t="e">
        <f>【現行×調整率】財政シミュ!T113</f>
        <v>#REF!</v>
      </c>
      <c r="M25" s="300"/>
      <c r="N25" s="300" t="e">
        <f>【現行×調整率】財政シミュ!U113</f>
        <v>#REF!</v>
      </c>
      <c r="O25" s="300"/>
      <c r="P25" s="300" t="e">
        <f>【現行×調整率】財政シミュ!V113</f>
        <v>#REF!</v>
      </c>
      <c r="Q25" s="300"/>
      <c r="R25" s="300" t="e">
        <f>【現行×調整率】財政シミュ!W113</f>
        <v>#REF!</v>
      </c>
      <c r="S25" s="300"/>
      <c r="T25" s="300" t="e">
        <f>【現行×調整率】財政シミュ!X113</f>
        <v>#REF!</v>
      </c>
      <c r="U25" s="300"/>
      <c r="V25" s="300" t="e">
        <f>【現行×調整率】財政シミュ!Y113</f>
        <v>#REF!</v>
      </c>
      <c r="W25" s="300"/>
      <c r="X25" s="300" t="e">
        <f>【現行×調整率】財政シミュ!Z113</f>
        <v>#REF!</v>
      </c>
      <c r="Y25" s="300"/>
      <c r="Z25" s="300" t="e">
        <f>【現行×調整率】財政シミュ!AA113</f>
        <v>#REF!</v>
      </c>
      <c r="AA25" s="300"/>
      <c r="AB25" s="300" t="e">
        <f>【現行×調整率】財政シミュ!AB113</f>
        <v>#REF!</v>
      </c>
      <c r="AC25" s="300"/>
      <c r="AD25" s="300" t="e">
        <f>【現行×調整率】財政シミュ!AC113</f>
        <v>#REF!</v>
      </c>
      <c r="AE25" s="300"/>
    </row>
    <row r="26" spans="2:31">
      <c r="B26" s="1" t="s">
        <v>545</v>
      </c>
      <c r="C26" s="1">
        <v>175</v>
      </c>
      <c r="D26" s="25"/>
      <c r="E26" s="37">
        <f t="shared" si="3"/>
        <v>0</v>
      </c>
      <c r="F26" s="25" t="e">
        <f>'【料金算定－現行×改定率】総括原価'!D22</f>
        <v>#REF!</v>
      </c>
      <c r="G26" s="37" t="e">
        <f>F26/C26</f>
        <v>#REF!</v>
      </c>
      <c r="I26" s="41" t="s">
        <v>339</v>
      </c>
      <c r="J26" s="300">
        <f>【現行×調整率】財政シミュ!R114</f>
        <v>763361128</v>
      </c>
      <c r="K26" s="300"/>
      <c r="L26" s="300">
        <f>【現行×調整率】財政シミュ!T114</f>
        <v>450554111</v>
      </c>
      <c r="M26" s="300"/>
      <c r="N26" s="300">
        <f>【現行×調整率】財政シミュ!U114</f>
        <v>585276765</v>
      </c>
      <c r="O26" s="300"/>
      <c r="P26" s="300">
        <f>【現行×調整率】財政シミュ!V114</f>
        <v>974703048</v>
      </c>
      <c r="Q26" s="300"/>
      <c r="R26" s="300">
        <f>【現行×調整率】財政シミュ!W114</f>
        <v>1319758822</v>
      </c>
      <c r="S26" s="300"/>
      <c r="T26" s="300">
        <f>【現行×調整率】財政シミュ!X114</f>
        <v>1662688280</v>
      </c>
      <c r="U26" s="300"/>
      <c r="V26" s="300">
        <f>【現行×調整率】財政シミュ!Y114</f>
        <v>1863691189</v>
      </c>
      <c r="W26" s="300"/>
      <c r="X26" s="300">
        <f>【現行×調整率】財政シミュ!Z114</f>
        <v>2062772872</v>
      </c>
      <c r="Y26" s="300"/>
      <c r="Z26" s="300">
        <f>【現行×調整率】財政シミュ!AA114</f>
        <v>2308254675</v>
      </c>
      <c r="AA26" s="300"/>
      <c r="AB26" s="300">
        <f>【現行×調整率】財政シミュ!AB114</f>
        <v>2608855364</v>
      </c>
      <c r="AC26" s="300"/>
      <c r="AD26" s="300">
        <f>【現行×調整率】財政シミュ!AC114</f>
        <v>2822863405</v>
      </c>
      <c r="AE26" s="300"/>
    </row>
    <row r="27" spans="2:31" hidden="1" outlineLevel="1"/>
    <row r="28" spans="2:31" hidden="1" outlineLevel="1"/>
    <row r="29" spans="2:31" hidden="1" outlineLevel="1"/>
    <row r="30" spans="2:31" hidden="1" outlineLevel="1"/>
    <row r="31" spans="2:31" hidden="1" outlineLevel="1"/>
    <row r="32" spans="2:31"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collapsed="1"/>
  </sheetData>
  <customSheetViews>
    <customSheetView guid="{B05628F6-030D-4851-8E75-96DF5849F39A}" showGridLines="0" fitToPage="1" hiddenRows="1" topLeftCell="J1">
      <selection activeCell="V25" sqref="V25:W25"/>
      <pageMargins left="0.70866141732283472" right="0.70866141732283472" top="0.74803149606299213" bottom="0.74803149606299213" header="0.31496062992125984" footer="0.31496062992125984"/>
      <pageSetup paperSize="9" scale="48" orientation="landscape" horizontalDpi="0" verticalDpi="0" r:id="rId1"/>
      <headerFooter>
        <oddHeader>&amp;A</oddHeader>
        <oddFooter>&amp;P / &amp;N ページ</oddFooter>
      </headerFooter>
    </customSheetView>
    <customSheetView guid="{1F923BC6-4AD1-4F20-A481-D76BE7901A2A}" showPageBreaks="1" showGridLines="0" fitToPage="1" printArea="1" hiddenRows="1" topLeftCell="J1">
      <selection activeCell="I5" sqref="I5"/>
      <pageMargins left="0.70866141732283472" right="0.70866141732283472" top="0.74803149606299213" bottom="0.74803149606299213" header="0.31496062992125984" footer="0.31496062992125984"/>
      <pageSetup paperSize="9" scale="48" orientation="landscape" verticalDpi="0" r:id="rId2"/>
      <headerFooter>
        <oddHeader>&amp;A</oddHeader>
        <oddFooter>&amp;P / &amp;N ページ</oddFooter>
      </headerFooter>
    </customSheetView>
  </customSheetViews>
  <mergeCells count="35">
    <mergeCell ref="J20:K20"/>
    <mergeCell ref="L20:AE20"/>
    <mergeCell ref="J21:K21"/>
    <mergeCell ref="L21:M21"/>
    <mergeCell ref="N21:O21"/>
    <mergeCell ref="P21:Q21"/>
    <mergeCell ref="R21:S21"/>
    <mergeCell ref="T21:U21"/>
    <mergeCell ref="AD21:AE21"/>
    <mergeCell ref="V21:W21"/>
    <mergeCell ref="X21:Y21"/>
    <mergeCell ref="Z21:AA21"/>
    <mergeCell ref="AB21:AC21"/>
    <mergeCell ref="T26:U26"/>
    <mergeCell ref="AD26:AE26"/>
    <mergeCell ref="V26:W26"/>
    <mergeCell ref="X26:Y26"/>
    <mergeCell ref="J25:K25"/>
    <mergeCell ref="L25:M25"/>
    <mergeCell ref="N25:O25"/>
    <mergeCell ref="P25:Q25"/>
    <mergeCell ref="R25:S25"/>
    <mergeCell ref="T25:U25"/>
    <mergeCell ref="J26:K26"/>
    <mergeCell ref="L26:M26"/>
    <mergeCell ref="N26:O26"/>
    <mergeCell ref="P26:Q26"/>
    <mergeCell ref="R26:S26"/>
    <mergeCell ref="V25:W25"/>
    <mergeCell ref="X25:Y25"/>
    <mergeCell ref="Z25:AA25"/>
    <mergeCell ref="AB25:AC25"/>
    <mergeCell ref="AD25:AE25"/>
    <mergeCell ref="Z26:AA26"/>
    <mergeCell ref="AB26:AC26"/>
  </mergeCells>
  <phoneticPr fontId="4"/>
  <pageMargins left="0.70866141732283472" right="0.70866141732283472" top="0.74803149606299213" bottom="0.74803149606299213" header="0.31496062992125984" footer="0.31496062992125984"/>
  <pageSetup paperSize="9" scale="48" orientation="landscape" verticalDpi="0" r:id="rId3"/>
  <headerFooter>
    <oddHeader>&amp;A</oddHeader>
    <oddFooter>&amp;P / &amp;N ページ</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17</vt:i4>
      </vt:variant>
    </vt:vector>
  </HeadingPairs>
  <TitlesOfParts>
    <vt:vector size="46" baseType="lpstr">
      <vt:lpstr>料金改定率</vt:lpstr>
      <vt:lpstr>【PL】決算数値入力</vt:lpstr>
      <vt:lpstr>【PL】決算数値入力 (仮保存)</vt:lpstr>
      <vt:lpstr>【BS】決算数値入力</vt:lpstr>
      <vt:lpstr>【統計】水道統計指標</vt:lpstr>
      <vt:lpstr>【成行】財政シミュ</vt:lpstr>
      <vt:lpstr>【要領】財政シミュ</vt:lpstr>
      <vt:lpstr>【現行×調整率】財政シミュ</vt:lpstr>
      <vt:lpstr>新規取得</vt:lpstr>
      <vt:lpstr>【成行】財政シミュ (料金改定後)</vt:lpstr>
      <vt:lpstr>※左シートの変更未反映【成行】財政シミュ (料金改定後)</vt:lpstr>
      <vt:lpstr>【収益－現行】給水収益</vt:lpstr>
      <vt:lpstr>【収益－要領】給水収益</vt:lpstr>
      <vt:lpstr>【料金算定－現行×改定率】給水収益</vt:lpstr>
      <vt:lpstr>【収益－現行】給水収益 (料金改定後)</vt:lpstr>
      <vt:lpstr>【収益】水需要予測</vt:lpstr>
      <vt:lpstr>【収益】料金単価</vt:lpstr>
      <vt:lpstr>【料金算定－要領】総括原価</vt:lpstr>
      <vt:lpstr>【料金算定－現行×改定率】総括原価</vt:lpstr>
      <vt:lpstr>【料金算定】分解原価集計</vt:lpstr>
      <vt:lpstr>【料金算定】期間原価集計</vt:lpstr>
      <vt:lpstr>【料金算定】資産維持費</vt:lpstr>
      <vt:lpstr>【収益】料金単価 (口径別)</vt:lpstr>
      <vt:lpstr>有収水量別</vt:lpstr>
      <vt:lpstr>メーター料金見直し表</vt:lpstr>
      <vt:lpstr>メーター料金見直し表 (2)</vt:lpstr>
      <vt:lpstr>物価上昇率</vt:lpstr>
      <vt:lpstr>新規債返済スケジュール</vt:lpstr>
      <vt:lpstr>報告書用グラフ</vt:lpstr>
      <vt:lpstr>【BS】決算数値入力!Print_Area</vt:lpstr>
      <vt:lpstr>【PL】決算数値入力!Print_Area</vt:lpstr>
      <vt:lpstr>'【PL】決算数値入力 (仮保存)'!Print_Area</vt:lpstr>
      <vt:lpstr>【統計】水道統計指標!Print_Area</vt:lpstr>
      <vt:lpstr>新規債返済スケジュール!Print_Area</vt:lpstr>
      <vt:lpstr>新規取得!Print_Area</vt:lpstr>
      <vt:lpstr>報告書用グラフ!Print_Area</vt:lpstr>
      <vt:lpstr>料金改定率!Print_Area</vt:lpstr>
      <vt:lpstr>【現行×調整率】財政シミュ!Print_Titles</vt:lpstr>
      <vt:lpstr>【収益】水需要予測!Print_Titles</vt:lpstr>
      <vt:lpstr>'【収益－現行】給水収益'!Print_Titles</vt:lpstr>
      <vt:lpstr>'【収益－現行】給水収益 (料金改定後)'!Print_Titles</vt:lpstr>
      <vt:lpstr>【成行】財政シミュ!Print_Titles</vt:lpstr>
      <vt:lpstr>'【成行】財政シミュ (料金改定後)'!Print_Titles</vt:lpstr>
      <vt:lpstr>'※左シートの変更未反映【成行】財政シミュ (料金改定後)'!Print_Titles</vt:lpstr>
      <vt:lpstr>新規債返済スケジュール!Print_Titles</vt:lpstr>
      <vt:lpstr>新規取得!Print_Titles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松田卓也</dc:creator>
  <cp:lastModifiedBy>kensetu16</cp:lastModifiedBy>
  <cp:lastPrinted>2025-04-28T07:29:47Z</cp:lastPrinted>
  <dcterms:created xsi:type="dcterms:W3CDTF">2019-11-06T05:24:39Z</dcterms:created>
  <dcterms:modified xsi:type="dcterms:W3CDTF">2025-12-09T01:21:57Z</dcterms:modified>
</cp:coreProperties>
</file>