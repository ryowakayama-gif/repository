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idou06\Desktop\新しいフォルダー\"/>
    </mc:Choice>
  </mc:AlternateContent>
  <xr:revisionPtr revIDLastSave="0" documentId="13_ncr:1_{2724142F-DFC4-446B-9A65-F7919C3DE0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H12" i="1"/>
  <c r="I12" i="1"/>
  <c r="J12" i="1"/>
  <c r="K12" i="1"/>
  <c r="L12" i="1"/>
  <c r="M12" i="1"/>
  <c r="N12" i="1"/>
  <c r="O12" i="1"/>
  <c r="P12" i="1"/>
  <c r="D12" i="1"/>
  <c r="E12" i="1"/>
  <c r="F12" i="1"/>
  <c r="C12" i="1"/>
</calcChain>
</file>

<file path=xl/sharedStrings.xml><?xml version="1.0" encoding="utf-8"?>
<sst xmlns="http://schemas.openxmlformats.org/spreadsheetml/2006/main" count="38" uniqueCount="27">
  <si>
    <t>調定種別</t>
  </si>
  <si>
    <t>口径</t>
  </si>
  <si>
    <t>基本水量件数</t>
  </si>
  <si>
    <t>超過水量件数</t>
  </si>
  <si>
    <t>有収水量件数</t>
  </si>
  <si>
    <t>ﾒｰﾀｰ料金件数</t>
  </si>
  <si>
    <t>基本水量</t>
  </si>
  <si>
    <t>超過水量</t>
  </si>
  <si>
    <t>有収水量</t>
  </si>
  <si>
    <t>有効水量</t>
  </si>
  <si>
    <t>基本料金</t>
  </si>
  <si>
    <t>超過料金</t>
  </si>
  <si>
    <t>消費税</t>
  </si>
  <si>
    <t>ﾒｰﾀｰ料金</t>
  </si>
  <si>
    <t>使用料金</t>
  </si>
  <si>
    <t>最新調定</t>
  </si>
  <si>
    <t>01 13mm</t>
  </si>
  <si>
    <t>02 20mm</t>
  </si>
  <si>
    <t>03 25mm</t>
  </si>
  <si>
    <t>04 40mm</t>
  </si>
  <si>
    <t>05 50mm</t>
  </si>
  <si>
    <t>06 75mm</t>
  </si>
  <si>
    <t>07 100mm</t>
  </si>
  <si>
    <t>08 150mm</t>
  </si>
  <si>
    <t>09 200mm</t>
  </si>
  <si>
    <t>10 250mm</t>
  </si>
  <si>
    <t xml:space="preserve">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</si>
</sst>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8" xfId="0" applyNumberFormat="1" applyBorder="1" applyAlignment="1">
      <alignment vertical="top"/>
    </xf>
    <xf numFmtId="49" fontId="0" fillId="0" borderId="9" xfId="0" applyNumberFormat="1" applyBorder="1" applyAlignment="1">
      <alignment vertical="top"/>
    </xf>
    <xf numFmtId="3" fontId="0" fillId="0" borderId="7" xfId="0" applyNumberFormat="1" applyBorder="1" applyAlignment="1">
      <alignment vertical="top"/>
    </xf>
    <xf numFmtId="3" fontId="0" fillId="0" borderId="8" xfId="0" applyNumberFormat="1" applyBorder="1" applyAlignment="1">
      <alignment vertical="top"/>
    </xf>
    <xf numFmtId="3" fontId="0" fillId="0" borderId="9" xfId="0" applyNumberFormat="1" applyBorder="1" applyAlignment="1">
      <alignment vertical="top"/>
    </xf>
    <xf numFmtId="3" fontId="0" fillId="0" borderId="10" xfId="0" applyNumberFormat="1" applyBorder="1" applyAlignment="1">
      <alignment vertical="top"/>
    </xf>
    <xf numFmtId="3" fontId="0" fillId="0" borderId="11" xfId="0" applyNumberFormat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topLeftCell="B1" workbookViewId="0">
      <selection activeCell="P9" sqref="P9"/>
    </sheetView>
  </sheetViews>
  <sheetFormatPr defaultRowHeight="18" x14ac:dyDescent="0.45"/>
  <cols>
    <col min="1" max="1" width="9.69921875" bestFit="1" customWidth="1"/>
    <col min="2" max="2" width="10.3984375" bestFit="1" customWidth="1"/>
    <col min="3" max="5" width="14.09765625" bestFit="1" customWidth="1"/>
    <col min="6" max="6" width="14.8984375" bestFit="1" customWidth="1"/>
    <col min="7" max="10" width="9.69921875" bestFit="1" customWidth="1"/>
    <col min="11" max="12" width="10.59765625" bestFit="1" customWidth="1"/>
    <col min="13" max="13" width="10.5" bestFit="1" customWidth="1"/>
    <col min="14" max="14" width="10.3984375" bestFit="1" customWidth="1"/>
    <col min="15" max="15" width="8" bestFit="1" customWidth="1"/>
    <col min="16" max="16" width="11.59765625" bestFit="1" customWidth="1"/>
  </cols>
  <sheetData>
    <row r="1" spans="1:16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12</v>
      </c>
      <c r="P1" s="3" t="s">
        <v>14</v>
      </c>
    </row>
    <row r="2" spans="1:16" x14ac:dyDescent="0.45">
      <c r="A2" s="4" t="s">
        <v>15</v>
      </c>
      <c r="B2" s="7" t="s">
        <v>16</v>
      </c>
      <c r="C2" s="10">
        <v>8821</v>
      </c>
      <c r="D2" s="10">
        <v>3719</v>
      </c>
      <c r="E2" s="10">
        <v>8821</v>
      </c>
      <c r="F2" s="10">
        <v>8821</v>
      </c>
      <c r="G2" s="10">
        <v>57376</v>
      </c>
      <c r="H2" s="10">
        <v>40572</v>
      </c>
      <c r="I2" s="10">
        <v>97948</v>
      </c>
      <c r="J2" s="10">
        <v>97965</v>
      </c>
      <c r="K2" s="10">
        <v>9027150</v>
      </c>
      <c r="L2" s="10">
        <v>4461680</v>
      </c>
      <c r="M2" s="10">
        <v>1348883</v>
      </c>
      <c r="N2" s="10">
        <v>441050</v>
      </c>
      <c r="O2" s="10">
        <v>44105</v>
      </c>
      <c r="P2" s="13">
        <v>15322868</v>
      </c>
    </row>
    <row r="3" spans="1:16" x14ac:dyDescent="0.45">
      <c r="A3" s="5" t="s">
        <v>15</v>
      </c>
      <c r="B3" s="8" t="s">
        <v>17</v>
      </c>
      <c r="C3" s="11">
        <v>25682</v>
      </c>
      <c r="D3" s="11">
        <v>14126</v>
      </c>
      <c r="E3" s="11">
        <v>25682</v>
      </c>
      <c r="F3" s="11">
        <v>25682</v>
      </c>
      <c r="G3" s="11">
        <v>193835</v>
      </c>
      <c r="H3" s="11">
        <v>174586</v>
      </c>
      <c r="I3" s="11">
        <v>368421</v>
      </c>
      <c r="J3" s="11">
        <v>368447</v>
      </c>
      <c r="K3" s="11">
        <v>26895800</v>
      </c>
      <c r="L3" s="11">
        <v>19161280</v>
      </c>
      <c r="M3" s="11">
        <v>4605708</v>
      </c>
      <c r="N3" s="11">
        <v>1797740</v>
      </c>
      <c r="O3" s="11">
        <v>179774</v>
      </c>
      <c r="P3" s="14">
        <v>52640302</v>
      </c>
    </row>
    <row r="4" spans="1:16" x14ac:dyDescent="0.45">
      <c r="A4" s="5" t="s">
        <v>15</v>
      </c>
      <c r="B4" s="8" t="s">
        <v>18</v>
      </c>
      <c r="C4" s="11">
        <v>855</v>
      </c>
      <c r="D4" s="11">
        <v>566</v>
      </c>
      <c r="E4" s="11">
        <v>855</v>
      </c>
      <c r="F4" s="11">
        <v>855</v>
      </c>
      <c r="G4" s="11">
        <v>6769</v>
      </c>
      <c r="H4" s="11">
        <v>49286</v>
      </c>
      <c r="I4" s="11">
        <v>56055</v>
      </c>
      <c r="J4" s="11">
        <v>56055</v>
      </c>
      <c r="K4" s="11">
        <v>899600</v>
      </c>
      <c r="L4" s="11">
        <v>5181150</v>
      </c>
      <c r="M4" s="11">
        <v>608075</v>
      </c>
      <c r="N4" s="11">
        <v>85500</v>
      </c>
      <c r="O4" s="11">
        <v>8550</v>
      </c>
      <c r="P4" s="14">
        <v>6782875</v>
      </c>
    </row>
    <row r="5" spans="1:16" x14ac:dyDescent="0.45">
      <c r="A5" s="5" t="s">
        <v>15</v>
      </c>
      <c r="B5" s="8" t="s">
        <v>19</v>
      </c>
      <c r="C5" s="11">
        <v>893</v>
      </c>
      <c r="D5" s="11">
        <v>701</v>
      </c>
      <c r="E5" s="11">
        <v>893</v>
      </c>
      <c r="F5" s="11">
        <v>893</v>
      </c>
      <c r="G5" s="11">
        <v>13612</v>
      </c>
      <c r="H5" s="11">
        <v>180890</v>
      </c>
      <c r="I5" s="11">
        <v>194502</v>
      </c>
      <c r="J5" s="11">
        <v>192710</v>
      </c>
      <c r="K5" s="11">
        <v>1339100</v>
      </c>
      <c r="L5" s="11">
        <v>18542260</v>
      </c>
      <c r="M5" s="11">
        <v>1988136</v>
      </c>
      <c r="N5" s="11">
        <v>178600</v>
      </c>
      <c r="O5" s="11">
        <v>17860</v>
      </c>
      <c r="P5" s="14">
        <v>22065956</v>
      </c>
    </row>
    <row r="6" spans="1:16" x14ac:dyDescent="0.45">
      <c r="A6" s="5" t="s">
        <v>15</v>
      </c>
      <c r="B6" s="8" t="s">
        <v>20</v>
      </c>
      <c r="C6" s="11">
        <v>271</v>
      </c>
      <c r="D6" s="11">
        <v>227</v>
      </c>
      <c r="E6" s="11">
        <v>271</v>
      </c>
      <c r="F6" s="11">
        <v>271</v>
      </c>
      <c r="G6" s="11">
        <v>2457</v>
      </c>
      <c r="H6" s="11">
        <v>136435</v>
      </c>
      <c r="I6" s="11">
        <v>138892</v>
      </c>
      <c r="J6" s="11">
        <v>139336</v>
      </c>
      <c r="K6" s="11">
        <v>291000</v>
      </c>
      <c r="L6" s="11">
        <v>13825090</v>
      </c>
      <c r="M6" s="11">
        <v>1411609</v>
      </c>
      <c r="N6" s="11">
        <v>212800</v>
      </c>
      <c r="O6" s="11">
        <v>21280</v>
      </c>
      <c r="P6" s="14">
        <v>15761779</v>
      </c>
    </row>
    <row r="7" spans="1:16" x14ac:dyDescent="0.45">
      <c r="A7" s="5" t="s">
        <v>15</v>
      </c>
      <c r="B7" s="8" t="s">
        <v>21</v>
      </c>
      <c r="C7" s="11">
        <v>110</v>
      </c>
      <c r="D7" s="11">
        <v>110</v>
      </c>
      <c r="E7" s="11">
        <v>110</v>
      </c>
      <c r="F7" s="11">
        <v>110</v>
      </c>
      <c r="G7" s="11">
        <v>1100</v>
      </c>
      <c r="H7" s="11">
        <v>150840</v>
      </c>
      <c r="I7" s="11">
        <v>151940</v>
      </c>
      <c r="J7" s="11">
        <v>151940</v>
      </c>
      <c r="K7" s="11">
        <v>121000</v>
      </c>
      <c r="L7" s="11">
        <v>15174450</v>
      </c>
      <c r="M7" s="11">
        <v>1529545</v>
      </c>
      <c r="N7" s="11">
        <v>110000</v>
      </c>
      <c r="O7" s="11">
        <v>11000</v>
      </c>
      <c r="P7" s="14">
        <v>16945995</v>
      </c>
    </row>
    <row r="8" spans="1:16" x14ac:dyDescent="0.45">
      <c r="A8" s="5" t="s">
        <v>15</v>
      </c>
      <c r="B8" s="8" t="s">
        <v>22</v>
      </c>
      <c r="C8" s="11">
        <v>36</v>
      </c>
      <c r="D8" s="11">
        <v>36</v>
      </c>
      <c r="E8" s="11">
        <v>36</v>
      </c>
      <c r="F8" s="11">
        <v>36</v>
      </c>
      <c r="G8" s="11">
        <v>240</v>
      </c>
      <c r="H8" s="11">
        <v>16578</v>
      </c>
      <c r="I8" s="11">
        <v>16818</v>
      </c>
      <c r="J8" s="11">
        <v>16818</v>
      </c>
      <c r="K8" s="11">
        <v>26400</v>
      </c>
      <c r="L8" s="11">
        <v>1680300</v>
      </c>
      <c r="M8" s="11">
        <v>170670</v>
      </c>
      <c r="N8" s="11">
        <v>28800</v>
      </c>
      <c r="O8" s="11">
        <v>2880</v>
      </c>
      <c r="P8" s="14">
        <v>1909050</v>
      </c>
    </row>
    <row r="9" spans="1:16" x14ac:dyDescent="0.45">
      <c r="A9" s="5" t="s">
        <v>15</v>
      </c>
      <c r="B9" s="8" t="s">
        <v>23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4">
        <v>0</v>
      </c>
    </row>
    <row r="10" spans="1:16" x14ac:dyDescent="0.45">
      <c r="A10" s="5" t="s">
        <v>15</v>
      </c>
      <c r="B10" s="8" t="s">
        <v>24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4">
        <v>0</v>
      </c>
    </row>
    <row r="11" spans="1:16" x14ac:dyDescent="0.45">
      <c r="A11" s="5" t="s">
        <v>15</v>
      </c>
      <c r="B11" s="8" t="s">
        <v>25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4">
        <v>0</v>
      </c>
    </row>
    <row r="12" spans="1:16" x14ac:dyDescent="0.45">
      <c r="A12" s="6" t="s">
        <v>15</v>
      </c>
      <c r="B12" s="9" t="s">
        <v>26</v>
      </c>
      <c r="C12" s="12">
        <f>SUM(C2:C11)</f>
        <v>36668</v>
      </c>
      <c r="D12" s="12">
        <f t="shared" ref="D12:F12" si="0">SUM(D2:D11)</f>
        <v>19485</v>
      </c>
      <c r="E12" s="12">
        <f t="shared" si="0"/>
        <v>36668</v>
      </c>
      <c r="F12" s="12">
        <f t="shared" si="0"/>
        <v>36668</v>
      </c>
      <c r="G12" s="12">
        <f t="shared" ref="G12" si="1">SUM(G2:G11)</f>
        <v>275389</v>
      </c>
      <c r="H12" s="12">
        <f t="shared" ref="H12" si="2">SUM(H2:H11)</f>
        <v>749187</v>
      </c>
      <c r="I12" s="12">
        <f t="shared" ref="I12" si="3">SUM(I2:I11)</f>
        <v>1024576</v>
      </c>
      <c r="J12" s="12">
        <f t="shared" ref="J12" si="4">SUM(J2:J11)</f>
        <v>1023271</v>
      </c>
      <c r="K12" s="12">
        <f t="shared" ref="K12" si="5">SUM(K2:K11)</f>
        <v>38600050</v>
      </c>
      <c r="L12" s="12">
        <f t="shared" ref="L12" si="6">SUM(L2:L11)</f>
        <v>78026210</v>
      </c>
      <c r="M12" s="12">
        <f t="shared" ref="M12" si="7">SUM(M2:M11)</f>
        <v>11662626</v>
      </c>
      <c r="N12" s="12">
        <f t="shared" ref="N12" si="8">SUM(N2:N11)</f>
        <v>2854490</v>
      </c>
      <c r="O12" s="12">
        <f t="shared" ref="O12" si="9">SUM(O2:O11)</f>
        <v>285449</v>
      </c>
      <c r="P12" s="12">
        <f t="shared" ref="P12" si="10">SUM(P2:P11)</f>
        <v>131428825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suidou06</cp:lastModifiedBy>
  <dcterms:created xsi:type="dcterms:W3CDTF">2025-12-09T08:38:20Z</dcterms:created>
  <dcterms:modified xsi:type="dcterms:W3CDTF">2026-04-09T05:54:59Z</dcterms:modified>
</cp:coreProperties>
</file>